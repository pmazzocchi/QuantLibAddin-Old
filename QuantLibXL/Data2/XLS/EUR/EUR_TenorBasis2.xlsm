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21975" yWindow="-240" windowWidth="9300" windowHeight="12990" activeTab="3"/>
  </bookViews>
  <sheets>
    <sheet name="General Settings" sheetId="4" r:id="rId1"/>
    <sheet name="1M Basis" sheetId="7" r:id="rId2"/>
    <sheet name="3M Basis" sheetId="6" r:id="rId3"/>
    <sheet name="6M Basis" sheetId="9" r:id="rId4"/>
    <sheet name="12M Basis" sheetId="8" r:id="rId5"/>
  </sheets>
  <externalReferences>
    <externalReference r:id="rId6"/>
  </externalReferences>
  <definedNames>
    <definedName name="AllTriggers">'General Settings'!$I$4:$I$8</definedName>
    <definedName name="Calendar">'General Settings'!$D$5</definedName>
    <definedName name="ContBasis" localSheetId="4">'12M Basis'!$M$8:$M$11</definedName>
    <definedName name="ContBasis" localSheetId="1">'1M Basis'!$M$8:$M$11</definedName>
    <definedName name="ContBasis" localSheetId="2">'3M Basis'!$M$8:$M$11</definedName>
    <definedName name="ContBasis" localSheetId="3">'6M Basis'!$M$8:$M$11</definedName>
    <definedName name="Currency">'General Settings'!$D$4</definedName>
    <definedName name="DataTable" localSheetId="4">'12M Basis'!$A$3:$J$16</definedName>
    <definedName name="DataTable" localSheetId="1">'1M Basis'!$A$3:$J$16</definedName>
    <definedName name="DataTable" localSheetId="2">'3M Basis'!$A$3:$J$16</definedName>
    <definedName name="DataTable" localSheetId="3">'6M Basis'!$A$3:$J$16</definedName>
    <definedName name="DayCounter">'General Settings'!$D$9</definedName>
    <definedName name="Error_ContBasis" localSheetId="4">'12M Basis'!$M$14</definedName>
    <definedName name="Error_ContBasis" localSheetId="1">'1M Basis'!$M$14</definedName>
    <definedName name="Error_ContBasis" localSheetId="2">'3M Basis'!$M$14</definedName>
    <definedName name="Error_ContBasis" localSheetId="3">'6M Basis'!$M$16</definedName>
    <definedName name="Error_SimpleBasis" localSheetId="4">'12M Basis'!$M$31</definedName>
    <definedName name="Error_SimpleBasis" localSheetId="1">'1M Basis'!$M$31</definedName>
    <definedName name="Error_SimpleBasis" localSheetId="2">'3M Basis'!$M$31</definedName>
    <definedName name="Error_SimpleBasis" localSheetId="3">'6M Basis'!#REF!</definedName>
    <definedName name="EvaluationDate">'General Settings'!$I$5</definedName>
    <definedName name="IborType">'General Settings'!$D$6</definedName>
    <definedName name="Index" localSheetId="4">'12M Basis'!$M$5</definedName>
    <definedName name="Index" localSheetId="1">'1M Basis'!$M$5</definedName>
    <definedName name="Index" localSheetId="2">'3M Basis'!$M$5</definedName>
    <definedName name="Index" localSheetId="3">'6M Basis'!$M$4</definedName>
    <definedName name="InterestRatesTrigger">'General Settings'!$I$7</definedName>
    <definedName name="OisCurve">'General Settings'!$D$8</definedName>
    <definedName name="SettlementDate">'General Settings'!$I$6</definedName>
    <definedName name="SimpleBasis" localSheetId="4">'12M Basis'!$M$25:$M$28</definedName>
    <definedName name="SimpleBasis" localSheetId="1">'1M Basis'!$M$25:$M$28</definedName>
    <definedName name="SimpleBasis" localSheetId="2">'3M Basis'!$M$25:$M$28</definedName>
    <definedName name="SimpleBasis" localSheetId="3">'6M Basis'!$M$29:$M$32</definedName>
    <definedName name="solver_adj" localSheetId="4" hidden="1">'12M Basis'!$M$25:$M$28</definedName>
    <definedName name="solver_adj" localSheetId="1" hidden="1">'1M Basis'!$M$25:$M$28</definedName>
    <definedName name="solver_adj" localSheetId="2" hidden="1">'3M Basis'!$M$25:$M$28</definedName>
    <definedName name="solver_adj" localSheetId="3" hidden="1">'6M Basis'!$M$29:$M$32</definedName>
    <definedName name="solver_cvg" localSheetId="4" hidden="1">0.0000000000001</definedName>
    <definedName name="solver_cvg" localSheetId="1" hidden="1">0.0000000000001</definedName>
    <definedName name="solver_cvg" localSheetId="2" hidden="1">0.0000000000001</definedName>
    <definedName name="solver_cvg" localSheetId="3" hidden="1">0.0000000000001</definedName>
    <definedName name="solver_drv" localSheetId="4" hidden="1">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4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4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4" hidden="1">2147483647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4" hidden="1">'12M Basis'!$M$10</definedName>
    <definedName name="solver_lhs1" localSheetId="1" hidden="1">'1M Basis'!$M$10</definedName>
    <definedName name="solver_lhs1" localSheetId="2" hidden="1">'3M Basis'!$M$10</definedName>
    <definedName name="solver_lhs1" localSheetId="3" hidden="1">'6M Basis'!$M$10</definedName>
    <definedName name="solver_lhs2" localSheetId="4" hidden="1">'12M Basis'!$M$10</definedName>
    <definedName name="solver_lhs2" localSheetId="1" hidden="1">'1M Basis'!$M$10</definedName>
    <definedName name="solver_lhs2" localSheetId="2" hidden="1">'3M Basis'!$M$10</definedName>
    <definedName name="solver_lhs2" localSheetId="3" hidden="1">'6M Basis'!$M$10</definedName>
    <definedName name="solver_lhs3" localSheetId="4" hidden="1">'12M Basis'!$M$10</definedName>
    <definedName name="solver_lhs3" localSheetId="1" hidden="1">'1M Basis'!$M$10</definedName>
    <definedName name="solver_lhs3" localSheetId="2" hidden="1">'3M Basis'!$M$10</definedName>
    <definedName name="solver_lhs3" localSheetId="3" hidden="1">'6M Basis'!$M$10</definedName>
    <definedName name="solver_mip" localSheetId="4" hidden="1">2147483647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4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4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4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4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4" hidden="1">2147483647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4" hidden="1">0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wt" localSheetId="4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4" hidden="1">'12M Basis'!$M$31</definedName>
    <definedName name="solver_opt" localSheetId="1" hidden="1">'1M Basis'!$M$31</definedName>
    <definedName name="solver_opt" localSheetId="2" hidden="1">'3M Basis'!$M$31</definedName>
    <definedName name="solver_opt" localSheetId="3" hidden="1">'6M Basis'!#REF!</definedName>
    <definedName name="solver_pre" localSheetId="4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4" hidden="1">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4" hidden="1">3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2" localSheetId="4" hidden="1">3</definedName>
    <definedName name="solver_rel2" localSheetId="1" hidden="1">3</definedName>
    <definedName name="solver_rel2" localSheetId="2" hidden="1">3</definedName>
    <definedName name="solver_rel2" localSheetId="3" hidden="1">3</definedName>
    <definedName name="solver_rel3" localSheetId="4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hs1" localSheetId="4" hidden="1">0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2" localSheetId="4" hidden="1">0</definedName>
    <definedName name="solver_rhs2" localSheetId="1" hidden="1">0</definedName>
    <definedName name="solver_rhs2" localSheetId="2" hidden="1">0</definedName>
    <definedName name="solver_rhs2" localSheetId="3" hidden="1">0</definedName>
    <definedName name="solver_rhs3" localSheetId="4" hidden="1">0</definedName>
    <definedName name="solver_rhs3" localSheetId="1" hidden="1">0</definedName>
    <definedName name="solver_rhs3" localSheetId="2" hidden="1">0</definedName>
    <definedName name="solver_rhs3" localSheetId="3" hidden="1">0</definedName>
    <definedName name="solver_rlx" localSheetId="4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4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4" hidden="1">1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4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4" hidden="1">100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4" hidden="1">2147483647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4" hidden="1">0.01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4" hidden="1">2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4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4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TenorBasis6M" localSheetId="4">'12M Basis'!$M$22</definedName>
    <definedName name="TenorBasis6M" localSheetId="1">'1M Basis'!$M$22</definedName>
    <definedName name="TenorBasis6M" localSheetId="2">'3M Basis'!$M$22</definedName>
    <definedName name="TenorBasis6M" localSheetId="3">'6M Basis'!$M$24</definedName>
    <definedName name="TenorBasis6M">#REF!</definedName>
    <definedName name="Trigger">'General Settings'!$I$4</definedName>
  </definedNames>
  <calcPr calcId="145621"/>
</workbook>
</file>

<file path=xl/calcChain.xml><?xml version="1.0" encoding="utf-8"?>
<calcChain xmlns="http://schemas.openxmlformats.org/spreadsheetml/2006/main">
  <c r="M4" i="9" l="1"/>
  <c r="M17" i="9"/>
  <c r="M16" i="9"/>
  <c r="M15" i="9"/>
  <c r="M23" i="9"/>
  <c r="M22" i="9"/>
  <c r="M21" i="9"/>
  <c r="M20" i="9"/>
  <c r="M5" i="9"/>
  <c r="Z135" i="9"/>
  <c r="Z127" i="9"/>
  <c r="Z119" i="9"/>
  <c r="Z111" i="9"/>
  <c r="Z103" i="9"/>
  <c r="Z95" i="9"/>
  <c r="Z87" i="9"/>
  <c r="Z79" i="9"/>
  <c r="Z71" i="9"/>
  <c r="Z63" i="9"/>
  <c r="Z55" i="9"/>
  <c r="Z47" i="9"/>
  <c r="Z39" i="9"/>
  <c r="Z31" i="9"/>
  <c r="Z23" i="9"/>
  <c r="Z15" i="9"/>
  <c r="Z7" i="9"/>
  <c r="Z6" i="9"/>
  <c r="Z116" i="9"/>
  <c r="Z100" i="9"/>
  <c r="Z76" i="9"/>
  <c r="Z52" i="9"/>
  <c r="Z28" i="9"/>
  <c r="Z131" i="9"/>
  <c r="Z107" i="9"/>
  <c r="Z91" i="9"/>
  <c r="Z67" i="9"/>
  <c r="Z43" i="9"/>
  <c r="Z27" i="9"/>
  <c r="Z122" i="9"/>
  <c r="Z106" i="9"/>
  <c r="Z82" i="9"/>
  <c r="Z58" i="9"/>
  <c r="Z34" i="9"/>
  <c r="Z10" i="9"/>
  <c r="Z113" i="9"/>
  <c r="Z89" i="9"/>
  <c r="Z65" i="9"/>
  <c r="Z49" i="9"/>
  <c r="Z25" i="9"/>
  <c r="Z128" i="9"/>
  <c r="Z104" i="9"/>
  <c r="Z80" i="9"/>
  <c r="Z56" i="9"/>
  <c r="Z32" i="9"/>
  <c r="Z134" i="9"/>
  <c r="Z126" i="9"/>
  <c r="Z118" i="9"/>
  <c r="Z110" i="9"/>
  <c r="Z102" i="9"/>
  <c r="Z94" i="9"/>
  <c r="Z86" i="9"/>
  <c r="Z78" i="9"/>
  <c r="Z70" i="9"/>
  <c r="Z62" i="9"/>
  <c r="Z54" i="9"/>
  <c r="Z46" i="9"/>
  <c r="Z38" i="9"/>
  <c r="Z30" i="9"/>
  <c r="Z22" i="9"/>
  <c r="Z14" i="9"/>
  <c r="Z124" i="9"/>
  <c r="Z92" i="9"/>
  <c r="Z68" i="9"/>
  <c r="Z44" i="9"/>
  <c r="Z12" i="9"/>
  <c r="Z115" i="9"/>
  <c r="Z83" i="9"/>
  <c r="Z51" i="9"/>
  <c r="Z19" i="9"/>
  <c r="Z114" i="9"/>
  <c r="Z90" i="9"/>
  <c r="Z66" i="9"/>
  <c r="Z42" i="9"/>
  <c r="Z18" i="9"/>
  <c r="Z121" i="9"/>
  <c r="Z97" i="9"/>
  <c r="Z73" i="9"/>
  <c r="Z33" i="9"/>
  <c r="Z9" i="9"/>
  <c r="Z112" i="9"/>
  <c r="Z88" i="9"/>
  <c r="Z64" i="9"/>
  <c r="Z48" i="9"/>
  <c r="Z16" i="9"/>
  <c r="Z133" i="9"/>
  <c r="Z125" i="9"/>
  <c r="Z117" i="9"/>
  <c r="Z109" i="9"/>
  <c r="Z101" i="9"/>
  <c r="Z93" i="9"/>
  <c r="Z85" i="9"/>
  <c r="Z77" i="9"/>
  <c r="Z69" i="9"/>
  <c r="Z61" i="9"/>
  <c r="Z53" i="9"/>
  <c r="Z45" i="9"/>
  <c r="Z37" i="9"/>
  <c r="Z29" i="9"/>
  <c r="Z21" i="9"/>
  <c r="Z13" i="9"/>
  <c r="Z5" i="9"/>
  <c r="Z132" i="9"/>
  <c r="Z108" i="9"/>
  <c r="Z84" i="9"/>
  <c r="Z60" i="9"/>
  <c r="Z36" i="9"/>
  <c r="Z20" i="9"/>
  <c r="Z123" i="9"/>
  <c r="Z99" i="9"/>
  <c r="Z75" i="9"/>
  <c r="Z59" i="9"/>
  <c r="Z35" i="9"/>
  <c r="Z130" i="9"/>
  <c r="Z98" i="9"/>
  <c r="Z74" i="9"/>
  <c r="Z50" i="9"/>
  <c r="Z26" i="9"/>
  <c r="Z129" i="9"/>
  <c r="Z105" i="9"/>
  <c r="Z81" i="9"/>
  <c r="Z57" i="9"/>
  <c r="Z41" i="9"/>
  <c r="Z17" i="9"/>
  <c r="Z120" i="9"/>
  <c r="Z96" i="9"/>
  <c r="Z72" i="9"/>
  <c r="Z40" i="9"/>
  <c r="Z24" i="9"/>
  <c r="Z11" i="9"/>
  <c r="Z8" i="9"/>
  <c r="Z4" i="9"/>
  <c r="Z3" i="9"/>
  <c r="E16" i="9" l="1"/>
  <c r="E15" i="9"/>
  <c r="E14" i="9"/>
  <c r="E13" i="9"/>
  <c r="E12" i="9"/>
  <c r="E11" i="9"/>
  <c r="E10" i="9"/>
  <c r="E9" i="9"/>
  <c r="E8" i="9"/>
  <c r="E7" i="9"/>
  <c r="L5" i="9"/>
  <c r="E6" i="9"/>
  <c r="E5" i="9"/>
  <c r="E4" i="9"/>
  <c r="Q3" i="9"/>
  <c r="E3" i="9"/>
  <c r="V2" i="9"/>
  <c r="E16" i="8"/>
  <c r="E15" i="8"/>
  <c r="E14" i="8"/>
  <c r="E13" i="8"/>
  <c r="E12" i="8"/>
  <c r="E11" i="8"/>
  <c r="E10" i="8"/>
  <c r="E9" i="8"/>
  <c r="E8" i="8"/>
  <c r="E7" i="8"/>
  <c r="L6" i="8"/>
  <c r="E6" i="8"/>
  <c r="E5" i="8"/>
  <c r="E4" i="8"/>
  <c r="P3" i="8"/>
  <c r="E3" i="8"/>
  <c r="U2" i="8"/>
  <c r="E16" i="7"/>
  <c r="E15" i="7"/>
  <c r="E14" i="7"/>
  <c r="E13" i="7"/>
  <c r="E12" i="7"/>
  <c r="E11" i="7"/>
  <c r="E10" i="7"/>
  <c r="E9" i="7"/>
  <c r="E8" i="7"/>
  <c r="E7" i="7"/>
  <c r="L6" i="7"/>
  <c r="E6" i="7"/>
  <c r="E5" i="7"/>
  <c r="E4" i="7"/>
  <c r="P3" i="7"/>
  <c r="E3" i="7"/>
  <c r="U2" i="7"/>
  <c r="E16" i="6"/>
  <c r="E15" i="6"/>
  <c r="E14" i="6"/>
  <c r="E13" i="6"/>
  <c r="E12" i="6"/>
  <c r="E11" i="6"/>
  <c r="E10" i="6"/>
  <c r="E9" i="6"/>
  <c r="E8" i="6"/>
  <c r="E7" i="6"/>
  <c r="L6" i="6"/>
  <c r="E6" i="6"/>
  <c r="E5" i="6"/>
  <c r="E4" i="6"/>
  <c r="P3" i="6"/>
  <c r="E3" i="6"/>
  <c r="U2" i="6"/>
  <c r="A12" i="8"/>
  <c r="A8" i="8"/>
  <c r="A14" i="8"/>
  <c r="A10" i="8"/>
  <c r="A7" i="8"/>
  <c r="A11" i="8"/>
  <c r="A15" i="8"/>
  <c r="A9" i="8"/>
  <c r="P4" i="8"/>
  <c r="A13" i="8"/>
  <c r="A16" i="8"/>
  <c r="A4" i="8"/>
  <c r="A6" i="8"/>
  <c r="A5" i="8"/>
  <c r="A3" i="8"/>
  <c r="P700" i="7"/>
  <c r="P679" i="7"/>
  <c r="P594" i="7"/>
  <c r="P289" i="7"/>
  <c r="P254" i="7"/>
  <c r="A10" i="7"/>
  <c r="A13" i="7"/>
  <c r="A16" i="7"/>
  <c r="A3" i="7"/>
  <c r="A7" i="7"/>
  <c r="A8" i="7"/>
  <c r="A4" i="7"/>
  <c r="A11" i="7"/>
  <c r="A12" i="7"/>
  <c r="A9" i="7"/>
  <c r="A15" i="7"/>
  <c r="A5" i="7"/>
  <c r="P4" i="7"/>
  <c r="A14" i="7"/>
  <c r="A6" i="7"/>
  <c r="P159" i="6"/>
  <c r="P136" i="6"/>
  <c r="A10" i="6"/>
  <c r="A13" i="6"/>
  <c r="A3" i="6"/>
  <c r="A16" i="6"/>
  <c r="A12" i="6"/>
  <c r="A9" i="6"/>
  <c r="A4" i="6"/>
  <c r="P4" i="6"/>
  <c r="A14" i="6"/>
  <c r="A5" i="6"/>
  <c r="A15" i="6"/>
  <c r="A11" i="6"/>
  <c r="A8" i="6"/>
  <c r="A7" i="6"/>
  <c r="A6" i="6"/>
  <c r="A12" i="9"/>
  <c r="A11" i="9"/>
  <c r="A14" i="9"/>
  <c r="A9" i="9"/>
  <c r="A8" i="9"/>
  <c r="A7" i="9"/>
  <c r="A13" i="9"/>
  <c r="A16" i="9"/>
  <c r="A10" i="9"/>
  <c r="A6" i="9"/>
  <c r="A4" i="9"/>
  <c r="A5" i="9"/>
  <c r="A15" i="9"/>
  <c r="A3" i="9"/>
  <c r="Q4" i="9"/>
  <c r="B3" i="7"/>
  <c r="M6" i="8"/>
  <c r="B5" i="8"/>
  <c r="M6" i="7"/>
  <c r="B4" i="8"/>
  <c r="B12" i="8"/>
  <c r="B3" i="6"/>
  <c r="B5" i="6"/>
  <c r="B11" i="7"/>
  <c r="B3" i="8"/>
  <c r="B10" i="6"/>
  <c r="B11" i="8"/>
  <c r="B10" i="7"/>
  <c r="B12" i="9"/>
  <c r="B4" i="7"/>
  <c r="B12" i="7"/>
  <c r="B10" i="8"/>
  <c r="B11" i="6"/>
  <c r="B5" i="7"/>
  <c r="B5" i="9"/>
  <c r="B4" i="6"/>
  <c r="B12" i="6"/>
  <c r="B4" i="9"/>
  <c r="B11" i="9"/>
  <c r="M6" i="6"/>
  <c r="B3" i="9"/>
  <c r="B10" i="9"/>
  <c r="B13" i="9" l="1"/>
  <c r="B6" i="9"/>
  <c r="B13" i="8"/>
  <c r="B6" i="8"/>
  <c r="B6" i="7"/>
  <c r="B13" i="7"/>
  <c r="B13" i="6"/>
  <c r="B6" i="6"/>
  <c r="P5" i="8"/>
  <c r="P701" i="7"/>
  <c r="P680" i="7"/>
  <c r="P595" i="7"/>
  <c r="P290" i="7"/>
  <c r="P255" i="7"/>
  <c r="P5" i="7"/>
  <c r="P160" i="6"/>
  <c r="P137" i="6"/>
  <c r="P5" i="6"/>
  <c r="P6" i="8"/>
  <c r="P702" i="7"/>
  <c r="P681" i="7"/>
  <c r="P596" i="7"/>
  <c r="P291" i="7"/>
  <c r="P256" i="7"/>
  <c r="P6" i="7"/>
  <c r="P161" i="6"/>
  <c r="P138" i="6"/>
  <c r="P6" i="6"/>
  <c r="P7" i="8"/>
  <c r="P703" i="7"/>
  <c r="P682" i="7"/>
  <c r="P597" i="7"/>
  <c r="P292" i="7"/>
  <c r="P257" i="7"/>
  <c r="P7" i="7"/>
  <c r="P162" i="6"/>
  <c r="P139" i="6"/>
  <c r="P7" i="6"/>
  <c r="Q5" i="9"/>
  <c r="B14" i="9"/>
  <c r="B7" i="9"/>
  <c r="B14" i="8"/>
  <c r="B7" i="8"/>
  <c r="B7" i="7"/>
  <c r="B14" i="7"/>
  <c r="B14" i="6"/>
  <c r="B7" i="6"/>
  <c r="B8" i="6" l="1"/>
  <c r="B9" i="6" s="1"/>
  <c r="B15" i="6"/>
  <c r="B16" i="6" s="1"/>
  <c r="B15" i="7"/>
  <c r="B16" i="7" s="1"/>
  <c r="B8" i="7"/>
  <c r="B9" i="7" s="1"/>
  <c r="B8" i="8"/>
  <c r="B9" i="8" s="1"/>
  <c r="B15" i="8"/>
  <c r="B16" i="8" s="1"/>
  <c r="B8" i="9"/>
  <c r="B9" i="9" s="1"/>
  <c r="B15" i="9"/>
  <c r="B16" i="9" s="1"/>
  <c r="D6" i="4"/>
  <c r="P8" i="8"/>
  <c r="P704" i="7"/>
  <c r="P683" i="7"/>
  <c r="P598" i="7"/>
  <c r="P293" i="7"/>
  <c r="P258" i="7"/>
  <c r="P8" i="7"/>
  <c r="P163" i="6"/>
  <c r="P140" i="6"/>
  <c r="P8" i="6"/>
  <c r="Q6" i="9"/>
  <c r="I5" i="4"/>
  <c r="R3" i="9" l="1"/>
  <c r="M5" i="8"/>
  <c r="Q3" i="8"/>
  <c r="M5" i="7"/>
  <c r="Q3" i="7"/>
  <c r="Q3" i="6"/>
  <c r="M5" i="6"/>
  <c r="P9" i="8"/>
  <c r="P705" i="7"/>
  <c r="P684" i="7"/>
  <c r="P599" i="7"/>
  <c r="P294" i="7"/>
  <c r="P259" i="7"/>
  <c r="P9" i="7"/>
  <c r="P164" i="6"/>
  <c r="P141" i="6"/>
  <c r="P9" i="6"/>
  <c r="V3" i="9"/>
  <c r="U3" i="9"/>
  <c r="Q7" i="9"/>
  <c r="R3" i="6"/>
  <c r="R3" i="8"/>
  <c r="S3" i="9"/>
  <c r="B1" i="4"/>
  <c r="I6" i="4"/>
  <c r="Q700" i="7"/>
  <c r="R700" i="7" s="1"/>
  <c r="S700" i="7" s="1"/>
  <c r="X3" i="9"/>
  <c r="Q6" i="7"/>
  <c r="Q138" i="6"/>
  <c r="Q293" i="7"/>
  <c r="R293" i="7" s="1"/>
  <c r="Q8" i="8"/>
  <c r="Q684" i="7"/>
  <c r="Q139" i="6"/>
  <c r="S293" i="7"/>
  <c r="Q256" i="7"/>
  <c r="R3" i="7"/>
  <c r="S3" i="7" s="1"/>
  <c r="Q159" i="6"/>
  <c r="R6" i="9"/>
  <c r="Q290" i="7"/>
  <c r="Q259" i="7"/>
  <c r="R259" i="7" s="1"/>
  <c r="S259" i="7" s="1"/>
  <c r="R4" i="9"/>
  <c r="Q597" i="7"/>
  <c r="Q254" i="7"/>
  <c r="Q292" i="7"/>
  <c r="Q703" i="7"/>
  <c r="Q679" i="7"/>
  <c r="Q141" i="6"/>
  <c r="Q8" i="7"/>
  <c r="Q704" i="7"/>
  <c r="R704" i="7" s="1"/>
  <c r="S704" i="7" s="1"/>
  <c r="Q137" i="6"/>
  <c r="Q596" i="7"/>
  <c r="Q681" i="7"/>
  <c r="R681" i="7" s="1"/>
  <c r="S681" i="7" s="1"/>
  <c r="W3" i="8"/>
  <c r="Q598" i="7"/>
  <c r="R598" i="7" s="1"/>
  <c r="Q289" i="7"/>
  <c r="Q160" i="6"/>
  <c r="Q255" i="7"/>
  <c r="Q8" i="6"/>
  <c r="W681" i="7"/>
  <c r="Q258" i="7"/>
  <c r="Q4" i="7"/>
  <c r="Q162" i="6"/>
  <c r="W293" i="7"/>
  <c r="Q161" i="6"/>
  <c r="Q599" i="7"/>
  <c r="Q705" i="7"/>
  <c r="R5" i="9"/>
  <c r="Q294" i="7"/>
  <c r="R7" i="9"/>
  <c r="W3" i="7"/>
  <c r="Q5" i="6"/>
  <c r="Q140" i="6"/>
  <c r="Q9" i="8"/>
  <c r="Q291" i="7"/>
  <c r="W259" i="7"/>
  <c r="W704" i="7"/>
  <c r="Q702" i="7"/>
  <c r="R702" i="7" s="1"/>
  <c r="Q7" i="6"/>
  <c r="Q257" i="7"/>
  <c r="W3" i="6"/>
  <c r="Q6" i="6"/>
  <c r="Q683" i="7"/>
  <c r="Q9" i="7"/>
  <c r="Q6" i="8"/>
  <c r="Q5" i="8"/>
  <c r="Q680" i="7"/>
  <c r="W700" i="7"/>
  <c r="Q136" i="6"/>
  <c r="Q7" i="7"/>
  <c r="Q7" i="8"/>
  <c r="Q594" i="7"/>
  <c r="Q9" i="6"/>
  <c r="Q164" i="6"/>
  <c r="Q163" i="6"/>
  <c r="Q4" i="8"/>
  <c r="Q5" i="7"/>
  <c r="Q4" i="6"/>
  <c r="Q595" i="7"/>
  <c r="R595" i="7" s="1"/>
  <c r="Q701" i="7"/>
  <c r="Q682" i="7"/>
  <c r="R682" i="7" s="1"/>
  <c r="W598" i="7"/>
  <c r="S598" i="7"/>
  <c r="X598" i="7" s="1"/>
  <c r="W702" i="7"/>
  <c r="S702" i="7"/>
  <c r="W595" i="7"/>
  <c r="S595" i="7"/>
  <c r="W682" i="7"/>
  <c r="S682" i="7"/>
  <c r="X682" i="7" s="1"/>
  <c r="V6" i="9"/>
  <c r="U6" i="9"/>
  <c r="V4" i="9"/>
  <c r="U4" i="9"/>
  <c r="V5" i="9"/>
  <c r="U5" i="9"/>
  <c r="V7" i="9"/>
  <c r="U7" i="9"/>
  <c r="D8" i="9" l="1"/>
  <c r="D11" i="9"/>
  <c r="D14" i="9"/>
  <c r="D5" i="9"/>
  <c r="D3" i="9"/>
  <c r="D4" i="9"/>
  <c r="D13" i="9"/>
  <c r="D9" i="9"/>
  <c r="D6" i="9"/>
  <c r="D12" i="9"/>
  <c r="D15" i="9"/>
  <c r="D7" i="9"/>
  <c r="D16" i="9"/>
  <c r="D10" i="9"/>
  <c r="D14" i="8"/>
  <c r="D11" i="8"/>
  <c r="D7" i="8"/>
  <c r="D15" i="8"/>
  <c r="D6" i="8"/>
  <c r="D5" i="8"/>
  <c r="D4" i="8"/>
  <c r="D3" i="8"/>
  <c r="D16" i="8"/>
  <c r="D10" i="8"/>
  <c r="D12" i="8"/>
  <c r="D8" i="8"/>
  <c r="D13" i="8"/>
  <c r="D9" i="8"/>
  <c r="D9" i="7"/>
  <c r="D6" i="7"/>
  <c r="D15" i="7"/>
  <c r="D16" i="7"/>
  <c r="D8" i="7"/>
  <c r="D13" i="7"/>
  <c r="D12" i="7"/>
  <c r="D3" i="7"/>
  <c r="D4" i="7"/>
  <c r="D14" i="7"/>
  <c r="D5" i="7"/>
  <c r="D7" i="7"/>
  <c r="D10" i="7"/>
  <c r="D11" i="7"/>
  <c r="D9" i="6"/>
  <c r="D6" i="6"/>
  <c r="D15" i="6"/>
  <c r="D13" i="6"/>
  <c r="D14" i="6"/>
  <c r="D5" i="6"/>
  <c r="D7" i="6"/>
  <c r="D10" i="6"/>
  <c r="D12" i="6"/>
  <c r="D16" i="6"/>
  <c r="D8" i="6"/>
  <c r="D3" i="6"/>
  <c r="D11" i="6"/>
  <c r="D4" i="6"/>
  <c r="P10" i="8"/>
  <c r="P706" i="7"/>
  <c r="P685" i="7"/>
  <c r="P600" i="7"/>
  <c r="P295" i="7"/>
  <c r="P260" i="7"/>
  <c r="P10" i="7"/>
  <c r="P165" i="6"/>
  <c r="P142" i="6"/>
  <c r="P10" i="6"/>
  <c r="Q8" i="9"/>
  <c r="X595" i="7"/>
  <c r="R594" i="7"/>
  <c r="R683" i="7"/>
  <c r="S7" i="9"/>
  <c r="R255" i="7"/>
  <c r="R703" i="7"/>
  <c r="X293" i="7"/>
  <c r="R137" i="6"/>
  <c r="R161" i="6"/>
  <c r="R139" i="6"/>
  <c r="W139" i="6"/>
  <c r="X702" i="7"/>
  <c r="R7" i="8"/>
  <c r="R6" i="6"/>
  <c r="R294" i="7"/>
  <c r="R289" i="7"/>
  <c r="R292" i="7"/>
  <c r="R138" i="6"/>
  <c r="R162" i="6"/>
  <c r="Q10" i="7"/>
  <c r="S139" i="6"/>
  <c r="R701" i="7"/>
  <c r="R7" i="7"/>
  <c r="R257" i="7"/>
  <c r="S5" i="9"/>
  <c r="X681" i="7"/>
  <c r="R254" i="7"/>
  <c r="R8" i="8"/>
  <c r="Q142" i="6"/>
  <c r="R142" i="6" s="1"/>
  <c r="Q295" i="7"/>
  <c r="X139" i="6"/>
  <c r="R7" i="6"/>
  <c r="R705" i="7"/>
  <c r="R597" i="7"/>
  <c r="R6" i="7"/>
  <c r="Q260" i="7"/>
  <c r="R260" i="7" s="1"/>
  <c r="S260" i="7" s="1"/>
  <c r="Q685" i="7"/>
  <c r="R140" i="6"/>
  <c r="R136" i="6"/>
  <c r="R599" i="7"/>
  <c r="X700" i="7"/>
  <c r="R160" i="6"/>
  <c r="W260" i="7"/>
  <c r="W137" i="6"/>
  <c r="W140" i="6"/>
  <c r="R4" i="8"/>
  <c r="R4" i="7"/>
  <c r="T3" i="9"/>
  <c r="Y3" i="9"/>
  <c r="S142" i="6"/>
  <c r="S140" i="6"/>
  <c r="R6" i="8"/>
  <c r="R258" i="7"/>
  <c r="S6" i="9"/>
  <c r="W142" i="6"/>
  <c r="W136" i="6"/>
  <c r="R9" i="6"/>
  <c r="R679" i="7"/>
  <c r="R256" i="7"/>
  <c r="S3" i="6"/>
  <c r="X3" i="6" s="1"/>
  <c r="R163" i="6"/>
  <c r="Q600" i="7"/>
  <c r="S162" i="6"/>
  <c r="R684" i="7"/>
  <c r="R4" i="6"/>
  <c r="R596" i="7"/>
  <c r="W161" i="6"/>
  <c r="R680" i="7"/>
  <c r="X704" i="7"/>
  <c r="Q10" i="6"/>
  <c r="R291" i="7"/>
  <c r="R290" i="7"/>
  <c r="R9" i="8"/>
  <c r="S3" i="8"/>
  <c r="X3" i="8" s="1"/>
  <c r="Q10" i="8"/>
  <c r="R10" i="8" s="1"/>
  <c r="X3" i="7"/>
  <c r="W138" i="6"/>
  <c r="R5" i="6"/>
  <c r="Q165" i="6"/>
  <c r="R165" i="6" s="1"/>
  <c r="R295" i="7"/>
  <c r="R5" i="7"/>
  <c r="S4" i="9"/>
  <c r="S161" i="6"/>
  <c r="X161" i="6" s="1"/>
  <c r="R5" i="8"/>
  <c r="R8" i="7"/>
  <c r="R159" i="6"/>
  <c r="Q706" i="7"/>
  <c r="R706" i="7" s="1"/>
  <c r="S137" i="6"/>
  <c r="R164" i="6"/>
  <c r="R141" i="6"/>
  <c r="X259" i="7"/>
  <c r="W162" i="6"/>
  <c r="R9" i="7"/>
  <c r="W165" i="6"/>
  <c r="R8" i="6"/>
  <c r="R685" i="7"/>
  <c r="S138" i="6"/>
  <c r="S136" i="6"/>
  <c r="X136" i="6" s="1"/>
  <c r="W594" i="7"/>
  <c r="S594" i="7"/>
  <c r="W683" i="7"/>
  <c r="S683" i="7"/>
  <c r="X7" i="9"/>
  <c r="T7" i="9"/>
  <c r="W255" i="7"/>
  <c r="S255" i="7"/>
  <c r="W703" i="7"/>
  <c r="S703" i="7"/>
  <c r="W7" i="8"/>
  <c r="S6" i="6"/>
  <c r="W6" i="6"/>
  <c r="X6" i="6"/>
  <c r="W294" i="7"/>
  <c r="S294" i="7"/>
  <c r="X294" i="7" s="1"/>
  <c r="W289" i="7"/>
  <c r="S289" i="7"/>
  <c r="W292" i="7"/>
  <c r="S292" i="7"/>
  <c r="X292" i="7" s="1"/>
  <c r="W701" i="7"/>
  <c r="S701" i="7"/>
  <c r="S7" i="7"/>
  <c r="W7" i="7"/>
  <c r="W257" i="7"/>
  <c r="S257" i="7"/>
  <c r="X5" i="9"/>
  <c r="T5" i="9"/>
  <c r="W254" i="7"/>
  <c r="S254" i="7"/>
  <c r="W8" i="8"/>
  <c r="S8" i="8"/>
  <c r="W7" i="6"/>
  <c r="S7" i="6"/>
  <c r="W705" i="7"/>
  <c r="S705" i="7"/>
  <c r="X705" i="7" s="1"/>
  <c r="W597" i="7"/>
  <c r="S597" i="7"/>
  <c r="X597" i="7"/>
  <c r="W6" i="7"/>
  <c r="S6" i="7"/>
  <c r="X6" i="7" s="1"/>
  <c r="W599" i="7"/>
  <c r="S599" i="7"/>
  <c r="X599" i="7" s="1"/>
  <c r="S160" i="6"/>
  <c r="W160" i="6"/>
  <c r="W4" i="8"/>
  <c r="S4" i="8"/>
  <c r="W4" i="7"/>
  <c r="S4" i="7"/>
  <c r="W6" i="8"/>
  <c r="W258" i="7"/>
  <c r="S258" i="7"/>
  <c r="X6" i="9"/>
  <c r="T6" i="9"/>
  <c r="W9" i="6"/>
  <c r="S9" i="6"/>
  <c r="X9" i="6"/>
  <c r="W679" i="7"/>
  <c r="S679" i="7"/>
  <c r="X679" i="7" s="1"/>
  <c r="W256" i="7"/>
  <c r="S256" i="7"/>
  <c r="X256" i="7" s="1"/>
  <c r="S163" i="6"/>
  <c r="X163" i="6" s="1"/>
  <c r="W163" i="6"/>
  <c r="W684" i="7"/>
  <c r="S684" i="7"/>
  <c r="X684" i="7" s="1"/>
  <c r="W4" i="6"/>
  <c r="S4" i="6"/>
  <c r="W596" i="7"/>
  <c r="S596" i="7"/>
  <c r="W680" i="7"/>
  <c r="S680" i="7"/>
  <c r="X680" i="7"/>
  <c r="W291" i="7"/>
  <c r="S291" i="7"/>
  <c r="W290" i="7"/>
  <c r="S290" i="7"/>
  <c r="W9" i="8"/>
  <c r="S9" i="8"/>
  <c r="S10" i="8"/>
  <c r="X10" i="8"/>
  <c r="W5" i="6"/>
  <c r="S5" i="6"/>
  <c r="S295" i="7"/>
  <c r="W5" i="7"/>
  <c r="S5" i="7"/>
  <c r="X4" i="9"/>
  <c r="T4" i="9"/>
  <c r="W5" i="8"/>
  <c r="S5" i="8"/>
  <c r="X5" i="8"/>
  <c r="W8" i="7"/>
  <c r="S8" i="7"/>
  <c r="S159" i="6"/>
  <c r="W159" i="6"/>
  <c r="W706" i="7"/>
  <c r="W164" i="6"/>
  <c r="S164" i="6"/>
  <c r="X164" i="6" s="1"/>
  <c r="W141" i="6"/>
  <c r="S141" i="6"/>
  <c r="X141" i="6" s="1"/>
  <c r="W9" i="7"/>
  <c r="S9" i="7"/>
  <c r="W8" i="6"/>
  <c r="S8" i="6"/>
  <c r="W685" i="7"/>
  <c r="R8" i="9"/>
  <c r="V8" i="9" s="1"/>
  <c r="U8" i="9"/>
  <c r="S8" i="9"/>
  <c r="X8" i="9"/>
  <c r="T8" i="9"/>
  <c r="P11" i="8" l="1"/>
  <c r="P707" i="7"/>
  <c r="P686" i="7"/>
  <c r="P601" i="7"/>
  <c r="P296" i="7"/>
  <c r="P261" i="7"/>
  <c r="P11" i="7"/>
  <c r="P166" i="6"/>
  <c r="P143" i="6"/>
  <c r="P11" i="6"/>
  <c r="Q9" i="9"/>
  <c r="X8" i="6"/>
  <c r="X290" i="7"/>
  <c r="X160" i="6"/>
  <c r="X7" i="7"/>
  <c r="X138" i="6"/>
  <c r="X162" i="6"/>
  <c r="Q601" i="7"/>
  <c r="X596" i="7"/>
  <c r="X137" i="6"/>
  <c r="S6" i="8"/>
  <c r="X6" i="8" s="1"/>
  <c r="X8" i="7"/>
  <c r="Y8" i="9"/>
  <c r="S706" i="7"/>
  <c r="X706" i="7" s="1"/>
  <c r="X295" i="7"/>
  <c r="Y4" i="9"/>
  <c r="X8" i="8"/>
  <c r="W295" i="7"/>
  <c r="Q166" i="6"/>
  <c r="X5" i="7"/>
  <c r="X254" i="7"/>
  <c r="S165" i="6"/>
  <c r="X165" i="6" s="1"/>
  <c r="X260" i="7"/>
  <c r="Q296" i="7"/>
  <c r="X4" i="7"/>
  <c r="X683" i="7"/>
  <c r="Q11" i="6"/>
  <c r="X142" i="6"/>
  <c r="X4" i="8"/>
  <c r="X257" i="7"/>
  <c r="X594" i="7"/>
  <c r="Q11" i="7"/>
  <c r="X9" i="7"/>
  <c r="X291" i="7"/>
  <c r="X701" i="7"/>
  <c r="S685" i="7"/>
  <c r="R600" i="7"/>
  <c r="Q143" i="6"/>
  <c r="R143" i="6" s="1"/>
  <c r="S143" i="6" s="1"/>
  <c r="Q686" i="7"/>
  <c r="R686" i="7" s="1"/>
  <c r="X159" i="6"/>
  <c r="X7" i="6"/>
  <c r="X289" i="7"/>
  <c r="Q707" i="7"/>
  <c r="R707" i="7" s="1"/>
  <c r="W707" i="7" s="1"/>
  <c r="Q261" i="7"/>
  <c r="R261" i="7" s="1"/>
  <c r="X4" i="6"/>
  <c r="X703" i="7"/>
  <c r="X140" i="6"/>
  <c r="R11" i="6"/>
  <c r="Y6" i="9"/>
  <c r="X255" i="7"/>
  <c r="R10" i="7"/>
  <c r="R11" i="7"/>
  <c r="S707" i="7"/>
  <c r="X258" i="7"/>
  <c r="Y7" i="9"/>
  <c r="S7" i="8"/>
  <c r="X7" i="8" s="1"/>
  <c r="R601" i="7"/>
  <c r="W601" i="7" s="1"/>
  <c r="X685" i="7"/>
  <c r="X5" i="6"/>
  <c r="Y5" i="9"/>
  <c r="W10" i="8"/>
  <c r="Q11" i="8"/>
  <c r="R11" i="8" s="1"/>
  <c r="W143" i="6"/>
  <c r="X9" i="8"/>
  <c r="R10" i="6"/>
  <c r="S601" i="7"/>
  <c r="W261" i="7"/>
  <c r="S600" i="7"/>
  <c r="X600" i="7" s="1"/>
  <c r="W600" i="7"/>
  <c r="W686" i="7"/>
  <c r="W11" i="6"/>
  <c r="S11" i="6"/>
  <c r="X11" i="6" s="1"/>
  <c r="W10" i="7"/>
  <c r="S10" i="7"/>
  <c r="W11" i="7"/>
  <c r="S11" i="7"/>
  <c r="X11" i="7" s="1"/>
  <c r="S11" i="8"/>
  <c r="W11" i="8"/>
  <c r="S10" i="6"/>
  <c r="W10" i="6"/>
  <c r="R9" i="9"/>
  <c r="V9" i="9" s="1"/>
  <c r="U9" i="9"/>
  <c r="S9" i="9"/>
  <c r="X9" i="9"/>
  <c r="T9" i="9"/>
  <c r="Y9" i="9" s="1"/>
  <c r="P12" i="8" l="1"/>
  <c r="P708" i="7"/>
  <c r="P687" i="7"/>
  <c r="P602" i="7"/>
  <c r="P297" i="7"/>
  <c r="P262" i="7"/>
  <c r="P12" i="7"/>
  <c r="P167" i="6"/>
  <c r="P144" i="6"/>
  <c r="P12" i="6"/>
  <c r="Q10" i="9"/>
  <c r="X10" i="6"/>
  <c r="Q12" i="6"/>
  <c r="Q12" i="8"/>
  <c r="Q602" i="7"/>
  <c r="S261" i="7"/>
  <c r="X261" i="7" s="1"/>
  <c r="Q687" i="7"/>
  <c r="Q708" i="7"/>
  <c r="R12" i="6"/>
  <c r="S12" i="6" s="1"/>
  <c r="X12" i="6"/>
  <c r="R296" i="7"/>
  <c r="X143" i="6"/>
  <c r="Q297" i="7"/>
  <c r="X11" i="8"/>
  <c r="Q12" i="7"/>
  <c r="R12" i="7" s="1"/>
  <c r="S12" i="7"/>
  <c r="X10" i="7"/>
  <c r="X707" i="7"/>
  <c r="R687" i="7"/>
  <c r="Q144" i="6"/>
  <c r="R144" i="6" s="1"/>
  <c r="W12" i="6"/>
  <c r="S686" i="7"/>
  <c r="X686" i="7"/>
  <c r="Q262" i="7"/>
  <c r="R262" i="7" s="1"/>
  <c r="X12" i="7"/>
  <c r="W12" i="7"/>
  <c r="R708" i="7"/>
  <c r="R12" i="8"/>
  <c r="W12" i="8" s="1"/>
  <c r="Q167" i="6"/>
  <c r="R166" i="6"/>
  <c r="R602" i="7"/>
  <c r="X601" i="7"/>
  <c r="S12" i="8"/>
  <c r="S296" i="7"/>
  <c r="X296" i="7" s="1"/>
  <c r="W296" i="7"/>
  <c r="W687" i="7"/>
  <c r="S144" i="6"/>
  <c r="W144" i="6"/>
  <c r="W262" i="7"/>
  <c r="S708" i="7"/>
  <c r="W708" i="7"/>
  <c r="S166" i="6"/>
  <c r="X166" i="6" s="1"/>
  <c r="W602" i="7"/>
  <c r="S602" i="7"/>
  <c r="R10" i="9"/>
  <c r="V10" i="9" s="1"/>
  <c r="U10" i="9"/>
  <c r="S10" i="9"/>
  <c r="T10" i="9"/>
  <c r="Y10" i="9" s="1"/>
  <c r="X10" i="9"/>
  <c r="P13" i="8" l="1"/>
  <c r="P709" i="7"/>
  <c r="P688" i="7"/>
  <c r="P603" i="7"/>
  <c r="P298" i="7"/>
  <c r="P263" i="7"/>
  <c r="P13" i="7"/>
  <c r="P168" i="6"/>
  <c r="P145" i="6"/>
  <c r="P13" i="6"/>
  <c r="Q11" i="9"/>
  <c r="Q13" i="7"/>
  <c r="X12" i="8"/>
  <c r="Q603" i="7"/>
  <c r="X708" i="7"/>
  <c r="W166" i="6"/>
  <c r="Q145" i="6"/>
  <c r="R145" i="6" s="1"/>
  <c r="Q688" i="7"/>
  <c r="R688" i="7" s="1"/>
  <c r="R167" i="6"/>
  <c r="Q709" i="7"/>
  <c r="Q263" i="7"/>
  <c r="R263" i="7" s="1"/>
  <c r="S145" i="6"/>
  <c r="S262" i="7"/>
  <c r="S687" i="7"/>
  <c r="X687" i="7" s="1"/>
  <c r="R709" i="7"/>
  <c r="W709" i="7" s="1"/>
  <c r="R13" i="7"/>
  <c r="S709" i="7"/>
  <c r="Q168" i="6"/>
  <c r="R297" i="7"/>
  <c r="X144" i="6"/>
  <c r="R603" i="7"/>
  <c r="X602" i="7"/>
  <c r="Q298" i="7"/>
  <c r="Q13" i="6"/>
  <c r="R13" i="6" s="1"/>
  <c r="Q13" i="8"/>
  <c r="R13" i="8" s="1"/>
  <c r="X262" i="7"/>
  <c r="W145" i="6"/>
  <c r="W688" i="7"/>
  <c r="S167" i="6"/>
  <c r="X167" i="6" s="1"/>
  <c r="W263" i="7"/>
  <c r="W13" i="7"/>
  <c r="S13" i="7"/>
  <c r="X13" i="7" s="1"/>
  <c r="W297" i="7"/>
  <c r="S297" i="7"/>
  <c r="X297" i="7" s="1"/>
  <c r="W603" i="7"/>
  <c r="S603" i="7"/>
  <c r="S13" i="6"/>
  <c r="X13" i="6" s="1"/>
  <c r="W13" i="6"/>
  <c r="S13" i="8"/>
  <c r="W13" i="8"/>
  <c r="R11" i="9"/>
  <c r="V11" i="9" s="1"/>
  <c r="U11" i="9"/>
  <c r="S11" i="9"/>
  <c r="X11" i="9"/>
  <c r="T11" i="9"/>
  <c r="Y11" i="9" s="1"/>
  <c r="P14" i="8" l="1"/>
  <c r="P710" i="7"/>
  <c r="P689" i="7"/>
  <c r="P604" i="7"/>
  <c r="P299" i="7"/>
  <c r="P264" i="7"/>
  <c r="P14" i="7"/>
  <c r="P169" i="6"/>
  <c r="P146" i="6"/>
  <c r="P14" i="6"/>
  <c r="Q12" i="9"/>
  <c r="X13" i="8"/>
  <c r="Q14" i="7"/>
  <c r="Q146" i="6"/>
  <c r="R146" i="6" s="1"/>
  <c r="R168" i="6"/>
  <c r="Q710" i="7"/>
  <c r="Q264" i="7"/>
  <c r="S146" i="6"/>
  <c r="S263" i="7"/>
  <c r="W167" i="6"/>
  <c r="R14" i="7"/>
  <c r="S14" i="7" s="1"/>
  <c r="X145" i="6"/>
  <c r="Q299" i="7"/>
  <c r="Q14" i="8"/>
  <c r="W146" i="6"/>
  <c r="Q604" i="7"/>
  <c r="X709" i="7"/>
  <c r="R264" i="7"/>
  <c r="R298" i="7"/>
  <c r="Q689" i="7"/>
  <c r="R689" i="7" s="1"/>
  <c r="X14" i="7"/>
  <c r="W14" i="7"/>
  <c r="R710" i="7"/>
  <c r="R14" i="8"/>
  <c r="W14" i="8" s="1"/>
  <c r="Q169" i="6"/>
  <c r="S688" i="7"/>
  <c r="X688" i="7" s="1"/>
  <c r="R604" i="7"/>
  <c r="X603" i="7"/>
  <c r="S14" i="8"/>
  <c r="Q14" i="6"/>
  <c r="R14" i="6" s="1"/>
  <c r="X263" i="7"/>
  <c r="W689" i="7"/>
  <c r="S168" i="6"/>
  <c r="X168" i="6" s="1"/>
  <c r="W264" i="7"/>
  <c r="W298" i="7"/>
  <c r="S298" i="7"/>
  <c r="X298" i="7" s="1"/>
  <c r="W710" i="7"/>
  <c r="S710" i="7"/>
  <c r="W604" i="7"/>
  <c r="S604" i="7"/>
  <c r="S14" i="6"/>
  <c r="X14" i="6"/>
  <c r="W14" i="6"/>
  <c r="R12" i="9"/>
  <c r="V12" i="9" s="1"/>
  <c r="U12" i="9"/>
  <c r="S12" i="9"/>
  <c r="X12" i="9"/>
  <c r="T12" i="9"/>
  <c r="Y12" i="9" s="1"/>
  <c r="P15" i="8" l="1"/>
  <c r="P711" i="7"/>
  <c r="P690" i="7"/>
  <c r="P605" i="7"/>
  <c r="P300" i="7"/>
  <c r="P265" i="7"/>
  <c r="P15" i="7"/>
  <c r="P170" i="6"/>
  <c r="P147" i="6"/>
  <c r="P15" i="6"/>
  <c r="Q13" i="9"/>
  <c r="X14" i="8"/>
  <c r="Q15" i="7"/>
  <c r="Q690" i="7"/>
  <c r="Q711" i="7"/>
  <c r="Q265" i="7"/>
  <c r="R299" i="7"/>
  <c r="R711" i="7"/>
  <c r="W711" i="7" s="1"/>
  <c r="Q170" i="6"/>
  <c r="X146" i="6"/>
  <c r="X604" i="7"/>
  <c r="Q15" i="6"/>
  <c r="R169" i="6"/>
  <c r="Q605" i="7"/>
  <c r="R605" i="7" s="1"/>
  <c r="X710" i="7"/>
  <c r="R265" i="7"/>
  <c r="R690" i="7"/>
  <c r="S689" i="7"/>
  <c r="Q147" i="6"/>
  <c r="R147" i="6" s="1"/>
  <c r="S264" i="7"/>
  <c r="X264" i="7" s="1"/>
  <c r="X689" i="7"/>
  <c r="S147" i="6"/>
  <c r="R15" i="6"/>
  <c r="R15" i="7"/>
  <c r="S711" i="7"/>
  <c r="W168" i="6"/>
  <c r="Q300" i="7"/>
  <c r="Q15" i="8"/>
  <c r="R15" i="8" s="1"/>
  <c r="W147" i="6"/>
  <c r="W299" i="7"/>
  <c r="S299" i="7"/>
  <c r="X299" i="7" s="1"/>
  <c r="S169" i="6"/>
  <c r="X169" i="6" s="1"/>
  <c r="W605" i="7"/>
  <c r="S605" i="7"/>
  <c r="W265" i="7"/>
  <c r="W690" i="7"/>
  <c r="S15" i="6"/>
  <c r="X15" i="6" s="1"/>
  <c r="W15" i="6"/>
  <c r="W15" i="7"/>
  <c r="S15" i="7"/>
  <c r="X15" i="7" s="1"/>
  <c r="W15" i="8"/>
  <c r="S15" i="8"/>
  <c r="R13" i="9"/>
  <c r="V13" i="9" s="1"/>
  <c r="U13" i="9"/>
  <c r="S13" i="9"/>
  <c r="X13" i="9"/>
  <c r="T13" i="9"/>
  <c r="Y13" i="9" s="1"/>
  <c r="P16" i="8" l="1"/>
  <c r="P712" i="7"/>
  <c r="P691" i="7"/>
  <c r="P606" i="7"/>
  <c r="P301" i="7"/>
  <c r="P266" i="7"/>
  <c r="P16" i="7"/>
  <c r="P171" i="6"/>
  <c r="P148" i="6"/>
  <c r="P16" i="6"/>
  <c r="Q14" i="9"/>
  <c r="X15" i="8"/>
  <c r="Q16" i="7"/>
  <c r="R300" i="7"/>
  <c r="Q691" i="7"/>
  <c r="Q266" i="7"/>
  <c r="S265" i="7"/>
  <c r="R16" i="7"/>
  <c r="X147" i="6"/>
  <c r="Q301" i="7"/>
  <c r="Q16" i="6"/>
  <c r="R16" i="6" s="1"/>
  <c r="X265" i="7"/>
  <c r="Q606" i="7"/>
  <c r="X711" i="7"/>
  <c r="R266" i="7"/>
  <c r="R691" i="7"/>
  <c r="Q148" i="6"/>
  <c r="R148" i="6" s="1"/>
  <c r="S148" i="6" s="1"/>
  <c r="W16" i="6"/>
  <c r="S690" i="7"/>
  <c r="X690" i="7" s="1"/>
  <c r="Q712" i="7"/>
  <c r="R712" i="7" s="1"/>
  <c r="S16" i="6"/>
  <c r="X16" i="6" s="1"/>
  <c r="W169" i="6"/>
  <c r="Q171" i="6"/>
  <c r="R170" i="6"/>
  <c r="R606" i="7"/>
  <c r="X605" i="7"/>
  <c r="Q16" i="8"/>
  <c r="R16" i="8" s="1"/>
  <c r="W148" i="6"/>
  <c r="W300" i="7"/>
  <c r="S300" i="7"/>
  <c r="X300" i="7" s="1"/>
  <c r="W16" i="7"/>
  <c r="S16" i="7"/>
  <c r="X16" i="7" s="1"/>
  <c r="W266" i="7"/>
  <c r="W691" i="7"/>
  <c r="S712" i="7"/>
  <c r="W712" i="7"/>
  <c r="S170" i="6"/>
  <c r="X170" i="6" s="1"/>
  <c r="W606" i="7"/>
  <c r="S606" i="7"/>
  <c r="S16" i="8"/>
  <c r="W16" i="8"/>
  <c r="R14" i="9"/>
  <c r="V14" i="9" s="1"/>
  <c r="U14" i="9"/>
  <c r="S14" i="9"/>
  <c r="T14" i="9"/>
  <c r="Y14" i="9" s="1"/>
  <c r="X14" i="9"/>
  <c r="P17" i="8" l="1"/>
  <c r="P713" i="7"/>
  <c r="P692" i="7"/>
  <c r="P607" i="7"/>
  <c r="P302" i="7"/>
  <c r="P267" i="7"/>
  <c r="P17" i="7"/>
  <c r="P172" i="6"/>
  <c r="P149" i="6"/>
  <c r="P17" i="6"/>
  <c r="Q15" i="9"/>
  <c r="X16" i="8"/>
  <c r="Q17" i="7"/>
  <c r="Q17" i="8"/>
  <c r="R17" i="8" s="1"/>
  <c r="Q607" i="7"/>
  <c r="X712" i="7"/>
  <c r="Q172" i="6"/>
  <c r="Q302" i="7"/>
  <c r="W170" i="6"/>
  <c r="Q149" i="6"/>
  <c r="R149" i="6" s="1"/>
  <c r="Q692" i="7"/>
  <c r="R692" i="7" s="1"/>
  <c r="X148" i="6"/>
  <c r="X606" i="7"/>
  <c r="R171" i="6"/>
  <c r="Q713" i="7"/>
  <c r="R713" i="7" s="1"/>
  <c r="Q267" i="7"/>
  <c r="R267" i="7" s="1"/>
  <c r="S149" i="6"/>
  <c r="S691" i="7"/>
  <c r="X691" i="7" s="1"/>
  <c r="S266" i="7"/>
  <c r="X266" i="7" s="1"/>
  <c r="R17" i="7"/>
  <c r="R301" i="7"/>
  <c r="R607" i="7"/>
  <c r="Q17" i="6"/>
  <c r="R17" i="6" s="1"/>
  <c r="W692" i="7"/>
  <c r="W149" i="6"/>
  <c r="S17" i="8"/>
  <c r="W17" i="8"/>
  <c r="S171" i="6"/>
  <c r="X171" i="6" s="1"/>
  <c r="S713" i="7"/>
  <c r="W713" i="7"/>
  <c r="W267" i="7"/>
  <c r="W17" i="7"/>
  <c r="S17" i="7"/>
  <c r="X17" i="7" s="1"/>
  <c r="W301" i="7"/>
  <c r="S301" i="7"/>
  <c r="X301" i="7" s="1"/>
  <c r="W607" i="7"/>
  <c r="S607" i="7"/>
  <c r="S17" i="6"/>
  <c r="X17" i="6"/>
  <c r="W17" i="6"/>
  <c r="R15" i="9"/>
  <c r="V15" i="9" s="1"/>
  <c r="U15" i="9"/>
  <c r="S15" i="9"/>
  <c r="X15" i="9"/>
  <c r="T15" i="9"/>
  <c r="Y15" i="9" s="1"/>
  <c r="P18" i="8" l="1"/>
  <c r="P714" i="7"/>
  <c r="P693" i="7"/>
  <c r="P608" i="7"/>
  <c r="P303" i="7"/>
  <c r="P268" i="7"/>
  <c r="P18" i="7"/>
  <c r="P173" i="6"/>
  <c r="P150" i="6"/>
  <c r="P18" i="6"/>
  <c r="Q16" i="9"/>
  <c r="Q18" i="7"/>
  <c r="Q693" i="7"/>
  <c r="W171" i="6"/>
  <c r="Q173" i="6"/>
  <c r="R172" i="6"/>
  <c r="X607" i="7"/>
  <c r="Q18" i="6"/>
  <c r="X17" i="8"/>
  <c r="Q608" i="7"/>
  <c r="R608" i="7" s="1"/>
  <c r="X713" i="7"/>
  <c r="R693" i="7"/>
  <c r="S267" i="7"/>
  <c r="X267" i="7" s="1"/>
  <c r="Q150" i="6"/>
  <c r="R150" i="6" s="1"/>
  <c r="Q714" i="7"/>
  <c r="R714" i="7" s="1"/>
  <c r="W714" i="7" s="1"/>
  <c r="Q268" i="7"/>
  <c r="R268" i="7" s="1"/>
  <c r="S150" i="6"/>
  <c r="S692" i="7"/>
  <c r="X692" i="7" s="1"/>
  <c r="R18" i="6"/>
  <c r="R302" i="7"/>
  <c r="R18" i="7"/>
  <c r="S714" i="7"/>
  <c r="X149" i="6"/>
  <c r="Q303" i="7"/>
  <c r="Q18" i="8"/>
  <c r="R18" i="8" s="1"/>
  <c r="W150" i="6"/>
  <c r="W693" i="7"/>
  <c r="S172" i="6"/>
  <c r="X172" i="6" s="1"/>
  <c r="W608" i="7"/>
  <c r="S608" i="7"/>
  <c r="W268" i="7"/>
  <c r="W18" i="6"/>
  <c r="S18" i="6"/>
  <c r="X18" i="6" s="1"/>
  <c r="W302" i="7"/>
  <c r="S302" i="7"/>
  <c r="X302" i="7" s="1"/>
  <c r="W18" i="7"/>
  <c r="S18" i="7"/>
  <c r="X18" i="7" s="1"/>
  <c r="W18" i="8"/>
  <c r="S18" i="8"/>
  <c r="R16" i="9"/>
  <c r="V16" i="9" s="1"/>
  <c r="U16" i="9"/>
  <c r="S16" i="9"/>
  <c r="X16" i="9"/>
  <c r="T16" i="9"/>
  <c r="Y16" i="9" s="1"/>
  <c r="P19" i="8" l="1"/>
  <c r="P715" i="7"/>
  <c r="P694" i="7"/>
  <c r="P609" i="7"/>
  <c r="P304" i="7"/>
  <c r="P269" i="7"/>
  <c r="P19" i="7"/>
  <c r="P174" i="6"/>
  <c r="P151" i="6"/>
  <c r="P19" i="6"/>
  <c r="Q17" i="9"/>
  <c r="X18" i="8"/>
  <c r="Q19" i="7"/>
  <c r="Q715" i="7"/>
  <c r="S693" i="7"/>
  <c r="Q304" i="7"/>
  <c r="Q19" i="8"/>
  <c r="R19" i="8" s="1"/>
  <c r="W19" i="8" s="1"/>
  <c r="Q609" i="7"/>
  <c r="R609" i="7" s="1"/>
  <c r="X714" i="7"/>
  <c r="S268" i="7"/>
  <c r="X693" i="7"/>
  <c r="W172" i="6"/>
  <c r="R173" i="6"/>
  <c r="Q19" i="6"/>
  <c r="R303" i="7"/>
  <c r="Q151" i="6"/>
  <c r="R151" i="6" s="1"/>
  <c r="S151" i="6" s="1"/>
  <c r="Q694" i="7"/>
  <c r="R694" i="7" s="1"/>
  <c r="Q269" i="7"/>
  <c r="R269" i="7" s="1"/>
  <c r="R19" i="6"/>
  <c r="R715" i="7"/>
  <c r="R19" i="7"/>
  <c r="Q174" i="6"/>
  <c r="X150" i="6"/>
  <c r="X608" i="7"/>
  <c r="S19" i="8"/>
  <c r="X268" i="7"/>
  <c r="W151" i="6"/>
  <c r="W609" i="7"/>
  <c r="S609" i="7"/>
  <c r="S173" i="6"/>
  <c r="X173" i="6" s="1"/>
  <c r="W303" i="7"/>
  <c r="S303" i="7"/>
  <c r="X303" i="7" s="1"/>
  <c r="W694" i="7"/>
  <c r="W269" i="7"/>
  <c r="S19" i="6"/>
  <c r="X19" i="6" s="1"/>
  <c r="W19" i="6"/>
  <c r="W715" i="7"/>
  <c r="S715" i="7"/>
  <c r="W19" i="7"/>
  <c r="S19" i="7"/>
  <c r="X19" i="7" s="1"/>
  <c r="R17" i="9"/>
  <c r="V17" i="9" s="1"/>
  <c r="U17" i="9"/>
  <c r="S17" i="9"/>
  <c r="X17" i="9"/>
  <c r="T17" i="9"/>
  <c r="Y17" i="9" s="1"/>
  <c r="P20" i="8" l="1"/>
  <c r="P716" i="7"/>
  <c r="P695" i="7"/>
  <c r="P610" i="7"/>
  <c r="P305" i="7"/>
  <c r="P270" i="7"/>
  <c r="P20" i="7"/>
  <c r="P175" i="6"/>
  <c r="P152" i="6"/>
  <c r="P20" i="6"/>
  <c r="Q18" i="9"/>
  <c r="Q20" i="7"/>
  <c r="X19" i="8"/>
  <c r="Q610" i="7"/>
  <c r="X715" i="7"/>
  <c r="R174" i="6"/>
  <c r="Q152" i="6"/>
  <c r="R152" i="6" s="1"/>
  <c r="Q695" i="7"/>
  <c r="R695" i="7" s="1"/>
  <c r="S269" i="7"/>
  <c r="Q716" i="7"/>
  <c r="Q270" i="7"/>
  <c r="R270" i="7" s="1"/>
  <c r="S152" i="6"/>
  <c r="S694" i="7"/>
  <c r="X694" i="7" s="1"/>
  <c r="W173" i="6"/>
  <c r="R716" i="7"/>
  <c r="W716" i="7" s="1"/>
  <c r="R20" i="7"/>
  <c r="S716" i="7"/>
  <c r="Q175" i="6"/>
  <c r="R304" i="7"/>
  <c r="X151" i="6"/>
  <c r="R610" i="7"/>
  <c r="X609" i="7"/>
  <c r="Q305" i="7"/>
  <c r="Q20" i="6"/>
  <c r="R20" i="6" s="1"/>
  <c r="Q20" i="8"/>
  <c r="R20" i="8" s="1"/>
  <c r="X269" i="7"/>
  <c r="W152" i="6"/>
  <c r="W695" i="7"/>
  <c r="S174" i="6"/>
  <c r="X174" i="6" s="1"/>
  <c r="W270" i="7"/>
  <c r="W20" i="7"/>
  <c r="S20" i="7"/>
  <c r="X20" i="7" s="1"/>
  <c r="W304" i="7"/>
  <c r="S304" i="7"/>
  <c r="X304" i="7" s="1"/>
  <c r="W610" i="7"/>
  <c r="S610" i="7"/>
  <c r="S20" i="6"/>
  <c r="X20" i="6" s="1"/>
  <c r="W20" i="6"/>
  <c r="S20" i="8"/>
  <c r="W20" i="8"/>
  <c r="R18" i="9"/>
  <c r="V18" i="9" s="1"/>
  <c r="U18" i="9"/>
  <c r="S18" i="9"/>
  <c r="T18" i="9"/>
  <c r="Y18" i="9" s="1"/>
  <c r="X18" i="9"/>
  <c r="P21" i="8" l="1"/>
  <c r="P717" i="7"/>
  <c r="P696" i="7"/>
  <c r="P611" i="7"/>
  <c r="P306" i="7"/>
  <c r="P271" i="7"/>
  <c r="P21" i="7"/>
  <c r="P176" i="6"/>
  <c r="P153" i="6"/>
  <c r="P21" i="6"/>
  <c r="Q19" i="9"/>
  <c r="X20" i="8"/>
  <c r="Q21" i="7"/>
  <c r="R305" i="7"/>
  <c r="Q696" i="7"/>
  <c r="Q717" i="7"/>
  <c r="Q271" i="7"/>
  <c r="S270" i="7"/>
  <c r="R717" i="7"/>
  <c r="W717" i="7" s="1"/>
  <c r="Q176" i="6"/>
  <c r="W174" i="6"/>
  <c r="X610" i="7"/>
  <c r="Q21" i="6"/>
  <c r="R21" i="6" s="1"/>
  <c r="X270" i="7"/>
  <c r="Q611" i="7"/>
  <c r="R611" i="7" s="1"/>
  <c r="S611" i="7" s="1"/>
  <c r="X716" i="7"/>
  <c r="R271" i="7"/>
  <c r="R696" i="7"/>
  <c r="Q153" i="6"/>
  <c r="R153" i="6" s="1"/>
  <c r="S153" i="6" s="1"/>
  <c r="W21" i="6"/>
  <c r="R175" i="6"/>
  <c r="S21" i="6"/>
  <c r="X21" i="6" s="1"/>
  <c r="W611" i="7"/>
  <c r="S695" i="7"/>
  <c r="X695" i="7" s="1"/>
  <c r="R21" i="7"/>
  <c r="S717" i="7"/>
  <c r="X152" i="6"/>
  <c r="Q306" i="7"/>
  <c r="Q21" i="8"/>
  <c r="R21" i="8" s="1"/>
  <c r="W153" i="6"/>
  <c r="W305" i="7"/>
  <c r="S305" i="7"/>
  <c r="X305" i="7" s="1"/>
  <c r="W271" i="7"/>
  <c r="W696" i="7"/>
  <c r="S175" i="6"/>
  <c r="X175" i="6" s="1"/>
  <c r="W21" i="7"/>
  <c r="S21" i="7"/>
  <c r="X21" i="7" s="1"/>
  <c r="W21" i="8"/>
  <c r="S21" i="8"/>
  <c r="R19" i="9"/>
  <c r="V19" i="9" s="1"/>
  <c r="U19" i="9"/>
  <c r="S19" i="9"/>
  <c r="X19" i="9"/>
  <c r="T19" i="9"/>
  <c r="Y19" i="9" s="1"/>
  <c r="P22" i="8" l="1"/>
  <c r="P718" i="7"/>
  <c r="P697" i="7"/>
  <c r="P612" i="7"/>
  <c r="P307" i="7"/>
  <c r="P272" i="7"/>
  <c r="P22" i="7"/>
  <c r="P177" i="6"/>
  <c r="P154" i="6"/>
  <c r="P22" i="6"/>
  <c r="Q20" i="9"/>
  <c r="X21" i="8"/>
  <c r="Q22" i="7"/>
  <c r="Q612" i="7"/>
  <c r="X717" i="7"/>
  <c r="R306" i="7"/>
  <c r="Q154" i="6"/>
  <c r="R154" i="6" s="1"/>
  <c r="Q697" i="7"/>
  <c r="R697" i="7" s="1"/>
  <c r="W175" i="6"/>
  <c r="Q718" i="7"/>
  <c r="Q272" i="7"/>
  <c r="R272" i="7" s="1"/>
  <c r="S154" i="6"/>
  <c r="S696" i="7"/>
  <c r="X696" i="7" s="1"/>
  <c r="S271" i="7"/>
  <c r="R718" i="7"/>
  <c r="W718" i="7" s="1"/>
  <c r="R22" i="7"/>
  <c r="Q177" i="6"/>
  <c r="R176" i="6"/>
  <c r="X153" i="6"/>
  <c r="R612" i="7"/>
  <c r="Q307" i="7"/>
  <c r="Q22" i="6"/>
  <c r="R22" i="6" s="1"/>
  <c r="Q22" i="8"/>
  <c r="R22" i="8" s="1"/>
  <c r="W22" i="8" s="1"/>
  <c r="W154" i="6"/>
  <c r="S718" i="7"/>
  <c r="X611" i="7"/>
  <c r="S22" i="8"/>
  <c r="X271" i="7"/>
  <c r="W697" i="7"/>
  <c r="W306" i="7"/>
  <c r="S306" i="7"/>
  <c r="X306" i="7" s="1"/>
  <c r="W272" i="7"/>
  <c r="W22" i="7"/>
  <c r="S22" i="7"/>
  <c r="X22" i="7" s="1"/>
  <c r="S176" i="6"/>
  <c r="X176" i="6" s="1"/>
  <c r="W612" i="7"/>
  <c r="S612" i="7"/>
  <c r="S22" i="6"/>
  <c r="X22" i="6" s="1"/>
  <c r="W22" i="6"/>
  <c r="R20" i="9"/>
  <c r="V20" i="9" s="1"/>
  <c r="U20" i="9"/>
  <c r="S20" i="9"/>
  <c r="X20" i="9"/>
  <c r="T20" i="9"/>
  <c r="Y20" i="9" s="1"/>
  <c r="P23" i="8" l="1"/>
  <c r="P719" i="7"/>
  <c r="P698" i="7"/>
  <c r="P613" i="7"/>
  <c r="P308" i="7"/>
  <c r="P273" i="7"/>
  <c r="P23" i="7"/>
  <c r="P178" i="6"/>
  <c r="P155" i="6"/>
  <c r="P23" i="6"/>
  <c r="Q21" i="9"/>
  <c r="X22" i="8"/>
  <c r="Q23" i="7"/>
  <c r="Q613" i="7"/>
  <c r="X718" i="7"/>
  <c r="R307" i="7"/>
  <c r="Q155" i="6"/>
  <c r="R155" i="6" s="1"/>
  <c r="Q698" i="7"/>
  <c r="R698" i="7" s="1"/>
  <c r="W176" i="6"/>
  <c r="Q719" i="7"/>
  <c r="Q273" i="7"/>
  <c r="R273" i="7" s="1"/>
  <c r="S155" i="6"/>
  <c r="R177" i="6"/>
  <c r="S272" i="7"/>
  <c r="R719" i="7"/>
  <c r="W719" i="7" s="1"/>
  <c r="R23" i="7"/>
  <c r="S719" i="7"/>
  <c r="X154" i="6"/>
  <c r="R613" i="7"/>
  <c r="Q308" i="7"/>
  <c r="Q23" i="8"/>
  <c r="R23" i="8" s="1"/>
  <c r="W23" i="8" s="1"/>
  <c r="W698" i="7"/>
  <c r="Q178" i="6"/>
  <c r="Q23" i="6"/>
  <c r="R23" i="6" s="1"/>
  <c r="S697" i="7"/>
  <c r="X697" i="7" s="1"/>
  <c r="X612" i="7"/>
  <c r="S23" i="8"/>
  <c r="X272" i="7"/>
  <c r="W155" i="6"/>
  <c r="W307" i="7"/>
  <c r="S307" i="7"/>
  <c r="X307" i="7" s="1"/>
  <c r="W273" i="7"/>
  <c r="S177" i="6"/>
  <c r="X177" i="6" s="1"/>
  <c r="W23" i="7"/>
  <c r="S23" i="7"/>
  <c r="X23" i="7" s="1"/>
  <c r="W613" i="7"/>
  <c r="S613" i="7"/>
  <c r="S23" i="6"/>
  <c r="X23" i="6" s="1"/>
  <c r="W23" i="6"/>
  <c r="R21" i="9"/>
  <c r="V21" i="9" s="1"/>
  <c r="U21" i="9"/>
  <c r="S21" i="9"/>
  <c r="X21" i="9"/>
  <c r="T21" i="9"/>
  <c r="Y21" i="9" s="1"/>
  <c r="P24" i="8" l="1"/>
  <c r="P720" i="7"/>
  <c r="P699" i="7"/>
  <c r="P614" i="7"/>
  <c r="P309" i="7"/>
  <c r="P274" i="7"/>
  <c r="P24" i="7"/>
  <c r="P179" i="6"/>
  <c r="P156" i="6"/>
  <c r="P24" i="6"/>
  <c r="Q22" i="9"/>
  <c r="X23" i="8"/>
  <c r="X155" i="6"/>
  <c r="Q699" i="7"/>
  <c r="R699" i="7" s="1"/>
  <c r="R178" i="6"/>
  <c r="Q24" i="6"/>
  <c r="R308" i="7"/>
  <c r="Q24" i="7"/>
  <c r="R24" i="7" s="1"/>
  <c r="W24" i="7"/>
  <c r="W177" i="6"/>
  <c r="Q156" i="6"/>
  <c r="Q614" i="7"/>
  <c r="R614" i="7" s="1"/>
  <c r="X719" i="7"/>
  <c r="W699" i="7"/>
  <c r="S24" i="7"/>
  <c r="S273" i="7"/>
  <c r="X273" i="7"/>
  <c r="Q24" i="8"/>
  <c r="R24" i="8" s="1"/>
  <c r="Q274" i="7"/>
  <c r="Q179" i="6"/>
  <c r="W24" i="8"/>
  <c r="S698" i="7"/>
  <c r="X613" i="7"/>
  <c r="X698" i="7"/>
  <c r="W614" i="7"/>
  <c r="Q720" i="7"/>
  <c r="S24" i="8"/>
  <c r="Q309" i="7"/>
  <c r="R24" i="6"/>
  <c r="R156" i="6"/>
  <c r="S178" i="6"/>
  <c r="X178" i="6" s="1"/>
  <c r="W308" i="7"/>
  <c r="S308" i="7"/>
  <c r="X308" i="7" s="1"/>
  <c r="S24" i="6"/>
  <c r="W24" i="6"/>
  <c r="W156" i="6"/>
  <c r="S156" i="6"/>
  <c r="R22" i="9"/>
  <c r="V22" i="9" s="1"/>
  <c r="U22" i="9"/>
  <c r="S22" i="9"/>
  <c r="X22" i="9"/>
  <c r="T22" i="9"/>
  <c r="Y22" i="9" s="1"/>
  <c r="P25" i="8" l="1"/>
  <c r="P721" i="7"/>
  <c r="P615" i="7"/>
  <c r="P310" i="7"/>
  <c r="P275" i="7"/>
  <c r="P25" i="7"/>
  <c r="P180" i="6"/>
  <c r="P157" i="6"/>
  <c r="P25" i="6"/>
  <c r="P158" i="6"/>
  <c r="Q23" i="9"/>
  <c r="X24" i="6"/>
  <c r="W178" i="6"/>
  <c r="Q180" i="6"/>
  <c r="Q25" i="7"/>
  <c r="R720" i="7"/>
  <c r="R179" i="6"/>
  <c r="R25" i="7"/>
  <c r="R309" i="7"/>
  <c r="S699" i="7"/>
  <c r="X699" i="7" s="1"/>
  <c r="Q310" i="7"/>
  <c r="Q158" i="6"/>
  <c r="R158" i="6" s="1"/>
  <c r="Q615" i="7"/>
  <c r="R615" i="7" s="1"/>
  <c r="S158" i="6"/>
  <c r="Q721" i="7"/>
  <c r="R310" i="7"/>
  <c r="S310" i="7" s="1"/>
  <c r="Q275" i="7"/>
  <c r="X24" i="7"/>
  <c r="X156" i="6"/>
  <c r="S614" i="7"/>
  <c r="X614" i="7" s="1"/>
  <c r="Q157" i="6"/>
  <c r="X24" i="8"/>
  <c r="W158" i="6"/>
  <c r="W310" i="7"/>
  <c r="R275" i="7"/>
  <c r="R180" i="6"/>
  <c r="R157" i="6"/>
  <c r="R274" i="7"/>
  <c r="W25" i="7"/>
  <c r="Q25" i="8"/>
  <c r="R25" i="8" s="1"/>
  <c r="W615" i="7"/>
  <c r="Q25" i="6"/>
  <c r="R25" i="6" s="1"/>
  <c r="S25" i="7"/>
  <c r="W720" i="7"/>
  <c r="S720" i="7"/>
  <c r="X720" i="7" s="1"/>
  <c r="W179" i="6"/>
  <c r="S179" i="6"/>
  <c r="X179" i="6" s="1"/>
  <c r="S309" i="7"/>
  <c r="X309" i="7" s="1"/>
  <c r="W309" i="7"/>
  <c r="S275" i="7"/>
  <c r="W275" i="7"/>
  <c r="W180" i="6"/>
  <c r="S180" i="6"/>
  <c r="S157" i="6"/>
  <c r="W274" i="7"/>
  <c r="S274" i="7"/>
  <c r="X274" i="7" s="1"/>
  <c r="S25" i="8"/>
  <c r="W25" i="8"/>
  <c r="S25" i="6"/>
  <c r="X25" i="6"/>
  <c r="W25" i="6"/>
  <c r="R23" i="9"/>
  <c r="V23" i="9" s="1"/>
  <c r="U23" i="9"/>
  <c r="S23" i="9"/>
  <c r="X23" i="9"/>
  <c r="T23" i="9"/>
  <c r="Y23" i="9" s="1"/>
  <c r="P26" i="8" l="1"/>
  <c r="P722" i="7"/>
  <c r="P616" i="7"/>
  <c r="P311" i="7"/>
  <c r="P276" i="7"/>
  <c r="P26" i="7"/>
  <c r="P181" i="6"/>
  <c r="P26" i="6"/>
  <c r="Q24" i="9"/>
  <c r="X25" i="8"/>
  <c r="Q26" i="6"/>
  <c r="Q276" i="7"/>
  <c r="Q26" i="8"/>
  <c r="Q616" i="7"/>
  <c r="Q722" i="7"/>
  <c r="X157" i="6"/>
  <c r="R26" i="8"/>
  <c r="R26" i="6"/>
  <c r="R721" i="7"/>
  <c r="R616" i="7"/>
  <c r="X180" i="6"/>
  <c r="W26" i="6"/>
  <c r="X158" i="6"/>
  <c r="S26" i="6"/>
  <c r="X26" i="6" s="1"/>
  <c r="X25" i="7"/>
  <c r="X275" i="7"/>
  <c r="X310" i="7"/>
  <c r="W157" i="6"/>
  <c r="R722" i="7"/>
  <c r="S615" i="7"/>
  <c r="X615" i="7" s="1"/>
  <c r="Q26" i="7"/>
  <c r="R26" i="7" s="1"/>
  <c r="Q181" i="6"/>
  <c r="R181" i="6" s="1"/>
  <c r="Q311" i="7"/>
  <c r="R311" i="7" s="1"/>
  <c r="S26" i="8"/>
  <c r="W26" i="8"/>
  <c r="W721" i="7"/>
  <c r="S721" i="7"/>
  <c r="X721" i="7" s="1"/>
  <c r="W616" i="7"/>
  <c r="S722" i="7"/>
  <c r="W722" i="7"/>
  <c r="S26" i="7"/>
  <c r="X26" i="7"/>
  <c r="S181" i="6"/>
  <c r="W181" i="6"/>
  <c r="W311" i="7"/>
  <c r="R24" i="9"/>
  <c r="V24" i="9" s="1"/>
  <c r="U24" i="9"/>
  <c r="S24" i="9"/>
  <c r="X24" i="9"/>
  <c r="T24" i="9"/>
  <c r="Y24" i="9" s="1"/>
  <c r="P27" i="8" l="1"/>
  <c r="P617" i="7"/>
  <c r="P312" i="7"/>
  <c r="P277" i="7"/>
  <c r="P27" i="7"/>
  <c r="P182" i="6"/>
  <c r="P27" i="6"/>
  <c r="Q25" i="9"/>
  <c r="X26" i="8"/>
  <c r="Q27" i="7"/>
  <c r="X722" i="7"/>
  <c r="R27" i="7"/>
  <c r="R276" i="7"/>
  <c r="Q277" i="7"/>
  <c r="R277" i="7" s="1"/>
  <c r="S311" i="7"/>
  <c r="X311" i="7" s="1"/>
  <c r="Q617" i="7"/>
  <c r="Q27" i="6"/>
  <c r="R27" i="6" s="1"/>
  <c r="Q182" i="6"/>
  <c r="W26" i="7"/>
  <c r="Q312" i="7"/>
  <c r="S616" i="7"/>
  <c r="X616" i="7" s="1"/>
  <c r="Q27" i="8"/>
  <c r="R617" i="7"/>
  <c r="S617" i="7" s="1"/>
  <c r="W277" i="7"/>
  <c r="X181" i="6"/>
  <c r="R27" i="8"/>
  <c r="W27" i="7"/>
  <c r="W617" i="7"/>
  <c r="S27" i="7"/>
  <c r="W276" i="7"/>
  <c r="S276" i="7"/>
  <c r="X276" i="7" s="1"/>
  <c r="S27" i="6"/>
  <c r="X27" i="6" s="1"/>
  <c r="S27" i="8"/>
  <c r="W27" i="8"/>
  <c r="R25" i="9"/>
  <c r="V25" i="9" s="1"/>
  <c r="U25" i="9"/>
  <c r="S25" i="9"/>
  <c r="X25" i="9"/>
  <c r="T25" i="9"/>
  <c r="Y25" i="9" s="1"/>
  <c r="P28" i="8" l="1"/>
  <c r="P618" i="7"/>
  <c r="P313" i="7"/>
  <c r="P278" i="7"/>
  <c r="P28" i="7"/>
  <c r="P183" i="6"/>
  <c r="P28" i="6"/>
  <c r="Q26" i="9"/>
  <c r="X27" i="8"/>
  <c r="R312" i="7"/>
  <c r="Q28" i="6"/>
  <c r="Q313" i="7"/>
  <c r="R313" i="7" s="1"/>
  <c r="S313" i="7" s="1"/>
  <c r="W27" i="6"/>
  <c r="R28" i="6"/>
  <c r="S28" i="6" s="1"/>
  <c r="X617" i="7"/>
  <c r="Q278" i="7"/>
  <c r="X27" i="7"/>
  <c r="Q28" i="7"/>
  <c r="W28" i="6"/>
  <c r="W313" i="7"/>
  <c r="Q618" i="7"/>
  <c r="Q183" i="6"/>
  <c r="R182" i="6"/>
  <c r="R278" i="7"/>
  <c r="R28" i="7"/>
  <c r="Q28" i="8"/>
  <c r="R618" i="7"/>
  <c r="X28" i="6"/>
  <c r="S277" i="7"/>
  <c r="X277" i="7" s="1"/>
  <c r="W278" i="7"/>
  <c r="R28" i="8"/>
  <c r="R183" i="6"/>
  <c r="W312" i="7"/>
  <c r="S312" i="7"/>
  <c r="X312" i="7" s="1"/>
  <c r="S182" i="6"/>
  <c r="X182" i="6" s="1"/>
  <c r="W182" i="6"/>
  <c r="S28" i="7"/>
  <c r="W28" i="7"/>
  <c r="S618" i="7"/>
  <c r="W618" i="7"/>
  <c r="S28" i="8"/>
  <c r="W28" i="8"/>
  <c r="S183" i="6"/>
  <c r="R26" i="9"/>
  <c r="V26" i="9" s="1"/>
  <c r="U26" i="9"/>
  <c r="S26" i="9"/>
  <c r="T26" i="9"/>
  <c r="Y26" i="9" s="1"/>
  <c r="X26" i="9"/>
  <c r="P29" i="8" l="1"/>
  <c r="P619" i="7"/>
  <c r="P314" i="7"/>
  <c r="P279" i="7"/>
  <c r="P29" i="7"/>
  <c r="P184" i="6"/>
  <c r="P29" i="6"/>
  <c r="Q27" i="9"/>
  <c r="X28" i="8"/>
  <c r="Q29" i="7"/>
  <c r="W183" i="6"/>
  <c r="X313" i="7"/>
  <c r="Q279" i="7"/>
  <c r="R279" i="7" s="1"/>
  <c r="Q619" i="7"/>
  <c r="R619" i="7" s="1"/>
  <c r="Q29" i="6"/>
  <c r="Q184" i="6"/>
  <c r="R184" i="6" s="1"/>
  <c r="S184" i="6"/>
  <c r="X28" i="7"/>
  <c r="Q314" i="7"/>
  <c r="R314" i="7" s="1"/>
  <c r="W314" i="7" s="1"/>
  <c r="R29" i="7"/>
  <c r="W29" i="7" s="1"/>
  <c r="Q29" i="8"/>
  <c r="S278" i="7"/>
  <c r="X278" i="7" s="1"/>
  <c r="R29" i="6"/>
  <c r="S29" i="7"/>
  <c r="X618" i="7"/>
  <c r="R29" i="8"/>
  <c r="W29" i="8" s="1"/>
  <c r="S29" i="8"/>
  <c r="X183" i="6"/>
  <c r="S314" i="7"/>
  <c r="W279" i="7"/>
  <c r="W619" i="7"/>
  <c r="S619" i="7"/>
  <c r="S29" i="6"/>
  <c r="X29" i="6" s="1"/>
  <c r="W29" i="6"/>
  <c r="R27" i="9"/>
  <c r="V27" i="9" s="1"/>
  <c r="U27" i="9"/>
  <c r="S27" i="9"/>
  <c r="T27" i="9"/>
  <c r="Y27" i="9" s="1"/>
  <c r="X27" i="9"/>
  <c r="P30" i="8" l="1"/>
  <c r="P620" i="7"/>
  <c r="P315" i="7"/>
  <c r="P280" i="7"/>
  <c r="P30" i="7"/>
  <c r="P185" i="6"/>
  <c r="P30" i="6"/>
  <c r="Q28" i="9"/>
  <c r="Q620" i="7"/>
  <c r="Q30" i="6"/>
  <c r="Q185" i="6"/>
  <c r="Q30" i="8"/>
  <c r="X619" i="7"/>
  <c r="Q280" i="7"/>
  <c r="R185" i="6"/>
  <c r="X184" i="6"/>
  <c r="Q30" i="7"/>
  <c r="R30" i="7" s="1"/>
  <c r="W30" i="7" s="1"/>
  <c r="X29" i="8"/>
  <c r="R280" i="7"/>
  <c r="Q315" i="7"/>
  <c r="R315" i="7" s="1"/>
  <c r="W315" i="7" s="1"/>
  <c r="X29" i="7"/>
  <c r="R620" i="7"/>
  <c r="R30" i="6"/>
  <c r="S279" i="7"/>
  <c r="X279" i="7" s="1"/>
  <c r="X314" i="7"/>
  <c r="R30" i="8"/>
  <c r="W30" i="8" s="1"/>
  <c r="S30" i="8"/>
  <c r="S315" i="7"/>
  <c r="S620" i="7"/>
  <c r="W30" i="6"/>
  <c r="W184" i="6"/>
  <c r="S30" i="7"/>
  <c r="W620" i="7"/>
  <c r="S185" i="6"/>
  <c r="W280" i="7"/>
  <c r="S30" i="6"/>
  <c r="X30" i="6"/>
  <c r="R28" i="9"/>
  <c r="V28" i="9" s="1"/>
  <c r="U28" i="9"/>
  <c r="S28" i="9"/>
  <c r="X28" i="9"/>
  <c r="T28" i="9"/>
  <c r="Y28" i="9" s="1"/>
  <c r="P31" i="8" l="1"/>
  <c r="P621" i="7"/>
  <c r="P316" i="7"/>
  <c r="P281" i="7"/>
  <c r="P31" i="7"/>
  <c r="P186" i="6"/>
  <c r="P31" i="6"/>
  <c r="Q29" i="9"/>
  <c r="X30" i="7"/>
  <c r="Q621" i="7"/>
  <c r="Q31" i="6"/>
  <c r="Q186" i="6"/>
  <c r="Q316" i="7"/>
  <c r="X30" i="8"/>
  <c r="Q31" i="8"/>
  <c r="R31" i="6"/>
  <c r="W185" i="6"/>
  <c r="X315" i="7"/>
  <c r="Q281" i="7"/>
  <c r="R186" i="6"/>
  <c r="X185" i="6"/>
  <c r="R281" i="7"/>
  <c r="S31" i="6"/>
  <c r="X31" i="6" s="1"/>
  <c r="S280" i="7"/>
  <c r="X280" i="7" s="1"/>
  <c r="R621" i="7"/>
  <c r="S621" i="7" s="1"/>
  <c r="X620" i="7"/>
  <c r="W281" i="7"/>
  <c r="R31" i="8"/>
  <c r="W31" i="8" s="1"/>
  <c r="S31" i="8"/>
  <c r="W621" i="7"/>
  <c r="R316" i="7"/>
  <c r="Q31" i="7"/>
  <c r="R31" i="7" s="1"/>
  <c r="W31" i="6"/>
  <c r="S186" i="6"/>
  <c r="W316" i="7"/>
  <c r="S316" i="7"/>
  <c r="S31" i="7"/>
  <c r="W31" i="7"/>
  <c r="R29" i="9"/>
  <c r="V29" i="9" s="1"/>
  <c r="U29" i="9"/>
  <c r="S29" i="9"/>
  <c r="T29" i="9"/>
  <c r="Y29" i="9" s="1"/>
  <c r="X29" i="9"/>
  <c r="P32" i="8" l="1"/>
  <c r="P622" i="7"/>
  <c r="P317" i="7"/>
  <c r="P282" i="7"/>
  <c r="P32" i="7"/>
  <c r="P187" i="6"/>
  <c r="P32" i="6"/>
  <c r="Q30" i="9"/>
  <c r="X31" i="7"/>
  <c r="Q622" i="7"/>
  <c r="Q32" i="6"/>
  <c r="Q187" i="6"/>
  <c r="R622" i="7"/>
  <c r="W186" i="6"/>
  <c r="R187" i="6"/>
  <c r="X186" i="6"/>
  <c r="S622" i="7"/>
  <c r="X31" i="8"/>
  <c r="Q317" i="7"/>
  <c r="S281" i="7"/>
  <c r="X281" i="7" s="1"/>
  <c r="Q32" i="8"/>
  <c r="R32" i="8" s="1"/>
  <c r="W32" i="8" s="1"/>
  <c r="R32" i="6"/>
  <c r="X621" i="7"/>
  <c r="X316" i="7"/>
  <c r="Q282" i="7"/>
  <c r="R282" i="7" s="1"/>
  <c r="S32" i="8"/>
  <c r="W622" i="7"/>
  <c r="R317" i="7"/>
  <c r="Q32" i="7"/>
  <c r="R32" i="7" s="1"/>
  <c r="W32" i="6"/>
  <c r="S187" i="6"/>
  <c r="S32" i="6"/>
  <c r="X32" i="6" s="1"/>
  <c r="W282" i="7"/>
  <c r="W317" i="7"/>
  <c r="S317" i="7"/>
  <c r="S32" i="7"/>
  <c r="W32" i="7"/>
  <c r="R30" i="9"/>
  <c r="V30" i="9" s="1"/>
  <c r="U30" i="9"/>
  <c r="S30" i="9"/>
  <c r="X30" i="9"/>
  <c r="T30" i="9"/>
  <c r="Y30" i="9" s="1"/>
  <c r="P33" i="8" l="1"/>
  <c r="P623" i="7"/>
  <c r="P318" i="7"/>
  <c r="P283" i="7"/>
  <c r="P33" i="7"/>
  <c r="P188" i="6"/>
  <c r="P33" i="6"/>
  <c r="Q31" i="9"/>
  <c r="X32" i="7"/>
  <c r="Q623" i="7"/>
  <c r="Q33" i="6"/>
  <c r="Q188" i="6"/>
  <c r="X32" i="8"/>
  <c r="Q318" i="7"/>
  <c r="S282" i="7"/>
  <c r="X282" i="7" s="1"/>
  <c r="Q33" i="8"/>
  <c r="R623" i="7"/>
  <c r="R33" i="6"/>
  <c r="S33" i="6" s="1"/>
  <c r="X33" i="6"/>
  <c r="W187" i="6"/>
  <c r="X622" i="7"/>
  <c r="X317" i="7"/>
  <c r="Q283" i="7"/>
  <c r="R283" i="7" s="1"/>
  <c r="R33" i="8"/>
  <c r="W33" i="8" s="1"/>
  <c r="R188" i="6"/>
  <c r="S33" i="8"/>
  <c r="X187" i="6"/>
  <c r="W623" i="7"/>
  <c r="R318" i="7"/>
  <c r="S318" i="7"/>
  <c r="Q33" i="7"/>
  <c r="R33" i="7" s="1"/>
  <c r="S623" i="7"/>
  <c r="W33" i="6"/>
  <c r="W318" i="7"/>
  <c r="W283" i="7"/>
  <c r="S188" i="6"/>
  <c r="S33" i="7"/>
  <c r="W33" i="7"/>
  <c r="R31" i="9"/>
  <c r="V31" i="9" s="1"/>
  <c r="U31" i="9"/>
  <c r="S31" i="9"/>
  <c r="X31" i="9"/>
  <c r="T31" i="9"/>
  <c r="Y31" i="9" s="1"/>
  <c r="P34" i="8" l="1"/>
  <c r="P624" i="7"/>
  <c r="P319" i="7"/>
  <c r="P284" i="7"/>
  <c r="P34" i="7"/>
  <c r="P189" i="6"/>
  <c r="P34" i="6"/>
  <c r="Q32" i="9"/>
  <c r="X33" i="7"/>
  <c r="Q624" i="7"/>
  <c r="Q34" i="6"/>
  <c r="Q189" i="6"/>
  <c r="X33" i="8"/>
  <c r="Q34" i="8"/>
  <c r="R624" i="7"/>
  <c r="S283" i="7"/>
  <c r="R34" i="8"/>
  <c r="W34" i="8" s="1"/>
  <c r="R189" i="6"/>
  <c r="X188" i="6"/>
  <c r="Q34" i="7"/>
  <c r="X283" i="7"/>
  <c r="Q319" i="7"/>
  <c r="R34" i="7"/>
  <c r="W34" i="7" s="1"/>
  <c r="W188" i="6"/>
  <c r="R34" i="6"/>
  <c r="S34" i="7"/>
  <c r="X623" i="7"/>
  <c r="X318" i="7"/>
  <c r="Q284" i="7"/>
  <c r="R284" i="7" s="1"/>
  <c r="S34" i="8"/>
  <c r="W624" i="7"/>
  <c r="R319" i="7"/>
  <c r="S319" i="7" s="1"/>
  <c r="S624" i="7"/>
  <c r="W319" i="7"/>
  <c r="S189" i="6"/>
  <c r="S34" i="6"/>
  <c r="W34" i="6"/>
  <c r="X34" i="6"/>
  <c r="W284" i="7"/>
  <c r="R32" i="9"/>
  <c r="V32" i="9" s="1"/>
  <c r="U32" i="9"/>
  <c r="S32" i="9"/>
  <c r="X32" i="9"/>
  <c r="T32" i="9"/>
  <c r="Y32" i="9" s="1"/>
  <c r="P35" i="8" l="1"/>
  <c r="P625" i="7"/>
  <c r="P320" i="7"/>
  <c r="P285" i="7"/>
  <c r="P35" i="7"/>
  <c r="P190" i="6"/>
  <c r="P35" i="6"/>
  <c r="Q33" i="9"/>
  <c r="X34" i="8"/>
  <c r="Q625" i="7"/>
  <c r="Q35" i="6"/>
  <c r="Q190" i="6"/>
  <c r="R625" i="7"/>
  <c r="W189" i="6"/>
  <c r="X319" i="7"/>
  <c r="Q285" i="7"/>
  <c r="W625" i="7"/>
  <c r="Q35" i="7"/>
  <c r="R35" i="7" s="1"/>
  <c r="W35" i="7" s="1"/>
  <c r="S284" i="7"/>
  <c r="X284" i="7"/>
  <c r="R285" i="7"/>
  <c r="Q320" i="7"/>
  <c r="R320" i="7" s="1"/>
  <c r="W320" i="7" s="1"/>
  <c r="X34" i="7"/>
  <c r="Q35" i="8"/>
  <c r="R35" i="6"/>
  <c r="S35" i="7"/>
  <c r="X624" i="7"/>
  <c r="W285" i="7"/>
  <c r="R35" i="8"/>
  <c r="R190" i="6"/>
  <c r="X189" i="6"/>
  <c r="S320" i="7"/>
  <c r="S625" i="7"/>
  <c r="W35" i="6"/>
  <c r="S35" i="6"/>
  <c r="X35" i="6" s="1"/>
  <c r="W35" i="8"/>
  <c r="S35" i="8"/>
  <c r="S190" i="6"/>
  <c r="R33" i="9"/>
  <c r="V33" i="9" s="1"/>
  <c r="U33" i="9"/>
  <c r="S33" i="9"/>
  <c r="X33" i="9"/>
  <c r="T33" i="9"/>
  <c r="Y33" i="9" s="1"/>
  <c r="P36" i="8" l="1"/>
  <c r="P626" i="7"/>
  <c r="P321" i="7"/>
  <c r="P286" i="7"/>
  <c r="P36" i="7"/>
  <c r="P191" i="6"/>
  <c r="P36" i="6"/>
  <c r="Q34" i="9"/>
  <c r="X35" i="8"/>
  <c r="Q626" i="7"/>
  <c r="Q36" i="6"/>
  <c r="Q191" i="6"/>
  <c r="Q321" i="7"/>
  <c r="W190" i="6"/>
  <c r="Q36" i="8"/>
  <c r="X35" i="7"/>
  <c r="R626" i="7"/>
  <c r="R36" i="6"/>
  <c r="S36" i="6" s="1"/>
  <c r="X36" i="6"/>
  <c r="S285" i="7"/>
  <c r="X285" i="7" s="1"/>
  <c r="X625" i="7"/>
  <c r="X320" i="7"/>
  <c r="Q286" i="7"/>
  <c r="R286" i="7" s="1"/>
  <c r="R36" i="8"/>
  <c r="W36" i="8" s="1"/>
  <c r="R191" i="6"/>
  <c r="S36" i="8"/>
  <c r="X190" i="6"/>
  <c r="W626" i="7"/>
  <c r="R321" i="7"/>
  <c r="S321" i="7"/>
  <c r="Q36" i="7"/>
  <c r="R36" i="7" s="1"/>
  <c r="S626" i="7"/>
  <c r="W36" i="6"/>
  <c r="W321" i="7"/>
  <c r="W286" i="7"/>
  <c r="S191" i="6"/>
  <c r="S36" i="7"/>
  <c r="W36" i="7"/>
  <c r="R34" i="9"/>
  <c r="V34" i="9" s="1"/>
  <c r="U34" i="9"/>
  <c r="S34" i="9"/>
  <c r="X34" i="9"/>
  <c r="T34" i="9"/>
  <c r="Y34" i="9" s="1"/>
  <c r="P37" i="8" l="1"/>
  <c r="P627" i="7"/>
  <c r="P322" i="7"/>
  <c r="P287" i="7"/>
  <c r="P37" i="7"/>
  <c r="P192" i="6"/>
  <c r="P37" i="6"/>
  <c r="Q35" i="9"/>
  <c r="X36" i="7"/>
  <c r="Q627" i="7"/>
  <c r="Q37" i="6"/>
  <c r="Q192" i="6"/>
  <c r="R627" i="7"/>
  <c r="R37" i="6"/>
  <c r="S37" i="6" s="1"/>
  <c r="X626" i="7"/>
  <c r="Q287" i="7"/>
  <c r="X191" i="6"/>
  <c r="S627" i="7"/>
  <c r="W37" i="6"/>
  <c r="R287" i="7"/>
  <c r="Q322" i="7"/>
  <c r="R322" i="7" s="1"/>
  <c r="W191" i="6"/>
  <c r="W287" i="7"/>
  <c r="X321" i="7"/>
  <c r="R192" i="6"/>
  <c r="W627" i="7"/>
  <c r="S322" i="7"/>
  <c r="X36" i="8"/>
  <c r="Q37" i="8"/>
  <c r="X37" i="6"/>
  <c r="S286" i="7"/>
  <c r="X286" i="7" s="1"/>
  <c r="R37" i="8"/>
  <c r="W37" i="8" s="1"/>
  <c r="S37" i="8"/>
  <c r="Q37" i="7"/>
  <c r="R37" i="7" s="1"/>
  <c r="W322" i="7"/>
  <c r="S192" i="6"/>
  <c r="W37" i="7"/>
  <c r="S37" i="7"/>
  <c r="R35" i="9"/>
  <c r="V35" i="9" s="1"/>
  <c r="U35" i="9"/>
  <c r="S35" i="9"/>
  <c r="X35" i="9"/>
  <c r="T35" i="9"/>
  <c r="Y35" i="9" s="1"/>
  <c r="P38" i="8" l="1"/>
  <c r="P628" i="7"/>
  <c r="P323" i="7"/>
  <c r="P288" i="7"/>
  <c r="P38" i="7"/>
  <c r="P193" i="6"/>
  <c r="P38" i="6"/>
  <c r="Q36" i="9"/>
  <c r="X37" i="7"/>
  <c r="X192" i="6"/>
  <c r="Q323" i="7"/>
  <c r="Q38" i="7"/>
  <c r="Q38" i="8"/>
  <c r="X37" i="8"/>
  <c r="Q38" i="6"/>
  <c r="W192" i="6"/>
  <c r="S287" i="7"/>
  <c r="X287" i="7" s="1"/>
  <c r="R38" i="7"/>
  <c r="R38" i="8"/>
  <c r="Q193" i="6"/>
  <c r="R193" i="6" s="1"/>
  <c r="W38" i="8"/>
  <c r="X322" i="7"/>
  <c r="R323" i="7"/>
  <c r="S38" i="8"/>
  <c r="Q288" i="7"/>
  <c r="R288" i="7" s="1"/>
  <c r="S193" i="6"/>
  <c r="Q628" i="7"/>
  <c r="R628" i="7" s="1"/>
  <c r="X627" i="7"/>
  <c r="R38" i="6"/>
  <c r="W193" i="6"/>
  <c r="S38" i="7"/>
  <c r="X38" i="7" s="1"/>
  <c r="W323" i="7"/>
  <c r="W288" i="7"/>
  <c r="S628" i="7"/>
  <c r="W628" i="7"/>
  <c r="W38" i="6"/>
  <c r="S38" i="6"/>
  <c r="X38" i="6" s="1"/>
  <c r="R36" i="9"/>
  <c r="V36" i="9" s="1"/>
  <c r="U36" i="9"/>
  <c r="S36" i="9"/>
  <c r="X36" i="9"/>
  <c r="T36" i="9"/>
  <c r="Y36" i="9" s="1"/>
  <c r="P39" i="8" l="1"/>
  <c r="P629" i="7"/>
  <c r="P324" i="7"/>
  <c r="P39" i="7"/>
  <c r="P194" i="6"/>
  <c r="P39" i="6"/>
  <c r="Q37" i="9"/>
  <c r="S288" i="7"/>
  <c r="X193" i="6"/>
  <c r="Q194" i="6"/>
  <c r="R194" i="6" s="1"/>
  <c r="Q39" i="7"/>
  <c r="R39" i="7" s="1"/>
  <c r="Q629" i="7"/>
  <c r="Q39" i="8"/>
  <c r="W39" i="7"/>
  <c r="X38" i="8"/>
  <c r="R39" i="8"/>
  <c r="R629" i="7"/>
  <c r="S323" i="7"/>
  <c r="X323" i="7" s="1"/>
  <c r="S39" i="7"/>
  <c r="X39" i="7" s="1"/>
  <c r="X288" i="7"/>
  <c r="S629" i="7"/>
  <c r="W38" i="7"/>
  <c r="Q324" i="7"/>
  <c r="W194" i="6"/>
  <c r="X628" i="7"/>
  <c r="W629" i="7"/>
  <c r="Q39" i="6"/>
  <c r="R39" i="6" s="1"/>
  <c r="R324" i="7"/>
  <c r="S39" i="8"/>
  <c r="X39" i="8" s="1"/>
  <c r="S39" i="6"/>
  <c r="W39" i="6"/>
  <c r="W324" i="7"/>
  <c r="S324" i="7"/>
  <c r="R37" i="9"/>
  <c r="V37" i="9" s="1"/>
  <c r="U37" i="9"/>
  <c r="S37" i="9"/>
  <c r="X37" i="9"/>
  <c r="T37" i="9"/>
  <c r="Y37" i="9" s="1"/>
  <c r="P40" i="8" l="1"/>
  <c r="P630" i="7"/>
  <c r="P325" i="7"/>
  <c r="P40" i="7"/>
  <c r="P195" i="6"/>
  <c r="P40" i="6"/>
  <c r="Q38" i="9"/>
  <c r="Q40" i="6"/>
  <c r="R40" i="6"/>
  <c r="X629" i="7"/>
  <c r="Q630" i="7"/>
  <c r="R630" i="7" s="1"/>
  <c r="W630" i="7" s="1"/>
  <c r="X39" i="6"/>
  <c r="S630" i="7"/>
  <c r="W40" i="6"/>
  <c r="W39" i="8"/>
  <c r="S40" i="6"/>
  <c r="S194" i="6"/>
  <c r="Q195" i="6"/>
  <c r="R195" i="6" s="1"/>
  <c r="X194" i="6"/>
  <c r="Q40" i="7"/>
  <c r="Q325" i="7"/>
  <c r="R325" i="7" s="1"/>
  <c r="Q40" i="8"/>
  <c r="X324" i="7"/>
  <c r="W195" i="6"/>
  <c r="W325" i="7"/>
  <c r="S325" i="7"/>
  <c r="R38" i="9"/>
  <c r="V38" i="9" s="1"/>
  <c r="U38" i="9"/>
  <c r="S38" i="9"/>
  <c r="X38" i="9"/>
  <c r="T38" i="9"/>
  <c r="Y38" i="9" s="1"/>
  <c r="P41" i="8" l="1"/>
  <c r="P631" i="7"/>
  <c r="P326" i="7"/>
  <c r="P41" i="7"/>
  <c r="P196" i="6"/>
  <c r="P41" i="6"/>
  <c r="Q39" i="9"/>
  <c r="R40" i="8"/>
  <c r="X325" i="7"/>
  <c r="X630" i="7"/>
  <c r="R40" i="7"/>
  <c r="Q41" i="6"/>
  <c r="R41" i="6"/>
  <c r="X40" i="6"/>
  <c r="Q631" i="7"/>
  <c r="R631" i="7" s="1"/>
  <c r="Q326" i="7"/>
  <c r="S195" i="6"/>
  <c r="R326" i="7"/>
  <c r="S326" i="7" s="1"/>
  <c r="W41" i="6"/>
  <c r="S41" i="6"/>
  <c r="W326" i="7"/>
  <c r="Q196" i="6"/>
  <c r="R196" i="6" s="1"/>
  <c r="X195" i="6"/>
  <c r="Q41" i="7"/>
  <c r="Q41" i="8"/>
  <c r="W40" i="8"/>
  <c r="S40" i="8"/>
  <c r="S40" i="7"/>
  <c r="W40" i="7"/>
  <c r="W631" i="7"/>
  <c r="S631" i="7"/>
  <c r="W196" i="6"/>
  <c r="R39" i="9"/>
  <c r="V39" i="9" s="1"/>
  <c r="U39" i="9"/>
  <c r="S39" i="9"/>
  <c r="T39" i="9"/>
  <c r="Y39" i="9" s="1"/>
  <c r="X39" i="9"/>
  <c r="P42" i="8" l="1"/>
  <c r="P632" i="7"/>
  <c r="P327" i="7"/>
  <c r="P42" i="7"/>
  <c r="P197" i="6"/>
  <c r="P42" i="6"/>
  <c r="Q40" i="9"/>
  <c r="Q632" i="7"/>
  <c r="Q42" i="7"/>
  <c r="R632" i="7"/>
  <c r="R41" i="7"/>
  <c r="S632" i="7"/>
  <c r="X41" i="6"/>
  <c r="Q197" i="6"/>
  <c r="X40" i="7"/>
  <c r="Q327" i="7"/>
  <c r="Q42" i="8"/>
  <c r="X631" i="7"/>
  <c r="X40" i="8"/>
  <c r="X326" i="7"/>
  <c r="R197" i="6"/>
  <c r="R41" i="8"/>
  <c r="Q42" i="6"/>
  <c r="R42" i="6" s="1"/>
  <c r="R327" i="7"/>
  <c r="S196" i="6"/>
  <c r="X196" i="6" s="1"/>
  <c r="W197" i="6"/>
  <c r="W632" i="7"/>
  <c r="S41" i="7"/>
  <c r="W41" i="7"/>
  <c r="S41" i="8"/>
  <c r="W41" i="8"/>
  <c r="S42" i="6"/>
  <c r="W42" i="6"/>
  <c r="S327" i="7"/>
  <c r="W327" i="7"/>
  <c r="R40" i="9"/>
  <c r="V40" i="9" s="1"/>
  <c r="U40" i="9"/>
  <c r="S40" i="9"/>
  <c r="X40" i="9"/>
  <c r="T40" i="9"/>
  <c r="Y40" i="9" s="1"/>
  <c r="P43" i="8" l="1"/>
  <c r="P633" i="7"/>
  <c r="P328" i="7"/>
  <c r="P43" i="7"/>
  <c r="P198" i="6"/>
  <c r="P43" i="6"/>
  <c r="Q41" i="9"/>
  <c r="Q633" i="7"/>
  <c r="Q43" i="7"/>
  <c r="X42" i="6"/>
  <c r="Q328" i="7"/>
  <c r="Q43" i="8"/>
  <c r="X41" i="8"/>
  <c r="X327" i="7"/>
  <c r="X41" i="7"/>
  <c r="Q43" i="6"/>
  <c r="R633" i="7"/>
  <c r="S197" i="6"/>
  <c r="X197" i="6" s="1"/>
  <c r="R328" i="7"/>
  <c r="S328" i="7" s="1"/>
  <c r="S633" i="7"/>
  <c r="R42" i="8"/>
  <c r="R43" i="6"/>
  <c r="W43" i="6" s="1"/>
  <c r="S43" i="6"/>
  <c r="R42" i="7"/>
  <c r="X632" i="7"/>
  <c r="W328" i="7"/>
  <c r="W633" i="7"/>
  <c r="Q198" i="6"/>
  <c r="R198" i="6" s="1"/>
  <c r="W42" i="8"/>
  <c r="S42" i="8"/>
  <c r="W42" i="7"/>
  <c r="S42" i="7"/>
  <c r="W198" i="6"/>
  <c r="R41" i="9"/>
  <c r="V41" i="9" s="1"/>
  <c r="U41" i="9"/>
  <c r="S41" i="9"/>
  <c r="X41" i="9"/>
  <c r="T41" i="9"/>
  <c r="Y41" i="9" s="1"/>
  <c r="P44" i="8" l="1"/>
  <c r="P634" i="7"/>
  <c r="P329" i="7"/>
  <c r="P44" i="7"/>
  <c r="P199" i="6"/>
  <c r="P44" i="6"/>
  <c r="Q42" i="9"/>
  <c r="Q634" i="7"/>
  <c r="Q44" i="7"/>
  <c r="X42" i="8"/>
  <c r="S198" i="6"/>
  <c r="X198" i="6" s="1"/>
  <c r="R634" i="7"/>
  <c r="X633" i="7"/>
  <c r="W634" i="7"/>
  <c r="Q199" i="6"/>
  <c r="R199" i="6" s="1"/>
  <c r="X42" i="7"/>
  <c r="Q329" i="7"/>
  <c r="R329" i="7" s="1"/>
  <c r="S329" i="7"/>
  <c r="Q44" i="8"/>
  <c r="X328" i="7"/>
  <c r="Q44" i="6"/>
  <c r="R44" i="6" s="1"/>
  <c r="X43" i="6"/>
  <c r="S634" i="7"/>
  <c r="R43" i="8"/>
  <c r="W199" i="6"/>
  <c r="R43" i="7"/>
  <c r="W329" i="7"/>
  <c r="S44" i="6"/>
  <c r="W44" i="6"/>
  <c r="W43" i="8"/>
  <c r="S43" i="8"/>
  <c r="W43" i="7"/>
  <c r="S43" i="7"/>
  <c r="R42" i="9"/>
  <c r="V42" i="9" s="1"/>
  <c r="U42" i="9"/>
  <c r="S42" i="9"/>
  <c r="T42" i="9"/>
  <c r="Y42" i="9" s="1"/>
  <c r="X42" i="9"/>
  <c r="P45" i="8" l="1"/>
  <c r="P635" i="7"/>
  <c r="P330" i="7"/>
  <c r="P45" i="7"/>
  <c r="P200" i="6"/>
  <c r="P45" i="6"/>
  <c r="Q43" i="9"/>
  <c r="Q635" i="7"/>
  <c r="Q45" i="7"/>
  <c r="X44" i="6"/>
  <c r="Q45" i="6"/>
  <c r="R44" i="8"/>
  <c r="S199" i="6"/>
  <c r="X199" i="6" s="1"/>
  <c r="R44" i="7"/>
  <c r="Q200" i="6"/>
  <c r="R200" i="6" s="1"/>
  <c r="X43" i="7"/>
  <c r="Q330" i="7"/>
  <c r="Q45" i="8"/>
  <c r="X43" i="8"/>
  <c r="X329" i="7"/>
  <c r="R635" i="7"/>
  <c r="S635" i="7" s="1"/>
  <c r="R330" i="7"/>
  <c r="R45" i="6"/>
  <c r="W45" i="6" s="1"/>
  <c r="S45" i="6"/>
  <c r="X634" i="7"/>
  <c r="W635" i="7"/>
  <c r="W44" i="8"/>
  <c r="S44" i="8"/>
  <c r="W44" i="7"/>
  <c r="S44" i="7"/>
  <c r="W200" i="6"/>
  <c r="S330" i="7"/>
  <c r="W330" i="7"/>
  <c r="R43" i="9"/>
  <c r="V43" i="9" s="1"/>
  <c r="U43" i="9"/>
  <c r="S43" i="9"/>
  <c r="T43" i="9"/>
  <c r="Y43" i="9" s="1"/>
  <c r="X43" i="9"/>
  <c r="P46" i="8" l="1"/>
  <c r="P636" i="7"/>
  <c r="P331" i="7"/>
  <c r="P46" i="7"/>
  <c r="P201" i="6"/>
  <c r="P46" i="6"/>
  <c r="Q44" i="9"/>
  <c r="Q636" i="7"/>
  <c r="Q46" i="7"/>
  <c r="X44" i="7"/>
  <c r="Q331" i="7"/>
  <c r="Q46" i="8"/>
  <c r="X44" i="8"/>
  <c r="X330" i="7"/>
  <c r="X45" i="6"/>
  <c r="Q46" i="6"/>
  <c r="R636" i="7"/>
  <c r="R45" i="8"/>
  <c r="R331" i="7"/>
  <c r="S331" i="7" s="1"/>
  <c r="S636" i="7"/>
  <c r="S200" i="6"/>
  <c r="X200" i="6" s="1"/>
  <c r="R46" i="6"/>
  <c r="W46" i="6" s="1"/>
  <c r="S46" i="6"/>
  <c r="R45" i="7"/>
  <c r="X635" i="7"/>
  <c r="W331" i="7"/>
  <c r="W636" i="7"/>
  <c r="Q201" i="6"/>
  <c r="R201" i="6" s="1"/>
  <c r="W45" i="8"/>
  <c r="S45" i="8"/>
  <c r="W45" i="7"/>
  <c r="S45" i="7"/>
  <c r="W201" i="6"/>
  <c r="R44" i="9"/>
  <c r="V44" i="9" s="1"/>
  <c r="U44" i="9"/>
  <c r="S44" i="9"/>
  <c r="T44" i="9"/>
  <c r="Y44" i="9" s="1"/>
  <c r="X44" i="9"/>
  <c r="P47" i="8" l="1"/>
  <c r="P637" i="7"/>
  <c r="P332" i="7"/>
  <c r="P47" i="7"/>
  <c r="P202" i="6"/>
  <c r="P47" i="6"/>
  <c r="Q45" i="9"/>
  <c r="Q637" i="7"/>
  <c r="Q47" i="7"/>
  <c r="X45" i="7"/>
  <c r="Q332" i="7"/>
  <c r="Q47" i="8"/>
  <c r="X45" i="8"/>
  <c r="X331" i="7"/>
  <c r="S201" i="6"/>
  <c r="X201" i="6" s="1"/>
  <c r="Q47" i="6"/>
  <c r="R637" i="7"/>
  <c r="X46" i="6"/>
  <c r="R332" i="7"/>
  <c r="S332" i="7" s="1"/>
  <c r="S637" i="7"/>
  <c r="R46" i="8"/>
  <c r="R47" i="6"/>
  <c r="W47" i="6" s="1"/>
  <c r="S47" i="6"/>
  <c r="R46" i="7"/>
  <c r="X636" i="7"/>
  <c r="W332" i="7"/>
  <c r="W637" i="7"/>
  <c r="Q202" i="6"/>
  <c r="R202" i="6" s="1"/>
  <c r="W46" i="8"/>
  <c r="S46" i="8"/>
  <c r="W46" i="7"/>
  <c r="S46" i="7"/>
  <c r="W202" i="6"/>
  <c r="R45" i="9"/>
  <c r="V45" i="9" s="1"/>
  <c r="U45" i="9"/>
  <c r="S45" i="9"/>
  <c r="X45" i="9"/>
  <c r="T45" i="9"/>
  <c r="Y45" i="9" s="1"/>
  <c r="P48" i="8" l="1"/>
  <c r="P638" i="7"/>
  <c r="P333" i="7"/>
  <c r="P48" i="7"/>
  <c r="P203" i="6"/>
  <c r="P48" i="6"/>
  <c r="Q46" i="9"/>
  <c r="Q638" i="7"/>
  <c r="Q48" i="7"/>
  <c r="X46" i="7"/>
  <c r="Q333" i="7"/>
  <c r="Q48" i="8"/>
  <c r="X46" i="8"/>
  <c r="X332" i="7"/>
  <c r="S202" i="6"/>
  <c r="X202" i="6" s="1"/>
  <c r="Q48" i="6"/>
  <c r="R638" i="7"/>
  <c r="X47" i="6"/>
  <c r="R333" i="7"/>
  <c r="S333" i="7" s="1"/>
  <c r="S638" i="7"/>
  <c r="R47" i="8"/>
  <c r="R48" i="6"/>
  <c r="W48" i="6" s="1"/>
  <c r="S48" i="6"/>
  <c r="R47" i="7"/>
  <c r="X637" i="7"/>
  <c r="W333" i="7"/>
  <c r="W638" i="7"/>
  <c r="Q203" i="6"/>
  <c r="R203" i="6" s="1"/>
  <c r="W47" i="8"/>
  <c r="S47" i="8"/>
  <c r="W47" i="7"/>
  <c r="S47" i="7"/>
  <c r="W203" i="6"/>
  <c r="R46" i="9"/>
  <c r="V46" i="9" s="1"/>
  <c r="U46" i="9"/>
  <c r="S46" i="9"/>
  <c r="T46" i="9"/>
  <c r="Y46" i="9" s="1"/>
  <c r="X46" i="9"/>
  <c r="P49" i="8" l="1"/>
  <c r="P639" i="7"/>
  <c r="P334" i="7"/>
  <c r="P49" i="7"/>
  <c r="P204" i="6"/>
  <c r="P49" i="6"/>
  <c r="Q47" i="9"/>
  <c r="X47" i="7"/>
  <c r="Q334" i="7"/>
  <c r="Q49" i="8"/>
  <c r="X47" i="8"/>
  <c r="Q49" i="7"/>
  <c r="Q204" i="6"/>
  <c r="X48" i="6"/>
  <c r="Q49" i="6"/>
  <c r="R48" i="8"/>
  <c r="R334" i="7"/>
  <c r="S334" i="7" s="1"/>
  <c r="R48" i="7"/>
  <c r="R49" i="6"/>
  <c r="W334" i="7"/>
  <c r="S203" i="6"/>
  <c r="X203" i="6" s="1"/>
  <c r="X333" i="7"/>
  <c r="Q639" i="7"/>
  <c r="W49" i="6"/>
  <c r="S49" i="6"/>
  <c r="R639" i="7"/>
  <c r="S639" i="7" s="1"/>
  <c r="X638" i="7"/>
  <c r="W639" i="7"/>
  <c r="W48" i="8"/>
  <c r="S48" i="8"/>
  <c r="W48" i="7"/>
  <c r="S48" i="7"/>
  <c r="R47" i="9"/>
  <c r="V47" i="9" s="1"/>
  <c r="U47" i="9"/>
  <c r="S47" i="9"/>
  <c r="T47" i="9"/>
  <c r="Y47" i="9" s="1"/>
  <c r="X47" i="9"/>
  <c r="P50" i="8" l="1"/>
  <c r="P640" i="7"/>
  <c r="P335" i="7"/>
  <c r="P50" i="7"/>
  <c r="P205" i="6"/>
  <c r="P50" i="6"/>
  <c r="Q48" i="9"/>
  <c r="X48" i="7"/>
  <c r="X639" i="7"/>
  <c r="Q640" i="7"/>
  <c r="Q50" i="7"/>
  <c r="X48" i="8"/>
  <c r="Q335" i="7"/>
  <c r="Q50" i="8"/>
  <c r="X49" i="6"/>
  <c r="X334" i="7"/>
  <c r="Q50" i="6"/>
  <c r="R640" i="7"/>
  <c r="R204" i="6"/>
  <c r="R335" i="7"/>
  <c r="S335" i="7" s="1"/>
  <c r="S640" i="7"/>
  <c r="R49" i="7"/>
  <c r="R50" i="6"/>
  <c r="W50" i="6" s="1"/>
  <c r="S50" i="6"/>
  <c r="R49" i="8"/>
  <c r="W335" i="7"/>
  <c r="W640" i="7"/>
  <c r="Q205" i="6"/>
  <c r="R205" i="6" s="1"/>
  <c r="W204" i="6"/>
  <c r="S204" i="6"/>
  <c r="X204" i="6" s="1"/>
  <c r="S49" i="7"/>
  <c r="X49" i="7" s="1"/>
  <c r="S49" i="8"/>
  <c r="W49" i="8"/>
  <c r="W205" i="6"/>
  <c r="R48" i="9"/>
  <c r="V48" i="9" s="1"/>
  <c r="U48" i="9"/>
  <c r="S48" i="9"/>
  <c r="T48" i="9"/>
  <c r="Y48" i="9" s="1"/>
  <c r="X48" i="9"/>
  <c r="P51" i="8" l="1"/>
  <c r="P641" i="7"/>
  <c r="P336" i="7"/>
  <c r="P51" i="7"/>
  <c r="P206" i="6"/>
  <c r="P51" i="6"/>
  <c r="Q49" i="9"/>
  <c r="Q641" i="7"/>
  <c r="Q51" i="7"/>
  <c r="X49" i="8"/>
  <c r="Q336" i="7"/>
  <c r="Q51" i="8"/>
  <c r="S205" i="6"/>
  <c r="X205" i="6" s="1"/>
  <c r="X335" i="7"/>
  <c r="X50" i="6"/>
  <c r="Q51" i="6"/>
  <c r="R641" i="7"/>
  <c r="W49" i="7"/>
  <c r="R336" i="7"/>
  <c r="S336" i="7" s="1"/>
  <c r="S641" i="7"/>
  <c r="R50" i="8"/>
  <c r="R51" i="6"/>
  <c r="W51" i="6" s="1"/>
  <c r="S51" i="6"/>
  <c r="R50" i="7"/>
  <c r="X640" i="7"/>
  <c r="W336" i="7"/>
  <c r="W641" i="7"/>
  <c r="Q206" i="6"/>
  <c r="R206" i="6" s="1"/>
  <c r="W50" i="8"/>
  <c r="S50" i="8"/>
  <c r="W50" i="7"/>
  <c r="S50" i="7"/>
  <c r="W206" i="6"/>
  <c r="R49" i="9"/>
  <c r="V49" i="9" s="1"/>
  <c r="U49" i="9"/>
  <c r="S49" i="9"/>
  <c r="X49" i="9"/>
  <c r="T49" i="9"/>
  <c r="Y49" i="9" s="1"/>
  <c r="P52" i="8" l="1"/>
  <c r="P642" i="7"/>
  <c r="P337" i="7"/>
  <c r="P52" i="7"/>
  <c r="P207" i="6"/>
  <c r="P52" i="6"/>
  <c r="Q50" i="9"/>
  <c r="Q642" i="7"/>
  <c r="Q52" i="7"/>
  <c r="X50" i="7"/>
  <c r="Q337" i="7"/>
  <c r="Q52" i="8"/>
  <c r="X50" i="8"/>
  <c r="X336" i="7"/>
  <c r="S206" i="6"/>
  <c r="X206" i="6" s="1"/>
  <c r="Q52" i="6"/>
  <c r="R642" i="7"/>
  <c r="X51" i="6"/>
  <c r="R337" i="7"/>
  <c r="S337" i="7" s="1"/>
  <c r="S642" i="7"/>
  <c r="R51" i="8"/>
  <c r="R52" i="6"/>
  <c r="W52" i="6" s="1"/>
  <c r="S52" i="6"/>
  <c r="R51" i="7"/>
  <c r="X641" i="7"/>
  <c r="W337" i="7"/>
  <c r="W642" i="7"/>
  <c r="Q207" i="6"/>
  <c r="R207" i="6" s="1"/>
  <c r="W51" i="8"/>
  <c r="S51" i="8"/>
  <c r="W51" i="7"/>
  <c r="S51" i="7"/>
  <c r="W207" i="6"/>
  <c r="R50" i="9"/>
  <c r="V50" i="9" s="1"/>
  <c r="U50" i="9"/>
  <c r="S50" i="9"/>
  <c r="T50" i="9"/>
  <c r="Y50" i="9" s="1"/>
  <c r="X50" i="9"/>
  <c r="P53" i="8" l="1"/>
  <c r="P643" i="7"/>
  <c r="P338" i="7"/>
  <c r="P53" i="7"/>
  <c r="P208" i="6"/>
  <c r="P53" i="6"/>
  <c r="Q51" i="9"/>
  <c r="Q643" i="7"/>
  <c r="Q53" i="7"/>
  <c r="X51" i="7"/>
  <c r="Q338" i="7"/>
  <c r="Q53" i="8"/>
  <c r="X51" i="8"/>
  <c r="X337" i="7"/>
  <c r="S207" i="6"/>
  <c r="X207" i="6" s="1"/>
  <c r="Q53" i="6"/>
  <c r="R643" i="7"/>
  <c r="X52" i="6"/>
  <c r="R338" i="7"/>
  <c r="S338" i="7" s="1"/>
  <c r="S643" i="7"/>
  <c r="R52" i="8"/>
  <c r="R53" i="6"/>
  <c r="W53" i="6" s="1"/>
  <c r="S53" i="6"/>
  <c r="R52" i="7"/>
  <c r="X642" i="7"/>
  <c r="W338" i="7"/>
  <c r="W643" i="7"/>
  <c r="Q208" i="6"/>
  <c r="R208" i="6" s="1"/>
  <c r="W52" i="8"/>
  <c r="S52" i="8"/>
  <c r="W52" i="7"/>
  <c r="S52" i="7"/>
  <c r="W208" i="6"/>
  <c r="R51" i="9"/>
  <c r="V51" i="9" s="1"/>
  <c r="U51" i="9"/>
  <c r="S51" i="9"/>
  <c r="T51" i="9"/>
  <c r="Y51" i="9" s="1"/>
  <c r="X51" i="9"/>
  <c r="P54" i="8" l="1"/>
  <c r="P644" i="7"/>
  <c r="P339" i="7"/>
  <c r="P54" i="7"/>
  <c r="P209" i="6"/>
  <c r="P54" i="6"/>
  <c r="Q52" i="9"/>
  <c r="Q644" i="7"/>
  <c r="Q54" i="7"/>
  <c r="X52" i="7"/>
  <c r="Q339" i="7"/>
  <c r="Q54" i="8"/>
  <c r="X52" i="8"/>
  <c r="X338" i="7"/>
  <c r="S208" i="6"/>
  <c r="X208" i="6" s="1"/>
  <c r="Q54" i="6"/>
  <c r="R644" i="7"/>
  <c r="X53" i="6"/>
  <c r="R339" i="7"/>
  <c r="S339" i="7" s="1"/>
  <c r="S644" i="7"/>
  <c r="R53" i="8"/>
  <c r="R54" i="6"/>
  <c r="W54" i="6" s="1"/>
  <c r="S54" i="6"/>
  <c r="R53" i="7"/>
  <c r="X643" i="7"/>
  <c r="W339" i="7"/>
  <c r="W644" i="7"/>
  <c r="Q209" i="6"/>
  <c r="R209" i="6" s="1"/>
  <c r="W53" i="8"/>
  <c r="S53" i="8"/>
  <c r="W53" i="7"/>
  <c r="S53" i="7"/>
  <c r="W209" i="6"/>
  <c r="R52" i="9"/>
  <c r="V52" i="9" s="1"/>
  <c r="U52" i="9"/>
  <c r="S52" i="9"/>
  <c r="T52" i="9"/>
  <c r="Y52" i="9" s="1"/>
  <c r="X52" i="9"/>
  <c r="P55" i="8" l="1"/>
  <c r="P645" i="7"/>
  <c r="P340" i="7"/>
  <c r="P55" i="7"/>
  <c r="P210" i="6"/>
  <c r="P55" i="6"/>
  <c r="Q53" i="9"/>
  <c r="Q645" i="7"/>
  <c r="Q55" i="7"/>
  <c r="X53" i="7"/>
  <c r="Q340" i="7"/>
  <c r="Q55" i="8"/>
  <c r="X53" i="8"/>
  <c r="X339" i="7"/>
  <c r="S209" i="6"/>
  <c r="X209" i="6" s="1"/>
  <c r="Q55" i="6"/>
  <c r="R645" i="7"/>
  <c r="X54" i="6"/>
  <c r="R340" i="7"/>
  <c r="S340" i="7" s="1"/>
  <c r="S645" i="7"/>
  <c r="R54" i="8"/>
  <c r="R55" i="6"/>
  <c r="W55" i="6" s="1"/>
  <c r="S55" i="6"/>
  <c r="R54" i="7"/>
  <c r="X644" i="7"/>
  <c r="W340" i="7"/>
  <c r="W645" i="7"/>
  <c r="Q210" i="6"/>
  <c r="R210" i="6" s="1"/>
  <c r="W54" i="8"/>
  <c r="S54" i="8"/>
  <c r="W54" i="7"/>
  <c r="S54" i="7"/>
  <c r="W210" i="6"/>
  <c r="R53" i="9"/>
  <c r="V53" i="9" s="1"/>
  <c r="U53" i="9"/>
  <c r="S53" i="9"/>
  <c r="T53" i="9"/>
  <c r="Y53" i="9" s="1"/>
  <c r="X53" i="9"/>
  <c r="P56" i="8" l="1"/>
  <c r="P646" i="7"/>
  <c r="P341" i="7"/>
  <c r="P56" i="7"/>
  <c r="P211" i="6"/>
  <c r="P56" i="6"/>
  <c r="Q54" i="9"/>
  <c r="Q646" i="7"/>
  <c r="Q56" i="7"/>
  <c r="X54" i="7"/>
  <c r="Q341" i="7"/>
  <c r="Q56" i="8"/>
  <c r="X54" i="8"/>
  <c r="X340" i="7"/>
  <c r="S210" i="6"/>
  <c r="X210" i="6" s="1"/>
  <c r="Q56" i="6"/>
  <c r="R646" i="7"/>
  <c r="X55" i="6"/>
  <c r="R341" i="7"/>
  <c r="S341" i="7" s="1"/>
  <c r="S646" i="7"/>
  <c r="R55" i="8"/>
  <c r="R56" i="6"/>
  <c r="W56" i="6" s="1"/>
  <c r="S56" i="6"/>
  <c r="R55" i="7"/>
  <c r="X645" i="7"/>
  <c r="W341" i="7"/>
  <c r="W646" i="7"/>
  <c r="Q211" i="6"/>
  <c r="R211" i="6" s="1"/>
  <c r="W55" i="8"/>
  <c r="S55" i="8"/>
  <c r="W55" i="7"/>
  <c r="S55" i="7"/>
  <c r="W211" i="6"/>
  <c r="R54" i="9"/>
  <c r="V54" i="9" s="1"/>
  <c r="U54" i="9"/>
  <c r="S54" i="9"/>
  <c r="T54" i="9"/>
  <c r="Y54" i="9" s="1"/>
  <c r="X54" i="9"/>
  <c r="P57" i="8" l="1"/>
  <c r="P647" i="7"/>
  <c r="P342" i="7"/>
  <c r="P57" i="7"/>
  <c r="P212" i="6"/>
  <c r="P57" i="6"/>
  <c r="Q55" i="9"/>
  <c r="Q647" i="7"/>
  <c r="Q57" i="7"/>
  <c r="X55" i="7"/>
  <c r="Q342" i="7"/>
  <c r="Q57" i="8"/>
  <c r="X55" i="8"/>
  <c r="X341" i="7"/>
  <c r="S211" i="6"/>
  <c r="X211" i="6" s="1"/>
  <c r="Q57" i="6"/>
  <c r="R647" i="7"/>
  <c r="X56" i="6"/>
  <c r="R342" i="7"/>
  <c r="S342" i="7" s="1"/>
  <c r="S647" i="7"/>
  <c r="R56" i="8"/>
  <c r="R57" i="6"/>
  <c r="W57" i="6" s="1"/>
  <c r="S57" i="6"/>
  <c r="R56" i="7"/>
  <c r="X646" i="7"/>
  <c r="W342" i="7"/>
  <c r="W647" i="7"/>
  <c r="Q212" i="6"/>
  <c r="R212" i="6" s="1"/>
  <c r="W56" i="8"/>
  <c r="S56" i="8"/>
  <c r="W56" i="7"/>
  <c r="S56" i="7"/>
  <c r="W212" i="6"/>
  <c r="R55" i="9"/>
  <c r="V55" i="9" s="1"/>
  <c r="U55" i="9"/>
  <c r="S55" i="9"/>
  <c r="T55" i="9"/>
  <c r="Y55" i="9" s="1"/>
  <c r="X55" i="9"/>
  <c r="P58" i="8" l="1"/>
  <c r="P648" i="7"/>
  <c r="P343" i="7"/>
  <c r="P58" i="7"/>
  <c r="P213" i="6"/>
  <c r="P58" i="6"/>
  <c r="Q56" i="9"/>
  <c r="Q648" i="7"/>
  <c r="Q58" i="7"/>
  <c r="X56" i="7"/>
  <c r="Q343" i="7"/>
  <c r="Q58" i="8"/>
  <c r="X56" i="8"/>
  <c r="X342" i="7"/>
  <c r="S212" i="6"/>
  <c r="X212" i="6" s="1"/>
  <c r="Q58" i="6"/>
  <c r="R648" i="7"/>
  <c r="X57" i="6"/>
  <c r="R343" i="7"/>
  <c r="S343" i="7" s="1"/>
  <c r="S648" i="7"/>
  <c r="R57" i="8"/>
  <c r="R58" i="6"/>
  <c r="W58" i="6" s="1"/>
  <c r="S58" i="6"/>
  <c r="R57" i="7"/>
  <c r="X647" i="7"/>
  <c r="W343" i="7"/>
  <c r="W648" i="7"/>
  <c r="Q213" i="6"/>
  <c r="R213" i="6" s="1"/>
  <c r="W57" i="8"/>
  <c r="S57" i="8"/>
  <c r="W57" i="7"/>
  <c r="S57" i="7"/>
  <c r="W213" i="6"/>
  <c r="R56" i="9"/>
  <c r="V56" i="9" s="1"/>
  <c r="U56" i="9"/>
  <c r="S56" i="9"/>
  <c r="T56" i="9"/>
  <c r="Y56" i="9" s="1"/>
  <c r="X56" i="9"/>
  <c r="P59" i="8" l="1"/>
  <c r="P649" i="7"/>
  <c r="P344" i="7"/>
  <c r="P59" i="7"/>
  <c r="P214" i="6"/>
  <c r="P59" i="6"/>
  <c r="Q57" i="9"/>
  <c r="Q649" i="7"/>
  <c r="Q59" i="7"/>
  <c r="X57" i="7"/>
  <c r="Q344" i="7"/>
  <c r="Q59" i="8"/>
  <c r="X57" i="8"/>
  <c r="X343" i="7"/>
  <c r="S213" i="6"/>
  <c r="X213" i="6" s="1"/>
  <c r="Q59" i="6"/>
  <c r="R649" i="7"/>
  <c r="X58" i="6"/>
  <c r="R344" i="7"/>
  <c r="S344" i="7" s="1"/>
  <c r="S649" i="7"/>
  <c r="R58" i="8"/>
  <c r="R59" i="6"/>
  <c r="W59" i="6" s="1"/>
  <c r="S59" i="6"/>
  <c r="R58" i="7"/>
  <c r="X648" i="7"/>
  <c r="W344" i="7"/>
  <c r="W649" i="7"/>
  <c r="Q214" i="6"/>
  <c r="R214" i="6" s="1"/>
  <c r="W58" i="8"/>
  <c r="S58" i="8"/>
  <c r="W58" i="7"/>
  <c r="S58" i="7"/>
  <c r="W214" i="6"/>
  <c r="R57" i="9"/>
  <c r="V57" i="9" s="1"/>
  <c r="U57" i="9"/>
  <c r="S57" i="9"/>
  <c r="T57" i="9"/>
  <c r="Y57" i="9" s="1"/>
  <c r="X57" i="9"/>
  <c r="P60" i="8" l="1"/>
  <c r="P650" i="7"/>
  <c r="P345" i="7"/>
  <c r="P60" i="7"/>
  <c r="P215" i="6"/>
  <c r="P60" i="6"/>
  <c r="Q58" i="9"/>
  <c r="Q650" i="7"/>
  <c r="Q60" i="7"/>
  <c r="X58" i="7"/>
  <c r="Q345" i="7"/>
  <c r="Q60" i="8"/>
  <c r="X58" i="8"/>
  <c r="X344" i="7"/>
  <c r="S214" i="6"/>
  <c r="X214" i="6" s="1"/>
  <c r="Q60" i="6"/>
  <c r="R650" i="7"/>
  <c r="X59" i="6"/>
  <c r="R345" i="7"/>
  <c r="S345" i="7" s="1"/>
  <c r="S650" i="7"/>
  <c r="R59" i="8"/>
  <c r="R60" i="6"/>
  <c r="W60" i="6" s="1"/>
  <c r="S60" i="6"/>
  <c r="R59" i="7"/>
  <c r="X649" i="7"/>
  <c r="W345" i="7"/>
  <c r="W650" i="7"/>
  <c r="Q215" i="6"/>
  <c r="R215" i="6" s="1"/>
  <c r="W59" i="8"/>
  <c r="S59" i="8"/>
  <c r="W59" i="7"/>
  <c r="S59" i="7"/>
  <c r="W215" i="6"/>
  <c r="R58" i="9"/>
  <c r="V58" i="9" s="1"/>
  <c r="U58" i="9"/>
  <c r="S58" i="9"/>
  <c r="T58" i="9"/>
  <c r="Y58" i="9" s="1"/>
  <c r="X58" i="9"/>
  <c r="P61" i="8" l="1"/>
  <c r="P651" i="7"/>
  <c r="P346" i="7"/>
  <c r="P61" i="7"/>
  <c r="P216" i="6"/>
  <c r="P61" i="6"/>
  <c r="Q59" i="9"/>
  <c r="Q651" i="7"/>
  <c r="Q61" i="7"/>
  <c r="X59" i="7"/>
  <c r="Q346" i="7"/>
  <c r="Q61" i="8"/>
  <c r="X59" i="8"/>
  <c r="X345" i="7"/>
  <c r="S215" i="6"/>
  <c r="X215" i="6" s="1"/>
  <c r="Q61" i="6"/>
  <c r="R651" i="7"/>
  <c r="X60" i="6"/>
  <c r="R346" i="7"/>
  <c r="S346" i="7" s="1"/>
  <c r="S651" i="7"/>
  <c r="R60" i="8"/>
  <c r="R61" i="6"/>
  <c r="W61" i="6" s="1"/>
  <c r="S61" i="6"/>
  <c r="R60" i="7"/>
  <c r="X650" i="7"/>
  <c r="W346" i="7"/>
  <c r="W651" i="7"/>
  <c r="Q216" i="6"/>
  <c r="R216" i="6" s="1"/>
  <c r="W60" i="8"/>
  <c r="S60" i="8"/>
  <c r="W60" i="7"/>
  <c r="S60" i="7"/>
  <c r="W216" i="6"/>
  <c r="R59" i="9"/>
  <c r="V59" i="9" s="1"/>
  <c r="U59" i="9"/>
  <c r="S59" i="9"/>
  <c r="T59" i="9"/>
  <c r="Y59" i="9" s="1"/>
  <c r="X59" i="9"/>
  <c r="P62" i="8" l="1"/>
  <c r="P652" i="7"/>
  <c r="P347" i="7"/>
  <c r="P62" i="7"/>
  <c r="P217" i="6"/>
  <c r="P62" i="6"/>
  <c r="Q60" i="9"/>
  <c r="Q652" i="7"/>
  <c r="Q62" i="7"/>
  <c r="X60" i="7"/>
  <c r="Q347" i="7"/>
  <c r="Q62" i="8"/>
  <c r="X60" i="8"/>
  <c r="X346" i="7"/>
  <c r="S216" i="6"/>
  <c r="X216" i="6" s="1"/>
  <c r="Q62" i="6"/>
  <c r="R652" i="7"/>
  <c r="X61" i="6"/>
  <c r="R347" i="7"/>
  <c r="S347" i="7" s="1"/>
  <c r="S652" i="7"/>
  <c r="R61" i="8"/>
  <c r="R62" i="6"/>
  <c r="W62" i="6" s="1"/>
  <c r="S62" i="6"/>
  <c r="R61" i="7"/>
  <c r="X651" i="7"/>
  <c r="W347" i="7"/>
  <c r="W652" i="7"/>
  <c r="Q217" i="6"/>
  <c r="R217" i="6" s="1"/>
  <c r="W61" i="8"/>
  <c r="S61" i="8"/>
  <c r="W61" i="7"/>
  <c r="S61" i="7"/>
  <c r="W217" i="6"/>
  <c r="R60" i="9"/>
  <c r="V60" i="9" s="1"/>
  <c r="U60" i="9"/>
  <c r="S60" i="9"/>
  <c r="T60" i="9"/>
  <c r="Y60" i="9" s="1"/>
  <c r="X60" i="9"/>
  <c r="P63" i="8" l="1"/>
  <c r="P653" i="7"/>
  <c r="P348" i="7"/>
  <c r="P63" i="7"/>
  <c r="P218" i="6"/>
  <c r="P63" i="6"/>
  <c r="Q61" i="9"/>
  <c r="Q653" i="7"/>
  <c r="Q63" i="7"/>
  <c r="X61" i="7"/>
  <c r="Q348" i="7"/>
  <c r="Q63" i="8"/>
  <c r="X61" i="8"/>
  <c r="X347" i="7"/>
  <c r="S217" i="6"/>
  <c r="X217" i="6" s="1"/>
  <c r="Q63" i="6"/>
  <c r="R653" i="7"/>
  <c r="X62" i="6"/>
  <c r="R348" i="7"/>
  <c r="S348" i="7" s="1"/>
  <c r="S653" i="7"/>
  <c r="R62" i="8"/>
  <c r="R63" i="6"/>
  <c r="W63" i="6" s="1"/>
  <c r="S63" i="6"/>
  <c r="R62" i="7"/>
  <c r="X652" i="7"/>
  <c r="W348" i="7"/>
  <c r="W653" i="7"/>
  <c r="Q218" i="6"/>
  <c r="R218" i="6" s="1"/>
  <c r="W62" i="8"/>
  <c r="S62" i="8"/>
  <c r="W62" i="7"/>
  <c r="S62" i="7"/>
  <c r="W218" i="6"/>
  <c r="R61" i="9"/>
  <c r="V61" i="9" s="1"/>
  <c r="U61" i="9"/>
  <c r="S61" i="9"/>
  <c r="T61" i="9"/>
  <c r="Y61" i="9" s="1"/>
  <c r="X61" i="9"/>
  <c r="P64" i="8" l="1"/>
  <c r="P654" i="7"/>
  <c r="P349" i="7"/>
  <c r="P64" i="7"/>
  <c r="P219" i="6"/>
  <c r="P64" i="6"/>
  <c r="Q62" i="9"/>
  <c r="Q654" i="7"/>
  <c r="Q64" i="7"/>
  <c r="X62" i="7"/>
  <c r="Q349" i="7"/>
  <c r="Q64" i="8"/>
  <c r="X62" i="8"/>
  <c r="X348" i="7"/>
  <c r="S218" i="6"/>
  <c r="X218" i="6" s="1"/>
  <c r="Q64" i="6"/>
  <c r="R654" i="7"/>
  <c r="X63" i="6"/>
  <c r="R349" i="7"/>
  <c r="S349" i="7" s="1"/>
  <c r="S654" i="7"/>
  <c r="R63" i="8"/>
  <c r="R64" i="6"/>
  <c r="W64" i="6" s="1"/>
  <c r="S64" i="6"/>
  <c r="R63" i="7"/>
  <c r="X653" i="7"/>
  <c r="W349" i="7"/>
  <c r="W654" i="7"/>
  <c r="Q219" i="6"/>
  <c r="R219" i="6" s="1"/>
  <c r="W63" i="8"/>
  <c r="S63" i="8"/>
  <c r="W63" i="7"/>
  <c r="S63" i="7"/>
  <c r="W219" i="6"/>
  <c r="R62" i="9"/>
  <c r="V62" i="9" s="1"/>
  <c r="U62" i="9"/>
  <c r="S62" i="9"/>
  <c r="T62" i="9"/>
  <c r="Y62" i="9" s="1"/>
  <c r="X62" i="9"/>
  <c r="P65" i="8" l="1"/>
  <c r="P655" i="7"/>
  <c r="P350" i="7"/>
  <c r="P65" i="7"/>
  <c r="P220" i="6"/>
  <c r="P65" i="6"/>
  <c r="Q63" i="9"/>
  <c r="Q655" i="7"/>
  <c r="Q65" i="7"/>
  <c r="X63" i="7"/>
  <c r="Q350" i="7"/>
  <c r="Q65" i="8"/>
  <c r="X63" i="8"/>
  <c r="X349" i="7"/>
  <c r="S219" i="6"/>
  <c r="X219" i="6" s="1"/>
  <c r="Q65" i="6"/>
  <c r="R655" i="7"/>
  <c r="X64" i="6"/>
  <c r="R350" i="7"/>
  <c r="S350" i="7" s="1"/>
  <c r="S655" i="7"/>
  <c r="R64" i="8"/>
  <c r="R65" i="6"/>
  <c r="W65" i="6" s="1"/>
  <c r="S65" i="6"/>
  <c r="R64" i="7"/>
  <c r="X654" i="7"/>
  <c r="W350" i="7"/>
  <c r="W655" i="7"/>
  <c r="Q220" i="6"/>
  <c r="R220" i="6" s="1"/>
  <c r="W64" i="8"/>
  <c r="S64" i="8"/>
  <c r="W64" i="7"/>
  <c r="S64" i="7"/>
  <c r="W220" i="6"/>
  <c r="R63" i="9"/>
  <c r="V63" i="9" s="1"/>
  <c r="U63" i="9"/>
  <c r="S63" i="9"/>
  <c r="T63" i="9"/>
  <c r="Y63" i="9" s="1"/>
  <c r="X63" i="9"/>
  <c r="P66" i="8" l="1"/>
  <c r="P656" i="7"/>
  <c r="P351" i="7"/>
  <c r="P66" i="7"/>
  <c r="P221" i="6"/>
  <c r="P66" i="6"/>
  <c r="Q64" i="9"/>
  <c r="Q656" i="7"/>
  <c r="Q66" i="7"/>
  <c r="X64" i="7"/>
  <c r="Q351" i="7"/>
  <c r="Q66" i="8"/>
  <c r="X64" i="8"/>
  <c r="X350" i="7"/>
  <c r="S220" i="6"/>
  <c r="X220" i="6" s="1"/>
  <c r="Q66" i="6"/>
  <c r="R656" i="7"/>
  <c r="X65" i="6"/>
  <c r="R351" i="7"/>
  <c r="S351" i="7" s="1"/>
  <c r="S656" i="7"/>
  <c r="R65" i="8"/>
  <c r="R66" i="6"/>
  <c r="W66" i="6" s="1"/>
  <c r="S66" i="6"/>
  <c r="R65" i="7"/>
  <c r="X655" i="7"/>
  <c r="W351" i="7"/>
  <c r="W656" i="7"/>
  <c r="Q221" i="6"/>
  <c r="R221" i="6" s="1"/>
  <c r="W65" i="8"/>
  <c r="S65" i="8"/>
  <c r="W65" i="7"/>
  <c r="S65" i="7"/>
  <c r="W221" i="6"/>
  <c r="R64" i="9"/>
  <c r="V64" i="9" s="1"/>
  <c r="U64" i="9"/>
  <c r="S64" i="9"/>
  <c r="T64" i="9"/>
  <c r="Y64" i="9" s="1"/>
  <c r="X64" i="9"/>
  <c r="P67" i="8" l="1"/>
  <c r="P657" i="7"/>
  <c r="P352" i="7"/>
  <c r="P67" i="7"/>
  <c r="P222" i="6"/>
  <c r="P67" i="6"/>
  <c r="Q65" i="9"/>
  <c r="Q657" i="7"/>
  <c r="Q67" i="7"/>
  <c r="X65" i="7"/>
  <c r="Q352" i="7"/>
  <c r="Q67" i="8"/>
  <c r="X65" i="8"/>
  <c r="X351" i="7"/>
  <c r="S221" i="6"/>
  <c r="X221" i="6" s="1"/>
  <c r="Q67" i="6"/>
  <c r="R657" i="7"/>
  <c r="X66" i="6"/>
  <c r="R352" i="7"/>
  <c r="S352" i="7" s="1"/>
  <c r="S657" i="7"/>
  <c r="R66" i="8"/>
  <c r="R67" i="6"/>
  <c r="W67" i="6" s="1"/>
  <c r="S67" i="6"/>
  <c r="R66" i="7"/>
  <c r="X656" i="7"/>
  <c r="W352" i="7"/>
  <c r="W657" i="7"/>
  <c r="Q222" i="6"/>
  <c r="R222" i="6" s="1"/>
  <c r="W66" i="8"/>
  <c r="S66" i="8"/>
  <c r="W66" i="7"/>
  <c r="S66" i="7"/>
  <c r="W222" i="6"/>
  <c r="R65" i="9"/>
  <c r="V65" i="9" s="1"/>
  <c r="U65" i="9"/>
  <c r="S65" i="9"/>
  <c r="T65" i="9"/>
  <c r="Y65" i="9" s="1"/>
  <c r="X65" i="9"/>
  <c r="P68" i="8" l="1"/>
  <c r="P658" i="7"/>
  <c r="P353" i="7"/>
  <c r="P68" i="7"/>
  <c r="P223" i="6"/>
  <c r="P68" i="6"/>
  <c r="Q66" i="9"/>
  <c r="Q658" i="7"/>
  <c r="Q68" i="7"/>
  <c r="X66" i="7"/>
  <c r="Q353" i="7"/>
  <c r="Q68" i="8"/>
  <c r="X66" i="8"/>
  <c r="X352" i="7"/>
  <c r="S222" i="6"/>
  <c r="X222" i="6" s="1"/>
  <c r="Q68" i="6"/>
  <c r="R658" i="7"/>
  <c r="X67" i="6"/>
  <c r="R353" i="7"/>
  <c r="S353" i="7" s="1"/>
  <c r="S658" i="7"/>
  <c r="R67" i="8"/>
  <c r="R68" i="6"/>
  <c r="W68" i="6" s="1"/>
  <c r="S68" i="6"/>
  <c r="R67" i="7"/>
  <c r="X657" i="7"/>
  <c r="W353" i="7"/>
  <c r="W658" i="7"/>
  <c r="Q223" i="6"/>
  <c r="R223" i="6" s="1"/>
  <c r="W67" i="8"/>
  <c r="S67" i="8"/>
  <c r="W67" i="7"/>
  <c r="S67" i="7"/>
  <c r="W223" i="6"/>
  <c r="R66" i="9"/>
  <c r="V66" i="9" s="1"/>
  <c r="U66" i="9"/>
  <c r="S66" i="9"/>
  <c r="T66" i="9"/>
  <c r="Y66" i="9" s="1"/>
  <c r="X66" i="9"/>
  <c r="P69" i="8" l="1"/>
  <c r="P659" i="7"/>
  <c r="P354" i="7"/>
  <c r="P69" i="7"/>
  <c r="P224" i="6"/>
  <c r="P69" i="6"/>
  <c r="Q67" i="9"/>
  <c r="X67" i="7"/>
  <c r="Q354" i="7"/>
  <c r="X67" i="8"/>
  <c r="Q69" i="8"/>
  <c r="Q659" i="7"/>
  <c r="S223" i="6"/>
  <c r="X223" i="6" s="1"/>
  <c r="X68" i="6"/>
  <c r="X353" i="7"/>
  <c r="R354" i="7"/>
  <c r="R68" i="8"/>
  <c r="Q69" i="6"/>
  <c r="R69" i="6" s="1"/>
  <c r="W69" i="6" s="1"/>
  <c r="R68" i="7"/>
  <c r="X658" i="7"/>
  <c r="Q224" i="6"/>
  <c r="R224" i="6" s="1"/>
  <c r="R659" i="7"/>
  <c r="Q69" i="7"/>
  <c r="R69" i="7" s="1"/>
  <c r="R69" i="8"/>
  <c r="W354" i="7"/>
  <c r="S69" i="6"/>
  <c r="W68" i="8"/>
  <c r="S68" i="8"/>
  <c r="W68" i="7"/>
  <c r="S68" i="7"/>
  <c r="W224" i="6"/>
  <c r="W659" i="7"/>
  <c r="S659" i="7"/>
  <c r="W69" i="7"/>
  <c r="S69" i="7"/>
  <c r="S69" i="8"/>
  <c r="W69" i="8"/>
  <c r="X69" i="8"/>
  <c r="R67" i="9"/>
  <c r="V67" i="9" s="1"/>
  <c r="U67" i="9"/>
  <c r="S67" i="9"/>
  <c r="T67" i="9"/>
  <c r="Y67" i="9" s="1"/>
  <c r="X67" i="9"/>
  <c r="P70" i="8" l="1"/>
  <c r="P660" i="7"/>
  <c r="P355" i="7"/>
  <c r="P70" i="7"/>
  <c r="P225" i="6"/>
  <c r="P70" i="6"/>
  <c r="Q68" i="9"/>
  <c r="X68" i="7"/>
  <c r="Q660" i="7"/>
  <c r="X68" i="8"/>
  <c r="X69" i="7"/>
  <c r="S224" i="6"/>
  <c r="X224" i="6" s="1"/>
  <c r="Q70" i="6"/>
  <c r="S354" i="7"/>
  <c r="X659" i="7"/>
  <c r="R70" i="6"/>
  <c r="R660" i="7"/>
  <c r="X69" i="6"/>
  <c r="X354" i="7"/>
  <c r="Q70" i="7"/>
  <c r="R70" i="7" s="1"/>
  <c r="Q355" i="7"/>
  <c r="R355" i="7" s="1"/>
  <c r="W70" i="6"/>
  <c r="S660" i="7"/>
  <c r="Q70" i="8"/>
  <c r="R70" i="8" s="1"/>
  <c r="W70" i="8"/>
  <c r="Q225" i="6"/>
  <c r="R225" i="6" s="1"/>
  <c r="S70" i="8"/>
  <c r="S70" i="6"/>
  <c r="X70" i="6" s="1"/>
  <c r="W70" i="7"/>
  <c r="S70" i="7"/>
  <c r="W355" i="7"/>
  <c r="S355" i="7"/>
  <c r="W225" i="6"/>
  <c r="S225" i="6"/>
  <c r="R68" i="9"/>
  <c r="V68" i="9" s="1"/>
  <c r="U68" i="9"/>
  <c r="S68" i="9"/>
  <c r="T68" i="9"/>
  <c r="Y68" i="9" s="1"/>
  <c r="X68" i="9"/>
  <c r="P71" i="8" l="1"/>
  <c r="P661" i="7"/>
  <c r="P356" i="7"/>
  <c r="P71" i="7"/>
  <c r="P226" i="6"/>
  <c r="P71" i="6"/>
  <c r="Q69" i="9"/>
  <c r="X70" i="7"/>
  <c r="X355" i="7"/>
  <c r="Q71" i="8"/>
  <c r="X70" i="8"/>
  <c r="Q71" i="6"/>
  <c r="W660" i="7"/>
  <c r="R71" i="6"/>
  <c r="S71" i="6" s="1"/>
  <c r="X71" i="6"/>
  <c r="X225" i="6"/>
  <c r="W71" i="6"/>
  <c r="X660" i="7"/>
  <c r="Q226" i="6"/>
  <c r="R226" i="6" s="1"/>
  <c r="Q356" i="7"/>
  <c r="R356" i="7" s="1"/>
  <c r="Q661" i="7"/>
  <c r="R661" i="7" s="1"/>
  <c r="Q71" i="7"/>
  <c r="W226" i="6"/>
  <c r="W356" i="7"/>
  <c r="S356" i="7"/>
  <c r="W661" i="7"/>
  <c r="S661" i="7"/>
  <c r="R69" i="9"/>
  <c r="V69" i="9" s="1"/>
  <c r="U69" i="9"/>
  <c r="S69" i="9"/>
  <c r="T69" i="9"/>
  <c r="Y69" i="9" s="1"/>
  <c r="X69" i="9"/>
  <c r="P72" i="8" l="1"/>
  <c r="P662" i="7"/>
  <c r="P357" i="7"/>
  <c r="P72" i="7"/>
  <c r="P227" i="6"/>
  <c r="P72" i="6"/>
  <c r="Q70" i="9"/>
  <c r="X356" i="7"/>
  <c r="Q72" i="8"/>
  <c r="R71" i="7"/>
  <c r="Q72" i="6"/>
  <c r="S226" i="6"/>
  <c r="R72" i="6"/>
  <c r="S72" i="6" s="1"/>
  <c r="X72" i="6"/>
  <c r="R71" i="8"/>
  <c r="X661" i="7"/>
  <c r="W72" i="6"/>
  <c r="X226" i="6"/>
  <c r="Q227" i="6"/>
  <c r="R227" i="6" s="1"/>
  <c r="Q357" i="7"/>
  <c r="R357" i="7" s="1"/>
  <c r="Q662" i="7"/>
  <c r="R662" i="7" s="1"/>
  <c r="Q72" i="7"/>
  <c r="S71" i="7"/>
  <c r="X71" i="7" s="1"/>
  <c r="W71" i="7"/>
  <c r="W71" i="8"/>
  <c r="S71" i="8"/>
  <c r="W227" i="6"/>
  <c r="W357" i="7"/>
  <c r="S357" i="7"/>
  <c r="W662" i="7"/>
  <c r="S662" i="7"/>
  <c r="R70" i="9"/>
  <c r="V70" i="9" s="1"/>
  <c r="U70" i="9"/>
  <c r="S70" i="9"/>
  <c r="T70" i="9"/>
  <c r="Y70" i="9" s="1"/>
  <c r="X70" i="9"/>
  <c r="P73" i="8" l="1"/>
  <c r="P663" i="7"/>
  <c r="P358" i="7"/>
  <c r="P73" i="7"/>
  <c r="P228" i="6"/>
  <c r="P73" i="6"/>
  <c r="Q71" i="9"/>
  <c r="X357" i="7"/>
  <c r="Q73" i="8"/>
  <c r="X71" i="8"/>
  <c r="Q73" i="6"/>
  <c r="R72" i="7"/>
  <c r="S227" i="6"/>
  <c r="R73" i="6"/>
  <c r="S73" i="6" s="1"/>
  <c r="X73" i="6"/>
  <c r="R72" i="8"/>
  <c r="X662" i="7"/>
  <c r="W73" i="6"/>
  <c r="X227" i="6"/>
  <c r="Q228" i="6"/>
  <c r="R228" i="6" s="1"/>
  <c r="Q358" i="7"/>
  <c r="R358" i="7" s="1"/>
  <c r="Q663" i="7"/>
  <c r="R663" i="7" s="1"/>
  <c r="Q73" i="7"/>
  <c r="S72" i="7"/>
  <c r="X72" i="7" s="1"/>
  <c r="W72" i="7"/>
  <c r="W72" i="8"/>
  <c r="S72" i="8"/>
  <c r="W228" i="6"/>
  <c r="W358" i="7"/>
  <c r="S358" i="7"/>
  <c r="W663" i="7"/>
  <c r="S663" i="7"/>
  <c r="R71" i="9"/>
  <c r="V71" i="9" s="1"/>
  <c r="U71" i="9"/>
  <c r="S71" i="9"/>
  <c r="T71" i="9"/>
  <c r="Y71" i="9" s="1"/>
  <c r="X71" i="9"/>
  <c r="P74" i="8" l="1"/>
  <c r="P664" i="7"/>
  <c r="P359" i="7"/>
  <c r="P74" i="7"/>
  <c r="P229" i="6"/>
  <c r="P74" i="6"/>
  <c r="Q72" i="9"/>
  <c r="X358" i="7"/>
  <c r="Q74" i="8"/>
  <c r="X72" i="8"/>
  <c r="Q74" i="6"/>
  <c r="Q229" i="6"/>
  <c r="R229" i="6" s="1"/>
  <c r="Q664" i="7"/>
  <c r="Q74" i="7"/>
  <c r="R73" i="7"/>
  <c r="R664" i="7"/>
  <c r="W664" i="7" s="1"/>
  <c r="S228" i="6"/>
  <c r="R74" i="6"/>
  <c r="S74" i="6" s="1"/>
  <c r="S664" i="7"/>
  <c r="X74" i="6"/>
  <c r="R73" i="8"/>
  <c r="X663" i="7"/>
  <c r="W229" i="6"/>
  <c r="W74" i="6"/>
  <c r="X228" i="6"/>
  <c r="Q359" i="7"/>
  <c r="R359" i="7" s="1"/>
  <c r="S73" i="7"/>
  <c r="X73" i="7" s="1"/>
  <c r="W73" i="7"/>
  <c r="W73" i="8"/>
  <c r="S73" i="8"/>
  <c r="W359" i="7"/>
  <c r="S359" i="7"/>
  <c r="R72" i="9"/>
  <c r="V72" i="9" s="1"/>
  <c r="U72" i="9"/>
  <c r="S72" i="9"/>
  <c r="T72" i="9"/>
  <c r="Y72" i="9" s="1"/>
  <c r="X72" i="9"/>
  <c r="P75" i="8" l="1"/>
  <c r="P665" i="7"/>
  <c r="P360" i="7"/>
  <c r="P75" i="7"/>
  <c r="P230" i="6"/>
  <c r="P75" i="6"/>
  <c r="Q73" i="9"/>
  <c r="X359" i="7"/>
  <c r="Q75" i="8"/>
  <c r="X73" i="8"/>
  <c r="Q75" i="6"/>
  <c r="R74" i="7"/>
  <c r="S229" i="6"/>
  <c r="R75" i="6"/>
  <c r="S75" i="6" s="1"/>
  <c r="X75" i="6"/>
  <c r="R74" i="8"/>
  <c r="X664" i="7"/>
  <c r="W75" i="6"/>
  <c r="X229" i="6"/>
  <c r="Q230" i="6"/>
  <c r="R230" i="6" s="1"/>
  <c r="Q360" i="7"/>
  <c r="R360" i="7" s="1"/>
  <c r="Q665" i="7"/>
  <c r="R665" i="7" s="1"/>
  <c r="Q75" i="7"/>
  <c r="W74" i="7"/>
  <c r="S74" i="7"/>
  <c r="X74" i="7" s="1"/>
  <c r="W74" i="8"/>
  <c r="S74" i="8"/>
  <c r="W230" i="6"/>
  <c r="W360" i="7"/>
  <c r="S360" i="7"/>
  <c r="W665" i="7"/>
  <c r="S665" i="7"/>
  <c r="R73" i="9"/>
  <c r="V73" i="9" s="1"/>
  <c r="U73" i="9"/>
  <c r="S73" i="9"/>
  <c r="T73" i="9"/>
  <c r="Y73" i="9" s="1"/>
  <c r="X73" i="9"/>
  <c r="P76" i="8" l="1"/>
  <c r="P666" i="7"/>
  <c r="P361" i="7"/>
  <c r="P76" i="7"/>
  <c r="P231" i="6"/>
  <c r="P76" i="6"/>
  <c r="Q74" i="9"/>
  <c r="X360" i="7"/>
  <c r="X74" i="8"/>
  <c r="Q76" i="6"/>
  <c r="R75" i="7"/>
  <c r="Q76" i="7"/>
  <c r="S230" i="6"/>
  <c r="R76" i="6"/>
  <c r="Q231" i="6"/>
  <c r="R75" i="8"/>
  <c r="X665" i="7"/>
  <c r="W76" i="6"/>
  <c r="X230" i="6"/>
  <c r="Q666" i="7"/>
  <c r="R666" i="7" s="1"/>
  <c r="S666" i="7" s="1"/>
  <c r="W666" i="7"/>
  <c r="Q361" i="7"/>
  <c r="R361" i="7" s="1"/>
  <c r="W361" i="7" s="1"/>
  <c r="S361" i="7"/>
  <c r="Q76" i="8"/>
  <c r="S75" i="7"/>
  <c r="X75" i="7" s="1"/>
  <c r="W75" i="7"/>
  <c r="S76" i="6"/>
  <c r="X76" i="6" s="1"/>
  <c r="W75" i="8"/>
  <c r="S75" i="8"/>
  <c r="R74" i="9"/>
  <c r="V74" i="9" s="1"/>
  <c r="U74" i="9"/>
  <c r="S74" i="9"/>
  <c r="T74" i="9"/>
  <c r="Y74" i="9" s="1"/>
  <c r="X74" i="9"/>
  <c r="P77" i="8" l="1"/>
  <c r="P667" i="7"/>
  <c r="P362" i="7"/>
  <c r="P77" i="7"/>
  <c r="P232" i="6"/>
  <c r="P77" i="6"/>
  <c r="Q75" i="9"/>
  <c r="X75" i="8"/>
  <c r="X361" i="7"/>
  <c r="Q77" i="8"/>
  <c r="Q77" i="6"/>
  <c r="R76" i="8"/>
  <c r="R231" i="6"/>
  <c r="R77" i="6"/>
  <c r="S77" i="6" s="1"/>
  <c r="X77" i="6"/>
  <c r="R76" i="7"/>
  <c r="W77" i="6"/>
  <c r="X666" i="7"/>
  <c r="Q232" i="6"/>
  <c r="R232" i="6" s="1"/>
  <c r="Q362" i="7"/>
  <c r="R362" i="7" s="1"/>
  <c r="Q667" i="7"/>
  <c r="R667" i="7" s="1"/>
  <c r="Q77" i="7"/>
  <c r="W76" i="8"/>
  <c r="S76" i="8"/>
  <c r="S231" i="6"/>
  <c r="X231" i="6" s="1"/>
  <c r="W231" i="6"/>
  <c r="S76" i="7"/>
  <c r="X76" i="7"/>
  <c r="W76" i="7"/>
  <c r="W232" i="6"/>
  <c r="W362" i="7"/>
  <c r="S362" i="7"/>
  <c r="W667" i="7"/>
  <c r="S667" i="7"/>
  <c r="R75" i="9"/>
  <c r="V75" i="9" s="1"/>
  <c r="U75" i="9"/>
  <c r="S75" i="9"/>
  <c r="T75" i="9"/>
  <c r="Y75" i="9" s="1"/>
  <c r="X75" i="9"/>
  <c r="P78" i="8" l="1"/>
  <c r="P668" i="7"/>
  <c r="P363" i="7"/>
  <c r="P78" i="7"/>
  <c r="P233" i="6"/>
  <c r="P78" i="6"/>
  <c r="Q76" i="9"/>
  <c r="X362" i="7"/>
  <c r="Q78" i="8"/>
  <c r="X76" i="8"/>
  <c r="Q78" i="6"/>
  <c r="R77" i="7"/>
  <c r="S232" i="6"/>
  <c r="R78" i="6"/>
  <c r="S78" i="6" s="1"/>
  <c r="X78" i="6"/>
  <c r="R77" i="8"/>
  <c r="X667" i="7"/>
  <c r="W78" i="6"/>
  <c r="X232" i="6"/>
  <c r="Q233" i="6"/>
  <c r="R233" i="6" s="1"/>
  <c r="Q363" i="7"/>
  <c r="R363" i="7" s="1"/>
  <c r="Q668" i="7"/>
  <c r="R668" i="7" s="1"/>
  <c r="Q78" i="7"/>
  <c r="S77" i="7"/>
  <c r="X77" i="7" s="1"/>
  <c r="W77" i="7"/>
  <c r="W77" i="8"/>
  <c r="S77" i="8"/>
  <c r="W233" i="6"/>
  <c r="W363" i="7"/>
  <c r="S363" i="7"/>
  <c r="W668" i="7"/>
  <c r="S668" i="7"/>
  <c r="R76" i="9"/>
  <c r="V76" i="9" s="1"/>
  <c r="U76" i="9"/>
  <c r="S76" i="9"/>
  <c r="X76" i="9"/>
  <c r="T76" i="9"/>
  <c r="Y76" i="9" s="1"/>
  <c r="P669" i="7" l="1"/>
  <c r="P364" i="7"/>
  <c r="P79" i="7"/>
  <c r="P234" i="6"/>
  <c r="P79" i="6"/>
  <c r="Q77" i="9"/>
  <c r="X363" i="7"/>
  <c r="X77" i="8"/>
  <c r="R78" i="7"/>
  <c r="S233" i="6"/>
  <c r="X668" i="7"/>
  <c r="R78" i="8"/>
  <c r="Q364" i="7"/>
  <c r="X233" i="6"/>
  <c r="Q234" i="6"/>
  <c r="R234" i="6" s="1"/>
  <c r="Q79" i="7"/>
  <c r="R79" i="7" s="1"/>
  <c r="Q79" i="6"/>
  <c r="R79" i="6" s="1"/>
  <c r="W79" i="6" s="1"/>
  <c r="Q669" i="7"/>
  <c r="R669" i="7" s="1"/>
  <c r="S79" i="6"/>
  <c r="R364" i="7"/>
  <c r="W364" i="7" s="1"/>
  <c r="S364" i="7"/>
  <c r="S78" i="7"/>
  <c r="X78" i="7" s="1"/>
  <c r="W78" i="7"/>
  <c r="W78" i="8"/>
  <c r="S78" i="8"/>
  <c r="W234" i="6"/>
  <c r="S234" i="6"/>
  <c r="S79" i="7"/>
  <c r="W79" i="7"/>
  <c r="W669" i="7"/>
  <c r="S669" i="7"/>
  <c r="R77" i="9"/>
  <c r="V77" i="9" s="1"/>
  <c r="U77" i="9"/>
  <c r="S77" i="9"/>
  <c r="T77" i="9"/>
  <c r="Y77" i="9" s="1"/>
  <c r="X77" i="9"/>
  <c r="P670" i="7" l="1"/>
  <c r="P365" i="7"/>
  <c r="P80" i="7"/>
  <c r="P235" i="6"/>
  <c r="P80" i="6"/>
  <c r="Q78" i="9"/>
  <c r="X79" i="7"/>
  <c r="X78" i="8"/>
  <c r="X79" i="6"/>
  <c r="X669" i="7"/>
  <c r="Q365" i="7"/>
  <c r="X364" i="7"/>
  <c r="Q235" i="6"/>
  <c r="Q80" i="7"/>
  <c r="Q80" i="6"/>
  <c r="R80" i="6" s="1"/>
  <c r="W80" i="6" s="1"/>
  <c r="Q670" i="7"/>
  <c r="R670" i="7" s="1"/>
  <c r="S80" i="6"/>
  <c r="R365" i="7"/>
  <c r="W365" i="7" s="1"/>
  <c r="S365" i="7"/>
  <c r="X234" i="6"/>
  <c r="R235" i="6"/>
  <c r="R80" i="7"/>
  <c r="W670" i="7"/>
  <c r="S670" i="7"/>
  <c r="W235" i="6"/>
  <c r="S235" i="6"/>
  <c r="S80" i="7"/>
  <c r="W80" i="7"/>
  <c r="R78" i="9"/>
  <c r="V78" i="9" s="1"/>
  <c r="U78" i="9"/>
  <c r="S78" i="9"/>
  <c r="T78" i="9"/>
  <c r="Y78" i="9" s="1"/>
  <c r="X78" i="9"/>
  <c r="P671" i="7" l="1"/>
  <c r="P366" i="7"/>
  <c r="P81" i="7"/>
  <c r="P236" i="6"/>
  <c r="P81" i="6"/>
  <c r="Q79" i="9"/>
  <c r="X80" i="7"/>
  <c r="X80" i="6"/>
  <c r="X670" i="7"/>
  <c r="Q366" i="7"/>
  <c r="X365" i="7"/>
  <c r="Q236" i="6"/>
  <c r="Q81" i="7"/>
  <c r="Q81" i="6"/>
  <c r="R81" i="6" s="1"/>
  <c r="W81" i="6" s="1"/>
  <c r="Q671" i="7"/>
  <c r="R671" i="7" s="1"/>
  <c r="S81" i="6"/>
  <c r="R366" i="7"/>
  <c r="W366" i="7" s="1"/>
  <c r="S366" i="7"/>
  <c r="X235" i="6"/>
  <c r="R236" i="6"/>
  <c r="R81" i="7"/>
  <c r="W671" i="7"/>
  <c r="S671" i="7"/>
  <c r="W236" i="6"/>
  <c r="S236" i="6"/>
  <c r="S81" i="7"/>
  <c r="W81" i="7"/>
  <c r="R79" i="9"/>
  <c r="V79" i="9" s="1"/>
  <c r="U79" i="9"/>
  <c r="S79" i="9"/>
  <c r="T79" i="9"/>
  <c r="Y79" i="9" s="1"/>
  <c r="X79" i="9"/>
  <c r="P672" i="7" l="1"/>
  <c r="P367" i="7"/>
  <c r="P82" i="7"/>
  <c r="P237" i="6"/>
  <c r="P82" i="6"/>
  <c r="Q80" i="9"/>
  <c r="X81" i="7"/>
  <c r="X81" i="6"/>
  <c r="X671" i="7"/>
  <c r="Q367" i="7"/>
  <c r="X366" i="7"/>
  <c r="Q237" i="6"/>
  <c r="Q82" i="7"/>
  <c r="Q82" i="6"/>
  <c r="R82" i="6" s="1"/>
  <c r="W82" i="6" s="1"/>
  <c r="Q672" i="7"/>
  <c r="R672" i="7" s="1"/>
  <c r="S82" i="6"/>
  <c r="R367" i="7"/>
  <c r="W367" i="7" s="1"/>
  <c r="S367" i="7"/>
  <c r="X236" i="6"/>
  <c r="R237" i="6"/>
  <c r="R82" i="7"/>
  <c r="W672" i="7"/>
  <c r="S672" i="7"/>
  <c r="W237" i="6"/>
  <c r="S237" i="6"/>
  <c r="S82" i="7"/>
  <c r="W82" i="7"/>
  <c r="R80" i="9"/>
  <c r="V80" i="9" s="1"/>
  <c r="U80" i="9"/>
  <c r="S80" i="9"/>
  <c r="T80" i="9"/>
  <c r="Y80" i="9" s="1"/>
  <c r="X80" i="9"/>
  <c r="P673" i="7" l="1"/>
  <c r="P368" i="7"/>
  <c r="P83" i="7"/>
  <c r="P238" i="6"/>
  <c r="P83" i="6"/>
  <c r="Q81" i="9"/>
  <c r="X82" i="7"/>
  <c r="X82" i="6"/>
  <c r="X672" i="7"/>
  <c r="Q368" i="7"/>
  <c r="X367" i="7"/>
  <c r="Q238" i="6"/>
  <c r="Q83" i="7"/>
  <c r="Q83" i="6"/>
  <c r="R83" i="6" s="1"/>
  <c r="W83" i="6" s="1"/>
  <c r="Q673" i="7"/>
  <c r="R673" i="7" s="1"/>
  <c r="S83" i="6"/>
  <c r="R368" i="7"/>
  <c r="W368" i="7" s="1"/>
  <c r="S368" i="7"/>
  <c r="X237" i="6"/>
  <c r="R238" i="6"/>
  <c r="R83" i="7"/>
  <c r="W673" i="7"/>
  <c r="S673" i="7"/>
  <c r="W238" i="6"/>
  <c r="S238" i="6"/>
  <c r="S83" i="7"/>
  <c r="W83" i="7"/>
  <c r="R81" i="9"/>
  <c r="V81" i="9" s="1"/>
  <c r="U81" i="9"/>
  <c r="S81" i="9"/>
  <c r="T81" i="9"/>
  <c r="Y81" i="9" s="1"/>
  <c r="X81" i="9"/>
  <c r="P674" i="7" l="1"/>
  <c r="P369" i="7"/>
  <c r="P84" i="7"/>
  <c r="P239" i="6"/>
  <c r="P84" i="6"/>
  <c r="Q82" i="9"/>
  <c r="X83" i="7"/>
  <c r="X83" i="6"/>
  <c r="X673" i="7"/>
  <c r="Q369" i="7"/>
  <c r="X368" i="7"/>
  <c r="Q239" i="6"/>
  <c r="Q84" i="7"/>
  <c r="Q84" i="6"/>
  <c r="R84" i="6" s="1"/>
  <c r="W84" i="6" s="1"/>
  <c r="Q674" i="7"/>
  <c r="R674" i="7" s="1"/>
  <c r="S84" i="6"/>
  <c r="R369" i="7"/>
  <c r="W369" i="7" s="1"/>
  <c r="S369" i="7"/>
  <c r="X238" i="6"/>
  <c r="R239" i="6"/>
  <c r="R84" i="7"/>
  <c r="W674" i="7"/>
  <c r="S674" i="7"/>
  <c r="W239" i="6"/>
  <c r="S239" i="6"/>
  <c r="S84" i="7"/>
  <c r="W84" i="7"/>
  <c r="R82" i="9"/>
  <c r="V82" i="9" s="1"/>
  <c r="U82" i="9"/>
  <c r="S82" i="9"/>
  <c r="T82" i="9"/>
  <c r="Y82" i="9" s="1"/>
  <c r="X82" i="9"/>
  <c r="P675" i="7" l="1"/>
  <c r="P370" i="7"/>
  <c r="P85" i="7"/>
  <c r="P240" i="6"/>
  <c r="P85" i="6"/>
  <c r="Q83" i="9"/>
  <c r="X84" i="7"/>
  <c r="X84" i="6"/>
  <c r="X674" i="7"/>
  <c r="Q370" i="7"/>
  <c r="Q85" i="7"/>
  <c r="R85" i="7" s="1"/>
  <c r="W85" i="7" s="1"/>
  <c r="S85" i="7"/>
  <c r="X369" i="7"/>
  <c r="Q240" i="6"/>
  <c r="Q85" i="6"/>
  <c r="R85" i="6" s="1"/>
  <c r="Q675" i="7"/>
  <c r="W85" i="6"/>
  <c r="R370" i="7"/>
  <c r="R240" i="6"/>
  <c r="X239" i="6"/>
  <c r="R675" i="7"/>
  <c r="S85" i="6"/>
  <c r="S370" i="7"/>
  <c r="W370" i="7"/>
  <c r="W240" i="6"/>
  <c r="S240" i="6"/>
  <c r="W675" i="7"/>
  <c r="S675" i="7"/>
  <c r="R83" i="9"/>
  <c r="V83" i="9" s="1"/>
  <c r="U83" i="9"/>
  <c r="S83" i="9"/>
  <c r="T83" i="9"/>
  <c r="Y83" i="9" s="1"/>
  <c r="X83" i="9"/>
  <c r="P676" i="7" l="1"/>
  <c r="P371" i="7"/>
  <c r="P86" i="7"/>
  <c r="P241" i="6"/>
  <c r="P86" i="6"/>
  <c r="Q84" i="9"/>
  <c r="X85" i="6"/>
  <c r="X370" i="7"/>
  <c r="X85" i="7"/>
  <c r="Q86" i="6"/>
  <c r="X675" i="7"/>
  <c r="Q371" i="7"/>
  <c r="R371" i="7" s="1"/>
  <c r="S371" i="7"/>
  <c r="X240" i="6"/>
  <c r="R86" i="6"/>
  <c r="S86" i="6" s="1"/>
  <c r="W86" i="6"/>
  <c r="Q241" i="6"/>
  <c r="Q86" i="7"/>
  <c r="Q676" i="7"/>
  <c r="R86" i="7"/>
  <c r="R241" i="6"/>
  <c r="W86" i="7"/>
  <c r="W241" i="6"/>
  <c r="R84" i="9"/>
  <c r="V84" i="9" s="1"/>
  <c r="U84" i="9"/>
  <c r="S84" i="9"/>
  <c r="T84" i="9"/>
  <c r="Y84" i="9" s="1"/>
  <c r="X84" i="9"/>
  <c r="P677" i="7" l="1"/>
  <c r="P372" i="7"/>
  <c r="P87" i="7"/>
  <c r="P242" i="6"/>
  <c r="P87" i="6"/>
  <c r="Q85" i="9"/>
  <c r="S241" i="6"/>
  <c r="X371" i="7"/>
  <c r="X241" i="6"/>
  <c r="S86" i="7"/>
  <c r="X86" i="7" s="1"/>
  <c r="Q87" i="6"/>
  <c r="Q677" i="7"/>
  <c r="R676" i="7"/>
  <c r="R677" i="7"/>
  <c r="W677" i="7"/>
  <c r="X86" i="6"/>
  <c r="R87" i="6"/>
  <c r="W87" i="6"/>
  <c r="W371" i="7"/>
  <c r="S677" i="7"/>
  <c r="Q372" i="7"/>
  <c r="R372" i="7" s="1"/>
  <c r="Q242" i="6"/>
  <c r="S372" i="7"/>
  <c r="Q87" i="7"/>
  <c r="S676" i="7"/>
  <c r="X676" i="7" s="1"/>
  <c r="W676" i="7"/>
  <c r="R85" i="9"/>
  <c r="V85" i="9" s="1"/>
  <c r="U85" i="9"/>
  <c r="S85" i="9"/>
  <c r="T85" i="9"/>
  <c r="Y85" i="9" s="1"/>
  <c r="X85" i="9"/>
  <c r="P678" i="7" l="1"/>
  <c r="P373" i="7"/>
  <c r="P88" i="7"/>
  <c r="P243" i="6"/>
  <c r="P88" i="6"/>
  <c r="Q86" i="9"/>
  <c r="R87" i="7"/>
  <c r="X372" i="7"/>
  <c r="R242" i="6"/>
  <c r="W372" i="7"/>
  <c r="Q88" i="7"/>
  <c r="S87" i="6"/>
  <c r="X87" i="6" s="1"/>
  <c r="Q373" i="7"/>
  <c r="R373" i="7" s="1"/>
  <c r="Q243" i="6"/>
  <c r="X677" i="7"/>
  <c r="Q678" i="7"/>
  <c r="Q88" i="6"/>
  <c r="R88" i="6" s="1"/>
  <c r="R243" i="6"/>
  <c r="R88" i="7"/>
  <c r="S87" i="7"/>
  <c r="W87" i="7"/>
  <c r="S242" i="6"/>
  <c r="X242" i="6" s="1"/>
  <c r="W242" i="6"/>
  <c r="W373" i="7"/>
  <c r="S373" i="7"/>
  <c r="W88" i="6"/>
  <c r="S88" i="6"/>
  <c r="W243" i="6"/>
  <c r="W88" i="7"/>
  <c r="S88" i="7"/>
  <c r="X88" i="7" s="1"/>
  <c r="R86" i="9"/>
  <c r="V86" i="9" s="1"/>
  <c r="U86" i="9"/>
  <c r="S86" i="9"/>
  <c r="X86" i="9"/>
  <c r="T86" i="9"/>
  <c r="Y86" i="9" s="1"/>
  <c r="P374" i="7" l="1"/>
  <c r="P89" i="7"/>
  <c r="P244" i="6"/>
  <c r="P89" i="6"/>
  <c r="Q87" i="9"/>
  <c r="X88" i="6"/>
  <c r="Q244" i="6"/>
  <c r="Q374" i="7"/>
  <c r="X87" i="7"/>
  <c r="R244" i="6"/>
  <c r="S243" i="6"/>
  <c r="R678" i="7"/>
  <c r="Q89" i="6"/>
  <c r="W244" i="6"/>
  <c r="X373" i="7"/>
  <c r="Q89" i="7"/>
  <c r="R89" i="6"/>
  <c r="R89" i="7"/>
  <c r="X243" i="6"/>
  <c r="S678" i="7"/>
  <c r="X678" i="7" s="1"/>
  <c r="W678" i="7"/>
  <c r="W89" i="6"/>
  <c r="S89" i="6"/>
  <c r="X89" i="6" s="1"/>
  <c r="S89" i="7"/>
  <c r="X89" i="7" s="1"/>
  <c r="W89" i="7"/>
  <c r="R87" i="9"/>
  <c r="V87" i="9" s="1"/>
  <c r="U87" i="9"/>
  <c r="S87" i="9"/>
  <c r="T87" i="9"/>
  <c r="Y87" i="9" s="1"/>
  <c r="X87" i="9"/>
  <c r="P375" i="7" l="1"/>
  <c r="P90" i="7"/>
  <c r="P245" i="6"/>
  <c r="P90" i="6"/>
  <c r="Q88" i="9"/>
  <c r="S244" i="6"/>
  <c r="Q90" i="6"/>
  <c r="Q90" i="7"/>
  <c r="R374" i="7"/>
  <c r="X244" i="6"/>
  <c r="Q245" i="6"/>
  <c r="Q375" i="7"/>
  <c r="R375" i="7" s="1"/>
  <c r="R245" i="6"/>
  <c r="S374" i="7"/>
  <c r="X374" i="7" s="1"/>
  <c r="W374" i="7"/>
  <c r="W375" i="7"/>
  <c r="S375" i="7"/>
  <c r="W245" i="6"/>
  <c r="R88" i="9"/>
  <c r="V88" i="9" s="1"/>
  <c r="U88" i="9"/>
  <c r="S88" i="9"/>
  <c r="T88" i="9"/>
  <c r="Y88" i="9" s="1"/>
  <c r="X88" i="9"/>
  <c r="P376" i="7" l="1"/>
  <c r="P91" i="7"/>
  <c r="P246" i="6"/>
  <c r="P91" i="6"/>
  <c r="Q89" i="9"/>
  <c r="S245" i="6"/>
  <c r="X375" i="7"/>
  <c r="Q376" i="7"/>
  <c r="R90" i="7"/>
  <c r="X245" i="6"/>
  <c r="Q91" i="6"/>
  <c r="R90" i="6"/>
  <c r="Q246" i="6"/>
  <c r="R376" i="7"/>
  <c r="R246" i="6"/>
  <c r="S246" i="6"/>
  <c r="S376" i="7"/>
  <c r="W246" i="6"/>
  <c r="W376" i="7"/>
  <c r="Q91" i="7"/>
  <c r="R91" i="7" s="1"/>
  <c r="S91" i="7"/>
  <c r="W90" i="7"/>
  <c r="S90" i="7"/>
  <c r="X90" i="7" s="1"/>
  <c r="W90" i="6"/>
  <c r="S90" i="6"/>
  <c r="X90" i="6"/>
  <c r="W91" i="7"/>
  <c r="X91" i="7"/>
  <c r="R89" i="9"/>
  <c r="V89" i="9" s="1"/>
  <c r="U89" i="9"/>
  <c r="S89" i="9"/>
  <c r="X89" i="9"/>
  <c r="T89" i="9"/>
  <c r="Y89" i="9" s="1"/>
  <c r="P377" i="7" l="1"/>
  <c r="P92" i="7"/>
  <c r="P247" i="6"/>
  <c r="P92" i="6"/>
  <c r="Q90" i="9"/>
  <c r="X376" i="7"/>
  <c r="Q377" i="7"/>
  <c r="R91" i="6"/>
  <c r="X246" i="6"/>
  <c r="Q92" i="6"/>
  <c r="Q247" i="6"/>
  <c r="R377" i="7"/>
  <c r="R247" i="6"/>
  <c r="S247" i="6"/>
  <c r="S377" i="7"/>
  <c r="W247" i="6"/>
  <c r="W377" i="7"/>
  <c r="Q92" i="7"/>
  <c r="R92" i="7"/>
  <c r="S91" i="6"/>
  <c r="W91" i="6"/>
  <c r="S92" i="7"/>
  <c r="X92" i="7" s="1"/>
  <c r="W92" i="7"/>
  <c r="R90" i="9"/>
  <c r="V90" i="9" s="1"/>
  <c r="U90" i="9"/>
  <c r="S90" i="9"/>
  <c r="T90" i="9"/>
  <c r="Y90" i="9" s="1"/>
  <c r="X90" i="9"/>
  <c r="P378" i="7" l="1"/>
  <c r="P93" i="7"/>
  <c r="P248" i="6"/>
  <c r="P93" i="6"/>
  <c r="Q91" i="9"/>
  <c r="X91" i="6"/>
  <c r="X377" i="7"/>
  <c r="Q378" i="7"/>
  <c r="X247" i="6"/>
  <c r="Q93" i="6"/>
  <c r="R92" i="6"/>
  <c r="Q248" i="6"/>
  <c r="R378" i="7"/>
  <c r="R248" i="6"/>
  <c r="S248" i="6"/>
  <c r="S378" i="7"/>
  <c r="W248" i="6"/>
  <c r="W378" i="7"/>
  <c r="Q93" i="7"/>
  <c r="R93" i="7"/>
  <c r="S92" i="6"/>
  <c r="W92" i="6"/>
  <c r="S93" i="7"/>
  <c r="X93" i="7" s="1"/>
  <c r="W93" i="7"/>
  <c r="R91" i="9"/>
  <c r="V91" i="9" s="1"/>
  <c r="U91" i="9"/>
  <c r="S91" i="9"/>
  <c r="X91" i="9"/>
  <c r="T91" i="9"/>
  <c r="Y91" i="9" s="1"/>
  <c r="P379" i="7" l="1"/>
  <c r="P94" i="7"/>
  <c r="P249" i="6"/>
  <c r="P94" i="6"/>
  <c r="Q92" i="9"/>
  <c r="X92" i="6"/>
  <c r="X378" i="7"/>
  <c r="Q379" i="7"/>
  <c r="R93" i="6"/>
  <c r="X248" i="6"/>
  <c r="Q94" i="6"/>
  <c r="Q249" i="6"/>
  <c r="R379" i="7"/>
  <c r="R249" i="6"/>
  <c r="S249" i="6"/>
  <c r="S379" i="7"/>
  <c r="W249" i="6"/>
  <c r="W379" i="7"/>
  <c r="Q94" i="7"/>
  <c r="R94" i="7"/>
  <c r="S93" i="6"/>
  <c r="W93" i="6"/>
  <c r="S94" i="7"/>
  <c r="X94" i="7" s="1"/>
  <c r="W94" i="7"/>
  <c r="R92" i="9"/>
  <c r="V92" i="9" s="1"/>
  <c r="U92" i="9"/>
  <c r="S92" i="9"/>
  <c r="T92" i="9"/>
  <c r="Y92" i="9" s="1"/>
  <c r="X92" i="9"/>
  <c r="P380" i="7" l="1"/>
  <c r="P95" i="7"/>
  <c r="P250" i="6"/>
  <c r="P95" i="6"/>
  <c r="Q93" i="9"/>
  <c r="R94" i="6"/>
  <c r="Q95" i="6"/>
  <c r="X93" i="6"/>
  <c r="X379" i="7"/>
  <c r="Q380" i="7"/>
  <c r="R380" i="7" s="1"/>
  <c r="W380" i="7" s="1"/>
  <c r="X249" i="6"/>
  <c r="Q250" i="6"/>
  <c r="R250" i="6"/>
  <c r="S380" i="7"/>
  <c r="Q95" i="7"/>
  <c r="R95" i="7"/>
  <c r="S94" i="6"/>
  <c r="W94" i="6"/>
  <c r="W250" i="6"/>
  <c r="S250" i="6"/>
  <c r="W95" i="7"/>
  <c r="S95" i="7"/>
  <c r="X95" i="7" s="1"/>
  <c r="R93" i="9"/>
  <c r="V93" i="9" s="1"/>
  <c r="U93" i="9"/>
  <c r="S93" i="9"/>
  <c r="X93" i="9"/>
  <c r="T93" i="9"/>
  <c r="Y93" i="9" s="1"/>
  <c r="P381" i="7" l="1"/>
  <c r="P96" i="7"/>
  <c r="P251" i="6"/>
  <c r="P96" i="6"/>
  <c r="Q94" i="9"/>
  <c r="X94" i="6"/>
  <c r="X380" i="7"/>
  <c r="Q381" i="7"/>
  <c r="R95" i="6"/>
  <c r="X250" i="6"/>
  <c r="Q96" i="6"/>
  <c r="Q251" i="6"/>
  <c r="R381" i="7"/>
  <c r="R251" i="6"/>
  <c r="S251" i="6"/>
  <c r="S381" i="7"/>
  <c r="W251" i="6"/>
  <c r="W381" i="7"/>
  <c r="Q96" i="7"/>
  <c r="R96" i="7"/>
  <c r="W95" i="6"/>
  <c r="S95" i="6"/>
  <c r="S96" i="7"/>
  <c r="X96" i="7" s="1"/>
  <c r="W96" i="7"/>
  <c r="R94" i="9"/>
  <c r="V94" i="9" s="1"/>
  <c r="U94" i="9"/>
  <c r="S94" i="9"/>
  <c r="X94" i="9"/>
  <c r="T94" i="9"/>
  <c r="Y94" i="9" s="1"/>
  <c r="P382" i="7" l="1"/>
  <c r="P97" i="7"/>
  <c r="P252" i="6"/>
  <c r="P97" i="6"/>
  <c r="Q95" i="9"/>
  <c r="X95" i="6"/>
  <c r="X381" i="7"/>
  <c r="Q382" i="7"/>
  <c r="R96" i="6"/>
  <c r="X251" i="6"/>
  <c r="Q97" i="6"/>
  <c r="Q252" i="6"/>
  <c r="R382" i="7"/>
  <c r="R252" i="6"/>
  <c r="S252" i="6"/>
  <c r="S382" i="7"/>
  <c r="W252" i="6"/>
  <c r="W382" i="7"/>
  <c r="Q97" i="7"/>
  <c r="R97" i="7"/>
  <c r="S96" i="6"/>
  <c r="W96" i="6"/>
  <c r="S97" i="7"/>
  <c r="X97" i="7" s="1"/>
  <c r="W97" i="7"/>
  <c r="R95" i="9"/>
  <c r="V95" i="9" s="1"/>
  <c r="U95" i="9"/>
  <c r="S95" i="9"/>
  <c r="X95" i="9"/>
  <c r="T95" i="9"/>
  <c r="Y95" i="9" s="1"/>
  <c r="P383" i="7" l="1"/>
  <c r="P98" i="7"/>
  <c r="P253" i="6"/>
  <c r="P98" i="6"/>
  <c r="Q96" i="9"/>
  <c r="X96" i="6"/>
  <c r="X382" i="7"/>
  <c r="Q383" i="7"/>
  <c r="R97" i="6"/>
  <c r="X252" i="6"/>
  <c r="Q98" i="6"/>
  <c r="Q253" i="6"/>
  <c r="R383" i="7"/>
  <c r="R253" i="6"/>
  <c r="S253" i="6"/>
  <c r="S383" i="7"/>
  <c r="W253" i="6"/>
  <c r="W383" i="7"/>
  <c r="Q98" i="7"/>
  <c r="R98" i="7"/>
  <c r="S97" i="6"/>
  <c r="W97" i="6"/>
  <c r="S98" i="7"/>
  <c r="X98" i="7" s="1"/>
  <c r="W98" i="7"/>
  <c r="R96" i="9"/>
  <c r="V96" i="9" s="1"/>
  <c r="U96" i="9"/>
  <c r="S96" i="9"/>
  <c r="X96" i="9"/>
  <c r="T96" i="9"/>
  <c r="Y96" i="9" s="1"/>
  <c r="P384" i="7" l="1"/>
  <c r="P99" i="7"/>
  <c r="P99" i="6"/>
  <c r="Q97" i="9"/>
  <c r="X383" i="7"/>
  <c r="X97" i="6"/>
  <c r="Q99" i="7"/>
  <c r="R98" i="6"/>
  <c r="X253" i="6"/>
  <c r="Q99" i="6"/>
  <c r="R99" i="7"/>
  <c r="R99" i="6"/>
  <c r="Q384" i="7"/>
  <c r="S99" i="7"/>
  <c r="R384" i="7"/>
  <c r="S384" i="7" s="1"/>
  <c r="W384" i="7"/>
  <c r="W99" i="6"/>
  <c r="S98" i="6"/>
  <c r="W98" i="6"/>
  <c r="S99" i="6"/>
  <c r="X99" i="6" s="1"/>
  <c r="R97" i="9"/>
  <c r="V97" i="9" s="1"/>
  <c r="U97" i="9"/>
  <c r="S97" i="9"/>
  <c r="X97" i="9"/>
  <c r="T97" i="9"/>
  <c r="Y97" i="9" s="1"/>
  <c r="P385" i="7" l="1"/>
  <c r="P100" i="7"/>
  <c r="P100" i="6"/>
  <c r="Q98" i="9"/>
  <c r="Q100" i="6"/>
  <c r="X98" i="6"/>
  <c r="X384" i="7"/>
  <c r="R100" i="6"/>
  <c r="X99" i="7"/>
  <c r="Q385" i="7"/>
  <c r="W99" i="7"/>
  <c r="R385" i="7"/>
  <c r="Q100" i="7"/>
  <c r="W385" i="7"/>
  <c r="S385" i="7"/>
  <c r="W100" i="6"/>
  <c r="S100" i="6"/>
  <c r="X100" i="6" s="1"/>
  <c r="R98" i="9"/>
  <c r="V98" i="9" s="1"/>
  <c r="U98" i="9"/>
  <c r="S98" i="9"/>
  <c r="X98" i="9"/>
  <c r="T98" i="9"/>
  <c r="Y98" i="9" s="1"/>
  <c r="P386" i="7" l="1"/>
  <c r="P101" i="7"/>
  <c r="P101" i="6"/>
  <c r="Q99" i="9"/>
  <c r="R100" i="7"/>
  <c r="Q101" i="6"/>
  <c r="Q101" i="7"/>
  <c r="Q386" i="7"/>
  <c r="R386" i="7"/>
  <c r="X385" i="7"/>
  <c r="S386" i="7"/>
  <c r="R101" i="6"/>
  <c r="W100" i="7"/>
  <c r="S100" i="7"/>
  <c r="X100" i="7" s="1"/>
  <c r="S101" i="6"/>
  <c r="X101" i="6" s="1"/>
  <c r="W101" i="6"/>
  <c r="R99" i="9"/>
  <c r="V99" i="9" s="1"/>
  <c r="U99" i="9"/>
  <c r="S99" i="9"/>
  <c r="X99" i="9"/>
  <c r="T99" i="9"/>
  <c r="Y99" i="9" s="1"/>
  <c r="P387" i="7" l="1"/>
  <c r="P102" i="7"/>
  <c r="P102" i="6"/>
  <c r="Q100" i="9"/>
  <c r="Q102" i="7"/>
  <c r="W386" i="7"/>
  <c r="R102" i="7"/>
  <c r="R101" i="7"/>
  <c r="W102" i="7"/>
  <c r="Q387" i="7"/>
  <c r="R387" i="7"/>
  <c r="Q102" i="6"/>
  <c r="W387" i="7"/>
  <c r="X386" i="7"/>
  <c r="R102" i="6"/>
  <c r="S101" i="7"/>
  <c r="X101" i="7" s="1"/>
  <c r="W101" i="7"/>
  <c r="S102" i="6"/>
  <c r="W102" i="6"/>
  <c r="R100" i="9"/>
  <c r="V100" i="9" s="1"/>
  <c r="U100" i="9"/>
  <c r="S100" i="9"/>
  <c r="T100" i="9"/>
  <c r="Y100" i="9" s="1"/>
  <c r="X100" i="9"/>
  <c r="P388" i="7" l="1"/>
  <c r="P103" i="7"/>
  <c r="P103" i="6"/>
  <c r="Q101" i="9"/>
  <c r="S387" i="7"/>
  <c r="X387" i="7"/>
  <c r="S102" i="7"/>
  <c r="Q103" i="7"/>
  <c r="X102" i="7"/>
  <c r="Q103" i="6"/>
  <c r="R103" i="7"/>
  <c r="Q388" i="7"/>
  <c r="W103" i="7"/>
  <c r="R388" i="7"/>
  <c r="S388" i="7" s="1"/>
  <c r="S103" i="7"/>
  <c r="X102" i="6"/>
  <c r="W388" i="7"/>
  <c r="R101" i="9"/>
  <c r="V101" i="9" s="1"/>
  <c r="U101" i="9"/>
  <c r="S101" i="9"/>
  <c r="X101" i="9"/>
  <c r="T101" i="9"/>
  <c r="Y101" i="9" s="1"/>
  <c r="P389" i="7" l="1"/>
  <c r="P104" i="7"/>
  <c r="P104" i="6"/>
  <c r="Q102" i="9"/>
  <c r="X388" i="7"/>
  <c r="X103" i="7"/>
  <c r="Q389" i="7"/>
  <c r="R103" i="6"/>
  <c r="R389" i="7"/>
  <c r="Q104" i="7"/>
  <c r="W389" i="7"/>
  <c r="S389" i="7"/>
  <c r="Q104" i="6"/>
  <c r="R104" i="6" s="1"/>
  <c r="S104" i="6"/>
  <c r="W103" i="6"/>
  <c r="S103" i="6"/>
  <c r="X103" i="6" s="1"/>
  <c r="W104" i="6"/>
  <c r="X104" i="6"/>
  <c r="R102" i="9"/>
  <c r="V102" i="9" s="1"/>
  <c r="U102" i="9"/>
  <c r="S102" i="9"/>
  <c r="X102" i="9"/>
  <c r="T102" i="9"/>
  <c r="Y102" i="9" s="1"/>
  <c r="P390" i="7" l="1"/>
  <c r="P105" i="7"/>
  <c r="P105" i="6"/>
  <c r="Q103" i="9"/>
  <c r="R104" i="7"/>
  <c r="Q105" i="7"/>
  <c r="Q390" i="7"/>
  <c r="Q105" i="6"/>
  <c r="X389" i="7"/>
  <c r="W104" i="7"/>
  <c r="S104" i="7"/>
  <c r="X104" i="7" s="1"/>
  <c r="R103" i="9"/>
  <c r="V103" i="9" s="1"/>
  <c r="U103" i="9"/>
  <c r="S103" i="9"/>
  <c r="X103" i="9"/>
  <c r="T103" i="9"/>
  <c r="Y103" i="9" s="1"/>
  <c r="P391" i="7" l="1"/>
  <c r="P106" i="7"/>
  <c r="P106" i="6"/>
  <c r="Q104" i="9"/>
  <c r="R105" i="6"/>
  <c r="R390" i="7"/>
  <c r="Q391" i="7"/>
  <c r="R105" i="7"/>
  <c r="R391" i="7"/>
  <c r="Q106" i="7"/>
  <c r="W391" i="7"/>
  <c r="S391" i="7"/>
  <c r="Q106" i="6"/>
  <c r="R106" i="6" s="1"/>
  <c r="S106" i="6"/>
  <c r="S105" i="6"/>
  <c r="X105" i="6" s="1"/>
  <c r="W105" i="6"/>
  <c r="S390" i="7"/>
  <c r="X390" i="7" s="1"/>
  <c r="W105" i="7"/>
  <c r="W106" i="6"/>
  <c r="X106" i="6"/>
  <c r="R104" i="9"/>
  <c r="V104" i="9" s="1"/>
  <c r="U104" i="9"/>
  <c r="S104" i="9"/>
  <c r="T104" i="9"/>
  <c r="Y104" i="9" s="1"/>
  <c r="X104" i="9"/>
  <c r="P392" i="7" l="1"/>
  <c r="P107" i="7"/>
  <c r="P107" i="6"/>
  <c r="Q105" i="9"/>
  <c r="R106" i="7"/>
  <c r="S105" i="7"/>
  <c r="X105" i="7" s="1"/>
  <c r="Q107" i="7"/>
  <c r="W390" i="7"/>
  <c r="Q392" i="7"/>
  <c r="Q107" i="6"/>
  <c r="R392" i="7"/>
  <c r="X391" i="7"/>
  <c r="W106" i="7"/>
  <c r="S106" i="7"/>
  <c r="X106" i="7" s="1"/>
  <c r="S392" i="7"/>
  <c r="R105" i="9"/>
  <c r="V105" i="9" s="1"/>
  <c r="U105" i="9"/>
  <c r="S105" i="9"/>
  <c r="T105" i="9"/>
  <c r="Y105" i="9" s="1"/>
  <c r="X105" i="9"/>
  <c r="P393" i="7" l="1"/>
  <c r="P108" i="7"/>
  <c r="P108" i="6"/>
  <c r="Q106" i="9"/>
  <c r="W392" i="7"/>
  <c r="Q108" i="6"/>
  <c r="R107" i="6"/>
  <c r="R107" i="7"/>
  <c r="Q108" i="7"/>
  <c r="Q393" i="7"/>
  <c r="R393" i="7"/>
  <c r="W393" i="7"/>
  <c r="X392" i="7"/>
  <c r="S393" i="7"/>
  <c r="S107" i="6"/>
  <c r="W107" i="6"/>
  <c r="W107" i="7"/>
  <c r="S107" i="7"/>
  <c r="X107" i="7" s="1"/>
  <c r="R106" i="9"/>
  <c r="V106" i="9" s="1"/>
  <c r="U106" i="9"/>
  <c r="S106" i="9"/>
  <c r="T106" i="9"/>
  <c r="Y106" i="9" s="1"/>
  <c r="X106" i="9"/>
  <c r="P394" i="7" l="1"/>
  <c r="P109" i="7"/>
  <c r="P109" i="6"/>
  <c r="Q107" i="9"/>
  <c r="X107" i="6"/>
  <c r="X393" i="7"/>
  <c r="R108" i="7"/>
  <c r="Q394" i="7"/>
  <c r="R108" i="6"/>
  <c r="R394" i="7"/>
  <c r="Q109" i="7"/>
  <c r="W394" i="7"/>
  <c r="S394" i="7"/>
  <c r="Q109" i="6"/>
  <c r="R109" i="6" s="1"/>
  <c r="S109" i="6"/>
  <c r="W108" i="7"/>
  <c r="W108" i="6"/>
  <c r="S108" i="6"/>
  <c r="X108" i="6" s="1"/>
  <c r="W109" i="6"/>
  <c r="X109" i="6"/>
  <c r="R107" i="9"/>
  <c r="V107" i="9" s="1"/>
  <c r="U107" i="9"/>
  <c r="S107" i="9"/>
  <c r="X107" i="9"/>
  <c r="T107" i="9"/>
  <c r="Y107" i="9" s="1"/>
  <c r="P395" i="7" l="1"/>
  <c r="P110" i="7"/>
  <c r="P110" i="6"/>
  <c r="Q108" i="9"/>
  <c r="R109" i="7"/>
  <c r="Q110" i="6"/>
  <c r="S108" i="7"/>
  <c r="X108" i="7" s="1"/>
  <c r="Q110" i="7"/>
  <c r="Q395" i="7"/>
  <c r="R110" i="6"/>
  <c r="W110" i="6" s="1"/>
  <c r="S110" i="6"/>
  <c r="X394" i="7"/>
  <c r="X110" i="6"/>
  <c r="W109" i="7"/>
  <c r="S109" i="7"/>
  <c r="X109" i="7" s="1"/>
  <c r="R108" i="9"/>
  <c r="V108" i="9" s="1"/>
  <c r="U108" i="9"/>
  <c r="S108" i="9"/>
  <c r="X108" i="9"/>
  <c r="T108" i="9"/>
  <c r="Y108" i="9" s="1"/>
  <c r="P396" i="7" l="1"/>
  <c r="P111" i="7"/>
  <c r="P111" i="6"/>
  <c r="Q109" i="9"/>
  <c r="R395" i="7"/>
  <c r="Q396" i="7"/>
  <c r="R110" i="7"/>
  <c r="R396" i="7"/>
  <c r="Q111" i="7"/>
  <c r="W396" i="7"/>
  <c r="S396" i="7"/>
  <c r="Q111" i="6"/>
  <c r="R111" i="6"/>
  <c r="S395" i="7"/>
  <c r="X395" i="7" s="1"/>
  <c r="W110" i="7"/>
  <c r="S110" i="7"/>
  <c r="X110" i="7" s="1"/>
  <c r="S111" i="6"/>
  <c r="X111" i="6" s="1"/>
  <c r="W111" i="6"/>
  <c r="R109" i="9"/>
  <c r="V109" i="9" s="1"/>
  <c r="U109" i="9"/>
  <c r="S109" i="9"/>
  <c r="T109" i="9"/>
  <c r="Y109" i="9" s="1"/>
  <c r="X109" i="9"/>
  <c r="P397" i="7" l="1"/>
  <c r="P112" i="7"/>
  <c r="P112" i="6"/>
  <c r="Q110" i="9"/>
  <c r="R111" i="7"/>
  <c r="W395" i="7"/>
  <c r="Q112" i="7"/>
  <c r="Q397" i="7"/>
  <c r="R397" i="7"/>
  <c r="S397" i="7"/>
  <c r="X396" i="7"/>
  <c r="Q112" i="6"/>
  <c r="S111" i="7"/>
  <c r="W111" i="7"/>
  <c r="X111" i="7"/>
  <c r="R110" i="9"/>
  <c r="V110" i="9" s="1"/>
  <c r="U110" i="9"/>
  <c r="S110" i="9"/>
  <c r="T110" i="9"/>
  <c r="Y110" i="9" s="1"/>
  <c r="X110" i="9"/>
  <c r="P398" i="7" l="1"/>
  <c r="P113" i="7"/>
  <c r="P113" i="6"/>
  <c r="Q111" i="9"/>
  <c r="X397" i="7"/>
  <c r="R112" i="6"/>
  <c r="W397" i="7"/>
  <c r="Q398" i="7"/>
  <c r="R112" i="7"/>
  <c r="R398" i="7"/>
  <c r="Q113" i="7"/>
  <c r="W398" i="7"/>
  <c r="S398" i="7"/>
  <c r="Q113" i="6"/>
  <c r="R113" i="6" s="1"/>
  <c r="S113" i="6"/>
  <c r="W112" i="6"/>
  <c r="S112" i="6"/>
  <c r="X112" i="6" s="1"/>
  <c r="W112" i="7"/>
  <c r="W113" i="6"/>
  <c r="X113" i="6"/>
  <c r="R111" i="9"/>
  <c r="V111" i="9" s="1"/>
  <c r="U111" i="9"/>
  <c r="S111" i="9"/>
  <c r="X111" i="9"/>
  <c r="T111" i="9"/>
  <c r="Y111" i="9" s="1"/>
  <c r="P399" i="7" l="1"/>
  <c r="P114" i="7"/>
  <c r="P114" i="6"/>
  <c r="Q112" i="9"/>
  <c r="R113" i="7"/>
  <c r="Q399" i="7"/>
  <c r="S112" i="7"/>
  <c r="X112" i="7" s="1"/>
  <c r="R399" i="7"/>
  <c r="Q114" i="7"/>
  <c r="W399" i="7"/>
  <c r="S399" i="7"/>
  <c r="Q114" i="6"/>
  <c r="X398" i="7"/>
  <c r="R114" i="6"/>
  <c r="W113" i="7"/>
  <c r="S113" i="7"/>
  <c r="X113" i="7" s="1"/>
  <c r="S114" i="6"/>
  <c r="X114" i="6" s="1"/>
  <c r="W114" i="6"/>
  <c r="R112" i="9"/>
  <c r="V112" i="9" s="1"/>
  <c r="U112" i="9"/>
  <c r="S112" i="9"/>
  <c r="T112" i="9"/>
  <c r="Y112" i="9" s="1"/>
  <c r="X112" i="9"/>
  <c r="P400" i="7" l="1"/>
  <c r="P115" i="7"/>
  <c r="P115" i="6"/>
  <c r="Q113" i="9"/>
  <c r="R114" i="7"/>
  <c r="Q115" i="7"/>
  <c r="Q115" i="6"/>
  <c r="X399" i="7"/>
  <c r="R115" i="6"/>
  <c r="Q400" i="7"/>
  <c r="R400" i="7" s="1"/>
  <c r="S114" i="7"/>
  <c r="W114" i="7"/>
  <c r="X114" i="7"/>
  <c r="S115" i="6"/>
  <c r="X115" i="6" s="1"/>
  <c r="W115" i="6"/>
  <c r="S400" i="7"/>
  <c r="W400" i="7"/>
  <c r="R113" i="9"/>
  <c r="V113" i="9" s="1"/>
  <c r="U113" i="9"/>
  <c r="S113" i="9"/>
  <c r="T113" i="9"/>
  <c r="Y113" i="9" s="1"/>
  <c r="X113" i="9"/>
  <c r="P401" i="7" l="1"/>
  <c r="P116" i="7"/>
  <c r="P116" i="6"/>
  <c r="Q114" i="9"/>
  <c r="R115" i="7"/>
  <c r="Q116" i="7"/>
  <c r="Q116" i="6"/>
  <c r="X400" i="7"/>
  <c r="R116" i="6"/>
  <c r="Q401" i="7"/>
  <c r="R401" i="7" s="1"/>
  <c r="S115" i="7"/>
  <c r="X115" i="7" s="1"/>
  <c r="W115" i="7"/>
  <c r="S116" i="6"/>
  <c r="X116" i="6" s="1"/>
  <c r="W116" i="6"/>
  <c r="S401" i="7"/>
  <c r="W401" i="7"/>
  <c r="R114" i="9"/>
  <c r="V114" i="9" s="1"/>
  <c r="U114" i="9"/>
  <c r="S114" i="9"/>
  <c r="X114" i="9"/>
  <c r="T114" i="9"/>
  <c r="Y114" i="9" s="1"/>
  <c r="P402" i="7" l="1"/>
  <c r="P117" i="7"/>
  <c r="P117" i="6"/>
  <c r="Q115" i="9"/>
  <c r="R116" i="7"/>
  <c r="Q117" i="7"/>
  <c r="Q117" i="6"/>
  <c r="X401" i="7"/>
  <c r="R117" i="6"/>
  <c r="Q402" i="7"/>
  <c r="R402" i="7" s="1"/>
  <c r="S116" i="7"/>
  <c r="X116" i="7" s="1"/>
  <c r="W116" i="7"/>
  <c r="S117" i="6"/>
  <c r="X117" i="6" s="1"/>
  <c r="W117" i="6"/>
  <c r="S402" i="7"/>
  <c r="W402" i="7"/>
  <c r="R115" i="9"/>
  <c r="V115" i="9" s="1"/>
  <c r="U115" i="9"/>
  <c r="S115" i="9"/>
  <c r="T115" i="9"/>
  <c r="Y115" i="9" s="1"/>
  <c r="X115" i="9"/>
  <c r="P403" i="7" l="1"/>
  <c r="P118" i="7"/>
  <c r="P118" i="6"/>
  <c r="Q116" i="9"/>
  <c r="R117" i="7"/>
  <c r="Q118" i="6"/>
  <c r="R118" i="6"/>
  <c r="Q118" i="7"/>
  <c r="X402" i="7"/>
  <c r="Q403" i="7"/>
  <c r="R118" i="7"/>
  <c r="R403" i="7"/>
  <c r="S403" i="7" s="1"/>
  <c r="W403" i="7"/>
  <c r="W118" i="6"/>
  <c r="S117" i="7"/>
  <c r="X117" i="7" s="1"/>
  <c r="W117" i="7"/>
  <c r="S118" i="6"/>
  <c r="X118" i="6" s="1"/>
  <c r="S118" i="7"/>
  <c r="X118" i="7" s="1"/>
  <c r="W118" i="7"/>
  <c r="R116" i="9"/>
  <c r="V116" i="9" s="1"/>
  <c r="U116" i="9"/>
  <c r="S116" i="9"/>
  <c r="T116" i="9"/>
  <c r="Y116" i="9" s="1"/>
  <c r="X116" i="9"/>
  <c r="P404" i="7" l="1"/>
  <c r="P119" i="7"/>
  <c r="P119" i="6"/>
  <c r="Q117" i="9"/>
  <c r="Q404" i="7"/>
  <c r="R404" i="7"/>
  <c r="Q119" i="6"/>
  <c r="W404" i="7"/>
  <c r="X403" i="7"/>
  <c r="R119" i="6"/>
  <c r="S119" i="6" s="1"/>
  <c r="Q119" i="7"/>
  <c r="R119" i="7"/>
  <c r="W119" i="6"/>
  <c r="W119" i="7"/>
  <c r="R117" i="9"/>
  <c r="V117" i="9" s="1"/>
  <c r="U117" i="9"/>
  <c r="S117" i="9"/>
  <c r="T117" i="9"/>
  <c r="Y117" i="9" s="1"/>
  <c r="X117" i="9"/>
  <c r="P405" i="7" l="1"/>
  <c r="P120" i="7"/>
  <c r="P120" i="6"/>
  <c r="Q118" i="9"/>
  <c r="X119" i="6"/>
  <c r="S119" i="7"/>
  <c r="Q120" i="7"/>
  <c r="S404" i="7"/>
  <c r="X404" i="7" s="1"/>
  <c r="X119" i="7"/>
  <c r="Q120" i="6"/>
  <c r="R120" i="7"/>
  <c r="Q405" i="7"/>
  <c r="W120" i="7"/>
  <c r="R405" i="7"/>
  <c r="S120" i="7"/>
  <c r="S405" i="7"/>
  <c r="W405" i="7"/>
  <c r="R118" i="9"/>
  <c r="V118" i="9" s="1"/>
  <c r="U118" i="9"/>
  <c r="S118" i="9"/>
  <c r="X118" i="9"/>
  <c r="T118" i="9"/>
  <c r="Y118" i="9" s="1"/>
  <c r="P406" i="7" l="1"/>
  <c r="P121" i="7"/>
  <c r="P121" i="6"/>
  <c r="Q119" i="9"/>
  <c r="X405" i="7"/>
  <c r="X120" i="7"/>
  <c r="Q406" i="7"/>
  <c r="R120" i="6"/>
  <c r="R406" i="7"/>
  <c r="Q121" i="7"/>
  <c r="W406" i="7"/>
  <c r="S406" i="7"/>
  <c r="Q121" i="6"/>
  <c r="R121" i="6" s="1"/>
  <c r="S121" i="6"/>
  <c r="W120" i="6"/>
  <c r="S120" i="6"/>
  <c r="X120" i="6" s="1"/>
  <c r="W121" i="6"/>
  <c r="X121" i="6"/>
  <c r="R119" i="9"/>
  <c r="V119" i="9" s="1"/>
  <c r="U119" i="9"/>
  <c r="S119" i="9"/>
  <c r="X119" i="9"/>
  <c r="T119" i="9"/>
  <c r="Y119" i="9" s="1"/>
  <c r="P407" i="7" l="1"/>
  <c r="P122" i="7"/>
  <c r="P122" i="6"/>
  <c r="Q120" i="9"/>
  <c r="R121" i="7"/>
  <c r="Q122" i="7"/>
  <c r="Q122" i="6"/>
  <c r="X406" i="7"/>
  <c r="R122" i="6"/>
  <c r="Q407" i="7"/>
  <c r="R407" i="7" s="1"/>
  <c r="W121" i="7"/>
  <c r="S121" i="7"/>
  <c r="X121" i="7" s="1"/>
  <c r="S122" i="6"/>
  <c r="X122" i="6" s="1"/>
  <c r="W122" i="6"/>
  <c r="S407" i="7"/>
  <c r="W407" i="7"/>
  <c r="R120" i="9"/>
  <c r="V120" i="9" s="1"/>
  <c r="U120" i="9"/>
  <c r="S120" i="9"/>
  <c r="T120" i="9"/>
  <c r="Y120" i="9" s="1"/>
  <c r="X120" i="9"/>
  <c r="P408" i="7" l="1"/>
  <c r="P123" i="7"/>
  <c r="P123" i="6"/>
  <c r="Q121" i="9"/>
  <c r="R122" i="7"/>
  <c r="Q123" i="7"/>
  <c r="Q123" i="6"/>
  <c r="X407" i="7"/>
  <c r="R123" i="6"/>
  <c r="Q408" i="7"/>
  <c r="R408" i="7" s="1"/>
  <c r="S122" i="7"/>
  <c r="X122" i="7" s="1"/>
  <c r="W122" i="7"/>
  <c r="S123" i="6"/>
  <c r="X123" i="6" s="1"/>
  <c r="W123" i="6"/>
  <c r="S408" i="7"/>
  <c r="W408" i="7"/>
  <c r="R121" i="9"/>
  <c r="V121" i="9" s="1"/>
  <c r="U121" i="9"/>
  <c r="S121" i="9"/>
  <c r="T121" i="9"/>
  <c r="Y121" i="9" s="1"/>
  <c r="X121" i="9"/>
  <c r="P409" i="7" l="1"/>
  <c r="P124" i="7"/>
  <c r="P124" i="6"/>
  <c r="Q122" i="9"/>
  <c r="R123" i="7"/>
  <c r="Q124" i="7"/>
  <c r="Q124" i="6"/>
  <c r="X408" i="7"/>
  <c r="R124" i="6"/>
  <c r="Q409" i="7"/>
  <c r="R409" i="7" s="1"/>
  <c r="S123" i="7"/>
  <c r="X123" i="7" s="1"/>
  <c r="W123" i="7"/>
  <c r="S124" i="6"/>
  <c r="X124" i="6" s="1"/>
  <c r="W124" i="6"/>
  <c r="S409" i="7"/>
  <c r="W409" i="7"/>
  <c r="R122" i="9"/>
  <c r="V122" i="9" s="1"/>
  <c r="U122" i="9"/>
  <c r="S122" i="9"/>
  <c r="T122" i="9"/>
  <c r="Y122" i="9" s="1"/>
  <c r="X122" i="9"/>
  <c r="P410" i="7" l="1"/>
  <c r="P125" i="7"/>
  <c r="P125" i="6"/>
  <c r="Q123" i="9"/>
  <c r="R124" i="7"/>
  <c r="Q125" i="7"/>
  <c r="Q125" i="6"/>
  <c r="X409" i="7"/>
  <c r="R125" i="6"/>
  <c r="Q410" i="7"/>
  <c r="R410" i="7" s="1"/>
  <c r="S124" i="7"/>
  <c r="X124" i="7" s="1"/>
  <c r="W124" i="7"/>
  <c r="S125" i="6"/>
  <c r="X125" i="6" s="1"/>
  <c r="W125" i="6"/>
  <c r="S410" i="7"/>
  <c r="W410" i="7"/>
  <c r="R123" i="9"/>
  <c r="V123" i="9" s="1"/>
  <c r="U123" i="9"/>
  <c r="S123" i="9"/>
  <c r="T123" i="9"/>
  <c r="Y123" i="9" s="1"/>
  <c r="X123" i="9"/>
  <c r="P411" i="7" l="1"/>
  <c r="P126" i="7"/>
  <c r="P126" i="6"/>
  <c r="Q124" i="9"/>
  <c r="R125" i="7"/>
  <c r="Q126" i="7"/>
  <c r="Q126" i="6"/>
  <c r="X410" i="7"/>
  <c r="R126" i="6"/>
  <c r="Q411" i="7"/>
  <c r="R411" i="7" s="1"/>
  <c r="S125" i="7"/>
  <c r="X125" i="7" s="1"/>
  <c r="W125" i="7"/>
  <c r="S126" i="6"/>
  <c r="X126" i="6" s="1"/>
  <c r="W126" i="6"/>
  <c r="S411" i="7"/>
  <c r="W411" i="7"/>
  <c r="R124" i="9"/>
  <c r="V124" i="9" s="1"/>
  <c r="U124" i="9"/>
  <c r="S124" i="9"/>
  <c r="T124" i="9"/>
  <c r="Y124" i="9" s="1"/>
  <c r="X124" i="9"/>
  <c r="P412" i="7" l="1"/>
  <c r="P127" i="7"/>
  <c r="P127" i="6"/>
  <c r="Q125" i="9"/>
  <c r="R126" i="7"/>
  <c r="Q412" i="7"/>
  <c r="R412" i="7"/>
  <c r="Q127" i="6"/>
  <c r="W412" i="7"/>
  <c r="X411" i="7"/>
  <c r="R127" i="6"/>
  <c r="S127" i="6" s="1"/>
  <c r="Q127" i="7"/>
  <c r="R127" i="7"/>
  <c r="W127" i="6"/>
  <c r="S126" i="7"/>
  <c r="X126" i="7" s="1"/>
  <c r="W126" i="7"/>
  <c r="W127" i="7"/>
  <c r="R125" i="9"/>
  <c r="V125" i="9" s="1"/>
  <c r="U125" i="9"/>
  <c r="S125" i="9"/>
  <c r="T125" i="9"/>
  <c r="Y125" i="9" s="1"/>
  <c r="X125" i="9"/>
  <c r="P413" i="7" l="1"/>
  <c r="P128" i="7"/>
  <c r="P128" i="6"/>
  <c r="Q126" i="9"/>
  <c r="S127" i="7"/>
  <c r="Q128" i="7"/>
  <c r="S412" i="7"/>
  <c r="X412" i="7" s="1"/>
  <c r="X127" i="7"/>
  <c r="Q128" i="6"/>
  <c r="R128" i="7"/>
  <c r="Q413" i="7"/>
  <c r="W128" i="7"/>
  <c r="R413" i="7"/>
  <c r="S413" i="7" s="1"/>
  <c r="S128" i="7"/>
  <c r="X127" i="6"/>
  <c r="W413" i="7"/>
  <c r="R126" i="9"/>
  <c r="V126" i="9" s="1"/>
  <c r="U126" i="9"/>
  <c r="S126" i="9"/>
  <c r="T126" i="9"/>
  <c r="Y126" i="9" s="1"/>
  <c r="X126" i="9"/>
  <c r="P414" i="7" l="1"/>
  <c r="P129" i="7"/>
  <c r="P129" i="6"/>
  <c r="Q127" i="9"/>
  <c r="X413" i="7"/>
  <c r="X128" i="7"/>
  <c r="Q414" i="7"/>
  <c r="R128" i="6"/>
  <c r="R414" i="7"/>
  <c r="Q129" i="7"/>
  <c r="W414" i="7"/>
  <c r="S414" i="7"/>
  <c r="Q129" i="6"/>
  <c r="R129" i="6" s="1"/>
  <c r="S129" i="6"/>
  <c r="W128" i="6"/>
  <c r="S128" i="6"/>
  <c r="X128" i="6" s="1"/>
  <c r="W129" i="6"/>
  <c r="X129" i="6"/>
  <c r="R127" i="9"/>
  <c r="V127" i="9" s="1"/>
  <c r="U127" i="9"/>
  <c r="S127" i="9"/>
  <c r="X127" i="9"/>
  <c r="T127" i="9"/>
  <c r="Y127" i="9" s="1"/>
  <c r="P415" i="7" l="1"/>
  <c r="P130" i="7"/>
  <c r="P130" i="6"/>
  <c r="Q128" i="9"/>
  <c r="R129" i="7"/>
  <c r="Q130" i="7"/>
  <c r="Q130" i="6"/>
  <c r="X414" i="7"/>
  <c r="R130" i="6"/>
  <c r="W130" i="6"/>
  <c r="S130" i="6"/>
  <c r="X130" i="6"/>
  <c r="Q415" i="7"/>
  <c r="R415" i="7" s="1"/>
  <c r="W129" i="7"/>
  <c r="S129" i="7"/>
  <c r="X129" i="7" s="1"/>
  <c r="S415" i="7"/>
  <c r="W415" i="7"/>
  <c r="R128" i="9"/>
  <c r="V128" i="9" s="1"/>
  <c r="U128" i="9"/>
  <c r="S128" i="9"/>
  <c r="X128" i="9"/>
  <c r="T128" i="9"/>
  <c r="Y128" i="9" s="1"/>
  <c r="P416" i="7" l="1"/>
  <c r="P131" i="7"/>
  <c r="P131" i="6"/>
  <c r="Q129" i="9"/>
  <c r="R130" i="7"/>
  <c r="Q416" i="7"/>
  <c r="R416" i="7"/>
  <c r="Q131" i="6"/>
  <c r="W416" i="7"/>
  <c r="X415" i="7"/>
  <c r="R131" i="6"/>
  <c r="S131" i="6" s="1"/>
  <c r="Q131" i="7"/>
  <c r="R131" i="7"/>
  <c r="W131" i="6"/>
  <c r="S130" i="7"/>
  <c r="X130" i="7" s="1"/>
  <c r="W130" i="7"/>
  <c r="W131" i="7"/>
  <c r="R129" i="9"/>
  <c r="V129" i="9" s="1"/>
  <c r="U129" i="9"/>
  <c r="S129" i="9"/>
  <c r="T129" i="9"/>
  <c r="Y129" i="9" s="1"/>
  <c r="X129" i="9"/>
  <c r="P417" i="7" l="1"/>
  <c r="P132" i="7"/>
  <c r="P132" i="6"/>
  <c r="Q130" i="9"/>
  <c r="S131" i="7"/>
  <c r="Q132" i="7"/>
  <c r="S416" i="7"/>
  <c r="X416" i="7" s="1"/>
  <c r="X131" i="7"/>
  <c r="Q132" i="6"/>
  <c r="R132" i="7"/>
  <c r="Q417" i="7"/>
  <c r="W132" i="7"/>
  <c r="R417" i="7"/>
  <c r="S417" i="7" s="1"/>
  <c r="S132" i="7"/>
  <c r="X131" i="6"/>
  <c r="W417" i="7"/>
  <c r="R130" i="9"/>
  <c r="V130" i="9" s="1"/>
  <c r="U130" i="9"/>
  <c r="S130" i="9"/>
  <c r="T130" i="9"/>
  <c r="Y130" i="9" s="1"/>
  <c r="X130" i="9"/>
  <c r="P418" i="7" l="1"/>
  <c r="P133" i="7"/>
  <c r="P133" i="6"/>
  <c r="Q131" i="9"/>
  <c r="X417" i="7"/>
  <c r="Q133" i="7"/>
  <c r="X132" i="7"/>
  <c r="R133" i="7"/>
  <c r="R132" i="6"/>
  <c r="W133" i="7"/>
  <c r="Q418" i="7"/>
  <c r="R418" i="7"/>
  <c r="Q133" i="6"/>
  <c r="R133" i="6" s="1"/>
  <c r="W418" i="7"/>
  <c r="W132" i="6"/>
  <c r="S132" i="6"/>
  <c r="X132" i="6" s="1"/>
  <c r="S133" i="6"/>
  <c r="W133" i="6"/>
  <c r="R131" i="9"/>
  <c r="V131" i="9" s="1"/>
  <c r="U131" i="9"/>
  <c r="S131" i="9"/>
  <c r="X131" i="9"/>
  <c r="T131" i="9"/>
  <c r="Y131" i="9" s="1"/>
  <c r="P419" i="7" l="1"/>
  <c r="P134" i="7"/>
  <c r="P134" i="6"/>
  <c r="Q132" i="9"/>
  <c r="S418" i="7"/>
  <c r="X133" i="6"/>
  <c r="S133" i="7"/>
  <c r="X133" i="7" s="1"/>
  <c r="Q134" i="7"/>
  <c r="R134" i="7"/>
  <c r="W134" i="7"/>
  <c r="Q419" i="7"/>
  <c r="R419" i="7"/>
  <c r="Q134" i="6"/>
  <c r="R134" i="6" s="1"/>
  <c r="X418" i="7"/>
  <c r="W419" i="7"/>
  <c r="W134" i="6"/>
  <c r="S134" i="6"/>
  <c r="R132" i="9"/>
  <c r="V132" i="9" s="1"/>
  <c r="U132" i="9"/>
  <c r="S132" i="9"/>
  <c r="X132" i="9"/>
  <c r="T132" i="9"/>
  <c r="Y132" i="9" s="1"/>
  <c r="P420" i="7" l="1"/>
  <c r="P135" i="7"/>
  <c r="P135" i="6"/>
  <c r="Q133" i="9"/>
  <c r="X134" i="6"/>
  <c r="S419" i="7"/>
  <c r="X419" i="7"/>
  <c r="Q135" i="6"/>
  <c r="Q135" i="7"/>
  <c r="S134" i="7"/>
  <c r="X134" i="7"/>
  <c r="R135" i="6"/>
  <c r="R135" i="7"/>
  <c r="S135" i="6"/>
  <c r="W135" i="7"/>
  <c r="W135" i="6"/>
  <c r="Q420" i="7"/>
  <c r="R420" i="7" s="1"/>
  <c r="W420" i="7"/>
  <c r="R133" i="9"/>
  <c r="V133" i="9" s="1"/>
  <c r="U133" i="9"/>
  <c r="S133" i="9"/>
  <c r="X133" i="9"/>
  <c r="T133" i="9"/>
  <c r="Y133" i="9" s="1"/>
  <c r="P421" i="7" l="1"/>
  <c r="P136" i="7"/>
  <c r="Q134" i="9"/>
  <c r="Q136" i="7"/>
  <c r="S420" i="7"/>
  <c r="R136" i="7"/>
  <c r="S135" i="7"/>
  <c r="X135" i="7" s="1"/>
  <c r="Q421" i="7"/>
  <c r="W136" i="7"/>
  <c r="S136" i="7"/>
  <c r="X135" i="6"/>
  <c r="X420" i="7"/>
  <c r="R134" i="9"/>
  <c r="V134" i="9" s="1"/>
  <c r="U134" i="9"/>
  <c r="S134" i="9"/>
  <c r="X134" i="9"/>
  <c r="T134" i="9"/>
  <c r="Y134" i="9" s="1"/>
  <c r="P422" i="7" l="1"/>
  <c r="P137" i="7"/>
  <c r="Q135" i="9"/>
  <c r="R135" i="9" s="1"/>
  <c r="V135" i="9" s="1"/>
  <c r="X136" i="7"/>
  <c r="R421" i="7"/>
  <c r="Q422" i="7"/>
  <c r="R422" i="7" s="1"/>
  <c r="Q137" i="7"/>
  <c r="R137" i="7"/>
  <c r="W421" i="7"/>
  <c r="S421" i="7"/>
  <c r="X421" i="7" s="1"/>
  <c r="S422" i="7"/>
  <c r="W422" i="7"/>
  <c r="S137" i="7"/>
  <c r="W137" i="7"/>
  <c r="U135" i="9"/>
  <c r="S135" i="9"/>
  <c r="X135" i="9"/>
  <c r="T135" i="9"/>
  <c r="Y135" i="9" s="1"/>
  <c r="P423" i="7" l="1"/>
  <c r="P138" i="7"/>
  <c r="X137" i="7"/>
  <c r="X422" i="7"/>
  <c r="Q423" i="7"/>
  <c r="Q138" i="7"/>
  <c r="R138" i="7"/>
  <c r="R423" i="7"/>
  <c r="S138" i="7"/>
  <c r="W138" i="7"/>
  <c r="W423" i="7"/>
  <c r="P424" i="7" l="1"/>
  <c r="P139" i="7"/>
  <c r="X138" i="7"/>
  <c r="Q424" i="7"/>
  <c r="S423" i="7"/>
  <c r="X423" i="7"/>
  <c r="Q139" i="7"/>
  <c r="R139" i="7"/>
  <c r="S139" i="7" s="1"/>
  <c r="W139" i="7"/>
  <c r="P425" i="7" l="1"/>
  <c r="P140" i="7"/>
  <c r="X139" i="7"/>
  <c r="R424" i="7"/>
  <c r="Q140" i="7"/>
  <c r="R140" i="7"/>
  <c r="Q425" i="7"/>
  <c r="R425" i="7" s="1"/>
  <c r="S424" i="7"/>
  <c r="X424" i="7" s="1"/>
  <c r="W424" i="7"/>
  <c r="S140" i="7"/>
  <c r="W140" i="7"/>
  <c r="W425" i="7"/>
  <c r="S425" i="7"/>
  <c r="P426" i="7" l="1"/>
  <c r="P141" i="7"/>
  <c r="X140" i="7"/>
  <c r="X425" i="7"/>
  <c r="Q426" i="7"/>
  <c r="Q141" i="7"/>
  <c r="R141" i="7"/>
  <c r="R426" i="7"/>
  <c r="S141" i="7"/>
  <c r="W141" i="7"/>
  <c r="W426" i="7"/>
  <c r="P427" i="7" l="1"/>
  <c r="P142" i="7"/>
  <c r="X141" i="7"/>
  <c r="S426" i="7"/>
  <c r="X426" i="7"/>
  <c r="Q142" i="7"/>
  <c r="R142" i="7"/>
  <c r="Q427" i="7"/>
  <c r="R427" i="7" s="1"/>
  <c r="S142" i="7"/>
  <c r="W142" i="7"/>
  <c r="W427" i="7"/>
  <c r="P428" i="7" l="1"/>
  <c r="P143" i="7"/>
  <c r="X142" i="7"/>
  <c r="S427" i="7"/>
  <c r="X427" i="7"/>
  <c r="Q143" i="7"/>
  <c r="R143" i="7"/>
  <c r="Q428" i="7"/>
  <c r="R428" i="7" s="1"/>
  <c r="S143" i="7"/>
  <c r="W143" i="7"/>
  <c r="W428" i="7"/>
  <c r="P429" i="7" l="1"/>
  <c r="P144" i="7"/>
  <c r="X143" i="7"/>
  <c r="S428" i="7"/>
  <c r="X428" i="7"/>
  <c r="Q144" i="7"/>
  <c r="R144" i="7"/>
  <c r="Q429" i="7"/>
  <c r="R429" i="7" s="1"/>
  <c r="S144" i="7"/>
  <c r="W144" i="7"/>
  <c r="W429" i="7"/>
  <c r="P430" i="7" l="1"/>
  <c r="P145" i="7"/>
  <c r="X144" i="7"/>
  <c r="S429" i="7"/>
  <c r="X429" i="7"/>
  <c r="Q145" i="7"/>
  <c r="R145" i="7"/>
  <c r="Q430" i="7"/>
  <c r="R430" i="7" s="1"/>
  <c r="S145" i="7"/>
  <c r="W145" i="7"/>
  <c r="W430" i="7"/>
  <c r="P431" i="7" l="1"/>
  <c r="P146" i="7"/>
  <c r="X145" i="7"/>
  <c r="S430" i="7"/>
  <c r="X430" i="7"/>
  <c r="Q146" i="7"/>
  <c r="R146" i="7"/>
  <c r="Q431" i="7"/>
  <c r="R431" i="7" s="1"/>
  <c r="S146" i="7"/>
  <c r="W146" i="7"/>
  <c r="W431" i="7"/>
  <c r="P432" i="7" l="1"/>
  <c r="P147" i="7"/>
  <c r="X146" i="7"/>
  <c r="S431" i="7"/>
  <c r="X431" i="7"/>
  <c r="Q147" i="7"/>
  <c r="R147" i="7"/>
  <c r="Q432" i="7"/>
  <c r="R432" i="7" s="1"/>
  <c r="S147" i="7"/>
  <c r="W147" i="7"/>
  <c r="W432" i="7"/>
  <c r="P433" i="7" l="1"/>
  <c r="P148" i="7"/>
  <c r="X147" i="7"/>
  <c r="S432" i="7"/>
  <c r="X432" i="7"/>
  <c r="Q148" i="7"/>
  <c r="R148" i="7"/>
  <c r="Q433" i="7"/>
  <c r="R433" i="7" s="1"/>
  <c r="S148" i="7"/>
  <c r="W148" i="7"/>
  <c r="W433" i="7"/>
  <c r="P434" i="7" l="1"/>
  <c r="P149" i="7"/>
  <c r="X148" i="7"/>
  <c r="S433" i="7"/>
  <c r="X433" i="7"/>
  <c r="Q149" i="7"/>
  <c r="R149" i="7"/>
  <c r="Q434" i="7"/>
  <c r="R434" i="7" s="1"/>
  <c r="S149" i="7"/>
  <c r="W149" i="7"/>
  <c r="W434" i="7"/>
  <c r="P435" i="7" l="1"/>
  <c r="P150" i="7"/>
  <c r="X149" i="7"/>
  <c r="Q150" i="7"/>
  <c r="S434" i="7"/>
  <c r="X434" i="7" s="1"/>
  <c r="R150" i="7"/>
  <c r="Q435" i="7"/>
  <c r="R435" i="7" s="1"/>
  <c r="S150" i="7"/>
  <c r="W150" i="7"/>
  <c r="W435" i="7"/>
  <c r="P436" i="7" l="1"/>
  <c r="P151" i="7"/>
  <c r="X150" i="7"/>
  <c r="S435" i="7"/>
  <c r="X435" i="7"/>
  <c r="Q151" i="7"/>
  <c r="R151" i="7"/>
  <c r="Q436" i="7"/>
  <c r="R436" i="7" s="1"/>
  <c r="S151" i="7"/>
  <c r="W151" i="7"/>
  <c r="W436" i="7"/>
  <c r="P437" i="7" l="1"/>
  <c r="P152" i="7"/>
  <c r="X151" i="7"/>
  <c r="S436" i="7"/>
  <c r="X436" i="7"/>
  <c r="Q152" i="7"/>
  <c r="R152" i="7"/>
  <c r="Q437" i="7"/>
  <c r="R437" i="7" s="1"/>
  <c r="S152" i="7"/>
  <c r="W152" i="7"/>
  <c r="W437" i="7"/>
  <c r="P438" i="7" l="1"/>
  <c r="P153" i="7"/>
  <c r="X152" i="7"/>
  <c r="S437" i="7"/>
  <c r="X437" i="7"/>
  <c r="Q153" i="7"/>
  <c r="R153" i="7"/>
  <c r="Q438" i="7"/>
  <c r="R438" i="7" s="1"/>
  <c r="S153" i="7"/>
  <c r="W153" i="7"/>
  <c r="W438" i="7"/>
  <c r="P439" i="7" l="1"/>
  <c r="P154" i="7"/>
  <c r="X153" i="7"/>
  <c r="S438" i="7"/>
  <c r="X438" i="7"/>
  <c r="Q154" i="7"/>
  <c r="R154" i="7"/>
  <c r="Q439" i="7"/>
  <c r="R439" i="7" s="1"/>
  <c r="S154" i="7"/>
  <c r="W154" i="7"/>
  <c r="W439" i="7"/>
  <c r="P440" i="7" l="1"/>
  <c r="P155" i="7"/>
  <c r="X154" i="7"/>
  <c r="S439" i="7"/>
  <c r="X439" i="7"/>
  <c r="Q155" i="7"/>
  <c r="R155" i="7"/>
  <c r="Q440" i="7"/>
  <c r="R440" i="7" s="1"/>
  <c r="S155" i="7"/>
  <c r="W155" i="7"/>
  <c r="W440" i="7"/>
  <c r="P441" i="7" l="1"/>
  <c r="P156" i="7"/>
  <c r="X155" i="7"/>
  <c r="S440" i="7"/>
  <c r="X440" i="7"/>
  <c r="Q156" i="7"/>
  <c r="Q441" i="7"/>
  <c r="P442" i="7" l="1"/>
  <c r="P157" i="7"/>
  <c r="R441" i="7"/>
  <c r="R156" i="7"/>
  <c r="Q157" i="7"/>
  <c r="R157" i="7"/>
  <c r="Q442" i="7"/>
  <c r="R442" i="7" s="1"/>
  <c r="W441" i="7"/>
  <c r="S156" i="7"/>
  <c r="W156" i="7"/>
  <c r="S157" i="7"/>
  <c r="W157" i="7"/>
  <c r="W442" i="7"/>
  <c r="P443" i="7" l="1"/>
  <c r="P158" i="7"/>
  <c r="X157" i="7"/>
  <c r="X156" i="7"/>
  <c r="Q443" i="7"/>
  <c r="S442" i="7"/>
  <c r="R443" i="7"/>
  <c r="S441" i="7"/>
  <c r="X441" i="7" s="1"/>
  <c r="W443" i="7"/>
  <c r="X442" i="7"/>
  <c r="Q158" i="7"/>
  <c r="R158" i="7" s="1"/>
  <c r="S158" i="7"/>
  <c r="W158" i="7"/>
  <c r="P444" i="7" l="1"/>
  <c r="P159" i="7"/>
  <c r="X158" i="7"/>
  <c r="S443" i="7"/>
  <c r="X443" i="7"/>
  <c r="Q159" i="7"/>
  <c r="R159" i="7"/>
  <c r="Q444" i="7"/>
  <c r="R444" i="7" s="1"/>
  <c r="S159" i="7"/>
  <c r="W159" i="7"/>
  <c r="W444" i="7"/>
  <c r="P445" i="7" l="1"/>
  <c r="P160" i="7"/>
  <c r="X159" i="7"/>
  <c r="Q445" i="7"/>
  <c r="R445" i="7" s="1"/>
  <c r="S444" i="7"/>
  <c r="X444" i="7" s="1"/>
  <c r="Q160" i="7"/>
  <c r="R160" i="7" s="1"/>
  <c r="W445" i="7"/>
  <c r="W160" i="7"/>
  <c r="S160" i="7"/>
  <c r="P446" i="7" l="1"/>
  <c r="P161" i="7"/>
  <c r="X160" i="7"/>
  <c r="Q446" i="7"/>
  <c r="S445" i="7"/>
  <c r="X445" i="7"/>
  <c r="Q161" i="7"/>
  <c r="R161" i="7"/>
  <c r="S161" i="7" s="1"/>
  <c r="W161" i="7"/>
  <c r="P447" i="7" l="1"/>
  <c r="P162" i="7"/>
  <c r="X161" i="7"/>
  <c r="R446" i="7"/>
  <c r="Q447" i="7"/>
  <c r="Q162" i="7"/>
  <c r="R447" i="7"/>
  <c r="W446" i="7"/>
  <c r="S446" i="7"/>
  <c r="X446" i="7" s="1"/>
  <c r="W447" i="7"/>
  <c r="P448" i="7" l="1"/>
  <c r="P163" i="7"/>
  <c r="S447" i="7"/>
  <c r="R162" i="7"/>
  <c r="X447" i="7"/>
  <c r="Q163" i="7"/>
  <c r="R163" i="7"/>
  <c r="Q448" i="7"/>
  <c r="S162" i="7"/>
  <c r="W162" i="7"/>
  <c r="S163" i="7"/>
  <c r="W163" i="7"/>
  <c r="P449" i="7" l="1"/>
  <c r="P164" i="7"/>
  <c r="X163" i="7"/>
  <c r="Q449" i="7"/>
  <c r="X162" i="7"/>
  <c r="R449" i="7"/>
  <c r="W449" i="7" s="1"/>
  <c r="R448" i="7"/>
  <c r="S449" i="7"/>
  <c r="Q164" i="7"/>
  <c r="R164" i="7" s="1"/>
  <c r="W448" i="7"/>
  <c r="W164" i="7"/>
  <c r="S164" i="7"/>
  <c r="P450" i="7" l="1"/>
  <c r="P165" i="7"/>
  <c r="X164" i="7"/>
  <c r="S448" i="7"/>
  <c r="X448" i="7" s="1"/>
  <c r="X449" i="7"/>
  <c r="Q165" i="7"/>
  <c r="R165" i="7"/>
  <c r="Q450" i="7"/>
  <c r="S165" i="7"/>
  <c r="W165" i="7"/>
  <c r="P451" i="7" l="1"/>
  <c r="P166" i="7"/>
  <c r="X165" i="7"/>
  <c r="R450" i="7"/>
  <c r="Q166" i="7"/>
  <c r="R166" i="7"/>
  <c r="Q451" i="7"/>
  <c r="R451" i="7" s="1"/>
  <c r="W450" i="7"/>
  <c r="S166" i="7"/>
  <c r="W166" i="7"/>
  <c r="W451" i="7"/>
  <c r="P452" i="7" l="1"/>
  <c r="P167" i="7"/>
  <c r="X166" i="7"/>
  <c r="Q452" i="7"/>
  <c r="S451" i="7"/>
  <c r="R452" i="7"/>
  <c r="S450" i="7"/>
  <c r="X450" i="7" s="1"/>
  <c r="S452" i="7"/>
  <c r="X451" i="7"/>
  <c r="W452" i="7"/>
  <c r="Q167" i="7"/>
  <c r="R167" i="7"/>
  <c r="S167" i="7"/>
  <c r="W167" i="7"/>
  <c r="P453" i="7" l="1"/>
  <c r="P168" i="7"/>
  <c r="X167" i="7"/>
  <c r="X452" i="7"/>
  <c r="Q168" i="7"/>
  <c r="Q453" i="7"/>
  <c r="R168" i="7"/>
  <c r="R453" i="7"/>
  <c r="S168" i="7"/>
  <c r="W168" i="7"/>
  <c r="W453" i="7"/>
  <c r="S453" i="7"/>
  <c r="P454" i="7" l="1"/>
  <c r="P169" i="7"/>
  <c r="X168" i="7"/>
  <c r="X453" i="7"/>
  <c r="Q169" i="7"/>
  <c r="R169" i="7"/>
  <c r="Q454" i="7"/>
  <c r="R454" i="7"/>
  <c r="S169" i="7"/>
  <c r="W169" i="7"/>
  <c r="W454" i="7"/>
  <c r="P455" i="7" l="1"/>
  <c r="P170" i="7"/>
  <c r="X169" i="7"/>
  <c r="Q170" i="7"/>
  <c r="S454" i="7"/>
  <c r="X454" i="7"/>
  <c r="R170" i="7"/>
  <c r="Q455" i="7"/>
  <c r="R455" i="7" s="1"/>
  <c r="W170" i="7"/>
  <c r="S170" i="7"/>
  <c r="W455" i="7"/>
  <c r="P456" i="7" l="1"/>
  <c r="P171" i="7"/>
  <c r="X170" i="7"/>
  <c r="S455" i="7"/>
  <c r="X455" i="7"/>
  <c r="Q171" i="7"/>
  <c r="R171" i="7"/>
  <c r="Q456" i="7"/>
  <c r="R456" i="7" s="1"/>
  <c r="S171" i="7"/>
  <c r="W171" i="7"/>
  <c r="W456" i="7"/>
  <c r="P457" i="7" l="1"/>
  <c r="P172" i="7"/>
  <c r="X171" i="7"/>
  <c r="S456" i="7"/>
  <c r="X456" i="7"/>
  <c r="Q172" i="7"/>
  <c r="R172" i="7"/>
  <c r="Q457" i="7"/>
  <c r="R457" i="7" s="1"/>
  <c r="S172" i="7"/>
  <c r="W172" i="7"/>
  <c r="W457" i="7"/>
  <c r="P458" i="7" l="1"/>
  <c r="P173" i="7"/>
  <c r="X172" i="7"/>
  <c r="S457" i="7"/>
  <c r="X457" i="7"/>
  <c r="Q173" i="7"/>
  <c r="R173" i="7"/>
  <c r="Q458" i="7"/>
  <c r="R458" i="7" s="1"/>
  <c r="S173" i="7"/>
  <c r="W173" i="7"/>
  <c r="W458" i="7"/>
  <c r="P459" i="7" l="1"/>
  <c r="P174" i="7"/>
  <c r="X173" i="7"/>
  <c r="S458" i="7"/>
  <c r="X458" i="7"/>
  <c r="Q174" i="7"/>
  <c r="R174" i="7"/>
  <c r="Q459" i="7"/>
  <c r="R459" i="7" s="1"/>
  <c r="S174" i="7"/>
  <c r="W174" i="7"/>
  <c r="W459" i="7"/>
  <c r="P460" i="7" l="1"/>
  <c r="P175" i="7"/>
  <c r="X174" i="7"/>
  <c r="S459" i="7"/>
  <c r="X459" i="7"/>
  <c r="Q175" i="7"/>
  <c r="R175" i="7"/>
  <c r="Q460" i="7"/>
  <c r="R460" i="7" s="1"/>
  <c r="S175" i="7"/>
  <c r="W175" i="7"/>
  <c r="W460" i="7"/>
  <c r="P461" i="7" l="1"/>
  <c r="P176" i="7"/>
  <c r="X175" i="7"/>
  <c r="S460" i="7"/>
  <c r="X460" i="7"/>
  <c r="Q176" i="7"/>
  <c r="Q461" i="7"/>
  <c r="P462" i="7" l="1"/>
  <c r="P177" i="7"/>
  <c r="R461" i="7"/>
  <c r="R176" i="7"/>
  <c r="Q177" i="7"/>
  <c r="R177" i="7"/>
  <c r="Q462" i="7"/>
  <c r="R462" i="7" s="1"/>
  <c r="S461" i="7"/>
  <c r="X461" i="7" s="1"/>
  <c r="W461" i="7"/>
  <c r="W176" i="7"/>
  <c r="S176" i="7"/>
  <c r="S177" i="7"/>
  <c r="W177" i="7"/>
  <c r="W462" i="7"/>
  <c r="P463" i="7" l="1"/>
  <c r="P178" i="7"/>
  <c r="X177" i="7"/>
  <c r="S462" i="7"/>
  <c r="Q463" i="7"/>
  <c r="X176" i="7"/>
  <c r="R463" i="7"/>
  <c r="W463" i="7"/>
  <c r="X462" i="7"/>
  <c r="Q178" i="7"/>
  <c r="R178" i="7" s="1"/>
  <c r="S178" i="7"/>
  <c r="W178" i="7"/>
  <c r="P464" i="7" l="1"/>
  <c r="P179" i="7"/>
  <c r="X178" i="7"/>
  <c r="S463" i="7"/>
  <c r="X463" i="7"/>
  <c r="Q179" i="7"/>
  <c r="R179" i="7"/>
  <c r="Q464" i="7"/>
  <c r="R464" i="7" s="1"/>
  <c r="S179" i="7"/>
  <c r="W179" i="7"/>
  <c r="W464" i="7"/>
  <c r="P465" i="7" l="1"/>
  <c r="P180" i="7"/>
  <c r="X179" i="7"/>
  <c r="S464" i="7"/>
  <c r="X464" i="7"/>
  <c r="Q180" i="7"/>
  <c r="R180" i="7"/>
  <c r="Q465" i="7"/>
  <c r="R465" i="7" s="1"/>
  <c r="S180" i="7"/>
  <c r="W180" i="7"/>
  <c r="W465" i="7"/>
  <c r="P466" i="7" l="1"/>
  <c r="P181" i="7"/>
  <c r="X180" i="7"/>
  <c r="S465" i="7"/>
  <c r="X465" i="7"/>
  <c r="Q181" i="7"/>
  <c r="R181" i="7"/>
  <c r="Q466" i="7"/>
  <c r="R466" i="7" s="1"/>
  <c r="S181" i="7"/>
  <c r="W181" i="7"/>
  <c r="W466" i="7"/>
  <c r="P467" i="7" l="1"/>
  <c r="P182" i="7"/>
  <c r="X181" i="7"/>
  <c r="S466" i="7"/>
  <c r="X466" i="7"/>
  <c r="Q182" i="7"/>
  <c r="R182" i="7"/>
  <c r="Q467" i="7"/>
  <c r="R467" i="7" s="1"/>
  <c r="S182" i="7"/>
  <c r="W182" i="7"/>
  <c r="W467" i="7"/>
  <c r="P468" i="7" l="1"/>
  <c r="P183" i="7"/>
  <c r="X182" i="7"/>
  <c r="S467" i="7"/>
  <c r="X467" i="7"/>
  <c r="Q183" i="7"/>
  <c r="R183" i="7"/>
  <c r="Q468" i="7"/>
  <c r="R468" i="7" s="1"/>
  <c r="S183" i="7"/>
  <c r="W183" i="7"/>
  <c r="W468" i="7"/>
  <c r="P469" i="7" l="1"/>
  <c r="P184" i="7"/>
  <c r="X183" i="7"/>
  <c r="Q469" i="7"/>
  <c r="R469" i="7" s="1"/>
  <c r="S468" i="7"/>
  <c r="X468" i="7" s="1"/>
  <c r="W469" i="7"/>
  <c r="Q184" i="7"/>
  <c r="R184" i="7" s="1"/>
  <c r="S184" i="7"/>
  <c r="W184" i="7"/>
  <c r="P470" i="7" l="1"/>
  <c r="P185" i="7"/>
  <c r="X184" i="7"/>
  <c r="S469" i="7"/>
  <c r="X469" i="7"/>
  <c r="Q185" i="7"/>
  <c r="R185" i="7"/>
  <c r="Q470" i="7"/>
  <c r="R470" i="7" s="1"/>
  <c r="S185" i="7"/>
  <c r="W185" i="7"/>
  <c r="W470" i="7"/>
  <c r="P471" i="7" l="1"/>
  <c r="P186" i="7"/>
  <c r="X185" i="7"/>
  <c r="S470" i="7"/>
  <c r="X470" i="7"/>
  <c r="Q186" i="7"/>
  <c r="R186" i="7"/>
  <c r="Q471" i="7"/>
  <c r="R471" i="7" s="1"/>
  <c r="S186" i="7"/>
  <c r="W186" i="7"/>
  <c r="W471" i="7"/>
  <c r="P472" i="7" l="1"/>
  <c r="P187" i="7"/>
  <c r="X186" i="7"/>
  <c r="Q187" i="7"/>
  <c r="Q472" i="7"/>
  <c r="R472" i="7" s="1"/>
  <c r="S471" i="7"/>
  <c r="W472" i="7"/>
  <c r="X471" i="7"/>
  <c r="R187" i="7"/>
  <c r="S187" i="7"/>
  <c r="W187" i="7"/>
  <c r="P473" i="7" l="1"/>
  <c r="P188" i="7"/>
  <c r="X187" i="7"/>
  <c r="S472" i="7"/>
  <c r="X472" i="7"/>
  <c r="Q188" i="7"/>
  <c r="R188" i="7"/>
  <c r="Q473" i="7"/>
  <c r="R473" i="7" s="1"/>
  <c r="S188" i="7"/>
  <c r="W188" i="7"/>
  <c r="W473" i="7"/>
  <c r="P474" i="7" l="1"/>
  <c r="P189" i="7"/>
  <c r="X188" i="7"/>
  <c r="S473" i="7"/>
  <c r="X473" i="7"/>
  <c r="Q189" i="7"/>
  <c r="R189" i="7"/>
  <c r="Q474" i="7"/>
  <c r="R474" i="7" s="1"/>
  <c r="S189" i="7"/>
  <c r="W189" i="7"/>
  <c r="W474" i="7"/>
  <c r="P475" i="7" l="1"/>
  <c r="P190" i="7"/>
  <c r="X189" i="7"/>
  <c r="S474" i="7"/>
  <c r="X474" i="7"/>
  <c r="Q190" i="7"/>
  <c r="R190" i="7"/>
  <c r="Q475" i="7"/>
  <c r="R475" i="7" s="1"/>
  <c r="S190" i="7"/>
  <c r="W190" i="7"/>
  <c r="W475" i="7"/>
  <c r="P476" i="7" l="1"/>
  <c r="P191" i="7"/>
  <c r="X190" i="7"/>
  <c r="S475" i="7"/>
  <c r="X475" i="7"/>
  <c r="Q191" i="7"/>
  <c r="R191" i="7"/>
  <c r="Q476" i="7"/>
  <c r="R476" i="7" s="1"/>
  <c r="S191" i="7"/>
  <c r="W191" i="7"/>
  <c r="W476" i="7"/>
  <c r="P477" i="7" l="1"/>
  <c r="P192" i="7"/>
  <c r="X191" i="7"/>
  <c r="S476" i="7"/>
  <c r="X476" i="7"/>
  <c r="Q192" i="7"/>
  <c r="R192" i="7"/>
  <c r="Q477" i="7"/>
  <c r="R477" i="7" s="1"/>
  <c r="S192" i="7"/>
  <c r="W192" i="7"/>
  <c r="W477" i="7"/>
  <c r="P478" i="7" l="1"/>
  <c r="P193" i="7"/>
  <c r="X192" i="7"/>
  <c r="Q478" i="7"/>
  <c r="R478" i="7" s="1"/>
  <c r="S477" i="7"/>
  <c r="X477" i="7" s="1"/>
  <c r="W478" i="7"/>
  <c r="Q193" i="7"/>
  <c r="R193" i="7" s="1"/>
  <c r="W193" i="7"/>
  <c r="S193" i="7"/>
  <c r="P479" i="7" l="1"/>
  <c r="P194" i="7"/>
  <c r="X193" i="7"/>
  <c r="S478" i="7"/>
  <c r="X478" i="7"/>
  <c r="Q194" i="7"/>
  <c r="R194" i="7"/>
  <c r="Q479" i="7"/>
  <c r="R479" i="7" s="1"/>
  <c r="S194" i="7"/>
  <c r="W194" i="7"/>
  <c r="W479" i="7"/>
  <c r="P480" i="7" l="1"/>
  <c r="P195" i="7"/>
  <c r="X194" i="7"/>
  <c r="S479" i="7"/>
  <c r="X479" i="7"/>
  <c r="Q195" i="7"/>
  <c r="R195" i="7"/>
  <c r="Q480" i="7"/>
  <c r="R480" i="7" s="1"/>
  <c r="S195" i="7"/>
  <c r="W195" i="7"/>
  <c r="W480" i="7"/>
  <c r="P481" i="7" l="1"/>
  <c r="P196" i="7"/>
  <c r="X195" i="7"/>
  <c r="S480" i="7"/>
  <c r="X480" i="7"/>
  <c r="Q196" i="7"/>
  <c r="R196" i="7"/>
  <c r="Q481" i="7"/>
  <c r="R481" i="7" s="1"/>
  <c r="S196" i="7"/>
  <c r="W196" i="7"/>
  <c r="W481" i="7"/>
  <c r="P482" i="7" l="1"/>
  <c r="P197" i="7"/>
  <c r="X196" i="7"/>
  <c r="Q482" i="7"/>
  <c r="R482" i="7" s="1"/>
  <c r="S481" i="7"/>
  <c r="X481" i="7" s="1"/>
  <c r="Q197" i="7"/>
  <c r="R197" i="7" s="1"/>
  <c r="W482" i="7"/>
  <c r="W197" i="7"/>
  <c r="S197" i="7"/>
  <c r="P483" i="7" l="1"/>
  <c r="P198" i="7"/>
  <c r="X197" i="7"/>
  <c r="S482" i="7"/>
  <c r="X482" i="7"/>
  <c r="Q198" i="7"/>
  <c r="R198" i="7"/>
  <c r="Q483" i="7"/>
  <c r="R483" i="7" s="1"/>
  <c r="S198" i="7"/>
  <c r="W198" i="7"/>
  <c r="W483" i="7"/>
  <c r="P484" i="7" l="1"/>
  <c r="P199" i="7"/>
  <c r="X198" i="7"/>
  <c r="S483" i="7"/>
  <c r="X483" i="7"/>
  <c r="Q199" i="7"/>
  <c r="R199" i="7"/>
  <c r="Q484" i="7"/>
  <c r="R484" i="7" s="1"/>
  <c r="S199" i="7"/>
  <c r="W199" i="7"/>
  <c r="W484" i="7"/>
  <c r="P485" i="7" l="1"/>
  <c r="P200" i="7"/>
  <c r="X199" i="7"/>
  <c r="S484" i="7"/>
  <c r="X484" i="7"/>
  <c r="Q200" i="7"/>
  <c r="R200" i="7"/>
  <c r="Q485" i="7"/>
  <c r="R485" i="7" s="1"/>
  <c r="S200" i="7"/>
  <c r="W200" i="7"/>
  <c r="W485" i="7"/>
  <c r="P486" i="7" l="1"/>
  <c r="P201" i="7"/>
  <c r="X200" i="7"/>
  <c r="S485" i="7"/>
  <c r="X485" i="7"/>
  <c r="Q201" i="7"/>
  <c r="Q486" i="7"/>
  <c r="R486" i="7" s="1"/>
  <c r="R201" i="7"/>
  <c r="S486" i="7"/>
  <c r="W486" i="7"/>
  <c r="S201" i="7"/>
  <c r="W201" i="7"/>
  <c r="P487" i="7" l="1"/>
  <c r="P202" i="7"/>
  <c r="X201" i="7"/>
  <c r="X486" i="7"/>
  <c r="Q202" i="7"/>
  <c r="R202" i="7"/>
  <c r="Q487" i="7"/>
  <c r="R487" i="7"/>
  <c r="S202" i="7"/>
  <c r="W202" i="7"/>
  <c r="W487" i="7"/>
  <c r="P488" i="7" l="1"/>
  <c r="P203" i="7"/>
  <c r="X202" i="7"/>
  <c r="S487" i="7"/>
  <c r="X487" i="7"/>
  <c r="Q203" i="7"/>
  <c r="R203" i="7"/>
  <c r="Q488" i="7"/>
  <c r="R488" i="7" s="1"/>
  <c r="S203" i="7"/>
  <c r="W203" i="7"/>
  <c r="W488" i="7"/>
  <c r="P489" i="7" l="1"/>
  <c r="P204" i="7"/>
  <c r="X203" i="7"/>
  <c r="S488" i="7"/>
  <c r="X488" i="7"/>
  <c r="Q204" i="7"/>
  <c r="R204" i="7"/>
  <c r="Q489" i="7"/>
  <c r="R489" i="7" s="1"/>
  <c r="S204" i="7"/>
  <c r="W204" i="7"/>
  <c r="W489" i="7"/>
  <c r="P490" i="7" l="1"/>
  <c r="P205" i="7"/>
  <c r="X204" i="7"/>
  <c r="S489" i="7"/>
  <c r="X489" i="7"/>
  <c r="Q205" i="7"/>
  <c r="Q490" i="7"/>
  <c r="R490" i="7" s="1"/>
  <c r="R205" i="7"/>
  <c r="W490" i="7"/>
  <c r="S205" i="7"/>
  <c r="W205" i="7"/>
  <c r="P491" i="7" l="1"/>
  <c r="P206" i="7"/>
  <c r="X205" i="7"/>
  <c r="Q491" i="7"/>
  <c r="R491" i="7" s="1"/>
  <c r="S490" i="7"/>
  <c r="X490" i="7" s="1"/>
  <c r="Q206" i="7"/>
  <c r="R206" i="7" s="1"/>
  <c r="W491" i="7"/>
  <c r="S206" i="7"/>
  <c r="W206" i="7"/>
  <c r="P492" i="7" l="1"/>
  <c r="P207" i="7"/>
  <c r="X206" i="7"/>
  <c r="Q492" i="7"/>
  <c r="R492" i="7" s="1"/>
  <c r="S491" i="7"/>
  <c r="X491" i="7" s="1"/>
  <c r="Q207" i="7"/>
  <c r="R207" i="7" s="1"/>
  <c r="W492" i="7"/>
  <c r="W207" i="7"/>
  <c r="S207" i="7"/>
  <c r="P493" i="7" l="1"/>
  <c r="P208" i="7"/>
  <c r="X207" i="7"/>
  <c r="Q493" i="7"/>
  <c r="R493" i="7" s="1"/>
  <c r="S492" i="7"/>
  <c r="X492" i="7" s="1"/>
  <c r="Q208" i="7"/>
  <c r="R208" i="7" s="1"/>
  <c r="W493" i="7"/>
  <c r="S208" i="7"/>
  <c r="W208" i="7"/>
  <c r="P494" i="7" l="1"/>
  <c r="P209" i="7"/>
  <c r="X208" i="7"/>
  <c r="S493" i="7"/>
  <c r="X493" i="7"/>
  <c r="Q209" i="7"/>
  <c r="R209" i="7"/>
  <c r="Q494" i="7"/>
  <c r="R494" i="7" s="1"/>
  <c r="S209" i="7"/>
  <c r="W209" i="7"/>
  <c r="W494" i="7"/>
  <c r="P495" i="7" l="1"/>
  <c r="P210" i="7"/>
  <c r="X209" i="7"/>
  <c r="S494" i="7"/>
  <c r="X494" i="7"/>
  <c r="Q210" i="7"/>
  <c r="R210" i="7"/>
  <c r="Q495" i="7"/>
  <c r="R495" i="7" s="1"/>
  <c r="S210" i="7"/>
  <c r="W210" i="7"/>
  <c r="W495" i="7"/>
  <c r="P496" i="7" l="1"/>
  <c r="P211" i="7"/>
  <c r="X210" i="7"/>
  <c r="S495" i="7"/>
  <c r="X495" i="7"/>
  <c r="Q211" i="7"/>
  <c r="R211" i="7"/>
  <c r="Q496" i="7"/>
  <c r="R496" i="7" s="1"/>
  <c r="S211" i="7"/>
  <c r="W211" i="7"/>
  <c r="W496" i="7"/>
  <c r="P497" i="7" l="1"/>
  <c r="P212" i="7"/>
  <c r="X211" i="7"/>
  <c r="S496" i="7"/>
  <c r="X496" i="7"/>
  <c r="Q212" i="7"/>
  <c r="R212" i="7"/>
  <c r="Q497" i="7"/>
  <c r="R497" i="7" s="1"/>
  <c r="S212" i="7"/>
  <c r="W212" i="7"/>
  <c r="W497" i="7"/>
  <c r="P498" i="7" l="1"/>
  <c r="P213" i="7"/>
  <c r="X212" i="7"/>
  <c r="S497" i="7"/>
  <c r="X497" i="7"/>
  <c r="Q213" i="7"/>
  <c r="R213" i="7"/>
  <c r="Q498" i="7"/>
  <c r="R498" i="7" s="1"/>
  <c r="S213" i="7"/>
  <c r="W213" i="7"/>
  <c r="W498" i="7"/>
  <c r="P499" i="7" l="1"/>
  <c r="P214" i="7"/>
  <c r="X213" i="7"/>
  <c r="S498" i="7"/>
  <c r="X498" i="7"/>
  <c r="Q214" i="7"/>
  <c r="R214" i="7"/>
  <c r="Q499" i="7"/>
  <c r="R499" i="7" s="1"/>
  <c r="S214" i="7"/>
  <c r="W214" i="7"/>
  <c r="W499" i="7"/>
  <c r="P500" i="7" l="1"/>
  <c r="P215" i="7"/>
  <c r="X214" i="7"/>
  <c r="S499" i="7"/>
  <c r="X499" i="7"/>
  <c r="Q215" i="7"/>
  <c r="R215" i="7"/>
  <c r="Q500" i="7"/>
  <c r="R500" i="7" s="1"/>
  <c r="S215" i="7"/>
  <c r="W215" i="7"/>
  <c r="W500" i="7"/>
  <c r="P501" i="7" l="1"/>
  <c r="P216" i="7"/>
  <c r="X215" i="7"/>
  <c r="S500" i="7"/>
  <c r="X500" i="7"/>
  <c r="Q216" i="7"/>
  <c r="R216" i="7"/>
  <c r="Q501" i="7"/>
  <c r="R501" i="7" s="1"/>
  <c r="S216" i="7"/>
  <c r="W216" i="7"/>
  <c r="S501" i="7"/>
  <c r="W501" i="7"/>
  <c r="P502" i="7" l="1"/>
  <c r="P217" i="7"/>
  <c r="X216" i="7"/>
  <c r="X501" i="7"/>
  <c r="Q217" i="7"/>
  <c r="R217" i="7"/>
  <c r="Q502" i="7"/>
  <c r="R502" i="7"/>
  <c r="S217" i="7"/>
  <c r="W217" i="7"/>
  <c r="W502" i="7"/>
  <c r="P503" i="7" l="1"/>
  <c r="P218" i="7"/>
  <c r="X217" i="7"/>
  <c r="S502" i="7"/>
  <c r="X502" i="7"/>
  <c r="Q218" i="7"/>
  <c r="R218" i="7"/>
  <c r="Q503" i="7"/>
  <c r="R503" i="7" s="1"/>
  <c r="S218" i="7"/>
  <c r="W218" i="7"/>
  <c r="W503" i="7"/>
  <c r="P504" i="7" l="1"/>
  <c r="P219" i="7"/>
  <c r="X218" i="7"/>
  <c r="S503" i="7"/>
  <c r="Q219" i="7"/>
  <c r="Q504" i="7"/>
  <c r="R504" i="7" s="1"/>
  <c r="X503" i="7"/>
  <c r="R219" i="7"/>
  <c r="W504" i="7"/>
  <c r="W219" i="7"/>
  <c r="S219" i="7"/>
  <c r="P505" i="7" l="1"/>
  <c r="P220" i="7"/>
  <c r="X219" i="7"/>
  <c r="S504" i="7"/>
  <c r="X504" i="7"/>
  <c r="Q220" i="7"/>
  <c r="R220" i="7"/>
  <c r="Q505" i="7"/>
  <c r="R505" i="7" s="1"/>
  <c r="S220" i="7"/>
  <c r="W220" i="7"/>
  <c r="W505" i="7"/>
  <c r="P506" i="7" l="1"/>
  <c r="P221" i="7"/>
  <c r="X220" i="7"/>
  <c r="S505" i="7"/>
  <c r="X505" i="7"/>
  <c r="Q221" i="7"/>
  <c r="R221" i="7"/>
  <c r="Q506" i="7"/>
  <c r="R506" i="7" s="1"/>
  <c r="S221" i="7"/>
  <c r="W221" i="7"/>
  <c r="W506" i="7"/>
  <c r="P507" i="7" l="1"/>
  <c r="P222" i="7"/>
  <c r="X221" i="7"/>
  <c r="S506" i="7"/>
  <c r="X506" i="7"/>
  <c r="Q222" i="7"/>
  <c r="R222" i="7"/>
  <c r="Q507" i="7"/>
  <c r="R507" i="7" s="1"/>
  <c r="S222" i="7"/>
  <c r="W222" i="7"/>
  <c r="W507" i="7"/>
  <c r="P508" i="7" l="1"/>
  <c r="P223" i="7"/>
  <c r="X222" i="7"/>
  <c r="S507" i="7"/>
  <c r="X507" i="7"/>
  <c r="Q223" i="7"/>
  <c r="R223" i="7"/>
  <c r="Q508" i="7"/>
  <c r="R508" i="7" s="1"/>
  <c r="S223" i="7"/>
  <c r="W223" i="7"/>
  <c r="W508" i="7"/>
  <c r="P509" i="7" l="1"/>
  <c r="P224" i="7"/>
  <c r="X223" i="7"/>
  <c r="S508" i="7"/>
  <c r="X508" i="7"/>
  <c r="Q224" i="7"/>
  <c r="R224" i="7"/>
  <c r="Q509" i="7"/>
  <c r="R509" i="7" s="1"/>
  <c r="S224" i="7"/>
  <c r="W224" i="7"/>
  <c r="W509" i="7"/>
  <c r="P510" i="7" l="1"/>
  <c r="P225" i="7"/>
  <c r="X224" i="7"/>
  <c r="S509" i="7"/>
  <c r="X509" i="7"/>
  <c r="Q225" i="7"/>
  <c r="R225" i="7"/>
  <c r="Q510" i="7"/>
  <c r="R510" i="7" s="1"/>
  <c r="S225" i="7"/>
  <c r="W225" i="7"/>
  <c r="W510" i="7"/>
  <c r="P511" i="7" l="1"/>
  <c r="P226" i="7"/>
  <c r="X225" i="7"/>
  <c r="S510" i="7"/>
  <c r="X510" i="7"/>
  <c r="Q226" i="7"/>
  <c r="R226" i="7"/>
  <c r="Q511" i="7"/>
  <c r="R511" i="7" s="1"/>
  <c r="S226" i="7"/>
  <c r="W226" i="7"/>
  <c r="W511" i="7"/>
  <c r="P512" i="7" l="1"/>
  <c r="P227" i="7"/>
  <c r="X226" i="7"/>
  <c r="S511" i="7"/>
  <c r="X511" i="7"/>
  <c r="Q227" i="7"/>
  <c r="R227" i="7"/>
  <c r="Q512" i="7"/>
  <c r="R512" i="7" s="1"/>
  <c r="S227" i="7"/>
  <c r="W227" i="7"/>
  <c r="W512" i="7"/>
  <c r="P513" i="7" l="1"/>
  <c r="P228" i="7"/>
  <c r="X227" i="7"/>
  <c r="S512" i="7"/>
  <c r="X512" i="7"/>
  <c r="Q228" i="7"/>
  <c r="R228" i="7"/>
  <c r="Q513" i="7"/>
  <c r="R513" i="7" s="1"/>
  <c r="S228" i="7"/>
  <c r="W228" i="7"/>
  <c r="W513" i="7"/>
  <c r="P514" i="7" l="1"/>
  <c r="P229" i="7"/>
  <c r="X228" i="7"/>
  <c r="S513" i="7"/>
  <c r="X513" i="7"/>
  <c r="Q229" i="7"/>
  <c r="R229" i="7"/>
  <c r="Q514" i="7"/>
  <c r="R514" i="7" s="1"/>
  <c r="S229" i="7"/>
  <c r="W229" i="7"/>
  <c r="W514" i="7"/>
  <c r="P515" i="7" l="1"/>
  <c r="P230" i="7"/>
  <c r="X229" i="7"/>
  <c r="Q230" i="7"/>
  <c r="S514" i="7"/>
  <c r="X514" i="7"/>
  <c r="R230" i="7"/>
  <c r="Q515" i="7"/>
  <c r="R515" i="7" s="1"/>
  <c r="W230" i="7"/>
  <c r="S230" i="7"/>
  <c r="W515" i="7"/>
  <c r="P516" i="7" l="1"/>
  <c r="P231" i="7"/>
  <c r="X230" i="7"/>
  <c r="S515" i="7"/>
  <c r="X515" i="7"/>
  <c r="Q231" i="7"/>
  <c r="R231" i="7"/>
  <c r="Q516" i="7"/>
  <c r="R516" i="7" s="1"/>
  <c r="S231" i="7"/>
  <c r="W231" i="7"/>
  <c r="W516" i="7"/>
  <c r="P517" i="7" l="1"/>
  <c r="P232" i="7"/>
  <c r="X231" i="7"/>
  <c r="S516" i="7"/>
  <c r="Q517" i="7"/>
  <c r="X516" i="7"/>
  <c r="Q232" i="7"/>
  <c r="R232" i="7"/>
  <c r="W232" i="7"/>
  <c r="P518" i="7" l="1"/>
  <c r="P233" i="7"/>
  <c r="S232" i="7"/>
  <c r="X232" i="7" s="1"/>
  <c r="Q233" i="7"/>
  <c r="R517" i="7"/>
  <c r="R233" i="7"/>
  <c r="Q518" i="7"/>
  <c r="R518" i="7" s="1"/>
  <c r="W517" i="7"/>
  <c r="S517" i="7"/>
  <c r="X517" i="7" s="1"/>
  <c r="W233" i="7"/>
  <c r="S233" i="7"/>
  <c r="W518" i="7"/>
  <c r="P519" i="7" l="1"/>
  <c r="P234" i="7"/>
  <c r="X233" i="7"/>
  <c r="S518" i="7"/>
  <c r="X518" i="7"/>
  <c r="Q234" i="7"/>
  <c r="R234" i="7"/>
  <c r="Q519" i="7"/>
  <c r="R519" i="7" s="1"/>
  <c r="S234" i="7"/>
  <c r="W234" i="7"/>
  <c r="W519" i="7"/>
  <c r="P520" i="7" l="1"/>
  <c r="P235" i="7"/>
  <c r="X234" i="7"/>
  <c r="S519" i="7"/>
  <c r="X519" i="7"/>
  <c r="Q235" i="7"/>
  <c r="R235" i="7"/>
  <c r="Q520" i="7"/>
  <c r="R520" i="7" s="1"/>
  <c r="S235" i="7"/>
  <c r="W235" i="7"/>
  <c r="W520" i="7"/>
  <c r="P521" i="7" l="1"/>
  <c r="P236" i="7"/>
  <c r="X235" i="7"/>
  <c r="S520" i="7"/>
  <c r="X520" i="7"/>
  <c r="Q236" i="7"/>
  <c r="R236" i="7"/>
  <c r="Q521" i="7"/>
  <c r="R521" i="7" s="1"/>
  <c r="S236" i="7"/>
  <c r="W236" i="7"/>
  <c r="W521" i="7"/>
  <c r="P522" i="7" l="1"/>
  <c r="P237" i="7"/>
  <c r="X236" i="7"/>
  <c r="S521" i="7"/>
  <c r="X521" i="7"/>
  <c r="Q237" i="7"/>
  <c r="R237" i="7"/>
  <c r="Q522" i="7"/>
  <c r="R522" i="7" s="1"/>
  <c r="S237" i="7"/>
  <c r="W237" i="7"/>
  <c r="W522" i="7"/>
  <c r="P523" i="7" l="1"/>
  <c r="P238" i="7"/>
  <c r="X237" i="7"/>
  <c r="Q523" i="7"/>
  <c r="R523" i="7" s="1"/>
  <c r="S522" i="7"/>
  <c r="W523" i="7"/>
  <c r="X522" i="7"/>
  <c r="Q238" i="7"/>
  <c r="R238" i="7" s="1"/>
  <c r="W238" i="7"/>
  <c r="S238" i="7"/>
  <c r="P524" i="7" l="1"/>
  <c r="P239" i="7"/>
  <c r="X238" i="7"/>
  <c r="S523" i="7"/>
  <c r="X523" i="7"/>
  <c r="Q239" i="7"/>
  <c r="R239" i="7"/>
  <c r="Q524" i="7"/>
  <c r="R524" i="7" s="1"/>
  <c r="S239" i="7"/>
  <c r="W239" i="7"/>
  <c r="W524" i="7"/>
  <c r="P525" i="7" l="1"/>
  <c r="P240" i="7"/>
  <c r="X239" i="7"/>
  <c r="S524" i="7"/>
  <c r="X524" i="7"/>
  <c r="Q240" i="7"/>
  <c r="R240" i="7"/>
  <c r="Q525" i="7"/>
  <c r="R525" i="7" s="1"/>
  <c r="S240" i="7"/>
  <c r="W240" i="7"/>
  <c r="W525" i="7"/>
  <c r="P526" i="7" l="1"/>
  <c r="P241" i="7"/>
  <c r="X240" i="7"/>
  <c r="S525" i="7"/>
  <c r="X525" i="7"/>
  <c r="Q241" i="7"/>
  <c r="R241" i="7"/>
  <c r="Q526" i="7"/>
  <c r="R526" i="7" s="1"/>
  <c r="S241" i="7"/>
  <c r="W241" i="7"/>
  <c r="S526" i="7"/>
  <c r="W526" i="7"/>
  <c r="P527" i="7" l="1"/>
  <c r="P242" i="7"/>
  <c r="X241" i="7"/>
  <c r="X526" i="7"/>
  <c r="Q527" i="7"/>
  <c r="Q242" i="7"/>
  <c r="R242" i="7" s="1"/>
  <c r="R527" i="7"/>
  <c r="S242" i="7"/>
  <c r="W242" i="7"/>
  <c r="W527" i="7"/>
  <c r="P528" i="7" l="1"/>
  <c r="P243" i="7"/>
  <c r="X242" i="7"/>
  <c r="S527" i="7"/>
  <c r="X527" i="7"/>
  <c r="Q243" i="7"/>
  <c r="Q528" i="7"/>
  <c r="P529" i="7" l="1"/>
  <c r="P244" i="7"/>
  <c r="R528" i="7"/>
  <c r="R243" i="7"/>
  <c r="Q244" i="7"/>
  <c r="R244" i="7"/>
  <c r="Q529" i="7"/>
  <c r="R529" i="7" s="1"/>
  <c r="W528" i="7"/>
  <c r="S243" i="7"/>
  <c r="W243" i="7"/>
  <c r="S244" i="7"/>
  <c r="W244" i="7"/>
  <c r="W529" i="7"/>
  <c r="P530" i="7" l="1"/>
  <c r="P245" i="7"/>
  <c r="X244" i="7"/>
  <c r="X243" i="7"/>
  <c r="Q530" i="7"/>
  <c r="S529" i="7"/>
  <c r="R530" i="7"/>
  <c r="S528" i="7"/>
  <c r="X528" i="7" s="1"/>
  <c r="W530" i="7"/>
  <c r="X529" i="7"/>
  <c r="Q245" i="7"/>
  <c r="R245" i="7" s="1"/>
  <c r="S245" i="7"/>
  <c r="W245" i="7"/>
  <c r="P531" i="7" l="1"/>
  <c r="P246" i="7"/>
  <c r="X245" i="7"/>
  <c r="S530" i="7"/>
  <c r="X530" i="7"/>
  <c r="Q246" i="7"/>
  <c r="R246" i="7"/>
  <c r="Q531" i="7"/>
  <c r="R531" i="7" s="1"/>
  <c r="S246" i="7"/>
  <c r="W246" i="7"/>
  <c r="W531" i="7"/>
  <c r="P532" i="7" l="1"/>
  <c r="P247" i="7"/>
  <c r="X246" i="7"/>
  <c r="S531" i="7"/>
  <c r="X531" i="7"/>
  <c r="Q247" i="7"/>
  <c r="R247" i="7"/>
  <c r="Q532" i="7"/>
  <c r="R532" i="7" s="1"/>
  <c r="S247" i="7"/>
  <c r="W247" i="7"/>
  <c r="W532" i="7"/>
  <c r="P533" i="7" l="1"/>
  <c r="P248" i="7"/>
  <c r="X247" i="7"/>
  <c r="S532" i="7"/>
  <c r="X532" i="7"/>
  <c r="Q248" i="7"/>
  <c r="R248" i="7"/>
  <c r="Q533" i="7"/>
  <c r="R533" i="7" s="1"/>
  <c r="S248" i="7"/>
  <c r="W248" i="7"/>
  <c r="W533" i="7"/>
  <c r="P534" i="7" l="1"/>
  <c r="P249" i="7"/>
  <c r="X248" i="7"/>
  <c r="S533" i="7"/>
  <c r="X533" i="7"/>
  <c r="Q249" i="7"/>
  <c r="R249" i="7"/>
  <c r="Q534" i="7"/>
  <c r="R534" i="7" s="1"/>
  <c r="S249" i="7"/>
  <c r="W249" i="7"/>
  <c r="W534" i="7"/>
  <c r="P535" i="7" l="1"/>
  <c r="P250" i="7"/>
  <c r="X249" i="7"/>
  <c r="S534" i="7"/>
  <c r="X534" i="7"/>
  <c r="Q250" i="7"/>
  <c r="R250" i="7"/>
  <c r="Q535" i="7"/>
  <c r="R535" i="7" s="1"/>
  <c r="S250" i="7"/>
  <c r="W250" i="7"/>
  <c r="W535" i="7"/>
  <c r="P536" i="7" l="1"/>
  <c r="P251" i="7"/>
  <c r="X250" i="7"/>
  <c r="S535" i="7"/>
  <c r="X535" i="7"/>
  <c r="Q251" i="7"/>
  <c r="R251" i="7"/>
  <c r="Q536" i="7"/>
  <c r="R536" i="7" s="1"/>
  <c r="S251" i="7"/>
  <c r="W251" i="7"/>
  <c r="W536" i="7"/>
  <c r="P537" i="7" l="1"/>
  <c r="P252" i="7"/>
  <c r="X251" i="7"/>
  <c r="S536" i="7"/>
  <c r="X536" i="7"/>
  <c r="Q252" i="7"/>
  <c r="R252" i="7"/>
  <c r="Q537" i="7"/>
  <c r="R537" i="7" s="1"/>
  <c r="S252" i="7"/>
  <c r="W252" i="7"/>
  <c r="W537" i="7"/>
  <c r="P538" i="7" l="1"/>
  <c r="P253" i="7"/>
  <c r="X252" i="7"/>
  <c r="S537" i="7"/>
  <c r="X537" i="7"/>
  <c r="Q253" i="7"/>
  <c r="R253" i="7"/>
  <c r="Q538" i="7"/>
  <c r="R538" i="7" s="1"/>
  <c r="W253" i="7"/>
  <c r="S253" i="7"/>
  <c r="X253" i="7" s="1"/>
  <c r="W538" i="7"/>
  <c r="P539" i="7" l="1"/>
  <c r="S538" i="7"/>
  <c r="X538" i="7"/>
  <c r="Q539" i="7"/>
  <c r="R539" i="7"/>
  <c r="W539" i="7"/>
  <c r="S539" i="7"/>
  <c r="P540" i="7" l="1"/>
  <c r="X539" i="7"/>
  <c r="Q540" i="7"/>
  <c r="P541" i="7" l="1"/>
  <c r="R540" i="7"/>
  <c r="Q541" i="7"/>
  <c r="R541" i="7"/>
  <c r="W541" i="7"/>
  <c r="S541" i="7"/>
  <c r="W540" i="7"/>
  <c r="P542" i="7" l="1"/>
  <c r="S540" i="7"/>
  <c r="X540" i="7" s="1"/>
  <c r="X541" i="7"/>
  <c r="Q542" i="7"/>
  <c r="R542" i="7"/>
  <c r="W542" i="7"/>
  <c r="S542" i="7"/>
  <c r="P543" i="7" l="1"/>
  <c r="X542" i="7"/>
  <c r="Q543" i="7"/>
  <c r="R543" i="7"/>
  <c r="W543" i="7"/>
  <c r="S543" i="7"/>
  <c r="P544" i="7" l="1"/>
  <c r="X543" i="7"/>
  <c r="Q544" i="7"/>
  <c r="R544" i="7"/>
  <c r="W544" i="7"/>
  <c r="S544" i="7"/>
  <c r="P545" i="7" l="1"/>
  <c r="X544" i="7"/>
  <c r="Q545" i="7"/>
  <c r="R545" i="7"/>
  <c r="W545" i="7"/>
  <c r="S545" i="7"/>
  <c r="P546" i="7" l="1"/>
  <c r="X545" i="7"/>
  <c r="Q546" i="7"/>
  <c r="R546" i="7"/>
  <c r="W546" i="7"/>
  <c r="S546" i="7"/>
  <c r="P547" i="7" l="1"/>
  <c r="X546" i="7"/>
  <c r="Q547" i="7"/>
  <c r="R547" i="7"/>
  <c r="W547" i="7"/>
  <c r="S547" i="7"/>
  <c r="P548" i="7" l="1"/>
  <c r="X547" i="7"/>
  <c r="Q548" i="7"/>
  <c r="P549" i="7" l="1"/>
  <c r="R548" i="7"/>
  <c r="Q549" i="7"/>
  <c r="R549" i="7"/>
  <c r="W549" i="7"/>
  <c r="S549" i="7"/>
  <c r="S548" i="7"/>
  <c r="X548" i="7" s="1"/>
  <c r="P550" i="7" l="1"/>
  <c r="W548" i="7"/>
  <c r="X549" i="7"/>
  <c r="Q550" i="7"/>
  <c r="R550" i="7"/>
  <c r="W550" i="7"/>
  <c r="S550" i="7"/>
  <c r="P551" i="7" l="1"/>
  <c r="X550" i="7"/>
  <c r="Q551" i="7"/>
  <c r="R551" i="7"/>
  <c r="S551" i="7"/>
  <c r="P552" i="7" l="1"/>
  <c r="W551" i="7"/>
  <c r="X551" i="7"/>
  <c r="Q552" i="7"/>
  <c r="R552" i="7"/>
  <c r="S552" i="7"/>
  <c r="P553" i="7" l="1"/>
  <c r="W552" i="7"/>
  <c r="Q553" i="7"/>
  <c r="R553" i="7"/>
  <c r="S553" i="7"/>
  <c r="X552" i="7"/>
  <c r="W553" i="7"/>
  <c r="P554" i="7" l="1"/>
  <c r="X553" i="7"/>
  <c r="Q554" i="7"/>
  <c r="R554" i="7"/>
  <c r="W554" i="7" s="1"/>
  <c r="S554" i="7"/>
  <c r="P555" i="7" l="1"/>
  <c r="X554" i="7"/>
  <c r="Q555" i="7"/>
  <c r="R555" i="7" s="1"/>
  <c r="W555" i="7"/>
  <c r="S555" i="7"/>
  <c r="P556" i="7" l="1"/>
  <c r="X555" i="7"/>
  <c r="Q556" i="7"/>
  <c r="R556" i="7" s="1"/>
  <c r="W556" i="7"/>
  <c r="S556" i="7"/>
  <c r="P557" i="7" l="1"/>
  <c r="X556" i="7"/>
  <c r="Q557" i="7"/>
  <c r="R557" i="7"/>
  <c r="S557" i="7"/>
  <c r="W557" i="7"/>
  <c r="P558" i="7" l="1"/>
  <c r="X557" i="7"/>
  <c r="Q558" i="7"/>
  <c r="R558" i="7"/>
  <c r="W558" i="7"/>
  <c r="S558" i="7"/>
  <c r="P559" i="7" l="1"/>
  <c r="X558" i="7"/>
  <c r="Q559" i="7"/>
  <c r="P560" i="7" l="1"/>
  <c r="R559" i="7"/>
  <c r="Q560" i="7"/>
  <c r="W559" i="7"/>
  <c r="S559" i="7"/>
  <c r="X559" i="7" s="1"/>
  <c r="P561" i="7" l="1"/>
  <c r="R560" i="7"/>
  <c r="Q561" i="7"/>
  <c r="S560" i="7"/>
  <c r="X560" i="7" s="1"/>
  <c r="P562" i="7" l="1"/>
  <c r="R561" i="7"/>
  <c r="W560" i="7"/>
  <c r="Q562" i="7"/>
  <c r="S561" i="7"/>
  <c r="X561" i="7" s="1"/>
  <c r="P563" i="7" l="1"/>
  <c r="R562" i="7"/>
  <c r="W561" i="7"/>
  <c r="Q563" i="7"/>
  <c r="S562" i="7"/>
  <c r="X562" i="7" s="1"/>
  <c r="P564" i="7" l="1"/>
  <c r="R563" i="7"/>
  <c r="W562" i="7"/>
  <c r="Q564" i="7"/>
  <c r="R564" i="7"/>
  <c r="W564" i="7"/>
  <c r="S564" i="7"/>
  <c r="S563" i="7"/>
  <c r="X563" i="7" s="1"/>
  <c r="P565" i="7" l="1"/>
  <c r="W563" i="7"/>
  <c r="X564" i="7"/>
  <c r="Q565" i="7"/>
  <c r="R565" i="7"/>
  <c r="W565" i="7"/>
  <c r="S565" i="7"/>
  <c r="P566" i="7" l="1"/>
  <c r="X565" i="7"/>
  <c r="Q566" i="7"/>
  <c r="R566" i="7"/>
  <c r="S566" i="7"/>
  <c r="P567" i="7" l="1"/>
  <c r="W566" i="7"/>
  <c r="X566" i="7"/>
  <c r="Q567" i="7"/>
  <c r="R567" i="7"/>
  <c r="W567" i="7"/>
  <c r="P568" i="7" l="1"/>
  <c r="S567" i="7"/>
  <c r="Q568" i="7"/>
  <c r="R568" i="7"/>
  <c r="X567" i="7"/>
  <c r="S568" i="7"/>
  <c r="P569" i="7" l="1"/>
  <c r="W568" i="7"/>
  <c r="X568" i="7"/>
  <c r="Q569" i="7"/>
  <c r="R569" i="7"/>
  <c r="S569" i="7"/>
  <c r="P570" i="7" l="1"/>
  <c r="W569" i="7"/>
  <c r="Q570" i="7"/>
  <c r="R570" i="7"/>
  <c r="W570" i="7"/>
  <c r="X569" i="7"/>
  <c r="S570" i="7"/>
  <c r="P571" i="7" l="1"/>
  <c r="X570" i="7"/>
  <c r="Q571" i="7"/>
  <c r="R571" i="7"/>
  <c r="W571" i="7"/>
  <c r="S571" i="7"/>
  <c r="P572" i="7" l="1"/>
  <c r="X571" i="7"/>
  <c r="Q572" i="7"/>
  <c r="R572" i="7"/>
  <c r="W572" i="7"/>
  <c r="S572" i="7"/>
  <c r="P573" i="7" l="1"/>
  <c r="X572" i="7"/>
  <c r="Q573" i="7"/>
  <c r="R573" i="7"/>
  <c r="W573" i="7"/>
  <c r="S573" i="7"/>
  <c r="P574" i="7" l="1"/>
  <c r="X573" i="7"/>
  <c r="Q574" i="7"/>
  <c r="R574" i="7"/>
  <c r="W574" i="7"/>
  <c r="S574" i="7"/>
  <c r="P575" i="7" l="1"/>
  <c r="X574" i="7"/>
  <c r="Q575" i="7"/>
  <c r="R575" i="7"/>
  <c r="W575" i="7"/>
  <c r="S575" i="7"/>
  <c r="P576" i="7" l="1"/>
  <c r="X575" i="7"/>
  <c r="Q576" i="7"/>
  <c r="R576" i="7"/>
  <c r="S576" i="7"/>
  <c r="W576" i="7"/>
  <c r="P577" i="7" l="1"/>
  <c r="X576" i="7"/>
  <c r="Q577" i="7"/>
  <c r="R577" i="7"/>
  <c r="W577" i="7"/>
  <c r="S577" i="7"/>
  <c r="P578" i="7" l="1"/>
  <c r="X577" i="7"/>
  <c r="Q578" i="7"/>
  <c r="R578" i="7"/>
  <c r="W578" i="7"/>
  <c r="S578" i="7"/>
  <c r="P579" i="7" l="1"/>
  <c r="X578" i="7"/>
  <c r="Q579" i="7"/>
  <c r="R579" i="7" s="1"/>
  <c r="W579" i="7" s="1"/>
  <c r="S579" i="7"/>
  <c r="P580" i="7" l="1"/>
  <c r="X579" i="7"/>
  <c r="Q580" i="7"/>
  <c r="R580" i="7"/>
  <c r="W580" i="7"/>
  <c r="S580" i="7"/>
  <c r="P581" i="7" l="1"/>
  <c r="X580" i="7"/>
  <c r="Q581" i="7"/>
  <c r="R581" i="7"/>
  <c r="W581" i="7"/>
  <c r="S581" i="7"/>
  <c r="P582" i="7" l="1"/>
  <c r="X581" i="7"/>
  <c r="Q582" i="7"/>
  <c r="R582" i="7"/>
  <c r="W582" i="7"/>
  <c r="S582" i="7"/>
  <c r="P583" i="7" l="1"/>
  <c r="X582" i="7"/>
  <c r="Q583" i="7"/>
  <c r="R583" i="7"/>
  <c r="W583" i="7"/>
  <c r="S583" i="7"/>
  <c r="P584" i="7" l="1"/>
  <c r="X583" i="7"/>
  <c r="Q584" i="7"/>
  <c r="R584" i="7"/>
  <c r="W584" i="7"/>
  <c r="S584" i="7"/>
  <c r="P585" i="7" l="1"/>
  <c r="X584" i="7"/>
  <c r="Q585" i="7"/>
  <c r="R585" i="7"/>
  <c r="W585" i="7"/>
  <c r="S585" i="7"/>
  <c r="P586" i="7" l="1"/>
  <c r="X585" i="7"/>
  <c r="Q586" i="7"/>
  <c r="R586" i="7"/>
  <c r="W586" i="7"/>
  <c r="S586" i="7"/>
  <c r="P587" i="7" l="1"/>
  <c r="X586" i="7"/>
  <c r="Q587" i="7"/>
  <c r="R587" i="7"/>
  <c r="W587" i="7"/>
  <c r="S587" i="7"/>
  <c r="P588" i="7" l="1"/>
  <c r="X587" i="7"/>
  <c r="Q588" i="7"/>
  <c r="R588" i="7"/>
  <c r="W588" i="7"/>
  <c r="S588" i="7"/>
  <c r="P589" i="7" l="1"/>
  <c r="X588" i="7"/>
  <c r="Q589" i="7"/>
  <c r="R589" i="7"/>
  <c r="W589" i="7"/>
  <c r="S589" i="7"/>
  <c r="P590" i="7" l="1"/>
  <c r="Q590" i="7"/>
  <c r="X589" i="7"/>
  <c r="R590" i="7"/>
  <c r="W590" i="7"/>
  <c r="S590" i="7"/>
  <c r="P591" i="7" l="1"/>
  <c r="X590" i="7"/>
  <c r="Q591" i="7"/>
  <c r="R591" i="7"/>
  <c r="W591" i="7"/>
  <c r="S591" i="7"/>
  <c r="P592" i="7" l="1"/>
  <c r="Q592" i="7"/>
  <c r="X591" i="7"/>
  <c r="R592" i="7"/>
  <c r="S592" i="7" s="1"/>
  <c r="W592" i="7"/>
  <c r="P593" i="7" l="1"/>
  <c r="X592" i="7"/>
  <c r="Q593" i="7"/>
  <c r="R593" i="7" s="1"/>
  <c r="W593" i="7"/>
  <c r="S593" i="7"/>
  <c r="X593" i="7"/>
  <c r="I8" i="4" l="1"/>
  <c r="I7" i="4"/>
  <c r="U141" i="6" l="1"/>
  <c r="U20" i="6"/>
  <c r="T187" i="6"/>
  <c r="T203" i="6"/>
  <c r="T219" i="6"/>
  <c r="T235" i="6"/>
  <c r="U108" i="6"/>
  <c r="T702" i="7"/>
  <c r="U604" i="7"/>
  <c r="T717" i="7"/>
  <c r="T281" i="7"/>
  <c r="U195" i="6"/>
  <c r="U211" i="6"/>
  <c r="U227" i="6"/>
  <c r="T91" i="6"/>
  <c r="U135" i="6"/>
  <c r="T10" i="8"/>
  <c r="U303" i="7"/>
  <c r="U615" i="7"/>
  <c r="U161" i="6"/>
  <c r="U45" i="6"/>
  <c r="U61" i="6"/>
  <c r="U77" i="6"/>
  <c r="U253" i="6"/>
  <c r="U705" i="7"/>
  <c r="T708" i="7"/>
  <c r="U270" i="7"/>
  <c r="T278" i="7"/>
  <c r="U164" i="6"/>
  <c r="T61" i="6"/>
  <c r="T83" i="6"/>
  <c r="U118" i="6"/>
  <c r="U255" i="7"/>
  <c r="T690" i="7"/>
  <c r="U23" i="7"/>
  <c r="U283" i="7"/>
  <c r="U226" i="6"/>
  <c r="U131" i="6"/>
  <c r="T295" i="7"/>
  <c r="U713" i="7"/>
  <c r="U24" i="8"/>
  <c r="T629" i="7"/>
  <c r="T176" i="6"/>
  <c r="T157" i="6"/>
  <c r="U14" i="6"/>
  <c r="U208" i="6"/>
  <c r="T6" i="6"/>
  <c r="T151" i="6"/>
  <c r="T186" i="6"/>
  <c r="U202" i="6"/>
  <c r="U218" i="6"/>
  <c r="U234" i="6"/>
  <c r="T106" i="6"/>
  <c r="U257" i="7"/>
  <c r="U14" i="7"/>
  <c r="T306" i="7"/>
  <c r="U620" i="7"/>
  <c r="U187" i="6"/>
  <c r="T4" i="6"/>
  <c r="T69" i="6"/>
  <c r="U196" i="6"/>
  <c r="T159" i="6"/>
  <c r="U170" i="6"/>
  <c r="U26" i="6"/>
  <c r="U42" i="6"/>
  <c r="U58" i="6"/>
  <c r="U74" i="6"/>
  <c r="T93" i="6"/>
  <c r="U6" i="7"/>
  <c r="U601" i="7"/>
  <c r="U18" i="8"/>
  <c r="T276" i="7"/>
  <c r="T141" i="6"/>
  <c r="U41" i="6"/>
  <c r="T49" i="6"/>
  <c r="T179" i="6"/>
  <c r="U228" i="6"/>
  <c r="T9" i="6"/>
  <c r="U174" i="6"/>
  <c r="T32" i="6"/>
  <c r="T48" i="6"/>
  <c r="T64" i="6"/>
  <c r="T80" i="6"/>
  <c r="T107" i="6"/>
  <c r="U702" i="7"/>
  <c r="U299" i="7"/>
  <c r="U717" i="7"/>
  <c r="U30" i="8"/>
  <c r="U619" i="7"/>
  <c r="U36" i="7"/>
  <c r="U328" i="7"/>
  <c r="U336" i="7"/>
  <c r="T61" i="7"/>
  <c r="U74" i="7"/>
  <c r="U89" i="7"/>
  <c r="T399" i="7"/>
  <c r="T142" i="7"/>
  <c r="U325" i="7"/>
  <c r="U333" i="7"/>
  <c r="T646" i="7"/>
  <c r="U354" i="7"/>
  <c r="T83" i="7"/>
  <c r="U106" i="7"/>
  <c r="U131" i="7"/>
  <c r="U37" i="8"/>
  <c r="U635" i="7"/>
  <c r="U643" i="7"/>
  <c r="T654" i="7"/>
  <c r="T362" i="7"/>
  <c r="T381" i="7"/>
  <c r="T122" i="7"/>
  <c r="U441" i="7"/>
  <c r="T640" i="7"/>
  <c r="T60" i="7"/>
  <c r="U73" i="7"/>
  <c r="T677" i="7"/>
  <c r="U397" i="7"/>
  <c r="U139" i="7"/>
  <c r="U39" i="8"/>
  <c r="U47" i="8"/>
  <c r="U55" i="8"/>
  <c r="U353" i="7"/>
  <c r="T671" i="7"/>
  <c r="U104" i="7"/>
  <c r="U129" i="7"/>
  <c r="U242" i="6"/>
  <c r="T108" i="6"/>
  <c r="U165" i="6"/>
  <c r="U153" i="6"/>
  <c r="U189" i="6"/>
  <c r="U205" i="6"/>
  <c r="T221" i="6"/>
  <c r="U237" i="6"/>
  <c r="U115" i="6"/>
  <c r="T595" i="7"/>
  <c r="U605" i="7"/>
  <c r="U697" i="7"/>
  <c r="T32" i="8"/>
  <c r="U197" i="6"/>
  <c r="T213" i="6"/>
  <c r="T229" i="6"/>
  <c r="T249" i="6"/>
  <c r="U7" i="7"/>
  <c r="T707" i="7"/>
  <c r="T19" i="7"/>
  <c r="U722" i="7"/>
  <c r="U149" i="6"/>
  <c r="U47" i="6"/>
  <c r="U63" i="6"/>
  <c r="U79" i="6"/>
  <c r="T103" i="6"/>
  <c r="U682" i="7"/>
  <c r="T709" i="7"/>
  <c r="U271" i="7"/>
  <c r="T29" i="8"/>
  <c r="U29" i="6"/>
  <c r="T63" i="6"/>
  <c r="T240" i="6"/>
  <c r="T123" i="6"/>
  <c r="U8" i="8"/>
  <c r="U691" i="7"/>
  <c r="U24" i="7"/>
  <c r="U34" i="8"/>
  <c r="U238" i="6"/>
  <c r="U5" i="7"/>
  <c r="U261" i="7"/>
  <c r="T608" i="7"/>
  <c r="U26" i="7"/>
  <c r="T165" i="6"/>
  <c r="U27" i="6"/>
  <c r="T31" i="6"/>
  <c r="U18" i="6"/>
  <c r="T214" i="6"/>
  <c r="T10" i="6"/>
  <c r="T175" i="6"/>
  <c r="T188" i="6"/>
  <c r="T204" i="6"/>
  <c r="T220" i="6"/>
  <c r="T236" i="6"/>
  <c r="U112" i="6"/>
  <c r="T256" i="7"/>
  <c r="U15" i="7"/>
  <c r="T307" i="7"/>
  <c r="T282" i="7"/>
  <c r="U137" i="6"/>
  <c r="T168" i="6"/>
  <c r="U8" i="6"/>
  <c r="U204" i="6"/>
  <c r="U140" i="6"/>
  <c r="U17" i="6"/>
  <c r="U28" i="6"/>
  <c r="U44" i="6"/>
  <c r="U60" i="6"/>
  <c r="U76" i="6"/>
  <c r="U251" i="6"/>
  <c r="U599" i="7"/>
  <c r="T297" i="7"/>
  <c r="T694" i="7"/>
  <c r="T312" i="7"/>
  <c r="T12" i="6"/>
  <c r="T11" i="6"/>
  <c r="T57" i="6"/>
  <c r="U184" i="6"/>
  <c r="T234" i="6"/>
  <c r="U142" i="6"/>
  <c r="T21" i="6"/>
  <c r="T34" i="6"/>
  <c r="T50" i="6"/>
  <c r="T66" i="6"/>
  <c r="T82" i="6"/>
  <c r="T114" i="6"/>
  <c r="U595" i="7"/>
  <c r="U265" i="7"/>
  <c r="T612" i="7"/>
  <c r="T317" i="7"/>
  <c r="U315" i="7"/>
  <c r="U36" i="8"/>
  <c r="U329" i="7"/>
  <c r="U337" i="7"/>
  <c r="T652" i="7"/>
  <c r="T360" i="7"/>
  <c r="T377" i="7"/>
  <c r="T118" i="7"/>
  <c r="T146" i="7"/>
  <c r="T326" i="7"/>
  <c r="T334" i="7"/>
  <c r="T58" i="7"/>
  <c r="U71" i="7"/>
  <c r="U85" i="7"/>
  <c r="T393" i="7"/>
  <c r="U419" i="7"/>
  <c r="U628" i="7"/>
  <c r="U636" i="7"/>
  <c r="T644" i="7"/>
  <c r="U351" i="7"/>
  <c r="T79" i="7"/>
  <c r="U100" i="7"/>
  <c r="U125" i="7"/>
  <c r="U633" i="7"/>
  <c r="U641" i="7"/>
  <c r="T651" i="7"/>
  <c r="T359" i="7"/>
  <c r="T375" i="7"/>
  <c r="T116" i="7"/>
  <c r="U143" i="7"/>
  <c r="U40" i="8"/>
  <c r="U48" i="8"/>
  <c r="T57" i="7"/>
  <c r="U70" i="7"/>
  <c r="T673" i="7"/>
  <c r="T391" i="7"/>
  <c r="U417" i="7"/>
  <c r="T244" i="6"/>
  <c r="T3" i="7"/>
  <c r="U12" i="6"/>
  <c r="U177" i="6"/>
  <c r="U191" i="6"/>
  <c r="T207" i="6"/>
  <c r="U223" i="6"/>
  <c r="T239" i="6"/>
  <c r="U122" i="6"/>
  <c r="U679" i="7"/>
  <c r="U266" i="7"/>
  <c r="U698" i="7"/>
  <c r="T319" i="7"/>
  <c r="U199" i="6"/>
  <c r="U215" i="6"/>
  <c r="T231" i="6"/>
  <c r="U252" i="6"/>
  <c r="T684" i="7"/>
  <c r="U708" i="7"/>
  <c r="T20" i="7"/>
  <c r="U278" i="7"/>
  <c r="T158" i="6"/>
  <c r="U49" i="6"/>
  <c r="U65" i="6"/>
  <c r="U81" i="6"/>
  <c r="T110" i="6"/>
  <c r="U291" i="7"/>
  <c r="U689" i="7"/>
  <c r="T21" i="8"/>
  <c r="T316" i="7"/>
  <c r="U3" i="6"/>
  <c r="T71" i="6"/>
  <c r="U89" i="6"/>
  <c r="T130" i="6"/>
  <c r="U295" i="7"/>
  <c r="U607" i="7"/>
  <c r="U720" i="7"/>
  <c r="T628" i="7"/>
  <c r="T247" i="6"/>
  <c r="T9" i="7"/>
  <c r="U262" i="7"/>
  <c r="U609" i="7"/>
  <c r="T277" i="7"/>
  <c r="T169" i="6"/>
  <c r="U35" i="6"/>
  <c r="T39" i="6"/>
  <c r="U22" i="6"/>
  <c r="U220" i="6"/>
  <c r="T143" i="6"/>
  <c r="T22" i="6"/>
  <c r="T190" i="6"/>
  <c r="U206" i="6"/>
  <c r="T222" i="6"/>
  <c r="T238" i="6"/>
  <c r="U119" i="6"/>
  <c r="T289" i="7"/>
  <c r="U16" i="7"/>
  <c r="U273" i="7"/>
  <c r="U33" i="8"/>
  <c r="U4" i="6"/>
  <c r="T172" i="6"/>
  <c r="U143" i="6"/>
  <c r="U212" i="6"/>
  <c r="U7" i="6"/>
  <c r="T150" i="6"/>
  <c r="U30" i="6"/>
  <c r="U46" i="6"/>
  <c r="U62" i="6"/>
  <c r="U78" i="6"/>
  <c r="U100" i="6"/>
  <c r="T598" i="7"/>
  <c r="U298" i="7"/>
  <c r="T695" i="7"/>
  <c r="T29" i="7"/>
  <c r="T153" i="6"/>
  <c r="T15" i="6"/>
  <c r="T65" i="6"/>
  <c r="U194" i="6"/>
  <c r="T89" i="6"/>
  <c r="T166" i="6"/>
  <c r="T154" i="6"/>
  <c r="T36" i="6"/>
  <c r="T52" i="6"/>
  <c r="T68" i="6"/>
  <c r="U239" i="6"/>
  <c r="U120" i="6"/>
  <c r="T594" i="7"/>
  <c r="T266" i="7"/>
  <c r="T613" i="7"/>
  <c r="U34" i="7"/>
  <c r="U281" i="7"/>
  <c r="T627" i="7"/>
  <c r="U330" i="7"/>
  <c r="U338" i="7"/>
  <c r="T349" i="7"/>
  <c r="T77" i="7"/>
  <c r="U96" i="7"/>
  <c r="U121" i="7"/>
  <c r="T437" i="7"/>
  <c r="T327" i="7"/>
  <c r="T335" i="7"/>
  <c r="T649" i="7"/>
  <c r="U357" i="7"/>
  <c r="U372" i="7"/>
  <c r="T112" i="7"/>
  <c r="U423" i="7"/>
  <c r="U629" i="7"/>
  <c r="U637" i="7"/>
  <c r="T645" i="7"/>
  <c r="U68" i="7"/>
  <c r="U81" i="7"/>
  <c r="T387" i="7"/>
  <c r="U413" i="7"/>
  <c r="U634" i="7"/>
  <c r="T642" i="7"/>
  <c r="U348" i="7"/>
  <c r="T76" i="7"/>
  <c r="U94" i="7"/>
  <c r="U119" i="7"/>
  <c r="U147" i="7"/>
  <c r="U41" i="8"/>
  <c r="U49" i="8"/>
  <c r="T648" i="7"/>
  <c r="T356" i="7"/>
  <c r="U86" i="7"/>
  <c r="T110" i="7"/>
  <c r="T136" i="7"/>
  <c r="T246" i="6"/>
  <c r="U136" i="6"/>
  <c r="U145" i="6"/>
  <c r="U24" i="6"/>
  <c r="U193" i="6"/>
  <c r="T209" i="6"/>
  <c r="T225" i="6"/>
  <c r="T242" i="6"/>
  <c r="T127" i="6"/>
  <c r="U7" i="8"/>
  <c r="T267" i="7"/>
  <c r="T699" i="7"/>
  <c r="T286" i="7"/>
  <c r="U201" i="6"/>
  <c r="T217" i="6"/>
  <c r="T233" i="6"/>
  <c r="U103" i="6"/>
  <c r="T703" i="7"/>
  <c r="U709" i="7"/>
  <c r="U20" i="8"/>
  <c r="U29" i="8"/>
  <c r="U168" i="6"/>
  <c r="U51" i="6"/>
  <c r="U67" i="6"/>
  <c r="U83" i="6"/>
  <c r="U116" i="6"/>
  <c r="T290" i="7"/>
  <c r="U690" i="7"/>
  <c r="T22" i="8"/>
  <c r="T33" i="7"/>
  <c r="T19" i="6"/>
  <c r="T73" i="6"/>
  <c r="U247" i="6"/>
  <c r="T3" i="8"/>
  <c r="T11" i="7"/>
  <c r="U608" i="7"/>
  <c r="T25" i="8"/>
  <c r="T173" i="6"/>
  <c r="U99" i="6"/>
  <c r="T683" i="7"/>
  <c r="T263" i="7"/>
  <c r="U305" i="7"/>
  <c r="T28" i="8"/>
  <c r="T177" i="6"/>
  <c r="T137" i="6"/>
  <c r="T45" i="6"/>
  <c r="U180" i="6"/>
  <c r="U232" i="6"/>
  <c r="U167" i="6"/>
  <c r="T155" i="6"/>
  <c r="T192" i="6"/>
  <c r="T208" i="6"/>
  <c r="T224" i="6"/>
  <c r="U241" i="6"/>
  <c r="U126" i="6"/>
  <c r="U4" i="8"/>
  <c r="U712" i="7"/>
  <c r="T274" i="7"/>
  <c r="U320" i="7"/>
  <c r="U148" i="6"/>
  <c r="T23" i="6"/>
  <c r="U147" i="6"/>
  <c r="T218" i="6"/>
  <c r="U9" i="6"/>
  <c r="T174" i="6"/>
  <c r="U32" i="6"/>
  <c r="U48" i="6"/>
  <c r="T136" i="6"/>
  <c r="U169" i="6"/>
  <c r="U158" i="6"/>
  <c r="T195" i="6"/>
  <c r="T211" i="6"/>
  <c r="T227" i="6"/>
  <c r="U91" i="6"/>
  <c r="T134" i="6"/>
  <c r="U10" i="8"/>
  <c r="U18" i="7"/>
  <c r="T310" i="7"/>
  <c r="T5" i="6"/>
  <c r="U203" i="6"/>
  <c r="U219" i="6"/>
  <c r="U235" i="6"/>
  <c r="U110" i="6"/>
  <c r="U681" i="7"/>
  <c r="T604" i="7"/>
  <c r="U21" i="8"/>
  <c r="U316" i="7"/>
  <c r="U23" i="6"/>
  <c r="U53" i="6"/>
  <c r="U69" i="6"/>
  <c r="T85" i="6"/>
  <c r="U123" i="6"/>
  <c r="T9" i="8"/>
  <c r="T691" i="7"/>
  <c r="U719" i="7"/>
  <c r="T624" i="7"/>
  <c r="T33" i="6"/>
  <c r="T75" i="6"/>
  <c r="T95" i="6"/>
  <c r="U9" i="7"/>
  <c r="T12" i="7"/>
  <c r="T609" i="7"/>
  <c r="U26" i="8"/>
  <c r="T183" i="6"/>
  <c r="U106" i="6"/>
  <c r="U597" i="7"/>
  <c r="T13" i="8"/>
  <c r="U306" i="7"/>
  <c r="T315" i="7"/>
  <c r="T185" i="6"/>
  <c r="T164" i="6"/>
  <c r="T53" i="6"/>
  <c r="U186" i="6"/>
  <c r="U250" i="6"/>
  <c r="T14" i="6"/>
  <c r="U179" i="6"/>
  <c r="T194" i="6"/>
  <c r="U210" i="6"/>
  <c r="T226" i="6"/>
  <c r="U244" i="6"/>
  <c r="T131" i="6"/>
  <c r="U600" i="7"/>
  <c r="T713" i="7"/>
  <c r="U275" i="7"/>
  <c r="U630" i="7"/>
  <c r="T152" i="6"/>
  <c r="T27" i="6"/>
  <c r="U151" i="6"/>
  <c r="U224" i="6"/>
  <c r="T142" i="6"/>
  <c r="U21" i="6"/>
  <c r="T161" i="6"/>
  <c r="U16" i="6"/>
  <c r="U181" i="6"/>
  <c r="T197" i="6"/>
  <c r="U213" i="6"/>
  <c r="U229" i="6"/>
  <c r="U249" i="6"/>
  <c r="U4" i="7"/>
  <c r="T686" i="7"/>
  <c r="U19" i="7"/>
  <c r="T616" i="7"/>
  <c r="T24" i="6"/>
  <c r="T205" i="6"/>
  <c r="U221" i="6"/>
  <c r="T237" i="6"/>
  <c r="T115" i="6"/>
  <c r="U290" i="7"/>
  <c r="T605" i="7"/>
  <c r="U22" i="8"/>
  <c r="U33" i="7"/>
  <c r="U33" i="6"/>
  <c r="U55" i="6"/>
  <c r="U71" i="6"/>
  <c r="U243" i="6"/>
  <c r="U130" i="6"/>
  <c r="U10" i="7"/>
  <c r="T302" i="7"/>
  <c r="T720" i="7"/>
  <c r="T37" i="8"/>
  <c r="T47" i="6"/>
  <c r="T77" i="6"/>
  <c r="T253" i="6"/>
  <c r="U683" i="7"/>
  <c r="U12" i="8"/>
  <c r="T270" i="7"/>
  <c r="U313" i="7"/>
  <c r="U15" i="6"/>
  <c r="T111" i="6"/>
  <c r="U256" i="7"/>
  <c r="T14" i="8"/>
  <c r="U307" i="7"/>
  <c r="T32" i="7"/>
  <c r="T3" i="6"/>
  <c r="U144" i="6"/>
  <c r="T67" i="6"/>
  <c r="U192" i="6"/>
  <c r="T160" i="6"/>
  <c r="T147" i="6"/>
  <c r="T180" i="6"/>
  <c r="T196" i="6"/>
  <c r="T212" i="6"/>
  <c r="T228" i="6"/>
  <c r="U93" i="6"/>
  <c r="T5" i="7"/>
  <c r="T601" i="7"/>
  <c r="U693" i="7"/>
  <c r="T26" i="7"/>
  <c r="U163" i="6"/>
  <c r="U157" i="6"/>
  <c r="T35" i="6"/>
  <c r="U155" i="6"/>
  <c r="U230" i="6"/>
  <c r="U166" i="6"/>
  <c r="U154" i="6"/>
  <c r="U36" i="6"/>
  <c r="U52" i="6"/>
  <c r="T163" i="6"/>
  <c r="T149" i="6"/>
  <c r="U183" i="6"/>
  <c r="T199" i="6"/>
  <c r="T215" i="6"/>
  <c r="U231" i="6"/>
  <c r="T97" i="6"/>
  <c r="U684" i="7"/>
  <c r="T687" i="7"/>
  <c r="U20" i="7"/>
  <c r="T28" i="7"/>
  <c r="T191" i="6"/>
  <c r="U207" i="6"/>
  <c r="T223" i="6"/>
  <c r="U85" i="6"/>
  <c r="T122" i="6"/>
  <c r="U9" i="8"/>
  <c r="T301" i="7"/>
  <c r="T698" i="7"/>
  <c r="U624" i="7"/>
  <c r="U39" i="6"/>
  <c r="U57" i="6"/>
  <c r="U73" i="6"/>
  <c r="U246" i="6"/>
  <c r="T135" i="6"/>
  <c r="U11" i="7"/>
  <c r="T303" i="7"/>
  <c r="U25" i="8"/>
  <c r="T16" i="6"/>
  <c r="T55" i="6"/>
  <c r="T79" i="6"/>
  <c r="U104" i="6"/>
  <c r="T682" i="7"/>
  <c r="U13" i="8"/>
  <c r="T271" i="7"/>
  <c r="U30" i="7"/>
  <c r="U31" i="6"/>
  <c r="T118" i="6"/>
  <c r="U289" i="7"/>
  <c r="U711" i="7"/>
  <c r="T23" i="7"/>
  <c r="T623" i="7"/>
  <c r="T144" i="6"/>
  <c r="T148" i="6"/>
  <c r="T162" i="6"/>
  <c r="T198" i="6"/>
  <c r="U162" i="6"/>
  <c r="U171" i="6"/>
  <c r="T182" i="6"/>
  <c r="U198" i="6"/>
  <c r="U214" i="6"/>
  <c r="T230" i="6"/>
  <c r="T251" i="6"/>
  <c r="U259" i="7"/>
  <c r="T262" i="7"/>
  <c r="U694" i="7"/>
  <c r="U312" i="7"/>
  <c r="T145" i="6"/>
  <c r="U37" i="6"/>
  <c r="T41" i="6"/>
  <c r="U182" i="6"/>
  <c r="U236" i="6"/>
  <c r="U13" i="6"/>
  <c r="U178" i="6"/>
  <c r="U5" i="6"/>
  <c r="U173" i="6"/>
  <c r="U185" i="6"/>
  <c r="T201" i="6"/>
  <c r="U217" i="6"/>
  <c r="U233" i="6"/>
  <c r="T102" i="6"/>
  <c r="U703" i="7"/>
  <c r="T603" i="7"/>
  <c r="T716" i="7"/>
  <c r="T619" i="7"/>
  <c r="T193" i="6"/>
  <c r="U209" i="6"/>
  <c r="U225" i="6"/>
  <c r="T243" i="6"/>
  <c r="U128" i="6"/>
  <c r="T7" i="8"/>
  <c r="U302" i="7"/>
  <c r="U699" i="7"/>
  <c r="T37" i="7"/>
  <c r="U43" i="6"/>
  <c r="U59" i="6"/>
  <c r="U75" i="6"/>
  <c r="U95" i="6"/>
  <c r="T7" i="7"/>
  <c r="U12" i="7"/>
  <c r="U269" i="7"/>
  <c r="T722" i="7"/>
  <c r="T181" i="6"/>
  <c r="T59" i="6"/>
  <c r="T81" i="6"/>
  <c r="U111" i="6"/>
  <c r="T291" i="7"/>
  <c r="U14" i="8"/>
  <c r="U22" i="7"/>
  <c r="T621" i="7"/>
  <c r="U188" i="6"/>
  <c r="U124" i="6"/>
  <c r="T8" i="8"/>
  <c r="T712" i="7"/>
  <c r="T24" i="7"/>
  <c r="T285" i="7"/>
  <c r="U172" i="6"/>
  <c r="U176" i="6"/>
  <c r="U10" i="6"/>
  <c r="T202" i="6"/>
  <c r="T8" i="6"/>
  <c r="T18" i="6"/>
  <c r="T184" i="6"/>
  <c r="U200" i="6"/>
  <c r="T216" i="6"/>
  <c r="T232" i="6"/>
  <c r="T99" i="6"/>
  <c r="U598" i="7"/>
  <c r="U263" i="7"/>
  <c r="U695" i="7"/>
  <c r="U29" i="7"/>
  <c r="T20" i="6"/>
  <c r="T139" i="6"/>
  <c r="T51" i="6"/>
  <c r="U190" i="6"/>
  <c r="T241" i="6"/>
  <c r="U56" i="6"/>
  <c r="U84" i="6"/>
  <c r="T257" i="7"/>
  <c r="U16" i="8"/>
  <c r="U282" i="7"/>
  <c r="U156" i="6"/>
  <c r="T167" i="6"/>
  <c r="U138" i="6"/>
  <c r="T17" i="6"/>
  <c r="T40" i="6"/>
  <c r="T62" i="6"/>
  <c r="U248" i="6"/>
  <c r="T6" i="8"/>
  <c r="U715" i="7"/>
  <c r="T632" i="7"/>
  <c r="U285" i="7"/>
  <c r="T333" i="7"/>
  <c r="U66" i="7"/>
  <c r="T674" i="7"/>
  <c r="U128" i="7"/>
  <c r="T324" i="7"/>
  <c r="T338" i="7"/>
  <c r="T74" i="7"/>
  <c r="U99" i="7"/>
  <c r="U431" i="7"/>
  <c r="T634" i="7"/>
  <c r="U60" i="7"/>
  <c r="U368" i="7"/>
  <c r="U116" i="7"/>
  <c r="T636" i="7"/>
  <c r="T343" i="7"/>
  <c r="U671" i="7"/>
  <c r="T407" i="7"/>
  <c r="U38" i="7"/>
  <c r="U51" i="8"/>
  <c r="U656" i="7"/>
  <c r="T94" i="7"/>
  <c r="T140" i="7"/>
  <c r="T100" i="6"/>
  <c r="U3" i="8"/>
  <c r="T255" i="7"/>
  <c r="T12" i="8"/>
  <c r="T607" i="7"/>
  <c r="T22" i="7"/>
  <c r="T26" i="8"/>
  <c r="T283" i="7"/>
  <c r="T39" i="8"/>
  <c r="T47" i="8"/>
  <c r="U56" i="7"/>
  <c r="T353" i="7"/>
  <c r="U82" i="7"/>
  <c r="T104" i="7"/>
  <c r="U130" i="7"/>
  <c r="U88" i="6"/>
  <c r="U109" i="6"/>
  <c r="U8" i="7"/>
  <c r="U700" i="7"/>
  <c r="T688" i="7"/>
  <c r="U268" i="7"/>
  <c r="U718" i="7"/>
  <c r="U27" i="8"/>
  <c r="U284" i="7"/>
  <c r="U41" i="7"/>
  <c r="U49" i="7"/>
  <c r="T342" i="7"/>
  <c r="U355" i="7"/>
  <c r="T369" i="7"/>
  <c r="U108" i="7"/>
  <c r="U133" i="7"/>
  <c r="T88" i="6"/>
  <c r="T109" i="6"/>
  <c r="T294" i="7"/>
  <c r="T5" i="8"/>
  <c r="T264" i="7"/>
  <c r="T714" i="7"/>
  <c r="T308" i="7"/>
  <c r="T618" i="7"/>
  <c r="T35" i="7"/>
  <c r="T42" i="7"/>
  <c r="T50" i="7"/>
  <c r="T344" i="7"/>
  <c r="T72" i="7"/>
  <c r="U87" i="7"/>
  <c r="U111" i="7"/>
  <c r="U137" i="7"/>
  <c r="U144" i="7"/>
  <c r="U160" i="7"/>
  <c r="U176" i="7"/>
  <c r="U192" i="7"/>
  <c r="U208" i="7"/>
  <c r="U224" i="7"/>
  <c r="U240" i="7"/>
  <c r="U543" i="7"/>
  <c r="U575" i="7"/>
  <c r="T154" i="7"/>
  <c r="T170" i="7"/>
  <c r="T186" i="7"/>
  <c r="T202" i="7"/>
  <c r="T218" i="7"/>
  <c r="T234" i="7"/>
  <c r="T250" i="7"/>
  <c r="U563" i="7"/>
  <c r="U435" i="7"/>
  <c r="U451" i="7"/>
  <c r="U467" i="7"/>
  <c r="U483" i="7"/>
  <c r="U499" i="7"/>
  <c r="U515" i="7"/>
  <c r="U531" i="7"/>
  <c r="U556" i="7"/>
  <c r="T588" i="7"/>
  <c r="U463" i="7"/>
  <c r="T479" i="7"/>
  <c r="T495" i="7"/>
  <c r="T511" i="7"/>
  <c r="U527" i="7"/>
  <c r="T548" i="7"/>
  <c r="U580" i="7"/>
  <c r="U159" i="7"/>
  <c r="U175" i="7"/>
  <c r="U191" i="7"/>
  <c r="U207" i="7"/>
  <c r="U223" i="7"/>
  <c r="U239" i="7"/>
  <c r="T541" i="7"/>
  <c r="U573" i="7"/>
  <c r="U146" i="6"/>
  <c r="U64" i="6"/>
  <c r="U87" i="6"/>
  <c r="U701" i="7"/>
  <c r="U17" i="8"/>
  <c r="T33" i="8"/>
  <c r="U152" i="6"/>
  <c r="T171" i="6"/>
  <c r="U159" i="6"/>
  <c r="U150" i="6"/>
  <c r="T42" i="6"/>
  <c r="T70" i="6"/>
  <c r="U97" i="6"/>
  <c r="U685" i="7"/>
  <c r="U716" i="7"/>
  <c r="U277" i="7"/>
  <c r="U323" i="7"/>
  <c r="U334" i="7"/>
  <c r="T352" i="7"/>
  <c r="T87" i="7"/>
  <c r="U415" i="7"/>
  <c r="T328" i="7"/>
  <c r="U339" i="7"/>
  <c r="T665" i="7"/>
  <c r="U387" i="7"/>
  <c r="T439" i="7"/>
  <c r="T638" i="7"/>
  <c r="U346" i="7"/>
  <c r="T675" i="7"/>
  <c r="T403" i="7"/>
  <c r="T637" i="7"/>
  <c r="U65" i="7"/>
  <c r="T368" i="7"/>
  <c r="U126" i="7"/>
  <c r="U38" i="8"/>
  <c r="U52" i="8"/>
  <c r="T73" i="7"/>
  <c r="U97" i="7"/>
  <c r="T144" i="7"/>
  <c r="T104" i="6"/>
  <c r="T4" i="7"/>
  <c r="T679" i="7"/>
  <c r="U603" i="7"/>
  <c r="T18" i="7"/>
  <c r="T697" i="7"/>
  <c r="T617" i="7"/>
  <c r="T34" i="7"/>
  <c r="T40" i="8"/>
  <c r="T48" i="8"/>
  <c r="U342" i="7"/>
  <c r="T70" i="7"/>
  <c r="U369" i="7"/>
  <c r="U107" i="7"/>
  <c r="T417" i="7"/>
  <c r="U90" i="6"/>
  <c r="U113" i="6"/>
  <c r="U294" i="7"/>
  <c r="U5" i="8"/>
  <c r="U264" i="7"/>
  <c r="U714" i="7"/>
  <c r="U308" i="7"/>
  <c r="U25" i="6"/>
  <c r="U66" i="6"/>
  <c r="U245" i="6"/>
  <c r="U594" i="7"/>
  <c r="U611" i="7"/>
  <c r="T320" i="7"/>
  <c r="T156" i="6"/>
  <c r="U175" i="6"/>
  <c r="T138" i="6"/>
  <c r="T178" i="6"/>
  <c r="T44" i="6"/>
  <c r="T72" i="6"/>
  <c r="U102" i="6"/>
  <c r="U686" i="7"/>
  <c r="T309" i="7"/>
  <c r="U28" i="7"/>
  <c r="U324" i="7"/>
  <c r="U335" i="7"/>
  <c r="T69" i="7"/>
  <c r="T383" i="7"/>
  <c r="T134" i="7"/>
  <c r="T329" i="7"/>
  <c r="U340" i="7"/>
  <c r="U362" i="7"/>
  <c r="U115" i="7"/>
  <c r="U286" i="7"/>
  <c r="U639" i="7"/>
  <c r="T63" i="7"/>
  <c r="T372" i="7"/>
  <c r="U132" i="7"/>
  <c r="U638" i="7"/>
  <c r="T351" i="7"/>
  <c r="U675" i="7"/>
  <c r="T413" i="7"/>
  <c r="U42" i="8"/>
  <c r="U53" i="8"/>
  <c r="T664" i="7"/>
  <c r="T385" i="7"/>
  <c r="U433" i="7"/>
  <c r="T112" i="6"/>
  <c r="T259" i="7"/>
  <c r="T4" i="8"/>
  <c r="T14" i="7"/>
  <c r="T693" i="7"/>
  <c r="T273" i="7"/>
  <c r="T313" i="7"/>
  <c r="T34" i="8"/>
  <c r="T41" i="8"/>
  <c r="T49" i="8"/>
  <c r="U59" i="7"/>
  <c r="U661" i="7"/>
  <c r="T86" i="7"/>
  <c r="U395" i="7"/>
  <c r="U421" i="7"/>
  <c r="U92" i="6"/>
  <c r="U117" i="6"/>
  <c r="U704" i="7"/>
  <c r="U260" i="7"/>
  <c r="U710" i="7"/>
  <c r="U304" i="7"/>
  <c r="U23" i="8"/>
  <c r="U314" i="7"/>
  <c r="U35" i="8"/>
  <c r="U43" i="7"/>
  <c r="U51" i="7"/>
  <c r="U650" i="7"/>
  <c r="T358" i="7"/>
  <c r="T678" i="7"/>
  <c r="T114" i="7"/>
  <c r="T425" i="7"/>
  <c r="T92" i="6"/>
  <c r="T117" i="6"/>
  <c r="T258" i="7"/>
  <c r="T706" i="7"/>
  <c r="T300" i="7"/>
  <c r="T19" i="8"/>
  <c r="U614" i="7"/>
  <c r="T280" i="7"/>
  <c r="T626" i="7"/>
  <c r="T44" i="7"/>
  <c r="T52" i="7"/>
  <c r="T347" i="7"/>
  <c r="U360" i="7"/>
  <c r="T92" i="7"/>
  <c r="U118" i="7"/>
  <c r="U145" i="7"/>
  <c r="U148" i="7"/>
  <c r="U164" i="7"/>
  <c r="U180" i="7"/>
  <c r="U196" i="7"/>
  <c r="U212" i="7"/>
  <c r="U228" i="7"/>
  <c r="U244" i="7"/>
  <c r="U551" i="7"/>
  <c r="T583" i="7"/>
  <c r="T158" i="7"/>
  <c r="T174" i="7"/>
  <c r="T190" i="7"/>
  <c r="T206" i="7"/>
  <c r="T222" i="7"/>
  <c r="T238" i="7"/>
  <c r="U539" i="7"/>
  <c r="T571" i="7"/>
  <c r="U439" i="7"/>
  <c r="U455" i="7"/>
  <c r="U471" i="7"/>
  <c r="U487" i="7"/>
  <c r="U503" i="7"/>
  <c r="U519" i="7"/>
  <c r="U535" i="7"/>
  <c r="U564" i="7"/>
  <c r="T451" i="7"/>
  <c r="T467" i="7"/>
  <c r="T483" i="7"/>
  <c r="T499" i="7"/>
  <c r="T515" i="7"/>
  <c r="T531" i="7"/>
  <c r="T556" i="7"/>
  <c r="U588" i="7"/>
  <c r="U163" i="7"/>
  <c r="U179" i="7"/>
  <c r="U195" i="7"/>
  <c r="U211" i="7"/>
  <c r="U227" i="7"/>
  <c r="U243" i="7"/>
  <c r="U549" i="7"/>
  <c r="U581" i="7"/>
  <c r="U34" i="6"/>
  <c r="U68" i="6"/>
  <c r="U107" i="6"/>
  <c r="U6" i="8"/>
  <c r="U612" i="7"/>
  <c r="T631" i="7"/>
  <c r="T29" i="6"/>
  <c r="T200" i="6"/>
  <c r="T140" i="6"/>
  <c r="T25" i="6"/>
  <c r="T46" i="6"/>
  <c r="T74" i="6"/>
  <c r="U127" i="6"/>
  <c r="U687" i="7"/>
  <c r="U310" i="7"/>
  <c r="U28" i="8"/>
  <c r="T325" i="7"/>
  <c r="T339" i="7"/>
  <c r="U660" i="7"/>
  <c r="T102" i="7"/>
  <c r="T138" i="7"/>
  <c r="T330" i="7"/>
  <c r="T346" i="7"/>
  <c r="U79" i="7"/>
  <c r="U403" i="7"/>
  <c r="U37" i="7"/>
  <c r="U640" i="7"/>
  <c r="T354" i="7"/>
  <c r="T90" i="7"/>
  <c r="T419" i="7"/>
  <c r="T639" i="7"/>
  <c r="T68" i="7"/>
  <c r="U381" i="7"/>
  <c r="T132" i="7"/>
  <c r="U43" i="8"/>
  <c r="U54" i="8"/>
  <c r="U361" i="7"/>
  <c r="U113" i="7"/>
  <c r="T445" i="7"/>
  <c r="T116" i="6"/>
  <c r="T705" i="7"/>
  <c r="T10" i="7"/>
  <c r="T689" i="7"/>
  <c r="T269" i="7"/>
  <c r="T719" i="7"/>
  <c r="U279" i="7"/>
  <c r="T625" i="7"/>
  <c r="T42" i="8"/>
  <c r="T50" i="8"/>
  <c r="T345" i="7"/>
  <c r="U358" i="7"/>
  <c r="U373" i="7"/>
  <c r="U114" i="7"/>
  <c r="U425" i="7"/>
  <c r="U94" i="6"/>
  <c r="U121" i="6"/>
  <c r="U258" i="7"/>
  <c r="U706" i="7"/>
  <c r="U300" i="7"/>
  <c r="U19" i="8"/>
  <c r="T614" i="7"/>
  <c r="U38" i="6"/>
  <c r="U70" i="6"/>
  <c r="U114" i="6"/>
  <c r="T600" i="7"/>
  <c r="U613" i="7"/>
  <c r="T189" i="6"/>
  <c r="T37" i="6"/>
  <c r="T206" i="6"/>
  <c r="T7" i="6"/>
  <c r="T26" i="6"/>
  <c r="T54" i="6"/>
  <c r="T76" i="6"/>
  <c r="U134" i="6"/>
  <c r="T298" i="7"/>
  <c r="U616" i="7"/>
  <c r="U32" i="7"/>
  <c r="U326" i="7"/>
  <c r="T340" i="7"/>
  <c r="T357" i="7"/>
  <c r="U105" i="7"/>
  <c r="T36" i="7"/>
  <c r="T331" i="7"/>
  <c r="U63" i="7"/>
  <c r="U670" i="7"/>
  <c r="U122" i="7"/>
  <c r="T630" i="7"/>
  <c r="T641" i="7"/>
  <c r="T71" i="7"/>
  <c r="U93" i="7"/>
  <c r="T423" i="7"/>
  <c r="T643" i="7"/>
  <c r="U659" i="7"/>
  <c r="T100" i="7"/>
  <c r="U135" i="7"/>
  <c r="U44" i="8"/>
  <c r="U345" i="7"/>
  <c r="U78" i="7"/>
  <c r="U401" i="7"/>
  <c r="U240" i="6"/>
  <c r="T120" i="6"/>
  <c r="T293" i="7"/>
  <c r="T685" i="7"/>
  <c r="T265" i="7"/>
  <c r="T715" i="7"/>
  <c r="U309" i="7"/>
  <c r="T30" i="7"/>
  <c r="U321" i="7"/>
  <c r="T43" i="8"/>
  <c r="T51" i="8"/>
  <c r="T62" i="7"/>
  <c r="U75" i="7"/>
  <c r="U91" i="7"/>
  <c r="T401" i="7"/>
  <c r="U429" i="7"/>
  <c r="U96" i="6"/>
  <c r="U125" i="6"/>
  <c r="U292" i="7"/>
  <c r="U296" i="7"/>
  <c r="U15" i="8"/>
  <c r="T610" i="7"/>
  <c r="U25" i="7"/>
  <c r="U40" i="6"/>
  <c r="U72" i="6"/>
  <c r="T119" i="6"/>
  <c r="T299" i="7"/>
  <c r="U274" i="7"/>
  <c r="U139" i="6"/>
  <c r="T43" i="6"/>
  <c r="T210" i="6"/>
  <c r="T13" i="6"/>
  <c r="T28" i="6"/>
  <c r="T56" i="6"/>
  <c r="T78" i="6"/>
  <c r="T6" i="7"/>
  <c r="U267" i="7"/>
  <c r="U617" i="7"/>
  <c r="U32" i="8"/>
  <c r="U327" i="7"/>
  <c r="U341" i="7"/>
  <c r="T668" i="7"/>
  <c r="U393" i="7"/>
  <c r="T36" i="8"/>
  <c r="T332" i="7"/>
  <c r="U349" i="7"/>
  <c r="U90" i="7"/>
  <c r="U409" i="7"/>
  <c r="U631" i="7"/>
  <c r="U642" i="7"/>
  <c r="T662" i="7"/>
  <c r="T106" i="7"/>
  <c r="T427" i="7"/>
  <c r="U644" i="7"/>
  <c r="U356" i="7"/>
  <c r="U103" i="7"/>
  <c r="T443" i="7"/>
  <c r="U45" i="8"/>
  <c r="U62" i="7"/>
  <c r="T364" i="7"/>
  <c r="U120" i="7"/>
  <c r="T248" i="6"/>
  <c r="T124" i="6"/>
  <c r="T597" i="7"/>
  <c r="T261" i="7"/>
  <c r="T711" i="7"/>
  <c r="T305" i="7"/>
  <c r="T24" i="8"/>
  <c r="T30" i="8"/>
  <c r="T287" i="7"/>
  <c r="T44" i="8"/>
  <c r="T52" i="8"/>
  <c r="U653" i="7"/>
  <c r="T361" i="7"/>
  <c r="T379" i="7"/>
  <c r="T120" i="7"/>
  <c r="T433" i="7"/>
  <c r="U98" i="6"/>
  <c r="U129" i="6"/>
  <c r="U596" i="7"/>
  <c r="U11" i="8"/>
  <c r="T606" i="7"/>
  <c r="U21" i="7"/>
  <c r="U721" i="7"/>
  <c r="U50" i="6"/>
  <c r="U80" i="6"/>
  <c r="T126" i="6"/>
  <c r="T15" i="7"/>
  <c r="T275" i="7"/>
  <c r="U11" i="6"/>
  <c r="U160" i="6"/>
  <c r="U216" i="6"/>
  <c r="T146" i="6"/>
  <c r="T30" i="6"/>
  <c r="T58" i="6"/>
  <c r="T87" i="6"/>
  <c r="T599" i="7"/>
  <c r="T17" i="8"/>
  <c r="T279" i="7"/>
  <c r="U623" i="7"/>
  <c r="U331" i="7"/>
  <c r="U58" i="7"/>
  <c r="T670" i="7"/>
  <c r="U112" i="7"/>
  <c r="U627" i="7"/>
  <c r="T336" i="7"/>
  <c r="T66" i="7"/>
  <c r="U377" i="7"/>
  <c r="T128" i="7"/>
  <c r="U632" i="7"/>
  <c r="U56" i="8"/>
  <c r="U359" i="7"/>
  <c r="U54" i="6"/>
  <c r="U82" i="6"/>
  <c r="U132" i="6"/>
  <c r="T16" i="7"/>
  <c r="T620" i="7"/>
  <c r="U19" i="6"/>
  <c r="U6" i="6"/>
  <c r="U222" i="6"/>
  <c r="T170" i="6"/>
  <c r="T38" i="6"/>
  <c r="T60" i="6"/>
  <c r="T245" i="6"/>
  <c r="U293" i="7"/>
  <c r="T18" i="8"/>
  <c r="U625" i="7"/>
  <c r="U319" i="7"/>
  <c r="U332" i="7"/>
  <c r="U344" i="7"/>
  <c r="U83" i="7"/>
  <c r="T409" i="7"/>
  <c r="T323" i="7"/>
  <c r="T337" i="7"/>
  <c r="U657" i="7"/>
  <c r="T96" i="7"/>
  <c r="U427" i="7"/>
  <c r="T633" i="7"/>
  <c r="U343" i="7"/>
  <c r="U76" i="7"/>
  <c r="T397" i="7"/>
  <c r="T635" i="7"/>
  <c r="U57" i="7"/>
  <c r="U364" i="7"/>
  <c r="U109" i="7"/>
  <c r="U46" i="8"/>
  <c r="T250" i="6"/>
  <c r="U301" i="7"/>
  <c r="T38" i="7"/>
  <c r="T78" i="7"/>
  <c r="U101" i="6"/>
  <c r="U17" i="7"/>
  <c r="U31" i="7"/>
  <c r="U39" i="7"/>
  <c r="U50" i="7"/>
  <c r="U64" i="7"/>
  <c r="T365" i="7"/>
  <c r="T395" i="7"/>
  <c r="U149" i="7"/>
  <c r="T101" i="6"/>
  <c r="T704" i="7"/>
  <c r="T11" i="8"/>
  <c r="T692" i="7"/>
  <c r="T23" i="8"/>
  <c r="T31" i="8"/>
  <c r="T40" i="7"/>
  <c r="T51" i="7"/>
  <c r="U655" i="7"/>
  <c r="U367" i="7"/>
  <c r="U399" i="7"/>
  <c r="U136" i="7"/>
  <c r="U156" i="7"/>
  <c r="U178" i="7"/>
  <c r="U200" i="7"/>
  <c r="U220" i="7"/>
  <c r="U242" i="7"/>
  <c r="U559" i="7"/>
  <c r="T150" i="7"/>
  <c r="T172" i="7"/>
  <c r="T194" i="7"/>
  <c r="T214" i="7"/>
  <c r="T236" i="7"/>
  <c r="T547" i="7"/>
  <c r="T587" i="7"/>
  <c r="U453" i="7"/>
  <c r="U475" i="7"/>
  <c r="U495" i="7"/>
  <c r="U517" i="7"/>
  <c r="T540" i="7"/>
  <c r="T580" i="7"/>
  <c r="U465" i="7"/>
  <c r="T487" i="7"/>
  <c r="T507" i="7"/>
  <c r="U529" i="7"/>
  <c r="T564" i="7"/>
  <c r="U155" i="7"/>
  <c r="U177" i="7"/>
  <c r="U199" i="7"/>
  <c r="U219" i="7"/>
  <c r="U241" i="7"/>
  <c r="U557" i="7"/>
  <c r="U646" i="7"/>
  <c r="U654" i="7"/>
  <c r="U662" i="7"/>
  <c r="T81" i="7"/>
  <c r="T93" i="7"/>
  <c r="T109" i="7"/>
  <c r="T125" i="7"/>
  <c r="T141" i="7"/>
  <c r="T157" i="7"/>
  <c r="T173" i="7"/>
  <c r="T189" i="7"/>
  <c r="T205" i="7"/>
  <c r="T221" i="7"/>
  <c r="T237" i="7"/>
  <c r="T253" i="7"/>
  <c r="T569" i="7"/>
  <c r="U58" i="8"/>
  <c r="U66" i="8"/>
  <c r="U74" i="8"/>
  <c r="U84" i="7"/>
  <c r="U382" i="7"/>
  <c r="U398" i="7"/>
  <c r="U414" i="7"/>
  <c r="U430" i="7"/>
  <c r="U446" i="7"/>
  <c r="T462" i="7"/>
  <c r="U478" i="7"/>
  <c r="U494" i="7"/>
  <c r="U510" i="7"/>
  <c r="T526" i="7"/>
  <c r="T546" i="7"/>
  <c r="T578" i="7"/>
  <c r="T59" i="8"/>
  <c r="T67" i="8"/>
  <c r="T75" i="8"/>
  <c r="T370" i="7"/>
  <c r="U384" i="7"/>
  <c r="U400" i="7"/>
  <c r="T416" i="7"/>
  <c r="T432" i="7"/>
  <c r="T448" i="7"/>
  <c r="U464" i="7"/>
  <c r="T480" i="7"/>
  <c r="T496" i="7"/>
  <c r="U512" i="7"/>
  <c r="U528" i="7"/>
  <c r="U550" i="7"/>
  <c r="T582" i="7"/>
  <c r="T431" i="7"/>
  <c r="U50" i="8"/>
  <c r="T252" i="6"/>
  <c r="T16" i="8"/>
  <c r="T38" i="8"/>
  <c r="T669" i="7"/>
  <c r="U105" i="6"/>
  <c r="U692" i="7"/>
  <c r="U31" i="8"/>
  <c r="U40" i="7"/>
  <c r="U52" i="7"/>
  <c r="T350" i="7"/>
  <c r="T82" i="7"/>
  <c r="U117" i="7"/>
  <c r="T449" i="7"/>
  <c r="T105" i="6"/>
  <c r="T292" i="7"/>
  <c r="U602" i="7"/>
  <c r="T268" i="7"/>
  <c r="T25" i="7"/>
  <c r="U622" i="7"/>
  <c r="T41" i="7"/>
  <c r="T53" i="7"/>
  <c r="U352" i="7"/>
  <c r="U674" i="7"/>
  <c r="T405" i="7"/>
  <c r="U138" i="7"/>
  <c r="U158" i="7"/>
  <c r="U182" i="7"/>
  <c r="U202" i="7"/>
  <c r="U222" i="7"/>
  <c r="U246" i="7"/>
  <c r="T563" i="7"/>
  <c r="T152" i="7"/>
  <c r="T176" i="7"/>
  <c r="T196" i="7"/>
  <c r="T216" i="7"/>
  <c r="T240" i="7"/>
  <c r="T551" i="7"/>
  <c r="U591" i="7"/>
  <c r="U457" i="7"/>
  <c r="U477" i="7"/>
  <c r="U497" i="7"/>
  <c r="U521" i="7"/>
  <c r="U544" i="7"/>
  <c r="U584" i="7"/>
  <c r="T469" i="7"/>
  <c r="T489" i="7"/>
  <c r="U509" i="7"/>
  <c r="T533" i="7"/>
  <c r="T568" i="7"/>
  <c r="U157" i="7"/>
  <c r="U181" i="7"/>
  <c r="U201" i="7"/>
  <c r="U221" i="7"/>
  <c r="U245" i="7"/>
  <c r="T561" i="7"/>
  <c r="T647" i="7"/>
  <c r="T655" i="7"/>
  <c r="T663" i="7"/>
  <c r="T367" i="7"/>
  <c r="T95" i="7"/>
  <c r="T111" i="7"/>
  <c r="T127" i="7"/>
  <c r="T143" i="7"/>
  <c r="T159" i="7"/>
  <c r="T175" i="7"/>
  <c r="T191" i="7"/>
  <c r="T207" i="7"/>
  <c r="T223" i="7"/>
  <c r="T239" i="7"/>
  <c r="U541" i="7"/>
  <c r="T573" i="7"/>
  <c r="U59" i="8"/>
  <c r="U67" i="8"/>
  <c r="U75" i="8"/>
  <c r="U370" i="7"/>
  <c r="T384" i="7"/>
  <c r="T400" i="7"/>
  <c r="U416" i="7"/>
  <c r="U432" i="7"/>
  <c r="U448" i="7"/>
  <c r="T464" i="7"/>
  <c r="U480" i="7"/>
  <c r="U496" i="7"/>
  <c r="T512" i="7"/>
  <c r="T528" i="7"/>
  <c r="T550" i="7"/>
  <c r="U582" i="7"/>
  <c r="T60" i="8"/>
  <c r="T68" i="8"/>
  <c r="T76" i="8"/>
  <c r="U676" i="7"/>
  <c r="U386" i="7"/>
  <c r="U402" i="7"/>
  <c r="U418" i="7"/>
  <c r="U434" i="7"/>
  <c r="U450" i="7"/>
  <c r="U466" i="7"/>
  <c r="U482" i="7"/>
  <c r="U498" i="7"/>
  <c r="U514" i="7"/>
  <c r="U530" i="7"/>
  <c r="T554" i="7"/>
  <c r="U586" i="7"/>
  <c r="U645" i="7"/>
  <c r="T348" i="7"/>
  <c r="T128" i="6"/>
  <c r="T20" i="8"/>
  <c r="T45" i="8"/>
  <c r="U98" i="7"/>
  <c r="U133" i="6"/>
  <c r="U696" i="7"/>
  <c r="T622" i="7"/>
  <c r="U42" i="7"/>
  <c r="U53" i="7"/>
  <c r="T67" i="7"/>
  <c r="U371" i="7"/>
  <c r="U405" i="7"/>
  <c r="T84" i="6"/>
  <c r="T113" i="6"/>
  <c r="T596" i="7"/>
  <c r="T13" i="7"/>
  <c r="T304" i="7"/>
  <c r="T721" i="7"/>
  <c r="T318" i="7"/>
  <c r="T43" i="7"/>
  <c r="T54" i="7"/>
  <c r="U69" i="7"/>
  <c r="U678" i="7"/>
  <c r="T124" i="7"/>
  <c r="U140" i="7"/>
  <c r="U162" i="7"/>
  <c r="U184" i="7"/>
  <c r="U204" i="7"/>
  <c r="U226" i="7"/>
  <c r="U248" i="7"/>
  <c r="U567" i="7"/>
  <c r="T156" i="7"/>
  <c r="T178" i="7"/>
  <c r="T198" i="7"/>
  <c r="T220" i="7"/>
  <c r="T242" i="7"/>
  <c r="T555" i="7"/>
  <c r="U437" i="7"/>
  <c r="U459" i="7"/>
  <c r="U479" i="7"/>
  <c r="U501" i="7"/>
  <c r="U523" i="7"/>
  <c r="U548" i="7"/>
  <c r="U592" i="7"/>
  <c r="T471" i="7"/>
  <c r="T491" i="7"/>
  <c r="T513" i="7"/>
  <c r="T535" i="7"/>
  <c r="T572" i="7"/>
  <c r="U161" i="7"/>
  <c r="U183" i="7"/>
  <c r="U203" i="7"/>
  <c r="U225" i="7"/>
  <c r="U247" i="7"/>
  <c r="T565" i="7"/>
  <c r="U648" i="7"/>
  <c r="T656" i="7"/>
  <c r="U664" i="7"/>
  <c r="U673" i="7"/>
  <c r="T97" i="7"/>
  <c r="T113" i="7"/>
  <c r="T129" i="7"/>
  <c r="T145" i="7"/>
  <c r="T161" i="7"/>
  <c r="T177" i="7"/>
  <c r="T193" i="7"/>
  <c r="T209" i="7"/>
  <c r="T225" i="7"/>
  <c r="T241" i="7"/>
  <c r="T545" i="7"/>
  <c r="T577" i="7"/>
  <c r="U60" i="8"/>
  <c r="U68" i="8"/>
  <c r="U76" i="8"/>
  <c r="T676" i="7"/>
  <c r="T386" i="7"/>
  <c r="T402" i="7"/>
  <c r="T418" i="7"/>
  <c r="T434" i="7"/>
  <c r="T450" i="7"/>
  <c r="T466" i="7"/>
  <c r="T482" i="7"/>
  <c r="T498" i="7"/>
  <c r="T514" i="7"/>
  <c r="T530" i="7"/>
  <c r="U554" i="7"/>
  <c r="T586" i="7"/>
  <c r="T61" i="8"/>
  <c r="T69" i="8"/>
  <c r="T77" i="8"/>
  <c r="T88" i="7"/>
  <c r="T388" i="7"/>
  <c r="T404" i="7"/>
  <c r="U420" i="7"/>
  <c r="T436" i="7"/>
  <c r="T452" i="7"/>
  <c r="U468" i="7"/>
  <c r="T484" i="7"/>
  <c r="U500" i="7"/>
  <c r="T516" i="7"/>
  <c r="T532" i="7"/>
  <c r="U558" i="7"/>
  <c r="T590" i="7"/>
  <c r="T667" i="7"/>
  <c r="T65" i="7"/>
  <c r="T132" i="6"/>
  <c r="T611" i="7"/>
  <c r="T46" i="8"/>
  <c r="U385" i="7"/>
  <c r="U3" i="7"/>
  <c r="U272" i="7"/>
  <c r="U318" i="7"/>
  <c r="U44" i="7"/>
  <c r="U54" i="7"/>
  <c r="U658" i="7"/>
  <c r="U92" i="7"/>
  <c r="U124" i="7"/>
  <c r="T86" i="6"/>
  <c r="T121" i="6"/>
  <c r="T680" i="7"/>
  <c r="U688" i="7"/>
  <c r="U610" i="7"/>
  <c r="T311" i="7"/>
  <c r="T284" i="7"/>
  <c r="T45" i="7"/>
  <c r="T55" i="7"/>
  <c r="T355" i="7"/>
  <c r="U95" i="7"/>
  <c r="U127" i="7"/>
  <c r="U142" i="7"/>
  <c r="U166" i="7"/>
  <c r="U186" i="7"/>
  <c r="U206" i="7"/>
  <c r="U230" i="7"/>
  <c r="U250" i="7"/>
  <c r="U571" i="7"/>
  <c r="T160" i="7"/>
  <c r="T180" i="7"/>
  <c r="T200" i="7"/>
  <c r="T224" i="7"/>
  <c r="T244" i="7"/>
  <c r="T559" i="7"/>
  <c r="T441" i="7"/>
  <c r="T461" i="7"/>
  <c r="T481" i="7"/>
  <c r="T505" i="7"/>
  <c r="T525" i="7"/>
  <c r="T552" i="7"/>
  <c r="T453" i="7"/>
  <c r="U473" i="7"/>
  <c r="U493" i="7"/>
  <c r="T517" i="7"/>
  <c r="U537" i="7"/>
  <c r="T576" i="7"/>
  <c r="U165" i="7"/>
  <c r="U185" i="7"/>
  <c r="U205" i="7"/>
  <c r="U229" i="7"/>
  <c r="U249" i="7"/>
  <c r="U569" i="7"/>
  <c r="U649" i="7"/>
  <c r="U391" i="7"/>
  <c r="T373" i="7"/>
  <c r="T681" i="7"/>
  <c r="T615" i="7"/>
  <c r="T53" i="8"/>
  <c r="U123" i="7"/>
  <c r="U680" i="7"/>
  <c r="U311" i="7"/>
  <c r="U35" i="7"/>
  <c r="U45" i="7"/>
  <c r="U55" i="7"/>
  <c r="U72" i="7"/>
  <c r="U379" i="7"/>
  <c r="T411" i="7"/>
  <c r="T90" i="6"/>
  <c r="T125" i="6"/>
  <c r="T254" i="7"/>
  <c r="T710" i="7"/>
  <c r="T21" i="7"/>
  <c r="T27" i="7"/>
  <c r="T35" i="8"/>
  <c r="T46" i="7"/>
  <c r="T341" i="7"/>
  <c r="U663" i="7"/>
  <c r="U383" i="7"/>
  <c r="T415" i="7"/>
  <c r="U146" i="7"/>
  <c r="U168" i="7"/>
  <c r="U188" i="7"/>
  <c r="U210" i="7"/>
  <c r="U232" i="7"/>
  <c r="U252" i="7"/>
  <c r="U579" i="7"/>
  <c r="T162" i="7"/>
  <c r="T182" i="7"/>
  <c r="T204" i="7"/>
  <c r="T226" i="7"/>
  <c r="T246" i="7"/>
  <c r="T567" i="7"/>
  <c r="U443" i="7"/>
  <c r="T463" i="7"/>
  <c r="U485" i="7"/>
  <c r="U507" i="7"/>
  <c r="T527" i="7"/>
  <c r="T560" i="7"/>
  <c r="T455" i="7"/>
  <c r="T475" i="7"/>
  <c r="T497" i="7"/>
  <c r="T519" i="7"/>
  <c r="U540" i="7"/>
  <c r="T584" i="7"/>
  <c r="U167" i="7"/>
  <c r="U187" i="7"/>
  <c r="U209" i="7"/>
  <c r="U231" i="7"/>
  <c r="U251" i="7"/>
  <c r="U577" i="7"/>
  <c r="U110" i="7"/>
  <c r="U375" i="7"/>
  <c r="T701" i="7"/>
  <c r="U276" i="7"/>
  <c r="T54" i="8"/>
  <c r="U411" i="7"/>
  <c r="U254" i="7"/>
  <c r="U27" i="7"/>
  <c r="U626" i="7"/>
  <c r="U46" i="7"/>
  <c r="T56" i="7"/>
  <c r="T75" i="7"/>
  <c r="T98" i="7"/>
  <c r="T130" i="7"/>
  <c r="T94" i="6"/>
  <c r="T129" i="6"/>
  <c r="T700" i="7"/>
  <c r="T15" i="8"/>
  <c r="T696" i="7"/>
  <c r="T27" i="8"/>
  <c r="T322" i="7"/>
  <c r="T47" i="7"/>
  <c r="U647" i="7"/>
  <c r="U77" i="7"/>
  <c r="U102" i="7"/>
  <c r="U134" i="7"/>
  <c r="U150" i="7"/>
  <c r="U170" i="7"/>
  <c r="U190" i="7"/>
  <c r="U214" i="7"/>
  <c r="U234" i="7"/>
  <c r="T539" i="7"/>
  <c r="U587" i="7"/>
  <c r="T164" i="7"/>
  <c r="T184" i="7"/>
  <c r="T208" i="7"/>
  <c r="T228" i="7"/>
  <c r="T248" i="7"/>
  <c r="T575" i="7"/>
  <c r="U445" i="7"/>
  <c r="T465" i="7"/>
  <c r="U489" i="7"/>
  <c r="T509" i="7"/>
  <c r="T529" i="7"/>
  <c r="U568" i="7"/>
  <c r="T457" i="7"/>
  <c r="T477" i="7"/>
  <c r="T501" i="7"/>
  <c r="T521" i="7"/>
  <c r="T544" i="7"/>
  <c r="T592" i="7"/>
  <c r="U169" i="7"/>
  <c r="U189" i="7"/>
  <c r="U213" i="7"/>
  <c r="U233" i="7"/>
  <c r="U253" i="7"/>
  <c r="U585" i="7"/>
  <c r="U651" i="7"/>
  <c r="T321" i="7"/>
  <c r="U407" i="7"/>
  <c r="U707" i="7"/>
  <c r="U621" i="7"/>
  <c r="U350" i="7"/>
  <c r="U447" i="7"/>
  <c r="T602" i="7"/>
  <c r="U618" i="7"/>
  <c r="U322" i="7"/>
  <c r="U47" i="7"/>
  <c r="T59" i="7"/>
  <c r="T666" i="7"/>
  <c r="U101" i="7"/>
  <c r="T421" i="7"/>
  <c r="T96" i="6"/>
  <c r="T133" i="6"/>
  <c r="T260" i="7"/>
  <c r="U606" i="7"/>
  <c r="T272" i="7"/>
  <c r="T314" i="7"/>
  <c r="T288" i="7"/>
  <c r="T48" i="7"/>
  <c r="U61" i="7"/>
  <c r="T363" i="7"/>
  <c r="U287" i="7"/>
  <c r="T126" i="7"/>
  <c r="U297" i="7"/>
  <c r="U317" i="7"/>
  <c r="U67" i="7"/>
  <c r="U86" i="6"/>
  <c r="U13" i="7"/>
  <c r="U280" i="7"/>
  <c r="U288" i="7"/>
  <c r="U48" i="7"/>
  <c r="U347" i="7"/>
  <c r="U363" i="7"/>
  <c r="T389" i="7"/>
  <c r="T429" i="7"/>
  <c r="T98" i="6"/>
  <c r="T8" i="7"/>
  <c r="T296" i="7"/>
  <c r="T17" i="7"/>
  <c r="T718" i="7"/>
  <c r="T31" i="7"/>
  <c r="T39" i="7"/>
  <c r="T49" i="7"/>
  <c r="T64" i="7"/>
  <c r="U365" i="7"/>
  <c r="T108" i="7"/>
  <c r="T435" i="7"/>
  <c r="U154" i="7"/>
  <c r="U389" i="7"/>
  <c r="U218" i="7"/>
  <c r="T168" i="7"/>
  <c r="T543" i="7"/>
  <c r="T493" i="7"/>
  <c r="U461" i="7"/>
  <c r="U560" i="7"/>
  <c r="U217" i="7"/>
  <c r="U652" i="7"/>
  <c r="U666" i="7"/>
  <c r="T91" i="7"/>
  <c r="T119" i="7"/>
  <c r="T147" i="7"/>
  <c r="T169" i="7"/>
  <c r="T197" i="7"/>
  <c r="T219" i="7"/>
  <c r="T247" i="7"/>
  <c r="T581" i="7"/>
  <c r="U64" i="8"/>
  <c r="U78" i="8"/>
  <c r="T380" i="7"/>
  <c r="U408" i="7"/>
  <c r="U436" i="7"/>
  <c r="T458" i="7"/>
  <c r="T486" i="7"/>
  <c r="U508" i="7"/>
  <c r="T536" i="7"/>
  <c r="U590" i="7"/>
  <c r="T65" i="8"/>
  <c r="T80" i="7"/>
  <c r="T382" i="7"/>
  <c r="U410" i="7"/>
  <c r="T438" i="7"/>
  <c r="U460" i="7"/>
  <c r="T488" i="7"/>
  <c r="T510" i="7"/>
  <c r="U538" i="7"/>
  <c r="U520" i="7"/>
  <c r="U394" i="7"/>
  <c r="U444" i="7"/>
  <c r="T494" i="7"/>
  <c r="U474" i="7"/>
  <c r="U566" i="7"/>
  <c r="U141" i="7"/>
  <c r="U236" i="7"/>
  <c r="T188" i="7"/>
  <c r="T579" i="7"/>
  <c r="U511" i="7"/>
  <c r="U481" i="7"/>
  <c r="U151" i="7"/>
  <c r="U235" i="7"/>
  <c r="T653" i="7"/>
  <c r="U667" i="7"/>
  <c r="T99" i="7"/>
  <c r="T121" i="7"/>
  <c r="T149" i="7"/>
  <c r="T171" i="7"/>
  <c r="T199" i="7"/>
  <c r="T227" i="7"/>
  <c r="T249" i="7"/>
  <c r="T585" i="7"/>
  <c r="U65" i="8"/>
  <c r="U80" i="7"/>
  <c r="U388" i="7"/>
  <c r="T410" i="7"/>
  <c r="U438" i="7"/>
  <c r="T460" i="7"/>
  <c r="U488" i="7"/>
  <c r="U516" i="7"/>
  <c r="T538" i="7"/>
  <c r="T55" i="8"/>
  <c r="T66" i="8"/>
  <c r="T366" i="7"/>
  <c r="T390" i="7"/>
  <c r="T412" i="7"/>
  <c r="U440" i="7"/>
  <c r="U462" i="7"/>
  <c r="U490" i="7"/>
  <c r="T518" i="7"/>
  <c r="U542" i="7"/>
  <c r="T558" i="7"/>
  <c r="T71" i="8"/>
  <c r="U422" i="7"/>
  <c r="U522" i="7"/>
  <c r="T424" i="7"/>
  <c r="U152" i="7"/>
  <c r="U238" i="7"/>
  <c r="T192" i="7"/>
  <c r="U583" i="7"/>
  <c r="U513" i="7"/>
  <c r="T485" i="7"/>
  <c r="U153" i="7"/>
  <c r="U237" i="7"/>
  <c r="T657" i="7"/>
  <c r="U668" i="7"/>
  <c r="T101" i="7"/>
  <c r="T123" i="7"/>
  <c r="T151" i="7"/>
  <c r="T179" i="7"/>
  <c r="T201" i="7"/>
  <c r="T229" i="7"/>
  <c r="T251" i="7"/>
  <c r="U589" i="7"/>
  <c r="U69" i="8"/>
  <c r="U366" i="7"/>
  <c r="U390" i="7"/>
  <c r="U412" i="7"/>
  <c r="T440" i="7"/>
  <c r="T468" i="7"/>
  <c r="T490" i="7"/>
  <c r="U518" i="7"/>
  <c r="T542" i="7"/>
  <c r="T56" i="8"/>
  <c r="T70" i="8"/>
  <c r="T672" i="7"/>
  <c r="T392" i="7"/>
  <c r="T414" i="7"/>
  <c r="U442" i="7"/>
  <c r="T470" i="7"/>
  <c r="T492" i="7"/>
  <c r="T520" i="7"/>
  <c r="U546" i="7"/>
  <c r="U492" i="7"/>
  <c r="T84" i="7"/>
  <c r="T472" i="7"/>
  <c r="T562" i="7"/>
  <c r="T446" i="7"/>
  <c r="U172" i="7"/>
  <c r="U547" i="7"/>
  <c r="T210" i="7"/>
  <c r="T447" i="7"/>
  <c r="U533" i="7"/>
  <c r="T503" i="7"/>
  <c r="U171" i="7"/>
  <c r="U545" i="7"/>
  <c r="T658" i="7"/>
  <c r="U669" i="7"/>
  <c r="T103" i="7"/>
  <c r="T131" i="7"/>
  <c r="T153" i="7"/>
  <c r="T181" i="7"/>
  <c r="T203" i="7"/>
  <c r="T231" i="7"/>
  <c r="T549" i="7"/>
  <c r="T593" i="7"/>
  <c r="U70" i="8"/>
  <c r="U672" i="7"/>
  <c r="U392" i="7"/>
  <c r="T420" i="7"/>
  <c r="T442" i="7"/>
  <c r="U470" i="7"/>
  <c r="T57" i="8"/>
  <c r="U534" i="7"/>
  <c r="U174" i="7"/>
  <c r="U555" i="7"/>
  <c r="T212" i="7"/>
  <c r="U449" i="7"/>
  <c r="T537" i="7"/>
  <c r="U505" i="7"/>
  <c r="U173" i="7"/>
  <c r="U553" i="7"/>
  <c r="T659" i="7"/>
  <c r="T85" i="7"/>
  <c r="T105" i="7"/>
  <c r="T133" i="7"/>
  <c r="T155" i="7"/>
  <c r="T183" i="7"/>
  <c r="T211" i="7"/>
  <c r="T233" i="7"/>
  <c r="T553" i="7"/>
  <c r="U57" i="8"/>
  <c r="U71" i="8"/>
  <c r="U88" i="7"/>
  <c r="T394" i="7"/>
  <c r="T422" i="7"/>
  <c r="T444" i="7"/>
  <c r="U472" i="7"/>
  <c r="T500" i="7"/>
  <c r="T522" i="7"/>
  <c r="U562" i="7"/>
  <c r="T58" i="8"/>
  <c r="T72" i="8"/>
  <c r="T374" i="7"/>
  <c r="T396" i="7"/>
  <c r="U502" i="7"/>
  <c r="U524" i="7"/>
  <c r="U574" i="7"/>
  <c r="U194" i="7"/>
  <c r="T591" i="7"/>
  <c r="T230" i="7"/>
  <c r="U469" i="7"/>
  <c r="U572" i="7"/>
  <c r="T523" i="7"/>
  <c r="U193" i="7"/>
  <c r="T589" i="7"/>
  <c r="T660" i="7"/>
  <c r="T371" i="7"/>
  <c r="T107" i="7"/>
  <c r="T135" i="7"/>
  <c r="T163" i="7"/>
  <c r="T185" i="7"/>
  <c r="T213" i="7"/>
  <c r="T235" i="7"/>
  <c r="T557" i="7"/>
  <c r="U61" i="8"/>
  <c r="U72" i="8"/>
  <c r="U374" i="7"/>
  <c r="U396" i="7"/>
  <c r="U424" i="7"/>
  <c r="U452" i="7"/>
  <c r="T474" i="7"/>
  <c r="T502" i="7"/>
  <c r="T524" i="7"/>
  <c r="T566" i="7"/>
  <c r="T62" i="8"/>
  <c r="T73" i="8"/>
  <c r="U376" i="7"/>
  <c r="T398" i="7"/>
  <c r="U426" i="7"/>
  <c r="T454" i="7"/>
  <c r="U476" i="7"/>
  <c r="T504" i="7"/>
  <c r="U526" i="7"/>
  <c r="T570" i="7"/>
  <c r="U198" i="7"/>
  <c r="T148" i="7"/>
  <c r="T232" i="7"/>
  <c r="T473" i="7"/>
  <c r="U576" i="7"/>
  <c r="U525" i="7"/>
  <c r="U197" i="7"/>
  <c r="U593" i="7"/>
  <c r="T661" i="7"/>
  <c r="U677" i="7"/>
  <c r="T115" i="7"/>
  <c r="T137" i="7"/>
  <c r="T165" i="7"/>
  <c r="T187" i="7"/>
  <c r="T215" i="7"/>
  <c r="T243" i="7"/>
  <c r="U561" i="7"/>
  <c r="U62" i="8"/>
  <c r="U73" i="8"/>
  <c r="T376" i="7"/>
  <c r="U404" i="7"/>
  <c r="T426" i="7"/>
  <c r="U454" i="7"/>
  <c r="T476" i="7"/>
  <c r="U504" i="7"/>
  <c r="U532" i="7"/>
  <c r="U570" i="7"/>
  <c r="T63" i="8"/>
  <c r="T74" i="8"/>
  <c r="U378" i="7"/>
  <c r="T406" i="7"/>
  <c r="T428" i="7"/>
  <c r="T456" i="7"/>
  <c r="T478" i="7"/>
  <c r="U506" i="7"/>
  <c r="U216" i="7"/>
  <c r="T166" i="7"/>
  <c r="T252" i="7"/>
  <c r="U491" i="7"/>
  <c r="T459" i="7"/>
  <c r="U552" i="7"/>
  <c r="U215" i="7"/>
  <c r="T650" i="7"/>
  <c r="U665" i="7"/>
  <c r="T89" i="7"/>
  <c r="T117" i="7"/>
  <c r="T139" i="7"/>
  <c r="T167" i="7"/>
  <c r="T195" i="7"/>
  <c r="T217" i="7"/>
  <c r="T245" i="7"/>
  <c r="U565" i="7"/>
  <c r="U63" i="8"/>
  <c r="U77" i="8"/>
  <c r="T378" i="7"/>
  <c r="U406" i="7"/>
  <c r="U428" i="7"/>
  <c r="U456" i="7"/>
  <c r="U484" i="7"/>
  <c r="T506" i="7"/>
  <c r="T534" i="7"/>
  <c r="T574" i="7"/>
  <c r="T64" i="8"/>
  <c r="T78" i="8"/>
  <c r="U380" i="7"/>
  <c r="T408" i="7"/>
  <c r="T430" i="7"/>
  <c r="U458" i="7"/>
  <c r="U486" i="7"/>
  <c r="T508" i="7"/>
  <c r="U536" i="7"/>
  <c r="U578" i="7"/>
  <c r="W47" i="9" l="1"/>
  <c r="W91" i="9"/>
  <c r="W111" i="9"/>
  <c r="W118" i="9"/>
  <c r="W130" i="9"/>
  <c r="V578" i="7"/>
  <c r="V536" i="7"/>
  <c r="V486" i="7"/>
  <c r="V458" i="7"/>
  <c r="V380" i="7"/>
  <c r="V484" i="7"/>
  <c r="V456" i="7"/>
  <c r="V428" i="7"/>
  <c r="V406" i="7"/>
  <c r="V77" i="8"/>
  <c r="V63" i="8"/>
  <c r="V565" i="7"/>
  <c r="V665" i="7"/>
  <c r="V215" i="7"/>
  <c r="V552" i="7"/>
  <c r="V491" i="7"/>
  <c r="V216" i="7"/>
  <c r="W93" i="9"/>
  <c r="V506" i="7"/>
  <c r="V378" i="7"/>
  <c r="V570" i="7"/>
  <c r="V532" i="7"/>
  <c r="V504" i="7"/>
  <c r="V454" i="7"/>
  <c r="V404" i="7"/>
  <c r="V73" i="8"/>
  <c r="V62" i="8"/>
  <c r="V561" i="7"/>
  <c r="V677" i="7"/>
  <c r="V593" i="7"/>
  <c r="V197" i="7"/>
  <c r="V525" i="7"/>
  <c r="V576" i="7"/>
  <c r="V198" i="7"/>
  <c r="W14" i="9"/>
  <c r="W87" i="9"/>
  <c r="W99" i="9"/>
  <c r="W113" i="9"/>
  <c r="W126" i="9"/>
  <c r="W131" i="9"/>
  <c r="V526" i="7"/>
  <c r="V476" i="7"/>
  <c r="V426" i="7"/>
  <c r="V376" i="7"/>
  <c r="V452" i="7"/>
  <c r="V424" i="7"/>
  <c r="V396" i="7"/>
  <c r="V374" i="7"/>
  <c r="V72" i="8"/>
  <c r="V61" i="8"/>
  <c r="V193" i="7"/>
  <c r="V572" i="7"/>
  <c r="V469" i="7"/>
  <c r="V194" i="7"/>
  <c r="W10" i="9"/>
  <c r="W79" i="9"/>
  <c r="V574" i="7"/>
  <c r="W43" i="9"/>
  <c r="W75" i="9"/>
  <c r="W114" i="9"/>
  <c r="V524" i="7"/>
  <c r="V502" i="7"/>
  <c r="V562" i="7"/>
  <c r="V472" i="7"/>
  <c r="V88" i="7"/>
  <c r="V71" i="8"/>
  <c r="V57" i="8"/>
  <c r="V553" i="7"/>
  <c r="V173" i="7"/>
  <c r="V505" i="7"/>
  <c r="V449" i="7"/>
  <c r="V555" i="7"/>
  <c r="V174" i="7"/>
  <c r="W34" i="9"/>
  <c r="W86" i="9"/>
  <c r="W67" i="9"/>
  <c r="V534" i="7"/>
  <c r="W11" i="9"/>
  <c r="W127" i="9"/>
  <c r="V470" i="7"/>
  <c r="V392" i="7"/>
  <c r="V672" i="7"/>
  <c r="V70" i="8"/>
  <c r="V669" i="7"/>
  <c r="V545" i="7"/>
  <c r="V171" i="7"/>
  <c r="V533" i="7"/>
  <c r="V547" i="7"/>
  <c r="V172" i="7"/>
  <c r="W30" i="9"/>
  <c r="W66" i="9"/>
  <c r="W105" i="9"/>
  <c r="W22" i="9"/>
  <c r="W15" i="9"/>
  <c r="W94" i="9"/>
  <c r="W23" i="9"/>
  <c r="W39" i="9"/>
  <c r="W107" i="9"/>
  <c r="W6" i="9"/>
  <c r="W32" i="9"/>
  <c r="W95" i="9"/>
  <c r="V492" i="7"/>
  <c r="W9" i="9"/>
  <c r="W16" i="9"/>
  <c r="W20" i="9"/>
  <c r="W28" i="9"/>
  <c r="W36" i="9"/>
  <c r="W45" i="9"/>
  <c r="W58" i="9"/>
  <c r="W63" i="9"/>
  <c r="W83" i="9"/>
  <c r="W90" i="9"/>
  <c r="W109" i="9"/>
  <c r="W122" i="9"/>
  <c r="V546" i="7"/>
  <c r="V442" i="7"/>
  <c r="V518" i="7"/>
  <c r="V412" i="7"/>
  <c r="V390" i="7"/>
  <c r="V366" i="7"/>
  <c r="V69" i="8"/>
  <c r="V589" i="7"/>
  <c r="V668" i="7"/>
  <c r="V237" i="7"/>
  <c r="V153" i="7"/>
  <c r="V513" i="7"/>
  <c r="V583" i="7"/>
  <c r="V238" i="7"/>
  <c r="V152" i="7"/>
  <c r="W18" i="9"/>
  <c r="W3" i="9"/>
  <c r="W26" i="9"/>
  <c r="W54" i="9"/>
  <c r="W35" i="9"/>
  <c r="W55" i="9"/>
  <c r="W74" i="9"/>
  <c r="W8" i="9"/>
  <c r="W19" i="9"/>
  <c r="W31" i="9"/>
  <c r="W12" i="9"/>
  <c r="W40" i="9"/>
  <c r="W82" i="9"/>
  <c r="W102" i="9"/>
  <c r="W121" i="9"/>
  <c r="V522" i="7"/>
  <c r="V422" i="7"/>
  <c r="W5" i="9"/>
  <c r="W17" i="9"/>
  <c r="W25" i="9"/>
  <c r="W29" i="9"/>
  <c r="W41" i="9"/>
  <c r="W46" i="9"/>
  <c r="W51" i="9"/>
  <c r="W97" i="9"/>
  <c r="W103" i="9"/>
  <c r="W110" i="9"/>
  <c r="W115" i="9"/>
  <c r="W129" i="9"/>
  <c r="V542" i="7"/>
  <c r="V490" i="7"/>
  <c r="V462" i="7"/>
  <c r="V440" i="7"/>
  <c r="V516" i="7"/>
  <c r="V488" i="7"/>
  <c r="V438" i="7"/>
  <c r="V388" i="7"/>
  <c r="V80" i="7"/>
  <c r="V65" i="8"/>
  <c r="V667" i="7"/>
  <c r="V235" i="7"/>
  <c r="V151" i="7"/>
  <c r="V481" i="7"/>
  <c r="V511" i="7"/>
  <c r="V236" i="7"/>
  <c r="V141" i="7"/>
  <c r="W42" i="9"/>
  <c r="W38" i="9"/>
  <c r="W61" i="9"/>
  <c r="W106" i="9"/>
  <c r="W62" i="9"/>
  <c r="W27" i="9"/>
  <c r="W50" i="9"/>
  <c r="W119" i="9"/>
  <c r="V566" i="7"/>
  <c r="V474" i="7"/>
  <c r="W4" i="9"/>
  <c r="W24" i="9"/>
  <c r="W70" i="9"/>
  <c r="W134" i="9"/>
  <c r="V444" i="7"/>
  <c r="V394" i="7"/>
  <c r="V520" i="7"/>
  <c r="W7" i="9"/>
  <c r="W13" i="9"/>
  <c r="W21" i="9"/>
  <c r="W33" i="9"/>
  <c r="W37" i="9"/>
  <c r="W59" i="9"/>
  <c r="W71" i="9"/>
  <c r="W78" i="9"/>
  <c r="W98" i="9"/>
  <c r="W123" i="9"/>
  <c r="W135" i="9"/>
  <c r="V538" i="7"/>
  <c r="V460" i="7"/>
  <c r="V410" i="7"/>
  <c r="V590" i="7"/>
  <c r="V508" i="7"/>
  <c r="V436" i="7"/>
  <c r="V408" i="7"/>
  <c r="V78" i="8"/>
  <c r="V64" i="8"/>
  <c r="V666" i="7"/>
  <c r="V652" i="7"/>
  <c r="V217" i="7"/>
  <c r="V560" i="7"/>
  <c r="V461" i="7"/>
  <c r="V218" i="7"/>
  <c r="V389" i="7"/>
  <c r="V154" i="7"/>
  <c r="V365" i="7"/>
  <c r="V363" i="7"/>
  <c r="V347" i="7"/>
  <c r="V48" i="7"/>
  <c r="V288" i="7"/>
  <c r="V280" i="7"/>
  <c r="V13" i="7"/>
  <c r="V86" i="6"/>
  <c r="V67" i="7"/>
  <c r="V317" i="7"/>
  <c r="V297" i="7"/>
  <c r="V287" i="7"/>
  <c r="V61" i="7"/>
  <c r="V606" i="7"/>
  <c r="V101" i="7"/>
  <c r="V47" i="7"/>
  <c r="V322" i="7"/>
  <c r="V618" i="7"/>
  <c r="V447" i="7"/>
  <c r="V350" i="7"/>
  <c r="V621" i="7"/>
  <c r="V707" i="7"/>
  <c r="V407" i="7"/>
  <c r="V651" i="7"/>
  <c r="V585" i="7"/>
  <c r="V253" i="7"/>
  <c r="V233" i="7"/>
  <c r="V213" i="7"/>
  <c r="V189" i="7"/>
  <c r="V169" i="7"/>
  <c r="V568" i="7"/>
  <c r="V489" i="7"/>
  <c r="V445" i="7"/>
  <c r="V587" i="7"/>
  <c r="V234" i="7"/>
  <c r="V214" i="7"/>
  <c r="V190" i="7"/>
  <c r="V170" i="7"/>
  <c r="V150" i="7"/>
  <c r="V134" i="7"/>
  <c r="V102" i="7"/>
  <c r="V77" i="7"/>
  <c r="V647" i="7"/>
  <c r="V46" i="7"/>
  <c r="V626" i="7"/>
  <c r="V27" i="7"/>
  <c r="V254" i="7"/>
  <c r="V411" i="7"/>
  <c r="V276" i="7"/>
  <c r="V375" i="7"/>
  <c r="V110" i="7"/>
  <c r="V577" i="7"/>
  <c r="V251" i="7"/>
  <c r="V231" i="7"/>
  <c r="V209" i="7"/>
  <c r="V187" i="7"/>
  <c r="V167" i="7"/>
  <c r="V540" i="7"/>
  <c r="V507" i="7"/>
  <c r="V485" i="7"/>
  <c r="V443" i="7"/>
  <c r="V579" i="7"/>
  <c r="V252" i="7"/>
  <c r="V232" i="7"/>
  <c r="V210" i="7"/>
  <c r="V188" i="7"/>
  <c r="V168" i="7"/>
  <c r="V146" i="7"/>
  <c r="V383" i="7"/>
  <c r="V663" i="7"/>
  <c r="V379" i="7"/>
  <c r="V72" i="7"/>
  <c r="V55" i="7"/>
  <c r="V45" i="7"/>
  <c r="V35" i="7"/>
  <c r="V311" i="7"/>
  <c r="V680" i="7"/>
  <c r="V123" i="7"/>
  <c r="V391" i="7"/>
  <c r="V649" i="7"/>
  <c r="V569" i="7"/>
  <c r="V249" i="7"/>
  <c r="V229" i="7"/>
  <c r="V205" i="7"/>
  <c r="V185" i="7"/>
  <c r="V165" i="7"/>
  <c r="V537" i="7"/>
  <c r="V493" i="7"/>
  <c r="V473" i="7"/>
  <c r="V571" i="7"/>
  <c r="V250" i="7"/>
  <c r="V230" i="7"/>
  <c r="V206" i="7"/>
  <c r="V186" i="7"/>
  <c r="V166" i="7"/>
  <c r="V142" i="7"/>
  <c r="V127" i="7"/>
  <c r="V95" i="7"/>
  <c r="V610" i="7"/>
  <c r="V688" i="7"/>
  <c r="V124" i="7"/>
  <c r="V92" i="7"/>
  <c r="V658" i="7"/>
  <c r="V54" i="7"/>
  <c r="V44" i="7"/>
  <c r="V318" i="7"/>
  <c r="V272" i="7"/>
  <c r="V3" i="7"/>
  <c r="V385" i="7"/>
  <c r="W44" i="9"/>
  <c r="W48" i="9"/>
  <c r="W60" i="9"/>
  <c r="W64" i="9"/>
  <c r="W80" i="9"/>
  <c r="W84" i="9"/>
  <c r="W96" i="9"/>
  <c r="W100" i="9"/>
  <c r="W104" i="9"/>
  <c r="W108" i="9"/>
  <c r="W112" i="9"/>
  <c r="W116" i="9"/>
  <c r="W120" i="9"/>
  <c r="W128" i="9"/>
  <c r="V558" i="7"/>
  <c r="V500" i="7"/>
  <c r="V468" i="7"/>
  <c r="V420" i="7"/>
  <c r="V554" i="7"/>
  <c r="V76" i="8"/>
  <c r="V68" i="8"/>
  <c r="V60" i="8"/>
  <c r="V673" i="7"/>
  <c r="V664" i="7"/>
  <c r="V648" i="7"/>
  <c r="V247" i="7"/>
  <c r="V225" i="7"/>
  <c r="V203" i="7"/>
  <c r="V183" i="7"/>
  <c r="V161" i="7"/>
  <c r="V592" i="7"/>
  <c r="V548" i="7"/>
  <c r="V523" i="7"/>
  <c r="V501" i="7"/>
  <c r="V479" i="7"/>
  <c r="V459" i="7"/>
  <c r="V437" i="7"/>
  <c r="V567" i="7"/>
  <c r="V248" i="7"/>
  <c r="V226" i="7"/>
  <c r="V204" i="7"/>
  <c r="V184" i="7"/>
  <c r="V162" i="7"/>
  <c r="V140" i="7"/>
  <c r="V678" i="7"/>
  <c r="V69" i="7"/>
  <c r="V405" i="7"/>
  <c r="V371" i="7"/>
  <c r="V53" i="7"/>
  <c r="V42" i="7"/>
  <c r="V696" i="7"/>
  <c r="V133" i="6"/>
  <c r="V98" i="7"/>
  <c r="V645" i="7"/>
  <c r="W52" i="9"/>
  <c r="W56" i="9"/>
  <c r="W68" i="9"/>
  <c r="W72" i="9"/>
  <c r="W76" i="9"/>
  <c r="W88" i="9"/>
  <c r="W92" i="9"/>
  <c r="W124" i="9"/>
  <c r="W132" i="9"/>
  <c r="V586" i="7"/>
  <c r="V530" i="7"/>
  <c r="V514" i="7"/>
  <c r="V498" i="7"/>
  <c r="V482" i="7"/>
  <c r="V466" i="7"/>
  <c r="V450" i="7"/>
  <c r="V434" i="7"/>
  <c r="V418" i="7"/>
  <c r="V402" i="7"/>
  <c r="V386" i="7"/>
  <c r="V676" i="7"/>
  <c r="V582" i="7"/>
  <c r="V496" i="7"/>
  <c r="V480" i="7"/>
  <c r="V448" i="7"/>
  <c r="V432" i="7"/>
  <c r="V416" i="7"/>
  <c r="V370" i="7"/>
  <c r="V75" i="8"/>
  <c r="V67" i="8"/>
  <c r="V59" i="8"/>
  <c r="V541" i="7"/>
  <c r="V245" i="7"/>
  <c r="V221" i="7"/>
  <c r="V201" i="7"/>
  <c r="V181" i="7"/>
  <c r="V157" i="7"/>
  <c r="V509" i="7"/>
  <c r="V584" i="7"/>
  <c r="V544" i="7"/>
  <c r="V521" i="7"/>
  <c r="V497" i="7"/>
  <c r="V477" i="7"/>
  <c r="V457" i="7"/>
  <c r="V591" i="7"/>
  <c r="V246" i="7"/>
  <c r="V222" i="7"/>
  <c r="V202" i="7"/>
  <c r="V182" i="7"/>
  <c r="V158" i="7"/>
  <c r="V138" i="7"/>
  <c r="V674" i="7"/>
  <c r="V352" i="7"/>
  <c r="V622" i="7"/>
  <c r="V602" i="7"/>
  <c r="V117" i="7"/>
  <c r="V52" i="7"/>
  <c r="V40" i="7"/>
  <c r="V31" i="8"/>
  <c r="V692" i="7"/>
  <c r="V105" i="6"/>
  <c r="V50" i="8"/>
  <c r="W49" i="9"/>
  <c r="W53" i="9"/>
  <c r="W57" i="9"/>
  <c r="W65" i="9"/>
  <c r="W69" i="9"/>
  <c r="W73" i="9"/>
  <c r="W77" i="9"/>
  <c r="W81" i="9"/>
  <c r="W85" i="9"/>
  <c r="W89" i="9"/>
  <c r="W101" i="9"/>
  <c r="W117" i="9"/>
  <c r="W125" i="9"/>
  <c r="W133" i="9"/>
  <c r="V550" i="7"/>
  <c r="V528" i="7"/>
  <c r="V512" i="7"/>
  <c r="V464" i="7"/>
  <c r="V400" i="7"/>
  <c r="V384" i="7"/>
  <c r="V510" i="7"/>
  <c r="V494" i="7"/>
  <c r="V478" i="7"/>
  <c r="V446" i="7"/>
  <c r="V430" i="7"/>
  <c r="V414" i="7"/>
  <c r="V398" i="7"/>
  <c r="V382" i="7"/>
  <c r="V84" i="7"/>
  <c r="V74" i="8"/>
  <c r="V66" i="8"/>
  <c r="V58" i="8"/>
  <c r="V662" i="7"/>
  <c r="V654" i="7"/>
  <c r="V646" i="7"/>
  <c r="V557" i="7"/>
  <c r="V241" i="7"/>
  <c r="V219" i="7"/>
  <c r="V199" i="7"/>
  <c r="V177" i="7"/>
  <c r="V155" i="7"/>
  <c r="V529" i="7"/>
  <c r="V465" i="7"/>
  <c r="V517" i="7"/>
  <c r="V495" i="7"/>
  <c r="V475" i="7"/>
  <c r="V453" i="7"/>
  <c r="V559" i="7"/>
  <c r="V242" i="7"/>
  <c r="V220" i="7"/>
  <c r="V200" i="7"/>
  <c r="V178" i="7"/>
  <c r="V156" i="7"/>
  <c r="V136" i="7"/>
  <c r="V399" i="7"/>
  <c r="V367" i="7"/>
  <c r="V655" i="7"/>
  <c r="V149" i="7"/>
  <c r="V64" i="7"/>
  <c r="V50" i="7"/>
  <c r="V39" i="7"/>
  <c r="V31" i="7"/>
  <c r="V17" i="7"/>
  <c r="V101" i="6"/>
  <c r="V301" i="7"/>
  <c r="V46" i="8"/>
  <c r="V109" i="7"/>
  <c r="V364" i="7"/>
  <c r="V57" i="7"/>
  <c r="V76" i="7"/>
  <c r="V343" i="7"/>
  <c r="V427" i="7"/>
  <c r="V657" i="7"/>
  <c r="V83" i="7"/>
  <c r="V344" i="7"/>
  <c r="V332" i="7"/>
  <c r="V319" i="7"/>
  <c r="V625" i="7"/>
  <c r="V293" i="7"/>
  <c r="V222" i="6"/>
  <c r="V6" i="6"/>
  <c r="V19" i="6"/>
  <c r="V132" i="6"/>
  <c r="V82" i="6"/>
  <c r="V54" i="6"/>
  <c r="V359" i="7"/>
  <c r="V56" i="8"/>
  <c r="V632" i="7"/>
  <c r="V377" i="7"/>
  <c r="V627" i="7"/>
  <c r="V112" i="7"/>
  <c r="V58" i="7"/>
  <c r="V331" i="7"/>
  <c r="V623" i="7"/>
  <c r="V216" i="6"/>
  <c r="V160" i="6"/>
  <c r="V11" i="6"/>
  <c r="V80" i="6"/>
  <c r="V50" i="6"/>
  <c r="V721" i="7"/>
  <c r="V21" i="7"/>
  <c r="V11" i="8"/>
  <c r="V596" i="7"/>
  <c r="V129" i="6"/>
  <c r="V98" i="6"/>
  <c r="V653" i="7"/>
  <c r="V120" i="7"/>
  <c r="V62" i="7"/>
  <c r="V45" i="8"/>
  <c r="V103" i="7"/>
  <c r="V356" i="7"/>
  <c r="V644" i="7"/>
  <c r="V642" i="7"/>
  <c r="V631" i="7"/>
  <c r="V409" i="7"/>
  <c r="V90" i="7"/>
  <c r="V349" i="7"/>
  <c r="V393" i="7"/>
  <c r="V341" i="7"/>
  <c r="V327" i="7"/>
  <c r="V32" i="8"/>
  <c r="V617" i="7"/>
  <c r="V267" i="7"/>
  <c r="V139" i="6"/>
  <c r="V274" i="7"/>
  <c r="V72" i="6"/>
  <c r="V40" i="6"/>
  <c r="V25" i="7"/>
  <c r="V15" i="8"/>
  <c r="V296" i="7"/>
  <c r="V292" i="7"/>
  <c r="V125" i="6"/>
  <c r="V96" i="6"/>
  <c r="V429" i="7"/>
  <c r="V91" i="7"/>
  <c r="V75" i="7"/>
  <c r="V321" i="7"/>
  <c r="V309" i="7"/>
  <c r="V240" i="6"/>
  <c r="V401" i="7"/>
  <c r="V78" i="7"/>
  <c r="V345" i="7"/>
  <c r="V44" i="8"/>
  <c r="V135" i="7"/>
  <c r="V659" i="7"/>
  <c r="V93" i="7"/>
  <c r="V122" i="7"/>
  <c r="V670" i="7"/>
  <c r="V63" i="7"/>
  <c r="V105" i="7"/>
  <c r="V326" i="7"/>
  <c r="V32" i="7"/>
  <c r="V616" i="7"/>
  <c r="V134" i="6"/>
  <c r="V613" i="7"/>
  <c r="V114" i="6"/>
  <c r="V70" i="6"/>
  <c r="V38" i="6"/>
  <c r="V19" i="8"/>
  <c r="V300" i="7"/>
  <c r="V706" i="7"/>
  <c r="V258" i="7"/>
  <c r="V121" i="6"/>
  <c r="V94" i="6"/>
  <c r="V425" i="7"/>
  <c r="V114" i="7"/>
  <c r="V373" i="7"/>
  <c r="V358" i="7"/>
  <c r="V279" i="7"/>
  <c r="V113" i="7"/>
  <c r="V361" i="7"/>
  <c r="V54" i="8"/>
  <c r="V43" i="8"/>
  <c r="V381" i="7"/>
  <c r="V640" i="7"/>
  <c r="V37" i="7"/>
  <c r="V403" i="7"/>
  <c r="V79" i="7"/>
  <c r="V660" i="7"/>
  <c r="V28" i="8"/>
  <c r="V310" i="7"/>
  <c r="V687" i="7"/>
  <c r="V127" i="6"/>
  <c r="V612" i="7"/>
  <c r="V6" i="8"/>
  <c r="V107" i="6"/>
  <c r="V68" i="6"/>
  <c r="V34" i="6"/>
  <c r="V581" i="7"/>
  <c r="V549" i="7"/>
  <c r="V243" i="7"/>
  <c r="V227" i="7"/>
  <c r="V211" i="7"/>
  <c r="V195" i="7"/>
  <c r="V179" i="7"/>
  <c r="V163" i="7"/>
  <c r="V588" i="7"/>
  <c r="V564" i="7"/>
  <c r="V535" i="7"/>
  <c r="V519" i="7"/>
  <c r="V503" i="7"/>
  <c r="V487" i="7"/>
  <c r="V471" i="7"/>
  <c r="V455" i="7"/>
  <c r="V439" i="7"/>
  <c r="V539" i="7"/>
  <c r="V551" i="7"/>
  <c r="V244" i="7"/>
  <c r="V228" i="7"/>
  <c r="V212" i="7"/>
  <c r="V196" i="7"/>
  <c r="V180" i="7"/>
  <c r="V164" i="7"/>
  <c r="V148" i="7"/>
  <c r="V145" i="7"/>
  <c r="V118" i="7"/>
  <c r="V360" i="7"/>
  <c r="V614" i="7"/>
  <c r="V650" i="7"/>
  <c r="V51" i="7"/>
  <c r="V43" i="7"/>
  <c r="V35" i="8"/>
  <c r="V314" i="7"/>
  <c r="V23" i="8"/>
  <c r="V304" i="7"/>
  <c r="V710" i="7"/>
  <c r="V260" i="7"/>
  <c r="V704" i="7"/>
  <c r="V117" i="6"/>
  <c r="V92" i="6"/>
  <c r="V421" i="7"/>
  <c r="V395" i="7"/>
  <c r="V661" i="7"/>
  <c r="V59" i="7"/>
  <c r="V433" i="7"/>
  <c r="V53" i="8"/>
  <c r="V42" i="8"/>
  <c r="V675" i="7"/>
  <c r="V638" i="7"/>
  <c r="V132" i="7"/>
  <c r="V639" i="7"/>
  <c r="V286" i="7"/>
  <c r="V115" i="7"/>
  <c r="V362" i="7"/>
  <c r="V340" i="7"/>
  <c r="V335" i="7"/>
  <c r="V324" i="7"/>
  <c r="V28" i="7"/>
  <c r="V686" i="7"/>
  <c r="V102" i="6"/>
  <c r="V175" i="6"/>
  <c r="V611" i="7"/>
  <c r="V594" i="7"/>
  <c r="V245" i="6"/>
  <c r="V66" i="6"/>
  <c r="V25" i="6"/>
  <c r="V308" i="7"/>
  <c r="V714" i="7"/>
  <c r="V264" i="7"/>
  <c r="V5" i="8"/>
  <c r="V294" i="7"/>
  <c r="V113" i="6"/>
  <c r="V90" i="6"/>
  <c r="V107" i="7"/>
  <c r="V369" i="7"/>
  <c r="V342" i="7"/>
  <c r="V603" i="7"/>
  <c r="V97" i="7"/>
  <c r="V52" i="8"/>
  <c r="V38" i="8"/>
  <c r="V126" i="7"/>
  <c r="V65" i="7"/>
  <c r="V346" i="7"/>
  <c r="V387" i="7"/>
  <c r="V339" i="7"/>
  <c r="V415" i="7"/>
  <c r="V334" i="7"/>
  <c r="V323" i="7"/>
  <c r="V277" i="7"/>
  <c r="V716" i="7"/>
  <c r="V685" i="7"/>
  <c r="V97" i="6"/>
  <c r="V150" i="6"/>
  <c r="V159" i="6"/>
  <c r="V152" i="6"/>
  <c r="V17" i="8"/>
  <c r="V701" i="7"/>
  <c r="V87" i="6"/>
  <c r="V64" i="6"/>
  <c r="V146" i="6"/>
  <c r="V573" i="7"/>
  <c r="V239" i="7"/>
  <c r="V223" i="7"/>
  <c r="V207" i="7"/>
  <c r="V191" i="7"/>
  <c r="V175" i="7"/>
  <c r="V159" i="7"/>
  <c r="V580" i="7"/>
  <c r="V527" i="7"/>
  <c r="V463" i="7"/>
  <c r="V556" i="7"/>
  <c r="V531" i="7"/>
  <c r="V515" i="7"/>
  <c r="V499" i="7"/>
  <c r="V483" i="7"/>
  <c r="V467" i="7"/>
  <c r="V451" i="7"/>
  <c r="V435" i="7"/>
  <c r="V563" i="7"/>
  <c r="V575" i="7"/>
  <c r="V543" i="7"/>
  <c r="V240" i="7"/>
  <c r="V224" i="7"/>
  <c r="V208" i="7"/>
  <c r="V192" i="7"/>
  <c r="V176" i="7"/>
  <c r="V160" i="7"/>
  <c r="V144" i="7"/>
  <c r="V137" i="7"/>
  <c r="V111" i="7"/>
  <c r="V87" i="7"/>
  <c r="V133" i="7"/>
  <c r="V108" i="7"/>
  <c r="V355" i="7"/>
  <c r="V49" i="7"/>
  <c r="V41" i="7"/>
  <c r="V284" i="7"/>
  <c r="V27" i="8"/>
  <c r="V718" i="7"/>
  <c r="V268" i="7"/>
  <c r="V700" i="7"/>
  <c r="V8" i="7"/>
  <c r="V109" i="6"/>
  <c r="V88" i="6"/>
  <c r="V130" i="7"/>
  <c r="V82" i="7"/>
  <c r="V56" i="7"/>
  <c r="V3" i="8"/>
  <c r="V656" i="7"/>
  <c r="V51" i="8"/>
  <c r="V38" i="7"/>
  <c r="V671" i="7"/>
  <c r="V116" i="7"/>
  <c r="V368" i="7"/>
  <c r="V60" i="7"/>
  <c r="V431" i="7"/>
  <c r="V99" i="7"/>
  <c r="V128" i="7"/>
  <c r="V66" i="7"/>
  <c r="V285" i="7"/>
  <c r="V715" i="7"/>
  <c r="V248" i="6"/>
  <c r="V138" i="6"/>
  <c r="V156" i="6"/>
  <c r="V282" i="7"/>
  <c r="V16" i="8"/>
  <c r="V84" i="6"/>
  <c r="V56" i="6"/>
  <c r="V190" i="6"/>
  <c r="V29" i="7"/>
  <c r="V695" i="7"/>
  <c r="V263" i="7"/>
  <c r="V598" i="7"/>
  <c r="V200" i="6"/>
  <c r="V10" i="6"/>
  <c r="V176" i="6"/>
  <c r="V172" i="6"/>
  <c r="V124" i="6"/>
  <c r="V188" i="6"/>
  <c r="V22" i="7"/>
  <c r="V14" i="8"/>
  <c r="V111" i="6"/>
  <c r="V269" i="7"/>
  <c r="V12" i="7"/>
  <c r="V95" i="6"/>
  <c r="V75" i="6"/>
  <c r="V59" i="6"/>
  <c r="V43" i="6"/>
  <c r="V699" i="7"/>
  <c r="V302" i="7"/>
  <c r="V128" i="6"/>
  <c r="V225" i="6"/>
  <c r="V209" i="6"/>
  <c r="V703" i="7"/>
  <c r="V233" i="6"/>
  <c r="V217" i="6"/>
  <c r="V185" i="6"/>
  <c r="V173" i="6"/>
  <c r="V5" i="6"/>
  <c r="V178" i="6"/>
  <c r="V13" i="6"/>
  <c r="V236" i="6"/>
  <c r="V182" i="6"/>
  <c r="V37" i="6"/>
  <c r="V312" i="7"/>
  <c r="V694" i="7"/>
  <c r="V259" i="7"/>
  <c r="V214" i="6"/>
  <c r="V198" i="6"/>
  <c r="V171" i="6"/>
  <c r="V162" i="6"/>
  <c r="V711" i="7"/>
  <c r="V289" i="7"/>
  <c r="V31" i="6"/>
  <c r="V30" i="7"/>
  <c r="V13" i="8"/>
  <c r="V104" i="6"/>
  <c r="V25" i="8"/>
  <c r="V11" i="7"/>
  <c r="V246" i="6"/>
  <c r="V73" i="6"/>
  <c r="V57" i="6"/>
  <c r="V39" i="6"/>
  <c r="V624" i="7"/>
  <c r="V9" i="8"/>
  <c r="V85" i="6"/>
  <c r="V207" i="6"/>
  <c r="V20" i="7"/>
  <c r="V684" i="7"/>
  <c r="V231" i="6"/>
  <c r="V183" i="6"/>
  <c r="V52" i="6"/>
  <c r="V36" i="6"/>
  <c r="V154" i="6"/>
  <c r="V166" i="6"/>
  <c r="V230" i="6"/>
  <c r="V155" i="6"/>
  <c r="V157" i="6"/>
  <c r="V163" i="6"/>
  <c r="V693" i="7"/>
  <c r="V93" i="6"/>
  <c r="V192" i="6"/>
  <c r="V144" i="6"/>
  <c r="V307" i="7"/>
  <c r="V256" i="7"/>
  <c r="V15" i="6"/>
  <c r="V313" i="7"/>
  <c r="V12" i="8"/>
  <c r="V683" i="7"/>
  <c r="V10" i="7"/>
  <c r="V130" i="6"/>
  <c r="V243" i="6"/>
  <c r="V71" i="6"/>
  <c r="V55" i="6"/>
  <c r="V33" i="6"/>
  <c r="V33" i="7"/>
  <c r="V22" i="8"/>
  <c r="V290" i="7"/>
  <c r="V221" i="6"/>
  <c r="V19" i="7"/>
  <c r="V4" i="7"/>
  <c r="V249" i="6"/>
  <c r="V229" i="6"/>
  <c r="V213" i="6"/>
  <c r="V181" i="6"/>
  <c r="V16" i="6"/>
  <c r="V21" i="6"/>
  <c r="V224" i="6"/>
  <c r="V151" i="6"/>
  <c r="V630" i="7"/>
  <c r="V275" i="7"/>
  <c r="V600" i="7"/>
  <c r="V244" i="6"/>
  <c r="V210" i="6"/>
  <c r="V179" i="6"/>
  <c r="V250" i="6"/>
  <c r="V186" i="6"/>
  <c r="V306" i="7"/>
  <c r="V597" i="7"/>
  <c r="V106" i="6"/>
  <c r="V26" i="8"/>
  <c r="V9" i="7"/>
  <c r="V719" i="7"/>
  <c r="V123" i="6"/>
  <c r="V69" i="6"/>
  <c r="V53" i="6"/>
  <c r="V23" i="6"/>
  <c r="V316" i="7"/>
  <c r="V21" i="8"/>
  <c r="V681" i="7"/>
  <c r="V110" i="6"/>
  <c r="V235" i="6"/>
  <c r="V219" i="6"/>
  <c r="V203" i="6"/>
  <c r="V18" i="7"/>
  <c r="V10" i="8"/>
  <c r="V91" i="6"/>
  <c r="V158" i="6"/>
  <c r="V169" i="6"/>
  <c r="V48" i="6"/>
  <c r="V32" i="6"/>
  <c r="V9" i="6"/>
  <c r="V147" i="6"/>
  <c r="V148" i="6"/>
  <c r="V320" i="7"/>
  <c r="V712" i="7"/>
  <c r="V4" i="8"/>
  <c r="V126" i="6"/>
  <c r="V241" i="6"/>
  <c r="V167" i="6"/>
  <c r="V232" i="6"/>
  <c r="V180" i="6"/>
  <c r="V305" i="7"/>
  <c r="V99" i="6"/>
  <c r="V608" i="7"/>
  <c r="V247" i="6"/>
  <c r="V690" i="7"/>
  <c r="V116" i="6"/>
  <c r="V83" i="6"/>
  <c r="V67" i="6"/>
  <c r="V51" i="6"/>
  <c r="V168" i="6"/>
  <c r="V29" i="8"/>
  <c r="V20" i="8"/>
  <c r="V709" i="7"/>
  <c r="V103" i="6"/>
  <c r="V201" i="6"/>
  <c r="V7" i="8"/>
  <c r="V193" i="6"/>
  <c r="V24" i="6"/>
  <c r="V145" i="6"/>
  <c r="V136" i="6"/>
  <c r="V86" i="7"/>
  <c r="V49" i="8"/>
  <c r="V41" i="8"/>
  <c r="V147" i="7"/>
  <c r="V119" i="7"/>
  <c r="V94" i="7"/>
  <c r="V348" i="7"/>
  <c r="V634" i="7"/>
  <c r="V413" i="7"/>
  <c r="V81" i="7"/>
  <c r="V68" i="7"/>
  <c r="V637" i="7"/>
  <c r="V629" i="7"/>
  <c r="V423" i="7"/>
  <c r="V372" i="7"/>
  <c r="V357" i="7"/>
  <c r="V121" i="7"/>
  <c r="V96" i="7"/>
  <c r="V338" i="7"/>
  <c r="V330" i="7"/>
  <c r="V281" i="7"/>
  <c r="V34" i="7"/>
  <c r="V120" i="6"/>
  <c r="V239" i="6"/>
  <c r="V194" i="6"/>
  <c r="V298" i="7"/>
  <c r="V100" i="6"/>
  <c r="V78" i="6"/>
  <c r="V62" i="6"/>
  <c r="V46" i="6"/>
  <c r="V30" i="6"/>
  <c r="V7" i="6"/>
  <c r="V212" i="6"/>
  <c r="V143" i="6"/>
  <c r="V4" i="6"/>
  <c r="V33" i="8"/>
  <c r="V273" i="7"/>
  <c r="V16" i="7"/>
  <c r="V119" i="6"/>
  <c r="V206" i="6"/>
  <c r="V220" i="6"/>
  <c r="V22" i="6"/>
  <c r="V35" i="6"/>
  <c r="V609" i="7"/>
  <c r="V262" i="7"/>
  <c r="V720" i="7"/>
  <c r="V607" i="7"/>
  <c r="V295" i="7"/>
  <c r="V89" i="6"/>
  <c r="V3" i="6"/>
  <c r="V689" i="7"/>
  <c r="V291" i="7"/>
  <c r="V81" i="6"/>
  <c r="V65" i="6"/>
  <c r="V49" i="6"/>
  <c r="V278" i="7"/>
  <c r="V708" i="7"/>
  <c r="V252" i="6"/>
  <c r="V215" i="6"/>
  <c r="V199" i="6"/>
  <c r="V698" i="7"/>
  <c r="V266" i="7"/>
  <c r="V679" i="7"/>
  <c r="V122" i="6"/>
  <c r="V223" i="6"/>
  <c r="V191" i="6"/>
  <c r="V177" i="6"/>
  <c r="V12" i="6"/>
  <c r="V417" i="7"/>
  <c r="V70" i="7"/>
  <c r="V48" i="8"/>
  <c r="V40" i="8"/>
  <c r="V143" i="7"/>
  <c r="V641" i="7"/>
  <c r="V633" i="7"/>
  <c r="V125" i="7"/>
  <c r="V100" i="7"/>
  <c r="V351" i="7"/>
  <c r="V636" i="7"/>
  <c r="V628" i="7"/>
  <c r="V419" i="7"/>
  <c r="V85" i="7"/>
  <c r="V71" i="7"/>
  <c r="V337" i="7"/>
  <c r="V329" i="7"/>
  <c r="V36" i="8"/>
  <c r="V315" i="7"/>
  <c r="V265" i="7"/>
  <c r="V595" i="7"/>
  <c r="V142" i="6"/>
  <c r="V184" i="6"/>
  <c r="V599" i="7"/>
  <c r="V251" i="6"/>
  <c r="V76" i="6"/>
  <c r="V60" i="6"/>
  <c r="V44" i="6"/>
  <c r="V28" i="6"/>
  <c r="V17" i="6"/>
  <c r="V140" i="6"/>
  <c r="V204" i="6"/>
  <c r="V8" i="6"/>
  <c r="V137" i="6"/>
  <c r="V15" i="7"/>
  <c r="V112" i="6"/>
  <c r="V18" i="6"/>
  <c r="V27" i="6"/>
  <c r="V26" i="7"/>
  <c r="V261" i="7"/>
  <c r="V5" i="7"/>
  <c r="V238" i="6"/>
  <c r="V34" i="8"/>
  <c r="V24" i="7"/>
  <c r="V691" i="7"/>
  <c r="V8" i="8"/>
  <c r="V29" i="6"/>
  <c r="V271" i="7"/>
  <c r="V682" i="7"/>
  <c r="V79" i="6"/>
  <c r="V63" i="6"/>
  <c r="V47" i="6"/>
  <c r="V149" i="6"/>
  <c r="V722" i="7"/>
  <c r="V7" i="7"/>
  <c r="V197" i="6"/>
  <c r="V697" i="7"/>
  <c r="V605" i="7"/>
  <c r="V115" i="6"/>
  <c r="V237" i="6"/>
  <c r="V205" i="6"/>
  <c r="V189" i="6"/>
  <c r="V153" i="6"/>
  <c r="V165" i="6"/>
  <c r="V242" i="6"/>
  <c r="V129" i="7"/>
  <c r="V104" i="7"/>
  <c r="V353" i="7"/>
  <c r="V55" i="8"/>
  <c r="V47" i="8"/>
  <c r="V39" i="8"/>
  <c r="V139" i="7"/>
  <c r="V397" i="7"/>
  <c r="V73" i="7"/>
  <c r="V441" i="7"/>
  <c r="V643" i="7"/>
  <c r="V635" i="7"/>
  <c r="V37" i="8"/>
  <c r="V131" i="7"/>
  <c r="V106" i="7"/>
  <c r="V354" i="7"/>
  <c r="V333" i="7"/>
  <c r="V325" i="7"/>
  <c r="V89" i="7"/>
  <c r="V74" i="7"/>
  <c r="V336" i="7"/>
  <c r="V328" i="7"/>
  <c r="V36" i="7"/>
  <c r="V619" i="7"/>
  <c r="V30" i="8"/>
  <c r="V717" i="7"/>
  <c r="V299" i="7"/>
  <c r="V702" i="7"/>
  <c r="V174" i="6"/>
  <c r="V228" i="6"/>
  <c r="V41" i="6"/>
  <c r="V18" i="8"/>
  <c r="V601" i="7"/>
  <c r="V6" i="7"/>
  <c r="V74" i="6"/>
  <c r="V58" i="6"/>
  <c r="V42" i="6"/>
  <c r="V26" i="6"/>
  <c r="V170" i="6"/>
  <c r="V196" i="6"/>
  <c r="V187" i="6"/>
  <c r="V620" i="7"/>
  <c r="V14" i="7"/>
  <c r="V257" i="7"/>
  <c r="V234" i="6"/>
  <c r="V218" i="6"/>
  <c r="V202" i="6"/>
  <c r="V208" i="6"/>
  <c r="V14" i="6"/>
  <c r="V24" i="8"/>
  <c r="V713" i="7"/>
  <c r="V131" i="6"/>
  <c r="V226" i="6"/>
  <c r="V283" i="7"/>
  <c r="V23" i="7"/>
  <c r="V255" i="7"/>
  <c r="V118" i="6"/>
  <c r="V164" i="6"/>
  <c r="V270" i="7"/>
  <c r="V705" i="7"/>
  <c r="V253" i="6"/>
  <c r="V77" i="6"/>
  <c r="V61" i="6"/>
  <c r="V45" i="6"/>
  <c r="V161" i="6"/>
  <c r="V615" i="7"/>
  <c r="V303" i="7"/>
  <c r="V135" i="6"/>
  <c r="V227" i="6"/>
  <c r="V211" i="6"/>
  <c r="V195" i="6"/>
  <c r="V604" i="7"/>
  <c r="V108" i="6"/>
  <c r="V20" i="6"/>
  <c r="V141" i="6"/>
  <c r="M14" i="9"/>
  <c r="Y553" i="7"/>
  <c r="Y47" i="7"/>
  <c r="Y214" i="7"/>
  <c r="Y646" i="7"/>
  <c r="Y458" i="7"/>
  <c r="Y428" i="7"/>
  <c r="Y565" i="7"/>
  <c r="Y491" i="7"/>
  <c r="Y378" i="7"/>
  <c r="Y454" i="7"/>
  <c r="Y561" i="7"/>
  <c r="Y525" i="7"/>
  <c r="Y376" i="7"/>
  <c r="Y374" i="7"/>
  <c r="Y572" i="7"/>
  <c r="Y472" i="7"/>
  <c r="Y555" i="7"/>
  <c r="Y470" i="7"/>
  <c r="Y669" i="7"/>
  <c r="Y547" i="7"/>
  <c r="Y442" i="7"/>
  <c r="Y366" i="7"/>
  <c r="Y237" i="7"/>
  <c r="Y238" i="7"/>
  <c r="Y490" i="7"/>
  <c r="Y488" i="7"/>
  <c r="Y65" i="8"/>
  <c r="Y481" i="7"/>
  <c r="Y566" i="7"/>
  <c r="Y520" i="7"/>
  <c r="Y538" i="7"/>
  <c r="Y508" i="7"/>
  <c r="Y64" i="8"/>
  <c r="Y560" i="7"/>
  <c r="Y154" i="7"/>
  <c r="Y48" i="7"/>
  <c r="Y86" i="6"/>
  <c r="Y287" i="7"/>
  <c r="Y350" i="7"/>
  <c r="Y651" i="7"/>
  <c r="Y213" i="7"/>
  <c r="Y489" i="7"/>
  <c r="Y134" i="7"/>
  <c r="Y46" i="7"/>
  <c r="Y411" i="7"/>
  <c r="Y577" i="7"/>
  <c r="Y187" i="7"/>
  <c r="Y485" i="7"/>
  <c r="Y232" i="7"/>
  <c r="Y146" i="7"/>
  <c r="Y72" i="7"/>
  <c r="Y311" i="7"/>
  <c r="Y649" i="7"/>
  <c r="Y205" i="7"/>
  <c r="Y493" i="7"/>
  <c r="Y230" i="7"/>
  <c r="Y142" i="7"/>
  <c r="Y688" i="7"/>
  <c r="Y54" i="7"/>
  <c r="Y3" i="7"/>
  <c r="Y558" i="7"/>
  <c r="Y554" i="7"/>
  <c r="Y673" i="7"/>
  <c r="Y225" i="7"/>
  <c r="Y592" i="7"/>
  <c r="Y479" i="7"/>
  <c r="Y248" i="7"/>
  <c r="Y162" i="7"/>
  <c r="Y405" i="7"/>
  <c r="Y696" i="7"/>
  <c r="Y498" i="7"/>
  <c r="Y434" i="7"/>
  <c r="Y676" i="7"/>
  <c r="Y448" i="7"/>
  <c r="Y75" i="8"/>
  <c r="Y245" i="7"/>
  <c r="Y157" i="7"/>
  <c r="Y521" i="7"/>
  <c r="Y591" i="7"/>
  <c r="Y182" i="7"/>
  <c r="Y352" i="7"/>
  <c r="Y52" i="7"/>
  <c r="Y105" i="6"/>
  <c r="Y550" i="7"/>
  <c r="Y400" i="7"/>
  <c r="Y478" i="7"/>
  <c r="Y398" i="7"/>
  <c r="Y66" i="8"/>
  <c r="Y199" i="7"/>
  <c r="Y522" i="7"/>
  <c r="Y578" i="7"/>
  <c r="Y380" i="7"/>
  <c r="Y406" i="7"/>
  <c r="Y665" i="7"/>
  <c r="Y216" i="7"/>
  <c r="Y570" i="7"/>
  <c r="Y404" i="7"/>
  <c r="Y677" i="7"/>
  <c r="Y576" i="7"/>
  <c r="Y526" i="7"/>
  <c r="Y452" i="7"/>
  <c r="Y72" i="8"/>
  <c r="Y469" i="7"/>
  <c r="Y574" i="7"/>
  <c r="Y524" i="7"/>
  <c r="Y88" i="7"/>
  <c r="Y173" i="7"/>
  <c r="Y174" i="7"/>
  <c r="Y534" i="7"/>
  <c r="Y392" i="7"/>
  <c r="Y545" i="7"/>
  <c r="Y172" i="7"/>
  <c r="Y518" i="7"/>
  <c r="Y69" i="8"/>
  <c r="Y153" i="7"/>
  <c r="Y152" i="7"/>
  <c r="Y462" i="7"/>
  <c r="Y438" i="7"/>
  <c r="Y198" i="7"/>
  <c r="Y408" i="7"/>
  <c r="Y536" i="7"/>
  <c r="Y484" i="7"/>
  <c r="Y77" i="8"/>
  <c r="Y215" i="7"/>
  <c r="Y532" i="7"/>
  <c r="Y73" i="8"/>
  <c r="Y593" i="7"/>
  <c r="Y476" i="7"/>
  <c r="Y424" i="7"/>
  <c r="Y61" i="8"/>
  <c r="Y194" i="7"/>
  <c r="Y502" i="7"/>
  <c r="Y71" i="8"/>
  <c r="Y505" i="7"/>
  <c r="Y672" i="7"/>
  <c r="Y171" i="7"/>
  <c r="Y492" i="7"/>
  <c r="Y412" i="7"/>
  <c r="Y589" i="7"/>
  <c r="Y513" i="7"/>
  <c r="Y422" i="7"/>
  <c r="Y440" i="7"/>
  <c r="Y388" i="7"/>
  <c r="Y235" i="7"/>
  <c r="Y236" i="7"/>
  <c r="Y444" i="7"/>
  <c r="Y410" i="7"/>
  <c r="Y652" i="7"/>
  <c r="Y218" i="7"/>
  <c r="Y363" i="7"/>
  <c r="Y280" i="7"/>
  <c r="Y317" i="7"/>
  <c r="Y606" i="7"/>
  <c r="Y618" i="7"/>
  <c r="Y707" i="7"/>
  <c r="Y253" i="7"/>
  <c r="Y169" i="7"/>
  <c r="Y587" i="7"/>
  <c r="Y170" i="7"/>
  <c r="Y77" i="7"/>
  <c r="Y27" i="7"/>
  <c r="Y375" i="7"/>
  <c r="Y231" i="7"/>
  <c r="Y540" i="7"/>
  <c r="Y579" i="7"/>
  <c r="Y188" i="7"/>
  <c r="Y663" i="7"/>
  <c r="Y45" i="7"/>
  <c r="Y123" i="7"/>
  <c r="Y249" i="7"/>
  <c r="Y165" i="7"/>
  <c r="Y571" i="7"/>
  <c r="Y186" i="7"/>
  <c r="Y95" i="7"/>
  <c r="Y92" i="7"/>
  <c r="Y486" i="7"/>
  <c r="Y62" i="8"/>
  <c r="Y562" i="7"/>
  <c r="Y70" i="8"/>
  <c r="Y583" i="7"/>
  <c r="Y150" i="7"/>
  <c r="Y647" i="7"/>
  <c r="Y645" i="7"/>
  <c r="Y506" i="7"/>
  <c r="Y516" i="7"/>
  <c r="Y667" i="7"/>
  <c r="Y474" i="7"/>
  <c r="Y461" i="7"/>
  <c r="Y61" i="7"/>
  <c r="Y189" i="7"/>
  <c r="Y167" i="7"/>
  <c r="Y55" i="7"/>
  <c r="Y473" i="7"/>
  <c r="Y44" i="7"/>
  <c r="Y203" i="7"/>
  <c r="Y437" i="7"/>
  <c r="Y69" i="7"/>
  <c r="Y530" i="7"/>
  <c r="Y386" i="7"/>
  <c r="Y221" i="7"/>
  <c r="Y477" i="7"/>
  <c r="Y674" i="7"/>
  <c r="Y494" i="7"/>
  <c r="Y557" i="7"/>
  <c r="Y495" i="7"/>
  <c r="Y39" i="7"/>
  <c r="Y319" i="7"/>
  <c r="Y349" i="7"/>
  <c r="Y659" i="7"/>
  <c r="Y403" i="7"/>
  <c r="Y6" i="8"/>
  <c r="Y211" i="7"/>
  <c r="Y340" i="7"/>
  <c r="Y594" i="7"/>
  <c r="Y334" i="7"/>
  <c r="Y109" i="6"/>
  <c r="Y60" i="7"/>
  <c r="Y10" i="6"/>
  <c r="Y162" i="6"/>
  <c r="Y11" i="7"/>
  <c r="Y166" i="6"/>
  <c r="Y275" i="7"/>
  <c r="Y169" i="6"/>
  <c r="Y232" i="6"/>
  <c r="Y348" i="7"/>
  <c r="Y456" i="7"/>
  <c r="Y141" i="7"/>
  <c r="Y394" i="7"/>
  <c r="Y590" i="7"/>
  <c r="Y347" i="7"/>
  <c r="Y447" i="7"/>
  <c r="Y234" i="7"/>
  <c r="Y102" i="7"/>
  <c r="Y254" i="7"/>
  <c r="Y252" i="7"/>
  <c r="Y391" i="7"/>
  <c r="Y166" i="7"/>
  <c r="Y664" i="7"/>
  <c r="Y523" i="7"/>
  <c r="Y184" i="7"/>
  <c r="Y450" i="7"/>
  <c r="Y67" i="8"/>
  <c r="Y584" i="7"/>
  <c r="Y202" i="7"/>
  <c r="Y50" i="8"/>
  <c r="Y464" i="7"/>
  <c r="Y58" i="8"/>
  <c r="Y155" i="7"/>
  <c r="Y242" i="7"/>
  <c r="Y156" i="7"/>
  <c r="Y655" i="7"/>
  <c r="Y301" i="7"/>
  <c r="Y57" i="7"/>
  <c r="Y657" i="7"/>
  <c r="Y6" i="6"/>
  <c r="Y54" i="6"/>
  <c r="Y377" i="7"/>
  <c r="Y331" i="7"/>
  <c r="Y11" i="6"/>
  <c r="Y21" i="7"/>
  <c r="Y98" i="6"/>
  <c r="Y45" i="8"/>
  <c r="Y642" i="7"/>
  <c r="Y32" i="8"/>
  <c r="Y274" i="7"/>
  <c r="Y15" i="8"/>
  <c r="Y96" i="6"/>
  <c r="Y321" i="7"/>
  <c r="Y78" i="7"/>
  <c r="Y63" i="7"/>
  <c r="Y616" i="7"/>
  <c r="Y70" i="6"/>
  <c r="Y706" i="7"/>
  <c r="Y425" i="7"/>
  <c r="Y279" i="7"/>
  <c r="Y43" i="8"/>
  <c r="Y310" i="7"/>
  <c r="Y581" i="7"/>
  <c r="Y588" i="7"/>
  <c r="Y503" i="7"/>
  <c r="Y439" i="7"/>
  <c r="Y228" i="7"/>
  <c r="Y164" i="7"/>
  <c r="Y360" i="7"/>
  <c r="Y43" i="7"/>
  <c r="Y304" i="7"/>
  <c r="Y117" i="6"/>
  <c r="Y661" i="7"/>
  <c r="Y42" i="8"/>
  <c r="Y639" i="7"/>
  <c r="Y686" i="7"/>
  <c r="Y308" i="7"/>
  <c r="Y294" i="7"/>
  <c r="Y369" i="7"/>
  <c r="Y52" i="8"/>
  <c r="Y346" i="7"/>
  <c r="Y685" i="7"/>
  <c r="Y152" i="6"/>
  <c r="Y64" i="6"/>
  <c r="Y223" i="7"/>
  <c r="Y159" i="7"/>
  <c r="Y556" i="7"/>
  <c r="Y483" i="7"/>
  <c r="Y563" i="7"/>
  <c r="Y224" i="7"/>
  <c r="Y160" i="7"/>
  <c r="Y87" i="7"/>
  <c r="Y49" i="7"/>
  <c r="Y718" i="7"/>
  <c r="Y56" i="7"/>
  <c r="Y38" i="7"/>
  <c r="Y66" i="7"/>
  <c r="Y138" i="6"/>
  <c r="Y84" i="6"/>
  <c r="Y695" i="7"/>
  <c r="Y188" i="6"/>
  <c r="Y269" i="7"/>
  <c r="Y59" i="6"/>
  <c r="Y128" i="6"/>
  <c r="Y233" i="6"/>
  <c r="Y5" i="6"/>
  <c r="Y182" i="6"/>
  <c r="Y259" i="7"/>
  <c r="Y30" i="7"/>
  <c r="Y39" i="6"/>
  <c r="Y207" i="6"/>
  <c r="Y183" i="6"/>
  <c r="Y163" i="6"/>
  <c r="Y144" i="6"/>
  <c r="Y313" i="7"/>
  <c r="Y130" i="6"/>
  <c r="Y33" i="6"/>
  <c r="Y221" i="6"/>
  <c r="Y229" i="6"/>
  <c r="Y21" i="6"/>
  <c r="Y179" i="6"/>
  <c r="Y597" i="7"/>
  <c r="Y719" i="7"/>
  <c r="Y23" i="6"/>
  <c r="Y110" i="6"/>
  <c r="Y18" i="7"/>
  <c r="Y147" i="6"/>
  <c r="Y4" i="8"/>
  <c r="Y396" i="7"/>
  <c r="Y57" i="8"/>
  <c r="Y533" i="7"/>
  <c r="Y390" i="7"/>
  <c r="Y666" i="7"/>
  <c r="Y67" i="7"/>
  <c r="Y585" i="7"/>
  <c r="Y251" i="7"/>
  <c r="Y383" i="7"/>
  <c r="Y185" i="7"/>
  <c r="Y124" i="7"/>
  <c r="Y318" i="7"/>
  <c r="Y76" i="8"/>
  <c r="Y183" i="7"/>
  <c r="Y567" i="7"/>
  <c r="Y133" i="6"/>
  <c r="Y514" i="7"/>
  <c r="Y432" i="7"/>
  <c r="Y201" i="7"/>
  <c r="Y457" i="7"/>
  <c r="Y40" i="7"/>
  <c r="Y382" i="7"/>
  <c r="Y241" i="7"/>
  <c r="Y83" i="7"/>
  <c r="Y625" i="7"/>
  <c r="Y623" i="7"/>
  <c r="Y309" i="7"/>
  <c r="Y93" i="7"/>
  <c r="Y134" i="6"/>
  <c r="Y381" i="7"/>
  <c r="Y195" i="7"/>
  <c r="Y710" i="7"/>
  <c r="Y59" i="7"/>
  <c r="Y245" i="6"/>
  <c r="Y323" i="7"/>
  <c r="Y580" i="7"/>
  <c r="Y133" i="7"/>
  <c r="Y88" i="6"/>
  <c r="Y431" i="7"/>
  <c r="Y56" i="6"/>
  <c r="Y176" i="6"/>
  <c r="Y12" i="7"/>
  <c r="Y711" i="7"/>
  <c r="Y552" i="7"/>
  <c r="Y542" i="7"/>
  <c r="Y151" i="7"/>
  <c r="Y436" i="7"/>
  <c r="Y389" i="7"/>
  <c r="Y101" i="7"/>
  <c r="Y568" i="7"/>
  <c r="Y507" i="7"/>
  <c r="Y35" i="7"/>
  <c r="Y250" i="7"/>
  <c r="Y500" i="7"/>
  <c r="Y648" i="7"/>
  <c r="Y501" i="7"/>
  <c r="Y371" i="7"/>
  <c r="Y582" i="7"/>
  <c r="Y59" i="8"/>
  <c r="Y544" i="7"/>
  <c r="Y622" i="7"/>
  <c r="Y384" i="7"/>
  <c r="Y446" i="7"/>
  <c r="Y662" i="7"/>
  <c r="Y529" i="7"/>
  <c r="Y475" i="7"/>
  <c r="Y220" i="7"/>
  <c r="Y136" i="7"/>
  <c r="Y149" i="7"/>
  <c r="Y31" i="7"/>
  <c r="Y46" i="8"/>
  <c r="Y76" i="7"/>
  <c r="Y19" i="6"/>
  <c r="Y359" i="7"/>
  <c r="Y627" i="7"/>
  <c r="Y80" i="6"/>
  <c r="Y11" i="8"/>
  <c r="Y653" i="7"/>
  <c r="Y288" i="7"/>
  <c r="Y621" i="7"/>
  <c r="Y190" i="7"/>
  <c r="Y276" i="7"/>
  <c r="Y210" i="7"/>
  <c r="Y569" i="7"/>
  <c r="Y127" i="7"/>
  <c r="Y272" i="7"/>
  <c r="Y68" i="8"/>
  <c r="Y161" i="7"/>
  <c r="Y140" i="7"/>
  <c r="Y98" i="7"/>
  <c r="Y418" i="7"/>
  <c r="Y416" i="7"/>
  <c r="Y181" i="7"/>
  <c r="Y158" i="7"/>
  <c r="Y31" i="8"/>
  <c r="Y84" i="7"/>
  <c r="Y219" i="7"/>
  <c r="Y56" i="8"/>
  <c r="Y112" i="7"/>
  <c r="Y216" i="6"/>
  <c r="Y326" i="7"/>
  <c r="Y613" i="7"/>
  <c r="Y19" i="8"/>
  <c r="Y145" i="7"/>
  <c r="Y324" i="7"/>
  <c r="Y515" i="7"/>
  <c r="Y504" i="7"/>
  <c r="Y426" i="7"/>
  <c r="Y546" i="7"/>
  <c r="Y80" i="7"/>
  <c r="Y217" i="7"/>
  <c r="Y297" i="7"/>
  <c r="Y233" i="7"/>
  <c r="Y209" i="7"/>
  <c r="Y379" i="7"/>
  <c r="Y537" i="7"/>
  <c r="Y658" i="7"/>
  <c r="Y468" i="7"/>
  <c r="Y247" i="7"/>
  <c r="Y226" i="7"/>
  <c r="Y53" i="7"/>
  <c r="Y482" i="7"/>
  <c r="Y496" i="7"/>
  <c r="Y541" i="7"/>
  <c r="Y246" i="7"/>
  <c r="Y602" i="7"/>
  <c r="Y528" i="7"/>
  <c r="Y430" i="7"/>
  <c r="Y654" i="7"/>
  <c r="Y465" i="7"/>
  <c r="Y453" i="7"/>
  <c r="Y200" i="7"/>
  <c r="Y399" i="7"/>
  <c r="Y64" i="7"/>
  <c r="Y17" i="7"/>
  <c r="Y109" i="7"/>
  <c r="Y343" i="7"/>
  <c r="Y344" i="7"/>
  <c r="Y293" i="7"/>
  <c r="Y132" i="6"/>
  <c r="Y50" i="6"/>
  <c r="Y596" i="7"/>
  <c r="Y120" i="7"/>
  <c r="Y356" i="7"/>
  <c r="Y409" i="7"/>
  <c r="Y341" i="7"/>
  <c r="Y267" i="7"/>
  <c r="Y40" i="6"/>
  <c r="Y292" i="7"/>
  <c r="Y91" i="7"/>
  <c r="Y240" i="6"/>
  <c r="Y44" i="8"/>
  <c r="Y122" i="7"/>
  <c r="Y121" i="6"/>
  <c r="Y373" i="7"/>
  <c r="Y361" i="7"/>
  <c r="Y640" i="7"/>
  <c r="Y660" i="7"/>
  <c r="Y127" i="6"/>
  <c r="Y68" i="6"/>
  <c r="Y243" i="7"/>
  <c r="Y179" i="7"/>
  <c r="Y535" i="7"/>
  <c r="Y471" i="7"/>
  <c r="Y551" i="7"/>
  <c r="Y196" i="7"/>
  <c r="Y650" i="7"/>
  <c r="Y314" i="7"/>
  <c r="Y260" i="7"/>
  <c r="Y421" i="7"/>
  <c r="Y433" i="7"/>
  <c r="Y638" i="7"/>
  <c r="Y115" i="7"/>
  <c r="Y175" i="6"/>
  <c r="Y66" i="6"/>
  <c r="Y264" i="7"/>
  <c r="Y90" i="6"/>
  <c r="Y603" i="7"/>
  <c r="Y126" i="7"/>
  <c r="Y339" i="7"/>
  <c r="Y63" i="8"/>
  <c r="Y197" i="7"/>
  <c r="Y511" i="7"/>
  <c r="Y460" i="7"/>
  <c r="Y365" i="7"/>
  <c r="Y322" i="7"/>
  <c r="Y445" i="7"/>
  <c r="Y626" i="7"/>
  <c r="Y443" i="7"/>
  <c r="Y680" i="7"/>
  <c r="Y206" i="7"/>
  <c r="Y60" i="8"/>
  <c r="Y459" i="7"/>
  <c r="Y678" i="7"/>
  <c r="Y586" i="7"/>
  <c r="Y402" i="7"/>
  <c r="Y370" i="7"/>
  <c r="Y509" i="7"/>
  <c r="Y497" i="7"/>
  <c r="Y138" i="7"/>
  <c r="Y692" i="7"/>
  <c r="Y510" i="7"/>
  <c r="Y74" i="8"/>
  <c r="Y559" i="7"/>
  <c r="Y427" i="7"/>
  <c r="Y222" i="6"/>
  <c r="Y62" i="7"/>
  <c r="Y327" i="7"/>
  <c r="Y132" i="7"/>
  <c r="Y611" i="7"/>
  <c r="Y25" i="6"/>
  <c r="Y65" i="7"/>
  <c r="Y716" i="7"/>
  <c r="Y368" i="7"/>
  <c r="Y124" i="6"/>
  <c r="Y75" i="6"/>
  <c r="Y193" i="7"/>
  <c r="Y449" i="7"/>
  <c r="Y668" i="7"/>
  <c r="Y78" i="8"/>
  <c r="Y13" i="7"/>
  <c r="Y407" i="7"/>
  <c r="Y110" i="7"/>
  <c r="Y168" i="7"/>
  <c r="Y229" i="7"/>
  <c r="Y610" i="7"/>
  <c r="Y385" i="7"/>
  <c r="Y420" i="7"/>
  <c r="Y548" i="7"/>
  <c r="Y204" i="7"/>
  <c r="Y42" i="7"/>
  <c r="Y466" i="7"/>
  <c r="Y480" i="7"/>
  <c r="Y222" i="7"/>
  <c r="Y117" i="7"/>
  <c r="Y512" i="7"/>
  <c r="Y414" i="7"/>
  <c r="Y177" i="7"/>
  <c r="Y517" i="7"/>
  <c r="Y178" i="7"/>
  <c r="Y367" i="7"/>
  <c r="Y50" i="7"/>
  <c r="Y101" i="6"/>
  <c r="Y364" i="7"/>
  <c r="Y332" i="7"/>
  <c r="Y82" i="6"/>
  <c r="Y632" i="7"/>
  <c r="Y58" i="7"/>
  <c r="Y160" i="6"/>
  <c r="Y721" i="7"/>
  <c r="Y129" i="6"/>
  <c r="Y644" i="7"/>
  <c r="Y90" i="7"/>
  <c r="Y139" i="6"/>
  <c r="Y25" i="7"/>
  <c r="Y125" i="6"/>
  <c r="Y75" i="7"/>
  <c r="Y401" i="7"/>
  <c r="Y135" i="7"/>
  <c r="Y670" i="7"/>
  <c r="Y32" i="7"/>
  <c r="Y114" i="6"/>
  <c r="Y300" i="7"/>
  <c r="Y94" i="6"/>
  <c r="Y358" i="7"/>
  <c r="Y54" i="8"/>
  <c r="Y37" i="7"/>
  <c r="Y28" i="8"/>
  <c r="Y612" i="7"/>
  <c r="Y34" i="6"/>
  <c r="Y227" i="7"/>
  <c r="Y163" i="7"/>
  <c r="Y519" i="7"/>
  <c r="Y455" i="7"/>
  <c r="Y244" i="7"/>
  <c r="Y180" i="7"/>
  <c r="Y118" i="7"/>
  <c r="Y51" i="7"/>
  <c r="Y23" i="8"/>
  <c r="Y704" i="7"/>
  <c r="Y395" i="7"/>
  <c r="Y53" i="8"/>
  <c r="Y362" i="7"/>
  <c r="Y28" i="7"/>
  <c r="Y5" i="8"/>
  <c r="Y107" i="7"/>
  <c r="Y97" i="7"/>
  <c r="Y415" i="7"/>
  <c r="Y159" i="6"/>
  <c r="Y87" i="6"/>
  <c r="Y239" i="7"/>
  <c r="Y175" i="7"/>
  <c r="Y463" i="7"/>
  <c r="Y499" i="7"/>
  <c r="Y435" i="7"/>
  <c r="Y240" i="7"/>
  <c r="Y176" i="7"/>
  <c r="Y111" i="7"/>
  <c r="Y355" i="7"/>
  <c r="Y27" i="8"/>
  <c r="Y8" i="7"/>
  <c r="Y82" i="7"/>
  <c r="Y51" i="8"/>
  <c r="Y128" i="7"/>
  <c r="Y248" i="6"/>
  <c r="Y16" i="8"/>
  <c r="Y29" i="7"/>
  <c r="Y200" i="6"/>
  <c r="Y111" i="6"/>
  <c r="Y302" i="7"/>
  <c r="Y103" i="7"/>
  <c r="Y105" i="7"/>
  <c r="Y113" i="7"/>
  <c r="Y549" i="7"/>
  <c r="Y212" i="7"/>
  <c r="Y92" i="6"/>
  <c r="Y102" i="6"/>
  <c r="Y38" i="8"/>
  <c r="Y527" i="7"/>
  <c r="Y284" i="7"/>
  <c r="Y285" i="7"/>
  <c r="Y282" i="7"/>
  <c r="Y172" i="6"/>
  <c r="Y173" i="6"/>
  <c r="Y104" i="6"/>
  <c r="Y693" i="7"/>
  <c r="Y683" i="7"/>
  <c r="Y290" i="7"/>
  <c r="Y600" i="7"/>
  <c r="Y26" i="8"/>
  <c r="Y148" i="6"/>
  <c r="Y305" i="7"/>
  <c r="Y690" i="7"/>
  <c r="Y193" i="6"/>
  <c r="Y86" i="7"/>
  <c r="Y119" i="7"/>
  <c r="Y143" i="6"/>
  <c r="Y85" i="7"/>
  <c r="Y336" i="7"/>
  <c r="Y30" i="8"/>
  <c r="Y108" i="6"/>
  <c r="Y228" i="6"/>
  <c r="Y24" i="8"/>
  <c r="Y211" i="6"/>
  <c r="Y30" i="6"/>
  <c r="Y607" i="7"/>
  <c r="Y679" i="7"/>
  <c r="Y633" i="7"/>
  <c r="Y315" i="7"/>
  <c r="Y140" i="6"/>
  <c r="Y34" i="8"/>
  <c r="Y7" i="7"/>
  <c r="Y39" i="8"/>
  <c r="Y328" i="7"/>
  <c r="Y6" i="7"/>
  <c r="Y218" i="6"/>
  <c r="Y29" i="8"/>
  <c r="Y206" i="6"/>
  <c r="Y599" i="7"/>
  <c r="Y573" i="7"/>
  <c r="Y630" i="7"/>
  <c r="Y637" i="7"/>
  <c r="Y33" i="8"/>
  <c r="Y112" i="6"/>
  <c r="Y165" i="6"/>
  <c r="Y299" i="7"/>
  <c r="Y270" i="7"/>
  <c r="Y296" i="7"/>
  <c r="Y38" i="6"/>
  <c r="Y79" i="7"/>
  <c r="Y564" i="7"/>
  <c r="Y675" i="7"/>
  <c r="Y714" i="7"/>
  <c r="Y150" i="6"/>
  <c r="Y207" i="7"/>
  <c r="Y467" i="7"/>
  <c r="Y543" i="7"/>
  <c r="Y656" i="7"/>
  <c r="Y263" i="7"/>
  <c r="Y699" i="7"/>
  <c r="Y703" i="7"/>
  <c r="Y214" i="6"/>
  <c r="Y289" i="7"/>
  <c r="Y57" i="6"/>
  <c r="Y52" i="6"/>
  <c r="Y230" i="6"/>
  <c r="Y256" i="7"/>
  <c r="Y55" i="6"/>
  <c r="Y224" i="6"/>
  <c r="Y186" i="6"/>
  <c r="Y53" i="6"/>
  <c r="Y48" i="6"/>
  <c r="Y241" i="6"/>
  <c r="Y49" i="8"/>
  <c r="Y81" i="7"/>
  <c r="Y423" i="7"/>
  <c r="Y96" i="7"/>
  <c r="Y34" i="7"/>
  <c r="Y298" i="7"/>
  <c r="Y46" i="6"/>
  <c r="Y16" i="7"/>
  <c r="Y22" i="6"/>
  <c r="Y720" i="7"/>
  <c r="Y3" i="6"/>
  <c r="Y65" i="6"/>
  <c r="Y252" i="6"/>
  <c r="Y266" i="7"/>
  <c r="Y191" i="6"/>
  <c r="Y70" i="7"/>
  <c r="Y641" i="7"/>
  <c r="Y351" i="7"/>
  <c r="Y36" i="8"/>
  <c r="Y142" i="6"/>
  <c r="Y76" i="6"/>
  <c r="Y17" i="6"/>
  <c r="Y137" i="6"/>
  <c r="Y27" i="6"/>
  <c r="Y238" i="6"/>
  <c r="Y8" i="8"/>
  <c r="Y79" i="6"/>
  <c r="Y722" i="7"/>
  <c r="Y605" i="7"/>
  <c r="Y189" i="6"/>
  <c r="Y129" i="7"/>
  <c r="Y47" i="8"/>
  <c r="Y73" i="7"/>
  <c r="Y37" i="8"/>
  <c r="Y333" i="7"/>
  <c r="Y174" i="6"/>
  <c r="Y601" i="7"/>
  <c r="Y42" i="6"/>
  <c r="Y187" i="6"/>
  <c r="Y234" i="6"/>
  <c r="Y14" i="6"/>
  <c r="Y226" i="6"/>
  <c r="Y118" i="6"/>
  <c r="Y253" i="6"/>
  <c r="Y161" i="6"/>
  <c r="Y227" i="6"/>
  <c r="Y24" i="6"/>
  <c r="Y49" i="6"/>
  <c r="Y636" i="7"/>
  <c r="Y60" i="6"/>
  <c r="Y717" i="7"/>
  <c r="Y26" i="6"/>
  <c r="Y100" i="6"/>
  <c r="Y689" i="7"/>
  <c r="Y177" i="6"/>
  <c r="Y26" i="7"/>
  <c r="Y63" i="6"/>
  <c r="Y153" i="6"/>
  <c r="Y441" i="7"/>
  <c r="Y77" i="6"/>
  <c r="Y20" i="6"/>
  <c r="Y145" i="6"/>
  <c r="Y265" i="7"/>
  <c r="Y74" i="6"/>
  <c r="Y671" i="7"/>
  <c r="Y225" i="6"/>
  <c r="Y684" i="7"/>
  <c r="Y78" i="6"/>
  <c r="Y278" i="7"/>
  <c r="Y628" i="7"/>
  <c r="Y261" i="7"/>
  <c r="Y353" i="7"/>
  <c r="Y393" i="7"/>
  <c r="Y614" i="7"/>
  <c r="Y108" i="7"/>
  <c r="Y715" i="7"/>
  <c r="Y37" i="6"/>
  <c r="Y25" i="8"/>
  <c r="Y93" i="6"/>
  <c r="Y10" i="7"/>
  <c r="Y213" i="6"/>
  <c r="Y244" i="6"/>
  <c r="Y9" i="7"/>
  <c r="Y235" i="6"/>
  <c r="Y10" i="8"/>
  <c r="Y320" i="7"/>
  <c r="Y99" i="6"/>
  <c r="Y116" i="6"/>
  <c r="Y168" i="6"/>
  <c r="Y103" i="6"/>
  <c r="Y94" i="7"/>
  <c r="Y164" i="6"/>
  <c r="Y4" i="6"/>
  <c r="Y35" i="6"/>
  <c r="Y215" i="6"/>
  <c r="Y48" i="8"/>
  <c r="Y71" i="7"/>
  <c r="Y15" i="7"/>
  <c r="Y29" i="6"/>
  <c r="Y115" i="6"/>
  <c r="Y104" i="7"/>
  <c r="Y131" i="7"/>
  <c r="Y620" i="7"/>
  <c r="Y283" i="7"/>
  <c r="Y615" i="7"/>
  <c r="Y201" i="6"/>
  <c r="Y337" i="7"/>
  <c r="Y208" i="7"/>
  <c r="Y190" i="6"/>
  <c r="Y4" i="7"/>
  <c r="Y199" i="6"/>
  <c r="Y47" i="6"/>
  <c r="Y202" i="6"/>
  <c r="Y141" i="6"/>
  <c r="Y114" i="7"/>
  <c r="Y107" i="6"/>
  <c r="Y539" i="7"/>
  <c r="Y335" i="7"/>
  <c r="Y342" i="7"/>
  <c r="Y277" i="7"/>
  <c r="Y146" i="6"/>
  <c r="Y191" i="7"/>
  <c r="Y451" i="7"/>
  <c r="Y144" i="7"/>
  <c r="Y130" i="7"/>
  <c r="Y598" i="7"/>
  <c r="Y95" i="6"/>
  <c r="Y178" i="6"/>
  <c r="Y198" i="6"/>
  <c r="Y31" i="6"/>
  <c r="Y20" i="7"/>
  <c r="Y155" i="6"/>
  <c r="Y15" i="6"/>
  <c r="Y19" i="7"/>
  <c r="Y151" i="6"/>
  <c r="Y306" i="7"/>
  <c r="Y32" i="6"/>
  <c r="Y167" i="6"/>
  <c r="Y68" i="7"/>
  <c r="Y372" i="7"/>
  <c r="Y338" i="7"/>
  <c r="Y120" i="6"/>
  <c r="Y119" i="6"/>
  <c r="Y184" i="6"/>
  <c r="Y325" i="7"/>
  <c r="Y106" i="7"/>
  <c r="Y14" i="7"/>
  <c r="Y148" i="7"/>
  <c r="Y171" i="6"/>
  <c r="Y330" i="7"/>
  <c r="Y295" i="7"/>
  <c r="Y271" i="7"/>
  <c r="Y139" i="7"/>
  <c r="Y23" i="7"/>
  <c r="Y72" i="6"/>
  <c r="Y531" i="7"/>
  <c r="Y268" i="7"/>
  <c r="Y99" i="7"/>
  <c r="Y22" i="7"/>
  <c r="Y217" i="6"/>
  <c r="Y312" i="7"/>
  <c r="Y624" i="7"/>
  <c r="Y36" i="6"/>
  <c r="Y192" i="6"/>
  <c r="Y33" i="7"/>
  <c r="Y181" i="6"/>
  <c r="Y210" i="6"/>
  <c r="Y316" i="7"/>
  <c r="Y91" i="6"/>
  <c r="Y9" i="6"/>
  <c r="Y712" i="7"/>
  <c r="Y608" i="7"/>
  <c r="Y83" i="6"/>
  <c r="Y41" i="8"/>
  <c r="Y239" i="6"/>
  <c r="Y7" i="6"/>
  <c r="Y122" i="6"/>
  <c r="Y387" i="7"/>
  <c r="Y13" i="6"/>
  <c r="Y219" i="6"/>
  <c r="Y634" i="7"/>
  <c r="Y125" i="7"/>
  <c r="Y24" i="7"/>
  <c r="Y36" i="7"/>
  <c r="Y61" i="6"/>
  <c r="Y429" i="7"/>
  <c r="Y258" i="7"/>
  <c r="Y687" i="7"/>
  <c r="Y487" i="7"/>
  <c r="Y286" i="7"/>
  <c r="Y113" i="6"/>
  <c r="Y41" i="7"/>
  <c r="Y700" i="7"/>
  <c r="Y156" i="6"/>
  <c r="Y14" i="8"/>
  <c r="Y694" i="7"/>
  <c r="Y13" i="8"/>
  <c r="Y9" i="8"/>
  <c r="Y154" i="6"/>
  <c r="Y12" i="8"/>
  <c r="Y22" i="8"/>
  <c r="Y16" i="6"/>
  <c r="Y250" i="6"/>
  <c r="Y106" i="6"/>
  <c r="Y21" i="8"/>
  <c r="Y158" i="6"/>
  <c r="Y180" i="6"/>
  <c r="Y247" i="6"/>
  <c r="Y67" i="6"/>
  <c r="Y20" i="8"/>
  <c r="Y7" i="8"/>
  <c r="Y136" i="6"/>
  <c r="Y147" i="7"/>
  <c r="Y273" i="7"/>
  <c r="Y28" i="6"/>
  <c r="Y8" i="6"/>
  <c r="Y691" i="7"/>
  <c r="Y205" i="6"/>
  <c r="Y702" i="7"/>
  <c r="Y705" i="7"/>
  <c r="Y604" i="7"/>
  <c r="Y195" i="6"/>
  <c r="Y17" i="8"/>
  <c r="Y137" i="7"/>
  <c r="Y157" i="6"/>
  <c r="Y291" i="7"/>
  <c r="Y40" i="8"/>
  <c r="Y44" i="6"/>
  <c r="Y197" i="6"/>
  <c r="Y643" i="7"/>
  <c r="Y41" i="6"/>
  <c r="Y713" i="7"/>
  <c r="Y617" i="7"/>
  <c r="Y345" i="7"/>
  <c r="Y35" i="8"/>
  <c r="Y97" i="6"/>
  <c r="Y701" i="7"/>
  <c r="Y575" i="7"/>
  <c r="Y192" i="7"/>
  <c r="Y3" i="8"/>
  <c r="Y116" i="7"/>
  <c r="Y43" i="6"/>
  <c r="Y209" i="6"/>
  <c r="Y236" i="6"/>
  <c r="Y73" i="6"/>
  <c r="Y85" i="6"/>
  <c r="Y231" i="6"/>
  <c r="Y307" i="7"/>
  <c r="Y71" i="6"/>
  <c r="Y249" i="6"/>
  <c r="Y69" i="6"/>
  <c r="Y681" i="7"/>
  <c r="Y203" i="6"/>
  <c r="Y126" i="6"/>
  <c r="Y51" i="6"/>
  <c r="Y709" i="7"/>
  <c r="Y413" i="7"/>
  <c r="Y629" i="7"/>
  <c r="Y121" i="7"/>
  <c r="Y281" i="7"/>
  <c r="Y194" i="6"/>
  <c r="Y62" i="6"/>
  <c r="Y212" i="6"/>
  <c r="Y220" i="6"/>
  <c r="Y262" i="7"/>
  <c r="Y89" i="6"/>
  <c r="Y81" i="6"/>
  <c r="Y708" i="7"/>
  <c r="Y698" i="7"/>
  <c r="Y223" i="6"/>
  <c r="Y417" i="7"/>
  <c r="Y143" i="7"/>
  <c r="Y100" i="7"/>
  <c r="Y419" i="7"/>
  <c r="Y329" i="7"/>
  <c r="Y595" i="7"/>
  <c r="Y251" i="6"/>
  <c r="Y18" i="6"/>
  <c r="Y5" i="7"/>
  <c r="Y682" i="7"/>
  <c r="Y149" i="6"/>
  <c r="Y697" i="7"/>
  <c r="Y242" i="6"/>
  <c r="Y55" i="8"/>
  <c r="Y397" i="7"/>
  <c r="Y635" i="7"/>
  <c r="Y354" i="7"/>
  <c r="Y74" i="7"/>
  <c r="Y619" i="7"/>
  <c r="Y18" i="8"/>
  <c r="Y58" i="6"/>
  <c r="Y196" i="6"/>
  <c r="Y257" i="7"/>
  <c r="Y208" i="6"/>
  <c r="Y131" i="6"/>
  <c r="Y255" i="7"/>
  <c r="Y45" i="6"/>
  <c r="Y135" i="6"/>
  <c r="Y631" i="7"/>
  <c r="Y185" i="6"/>
  <c r="Y246" i="6"/>
  <c r="Y243" i="6"/>
  <c r="Y123" i="6"/>
  <c r="Y357" i="7"/>
  <c r="Y609" i="7"/>
  <c r="Y12" i="6"/>
  <c r="Y204" i="6"/>
  <c r="Y237" i="6"/>
  <c r="Y89" i="7"/>
  <c r="Y170" i="6"/>
  <c r="Y303" i="7"/>
  <c r="M12" i="8" l="1"/>
  <c r="M14" i="8"/>
  <c r="M15" i="8"/>
  <c r="M13" i="8"/>
  <c r="M19" i="8"/>
  <c r="M21" i="8"/>
  <c r="M18" i="8"/>
  <c r="M20" i="8"/>
  <c r="M23" i="8" l="1"/>
  <c r="J4" i="9" l="1"/>
  <c r="I4" i="9"/>
  <c r="G4" i="9"/>
  <c r="F4" i="9"/>
  <c r="J6" i="9"/>
  <c r="I6" i="9"/>
  <c r="H4" i="9" l="1"/>
  <c r="G6" i="9"/>
  <c r="F6" i="9"/>
  <c r="I13" i="9"/>
  <c r="H6" i="9" l="1"/>
  <c r="F13" i="9"/>
  <c r="I14" i="9"/>
  <c r="F14" i="9"/>
  <c r="J14" i="9"/>
  <c r="G14" i="9"/>
  <c r="H14" i="9" s="1"/>
  <c r="I7" i="9"/>
  <c r="F7" i="9"/>
  <c r="J3" i="9"/>
  <c r="I3" i="9"/>
  <c r="G3" i="9"/>
  <c r="F3" i="9"/>
  <c r="H3" i="9" s="1"/>
  <c r="J15" i="9"/>
  <c r="I15" i="9"/>
  <c r="G15" i="9"/>
  <c r="F15" i="9"/>
  <c r="I8" i="9"/>
  <c r="H15" i="9" l="1"/>
  <c r="F8" i="9"/>
  <c r="J11" i="9"/>
  <c r="I11" i="9"/>
  <c r="G11" i="9"/>
  <c r="J5" i="9"/>
  <c r="I5" i="9"/>
  <c r="G5" i="9"/>
  <c r="F5" i="9"/>
  <c r="H5" i="9" s="1"/>
  <c r="I12" i="9"/>
  <c r="F12" i="9"/>
  <c r="J10" i="9"/>
  <c r="I10" i="9"/>
  <c r="G10" i="9"/>
  <c r="J8" i="9"/>
  <c r="G8" i="9"/>
  <c r="H8" i="9" s="1"/>
  <c r="J13" i="9"/>
  <c r="G13" i="9"/>
  <c r="H13" i="9" s="1"/>
  <c r="F10" i="9"/>
  <c r="H10" i="9" s="1"/>
  <c r="F11" i="9"/>
  <c r="H11" i="9" s="1"/>
  <c r="J7" i="9"/>
  <c r="G7" i="9"/>
  <c r="H7" i="9" s="1"/>
  <c r="J12" i="9"/>
  <c r="G12" i="9"/>
  <c r="H12" i="9" s="1"/>
  <c r="I9" i="9"/>
  <c r="F9" i="9"/>
  <c r="I16" i="9"/>
  <c r="F16" i="9"/>
  <c r="J16" i="9"/>
  <c r="G16" i="9"/>
  <c r="H16" i="9" s="1"/>
  <c r="J9" i="9"/>
  <c r="G9" i="9"/>
  <c r="H9" i="9" s="1"/>
  <c r="I11" i="6"/>
  <c r="F11" i="6"/>
  <c r="J11" i="6"/>
  <c r="G11" i="6"/>
  <c r="H11" i="6" s="1"/>
  <c r="I3" i="6"/>
  <c r="F3" i="6"/>
  <c r="I4" i="6"/>
  <c r="F4" i="6"/>
  <c r="J12" i="6"/>
  <c r="I12" i="6"/>
  <c r="G12" i="6"/>
  <c r="F12" i="6"/>
  <c r="H12" i="6" s="1"/>
  <c r="J14" i="6"/>
  <c r="I14" i="6"/>
  <c r="G14" i="6"/>
  <c r="F14" i="6"/>
  <c r="H14" i="6" s="1"/>
  <c r="I15" i="6"/>
  <c r="F15" i="6"/>
  <c r="J9" i="6"/>
  <c r="I9" i="6"/>
  <c r="G9" i="6"/>
  <c r="F9" i="6"/>
  <c r="H9" i="6"/>
  <c r="I4" i="7"/>
  <c r="F4" i="7"/>
  <c r="J4" i="6"/>
  <c r="G4" i="6"/>
  <c r="H4" i="6" s="1"/>
  <c r="J15" i="6"/>
  <c r="G15" i="6"/>
  <c r="H15" i="6" s="1"/>
  <c r="I11" i="7"/>
  <c r="F11" i="7"/>
  <c r="I6" i="6"/>
  <c r="F6" i="6"/>
  <c r="J3" i="6"/>
  <c r="G3" i="6"/>
  <c r="H3" i="6" s="1"/>
  <c r="J5" i="6"/>
  <c r="I5" i="6"/>
  <c r="G5" i="6"/>
  <c r="J6" i="6"/>
  <c r="G6" i="6"/>
  <c r="H6" i="6" s="1"/>
  <c r="J7" i="6"/>
  <c r="I7" i="6"/>
  <c r="G7" i="6"/>
  <c r="F7" i="6"/>
  <c r="H7" i="6" s="1"/>
  <c r="J16" i="6"/>
  <c r="I16" i="6"/>
  <c r="G16" i="6"/>
  <c r="F16" i="6"/>
  <c r="F5" i="6"/>
  <c r="H5" i="6" s="1"/>
  <c r="I13" i="6"/>
  <c r="H16" i="6" l="1"/>
  <c r="F13" i="6"/>
  <c r="J8" i="6"/>
  <c r="I8" i="6"/>
  <c r="G8" i="6"/>
  <c r="J12" i="7"/>
  <c r="I12" i="7"/>
  <c r="G12" i="7"/>
  <c r="F12" i="7"/>
  <c r="H12" i="7" s="1"/>
  <c r="F8" i="6"/>
  <c r="H8" i="6" s="1"/>
  <c r="J13" i="6"/>
  <c r="G13" i="6"/>
  <c r="H13" i="6" s="1"/>
  <c r="J10" i="6"/>
  <c r="I10" i="6"/>
  <c r="G10" i="6"/>
  <c r="F10" i="6"/>
  <c r="H10" i="6" s="1"/>
  <c r="J10" i="7"/>
  <c r="I10" i="7"/>
  <c r="G10" i="7"/>
  <c r="F10" i="7"/>
  <c r="H10" i="7" s="1"/>
  <c r="J11" i="7"/>
  <c r="G11" i="7"/>
  <c r="H11" i="7" s="1"/>
  <c r="I3" i="7"/>
  <c r="F3" i="7"/>
  <c r="J3" i="7"/>
  <c r="G3" i="7"/>
  <c r="H3" i="7" s="1"/>
  <c r="J4" i="7"/>
  <c r="G4" i="7"/>
  <c r="H4" i="7" s="1"/>
  <c r="I12" i="8"/>
  <c r="F12" i="8"/>
  <c r="I11" i="8"/>
  <c r="F11" i="8"/>
  <c r="J11" i="8"/>
  <c r="G11" i="8"/>
  <c r="H11" i="8" s="1"/>
  <c r="J12" i="8"/>
  <c r="G12" i="8"/>
  <c r="H12" i="8" s="1"/>
  <c r="I14" i="8"/>
  <c r="F14" i="8"/>
  <c r="I6" i="7"/>
  <c r="F6" i="7"/>
  <c r="I4" i="8"/>
  <c r="F4" i="8"/>
  <c r="I8" i="8"/>
  <c r="F8" i="8"/>
  <c r="J8" i="8"/>
  <c r="G8" i="8"/>
  <c r="H8" i="8" s="1"/>
  <c r="I5" i="7"/>
  <c r="F5" i="7"/>
  <c r="I5" i="8"/>
  <c r="F5" i="8"/>
  <c r="I10" i="8"/>
  <c r="F10" i="8"/>
  <c r="J13" i="8"/>
  <c r="I13" i="8"/>
  <c r="G13" i="8"/>
  <c r="J5" i="7"/>
  <c r="G5" i="7"/>
  <c r="H5" i="7" s="1"/>
  <c r="J6" i="7"/>
  <c r="G6" i="7"/>
  <c r="H6" i="7" s="1"/>
  <c r="J14" i="8"/>
  <c r="G14" i="8"/>
  <c r="H14" i="8" s="1"/>
  <c r="F13" i="8"/>
  <c r="H13" i="8" s="1"/>
  <c r="J6" i="8"/>
  <c r="I6" i="8"/>
  <c r="G6" i="8"/>
  <c r="J13" i="7"/>
  <c r="I13" i="7"/>
  <c r="G13" i="7"/>
  <c r="F13" i="7"/>
  <c r="F6" i="8"/>
  <c r="H6" i="8" s="1"/>
  <c r="I15" i="8"/>
  <c r="H13" i="7" l="1"/>
  <c r="F15" i="8"/>
  <c r="J10" i="8"/>
  <c r="G10" i="8"/>
  <c r="H10" i="8" s="1"/>
  <c r="J15" i="7"/>
  <c r="I15" i="7"/>
  <c r="G15" i="7"/>
  <c r="F15" i="7"/>
  <c r="H15" i="7" s="1"/>
  <c r="J8" i="7"/>
  <c r="I8" i="7"/>
  <c r="G8" i="7"/>
  <c r="I16" i="8"/>
  <c r="F16" i="8"/>
  <c r="F8" i="7"/>
  <c r="H8" i="7" s="1"/>
  <c r="J7" i="7"/>
  <c r="I7" i="7"/>
  <c r="G7" i="7"/>
  <c r="F7" i="7"/>
  <c r="J3" i="8"/>
  <c r="I3" i="8"/>
  <c r="H7" i="7" l="1"/>
  <c r="G3" i="8"/>
  <c r="J15" i="8"/>
  <c r="G15" i="8"/>
  <c r="H15" i="8" s="1"/>
  <c r="J4" i="8"/>
  <c r="G4" i="8"/>
  <c r="H4" i="8" s="1"/>
  <c r="J9" i="7"/>
  <c r="I9" i="7"/>
  <c r="G9" i="7"/>
  <c r="J14" i="7"/>
  <c r="I14" i="7"/>
  <c r="G14" i="7"/>
  <c r="F14" i="7"/>
  <c r="H14" i="7" s="1"/>
  <c r="J16" i="8"/>
  <c r="G16" i="8"/>
  <c r="H16" i="8" s="1"/>
  <c r="F9" i="7"/>
  <c r="H9" i="7" s="1"/>
  <c r="F3" i="8"/>
  <c r="H3" i="8" s="1"/>
  <c r="I7" i="8"/>
  <c r="F7" i="8"/>
  <c r="J9" i="8"/>
  <c r="I9" i="8"/>
  <c r="G9" i="8"/>
  <c r="J16" i="7"/>
  <c r="I16" i="7"/>
  <c r="G16" i="7"/>
  <c r="F9" i="8"/>
  <c r="H9" i="8" s="1"/>
  <c r="J5" i="8"/>
  <c r="G5" i="8"/>
  <c r="H5" i="8" s="1"/>
  <c r="J7" i="8"/>
  <c r="G7" i="8"/>
  <c r="H7" i="8" s="1"/>
  <c r="F16" i="7"/>
  <c r="H16" i="7" s="1"/>
  <c r="M22" i="8"/>
  <c r="Z25" i="8"/>
  <c r="Z78" i="8"/>
  <c r="Z73" i="8"/>
  <c r="Z3" i="8"/>
  <c r="Z41" i="8"/>
  <c r="Z47" i="8"/>
  <c r="Z49" i="8"/>
  <c r="Z30" i="8"/>
  <c r="Z39" i="8"/>
  <c r="Z35" i="8"/>
  <c r="Z55" i="8"/>
  <c r="Z15" i="8"/>
  <c r="Z48" i="8"/>
  <c r="Z16" i="8"/>
  <c r="Z20" i="8"/>
  <c r="Z56" i="8"/>
  <c r="Z53" i="8"/>
  <c r="Z38" i="8"/>
  <c r="Z51" i="8"/>
  <c r="Z67" i="8"/>
  <c r="Z5" i="8"/>
  <c r="Z24" i="8"/>
  <c r="Z34" i="8"/>
  <c r="Z27" i="8"/>
  <c r="Z29" i="8"/>
  <c r="Z61" i="8"/>
  <c r="M26" i="8" a="1"/>
  <c r="M29" i="8"/>
  <c r="M27" i="8"/>
  <c r="M26" i="8"/>
  <c r="M28" i="8"/>
  <c r="M30" i="8"/>
  <c r="Z36" i="8"/>
  <c r="Z58" i="8"/>
  <c r="Z42" i="8"/>
  <c r="Z43" i="8"/>
  <c r="Z68" i="8"/>
  <c r="Z74" i="8"/>
  <c r="Z17" i="8"/>
  <c r="Z63" i="8"/>
  <c r="Z11" i="8"/>
  <c r="Z18" i="8"/>
  <c r="Z21" i="8"/>
  <c r="Z28" i="8"/>
  <c r="Z32" i="8"/>
  <c r="Z64" i="8"/>
  <c r="Z37" i="8"/>
  <c r="Z70" i="8"/>
  <c r="Z59" i="8"/>
  <c r="Z10" i="8"/>
  <c r="Z8" i="8"/>
  <c r="Z76" i="8"/>
  <c r="Z57" i="8"/>
  <c r="Z75" i="8"/>
  <c r="Z23" i="8"/>
  <c r="Z46" i="8"/>
  <c r="Z44" i="8"/>
  <c r="Z9" i="8"/>
  <c r="Z40" i="8"/>
  <c r="Z52" i="8"/>
  <c r="Z77" i="8"/>
  <c r="Z45" i="8"/>
  <c r="Z14" i="8"/>
  <c r="Z7" i="8"/>
  <c r="Z66" i="8"/>
  <c r="Z22" i="8"/>
  <c r="Z19" i="8"/>
  <c r="Z72" i="8"/>
  <c r="Z26" i="8"/>
  <c r="M12" i="6"/>
  <c r="M15" i="6"/>
  <c r="Z12" i="8"/>
  <c r="Z62" i="8"/>
  <c r="Z31" i="8"/>
  <c r="Z54" i="8"/>
  <c r="Z65" i="8"/>
  <c r="Z33" i="8"/>
  <c r="M13" i="6"/>
  <c r="M21" i="6"/>
  <c r="M19" i="6"/>
  <c r="M20" i="6"/>
  <c r="M18" i="6"/>
  <c r="M23" i="6" l="1"/>
  <c r="Z6" i="8"/>
  <c r="Z13" i="8"/>
  <c r="Z69" i="8"/>
  <c r="Z4" i="8"/>
  <c r="Z60" i="8"/>
  <c r="M14" i="6"/>
  <c r="Z71" i="8"/>
  <c r="Z50" i="8"/>
  <c r="AA65" i="8" l="1"/>
  <c r="AA64" i="8"/>
  <c r="AA75" i="8"/>
  <c r="AA66" i="8"/>
  <c r="AA72" i="8"/>
  <c r="AA69" i="8"/>
  <c r="AA77" i="8"/>
  <c r="AA73" i="8"/>
  <c r="AA61" i="8"/>
  <c r="AA71" i="8"/>
  <c r="AA63" i="8"/>
  <c r="AA57" i="8"/>
  <c r="AA78" i="8"/>
  <c r="AA60" i="8"/>
  <c r="AA67" i="8"/>
  <c r="AA50" i="8"/>
  <c r="AA58" i="8"/>
  <c r="AA45" i="8"/>
  <c r="AA32" i="8"/>
  <c r="AA15" i="8"/>
  <c r="AA43" i="8"/>
  <c r="AA42" i="8"/>
  <c r="AA52" i="8"/>
  <c r="AA4" i="8"/>
  <c r="AA29" i="8"/>
  <c r="AA41" i="8"/>
  <c r="AA62" i="8"/>
  <c r="AA76" i="8"/>
  <c r="AA6" i="8"/>
  <c r="AA59" i="8"/>
  <c r="AA46" i="8"/>
  <c r="AA11" i="8"/>
  <c r="AA35" i="8"/>
  <c r="AA38" i="8"/>
  <c r="AA17" i="8"/>
  <c r="AA3" i="8"/>
  <c r="AA68" i="8"/>
  <c r="AA31" i="8"/>
  <c r="AA44" i="8"/>
  <c r="AA70" i="8"/>
  <c r="AA74" i="8"/>
  <c r="AA56" i="8"/>
  <c r="AA19" i="8"/>
  <c r="AA54" i="8"/>
  <c r="AA28" i="8"/>
  <c r="AA23" i="8"/>
  <c r="AA53" i="8"/>
  <c r="AA5" i="8"/>
  <c r="AA27" i="8"/>
  <c r="AA51" i="8"/>
  <c r="AA16" i="8"/>
  <c r="AA36" i="8"/>
  <c r="AA8" i="8"/>
  <c r="AA47" i="8"/>
  <c r="AA37" i="8"/>
  <c r="AA49" i="8"/>
  <c r="AA20" i="8"/>
  <c r="AA25" i="8"/>
  <c r="AA10" i="8"/>
  <c r="AA30" i="8"/>
  <c r="AA39" i="8"/>
  <c r="AA24" i="8"/>
  <c r="AA33" i="8"/>
  <c r="AA7" i="8"/>
  <c r="AA48" i="8"/>
  <c r="AA34" i="8"/>
  <c r="AA40" i="8"/>
  <c r="AA9" i="8"/>
  <c r="AA12" i="8"/>
  <c r="AA22" i="8"/>
  <c r="AA55" i="8"/>
  <c r="AA18" i="8"/>
  <c r="AA14" i="8"/>
  <c r="AA13" i="8"/>
  <c r="AA21" i="8"/>
  <c r="AA26" i="8"/>
  <c r="M22" i="6"/>
  <c r="Z67" i="6"/>
  <c r="Z213" i="6"/>
  <c r="Z165" i="6"/>
  <c r="Z220" i="6"/>
  <c r="Z146" i="6"/>
  <c r="Z75" i="6"/>
  <c r="Z19" i="6"/>
  <c r="Z134" i="6"/>
  <c r="Z203" i="6"/>
  <c r="Z160" i="6"/>
  <c r="Z68" i="6"/>
  <c r="Z101" i="6"/>
  <c r="Z70" i="6"/>
  <c r="Z210" i="6"/>
  <c r="Z141" i="6"/>
  <c r="Z185" i="6"/>
  <c r="Z249" i="6"/>
  <c r="Z31" i="6"/>
  <c r="Z47" i="6"/>
  <c r="Z4" i="6"/>
  <c r="Z132" i="6"/>
  <c r="Z205" i="6"/>
  <c r="Z161" i="6"/>
  <c r="Z212" i="6"/>
  <c r="Z142" i="6"/>
  <c r="M26" i="6" a="1"/>
  <c r="M27" i="6"/>
  <c r="M26" i="6"/>
  <c r="M28" i="6"/>
  <c r="M30" i="6"/>
  <c r="M29" i="6"/>
  <c r="Z244" i="6"/>
  <c r="Z41" i="6"/>
  <c r="Z88" i="6"/>
  <c r="Z195" i="6"/>
  <c r="Z14" i="6"/>
  <c r="Z80" i="6"/>
  <c r="Z33" i="6"/>
  <c r="Z135" i="6"/>
  <c r="Z202" i="6"/>
  <c r="Z137" i="6"/>
  <c r="Z193" i="6"/>
  <c r="Z104" i="6"/>
  <c r="Z32" i="6"/>
  <c r="Z22" i="6"/>
  <c r="Z38" i="6"/>
  <c r="Z35" i="6"/>
  <c r="Z216" i="6"/>
  <c r="Z144" i="6"/>
  <c r="Z53" i="6"/>
  <c r="Z120" i="6"/>
  <c r="Z191" i="6"/>
  <c r="Z57" i="6"/>
  <c r="Z63" i="6"/>
  <c r="Z246" i="6"/>
  <c r="Z182" i="6"/>
  <c r="Z114" i="6"/>
  <c r="Z253" i="6"/>
  <c r="Z189" i="6"/>
  <c r="Z10" i="6"/>
  <c r="Z196" i="6"/>
  <c r="Z52" i="6"/>
  <c r="Z17" i="6"/>
  <c r="Z44" i="6"/>
  <c r="Z108" i="6"/>
  <c r="Z243" i="6"/>
  <c r="Z157" i="6"/>
  <c r="Z93" i="6"/>
  <c r="Z55" i="6"/>
  <c r="Z25" i="6"/>
  <c r="Z250" i="6"/>
  <c r="Z186" i="6"/>
  <c r="Z163" i="6"/>
  <c r="Z209" i="6"/>
  <c r="Z71" i="6"/>
  <c r="Z103" i="6"/>
  <c r="Z30" i="6"/>
  <c r="Z8" i="6"/>
  <c r="Z129" i="6"/>
  <c r="Z208" i="6"/>
  <c r="Z140" i="6"/>
  <c r="Z50" i="6"/>
  <c r="Z247" i="6"/>
  <c r="Z183" i="6"/>
  <c r="Z15" i="6"/>
  <c r="Z82" i="6"/>
  <c r="Z238" i="6"/>
  <c r="Z155" i="6"/>
  <c r="Z92" i="6"/>
  <c r="Z245" i="6"/>
  <c r="Z181" i="6"/>
  <c r="Z133" i="6"/>
  <c r="Z188" i="6"/>
  <c r="Z42" i="6"/>
  <c r="Z127" i="6"/>
  <c r="Z85" i="6"/>
  <c r="Z235" i="6"/>
  <c r="Z176" i="6"/>
  <c r="Z36" i="6"/>
  <c r="Z115" i="6"/>
  <c r="Z110" i="6"/>
  <c r="Z242" i="6"/>
  <c r="Z158" i="6"/>
  <c r="Z167" i="6"/>
  <c r="Z217" i="6"/>
  <c r="Z27" i="6"/>
  <c r="Z111" i="6"/>
  <c r="Z124" i="6"/>
  <c r="Z61" i="6"/>
  <c r="Z48" i="6"/>
  <c r="Z200" i="6"/>
  <c r="Z159" i="6"/>
  <c r="Z81" i="6"/>
  <c r="Z239" i="6"/>
  <c r="Z178" i="6"/>
  <c r="Z98" i="6"/>
  <c r="Z73" i="6"/>
  <c r="Z230" i="6"/>
  <c r="Z151" i="6"/>
  <c r="Z83" i="6"/>
  <c r="Z237" i="6"/>
  <c r="Z177" i="6"/>
  <c r="Z252" i="6"/>
  <c r="Z180" i="6"/>
  <c r="Z5" i="6"/>
  <c r="Z9" i="6"/>
  <c r="Z76" i="6"/>
  <c r="Z227" i="6"/>
  <c r="Z172" i="6"/>
  <c r="Z18" i="6"/>
  <c r="Z113" i="6"/>
  <c r="Z86" i="6"/>
  <c r="Z234" i="6"/>
  <c r="Z153" i="6"/>
  <c r="Z171" i="6"/>
  <c r="Z225" i="6"/>
  <c r="Z78" i="6"/>
  <c r="Z89" i="6"/>
  <c r="Z102" i="6"/>
  <c r="Z28" i="6"/>
  <c r="Z94" i="6"/>
  <c r="Z241" i="6"/>
  <c r="Z179" i="6"/>
  <c r="Z145" i="6"/>
  <c r="Z218" i="6"/>
  <c r="Z20" i="6"/>
  <c r="Z109" i="6"/>
  <c r="Z106" i="6"/>
  <c r="Z164" i="6"/>
  <c r="Z211" i="6"/>
  <c r="Z69" i="6"/>
  <c r="Z99" i="6"/>
  <c r="Z126" i="6"/>
  <c r="Z150" i="6"/>
  <c r="Z228" i="6"/>
  <c r="Z169" i="6"/>
  <c r="Z221" i="6"/>
  <c r="Z6" i="6"/>
  <c r="Z125" i="6"/>
  <c r="Z24" i="6"/>
  <c r="Z87" i="6"/>
  <c r="Z233" i="6"/>
  <c r="Z175" i="6"/>
  <c r="Z149" i="6"/>
  <c r="Z226" i="6"/>
  <c r="Z77" i="6"/>
  <c r="Z21" i="6"/>
  <c r="Z116" i="6"/>
  <c r="Z168" i="6"/>
  <c r="Z219" i="6"/>
  <c r="Z13" i="6"/>
  <c r="Z107" i="6"/>
  <c r="Z97" i="6"/>
  <c r="Z154" i="6"/>
  <c r="Z236" i="6"/>
  <c r="Z173" i="6"/>
  <c r="Z229" i="6"/>
  <c r="Z74" i="6"/>
  <c r="Z147" i="6"/>
  <c r="Z222" i="6"/>
  <c r="Z16" i="6"/>
  <c r="Z54" i="6"/>
  <c r="Z174" i="6"/>
  <c r="Z231" i="6"/>
  <c r="Z34" i="6"/>
  <c r="Z62" i="6"/>
  <c r="Z192" i="6"/>
  <c r="Z112" i="6"/>
  <c r="Z37" i="6"/>
  <c r="Z29" i="6"/>
  <c r="Z194" i="6"/>
  <c r="Z60" i="6"/>
  <c r="Z139" i="6"/>
  <c r="Z131" i="6"/>
  <c r="Z166" i="6"/>
  <c r="Z65" i="6"/>
  <c r="Z156" i="6"/>
  <c r="Z95" i="6"/>
  <c r="Z96" i="6"/>
  <c r="Z23" i="6"/>
  <c r="Z143" i="6"/>
  <c r="Z66" i="6"/>
  <c r="Z170" i="6"/>
  <c r="Z3" i="6"/>
  <c r="Z184" i="6"/>
  <c r="Z45" i="6"/>
  <c r="Z7" i="6"/>
  <c r="Z138" i="6"/>
  <c r="Z190" i="6"/>
  <c r="Z58" i="6"/>
  <c r="Z199" i="6"/>
  <c r="Z90" i="6"/>
  <c r="Z224" i="6"/>
  <c r="Z121" i="6"/>
  <c r="Z84" i="6"/>
  <c r="Z100" i="6"/>
  <c r="Z204" i="6"/>
  <c r="Z198" i="6"/>
  <c r="Z122" i="6"/>
  <c r="Z207" i="6"/>
  <c r="Z11" i="6"/>
  <c r="Z232" i="6"/>
  <c r="Z49" i="6"/>
  <c r="Z43" i="6"/>
  <c r="Z91" i="6"/>
  <c r="Z105" i="6"/>
  <c r="Z206" i="6"/>
  <c r="Z12" i="6"/>
  <c r="Z215" i="6"/>
  <c r="Z46" i="6"/>
  <c r="Z240" i="6"/>
  <c r="Z123" i="6"/>
  <c r="Z40" i="6"/>
  <c r="Z187" i="6"/>
  <c r="Z197" i="6"/>
  <c r="Z214" i="6"/>
  <c r="Z51" i="6"/>
  <c r="Z223" i="6"/>
  <c r="Z119" i="6"/>
  <c r="Z248" i="6"/>
  <c r="Z117" i="6"/>
  <c r="Z201" i="6"/>
  <c r="Z251" i="6"/>
  <c r="Z72" i="6"/>
  <c r="Z128" i="6"/>
  <c r="Z39" i="6"/>
  <c r="Z56" i="6"/>
  <c r="Z148" i="6"/>
  <c r="Z79" i="6"/>
  <c r="Z162" i="6"/>
  <c r="Z130" i="6"/>
  <c r="Z152" i="6"/>
  <c r="Z26" i="6"/>
  <c r="Z136" i="6"/>
  <c r="Z64" i="6"/>
  <c r="Z118" i="6"/>
  <c r="Z59" i="6"/>
  <c r="AA54" i="6"/>
  <c r="AA70" i="6"/>
  <c r="AA233" i="6"/>
  <c r="AA163" i="6"/>
  <c r="AA179" i="6"/>
  <c r="AA166" i="6"/>
  <c r="AA43" i="6"/>
  <c r="AA125" i="6"/>
  <c r="AA94" i="6"/>
  <c r="AA75" i="6"/>
  <c r="AA230" i="6"/>
  <c r="AA241" i="6"/>
  <c r="AA46" i="6"/>
  <c r="AA191" i="6"/>
  <c r="AA137" i="6"/>
  <c r="AA187" i="6"/>
  <c r="AA29" i="6"/>
  <c r="AA99" i="6"/>
  <c r="AA26" i="6"/>
  <c r="AA158" i="6"/>
  <c r="AA95" i="6"/>
  <c r="AA151" i="6"/>
  <c r="AA215" i="6"/>
  <c r="AA192" i="6"/>
  <c r="AA61" i="6"/>
  <c r="AA246" i="6"/>
  <c r="AA232" i="6"/>
  <c r="AA41" i="6"/>
  <c r="AA209" i="6"/>
  <c r="AA69" i="6"/>
  <c r="AA62" i="6"/>
  <c r="AA223" i="6"/>
  <c r="AA18" i="6"/>
  <c r="AA208" i="6"/>
  <c r="AA86" i="6"/>
  <c r="AA138" i="6"/>
  <c r="AA5" i="6"/>
  <c r="AA144" i="6"/>
  <c r="AA83" i="6"/>
  <c r="AA120" i="6"/>
  <c r="AA72" i="6"/>
  <c r="AA102" i="6"/>
  <c r="AA146" i="6"/>
  <c r="AA225" i="6"/>
  <c r="AA132" i="6"/>
  <c r="AA40" i="6"/>
  <c r="AA160" i="6"/>
  <c r="AA159" i="6"/>
  <c r="AA248" i="6"/>
  <c r="AA51" i="6"/>
  <c r="AA27" i="6"/>
  <c r="AA234" i="6"/>
  <c r="AA119" i="6"/>
  <c r="AA122" i="6"/>
  <c r="AA93" i="6"/>
  <c r="AA116" i="6"/>
  <c r="AA198" i="6"/>
  <c r="AA218" i="6"/>
  <c r="AA49" i="6"/>
  <c r="AA141" i="6"/>
  <c r="AA185" i="6"/>
  <c r="AA203" i="6"/>
  <c r="AA212" i="6"/>
  <c r="AA131" i="6"/>
  <c r="AA172" i="6"/>
  <c r="AA250" i="6"/>
  <c r="AA152" i="6"/>
  <c r="AA84" i="6"/>
  <c r="AA182" i="6"/>
  <c r="AA169" i="6"/>
  <c r="AA80" i="6"/>
  <c r="AA217" i="6"/>
  <c r="AA50" i="6"/>
  <c r="AA55" i="6"/>
  <c r="AA22" i="6"/>
  <c r="AA238" i="6"/>
  <c r="AA14" i="6"/>
  <c r="AA168" i="6"/>
  <c r="AA108" i="6"/>
  <c r="AA31" i="6"/>
  <c r="AA32" i="6"/>
  <c r="AA181" i="6"/>
  <c r="AA78" i="6"/>
  <c r="AA157" i="6"/>
  <c r="AA236" i="6"/>
  <c r="AA11" i="6"/>
  <c r="AA96" i="6"/>
  <c r="AA64" i="6"/>
  <c r="AA130" i="6"/>
  <c r="AA23" i="6"/>
  <c r="AA201" i="6"/>
  <c r="AA109" i="6"/>
  <c r="AA113" i="6"/>
  <c r="AA178" i="6"/>
  <c r="AA175" i="6"/>
  <c r="AA150" i="6"/>
  <c r="AA101" i="6"/>
  <c r="AA129" i="6"/>
  <c r="AA25" i="6"/>
  <c r="AA224" i="6"/>
  <c r="AA226" i="6"/>
  <c r="AA237" i="6"/>
  <c r="AA213" i="6"/>
  <c r="AA103" i="6"/>
  <c r="AA35" i="6"/>
  <c r="AA195" i="6"/>
  <c r="AA6" i="6"/>
  <c r="AA128" i="6"/>
  <c r="AA221" i="6"/>
  <c r="AA139" i="6"/>
  <c r="AA48" i="6"/>
  <c r="AA189" i="6"/>
  <c r="AA42" i="6"/>
  <c r="AA77" i="6"/>
  <c r="AA153" i="6"/>
  <c r="AA228" i="6"/>
  <c r="AA155" i="6"/>
  <c r="AA210" i="6"/>
  <c r="AA197" i="6"/>
  <c r="AA74" i="6"/>
  <c r="AA13" i="6"/>
  <c r="AA206" i="6"/>
  <c r="AA71" i="6"/>
  <c r="AA220" i="6"/>
  <c r="AA202" i="6"/>
  <c r="AA239" i="6"/>
  <c r="AA229" i="6"/>
  <c r="AA216" i="6"/>
  <c r="AA3" i="6"/>
  <c r="AA142" i="6"/>
  <c r="AA164" i="6"/>
  <c r="AA154" i="6"/>
  <c r="AA143" i="6"/>
  <c r="AA15" i="6"/>
  <c r="AA134" i="6"/>
  <c r="AA171" i="6"/>
  <c r="AA242" i="6"/>
  <c r="AA10" i="6"/>
  <c r="AA82" i="6"/>
  <c r="AA57" i="6"/>
  <c r="AA76" i="6"/>
  <c r="AA253" i="6"/>
  <c r="AA235" i="6"/>
  <c r="AA89" i="6"/>
  <c r="AA196" i="6"/>
  <c r="AA39" i="6"/>
  <c r="AA240" i="6"/>
  <c r="AA85" i="6"/>
  <c r="AA17" i="6"/>
  <c r="AA199" i="6"/>
  <c r="AA56" i="6"/>
  <c r="AA81" i="6"/>
  <c r="AA173" i="6"/>
  <c r="AA67" i="6"/>
  <c r="AA98" i="6"/>
  <c r="AA68" i="6"/>
  <c r="AA222" i="6"/>
  <c r="AA12" i="6"/>
  <c r="AA176" i="6"/>
  <c r="AA251" i="6"/>
  <c r="AA16" i="6"/>
  <c r="AA188" i="6"/>
  <c r="AA115" i="6"/>
  <c r="AA245" i="6"/>
  <c r="AA73" i="6"/>
  <c r="AA205" i="6"/>
  <c r="AA231" i="6"/>
  <c r="AA105" i="6"/>
  <c r="AA38" i="6"/>
  <c r="AA214" i="6"/>
  <c r="AA114" i="6"/>
  <c r="AA24" i="6"/>
  <c r="AA52" i="6"/>
  <c r="AA190" i="6"/>
  <c r="AA149" i="6"/>
  <c r="AA87" i="6"/>
  <c r="AA118" i="6"/>
  <c r="AA249" i="6"/>
  <c r="AA58" i="6"/>
  <c r="AA19" i="6"/>
  <c r="AA65" i="6"/>
  <c r="AA184" i="6"/>
  <c r="AA28" i="6"/>
  <c r="AA133" i="6"/>
  <c r="AA162" i="6"/>
  <c r="AA127" i="6"/>
  <c r="AA252" i="6"/>
  <c r="AA161" i="6"/>
  <c r="AA9" i="6"/>
  <c r="AA243" i="6"/>
  <c r="AA148" i="6"/>
  <c r="AA207" i="6"/>
  <c r="AA227" i="6"/>
  <c r="AA167" i="6"/>
  <c r="AA20" i="6"/>
  <c r="AA100" i="6"/>
  <c r="AA7" i="6"/>
  <c r="AA106" i="6"/>
  <c r="AA44" i="6"/>
  <c r="AA45" i="6"/>
  <c r="AA92" i="6"/>
  <c r="AA37" i="6"/>
  <c r="AA34" i="6"/>
  <c r="AA174" i="6"/>
  <c r="AA88" i="6"/>
  <c r="AA247" i="6"/>
  <c r="AA165" i="6"/>
  <c r="AA193" i="6"/>
  <c r="AA147" i="6"/>
  <c r="AA136" i="6"/>
  <c r="AA21" i="6"/>
  <c r="AA66" i="6"/>
  <c r="AA200" i="6"/>
  <c r="AA211" i="6"/>
  <c r="AA126" i="6"/>
  <c r="AA145" i="6"/>
  <c r="AA156" i="6"/>
  <c r="AA111" i="6"/>
  <c r="AA244" i="6"/>
  <c r="AA140" i="6"/>
  <c r="AA91" i="6"/>
  <c r="AA8" i="6"/>
  <c r="AA117" i="6"/>
  <c r="AA90" i="6"/>
  <c r="AA124" i="6"/>
  <c r="AA183" i="6"/>
  <c r="AA107" i="6"/>
  <c r="AA186" i="6"/>
  <c r="AA79" i="6"/>
  <c r="AA104" i="6"/>
  <c r="AA97" i="6"/>
  <c r="AA121" i="6"/>
  <c r="AA47" i="6"/>
  <c r="AA36" i="6"/>
  <c r="AA123" i="6"/>
  <c r="AA135" i="6"/>
  <c r="AA59" i="6"/>
  <c r="AA170" i="6"/>
  <c r="AA63" i="6"/>
  <c r="AA4" i="6"/>
  <c r="AA194" i="6"/>
  <c r="AA112" i="6"/>
  <c r="AA60" i="6"/>
  <c r="AA204" i="6"/>
  <c r="AA30" i="6"/>
  <c r="AA180" i="6"/>
  <c r="AA110" i="6"/>
  <c r="AA177" i="6"/>
  <c r="AA53" i="6"/>
  <c r="AA219" i="6"/>
  <c r="AA33" i="6"/>
  <c r="M24" i="9"/>
  <c r="AA49" i="9"/>
  <c r="AA40" i="9"/>
  <c r="AA92" i="9"/>
  <c r="AA19" i="9"/>
  <c r="AA134" i="9"/>
  <c r="AA86" i="9"/>
  <c r="AA83" i="9"/>
  <c r="AA10" i="9"/>
  <c r="AA33" i="9"/>
  <c r="AA122" i="9"/>
  <c r="AA71" i="9"/>
  <c r="AA13" i="9"/>
  <c r="AA62" i="9"/>
  <c r="AA52" i="9"/>
  <c r="AA35" i="9"/>
  <c r="AA108" i="9"/>
  <c r="AA15" i="9"/>
  <c r="AA135" i="9"/>
  <c r="AA132" i="9"/>
  <c r="AA82" i="9"/>
  <c r="AA36" i="9"/>
  <c r="AA46" i="9"/>
  <c r="AA104" i="9"/>
  <c r="AA34" i="9"/>
  <c r="AA115" i="9"/>
  <c r="AA113" i="9"/>
  <c r="AA107" i="9"/>
  <c r="AA110" i="9"/>
  <c r="AA77" i="9"/>
  <c r="AA126" i="9"/>
  <c r="AA21" i="9"/>
  <c r="AA89" i="9"/>
  <c r="AA56" i="9"/>
  <c r="AA79" i="9"/>
  <c r="AA45" i="9"/>
  <c r="M28" i="9" a="1"/>
  <c r="AA68" i="9"/>
  <c r="AA85" i="9"/>
  <c r="AA129" i="9"/>
  <c r="AA30" i="9"/>
  <c r="AA47" i="9"/>
  <c r="AA26" i="9"/>
  <c r="AA72" i="9"/>
  <c r="AA11" i="9"/>
  <c r="AA112" i="9"/>
  <c r="AA12" i="9"/>
  <c r="AA64" i="9"/>
  <c r="AA16" i="9"/>
  <c r="AA75" i="9"/>
  <c r="AA20" i="9"/>
  <c r="AA61" i="9"/>
  <c r="AA124" i="9"/>
  <c r="AA48" i="9"/>
  <c r="AA18" i="9"/>
  <c r="AA50" i="9"/>
  <c r="AA125" i="9"/>
  <c r="AA37" i="9"/>
  <c r="AA123" i="9"/>
  <c r="AA121" i="9"/>
  <c r="AA70" i="9"/>
  <c r="AA81" i="9"/>
  <c r="AA7" i="9"/>
  <c r="AA127" i="9"/>
  <c r="AA32" i="9"/>
  <c r="AA4" i="9"/>
  <c r="AA74" i="9"/>
  <c r="AA128" i="9"/>
  <c r="AA100" i="9"/>
  <c r="AA102" i="9"/>
  <c r="AA53" i="9"/>
  <c r="AA120" i="9"/>
  <c r="AA28" i="9"/>
  <c r="AA8" i="9"/>
  <c r="AA66" i="9"/>
  <c r="AA91" i="9"/>
  <c r="AA55" i="9"/>
  <c r="AA76" i="9"/>
  <c r="AA88" i="9"/>
  <c r="AA109" i="9"/>
  <c r="AA118" i="9"/>
  <c r="AA17" i="9"/>
  <c r="AA105" i="9"/>
  <c r="AA51" i="9"/>
  <c r="AA14" i="9"/>
  <c r="AA87" i="9"/>
  <c r="AA116" i="9"/>
  <c r="AA111" i="9"/>
  <c r="AA117" i="9"/>
  <c r="AA67" i="9"/>
  <c r="AA43" i="9"/>
  <c r="AA80" i="9"/>
  <c r="AA94" i="9"/>
  <c r="AA54" i="9"/>
  <c r="AA114" i="9"/>
  <c r="AA27" i="9"/>
  <c r="AA42" i="9"/>
  <c r="AA93" i="9"/>
  <c r="AA131" i="9"/>
  <c r="AA38" i="9"/>
  <c r="AA97" i="9"/>
  <c r="AA6" i="9"/>
  <c r="AA90" i="9"/>
  <c r="AA60" i="9"/>
  <c r="AA59" i="9"/>
  <c r="AA23" i="9"/>
  <c r="AA5" i="9"/>
  <c r="AA96" i="9"/>
  <c r="AA95" i="9"/>
  <c r="AA99" i="9"/>
  <c r="AA63" i="9"/>
  <c r="AA133" i="9"/>
  <c r="AA58" i="9"/>
  <c r="AA65" i="9"/>
  <c r="AA22" i="9"/>
  <c r="AA84" i="9"/>
  <c r="AA119" i="9"/>
  <c r="AA57" i="9"/>
  <c r="AA101" i="9"/>
  <c r="AA44" i="9"/>
  <c r="AA3" i="9"/>
  <c r="AA9" i="9"/>
  <c r="AA69" i="9"/>
  <c r="AA31" i="9"/>
  <c r="AA25" i="9"/>
  <c r="AA41" i="9"/>
  <c r="AA39" i="9"/>
  <c r="AA106" i="9"/>
  <c r="AA98" i="9"/>
  <c r="AA103" i="9"/>
  <c r="AA29" i="9"/>
  <c r="AA78" i="9"/>
  <c r="AA73" i="9"/>
  <c r="AA24" i="9"/>
  <c r="AA130" i="9"/>
  <c r="AB130" i="9" l="1"/>
  <c r="AC130" i="9" s="1"/>
  <c r="AB24" i="9"/>
  <c r="AC24" i="9" s="1"/>
  <c r="AB73" i="9"/>
  <c r="AC73" i="9" s="1"/>
  <c r="AB78" i="9"/>
  <c r="AC78" i="9" s="1"/>
  <c r="AB29" i="9"/>
  <c r="AC29" i="9" s="1"/>
  <c r="AB103" i="9"/>
  <c r="AC103" i="9" s="1"/>
  <c r="AB98" i="9"/>
  <c r="AC98" i="9" s="1"/>
  <c r="AB106" i="9"/>
  <c r="AC106" i="9" s="1"/>
  <c r="AB39" i="9"/>
  <c r="AC39" i="9" s="1"/>
  <c r="AB41" i="9"/>
  <c r="AC41" i="9" s="1"/>
  <c r="AB25" i="9"/>
  <c r="AC25" i="9" s="1"/>
  <c r="AB31" i="9"/>
  <c r="AC31" i="9" s="1"/>
  <c r="AB69" i="9"/>
  <c r="AC69" i="9" s="1"/>
  <c r="AB9" i="9"/>
  <c r="AC9" i="9" s="1"/>
  <c r="AB3" i="9"/>
  <c r="AC3" i="9" s="1"/>
  <c r="AB44" i="9"/>
  <c r="AC44" i="9" s="1"/>
  <c r="AB101" i="9"/>
  <c r="AC101" i="9" s="1"/>
  <c r="AB57" i="9"/>
  <c r="AC57" i="9" s="1"/>
  <c r="AB119" i="9"/>
  <c r="AC119" i="9" s="1"/>
  <c r="AB84" i="9"/>
  <c r="AC84" i="9" s="1"/>
  <c r="AB22" i="9"/>
  <c r="AC22" i="9" s="1"/>
  <c r="AB65" i="9"/>
  <c r="AC65" i="9" s="1"/>
  <c r="AB58" i="9"/>
  <c r="AC58" i="9" s="1"/>
  <c r="AB133" i="9"/>
  <c r="AC133" i="9" s="1"/>
  <c r="AB63" i="9"/>
  <c r="AC63" i="9" s="1"/>
  <c r="AB99" i="9"/>
  <c r="AC99" i="9" s="1"/>
  <c r="AB95" i="9"/>
  <c r="AC95" i="9" s="1"/>
  <c r="AB96" i="9"/>
  <c r="AC96" i="9" s="1"/>
  <c r="AB5" i="9"/>
  <c r="AC5" i="9" s="1"/>
  <c r="AB23" i="9"/>
  <c r="AC23" i="9" s="1"/>
  <c r="AB59" i="9"/>
  <c r="AC59" i="9" s="1"/>
  <c r="AB60" i="9"/>
  <c r="AC60" i="9" s="1"/>
  <c r="AB90" i="9"/>
  <c r="AC90" i="9" s="1"/>
  <c r="AB6" i="9"/>
  <c r="AC6" i="9" s="1"/>
  <c r="AB97" i="9"/>
  <c r="AC97" i="9" s="1"/>
  <c r="AB38" i="9"/>
  <c r="AC38" i="9" s="1"/>
  <c r="AB131" i="9"/>
  <c r="AC131" i="9" s="1"/>
  <c r="AB93" i="9"/>
  <c r="AC93" i="9" s="1"/>
  <c r="AB42" i="9"/>
  <c r="AC42" i="9" s="1"/>
  <c r="AB27" i="9"/>
  <c r="AC27" i="9" s="1"/>
  <c r="AB114" i="9"/>
  <c r="AC114" i="9" s="1"/>
  <c r="AB54" i="9"/>
  <c r="AC54" i="9" s="1"/>
  <c r="AB94" i="9"/>
  <c r="AC94" i="9" s="1"/>
  <c r="AB80" i="9"/>
  <c r="AC80" i="9" s="1"/>
  <c r="AB43" i="9"/>
  <c r="AC43" i="9" s="1"/>
  <c r="AB67" i="9"/>
  <c r="AC67" i="9" s="1"/>
  <c r="AB117" i="9"/>
  <c r="AC117" i="9" s="1"/>
  <c r="AB111" i="9"/>
  <c r="AC111" i="9" s="1"/>
  <c r="AB116" i="9"/>
  <c r="AC116" i="9" s="1"/>
  <c r="AB87" i="9"/>
  <c r="AC87" i="9" s="1"/>
  <c r="AB14" i="9"/>
  <c r="AC14" i="9" s="1"/>
  <c r="AB51" i="9"/>
  <c r="AC51" i="9" s="1"/>
  <c r="AB105" i="9"/>
  <c r="AC105" i="9" s="1"/>
  <c r="AB17" i="9"/>
  <c r="AC17" i="9" s="1"/>
  <c r="AB118" i="9"/>
  <c r="AC118" i="9" s="1"/>
  <c r="AB109" i="9"/>
  <c r="AC109" i="9" s="1"/>
  <c r="AB88" i="9"/>
  <c r="AC88" i="9" s="1"/>
  <c r="AB76" i="9"/>
  <c r="AC76" i="9" s="1"/>
  <c r="AB55" i="9"/>
  <c r="AC55" i="9" s="1"/>
  <c r="AB91" i="9"/>
  <c r="AC91" i="9" s="1"/>
  <c r="AB66" i="9"/>
  <c r="AC66" i="9" s="1"/>
  <c r="AB8" i="9"/>
  <c r="AC8" i="9" s="1"/>
  <c r="AB28" i="9"/>
  <c r="AC28" i="9" s="1"/>
  <c r="AB120" i="9"/>
  <c r="AC120" i="9" s="1"/>
  <c r="AB53" i="9"/>
  <c r="AC53" i="9" s="1"/>
  <c r="AB102" i="9"/>
  <c r="AC102" i="9" s="1"/>
  <c r="AB100" i="9"/>
  <c r="AC100" i="9" s="1"/>
  <c r="AB128" i="9"/>
  <c r="AC128" i="9" s="1"/>
  <c r="AB74" i="9"/>
  <c r="AC74" i="9" s="1"/>
  <c r="AB4" i="9"/>
  <c r="AC4" i="9" s="1"/>
  <c r="AB32" i="9"/>
  <c r="AC32" i="9" s="1"/>
  <c r="AB127" i="9"/>
  <c r="AC127" i="9" s="1"/>
  <c r="AB7" i="9"/>
  <c r="AC7" i="9" s="1"/>
  <c r="AB81" i="9"/>
  <c r="AC81" i="9" s="1"/>
  <c r="AB70" i="9"/>
  <c r="AC70" i="9" s="1"/>
  <c r="AB121" i="9"/>
  <c r="AC121" i="9" s="1"/>
  <c r="AB123" i="9"/>
  <c r="AC123" i="9" s="1"/>
  <c r="AB37" i="9"/>
  <c r="AC37" i="9" s="1"/>
  <c r="AB125" i="9"/>
  <c r="AC125" i="9" s="1"/>
  <c r="AB50" i="9"/>
  <c r="AC50" i="9" s="1"/>
  <c r="AB18" i="9"/>
  <c r="AC18" i="9" s="1"/>
  <c r="AB48" i="9"/>
  <c r="AC48" i="9" s="1"/>
  <c r="AB124" i="9"/>
  <c r="AC124" i="9" s="1"/>
  <c r="AB61" i="9"/>
  <c r="AC61" i="9" s="1"/>
  <c r="AB20" i="9"/>
  <c r="AC20" i="9" s="1"/>
  <c r="AB75" i="9"/>
  <c r="AC75" i="9" s="1"/>
  <c r="AB16" i="9"/>
  <c r="AC16" i="9" s="1"/>
  <c r="AB64" i="9"/>
  <c r="AC64" i="9" s="1"/>
  <c r="AB12" i="9"/>
  <c r="AC12" i="9" s="1"/>
  <c r="AB112" i="9"/>
  <c r="AC112" i="9" s="1"/>
  <c r="AB11" i="9"/>
  <c r="AC11" i="9" s="1"/>
  <c r="AB72" i="9"/>
  <c r="AC72" i="9" s="1"/>
  <c r="AB26" i="9"/>
  <c r="AC26" i="9" s="1"/>
  <c r="AB47" i="9"/>
  <c r="AC47" i="9" s="1"/>
  <c r="AB30" i="9"/>
  <c r="AC30" i="9" s="1"/>
  <c r="AB129" i="9"/>
  <c r="AC129" i="9" s="1"/>
  <c r="AB85" i="9"/>
  <c r="AC85" i="9" s="1"/>
  <c r="AB68" i="9"/>
  <c r="AC68" i="9" s="1"/>
  <c r="M31" i="9"/>
  <c r="M29" i="9"/>
  <c r="M28" i="9"/>
  <c r="M30" i="9"/>
  <c r="AB45" i="9"/>
  <c r="AC45" i="9" s="1"/>
  <c r="AB79" i="9"/>
  <c r="AC79" i="9" s="1"/>
  <c r="AB56" i="9"/>
  <c r="AC56" i="9" s="1"/>
  <c r="AB89" i="9"/>
  <c r="AC89" i="9" s="1"/>
  <c r="AB21" i="9"/>
  <c r="AC21" i="9" s="1"/>
  <c r="AB126" i="9"/>
  <c r="AC126" i="9" s="1"/>
  <c r="AB77" i="9"/>
  <c r="AC77" i="9" s="1"/>
  <c r="AB110" i="9"/>
  <c r="AC110" i="9" s="1"/>
  <c r="AB107" i="9"/>
  <c r="AC107" i="9" s="1"/>
  <c r="AB113" i="9"/>
  <c r="AC113" i="9" s="1"/>
  <c r="AB115" i="9"/>
  <c r="AC115" i="9" s="1"/>
  <c r="AB34" i="9"/>
  <c r="AC34" i="9" s="1"/>
  <c r="AB104" i="9"/>
  <c r="AC104" i="9" s="1"/>
  <c r="AB46" i="9"/>
  <c r="AC46" i="9" s="1"/>
  <c r="AB36" i="9"/>
  <c r="AC36" i="9" s="1"/>
  <c r="AB82" i="9"/>
  <c r="AC82" i="9" s="1"/>
  <c r="AB132" i="9"/>
  <c r="AC132" i="9" s="1"/>
  <c r="AB135" i="9"/>
  <c r="AC135" i="9" s="1"/>
  <c r="AB15" i="9"/>
  <c r="AC15" i="9" s="1"/>
  <c r="AB108" i="9"/>
  <c r="AC108" i="9" s="1"/>
  <c r="AB35" i="9"/>
  <c r="AC35" i="9" s="1"/>
  <c r="AB52" i="9"/>
  <c r="AC52" i="9" s="1"/>
  <c r="AB62" i="9"/>
  <c r="AC62" i="9" s="1"/>
  <c r="AB13" i="9"/>
  <c r="AC13" i="9" s="1"/>
  <c r="AB71" i="9"/>
  <c r="AC71" i="9" s="1"/>
  <c r="AB122" i="9"/>
  <c r="AC122" i="9" s="1"/>
  <c r="AB33" i="9"/>
  <c r="AC33" i="9" s="1"/>
  <c r="AB10" i="9"/>
  <c r="AC10" i="9" s="1"/>
  <c r="AB83" i="9"/>
  <c r="AC83" i="9" s="1"/>
  <c r="AB86" i="9"/>
  <c r="AC86" i="9" s="1"/>
  <c r="AB134" i="9"/>
  <c r="AC134" i="9" s="1"/>
  <c r="AB19" i="9"/>
  <c r="AC19" i="9" s="1"/>
  <c r="AB92" i="9"/>
  <c r="AC92" i="9" s="1"/>
  <c r="AB40" i="9"/>
  <c r="AC40" i="9" s="1"/>
  <c r="AB49" i="9"/>
  <c r="AC49" i="9" s="1"/>
  <c r="M12" i="7"/>
  <c r="M14" i="7"/>
  <c r="M15" i="7"/>
  <c r="M18" i="7"/>
  <c r="M19" i="7"/>
  <c r="M20" i="7"/>
  <c r="M21" i="7"/>
  <c r="M23" i="7"/>
  <c r="M13" i="7"/>
  <c r="M22" i="7"/>
  <c r="Z717" i="7"/>
  <c r="Z88" i="7"/>
  <c r="Z20" i="7"/>
  <c r="Z10" i="7"/>
  <c r="Z209" i="7"/>
  <c r="Z497" i="7"/>
  <c r="Z339" i="7"/>
  <c r="Z405" i="7"/>
  <c r="Z718" i="7"/>
  <c r="Z296" i="7"/>
  <c r="Z241" i="7"/>
  <c r="Z43" i="7"/>
  <c r="Z240" i="7"/>
  <c r="Z104" i="7"/>
  <c r="Z75" i="7"/>
  <c r="Z91" i="7"/>
  <c r="Z135" i="7"/>
  <c r="Z172" i="7"/>
  <c r="Z377" i="7"/>
  <c r="Z531" i="7"/>
  <c r="Z343" i="7"/>
  <c r="Z607" i="7"/>
  <c r="Z521" i="7"/>
  <c r="Z349" i="7"/>
  <c r="Z441" i="7"/>
  <c r="Z550" i="7"/>
  <c r="Z412" i="7"/>
  <c r="Z452" i="7"/>
  <c r="Z341" i="7"/>
  <c r="Z348" i="7"/>
  <c r="Z94" i="7"/>
  <c r="Z230" i="7"/>
  <c r="Z146" i="7"/>
  <c r="Z229" i="7"/>
  <c r="Z585" i="7"/>
  <c r="Z645" i="7"/>
  <c r="Z313" i="7"/>
  <c r="Z272" i="7"/>
  <c r="Z688" i="7"/>
  <c r="Z449" i="7"/>
  <c r="Z415" i="7"/>
  <c r="Z519" i="7"/>
  <c r="Z523" i="7"/>
  <c r="Z382" i="7"/>
  <c r="Z173" i="7"/>
  <c r="Z204" i="7"/>
  <c r="Z57" i="7"/>
  <c r="Z622" i="7"/>
  <c r="Z457" i="7"/>
  <c r="Z404" i="7"/>
  <c r="Z677" i="7"/>
  <c r="Z290" i="7"/>
  <c r="Z436" i="7"/>
  <c r="Z475" i="7"/>
  <c r="Z368" i="7"/>
  <c r="Z253" i="7"/>
  <c r="Z56" i="7"/>
  <c r="Z276" i="7"/>
  <c r="Z143" i="7"/>
  <c r="Z28" i="7"/>
  <c r="Z282" i="7"/>
  <c r="Z322" i="7"/>
  <c r="Z510" i="7"/>
  <c r="Z614" i="7"/>
  <c r="Z714" i="7"/>
  <c r="Z685" i="7"/>
  <c r="Z445" i="7"/>
  <c r="Z151" i="7"/>
  <c r="Z99" i="7"/>
  <c r="Z19" i="7"/>
  <c r="Z9" i="7"/>
  <c r="Z446" i="7"/>
  <c r="Z538" i="7"/>
  <c r="Z256" i="7"/>
  <c r="Z681" i="7"/>
  <c r="Z381" i="7"/>
  <c r="Z89" i="7"/>
  <c r="Z35" i="7"/>
  <c r="Z178" i="7"/>
  <c r="Z569" i="7"/>
  <c r="Z502" i="7"/>
  <c r="Z386" i="7"/>
  <c r="Z708" i="7"/>
  <c r="Z503" i="7"/>
  <c r="Z129" i="7"/>
  <c r="Z233" i="7"/>
  <c r="Z168" i="7"/>
  <c r="Z120" i="7"/>
  <c r="Z60" i="7"/>
  <c r="Z76" i="7"/>
  <c r="Z32" i="7"/>
  <c r="Z243" i="7"/>
  <c r="Z546" i="7"/>
  <c r="Z474" i="7"/>
  <c r="Z430" i="7"/>
  <c r="Z332" i="7"/>
  <c r="Z472" i="7"/>
  <c r="Z283" i="7"/>
  <c r="Z555" i="7"/>
  <c r="Z378" i="7"/>
  <c r="Z299" i="7"/>
  <c r="Z471" i="7"/>
  <c r="Z495" i="7"/>
  <c r="Z419" i="7"/>
  <c r="Z139" i="7"/>
  <c r="Z155" i="7"/>
  <c r="Z96" i="7"/>
  <c r="Z105" i="7"/>
  <c r="Z329" i="7"/>
  <c r="Z369" i="7"/>
  <c r="Z520" i="7"/>
  <c r="Z254" i="7"/>
  <c r="Z701" i="7"/>
  <c r="Z411" i="7"/>
  <c r="Z639" i="7"/>
  <c r="Z630" i="7"/>
  <c r="Z547" i="7"/>
  <c r="Z710" i="7"/>
  <c r="Z137" i="7"/>
  <c r="Z158" i="7"/>
  <c r="Z93" i="7"/>
  <c r="Z255" i="7"/>
  <c r="Z384" i="7"/>
  <c r="Z674" i="7"/>
  <c r="Z627" i="7"/>
  <c r="Z374" i="7"/>
  <c r="Z438" i="7"/>
  <c r="Z394" i="7"/>
  <c r="Z102" i="7"/>
  <c r="Z110" i="7"/>
  <c r="Z152" i="7"/>
  <c r="Z517" i="7"/>
  <c r="Z95" i="7"/>
  <c r="Z51" i="7"/>
  <c r="Z331" i="7"/>
  <c r="Z601" i="7"/>
  <c r="Z689" i="7"/>
  <c r="Z672" i="7"/>
  <c r="Z616" i="7"/>
  <c r="Z562" i="7"/>
  <c r="Z372" i="7"/>
  <c r="Z264" i="7"/>
  <c r="Z181" i="7"/>
  <c r="Z197" i="7"/>
  <c r="Z5" i="7"/>
  <c r="Z170" i="7"/>
  <c r="Z328" i="7"/>
  <c r="Z488" i="7"/>
  <c r="Z713" i="7"/>
  <c r="Z638" i="7"/>
  <c r="Z618" i="7"/>
  <c r="Z417" i="7"/>
  <c r="Z312" i="7"/>
  <c r="Z706" i="7"/>
  <c r="Z553" i="7"/>
  <c r="Z410" i="7"/>
  <c r="Z390" i="7"/>
  <c r="Z657" i="7"/>
  <c r="Z23" i="7"/>
  <c r="Z39" i="7"/>
  <c r="Z119" i="7"/>
  <c r="Z70" i="7"/>
  <c r="Z719" i="7"/>
  <c r="Z215" i="7"/>
  <c r="Z16" i="7"/>
  <c r="Z65" i="7"/>
  <c r="Z29" i="7"/>
  <c r="Z577" i="7"/>
  <c r="Z478" i="7"/>
  <c r="Z583" i="7"/>
  <c r="Z586" i="7"/>
  <c r="Z522" i="7"/>
  <c r="Z582" i="7"/>
  <c r="Z561" i="7"/>
  <c r="Z193" i="7"/>
  <c r="Z98" i="7"/>
  <c r="Z21" i="7"/>
  <c r="Z700" i="7"/>
  <c r="Z453" i="7"/>
  <c r="Z486" i="7"/>
  <c r="Z491" i="7"/>
  <c r="Z267" i="7"/>
  <c r="Z420" i="7"/>
  <c r="Z649" i="7"/>
  <c r="Z565" i="7"/>
  <c r="Z429" i="7"/>
  <c r="Z356" i="7"/>
  <c r="Z604" i="7"/>
  <c r="Z395" i="7"/>
  <c r="Z333" i="7"/>
  <c r="Z142" i="7"/>
  <c r="Z190" i="7"/>
  <c r="Z106" i="7"/>
  <c r="Z174" i="7"/>
  <c r="Z402" i="7"/>
  <c r="Z159" i="7"/>
  <c r="Z207" i="7"/>
  <c r="Z248" i="7"/>
  <c r="Z108" i="7"/>
  <c r="Z347" i="7"/>
  <c r="Z383" i="7"/>
  <c r="Z499" i="7"/>
  <c r="Z407" i="7"/>
  <c r="Z703" i="7"/>
  <c r="Z543" i="7"/>
  <c r="Z684" i="7"/>
  <c r="Z195" i="7"/>
  <c r="Z211" i="7"/>
  <c r="Z222" i="7"/>
  <c r="Z100" i="7"/>
  <c r="Z432" i="7"/>
  <c r="Z362" i="7"/>
  <c r="Z391" i="7"/>
  <c r="Z450" i="7"/>
  <c r="Z293" i="7"/>
  <c r="Z464" i="7"/>
  <c r="Z258" i="7"/>
  <c r="Z606" i="7"/>
  <c r="Z671" i="7"/>
  <c r="Z682" i="7"/>
  <c r="Z294" i="7"/>
  <c r="Z663" i="7"/>
  <c r="Z310" i="7"/>
  <c r="Z252" i="7"/>
  <c r="Z134" i="7"/>
  <c r="Z41" i="7"/>
  <c r="Z66" i="7"/>
  <c r="Z702" i="7"/>
  <c r="Z238" i="7"/>
  <c r="Z175" i="7"/>
  <c r="Z232" i="7"/>
  <c r="Z179" i="7"/>
  <c r="Z439" i="7"/>
  <c r="Z615" i="7"/>
  <c r="Z662" i="7"/>
  <c r="Z524" i="7"/>
  <c r="Z90" i="7"/>
  <c r="Z121" i="7"/>
  <c r="Z183" i="7"/>
  <c r="Z375" i="7"/>
  <c r="Z165" i="7"/>
  <c r="Z118" i="7"/>
  <c r="Z598" i="7"/>
  <c r="Z305" i="7"/>
  <c r="Z599" i="7"/>
  <c r="Z414" i="7"/>
  <c r="Z308" i="7"/>
  <c r="Z269" i="7"/>
  <c r="Z704" i="7"/>
  <c r="Z284" i="7"/>
  <c r="Z6" i="7"/>
  <c r="Z219" i="7"/>
  <c r="Z180" i="7"/>
  <c r="Z387" i="7"/>
  <c r="Z696" i="7"/>
  <c r="Z433" i="7"/>
  <c r="Z559" i="7"/>
  <c r="Z403" i="7"/>
  <c r="Z482" i="7"/>
  <c r="Z335" i="7"/>
  <c r="Z357" i="7"/>
  <c r="Z101" i="7"/>
  <c r="Z111" i="7"/>
  <c r="Z239" i="7"/>
  <c r="Z534" i="7"/>
  <c r="Z82" i="7"/>
  <c r="Z166" i="7"/>
  <c r="Z364" i="7"/>
  <c r="Z327" i="7"/>
  <c r="Z398" i="7"/>
  <c r="Z483" i="7"/>
  <c r="Z315" i="7"/>
  <c r="Z673" i="7"/>
  <c r="Z694" i="7"/>
  <c r="Z458" i="7"/>
  <c r="Z123" i="7"/>
  <c r="Z26" i="7"/>
  <c r="Z596" i="7"/>
  <c r="Z628" i="7"/>
  <c r="Z337" i="7"/>
  <c r="Z443" i="7"/>
  <c r="Z597" i="7"/>
  <c r="Z455" i="7"/>
  <c r="Z291" i="7"/>
  <c r="Z588" i="7"/>
  <c r="Z581" i="7"/>
  <c r="Z81" i="7"/>
  <c r="Z199" i="7"/>
  <c r="Z87" i="7"/>
  <c r="Z401" i="7"/>
  <c r="Z223" i="7"/>
  <c r="Z31" i="7"/>
  <c r="Z321" i="7"/>
  <c r="Z722" i="7"/>
  <c r="Z635" i="7"/>
  <c r="Z416" i="7"/>
  <c r="Z699" i="7"/>
  <c r="Z692" i="7"/>
  <c r="Z644" i="7"/>
  <c r="Z261" i="7"/>
  <c r="Z156" i="7"/>
  <c r="Z189" i="7"/>
  <c r="Z427" i="7"/>
  <c r="Z526" i="7"/>
  <c r="Z285" i="7"/>
  <c r="Z492" i="7"/>
  <c r="Z529" i="7"/>
  <c r="Z501" i="7"/>
  <c r="Z448" i="7"/>
  <c r="Z359" i="7"/>
  <c r="Z360" i="7"/>
  <c r="Z15" i="7"/>
  <c r="Z231" i="7"/>
  <c r="Z626" i="7"/>
  <c r="Z712" i="7"/>
  <c r="Z24" i="7"/>
  <c r="Z245" i="7"/>
  <c r="Z400" i="7"/>
  <c r="Z350" i="7"/>
  <c r="Z620" i="7"/>
  <c r="Z551" i="7"/>
  <c r="Z456" i="7"/>
  <c r="Z631" i="7"/>
  <c r="Z556" i="7"/>
  <c r="Z647" i="7"/>
  <c r="Z97" i="7"/>
  <c r="Z196" i="7"/>
  <c r="Z454" i="7"/>
  <c r="Z493" i="7"/>
  <c r="Z304" i="7"/>
  <c r="Z532" i="7"/>
  <c r="Z466" i="7"/>
  <c r="Z637" i="7"/>
  <c r="Z679" i="7"/>
  <c r="Z571" i="7"/>
  <c r="Z422" i="7"/>
  <c r="Z389" i="7"/>
  <c r="Z79" i="7"/>
  <c r="Z246" i="7"/>
  <c r="Z72" i="7"/>
  <c r="Z126" i="7"/>
  <c r="Z623" i="7"/>
  <c r="Z595" i="7"/>
  <c r="Z487" i="7"/>
  <c r="Z273" i="7"/>
  <c r="Z541" i="7"/>
  <c r="Z435" i="7"/>
  <c r="Z376" i="7"/>
  <c r="Z437" i="7"/>
  <c r="Z504" i="7"/>
  <c r="Z353" i="7"/>
  <c r="Z48" i="7"/>
  <c r="Z40" i="7"/>
  <c r="Z669" i="7"/>
  <c r="Z236" i="7"/>
  <c r="Z64" i="7"/>
  <c r="Z237" i="7"/>
  <c r="Z442" i="7"/>
  <c r="Z286" i="7"/>
  <c r="Z594" i="7"/>
  <c r="Z625" i="7"/>
  <c r="Z602" i="7"/>
  <c r="Z342" i="7"/>
  <c r="Z298" i="7"/>
  <c r="Z470" i="7"/>
  <c r="Z55" i="7"/>
  <c r="Z188" i="7"/>
  <c r="Z306" i="7"/>
  <c r="Z698" i="7"/>
  <c r="Z421" i="7"/>
  <c r="Z664" i="7"/>
  <c r="Z720" i="7"/>
  <c r="Z660" i="7"/>
  <c r="Z262" i="7"/>
  <c r="Z480" i="7"/>
  <c r="Z589" i="7"/>
  <c r="Z603" i="7"/>
  <c r="Z251" i="7"/>
  <c r="Z157" i="7"/>
  <c r="Z133" i="7"/>
  <c r="Z117" i="7"/>
  <c r="Z462" i="7"/>
  <c r="Z667" i="7"/>
  <c r="Z287" i="7"/>
  <c r="Z365" i="7"/>
  <c r="Z711" i="7"/>
  <c r="Z612" i="7"/>
  <c r="Z467" i="7"/>
  <c r="Z665" i="7"/>
  <c r="Z505" i="7"/>
  <c r="Z361" i="7"/>
  <c r="Z366" i="7"/>
  <c r="Z654" i="7"/>
  <c r="Z216" i="7"/>
  <c r="Z44" i="7"/>
  <c r="Z54" i="7"/>
  <c r="Z38" i="7"/>
  <c r="Z192" i="7"/>
  <c r="Z17" i="7"/>
  <c r="Z74" i="7"/>
  <c r="Z213" i="7"/>
  <c r="Z259" i="7"/>
  <c r="Z542" i="7"/>
  <c r="Z425" i="7"/>
  <c r="Z336" i="7"/>
  <c r="Z557" i="7"/>
  <c r="Z177" i="7"/>
  <c r="Z249" i="7"/>
  <c r="Z36" i="7"/>
  <c r="Z18" i="7"/>
  <c r="Z548" i="7"/>
  <c r="Z397" i="7"/>
  <c r="Z659" i="7"/>
  <c r="Z388" i="7"/>
  <c r="Z288" i="7"/>
  <c r="Z194" i="7"/>
  <c r="Z8" i="7"/>
  <c r="Z206" i="7"/>
  <c r="Z86" i="7"/>
  <c r="Z325" i="7"/>
  <c r="Z461" i="7"/>
  <c r="Z399" i="7"/>
  <c r="Z324" i="7"/>
  <c r="Z323" i="7"/>
  <c r="Z514" i="7"/>
  <c r="Z590" i="7"/>
  <c r="Z33" i="7"/>
  <c r="Z281" i="7"/>
  <c r="Z354" i="7"/>
  <c r="Z413" i="7"/>
  <c r="Z302" i="7"/>
  <c r="Z247" i="7"/>
  <c r="Z132" i="7"/>
  <c r="Z691" i="7"/>
  <c r="Z707" i="7"/>
  <c r="Z687" i="7"/>
  <c r="Z428" i="7"/>
  <c r="Z593" i="7"/>
  <c r="Z320" i="7"/>
  <c r="Z690" i="7"/>
  <c r="Z122" i="7"/>
  <c r="Z68" i="7"/>
  <c r="Z224" i="7"/>
  <c r="Z3" i="7"/>
  <c r="Z198" i="7"/>
  <c r="Z447" i="7"/>
  <c r="Z266" i="7"/>
  <c r="Z490" i="7"/>
  <c r="Z225" i="7"/>
  <c r="Z250" i="7"/>
  <c r="Z214" i="7"/>
  <c r="Z721" i="7"/>
  <c r="Z338" i="7"/>
  <c r="Z479" i="7"/>
  <c r="Z130" i="7"/>
  <c r="Z12" i="7"/>
  <c r="Z14" i="7"/>
  <c r="Z424" i="7"/>
  <c r="Z715" i="7"/>
  <c r="Z634" i="7"/>
  <c r="Z498" i="7"/>
  <c r="Z396" i="7"/>
  <c r="Z311" i="7"/>
  <c r="Z103" i="7"/>
  <c r="Z584" i="7"/>
  <c r="Z268" i="7"/>
  <c r="Z508" i="7"/>
  <c r="Z330" i="7"/>
  <c r="Z128" i="7"/>
  <c r="Z147" i="7"/>
  <c r="Z352" i="7"/>
  <c r="Z675" i="7"/>
  <c r="Z260" i="7"/>
  <c r="Z537" i="7"/>
  <c r="Z605" i="7"/>
  <c r="Z525" i="7"/>
  <c r="Z358" i="7"/>
  <c r="Z160" i="7"/>
  <c r="Z83" i="7"/>
  <c r="Z136" i="7"/>
  <c r="Z42" i="7"/>
  <c r="Z149" i="7"/>
  <c r="Z661" i="7"/>
  <c r="Z641" i="7"/>
  <c r="M26" i="7" a="1"/>
  <c r="M26" i="7"/>
  <c r="M29" i="7"/>
  <c r="M28" i="7"/>
  <c r="M27" i="7"/>
  <c r="M30" i="7"/>
  <c r="Z145" i="7"/>
  <c r="Z171" i="7"/>
  <c r="Z489" i="7"/>
  <c r="Z309" i="7"/>
  <c r="Z648" i="7"/>
  <c r="Z563" i="7"/>
  <c r="Z11" i="7"/>
  <c r="Z218" i="7"/>
  <c r="Z221" i="7"/>
  <c r="Z636" i="7"/>
  <c r="Z334" i="7"/>
  <c r="Z609" i="7"/>
  <c r="Z592" i="7"/>
  <c r="Z473" i="7"/>
  <c r="Z307" i="7"/>
  <c r="Z651" i="7"/>
  <c r="Z693" i="7"/>
  <c r="Z316" i="7"/>
  <c r="Z494" i="7"/>
  <c r="Z444" i="7"/>
  <c r="Z107" i="7"/>
  <c r="Z124" i="7"/>
  <c r="Z484" i="7"/>
  <c r="Z408" i="7"/>
  <c r="Z465" i="7"/>
  <c r="Z716" i="7"/>
  <c r="Z666" i="7"/>
  <c r="Z545" i="7"/>
  <c r="Z509" i="7"/>
  <c r="Z141" i="7"/>
  <c r="Z53" i="7"/>
  <c r="Z144" i="7"/>
  <c r="Z92" i="7"/>
  <c r="Z650" i="7"/>
  <c r="Z658" i="7"/>
  <c r="Z544" i="7"/>
  <c r="Z217" i="7"/>
  <c r="Z220" i="7"/>
  <c r="Z567" i="7"/>
  <c r="Z515" i="7"/>
  <c r="Z600" i="7"/>
  <c r="Z697" i="7"/>
  <c r="Z242" i="7"/>
  <c r="Z84" i="7"/>
  <c r="Z73" i="7"/>
  <c r="Z373" i="7"/>
  <c r="Z617" i="7"/>
  <c r="Z393" i="7"/>
  <c r="Z518" i="7"/>
  <c r="Z656" i="7"/>
  <c r="Z257" i="7"/>
  <c r="Z185" i="7"/>
  <c r="Z477" i="7"/>
  <c r="Z646" i="7"/>
  <c r="Z265" i="7"/>
  <c r="Z280" i="7"/>
  <c r="Z205" i="7"/>
  <c r="Z109" i="7"/>
  <c r="Z500" i="7"/>
  <c r="Z633" i="7"/>
  <c r="Z670" i="7"/>
  <c r="Z426" i="7"/>
  <c r="Z570" i="7"/>
  <c r="Z440" i="7"/>
  <c r="Z71" i="7"/>
  <c r="Z148" i="7"/>
  <c r="Z30" i="7"/>
  <c r="Z184" i="7"/>
  <c r="Z167" i="7"/>
  <c r="Z528" i="7"/>
  <c r="Z297" i="7"/>
  <c r="Z540" i="7"/>
  <c r="Z169" i="7"/>
  <c r="Z59" i="7"/>
  <c r="Z274" i="7"/>
  <c r="Z275" i="7"/>
  <c r="Z481" i="7"/>
  <c r="Z392" i="7"/>
  <c r="Z162" i="7"/>
  <c r="Z77" i="7"/>
  <c r="Z161" i="7"/>
  <c r="Z624" i="7"/>
  <c r="Z279" i="7"/>
  <c r="Z289" i="7"/>
  <c r="Z468" i="7"/>
  <c r="Z423" i="7"/>
  <c r="Z344" i="7"/>
  <c r="Z47" i="7"/>
  <c r="Z476" i="7"/>
  <c r="Z318" i="7"/>
  <c r="Z278" i="7"/>
  <c r="Z406" i="7"/>
  <c r="Z212" i="7"/>
  <c r="Z116" i="7"/>
  <c r="Z459" i="7"/>
  <c r="Z317" i="7"/>
  <c r="Z431" i="7"/>
  <c r="Z516" i="7"/>
  <c r="Z527" i="7"/>
  <c r="Z513" i="7"/>
  <c r="Z85" i="7"/>
  <c r="Z163" i="7"/>
  <c r="Z45" i="7"/>
  <c r="Z176" i="7"/>
  <c r="Z127" i="7"/>
  <c r="Z579" i="7"/>
  <c r="Z576" i="7"/>
  <c r="Z572" i="7"/>
  <c r="Z226" i="7"/>
  <c r="Z37" i="7"/>
  <c r="Z303" i="7"/>
  <c r="Z263" i="7"/>
  <c r="Z566" i="7"/>
  <c r="Z300" i="7"/>
  <c r="Z7" i="7"/>
  <c r="Z62" i="7"/>
  <c r="Z34" i="7"/>
  <c r="Z552" i="7"/>
  <c r="Z319" i="7"/>
  <c r="Z434" i="7"/>
  <c r="Z678" i="7"/>
  <c r="Z314" i="7"/>
  <c r="Z695" i="7"/>
  <c r="Z683" i="7"/>
  <c r="Z485" i="7"/>
  <c r="Z203" i="7"/>
  <c r="Z619" i="7"/>
  <c r="Z385" i="7"/>
  <c r="Z22" i="7"/>
  <c r="Z125" i="7"/>
  <c r="Z496" i="7"/>
  <c r="Z709" i="7"/>
  <c r="Z292" i="7"/>
  <c r="Z591" i="7"/>
  <c r="Z345" i="7"/>
  <c r="Z351" i="7"/>
  <c r="Z668" i="7"/>
  <c r="Z115" i="7"/>
  <c r="Z61" i="7"/>
  <c r="Z112" i="7"/>
  <c r="Z200" i="7"/>
  <c r="Z78" i="7"/>
  <c r="Z409" i="7"/>
  <c r="Z610" i="7"/>
  <c r="Z560" i="7"/>
  <c r="Z114" i="7"/>
  <c r="Z13" i="7"/>
  <c r="Z63" i="7"/>
  <c r="Z511" i="7"/>
  <c r="Z469" i="7"/>
  <c r="Z371" i="7"/>
  <c r="Z154" i="7"/>
  <c r="Z27" i="7"/>
  <c r="Z191" i="7"/>
  <c r="Z271" i="7"/>
  <c r="Z564" i="7"/>
  <c r="Z686" i="7"/>
  <c r="Z653" i="7"/>
  <c r="Z463" i="7"/>
  <c r="Z642" i="7"/>
  <c r="Z554" i="7"/>
  <c r="Z244" i="7"/>
  <c r="Z573" i="7"/>
  <c r="Z652" i="7"/>
  <c r="Z613" i="7"/>
  <c r="Z49" i="7"/>
  <c r="Z549" i="7"/>
  <c r="Z608" i="7"/>
  <c r="Z234" i="7"/>
  <c r="Z533" i="7"/>
  <c r="Z535" i="7"/>
  <c r="Z460" i="7"/>
  <c r="Z138" i="7"/>
  <c r="Z301" i="7"/>
  <c r="Z451" i="7"/>
  <c r="Z208" i="7"/>
  <c r="Z611" i="7"/>
  <c r="Z355" i="7"/>
  <c r="Z186" i="7"/>
  <c r="Z370" i="7"/>
  <c r="Z530" i="7"/>
  <c r="Z228" i="7"/>
  <c r="Z227" i="7"/>
  <c r="Z676" i="7"/>
  <c r="Z25" i="7"/>
  <c r="Z4" i="7"/>
  <c r="Z153" i="7"/>
  <c r="Z340" i="7"/>
  <c r="Z235" i="7"/>
  <c r="Z568" i="7"/>
  <c r="Z150" i="7"/>
  <c r="Z140" i="7"/>
  <c r="Z580" i="7"/>
  <c r="Z210" i="7"/>
  <c r="Z80" i="7"/>
  <c r="Z113" i="7"/>
  <c r="Z295" i="7"/>
  <c r="Z182" i="7"/>
  <c r="Z363" i="7"/>
  <c r="Z705" i="7"/>
  <c r="Z131" i="7"/>
  <c r="Z536" i="7"/>
  <c r="Z69" i="7"/>
  <c r="Z506" i="7"/>
  <c r="Z50" i="7"/>
  <c r="Z512" i="7"/>
  <c r="Z58" i="7"/>
  <c r="Z270" i="7"/>
  <c r="Z379" i="7"/>
  <c r="Z578" i="7"/>
  <c r="Z574" i="7"/>
  <c r="Z46" i="7"/>
  <c r="Z680" i="7"/>
  <c r="Z201" i="7"/>
  <c r="Z380" i="7"/>
  <c r="Z326" i="7"/>
  <c r="Z418" i="7"/>
  <c r="Z655" i="7"/>
  <c r="Z558" i="7"/>
  <c r="Z629" i="7"/>
  <c r="Z52" i="7"/>
  <c r="Z507" i="7"/>
  <c r="Z164" i="7"/>
  <c r="Z632" i="7"/>
  <c r="Z575" i="7"/>
  <c r="Z643" i="7"/>
  <c r="Z367" i="7"/>
  <c r="Z621" i="7"/>
  <c r="Z346" i="7"/>
  <c r="Z587" i="7"/>
  <c r="Z67" i="7"/>
  <c r="Z277" i="7"/>
  <c r="Z187" i="7"/>
  <c r="Z202" i="7"/>
  <c r="Z640" i="7"/>
  <c r="Z539" i="7"/>
  <c r="AA561" i="7"/>
  <c r="AA498" i="7"/>
  <c r="AA194" i="7"/>
  <c r="AA449" i="7"/>
  <c r="AA156" i="7"/>
  <c r="AA500" i="7"/>
  <c r="AA210" i="7"/>
  <c r="AA264" i="7"/>
  <c r="AA300" i="7"/>
  <c r="AA62" i="7"/>
  <c r="AA336" i="7"/>
  <c r="AA287" i="7"/>
  <c r="AA677" i="7"/>
  <c r="AA188" i="7"/>
  <c r="AA655" i="7"/>
  <c r="AA585" i="7"/>
  <c r="AA212" i="7"/>
  <c r="AA430" i="7"/>
  <c r="AA510" i="7"/>
  <c r="AA203" i="7"/>
  <c r="AA598" i="7"/>
  <c r="AA187" i="7"/>
  <c r="AA576" i="7"/>
  <c r="AA280" i="7"/>
  <c r="AA233" i="7"/>
  <c r="AA159" i="7"/>
  <c r="AA485" i="7"/>
  <c r="AA173" i="7"/>
  <c r="AA396" i="7"/>
  <c r="AA664" i="7"/>
  <c r="AA597" i="7"/>
  <c r="AA142" i="7"/>
  <c r="AA511" i="7"/>
  <c r="AA552" i="7"/>
  <c r="AA272" i="7"/>
  <c r="AA38" i="7"/>
  <c r="AA560" i="7"/>
  <c r="AA216" i="7"/>
  <c r="AA504" i="7"/>
  <c r="AA331" i="7"/>
  <c r="AA544" i="7"/>
  <c r="AA98" i="7"/>
  <c r="AA365" i="7"/>
  <c r="AA176" i="7"/>
  <c r="AA679" i="7"/>
  <c r="AA265" i="7"/>
  <c r="AA491" i="7"/>
  <c r="AA501" i="7"/>
  <c r="AA207" i="7"/>
  <c r="AA497" i="7"/>
  <c r="AA289" i="7"/>
  <c r="AA147" i="7"/>
  <c r="AA119" i="7"/>
  <c r="AA132" i="7"/>
  <c r="AA135" i="7"/>
  <c r="AA413" i="7"/>
  <c r="AA419" i="7"/>
  <c r="AA673" i="7"/>
  <c r="AA21" i="7"/>
  <c r="AA614" i="7"/>
  <c r="AA692" i="7"/>
  <c r="AA427" i="7"/>
  <c r="AA4" i="7"/>
  <c r="AA421" i="7"/>
  <c r="AA307" i="7"/>
  <c r="AA609" i="7"/>
  <c r="AA605" i="7"/>
  <c r="AA540" i="7"/>
  <c r="AA537" i="7"/>
  <c r="AA226" i="7"/>
  <c r="AA269" i="7"/>
  <c r="AA675" i="7"/>
  <c r="AA204" i="7"/>
  <c r="AA251" i="7"/>
  <c r="AA127" i="7"/>
  <c r="AA118" i="7"/>
  <c r="AA101" i="7"/>
  <c r="AA549" i="7"/>
  <c r="AA322" i="7"/>
  <c r="AA133" i="7"/>
  <c r="AA281" i="7"/>
  <c r="AA200" i="7"/>
  <c r="AA340" i="7"/>
  <c r="AA551" i="7"/>
  <c r="AA473" i="7"/>
  <c r="AA238" i="7"/>
  <c r="AA400" i="7"/>
  <c r="AA218" i="7"/>
  <c r="AA507" i="7"/>
  <c r="AA259" i="7"/>
  <c r="AA575" i="7"/>
  <c r="AA196" i="7"/>
  <c r="AA519" i="7"/>
  <c r="AA423" i="7"/>
  <c r="AA710" i="7"/>
  <c r="AA434" i="7"/>
  <c r="AA589" i="7"/>
  <c r="AA42" i="7"/>
  <c r="AA30" i="7"/>
  <c r="AA342" i="7"/>
  <c r="AA640" i="7"/>
  <c r="AA367" i="7"/>
  <c r="AA96" i="7"/>
  <c r="AA458" i="7"/>
  <c r="AA17" i="7"/>
  <c r="AA444" i="7"/>
  <c r="AA168" i="7"/>
  <c r="AA313" i="7"/>
  <c r="AA405" i="7"/>
  <c r="AA317" i="7"/>
  <c r="AA379" i="7"/>
  <c r="AA556" i="7"/>
  <c r="AA232" i="7"/>
  <c r="AA536" i="7"/>
  <c r="AA668" i="7"/>
  <c r="AA464" i="7"/>
  <c r="AA572" i="7"/>
  <c r="AA157" i="7"/>
  <c r="AA231" i="7"/>
  <c r="AA155" i="7"/>
  <c r="AA220" i="7"/>
  <c r="AA468" i="7"/>
  <c r="AA177" i="7"/>
  <c r="AA368" i="7"/>
  <c r="AA309" i="7"/>
  <c r="AA305" i="7"/>
  <c r="AA209" i="7"/>
  <c r="AA288" i="7"/>
  <c r="AA512" i="7"/>
  <c r="AA125" i="7"/>
  <c r="AA708" i="7"/>
  <c r="AA244" i="7"/>
  <c r="AA604" i="7"/>
  <c r="AA637" i="7"/>
  <c r="AA600" i="7"/>
  <c r="AA534" i="7"/>
  <c r="AA183" i="7"/>
  <c r="AA654" i="7"/>
  <c r="AA362" i="7"/>
  <c r="AA599" i="7"/>
  <c r="AA373" i="7"/>
  <c r="AA397" i="7"/>
  <c r="AA100" i="7"/>
  <c r="AA624" i="7"/>
  <c r="AA592" i="7"/>
  <c r="AA359" i="7"/>
  <c r="AA198" i="7"/>
  <c r="AA113" i="7"/>
  <c r="AA374" i="7"/>
  <c r="AA349" i="7"/>
  <c r="AA243" i="7"/>
  <c r="AA452" i="7"/>
  <c r="AA582" i="7"/>
  <c r="AA535" i="7"/>
  <c r="AA167" i="7"/>
  <c r="AA595" i="7"/>
  <c r="AA571" i="7"/>
  <c r="AA487" i="7"/>
  <c r="AA721" i="7"/>
  <c r="AA620" i="7"/>
  <c r="AA86" i="7"/>
  <c r="AA529" i="7"/>
  <c r="AA82" i="7"/>
  <c r="AA298" i="7"/>
  <c r="AA348" i="7"/>
  <c r="AA170" i="7"/>
  <c r="AA58" i="7"/>
  <c r="AA106" i="7"/>
  <c r="AA377" i="7"/>
  <c r="AA25" i="7"/>
  <c r="AA9" i="7"/>
  <c r="AA28" i="7"/>
  <c r="AA691" i="7"/>
  <c r="AA635" i="7"/>
  <c r="AA518" i="7"/>
  <c r="AA495" i="7"/>
  <c r="AA240" i="7"/>
  <c r="AA548" i="7"/>
  <c r="AA683" i="7"/>
  <c r="AA629" i="7"/>
  <c r="AA105" i="7"/>
  <c r="AA661" i="7"/>
  <c r="AA688" i="7"/>
  <c r="AA115" i="7"/>
  <c r="AA422" i="7"/>
  <c r="AA339" i="7"/>
  <c r="AA619" i="7"/>
  <c r="AA583" i="7"/>
  <c r="AA10" i="7"/>
  <c r="AA466" i="7"/>
  <c r="AA303" i="7"/>
  <c r="AA329" i="7"/>
  <c r="AA520" i="7"/>
  <c r="AA579" i="7"/>
  <c r="AA69" i="7"/>
  <c r="AA418" i="7"/>
  <c r="AA239" i="7"/>
  <c r="AA525" i="7"/>
  <c r="AA642" i="7"/>
  <c r="AA241" i="7"/>
  <c r="AA358" i="7"/>
  <c r="AA350" i="7"/>
  <c r="AA663" i="7"/>
  <c r="AA428" i="7"/>
  <c r="AA45" i="7"/>
  <c r="AA372" i="7"/>
  <c r="AA492" i="7"/>
  <c r="AA360" i="7"/>
  <c r="AA47" i="7"/>
  <c r="AA581" i="7"/>
  <c r="AA122" i="7"/>
  <c r="AA266" i="7"/>
  <c r="AA669" i="7"/>
  <c r="AA528" i="7"/>
  <c r="AA283" i="7"/>
  <c r="AA530" i="7"/>
  <c r="AA290" i="7"/>
  <c r="AA215" i="7"/>
  <c r="AA334" i="7"/>
  <c r="AA29" i="7"/>
  <c r="AA401" i="7"/>
  <c r="AA702" i="7"/>
  <c r="AA235" i="7"/>
  <c r="AA666" i="7"/>
  <c r="AA550" i="7"/>
  <c r="AA662" i="7"/>
  <c r="AA249" i="7"/>
  <c r="AA490" i="7"/>
  <c r="AA399" i="7"/>
  <c r="AA169" i="7"/>
  <c r="AA250" i="7"/>
  <c r="AA67" i="7"/>
  <c r="AA263" i="7"/>
  <c r="AA527" i="7"/>
  <c r="AA395" i="7"/>
  <c r="AA641" i="7"/>
  <c r="AA628" i="7"/>
  <c r="AA182" i="7"/>
  <c r="AA363" i="7"/>
  <c r="AA202" i="7"/>
  <c r="AA514" i="7"/>
  <c r="AA208" i="7"/>
  <c r="AA650" i="7"/>
  <c r="AA90" i="7"/>
  <c r="AA351" i="7"/>
  <c r="AA555" i="7"/>
  <c r="AA578" i="7"/>
  <c r="AA610" i="7"/>
  <c r="AA68" i="7"/>
  <c r="AA448" i="7"/>
  <c r="AA77" i="7"/>
  <c r="AA658" i="7"/>
  <c r="AA56" i="7"/>
  <c r="AA554" i="7"/>
  <c r="AA505" i="7"/>
  <c r="AA542" i="7"/>
  <c r="AA657" i="7"/>
  <c r="AA547" i="7"/>
  <c r="AA453" i="7"/>
  <c r="AA165" i="7"/>
  <c r="AA78" i="7"/>
  <c r="AA345" i="7"/>
  <c r="AA120" i="7"/>
  <c r="AA709" i="7"/>
  <c r="AA23" i="7"/>
  <c r="AA436" i="7"/>
  <c r="AA697" i="7"/>
  <c r="AA476" i="7"/>
  <c r="AA260" i="7"/>
  <c r="AA299" i="7"/>
  <c r="AA270" i="7"/>
  <c r="AA545" i="7"/>
  <c r="AA41" i="7"/>
  <c r="AA371" i="7"/>
  <c r="AA475" i="7"/>
  <c r="AA16" i="7"/>
  <c r="AA197" i="7"/>
  <c r="AA704" i="7"/>
  <c r="AA246" i="7"/>
  <c r="AA715" i="7"/>
  <c r="AA646" i="7"/>
  <c r="AA382" i="7"/>
  <c r="AA445" i="7"/>
  <c r="AA73" i="7"/>
  <c r="AA478" i="7"/>
  <c r="AA587" i="7"/>
  <c r="AA22" i="7"/>
  <c r="AA603" i="7"/>
  <c r="AA15" i="7"/>
  <c r="AA88" i="7"/>
  <c r="AA102" i="7"/>
  <c r="AA52" i="7"/>
  <c r="AA247" i="7"/>
  <c r="AA696" i="7"/>
  <c r="AA394" i="7"/>
  <c r="AA366" i="7"/>
  <c r="AA80" i="7"/>
  <c r="AA564" i="7"/>
  <c r="AA670" i="7"/>
  <c r="AA712" i="7"/>
  <c r="AA310" i="7"/>
  <c r="AA612" i="7"/>
  <c r="AA257" i="7"/>
  <c r="AA180" i="7"/>
  <c r="AA151" i="7"/>
  <c r="AA191" i="7"/>
  <c r="AA192" i="7"/>
  <c r="AA50" i="7"/>
  <c r="AA354" i="7"/>
  <c r="AA144" i="7"/>
  <c r="AA276" i="7"/>
  <c r="AA459" i="7"/>
  <c r="AA48" i="7"/>
  <c r="AA171" i="7"/>
  <c r="AA616" i="7"/>
  <c r="AA714" i="7"/>
  <c r="AA480" i="7"/>
  <c r="AA315" i="7"/>
  <c r="AA205" i="7"/>
  <c r="AA407" i="7"/>
  <c r="AA49" i="7"/>
  <c r="AA625" i="7"/>
  <c r="AA455" i="7"/>
  <c r="AA99" i="7"/>
  <c r="AA438" i="7"/>
  <c r="AA217" i="7"/>
  <c r="AA651" i="7"/>
  <c r="AA318" i="7"/>
  <c r="AA164" i="7"/>
  <c r="AA343" i="7"/>
  <c r="AA193" i="7"/>
  <c r="AA719" i="7"/>
  <c r="AA392" i="7"/>
  <c r="AA567" i="7"/>
  <c r="AA531" i="7"/>
  <c r="AA613" i="7"/>
  <c r="AA108" i="7"/>
  <c r="AA237" i="7"/>
  <c r="AA296" i="7"/>
  <c r="AA437" i="7"/>
  <c r="AA580" i="7"/>
  <c r="AA93" i="7"/>
  <c r="AA107" i="7"/>
  <c r="AA46" i="7"/>
  <c r="AA429" i="7"/>
  <c r="AA163" i="7"/>
  <c r="AA693" i="7"/>
  <c r="AA461" i="7"/>
  <c r="AA7" i="7"/>
  <c r="AA43" i="7"/>
  <c r="AA253" i="7"/>
  <c r="AA660" i="7"/>
  <c r="AA79" i="7"/>
  <c r="AA357" i="7"/>
  <c r="AA387" i="7"/>
  <c r="AA632" i="7"/>
  <c r="AA295" i="7"/>
  <c r="AA242" i="7"/>
  <c r="AA277" i="7"/>
  <c r="AA333" i="7"/>
  <c r="AA330" i="7"/>
  <c r="AA415" i="7"/>
  <c r="AA126" i="7"/>
  <c r="AA411" i="7"/>
  <c r="AA412" i="7"/>
  <c r="AA503" i="7"/>
  <c r="AA83" i="7"/>
  <c r="AA178" i="7"/>
  <c r="AA24" i="7"/>
  <c r="AA248" i="7"/>
  <c r="AA252" i="7"/>
  <c r="AA211" i="7"/>
  <c r="AA482" i="7"/>
  <c r="AA175" i="7"/>
  <c r="AA261" i="7"/>
  <c r="AA522" i="7"/>
  <c r="AA301" i="7"/>
  <c r="AA230" i="7"/>
  <c r="AA533" i="7"/>
  <c r="AA308" i="7"/>
  <c r="AA406" i="7"/>
  <c r="AA347" i="7"/>
  <c r="AA338" i="7"/>
  <c r="AA424" i="7"/>
  <c r="AA450" i="7"/>
  <c r="AA671" i="7"/>
  <c r="AA227" i="7"/>
  <c r="AA489" i="7"/>
  <c r="AA148" i="7"/>
  <c r="AA557" i="7"/>
  <c r="AA711" i="7"/>
  <c r="AA630" i="7"/>
  <c r="AA65" i="7"/>
  <c r="AA214" i="7"/>
  <c r="AA467" i="7"/>
  <c r="AA256" i="7"/>
  <c r="AA273" i="7"/>
  <c r="AA611" i="7"/>
  <c r="AA607" i="7"/>
  <c r="AA66" i="7"/>
  <c r="AA432" i="7"/>
  <c r="AA433" i="7"/>
  <c r="AA335" i="7"/>
  <c r="AA465" i="7"/>
  <c r="AA285" i="7"/>
  <c r="AA37" i="7"/>
  <c r="AA346" i="7"/>
  <c r="AA443" i="7"/>
  <c r="AA131" i="7"/>
  <c r="AA271" i="7"/>
  <c r="AA104" i="7"/>
  <c r="AA643" i="7"/>
  <c r="AA649" i="7"/>
  <c r="AA186" i="7"/>
  <c r="AA685" i="7"/>
  <c r="AA53" i="7"/>
  <c r="AA12" i="7"/>
  <c r="AA64" i="7"/>
  <c r="AA166" i="7"/>
  <c r="AA648" i="7"/>
  <c r="AA341" i="7"/>
  <c r="AA674" i="7"/>
  <c r="AA493" i="7"/>
  <c r="AA502" i="7"/>
  <c r="AA425" i="7"/>
  <c r="AA558" i="7"/>
  <c r="AA390" i="7"/>
  <c r="AA565" i="7"/>
  <c r="AA526" i="7"/>
  <c r="AA378" i="7"/>
  <c r="AA236" i="7"/>
  <c r="AA304" i="7"/>
  <c r="AA97" i="7"/>
  <c r="AA615" i="7"/>
  <c r="AA91" i="7"/>
  <c r="AA190" i="7"/>
  <c r="AA323" i="7"/>
  <c r="AA652" i="7"/>
  <c r="AA694" i="7"/>
  <c r="AA158" i="7"/>
  <c r="AA705" i="7"/>
  <c r="AA319" i="7"/>
  <c r="AA562" i="7"/>
  <c r="AA506" i="7"/>
  <c r="AA623" i="7"/>
  <c r="AA515" i="7"/>
  <c r="AA124" i="7"/>
  <c r="AA370" i="7"/>
  <c r="AA179" i="7"/>
  <c r="AA687" i="7"/>
  <c r="AA33" i="7"/>
  <c r="AA479" i="7"/>
  <c r="AA87" i="7"/>
  <c r="AA384" i="7"/>
  <c r="AA355" i="7"/>
  <c r="AA431" i="7"/>
  <c r="AA524" i="7"/>
  <c r="AA420" i="7"/>
  <c r="AA31" i="7"/>
  <c r="AA451" i="7"/>
  <c r="AA327" i="7"/>
  <c r="AA162" i="7"/>
  <c r="AA513" i="7"/>
  <c r="AA228" i="7"/>
  <c r="AA389" i="7"/>
  <c r="AA376" i="7"/>
  <c r="AA35" i="7"/>
  <c r="AA566" i="7"/>
  <c r="AA224" i="7"/>
  <c r="AA55" i="7"/>
  <c r="AA634" i="7"/>
  <c r="AA314" i="7"/>
  <c r="AA344" i="7"/>
  <c r="AA291" i="7"/>
  <c r="AA391" i="7"/>
  <c r="AA636" i="7"/>
  <c r="AA111" i="7"/>
  <c r="AA3" i="7"/>
  <c r="AA275" i="7"/>
  <c r="AA570" i="7"/>
  <c r="AA63" i="7"/>
  <c r="AA602" i="7"/>
  <c r="AA94" i="7"/>
  <c r="AA690" i="7"/>
  <c r="AA644" i="7"/>
  <c r="AA234" i="7"/>
  <c r="AA647" i="7"/>
  <c r="AA521" i="7"/>
  <c r="AA70" i="7"/>
  <c r="AA143" i="7"/>
  <c r="AA621" i="7"/>
  <c r="AA722" i="7"/>
  <c r="AA39" i="7"/>
  <c r="AA268" i="7"/>
  <c r="AA463" i="7"/>
  <c r="AA457" i="7"/>
  <c r="AA408" i="7"/>
  <c r="AA109" i="7"/>
  <c r="AA174" i="7"/>
  <c r="AA410" i="7"/>
  <c r="AA84" i="7"/>
  <c r="AA553" i="7"/>
  <c r="AA601" i="7"/>
  <c r="AA386" i="7"/>
  <c r="AA181" i="7"/>
  <c r="AA337" i="7"/>
  <c r="AA60" i="7"/>
  <c r="AA541" i="7"/>
  <c r="AA591" i="7"/>
  <c r="AA149" i="7"/>
  <c r="AA302" i="7"/>
  <c r="AA153" i="7"/>
  <c r="AA631" i="7"/>
  <c r="AA699" i="7"/>
  <c r="AA92" i="7"/>
  <c r="AA380" i="7"/>
  <c r="AA470" i="7"/>
  <c r="AA161" i="7"/>
  <c r="AA707" i="7"/>
  <c r="AA471" i="7"/>
  <c r="AA116" i="7"/>
  <c r="AA701" i="7"/>
  <c r="AA543" i="7"/>
  <c r="AA381" i="7"/>
  <c r="AA206" i="7"/>
  <c r="AA681" i="7"/>
  <c r="AA13" i="7"/>
  <c r="AA446" i="7"/>
  <c r="AA596" i="7"/>
  <c r="AA267" i="7"/>
  <c r="AA59" i="7"/>
  <c r="AA140" i="7"/>
  <c r="AA460" i="7"/>
  <c r="AA26" i="7"/>
  <c r="AA219" i="7"/>
  <c r="AA404" i="7"/>
  <c r="AA103" i="7"/>
  <c r="AA44" i="7"/>
  <c r="AA462" i="7"/>
  <c r="AA114" i="7"/>
  <c r="AA89" i="7"/>
  <c r="AA456" i="7"/>
  <c r="AA667" i="7"/>
  <c r="AA508" i="7"/>
  <c r="AA523" i="7"/>
  <c r="AA297" i="7"/>
  <c r="AA638" i="7"/>
  <c r="AA698" i="7"/>
  <c r="AA680" i="7"/>
  <c r="AA517" i="7"/>
  <c r="AA321" i="7"/>
  <c r="AA385" i="7"/>
  <c r="AA320" i="7"/>
  <c r="AA369" i="7"/>
  <c r="AA627" i="7"/>
  <c r="AA364" i="7"/>
  <c r="AA402" i="7"/>
  <c r="AA442" i="7"/>
  <c r="AA486" i="7"/>
  <c r="AA14" i="7"/>
  <c r="AA74" i="7"/>
  <c r="AA112" i="7"/>
  <c r="AA574" i="7"/>
  <c r="AA258" i="7"/>
  <c r="AA477" i="7"/>
  <c r="AA532" i="7"/>
  <c r="AA569" i="7"/>
  <c r="AA441" i="7"/>
  <c r="AA426" i="7"/>
  <c r="AA593" i="7"/>
  <c r="AA213" i="7"/>
  <c r="AA294" i="7"/>
  <c r="AA110" i="7"/>
  <c r="AA573" i="7"/>
  <c r="AA682" i="7"/>
  <c r="AA150" i="7"/>
  <c r="AA689" i="7"/>
  <c r="AA383" i="7"/>
  <c r="AA414" i="7"/>
  <c r="AA717" i="7"/>
  <c r="AA146" i="7"/>
  <c r="AA496" i="7"/>
  <c r="AA32" i="7"/>
  <c r="AA326" i="7"/>
  <c r="AA154" i="7"/>
  <c r="AA292" i="7"/>
  <c r="AA5" i="7"/>
  <c r="AA403" i="7"/>
  <c r="AA51" i="7"/>
  <c r="AA172" i="7"/>
  <c r="AA539" i="7"/>
  <c r="AA95" i="7"/>
  <c r="AA416" i="7"/>
  <c r="AA36" i="7"/>
  <c r="AA546" i="7"/>
  <c r="AA440" i="7"/>
  <c r="AA199" i="7"/>
  <c r="AA483" i="7"/>
  <c r="AA138" i="7"/>
  <c r="AA284" i="7"/>
  <c r="AA19" i="7"/>
  <c r="AA75" i="7"/>
  <c r="AA618" i="7"/>
  <c r="AA61" i="7"/>
  <c r="AA117" i="7"/>
  <c r="AA499" i="7"/>
  <c r="AA356" i="7"/>
  <c r="AA141" i="7"/>
  <c r="AA139" i="7"/>
  <c r="AA626" i="7"/>
  <c r="AA686" i="7"/>
  <c r="AA388" i="7"/>
  <c r="AA695" i="7"/>
  <c r="AA469" i="7"/>
  <c r="AA81" i="7"/>
  <c r="AA20" i="7"/>
  <c r="AA311" i="7"/>
  <c r="AA608" i="7"/>
  <c r="AA484" i="7"/>
  <c r="AA137" i="7"/>
  <c r="AA590" i="7"/>
  <c r="AA472" i="7"/>
  <c r="AA439" i="7"/>
  <c r="AA352" i="7"/>
  <c r="AA718" i="7"/>
  <c r="AA606" i="7"/>
  <c r="AA659" i="7"/>
  <c r="AA563" i="7"/>
  <c r="AA633" i="7"/>
  <c r="AA6" i="7"/>
  <c r="AA665" i="7"/>
  <c r="AA185" i="7"/>
  <c r="AA254" i="7"/>
  <c r="AA716" i="7"/>
  <c r="AA447" i="7"/>
  <c r="AA488" i="7"/>
  <c r="AA324" i="7"/>
  <c r="AA481" i="7"/>
  <c r="AA27" i="7"/>
  <c r="AA11" i="7"/>
  <c r="AA594" i="7"/>
  <c r="AA85" i="7"/>
  <c r="AA417" i="7"/>
  <c r="AA474" i="7"/>
  <c r="AA40" i="7"/>
  <c r="AA136" i="7"/>
  <c r="AA703" i="7"/>
  <c r="AA332" i="7"/>
  <c r="AA145" i="7"/>
  <c r="AA223" i="7"/>
  <c r="AA152" i="7"/>
  <c r="AA279" i="7"/>
  <c r="AA225" i="7"/>
  <c r="AA278" i="7"/>
  <c r="AA684" i="7"/>
  <c r="AA76" i="7"/>
  <c r="AA34" i="7"/>
  <c r="AA201" i="7"/>
  <c r="AA316" i="7"/>
  <c r="AA617" i="7"/>
  <c r="AA189" i="7"/>
  <c r="AA656" i="7"/>
  <c r="AA229" i="7"/>
  <c r="AA435" i="7"/>
  <c r="AA454" i="7"/>
  <c r="AA700" i="7"/>
  <c r="AA293" i="7"/>
  <c r="AA245" i="7"/>
  <c r="AA195" i="7"/>
  <c r="AA282" i="7"/>
  <c r="AA409" i="7"/>
  <c r="AA706" i="7"/>
  <c r="AA676" i="7"/>
  <c r="AA568" i="7"/>
  <c r="AA134" i="7"/>
  <c r="AA221" i="7"/>
  <c r="AA130" i="7"/>
  <c r="AA184" i="7"/>
  <c r="AA312" i="7"/>
  <c r="AA375" i="7"/>
  <c r="AA325" i="7"/>
  <c r="AA128" i="7"/>
  <c r="AA586" i="7"/>
  <c r="AA361" i="7"/>
  <c r="AA645" i="7"/>
  <c r="AA57" i="7"/>
  <c r="AA72" i="7"/>
  <c r="AA559" i="7"/>
  <c r="AA328" i="7"/>
  <c r="AA588" i="7"/>
  <c r="AA8" i="7"/>
  <c r="AA516" i="7"/>
  <c r="AA71" i="7"/>
  <c r="AA494" i="7"/>
  <c r="AA653" i="7"/>
  <c r="AA678" i="7"/>
  <c r="AA639" i="7"/>
  <c r="AA398" i="7"/>
  <c r="AA274" i="7"/>
  <c r="AA54" i="7"/>
  <c r="AA129" i="7"/>
  <c r="AA353" i="7"/>
  <c r="AA160" i="7"/>
  <c r="AA509" i="7"/>
  <c r="AA18" i="7"/>
  <c r="AA713" i="7"/>
  <c r="AA121" i="7"/>
  <c r="AA584" i="7"/>
  <c r="AA577" i="7"/>
  <c r="AA222" i="7"/>
  <c r="AA538" i="7"/>
  <c r="AA123" i="7"/>
  <c r="AA286" i="7"/>
  <c r="AA622" i="7"/>
  <c r="AA306" i="7"/>
  <c r="AA255" i="7"/>
  <c r="AA672" i="7"/>
  <c r="AA393" i="7"/>
  <c r="AA720" i="7"/>
  <c r="AA262" i="7"/>
</calcChain>
</file>

<file path=xl/comments1.xml><?xml version="1.0" encoding="utf-8"?>
<comments xmlns="http://schemas.openxmlformats.org/spreadsheetml/2006/main">
  <authors>
    <author>MAZZOCCHI PAOLO</author>
  </authors>
  <commentList>
    <comment ref="M8" authorId="0">
      <text>
        <r>
          <rPr>
            <b/>
            <sz val="9"/>
            <color indexed="81"/>
            <rFont val="Tahoma"/>
            <family val="2"/>
          </rPr>
          <t>insert here the guess parameters</t>
        </r>
      </text>
    </comment>
  </commentList>
</comments>
</file>

<file path=xl/sharedStrings.xml><?xml version="1.0" encoding="utf-8"?>
<sst xmlns="http://schemas.openxmlformats.org/spreadsheetml/2006/main" count="197" uniqueCount="63">
  <si>
    <t>3M</t>
  </si>
  <si>
    <t>EUR</t>
  </si>
  <si>
    <t>IborType</t>
  </si>
  <si>
    <t>General Settings</t>
  </si>
  <si>
    <t>Currency</t>
  </si>
  <si>
    <t>Calendar</t>
  </si>
  <si>
    <t>TARGET</t>
  </si>
  <si>
    <t>OvenightIndex</t>
  </si>
  <si>
    <t>Eonia</t>
  </si>
  <si>
    <t>Discounting</t>
  </si>
  <si>
    <t>EURON</t>
  </si>
  <si>
    <t>Daycounter</t>
  </si>
  <si>
    <t>Actual/360</t>
  </si>
  <si>
    <t>Triggers</t>
  </si>
  <si>
    <t>SettlementDate</t>
  </si>
  <si>
    <t>Trigger</t>
  </si>
  <si>
    <t>Evaluation Date</t>
  </si>
  <si>
    <t>Interest Rates Trigger</t>
  </si>
  <si>
    <t>LastFixingsTrigger</t>
  </si>
  <si>
    <t>1M</t>
  </si>
  <si>
    <t>Index</t>
  </si>
  <si>
    <t>Tenor</t>
  </si>
  <si>
    <t>fixing date</t>
  </si>
  <si>
    <t>value date</t>
  </si>
  <si>
    <t>F ON</t>
  </si>
  <si>
    <t>Time Axis</t>
  </si>
  <si>
    <t>Rate Axis</t>
  </si>
  <si>
    <t>Years</t>
  </si>
  <si>
    <t>Min</t>
  </si>
  <si>
    <t>Months</t>
  </si>
  <si>
    <t>Max</t>
  </si>
  <si>
    <t>Major unit</t>
  </si>
  <si>
    <t>Min value</t>
  </si>
  <si>
    <t>Max value</t>
  </si>
  <si>
    <t>6M</t>
  </si>
  <si>
    <t>error</t>
  </si>
  <si>
    <t>Market Basis</t>
  </si>
  <si>
    <t>Time</t>
  </si>
  <si>
    <t>compute</t>
  </si>
  <si>
    <t>a guess</t>
  </si>
  <si>
    <t>b guess</t>
  </si>
  <si>
    <t>c guess</t>
  </si>
  <si>
    <t>d guess</t>
  </si>
  <si>
    <t>Abcd Calibration</t>
  </si>
  <si>
    <t>Weights</t>
  </si>
  <si>
    <t>calibration</t>
  </si>
  <si>
    <t>a</t>
  </si>
  <si>
    <t>b</t>
  </si>
  <si>
    <t>c</t>
  </si>
  <si>
    <t>d</t>
  </si>
  <si>
    <t>Tenor Basis</t>
  </si>
  <si>
    <t>ABCD Tenor Basis</t>
  </si>
  <si>
    <t>Error</t>
  </si>
  <si>
    <t>1Y</t>
  </si>
  <si>
    <t>ABCD Cont Basis</t>
  </si>
  <si>
    <t>Maturity</t>
  </si>
  <si>
    <t>Year Fraction</t>
  </si>
  <si>
    <t>max error</t>
  </si>
  <si>
    <t>k</t>
  </si>
  <si>
    <t>F 6M from Basis</t>
  </si>
  <si>
    <t>Use Weights</t>
  </si>
  <si>
    <t>Is Fixed</t>
  </si>
  <si>
    <t>Calibrated 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</si>
</sst>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\,\ dd\-mmm\-yyyy\ h:mm:ss"/>
    <numFmt numFmtId="165" formatCode="ddd\,\ d\-mmm\-yyyy"/>
    <numFmt numFmtId="166" formatCode="0.0000%"/>
    <numFmt numFmtId="167" formatCode="0.0000"/>
    <numFmt numFmtId="168" formatCode="ddd\,\ dd\-mmm\-yyyy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theme="0"/>
      <name val="Courier New"/>
      <family val="3"/>
    </font>
    <font>
      <sz val="12"/>
      <name val="Courier New"/>
      <family val="3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2" fillId="2" borderId="0" xfId="1" applyFont="1" applyFill="1" applyBorder="1"/>
    <xf numFmtId="0" fontId="2" fillId="2" borderId="1" xfId="1" applyFont="1" applyFill="1" applyBorder="1" applyAlignment="1">
      <alignment horizontal="center"/>
    </xf>
    <xf numFmtId="164" fontId="2" fillId="2" borderId="1" xfId="1" applyNumberFormat="1" applyFont="1" applyFill="1" applyBorder="1" applyAlignment="1">
      <alignment horizontal="center"/>
    </xf>
    <xf numFmtId="165" fontId="2" fillId="2" borderId="1" xfId="4" applyNumberFormat="1" applyFont="1" applyFill="1" applyBorder="1" applyAlignment="1">
      <alignment horizontal="center"/>
    </xf>
    <xf numFmtId="165" fontId="2" fillId="2" borderId="2" xfId="4" applyNumberFormat="1" applyFont="1" applyFill="1" applyBorder="1" applyAlignment="1">
      <alignment horizontal="center"/>
    </xf>
    <xf numFmtId="168" fontId="2" fillId="2" borderId="2" xfId="4" applyNumberFormat="1" applyFont="1" applyFill="1" applyBorder="1" applyAlignment="1">
      <alignment horizontal="center"/>
    </xf>
    <xf numFmtId="168" fontId="2" fillId="2" borderId="1" xfId="1" applyNumberFormat="1" applyFont="1" applyFill="1" applyBorder="1" applyAlignment="1">
      <alignment horizontal="center"/>
    </xf>
    <xf numFmtId="1" fontId="2" fillId="2" borderId="1" xfId="4" applyNumberFormat="1" applyFont="1" applyFill="1" applyBorder="1" applyAlignment="1">
      <alignment horizontal="center"/>
    </xf>
    <xf numFmtId="1" fontId="2" fillId="2" borderId="2" xfId="4" applyNumberFormat="1" applyFont="1" applyFill="1" applyBorder="1" applyAlignment="1">
      <alignment horizontal="center"/>
    </xf>
    <xf numFmtId="168" fontId="2" fillId="5" borderId="5" xfId="3" applyNumberFormat="1" applyFont="1" applyFill="1" applyBorder="1"/>
    <xf numFmtId="0" fontId="2" fillId="3" borderId="5" xfId="3" applyFont="1" applyFill="1" applyBorder="1"/>
    <xf numFmtId="0" fontId="2" fillId="5" borderId="7" xfId="3" applyNumberFormat="1" applyFont="1" applyFill="1" applyBorder="1"/>
    <xf numFmtId="0" fontId="5" fillId="5" borderId="7" xfId="0" applyFont="1" applyFill="1" applyBorder="1"/>
    <xf numFmtId="0" fontId="6" fillId="4" borderId="1" xfId="3" applyFont="1" applyFill="1" applyBorder="1" applyAlignment="1">
      <alignment horizontal="centerContinuous"/>
    </xf>
    <xf numFmtId="0" fontId="6" fillId="4" borderId="1" xfId="3" applyFont="1" applyFill="1" applyBorder="1" applyAlignment="1">
      <alignment horizontal="center" vertical="center" wrapText="1"/>
    </xf>
    <xf numFmtId="0" fontId="2" fillId="5" borderId="6" xfId="3" applyNumberFormat="1" applyFont="1" applyFill="1" applyBorder="1"/>
    <xf numFmtId="0" fontId="2" fillId="5" borderId="5" xfId="3" applyNumberFormat="1" applyFont="1" applyFill="1" applyBorder="1"/>
    <xf numFmtId="0" fontId="2" fillId="5" borderId="5" xfId="3" applyFont="1" applyFill="1" applyBorder="1"/>
    <xf numFmtId="0" fontId="2" fillId="5" borderId="4" xfId="3" applyFont="1" applyFill="1" applyBorder="1"/>
    <xf numFmtId="168" fontId="2" fillId="5" borderId="4" xfId="3" applyNumberFormat="1" applyFont="1" applyFill="1" applyBorder="1"/>
    <xf numFmtId="0" fontId="2" fillId="3" borderId="4" xfId="3" applyFont="1" applyFill="1" applyBorder="1"/>
    <xf numFmtId="0" fontId="5" fillId="5" borderId="8" xfId="0" applyFont="1" applyFill="1" applyBorder="1"/>
    <xf numFmtId="0" fontId="2" fillId="5" borderId="9" xfId="3" applyNumberFormat="1" applyFont="1" applyFill="1" applyBorder="1"/>
    <xf numFmtId="0" fontId="2" fillId="5" borderId="4" xfId="3" applyNumberFormat="1" applyFont="1" applyFill="1" applyBorder="1"/>
    <xf numFmtId="0" fontId="2" fillId="5" borderId="8" xfId="3" applyNumberFormat="1" applyFont="1" applyFill="1" applyBorder="1"/>
    <xf numFmtId="0" fontId="5" fillId="0" borderId="3" xfId="0" applyFont="1" applyBorder="1"/>
    <xf numFmtId="0" fontId="5" fillId="0" borderId="5" xfId="0" applyFont="1" applyBorder="1"/>
    <xf numFmtId="168" fontId="5" fillId="0" borderId="5" xfId="0" applyNumberFormat="1" applyFont="1" applyBorder="1"/>
    <xf numFmtId="167" fontId="5" fillId="0" borderId="5" xfId="0" applyNumberFormat="1" applyFont="1" applyBorder="1"/>
    <xf numFmtId="166" fontId="5" fillId="0" borderId="5" xfId="0" applyNumberFormat="1" applyFont="1" applyBorder="1"/>
    <xf numFmtId="168" fontId="5" fillId="0" borderId="4" xfId="0" applyNumberFormat="1" applyFont="1" applyBorder="1"/>
    <xf numFmtId="166" fontId="5" fillId="0" borderId="4" xfId="0" applyNumberFormat="1" applyFont="1" applyBorder="1"/>
    <xf numFmtId="0" fontId="5" fillId="6" borderId="0" xfId="0" applyFont="1" applyFill="1"/>
    <xf numFmtId="166" fontId="5" fillId="6" borderId="0" xfId="0" applyNumberFormat="1" applyFont="1" applyFill="1"/>
    <xf numFmtId="0" fontId="5" fillId="0" borderId="1" xfId="0" applyFont="1" applyBorder="1"/>
    <xf numFmtId="0" fontId="5" fillId="6" borderId="0" xfId="0" applyFont="1" applyFill="1" applyBorder="1"/>
    <xf numFmtId="0" fontId="5" fillId="6" borderId="10" xfId="0" applyFont="1" applyFill="1" applyBorder="1"/>
    <xf numFmtId="168" fontId="5" fillId="6" borderId="10" xfId="0" applyNumberFormat="1" applyFont="1" applyFill="1" applyBorder="1"/>
    <xf numFmtId="166" fontId="5" fillId="6" borderId="10" xfId="0" applyNumberFormat="1" applyFont="1" applyFill="1" applyBorder="1"/>
    <xf numFmtId="168" fontId="5" fillId="6" borderId="0" xfId="0" applyNumberFormat="1" applyFont="1" applyFill="1" applyBorder="1"/>
    <xf numFmtId="166" fontId="5" fillId="6" borderId="0" xfId="0" applyNumberFormat="1" applyFont="1" applyFill="1" applyBorder="1"/>
    <xf numFmtId="167" fontId="5" fillId="6" borderId="0" xfId="0" applyNumberFormat="1" applyFont="1" applyFill="1"/>
    <xf numFmtId="166" fontId="5" fillId="0" borderId="1" xfId="0" applyNumberFormat="1" applyFont="1" applyBorder="1"/>
    <xf numFmtId="167" fontId="5" fillId="0" borderId="1" xfId="0" applyNumberFormat="1" applyFont="1" applyBorder="1"/>
    <xf numFmtId="0" fontId="2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/>
    <xf numFmtId="0" fontId="2" fillId="2" borderId="7" xfId="1" applyFont="1" applyFill="1" applyBorder="1"/>
    <xf numFmtId="0" fontId="2" fillId="2" borderId="11" xfId="1" applyFont="1" applyFill="1" applyBorder="1"/>
    <xf numFmtId="0" fontId="2" fillId="3" borderId="8" xfId="1" applyFont="1" applyFill="1" applyBorder="1"/>
    <xf numFmtId="0" fontId="2" fillId="3" borderId="12" xfId="1" applyFont="1" applyFill="1" applyBorder="1"/>
    <xf numFmtId="0" fontId="2" fillId="2" borderId="13" xfId="1" applyFont="1" applyFill="1" applyBorder="1"/>
    <xf numFmtId="0" fontId="7" fillId="7" borderId="14" xfId="2" applyFont="1" applyFill="1" applyBorder="1" applyAlignment="1">
      <alignment horizontal="centerContinuous" vertical="center"/>
    </xf>
    <xf numFmtId="0" fontId="7" fillId="7" borderId="15" xfId="2" applyFont="1" applyFill="1" applyBorder="1" applyAlignment="1">
      <alignment horizontal="centerContinuous" vertical="center"/>
    </xf>
    <xf numFmtId="0" fontId="7" fillId="7" borderId="16" xfId="2" applyFont="1" applyFill="1" applyBorder="1" applyAlignment="1">
      <alignment horizontal="centerContinuous" vertical="center"/>
    </xf>
    <xf numFmtId="0" fontId="7" fillId="7" borderId="17" xfId="2" applyFont="1" applyFill="1" applyBorder="1" applyAlignment="1">
      <alignment horizontal="centerContinuous" vertical="center"/>
    </xf>
    <xf numFmtId="0" fontId="7" fillId="7" borderId="18" xfId="2" applyFont="1" applyFill="1" applyBorder="1" applyAlignment="1">
      <alignment horizontal="centerContinuous" vertical="center"/>
    </xf>
    <xf numFmtId="0" fontId="7" fillId="7" borderId="19" xfId="2" applyFont="1" applyFill="1" applyBorder="1" applyAlignment="1">
      <alignment horizontal="centerContinuous" vertical="center"/>
    </xf>
    <xf numFmtId="0" fontId="2" fillId="2" borderId="17" xfId="0" applyFont="1" applyFill="1" applyBorder="1"/>
    <xf numFmtId="0" fontId="2" fillId="2" borderId="10" xfId="0" applyFont="1" applyFill="1" applyBorder="1"/>
    <xf numFmtId="0" fontId="2" fillId="2" borderId="20" xfId="0" applyFont="1" applyFill="1" applyBorder="1"/>
    <xf numFmtId="0" fontId="2" fillId="2" borderId="7" xfId="0" applyFont="1" applyFill="1" applyBorder="1"/>
    <xf numFmtId="0" fontId="2" fillId="2" borderId="11" xfId="0" applyFont="1" applyFill="1" applyBorder="1"/>
    <xf numFmtId="168" fontId="2" fillId="2" borderId="8" xfId="4" applyNumberFormat="1" applyFont="1" applyFill="1" applyBorder="1" applyAlignment="1">
      <alignment horizontal="center"/>
    </xf>
    <xf numFmtId="168" fontId="2" fillId="2" borderId="12" xfId="4" applyNumberFormat="1" applyFont="1" applyFill="1" applyBorder="1" applyAlignment="1">
      <alignment horizontal="center"/>
    </xf>
    <xf numFmtId="168" fontId="2" fillId="2" borderId="13" xfId="4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right"/>
    </xf>
    <xf numFmtId="0" fontId="2" fillId="6" borderId="1" xfId="1" applyFont="1" applyFill="1" applyBorder="1" applyAlignment="1">
      <alignment horizontal="right" vertical="center"/>
    </xf>
    <xf numFmtId="0" fontId="2" fillId="6" borderId="0" xfId="1" applyFont="1" applyFill="1"/>
    <xf numFmtId="0" fontId="7" fillId="6" borderId="0" xfId="1" applyFont="1" applyFill="1"/>
    <xf numFmtId="0" fontId="2" fillId="6" borderId="0" xfId="2" applyFont="1" applyFill="1"/>
    <xf numFmtId="0" fontId="2" fillId="6" borderId="0" xfId="1" applyFont="1" applyFill="1" applyBorder="1"/>
    <xf numFmtId="0" fontId="5" fillId="7" borderId="14" xfId="0" applyFont="1" applyFill="1" applyBorder="1" applyAlignment="1">
      <alignment horizontal="centerContinuous"/>
    </xf>
    <xf numFmtId="0" fontId="5" fillId="7" borderId="2" xfId="0" applyFont="1" applyFill="1" applyBorder="1" applyAlignment="1">
      <alignment horizontal="centerContinuous"/>
    </xf>
    <xf numFmtId="167" fontId="5" fillId="0" borderId="4" xfId="0" applyNumberFormat="1" applyFont="1" applyBorder="1"/>
    <xf numFmtId="168" fontId="5" fillId="0" borderId="3" xfId="0" applyNumberFormat="1" applyFont="1" applyBorder="1"/>
    <xf numFmtId="166" fontId="5" fillId="0" borderId="3" xfId="0" applyNumberFormat="1" applyFont="1" applyBorder="1"/>
    <xf numFmtId="167" fontId="5" fillId="0" borderId="3" xfId="0" applyNumberFormat="1" applyFont="1" applyBorder="1"/>
    <xf numFmtId="166" fontId="5" fillId="8" borderId="5" xfId="0" applyNumberFormat="1" applyFont="1" applyFill="1" applyBorder="1"/>
    <xf numFmtId="166" fontId="5" fillId="8" borderId="4" xfId="0" applyNumberFormat="1" applyFont="1" applyFill="1" applyBorder="1"/>
    <xf numFmtId="167" fontId="5" fillId="8" borderId="5" xfId="0" applyNumberFormat="1" applyFont="1" applyFill="1" applyBorder="1"/>
    <xf numFmtId="167" fontId="5" fillId="8" borderId="4" xfId="0" applyNumberFormat="1" applyFont="1" applyFill="1" applyBorder="1"/>
    <xf numFmtId="166" fontId="5" fillId="8" borderId="1" xfId="0" applyNumberFormat="1" applyFont="1" applyFill="1" applyBorder="1"/>
    <xf numFmtId="167" fontId="5" fillId="8" borderId="1" xfId="0" applyNumberFormat="1" applyFont="1" applyFill="1" applyBorder="1"/>
    <xf numFmtId="166" fontId="5" fillId="9" borderId="1" xfId="0" applyNumberFormat="1" applyFont="1" applyFill="1" applyBorder="1"/>
    <xf numFmtId="167" fontId="5" fillId="9" borderId="1" xfId="0" applyNumberFormat="1" applyFont="1" applyFill="1" applyBorder="1"/>
    <xf numFmtId="0" fontId="5" fillId="0" borderId="1" xfId="0" applyFont="1" applyBorder="1" applyAlignment="1">
      <alignment horizontal="center"/>
    </xf>
  </cellXfs>
  <cellStyles count="6">
    <cellStyle name="Normal" xfId="0" builtinId="0"/>
    <cellStyle name="Normal 2 2" xfId="3"/>
    <cellStyle name="Normal_InterestRateQuotesFeed" xfId="1"/>
    <cellStyle name="Normal_SwaptionATMVols" xfId="2"/>
    <cellStyle name="Percent 2" xfId="5"/>
    <cellStyle name="Percent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'1M Basis'!$V$2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'1M Basis'!$R$3:$R$1310</c:f>
              <c:numCache>
                <c:formatCode>ddd\,\ dd\-mmm\-yyyy</c:formatCode>
                <c:ptCount val="1308"/>
                <c:pt idx="0">
                  <c:v>42279</c:v>
                </c:pt>
                <c:pt idx="1">
                  <c:v>42312</c:v>
                </c:pt>
                <c:pt idx="2">
                  <c:v>42342</c:v>
                </c:pt>
                <c:pt idx="3">
                  <c:v>42375</c:v>
                </c:pt>
                <c:pt idx="4">
                  <c:v>42404</c:v>
                </c:pt>
                <c:pt idx="5">
                  <c:v>42433</c:v>
                </c:pt>
                <c:pt idx="6">
                  <c:v>42466</c:v>
                </c:pt>
                <c:pt idx="7">
                  <c:v>42494</c:v>
                </c:pt>
                <c:pt idx="8">
                  <c:v>42527</c:v>
                </c:pt>
                <c:pt idx="9">
                  <c:v>42557</c:v>
                </c:pt>
                <c:pt idx="10">
                  <c:v>42586</c:v>
                </c:pt>
                <c:pt idx="11">
                  <c:v>42619</c:v>
                </c:pt>
                <c:pt idx="12">
                  <c:v>42648</c:v>
                </c:pt>
                <c:pt idx="13">
                  <c:v>42678</c:v>
                </c:pt>
                <c:pt idx="14">
                  <c:v>42710</c:v>
                </c:pt>
                <c:pt idx="15">
                  <c:v>42739</c:v>
                </c:pt>
                <c:pt idx="16">
                  <c:v>42772</c:v>
                </c:pt>
                <c:pt idx="17">
                  <c:v>42800</c:v>
                </c:pt>
                <c:pt idx="18">
                  <c:v>42830</c:v>
                </c:pt>
                <c:pt idx="19">
                  <c:v>42859</c:v>
                </c:pt>
                <c:pt idx="20">
                  <c:v>42892</c:v>
                </c:pt>
                <c:pt idx="21">
                  <c:v>42921</c:v>
                </c:pt>
                <c:pt idx="22">
                  <c:v>42951</c:v>
                </c:pt>
                <c:pt idx="23">
                  <c:v>42984</c:v>
                </c:pt>
                <c:pt idx="24">
                  <c:v>43012</c:v>
                </c:pt>
                <c:pt idx="25">
                  <c:v>43045</c:v>
                </c:pt>
                <c:pt idx="26">
                  <c:v>43075</c:v>
                </c:pt>
                <c:pt idx="27">
                  <c:v>43104</c:v>
                </c:pt>
                <c:pt idx="28">
                  <c:v>43137</c:v>
                </c:pt>
                <c:pt idx="29">
                  <c:v>43165</c:v>
                </c:pt>
                <c:pt idx="30">
                  <c:v>43195</c:v>
                </c:pt>
                <c:pt idx="31">
                  <c:v>43224</c:v>
                </c:pt>
                <c:pt idx="32">
                  <c:v>43257</c:v>
                </c:pt>
                <c:pt idx="33">
                  <c:v>43285</c:v>
                </c:pt>
                <c:pt idx="34">
                  <c:v>43318</c:v>
                </c:pt>
                <c:pt idx="35">
                  <c:v>43348</c:v>
                </c:pt>
                <c:pt idx="36">
                  <c:v>43377</c:v>
                </c:pt>
                <c:pt idx="37">
                  <c:v>43410</c:v>
                </c:pt>
                <c:pt idx="38">
                  <c:v>43439</c:v>
                </c:pt>
                <c:pt idx="39">
                  <c:v>43469</c:v>
                </c:pt>
                <c:pt idx="40">
                  <c:v>43502</c:v>
                </c:pt>
                <c:pt idx="41">
                  <c:v>43530</c:v>
                </c:pt>
                <c:pt idx="42">
                  <c:v>43559</c:v>
                </c:pt>
                <c:pt idx="43">
                  <c:v>43591</c:v>
                </c:pt>
                <c:pt idx="44">
                  <c:v>43621</c:v>
                </c:pt>
                <c:pt idx="45">
                  <c:v>43650</c:v>
                </c:pt>
                <c:pt idx="46">
                  <c:v>43683</c:v>
                </c:pt>
                <c:pt idx="47">
                  <c:v>43712</c:v>
                </c:pt>
                <c:pt idx="48">
                  <c:v>43742</c:v>
                </c:pt>
                <c:pt idx="49">
                  <c:v>43775</c:v>
                </c:pt>
                <c:pt idx="50">
                  <c:v>43803</c:v>
                </c:pt>
                <c:pt idx="51">
                  <c:v>43836</c:v>
                </c:pt>
                <c:pt idx="52">
                  <c:v>43866</c:v>
                </c:pt>
                <c:pt idx="53">
                  <c:v>43894</c:v>
                </c:pt>
                <c:pt idx="54">
                  <c:v>43927</c:v>
                </c:pt>
                <c:pt idx="55">
                  <c:v>43957</c:v>
                </c:pt>
                <c:pt idx="56">
                  <c:v>43986</c:v>
                </c:pt>
                <c:pt idx="57">
                  <c:v>44018</c:v>
                </c:pt>
                <c:pt idx="58">
                  <c:v>44048</c:v>
                </c:pt>
                <c:pt idx="59">
                  <c:v>44078</c:v>
                </c:pt>
                <c:pt idx="60">
                  <c:v>44110</c:v>
                </c:pt>
                <c:pt idx="61">
                  <c:v>44139</c:v>
                </c:pt>
                <c:pt idx="62">
                  <c:v>44169</c:v>
                </c:pt>
                <c:pt idx="63">
                  <c:v>44202</c:v>
                </c:pt>
                <c:pt idx="64">
                  <c:v>44231</c:v>
                </c:pt>
                <c:pt idx="65">
                  <c:v>44259</c:v>
                </c:pt>
                <c:pt idx="66">
                  <c:v>44294</c:v>
                </c:pt>
                <c:pt idx="67">
                  <c:v>44321</c:v>
                </c:pt>
                <c:pt idx="68">
                  <c:v>44351</c:v>
                </c:pt>
                <c:pt idx="69">
                  <c:v>44383</c:v>
                </c:pt>
                <c:pt idx="70">
                  <c:v>44412</c:v>
                </c:pt>
                <c:pt idx="71">
                  <c:v>44445</c:v>
                </c:pt>
                <c:pt idx="72">
                  <c:v>44475</c:v>
                </c:pt>
                <c:pt idx="73">
                  <c:v>44504</c:v>
                </c:pt>
                <c:pt idx="74">
                  <c:v>44536</c:v>
                </c:pt>
                <c:pt idx="75">
                  <c:v>44566</c:v>
                </c:pt>
                <c:pt idx="76">
                  <c:v>44596</c:v>
                </c:pt>
                <c:pt idx="77">
                  <c:v>44624</c:v>
                </c:pt>
                <c:pt idx="78">
                  <c:v>44657</c:v>
                </c:pt>
                <c:pt idx="79">
                  <c:v>44685</c:v>
                </c:pt>
                <c:pt idx="80">
                  <c:v>44718</c:v>
                </c:pt>
                <c:pt idx="81">
                  <c:v>44748</c:v>
                </c:pt>
                <c:pt idx="82">
                  <c:v>44777</c:v>
                </c:pt>
                <c:pt idx="83">
                  <c:v>44810</c:v>
                </c:pt>
                <c:pt idx="84">
                  <c:v>44839</c:v>
                </c:pt>
                <c:pt idx="85">
                  <c:v>44869</c:v>
                </c:pt>
                <c:pt idx="86">
                  <c:v>44901</c:v>
                </c:pt>
                <c:pt idx="87">
                  <c:v>44930</c:v>
                </c:pt>
                <c:pt idx="88">
                  <c:v>44963</c:v>
                </c:pt>
                <c:pt idx="89">
                  <c:v>44991</c:v>
                </c:pt>
                <c:pt idx="90">
                  <c:v>45021</c:v>
                </c:pt>
                <c:pt idx="91">
                  <c:v>45050</c:v>
                </c:pt>
                <c:pt idx="92">
                  <c:v>45083</c:v>
                </c:pt>
                <c:pt idx="93">
                  <c:v>45112</c:v>
                </c:pt>
                <c:pt idx="94">
                  <c:v>45142</c:v>
                </c:pt>
                <c:pt idx="95">
                  <c:v>45175</c:v>
                </c:pt>
                <c:pt idx="96">
                  <c:v>45203</c:v>
                </c:pt>
                <c:pt idx="97">
                  <c:v>45236</c:v>
                </c:pt>
                <c:pt idx="98">
                  <c:v>45266</c:v>
                </c:pt>
                <c:pt idx="99">
                  <c:v>45295</c:v>
                </c:pt>
                <c:pt idx="100">
                  <c:v>45328</c:v>
                </c:pt>
                <c:pt idx="101">
                  <c:v>45357</c:v>
                </c:pt>
                <c:pt idx="102">
                  <c:v>45386</c:v>
                </c:pt>
                <c:pt idx="103">
                  <c:v>45418</c:v>
                </c:pt>
                <c:pt idx="104">
                  <c:v>45448</c:v>
                </c:pt>
                <c:pt idx="105">
                  <c:v>45477</c:v>
                </c:pt>
                <c:pt idx="106">
                  <c:v>45510</c:v>
                </c:pt>
                <c:pt idx="107">
                  <c:v>45539</c:v>
                </c:pt>
                <c:pt idx="108">
                  <c:v>45569</c:v>
                </c:pt>
                <c:pt idx="109">
                  <c:v>45602</c:v>
                </c:pt>
                <c:pt idx="110">
                  <c:v>45630</c:v>
                </c:pt>
                <c:pt idx="111">
                  <c:v>45663</c:v>
                </c:pt>
                <c:pt idx="112">
                  <c:v>45693</c:v>
                </c:pt>
                <c:pt idx="113">
                  <c:v>45721</c:v>
                </c:pt>
                <c:pt idx="114">
                  <c:v>45751</c:v>
                </c:pt>
                <c:pt idx="115">
                  <c:v>45783</c:v>
                </c:pt>
                <c:pt idx="116">
                  <c:v>45812</c:v>
                </c:pt>
                <c:pt idx="117">
                  <c:v>45842</c:v>
                </c:pt>
                <c:pt idx="118">
                  <c:v>45875</c:v>
                </c:pt>
                <c:pt idx="119">
                  <c:v>45904</c:v>
                </c:pt>
                <c:pt idx="120">
                  <c:v>45936</c:v>
                </c:pt>
                <c:pt idx="121">
                  <c:v>45966</c:v>
                </c:pt>
                <c:pt idx="122">
                  <c:v>45995</c:v>
                </c:pt>
                <c:pt idx="123">
                  <c:v>46028</c:v>
                </c:pt>
                <c:pt idx="124">
                  <c:v>46057</c:v>
                </c:pt>
                <c:pt idx="125">
                  <c:v>46085</c:v>
                </c:pt>
                <c:pt idx="126">
                  <c:v>46120</c:v>
                </c:pt>
                <c:pt idx="127">
                  <c:v>46148</c:v>
                </c:pt>
                <c:pt idx="128">
                  <c:v>46177</c:v>
                </c:pt>
                <c:pt idx="129">
                  <c:v>46209</c:v>
                </c:pt>
                <c:pt idx="130">
                  <c:v>46239</c:v>
                </c:pt>
                <c:pt idx="131">
                  <c:v>46269</c:v>
                </c:pt>
                <c:pt idx="132">
                  <c:v>46301</c:v>
                </c:pt>
                <c:pt idx="133">
                  <c:v>46330</c:v>
                </c:pt>
                <c:pt idx="134">
                  <c:v>46360</c:v>
                </c:pt>
                <c:pt idx="135">
                  <c:v>46393</c:v>
                </c:pt>
                <c:pt idx="136">
                  <c:v>46422</c:v>
                </c:pt>
                <c:pt idx="137">
                  <c:v>46450</c:v>
                </c:pt>
                <c:pt idx="138">
                  <c:v>46483</c:v>
                </c:pt>
                <c:pt idx="139">
                  <c:v>46512</c:v>
                </c:pt>
                <c:pt idx="140">
                  <c:v>46542</c:v>
                </c:pt>
                <c:pt idx="141">
                  <c:v>46574</c:v>
                </c:pt>
                <c:pt idx="142">
                  <c:v>46603</c:v>
                </c:pt>
                <c:pt idx="143">
                  <c:v>46636</c:v>
                </c:pt>
                <c:pt idx="144">
                  <c:v>46666</c:v>
                </c:pt>
                <c:pt idx="145">
                  <c:v>46695</c:v>
                </c:pt>
                <c:pt idx="146">
                  <c:v>46727</c:v>
                </c:pt>
                <c:pt idx="147">
                  <c:v>46757</c:v>
                </c:pt>
                <c:pt idx="148">
                  <c:v>46787</c:v>
                </c:pt>
                <c:pt idx="149">
                  <c:v>46818</c:v>
                </c:pt>
                <c:pt idx="150">
                  <c:v>46848</c:v>
                </c:pt>
                <c:pt idx="151">
                  <c:v>46877</c:v>
                </c:pt>
                <c:pt idx="152">
                  <c:v>46910</c:v>
                </c:pt>
                <c:pt idx="153">
                  <c:v>46939</c:v>
                </c:pt>
                <c:pt idx="154">
                  <c:v>46969</c:v>
                </c:pt>
                <c:pt idx="155">
                  <c:v>47002</c:v>
                </c:pt>
                <c:pt idx="156">
                  <c:v>47030</c:v>
                </c:pt>
                <c:pt idx="157">
                  <c:v>47063</c:v>
                </c:pt>
                <c:pt idx="158">
                  <c:v>47093</c:v>
                </c:pt>
                <c:pt idx="159">
                  <c:v>47122</c:v>
                </c:pt>
                <c:pt idx="160">
                  <c:v>47155</c:v>
                </c:pt>
                <c:pt idx="161">
                  <c:v>47183</c:v>
                </c:pt>
                <c:pt idx="162">
                  <c:v>47213</c:v>
                </c:pt>
                <c:pt idx="163">
                  <c:v>47242</c:v>
                </c:pt>
                <c:pt idx="164">
                  <c:v>47275</c:v>
                </c:pt>
                <c:pt idx="165">
                  <c:v>47303</c:v>
                </c:pt>
                <c:pt idx="166">
                  <c:v>47336</c:v>
                </c:pt>
                <c:pt idx="167">
                  <c:v>47366</c:v>
                </c:pt>
                <c:pt idx="168">
                  <c:v>47395</c:v>
                </c:pt>
                <c:pt idx="169">
                  <c:v>47428</c:v>
                </c:pt>
                <c:pt idx="170">
                  <c:v>47457</c:v>
                </c:pt>
                <c:pt idx="171">
                  <c:v>47487</c:v>
                </c:pt>
                <c:pt idx="172">
                  <c:v>47520</c:v>
                </c:pt>
                <c:pt idx="173">
                  <c:v>47548</c:v>
                </c:pt>
                <c:pt idx="174">
                  <c:v>47577</c:v>
                </c:pt>
                <c:pt idx="175">
                  <c:v>47609</c:v>
                </c:pt>
                <c:pt idx="176">
                  <c:v>47639</c:v>
                </c:pt>
                <c:pt idx="177">
                  <c:v>47668</c:v>
                </c:pt>
                <c:pt idx="178">
                  <c:v>47701</c:v>
                </c:pt>
                <c:pt idx="179">
                  <c:v>47730</c:v>
                </c:pt>
                <c:pt idx="180">
                  <c:v>47760</c:v>
                </c:pt>
                <c:pt idx="181">
                  <c:v>47793</c:v>
                </c:pt>
                <c:pt idx="182">
                  <c:v>47821</c:v>
                </c:pt>
                <c:pt idx="183">
                  <c:v>47854</c:v>
                </c:pt>
                <c:pt idx="184">
                  <c:v>47884</c:v>
                </c:pt>
                <c:pt idx="185">
                  <c:v>47912</c:v>
                </c:pt>
                <c:pt idx="186">
                  <c:v>47942</c:v>
                </c:pt>
                <c:pt idx="187">
                  <c:v>47974</c:v>
                </c:pt>
                <c:pt idx="188">
                  <c:v>48003</c:v>
                </c:pt>
                <c:pt idx="189">
                  <c:v>48033</c:v>
                </c:pt>
                <c:pt idx="190">
                  <c:v>48066</c:v>
                </c:pt>
                <c:pt idx="191">
                  <c:v>48095</c:v>
                </c:pt>
                <c:pt idx="192">
                  <c:v>48127</c:v>
                </c:pt>
                <c:pt idx="193">
                  <c:v>48157</c:v>
                </c:pt>
                <c:pt idx="194">
                  <c:v>48186</c:v>
                </c:pt>
                <c:pt idx="195">
                  <c:v>48219</c:v>
                </c:pt>
                <c:pt idx="196">
                  <c:v>48248</c:v>
                </c:pt>
                <c:pt idx="197">
                  <c:v>48277</c:v>
                </c:pt>
                <c:pt idx="198">
                  <c:v>48310</c:v>
                </c:pt>
                <c:pt idx="199">
                  <c:v>48339</c:v>
                </c:pt>
                <c:pt idx="200">
                  <c:v>48369</c:v>
                </c:pt>
                <c:pt idx="201">
                  <c:v>48401</c:v>
                </c:pt>
                <c:pt idx="202">
                  <c:v>48430</c:v>
                </c:pt>
                <c:pt idx="203">
                  <c:v>48463</c:v>
                </c:pt>
                <c:pt idx="204">
                  <c:v>48493</c:v>
                </c:pt>
                <c:pt idx="205">
                  <c:v>48522</c:v>
                </c:pt>
                <c:pt idx="206">
                  <c:v>48554</c:v>
                </c:pt>
                <c:pt idx="207">
                  <c:v>48584</c:v>
                </c:pt>
                <c:pt idx="208">
                  <c:v>48614</c:v>
                </c:pt>
                <c:pt idx="209">
                  <c:v>48642</c:v>
                </c:pt>
                <c:pt idx="210">
                  <c:v>48675</c:v>
                </c:pt>
                <c:pt idx="211">
                  <c:v>48703</c:v>
                </c:pt>
                <c:pt idx="212">
                  <c:v>48736</c:v>
                </c:pt>
                <c:pt idx="213">
                  <c:v>48766</c:v>
                </c:pt>
                <c:pt idx="214">
                  <c:v>48795</c:v>
                </c:pt>
                <c:pt idx="215">
                  <c:v>48828</c:v>
                </c:pt>
                <c:pt idx="216">
                  <c:v>48857</c:v>
                </c:pt>
                <c:pt idx="217">
                  <c:v>48887</c:v>
                </c:pt>
                <c:pt idx="218">
                  <c:v>48919</c:v>
                </c:pt>
                <c:pt idx="219">
                  <c:v>48948</c:v>
                </c:pt>
                <c:pt idx="220">
                  <c:v>48981</c:v>
                </c:pt>
                <c:pt idx="221">
                  <c:v>49009</c:v>
                </c:pt>
                <c:pt idx="222">
                  <c:v>49039</c:v>
                </c:pt>
                <c:pt idx="223">
                  <c:v>49068</c:v>
                </c:pt>
                <c:pt idx="224">
                  <c:v>49101</c:v>
                </c:pt>
                <c:pt idx="225">
                  <c:v>49130</c:v>
                </c:pt>
                <c:pt idx="226">
                  <c:v>49160</c:v>
                </c:pt>
                <c:pt idx="227">
                  <c:v>49193</c:v>
                </c:pt>
                <c:pt idx="228">
                  <c:v>49221</c:v>
                </c:pt>
                <c:pt idx="229">
                  <c:v>49254</c:v>
                </c:pt>
                <c:pt idx="230">
                  <c:v>49284</c:v>
                </c:pt>
                <c:pt idx="231">
                  <c:v>49313</c:v>
                </c:pt>
                <c:pt idx="232">
                  <c:v>49346</c:v>
                </c:pt>
                <c:pt idx="233">
                  <c:v>49374</c:v>
                </c:pt>
                <c:pt idx="234">
                  <c:v>49403</c:v>
                </c:pt>
                <c:pt idx="235">
                  <c:v>49433</c:v>
                </c:pt>
                <c:pt idx="236">
                  <c:v>49466</c:v>
                </c:pt>
                <c:pt idx="237">
                  <c:v>49494</c:v>
                </c:pt>
                <c:pt idx="238">
                  <c:v>49527</c:v>
                </c:pt>
                <c:pt idx="239">
                  <c:v>49557</c:v>
                </c:pt>
                <c:pt idx="240">
                  <c:v>49586</c:v>
                </c:pt>
                <c:pt idx="241">
                  <c:v>49619</c:v>
                </c:pt>
                <c:pt idx="242">
                  <c:v>49648</c:v>
                </c:pt>
                <c:pt idx="243">
                  <c:v>49678</c:v>
                </c:pt>
                <c:pt idx="244">
                  <c:v>49711</c:v>
                </c:pt>
                <c:pt idx="245">
                  <c:v>49739</c:v>
                </c:pt>
                <c:pt idx="246">
                  <c:v>49769</c:v>
                </c:pt>
                <c:pt idx="247">
                  <c:v>49801</c:v>
                </c:pt>
                <c:pt idx="248">
                  <c:v>49830</c:v>
                </c:pt>
                <c:pt idx="249">
                  <c:v>49860</c:v>
                </c:pt>
                <c:pt idx="250">
                  <c:v>49893</c:v>
                </c:pt>
                <c:pt idx="251">
                  <c:v>49922</c:v>
                </c:pt>
                <c:pt idx="252">
                  <c:v>49954</c:v>
                </c:pt>
                <c:pt idx="253">
                  <c:v>49984</c:v>
                </c:pt>
                <c:pt idx="254">
                  <c:v>50013</c:v>
                </c:pt>
                <c:pt idx="255">
                  <c:v>50046</c:v>
                </c:pt>
                <c:pt idx="256">
                  <c:v>50075</c:v>
                </c:pt>
                <c:pt idx="257">
                  <c:v>50103</c:v>
                </c:pt>
                <c:pt idx="258">
                  <c:v>50138</c:v>
                </c:pt>
                <c:pt idx="259">
                  <c:v>50166</c:v>
                </c:pt>
                <c:pt idx="260">
                  <c:v>50195</c:v>
                </c:pt>
                <c:pt idx="261">
                  <c:v>50227</c:v>
                </c:pt>
                <c:pt idx="262">
                  <c:v>50257</c:v>
                </c:pt>
                <c:pt idx="263">
                  <c:v>50287</c:v>
                </c:pt>
                <c:pt idx="264">
                  <c:v>50319</c:v>
                </c:pt>
                <c:pt idx="265">
                  <c:v>50348</c:v>
                </c:pt>
                <c:pt idx="266">
                  <c:v>50378</c:v>
                </c:pt>
                <c:pt idx="267">
                  <c:v>50411</c:v>
                </c:pt>
                <c:pt idx="268">
                  <c:v>50440</c:v>
                </c:pt>
                <c:pt idx="269">
                  <c:v>50468</c:v>
                </c:pt>
                <c:pt idx="270">
                  <c:v>50501</c:v>
                </c:pt>
                <c:pt idx="271">
                  <c:v>50530</c:v>
                </c:pt>
                <c:pt idx="272">
                  <c:v>50560</c:v>
                </c:pt>
                <c:pt idx="273">
                  <c:v>50592</c:v>
                </c:pt>
                <c:pt idx="274">
                  <c:v>50621</c:v>
                </c:pt>
                <c:pt idx="275">
                  <c:v>50654</c:v>
                </c:pt>
                <c:pt idx="276">
                  <c:v>50684</c:v>
                </c:pt>
                <c:pt idx="277">
                  <c:v>50713</c:v>
                </c:pt>
                <c:pt idx="278">
                  <c:v>50745</c:v>
                </c:pt>
                <c:pt idx="279">
                  <c:v>50775</c:v>
                </c:pt>
                <c:pt idx="280">
                  <c:v>50805</c:v>
                </c:pt>
                <c:pt idx="281">
                  <c:v>50833</c:v>
                </c:pt>
                <c:pt idx="282">
                  <c:v>50866</c:v>
                </c:pt>
                <c:pt idx="283">
                  <c:v>50894</c:v>
                </c:pt>
                <c:pt idx="284">
                  <c:v>50927</c:v>
                </c:pt>
                <c:pt idx="285">
                  <c:v>50957</c:v>
                </c:pt>
                <c:pt idx="286">
                  <c:v>50986</c:v>
                </c:pt>
                <c:pt idx="287">
                  <c:v>51019</c:v>
                </c:pt>
                <c:pt idx="288">
                  <c:v>51048</c:v>
                </c:pt>
                <c:pt idx="289">
                  <c:v>51078</c:v>
                </c:pt>
                <c:pt idx="290">
                  <c:v>51110</c:v>
                </c:pt>
                <c:pt idx="291">
                  <c:v>51139</c:v>
                </c:pt>
                <c:pt idx="292">
                  <c:v>51172</c:v>
                </c:pt>
                <c:pt idx="293">
                  <c:v>51201</c:v>
                </c:pt>
                <c:pt idx="294">
                  <c:v>51231</c:v>
                </c:pt>
                <c:pt idx="295">
                  <c:v>51260</c:v>
                </c:pt>
                <c:pt idx="296">
                  <c:v>51293</c:v>
                </c:pt>
                <c:pt idx="297">
                  <c:v>51321</c:v>
                </c:pt>
                <c:pt idx="298">
                  <c:v>51354</c:v>
                </c:pt>
                <c:pt idx="299">
                  <c:v>51384</c:v>
                </c:pt>
                <c:pt idx="300">
                  <c:v>51413</c:v>
                </c:pt>
                <c:pt idx="301">
                  <c:v>51446</c:v>
                </c:pt>
                <c:pt idx="302">
                  <c:v>51475</c:v>
                </c:pt>
                <c:pt idx="303">
                  <c:v>51505</c:v>
                </c:pt>
                <c:pt idx="304">
                  <c:v>51538</c:v>
                </c:pt>
                <c:pt idx="305">
                  <c:v>51566</c:v>
                </c:pt>
                <c:pt idx="306">
                  <c:v>51595</c:v>
                </c:pt>
                <c:pt idx="307">
                  <c:v>51627</c:v>
                </c:pt>
                <c:pt idx="308">
                  <c:v>51657</c:v>
                </c:pt>
                <c:pt idx="309">
                  <c:v>51686</c:v>
                </c:pt>
                <c:pt idx="310">
                  <c:v>51719</c:v>
                </c:pt>
                <c:pt idx="311">
                  <c:v>51748</c:v>
                </c:pt>
                <c:pt idx="312">
                  <c:v>51778</c:v>
                </c:pt>
                <c:pt idx="313">
                  <c:v>51811</c:v>
                </c:pt>
                <c:pt idx="314">
                  <c:v>51839</c:v>
                </c:pt>
                <c:pt idx="315">
                  <c:v>51872</c:v>
                </c:pt>
                <c:pt idx="316">
                  <c:v>51902</c:v>
                </c:pt>
                <c:pt idx="317">
                  <c:v>51930</c:v>
                </c:pt>
                <c:pt idx="318">
                  <c:v>51964</c:v>
                </c:pt>
                <c:pt idx="319">
                  <c:v>51992</c:v>
                </c:pt>
                <c:pt idx="320">
                  <c:v>52021</c:v>
                </c:pt>
                <c:pt idx="321">
                  <c:v>52051</c:v>
                </c:pt>
                <c:pt idx="322">
                  <c:v>52084</c:v>
                </c:pt>
                <c:pt idx="323">
                  <c:v>52113</c:v>
                </c:pt>
                <c:pt idx="324">
                  <c:v>52145</c:v>
                </c:pt>
                <c:pt idx="325">
                  <c:v>52175</c:v>
                </c:pt>
                <c:pt idx="326">
                  <c:v>52204</c:v>
                </c:pt>
                <c:pt idx="327">
                  <c:v>52237</c:v>
                </c:pt>
                <c:pt idx="328">
                  <c:v>52266</c:v>
                </c:pt>
                <c:pt idx="329">
                  <c:v>52294</c:v>
                </c:pt>
                <c:pt idx="330">
                  <c:v>52327</c:v>
                </c:pt>
                <c:pt idx="331">
                  <c:v>52357</c:v>
                </c:pt>
                <c:pt idx="332">
                  <c:v>52386</c:v>
                </c:pt>
                <c:pt idx="333">
                  <c:v>52418</c:v>
                </c:pt>
                <c:pt idx="334">
                  <c:v>52448</c:v>
                </c:pt>
                <c:pt idx="335">
                  <c:v>52478</c:v>
                </c:pt>
                <c:pt idx="336">
                  <c:v>52510</c:v>
                </c:pt>
                <c:pt idx="337">
                  <c:v>52539</c:v>
                </c:pt>
                <c:pt idx="338">
                  <c:v>52569</c:v>
                </c:pt>
                <c:pt idx="339">
                  <c:v>52602</c:v>
                </c:pt>
                <c:pt idx="340">
                  <c:v>52631</c:v>
                </c:pt>
                <c:pt idx="341">
                  <c:v>52660</c:v>
                </c:pt>
                <c:pt idx="342">
                  <c:v>52693</c:v>
                </c:pt>
                <c:pt idx="343">
                  <c:v>52721</c:v>
                </c:pt>
                <c:pt idx="344">
                  <c:v>52754</c:v>
                </c:pt>
                <c:pt idx="345">
                  <c:v>52784</c:v>
                </c:pt>
                <c:pt idx="346">
                  <c:v>52813</c:v>
                </c:pt>
                <c:pt idx="347">
                  <c:v>52846</c:v>
                </c:pt>
                <c:pt idx="348">
                  <c:v>52875</c:v>
                </c:pt>
                <c:pt idx="349">
                  <c:v>52905</c:v>
                </c:pt>
                <c:pt idx="350">
                  <c:v>52937</c:v>
                </c:pt>
                <c:pt idx="351">
                  <c:v>52966</c:v>
                </c:pt>
                <c:pt idx="352">
                  <c:v>52999</c:v>
                </c:pt>
                <c:pt idx="353">
                  <c:v>53027</c:v>
                </c:pt>
                <c:pt idx="354">
                  <c:v>53057</c:v>
                </c:pt>
                <c:pt idx="355">
                  <c:v>53086</c:v>
                </c:pt>
                <c:pt idx="356">
                  <c:v>53119</c:v>
                </c:pt>
                <c:pt idx="357">
                  <c:v>53148</c:v>
                </c:pt>
                <c:pt idx="358">
                  <c:v>53178</c:v>
                </c:pt>
                <c:pt idx="359">
                  <c:v>53211</c:v>
                </c:pt>
                <c:pt idx="360">
                  <c:v>53239</c:v>
                </c:pt>
                <c:pt idx="361">
                  <c:v>53272</c:v>
                </c:pt>
                <c:pt idx="362">
                  <c:v>53302</c:v>
                </c:pt>
                <c:pt idx="363">
                  <c:v>53331</c:v>
                </c:pt>
                <c:pt idx="364">
                  <c:v>53364</c:v>
                </c:pt>
                <c:pt idx="365">
                  <c:v>53392</c:v>
                </c:pt>
                <c:pt idx="366">
                  <c:v>53421</c:v>
                </c:pt>
                <c:pt idx="367">
                  <c:v>53451</c:v>
                </c:pt>
                <c:pt idx="368">
                  <c:v>53484</c:v>
                </c:pt>
                <c:pt idx="369">
                  <c:v>53512</c:v>
                </c:pt>
                <c:pt idx="370">
                  <c:v>53545</c:v>
                </c:pt>
                <c:pt idx="371">
                  <c:v>53575</c:v>
                </c:pt>
                <c:pt idx="372">
                  <c:v>53604</c:v>
                </c:pt>
                <c:pt idx="373">
                  <c:v>53637</c:v>
                </c:pt>
                <c:pt idx="374">
                  <c:v>53666</c:v>
                </c:pt>
                <c:pt idx="375">
                  <c:v>53696</c:v>
                </c:pt>
                <c:pt idx="376">
                  <c:v>53729</c:v>
                </c:pt>
                <c:pt idx="377">
                  <c:v>53757</c:v>
                </c:pt>
                <c:pt idx="378">
                  <c:v>53786</c:v>
                </c:pt>
                <c:pt idx="379">
                  <c:v>53818</c:v>
                </c:pt>
                <c:pt idx="380">
                  <c:v>53848</c:v>
                </c:pt>
                <c:pt idx="381">
                  <c:v>53877</c:v>
                </c:pt>
                <c:pt idx="382">
                  <c:v>53910</c:v>
                </c:pt>
                <c:pt idx="383">
                  <c:v>53939</c:v>
                </c:pt>
                <c:pt idx="384">
                  <c:v>53969</c:v>
                </c:pt>
                <c:pt idx="385">
                  <c:v>54002</c:v>
                </c:pt>
                <c:pt idx="386">
                  <c:v>54030</c:v>
                </c:pt>
                <c:pt idx="387">
                  <c:v>54063</c:v>
                </c:pt>
                <c:pt idx="388">
                  <c:v>54093</c:v>
                </c:pt>
                <c:pt idx="389">
                  <c:v>54121</c:v>
                </c:pt>
                <c:pt idx="390">
                  <c:v>54156</c:v>
                </c:pt>
                <c:pt idx="391">
                  <c:v>54184</c:v>
                </c:pt>
                <c:pt idx="392">
                  <c:v>54213</c:v>
                </c:pt>
                <c:pt idx="393">
                  <c:v>54245</c:v>
                </c:pt>
                <c:pt idx="394">
                  <c:v>54275</c:v>
                </c:pt>
                <c:pt idx="395">
                  <c:v>54305</c:v>
                </c:pt>
                <c:pt idx="396">
                  <c:v>54337</c:v>
                </c:pt>
                <c:pt idx="397">
                  <c:v>54366</c:v>
                </c:pt>
                <c:pt idx="398">
                  <c:v>54396</c:v>
                </c:pt>
                <c:pt idx="399">
                  <c:v>54429</c:v>
                </c:pt>
                <c:pt idx="400">
                  <c:v>54458</c:v>
                </c:pt>
                <c:pt idx="401">
                  <c:v>54486</c:v>
                </c:pt>
                <c:pt idx="402">
                  <c:v>54519</c:v>
                </c:pt>
                <c:pt idx="403">
                  <c:v>54548</c:v>
                </c:pt>
                <c:pt idx="404">
                  <c:v>54578</c:v>
                </c:pt>
                <c:pt idx="405">
                  <c:v>54610</c:v>
                </c:pt>
                <c:pt idx="406">
                  <c:v>54639</c:v>
                </c:pt>
                <c:pt idx="407">
                  <c:v>54672</c:v>
                </c:pt>
                <c:pt idx="408">
                  <c:v>54702</c:v>
                </c:pt>
                <c:pt idx="409">
                  <c:v>54731</c:v>
                </c:pt>
                <c:pt idx="410">
                  <c:v>54763</c:v>
                </c:pt>
                <c:pt idx="411">
                  <c:v>54793</c:v>
                </c:pt>
                <c:pt idx="412">
                  <c:v>54823</c:v>
                </c:pt>
                <c:pt idx="413">
                  <c:v>54851</c:v>
                </c:pt>
                <c:pt idx="414">
                  <c:v>54884</c:v>
                </c:pt>
                <c:pt idx="415">
                  <c:v>54912</c:v>
                </c:pt>
                <c:pt idx="416">
                  <c:v>54945</c:v>
                </c:pt>
                <c:pt idx="417">
                  <c:v>54975</c:v>
                </c:pt>
                <c:pt idx="418">
                  <c:v>55004</c:v>
                </c:pt>
                <c:pt idx="419">
                  <c:v>55037</c:v>
                </c:pt>
                <c:pt idx="420">
                  <c:v>55066</c:v>
                </c:pt>
                <c:pt idx="421">
                  <c:v>55096</c:v>
                </c:pt>
                <c:pt idx="422">
                  <c:v>55128</c:v>
                </c:pt>
                <c:pt idx="423">
                  <c:v>55157</c:v>
                </c:pt>
                <c:pt idx="424">
                  <c:v>55190</c:v>
                </c:pt>
                <c:pt idx="425">
                  <c:v>55218</c:v>
                </c:pt>
                <c:pt idx="426">
                  <c:v>55249</c:v>
                </c:pt>
                <c:pt idx="427">
                  <c:v>55277</c:v>
                </c:pt>
                <c:pt idx="428">
                  <c:v>55310</c:v>
                </c:pt>
                <c:pt idx="429">
                  <c:v>55339</c:v>
                </c:pt>
                <c:pt idx="430">
                  <c:v>55369</c:v>
                </c:pt>
                <c:pt idx="431">
                  <c:v>55402</c:v>
                </c:pt>
                <c:pt idx="432">
                  <c:v>55430</c:v>
                </c:pt>
                <c:pt idx="433">
                  <c:v>55463</c:v>
                </c:pt>
                <c:pt idx="434">
                  <c:v>55493</c:v>
                </c:pt>
                <c:pt idx="435">
                  <c:v>55522</c:v>
                </c:pt>
                <c:pt idx="436">
                  <c:v>55555</c:v>
                </c:pt>
                <c:pt idx="437">
                  <c:v>55584</c:v>
                </c:pt>
                <c:pt idx="438">
                  <c:v>55613</c:v>
                </c:pt>
                <c:pt idx="439">
                  <c:v>55645</c:v>
                </c:pt>
                <c:pt idx="440">
                  <c:v>55675</c:v>
                </c:pt>
                <c:pt idx="441">
                  <c:v>55704</c:v>
                </c:pt>
                <c:pt idx="442">
                  <c:v>55737</c:v>
                </c:pt>
                <c:pt idx="443">
                  <c:v>55766</c:v>
                </c:pt>
                <c:pt idx="444">
                  <c:v>55796</c:v>
                </c:pt>
                <c:pt idx="445">
                  <c:v>55829</c:v>
                </c:pt>
                <c:pt idx="446">
                  <c:v>55857</c:v>
                </c:pt>
                <c:pt idx="447">
                  <c:v>55890</c:v>
                </c:pt>
                <c:pt idx="448">
                  <c:v>55920</c:v>
                </c:pt>
                <c:pt idx="449">
                  <c:v>55948</c:v>
                </c:pt>
                <c:pt idx="450">
                  <c:v>55982</c:v>
                </c:pt>
                <c:pt idx="451">
                  <c:v>56010</c:v>
                </c:pt>
                <c:pt idx="452">
                  <c:v>56039</c:v>
                </c:pt>
                <c:pt idx="453">
                  <c:v>56069</c:v>
                </c:pt>
                <c:pt idx="454">
                  <c:v>56102</c:v>
                </c:pt>
                <c:pt idx="455">
                  <c:v>56131</c:v>
                </c:pt>
                <c:pt idx="456">
                  <c:v>56163</c:v>
                </c:pt>
                <c:pt idx="457">
                  <c:v>56193</c:v>
                </c:pt>
                <c:pt idx="458">
                  <c:v>56222</c:v>
                </c:pt>
                <c:pt idx="459">
                  <c:v>56255</c:v>
                </c:pt>
                <c:pt idx="460">
                  <c:v>56284</c:v>
                </c:pt>
                <c:pt idx="461">
                  <c:v>56312</c:v>
                </c:pt>
                <c:pt idx="462">
                  <c:v>56345</c:v>
                </c:pt>
                <c:pt idx="463">
                  <c:v>56375</c:v>
                </c:pt>
                <c:pt idx="464">
                  <c:v>56404</c:v>
                </c:pt>
                <c:pt idx="465">
                  <c:v>56436</c:v>
                </c:pt>
                <c:pt idx="466">
                  <c:v>56466</c:v>
                </c:pt>
                <c:pt idx="467">
                  <c:v>56496</c:v>
                </c:pt>
                <c:pt idx="468">
                  <c:v>56528</c:v>
                </c:pt>
                <c:pt idx="469">
                  <c:v>56557</c:v>
                </c:pt>
                <c:pt idx="470">
                  <c:v>56587</c:v>
                </c:pt>
                <c:pt idx="471">
                  <c:v>56620</c:v>
                </c:pt>
                <c:pt idx="472">
                  <c:v>56649</c:v>
                </c:pt>
                <c:pt idx="473">
                  <c:v>56677</c:v>
                </c:pt>
                <c:pt idx="474">
                  <c:v>56710</c:v>
                </c:pt>
                <c:pt idx="475">
                  <c:v>56739</c:v>
                </c:pt>
                <c:pt idx="476">
                  <c:v>56769</c:v>
                </c:pt>
                <c:pt idx="477">
                  <c:v>56801</c:v>
                </c:pt>
                <c:pt idx="478">
                  <c:v>56830</c:v>
                </c:pt>
                <c:pt idx="479">
                  <c:v>56863</c:v>
                </c:pt>
                <c:pt idx="480">
                  <c:v>56893</c:v>
                </c:pt>
                <c:pt idx="481">
                  <c:v>56922</c:v>
                </c:pt>
                <c:pt idx="482">
                  <c:v>56954</c:v>
                </c:pt>
                <c:pt idx="483">
                  <c:v>56984</c:v>
                </c:pt>
                <c:pt idx="484">
                  <c:v>57014</c:v>
                </c:pt>
                <c:pt idx="485">
                  <c:v>57045</c:v>
                </c:pt>
                <c:pt idx="486">
                  <c:v>57076</c:v>
                </c:pt>
                <c:pt idx="487">
                  <c:v>57104</c:v>
                </c:pt>
                <c:pt idx="488">
                  <c:v>57137</c:v>
                </c:pt>
                <c:pt idx="489">
                  <c:v>57166</c:v>
                </c:pt>
                <c:pt idx="490">
                  <c:v>57196</c:v>
                </c:pt>
                <c:pt idx="491">
                  <c:v>57229</c:v>
                </c:pt>
                <c:pt idx="492">
                  <c:v>57257</c:v>
                </c:pt>
                <c:pt idx="493">
                  <c:v>57290</c:v>
                </c:pt>
                <c:pt idx="494">
                  <c:v>57320</c:v>
                </c:pt>
                <c:pt idx="495">
                  <c:v>57349</c:v>
                </c:pt>
                <c:pt idx="496">
                  <c:v>57382</c:v>
                </c:pt>
                <c:pt idx="497">
                  <c:v>57410</c:v>
                </c:pt>
                <c:pt idx="498">
                  <c:v>57439</c:v>
                </c:pt>
                <c:pt idx="499">
                  <c:v>57469</c:v>
                </c:pt>
                <c:pt idx="500">
                  <c:v>57502</c:v>
                </c:pt>
                <c:pt idx="501">
                  <c:v>57530</c:v>
                </c:pt>
                <c:pt idx="502">
                  <c:v>57563</c:v>
                </c:pt>
                <c:pt idx="503">
                  <c:v>57593</c:v>
                </c:pt>
                <c:pt idx="504">
                  <c:v>57622</c:v>
                </c:pt>
                <c:pt idx="505">
                  <c:v>57655</c:v>
                </c:pt>
                <c:pt idx="506">
                  <c:v>57684</c:v>
                </c:pt>
                <c:pt idx="507">
                  <c:v>57714</c:v>
                </c:pt>
                <c:pt idx="508">
                  <c:v>57747</c:v>
                </c:pt>
                <c:pt idx="509">
                  <c:v>57775</c:v>
                </c:pt>
                <c:pt idx="510">
                  <c:v>57804</c:v>
                </c:pt>
                <c:pt idx="511">
                  <c:v>57836</c:v>
                </c:pt>
                <c:pt idx="512">
                  <c:v>57866</c:v>
                </c:pt>
                <c:pt idx="513">
                  <c:v>57895</c:v>
                </c:pt>
                <c:pt idx="514">
                  <c:v>57928</c:v>
                </c:pt>
                <c:pt idx="515">
                  <c:v>57957</c:v>
                </c:pt>
                <c:pt idx="516">
                  <c:v>57987</c:v>
                </c:pt>
                <c:pt idx="517">
                  <c:v>58020</c:v>
                </c:pt>
                <c:pt idx="518">
                  <c:v>58048</c:v>
                </c:pt>
                <c:pt idx="519">
                  <c:v>58081</c:v>
                </c:pt>
                <c:pt idx="520">
                  <c:v>58111</c:v>
                </c:pt>
                <c:pt idx="521">
                  <c:v>58139</c:v>
                </c:pt>
                <c:pt idx="522">
                  <c:v>58169</c:v>
                </c:pt>
                <c:pt idx="523">
                  <c:v>58201</c:v>
                </c:pt>
                <c:pt idx="524">
                  <c:v>58230</c:v>
                </c:pt>
                <c:pt idx="525">
                  <c:v>58260</c:v>
                </c:pt>
                <c:pt idx="526">
                  <c:v>58293</c:v>
                </c:pt>
                <c:pt idx="527">
                  <c:v>58322</c:v>
                </c:pt>
                <c:pt idx="528">
                  <c:v>58354</c:v>
                </c:pt>
                <c:pt idx="529">
                  <c:v>58384</c:v>
                </c:pt>
                <c:pt idx="530">
                  <c:v>58413</c:v>
                </c:pt>
                <c:pt idx="531">
                  <c:v>58446</c:v>
                </c:pt>
                <c:pt idx="532">
                  <c:v>58475</c:v>
                </c:pt>
                <c:pt idx="533">
                  <c:v>58504</c:v>
                </c:pt>
                <c:pt idx="534">
                  <c:v>58537</c:v>
                </c:pt>
                <c:pt idx="535">
                  <c:v>58566</c:v>
                </c:pt>
                <c:pt idx="536">
                  <c:v>58596</c:v>
                </c:pt>
                <c:pt idx="537">
                  <c:v>58628</c:v>
                </c:pt>
                <c:pt idx="538">
                  <c:v>58657</c:v>
                </c:pt>
                <c:pt idx="539">
                  <c:v>58690</c:v>
                </c:pt>
                <c:pt idx="540">
                  <c:v>58720</c:v>
                </c:pt>
                <c:pt idx="541">
                  <c:v>58749</c:v>
                </c:pt>
                <c:pt idx="542">
                  <c:v>58781</c:v>
                </c:pt>
                <c:pt idx="543">
                  <c:v>58811</c:v>
                </c:pt>
                <c:pt idx="544">
                  <c:v>58841</c:v>
                </c:pt>
                <c:pt idx="545">
                  <c:v>58869</c:v>
                </c:pt>
                <c:pt idx="546">
                  <c:v>58902</c:v>
                </c:pt>
                <c:pt idx="547">
                  <c:v>58930</c:v>
                </c:pt>
                <c:pt idx="548">
                  <c:v>58963</c:v>
                </c:pt>
                <c:pt idx="549">
                  <c:v>58993</c:v>
                </c:pt>
                <c:pt idx="550">
                  <c:v>59022</c:v>
                </c:pt>
                <c:pt idx="551">
                  <c:v>59055</c:v>
                </c:pt>
                <c:pt idx="552">
                  <c:v>59084</c:v>
                </c:pt>
                <c:pt idx="553">
                  <c:v>59114</c:v>
                </c:pt>
                <c:pt idx="554">
                  <c:v>59146</c:v>
                </c:pt>
                <c:pt idx="555">
                  <c:v>59175</c:v>
                </c:pt>
                <c:pt idx="556">
                  <c:v>59208</c:v>
                </c:pt>
                <c:pt idx="557">
                  <c:v>59236</c:v>
                </c:pt>
                <c:pt idx="558">
                  <c:v>59266</c:v>
                </c:pt>
                <c:pt idx="559">
                  <c:v>59295</c:v>
                </c:pt>
                <c:pt idx="560">
                  <c:v>59328</c:v>
                </c:pt>
                <c:pt idx="561">
                  <c:v>59357</c:v>
                </c:pt>
                <c:pt idx="562">
                  <c:v>59387</c:v>
                </c:pt>
                <c:pt idx="563">
                  <c:v>59420</c:v>
                </c:pt>
                <c:pt idx="564">
                  <c:v>59448</c:v>
                </c:pt>
                <c:pt idx="565">
                  <c:v>59481</c:v>
                </c:pt>
                <c:pt idx="566">
                  <c:v>59511</c:v>
                </c:pt>
                <c:pt idx="567">
                  <c:v>59540</c:v>
                </c:pt>
                <c:pt idx="568">
                  <c:v>59573</c:v>
                </c:pt>
                <c:pt idx="569">
                  <c:v>59601</c:v>
                </c:pt>
                <c:pt idx="570">
                  <c:v>59630</c:v>
                </c:pt>
                <c:pt idx="571">
                  <c:v>59660</c:v>
                </c:pt>
                <c:pt idx="572">
                  <c:v>59693</c:v>
                </c:pt>
                <c:pt idx="573">
                  <c:v>59721</c:v>
                </c:pt>
                <c:pt idx="574">
                  <c:v>59754</c:v>
                </c:pt>
                <c:pt idx="575">
                  <c:v>59784</c:v>
                </c:pt>
                <c:pt idx="576">
                  <c:v>59813</c:v>
                </c:pt>
                <c:pt idx="577">
                  <c:v>59846</c:v>
                </c:pt>
                <c:pt idx="578">
                  <c:v>59875</c:v>
                </c:pt>
                <c:pt idx="579">
                  <c:v>59905</c:v>
                </c:pt>
                <c:pt idx="580">
                  <c:v>59938</c:v>
                </c:pt>
                <c:pt idx="581">
                  <c:v>59966</c:v>
                </c:pt>
                <c:pt idx="582">
                  <c:v>60000</c:v>
                </c:pt>
                <c:pt idx="583">
                  <c:v>60028</c:v>
                </c:pt>
                <c:pt idx="584">
                  <c:v>60057</c:v>
                </c:pt>
                <c:pt idx="585">
                  <c:v>60087</c:v>
                </c:pt>
                <c:pt idx="586">
                  <c:v>60120</c:v>
                </c:pt>
                <c:pt idx="587">
                  <c:v>60149</c:v>
                </c:pt>
                <c:pt idx="588">
                  <c:v>60181</c:v>
                </c:pt>
                <c:pt idx="589">
                  <c:v>60211</c:v>
                </c:pt>
                <c:pt idx="590">
                  <c:v>60240</c:v>
                </c:pt>
                <c:pt idx="591">
                  <c:v>60273</c:v>
                </c:pt>
                <c:pt idx="592">
                  <c:v>60302</c:v>
                </c:pt>
                <c:pt idx="593">
                  <c:v>60330</c:v>
                </c:pt>
                <c:pt idx="594">
                  <c:v>60363</c:v>
                </c:pt>
                <c:pt idx="595">
                  <c:v>60393</c:v>
                </c:pt>
                <c:pt idx="596">
                  <c:v>60422</c:v>
                </c:pt>
                <c:pt idx="597">
                  <c:v>60454</c:v>
                </c:pt>
                <c:pt idx="598">
                  <c:v>60484</c:v>
                </c:pt>
                <c:pt idx="599">
                  <c:v>60514</c:v>
                </c:pt>
                <c:pt idx="600">
                  <c:v>60546</c:v>
                </c:pt>
                <c:pt idx="601">
                  <c:v>60575</c:v>
                </c:pt>
                <c:pt idx="602">
                  <c:v>60605</c:v>
                </c:pt>
                <c:pt idx="603">
                  <c:v>60638</c:v>
                </c:pt>
                <c:pt idx="604">
                  <c:v>60667</c:v>
                </c:pt>
                <c:pt idx="605">
                  <c:v>60695</c:v>
                </c:pt>
                <c:pt idx="606">
                  <c:v>60728</c:v>
                </c:pt>
                <c:pt idx="607">
                  <c:v>60757</c:v>
                </c:pt>
                <c:pt idx="608">
                  <c:v>60787</c:v>
                </c:pt>
                <c:pt idx="609">
                  <c:v>60819</c:v>
                </c:pt>
                <c:pt idx="610">
                  <c:v>60848</c:v>
                </c:pt>
                <c:pt idx="611">
                  <c:v>60881</c:v>
                </c:pt>
                <c:pt idx="612">
                  <c:v>60911</c:v>
                </c:pt>
                <c:pt idx="613">
                  <c:v>60940</c:v>
                </c:pt>
                <c:pt idx="614">
                  <c:v>60972</c:v>
                </c:pt>
                <c:pt idx="615">
                  <c:v>61002</c:v>
                </c:pt>
                <c:pt idx="616">
                  <c:v>61032</c:v>
                </c:pt>
                <c:pt idx="617">
                  <c:v>61060</c:v>
                </c:pt>
                <c:pt idx="618">
                  <c:v>61094</c:v>
                </c:pt>
                <c:pt idx="619">
                  <c:v>61121</c:v>
                </c:pt>
                <c:pt idx="620">
                  <c:v>61154</c:v>
                </c:pt>
                <c:pt idx="621">
                  <c:v>61184</c:v>
                </c:pt>
                <c:pt idx="622">
                  <c:v>61213</c:v>
                </c:pt>
                <c:pt idx="623">
                  <c:v>61246</c:v>
                </c:pt>
                <c:pt idx="624">
                  <c:v>61275</c:v>
                </c:pt>
                <c:pt idx="625">
                  <c:v>61305</c:v>
                </c:pt>
                <c:pt idx="626">
                  <c:v>61337</c:v>
                </c:pt>
                <c:pt idx="627">
                  <c:v>61366</c:v>
                </c:pt>
                <c:pt idx="628">
                  <c:v>61399</c:v>
                </c:pt>
                <c:pt idx="629">
                  <c:v>61428</c:v>
                </c:pt>
                <c:pt idx="630">
                  <c:v>61457</c:v>
                </c:pt>
                <c:pt idx="631">
                  <c:v>61487</c:v>
                </c:pt>
                <c:pt idx="632">
                  <c:v>61520</c:v>
                </c:pt>
                <c:pt idx="633">
                  <c:v>61548</c:v>
                </c:pt>
                <c:pt idx="634">
                  <c:v>61581</c:v>
                </c:pt>
                <c:pt idx="635">
                  <c:v>61611</c:v>
                </c:pt>
                <c:pt idx="636">
                  <c:v>61640</c:v>
                </c:pt>
                <c:pt idx="637">
                  <c:v>61673</c:v>
                </c:pt>
                <c:pt idx="638">
                  <c:v>61702</c:v>
                </c:pt>
                <c:pt idx="639">
                  <c:v>61732</c:v>
                </c:pt>
                <c:pt idx="640">
                  <c:v>61765</c:v>
                </c:pt>
                <c:pt idx="641">
                  <c:v>61793</c:v>
                </c:pt>
                <c:pt idx="642">
                  <c:v>61822</c:v>
                </c:pt>
                <c:pt idx="643">
                  <c:v>61854</c:v>
                </c:pt>
                <c:pt idx="644">
                  <c:v>61884</c:v>
                </c:pt>
                <c:pt idx="645">
                  <c:v>61913</c:v>
                </c:pt>
                <c:pt idx="646">
                  <c:v>61946</c:v>
                </c:pt>
                <c:pt idx="647">
                  <c:v>61975</c:v>
                </c:pt>
                <c:pt idx="648">
                  <c:v>62005</c:v>
                </c:pt>
                <c:pt idx="649">
                  <c:v>62038</c:v>
                </c:pt>
                <c:pt idx="650">
                  <c:v>62066</c:v>
                </c:pt>
                <c:pt idx="651">
                  <c:v>62099</c:v>
                </c:pt>
                <c:pt idx="652">
                  <c:v>62129</c:v>
                </c:pt>
                <c:pt idx="653">
                  <c:v>62157</c:v>
                </c:pt>
                <c:pt idx="654">
                  <c:v>62187</c:v>
                </c:pt>
                <c:pt idx="655">
                  <c:v>62219</c:v>
                </c:pt>
                <c:pt idx="656">
                  <c:v>62248</c:v>
                </c:pt>
                <c:pt idx="657">
                  <c:v>62278</c:v>
                </c:pt>
                <c:pt idx="658">
                  <c:v>62311</c:v>
                </c:pt>
                <c:pt idx="659">
                  <c:v>62340</c:v>
                </c:pt>
                <c:pt idx="660">
                  <c:v>62372</c:v>
                </c:pt>
                <c:pt idx="661">
                  <c:v>62402</c:v>
                </c:pt>
                <c:pt idx="662">
                  <c:v>62431</c:v>
                </c:pt>
                <c:pt idx="663">
                  <c:v>62464</c:v>
                </c:pt>
                <c:pt idx="664">
                  <c:v>62493</c:v>
                </c:pt>
                <c:pt idx="665">
                  <c:v>62521</c:v>
                </c:pt>
                <c:pt idx="666">
                  <c:v>62554</c:v>
                </c:pt>
                <c:pt idx="667">
                  <c:v>62584</c:v>
                </c:pt>
                <c:pt idx="668">
                  <c:v>62613</c:v>
                </c:pt>
                <c:pt idx="669">
                  <c:v>62645</c:v>
                </c:pt>
                <c:pt idx="670">
                  <c:v>62675</c:v>
                </c:pt>
                <c:pt idx="671">
                  <c:v>62705</c:v>
                </c:pt>
                <c:pt idx="672">
                  <c:v>62737</c:v>
                </c:pt>
                <c:pt idx="673">
                  <c:v>62766</c:v>
                </c:pt>
                <c:pt idx="674">
                  <c:v>62796</c:v>
                </c:pt>
                <c:pt idx="675">
                  <c:v>62829</c:v>
                </c:pt>
                <c:pt idx="676">
                  <c:v>62858</c:v>
                </c:pt>
                <c:pt idx="677">
                  <c:v>62887</c:v>
                </c:pt>
                <c:pt idx="678">
                  <c:v>62920</c:v>
                </c:pt>
                <c:pt idx="679">
                  <c:v>62948</c:v>
                </c:pt>
                <c:pt idx="680">
                  <c:v>62981</c:v>
                </c:pt>
                <c:pt idx="681">
                  <c:v>63011</c:v>
                </c:pt>
                <c:pt idx="682">
                  <c:v>63040</c:v>
                </c:pt>
                <c:pt idx="683">
                  <c:v>63073</c:v>
                </c:pt>
                <c:pt idx="684">
                  <c:v>63102</c:v>
                </c:pt>
                <c:pt idx="685">
                  <c:v>63132</c:v>
                </c:pt>
                <c:pt idx="686">
                  <c:v>63164</c:v>
                </c:pt>
                <c:pt idx="687">
                  <c:v>63193</c:v>
                </c:pt>
                <c:pt idx="688">
                  <c:v>63226</c:v>
                </c:pt>
                <c:pt idx="689">
                  <c:v>63254</c:v>
                </c:pt>
                <c:pt idx="690">
                  <c:v>63284</c:v>
                </c:pt>
                <c:pt idx="691">
                  <c:v>63313</c:v>
                </c:pt>
                <c:pt idx="692">
                  <c:v>63346</c:v>
                </c:pt>
                <c:pt idx="693">
                  <c:v>63375</c:v>
                </c:pt>
                <c:pt idx="694">
                  <c:v>63405</c:v>
                </c:pt>
                <c:pt idx="695">
                  <c:v>63438</c:v>
                </c:pt>
                <c:pt idx="696">
                  <c:v>63466</c:v>
                </c:pt>
                <c:pt idx="697">
                  <c:v>63499</c:v>
                </c:pt>
                <c:pt idx="698">
                  <c:v>63529</c:v>
                </c:pt>
                <c:pt idx="699">
                  <c:v>63558</c:v>
                </c:pt>
                <c:pt idx="700">
                  <c:v>63591</c:v>
                </c:pt>
                <c:pt idx="701">
                  <c:v>63619</c:v>
                </c:pt>
                <c:pt idx="702">
                  <c:v>63648</c:v>
                </c:pt>
                <c:pt idx="703">
                  <c:v>63678</c:v>
                </c:pt>
                <c:pt idx="704">
                  <c:v>63711</c:v>
                </c:pt>
                <c:pt idx="705">
                  <c:v>63739</c:v>
                </c:pt>
                <c:pt idx="706">
                  <c:v>63772</c:v>
                </c:pt>
                <c:pt idx="707">
                  <c:v>63802</c:v>
                </c:pt>
                <c:pt idx="708">
                  <c:v>63831</c:v>
                </c:pt>
                <c:pt idx="709">
                  <c:v>63864</c:v>
                </c:pt>
                <c:pt idx="710">
                  <c:v>63893</c:v>
                </c:pt>
                <c:pt idx="711">
                  <c:v>63923</c:v>
                </c:pt>
                <c:pt idx="712">
                  <c:v>63956</c:v>
                </c:pt>
                <c:pt idx="713">
                  <c:v>63984</c:v>
                </c:pt>
                <c:pt idx="714">
                  <c:v>64013</c:v>
                </c:pt>
                <c:pt idx="715">
                  <c:v>64045</c:v>
                </c:pt>
                <c:pt idx="716">
                  <c:v>64075</c:v>
                </c:pt>
                <c:pt idx="717">
                  <c:v>64104</c:v>
                </c:pt>
                <c:pt idx="718">
                  <c:v>64137</c:v>
                </c:pt>
                <c:pt idx="719">
                  <c:v>64166</c:v>
                </c:pt>
              </c:numCache>
            </c:numRef>
          </c:cat>
          <c:val>
            <c:numRef>
              <c:f>'1M Basis'!$V$3:$V$1310</c:f>
              <c:numCache>
                <c:formatCode>0.0000%</c:formatCode>
                <c:ptCount val="1308"/>
                <c:pt idx="0">
                  <c:v>2.6999999976936358E-4</c:v>
                </c:pt>
                <c:pt idx="1">
                  <c:v>2.5800121717844959E-4</c:v>
                </c:pt>
                <c:pt idx="2">
                  <c:v>2.1302216110429656E-4</c:v>
                </c:pt>
                <c:pt idx="3">
                  <c:v>3.6349080461330692E-4</c:v>
                </c:pt>
                <c:pt idx="4">
                  <c:v>3.6304315186362103E-4</c:v>
                </c:pt>
                <c:pt idx="5">
                  <c:v>4.2509229548662059E-4</c:v>
                </c:pt>
                <c:pt idx="6">
                  <c:v>4.636824154862218E-4</c:v>
                </c:pt>
                <c:pt idx="7">
                  <c:v>3.4417535901761073E-4</c:v>
                </c:pt>
                <c:pt idx="8">
                  <c:v>3.651567290168245E-4</c:v>
                </c:pt>
                <c:pt idx="9">
                  <c:v>4.1566772367501227E-4</c:v>
                </c:pt>
                <c:pt idx="10">
                  <c:v>4.1252222892640411E-4</c:v>
                </c:pt>
                <c:pt idx="11">
                  <c:v>5.2468593014332043E-4</c:v>
                </c:pt>
                <c:pt idx="12">
                  <c:v>5.452497346643396E-4</c:v>
                </c:pt>
                <c:pt idx="13">
                  <c:v>5.3408950016920289E-4</c:v>
                </c:pt>
                <c:pt idx="14">
                  <c:v>4.8827328181451943E-4</c:v>
                </c:pt>
                <c:pt idx="15">
                  <c:v>5.3420097303267448E-4</c:v>
                </c:pt>
                <c:pt idx="16">
                  <c:v>4.9449512224678362E-4</c:v>
                </c:pt>
                <c:pt idx="17">
                  <c:v>4.8172328940670854E-4</c:v>
                </c:pt>
                <c:pt idx="18">
                  <c:v>4.92320785878686E-4</c:v>
                </c:pt>
                <c:pt idx="19">
                  <c:v>5.0486311079733781E-4</c:v>
                </c:pt>
                <c:pt idx="20">
                  <c:v>5.1381824424545641E-4</c:v>
                </c:pt>
                <c:pt idx="21">
                  <c:v>5.1782640256100882E-4</c:v>
                </c:pt>
                <c:pt idx="22">
                  <c:v>5.1919635756487515E-4</c:v>
                </c:pt>
                <c:pt idx="23">
                  <c:v>5.1795889513428506E-4</c:v>
                </c:pt>
                <c:pt idx="24">
                  <c:v>5.1466368768919449E-4</c:v>
                </c:pt>
                <c:pt idx="25">
                  <c:v>5.1078932297698998E-4</c:v>
                </c:pt>
                <c:pt idx="26">
                  <c:v>5.0703407316721183E-4</c:v>
                </c:pt>
                <c:pt idx="27">
                  <c:v>5.0389999495775717E-4</c:v>
                </c:pt>
                <c:pt idx="28">
                  <c:v>5.0093693661728319E-4</c:v>
                </c:pt>
                <c:pt idx="29">
                  <c:v>4.9872257095428369E-4</c:v>
                </c:pt>
                <c:pt idx="30">
                  <c:v>4.9721000577887531E-4</c:v>
                </c:pt>
                <c:pt idx="31">
                  <c:v>4.9665517421274106E-4</c:v>
                </c:pt>
                <c:pt idx="32">
                  <c:v>4.9722246773242773E-4</c:v>
                </c:pt>
                <c:pt idx="33">
                  <c:v>4.9903043537953692E-4</c:v>
                </c:pt>
                <c:pt idx="34">
                  <c:v>5.0252097222779741E-4</c:v>
                </c:pt>
                <c:pt idx="35">
                  <c:v>5.0734208502589695E-4</c:v>
                </c:pt>
                <c:pt idx="36">
                  <c:v>5.1371595191251895E-4</c:v>
                </c:pt>
                <c:pt idx="37">
                  <c:v>5.2131791147136397E-4</c:v>
                </c:pt>
                <c:pt idx="38">
                  <c:v>5.2925213597373772E-4</c:v>
                </c:pt>
                <c:pt idx="39">
                  <c:v>5.3740395095013297E-4</c:v>
                </c:pt>
                <c:pt idx="40">
                  <c:v>5.4697795266836881E-4</c:v>
                </c:pt>
                <c:pt idx="41">
                  <c:v>5.5704279732651059E-4</c:v>
                </c:pt>
                <c:pt idx="42">
                  <c:v>5.6710657823005883E-4</c:v>
                </c:pt>
                <c:pt idx="43">
                  <c:v>5.7903625067391067E-4</c:v>
                </c:pt>
                <c:pt idx="44">
                  <c:v>5.9100251557442363E-4</c:v>
                </c:pt>
                <c:pt idx="45">
                  <c:v>6.0401221544131856E-4</c:v>
                </c:pt>
                <c:pt idx="46">
                  <c:v>6.190410626634316E-4</c:v>
                </c:pt>
                <c:pt idx="47">
                  <c:v>6.330670417966644E-4</c:v>
                </c:pt>
                <c:pt idx="48">
                  <c:v>6.4823072726368511E-4</c:v>
                </c:pt>
                <c:pt idx="49">
                  <c:v>6.6174361042037333E-4</c:v>
                </c:pt>
                <c:pt idx="50">
                  <c:v>6.7092424187494091E-4</c:v>
                </c:pt>
                <c:pt idx="51">
                  <c:v>6.7727335090388661E-4</c:v>
                </c:pt>
                <c:pt idx="52">
                  <c:v>6.7952001981148435E-4</c:v>
                </c:pt>
                <c:pt idx="53">
                  <c:v>6.7806782398866471E-4</c:v>
                </c:pt>
                <c:pt idx="54">
                  <c:v>6.7214692161421397E-4</c:v>
                </c:pt>
                <c:pt idx="55">
                  <c:v>6.6140018542720259E-4</c:v>
                </c:pt>
                <c:pt idx="56">
                  <c:v>6.472865987230958E-4</c:v>
                </c:pt>
                <c:pt idx="57">
                  <c:v>6.2654598721879201E-4</c:v>
                </c:pt>
                <c:pt idx="58">
                  <c:v>6.0056655635243317E-4</c:v>
                </c:pt>
                <c:pt idx="59">
                  <c:v>5.7103683616247045E-4</c:v>
                </c:pt>
                <c:pt idx="60">
                  <c:v>5.3426153584007312E-4</c:v>
                </c:pt>
                <c:pt idx="61">
                  <c:v>5.0254219109291398E-4</c:v>
                </c:pt>
                <c:pt idx="62">
                  <c:v>4.7089284974547677E-4</c:v>
                </c:pt>
                <c:pt idx="63">
                  <c:v>4.3868826721310018E-4</c:v>
                </c:pt>
                <c:pt idx="64">
                  <c:v>4.1592237384488126E-4</c:v>
                </c:pt>
                <c:pt idx="65">
                  <c:v>3.9281389692517703E-4</c:v>
                </c:pt>
                <c:pt idx="66">
                  <c:v>3.7059429392249932E-4</c:v>
                </c:pt>
                <c:pt idx="67">
                  <c:v>3.5622808326171533E-4</c:v>
                </c:pt>
                <c:pt idx="68">
                  <c:v>3.4441785250643835E-4</c:v>
                </c:pt>
                <c:pt idx="69">
                  <c:v>3.3574193070610124E-4</c:v>
                </c:pt>
                <c:pt idx="70">
                  <c:v>3.3201394914331335E-4</c:v>
                </c:pt>
                <c:pt idx="71">
                  <c:v>3.3279561090093779E-4</c:v>
                </c:pt>
                <c:pt idx="72">
                  <c:v>3.3772081313801841E-4</c:v>
                </c:pt>
                <c:pt idx="73">
                  <c:v>3.4263338484941119E-4</c:v>
                </c:pt>
                <c:pt idx="74">
                  <c:v>3.4791999306076939E-4</c:v>
                </c:pt>
                <c:pt idx="75">
                  <c:v>3.5297685198720785E-4</c:v>
                </c:pt>
                <c:pt idx="76">
                  <c:v>3.5721933314216033E-4</c:v>
                </c:pt>
                <c:pt idx="77">
                  <c:v>3.6165687432938853E-4</c:v>
                </c:pt>
                <c:pt idx="78">
                  <c:v>3.6622402968333745E-4</c:v>
                </c:pt>
                <c:pt idx="79">
                  <c:v>3.7013758671620468E-4</c:v>
                </c:pt>
                <c:pt idx="80">
                  <c:v>3.7392274740533082E-4</c:v>
                </c:pt>
                <c:pt idx="81">
                  <c:v>3.7741683588327427E-4</c:v>
                </c:pt>
                <c:pt idx="82">
                  <c:v>3.8019447053616595E-4</c:v>
                </c:pt>
                <c:pt idx="83">
                  <c:v>3.8288809618602926E-4</c:v>
                </c:pt>
                <c:pt idx="84">
                  <c:v>3.8530532970991807E-4</c:v>
                </c:pt>
                <c:pt idx="85">
                  <c:v>3.8790743915833974E-4</c:v>
                </c:pt>
                <c:pt idx="86">
                  <c:v>3.9137899570766514E-4</c:v>
                </c:pt>
                <c:pt idx="87">
                  <c:v>3.9522295772087546E-4</c:v>
                </c:pt>
                <c:pt idx="88">
                  <c:v>3.9958013569073129E-4</c:v>
                </c:pt>
                <c:pt idx="89">
                  <c:v>4.0448870591796963E-4</c:v>
                </c:pt>
                <c:pt idx="90">
                  <c:v>4.0989479481812197E-4</c:v>
                </c:pt>
                <c:pt idx="91">
                  <c:v>4.1604461486433042E-4</c:v>
                </c:pt>
                <c:pt idx="92">
                  <c:v>4.2320918948490771E-4</c:v>
                </c:pt>
                <c:pt idx="93">
                  <c:v>4.3080487154834902E-4</c:v>
                </c:pt>
                <c:pt idx="94">
                  <c:v>4.3855585531878648E-4</c:v>
                </c:pt>
                <c:pt idx="95">
                  <c:v>4.4800623311136434E-4</c:v>
                </c:pt>
                <c:pt idx="96">
                  <c:v>4.5694260565877151E-4</c:v>
                </c:pt>
                <c:pt idx="97">
                  <c:v>4.654344542336375E-4</c:v>
                </c:pt>
                <c:pt idx="98">
                  <c:v>4.727804901099638E-4</c:v>
                </c:pt>
                <c:pt idx="99">
                  <c:v>4.7823580058309334E-4</c:v>
                </c:pt>
                <c:pt idx="100">
                  <c:v>4.8292520218348733E-4</c:v>
                </c:pt>
                <c:pt idx="101">
                  <c:v>4.862660681702706E-4</c:v>
                </c:pt>
                <c:pt idx="102">
                  <c:v>4.8797763893160262E-4</c:v>
                </c:pt>
                <c:pt idx="103">
                  <c:v>4.8838982981673842E-4</c:v>
                </c:pt>
                <c:pt idx="104">
                  <c:v>4.873095749671208E-4</c:v>
                </c:pt>
                <c:pt idx="105">
                  <c:v>4.8475685059556906E-4</c:v>
                </c:pt>
                <c:pt idx="106">
                  <c:v>4.8015435180880431E-4</c:v>
                </c:pt>
                <c:pt idx="107">
                  <c:v>4.745390361939883E-4</c:v>
                </c:pt>
                <c:pt idx="108">
                  <c:v>4.6715670453033667E-4</c:v>
                </c:pt>
                <c:pt idx="109">
                  <c:v>4.5857897792167535E-4</c:v>
                </c:pt>
                <c:pt idx="110">
                  <c:v>4.5043215317135121E-4</c:v>
                </c:pt>
                <c:pt idx="111">
                  <c:v>4.4100668158330095E-4</c:v>
                </c:pt>
                <c:pt idx="112">
                  <c:v>4.3215939224611893E-4</c:v>
                </c:pt>
                <c:pt idx="113">
                  <c:v>4.2239360088413072E-4</c:v>
                </c:pt>
                <c:pt idx="114">
                  <c:v>4.1253324989344586E-4</c:v>
                </c:pt>
                <c:pt idx="115">
                  <c:v>4.011826499109479E-4</c:v>
                </c:pt>
                <c:pt idx="116">
                  <c:v>3.9059595151069715E-4</c:v>
                </c:pt>
                <c:pt idx="117">
                  <c:v>3.7881545747726203E-4</c:v>
                </c:pt>
                <c:pt idx="118">
                  <c:v>3.6509247380209914E-4</c:v>
                </c:pt>
                <c:pt idx="119">
                  <c:v>3.5304716268447223E-4</c:v>
                </c:pt>
                <c:pt idx="120">
                  <c:v>3.402462879236387E-4</c:v>
                </c:pt>
                <c:pt idx="121">
                  <c:v>3.3140786405283507E-4</c:v>
                </c:pt>
                <c:pt idx="122">
                  <c:v>3.2623112207141869E-4</c:v>
                </c:pt>
                <c:pt idx="123">
                  <c:v>3.2492261323062085E-4</c:v>
                </c:pt>
                <c:pt idx="124">
                  <c:v>3.2743390559205471E-4</c:v>
                </c:pt>
                <c:pt idx="125">
                  <c:v>3.3470761328653273E-4</c:v>
                </c:pt>
                <c:pt idx="126">
                  <c:v>3.4715181505973192E-4</c:v>
                </c:pt>
                <c:pt idx="127">
                  <c:v>3.6298657427461314E-4</c:v>
                </c:pt>
                <c:pt idx="128">
                  <c:v>3.823182882153886E-4</c:v>
                </c:pt>
                <c:pt idx="129">
                  <c:v>4.0857023859883559E-4</c:v>
                </c:pt>
                <c:pt idx="130">
                  <c:v>4.3965851998819389E-4</c:v>
                </c:pt>
                <c:pt idx="131">
                  <c:v>4.7333631626620895E-4</c:v>
                </c:pt>
                <c:pt idx="132">
                  <c:v>5.1365256335021703E-4</c:v>
                </c:pt>
                <c:pt idx="133">
                  <c:v>5.4651412080897188E-4</c:v>
                </c:pt>
                <c:pt idx="134">
                  <c:v>5.7728031978676597E-4</c:v>
                </c:pt>
                <c:pt idx="135">
                  <c:v>6.0599890693392375E-4</c:v>
                </c:pt>
                <c:pt idx="136">
                  <c:v>6.240275727924828E-4</c:v>
                </c:pt>
                <c:pt idx="137">
                  <c:v>6.4001668816454638E-4</c:v>
                </c:pt>
                <c:pt idx="138">
                  <c:v>6.5138119541163775E-4</c:v>
                </c:pt>
                <c:pt idx="139">
                  <c:v>6.5680224842394608E-4</c:v>
                </c:pt>
                <c:pt idx="140">
                  <c:v>6.5672433891510867E-4</c:v>
                </c:pt>
                <c:pt idx="141">
                  <c:v>6.5070649924079196E-4</c:v>
                </c:pt>
                <c:pt idx="142">
                  <c:v>6.3924828929161001E-4</c:v>
                </c:pt>
                <c:pt idx="143">
                  <c:v>6.2086257971571968E-4</c:v>
                </c:pt>
                <c:pt idx="144">
                  <c:v>5.9752416900190133E-4</c:v>
                </c:pt>
                <c:pt idx="145">
                  <c:v>5.7580402957668753E-4</c:v>
                </c:pt>
                <c:pt idx="146">
                  <c:v>5.5215434376183065E-4</c:v>
                </c:pt>
                <c:pt idx="147">
                  <c:v>5.2935740844084825E-4</c:v>
                </c:pt>
                <c:pt idx="148">
                  <c:v>5.0827987902697311E-4</c:v>
                </c:pt>
                <c:pt idx="149">
                  <c:v>4.8622936232150735E-4</c:v>
                </c:pt>
                <c:pt idx="150">
                  <c:v>4.6563910105579254E-4</c:v>
                </c:pt>
                <c:pt idx="151">
                  <c:v>4.4522396276974741E-4</c:v>
                </c:pt>
                <c:pt idx="152">
                  <c:v>4.2385650887233339E-4</c:v>
                </c:pt>
                <c:pt idx="153">
                  <c:v>4.0413440102779127E-4</c:v>
                </c:pt>
                <c:pt idx="154">
                  <c:v>3.8575741625024307E-4</c:v>
                </c:pt>
                <c:pt idx="155">
                  <c:v>3.6579157103577842E-4</c:v>
                </c:pt>
                <c:pt idx="156">
                  <c:v>3.4832288182280735E-4</c:v>
                </c:pt>
                <c:pt idx="157">
                  <c:v>3.3016028215104853E-4</c:v>
                </c:pt>
                <c:pt idx="158">
                  <c:v>3.1278844847064391E-4</c:v>
                </c:pt>
                <c:pt idx="159">
                  <c:v>2.9759446788346633E-4</c:v>
                </c:pt>
                <c:pt idx="160">
                  <c:v>2.8168530837868744E-4</c:v>
                </c:pt>
                <c:pt idx="161">
                  <c:v>2.6733557298713739E-4</c:v>
                </c:pt>
                <c:pt idx="162">
                  <c:v>2.5316833246552539E-4</c:v>
                </c:pt>
                <c:pt idx="163">
                  <c:v>2.4056897726790899E-4</c:v>
                </c:pt>
                <c:pt idx="164">
                  <c:v>2.2702068894631111E-4</c:v>
                </c:pt>
                <c:pt idx="165">
                  <c:v>2.1555608541264093E-4</c:v>
                </c:pt>
                <c:pt idx="166">
                  <c:v>2.0390261263694351E-4</c:v>
                </c:pt>
                <c:pt idx="167">
                  <c:v>1.9398827283723108E-4</c:v>
                </c:pt>
                <c:pt idx="168">
                  <c:v>1.8477036263758739E-4</c:v>
                </c:pt>
                <c:pt idx="169">
                  <c:v>1.7582586856867977E-4</c:v>
                </c:pt>
                <c:pt idx="170">
                  <c:v>1.6829059677693145E-4</c:v>
                </c:pt>
                <c:pt idx="171">
                  <c:v>1.6192887647275417E-4</c:v>
                </c:pt>
                <c:pt idx="172">
                  <c:v>1.5598740186100607E-4</c:v>
                </c:pt>
                <c:pt idx="173">
                  <c:v>1.5131747108654281E-4</c:v>
                </c:pt>
                <c:pt idx="174">
                  <c:v>1.4779220212146615E-4</c:v>
                </c:pt>
                <c:pt idx="175">
                  <c:v>1.4493651303384633E-4</c:v>
                </c:pt>
                <c:pt idx="176">
                  <c:v>1.4327311199302528E-4</c:v>
                </c:pt>
                <c:pt idx="177">
                  <c:v>1.4264057716983913E-4</c:v>
                </c:pt>
                <c:pt idx="178">
                  <c:v>1.4311298747619536E-4</c:v>
                </c:pt>
                <c:pt idx="179">
                  <c:v>1.445683844956136E-4</c:v>
                </c:pt>
                <c:pt idx="180">
                  <c:v>1.4700726445450452E-4</c:v>
                </c:pt>
                <c:pt idx="181">
                  <c:v>1.4972831506909756E-4</c:v>
                </c:pt>
                <c:pt idx="182">
                  <c:v>1.5220798614702311E-4</c:v>
                </c:pt>
                <c:pt idx="183">
                  <c:v>1.5482550859691538E-4</c:v>
                </c:pt>
                <c:pt idx="184">
                  <c:v>1.5711894596799267E-4</c:v>
                </c:pt>
                <c:pt idx="185">
                  <c:v>1.5961505794415132E-4</c:v>
                </c:pt>
                <c:pt idx="186">
                  <c:v>1.6189747154506454E-4</c:v>
                </c:pt>
                <c:pt idx="187">
                  <c:v>1.6439732470051316E-4</c:v>
                </c:pt>
                <c:pt idx="188">
                  <c:v>1.665784352962163E-4</c:v>
                </c:pt>
                <c:pt idx="189">
                  <c:v>1.6889147534182233E-4</c:v>
                </c:pt>
                <c:pt idx="190">
                  <c:v>1.7142646290127864E-4</c:v>
                </c:pt>
                <c:pt idx="191">
                  <c:v>1.7348144469464533E-4</c:v>
                </c:pt>
                <c:pt idx="192">
                  <c:v>1.7570328310483399E-4</c:v>
                </c:pt>
                <c:pt idx="193">
                  <c:v>1.7773296434331343E-4</c:v>
                </c:pt>
                <c:pt idx="194">
                  <c:v>1.7977408815095242E-4</c:v>
                </c:pt>
                <c:pt idx="195">
                  <c:v>1.8189195441186551E-4</c:v>
                </c:pt>
                <c:pt idx="196">
                  <c:v>1.8365069430169648E-4</c:v>
                </c:pt>
                <c:pt idx="197">
                  <c:v>1.8555843302153763E-4</c:v>
                </c:pt>
                <c:pt idx="198">
                  <c:v>1.8743864669712451E-4</c:v>
                </c:pt>
                <c:pt idx="199">
                  <c:v>1.8921129529594211E-4</c:v>
                </c:pt>
                <c:pt idx="200">
                  <c:v>1.9078241482617386E-4</c:v>
                </c:pt>
                <c:pt idx="201">
                  <c:v>1.9246230809066844E-4</c:v>
                </c:pt>
                <c:pt idx="202">
                  <c:v>1.9398271649590654E-4</c:v>
                </c:pt>
                <c:pt idx="203">
                  <c:v>1.9544516600866757E-4</c:v>
                </c:pt>
                <c:pt idx="204">
                  <c:v>1.9688421544972884E-4</c:v>
                </c:pt>
                <c:pt idx="205">
                  <c:v>1.9807108511349369E-4</c:v>
                </c:pt>
                <c:pt idx="206">
                  <c:v>1.9929687349203723E-4</c:v>
                </c:pt>
                <c:pt idx="207">
                  <c:v>2.0044273762242007E-4</c:v>
                </c:pt>
                <c:pt idx="208">
                  <c:v>2.013091266027181E-4</c:v>
                </c:pt>
                <c:pt idx="209">
                  <c:v>2.022427200445362E-4</c:v>
                </c:pt>
                <c:pt idx="210">
                  <c:v>2.03121876915624E-4</c:v>
                </c:pt>
                <c:pt idx="211">
                  <c:v>2.0386460656576788E-4</c:v>
                </c:pt>
                <c:pt idx="212">
                  <c:v>2.0448754461988017E-4</c:v>
                </c:pt>
                <c:pt idx="213">
                  <c:v>2.0506355609451951E-4</c:v>
                </c:pt>
                <c:pt idx="214">
                  <c:v>2.0544769065239388E-4</c:v>
                </c:pt>
                <c:pt idx="215">
                  <c:v>2.0575649333665069E-4</c:v>
                </c:pt>
                <c:pt idx="216">
                  <c:v>2.0598849502723518E-4</c:v>
                </c:pt>
                <c:pt idx="217">
                  <c:v>2.0605220855756182E-4</c:v>
                </c:pt>
                <c:pt idx="218">
                  <c:v>2.0602345677467326E-4</c:v>
                </c:pt>
                <c:pt idx="219">
                  <c:v>2.0589822717101761E-4</c:v>
                </c:pt>
                <c:pt idx="220">
                  <c:v>2.0557694804753876E-4</c:v>
                </c:pt>
                <c:pt idx="221">
                  <c:v>2.0522944065472226E-4</c:v>
                </c:pt>
                <c:pt idx="222">
                  <c:v>2.0472184181485886E-4</c:v>
                </c:pt>
                <c:pt idx="223">
                  <c:v>2.0411242835416399E-4</c:v>
                </c:pt>
                <c:pt idx="224">
                  <c:v>2.0327960234034492E-4</c:v>
                </c:pt>
                <c:pt idx="225">
                  <c:v>2.023974329976759E-4</c:v>
                </c:pt>
                <c:pt idx="226">
                  <c:v>2.0138281648198614E-4</c:v>
                </c:pt>
                <c:pt idx="227">
                  <c:v>2.0010824002891781E-4</c:v>
                </c:pt>
                <c:pt idx="228">
                  <c:v>1.9884960465868518E-4</c:v>
                </c:pt>
                <c:pt idx="229">
                  <c:v>1.9729569372373135E-4</c:v>
                </c:pt>
                <c:pt idx="230">
                  <c:v>1.9564196979066431E-4</c:v>
                </c:pt>
                <c:pt idx="231">
                  <c:v>1.9397235724138984E-4</c:v>
                </c:pt>
                <c:pt idx="232">
                  <c:v>1.919782489093573E-4</c:v>
                </c:pt>
                <c:pt idx="233">
                  <c:v>1.8999473218448207E-4</c:v>
                </c:pt>
                <c:pt idx="234">
                  <c:v>1.8790258977841034E-4</c:v>
                </c:pt>
                <c:pt idx="235">
                  <c:v>1.8552718190121761E-4</c:v>
                </c:pt>
                <c:pt idx="236">
                  <c:v>1.8279868579096359E-4</c:v>
                </c:pt>
                <c:pt idx="237">
                  <c:v>1.8019271907557602E-4</c:v>
                </c:pt>
                <c:pt idx="238">
                  <c:v>1.7714364012816688E-4</c:v>
                </c:pt>
                <c:pt idx="239">
                  <c:v>1.7417385720097656E-4</c:v>
                </c:pt>
                <c:pt idx="240">
                  <c:v>1.7105492075786266E-4</c:v>
                </c:pt>
                <c:pt idx="241">
                  <c:v>1.6769218549761433E-4</c:v>
                </c:pt>
                <c:pt idx="242">
                  <c:v>1.6455055142714989E-4</c:v>
                </c:pt>
                <c:pt idx="243">
                  <c:v>1.61545798655547E-4</c:v>
                </c:pt>
                <c:pt idx="244">
                  <c:v>1.5825781351879592E-4</c:v>
                </c:pt>
                <c:pt idx="245">
                  <c:v>1.5524495530317914E-4</c:v>
                </c:pt>
                <c:pt idx="246">
                  <c:v>1.5231134756787251E-4</c:v>
                </c:pt>
                <c:pt idx="247">
                  <c:v>1.4911825468873208E-4</c:v>
                </c:pt>
                <c:pt idx="248">
                  <c:v>1.4629215631689618E-4</c:v>
                </c:pt>
                <c:pt idx="249">
                  <c:v>1.4330882950008492E-4</c:v>
                </c:pt>
                <c:pt idx="250">
                  <c:v>1.4002184951390426E-4</c:v>
                </c:pt>
                <c:pt idx="251">
                  <c:v>1.3727610051444961E-4</c:v>
                </c:pt>
                <c:pt idx="252">
                  <c:v>1.3427233208908665E-4</c:v>
                </c:pt>
                <c:pt idx="253">
                  <c:v>1.3148837415943859E-4</c:v>
                </c:pt>
                <c:pt idx="254">
                  <c:v>1.2870550358728972E-4</c:v>
                </c:pt>
                <c:pt idx="255">
                  <c:v>1.2570574282145391E-4</c:v>
                </c:pt>
                <c:pt idx="256">
                  <c:v>1.2318384540410676E-4</c:v>
                </c:pt>
                <c:pt idx="257">
                  <c:v>1.2042696134894476E-4</c:v>
                </c:pt>
                <c:pt idx="258">
                  <c:v>1.1747134957840188E-4</c:v>
                </c:pt>
                <c:pt idx="259">
                  <c:v>1.1489948314246171E-4</c:v>
                </c:pt>
                <c:pt idx="260">
                  <c:v>1.1242470179806396E-4</c:v>
                </c:pt>
                <c:pt idx="261">
                  <c:v>1.0972645483059429E-4</c:v>
                </c:pt>
                <c:pt idx="262">
                  <c:v>1.0712393855850585E-4</c:v>
                </c:pt>
                <c:pt idx="263">
                  <c:v>1.0470470901657175E-4</c:v>
                </c:pt>
                <c:pt idx="264">
                  <c:v>1.0208571211077488E-4</c:v>
                </c:pt>
                <c:pt idx="265">
                  <c:v>9.978412374778145E-5</c:v>
                </c:pt>
                <c:pt idx="266">
                  <c:v>9.7368277703794442E-5</c:v>
                </c:pt>
                <c:pt idx="267">
                  <c:v>9.4725602808924669E-5</c:v>
                </c:pt>
                <c:pt idx="268">
                  <c:v>9.2672532867599244E-5</c:v>
                </c:pt>
                <c:pt idx="269">
                  <c:v>9.0426777468455288E-5</c:v>
                </c:pt>
                <c:pt idx="270">
                  <c:v>8.8049726291394848E-5</c:v>
                </c:pt>
                <c:pt idx="271">
                  <c:v>8.5847168266216939E-5</c:v>
                </c:pt>
                <c:pt idx="272">
                  <c:v>8.3773856540823172E-5</c:v>
                </c:pt>
                <c:pt idx="273">
                  <c:v>8.1540648682189298E-5</c:v>
                </c:pt>
                <c:pt idx="274">
                  <c:v>7.9498695900234034E-5</c:v>
                </c:pt>
                <c:pt idx="275">
                  <c:v>7.7383411476006358E-5</c:v>
                </c:pt>
                <c:pt idx="276">
                  <c:v>7.5338081177184213E-5</c:v>
                </c:pt>
                <c:pt idx="277">
                  <c:v>7.3517508783205177E-5</c:v>
                </c:pt>
                <c:pt idx="278">
                  <c:v>7.1553830264785984E-5</c:v>
                </c:pt>
                <c:pt idx="279">
                  <c:v>6.9680779701415327E-5</c:v>
                </c:pt>
                <c:pt idx="280">
                  <c:v>6.8040184463744741E-5</c:v>
                </c:pt>
                <c:pt idx="281">
                  <c:v>6.6350537982583571E-5</c:v>
                </c:pt>
                <c:pt idx="282">
                  <c:v>6.4530122450889849E-5</c:v>
                </c:pt>
                <c:pt idx="283">
                  <c:v>6.2938690307975942E-5</c:v>
                </c:pt>
                <c:pt idx="284">
                  <c:v>6.12747761730148E-5</c:v>
                </c:pt>
                <c:pt idx="285">
                  <c:v>5.9682863286655841E-5</c:v>
                </c:pt>
                <c:pt idx="286">
                  <c:v>5.8280869208171548E-5</c:v>
                </c:pt>
                <c:pt idx="287">
                  <c:v>5.6760145261236516E-5</c:v>
                </c:pt>
                <c:pt idx="288">
                  <c:v>5.537854125815464E-5</c:v>
                </c:pt>
                <c:pt idx="289">
                  <c:v>5.4103479283791264E-5</c:v>
                </c:pt>
                <c:pt idx="290">
                  <c:v>5.2760151465778074E-5</c:v>
                </c:pt>
                <c:pt idx="291">
                  <c:v>5.1561506429336282E-5</c:v>
                </c:pt>
                <c:pt idx="292">
                  <c:v>5.0366624755019893E-5</c:v>
                </c:pt>
                <c:pt idx="293">
                  <c:v>4.9280223014572591E-5</c:v>
                </c:pt>
                <c:pt idx="294">
                  <c:v>4.8230956186390284E-5</c:v>
                </c:pt>
                <c:pt idx="295">
                  <c:v>4.7299426496795124E-5</c:v>
                </c:pt>
                <c:pt idx="296">
                  <c:v>4.6300942197596839E-5</c:v>
                </c:pt>
                <c:pt idx="297">
                  <c:v>4.5461895239866726E-5</c:v>
                </c:pt>
                <c:pt idx="298">
                  <c:v>4.4605250938018273E-5</c:v>
                </c:pt>
                <c:pt idx="299">
                  <c:v>4.3877359217958656E-5</c:v>
                </c:pt>
                <c:pt idx="300">
                  <c:v>4.319065423058488E-5</c:v>
                </c:pt>
                <c:pt idx="301">
                  <c:v>4.2465369772592965E-5</c:v>
                </c:pt>
                <c:pt idx="302">
                  <c:v>4.1790197392284692E-5</c:v>
                </c:pt>
                <c:pt idx="303">
                  <c:v>4.114638649154595E-5</c:v>
                </c:pt>
                <c:pt idx="304">
                  <c:v>4.0453115020624292E-5</c:v>
                </c:pt>
                <c:pt idx="305">
                  <c:v>3.98023306023218E-5</c:v>
                </c:pt>
                <c:pt idx="306">
                  <c:v>3.9191044826913934E-5</c:v>
                </c:pt>
                <c:pt idx="307">
                  <c:v>3.8522721270981344E-5</c:v>
                </c:pt>
                <c:pt idx="308">
                  <c:v>3.7903468521172101E-5</c:v>
                </c:pt>
                <c:pt idx="309">
                  <c:v>3.7285026885935935E-5</c:v>
                </c:pt>
                <c:pt idx="310">
                  <c:v>3.6617534279586791E-5</c:v>
                </c:pt>
                <c:pt idx="311">
                  <c:v>3.6038359605861103E-5</c:v>
                </c:pt>
                <c:pt idx="312">
                  <c:v>3.5428105146336625E-5</c:v>
                </c:pt>
                <c:pt idx="313">
                  <c:v>3.4782097018570823E-5</c:v>
                </c:pt>
                <c:pt idx="314">
                  <c:v>3.4207768295565696E-5</c:v>
                </c:pt>
                <c:pt idx="315">
                  <c:v>3.3584188073114071E-5</c:v>
                </c:pt>
                <c:pt idx="316">
                  <c:v>3.3033228081473867E-5</c:v>
                </c:pt>
                <c:pt idx="317">
                  <c:v>3.2452871846304007E-5</c:v>
                </c:pt>
                <c:pt idx="318">
                  <c:v>3.1846943975288866E-5</c:v>
                </c:pt>
                <c:pt idx="319">
                  <c:v>3.1319197882871685E-5</c:v>
                </c:pt>
                <c:pt idx="320">
                  <c:v>3.0794312910309429E-5</c:v>
                </c:pt>
                <c:pt idx="321">
                  <c:v>3.0241208984723919E-5</c:v>
                </c:pt>
                <c:pt idx="322">
                  <c:v>2.9632887683045048E-5</c:v>
                </c:pt>
                <c:pt idx="323">
                  <c:v>2.9125490069725757E-5</c:v>
                </c:pt>
                <c:pt idx="324">
                  <c:v>2.857096653457146E-5</c:v>
                </c:pt>
                <c:pt idx="325">
                  <c:v>2.8057384426460885E-5</c:v>
                </c:pt>
                <c:pt idx="326">
                  <c:v>2.7544229724563163E-5</c:v>
                </c:pt>
                <c:pt idx="327">
                  <c:v>2.6991079105948002E-5</c:v>
                </c:pt>
                <c:pt idx="328">
                  <c:v>2.652585075590963E-5</c:v>
                </c:pt>
                <c:pt idx="329">
                  <c:v>2.6024380023092347E-5</c:v>
                </c:pt>
                <c:pt idx="330">
                  <c:v>2.5503639437651771E-5</c:v>
                </c:pt>
                <c:pt idx="331">
                  <c:v>2.4995204400793045E-5</c:v>
                </c:pt>
                <c:pt idx="332">
                  <c:v>2.4536448110790143E-5</c:v>
                </c:pt>
                <c:pt idx="333">
                  <c:v>2.4035151461357721E-5</c:v>
                </c:pt>
                <c:pt idx="334">
                  <c:v>2.35504315224868E-5</c:v>
                </c:pt>
                <c:pt idx="335">
                  <c:v>2.3098279196429039E-5</c:v>
                </c:pt>
                <c:pt idx="336">
                  <c:v>2.2607102914845925E-5</c:v>
                </c:pt>
                <c:pt idx="337">
                  <c:v>2.2173638935640838E-5</c:v>
                </c:pt>
                <c:pt idx="338">
                  <c:v>2.171671137112495E-5</c:v>
                </c:pt>
                <c:pt idx="339">
                  <c:v>2.12141853368885E-5</c:v>
                </c:pt>
                <c:pt idx="340">
                  <c:v>2.0814798265680196E-5</c:v>
                </c:pt>
                <c:pt idx="341">
                  <c:v>2.0381260062879089E-5</c:v>
                </c:pt>
                <c:pt idx="342">
                  <c:v>1.9914384264296814E-5</c:v>
                </c:pt>
                <c:pt idx="343">
                  <c:v>1.9498656093379016E-5</c:v>
                </c:pt>
                <c:pt idx="344">
                  <c:v>1.9054804603513276E-5</c:v>
                </c:pt>
                <c:pt idx="345">
                  <c:v>1.862084471100818E-5</c:v>
                </c:pt>
                <c:pt idx="346">
                  <c:v>1.8229720300799723E-5</c:v>
                </c:pt>
                <c:pt idx="347">
                  <c:v>1.7794876364440881E-5</c:v>
                </c:pt>
                <c:pt idx="348">
                  <c:v>1.7388804372166222E-5</c:v>
                </c:pt>
                <c:pt idx="349">
                  <c:v>1.7003472699516492E-5</c:v>
                </c:pt>
                <c:pt idx="350">
                  <c:v>1.6584656494574024E-5</c:v>
                </c:pt>
                <c:pt idx="351">
                  <c:v>1.619786791968135E-5</c:v>
                </c:pt>
                <c:pt idx="352">
                  <c:v>1.5804360671596226E-5</c:v>
                </c:pt>
                <c:pt idx="353">
                  <c:v>1.5433113731493434E-5</c:v>
                </c:pt>
                <c:pt idx="354">
                  <c:v>1.5063329434461536E-5</c:v>
                </c:pt>
                <c:pt idx="355">
                  <c:v>1.4693267650078834E-5</c:v>
                </c:pt>
                <c:pt idx="356">
                  <c:v>1.4300512062526138E-5</c:v>
                </c:pt>
                <c:pt idx="357">
                  <c:v>1.3933358568737897E-5</c:v>
                </c:pt>
                <c:pt idx="358">
                  <c:v>1.3585237938467526E-5</c:v>
                </c:pt>
                <c:pt idx="359">
                  <c:v>1.3200215552622296E-5</c:v>
                </c:pt>
                <c:pt idx="360">
                  <c:v>1.2855059208630171E-5</c:v>
                </c:pt>
                <c:pt idx="361">
                  <c:v>1.2480396193836896E-5</c:v>
                </c:pt>
                <c:pt idx="362">
                  <c:v>1.2104748033016366E-5</c:v>
                </c:pt>
                <c:pt idx="363">
                  <c:v>1.1759455284532372E-5</c:v>
                </c:pt>
                <c:pt idx="364">
                  <c:v>1.1378566637481116E-5</c:v>
                </c:pt>
                <c:pt idx="365">
                  <c:v>1.1015241580803609E-5</c:v>
                </c:pt>
                <c:pt idx="366">
                  <c:v>1.0658642051630807E-5</c:v>
                </c:pt>
                <c:pt idx="367">
                  <c:v>1.0273602554483618E-5</c:v>
                </c:pt>
                <c:pt idx="368">
                  <c:v>9.857409195568323E-6</c:v>
                </c:pt>
                <c:pt idx="369">
                  <c:v>9.4764933742594315E-6</c:v>
                </c:pt>
                <c:pt idx="370">
                  <c:v>9.0561239075546973E-6</c:v>
                </c:pt>
                <c:pt idx="371">
                  <c:v>8.6640531948845023E-6</c:v>
                </c:pt>
                <c:pt idx="372">
                  <c:v>8.2614114349510714E-6</c:v>
                </c:pt>
                <c:pt idx="373">
                  <c:v>7.8249110071482164E-6</c:v>
                </c:pt>
                <c:pt idx="374">
                  <c:v>7.4047966352516065E-6</c:v>
                </c:pt>
                <c:pt idx="375">
                  <c:v>6.9987228502911558E-6</c:v>
                </c:pt>
                <c:pt idx="376">
                  <c:v>6.5516353028472613E-6</c:v>
                </c:pt>
                <c:pt idx="377">
                  <c:v>6.114774286913871E-6</c:v>
                </c:pt>
                <c:pt idx="378">
                  <c:v>5.6997034592054518E-6</c:v>
                </c:pt>
                <c:pt idx="379">
                  <c:v>5.2347541372593787E-6</c:v>
                </c:pt>
                <c:pt idx="380">
                  <c:v>4.7932661066951709E-6</c:v>
                </c:pt>
                <c:pt idx="381">
                  <c:v>4.3386585199534089E-6</c:v>
                </c:pt>
                <c:pt idx="382">
                  <c:v>3.8384527556445391E-6</c:v>
                </c:pt>
                <c:pt idx="383">
                  <c:v>3.3935570327159326E-6</c:v>
                </c:pt>
                <c:pt idx="384">
                  <c:v>2.911066110746624E-6</c:v>
                </c:pt>
                <c:pt idx="385">
                  <c:v>2.3890239120305523E-6</c:v>
                </c:pt>
                <c:pt idx="386">
                  <c:v>1.9084238867990433E-6</c:v>
                </c:pt>
                <c:pt idx="387">
                  <c:v>1.379053774400868E-6</c:v>
                </c:pt>
                <c:pt idx="388">
                  <c:v>8.9232484849419147E-7</c:v>
                </c:pt>
                <c:pt idx="389">
                  <c:v>3.7308951927883527E-7</c:v>
                </c:pt>
                <c:pt idx="390">
                  <c:v>-1.9735563050460314E-7</c:v>
                </c:pt>
                <c:pt idx="391">
                  <c:v>-7.1526315537084884E-7</c:v>
                </c:pt>
                <c:pt idx="392">
                  <c:v>-1.2225550696798315E-6</c:v>
                </c:pt>
                <c:pt idx="393">
                  <c:v>-1.7914693315902036E-6</c:v>
                </c:pt>
                <c:pt idx="394">
                  <c:v>-2.3602905714747296E-6</c:v>
                </c:pt>
                <c:pt idx="395">
                  <c:v>-2.899806348592715E-6</c:v>
                </c:pt>
                <c:pt idx="396">
                  <c:v>-3.5043862702012485E-6</c:v>
                </c:pt>
                <c:pt idx="397">
                  <c:v>-4.0507054777094709E-6</c:v>
                </c:pt>
                <c:pt idx="398">
                  <c:v>-4.6443145020110682E-6</c:v>
                </c:pt>
                <c:pt idx="399">
                  <c:v>-5.316913098888168E-6</c:v>
                </c:pt>
                <c:pt idx="400">
                  <c:v>-5.847301246055675E-6</c:v>
                </c:pt>
                <c:pt idx="401">
                  <c:v>-6.4587791714920684E-6</c:v>
                </c:pt>
                <c:pt idx="402">
                  <c:v>-7.1192342900872063E-6</c:v>
                </c:pt>
                <c:pt idx="403">
                  <c:v>-7.7601404502303239E-6</c:v>
                </c:pt>
                <c:pt idx="404">
                  <c:v>-8.3768127041375373E-6</c:v>
                </c:pt>
                <c:pt idx="405">
                  <c:v>-9.0683714241042435E-6</c:v>
                </c:pt>
                <c:pt idx="406">
                  <c:v>-9.7275501205595222E-6</c:v>
                </c:pt>
                <c:pt idx="407">
                  <c:v>-1.0427948128999276E-5</c:v>
                </c:pt>
                <c:pt idx="408">
                  <c:v>-1.1142097605767662E-5</c:v>
                </c:pt>
                <c:pt idx="409">
                  <c:v>-1.1795989692531261E-5</c:v>
                </c:pt>
                <c:pt idx="410">
                  <c:v>-1.2529413037410536E-5</c:v>
                </c:pt>
                <c:pt idx="411">
                  <c:v>-1.326401392841639E-5</c:v>
                </c:pt>
                <c:pt idx="412">
                  <c:v>-1.3920959356690174E-5</c:v>
                </c:pt>
                <c:pt idx="413">
                  <c:v>-1.4640673937710985E-5</c:v>
                </c:pt>
                <c:pt idx="414">
                  <c:v>-1.5442880334504139E-5</c:v>
                </c:pt>
                <c:pt idx="415">
                  <c:v>-1.6184806309705452E-5</c:v>
                </c:pt>
                <c:pt idx="416">
                  <c:v>-1.698436240982204E-5</c:v>
                </c:pt>
                <c:pt idx="417">
                  <c:v>-1.7800689450937421E-5</c:v>
                </c:pt>
                <c:pt idx="418">
                  <c:v>-1.8547152366432673E-5</c:v>
                </c:pt>
                <c:pt idx="419">
                  <c:v>-1.9396755148726186E-5</c:v>
                </c:pt>
                <c:pt idx="420">
                  <c:v>-2.022296758174072E-5</c:v>
                </c:pt>
                <c:pt idx="421">
                  <c:v>-2.1015507811391124E-5</c:v>
                </c:pt>
                <c:pt idx="422">
                  <c:v>-2.1904815007016409E-5</c:v>
                </c:pt>
                <c:pt idx="423">
                  <c:v>-2.2752884570372695E-5</c:v>
                </c:pt>
                <c:pt idx="424">
                  <c:v>-2.3620448845422873E-5</c:v>
                </c:pt>
                <c:pt idx="425">
                  <c:v>-2.4479546660707147E-5</c:v>
                </c:pt>
                <c:pt idx="426">
                  <c:v>-2.5407927404519359E-5</c:v>
                </c:pt>
                <c:pt idx="427">
                  <c:v>-2.6243793613267563E-5</c:v>
                </c:pt>
                <c:pt idx="428">
                  <c:v>-2.7210219195161756E-5</c:v>
                </c:pt>
                <c:pt idx="429">
                  <c:v>-2.8150668223148045E-5</c:v>
                </c:pt>
                <c:pt idx="430">
                  <c:v>-2.9051415116136334E-5</c:v>
                </c:pt>
                <c:pt idx="431">
                  <c:v>-3.0076799141909305E-5</c:v>
                </c:pt>
                <c:pt idx="432">
                  <c:v>-3.102605021625994E-5</c:v>
                </c:pt>
                <c:pt idx="433">
                  <c:v>-3.2045659717816477E-5</c:v>
                </c:pt>
                <c:pt idx="434">
                  <c:v>-3.3088333210333151E-5</c:v>
                </c:pt>
                <c:pt idx="435">
                  <c:v>-3.4039470637181601E-5</c:v>
                </c:pt>
                <c:pt idx="436">
                  <c:v>-3.5102252878185802E-5</c:v>
                </c:pt>
                <c:pt idx="437">
                  <c:v>-3.6173510121851465E-5</c:v>
                </c:pt>
                <c:pt idx="438">
                  <c:v>-3.7164528332300772E-5</c:v>
                </c:pt>
                <c:pt idx="439">
                  <c:v>-3.827480635915613E-5</c:v>
                </c:pt>
                <c:pt idx="440">
                  <c:v>-3.9328690810691569E-5</c:v>
                </c:pt>
                <c:pt idx="441">
                  <c:v>-4.0419784404499559E-5</c:v>
                </c:pt>
                <c:pt idx="442">
                  <c:v>-4.1612896547938219E-5</c:v>
                </c:pt>
                <c:pt idx="443">
                  <c:v>-4.2673063925136034E-5</c:v>
                </c:pt>
                <c:pt idx="444">
                  <c:v>-4.3826159602057546E-5</c:v>
                </c:pt>
                <c:pt idx="445">
                  <c:v>-4.5068113609048055E-5</c:v>
                </c:pt>
                <c:pt idx="446">
                  <c:v>-4.6218216531520792E-5</c:v>
                </c:pt>
                <c:pt idx="447">
                  <c:v>-4.7472390111838458E-5</c:v>
                </c:pt>
                <c:pt idx="448">
                  <c:v>-4.8601516525590208E-5</c:v>
                </c:pt>
                <c:pt idx="449">
                  <c:v>-4.986439779674362E-5</c:v>
                </c:pt>
                <c:pt idx="450">
                  <c:v>-5.1164619042864956E-5</c:v>
                </c:pt>
                <c:pt idx="451">
                  <c:v>-5.2347267096504099E-5</c:v>
                </c:pt>
                <c:pt idx="452">
                  <c:v>-5.3539979271377547E-5</c:v>
                </c:pt>
                <c:pt idx="453">
                  <c:v>-5.4836997861284001E-5</c:v>
                </c:pt>
                <c:pt idx="454">
                  <c:v>-5.6304743468838653E-5</c:v>
                </c:pt>
                <c:pt idx="455">
                  <c:v>-5.7545104848732986E-5</c:v>
                </c:pt>
                <c:pt idx="456">
                  <c:v>-5.893347962412053E-5</c:v>
                </c:pt>
                <c:pt idx="457">
                  <c:v>-6.025006372478714E-5</c:v>
                </c:pt>
                <c:pt idx="458">
                  <c:v>-6.1612994808613042E-5</c:v>
                </c:pt>
                <c:pt idx="459">
                  <c:v>-6.310071011512465E-5</c:v>
                </c:pt>
                <c:pt idx="460">
                  <c:v>-6.4369487700055572E-5</c:v>
                </c:pt>
                <c:pt idx="461">
                  <c:v>-6.5815209679763453E-5</c:v>
                </c:pt>
                <c:pt idx="462">
                  <c:v>-6.7305619576352171E-5</c:v>
                </c:pt>
                <c:pt idx="463">
                  <c:v>-6.8831417128413508E-5</c:v>
                </c:pt>
                <c:pt idx="464">
                  <c:v>-7.021847067800735E-5</c:v>
                </c:pt>
                <c:pt idx="465">
                  <c:v>-7.1770304762467513E-5</c:v>
                </c:pt>
                <c:pt idx="466">
                  <c:v>-7.3325261096874109E-5</c:v>
                </c:pt>
                <c:pt idx="467">
                  <c:v>-7.4786034451664041E-5</c:v>
                </c:pt>
                <c:pt idx="468">
                  <c:v>-7.6423966205763777E-5</c:v>
                </c:pt>
                <c:pt idx="469">
                  <c:v>-7.7897171390617359E-5</c:v>
                </c:pt>
                <c:pt idx="470">
                  <c:v>-7.949845196851546E-5</c:v>
                </c:pt>
                <c:pt idx="471">
                  <c:v>-8.130897581892782E-5</c:v>
                </c:pt>
                <c:pt idx="472">
                  <c:v>-8.2715842112866117E-5</c:v>
                </c:pt>
                <c:pt idx="473">
                  <c:v>-8.4357161336257036E-5</c:v>
                </c:pt>
                <c:pt idx="474">
                  <c:v>-8.6108430335407604E-5</c:v>
                </c:pt>
                <c:pt idx="475">
                  <c:v>-8.7814125949006727E-5</c:v>
                </c:pt>
                <c:pt idx="476">
                  <c:v>-8.9438020625684164E-5</c:v>
                </c:pt>
                <c:pt idx="477">
                  <c:v>-9.1258311073089474E-5</c:v>
                </c:pt>
                <c:pt idx="478">
                  <c:v>-9.2992012395886475E-5</c:v>
                </c:pt>
                <c:pt idx="479">
                  <c:v>-9.4808775566335157E-5</c:v>
                </c:pt>
                <c:pt idx="480">
                  <c:v>-9.4838456898636847E-5</c:v>
                </c:pt>
                <c:pt idx="481">
                  <c:v>-9.3705214530281911E-5</c:v>
                </c:pt>
                <c:pt idx="482">
                  <c:v>-9.2494176534670819E-5</c:v>
                </c:pt>
                <c:pt idx="483">
                  <c:v>-9.135529852841856E-5</c:v>
                </c:pt>
                <c:pt idx="484">
                  <c:v>-9.0315091139964165E-5</c:v>
                </c:pt>
                <c:pt idx="485">
                  <c:v>-8.9252258066798568E-5</c:v>
                </c:pt>
                <c:pt idx="486">
                  <c:v>-8.8220227723034839E-5</c:v>
                </c:pt>
                <c:pt idx="487">
                  <c:v>-8.7338061013353396E-5</c:v>
                </c:pt>
                <c:pt idx="488">
                  <c:v>-8.6367907191409188E-5</c:v>
                </c:pt>
                <c:pt idx="489">
                  <c:v>-8.5503602462531914E-5</c:v>
                </c:pt>
                <c:pt idx="490">
                  <c:v>-8.4707150934849526E-5</c:v>
                </c:pt>
                <c:pt idx="491">
                  <c:v>-8.3866379217312215E-5</c:v>
                </c:pt>
                <c:pt idx="492">
                  <c:v>-8.3159411734938862E-5</c:v>
                </c:pt>
                <c:pt idx="493">
                  <c:v>-8.2432388773590048E-5</c:v>
                </c:pt>
                <c:pt idx="494">
                  <c:v>-8.1772443529198532E-5</c:v>
                </c:pt>
                <c:pt idx="495">
                  <c:v>-8.120673293060543E-5</c:v>
                </c:pt>
                <c:pt idx="496">
                  <c:v>-8.062931063384203E-5</c:v>
                </c:pt>
                <c:pt idx="497">
                  <c:v>-8.0145077170929585E-5</c:v>
                </c:pt>
                <c:pt idx="498">
                  <c:v>-7.9708237852749164E-5</c:v>
                </c:pt>
                <c:pt idx="499">
                  <c:v>-7.9293233942715272E-5</c:v>
                </c:pt>
                <c:pt idx="500">
                  <c:v>-7.8898552893669205E-5</c:v>
                </c:pt>
                <c:pt idx="501">
                  <c:v>-7.8599553890900536E-5</c:v>
                </c:pt>
                <c:pt idx="502">
                  <c:v>-7.8312724068134096E-5</c:v>
                </c:pt>
                <c:pt idx="503">
                  <c:v>-7.8099434975165138E-5</c:v>
                </c:pt>
                <c:pt idx="504">
                  <c:v>-7.7939281810934791E-5</c:v>
                </c:pt>
                <c:pt idx="505">
                  <c:v>-7.7811238615055345E-5</c:v>
                </c:pt>
                <c:pt idx="506">
                  <c:v>-7.7755327454263889E-5</c:v>
                </c:pt>
                <c:pt idx="507">
                  <c:v>-7.7736832197167205E-5</c:v>
                </c:pt>
                <c:pt idx="508">
                  <c:v>-7.7768058627088188E-5</c:v>
                </c:pt>
                <c:pt idx="509">
                  <c:v>-7.7873437618336538E-5</c:v>
                </c:pt>
                <c:pt idx="510">
                  <c:v>-7.8004448647861491E-5</c:v>
                </c:pt>
                <c:pt idx="511">
                  <c:v>-7.8204007321560146E-5</c:v>
                </c:pt>
                <c:pt idx="512">
                  <c:v>-7.844301181414437E-5</c:v>
                </c:pt>
                <c:pt idx="513">
                  <c:v>-7.8746601571977326E-5</c:v>
                </c:pt>
                <c:pt idx="514">
                  <c:v>-7.9126860547656247E-5</c:v>
                </c:pt>
                <c:pt idx="515">
                  <c:v>-7.9511771057916292E-5</c:v>
                </c:pt>
                <c:pt idx="516">
                  <c:v>-7.9983423711278354E-5</c:v>
                </c:pt>
                <c:pt idx="517">
                  <c:v>-8.0542334202071686E-5</c:v>
                </c:pt>
                <c:pt idx="518">
                  <c:v>-8.1116330941908427E-5</c:v>
                </c:pt>
                <c:pt idx="519">
                  <c:v>-8.1784974343824049E-5</c:v>
                </c:pt>
                <c:pt idx="520">
                  <c:v>-8.243054958326744E-5</c:v>
                </c:pt>
                <c:pt idx="521">
                  <c:v>-8.3200746893264538E-5</c:v>
                </c:pt>
                <c:pt idx="522">
                  <c:v>-8.3968420846135955E-5</c:v>
                </c:pt>
                <c:pt idx="523">
                  <c:v>-8.4883749528663968E-5</c:v>
                </c:pt>
                <c:pt idx="524">
                  <c:v>-8.5751256309052337E-5</c:v>
                </c:pt>
                <c:pt idx="525">
                  <c:v>-8.6743642519249847E-5</c:v>
                </c:pt>
                <c:pt idx="526">
                  <c:v>-8.7923859850973576E-5</c:v>
                </c:pt>
                <c:pt idx="527">
                  <c:v>-8.8963618494475316E-5</c:v>
                </c:pt>
                <c:pt idx="528">
                  <c:v>-9.0175455152028544E-5</c:v>
                </c:pt>
                <c:pt idx="529">
                  <c:v>-9.1369920541595206E-5</c:v>
                </c:pt>
                <c:pt idx="530">
                  <c:v>-9.2653605365533576E-5</c:v>
                </c:pt>
                <c:pt idx="531">
                  <c:v>-9.4103091412126028E-5</c:v>
                </c:pt>
                <c:pt idx="532">
                  <c:v>-9.5405802604349096E-5</c:v>
                </c:pt>
                <c:pt idx="533">
                  <c:v>-9.6902225336370496E-5</c:v>
                </c:pt>
                <c:pt idx="534">
                  <c:v>-9.852480213545789E-5</c:v>
                </c:pt>
                <c:pt idx="535">
                  <c:v>-1.0015344429913434E-4</c:v>
                </c:pt>
                <c:pt idx="536">
                  <c:v>-1.0174641581648866E-4</c:v>
                </c:pt>
                <c:pt idx="537">
                  <c:v>-1.0358017141031198E-4</c:v>
                </c:pt>
                <c:pt idx="538">
                  <c:v>-1.0537214528079548E-4</c:v>
                </c:pt>
                <c:pt idx="539">
                  <c:v>-1.0730531827896073E-4</c:v>
                </c:pt>
                <c:pt idx="540">
                  <c:v>-1.0933080473436892E-4</c:v>
                </c:pt>
                <c:pt idx="541">
                  <c:v>-1.1121222322801882E-4</c:v>
                </c:pt>
                <c:pt idx="542">
                  <c:v>-1.1336085083796417E-4</c:v>
                </c:pt>
                <c:pt idx="543">
                  <c:v>-1.1555749195595912E-4</c:v>
                </c:pt>
                <c:pt idx="544">
                  <c:v>-1.1754014190243009E-4</c:v>
                </c:pt>
                <c:pt idx="545">
                  <c:v>-1.1976098989411287E-4</c:v>
                </c:pt>
                <c:pt idx="546">
                  <c:v>-1.2226669270631874E-4</c:v>
                </c:pt>
                <c:pt idx="547">
                  <c:v>-1.246254746673451E-4</c:v>
                </c:pt>
                <c:pt idx="548">
                  <c:v>-1.2719224634594184E-4</c:v>
                </c:pt>
                <c:pt idx="549">
                  <c:v>-1.2985920970542963E-4</c:v>
                </c:pt>
                <c:pt idx="550">
                  <c:v>-1.3232258871120894E-4</c:v>
                </c:pt>
                <c:pt idx="551">
                  <c:v>-1.3515940247277314E-4</c:v>
                </c:pt>
                <c:pt idx="552">
                  <c:v>-1.3795864473839167E-4</c:v>
                </c:pt>
                <c:pt idx="553">
                  <c:v>-1.4066653764895944E-4</c:v>
                </c:pt>
                <c:pt idx="554">
                  <c:v>-1.4374118261339594E-4</c:v>
                </c:pt>
                <c:pt idx="555">
                  <c:v>-1.4670673887838895E-4</c:v>
                </c:pt>
                <c:pt idx="556">
                  <c:v>-1.4976232645442546E-4</c:v>
                </c:pt>
                <c:pt idx="557">
                  <c:v>-1.5282577428844812E-4</c:v>
                </c:pt>
                <c:pt idx="558">
                  <c:v>-1.5594036158095292E-4</c:v>
                </c:pt>
                <c:pt idx="559">
                  <c:v>-1.5919525249291633E-4</c:v>
                </c:pt>
                <c:pt idx="560">
                  <c:v>-1.6272740069034342E-4</c:v>
                </c:pt>
                <c:pt idx="561">
                  <c:v>-1.6619775032806171E-4</c:v>
                </c:pt>
                <c:pt idx="562">
                  <c:v>-1.6954338790446492E-4</c:v>
                </c:pt>
                <c:pt idx="563">
                  <c:v>-1.733823144043356E-4</c:v>
                </c:pt>
                <c:pt idx="564">
                  <c:v>-1.7696509994603524E-4</c:v>
                </c:pt>
                <c:pt idx="565">
                  <c:v>-1.8083699393933728E-4</c:v>
                </c:pt>
                <c:pt idx="566">
                  <c:v>-1.8482729322548408E-4</c:v>
                </c:pt>
                <c:pt idx="567">
                  <c:v>-1.8848894614120759E-4</c:v>
                </c:pt>
                <c:pt idx="568">
                  <c:v>-1.9253289294862697E-4</c:v>
                </c:pt>
                <c:pt idx="569">
                  <c:v>-1.9649935977716221E-4</c:v>
                </c:pt>
                <c:pt idx="570">
                  <c:v>-2.0037905616110407E-4</c:v>
                </c:pt>
                <c:pt idx="571">
                  <c:v>-2.0462256326251108E-4</c:v>
                </c:pt>
                <c:pt idx="572">
                  <c:v>-2.0922068969309038E-4</c:v>
                </c:pt>
                <c:pt idx="573">
                  <c:v>-2.1350120408815051E-4</c:v>
                </c:pt>
                <c:pt idx="574">
                  <c:v>-2.1819626015930765E-4</c:v>
                </c:pt>
                <c:pt idx="575">
                  <c:v>-2.2261082460861559E-4</c:v>
                </c:pt>
                <c:pt idx="576">
                  <c:v>-2.2720173081663964E-4</c:v>
                </c:pt>
                <c:pt idx="577">
                  <c:v>-2.3215823839084493E-4</c:v>
                </c:pt>
                <c:pt idx="578">
                  <c:v>-2.3700528986400279E-4</c:v>
                </c:pt>
                <c:pt idx="579">
                  <c:v>-2.4165603421559025E-4</c:v>
                </c:pt>
                <c:pt idx="580">
                  <c:v>-2.4687825277608898E-4</c:v>
                </c:pt>
                <c:pt idx="581">
                  <c:v>-2.5199860363834398E-4</c:v>
                </c:pt>
                <c:pt idx="582">
                  <c:v>-2.5738886887438639E-4</c:v>
                </c:pt>
                <c:pt idx="583">
                  <c:v>-2.6230711165465062E-4</c:v>
                </c:pt>
                <c:pt idx="584">
                  <c:v>-2.6728452889379639E-4</c:v>
                </c:pt>
                <c:pt idx="585">
                  <c:v>-2.7271373215675965E-4</c:v>
                </c:pt>
                <c:pt idx="586">
                  <c:v>-2.7887816660571683E-4</c:v>
                </c:pt>
                <c:pt idx="587">
                  <c:v>-2.8410611888074477E-4</c:v>
                </c:pt>
                <c:pt idx="588">
                  <c:v>-2.8997530337947566E-4</c:v>
                </c:pt>
                <c:pt idx="589">
                  <c:v>-2.9555731504338212E-4</c:v>
                </c:pt>
                <c:pt idx="590">
                  <c:v>-3.0134943048432117E-4</c:v>
                </c:pt>
                <c:pt idx="591">
                  <c:v>-3.0769187408028614E-4</c:v>
                </c:pt>
                <c:pt idx="592">
                  <c:v>-3.1311657063445505E-4</c:v>
                </c:pt>
                <c:pt idx="593">
                  <c:v>-3.1930588766261245E-4</c:v>
                </c:pt>
                <c:pt idx="594">
                  <c:v>-3.2570896199857202E-4</c:v>
                </c:pt>
                <c:pt idx="595">
                  <c:v>-3.3227497661689025E-4</c:v>
                </c:pt>
                <c:pt idx="596">
                  <c:v>-3.3826029682521019E-4</c:v>
                </c:pt>
                <c:pt idx="597">
                  <c:v>-3.4497089127992486E-4</c:v>
                </c:pt>
                <c:pt idx="598">
                  <c:v>-3.5170702984401586E-4</c:v>
                </c:pt>
                <c:pt idx="599">
                  <c:v>-3.5798744819096062E-4</c:v>
                </c:pt>
                <c:pt idx="600">
                  <c:v>-3.5664053046264264E-4</c:v>
                </c:pt>
                <c:pt idx="601">
                  <c:v>-3.505423901737359E-4</c:v>
                </c:pt>
                <c:pt idx="602">
                  <c:v>-3.4406753853763808E-4</c:v>
                </c:pt>
                <c:pt idx="603">
                  <c:v>-3.3689277246925879E-4</c:v>
                </c:pt>
                <c:pt idx="604">
                  <c:v>-3.3125228751413639E-4</c:v>
                </c:pt>
                <c:pt idx="605">
                  <c:v>-3.2500091860482305E-4</c:v>
                </c:pt>
                <c:pt idx="606">
                  <c:v>-3.1829588468390568E-4</c:v>
                </c:pt>
                <c:pt idx="607">
                  <c:v>-3.1198853261345423E-4</c:v>
                </c:pt>
                <c:pt idx="608">
                  <c:v>-3.0596867541265657E-4</c:v>
                </c:pt>
                <c:pt idx="609">
                  <c:v>-2.9938203553655889E-4</c:v>
                </c:pt>
                <c:pt idx="610">
                  <c:v>-2.9325862851789335E-4</c:v>
                </c:pt>
                <c:pt idx="611">
                  <c:v>-2.8681193070667632E-4</c:v>
                </c:pt>
                <c:pt idx="612">
                  <c:v>-2.8045855911590888E-4</c:v>
                </c:pt>
                <c:pt idx="613">
                  <c:v>-2.7470476685637069E-4</c:v>
                </c:pt>
                <c:pt idx="614">
                  <c:v>-2.6838073395136185E-4</c:v>
                </c:pt>
                <c:pt idx="615">
                  <c:v>-2.6221970277311157E-4</c:v>
                </c:pt>
                <c:pt idx="616">
                  <c:v>-2.5672355732396339E-4</c:v>
                </c:pt>
                <c:pt idx="617">
                  <c:v>-2.5084375173012319E-4</c:v>
                </c:pt>
                <c:pt idx="618">
                  <c:v>-2.4418124625530391E-4</c:v>
                </c:pt>
                <c:pt idx="619">
                  <c:v>-2.3883324825956301E-4</c:v>
                </c:pt>
                <c:pt idx="620">
                  <c:v>-2.3270963669652645E-4</c:v>
                </c:pt>
                <c:pt idx="621">
                  <c:v>-2.2667364666969884E-4</c:v>
                </c:pt>
                <c:pt idx="622">
                  <c:v>-2.2121699601890255E-4</c:v>
                </c:pt>
                <c:pt idx="623">
                  <c:v>-2.1512318012550935E-4</c:v>
                </c:pt>
                <c:pt idx="624">
                  <c:v>-2.0939072649591058E-4</c:v>
                </c:pt>
                <c:pt idx="625">
                  <c:v>-2.0394012716777946E-4</c:v>
                </c:pt>
                <c:pt idx="626">
                  <c:v>-1.9798276013197232E-4</c:v>
                </c:pt>
                <c:pt idx="627">
                  <c:v>-1.9245073193245414E-4</c:v>
                </c:pt>
                <c:pt idx="628">
                  <c:v>-1.8673401437819398E-4</c:v>
                </c:pt>
                <c:pt idx="629">
                  <c:v>-1.8128052082681291E-4</c:v>
                </c:pt>
                <c:pt idx="630">
                  <c:v>-1.7611745738843609E-4</c:v>
                </c:pt>
                <c:pt idx="631">
                  <c:v>-1.7064491006053319E-4</c:v>
                </c:pt>
                <c:pt idx="632">
                  <c:v>-1.6484683907247444E-4</c:v>
                </c:pt>
                <c:pt idx="633">
                  <c:v>-1.5964808271252441E-4</c:v>
                </c:pt>
                <c:pt idx="634">
                  <c:v>-1.5402361156555827E-4</c:v>
                </c:pt>
                <c:pt idx="635">
                  <c:v>-1.4888574979554647E-4</c:v>
                </c:pt>
                <c:pt idx="636">
                  <c:v>-1.4371856540101868E-4</c:v>
                </c:pt>
                <c:pt idx="637">
                  <c:v>-1.3823238392074444E-4</c:v>
                </c:pt>
                <c:pt idx="638">
                  <c:v>-1.3307328821664764E-4</c:v>
                </c:pt>
                <c:pt idx="639">
                  <c:v>-1.2818596749225759E-4</c:v>
                </c:pt>
                <c:pt idx="640">
                  <c:v>-1.2292085689884734E-4</c:v>
                </c:pt>
                <c:pt idx="641">
                  <c:v>-1.1790455010863773E-4</c:v>
                </c:pt>
                <c:pt idx="642">
                  <c:v>-1.1323389776329851E-4</c:v>
                </c:pt>
                <c:pt idx="643">
                  <c:v>-1.0811985867383543E-4</c:v>
                </c:pt>
                <c:pt idx="644">
                  <c:v>-1.0337622457523565E-4</c:v>
                </c:pt>
                <c:pt idx="645">
                  <c:v>-9.8609239631286538E-5</c:v>
                </c:pt>
                <c:pt idx="646">
                  <c:v>-9.3485754159841269E-5</c:v>
                </c:pt>
                <c:pt idx="647">
                  <c:v>-8.9038095094196024E-5</c:v>
                </c:pt>
                <c:pt idx="648">
                  <c:v>-8.4332590570191171E-5</c:v>
                </c:pt>
                <c:pt idx="649">
                  <c:v>-7.9366428706428849E-5</c:v>
                </c:pt>
                <c:pt idx="650">
                  <c:v>-7.4919130242630597E-5</c:v>
                </c:pt>
                <c:pt idx="651">
                  <c:v>-7.0133166708957403E-5</c:v>
                </c:pt>
                <c:pt idx="652">
                  <c:v>-6.5915301802490708E-5</c:v>
                </c:pt>
                <c:pt idx="653">
                  <c:v>-6.1471395464770748E-5</c:v>
                </c:pt>
                <c:pt idx="654">
                  <c:v>-5.7277616206125731E-5</c:v>
                </c:pt>
                <c:pt idx="655">
                  <c:v>-5.2709978717242409E-5</c:v>
                </c:pt>
                <c:pt idx="656">
                  <c:v>-4.8688798600871053E-5</c:v>
                </c:pt>
                <c:pt idx="657">
                  <c:v>-4.4440733789726655E-5</c:v>
                </c:pt>
                <c:pt idx="658">
                  <c:v>-3.9769383999299635E-5</c:v>
                </c:pt>
                <c:pt idx="659">
                  <c:v>-3.5900990373038955E-5</c:v>
                </c:pt>
                <c:pt idx="660">
                  <c:v>-3.1681214830901749E-5</c:v>
                </c:pt>
                <c:pt idx="661">
                  <c:v>-2.7782699724809845E-5</c:v>
                </c:pt>
                <c:pt idx="662">
                  <c:v>-2.3874629350995047E-5</c:v>
                </c:pt>
                <c:pt idx="663">
                  <c:v>-1.9698457873895334E-5</c:v>
                </c:pt>
                <c:pt idx="664">
                  <c:v>-1.6213346262703571E-5</c:v>
                </c:pt>
                <c:pt idx="665">
                  <c:v>-1.2407941331362554E-5</c:v>
                </c:pt>
                <c:pt idx="666">
                  <c:v>-8.5325254168822084E-6</c:v>
                </c:pt>
                <c:pt idx="667">
                  <c:v>-4.7214775798151698E-6</c:v>
                </c:pt>
                <c:pt idx="668">
                  <c:v>-1.325302005639184E-6</c:v>
                </c:pt>
                <c:pt idx="669">
                  <c:v>2.368554699469505E-6</c:v>
                </c:pt>
                <c:pt idx="670">
                  <c:v>5.9421855993294082E-6</c:v>
                </c:pt>
                <c:pt idx="671">
                  <c:v>9.2294335348498679E-6</c:v>
                </c:pt>
                <c:pt idx="672">
                  <c:v>1.2793947150735105E-5</c:v>
                </c:pt>
                <c:pt idx="673">
                  <c:v>1.5912194551326309E-5</c:v>
                </c:pt>
                <c:pt idx="674">
                  <c:v>1.9191279801451105E-5</c:v>
                </c:pt>
                <c:pt idx="675">
                  <c:v>2.2775237586779296E-5</c:v>
                </c:pt>
                <c:pt idx="676">
                  <c:v>2.5562688476322634E-5</c:v>
                </c:pt>
                <c:pt idx="677">
                  <c:v>2.8607429473047341E-5</c:v>
                </c:pt>
                <c:pt idx="678">
                  <c:v>3.1834772186378757E-5</c:v>
                </c:pt>
                <c:pt idx="679">
                  <c:v>3.4706274617849961E-5</c:v>
                </c:pt>
                <c:pt idx="680">
                  <c:v>3.7699888549624916E-5</c:v>
                </c:pt>
                <c:pt idx="681">
                  <c:v>4.0632482881360413E-5</c:v>
                </c:pt>
                <c:pt idx="682">
                  <c:v>4.3221743454280315E-5</c:v>
                </c:pt>
                <c:pt idx="683">
                  <c:v>4.6059779315932303E-5</c:v>
                </c:pt>
                <c:pt idx="684">
                  <c:v>4.8705349339105836E-5</c:v>
                </c:pt>
                <c:pt idx="685">
                  <c:v>5.1151889152776728E-5</c:v>
                </c:pt>
                <c:pt idx="686">
                  <c:v>5.378549470061271E-5</c:v>
                </c:pt>
                <c:pt idx="687">
                  <c:v>5.6191524609096322E-5</c:v>
                </c:pt>
                <c:pt idx="688">
                  <c:v>5.8557220321237696E-5</c:v>
                </c:pt>
                <c:pt idx="689">
                  <c:v>6.0796479221292971E-5</c:v>
                </c:pt>
                <c:pt idx="690">
                  <c:v>6.2963771066293361E-5</c:v>
                </c:pt>
                <c:pt idx="691">
                  <c:v>6.5108590826257196E-5</c:v>
                </c:pt>
                <c:pt idx="692">
                  <c:v>6.7313465540230766E-5</c:v>
                </c:pt>
                <c:pt idx="693">
                  <c:v>6.9355243180040452E-5</c:v>
                </c:pt>
                <c:pt idx="694">
                  <c:v>7.1220118135886801E-5</c:v>
                </c:pt>
                <c:pt idx="695">
                  <c:v>7.3237209073262477E-5</c:v>
                </c:pt>
                <c:pt idx="696">
                  <c:v>7.5008508601891177E-5</c:v>
                </c:pt>
                <c:pt idx="697">
                  <c:v>7.6809968657443051E-5</c:v>
                </c:pt>
                <c:pt idx="698">
                  <c:v>7.8550910132788726E-5</c:v>
                </c:pt>
                <c:pt idx="699">
                  <c:v>8.0049522578062859E-5</c:v>
                </c:pt>
                <c:pt idx="700">
                  <c:v>8.1598964222693443E-5</c:v>
                </c:pt>
                <c:pt idx="701">
                  <c:v>8.3022743510987457E-5</c:v>
                </c:pt>
                <c:pt idx="702">
                  <c:v>8.4321531818254414E-5</c:v>
                </c:pt>
                <c:pt idx="703">
                  <c:v>8.5645976527600615E-5</c:v>
                </c:pt>
                <c:pt idx="704">
                  <c:v>8.6969012799364975E-5</c:v>
                </c:pt>
                <c:pt idx="705">
                  <c:v>8.8108275032281608E-5</c:v>
                </c:pt>
                <c:pt idx="706">
                  <c:v>8.9247988792832966E-5</c:v>
                </c:pt>
                <c:pt idx="707">
                  <c:v>9.0227167572010103E-5</c:v>
                </c:pt>
                <c:pt idx="708">
                  <c:v>9.1159338680146806E-5</c:v>
                </c:pt>
                <c:pt idx="709">
                  <c:v>9.205839898385193E-5</c:v>
                </c:pt>
                <c:pt idx="710">
                  <c:v>9.285213571837321E-5</c:v>
                </c:pt>
                <c:pt idx="711">
                  <c:v>9.3518826393825666E-5</c:v>
                </c:pt>
                <c:pt idx="712">
                  <c:v>9.4159975824974554E-5</c:v>
                </c:pt>
                <c:pt idx="713">
                  <c:v>9.473900714517848E-5</c:v>
                </c:pt>
                <c:pt idx="714">
                  <c:v>9.516694746997123E-5</c:v>
                </c:pt>
                <c:pt idx="715">
                  <c:v>9.557236946876671E-5</c:v>
                </c:pt>
                <c:pt idx="716">
                  <c:v>9.587442402647639E-5</c:v>
                </c:pt>
                <c:pt idx="717">
                  <c:v>9.611467065490098E-5</c:v>
                </c:pt>
                <c:pt idx="718">
                  <c:v>9.6275819739703034E-5</c:v>
                </c:pt>
                <c:pt idx="71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'1M Basis'!$Z$2</c:f>
              <c:strCache>
                <c:ptCount val="1"/>
                <c:pt idx="0">
                  <c:v>Abcd Calibration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'1M Basis'!$Z$3:$Z$722</c:f>
              <c:numCache>
                <c:formatCode>0.0000%</c:formatCode>
                <c:ptCount val="7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44000"/>
        <c:axId val="139745536"/>
      </c:lineChart>
      <c:dateAx>
        <c:axId val="139744000"/>
        <c:scaling>
          <c:orientation val="minMax"/>
          <c:max val="53117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39745536"/>
        <c:crosses val="autoZero"/>
        <c:auto val="1"/>
        <c:lblOffset val="100"/>
        <c:baseTimeUnit val="days"/>
        <c:majorUnit val="36"/>
        <c:majorTimeUnit val="months"/>
      </c:dateAx>
      <c:valAx>
        <c:axId val="139745536"/>
        <c:scaling>
          <c:orientation val="minMax"/>
          <c:max val="1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39744000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Basis'!$V$2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Basis'!$R$3:$R$1310</c:f>
              <c:numCache>
                <c:formatCode>ddd\,\ dd\-mmm\-yyyy</c:formatCode>
                <c:ptCount val="1308"/>
                <c:pt idx="0">
                  <c:v>42279</c:v>
                </c:pt>
                <c:pt idx="1">
                  <c:v>42312</c:v>
                </c:pt>
                <c:pt idx="2">
                  <c:v>42342</c:v>
                </c:pt>
                <c:pt idx="3">
                  <c:v>42375</c:v>
                </c:pt>
                <c:pt idx="4">
                  <c:v>42404</c:v>
                </c:pt>
                <c:pt idx="5">
                  <c:v>42433</c:v>
                </c:pt>
                <c:pt idx="6">
                  <c:v>42466</c:v>
                </c:pt>
                <c:pt idx="7">
                  <c:v>42494</c:v>
                </c:pt>
                <c:pt idx="8">
                  <c:v>42527</c:v>
                </c:pt>
                <c:pt idx="9">
                  <c:v>42557</c:v>
                </c:pt>
                <c:pt idx="10">
                  <c:v>42586</c:v>
                </c:pt>
                <c:pt idx="11">
                  <c:v>42619</c:v>
                </c:pt>
                <c:pt idx="12">
                  <c:v>42648</c:v>
                </c:pt>
                <c:pt idx="13">
                  <c:v>42678</c:v>
                </c:pt>
                <c:pt idx="14">
                  <c:v>42710</c:v>
                </c:pt>
                <c:pt idx="15">
                  <c:v>42739</c:v>
                </c:pt>
                <c:pt idx="16">
                  <c:v>42772</c:v>
                </c:pt>
                <c:pt idx="17">
                  <c:v>42800</c:v>
                </c:pt>
                <c:pt idx="18">
                  <c:v>42830</c:v>
                </c:pt>
                <c:pt idx="19">
                  <c:v>42921</c:v>
                </c:pt>
                <c:pt idx="20">
                  <c:v>43012</c:v>
                </c:pt>
                <c:pt idx="21">
                  <c:v>43104</c:v>
                </c:pt>
                <c:pt idx="22">
                  <c:v>43195</c:v>
                </c:pt>
                <c:pt idx="23">
                  <c:v>43285</c:v>
                </c:pt>
                <c:pt idx="24">
                  <c:v>43377</c:v>
                </c:pt>
                <c:pt idx="25">
                  <c:v>43469</c:v>
                </c:pt>
                <c:pt idx="26">
                  <c:v>43559</c:v>
                </c:pt>
                <c:pt idx="27">
                  <c:v>43650</c:v>
                </c:pt>
                <c:pt idx="28">
                  <c:v>43742</c:v>
                </c:pt>
                <c:pt idx="29">
                  <c:v>43836</c:v>
                </c:pt>
                <c:pt idx="30">
                  <c:v>43927</c:v>
                </c:pt>
                <c:pt idx="31">
                  <c:v>44018</c:v>
                </c:pt>
                <c:pt idx="32">
                  <c:v>44110</c:v>
                </c:pt>
                <c:pt idx="33">
                  <c:v>44202</c:v>
                </c:pt>
                <c:pt idx="34">
                  <c:v>44294</c:v>
                </c:pt>
                <c:pt idx="35">
                  <c:v>44383</c:v>
                </c:pt>
                <c:pt idx="36">
                  <c:v>44475</c:v>
                </c:pt>
                <c:pt idx="37">
                  <c:v>44566</c:v>
                </c:pt>
                <c:pt idx="38">
                  <c:v>44657</c:v>
                </c:pt>
                <c:pt idx="39">
                  <c:v>44748</c:v>
                </c:pt>
                <c:pt idx="40">
                  <c:v>44839</c:v>
                </c:pt>
                <c:pt idx="41">
                  <c:v>44930</c:v>
                </c:pt>
                <c:pt idx="42">
                  <c:v>45021</c:v>
                </c:pt>
                <c:pt idx="43">
                  <c:v>45112</c:v>
                </c:pt>
                <c:pt idx="44">
                  <c:v>45203</c:v>
                </c:pt>
                <c:pt idx="45">
                  <c:v>45295</c:v>
                </c:pt>
                <c:pt idx="46">
                  <c:v>45386</c:v>
                </c:pt>
                <c:pt idx="47">
                  <c:v>45477</c:v>
                </c:pt>
                <c:pt idx="48">
                  <c:v>45569</c:v>
                </c:pt>
                <c:pt idx="49">
                  <c:v>45663</c:v>
                </c:pt>
                <c:pt idx="50">
                  <c:v>45751</c:v>
                </c:pt>
                <c:pt idx="51">
                  <c:v>45842</c:v>
                </c:pt>
                <c:pt idx="52">
                  <c:v>45936</c:v>
                </c:pt>
                <c:pt idx="53">
                  <c:v>46028</c:v>
                </c:pt>
                <c:pt idx="54">
                  <c:v>46120</c:v>
                </c:pt>
                <c:pt idx="55">
                  <c:v>46209</c:v>
                </c:pt>
                <c:pt idx="56">
                  <c:v>46301</c:v>
                </c:pt>
                <c:pt idx="57">
                  <c:v>46393</c:v>
                </c:pt>
                <c:pt idx="58">
                  <c:v>46483</c:v>
                </c:pt>
                <c:pt idx="59">
                  <c:v>46574</c:v>
                </c:pt>
                <c:pt idx="60">
                  <c:v>46666</c:v>
                </c:pt>
                <c:pt idx="61">
                  <c:v>46757</c:v>
                </c:pt>
                <c:pt idx="62">
                  <c:v>46848</c:v>
                </c:pt>
                <c:pt idx="63">
                  <c:v>46939</c:v>
                </c:pt>
                <c:pt idx="64">
                  <c:v>47030</c:v>
                </c:pt>
                <c:pt idx="65">
                  <c:v>47122</c:v>
                </c:pt>
                <c:pt idx="66">
                  <c:v>47213</c:v>
                </c:pt>
                <c:pt idx="67">
                  <c:v>47303</c:v>
                </c:pt>
                <c:pt idx="68">
                  <c:v>47395</c:v>
                </c:pt>
                <c:pt idx="69">
                  <c:v>47487</c:v>
                </c:pt>
                <c:pt idx="70">
                  <c:v>47577</c:v>
                </c:pt>
                <c:pt idx="71">
                  <c:v>47668</c:v>
                </c:pt>
                <c:pt idx="72">
                  <c:v>47760</c:v>
                </c:pt>
                <c:pt idx="73">
                  <c:v>47854</c:v>
                </c:pt>
                <c:pt idx="74">
                  <c:v>47942</c:v>
                </c:pt>
                <c:pt idx="75">
                  <c:v>48033</c:v>
                </c:pt>
                <c:pt idx="76">
                  <c:v>48127</c:v>
                </c:pt>
                <c:pt idx="77">
                  <c:v>48219</c:v>
                </c:pt>
                <c:pt idx="78">
                  <c:v>48310</c:v>
                </c:pt>
                <c:pt idx="79">
                  <c:v>48401</c:v>
                </c:pt>
                <c:pt idx="80">
                  <c:v>48493</c:v>
                </c:pt>
                <c:pt idx="81">
                  <c:v>48584</c:v>
                </c:pt>
                <c:pt idx="82">
                  <c:v>48675</c:v>
                </c:pt>
                <c:pt idx="83">
                  <c:v>48766</c:v>
                </c:pt>
                <c:pt idx="84">
                  <c:v>48857</c:v>
                </c:pt>
                <c:pt idx="85">
                  <c:v>48948</c:v>
                </c:pt>
                <c:pt idx="86">
                  <c:v>49039</c:v>
                </c:pt>
                <c:pt idx="87">
                  <c:v>49130</c:v>
                </c:pt>
                <c:pt idx="88">
                  <c:v>49221</c:v>
                </c:pt>
                <c:pt idx="89">
                  <c:v>49313</c:v>
                </c:pt>
                <c:pt idx="90">
                  <c:v>49403</c:v>
                </c:pt>
                <c:pt idx="91">
                  <c:v>49494</c:v>
                </c:pt>
                <c:pt idx="92">
                  <c:v>49586</c:v>
                </c:pt>
                <c:pt idx="93">
                  <c:v>49678</c:v>
                </c:pt>
                <c:pt idx="94">
                  <c:v>49769</c:v>
                </c:pt>
                <c:pt idx="95">
                  <c:v>49860</c:v>
                </c:pt>
                <c:pt idx="96">
                  <c:v>49954</c:v>
                </c:pt>
                <c:pt idx="97">
                  <c:v>50046</c:v>
                </c:pt>
                <c:pt idx="98">
                  <c:v>50138</c:v>
                </c:pt>
                <c:pt idx="99">
                  <c:v>50227</c:v>
                </c:pt>
                <c:pt idx="100">
                  <c:v>50319</c:v>
                </c:pt>
                <c:pt idx="101">
                  <c:v>50411</c:v>
                </c:pt>
                <c:pt idx="102">
                  <c:v>50501</c:v>
                </c:pt>
                <c:pt idx="103">
                  <c:v>50592</c:v>
                </c:pt>
                <c:pt idx="104">
                  <c:v>50684</c:v>
                </c:pt>
                <c:pt idx="105">
                  <c:v>50775</c:v>
                </c:pt>
                <c:pt idx="106">
                  <c:v>50866</c:v>
                </c:pt>
                <c:pt idx="107">
                  <c:v>50957</c:v>
                </c:pt>
                <c:pt idx="108">
                  <c:v>51048</c:v>
                </c:pt>
                <c:pt idx="109">
                  <c:v>51139</c:v>
                </c:pt>
                <c:pt idx="110">
                  <c:v>51231</c:v>
                </c:pt>
                <c:pt idx="111">
                  <c:v>51321</c:v>
                </c:pt>
                <c:pt idx="112">
                  <c:v>51413</c:v>
                </c:pt>
                <c:pt idx="113">
                  <c:v>51505</c:v>
                </c:pt>
                <c:pt idx="114">
                  <c:v>51595</c:v>
                </c:pt>
                <c:pt idx="115">
                  <c:v>51686</c:v>
                </c:pt>
                <c:pt idx="116">
                  <c:v>51778</c:v>
                </c:pt>
                <c:pt idx="117">
                  <c:v>51872</c:v>
                </c:pt>
                <c:pt idx="118">
                  <c:v>51964</c:v>
                </c:pt>
                <c:pt idx="119">
                  <c:v>52051</c:v>
                </c:pt>
                <c:pt idx="120">
                  <c:v>52145</c:v>
                </c:pt>
                <c:pt idx="121">
                  <c:v>52237</c:v>
                </c:pt>
                <c:pt idx="122">
                  <c:v>52327</c:v>
                </c:pt>
                <c:pt idx="123">
                  <c:v>52418</c:v>
                </c:pt>
                <c:pt idx="124">
                  <c:v>52510</c:v>
                </c:pt>
                <c:pt idx="125">
                  <c:v>52602</c:v>
                </c:pt>
                <c:pt idx="126">
                  <c:v>52693</c:v>
                </c:pt>
                <c:pt idx="127">
                  <c:v>52784</c:v>
                </c:pt>
                <c:pt idx="128">
                  <c:v>52875</c:v>
                </c:pt>
                <c:pt idx="129">
                  <c:v>52966</c:v>
                </c:pt>
                <c:pt idx="130">
                  <c:v>53057</c:v>
                </c:pt>
                <c:pt idx="131">
                  <c:v>53148</c:v>
                </c:pt>
                <c:pt idx="132">
                  <c:v>53239</c:v>
                </c:pt>
                <c:pt idx="133">
                  <c:v>53331</c:v>
                </c:pt>
                <c:pt idx="134">
                  <c:v>53421</c:v>
                </c:pt>
                <c:pt idx="135">
                  <c:v>53512</c:v>
                </c:pt>
                <c:pt idx="136">
                  <c:v>53604</c:v>
                </c:pt>
                <c:pt idx="137">
                  <c:v>53696</c:v>
                </c:pt>
                <c:pt idx="138">
                  <c:v>53786</c:v>
                </c:pt>
                <c:pt idx="139">
                  <c:v>53877</c:v>
                </c:pt>
                <c:pt idx="140">
                  <c:v>53969</c:v>
                </c:pt>
                <c:pt idx="141">
                  <c:v>54063</c:v>
                </c:pt>
                <c:pt idx="142">
                  <c:v>54156</c:v>
                </c:pt>
                <c:pt idx="143">
                  <c:v>54245</c:v>
                </c:pt>
                <c:pt idx="144">
                  <c:v>54337</c:v>
                </c:pt>
                <c:pt idx="145">
                  <c:v>54429</c:v>
                </c:pt>
                <c:pt idx="146">
                  <c:v>54519</c:v>
                </c:pt>
                <c:pt idx="147">
                  <c:v>54610</c:v>
                </c:pt>
                <c:pt idx="148">
                  <c:v>54702</c:v>
                </c:pt>
                <c:pt idx="149">
                  <c:v>54793</c:v>
                </c:pt>
                <c:pt idx="150">
                  <c:v>54884</c:v>
                </c:pt>
                <c:pt idx="151">
                  <c:v>54975</c:v>
                </c:pt>
                <c:pt idx="152">
                  <c:v>55066</c:v>
                </c:pt>
                <c:pt idx="153">
                  <c:v>55157</c:v>
                </c:pt>
                <c:pt idx="154">
                  <c:v>55249</c:v>
                </c:pt>
                <c:pt idx="155">
                  <c:v>55339</c:v>
                </c:pt>
                <c:pt idx="156">
                  <c:v>55430</c:v>
                </c:pt>
                <c:pt idx="157">
                  <c:v>55522</c:v>
                </c:pt>
                <c:pt idx="158">
                  <c:v>55613</c:v>
                </c:pt>
                <c:pt idx="159">
                  <c:v>55704</c:v>
                </c:pt>
                <c:pt idx="160">
                  <c:v>55796</c:v>
                </c:pt>
                <c:pt idx="161">
                  <c:v>55890</c:v>
                </c:pt>
                <c:pt idx="162">
                  <c:v>55982</c:v>
                </c:pt>
                <c:pt idx="163">
                  <c:v>56069</c:v>
                </c:pt>
                <c:pt idx="164">
                  <c:v>56163</c:v>
                </c:pt>
                <c:pt idx="165">
                  <c:v>56255</c:v>
                </c:pt>
                <c:pt idx="166">
                  <c:v>56345</c:v>
                </c:pt>
                <c:pt idx="167">
                  <c:v>56436</c:v>
                </c:pt>
                <c:pt idx="168">
                  <c:v>56528</c:v>
                </c:pt>
                <c:pt idx="169">
                  <c:v>56620</c:v>
                </c:pt>
                <c:pt idx="170">
                  <c:v>56710</c:v>
                </c:pt>
                <c:pt idx="171">
                  <c:v>56801</c:v>
                </c:pt>
                <c:pt idx="172">
                  <c:v>56893</c:v>
                </c:pt>
                <c:pt idx="173">
                  <c:v>56984</c:v>
                </c:pt>
                <c:pt idx="174">
                  <c:v>57076</c:v>
                </c:pt>
                <c:pt idx="175">
                  <c:v>57166</c:v>
                </c:pt>
                <c:pt idx="176">
                  <c:v>57257</c:v>
                </c:pt>
                <c:pt idx="177">
                  <c:v>57349</c:v>
                </c:pt>
                <c:pt idx="178">
                  <c:v>57439</c:v>
                </c:pt>
                <c:pt idx="179">
                  <c:v>57530</c:v>
                </c:pt>
                <c:pt idx="180">
                  <c:v>57622</c:v>
                </c:pt>
                <c:pt idx="181">
                  <c:v>57714</c:v>
                </c:pt>
                <c:pt idx="182">
                  <c:v>57804</c:v>
                </c:pt>
                <c:pt idx="183">
                  <c:v>57895</c:v>
                </c:pt>
                <c:pt idx="184">
                  <c:v>57987</c:v>
                </c:pt>
                <c:pt idx="185">
                  <c:v>58081</c:v>
                </c:pt>
                <c:pt idx="186">
                  <c:v>58169</c:v>
                </c:pt>
                <c:pt idx="187">
                  <c:v>58260</c:v>
                </c:pt>
                <c:pt idx="188">
                  <c:v>58354</c:v>
                </c:pt>
                <c:pt idx="189">
                  <c:v>58446</c:v>
                </c:pt>
                <c:pt idx="190">
                  <c:v>58537</c:v>
                </c:pt>
                <c:pt idx="191">
                  <c:v>58628</c:v>
                </c:pt>
                <c:pt idx="192">
                  <c:v>58720</c:v>
                </c:pt>
                <c:pt idx="193">
                  <c:v>58811</c:v>
                </c:pt>
                <c:pt idx="194">
                  <c:v>58902</c:v>
                </c:pt>
                <c:pt idx="195">
                  <c:v>58993</c:v>
                </c:pt>
                <c:pt idx="196">
                  <c:v>59084</c:v>
                </c:pt>
                <c:pt idx="197">
                  <c:v>59175</c:v>
                </c:pt>
                <c:pt idx="198">
                  <c:v>59266</c:v>
                </c:pt>
                <c:pt idx="199">
                  <c:v>59357</c:v>
                </c:pt>
                <c:pt idx="200">
                  <c:v>59448</c:v>
                </c:pt>
                <c:pt idx="201">
                  <c:v>59540</c:v>
                </c:pt>
                <c:pt idx="202">
                  <c:v>59630</c:v>
                </c:pt>
                <c:pt idx="203">
                  <c:v>59721</c:v>
                </c:pt>
                <c:pt idx="204">
                  <c:v>59813</c:v>
                </c:pt>
                <c:pt idx="205">
                  <c:v>59905</c:v>
                </c:pt>
                <c:pt idx="206">
                  <c:v>60000</c:v>
                </c:pt>
                <c:pt idx="207">
                  <c:v>60087</c:v>
                </c:pt>
                <c:pt idx="208">
                  <c:v>60181</c:v>
                </c:pt>
                <c:pt idx="209">
                  <c:v>60273</c:v>
                </c:pt>
                <c:pt idx="210">
                  <c:v>60363</c:v>
                </c:pt>
                <c:pt idx="211">
                  <c:v>60454</c:v>
                </c:pt>
                <c:pt idx="212">
                  <c:v>60546</c:v>
                </c:pt>
                <c:pt idx="213">
                  <c:v>60638</c:v>
                </c:pt>
                <c:pt idx="214">
                  <c:v>60728</c:v>
                </c:pt>
                <c:pt idx="215">
                  <c:v>60819</c:v>
                </c:pt>
                <c:pt idx="216">
                  <c:v>60911</c:v>
                </c:pt>
                <c:pt idx="217">
                  <c:v>61002</c:v>
                </c:pt>
                <c:pt idx="218">
                  <c:v>61094</c:v>
                </c:pt>
                <c:pt idx="219">
                  <c:v>61184</c:v>
                </c:pt>
                <c:pt idx="220">
                  <c:v>61275</c:v>
                </c:pt>
                <c:pt idx="221">
                  <c:v>61366</c:v>
                </c:pt>
                <c:pt idx="222">
                  <c:v>61457</c:v>
                </c:pt>
                <c:pt idx="223">
                  <c:v>61548</c:v>
                </c:pt>
                <c:pt idx="224">
                  <c:v>61640</c:v>
                </c:pt>
                <c:pt idx="225">
                  <c:v>61732</c:v>
                </c:pt>
                <c:pt idx="226">
                  <c:v>61822</c:v>
                </c:pt>
                <c:pt idx="227">
                  <c:v>61913</c:v>
                </c:pt>
                <c:pt idx="228">
                  <c:v>62005</c:v>
                </c:pt>
                <c:pt idx="229">
                  <c:v>62099</c:v>
                </c:pt>
                <c:pt idx="230">
                  <c:v>62187</c:v>
                </c:pt>
                <c:pt idx="231">
                  <c:v>62278</c:v>
                </c:pt>
                <c:pt idx="232">
                  <c:v>62372</c:v>
                </c:pt>
                <c:pt idx="233">
                  <c:v>62464</c:v>
                </c:pt>
                <c:pt idx="234">
                  <c:v>62554</c:v>
                </c:pt>
                <c:pt idx="235">
                  <c:v>62645</c:v>
                </c:pt>
                <c:pt idx="236">
                  <c:v>62737</c:v>
                </c:pt>
                <c:pt idx="237">
                  <c:v>62829</c:v>
                </c:pt>
                <c:pt idx="238">
                  <c:v>62920</c:v>
                </c:pt>
                <c:pt idx="239">
                  <c:v>63011</c:v>
                </c:pt>
                <c:pt idx="240">
                  <c:v>63102</c:v>
                </c:pt>
                <c:pt idx="241">
                  <c:v>63193</c:v>
                </c:pt>
                <c:pt idx="242">
                  <c:v>63284</c:v>
                </c:pt>
                <c:pt idx="243">
                  <c:v>63375</c:v>
                </c:pt>
                <c:pt idx="244">
                  <c:v>63466</c:v>
                </c:pt>
                <c:pt idx="245">
                  <c:v>63558</c:v>
                </c:pt>
                <c:pt idx="246">
                  <c:v>63648</c:v>
                </c:pt>
                <c:pt idx="247">
                  <c:v>63739</c:v>
                </c:pt>
                <c:pt idx="248">
                  <c:v>63831</c:v>
                </c:pt>
                <c:pt idx="249">
                  <c:v>63923</c:v>
                </c:pt>
                <c:pt idx="250">
                  <c:v>64013</c:v>
                </c:pt>
              </c:numCache>
            </c:numRef>
          </c:cat>
          <c:val>
            <c:numRef>
              <c:f>'3M Basis'!$V$3:$V$1310</c:f>
              <c:numCache>
                <c:formatCode>0.0000%</c:formatCode>
                <c:ptCount val="1308"/>
                <c:pt idx="0">
                  <c:v>1.0297659898387229E-3</c:v>
                </c:pt>
                <c:pt idx="1">
                  <c:v>1.0842022385503876E-3</c:v>
                </c:pt>
                <c:pt idx="2">
                  <c:v>1.1083793443029972E-3</c:v>
                </c:pt>
                <c:pt idx="3">
                  <c:v>1.1171968971829321E-3</c:v>
                </c:pt>
                <c:pt idx="4">
                  <c:v>1.1216724796261346E-3</c:v>
                </c:pt>
                <c:pt idx="5">
                  <c:v>1.1993741427971242E-3</c:v>
                </c:pt>
                <c:pt idx="6">
                  <c:v>1.2735284620420378E-3</c:v>
                </c:pt>
                <c:pt idx="7">
                  <c:v>1.2875891381524747E-3</c:v>
                </c:pt>
                <c:pt idx="8">
                  <c:v>1.2727337321132679E-3</c:v>
                </c:pt>
                <c:pt idx="9">
                  <c:v>1.272195105934392E-3</c:v>
                </c:pt>
                <c:pt idx="10">
                  <c:v>1.2946493169410293E-3</c:v>
                </c:pt>
                <c:pt idx="11">
                  <c:v>1.330583310633175E-3</c:v>
                </c:pt>
                <c:pt idx="12">
                  <c:v>1.3595856686246643E-3</c:v>
                </c:pt>
                <c:pt idx="13">
                  <c:v>1.3658033561274644E-3</c:v>
                </c:pt>
                <c:pt idx="14">
                  <c:v>1.3637528374874641E-3</c:v>
                </c:pt>
                <c:pt idx="15">
                  <c:v>1.3594929561868696E-3</c:v>
                </c:pt>
                <c:pt idx="16">
                  <c:v>1.3913015755023369E-3</c:v>
                </c:pt>
                <c:pt idx="17">
                  <c:v>1.4394589705484626E-3</c:v>
                </c:pt>
                <c:pt idx="18">
                  <c:v>1.4861975176703448E-3</c:v>
                </c:pt>
                <c:pt idx="19">
                  <c:v>1.5287792397281185E-3</c:v>
                </c:pt>
                <c:pt idx="20">
                  <c:v>1.5366215184306356E-3</c:v>
                </c:pt>
                <c:pt idx="21">
                  <c:v>1.6450193113399791E-3</c:v>
                </c:pt>
                <c:pt idx="22">
                  <c:v>1.7444344403480009E-3</c:v>
                </c:pt>
                <c:pt idx="23">
                  <c:v>1.7910506806948791E-3</c:v>
                </c:pt>
                <c:pt idx="24">
                  <c:v>1.7812949754382047E-3</c:v>
                </c:pt>
                <c:pt idx="25">
                  <c:v>1.7636510258265403E-3</c:v>
                </c:pt>
                <c:pt idx="26">
                  <c:v>1.7570913897249295E-3</c:v>
                </c:pt>
                <c:pt idx="27">
                  <c:v>1.7686086540534972E-3</c:v>
                </c:pt>
                <c:pt idx="28">
                  <c:v>1.7957049102955633E-3</c:v>
                </c:pt>
                <c:pt idx="29">
                  <c:v>1.8017210665713899E-3</c:v>
                </c:pt>
                <c:pt idx="30">
                  <c:v>1.7732794584952262E-3</c:v>
                </c:pt>
                <c:pt idx="31">
                  <c:v>1.7040399286948971E-3</c:v>
                </c:pt>
                <c:pt idx="32">
                  <c:v>1.6010904638905444E-3</c:v>
                </c:pt>
                <c:pt idx="33">
                  <c:v>1.5134961231950683E-3</c:v>
                </c:pt>
                <c:pt idx="34">
                  <c:v>1.4570712003453209E-3</c:v>
                </c:pt>
                <c:pt idx="35">
                  <c:v>1.4411033198795092E-3</c:v>
                </c:pt>
                <c:pt idx="36">
                  <c:v>1.4611658013521569E-3</c:v>
                </c:pt>
                <c:pt idx="37">
                  <c:v>1.4821925652350743E-3</c:v>
                </c:pt>
                <c:pt idx="38">
                  <c:v>1.4948022877338592E-3</c:v>
                </c:pt>
                <c:pt idx="39">
                  <c:v>1.4966339118781188E-3</c:v>
                </c:pt>
                <c:pt idx="40">
                  <c:v>1.488196996637766E-3</c:v>
                </c:pt>
                <c:pt idx="41">
                  <c:v>1.4767471094190299E-3</c:v>
                </c:pt>
                <c:pt idx="42">
                  <c:v>1.4639917752962313E-3</c:v>
                </c:pt>
                <c:pt idx="43">
                  <c:v>1.4498752674660734E-3</c:v>
                </c:pt>
                <c:pt idx="44">
                  <c:v>1.4365618203004971E-3</c:v>
                </c:pt>
                <c:pt idx="45">
                  <c:v>1.4324663277119204E-3</c:v>
                </c:pt>
                <c:pt idx="46">
                  <c:v>1.4409480868408063E-3</c:v>
                </c:pt>
                <c:pt idx="47">
                  <c:v>1.463528097684616E-3</c:v>
                </c:pt>
                <c:pt idx="48">
                  <c:v>1.4934978007967274E-3</c:v>
                </c:pt>
                <c:pt idx="49">
                  <c:v>1.497355490527659E-3</c:v>
                </c:pt>
                <c:pt idx="50">
                  <c:v>1.4673017861084846E-3</c:v>
                </c:pt>
                <c:pt idx="51">
                  <c:v>1.3965462911166779E-3</c:v>
                </c:pt>
                <c:pt idx="52">
                  <c:v>1.2972247143133477E-3</c:v>
                </c:pt>
                <c:pt idx="53">
                  <c:v>1.2286058744638631E-3</c:v>
                </c:pt>
                <c:pt idx="54">
                  <c:v>1.2057792962590942E-3</c:v>
                </c:pt>
                <c:pt idx="55">
                  <c:v>1.2324923187964527E-3</c:v>
                </c:pt>
                <c:pt idx="56">
                  <c:v>1.2976570269242725E-3</c:v>
                </c:pt>
                <c:pt idx="57">
                  <c:v>1.3432452871935396E-3</c:v>
                </c:pt>
                <c:pt idx="58">
                  <c:v>1.3548297292704237E-3</c:v>
                </c:pt>
                <c:pt idx="59">
                  <c:v>1.3289726184832935E-3</c:v>
                </c:pt>
                <c:pt idx="60">
                  <c:v>1.2697166196807691E-3</c:v>
                </c:pt>
                <c:pt idx="61">
                  <c:v>1.2065747840727392E-3</c:v>
                </c:pt>
                <c:pt idx="62">
                  <c:v>1.1455574100243913E-3</c:v>
                </c:pt>
                <c:pt idx="63">
                  <c:v>1.0871456930761567E-3</c:v>
                </c:pt>
                <c:pt idx="64">
                  <c:v>1.0322937931505211E-3</c:v>
                </c:pt>
                <c:pt idx="65">
                  <c:v>9.8106705699940733E-4</c:v>
                </c:pt>
                <c:pt idx="66">
                  <c:v>9.3396939708002488E-4</c:v>
                </c:pt>
                <c:pt idx="67">
                  <c:v>8.919953122054694E-4</c:v>
                </c:pt>
                <c:pt idx="68">
                  <c:v>8.5442170871431397E-4</c:v>
                </c:pt>
                <c:pt idx="69">
                  <c:v>8.2271260683075553E-4</c:v>
                </c:pt>
                <c:pt idx="70">
                  <c:v>7.9726540951976024E-4</c:v>
                </c:pt>
                <c:pt idx="71">
                  <c:v>7.7799228459692407E-4</c:v>
                </c:pt>
                <c:pt idx="72">
                  <c:v>7.6421700101753434E-4</c:v>
                </c:pt>
                <c:pt idx="73">
                  <c:v>7.5144694549470967E-4</c:v>
                </c:pt>
                <c:pt idx="74">
                  <c:v>7.3945220180938326E-4</c:v>
                </c:pt>
                <c:pt idx="75">
                  <c:v>7.2697658145581476E-4</c:v>
                </c:pt>
                <c:pt idx="76">
                  <c:v>7.1421399500125327E-4</c:v>
                </c:pt>
                <c:pt idx="77">
                  <c:v>7.0166476108039083E-4</c:v>
                </c:pt>
                <c:pt idx="78">
                  <c:v>6.8916901428705407E-4</c:v>
                </c:pt>
                <c:pt idx="79">
                  <c:v>6.7656515884738713E-4</c:v>
                </c:pt>
                <c:pt idx="80">
                  <c:v>6.6375471919136869E-4</c:v>
                </c:pt>
                <c:pt idx="81">
                  <c:v>6.5103483564055153E-4</c:v>
                </c:pt>
                <c:pt idx="82">
                  <c:v>6.3807089502680367E-4</c:v>
                </c:pt>
                <c:pt idx="83">
                  <c:v>6.2494221552732501E-4</c:v>
                </c:pt>
                <c:pt idx="84">
                  <c:v>6.116684041616062E-4</c:v>
                </c:pt>
                <c:pt idx="85">
                  <c:v>5.9827777714804853E-4</c:v>
                </c:pt>
                <c:pt idx="86">
                  <c:v>5.8453489327639496E-4</c:v>
                </c:pt>
                <c:pt idx="87">
                  <c:v>5.7054156951940119E-4</c:v>
                </c:pt>
                <c:pt idx="88">
                  <c:v>5.5632689464049992E-4</c:v>
                </c:pt>
                <c:pt idx="89">
                  <c:v>5.4176962285623631E-4</c:v>
                </c:pt>
                <c:pt idx="90">
                  <c:v>5.2706794952330632E-4</c:v>
                </c:pt>
                <c:pt idx="91">
                  <c:v>5.1186913853268692E-4</c:v>
                </c:pt>
                <c:pt idx="92">
                  <c:v>4.9640438455007471E-4</c:v>
                </c:pt>
                <c:pt idx="93">
                  <c:v>4.8159108193554512E-4</c:v>
                </c:pt>
                <c:pt idx="94">
                  <c:v>4.6767248560995039E-4</c:v>
                </c:pt>
                <c:pt idx="95">
                  <c:v>4.5443241468291762E-4</c:v>
                </c:pt>
                <c:pt idx="96">
                  <c:v>4.4189675413733309E-4</c:v>
                </c:pt>
                <c:pt idx="97">
                  <c:v>4.3049142514036895E-4</c:v>
                </c:pt>
                <c:pt idx="98">
                  <c:v>4.1998476486713662E-4</c:v>
                </c:pt>
                <c:pt idx="99">
                  <c:v>4.1071969492999238E-4</c:v>
                </c:pt>
                <c:pt idx="100">
                  <c:v>4.0217115944007203E-4</c:v>
                </c:pt>
                <c:pt idx="101">
                  <c:v>3.9470506016758833E-4</c:v>
                </c:pt>
                <c:pt idx="102">
                  <c:v>3.8838223150506127E-4</c:v>
                </c:pt>
                <c:pt idx="103">
                  <c:v>3.8308240821429557E-4</c:v>
                </c:pt>
                <c:pt idx="104">
                  <c:v>3.7887821254703989E-4</c:v>
                </c:pt>
                <c:pt idx="105">
                  <c:v>3.7587255645110673E-4</c:v>
                </c:pt>
                <c:pt idx="106">
                  <c:v>3.7406105910676134E-4</c:v>
                </c:pt>
                <c:pt idx="107">
                  <c:v>3.7348402838682446E-4</c:v>
                </c:pt>
                <c:pt idx="108">
                  <c:v>3.7415120626411828E-4</c:v>
                </c:pt>
                <c:pt idx="109">
                  <c:v>3.7607508221593026E-4</c:v>
                </c:pt>
                <c:pt idx="110">
                  <c:v>3.793878965376949E-4</c:v>
                </c:pt>
                <c:pt idx="111">
                  <c:v>3.8401519285946942E-4</c:v>
                </c:pt>
                <c:pt idx="112">
                  <c:v>3.897977511429819E-4</c:v>
                </c:pt>
                <c:pt idx="113">
                  <c:v>3.9543797008256831E-4</c:v>
                </c:pt>
                <c:pt idx="114">
                  <c:v>4.0075351608467868E-4</c:v>
                </c:pt>
                <c:pt idx="115">
                  <c:v>4.0574677408183706E-4</c:v>
                </c:pt>
                <c:pt idx="116">
                  <c:v>4.1040998597713201E-4</c:v>
                </c:pt>
                <c:pt idx="117">
                  <c:v>4.1453850160435256E-4</c:v>
                </c:pt>
                <c:pt idx="118">
                  <c:v>4.181236954305563E-4</c:v>
                </c:pt>
                <c:pt idx="119">
                  <c:v>4.2116027789081828E-4</c:v>
                </c:pt>
                <c:pt idx="120">
                  <c:v>4.2370212720268217E-4</c:v>
                </c:pt>
                <c:pt idx="121">
                  <c:v>4.2559592840696325E-4</c:v>
                </c:pt>
                <c:pt idx="122">
                  <c:v>4.2691456507596738E-4</c:v>
                </c:pt>
                <c:pt idx="123">
                  <c:v>4.2758921995731183E-4</c:v>
                </c:pt>
                <c:pt idx="124">
                  <c:v>4.2754799513636255E-4</c:v>
                </c:pt>
                <c:pt idx="125">
                  <c:v>4.2675641133970571E-4</c:v>
                </c:pt>
                <c:pt idx="126">
                  <c:v>4.2522567328383623E-4</c:v>
                </c:pt>
                <c:pt idx="127">
                  <c:v>4.2290399832230555E-4</c:v>
                </c:pt>
                <c:pt idx="128">
                  <c:v>4.1974899623315604E-4</c:v>
                </c:pt>
                <c:pt idx="129">
                  <c:v>4.1574873730887418E-4</c:v>
                </c:pt>
                <c:pt idx="130">
                  <c:v>4.1083364638261344E-4</c:v>
                </c:pt>
                <c:pt idx="131">
                  <c:v>4.0496110987770645E-4</c:v>
                </c:pt>
                <c:pt idx="132">
                  <c:v>3.8208454032858177E-4</c:v>
                </c:pt>
                <c:pt idx="133">
                  <c:v>3.4558269622753102E-4</c:v>
                </c:pt>
                <c:pt idx="134">
                  <c:v>3.1105300562701312E-4</c:v>
                </c:pt>
                <c:pt idx="135">
                  <c:v>2.7796356933825796E-4</c:v>
                </c:pt>
                <c:pt idx="136">
                  <c:v>2.4660815566580549E-4</c:v>
                </c:pt>
                <c:pt idx="137">
                  <c:v>2.1755385202304467E-4</c:v>
                </c:pt>
                <c:pt idx="138">
                  <c:v>1.9072600351011625E-4</c:v>
                </c:pt>
                <c:pt idx="139">
                  <c:v>1.6573893347488107E-4</c:v>
                </c:pt>
                <c:pt idx="140">
                  <c:v>1.4263420516436379E-4</c:v>
                </c:pt>
                <c:pt idx="141">
                  <c:v>1.2188408789292129E-4</c:v>
                </c:pt>
                <c:pt idx="142">
                  <c:v>1.037056028120667E-4</c:v>
                </c:pt>
                <c:pt idx="143">
                  <c:v>8.853330351180598E-5</c:v>
                </c:pt>
                <c:pt idx="144">
                  <c:v>7.5473234814001089E-5</c:v>
                </c:pt>
                <c:pt idx="145">
                  <c:v>6.5158997387015916E-5</c:v>
                </c:pt>
                <c:pt idx="146">
                  <c:v>5.757333659048465E-5</c:v>
                </c:pt>
                <c:pt idx="147">
                  <c:v>5.267458387035566E-5</c:v>
                </c:pt>
                <c:pt idx="148">
                  <c:v>5.0633197126363425E-5</c:v>
                </c:pt>
                <c:pt idx="149">
                  <c:v>5.150682546783969E-5</c:v>
                </c:pt>
                <c:pt idx="150">
                  <c:v>5.5408382442223569E-5</c:v>
                </c:pt>
                <c:pt idx="151">
                  <c:v>6.2412721168638233E-5</c:v>
                </c:pt>
                <c:pt idx="152">
                  <c:v>7.252895754679238E-5</c:v>
                </c:pt>
                <c:pt idx="153">
                  <c:v>8.5692234076617524E-5</c:v>
                </c:pt>
                <c:pt idx="154">
                  <c:v>1.0260667070543551E-4</c:v>
                </c:pt>
                <c:pt idx="155">
                  <c:v>1.2253725714291182E-4</c:v>
                </c:pt>
                <c:pt idx="156">
                  <c:v>1.4601937064875545E-4</c:v>
                </c:pt>
                <c:pt idx="157">
                  <c:v>1.7318533674576947E-4</c:v>
                </c:pt>
                <c:pt idx="158">
                  <c:v>2.0383602017710195E-4</c:v>
                </c:pt>
                <c:pt idx="159">
                  <c:v>2.3839089862838329E-4</c:v>
                </c:pt>
                <c:pt idx="160">
                  <c:v>2.7743661350829521E-4</c:v>
                </c:pt>
                <c:pt idx="161">
                  <c:v>3.20442759575797E-4</c:v>
                </c:pt>
                <c:pt idx="162">
                  <c:v>3.6677044444357459E-4</c:v>
                </c:pt>
                <c:pt idx="163">
                  <c:v>4.1551061836337701E-4</c:v>
                </c:pt>
                <c:pt idx="164">
                  <c:v>4.7078634061952646E-4</c:v>
                </c:pt>
                <c:pt idx="165">
                  <c:v>5.290702710842865E-4</c:v>
                </c:pt>
                <c:pt idx="166">
                  <c:v>5.9131097040085109E-4</c:v>
                </c:pt>
                <c:pt idx="167">
                  <c:v>6.5858428736085932E-4</c:v>
                </c:pt>
                <c:pt idx="168">
                  <c:v>7.3067644764755225E-4</c:v>
                </c:pt>
                <c:pt idx="169">
                  <c:v>8.0640969741097024E-4</c:v>
                </c:pt>
                <c:pt idx="170">
                  <c:v>8.8634323640327146E-4</c:v>
                </c:pt>
                <c:pt idx="171">
                  <c:v>9.7178243219724243E-4</c:v>
                </c:pt>
                <c:pt idx="172">
                  <c:v>9.8361303206569335E-4</c:v>
                </c:pt>
                <c:pt idx="173">
                  <c:v>9.2600758051223329E-4</c:v>
                </c:pt>
                <c:pt idx="174">
                  <c:v>8.6820002811280328E-4</c:v>
                </c:pt>
                <c:pt idx="175">
                  <c:v>8.1211160573748872E-4</c:v>
                </c:pt>
                <c:pt idx="176">
                  <c:v>7.5647013412208537E-4</c:v>
                </c:pt>
                <c:pt idx="177">
                  <c:v>7.0161300451410114E-4</c:v>
                </c:pt>
                <c:pt idx="178">
                  <c:v>6.4800998087653251E-4</c:v>
                </c:pt>
                <c:pt idx="179">
                  <c:v>5.947392763872017E-4</c:v>
                </c:pt>
                <c:pt idx="180">
                  <c:v>5.42140651337817E-4</c:v>
                </c:pt>
                <c:pt idx="181">
                  <c:v>4.9109651983769709E-4</c:v>
                </c:pt>
                <c:pt idx="182">
                  <c:v>4.4143556209968321E-4</c:v>
                </c:pt>
                <c:pt idx="183">
                  <c:v>3.9232871206903823E-4</c:v>
                </c:pt>
                <c:pt idx="184">
                  <c:v>3.436117416982451E-4</c:v>
                </c:pt>
                <c:pt idx="185">
                  <c:v>2.9632874669225685E-4</c:v>
                </c:pt>
                <c:pt idx="186">
                  <c:v>2.5256450952176358E-4</c:v>
                </c:pt>
                <c:pt idx="187">
                  <c:v>2.0787383524639713E-4</c:v>
                </c:pt>
                <c:pt idx="188">
                  <c:v>1.642772481090949E-4</c:v>
                </c:pt>
                <c:pt idx="189">
                  <c:v>1.227868211844535E-4</c:v>
                </c:pt>
                <c:pt idx="190">
                  <c:v>8.2943992346956597E-5</c:v>
                </c:pt>
                <c:pt idx="191">
                  <c:v>4.4351726159512495E-5</c:v>
                </c:pt>
                <c:pt idx="192">
                  <c:v>7.0725930208064003E-6</c:v>
                </c:pt>
                <c:pt idx="193">
                  <c:v>-2.7871190691364234E-5</c:v>
                </c:pt>
                <c:pt idx="194">
                  <c:v>-6.1803066569499077E-5</c:v>
                </c:pt>
                <c:pt idx="195">
                  <c:v>-9.4087744046279093E-5</c:v>
                </c:pt>
                <c:pt idx="196">
                  <c:v>-1.2451562640349891E-4</c:v>
                </c:pt>
                <c:pt idx="197">
                  <c:v>-1.5291197083833197E-4</c:v>
                </c:pt>
                <c:pt idx="198">
                  <c:v>-1.8002182405433761E-4</c:v>
                </c:pt>
                <c:pt idx="199">
                  <c:v>-2.053058609988289E-4</c:v>
                </c:pt>
                <c:pt idx="200">
                  <c:v>-2.2859116951236789E-4</c:v>
                </c:pt>
                <c:pt idx="201">
                  <c:v>-2.4996891238870944E-4</c:v>
                </c:pt>
                <c:pt idx="202">
                  <c:v>-2.6932198519610644E-4</c:v>
                </c:pt>
                <c:pt idx="203">
                  <c:v>-2.8689487131624593E-4</c:v>
                </c:pt>
                <c:pt idx="204">
                  <c:v>-3.0248959125338086E-4</c:v>
                </c:pt>
                <c:pt idx="205">
                  <c:v>-3.1619052592443513E-4</c:v>
                </c:pt>
                <c:pt idx="206">
                  <c:v>-3.2754459124940093E-4</c:v>
                </c:pt>
                <c:pt idx="207">
                  <c:v>-3.3630642284881995E-4</c:v>
                </c:pt>
                <c:pt idx="208">
                  <c:v>-3.4322002149497592E-4</c:v>
                </c:pt>
                <c:pt idx="209">
                  <c:v>-3.4770649197923831E-4</c:v>
                </c:pt>
                <c:pt idx="210">
                  <c:v>-3.4991707637367121E-4</c:v>
                </c:pt>
                <c:pt idx="211">
                  <c:v>-3.4976706446795437E-4</c:v>
                </c:pt>
                <c:pt idx="212">
                  <c:v>-3.3002605355504297E-4</c:v>
                </c:pt>
                <c:pt idx="213">
                  <c:v>-2.9572782503972661E-4</c:v>
                </c:pt>
                <c:pt idx="214">
                  <c:v>-2.6212390457137046E-4</c:v>
                </c:pt>
                <c:pt idx="215">
                  <c:v>-2.2864947584082945E-4</c:v>
                </c:pt>
                <c:pt idx="216">
                  <c:v>-1.9551551370769471E-4</c:v>
                </c:pt>
                <c:pt idx="217">
                  <c:v>-1.6362852300577657E-4</c:v>
                </c:pt>
                <c:pt idx="218">
                  <c:v>-1.3145368079158296E-4</c:v>
                </c:pt>
                <c:pt idx="219">
                  <c:v>-1.0056205393882932E-4</c:v>
                </c:pt>
                <c:pt idx="220">
                  <c:v>-7.0104822264719507E-5</c:v>
                </c:pt>
                <c:pt idx="221">
                  <c:v>-4.0441716554057844E-5</c:v>
                </c:pt>
                <c:pt idx="222">
                  <c:v>-1.1272183603232983E-5</c:v>
                </c:pt>
                <c:pt idx="223">
                  <c:v>1.7373507487433368E-5</c:v>
                </c:pt>
                <c:pt idx="224">
                  <c:v>4.546234098831009E-5</c:v>
                </c:pt>
                <c:pt idx="225">
                  <c:v>7.2514811209067886E-5</c:v>
                </c:pt>
                <c:pt idx="226">
                  <c:v>9.868397806966564E-5</c:v>
                </c:pt>
                <c:pt idx="227">
                  <c:v>1.2437209941842074E-4</c:v>
                </c:pt>
                <c:pt idx="228">
                  <c:v>1.4966905371741231E-4</c:v>
                </c:pt>
                <c:pt idx="229">
                  <c:v>1.7396370609804035E-4</c:v>
                </c:pt>
                <c:pt idx="230">
                  <c:v>1.9628881960447216E-4</c:v>
                </c:pt>
                <c:pt idx="231">
                  <c:v>2.1891284072462526E-4</c:v>
                </c:pt>
                <c:pt idx="232">
                  <c:v>2.4070746686388235E-4</c:v>
                </c:pt>
                <c:pt idx="233">
                  <c:v>2.611176795168646E-4</c:v>
                </c:pt>
                <c:pt idx="234">
                  <c:v>2.8052427499079477E-4</c:v>
                </c:pt>
                <c:pt idx="235">
                  <c:v>2.9919453298019039E-4</c:v>
                </c:pt>
                <c:pt idx="236">
                  <c:v>3.1696921334688558E-4</c:v>
                </c:pt>
                <c:pt idx="237">
                  <c:v>3.3363035140455792E-4</c:v>
                </c:pt>
                <c:pt idx="238">
                  <c:v>3.4919446707994996E-4</c:v>
                </c:pt>
                <c:pt idx="239">
                  <c:v>3.6381187462717658E-4</c:v>
                </c:pt>
                <c:pt idx="240">
                  <c:v>3.77275671355988E-4</c:v>
                </c:pt>
                <c:pt idx="241">
                  <c:v>3.8950086821554208E-4</c:v>
                </c:pt>
                <c:pt idx="242">
                  <c:v>4.0086485844770085E-4</c:v>
                </c:pt>
                <c:pt idx="243">
                  <c:v>4.1109191680157794E-4</c:v>
                </c:pt>
                <c:pt idx="244">
                  <c:v>4.2009812441343511E-4</c:v>
                </c:pt>
                <c:pt idx="245">
                  <c:v>4.2790389629132619E-4</c:v>
                </c:pt>
                <c:pt idx="246">
                  <c:v>4.3452961028751791E-4</c:v>
                </c:pt>
                <c:pt idx="247">
                  <c:v>4.4000775410963158E-4</c:v>
                </c:pt>
                <c:pt idx="248">
                  <c:v>4.4423964611254273E-4</c:v>
                </c:pt>
                <c:pt idx="249">
                  <c:v>4.4712767145860255E-4</c:v>
                </c:pt>
                <c:pt idx="250">
                  <c:v>4.4877658748023082E-4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'3M Basis'!$Z$2</c:f>
              <c:strCache>
                <c:ptCount val="1"/>
                <c:pt idx="0">
                  <c:v>Abcd Calibration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'3M Basis'!$Z$3:$Z$253</c:f>
              <c:numCache>
                <c:formatCode>0.0000%</c:formatCode>
                <c:ptCount val="251"/>
                <c:pt idx="0">
                  <c:v>1.0450844441487052E-3</c:v>
                </c:pt>
                <c:pt idx="1">
                  <c:v>1.0793342408209287E-3</c:v>
                </c:pt>
                <c:pt idx="2">
                  <c:v>1.1093814343496459E-3</c:v>
                </c:pt>
                <c:pt idx="3">
                  <c:v>1.1412636307456261E-3</c:v>
                </c:pt>
                <c:pt idx="4">
                  <c:v>1.1682925835717706E-3</c:v>
                </c:pt>
                <c:pt idx="5">
                  <c:v>1.1944173554222194E-3</c:v>
                </c:pt>
                <c:pt idx="6">
                  <c:v>1.2230704491876221E-3</c:v>
                </c:pt>
                <c:pt idx="7">
                  <c:v>1.2465047295608699E-3</c:v>
                </c:pt>
                <c:pt idx="8">
                  <c:v>1.2731137816388732E-3</c:v>
                </c:pt>
                <c:pt idx="9">
                  <c:v>1.2963771756143011E-3</c:v>
                </c:pt>
                <c:pt idx="10">
                  <c:v>1.3180455838690975E-3</c:v>
                </c:pt>
                <c:pt idx="11">
                  <c:v>1.3417454158161719E-3</c:v>
                </c:pt>
                <c:pt idx="12">
                  <c:v>1.3617505849185829E-3</c:v>
                </c:pt>
                <c:pt idx="13">
                  <c:v>1.3816552920809281E-3</c:v>
                </c:pt>
                <c:pt idx="14">
                  <c:v>1.4020216270998489E-3</c:v>
                </c:pt>
                <c:pt idx="15">
                  <c:v>1.4197249586746245E-3</c:v>
                </c:pt>
                <c:pt idx="16">
                  <c:v>1.4390194340338767E-3</c:v>
                </c:pt>
                <c:pt idx="17">
                  <c:v>1.454696778698066E-3</c:v>
                </c:pt>
                <c:pt idx="18">
                  <c:v>1.470803809730737E-3</c:v>
                </c:pt>
                <c:pt idx="19">
                  <c:v>1.5154615194648302E-3</c:v>
                </c:pt>
                <c:pt idx="20">
                  <c:v>1.5541448919878127E-3</c:v>
                </c:pt>
                <c:pt idx="21">
                  <c:v>1.5876093391610847E-3</c:v>
                </c:pt>
                <c:pt idx="22">
                  <c:v>1.6155268758053934E-3</c:v>
                </c:pt>
                <c:pt idx="23">
                  <c:v>1.6384338263306694E-3</c:v>
                </c:pt>
                <c:pt idx="24">
                  <c:v>1.657369113081897E-3</c:v>
                </c:pt>
                <c:pt idx="25">
                  <c:v>1.672112342863816E-3</c:v>
                </c:pt>
                <c:pt idx="26">
                  <c:v>1.6827860449028249E-3</c:v>
                </c:pt>
                <c:pt idx="27">
                  <c:v>1.6900977587368641E-3</c:v>
                </c:pt>
                <c:pt idx="28">
                  <c:v>1.6942097726222285E-3</c:v>
                </c:pt>
                <c:pt idx="29">
                  <c:v>1.6952794366272672E-3</c:v>
                </c:pt>
                <c:pt idx="30">
                  <c:v>1.6935473896636721E-3</c:v>
                </c:pt>
                <c:pt idx="31">
                  <c:v>1.6893204480448328E-3</c:v>
                </c:pt>
                <c:pt idx="32">
                  <c:v>1.6827262751149567E-3</c:v>
                </c:pt>
                <c:pt idx="33">
                  <c:v>1.6740022582851701E-3</c:v>
                </c:pt>
                <c:pt idx="34">
                  <c:v>1.6633397087877212E-3</c:v>
                </c:pt>
                <c:pt idx="35">
                  <c:v>1.65134865351985E-3</c:v>
                </c:pt>
                <c:pt idx="36">
                  <c:v>1.6373836877375794E-3</c:v>
                </c:pt>
                <c:pt idx="37">
                  <c:v>1.6221525532525516E-3</c:v>
                </c:pt>
                <c:pt idx="38">
                  <c:v>1.6056533985210203E-3</c:v>
                </c:pt>
                <c:pt idx="39">
                  <c:v>1.5880185066883422E-3</c:v>
                </c:pt>
                <c:pt idx="40">
                  <c:v>1.5693713315564236E-3</c:v>
                </c:pt>
                <c:pt idx="41">
                  <c:v>1.5498270040034247E-3</c:v>
                </c:pt>
                <c:pt idx="42">
                  <c:v>1.5294928115180489E-3</c:v>
                </c:pt>
                <c:pt idx="43">
                  <c:v>1.5084686522101921E-3</c:v>
                </c:pt>
                <c:pt idx="44">
                  <c:v>1.4868474645928983E-3</c:v>
                </c:pt>
                <c:pt idx="45">
                  <c:v>1.4644698950529976E-3</c:v>
                </c:pt>
                <c:pt idx="46">
                  <c:v>1.441903333788669E-3</c:v>
                </c:pt>
                <c:pt idx="47">
                  <c:v>1.4189815487998668E-3</c:v>
                </c:pt>
                <c:pt idx="48">
                  <c:v>1.3955170544451901E-3</c:v>
                </c:pt>
                <c:pt idx="49">
                  <c:v>1.3713086791139731E-3</c:v>
                </c:pt>
                <c:pt idx="50">
                  <c:v>1.3484885021914023E-3</c:v>
                </c:pt>
                <c:pt idx="51">
                  <c:v>1.3247841067422729E-3</c:v>
                </c:pt>
                <c:pt idx="52">
                  <c:v>1.3002373573209444E-3</c:v>
                </c:pt>
                <c:pt idx="53">
                  <c:v>1.2762012389702507E-3</c:v>
                </c:pt>
                <c:pt idx="54">
                  <c:v>1.2521975897797142E-3</c:v>
                </c:pt>
                <c:pt idx="55">
                  <c:v>1.2290452313443822E-3</c:v>
                </c:pt>
                <c:pt idx="56">
                  <c:v>1.2052189525235497E-3</c:v>
                </c:pt>
                <c:pt idx="57">
                  <c:v>1.1815339929271934E-3</c:v>
                </c:pt>
                <c:pt idx="58">
                  <c:v>1.1585299194163162E-3</c:v>
                </c:pt>
                <c:pt idx="59">
                  <c:v>1.135463777918152E-3</c:v>
                </c:pt>
                <c:pt idx="60">
                  <c:v>1.1123666155483521E-3</c:v>
                </c:pt>
                <c:pt idx="61">
                  <c:v>1.0897626161366534E-3</c:v>
                </c:pt>
                <c:pt idx="62">
                  <c:v>1.0674191322204546E-3</c:v>
                </c:pt>
                <c:pt idx="63">
                  <c:v>1.0453537588020572E-3</c:v>
                </c:pt>
                <c:pt idx="64">
                  <c:v>1.0235821697800356E-3</c:v>
                </c:pt>
                <c:pt idx="65">
                  <c:v>1.0018841363275326E-3</c:v>
                </c:pt>
                <c:pt idx="66">
                  <c:v>9.8074367128572022E-4</c:v>
                </c:pt>
                <c:pt idx="67">
                  <c:v>9.601607023040715E-4</c:v>
                </c:pt>
                <c:pt idx="68">
                  <c:v>9.3946388292764742E-4</c:v>
                </c:pt>
                <c:pt idx="69">
                  <c:v>9.1912244616056203E-4</c:v>
                </c:pt>
                <c:pt idx="70">
                  <c:v>8.9957365269124553E-4</c:v>
                </c:pt>
                <c:pt idx="71">
                  <c:v>8.801654548449548E-4</c:v>
                </c:pt>
                <c:pt idx="72">
                  <c:v>8.6091416138204819E-4</c:v>
                </c:pt>
                <c:pt idx="73">
                  <c:v>8.4163240780136519E-4</c:v>
                </c:pt>
                <c:pt idx="74">
                  <c:v>8.2393925598852388E-4</c:v>
                </c:pt>
                <c:pt idx="75">
                  <c:v>8.0600846514591201E-4</c:v>
                </c:pt>
                <c:pt idx="76">
                  <c:v>7.8787766199463996E-4</c:v>
                </c:pt>
                <c:pt idx="77">
                  <c:v>7.7051759635042994E-4</c:v>
                </c:pt>
                <c:pt idx="78">
                  <c:v>7.5372031121967486E-4</c:v>
                </c:pt>
                <c:pt idx="79">
                  <c:v>7.3729389920678843E-4</c:v>
                </c:pt>
                <c:pt idx="80">
                  <c:v>7.210622354021179E-4</c:v>
                </c:pt>
                <c:pt idx="81">
                  <c:v>7.053759424652681E-4</c:v>
                </c:pt>
                <c:pt idx="82">
                  <c:v>6.9005388582374892E-4</c:v>
                </c:pt>
                <c:pt idx="83">
                  <c:v>6.7509297176293441E-4</c:v>
                </c:pt>
                <c:pt idx="84">
                  <c:v>6.6048973093119502E-4</c:v>
                </c:pt>
                <c:pt idx="85">
                  <c:v>6.4624035505957936E-4</c:v>
                </c:pt>
                <c:pt idx="86">
                  <c:v>6.3234073127177339E-4</c:v>
                </c:pt>
                <c:pt idx="87">
                  <c:v>6.1878647412146981E-4</c:v>
                </c:pt>
                <c:pt idx="88">
                  <c:v>6.0557295548704199E-4</c:v>
                </c:pt>
                <c:pt idx="89">
                  <c:v>5.9255566739059703E-4</c:v>
                </c:pt>
                <c:pt idx="90">
                  <c:v>5.8014857324944753E-4</c:v>
                </c:pt>
                <c:pt idx="91">
                  <c:v>5.6792748149557776E-4</c:v>
                </c:pt>
                <c:pt idx="92">
                  <c:v>5.558977001717851E-4</c:v>
                </c:pt>
                <c:pt idx="93">
                  <c:v>5.4418968400724466E-4</c:v>
                </c:pt>
                <c:pt idx="94">
                  <c:v>5.3291983243187405E-4</c:v>
                </c:pt>
                <c:pt idx="95">
                  <c:v>5.2195351782670168E-4</c:v>
                </c:pt>
                <c:pt idx="96">
                  <c:v>5.1093832226507937E-4</c:v>
                </c:pt>
                <c:pt idx="97">
                  <c:v>5.0045909542918644E-4</c:v>
                </c:pt>
                <c:pt idx="98">
                  <c:v>4.9027218793321645E-4</c:v>
                </c:pt>
                <c:pt idx="99">
                  <c:v>4.80689970684996E-4</c:v>
                </c:pt>
                <c:pt idx="100">
                  <c:v>4.7106058083478829E-4</c:v>
                </c:pt>
                <c:pt idx="101">
                  <c:v>4.6170561780626901E-4</c:v>
                </c:pt>
                <c:pt idx="102">
                  <c:v>4.5281377998988446E-4</c:v>
                </c:pt>
                <c:pt idx="103">
                  <c:v>4.4407856520690102E-4</c:v>
                </c:pt>
                <c:pt idx="104">
                  <c:v>4.3550256238615191E-4</c:v>
                </c:pt>
                <c:pt idx="105">
                  <c:v>4.2726640677885391E-4</c:v>
                </c:pt>
                <c:pt idx="106">
                  <c:v>4.1926980828529205E-4</c:v>
                </c:pt>
                <c:pt idx="107">
                  <c:v>4.1150711206774059E-4</c:v>
                </c:pt>
                <c:pt idx="108">
                  <c:v>4.039727182359726E-4</c:v>
                </c:pt>
                <c:pt idx="109">
                  <c:v>3.9666108710205569E-4</c:v>
                </c:pt>
                <c:pt idx="110">
                  <c:v>3.8948997090097455E-4</c:v>
                </c:pt>
                <c:pt idx="111">
                  <c:v>3.8268428301386104E-4</c:v>
                </c:pt>
                <c:pt idx="112">
                  <c:v>3.7593613777477304E-4</c:v>
                </c:pt>
                <c:pt idx="113">
                  <c:v>3.6939367552623269E-4</c:v>
                </c:pt>
                <c:pt idx="114">
                  <c:v>3.6318732692842059E-4</c:v>
                </c:pt>
                <c:pt idx="115">
                  <c:v>3.5710191572905955E-4</c:v>
                </c:pt>
                <c:pt idx="116">
                  <c:v>3.5113864358154989E-4</c:v>
                </c:pt>
                <c:pt idx="117">
                  <c:v>3.4523674749539811E-4</c:v>
                </c:pt>
                <c:pt idx="118">
                  <c:v>3.3964228459130844E-4</c:v>
                </c:pt>
                <c:pt idx="119">
                  <c:v>3.3451291050292113E-4</c:v>
                </c:pt>
                <c:pt idx="120">
                  <c:v>3.2914198849957947E-4</c:v>
                </c:pt>
                <c:pt idx="121">
                  <c:v>3.240527707208409E-4</c:v>
                </c:pt>
                <c:pt idx="122">
                  <c:v>3.1922998124796979E-4</c:v>
                </c:pt>
                <c:pt idx="123">
                  <c:v>3.145059054990287E-4</c:v>
                </c:pt>
                <c:pt idx="124">
                  <c:v>3.0988123042986602E-4</c:v>
                </c:pt>
                <c:pt idx="125">
                  <c:v>3.0540437265324757E-4</c:v>
                </c:pt>
                <c:pt idx="126">
                  <c:v>3.011174324306855E-4</c:v>
                </c:pt>
                <c:pt idx="127">
                  <c:v>2.9696694610520369E-4</c:v>
                </c:pt>
                <c:pt idx="128">
                  <c:v>2.9294898894003578E-4</c:v>
                </c:pt>
                <c:pt idx="129">
                  <c:v>2.8905972620139468E-4</c:v>
                </c:pt>
                <c:pt idx="130">
                  <c:v>2.8529541247865185E-4</c:v>
                </c:pt>
                <c:pt idx="131">
                  <c:v>2.8165239090463469E-4</c:v>
                </c:pt>
                <c:pt idx="132">
                  <c:v>2.7812709228555889E-4</c:v>
                </c:pt>
                <c:pt idx="133">
                  <c:v>2.7467917186030767E-4</c:v>
                </c:pt>
                <c:pt idx="134">
                  <c:v>2.7141581972164809E-4</c:v>
                </c:pt>
                <c:pt idx="135">
                  <c:v>2.6822313683430202E-4</c:v>
                </c:pt>
                <c:pt idx="136">
                  <c:v>2.6510138613515934E-4</c:v>
                </c:pt>
                <c:pt idx="137">
                  <c:v>2.6208299252475538E-4</c:v>
                </c:pt>
                <c:pt idx="138">
                  <c:v>2.5922718535897139E-4</c:v>
                </c:pt>
                <c:pt idx="139">
                  <c:v>2.5643418669259681E-4</c:v>
                </c:pt>
                <c:pt idx="140">
                  <c:v>2.537041763496063E-4</c:v>
                </c:pt>
                <c:pt idx="141">
                  <c:v>2.5100907469608011E-4</c:v>
                </c:pt>
                <c:pt idx="142">
                  <c:v>2.484334470401563E-4</c:v>
                </c:pt>
                <c:pt idx="143">
                  <c:v>2.4605052648929632E-4</c:v>
                </c:pt>
                <c:pt idx="144">
                  <c:v>2.4366887996775925E-4</c:v>
                </c:pt>
                <c:pt idx="145">
                  <c:v>2.4136759615479549E-4</c:v>
                </c:pt>
                <c:pt idx="146">
                  <c:v>2.3919165832613241E-4</c:v>
                </c:pt>
                <c:pt idx="147">
                  <c:v>2.3706490055074768E-4</c:v>
                </c:pt>
                <c:pt idx="148">
                  <c:v>2.3498739084417615E-4</c:v>
                </c:pt>
                <c:pt idx="149">
                  <c:v>2.3300201212759518E-4</c:v>
                </c:pt>
                <c:pt idx="150">
                  <c:v>2.3108359947998381E-4</c:v>
                </c:pt>
                <c:pt idx="151">
                  <c:v>2.2923002066071955E-4</c:v>
                </c:pt>
                <c:pt idx="152">
                  <c:v>2.274392047958043E-4</c:v>
                </c:pt>
                <c:pt idx="153">
                  <c:v>2.2570914096827036E-4</c:v>
                </c:pt>
                <c:pt idx="154">
                  <c:v>2.2401983079594972E-4</c:v>
                </c:pt>
                <c:pt idx="155">
                  <c:v>2.2242351716238366E-4</c:v>
                </c:pt>
                <c:pt idx="156">
                  <c:v>2.2086422260958504E-4</c:v>
                </c:pt>
                <c:pt idx="157">
                  <c:v>2.1934194807461311E-4</c:v>
                </c:pt>
                <c:pt idx="158">
                  <c:v>2.1788803903144091E-4</c:v>
                </c:pt>
                <c:pt idx="159">
                  <c:v>2.1648398005156695E-4</c:v>
                </c:pt>
                <c:pt idx="160">
                  <c:v>2.1511350469897273E-4</c:v>
                </c:pt>
                <c:pt idx="161">
                  <c:v>2.1376244414043192E-4</c:v>
                </c:pt>
                <c:pt idx="162">
                  <c:v>2.1248667982624089E-4</c:v>
                </c:pt>
                <c:pt idx="163">
                  <c:v>2.113212188920743E-4</c:v>
                </c:pt>
                <c:pt idx="164">
                  <c:v>2.1010526705707742E-4</c:v>
                </c:pt>
                <c:pt idx="165">
                  <c:v>2.089572774843723E-4</c:v>
                </c:pt>
                <c:pt idx="166">
                  <c:v>2.0787318377890257E-4</c:v>
                </c:pt>
                <c:pt idx="167">
                  <c:v>2.0681489884424853E-4</c:v>
                </c:pt>
                <c:pt idx="168">
                  <c:v>2.0578238849417252E-4</c:v>
                </c:pt>
                <c:pt idx="169">
                  <c:v>2.0478622190718017E-4</c:v>
                </c:pt>
                <c:pt idx="170">
                  <c:v>2.0384569730282716E-4</c:v>
                </c:pt>
                <c:pt idx="171">
                  <c:v>2.0292775144472249E-4</c:v>
                </c:pt>
                <c:pt idx="172">
                  <c:v>2.0203234488293508E-4</c:v>
                </c:pt>
                <c:pt idx="173">
                  <c:v>2.0117785249561216E-4</c:v>
                </c:pt>
                <c:pt idx="174">
                  <c:v>2.0034442305990821E-4</c:v>
                </c:pt>
                <c:pt idx="175">
                  <c:v>1.995577382842377E-4</c:v>
                </c:pt>
                <c:pt idx="176">
                  <c:v>1.9879012331164707E-4</c:v>
                </c:pt>
                <c:pt idx="177">
                  <c:v>1.9804153554527543E-4</c:v>
                </c:pt>
                <c:pt idx="178">
                  <c:v>1.9733503185107541E-4</c:v>
                </c:pt>
                <c:pt idx="179">
                  <c:v>1.9664574804092051E-4</c:v>
                </c:pt>
                <c:pt idx="180">
                  <c:v>1.9597364097538142E-4</c:v>
                </c:pt>
                <c:pt idx="181">
                  <c:v>1.9532556383703201E-4</c:v>
                </c:pt>
                <c:pt idx="182">
                  <c:v>1.947140284060466E-4</c:v>
                </c:pt>
                <c:pt idx="183">
                  <c:v>1.9411750166486451E-4</c:v>
                </c:pt>
                <c:pt idx="184">
                  <c:v>1.93535940879297E-4</c:v>
                </c:pt>
                <c:pt idx="185">
                  <c:v>1.9296330702271488E-4</c:v>
                </c:pt>
                <c:pt idx="186">
                  <c:v>1.9244629932757754E-4</c:v>
                </c:pt>
                <c:pt idx="187">
                  <c:v>1.919303968819181E-4</c:v>
                </c:pt>
                <c:pt idx="188">
                  <c:v>1.9141679203626342E-4</c:v>
                </c:pt>
                <c:pt idx="189">
                  <c:v>1.9093244452364285E-4</c:v>
                </c:pt>
                <c:pt idx="190">
                  <c:v>1.9047057205391393E-4</c:v>
                </c:pt>
                <c:pt idx="191">
                  <c:v>1.9002521935651093E-4</c:v>
                </c:pt>
                <c:pt idx="192">
                  <c:v>1.8959117961803965E-4</c:v>
                </c:pt>
                <c:pt idx="193">
                  <c:v>1.8917732814122229E-4</c:v>
                </c:pt>
                <c:pt idx="194">
                  <c:v>1.8877832398521335E-4</c:v>
                </c:pt>
                <c:pt idx="195">
                  <c:v>1.8839364858268457E-4</c:v>
                </c:pt>
                <c:pt idx="196">
                  <c:v>1.8802280079458587E-4</c:v>
                </c:pt>
                <c:pt idx="197">
                  <c:v>1.8766529635845779E-4</c:v>
                </c:pt>
                <c:pt idx="198">
                  <c:v>1.8732066735244467E-4</c:v>
                </c:pt>
                <c:pt idx="199">
                  <c:v>1.8698846167465856E-4</c:v>
                </c:pt>
                <c:pt idx="200">
                  <c:v>1.8666824253754582E-4</c:v>
                </c:pt>
                <c:pt idx="201">
                  <c:v>1.8635625887768531E-4</c:v>
                </c:pt>
                <c:pt idx="202">
                  <c:v>1.8606209037525415E-4</c:v>
                </c:pt>
                <c:pt idx="203">
                  <c:v>1.8577535599908303E-4</c:v>
                </c:pt>
                <c:pt idx="204">
                  <c:v>1.8549602401730307E-4</c:v>
                </c:pt>
                <c:pt idx="205">
                  <c:v>1.8522692496669645E-4</c:v>
                </c:pt>
                <c:pt idx="206">
                  <c:v>1.8495940132428278E-4</c:v>
                </c:pt>
                <c:pt idx="207">
                  <c:v>1.8472330295944101E-4</c:v>
                </c:pt>
                <c:pt idx="208">
                  <c:v>1.8447742512033388E-4</c:v>
                </c:pt>
                <c:pt idx="209">
                  <c:v>1.8424571935038062E-4</c:v>
                </c:pt>
                <c:pt idx="210">
                  <c:v>1.8402730100952958E-4</c:v>
                </c:pt>
                <c:pt idx="211">
                  <c:v>1.838144564662774E-4</c:v>
                </c:pt>
                <c:pt idx="212">
                  <c:v>1.8360715934577404E-4</c:v>
                </c:pt>
                <c:pt idx="213">
                  <c:v>1.834075066167068E-4</c:v>
                </c:pt>
                <c:pt idx="214">
                  <c:v>1.8321932580119785E-4</c:v>
                </c:pt>
                <c:pt idx="215">
                  <c:v>1.830359688143569E-4</c:v>
                </c:pt>
                <c:pt idx="216">
                  <c:v>1.8285741180394392E-4</c:v>
                </c:pt>
                <c:pt idx="217">
                  <c:v>1.8268729395946786E-4</c:v>
                </c:pt>
                <c:pt idx="218">
                  <c:v>1.8252163901215338E-4</c:v>
                </c:pt>
                <c:pt idx="219">
                  <c:v>1.823655248006894E-4</c:v>
                </c:pt>
                <c:pt idx="220">
                  <c:v>1.8221343380666989E-4</c:v>
                </c:pt>
                <c:pt idx="221">
                  <c:v>1.8206692486398267E-4</c:v>
                </c:pt>
                <c:pt idx="222">
                  <c:v>1.8192579691704482E-4</c:v>
                </c:pt>
                <c:pt idx="223">
                  <c:v>1.8178985597098538E-4</c:v>
                </c:pt>
                <c:pt idx="224">
                  <c:v>1.8165750303413838E-4</c:v>
                </c:pt>
                <c:pt idx="225">
                  <c:v>1.8153007386102218E-4</c:v>
                </c:pt>
                <c:pt idx="226">
                  <c:v>1.8141000639073957E-4</c:v>
                </c:pt>
                <c:pt idx="227">
                  <c:v>1.8129305478666019E-4</c:v>
                </c:pt>
                <c:pt idx="228">
                  <c:v>1.8117920184694924E-4</c:v>
                </c:pt>
                <c:pt idx="229">
                  <c:v>1.8106725904949624E-4</c:v>
                </c:pt>
                <c:pt idx="230">
                  <c:v>1.809663322802154E-4</c:v>
                </c:pt>
                <c:pt idx="231">
                  <c:v>1.8086575859799201E-4</c:v>
                </c:pt>
                <c:pt idx="232">
                  <c:v>1.8076577234990801E-4</c:v>
                </c:pt>
                <c:pt idx="233">
                  <c:v>1.8067161244057843E-4</c:v>
                </c:pt>
                <c:pt idx="234">
                  <c:v>1.8058290994143054E-4</c:v>
                </c:pt>
                <c:pt idx="235">
                  <c:v>1.8049652633060859E-4</c:v>
                </c:pt>
                <c:pt idx="236">
                  <c:v>1.804124480154006E-4</c:v>
                </c:pt>
                <c:pt idx="237">
                  <c:v>1.8033152180165136E-4</c:v>
                </c:pt>
                <c:pt idx="238">
                  <c:v>1.8025446207012627E-4</c:v>
                </c:pt>
                <c:pt idx="239">
                  <c:v>1.8018026392173955E-4</c:v>
                </c:pt>
                <c:pt idx="240">
                  <c:v>1.8010882270718087E-4</c:v>
                </c:pt>
                <c:pt idx="241">
                  <c:v>1.8004003752856667E-4</c:v>
                </c:pt>
                <c:pt idx="242">
                  <c:v>1.7997381110855941E-4</c:v>
                </c:pt>
                <c:pt idx="243">
                  <c:v>1.7991004966387805E-4</c:v>
                </c:pt>
                <c:pt idx="244">
                  <c:v>1.7984866278306186E-4</c:v>
                </c:pt>
                <c:pt idx="245">
                  <c:v>1.797889262541729E-4</c:v>
                </c:pt>
                <c:pt idx="246">
                  <c:v>1.7973266722156052E-4</c:v>
                </c:pt>
                <c:pt idx="247">
                  <c:v>1.796778935338E-4</c:v>
                </c:pt>
                <c:pt idx="248">
                  <c:v>1.7962459580879496E-4</c:v>
                </c:pt>
                <c:pt idx="249">
                  <c:v>1.795733098604314E-4</c:v>
                </c:pt>
                <c:pt idx="250">
                  <c:v>1.7952501351202804E-4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14336"/>
        <c:axId val="142144640"/>
      </c:lineChart>
      <c:dateAx>
        <c:axId val="142014336"/>
        <c:scaling>
          <c:orientation val="minMax"/>
          <c:max val="6407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2144640"/>
        <c:crosses val="autoZero"/>
        <c:auto val="1"/>
        <c:lblOffset val="100"/>
        <c:baseTimeUnit val="days"/>
        <c:majorUnit val="60"/>
        <c:majorTimeUnit val="months"/>
      </c:dateAx>
      <c:valAx>
        <c:axId val="142144640"/>
        <c:scaling>
          <c:orientation val="minMax"/>
          <c:max val="2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42014336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'6M Basis'!$W$2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'6M Basis'!$S$3:$S$1310</c:f>
              <c:numCache>
                <c:formatCode>ddd\,\ dd\-mmm\-yyyy</c:formatCode>
                <c:ptCount val="1308"/>
                <c:pt idx="0">
                  <c:v>42279</c:v>
                </c:pt>
                <c:pt idx="1">
                  <c:v>42312</c:v>
                </c:pt>
                <c:pt idx="2">
                  <c:v>42342</c:v>
                </c:pt>
                <c:pt idx="3">
                  <c:v>42375</c:v>
                </c:pt>
                <c:pt idx="4">
                  <c:v>42404</c:v>
                </c:pt>
                <c:pt idx="5">
                  <c:v>42433</c:v>
                </c:pt>
                <c:pt idx="6">
                  <c:v>42466</c:v>
                </c:pt>
                <c:pt idx="7">
                  <c:v>42494</c:v>
                </c:pt>
                <c:pt idx="8">
                  <c:v>42527</c:v>
                </c:pt>
                <c:pt idx="9">
                  <c:v>42557</c:v>
                </c:pt>
                <c:pt idx="10">
                  <c:v>42586</c:v>
                </c:pt>
                <c:pt idx="11">
                  <c:v>42619</c:v>
                </c:pt>
                <c:pt idx="12">
                  <c:v>42648</c:v>
                </c:pt>
                <c:pt idx="13">
                  <c:v>42678</c:v>
                </c:pt>
                <c:pt idx="14">
                  <c:v>42710</c:v>
                </c:pt>
                <c:pt idx="15">
                  <c:v>42739</c:v>
                </c:pt>
                <c:pt idx="16">
                  <c:v>42772</c:v>
                </c:pt>
                <c:pt idx="17">
                  <c:v>42800</c:v>
                </c:pt>
                <c:pt idx="18">
                  <c:v>42830</c:v>
                </c:pt>
                <c:pt idx="19">
                  <c:v>43012</c:v>
                </c:pt>
                <c:pt idx="20">
                  <c:v>43195</c:v>
                </c:pt>
                <c:pt idx="21">
                  <c:v>43377</c:v>
                </c:pt>
                <c:pt idx="22">
                  <c:v>43559</c:v>
                </c:pt>
                <c:pt idx="23">
                  <c:v>43742</c:v>
                </c:pt>
                <c:pt idx="24">
                  <c:v>43927</c:v>
                </c:pt>
                <c:pt idx="25">
                  <c:v>44110</c:v>
                </c:pt>
                <c:pt idx="26">
                  <c:v>44294</c:v>
                </c:pt>
                <c:pt idx="27">
                  <c:v>44475</c:v>
                </c:pt>
                <c:pt idx="28">
                  <c:v>44657</c:v>
                </c:pt>
                <c:pt idx="29">
                  <c:v>44839</c:v>
                </c:pt>
                <c:pt idx="30">
                  <c:v>45021</c:v>
                </c:pt>
                <c:pt idx="31">
                  <c:v>45203</c:v>
                </c:pt>
                <c:pt idx="32">
                  <c:v>45386</c:v>
                </c:pt>
                <c:pt idx="33">
                  <c:v>45569</c:v>
                </c:pt>
                <c:pt idx="34">
                  <c:v>45751</c:v>
                </c:pt>
                <c:pt idx="35">
                  <c:v>45936</c:v>
                </c:pt>
                <c:pt idx="36">
                  <c:v>46120</c:v>
                </c:pt>
                <c:pt idx="37">
                  <c:v>46301</c:v>
                </c:pt>
                <c:pt idx="38">
                  <c:v>46483</c:v>
                </c:pt>
                <c:pt idx="39">
                  <c:v>46666</c:v>
                </c:pt>
                <c:pt idx="40">
                  <c:v>46848</c:v>
                </c:pt>
                <c:pt idx="41">
                  <c:v>47030</c:v>
                </c:pt>
                <c:pt idx="42">
                  <c:v>47213</c:v>
                </c:pt>
                <c:pt idx="43">
                  <c:v>47395</c:v>
                </c:pt>
                <c:pt idx="44">
                  <c:v>47577</c:v>
                </c:pt>
                <c:pt idx="45">
                  <c:v>47760</c:v>
                </c:pt>
                <c:pt idx="46">
                  <c:v>47942</c:v>
                </c:pt>
                <c:pt idx="47">
                  <c:v>48127</c:v>
                </c:pt>
                <c:pt idx="48">
                  <c:v>48310</c:v>
                </c:pt>
                <c:pt idx="49">
                  <c:v>48493</c:v>
                </c:pt>
                <c:pt idx="50">
                  <c:v>48675</c:v>
                </c:pt>
                <c:pt idx="51">
                  <c:v>48857</c:v>
                </c:pt>
                <c:pt idx="52">
                  <c:v>49039</c:v>
                </c:pt>
                <c:pt idx="53">
                  <c:v>49221</c:v>
                </c:pt>
                <c:pt idx="54">
                  <c:v>49403</c:v>
                </c:pt>
                <c:pt idx="55">
                  <c:v>49586</c:v>
                </c:pt>
                <c:pt idx="56">
                  <c:v>49769</c:v>
                </c:pt>
                <c:pt idx="57">
                  <c:v>49954</c:v>
                </c:pt>
                <c:pt idx="58">
                  <c:v>50138</c:v>
                </c:pt>
                <c:pt idx="59">
                  <c:v>50319</c:v>
                </c:pt>
                <c:pt idx="60">
                  <c:v>50501</c:v>
                </c:pt>
                <c:pt idx="61">
                  <c:v>50684</c:v>
                </c:pt>
                <c:pt idx="62">
                  <c:v>50866</c:v>
                </c:pt>
                <c:pt idx="63">
                  <c:v>51048</c:v>
                </c:pt>
                <c:pt idx="64">
                  <c:v>51231</c:v>
                </c:pt>
                <c:pt idx="65">
                  <c:v>51413</c:v>
                </c:pt>
                <c:pt idx="66">
                  <c:v>51595</c:v>
                </c:pt>
                <c:pt idx="67">
                  <c:v>51778</c:v>
                </c:pt>
                <c:pt idx="68">
                  <c:v>51964</c:v>
                </c:pt>
                <c:pt idx="69">
                  <c:v>52145</c:v>
                </c:pt>
                <c:pt idx="70">
                  <c:v>52327</c:v>
                </c:pt>
                <c:pt idx="71">
                  <c:v>52510</c:v>
                </c:pt>
                <c:pt idx="72">
                  <c:v>52693</c:v>
                </c:pt>
                <c:pt idx="73">
                  <c:v>52875</c:v>
                </c:pt>
                <c:pt idx="74">
                  <c:v>53057</c:v>
                </c:pt>
                <c:pt idx="75">
                  <c:v>53239</c:v>
                </c:pt>
                <c:pt idx="76">
                  <c:v>53421</c:v>
                </c:pt>
                <c:pt idx="77">
                  <c:v>53604</c:v>
                </c:pt>
                <c:pt idx="78">
                  <c:v>53786</c:v>
                </c:pt>
                <c:pt idx="79">
                  <c:v>53969</c:v>
                </c:pt>
                <c:pt idx="80">
                  <c:v>54156</c:v>
                </c:pt>
                <c:pt idx="81">
                  <c:v>54337</c:v>
                </c:pt>
                <c:pt idx="82">
                  <c:v>54519</c:v>
                </c:pt>
                <c:pt idx="83">
                  <c:v>54702</c:v>
                </c:pt>
                <c:pt idx="84">
                  <c:v>54884</c:v>
                </c:pt>
                <c:pt idx="85">
                  <c:v>55066</c:v>
                </c:pt>
                <c:pt idx="86">
                  <c:v>55249</c:v>
                </c:pt>
                <c:pt idx="87">
                  <c:v>55430</c:v>
                </c:pt>
                <c:pt idx="88">
                  <c:v>55613</c:v>
                </c:pt>
                <c:pt idx="89">
                  <c:v>55796</c:v>
                </c:pt>
                <c:pt idx="90">
                  <c:v>55982</c:v>
                </c:pt>
                <c:pt idx="91">
                  <c:v>56163</c:v>
                </c:pt>
                <c:pt idx="92">
                  <c:v>56345</c:v>
                </c:pt>
                <c:pt idx="93">
                  <c:v>56528</c:v>
                </c:pt>
                <c:pt idx="94">
                  <c:v>56710</c:v>
                </c:pt>
                <c:pt idx="95">
                  <c:v>56893</c:v>
                </c:pt>
                <c:pt idx="96">
                  <c:v>57076</c:v>
                </c:pt>
                <c:pt idx="97">
                  <c:v>57257</c:v>
                </c:pt>
                <c:pt idx="98">
                  <c:v>57439</c:v>
                </c:pt>
                <c:pt idx="99">
                  <c:v>57622</c:v>
                </c:pt>
                <c:pt idx="100">
                  <c:v>57804</c:v>
                </c:pt>
                <c:pt idx="101">
                  <c:v>57987</c:v>
                </c:pt>
                <c:pt idx="102">
                  <c:v>58169</c:v>
                </c:pt>
                <c:pt idx="103">
                  <c:v>58354</c:v>
                </c:pt>
                <c:pt idx="104">
                  <c:v>58537</c:v>
                </c:pt>
                <c:pt idx="105">
                  <c:v>58720</c:v>
                </c:pt>
                <c:pt idx="106">
                  <c:v>58902</c:v>
                </c:pt>
                <c:pt idx="107">
                  <c:v>59084</c:v>
                </c:pt>
                <c:pt idx="108">
                  <c:v>59266</c:v>
                </c:pt>
                <c:pt idx="109">
                  <c:v>59448</c:v>
                </c:pt>
                <c:pt idx="110">
                  <c:v>59630</c:v>
                </c:pt>
                <c:pt idx="111">
                  <c:v>59813</c:v>
                </c:pt>
                <c:pt idx="112">
                  <c:v>60000</c:v>
                </c:pt>
                <c:pt idx="113">
                  <c:v>60181</c:v>
                </c:pt>
                <c:pt idx="114">
                  <c:v>60363</c:v>
                </c:pt>
                <c:pt idx="115">
                  <c:v>60546</c:v>
                </c:pt>
                <c:pt idx="116">
                  <c:v>60728</c:v>
                </c:pt>
                <c:pt idx="117">
                  <c:v>60911</c:v>
                </c:pt>
                <c:pt idx="118">
                  <c:v>61094</c:v>
                </c:pt>
                <c:pt idx="119">
                  <c:v>61275</c:v>
                </c:pt>
                <c:pt idx="120">
                  <c:v>61457</c:v>
                </c:pt>
                <c:pt idx="121">
                  <c:v>61640</c:v>
                </c:pt>
                <c:pt idx="122">
                  <c:v>61822</c:v>
                </c:pt>
                <c:pt idx="123">
                  <c:v>62005</c:v>
                </c:pt>
                <c:pt idx="124">
                  <c:v>62187</c:v>
                </c:pt>
                <c:pt idx="125">
                  <c:v>62372</c:v>
                </c:pt>
                <c:pt idx="126">
                  <c:v>62554</c:v>
                </c:pt>
                <c:pt idx="127">
                  <c:v>62737</c:v>
                </c:pt>
                <c:pt idx="128">
                  <c:v>62920</c:v>
                </c:pt>
                <c:pt idx="129">
                  <c:v>63102</c:v>
                </c:pt>
                <c:pt idx="130">
                  <c:v>63284</c:v>
                </c:pt>
                <c:pt idx="131">
                  <c:v>63466</c:v>
                </c:pt>
                <c:pt idx="132">
                  <c:v>63648</c:v>
                </c:pt>
              </c:numCache>
            </c:numRef>
          </c:cat>
          <c:val>
            <c:numRef>
              <c:f>'6M Basis'!$W$3:$W$1310</c:f>
              <c:numCache>
                <c:formatCode>0.0000%</c:formatCode>
                <c:ptCount val="1308"/>
                <c:pt idx="0">
                  <c:v>1.7999629132530472E-3</c:v>
                </c:pt>
                <c:pt idx="1">
                  <c:v>1.8731992531873332E-3</c:v>
                </c:pt>
                <c:pt idx="2">
                  <c:v>1.9128102788892563E-3</c:v>
                </c:pt>
                <c:pt idx="3">
                  <c:v>1.9892134344295137E-3</c:v>
                </c:pt>
                <c:pt idx="4">
                  <c:v>2.0192596514704985E-3</c:v>
                </c:pt>
                <c:pt idx="5">
                  <c:v>2.0568100951208323E-3</c:v>
                </c:pt>
                <c:pt idx="6">
                  <c:v>2.1054593215672711E-3</c:v>
                </c:pt>
                <c:pt idx="7">
                  <c:v>2.1444912063378623E-3</c:v>
                </c:pt>
                <c:pt idx="8">
                  <c:v>2.1658794154061994E-3</c:v>
                </c:pt>
                <c:pt idx="9">
                  <c:v>2.2035326014594749E-3</c:v>
                </c:pt>
                <c:pt idx="10">
                  <c:v>2.2369479554074801E-3</c:v>
                </c:pt>
                <c:pt idx="11">
                  <c:v>2.2567437507274033E-3</c:v>
                </c:pt>
                <c:pt idx="12">
                  <c:v>2.2793294318206019E-3</c:v>
                </c:pt>
                <c:pt idx="13">
                  <c:v>2.3235032694118524E-3</c:v>
                </c:pt>
                <c:pt idx="14">
                  <c:v>2.3544211156290018E-3</c:v>
                </c:pt>
                <c:pt idx="15">
                  <c:v>2.3968212142352666E-3</c:v>
                </c:pt>
                <c:pt idx="16">
                  <c:v>2.4372154576185771E-3</c:v>
                </c:pt>
                <c:pt idx="17">
                  <c:v>2.4706044319065027E-3</c:v>
                </c:pt>
                <c:pt idx="18">
                  <c:v>2.498366242470954E-3</c:v>
                </c:pt>
                <c:pt idx="19">
                  <c:v>2.6898024444067638E-3</c:v>
                </c:pt>
                <c:pt idx="20">
                  <c:v>2.8927814339377257E-3</c:v>
                </c:pt>
                <c:pt idx="21">
                  <c:v>2.9570827834122996E-3</c:v>
                </c:pt>
                <c:pt idx="22">
                  <c:v>3.0461657536050768E-3</c:v>
                </c:pt>
                <c:pt idx="23">
                  <c:v>3.1892615915826124E-3</c:v>
                </c:pt>
                <c:pt idx="24">
                  <c:v>3.0816108634822087E-3</c:v>
                </c:pt>
                <c:pt idx="25">
                  <c:v>2.6685530881405423E-3</c:v>
                </c:pt>
                <c:pt idx="26">
                  <c:v>2.4009303829361558E-3</c:v>
                </c:pt>
                <c:pt idx="27">
                  <c:v>2.4187681933606712E-3</c:v>
                </c:pt>
                <c:pt idx="28">
                  <c:v>2.4339772298218095E-3</c:v>
                </c:pt>
                <c:pt idx="29">
                  <c:v>2.3563766456772255E-3</c:v>
                </c:pt>
                <c:pt idx="30">
                  <c:v>2.220135697743925E-3</c:v>
                </c:pt>
                <c:pt idx="31">
                  <c:v>2.0566122851600685E-3</c:v>
                </c:pt>
                <c:pt idx="32">
                  <c:v>1.9716017497773582E-3</c:v>
                </c:pt>
                <c:pt idx="33">
                  <c:v>1.9712178080338802E-3</c:v>
                </c:pt>
                <c:pt idx="34">
                  <c:v>1.8900610278864867E-3</c:v>
                </c:pt>
                <c:pt idx="35">
                  <c:v>1.7184424022650101E-3</c:v>
                </c:pt>
                <c:pt idx="36">
                  <c:v>1.6675219122101216E-3</c:v>
                </c:pt>
                <c:pt idx="37">
                  <c:v>1.7491122921624754E-3</c:v>
                </c:pt>
                <c:pt idx="38">
                  <c:v>1.7364059699720089E-3</c:v>
                </c:pt>
                <c:pt idx="39">
                  <c:v>1.5838338406428086E-3</c:v>
                </c:pt>
                <c:pt idx="40">
                  <c:v>1.4160131203977584E-3</c:v>
                </c:pt>
                <c:pt idx="41">
                  <c:v>1.2685102911320217E-3</c:v>
                </c:pt>
                <c:pt idx="42">
                  <c:v>1.1446778699038054E-3</c:v>
                </c:pt>
                <c:pt idx="43">
                  <c:v>1.0517052440778829E-3</c:v>
                </c:pt>
                <c:pt idx="44">
                  <c:v>9.9296226811727145E-4</c:v>
                </c:pt>
                <c:pt idx="45">
                  <c:v>9.6621265466830669E-4</c:v>
                </c:pt>
                <c:pt idx="46">
                  <c:v>9.459930100271588E-4</c:v>
                </c:pt>
                <c:pt idx="47">
                  <c:v>9.2462467664355952E-4</c:v>
                </c:pt>
                <c:pt idx="48">
                  <c:v>9.019472658615621E-4</c:v>
                </c:pt>
                <c:pt idx="49">
                  <c:v>8.7705678987283486E-4</c:v>
                </c:pt>
                <c:pt idx="50">
                  <c:v>8.4933118639572008E-4</c:v>
                </c:pt>
                <c:pt idx="51">
                  <c:v>8.180690247489332E-4</c:v>
                </c:pt>
                <c:pt idx="52">
                  <c:v>7.8239890587420563E-4</c:v>
                </c:pt>
                <c:pt idx="53">
                  <c:v>7.4185883602525052E-4</c:v>
                </c:pt>
                <c:pt idx="54">
                  <c:v>6.9545239371632261E-4</c:v>
                </c:pt>
                <c:pt idx="55">
                  <c:v>6.4450542686516135E-4</c:v>
                </c:pt>
                <c:pt idx="56">
                  <c:v>5.9672552782080029E-4</c:v>
                </c:pt>
                <c:pt idx="57">
                  <c:v>5.5455137895939893E-4</c:v>
                </c:pt>
                <c:pt idx="58">
                  <c:v>5.1864307449968686E-4</c:v>
                </c:pt>
                <c:pt idx="59">
                  <c:v>4.8987540532415344E-4</c:v>
                </c:pt>
                <c:pt idx="60">
                  <c:v>4.678251614478636E-4</c:v>
                </c:pt>
                <c:pt idx="61">
                  <c:v>4.5320837282245355E-4</c:v>
                </c:pt>
                <c:pt idx="62">
                  <c:v>4.4658131535271414E-4</c:v>
                </c:pt>
                <c:pt idx="63">
                  <c:v>4.4831813916317194E-4</c:v>
                </c:pt>
                <c:pt idx="64">
                  <c:v>4.5895439645622996E-4</c:v>
                </c:pt>
                <c:pt idx="65">
                  <c:v>4.7675157923235401E-4</c:v>
                </c:pt>
                <c:pt idx="66">
                  <c:v>4.9441013699124368E-4</c:v>
                </c:pt>
                <c:pt idx="67">
                  <c:v>5.0974091647155127E-4</c:v>
                </c:pt>
                <c:pt idx="68">
                  <c:v>5.2191744172775528E-4</c:v>
                </c:pt>
                <c:pt idx="69">
                  <c:v>5.3048684817979565E-4</c:v>
                </c:pt>
                <c:pt idx="70">
                  <c:v>5.3534734300450006E-4</c:v>
                </c:pt>
                <c:pt idx="71">
                  <c:v>5.3587169625297047E-4</c:v>
                </c:pt>
                <c:pt idx="72">
                  <c:v>5.3161018686148469E-4</c:v>
                </c:pt>
                <c:pt idx="73">
                  <c:v>5.2219269926925653E-4</c:v>
                </c:pt>
                <c:pt idx="74">
                  <c:v>5.0712310454773153E-4</c:v>
                </c:pt>
                <c:pt idx="75">
                  <c:v>4.9130092763972726E-4</c:v>
                </c:pt>
                <c:pt idx="76">
                  <c:v>4.7674480794905084E-4</c:v>
                </c:pt>
                <c:pt idx="77">
                  <c:v>4.5951644051087266E-4</c:v>
                </c:pt>
                <c:pt idx="78">
                  <c:v>4.3947882957855698E-4</c:v>
                </c:pt>
                <c:pt idx="79">
                  <c:v>4.1614439059604012E-4</c:v>
                </c:pt>
                <c:pt idx="80">
                  <c:v>3.8921704081826963E-4</c:v>
                </c:pt>
                <c:pt idx="81">
                  <c:v>3.5959670293637253E-4</c:v>
                </c:pt>
                <c:pt idx="82">
                  <c:v>3.2600413691460071E-4</c:v>
                </c:pt>
                <c:pt idx="83">
                  <c:v>2.8848668263303269E-4</c:v>
                </c:pt>
                <c:pt idx="84">
                  <c:v>2.4688525691534367E-4</c:v>
                </c:pt>
                <c:pt idx="85">
                  <c:v>2.2319630770276967E-4</c:v>
                </c:pt>
                <c:pt idx="86">
                  <c:v>2.1876895934977263E-4</c:v>
                </c:pt>
                <c:pt idx="87">
                  <c:v>2.1401084887496917E-4</c:v>
                </c:pt>
                <c:pt idx="88">
                  <c:v>2.0873892916981225E-4</c:v>
                </c:pt>
                <c:pt idx="89">
                  <c:v>2.0290136532177816E-4</c:v>
                </c:pt>
                <c:pt idx="90">
                  <c:v>1.963890415567042E-4</c:v>
                </c:pt>
                <c:pt idx="91">
                  <c:v>1.8935309071040421E-4</c:v>
                </c:pt>
                <c:pt idx="92">
                  <c:v>1.8149385999858755E-4</c:v>
                </c:pt>
                <c:pt idx="93">
                  <c:v>1.7278218620908094E-4</c:v>
                </c:pt>
                <c:pt idx="94">
                  <c:v>1.6317205818866184E-4</c:v>
                </c:pt>
                <c:pt idx="95">
                  <c:v>1.7808342515214515E-4</c:v>
                </c:pt>
                <c:pt idx="96">
                  <c:v>2.1427531021522839E-4</c:v>
                </c:pt>
                <c:pt idx="97">
                  <c:v>2.4559843231218917E-4</c:v>
                </c:pt>
                <c:pt idx="98">
                  <c:v>2.7256074936093076E-4</c:v>
                </c:pt>
                <c:pt idx="99">
                  <c:v>2.9444961460847394E-4</c:v>
                </c:pt>
                <c:pt idx="100">
                  <c:v>3.1098066901624408E-4</c:v>
                </c:pt>
                <c:pt idx="101">
                  <c:v>3.218097400660147E-4</c:v>
                </c:pt>
                <c:pt idx="102">
                  <c:v>3.2667855229880083E-4</c:v>
                </c:pt>
                <c:pt idx="103">
                  <c:v>3.2510991948094849E-4</c:v>
                </c:pt>
                <c:pt idx="104">
                  <c:v>3.1687730602398927E-4</c:v>
                </c:pt>
                <c:pt idx="105">
                  <c:v>3.0170229613283618E-4</c:v>
                </c:pt>
                <c:pt idx="106">
                  <c:v>2.7927431075167909E-4</c:v>
                </c:pt>
                <c:pt idx="107">
                  <c:v>2.4944042510247413E-4</c:v>
                </c:pt>
                <c:pt idx="108">
                  <c:v>2.1157479051578214E-4</c:v>
                </c:pt>
                <c:pt idx="109">
                  <c:v>1.6576483399987491E-4</c:v>
                </c:pt>
                <c:pt idx="110">
                  <c:v>1.1119626031275316E-4</c:v>
                </c:pt>
                <c:pt idx="111">
                  <c:v>4.6832320732454608E-5</c:v>
                </c:pt>
                <c:pt idx="112">
                  <c:v>-2.6939240592152233E-5</c:v>
                </c:pt>
                <c:pt idx="113">
                  <c:v>-1.0832873627230136E-4</c:v>
                </c:pt>
                <c:pt idx="114">
                  <c:v>-2.0036619369176271E-4</c:v>
                </c:pt>
                <c:pt idx="115">
                  <c:v>-2.1245133145554942E-4</c:v>
                </c:pt>
                <c:pt idx="116">
                  <c:v>-1.4609378142254811E-4</c:v>
                </c:pt>
                <c:pt idx="117">
                  <c:v>-8.1824759781428183E-5</c:v>
                </c:pt>
                <c:pt idx="118">
                  <c:v>-1.951494163249419E-5</c:v>
                </c:pt>
                <c:pt idx="119">
                  <c:v>3.9504494802382328E-5</c:v>
                </c:pt>
                <c:pt idx="120">
                  <c:v>9.6218885378158286E-5</c:v>
                </c:pt>
                <c:pt idx="121">
                  <c:v>1.5025240873028575E-4</c:v>
                </c:pt>
                <c:pt idx="122">
                  <c:v>2.0127310539422121E-4</c:v>
                </c:pt>
                <c:pt idx="123">
                  <c:v>2.4907705295032501E-4</c:v>
                </c:pt>
                <c:pt idx="124">
                  <c:v>2.9375837743031083E-4</c:v>
                </c:pt>
                <c:pt idx="125">
                  <c:v>3.3477050727800765E-4</c:v>
                </c:pt>
                <c:pt idx="126">
                  <c:v>3.7182805907652779E-4</c:v>
                </c:pt>
                <c:pt idx="127">
                  <c:v>4.0501504605319066E-4</c:v>
                </c:pt>
                <c:pt idx="128">
                  <c:v>4.3404951369512522E-4</c:v>
                </c:pt>
                <c:pt idx="129">
                  <c:v>4.5854602990669235E-4</c:v>
                </c:pt>
                <c:pt idx="130">
                  <c:v>4.7872236207562383E-4</c:v>
                </c:pt>
                <c:pt idx="131">
                  <c:v>4.9411301613014671E-4</c:v>
                </c:pt>
                <c:pt idx="132">
                  <c:v>5.0476985000917456E-4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'6M Basis'!$AA$2</c:f>
              <c:strCache>
                <c:ptCount val="1"/>
                <c:pt idx="0">
                  <c:v>Calibrated Basis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'6M Basis'!$AA$3:$AA$135</c:f>
              <c:numCache>
                <c:formatCode>0.0000%</c:formatCode>
                <c:ptCount val="133"/>
                <c:pt idx="0">
                  <c:v>1.7554557583766149E-3</c:v>
                </c:pt>
                <c:pt idx="1">
                  <c:v>1.8226416532396176E-3</c:v>
                </c:pt>
                <c:pt idx="2">
                  <c:v>1.8811696662489907E-3</c:v>
                </c:pt>
                <c:pt idx="3">
                  <c:v>1.9428236440324717E-3</c:v>
                </c:pt>
                <c:pt idx="4">
                  <c:v>1.9947094605092469E-3</c:v>
                </c:pt>
                <c:pt idx="5">
                  <c:v>2.0445056416741893E-3</c:v>
                </c:pt>
                <c:pt idx="6">
                  <c:v>2.0986964240675074E-3</c:v>
                </c:pt>
                <c:pt idx="7">
                  <c:v>2.1426662115925639E-3</c:v>
                </c:pt>
                <c:pt idx="8">
                  <c:v>2.1921844888638043E-3</c:v>
                </c:pt>
                <c:pt idx="9">
                  <c:v>2.235097148699895E-3</c:v>
                </c:pt>
                <c:pt idx="10">
                  <c:v>2.2747270720015773E-3</c:v>
                </c:pt>
                <c:pt idx="11">
                  <c:v>2.3176693491232421E-3</c:v>
                </c:pt>
                <c:pt idx="12">
                  <c:v>2.3535656476781435E-3</c:v>
                </c:pt>
                <c:pt idx="13">
                  <c:v>2.3889380358133633E-3</c:v>
                </c:pt>
                <c:pt idx="14">
                  <c:v>2.4247485009355405E-3</c:v>
                </c:pt>
                <c:pt idx="15">
                  <c:v>2.4555373125679423E-3</c:v>
                </c:pt>
                <c:pt idx="16">
                  <c:v>2.4887033052285804E-3</c:v>
                </c:pt>
                <c:pt idx="17">
                  <c:v>2.5153267587039313E-3</c:v>
                </c:pt>
                <c:pt idx="18">
                  <c:v>2.5423496487451728E-3</c:v>
                </c:pt>
                <c:pt idx="19">
                  <c:v>2.675393515921741E-3</c:v>
                </c:pt>
                <c:pt idx="20">
                  <c:v>2.7620242376944514E-3</c:v>
                </c:pt>
                <c:pt idx="21">
                  <c:v>2.8090863785645067E-3</c:v>
                </c:pt>
                <c:pt idx="22">
                  <c:v>2.8238684245347175E-3</c:v>
                </c:pt>
                <c:pt idx="23">
                  <c:v>2.8120099748141954E-3</c:v>
                </c:pt>
                <c:pt idx="24">
                  <c:v>2.7779128715065601E-3</c:v>
                </c:pt>
                <c:pt idx="25">
                  <c:v>2.7266648222517317E-3</c:v>
                </c:pt>
                <c:pt idx="26">
                  <c:v>2.6612986277059114E-3</c:v>
                </c:pt>
                <c:pt idx="27">
                  <c:v>2.5865415313947979E-3</c:v>
                </c:pt>
                <c:pt idx="28">
                  <c:v>2.5035235491576522E-3</c:v>
                </c:pt>
                <c:pt idx="29">
                  <c:v>2.4148378816971788E-3</c:v>
                </c:pt>
                <c:pt idx="30">
                  <c:v>2.322339654302051E-3</c:v>
                </c:pt>
                <c:pt idx="31">
                  <c:v>2.2275798651510302E-3</c:v>
                </c:pt>
                <c:pt idx="32">
                  <c:v>2.1313200578319588E-3</c:v>
                </c:pt>
                <c:pt idx="33">
                  <c:v>2.0351545392645262E-3</c:v>
                </c:pt>
                <c:pt idx="34">
                  <c:v>1.940478949440984E-3</c:v>
                </c:pt>
                <c:pt idx="35">
                  <c:v>1.8459482209944741E-3</c:v>
                </c:pt>
                <c:pt idx="36">
                  <c:v>1.7542061476001503E-3</c:v>
                </c:pt>
                <c:pt idx="37">
                  <c:v>1.6666090197100364E-3</c:v>
                </c:pt>
                <c:pt idx="38">
                  <c:v>1.5815038926975983E-3</c:v>
                </c:pt>
                <c:pt idx="39">
                  <c:v>1.4991814235444218E-3</c:v>
                </c:pt>
                <c:pt idx="40">
                  <c:v>1.4207080118249973E-3</c:v>
                </c:pt>
                <c:pt idx="41">
                  <c:v>1.3457289119738636E-3</c:v>
                </c:pt>
                <c:pt idx="42">
                  <c:v>1.2739143229374833E-3</c:v>
                </c:pt>
                <c:pt idx="43">
                  <c:v>1.2060594944247533E-3</c:v>
                </c:pt>
                <c:pt idx="44">
                  <c:v>1.1417377539983409E-3</c:v>
                </c:pt>
                <c:pt idx="45">
                  <c:v>1.0805716923600766E-3</c:v>
                </c:pt>
                <c:pt idx="46">
                  <c:v>1.0231542930217428E-3</c:v>
                </c:pt>
                <c:pt idx="47">
                  <c:v>9.6818425208392033E-4</c:v>
                </c:pt>
                <c:pt idx="48">
                  <c:v>9.1706561951823955E-4</c:v>
                </c:pt>
                <c:pt idx="49">
                  <c:v>8.6906735257138827E-4</c:v>
                </c:pt>
                <c:pt idx="50">
                  <c:v>8.2430152035036744E-4</c:v>
                </c:pt>
                <c:pt idx="51">
                  <c:v>7.8236888396655726E-4</c:v>
                </c:pt>
                <c:pt idx="52">
                  <c:v>7.431382290329538E-4</c:v>
                </c:pt>
                <c:pt idx="53">
                  <c:v>7.0647740463091239E-4</c:v>
                </c:pt>
                <c:pt idx="54">
                  <c:v>6.7225471421819669E-4</c:v>
                </c:pt>
                <c:pt idx="55">
                  <c:v>6.4017083118031123E-4</c:v>
                </c:pt>
                <c:pt idx="56">
                  <c:v>6.1029068856930583E-4</c:v>
                </c:pt>
                <c:pt idx="57">
                  <c:v>5.8219502238814991E-4</c:v>
                </c:pt>
                <c:pt idx="58">
                  <c:v>5.5623166577478862E-4</c:v>
                </c:pt>
                <c:pt idx="59">
                  <c:v>5.325018333375421E-4</c:v>
                </c:pt>
                <c:pt idx="60">
                  <c:v>5.1033947749590193E-4</c:v>
                </c:pt>
                <c:pt idx="61">
                  <c:v>4.8966476523072634E-4</c:v>
                </c:pt>
                <c:pt idx="62">
                  <c:v>4.7060100116165591E-4</c:v>
                </c:pt>
                <c:pt idx="63">
                  <c:v>4.5293365482162372E-4</c:v>
                </c:pt>
                <c:pt idx="64">
                  <c:v>4.364838943869022E-4</c:v>
                </c:pt>
                <c:pt idx="65">
                  <c:v>4.2134360725534878E-4</c:v>
                </c:pt>
                <c:pt idx="66">
                  <c:v>4.0733670451194065E-4</c:v>
                </c:pt>
                <c:pt idx="67">
                  <c:v>3.9431676749463173E-4</c:v>
                </c:pt>
                <c:pt idx="68">
                  <c:v>3.820998004845544E-4</c:v>
                </c:pt>
                <c:pt idx="69">
                  <c:v>3.7112522075589976E-4</c:v>
                </c:pt>
                <c:pt idx="70">
                  <c:v>3.6093401751757651E-4</c:v>
                </c:pt>
                <c:pt idx="71">
                  <c:v>3.5147888364334405E-4</c:v>
                </c:pt>
                <c:pt idx="72">
                  <c:v>3.4276025931535896E-4</c:v>
                </c:pt>
                <c:pt idx="73">
                  <c:v>3.3476622301989992E-4</c:v>
                </c:pt>
                <c:pt idx="74">
                  <c:v>3.2739749757540725E-4</c:v>
                </c:pt>
                <c:pt idx="75">
                  <c:v>3.2060771550241327E-4</c:v>
                </c:pt>
                <c:pt idx="76">
                  <c:v>3.1435364717088905E-4</c:v>
                </c:pt>
                <c:pt idx="77">
                  <c:v>3.085646832162422E-4</c:v>
                </c:pt>
                <c:pt idx="78">
                  <c:v>3.032664524405032E-4</c:v>
                </c:pt>
                <c:pt idx="79">
                  <c:v>2.9836548360177379E-4</c:v>
                </c:pt>
                <c:pt idx="80">
                  <c:v>2.9376490121522139E-4</c:v>
                </c:pt>
                <c:pt idx="81">
                  <c:v>2.8967378263349707E-4</c:v>
                </c:pt>
                <c:pt idx="82">
                  <c:v>2.8589100944642599E-4</c:v>
                </c:pt>
                <c:pt idx="83">
                  <c:v>2.8239604701498465E-4</c:v>
                </c:pt>
                <c:pt idx="84">
                  <c:v>2.7920308315713418E-4</c:v>
                </c:pt>
                <c:pt idx="85">
                  <c:v>2.7627007487623879E-4</c:v>
                </c:pt>
                <c:pt idx="86">
                  <c:v>2.7356236957710555E-4</c:v>
                </c:pt>
                <c:pt idx="87">
                  <c:v>2.7110354529443219E-4</c:v>
                </c:pt>
                <c:pt idx="88">
                  <c:v>2.6882162496464214E-4</c:v>
                </c:pt>
                <c:pt idx="89">
                  <c:v>2.667285139681792E-4</c:v>
                </c:pt>
                <c:pt idx="90">
                  <c:v>2.6477892569324148E-4</c:v>
                </c:pt>
                <c:pt idx="91">
                  <c:v>2.6303994543465929E-4</c:v>
                </c:pt>
                <c:pt idx="92">
                  <c:v>2.6143595286614896E-4</c:v>
                </c:pt>
                <c:pt idx="93">
                  <c:v>2.5995752263913906E-4</c:v>
                </c:pt>
                <c:pt idx="94">
                  <c:v>2.5860995781103164E-4</c:v>
                </c:pt>
                <c:pt idx="95">
                  <c:v>2.5736837423630027E-4</c:v>
                </c:pt>
                <c:pt idx="96">
                  <c:v>2.5623118121378328E-4</c:v>
                </c:pt>
                <c:pt idx="97">
                  <c:v>2.5520068777861392E-4</c:v>
                </c:pt>
                <c:pt idx="98">
                  <c:v>2.5425127942848246E-4</c:v>
                </c:pt>
                <c:pt idx="99">
                  <c:v>2.5337717655379128E-4</c:v>
                </c:pt>
                <c:pt idx="100">
                  <c:v>2.5258131878804304E-4</c:v>
                </c:pt>
                <c:pt idx="101">
                  <c:v>2.518488341275808E-4</c:v>
                </c:pt>
                <c:pt idx="102">
                  <c:v>2.5118213678793154E-4</c:v>
                </c:pt>
                <c:pt idx="103">
                  <c:v>2.5056231767061173E-4</c:v>
                </c:pt>
                <c:pt idx="104">
                  <c:v>2.5000178763317252E-4</c:v>
                </c:pt>
                <c:pt idx="105">
                  <c:v>2.4948915963643377E-4</c:v>
                </c:pt>
                <c:pt idx="106">
                  <c:v>2.4902285830127511E-4</c:v>
                </c:pt>
                <c:pt idx="107">
                  <c:v>2.4859632156365289E-4</c:v>
                </c:pt>
                <c:pt idx="108">
                  <c:v>2.4820621272911254E-4</c:v>
                </c:pt>
                <c:pt idx="109">
                  <c:v>2.4784946921311949E-4</c:v>
                </c:pt>
                <c:pt idx="110">
                  <c:v>2.4752328066916611E-4</c:v>
                </c:pt>
                <c:pt idx="111">
                  <c:v>2.4722350308373648E-4</c:v>
                </c:pt>
                <c:pt idx="112">
                  <c:v>2.4694389238746331E-4</c:v>
                </c:pt>
                <c:pt idx="113">
                  <c:v>2.4669677807704282E-4</c:v>
                </c:pt>
                <c:pt idx="114">
                  <c:v>2.4646963854141227E-4</c:v>
                </c:pt>
                <c:pt idx="115">
                  <c:v>2.4626099356918248E-4</c:v>
                </c:pt>
                <c:pt idx="116">
                  <c:v>2.4607144967431964E-4</c:v>
                </c:pt>
                <c:pt idx="117">
                  <c:v>2.4589737938244258E-4</c:v>
                </c:pt>
                <c:pt idx="118">
                  <c:v>2.4573845096150166E-4</c:v>
                </c:pt>
                <c:pt idx="119">
                  <c:v>2.4559487846037109E-4</c:v>
                </c:pt>
                <c:pt idx="120">
                  <c:v>2.4546300023639052E-4</c:v>
                </c:pt>
                <c:pt idx="121">
                  <c:v>2.4534194047652597E-4</c:v>
                </c:pt>
                <c:pt idx="122">
                  <c:v>2.4523203504839519E-4</c:v>
                </c:pt>
                <c:pt idx="123">
                  <c:v>2.4513116614325838E-4</c:v>
                </c:pt>
                <c:pt idx="124">
                  <c:v>2.4503960950605008E-4</c:v>
                </c:pt>
                <c:pt idx="125">
                  <c:v>2.449547209665636E-4</c:v>
                </c:pt>
                <c:pt idx="126">
                  <c:v>2.4487855587885827E-4</c:v>
                </c:pt>
                <c:pt idx="127">
                  <c:v>2.4480868008130394E-4</c:v>
                </c:pt>
                <c:pt idx="128">
                  <c:v>2.4474494665066175E-4</c:v>
                </c:pt>
                <c:pt idx="129">
                  <c:v>2.4468712418596853E-4</c:v>
                </c:pt>
                <c:pt idx="130">
                  <c:v>2.4463436738571731E-4</c:v>
                </c:pt>
                <c:pt idx="131">
                  <c:v>2.4458623659975328E-4</c:v>
                </c:pt>
                <c:pt idx="132">
                  <c:v>2.4454232989928491E-4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05152"/>
        <c:axId val="142306688"/>
      </c:lineChart>
      <c:dateAx>
        <c:axId val="142305152"/>
        <c:scaling>
          <c:orientation val="minMax"/>
          <c:max val="53235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2306688"/>
        <c:crosses val="autoZero"/>
        <c:auto val="1"/>
        <c:lblOffset val="100"/>
        <c:baseTimeUnit val="days"/>
        <c:majorUnit val="36"/>
        <c:majorTimeUnit val="months"/>
      </c:dateAx>
      <c:valAx>
        <c:axId val="142306688"/>
        <c:scaling>
          <c:orientation val="minMax"/>
          <c:max val="4.0000000000000001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42305152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'12M Basis'!$V$2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'12M Basis'!$R$3:$R$1310</c:f>
              <c:numCache>
                <c:formatCode>ddd\,\ dd\-mmm\-yyyy</c:formatCode>
                <c:ptCount val="1308"/>
                <c:pt idx="0">
                  <c:v>42279</c:v>
                </c:pt>
                <c:pt idx="1">
                  <c:v>42312</c:v>
                </c:pt>
                <c:pt idx="2">
                  <c:v>42342</c:v>
                </c:pt>
                <c:pt idx="3">
                  <c:v>42375</c:v>
                </c:pt>
                <c:pt idx="4">
                  <c:v>42404</c:v>
                </c:pt>
                <c:pt idx="5">
                  <c:v>42433</c:v>
                </c:pt>
                <c:pt idx="6">
                  <c:v>42466</c:v>
                </c:pt>
                <c:pt idx="7">
                  <c:v>42494</c:v>
                </c:pt>
                <c:pt idx="8">
                  <c:v>42527</c:v>
                </c:pt>
                <c:pt idx="9">
                  <c:v>42557</c:v>
                </c:pt>
                <c:pt idx="10">
                  <c:v>42586</c:v>
                </c:pt>
                <c:pt idx="11">
                  <c:v>42619</c:v>
                </c:pt>
                <c:pt idx="12">
                  <c:v>42648</c:v>
                </c:pt>
                <c:pt idx="13">
                  <c:v>42678</c:v>
                </c:pt>
                <c:pt idx="14">
                  <c:v>42710</c:v>
                </c:pt>
                <c:pt idx="15">
                  <c:v>42739</c:v>
                </c:pt>
                <c:pt idx="16">
                  <c:v>42772</c:v>
                </c:pt>
                <c:pt idx="17">
                  <c:v>42800</c:v>
                </c:pt>
                <c:pt idx="18">
                  <c:v>42830</c:v>
                </c:pt>
                <c:pt idx="19">
                  <c:v>43012</c:v>
                </c:pt>
                <c:pt idx="20">
                  <c:v>43377</c:v>
                </c:pt>
                <c:pt idx="21">
                  <c:v>43742</c:v>
                </c:pt>
                <c:pt idx="22">
                  <c:v>44110</c:v>
                </c:pt>
                <c:pt idx="23">
                  <c:v>44475</c:v>
                </c:pt>
                <c:pt idx="24">
                  <c:v>44839</c:v>
                </c:pt>
                <c:pt idx="25">
                  <c:v>45203</c:v>
                </c:pt>
                <c:pt idx="26">
                  <c:v>45569</c:v>
                </c:pt>
                <c:pt idx="27">
                  <c:v>45936</c:v>
                </c:pt>
                <c:pt idx="28">
                  <c:v>46301</c:v>
                </c:pt>
                <c:pt idx="29">
                  <c:v>46666</c:v>
                </c:pt>
                <c:pt idx="30">
                  <c:v>47030</c:v>
                </c:pt>
                <c:pt idx="31">
                  <c:v>47395</c:v>
                </c:pt>
                <c:pt idx="32">
                  <c:v>47760</c:v>
                </c:pt>
                <c:pt idx="33">
                  <c:v>48127</c:v>
                </c:pt>
                <c:pt idx="34">
                  <c:v>48493</c:v>
                </c:pt>
                <c:pt idx="35">
                  <c:v>48857</c:v>
                </c:pt>
                <c:pt idx="36">
                  <c:v>49221</c:v>
                </c:pt>
                <c:pt idx="37">
                  <c:v>49586</c:v>
                </c:pt>
                <c:pt idx="38">
                  <c:v>49954</c:v>
                </c:pt>
                <c:pt idx="39">
                  <c:v>50319</c:v>
                </c:pt>
                <c:pt idx="40">
                  <c:v>50684</c:v>
                </c:pt>
                <c:pt idx="41">
                  <c:v>51048</c:v>
                </c:pt>
                <c:pt idx="42">
                  <c:v>51413</c:v>
                </c:pt>
                <c:pt idx="43">
                  <c:v>51778</c:v>
                </c:pt>
                <c:pt idx="44">
                  <c:v>52145</c:v>
                </c:pt>
                <c:pt idx="45">
                  <c:v>52510</c:v>
                </c:pt>
                <c:pt idx="46">
                  <c:v>52875</c:v>
                </c:pt>
                <c:pt idx="47">
                  <c:v>53239</c:v>
                </c:pt>
                <c:pt idx="48">
                  <c:v>53604</c:v>
                </c:pt>
                <c:pt idx="49">
                  <c:v>53969</c:v>
                </c:pt>
                <c:pt idx="50">
                  <c:v>54337</c:v>
                </c:pt>
                <c:pt idx="51">
                  <c:v>54702</c:v>
                </c:pt>
                <c:pt idx="52">
                  <c:v>55066</c:v>
                </c:pt>
                <c:pt idx="53">
                  <c:v>55430</c:v>
                </c:pt>
                <c:pt idx="54">
                  <c:v>55796</c:v>
                </c:pt>
                <c:pt idx="55">
                  <c:v>56163</c:v>
                </c:pt>
                <c:pt idx="56">
                  <c:v>56528</c:v>
                </c:pt>
                <c:pt idx="57">
                  <c:v>56893</c:v>
                </c:pt>
                <c:pt idx="58">
                  <c:v>57257</c:v>
                </c:pt>
                <c:pt idx="59">
                  <c:v>57622</c:v>
                </c:pt>
                <c:pt idx="60">
                  <c:v>57987</c:v>
                </c:pt>
                <c:pt idx="61">
                  <c:v>58354</c:v>
                </c:pt>
                <c:pt idx="62">
                  <c:v>58720</c:v>
                </c:pt>
                <c:pt idx="63">
                  <c:v>59084</c:v>
                </c:pt>
                <c:pt idx="64">
                  <c:v>59448</c:v>
                </c:pt>
                <c:pt idx="65">
                  <c:v>59813</c:v>
                </c:pt>
                <c:pt idx="66">
                  <c:v>60181</c:v>
                </c:pt>
                <c:pt idx="67">
                  <c:v>60546</c:v>
                </c:pt>
                <c:pt idx="68">
                  <c:v>60911</c:v>
                </c:pt>
                <c:pt idx="69">
                  <c:v>61275</c:v>
                </c:pt>
                <c:pt idx="70">
                  <c:v>61640</c:v>
                </c:pt>
                <c:pt idx="71">
                  <c:v>62005</c:v>
                </c:pt>
                <c:pt idx="72">
                  <c:v>62372</c:v>
                </c:pt>
                <c:pt idx="73">
                  <c:v>62737</c:v>
                </c:pt>
                <c:pt idx="74">
                  <c:v>63102</c:v>
                </c:pt>
                <c:pt idx="75">
                  <c:v>63466</c:v>
                </c:pt>
              </c:numCache>
            </c:numRef>
          </c:cat>
          <c:val>
            <c:numRef>
              <c:f>'12M Basis'!$V$3:$V$1310</c:f>
              <c:numCache>
                <c:formatCode>0.0000%</c:formatCode>
                <c:ptCount val="1308"/>
                <c:pt idx="0">
                  <c:v>3.147269631270174E-3</c:v>
                </c:pt>
                <c:pt idx="1">
                  <c:v>3.1788882819031167E-3</c:v>
                </c:pt>
                <c:pt idx="2">
                  <c:v>3.2175474737542059E-3</c:v>
                </c:pt>
                <c:pt idx="3">
                  <c:v>3.2823254117428781E-3</c:v>
                </c:pt>
                <c:pt idx="4">
                  <c:v>3.3406350667869698E-3</c:v>
                </c:pt>
                <c:pt idx="5">
                  <c:v>3.3824504954594681E-3</c:v>
                </c:pt>
                <c:pt idx="6">
                  <c:v>3.446833516209967E-3</c:v>
                </c:pt>
                <c:pt idx="7">
                  <c:v>3.4995989621792287E-3</c:v>
                </c:pt>
                <c:pt idx="8">
                  <c:v>3.5460776418040491E-3</c:v>
                </c:pt>
                <c:pt idx="9">
                  <c:v>3.5948427254809297E-3</c:v>
                </c:pt>
                <c:pt idx="10">
                  <c:v>3.6370816523754847E-3</c:v>
                </c:pt>
                <c:pt idx="11">
                  <c:v>3.6765072141393719E-3</c:v>
                </c:pt>
                <c:pt idx="12">
                  <c:v>3.7247737557925885E-3</c:v>
                </c:pt>
                <c:pt idx="13">
                  <c:v>3.7832363595247413E-3</c:v>
                </c:pt>
                <c:pt idx="14">
                  <c:v>3.8443403173417786E-3</c:v>
                </c:pt>
                <c:pt idx="15">
                  <c:v>3.8923602941001384E-3</c:v>
                </c:pt>
                <c:pt idx="16">
                  <c:v>3.9314363452194892E-3</c:v>
                </c:pt>
                <c:pt idx="17">
                  <c:v>3.9882482059098515E-3</c:v>
                </c:pt>
                <c:pt idx="18">
                  <c:v>4.0323053893044011E-3</c:v>
                </c:pt>
                <c:pt idx="19">
                  <c:v>4.274116527027195E-3</c:v>
                </c:pt>
                <c:pt idx="20">
                  <c:v>4.5332562613358066E-3</c:v>
                </c:pt>
                <c:pt idx="21">
                  <c:v>4.616732612629822E-3</c:v>
                </c:pt>
                <c:pt idx="22">
                  <c:v>3.9410990844215808E-3</c:v>
                </c:pt>
                <c:pt idx="23">
                  <c:v>3.6925990277800903E-3</c:v>
                </c:pt>
                <c:pt idx="24">
                  <c:v>3.513962953806701E-3</c:v>
                </c:pt>
                <c:pt idx="25">
                  <c:v>3.1026922462270463E-3</c:v>
                </c:pt>
                <c:pt idx="26">
                  <c:v>2.9575798327911781E-3</c:v>
                </c:pt>
                <c:pt idx="27">
                  <c:v>2.4797810771388304E-3</c:v>
                </c:pt>
                <c:pt idx="28">
                  <c:v>2.3057525681630386E-3</c:v>
                </c:pt>
                <c:pt idx="29">
                  <c:v>1.9469338036581414E-3</c:v>
                </c:pt>
                <c:pt idx="30">
                  <c:v>1.5875070115256712E-3</c:v>
                </c:pt>
                <c:pt idx="31">
                  <c:v>1.3723444516771169E-3</c:v>
                </c:pt>
                <c:pt idx="32">
                  <c:v>1.3553781180678064E-3</c:v>
                </c:pt>
                <c:pt idx="33">
                  <c:v>1.378873819502989E-3</c:v>
                </c:pt>
                <c:pt idx="34">
                  <c:v>1.3288246040630419E-3</c:v>
                </c:pt>
                <c:pt idx="35">
                  <c:v>1.1803564421023101E-3</c:v>
                </c:pt>
                <c:pt idx="36">
                  <c:v>9.0792125624916328E-4</c:v>
                </c:pt>
                <c:pt idx="37">
                  <c:v>7.3361757957642049E-4</c:v>
                </c:pt>
                <c:pt idx="38">
                  <c:v>7.7361108374146212E-4</c:v>
                </c:pt>
                <c:pt idx="39">
                  <c:v>8.5152566235856958E-4</c:v>
                </c:pt>
                <c:pt idx="40">
                  <c:v>9.6855415909913832E-4</c:v>
                </c:pt>
                <c:pt idx="41">
                  <c:v>1.1257757257590369E-3</c:v>
                </c:pt>
                <c:pt idx="42">
                  <c:v>1.1113293983508448E-3</c:v>
                </c:pt>
                <c:pt idx="43">
                  <c:v>9.3717212426643569E-4</c:v>
                </c:pt>
                <c:pt idx="44">
                  <c:v>8.2244523135811473E-4</c:v>
                </c:pt>
                <c:pt idx="45">
                  <c:v>7.7728343860999742E-4</c:v>
                </c:pt>
                <c:pt idx="46">
                  <c:v>8.107709974530565E-4</c:v>
                </c:pt>
                <c:pt idx="47">
                  <c:v>8.1701880983097754E-4</c:v>
                </c:pt>
                <c:pt idx="48">
                  <c:v>7.475611905555634E-4</c:v>
                </c:pt>
                <c:pt idx="49">
                  <c:v>6.8802763469977268E-4</c:v>
                </c:pt>
                <c:pt idx="50">
                  <c:v>6.3940696525083447E-4</c:v>
                </c:pt>
                <c:pt idx="51">
                  <c:v>6.0333269329392383E-4</c:v>
                </c:pt>
                <c:pt idx="52">
                  <c:v>5.805679551925437E-4</c:v>
                </c:pt>
                <c:pt idx="53">
                  <c:v>5.7208897716279176E-4</c:v>
                </c:pt>
                <c:pt idx="54">
                  <c:v>5.7905432406974745E-4</c:v>
                </c:pt>
                <c:pt idx="55">
                  <c:v>6.024958157655521E-4</c:v>
                </c:pt>
                <c:pt idx="56">
                  <c:v>6.4346911676199832E-4</c:v>
                </c:pt>
                <c:pt idx="57">
                  <c:v>6.7978247235409191E-4</c:v>
                </c:pt>
                <c:pt idx="58">
                  <c:v>6.9108736336524236E-4</c:v>
                </c:pt>
                <c:pt idx="59">
                  <c:v>6.8865422033396843E-4</c:v>
                </c:pt>
                <c:pt idx="60">
                  <c:v>6.7067879214125284E-4</c:v>
                </c:pt>
                <c:pt idx="61">
                  <c:v>6.3530121110270434E-4</c:v>
                </c:pt>
                <c:pt idx="62">
                  <c:v>5.81062585661948E-4</c:v>
                </c:pt>
                <c:pt idx="63">
                  <c:v>5.0654580596048993E-4</c:v>
                </c:pt>
                <c:pt idx="64">
                  <c:v>4.0984727387652874E-4</c:v>
                </c:pt>
                <c:pt idx="65">
                  <c:v>2.8833520352018575E-4</c:v>
                </c:pt>
                <c:pt idx="66">
                  <c:v>1.407939942489108E-4</c:v>
                </c:pt>
                <c:pt idx="67">
                  <c:v>1.2669921488882123E-4</c:v>
                </c:pt>
                <c:pt idx="68">
                  <c:v>2.5116988784056916E-4</c:v>
                </c:pt>
                <c:pt idx="69">
                  <c:v>3.6568524733900272E-4</c:v>
                </c:pt>
                <c:pt idx="70">
                  <c:v>4.6886098696253577E-4</c:v>
                </c:pt>
                <c:pt idx="71">
                  <c:v>5.5957517679494813E-4</c:v>
                </c:pt>
                <c:pt idx="72">
                  <c:v>6.3571348972102891E-4</c:v>
                </c:pt>
                <c:pt idx="73">
                  <c:v>6.9578190901727066E-4</c:v>
                </c:pt>
                <c:pt idx="74">
                  <c:v>7.3815931241159698E-4</c:v>
                </c:pt>
                <c:pt idx="75">
                  <c:v>7.6155403867149765E-4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'12M Basis'!$Z$2</c:f>
              <c:strCache>
                <c:ptCount val="1"/>
                <c:pt idx="0">
                  <c:v>Abcd Calibration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val>
            <c:numRef>
              <c:f>'12M Basis'!$Z$3:$Z$135</c:f>
              <c:numCache>
                <c:formatCode>0.0000%</c:formatCode>
                <c:ptCount val="133"/>
                <c:pt idx="0">
                  <c:v>3.3189939130802764E-3</c:v>
                </c:pt>
                <c:pt idx="1">
                  <c:v>3.3644134619838519E-3</c:v>
                </c:pt>
                <c:pt idx="2">
                  <c:v>3.4039147940372115E-3</c:v>
                </c:pt>
                <c:pt idx="3">
                  <c:v>3.4454466141983957E-3</c:v>
                </c:pt>
                <c:pt idx="4">
                  <c:v>3.480323425063131E-3</c:v>
                </c:pt>
                <c:pt idx="5">
                  <c:v>3.5137196406271058E-3</c:v>
                </c:pt>
                <c:pt idx="6">
                  <c:v>3.5499637530789232E-3</c:v>
                </c:pt>
                <c:pt idx="7">
                  <c:v>3.5792827927879274E-3</c:v>
                </c:pt>
                <c:pt idx="8">
                  <c:v>3.6121893855026376E-3</c:v>
                </c:pt>
                <c:pt idx="9">
                  <c:v>3.640594170395623E-3</c:v>
                </c:pt>
                <c:pt idx="10">
                  <c:v>3.6667180626466316E-3</c:v>
                </c:pt>
                <c:pt idx="11">
                  <c:v>3.6948888655896467E-3</c:v>
                </c:pt>
                <c:pt idx="12">
                  <c:v>3.7183104199487831E-3</c:v>
                </c:pt>
                <c:pt idx="13">
                  <c:v>3.7412581053710642E-3</c:v>
                </c:pt>
                <c:pt idx="14">
                  <c:v>3.7643342838821364E-3</c:v>
                </c:pt>
                <c:pt idx="15">
                  <c:v>3.7840282516164109E-3</c:v>
                </c:pt>
                <c:pt idx="16">
                  <c:v>3.8050648556143449E-3</c:v>
                </c:pt>
                <c:pt idx="17">
                  <c:v>3.8217953813431149E-3</c:v>
                </c:pt>
                <c:pt idx="18">
                  <c:v>3.8386096510310739E-3</c:v>
                </c:pt>
                <c:pt idx="19">
                  <c:v>3.9175594388319501E-3</c:v>
                </c:pt>
                <c:pt idx="20">
                  <c:v>3.9744256616790295E-3</c:v>
                </c:pt>
                <c:pt idx="21">
                  <c:v>3.927997882780275E-3</c:v>
                </c:pt>
                <c:pt idx="22">
                  <c:v>3.8079769200195712E-3</c:v>
                </c:pt>
                <c:pt idx="23">
                  <c:v>3.6402256216922771E-3</c:v>
                </c:pt>
                <c:pt idx="24">
                  <c:v>3.4426609356835182E-3</c:v>
                </c:pt>
                <c:pt idx="25">
                  <c:v>3.2283735736331498E-3</c:v>
                </c:pt>
                <c:pt idx="26">
                  <c:v>3.006165250236031E-3</c:v>
                </c:pt>
                <c:pt idx="27">
                  <c:v>2.7839952018702016E-3</c:v>
                </c:pt>
                <c:pt idx="28">
                  <c:v>2.5689196848848591E-3</c:v>
                </c:pt>
                <c:pt idx="29">
                  <c:v>2.3632833813203411E-3</c:v>
                </c:pt>
                <c:pt idx="30">
                  <c:v>2.1699052765691302E-3</c:v>
                </c:pt>
                <c:pt idx="31">
                  <c:v>1.9890745747299945E-3</c:v>
                </c:pt>
                <c:pt idx="32">
                  <c:v>1.8219845286309238E-3</c:v>
                </c:pt>
                <c:pt idx="33">
                  <c:v>1.6679567412905836E-3</c:v>
                </c:pt>
                <c:pt idx="34">
                  <c:v>1.5280529545916223E-3</c:v>
                </c:pt>
                <c:pt idx="35">
                  <c:v>1.4019753944064745E-3</c:v>
                </c:pt>
                <c:pt idx="36">
                  <c:v>1.2882431651373765E-3</c:v>
                </c:pt>
                <c:pt idx="37">
                  <c:v>1.18580636890289E-3</c:v>
                </c:pt>
                <c:pt idx="38">
                  <c:v>1.0934360983412385E-3</c:v>
                </c:pt>
                <c:pt idx="39">
                  <c:v>1.0117662304517353E-3</c:v>
                </c:pt>
                <c:pt idx="40">
                  <c:v>9.3914201299492633E-4</c:v>
                </c:pt>
                <c:pt idx="41">
                  <c:v>8.7489718609005842E-4</c:v>
                </c:pt>
                <c:pt idx="42">
                  <c:v>8.178873993927437E-4</c:v>
                </c:pt>
                <c:pt idx="43">
                  <c:v>7.6755402820952753E-4</c:v>
                </c:pt>
                <c:pt idx="44">
                  <c:v>7.2297516954492643E-4</c:v>
                </c:pt>
                <c:pt idx="45">
                  <c:v>6.8399362669288848E-4</c:v>
                </c:pt>
                <c:pt idx="46">
                  <c:v>6.4976468058416004E-4</c:v>
                </c:pt>
                <c:pt idx="47">
                  <c:v>6.1983197503926368E-4</c:v>
                </c:pt>
                <c:pt idx="48">
                  <c:v>5.9354939708079583E-4</c:v>
                </c:pt>
                <c:pt idx="49">
                  <c:v>5.7056971665244772E-4</c:v>
                </c:pt>
                <c:pt idx="50">
                  <c:v>5.5034871718685351E-4</c:v>
                </c:pt>
                <c:pt idx="51">
                  <c:v>5.328648286659763E-4</c:v>
                </c:pt>
                <c:pt idx="52">
                  <c:v>5.1766988841929539E-4</c:v>
                </c:pt>
                <c:pt idx="53">
                  <c:v>5.0443867018708016E-4</c:v>
                </c:pt>
                <c:pt idx="54">
                  <c:v>4.9286933001942515E-4</c:v>
                </c:pt>
                <c:pt idx="55">
                  <c:v>4.8279578457935326E-4</c:v>
                </c:pt>
                <c:pt idx="56">
                  <c:v>4.7410199792239808E-4</c:v>
                </c:pt>
                <c:pt idx="57">
                  <c:v>4.6656087395848716E-4</c:v>
                </c:pt>
                <c:pt idx="58">
                  <c:v>4.600411485969433E-4</c:v>
                </c:pt>
                <c:pt idx="59">
                  <c:v>4.5437743015428345E-4</c:v>
                </c:pt>
                <c:pt idx="60">
                  <c:v>4.4947510085897407E-4</c:v>
                </c:pt>
                <c:pt idx="61">
                  <c:v>4.4521294326830917E-4</c:v>
                </c:pt>
                <c:pt idx="62">
                  <c:v>4.4154063255093164E-4</c:v>
                </c:pt>
                <c:pt idx="63">
                  <c:v>4.3838519234455425E-4</c:v>
                </c:pt>
                <c:pt idx="64">
                  <c:v>4.3565936073309614E-4</c:v>
                </c:pt>
                <c:pt idx="65">
                  <c:v>4.3329988327410652E-4</c:v>
                </c:pt>
                <c:pt idx="66">
                  <c:v>4.3124905356178812E-4</c:v>
                </c:pt>
                <c:pt idx="67">
                  <c:v>4.2949634646159766E-4</c:v>
                </c:pt>
                <c:pt idx="68">
                  <c:v>4.2798586981454014E-4</c:v>
                </c:pt>
                <c:pt idx="69">
                  <c:v>4.2668802839267931E-4</c:v>
                </c:pt>
                <c:pt idx="70">
                  <c:v>4.2556721684130718E-4</c:v>
                </c:pt>
                <c:pt idx="71">
                  <c:v>4.246025353303136E-4</c:v>
                </c:pt>
                <c:pt idx="72">
                  <c:v>4.2376834794508798E-4</c:v>
                </c:pt>
                <c:pt idx="73">
                  <c:v>4.2305512791333485E-4</c:v>
                </c:pt>
                <c:pt idx="74">
                  <c:v>4.2244195513547615E-4</c:v>
                </c:pt>
                <c:pt idx="75">
                  <c:v>4.2191631667983675E-4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403840"/>
        <c:axId val="143619584"/>
      </c:lineChart>
      <c:dateAx>
        <c:axId val="142403840"/>
        <c:scaling>
          <c:orientation val="minMax"/>
          <c:max val="6407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3619584"/>
        <c:crosses val="autoZero"/>
        <c:auto val="1"/>
        <c:lblOffset val="100"/>
        <c:baseTimeUnit val="days"/>
        <c:majorUnit val="60"/>
        <c:majorTimeUnit val="months"/>
      </c:dateAx>
      <c:valAx>
        <c:axId val="143619584"/>
        <c:scaling>
          <c:orientation val="minMax"/>
          <c:max val="4.0000000000000001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42403840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9</xdr:row>
          <xdr:rowOff>123825</xdr:rowOff>
        </xdr:from>
        <xdr:to>
          <xdr:col>29</xdr:col>
          <xdr:colOff>361950</xdr:colOff>
          <xdr:row>11</xdr:row>
          <xdr:rowOff>114300</xdr:rowOff>
        </xdr:to>
        <xdr:sp macro="" textlink="">
          <xdr:nvSpPr>
            <xdr:cNvPr id="8193" name="Length4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</xdr:row>
          <xdr:rowOff>276225</xdr:rowOff>
        </xdr:from>
        <xdr:to>
          <xdr:col>29</xdr:col>
          <xdr:colOff>361950</xdr:colOff>
          <xdr:row>3</xdr:row>
          <xdr:rowOff>123825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18</xdr:row>
          <xdr:rowOff>0</xdr:rowOff>
        </xdr:from>
        <xdr:to>
          <xdr:col>29</xdr:col>
          <xdr:colOff>361950</xdr:colOff>
          <xdr:row>19</xdr:row>
          <xdr:rowOff>133350</xdr:rowOff>
        </xdr:to>
        <xdr:sp macro="" textlink="">
          <xdr:nvSpPr>
            <xdr:cNvPr id="8195" name="Length7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4</xdr:row>
          <xdr:rowOff>38100</xdr:rowOff>
        </xdr:from>
        <xdr:to>
          <xdr:col>29</xdr:col>
          <xdr:colOff>361950</xdr:colOff>
          <xdr:row>6</xdr:row>
          <xdr:rowOff>28575</xdr:rowOff>
        </xdr:to>
        <xdr:sp macro="" textlink="">
          <xdr:nvSpPr>
            <xdr:cNvPr id="8196" name="Length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7</xdr:row>
          <xdr:rowOff>0</xdr:rowOff>
        </xdr:from>
        <xdr:to>
          <xdr:col>29</xdr:col>
          <xdr:colOff>361950</xdr:colOff>
          <xdr:row>8</xdr:row>
          <xdr:rowOff>133350</xdr:rowOff>
        </xdr:to>
        <xdr:sp macro="" textlink="">
          <xdr:nvSpPr>
            <xdr:cNvPr id="8197" name="Length3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12</xdr:row>
          <xdr:rowOff>66675</xdr:rowOff>
        </xdr:from>
        <xdr:to>
          <xdr:col>29</xdr:col>
          <xdr:colOff>361950</xdr:colOff>
          <xdr:row>14</xdr:row>
          <xdr:rowOff>57150</xdr:rowOff>
        </xdr:to>
        <xdr:sp macro="" textlink="">
          <xdr:nvSpPr>
            <xdr:cNvPr id="8198" name="Length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15</xdr:row>
          <xdr:rowOff>19050</xdr:rowOff>
        </xdr:from>
        <xdr:to>
          <xdr:col>29</xdr:col>
          <xdr:colOff>361950</xdr:colOff>
          <xdr:row>17</xdr:row>
          <xdr:rowOff>9525</xdr:rowOff>
        </xdr:to>
        <xdr:sp macro="" textlink="">
          <xdr:nvSpPr>
            <xdr:cNvPr id="8199" name="Length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552449</xdr:colOff>
      <xdr:row>0</xdr:row>
      <xdr:rowOff>114300</xdr:rowOff>
    </xdr:from>
    <xdr:to>
      <xdr:col>43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9</xdr:row>
          <xdr:rowOff>123825</xdr:rowOff>
        </xdr:from>
        <xdr:to>
          <xdr:col>29</xdr:col>
          <xdr:colOff>361950</xdr:colOff>
          <xdr:row>11</xdr:row>
          <xdr:rowOff>114300</xdr:rowOff>
        </xdr:to>
        <xdr:sp macro="" textlink="">
          <xdr:nvSpPr>
            <xdr:cNvPr id="7169" name="Length4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</xdr:row>
          <xdr:rowOff>276225</xdr:rowOff>
        </xdr:from>
        <xdr:to>
          <xdr:col>29</xdr:col>
          <xdr:colOff>361950</xdr:colOff>
          <xdr:row>3</xdr:row>
          <xdr:rowOff>123825</xdr:rowOff>
        </xdr:to>
        <xdr:sp macro="" textlink="">
          <xdr:nvSpPr>
            <xdr:cNvPr id="7170" name="Length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18</xdr:row>
          <xdr:rowOff>0</xdr:rowOff>
        </xdr:from>
        <xdr:to>
          <xdr:col>29</xdr:col>
          <xdr:colOff>361950</xdr:colOff>
          <xdr:row>19</xdr:row>
          <xdr:rowOff>133350</xdr:rowOff>
        </xdr:to>
        <xdr:sp macro="" textlink="">
          <xdr:nvSpPr>
            <xdr:cNvPr id="7171" name="Length7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4</xdr:row>
          <xdr:rowOff>38100</xdr:rowOff>
        </xdr:from>
        <xdr:to>
          <xdr:col>29</xdr:col>
          <xdr:colOff>361950</xdr:colOff>
          <xdr:row>6</xdr:row>
          <xdr:rowOff>28575</xdr:rowOff>
        </xdr:to>
        <xdr:sp macro="" textlink="">
          <xdr:nvSpPr>
            <xdr:cNvPr id="7172" name="Length2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7</xdr:row>
          <xdr:rowOff>0</xdr:rowOff>
        </xdr:from>
        <xdr:to>
          <xdr:col>29</xdr:col>
          <xdr:colOff>361950</xdr:colOff>
          <xdr:row>8</xdr:row>
          <xdr:rowOff>133350</xdr:rowOff>
        </xdr:to>
        <xdr:sp macro="" textlink="">
          <xdr:nvSpPr>
            <xdr:cNvPr id="7173" name="Length3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12</xdr:row>
          <xdr:rowOff>66675</xdr:rowOff>
        </xdr:from>
        <xdr:to>
          <xdr:col>29</xdr:col>
          <xdr:colOff>361950</xdr:colOff>
          <xdr:row>14</xdr:row>
          <xdr:rowOff>57150</xdr:rowOff>
        </xdr:to>
        <xdr:sp macro="" textlink="">
          <xdr:nvSpPr>
            <xdr:cNvPr id="7174" name="Length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15</xdr:row>
          <xdr:rowOff>19050</xdr:rowOff>
        </xdr:from>
        <xdr:to>
          <xdr:col>29</xdr:col>
          <xdr:colOff>361950</xdr:colOff>
          <xdr:row>17</xdr:row>
          <xdr:rowOff>9525</xdr:rowOff>
        </xdr:to>
        <xdr:sp macro="" textlink="">
          <xdr:nvSpPr>
            <xdr:cNvPr id="7175" name="Length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552449</xdr:colOff>
      <xdr:row>0</xdr:row>
      <xdr:rowOff>114300</xdr:rowOff>
    </xdr:from>
    <xdr:to>
      <xdr:col>43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9</xdr:row>
          <xdr:rowOff>123825</xdr:rowOff>
        </xdr:from>
        <xdr:to>
          <xdr:col>31</xdr:col>
          <xdr:colOff>361950</xdr:colOff>
          <xdr:row>11</xdr:row>
          <xdr:rowOff>114300</xdr:rowOff>
        </xdr:to>
        <xdr:sp macro="" textlink="">
          <xdr:nvSpPr>
            <xdr:cNvPr id="10241" name="Length4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</xdr:row>
          <xdr:rowOff>276225</xdr:rowOff>
        </xdr:from>
        <xdr:to>
          <xdr:col>31</xdr:col>
          <xdr:colOff>361950</xdr:colOff>
          <xdr:row>3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18</xdr:row>
          <xdr:rowOff>0</xdr:rowOff>
        </xdr:from>
        <xdr:to>
          <xdr:col>31</xdr:col>
          <xdr:colOff>361950</xdr:colOff>
          <xdr:row>19</xdr:row>
          <xdr:rowOff>133350</xdr:rowOff>
        </xdr:to>
        <xdr:sp macro="" textlink="">
          <xdr:nvSpPr>
            <xdr:cNvPr id="10243" name="Length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4</xdr:row>
          <xdr:rowOff>38100</xdr:rowOff>
        </xdr:from>
        <xdr:to>
          <xdr:col>31</xdr:col>
          <xdr:colOff>361950</xdr:colOff>
          <xdr:row>6</xdr:row>
          <xdr:rowOff>28575</xdr:rowOff>
        </xdr:to>
        <xdr:sp macro="" textlink="">
          <xdr:nvSpPr>
            <xdr:cNvPr id="10244" name="Length2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7</xdr:row>
          <xdr:rowOff>0</xdr:rowOff>
        </xdr:from>
        <xdr:to>
          <xdr:col>31</xdr:col>
          <xdr:colOff>361950</xdr:colOff>
          <xdr:row>8</xdr:row>
          <xdr:rowOff>133350</xdr:rowOff>
        </xdr:to>
        <xdr:sp macro="" textlink="">
          <xdr:nvSpPr>
            <xdr:cNvPr id="10245" name="Length3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12</xdr:row>
          <xdr:rowOff>66675</xdr:rowOff>
        </xdr:from>
        <xdr:to>
          <xdr:col>31</xdr:col>
          <xdr:colOff>361950</xdr:colOff>
          <xdr:row>14</xdr:row>
          <xdr:rowOff>57150</xdr:rowOff>
        </xdr:to>
        <xdr:sp macro="" textlink="">
          <xdr:nvSpPr>
            <xdr:cNvPr id="10246" name="Length5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15</xdr:row>
          <xdr:rowOff>19050</xdr:rowOff>
        </xdr:from>
        <xdr:to>
          <xdr:col>31</xdr:col>
          <xdr:colOff>361950</xdr:colOff>
          <xdr:row>17</xdr:row>
          <xdr:rowOff>9525</xdr:rowOff>
        </xdr:to>
        <xdr:sp macro="" textlink="">
          <xdr:nvSpPr>
            <xdr:cNvPr id="10247" name="Length6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0</xdr:colOff>
      <xdr:row>0</xdr:row>
      <xdr:rowOff>114300</xdr:rowOff>
    </xdr:from>
    <xdr:to>
      <xdr:col>44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9</xdr:row>
          <xdr:rowOff>123825</xdr:rowOff>
        </xdr:from>
        <xdr:to>
          <xdr:col>29</xdr:col>
          <xdr:colOff>361950</xdr:colOff>
          <xdr:row>11</xdr:row>
          <xdr:rowOff>114300</xdr:rowOff>
        </xdr:to>
        <xdr:sp macro="" textlink="">
          <xdr:nvSpPr>
            <xdr:cNvPr id="9217" name="Length4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</xdr:row>
          <xdr:rowOff>276225</xdr:rowOff>
        </xdr:from>
        <xdr:to>
          <xdr:col>29</xdr:col>
          <xdr:colOff>361950</xdr:colOff>
          <xdr:row>3</xdr:row>
          <xdr:rowOff>123825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18</xdr:row>
          <xdr:rowOff>0</xdr:rowOff>
        </xdr:from>
        <xdr:to>
          <xdr:col>29</xdr:col>
          <xdr:colOff>361950</xdr:colOff>
          <xdr:row>19</xdr:row>
          <xdr:rowOff>133350</xdr:rowOff>
        </xdr:to>
        <xdr:sp macro="" textlink="">
          <xdr:nvSpPr>
            <xdr:cNvPr id="9219" name="Length7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4</xdr:row>
          <xdr:rowOff>38100</xdr:rowOff>
        </xdr:from>
        <xdr:to>
          <xdr:col>29</xdr:col>
          <xdr:colOff>361950</xdr:colOff>
          <xdr:row>6</xdr:row>
          <xdr:rowOff>28575</xdr:rowOff>
        </xdr:to>
        <xdr:sp macro="" textlink="">
          <xdr:nvSpPr>
            <xdr:cNvPr id="9220" name="Length2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7</xdr:row>
          <xdr:rowOff>0</xdr:rowOff>
        </xdr:from>
        <xdr:to>
          <xdr:col>29</xdr:col>
          <xdr:colOff>361950</xdr:colOff>
          <xdr:row>8</xdr:row>
          <xdr:rowOff>133350</xdr:rowOff>
        </xdr:to>
        <xdr:sp macro="" textlink="">
          <xdr:nvSpPr>
            <xdr:cNvPr id="9221" name="Length3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12</xdr:row>
          <xdr:rowOff>66675</xdr:rowOff>
        </xdr:from>
        <xdr:to>
          <xdr:col>29</xdr:col>
          <xdr:colOff>361950</xdr:colOff>
          <xdr:row>14</xdr:row>
          <xdr:rowOff>57150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114300</xdr:colOff>
          <xdr:row>15</xdr:row>
          <xdr:rowOff>19050</xdr:rowOff>
        </xdr:from>
        <xdr:to>
          <xdr:col>29</xdr:col>
          <xdr:colOff>361950</xdr:colOff>
          <xdr:row>17</xdr:row>
          <xdr:rowOff>9525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552449</xdr:colOff>
      <xdr:row>0</xdr:row>
      <xdr:rowOff>114300</xdr:rowOff>
    </xdr:from>
    <xdr:to>
      <xdr:col>43</xdr:col>
      <xdr:colOff>428624</xdr:colOff>
      <xdr:row>33</xdr:row>
      <xdr:rowOff>85725</xdr:rowOff>
    </xdr:to>
    <xdr:graphicFrame macro="">
      <xdr:nvGraphicFramePr>
        <xdr:cNvPr id="9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LastFixingsTrigger" refersTo="='General Settings'!$D$8"/>
      <definedName name="TriggerCounter" refersTo="='General Settings'!$D$7"/>
    </definedNames>
    <sheetDataSet>
      <sheetData sheetId="0">
        <row r="7">
          <cell r="D7">
            <v>2</v>
          </cell>
        </row>
        <row r="8">
          <cell r="D8">
            <v>1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  <row r="8">
          <cell r="D8" t="str">
            <v>EUR6M#0000</v>
          </cell>
        </row>
      </sheetData>
      <sheetData sheetId="3">
        <row r="7">
          <cell r="D7" t="str">
            <v>D</v>
          </cell>
        </row>
        <row r="8">
          <cell r="D8" t="str">
            <v>D</v>
          </cell>
        </row>
      </sheetData>
      <sheetData sheetId="4">
        <row r="7">
          <cell r="D7" t="str">
            <v>6F</v>
          </cell>
        </row>
        <row r="8">
          <cell r="D8" t="str">
            <v>7F</v>
          </cell>
        </row>
      </sheetData>
      <sheetData sheetId="5"/>
      <sheetData sheetId="6">
        <row r="7">
          <cell r="D7" t="str">
            <v>OIS</v>
          </cell>
        </row>
        <row r="8">
          <cell r="D8" t="str">
            <v>OIS</v>
          </cell>
        </row>
      </sheetData>
      <sheetData sheetId="7">
        <row r="7">
          <cell r="D7" t="str">
            <v>M6</v>
          </cell>
        </row>
        <row r="8">
          <cell r="D8" t="str">
            <v>U6</v>
          </cell>
        </row>
      </sheetData>
      <sheetData sheetId="8">
        <row r="7">
          <cell r="D7" t="str">
            <v>Z5</v>
          </cell>
        </row>
        <row r="8">
          <cell r="D8" t="str">
            <v>F6</v>
          </cell>
        </row>
      </sheetData>
      <sheetData sheetId="9"/>
      <sheetData sheetId="10">
        <row r="7">
          <cell r="D7" t="str">
            <v>3E</v>
          </cell>
        </row>
        <row r="8">
          <cell r="D8" t="str">
            <v>3E</v>
          </cell>
        </row>
      </sheetData>
      <sheetData sheetId="11">
        <row r="7">
          <cell r="D7" t="str">
            <v>6E</v>
          </cell>
        </row>
        <row r="8">
          <cell r="D8" t="str">
            <v>6E</v>
          </cell>
        </row>
      </sheetData>
      <sheetData sheetId="12">
        <row r="7">
          <cell r="D7" t="str">
            <v>6E</v>
          </cell>
        </row>
        <row r="8">
          <cell r="D8" t="str">
            <v>6E</v>
          </cell>
        </row>
      </sheetData>
      <sheetData sheetId="13">
        <row r="7">
          <cell r="D7" t="str">
            <v>12E</v>
          </cell>
        </row>
        <row r="8">
          <cell r="D8" t="str">
            <v>12E</v>
          </cell>
        </row>
      </sheetData>
      <sheetData sheetId="14">
        <row r="7">
          <cell r="D7" t="str">
            <v>X1S</v>
          </cell>
        </row>
        <row r="8">
          <cell r="D8" t="str">
            <v>X1S</v>
          </cell>
        </row>
      </sheetData>
      <sheetData sheetId="15">
        <row r="7">
          <cell r="D7" t="str">
            <v>1E</v>
          </cell>
        </row>
        <row r="8">
          <cell r="D8" t="str">
            <v>1E</v>
          </cell>
        </row>
      </sheetData>
      <sheetData sheetId="16">
        <row r="7">
          <cell r="D7" t="str">
            <v>3E</v>
          </cell>
        </row>
        <row r="8">
          <cell r="D8" t="str">
            <v>3E</v>
          </cell>
        </row>
      </sheetData>
      <sheetData sheetId="17">
        <row r="7">
          <cell r="D7" t="str">
            <v>6E</v>
          </cell>
        </row>
        <row r="8">
          <cell r="D8" t="str">
            <v>6E</v>
          </cell>
        </row>
      </sheetData>
      <sheetData sheetId="18">
        <row r="7">
          <cell r="D7" t="str">
            <v>EUR1F3Y_Quote</v>
          </cell>
        </row>
        <row r="8">
          <cell r="D8" t="str">
            <v>EUR1F4Y_Quote</v>
          </cell>
        </row>
      </sheetData>
      <sheetData sheetId="19">
        <row r="7">
          <cell r="D7">
            <v>12</v>
          </cell>
        </row>
        <row r="8">
          <cell r="D8">
            <v>12</v>
          </cell>
        </row>
      </sheetData>
      <sheetData sheetId="20">
        <row r="7">
          <cell r="D7" t="str">
            <v>Z5</v>
          </cell>
        </row>
        <row r="8">
          <cell r="D8" t="str">
            <v>F6</v>
          </cell>
        </row>
      </sheetData>
      <sheetData sheetId="21">
        <row r="7">
          <cell r="D7" t="str">
            <v>3E</v>
          </cell>
        </row>
        <row r="8">
          <cell r="D8" t="str">
            <v>3E</v>
          </cell>
        </row>
      </sheetData>
      <sheetData sheetId="22">
        <row r="7">
          <cell r="D7" t="str">
            <v>1E</v>
          </cell>
        </row>
        <row r="8">
          <cell r="D8" t="str">
            <v>1E</v>
          </cell>
        </row>
      </sheetData>
      <sheetData sheetId="23">
        <row r="7">
          <cell r="D7" t="str">
            <v>3E</v>
          </cell>
        </row>
        <row r="8">
          <cell r="D8" t="str">
            <v>3E</v>
          </cell>
        </row>
      </sheetData>
      <sheetData sheetId="24">
        <row r="7">
          <cell r="D7" t="str">
            <v>6E</v>
          </cell>
        </row>
        <row r="8">
          <cell r="D8" t="str">
            <v>6E</v>
          </cell>
        </row>
      </sheetData>
      <sheetData sheetId="25">
        <row r="7">
          <cell r="D7" t="str">
            <v>12E</v>
          </cell>
        </row>
        <row r="8">
          <cell r="D8" t="str">
            <v>12E</v>
          </cell>
        </row>
      </sheetData>
      <sheetData sheetId="26">
        <row r="7">
          <cell r="D7">
            <v>42275</v>
          </cell>
        </row>
        <row r="8">
          <cell r="D8">
            <v>42272</v>
          </cell>
        </row>
      </sheetData>
      <sheetData sheetId="27">
        <row r="7">
          <cell r="D7">
            <v>42275</v>
          </cell>
        </row>
        <row r="8">
          <cell r="D8">
            <v>42272</v>
          </cell>
        </row>
      </sheetData>
      <sheetData sheetId="28">
        <row r="7">
          <cell r="D7">
            <v>42276</v>
          </cell>
        </row>
        <row r="8">
          <cell r="D8">
            <v>42275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9"/>
  <sheetViews>
    <sheetView workbookViewId="0">
      <selection activeCell="I4" sqref="I4"/>
    </sheetView>
  </sheetViews>
  <sheetFormatPr defaultColWidth="9.140625" defaultRowHeight="11.25" x14ac:dyDescent="0.2"/>
  <cols>
    <col min="1" max="2" width="2.42578125" style="68" customWidth="1"/>
    <col min="3" max="3" width="20.85546875" style="68" customWidth="1"/>
    <col min="4" max="4" width="30.7109375" style="68" customWidth="1"/>
    <col min="5" max="7" width="2.42578125" style="68" customWidth="1"/>
    <col min="8" max="8" width="23.5703125" style="68" bestFit="1" customWidth="1"/>
    <col min="9" max="9" width="33.7109375" style="68" bestFit="1" customWidth="1"/>
    <col min="10" max="10" width="2.42578125" style="68" customWidth="1"/>
    <col min="11" max="16384" width="9.140625" style="68"/>
  </cols>
  <sheetData>
    <row r="1" spans="1:34" x14ac:dyDescent="0.2">
      <c r="B1" s="68" t="str">
        <f>_xll.qlxlVersion(TRUE,EvaluationDate)</f>
        <v>QuantLibXL 1.7.0 - MS VC++ (version unknown) - Multithreaded Dynamic Runtime library - Release Configuration - Nov 10 2015 11:01:27</v>
      </c>
    </row>
    <row r="2" spans="1:34" s="69" customFormat="1" ht="18.75" customHeight="1" x14ac:dyDescent="0.25">
      <c r="B2" s="52" t="s">
        <v>3</v>
      </c>
      <c r="C2" s="53"/>
      <c r="D2" s="53"/>
      <c r="E2" s="54"/>
      <c r="G2" s="55" t="s">
        <v>13</v>
      </c>
      <c r="H2" s="56"/>
      <c r="I2" s="56"/>
      <c r="J2" s="57"/>
    </row>
    <row r="3" spans="1:34" x14ac:dyDescent="0.2">
      <c r="B3" s="47"/>
      <c r="C3" s="1"/>
      <c r="D3" s="1"/>
      <c r="E3" s="48"/>
      <c r="G3" s="58"/>
      <c r="H3" s="59"/>
      <c r="I3" s="59"/>
      <c r="J3" s="60"/>
    </row>
    <row r="4" spans="1:34" x14ac:dyDescent="0.2">
      <c r="B4" s="47"/>
      <c r="C4" s="66" t="s">
        <v>4</v>
      </c>
      <c r="D4" s="2" t="s">
        <v>1</v>
      </c>
      <c r="E4" s="48"/>
      <c r="G4" s="61"/>
      <c r="H4" s="66" t="s">
        <v>15</v>
      </c>
      <c r="I4" s="7"/>
      <c r="J4" s="62"/>
    </row>
    <row r="5" spans="1:34" s="70" customFormat="1" x14ac:dyDescent="0.2">
      <c r="A5" s="68"/>
      <c r="B5" s="47"/>
      <c r="C5" s="66" t="s">
        <v>5</v>
      </c>
      <c r="D5" s="3" t="s">
        <v>6</v>
      </c>
      <c r="E5" s="48"/>
      <c r="F5" s="68"/>
      <c r="G5" s="61"/>
      <c r="H5" s="66" t="s">
        <v>16</v>
      </c>
      <c r="I5" s="7">
        <f>_xll.qlSettingsEvaluationDate(Trigger)</f>
        <v>42277</v>
      </c>
      <c r="J5" s="62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</row>
    <row r="6" spans="1:34" s="70" customFormat="1" x14ac:dyDescent="0.2">
      <c r="A6" s="68"/>
      <c r="B6" s="47"/>
      <c r="C6" s="66" t="s">
        <v>2</v>
      </c>
      <c r="D6" s="3" t="str">
        <f>IF(UPPER(Currency)&lt;&gt;"EUR","L","")&amp;"ibor"</f>
        <v>ibor</v>
      </c>
      <c r="E6" s="48"/>
      <c r="F6" s="68"/>
      <c r="G6" s="61"/>
      <c r="H6" s="67" t="s">
        <v>14</v>
      </c>
      <c r="I6" s="6">
        <f>_xll.qlCalendarAdvance(Calendar,EvaluationDate,"2D","f")</f>
        <v>42279</v>
      </c>
      <c r="J6" s="62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</row>
    <row r="7" spans="1:34" x14ac:dyDescent="0.2">
      <c r="B7" s="47"/>
      <c r="C7" s="66" t="s">
        <v>7</v>
      </c>
      <c r="D7" s="4" t="s">
        <v>8</v>
      </c>
      <c r="E7" s="48"/>
      <c r="G7" s="61"/>
      <c r="H7" s="66" t="s">
        <v>17</v>
      </c>
      <c r="I7" s="8">
        <f>[1]!TriggerCounter</f>
        <v>2</v>
      </c>
      <c r="J7" s="62"/>
    </row>
    <row r="8" spans="1:34" x14ac:dyDescent="0.2">
      <c r="B8" s="47"/>
      <c r="C8" s="66" t="s">
        <v>9</v>
      </c>
      <c r="D8" s="5" t="s">
        <v>10</v>
      </c>
      <c r="E8" s="48"/>
      <c r="G8" s="61"/>
      <c r="H8" s="66" t="s">
        <v>18</v>
      </c>
      <c r="I8" s="9">
        <f>[1]!LastFixingsTrigger</f>
        <v>1</v>
      </c>
      <c r="J8" s="62"/>
    </row>
    <row r="9" spans="1:34" x14ac:dyDescent="0.2">
      <c r="B9" s="47"/>
      <c r="C9" s="66" t="s">
        <v>11</v>
      </c>
      <c r="D9" s="5" t="s">
        <v>12</v>
      </c>
      <c r="E9" s="48"/>
      <c r="G9" s="63"/>
      <c r="H9" s="64"/>
      <c r="I9" s="64"/>
      <c r="J9" s="65"/>
    </row>
    <row r="10" spans="1:34" x14ac:dyDescent="0.2">
      <c r="B10" s="49"/>
      <c r="C10" s="50"/>
      <c r="D10" s="50"/>
      <c r="E10" s="51"/>
    </row>
    <row r="11" spans="1:34" x14ac:dyDescent="0.2">
      <c r="C11" s="71"/>
      <c r="D11" s="71"/>
      <c r="E11" s="71"/>
    </row>
    <row r="12" spans="1:34" x14ac:dyDescent="0.2">
      <c r="C12" s="71"/>
      <c r="D12" s="71"/>
      <c r="E12" s="71"/>
    </row>
    <row r="13" spans="1:34" x14ac:dyDescent="0.2">
      <c r="C13" s="71"/>
      <c r="D13" s="71"/>
      <c r="E13" s="71"/>
    </row>
    <row r="14" spans="1:34" x14ac:dyDescent="0.2">
      <c r="C14" s="71"/>
      <c r="D14" s="71"/>
      <c r="E14" s="71"/>
    </row>
    <row r="15" spans="1:34" x14ac:dyDescent="0.2">
      <c r="C15" s="71"/>
      <c r="D15" s="71"/>
      <c r="E15" s="71"/>
    </row>
    <row r="16" spans="1:34" x14ac:dyDescent="0.2">
      <c r="C16" s="71"/>
      <c r="D16" s="71"/>
      <c r="E16" s="71"/>
    </row>
    <row r="17" spans="3:5" x14ac:dyDescent="0.2">
      <c r="C17" s="71"/>
      <c r="D17" s="71"/>
      <c r="E17" s="71"/>
    </row>
    <row r="18" spans="3:5" x14ac:dyDescent="0.2">
      <c r="C18" s="71"/>
      <c r="D18" s="71"/>
      <c r="E18" s="71"/>
    </row>
    <row r="19" spans="3:5" x14ac:dyDescent="0.2">
      <c r="C19" s="71"/>
      <c r="D19" s="71"/>
      <c r="E19" s="71"/>
    </row>
  </sheetData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A1618"/>
  <sheetViews>
    <sheetView showGridLines="0" topLeftCell="K1" workbookViewId="0">
      <selection activeCell="M3" sqref="M3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6" style="33" bestFit="1" customWidth="1"/>
    <col min="15" max="15" width="3" style="33" bestFit="1" customWidth="1"/>
    <col min="16" max="16" width="6" style="33" bestFit="1" customWidth="1"/>
    <col min="17" max="18" width="17.28515625" style="33" bestFit="1" customWidth="1"/>
    <col min="19" max="19" width="17.28515625" style="33" customWidth="1"/>
    <col min="20" max="22" width="9.7109375" style="33" customWidth="1"/>
    <col min="23" max="25" width="9" style="33" hidden="1" customWidth="1" outlineLevel="1"/>
    <col min="26" max="26" width="12" style="33" customWidth="1" collapsed="1"/>
    <col min="27" max="27" width="12" style="33" customWidth="1"/>
    <col min="28" max="32" width="9.140625" style="33"/>
    <col min="33" max="33" width="15.140625" style="33" bestFit="1" customWidth="1"/>
    <col min="34" max="35" width="9.140625" style="33"/>
    <col min="36" max="36" width="13.140625" style="33" bestFit="1" customWidth="1"/>
    <col min="37" max="16384" width="9.140625" style="33"/>
  </cols>
  <sheetData>
    <row r="1" spans="1:27" x14ac:dyDescent="0.2">
      <c r="A1" s="14" t="s">
        <v>25</v>
      </c>
      <c r="B1" s="14"/>
      <c r="C1" s="14"/>
      <c r="D1" s="14"/>
      <c r="E1" s="14"/>
      <c r="F1" s="14" t="s">
        <v>26</v>
      </c>
      <c r="G1" s="14"/>
      <c r="H1" s="14"/>
      <c r="I1" s="14"/>
      <c r="J1" s="14"/>
      <c r="T1" s="42"/>
      <c r="U1" s="42"/>
      <c r="V1" s="34"/>
      <c r="W1" s="34"/>
      <c r="X1" s="34"/>
      <c r="Y1" s="34"/>
    </row>
    <row r="2" spans="1:27" ht="22.5" customHeight="1" x14ac:dyDescent="0.2">
      <c r="A2" s="15" t="s">
        <v>27</v>
      </c>
      <c r="B2" s="15" t="s">
        <v>28</v>
      </c>
      <c r="C2" s="15" t="s">
        <v>29</v>
      </c>
      <c r="D2" s="15" t="s">
        <v>30</v>
      </c>
      <c r="E2" s="15" t="s">
        <v>31</v>
      </c>
      <c r="F2" s="15" t="s">
        <v>28</v>
      </c>
      <c r="G2" s="15" t="s">
        <v>30</v>
      </c>
      <c r="H2" s="15" t="s">
        <v>31</v>
      </c>
      <c r="I2" s="15" t="s">
        <v>32</v>
      </c>
      <c r="J2" s="15" t="s">
        <v>33</v>
      </c>
      <c r="Q2" s="45" t="s">
        <v>22</v>
      </c>
      <c r="R2" s="45" t="s">
        <v>23</v>
      </c>
      <c r="S2" s="45" t="s">
        <v>55</v>
      </c>
      <c r="T2" s="45" t="s">
        <v>24</v>
      </c>
      <c r="U2" s="45" t="str">
        <f>"F "&amp;$M$3</f>
        <v>F 1M</v>
      </c>
      <c r="V2" s="45" t="s">
        <v>36</v>
      </c>
      <c r="W2" s="45" t="s">
        <v>37</v>
      </c>
      <c r="X2" s="45" t="s">
        <v>56</v>
      </c>
      <c r="Y2" s="45" t="s">
        <v>44</v>
      </c>
      <c r="Z2" s="45" t="s">
        <v>43</v>
      </c>
      <c r="AA2" s="45" t="s">
        <v>52</v>
      </c>
    </row>
    <row r="3" spans="1:27" x14ac:dyDescent="0.2">
      <c r="A3" s="18" t="str">
        <f>_xll.qlPeriodEquivalent(C3&amp;"M")</f>
        <v>1Y</v>
      </c>
      <c r="B3" s="10">
        <f>_xll.qlDateEndOfMonth(EDATE(_xll.qlSettingsEvaluationDate(Trigger),-1))</f>
        <v>42247</v>
      </c>
      <c r="C3" s="11">
        <v>12</v>
      </c>
      <c r="D3" s="10">
        <f>EDATE($Q$3,C3)</f>
        <v>42643</v>
      </c>
      <c r="E3" s="12">
        <f>IF(C3&lt;=12,1,IF(C3&lt;=24,3,IF(C3&lt;=120,6,IF(C3&lt;=240,12,IF(C3&lt;=360,36,60)))))</f>
        <v>1</v>
      </c>
      <c r="F3" s="16">
        <f>ROUNDDOWN(I3*10,2)/10</f>
        <v>0</v>
      </c>
      <c r="G3" s="17">
        <f>IF(J3-I3&gt;1%,(QUOTIENT(J3*10000,50)+1)*0.5%,(QUOTIENT(J3*10000,10)+1)*0.1%)</f>
        <v>1E-3</v>
      </c>
      <c r="H3" s="12">
        <f>IF(G3-F3&lt;0.5%,0.025%,IF(G3-F3&lt;1%,0.1%,IF(G3-F3&lt;2%,0.25%,0.5%)))</f>
        <v>2.5000000000000001E-4</v>
      </c>
      <c r="I3" s="17">
        <f>MIN(_xll.ohPack($V$3:INDEX($V$3:$V$135,MATCH(D3+1,$R$3:$R$135,1),1)))</f>
        <v>2.1302216110429656E-4</v>
      </c>
      <c r="J3" s="17">
        <f>MAX(_xll.ohPack($V$3:INDEX($V$3:$V$135,MATCH(D3+1,$R$3:$R$135,1),1)))</f>
        <v>5.2468593014332043E-4</v>
      </c>
      <c r="L3" s="46" t="s">
        <v>21</v>
      </c>
      <c r="M3" s="35" t="s">
        <v>19</v>
      </c>
      <c r="N3" s="36"/>
      <c r="O3" s="33">
        <v>0</v>
      </c>
      <c r="P3" s="26" t="str">
        <f>O3&amp;"M"</f>
        <v>0M</v>
      </c>
      <c r="Q3" s="75">
        <f>EvaluationDate</f>
        <v>42277</v>
      </c>
      <c r="R3" s="75">
        <f>_xll.qlInterestRateIndexValueDate(Index,Q3,Trigger)</f>
        <v>42279</v>
      </c>
      <c r="S3" s="28">
        <f>_xll.qlInterestRateIndexMaturity(Index,R3,Trigger)</f>
        <v>42310</v>
      </c>
      <c r="T3" s="76">
        <f>_xll.qlIndexFixing($M$6,Q3,,InterestRatesTrigger)</f>
        <v>-1.3999999997693635E-3</v>
      </c>
      <c r="U3" s="76">
        <f>_xll.qlIndexFixing(Index,Q3,,InterestRatesTrigger)</f>
        <v>-1.1299999999999999E-3</v>
      </c>
      <c r="V3" s="76">
        <f>U3-T3</f>
        <v>2.6999999976936358E-4</v>
      </c>
      <c r="W3" s="77">
        <f>_xll.qlDayCounterYearFraction(DayCounter,SettlementDate,R3,,,Trigger)</f>
        <v>0</v>
      </c>
      <c r="X3" s="77">
        <f>_xll.qlDayCounterYearFraction(DayCounter,R3,S3)</f>
        <v>8.611111111111111E-2</v>
      </c>
      <c r="Y3" s="77">
        <f>_xll.qlYieldTSDiscount(Currency&amp;"ON",R3)/(1+U3*X3)</f>
        <v>1.0001037045661079</v>
      </c>
      <c r="Z3" s="76" t="e">
        <f>_xll.qlTenorBasisValue(TenorBasis6M,R3,InterestRatesTrigger)</f>
        <v>#VALUE!</v>
      </c>
      <c r="AA3" s="76" t="e">
        <f>V3-Z3</f>
        <v>#VALUE!</v>
      </c>
    </row>
    <row r="4" spans="1:27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42277</v>
      </c>
      <c r="C4" s="11">
        <v>24</v>
      </c>
      <c r="D4" s="10">
        <f t="shared" ref="D4:D9" si="0">EDATE($Q$3,C4)</f>
        <v>43008</v>
      </c>
      <c r="E4" s="12">
        <f t="shared" ref="E4:E9" si="1">IF(C4&lt;=12,1,IF(C4&lt;=24,3,IF(C4&lt;=120,6,IF(C4&lt;=240,12,IF(C4&lt;=360,36,60)))))</f>
        <v>3</v>
      </c>
      <c r="F4" s="16">
        <f t="shared" ref="F4:F9" si="2">ROUNDDOWN(I4*10,2)/10</f>
        <v>0</v>
      </c>
      <c r="G4" s="17">
        <f t="shared" ref="G4:G9" si="3">IF(J4-I4&gt;1%,(QUOTIENT(J4*10000,50)+1)*0.5%,(QUOTIENT(J4*10000,10)+1)*0.1%)</f>
        <v>1E-3</v>
      </c>
      <c r="H4" s="12">
        <f t="shared" ref="H4:H9" si="4">IF(G4-F4&lt;0.5%,0.025%,IF(G4-F4&lt;1%,0.1%,IF(G4-F4&lt;2%,0.25%,0.5%)))</f>
        <v>2.5000000000000001E-4</v>
      </c>
      <c r="I4" s="17">
        <f>MIN(_xll.ohPack($V$3:INDEX($V$3:$V$135,MATCH(D4+1,$R$3:$R$135,1),1)))</f>
        <v>2.1302216110429656E-4</v>
      </c>
      <c r="J4" s="17">
        <f>MAX(_xll.ohPack($V$3:INDEX($V$3:$V$135,MATCH(D4+1,$R$3:$R$135,1),1)))</f>
        <v>5.452497346643396E-4</v>
      </c>
      <c r="N4" s="36"/>
      <c r="O4" s="33">
        <v>1</v>
      </c>
      <c r="P4" s="26" t="str">
        <f>_xll.qlPeriodEquivalent(P3&amp;"+"&amp;O4&amp;"M")</f>
        <v>1M</v>
      </c>
      <c r="Q4" s="28">
        <f>_xll.qlCalendarAdvance(Calendar,SettlementDate,P4,"f",,Trigger)</f>
        <v>42310</v>
      </c>
      <c r="R4" s="28">
        <f>_xll.qlInterestRateIndexValueDate(Index,Q4,Trigger)</f>
        <v>42312</v>
      </c>
      <c r="S4" s="28">
        <f>_xll.qlInterestRateIndexMaturity(Index,R4,Trigger)</f>
        <v>42342</v>
      </c>
      <c r="T4" s="30">
        <f>_xll.qlIndexFixing($M$6,Q4,,InterestRatesTrigger)</f>
        <v>-1.4992235963737777E-3</v>
      </c>
      <c r="U4" s="30">
        <f>_xll.qlIndexFixing(Index,Q4,,InterestRatesTrigger)</f>
        <v>-1.2412223791953281E-3</v>
      </c>
      <c r="V4" s="30">
        <f t="shared" ref="V4:V67" si="5">U4-T4</f>
        <v>2.5800121717844959E-4</v>
      </c>
      <c r="W4" s="29">
        <f>_xll.qlDayCounterYearFraction(DayCounter,SettlementDate,R4,,,Trigger)</f>
        <v>9.166666666666666E-2</v>
      </c>
      <c r="X4" s="29">
        <f>_xll.qlDayCounterYearFraction(DayCounter,R4,S4)</f>
        <v>8.3333333333333329E-2</v>
      </c>
      <c r="Y4" s="29">
        <f>_xll.qlYieldTSDiscount(Currency&amp;"ON",R4)/(1+U4*X4)</f>
        <v>1.0002383529309369</v>
      </c>
      <c r="Z4" s="30" t="e">
        <f>_xll.qlTenorBasisValue(TenorBasis6M,R4,InterestRatesTrigger)</f>
        <v>#VALUE!</v>
      </c>
      <c r="AA4" s="30" t="e">
        <f t="shared" ref="AA4:AA67" si="6">V4-Z4</f>
        <v>#VALUE!</v>
      </c>
    </row>
    <row r="5" spans="1:27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5" s="11">
        <v>60</v>
      </c>
      <c r="D5" s="10">
        <f t="shared" si="0"/>
        <v>44104</v>
      </c>
      <c r="E5" s="12">
        <f t="shared" si="1"/>
        <v>6</v>
      </c>
      <c r="F5" s="16">
        <f t="shared" si="2"/>
        <v>0</v>
      </c>
      <c r="G5" s="17">
        <f t="shared" si="3"/>
        <v>1E-3</v>
      </c>
      <c r="H5" s="12">
        <f t="shared" si="4"/>
        <v>2.5000000000000001E-4</v>
      </c>
      <c r="I5" s="17">
        <f>MIN(_xll.ohPack($V$3:INDEX($V$3:$V$135,MATCH(D5+1,$R$3:$R$135,1),1)))</f>
        <v>2.1302216110429656E-4</v>
      </c>
      <c r="J5" s="17">
        <f>MAX(_xll.ohPack($V$3:INDEX($V$3:$V$135,MATCH(D5+1,$R$3:$R$135,1),1)))</f>
        <v>6.7952001981148435E-4</v>
      </c>
      <c r="L5" s="46" t="s">
        <v>20</v>
      </c>
      <c r="M5" s="35" t="str">
        <f>PROPER(Currency)&amp;IborType&amp;M3</f>
        <v>Euribor1M</v>
      </c>
      <c r="O5" s="33">
        <v>1</v>
      </c>
      <c r="P5" s="27" t="str">
        <f>_xll.qlPeriodEquivalent(P4&amp;"+"&amp;O5&amp;"M")</f>
        <v>2M</v>
      </c>
      <c r="Q5" s="28">
        <f>_xll.qlCalendarAdvance(Calendar,SettlementDate,P5,"f",,Trigger)</f>
        <v>42340</v>
      </c>
      <c r="R5" s="28">
        <f>_xll.qlInterestRateIndexValueDate(Index,Q5,Trigger)</f>
        <v>42342</v>
      </c>
      <c r="S5" s="28">
        <f>_xll.qlInterestRateIndexMaturity(Index,R5,Trigger)</f>
        <v>42373</v>
      </c>
      <c r="T5" s="30">
        <f>_xll.qlIndexFixing($M$6,Q5,,InterestRatesTrigger)</f>
        <v>-1.3929922287736127E-3</v>
      </c>
      <c r="U5" s="30">
        <f>_xll.qlIndexFixing(Index,Q5,,InterestRatesTrigger)</f>
        <v>-1.1799700676693161E-3</v>
      </c>
      <c r="V5" s="30">
        <f t="shared" si="5"/>
        <v>2.1302216110429656E-4</v>
      </c>
      <c r="W5" s="29">
        <f>_xll.qlDayCounterYearFraction(DayCounter,SettlementDate,R5,,,Trigger)</f>
        <v>0.17499999999999999</v>
      </c>
      <c r="X5" s="29">
        <f>_xll.qlDayCounterYearFraction(DayCounter,R5,S5)</f>
        <v>8.611111111111111E-2</v>
      </c>
      <c r="Y5" s="29">
        <f>_xll.qlYieldTSDiscount(Currency&amp;"ON",R5)/(1+U5*X5)</f>
        <v>1.0003615061097886</v>
      </c>
      <c r="Z5" s="30" t="e">
        <f>_xll.qlTenorBasisValue(TenorBasis6M,R5,InterestRatesTrigger)</f>
        <v>#VALUE!</v>
      </c>
      <c r="AA5" s="30" t="e">
        <f t="shared" si="6"/>
        <v>#VALUE!</v>
      </c>
    </row>
    <row r="6" spans="1:27" x14ac:dyDescent="0.2">
      <c r="A6" s="18" t="str">
        <f>_xll.qlPeriodEquivalent(C6&amp;"M")</f>
        <v>10Y</v>
      </c>
      <c r="B6" s="10">
        <f t="shared" ref="B6:B9" si="7">B5</f>
        <v>42185</v>
      </c>
      <c r="C6" s="11">
        <v>120</v>
      </c>
      <c r="D6" s="10">
        <f t="shared" si="0"/>
        <v>45930</v>
      </c>
      <c r="E6" s="12">
        <f t="shared" si="1"/>
        <v>6</v>
      </c>
      <c r="F6" s="16">
        <f t="shared" si="2"/>
        <v>0</v>
      </c>
      <c r="G6" s="17">
        <f t="shared" si="3"/>
        <v>1E-3</v>
      </c>
      <c r="H6" s="12">
        <f t="shared" si="4"/>
        <v>2.5000000000000001E-4</v>
      </c>
      <c r="I6" s="17">
        <f>MIN(_xll.ohPack($V$3:INDEX($V$3:$V$135,MATCH(D6+1,$R$3:$R$135,1),1)))</f>
        <v>2.1302216110429656E-4</v>
      </c>
      <c r="J6" s="17">
        <f>MAX(_xll.ohPack($V$3:INDEX($V$3:$V$135,MATCH(D6+1,$R$3:$R$135,1),1)))</f>
        <v>6.7952001981148435E-4</v>
      </c>
      <c r="L6" s="46" t="str">
        <f>"ON Index "&amp;$M$3</f>
        <v>ON Index 1M</v>
      </c>
      <c r="M6" s="35" t="str">
        <f>_xll.qlIborIndex(,,M3,2,Currency,Calendar,"mf",TRUE,DayCounter,Currency&amp;"ON",,Trigger)</f>
        <v>obj_005f1#0006</v>
      </c>
      <c r="N6" s="34"/>
      <c r="O6" s="33">
        <v>1</v>
      </c>
      <c r="P6" s="27" t="str">
        <f>_xll.qlPeriodEquivalent(P5&amp;"+"&amp;O6&amp;"M")</f>
        <v>3M</v>
      </c>
      <c r="Q6" s="28">
        <f>_xll.qlCalendarAdvance(Calendar,SettlementDate,P6,"f",,Trigger)</f>
        <v>42373</v>
      </c>
      <c r="R6" s="28">
        <f>_xll.qlInterestRateIndexValueDate(Index,Q6,Trigger)</f>
        <v>42375</v>
      </c>
      <c r="S6" s="28">
        <f>_xll.qlInterestRateIndexMaturity(Index,R6,Trigger)</f>
        <v>42408</v>
      </c>
      <c r="T6" s="30">
        <f>_xll.qlIndexFixing($M$6,Q6,,InterestRatesTrigger)</f>
        <v>-1.6853078557814301E-3</v>
      </c>
      <c r="U6" s="30">
        <f>_xll.qlIndexFixing(Index,Q6,,InterestRatesTrigger)</f>
        <v>-1.3218170511681232E-3</v>
      </c>
      <c r="V6" s="30">
        <f t="shared" si="5"/>
        <v>3.6349080461330692E-4</v>
      </c>
      <c r="W6" s="29">
        <f>_xll.qlDayCounterYearFraction(DayCounter,SettlementDate,R6,,,Trigger)</f>
        <v>0.26666666666666666</v>
      </c>
      <c r="X6" s="29">
        <f>_xll.qlDayCounterYearFraction(DayCounter,R6,S6)</f>
        <v>9.166666666666666E-2</v>
      </c>
      <c r="Y6" s="29">
        <f>_xll.qlYieldTSDiscount(Currency&amp;"ON",R6)/(1+U6*X6)</f>
        <v>1.0005100659340909</v>
      </c>
      <c r="Z6" s="30" t="e">
        <f>_xll.qlTenorBasisValue(TenorBasis6M,R6,InterestRatesTrigger)</f>
        <v>#VALUE!</v>
      </c>
      <c r="AA6" s="30" t="e">
        <f t="shared" si="6"/>
        <v>#VALUE!</v>
      </c>
    </row>
    <row r="7" spans="1:27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0"/>
        <v>49582</v>
      </c>
      <c r="E7" s="13">
        <f t="shared" si="1"/>
        <v>12</v>
      </c>
      <c r="F7" s="16">
        <f t="shared" si="2"/>
        <v>0</v>
      </c>
      <c r="G7" s="17">
        <f t="shared" si="3"/>
        <v>1E-3</v>
      </c>
      <c r="H7" s="12">
        <f t="shared" si="4"/>
        <v>2.5000000000000001E-4</v>
      </c>
      <c r="I7" s="17">
        <f>MIN(_xll.ohPack($V$3:INDEX($V$3:$V$135,MATCH(D7+1,$R$3:$R$135,1),1)))</f>
        <v>2.1302216110429656E-4</v>
      </c>
      <c r="J7" s="17">
        <f>MAX(_xll.ohPack($V$3:INDEX($V$3:$V$135,MATCH(D7+1,$R$3:$R$135,1),1)))</f>
        <v>6.7952001981148435E-4</v>
      </c>
      <c r="O7" s="33">
        <v>1</v>
      </c>
      <c r="P7" s="27" t="str">
        <f>_xll.qlPeriodEquivalent(P6&amp;"+"&amp;O7&amp;"M")</f>
        <v>4M</v>
      </c>
      <c r="Q7" s="28">
        <f>_xll.qlCalendarAdvance(Calendar,SettlementDate,P7,"f",,Trigger)</f>
        <v>42402</v>
      </c>
      <c r="R7" s="28">
        <f>_xll.qlInterestRateIndexValueDate(Index,Q7,Trigger)</f>
        <v>42404</v>
      </c>
      <c r="S7" s="28">
        <f>_xll.qlInterestRateIndexMaturity(Index,R7,Trigger)</f>
        <v>42433</v>
      </c>
      <c r="T7" s="30">
        <f>_xll.qlIndexFixing($M$6,Q7,,InterestRatesTrigger)</f>
        <v>-1.6741361746855652E-3</v>
      </c>
      <c r="U7" s="30">
        <f>_xll.qlIndexFixing(Index,Q7,,InterestRatesTrigger)</f>
        <v>-1.3110930228219441E-3</v>
      </c>
      <c r="V7" s="30">
        <f t="shared" si="5"/>
        <v>3.6304315186362103E-4</v>
      </c>
      <c r="W7" s="29">
        <f>_xll.qlDayCounterYearFraction(DayCounter,SettlementDate,R7,,,Trigger)</f>
        <v>0.34722222222222221</v>
      </c>
      <c r="X7" s="29">
        <f>_xll.qlDayCounterYearFraction(DayCounter,R7,S7)</f>
        <v>8.0555555555555561E-2</v>
      </c>
      <c r="Y7" s="29">
        <f>_xll.qlYieldTSDiscount(Currency&amp;"ON",R7)/(1+U7*X7)</f>
        <v>1.0006303448088658</v>
      </c>
      <c r="Z7" s="30" t="e">
        <f>_xll.qlTenorBasisValue(TenorBasis6M,R7,InterestRatesTrigger)</f>
        <v>#VALUE!</v>
      </c>
      <c r="AA7" s="30" t="e">
        <f t="shared" si="6"/>
        <v>#VALUE!</v>
      </c>
    </row>
    <row r="8" spans="1:27" x14ac:dyDescent="0.2">
      <c r="A8" s="18" t="str">
        <f>_xll.qlPeriodEquivalent(C8&amp;"M")</f>
        <v>30Y</v>
      </c>
      <c r="B8" s="10">
        <f t="shared" si="7"/>
        <v>42004</v>
      </c>
      <c r="C8" s="11">
        <v>360</v>
      </c>
      <c r="D8" s="10">
        <f t="shared" si="0"/>
        <v>53235</v>
      </c>
      <c r="E8" s="13">
        <f t="shared" si="1"/>
        <v>36</v>
      </c>
      <c r="F8" s="16">
        <f t="shared" si="2"/>
        <v>0</v>
      </c>
      <c r="G8" s="17">
        <f t="shared" si="3"/>
        <v>1E-3</v>
      </c>
      <c r="H8" s="12">
        <f t="shared" si="4"/>
        <v>2.5000000000000001E-4</v>
      </c>
      <c r="I8" s="17">
        <f>MIN(_xll.ohPack($V$3:INDEX($V$3:$V$135,MATCH(D8+1,$R$3:$R$135,1),1)))</f>
        <v>2.1302216110429656E-4</v>
      </c>
      <c r="J8" s="17">
        <f>MAX(_xll.ohPack($V$3:INDEX($V$3:$V$135,MATCH(D8+1,$R$3:$R$135,1),1)))</f>
        <v>6.7952001981148435E-4</v>
      </c>
      <c r="L8" s="46" t="s">
        <v>39</v>
      </c>
      <c r="M8" s="43">
        <v>8.7947459799588956E-4</v>
      </c>
      <c r="N8" s="33" t="b">
        <v>0</v>
      </c>
      <c r="O8" s="33">
        <v>1</v>
      </c>
      <c r="P8" s="27" t="str">
        <f>_xll.qlPeriodEquivalent(P7&amp;"+"&amp;O8&amp;"M")</f>
        <v>5M</v>
      </c>
      <c r="Q8" s="28">
        <f>_xll.qlCalendarAdvance(Calendar,SettlementDate,P8,"f",,Trigger)</f>
        <v>42431</v>
      </c>
      <c r="R8" s="28">
        <f>_xll.qlInterestRateIndexValueDate(Index,Q8,Trigger)</f>
        <v>42433</v>
      </c>
      <c r="S8" s="28">
        <f>_xll.qlInterestRateIndexMaturity(Index,R8,Trigger)</f>
        <v>42464</v>
      </c>
      <c r="T8" s="30">
        <f>_xll.qlIndexFixing($M$6,Q8,,InterestRatesTrigger)</f>
        <v>-1.7118504672354283E-3</v>
      </c>
      <c r="U8" s="30">
        <f>_xll.qlIndexFixing(Index,Q8,,InterestRatesTrigger)</f>
        <v>-1.2867581717488077E-3</v>
      </c>
      <c r="V8" s="30">
        <f t="shared" si="5"/>
        <v>4.2509229548662059E-4</v>
      </c>
      <c r="W8" s="29">
        <f>_xll.qlDayCounterYearFraction(DayCounter,SettlementDate,R8,,,Trigger)</f>
        <v>0.42777777777777776</v>
      </c>
      <c r="X8" s="29">
        <f>_xll.qlDayCounterYearFraction(DayCounter,R8,S8)</f>
        <v>8.611111111111111E-2</v>
      </c>
      <c r="Y8" s="29">
        <f>_xll.qlYieldTSDiscount(Currency&amp;"ON",R8)/(1+U8*X8)</f>
        <v>1.0007705018839523</v>
      </c>
      <c r="Z8" s="30" t="e">
        <f>_xll.qlTenorBasisValue(TenorBasis6M,R8,InterestRatesTrigger)</f>
        <v>#VALUE!</v>
      </c>
      <c r="AA8" s="30" t="e">
        <f t="shared" si="6"/>
        <v>#VALUE!</v>
      </c>
    </row>
    <row r="9" spans="1:27" x14ac:dyDescent="0.2">
      <c r="A9" s="19" t="str">
        <f>_xll.qlPeriodEquivalent(C9&amp;"M")</f>
        <v>60Y</v>
      </c>
      <c r="B9" s="20">
        <f t="shared" si="7"/>
        <v>42004</v>
      </c>
      <c r="C9" s="21">
        <v>720</v>
      </c>
      <c r="D9" s="20">
        <f t="shared" si="0"/>
        <v>64192</v>
      </c>
      <c r="E9" s="22">
        <f t="shared" si="1"/>
        <v>60</v>
      </c>
      <c r="F9" s="23">
        <f t="shared" si="2"/>
        <v>0</v>
      </c>
      <c r="G9" s="24">
        <f t="shared" si="3"/>
        <v>1E-3</v>
      </c>
      <c r="H9" s="25">
        <f t="shared" si="4"/>
        <v>2.5000000000000001E-4</v>
      </c>
      <c r="I9" s="24">
        <f>MIN(_xll.ohPack($V$3:INDEX($V$3:$V$135,MATCH(D9+1,$R$3:$R$135,1),1)))</f>
        <v>2.1302216110429656E-4</v>
      </c>
      <c r="J9" s="24">
        <f>MAX(_xll.ohPack($V$3:INDEX($V$3:$V$135,MATCH(D9+1,$R$3:$R$135,1),1)))</f>
        <v>6.7952001981148435E-4</v>
      </c>
      <c r="L9" s="46" t="s">
        <v>40</v>
      </c>
      <c r="M9" s="44">
        <v>8.7947459799588956E-4</v>
      </c>
      <c r="N9" s="33" t="b">
        <v>0</v>
      </c>
      <c r="O9" s="33">
        <v>1</v>
      </c>
      <c r="P9" s="27" t="str">
        <f>_xll.qlPeriodEquivalent(P8&amp;"+"&amp;O9&amp;"M")</f>
        <v>6M</v>
      </c>
      <c r="Q9" s="28">
        <f>_xll.qlCalendarAdvance(Calendar,SettlementDate,P9,"f",,Trigger)</f>
        <v>42464</v>
      </c>
      <c r="R9" s="28">
        <f>_xll.qlInterestRateIndexValueDate(Index,Q9,Trigger)</f>
        <v>42466</v>
      </c>
      <c r="S9" s="28">
        <f>_xll.qlInterestRateIndexMaturity(Index,R9,Trigger)</f>
        <v>42496</v>
      </c>
      <c r="T9" s="30">
        <f>_xll.qlIndexFixing($M$6,Q9,,InterestRatesTrigger)</f>
        <v>-1.7951239827151966E-3</v>
      </c>
      <c r="U9" s="30">
        <f>_xll.qlIndexFixing(Index,Q9,,InterestRatesTrigger)</f>
        <v>-1.3314415672289748E-3</v>
      </c>
      <c r="V9" s="30">
        <f t="shared" si="5"/>
        <v>4.636824154862218E-4</v>
      </c>
      <c r="W9" s="29">
        <f>_xll.qlDayCounterYearFraction(DayCounter,SettlementDate,R9,,,Trigger)</f>
        <v>0.51944444444444449</v>
      </c>
      <c r="X9" s="29">
        <f>_xll.qlDayCounterYearFraction(DayCounter,R9,S9)</f>
        <v>8.3333333333333329E-2</v>
      </c>
      <c r="Y9" s="29">
        <f>_xll.qlYieldTSDiscount(Currency&amp;"ON",R9)/(1+U9*X9)</f>
        <v>1.0009279886210216</v>
      </c>
      <c r="Z9" s="30" t="e">
        <f>_xll.qlTenorBasisValue(TenorBasis6M,R9,InterestRatesTrigger)</f>
        <v>#VALUE!</v>
      </c>
      <c r="AA9" s="30" t="e">
        <f t="shared" si="6"/>
        <v>#VALUE!</v>
      </c>
    </row>
    <row r="10" spans="1:27" x14ac:dyDescent="0.2">
      <c r="A10" s="18" t="str">
        <f>_xll.qlPeriodEquivalent(C10&amp;"M")</f>
        <v>1Y</v>
      </c>
      <c r="B10" s="10">
        <f>_xll.qlDateEndOfMonth(EDATE(_xll.qlSettingsEvaluationDate(Trigger),-1))</f>
        <v>42247</v>
      </c>
      <c r="C10" s="11">
        <v>12</v>
      </c>
      <c r="D10" s="10">
        <f>EDATE($Q$3,C10)</f>
        <v>42643</v>
      </c>
      <c r="E10" s="12">
        <f>IF(C10&lt;=12,1,IF(C10&lt;=24,3,IF(C10&lt;=120,6,IF(C10&lt;=240,12,IF(C10&lt;=360,36,60)))))</f>
        <v>1</v>
      </c>
      <c r="F10" s="16">
        <f>ROUNDDOWN(I10*10,2)/10</f>
        <v>0</v>
      </c>
      <c r="G10" s="17">
        <f>IF(J10-I10&gt;1%,(QUOTIENT(J10*10000,50)+1)*0.5%,(QUOTIENT(J10*10000,10)+1)*0.1%)</f>
        <v>1E-3</v>
      </c>
      <c r="H10" s="12">
        <f>IF(G10-F10&lt;0.5%,0.025%,IF(G10-F10&lt;1%,0.1%,IF(G10-F10&lt;2%,0.25%,0.5%)))</f>
        <v>2.5000000000000001E-4</v>
      </c>
      <c r="I10" s="17">
        <f>MIN(_xll.ohPack($V$3:INDEX($V$3:$V$135,MATCH(D10+1,$R$3:$R$135,1),1)))</f>
        <v>2.1302216110429656E-4</v>
      </c>
      <c r="J10" s="17">
        <f>MAX(_xll.ohPack($V$3:INDEX($V$3:$V$135,MATCH(D10+1,$R$3:$R$135,1),1)))</f>
        <v>5.2468593014332043E-4</v>
      </c>
      <c r="L10" s="46" t="s">
        <v>41</v>
      </c>
      <c r="M10" s="44">
        <v>8.7947459799588956E-4</v>
      </c>
      <c r="N10" s="33" t="b">
        <v>0</v>
      </c>
      <c r="O10" s="33">
        <v>1</v>
      </c>
      <c r="P10" s="27" t="str">
        <f>_xll.qlPeriodEquivalent(P9&amp;"+"&amp;O10&amp;"M")</f>
        <v>7M</v>
      </c>
      <c r="Q10" s="28">
        <f>_xll.qlCalendarAdvance(Calendar,SettlementDate,P10,"f",,Trigger)</f>
        <v>42492</v>
      </c>
      <c r="R10" s="28">
        <f>_xll.qlInterestRateIndexValueDate(Index,Q10,Trigger)</f>
        <v>42494</v>
      </c>
      <c r="S10" s="28">
        <f>_xll.qlInterestRateIndexMaturity(Index,R10,Trigger)</f>
        <v>42527</v>
      </c>
      <c r="T10" s="30">
        <f>_xll.qlIndexFixing($M$6,Q10,,InterestRatesTrigger)</f>
        <v>-1.8438309612698526E-3</v>
      </c>
      <c r="U10" s="30">
        <f>_xll.qlIndexFixing(Index,Q10,,InterestRatesTrigger)</f>
        <v>-1.4996556022522419E-3</v>
      </c>
      <c r="V10" s="30">
        <f t="shared" si="5"/>
        <v>3.4417535901761073E-4</v>
      </c>
      <c r="W10" s="29">
        <f>_xll.qlDayCounterYearFraction(DayCounter,SettlementDate,R10,,,Trigger)</f>
        <v>0.59722222222222221</v>
      </c>
      <c r="X10" s="29">
        <f>_xll.qlDayCounterYearFraction(DayCounter,R10,S10)</f>
        <v>9.166666666666666E-2</v>
      </c>
      <c r="Y10" s="29">
        <f>_xll.qlYieldTSDiscount(Currency&amp;"ON",R10)/(1+U10*X10)</f>
        <v>1.0010941782514351</v>
      </c>
      <c r="Z10" s="30" t="e">
        <f>_xll.qlTenorBasisValue(TenorBasis6M,R10,InterestRatesTrigger)</f>
        <v>#VALUE!</v>
      </c>
      <c r="AA10" s="30" t="e">
        <f t="shared" si="6"/>
        <v>#VALUE!</v>
      </c>
    </row>
    <row r="11" spans="1:27" x14ac:dyDescent="0.2">
      <c r="A11" s="18" t="str">
        <f>_xll.qlPeriodEquivalent(C11&amp;"M")</f>
        <v>2Y</v>
      </c>
      <c r="B11" s="10">
        <f>_xll.qlDateEndOfMonth(EDATE(_xll.qlIMMNextDate(_xll.qlSettingsEvaluationDate(Trigger)-1,TRUE),-3))</f>
        <v>42277</v>
      </c>
      <c r="C11" s="11">
        <v>24</v>
      </c>
      <c r="D11" s="10">
        <f t="shared" ref="D11:D16" si="8">EDATE($Q$3,C11)</f>
        <v>43008</v>
      </c>
      <c r="E11" s="12">
        <f t="shared" ref="E11:E16" si="9">IF(C11&lt;=12,1,IF(C11&lt;=24,3,IF(C11&lt;=120,6,IF(C11&lt;=240,12,IF(C11&lt;=360,36,60)))))</f>
        <v>3</v>
      </c>
      <c r="F11" s="16">
        <f t="shared" ref="F11:F16" si="10">ROUNDDOWN(I11*10,2)/10</f>
        <v>0</v>
      </c>
      <c r="G11" s="17">
        <f t="shared" ref="G11:G16" si="11">IF(J11-I11&gt;1%,(QUOTIENT(J11*10000,50)+1)*0.5%,(QUOTIENT(J11*10000,10)+1)*0.1%)</f>
        <v>1E-3</v>
      </c>
      <c r="H11" s="12">
        <f t="shared" ref="H11:H16" si="12">IF(G11-F11&lt;0.5%,0.025%,IF(G11-F11&lt;1%,0.1%,IF(G11-F11&lt;2%,0.25%,0.5%)))</f>
        <v>2.5000000000000001E-4</v>
      </c>
      <c r="I11" s="17">
        <f>MIN(_xll.ohPack($V$3:INDEX($V$3:$V$135,MATCH(D11+1,$R$3:$R$135,1),1)))</f>
        <v>2.1302216110429656E-4</v>
      </c>
      <c r="J11" s="17">
        <f>MAX(_xll.ohPack($V$3:INDEX($V$3:$V$135,MATCH(D11+1,$R$3:$R$135,1),1)))</f>
        <v>5.452497346643396E-4</v>
      </c>
      <c r="L11" s="46" t="s">
        <v>42</v>
      </c>
      <c r="M11" s="43">
        <v>8.7947459799588956E-4</v>
      </c>
      <c r="N11" s="33" t="b">
        <v>0</v>
      </c>
      <c r="O11" s="33">
        <v>1</v>
      </c>
      <c r="P11" s="27" t="str">
        <f>_xll.qlPeriodEquivalent(P10&amp;"+"&amp;O11&amp;"M")</f>
        <v>8M</v>
      </c>
      <c r="Q11" s="28">
        <f>_xll.qlCalendarAdvance(Calendar,SettlementDate,P11,"f",,Trigger)</f>
        <v>42523</v>
      </c>
      <c r="R11" s="28">
        <f>_xll.qlInterestRateIndexValueDate(Index,Q11,Trigger)</f>
        <v>42527</v>
      </c>
      <c r="S11" s="28">
        <f>_xll.qlInterestRateIndexMaturity(Index,R11,Trigger)</f>
        <v>42557</v>
      </c>
      <c r="T11" s="30">
        <f>_xll.qlIndexFixing($M$6,Q11,,InterestRatesTrigger)</f>
        <v>-1.9040878027141162E-3</v>
      </c>
      <c r="U11" s="30">
        <f>_xll.qlIndexFixing(Index,Q11,,InterestRatesTrigger)</f>
        <v>-1.5389310736972917E-3</v>
      </c>
      <c r="V11" s="30">
        <f t="shared" si="5"/>
        <v>3.651567290168245E-4</v>
      </c>
      <c r="W11" s="29">
        <f>_xll.qlDayCounterYearFraction(DayCounter,SettlementDate,R11,,,Trigger)</f>
        <v>0.68888888888888888</v>
      </c>
      <c r="X11" s="29">
        <f>_xll.qlDayCounterYearFraction(DayCounter,R11,S11)</f>
        <v>8.3333333333333329E-2</v>
      </c>
      <c r="Y11" s="29">
        <f>_xll.qlYieldTSDiscount(Currency&amp;"ON",R11)/(1+U11*X11)</f>
        <v>1.0012541726157465</v>
      </c>
      <c r="Z11" s="30" t="e">
        <f>_xll.qlTenorBasisValue(TenorBasis6M,R11,InterestRatesTrigger)</f>
        <v>#VALUE!</v>
      </c>
      <c r="AA11" s="30" t="e">
        <f t="shared" si="6"/>
        <v>#VALUE!</v>
      </c>
    </row>
    <row r="12" spans="1:27" x14ac:dyDescent="0.2">
      <c r="A12" s="18" t="str">
        <f>_xll.qlPeriodEquivalent(C12&amp;"M")</f>
        <v>5Y</v>
      </c>
      <c r="B12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12" s="11">
        <v>60</v>
      </c>
      <c r="D12" s="10">
        <f t="shared" si="8"/>
        <v>44104</v>
      </c>
      <c r="E12" s="12">
        <f t="shared" si="9"/>
        <v>6</v>
      </c>
      <c r="F12" s="16">
        <f t="shared" si="10"/>
        <v>0</v>
      </c>
      <c r="G12" s="17">
        <f t="shared" si="11"/>
        <v>1E-3</v>
      </c>
      <c r="H12" s="12">
        <f t="shared" si="12"/>
        <v>2.5000000000000001E-4</v>
      </c>
      <c r="I12" s="17">
        <f>MIN(_xll.ohPack($V$3:INDEX($V$3:$V$135,MATCH(D12+1,$R$3:$R$135,1),1)))</f>
        <v>2.1302216110429656E-4</v>
      </c>
      <c r="J12" s="17">
        <f>MAX(_xll.ohPack($V$3:INDEX($V$3:$V$135,MATCH(D12+1,$R$3:$R$135,1),1)))</f>
        <v>6.7952001981148435E-4</v>
      </c>
      <c r="L12" s="46" t="s">
        <v>45</v>
      </c>
      <c r="M12" s="35" t="e">
        <f>_xll.qlAbcdCalibration2(,W3:W720,V3:V720,Y3:Y253,ContBasis,N8:N11,,,,Trigger)</f>
        <v>#NUM!</v>
      </c>
      <c r="N12" s="34"/>
      <c r="O12" s="33">
        <v>1</v>
      </c>
      <c r="P12" s="27" t="str">
        <f>_xll.qlPeriodEquivalent(P11&amp;"+"&amp;O12&amp;"M")</f>
        <v>9M</v>
      </c>
      <c r="Q12" s="28">
        <f>_xll.qlCalendarAdvance(Calendar,SettlementDate,P12,"f",,Trigger)</f>
        <v>42555</v>
      </c>
      <c r="R12" s="28">
        <f>_xll.qlInterestRateIndexValueDate(Index,Q12,Trigger)</f>
        <v>42557</v>
      </c>
      <c r="S12" s="28">
        <f>_xll.qlInterestRateIndexMaturity(Index,R12,Trigger)</f>
        <v>42590</v>
      </c>
      <c r="T12" s="30">
        <f>_xll.qlIndexFixing($M$6,Q12,,InterestRatesTrigger)</f>
        <v>-1.9422389709672866E-3</v>
      </c>
      <c r="U12" s="30">
        <f>_xll.qlIndexFixing(Index,Q12,,InterestRatesTrigger)</f>
        <v>-1.5265712472922743E-3</v>
      </c>
      <c r="V12" s="30">
        <f t="shared" si="5"/>
        <v>4.1566772367501227E-4</v>
      </c>
      <c r="W12" s="29">
        <f>_xll.qlDayCounterYearFraction(DayCounter,SettlementDate,R12,,,Trigger)</f>
        <v>0.77222222222222225</v>
      </c>
      <c r="X12" s="29">
        <f>_xll.qlDayCounterYearFraction(DayCounter,R12,S12)</f>
        <v>9.166666666666666E-2</v>
      </c>
      <c r="Y12" s="29">
        <f>_xll.qlYieldTSDiscount(Currency&amp;"ON",R12)/(1+U12*X12)</f>
        <v>1.0014247804178347</v>
      </c>
      <c r="Z12" s="30" t="e">
        <f>_xll.qlTenorBasisValue(TenorBasis6M,R12,InterestRatesTrigger)</f>
        <v>#VALUE!</v>
      </c>
      <c r="AA12" s="30" t="e">
        <f t="shared" si="6"/>
        <v>#VALUE!</v>
      </c>
    </row>
    <row r="13" spans="1:27" x14ac:dyDescent="0.2">
      <c r="A13" s="18" t="str">
        <f>_xll.qlPeriodEquivalent(C13&amp;"M")</f>
        <v>10Y</v>
      </c>
      <c r="B13" s="10">
        <f t="shared" ref="B13:B16" si="13">B12</f>
        <v>42185</v>
      </c>
      <c r="C13" s="11">
        <v>120</v>
      </c>
      <c r="D13" s="10">
        <f t="shared" si="8"/>
        <v>45930</v>
      </c>
      <c r="E13" s="12">
        <f t="shared" si="9"/>
        <v>6</v>
      </c>
      <c r="F13" s="16">
        <f t="shared" si="10"/>
        <v>0</v>
      </c>
      <c r="G13" s="17">
        <f t="shared" si="11"/>
        <v>1E-3</v>
      </c>
      <c r="H13" s="12">
        <f t="shared" si="12"/>
        <v>2.5000000000000001E-4</v>
      </c>
      <c r="I13" s="17">
        <f>MIN(_xll.ohPack($V$3:INDEX($V$3:$V$135,MATCH(D13+1,$R$3:$R$135,1),1)))</f>
        <v>2.1302216110429656E-4</v>
      </c>
      <c r="J13" s="17">
        <f>MAX(_xll.ohPack($V$3:INDEX($V$3:$V$135,MATCH(D13+1,$R$3:$R$135,1),1)))</f>
        <v>6.7952001981148435E-4</v>
      </c>
      <c r="L13" s="46" t="s">
        <v>38</v>
      </c>
      <c r="M13" s="35" t="e">
        <f>_xll.qlAbcdCalibration2Compute(M12,AllTriggers)</f>
        <v>#VALUE!</v>
      </c>
      <c r="O13" s="33">
        <v>1</v>
      </c>
      <c r="P13" s="27" t="str">
        <f>_xll.qlPeriodEquivalent(P12&amp;"+"&amp;O13&amp;"M")</f>
        <v>10M</v>
      </c>
      <c r="Q13" s="28">
        <f>_xll.qlCalendarAdvance(Calendar,SettlementDate,P13,"f",,Trigger)</f>
        <v>42584</v>
      </c>
      <c r="R13" s="28">
        <f>_xll.qlInterestRateIndexValueDate(Index,Q13,Trigger)</f>
        <v>42586</v>
      </c>
      <c r="S13" s="28">
        <f>_xll.qlInterestRateIndexMaturity(Index,R13,Trigger)</f>
        <v>42618</v>
      </c>
      <c r="T13" s="30">
        <f>_xll.qlIndexFixing($M$6,Q13,,InterestRatesTrigger)</f>
        <v>-1.9586563258763845E-3</v>
      </c>
      <c r="U13" s="30">
        <f>_xll.qlIndexFixing(Index,Q13,,InterestRatesTrigger)</f>
        <v>-1.5461340969499804E-3</v>
      </c>
      <c r="V13" s="30">
        <f t="shared" si="5"/>
        <v>4.1252222892640411E-4</v>
      </c>
      <c r="W13" s="29">
        <f>_xll.qlDayCounterYearFraction(DayCounter,SettlementDate,R13,,,Trigger)</f>
        <v>0.85277777777777775</v>
      </c>
      <c r="X13" s="29">
        <f>_xll.qlDayCounterYearFraction(DayCounter,R13,S13)</f>
        <v>8.8888888888888892E-2</v>
      </c>
      <c r="Y13" s="29">
        <f>_xll.qlYieldTSDiscount(Currency&amp;"ON",R13)/(1+U13*X13)</f>
        <v>1.0015788970523583</v>
      </c>
      <c r="Z13" s="30" t="e">
        <f>_xll.qlTenorBasisValue(TenorBasis6M,R13,InterestRatesTrigger)</f>
        <v>#VALUE!</v>
      </c>
      <c r="AA13" s="30" t="e">
        <f t="shared" si="6"/>
        <v>#VALUE!</v>
      </c>
    </row>
    <row r="14" spans="1:27" x14ac:dyDescent="0.2">
      <c r="A14" s="18" t="str">
        <f>_xll.qlPeriodEquivalent(C14&amp;"M")</f>
        <v>20Y</v>
      </c>
      <c r="B14" s="10">
        <f>IF(AND(MONTH(B13)=12),B13,_xll.qlDateEndOfMonth(EDATE(B13,-6)))</f>
        <v>42004</v>
      </c>
      <c r="C14" s="11">
        <v>240</v>
      </c>
      <c r="D14" s="10">
        <f t="shared" si="8"/>
        <v>49582</v>
      </c>
      <c r="E14" s="13">
        <f t="shared" si="9"/>
        <v>12</v>
      </c>
      <c r="F14" s="16">
        <f t="shared" si="10"/>
        <v>0</v>
      </c>
      <c r="G14" s="17">
        <f t="shared" si="11"/>
        <v>1E-3</v>
      </c>
      <c r="H14" s="12">
        <f t="shared" si="12"/>
        <v>2.5000000000000001E-4</v>
      </c>
      <c r="I14" s="17">
        <f>MIN(_xll.ohPack($V$3:INDEX($V$3:$V$135,MATCH(D14+1,$R$3:$R$135,1),1)))</f>
        <v>2.1302216110429656E-4</v>
      </c>
      <c r="J14" s="17">
        <f>MAX(_xll.ohPack($V$3:INDEX($V$3:$V$135,MATCH(D14+1,$R$3:$R$135,1),1)))</f>
        <v>6.7952001981148435E-4</v>
      </c>
      <c r="L14" s="46" t="s">
        <v>35</v>
      </c>
      <c r="M14" s="43" t="e">
        <f>_xll.qlAbcdCalibration2Error(M12)</f>
        <v>#VALUE!</v>
      </c>
      <c r="O14" s="33">
        <v>1</v>
      </c>
      <c r="P14" s="27" t="str">
        <f>_xll.qlPeriodEquivalent(P13&amp;"+"&amp;O14&amp;"M")</f>
        <v>11M</v>
      </c>
      <c r="Q14" s="28">
        <f>_xll.qlCalendarAdvance(Calendar,SettlementDate,P14,"f",,Trigger)</f>
        <v>42615</v>
      </c>
      <c r="R14" s="28">
        <f>_xll.qlInterestRateIndexValueDate(Index,Q14,Trigger)</f>
        <v>42619</v>
      </c>
      <c r="S14" s="28">
        <f>_xll.qlInterestRateIndexMaturity(Index,R14,Trigger)</f>
        <v>42649</v>
      </c>
      <c r="T14" s="30">
        <f>_xll.qlIndexFixing($M$6,Q14,,InterestRatesTrigger)</f>
        <v>-1.9872628827628525E-3</v>
      </c>
      <c r="U14" s="30">
        <f>_xll.qlIndexFixing(Index,Q14,,InterestRatesTrigger)</f>
        <v>-1.462576952619532E-3</v>
      </c>
      <c r="V14" s="30">
        <f t="shared" si="5"/>
        <v>5.2468593014332043E-4</v>
      </c>
      <c r="W14" s="29">
        <f>_xll.qlDayCounterYearFraction(DayCounter,SettlementDate,R14,,,Trigger)</f>
        <v>0.94444444444444442</v>
      </c>
      <c r="X14" s="29">
        <f>_xll.qlDayCounterYearFraction(DayCounter,R14,S14)</f>
        <v>8.3333333333333329E-2</v>
      </c>
      <c r="Y14" s="29">
        <f>_xll.qlYieldTSDiscount(Currency&amp;"ON",R14)/(1+U14*X14)</f>
        <v>1.0017432111604221</v>
      </c>
      <c r="Z14" s="30" t="e">
        <f>_xll.qlTenorBasisValue(TenorBasis6M,R14,InterestRatesTrigger)</f>
        <v>#VALUE!</v>
      </c>
      <c r="AA14" s="30" t="e">
        <f t="shared" si="6"/>
        <v>#VALUE!</v>
      </c>
    </row>
    <row r="15" spans="1:27" x14ac:dyDescent="0.2">
      <c r="A15" s="18" t="str">
        <f>_xll.qlPeriodEquivalent(C15&amp;"M")</f>
        <v>30Y</v>
      </c>
      <c r="B15" s="10">
        <f t="shared" si="13"/>
        <v>42004</v>
      </c>
      <c r="C15" s="11">
        <v>360</v>
      </c>
      <c r="D15" s="10">
        <f t="shared" si="8"/>
        <v>53235</v>
      </c>
      <c r="E15" s="13">
        <f t="shared" si="9"/>
        <v>36</v>
      </c>
      <c r="F15" s="16">
        <f t="shared" si="10"/>
        <v>0</v>
      </c>
      <c r="G15" s="17">
        <f t="shared" si="11"/>
        <v>1E-3</v>
      </c>
      <c r="H15" s="12">
        <f t="shared" si="12"/>
        <v>2.5000000000000001E-4</v>
      </c>
      <c r="I15" s="17">
        <f>MIN(_xll.ohPack($V$3:INDEX($V$3:$V$135,MATCH(D15+1,$R$3:$R$135,1),1)))</f>
        <v>2.1302216110429656E-4</v>
      </c>
      <c r="J15" s="17">
        <f>MAX(_xll.ohPack($V$3:INDEX($V$3:$V$135,MATCH(D15+1,$R$3:$R$135,1),1)))</f>
        <v>6.7952001981148435E-4</v>
      </c>
      <c r="L15" s="46" t="s">
        <v>57</v>
      </c>
      <c r="M15" s="43" t="e">
        <f>_xll.qlAbcdCalibration2MaxError(M12)</f>
        <v>#VALUE!</v>
      </c>
      <c r="O15" s="33">
        <v>1</v>
      </c>
      <c r="P15" s="27" t="str">
        <f>_xll.qlPeriodEquivalent(P14&amp;"+"&amp;O15&amp;"M")</f>
        <v>1Y</v>
      </c>
      <c r="Q15" s="28">
        <f>_xll.qlCalendarAdvance(Calendar,SettlementDate,P15,"f",,Trigger)</f>
        <v>42646</v>
      </c>
      <c r="R15" s="28">
        <f>_xll.qlInterestRateIndexValueDate(Index,Q15,Trigger)</f>
        <v>42648</v>
      </c>
      <c r="S15" s="28">
        <f>_xll.qlInterestRateIndexMaturity(Index,R15,Trigger)</f>
        <v>42681</v>
      </c>
      <c r="T15" s="30">
        <f>_xll.qlIndexFixing($M$6,Q15,,InterestRatesTrigger)</f>
        <v>-1.9821376152163628E-3</v>
      </c>
      <c r="U15" s="30">
        <f>_xll.qlIndexFixing(Index,Q15,,InterestRatesTrigger)</f>
        <v>-1.4368878805520232E-3</v>
      </c>
      <c r="V15" s="30">
        <f t="shared" si="5"/>
        <v>5.452497346643396E-4</v>
      </c>
      <c r="W15" s="29">
        <f>_xll.qlDayCounterYearFraction(DayCounter,SettlementDate,R15,,,Trigger)</f>
        <v>1.0249999999999999</v>
      </c>
      <c r="X15" s="29">
        <f>_xll.qlDayCounterYearFraction(DayCounter,R15,S15)</f>
        <v>9.166666666666666E-2</v>
      </c>
      <c r="Y15" s="29">
        <f>_xll.qlYieldTSDiscount(Currency&amp;"ON",R15)/(1+U15*X15)</f>
        <v>1.0019134329870285</v>
      </c>
      <c r="Z15" s="30" t="e">
        <f>_xll.qlTenorBasisValue(TenorBasis6M,R15,InterestRatesTrigger)</f>
        <v>#VALUE!</v>
      </c>
      <c r="AA15" s="30" t="e">
        <f t="shared" si="6"/>
        <v>#VALUE!</v>
      </c>
    </row>
    <row r="16" spans="1:27" x14ac:dyDescent="0.2">
      <c r="A16" s="19" t="str">
        <f>_xll.qlPeriodEquivalent(C16&amp;"M")</f>
        <v>60Y</v>
      </c>
      <c r="B16" s="20">
        <f t="shared" si="13"/>
        <v>42004</v>
      </c>
      <c r="C16" s="21">
        <v>720</v>
      </c>
      <c r="D16" s="20">
        <f t="shared" si="8"/>
        <v>64192</v>
      </c>
      <c r="E16" s="22">
        <f t="shared" si="9"/>
        <v>60</v>
      </c>
      <c r="F16" s="23">
        <f t="shared" si="10"/>
        <v>0</v>
      </c>
      <c r="G16" s="24">
        <f t="shared" si="11"/>
        <v>1E-3</v>
      </c>
      <c r="H16" s="25">
        <f t="shared" si="12"/>
        <v>2.5000000000000001E-4</v>
      </c>
      <c r="I16" s="24">
        <f>MIN(_xll.ohPack($V$3:INDEX($V$3:$V$135,MATCH(D16+1,$R$3:$R$135,1),1)))</f>
        <v>2.1302216110429656E-4</v>
      </c>
      <c r="J16" s="24">
        <f>MAX(_xll.ohPack($V$3:INDEX($V$3:$V$135,MATCH(D16+1,$R$3:$R$135,1),1)))</f>
        <v>6.7952001981148435E-4</v>
      </c>
      <c r="O16" s="33">
        <v>1</v>
      </c>
      <c r="P16" s="27" t="str">
        <f>_xll.qlPeriodEquivalent(P15&amp;"+"&amp;O16&amp;"M")</f>
        <v>1Y1M</v>
      </c>
      <c r="Q16" s="28">
        <f>_xll.qlCalendarAdvance(Calendar,SettlementDate,P16,"f",,Trigger)</f>
        <v>42676</v>
      </c>
      <c r="R16" s="28">
        <f>_xll.qlInterestRateIndexValueDate(Index,Q16,Trigger)</f>
        <v>42678</v>
      </c>
      <c r="S16" s="28">
        <f>_xll.qlInterestRateIndexMaturity(Index,R16,Trigger)</f>
        <v>42709</v>
      </c>
      <c r="T16" s="30">
        <f>_xll.qlIndexFixing($M$6,Q16,,InterestRatesTrigger)</f>
        <v>-1.9563400396770082E-3</v>
      </c>
      <c r="U16" s="30">
        <f>_xll.qlIndexFixing(Index,Q16,,InterestRatesTrigger)</f>
        <v>-1.4222505395078053E-3</v>
      </c>
      <c r="V16" s="30">
        <f t="shared" si="5"/>
        <v>5.3408950016920289E-4</v>
      </c>
      <c r="W16" s="29">
        <f>_xll.qlDayCounterYearFraction(DayCounter,SettlementDate,R16,,,Trigger)</f>
        <v>1.1083333333333334</v>
      </c>
      <c r="X16" s="29">
        <f>_xll.qlDayCounterYearFraction(DayCounter,R16,S16)</f>
        <v>8.611111111111111E-2</v>
      </c>
      <c r="Y16" s="29">
        <f>_xll.qlYieldTSDiscount(Currency&amp;"ON",R16)/(1+U16*X16)</f>
        <v>1.0020698459193191</v>
      </c>
      <c r="Z16" s="30" t="e">
        <f>_xll.qlTenorBasisValue(TenorBasis6M,R16,InterestRatesTrigger)</f>
        <v>#VALUE!</v>
      </c>
      <c r="AA16" s="30" t="e">
        <f t="shared" si="6"/>
        <v>#VALUE!</v>
      </c>
    </row>
    <row r="17" spans="12:27" x14ac:dyDescent="0.2">
      <c r="L17" s="72" t="s">
        <v>51</v>
      </c>
      <c r="M17" s="73"/>
      <c r="O17" s="33">
        <v>1</v>
      </c>
      <c r="P17" s="27" t="str">
        <f>_xll.qlPeriodEquivalent(P16&amp;"+"&amp;O17&amp;"M")</f>
        <v>1Y2M</v>
      </c>
      <c r="Q17" s="28">
        <f>_xll.qlCalendarAdvance(Calendar,SettlementDate,P17,"f",,Trigger)</f>
        <v>42706</v>
      </c>
      <c r="R17" s="28">
        <f>_xll.qlInterestRateIndexValueDate(Index,Q17,Trigger)</f>
        <v>42710</v>
      </c>
      <c r="S17" s="28">
        <f>_xll.qlInterestRateIndexMaturity(Index,R17,Trigger)</f>
        <v>42741</v>
      </c>
      <c r="T17" s="30">
        <f>_xll.qlIndexFixing($M$6,Q17,,InterestRatesTrigger)</f>
        <v>-1.8856468601744932E-3</v>
      </c>
      <c r="U17" s="30">
        <f>_xll.qlIndexFixing(Index,Q17,,InterestRatesTrigger)</f>
        <v>-1.3973735783599738E-3</v>
      </c>
      <c r="V17" s="30">
        <f t="shared" si="5"/>
        <v>4.8827328181451943E-4</v>
      </c>
      <c r="W17" s="29">
        <f>_xll.qlDayCounterYearFraction(DayCounter,SettlementDate,R17,,,Trigger)</f>
        <v>1.1972222222222222</v>
      </c>
      <c r="X17" s="29">
        <f>_xll.qlDayCounterYearFraction(DayCounter,R17,S17)</f>
        <v>8.611111111111111E-2</v>
      </c>
      <c r="Y17" s="29">
        <f>_xll.qlYieldTSDiscount(Currency&amp;"ON",R17)/(1+U17*X17)</f>
        <v>1.0022419889611724</v>
      </c>
      <c r="Z17" s="30" t="e">
        <f>_xll.qlTenorBasisValue(TenorBasis6M,R17,InterestRatesTrigger)</f>
        <v>#VALUE!</v>
      </c>
      <c r="AA17" s="30" t="e">
        <f t="shared" si="6"/>
        <v>#VALUE!</v>
      </c>
    </row>
    <row r="18" spans="12:27" x14ac:dyDescent="0.2">
      <c r="L18" s="46" t="s">
        <v>46</v>
      </c>
      <c r="M18" s="43" t="e">
        <f>_xll.qlAbcdCalibration2A($M$12,M13)</f>
        <v>#VALUE!</v>
      </c>
      <c r="O18" s="33">
        <v>1</v>
      </c>
      <c r="P18" s="27" t="str">
        <f>_xll.qlPeriodEquivalent(P17&amp;"+"&amp;O18&amp;"M")</f>
        <v>1Y3M</v>
      </c>
      <c r="Q18" s="28">
        <f>_xll.qlCalendarAdvance(Calendar,SettlementDate,P18,"f",,Trigger)</f>
        <v>42737</v>
      </c>
      <c r="R18" s="28">
        <f>_xll.qlInterestRateIndexValueDate(Index,Q18,Trigger)</f>
        <v>42739</v>
      </c>
      <c r="S18" s="28">
        <f>_xll.qlInterestRateIndexMaturity(Index,R18,Trigger)</f>
        <v>42772</v>
      </c>
      <c r="T18" s="30">
        <f>_xll.qlIndexFixing($M$6,Q18,,InterestRatesTrigger)</f>
        <v>-1.8992622498533024E-3</v>
      </c>
      <c r="U18" s="30">
        <f>_xll.qlIndexFixing(Index,Q18,,InterestRatesTrigger)</f>
        <v>-1.3650612768206279E-3</v>
      </c>
      <c r="V18" s="30">
        <f t="shared" si="5"/>
        <v>5.3420097303267448E-4</v>
      </c>
      <c r="W18" s="29">
        <f>_xll.qlDayCounterYearFraction(DayCounter,SettlementDate,R18,,,Trigger)</f>
        <v>1.2777777777777777</v>
      </c>
      <c r="X18" s="29">
        <f>_xll.qlDayCounterYearFraction(DayCounter,R18,S18)</f>
        <v>9.166666666666666E-2</v>
      </c>
      <c r="Y18" s="29">
        <f>_xll.qlYieldTSDiscount(Currency&amp;"ON",R18)/(1+U18*X18)</f>
        <v>1.0023987387546549</v>
      </c>
      <c r="Z18" s="30" t="e">
        <f>_xll.qlTenorBasisValue(TenorBasis6M,R18,InterestRatesTrigger)</f>
        <v>#VALUE!</v>
      </c>
      <c r="AA18" s="30" t="e">
        <f t="shared" si="6"/>
        <v>#VALUE!</v>
      </c>
    </row>
    <row r="19" spans="12:27" x14ac:dyDescent="0.2">
      <c r="L19" s="46" t="s">
        <v>47</v>
      </c>
      <c r="M19" s="44" t="e">
        <f>_xll.qlAbcdCalibration2B($M$12,M13)</f>
        <v>#VALUE!</v>
      </c>
      <c r="O19" s="33">
        <v>1</v>
      </c>
      <c r="P19" s="27" t="str">
        <f>_xll.qlPeriodEquivalent(P18&amp;"+"&amp;O19&amp;"M")</f>
        <v>1Y4M</v>
      </c>
      <c r="Q19" s="28">
        <f>_xll.qlCalendarAdvance(Calendar,SettlementDate,P19,"f",,Trigger)</f>
        <v>42768</v>
      </c>
      <c r="R19" s="28">
        <f>_xll.qlInterestRateIndexValueDate(Index,Q19,Trigger)</f>
        <v>42772</v>
      </c>
      <c r="S19" s="28">
        <f>_xll.qlInterestRateIndexMaturity(Index,R19,Trigger)</f>
        <v>42800</v>
      </c>
      <c r="T19" s="30">
        <f>_xll.qlIndexFixing($M$6,Q19,,InterestRatesTrigger)</f>
        <v>-1.8173835422731685E-3</v>
      </c>
      <c r="U19" s="30">
        <f>_xll.qlIndexFixing(Index,Q19,,InterestRatesTrigger)</f>
        <v>-1.3228884200263849E-3</v>
      </c>
      <c r="V19" s="30">
        <f t="shared" si="5"/>
        <v>4.9449512224678362E-4</v>
      </c>
      <c r="W19" s="29">
        <f>_xll.qlDayCounterYearFraction(DayCounter,SettlementDate,R19,,,Trigger)</f>
        <v>1.3694444444444445</v>
      </c>
      <c r="X19" s="29">
        <f>_xll.qlDayCounterYearFraction(DayCounter,R19,S19)</f>
        <v>7.7777777777777779E-2</v>
      </c>
      <c r="Y19" s="29">
        <f>_xll.qlYieldTSDiscount(Currency&amp;"ON",R19)/(1+U19*X19)</f>
        <v>1.0025509869829088</v>
      </c>
      <c r="Z19" s="30" t="e">
        <f>_xll.qlTenorBasisValue(TenorBasis6M,R19,InterestRatesTrigger)</f>
        <v>#VALUE!</v>
      </c>
      <c r="AA19" s="30" t="e">
        <f t="shared" si="6"/>
        <v>#VALUE!</v>
      </c>
    </row>
    <row r="20" spans="12:27" x14ac:dyDescent="0.2">
      <c r="L20" s="46" t="s">
        <v>48</v>
      </c>
      <c r="M20" s="44" t="e">
        <f>_xll.qlAbcdCalibration2C($M$12,M13)</f>
        <v>#VALUE!</v>
      </c>
      <c r="O20" s="33">
        <v>1</v>
      </c>
      <c r="P20" s="27" t="str">
        <f>_xll.qlPeriodEquivalent(P19&amp;"+"&amp;O20&amp;"M")</f>
        <v>1Y5M</v>
      </c>
      <c r="Q20" s="28">
        <f>_xll.qlCalendarAdvance(Calendar,SettlementDate,P20,"f",,Trigger)</f>
        <v>42796</v>
      </c>
      <c r="R20" s="28">
        <f>_xll.qlInterestRateIndexValueDate(Index,Q20,Trigger)</f>
        <v>42800</v>
      </c>
      <c r="S20" s="28">
        <f>_xll.qlInterestRateIndexMaturity(Index,R20,Trigger)</f>
        <v>42831</v>
      </c>
      <c r="T20" s="30">
        <f>_xll.qlIndexFixing($M$6,Q20,,InterestRatesTrigger)</f>
        <v>-1.7538166893663503E-3</v>
      </c>
      <c r="U20" s="30">
        <f>_xll.qlIndexFixing(Index,Q20,,InterestRatesTrigger)</f>
        <v>-1.2720933999596418E-3</v>
      </c>
      <c r="V20" s="30">
        <f t="shared" si="5"/>
        <v>4.8172328940670854E-4</v>
      </c>
      <c r="W20" s="29">
        <f>_xll.qlDayCounterYearFraction(DayCounter,SettlementDate,R20,,,Trigger)</f>
        <v>1.4472222222222222</v>
      </c>
      <c r="X20" s="29">
        <f>_xll.qlDayCounterYearFraction(DayCounter,R20,S20)</f>
        <v>8.611111111111111E-2</v>
      </c>
      <c r="Y20" s="29">
        <f>_xll.qlYieldTSDiscount(Currency&amp;"ON",R20)/(1+U20*X20)</f>
        <v>1.0026993883494297</v>
      </c>
      <c r="Z20" s="30" t="e">
        <f>_xll.qlTenorBasisValue(TenorBasis6M,R20,InterestRatesTrigger)</f>
        <v>#VALUE!</v>
      </c>
      <c r="AA20" s="30" t="e">
        <f t="shared" si="6"/>
        <v>#VALUE!</v>
      </c>
    </row>
    <row r="21" spans="12:27" x14ac:dyDescent="0.2">
      <c r="L21" s="46" t="s">
        <v>49</v>
      </c>
      <c r="M21" s="43" t="e">
        <f>_xll.qlAbcdCalibration2D($M$12,M13)</f>
        <v>#VALUE!</v>
      </c>
      <c r="O21" s="33">
        <v>1</v>
      </c>
      <c r="P21" s="27" t="str">
        <f>_xll.qlPeriodEquivalent(P20&amp;"+"&amp;O21&amp;"M")</f>
        <v>1Y6M</v>
      </c>
      <c r="Q21" s="28">
        <f>_xll.qlCalendarAdvance(Calendar,SettlementDate,P21,"f",,Trigger)</f>
        <v>42828</v>
      </c>
      <c r="R21" s="28">
        <f>_xll.qlInterestRateIndexValueDate(Index,Q21,Trigger)</f>
        <v>42830</v>
      </c>
      <c r="S21" s="28">
        <f>_xll.qlInterestRateIndexMaturity(Index,R21,Trigger)</f>
        <v>42860</v>
      </c>
      <c r="T21" s="30">
        <f>_xll.qlIndexFixing($M$6,Q21,,InterestRatesTrigger)</f>
        <v>-1.7035180477509293E-3</v>
      </c>
      <c r="U21" s="30">
        <f>_xll.qlIndexFixing(Index,Q21,,InterestRatesTrigger)</f>
        <v>-1.2111972618722433E-3</v>
      </c>
      <c r="V21" s="30">
        <f t="shared" si="5"/>
        <v>4.92320785878686E-4</v>
      </c>
      <c r="W21" s="29">
        <f>_xll.qlDayCounterYearFraction(DayCounter,SettlementDate,R21,,,Trigger)</f>
        <v>1.5305555555555554</v>
      </c>
      <c r="X21" s="29">
        <f>_xll.qlDayCounterYearFraction(DayCounter,R21,S21)</f>
        <v>8.3333333333333329E-2</v>
      </c>
      <c r="Y21" s="29">
        <f>_xll.qlYieldTSDiscount(Currency&amp;"ON",R21)/(1+U21*X21)</f>
        <v>1.0028373940814381</v>
      </c>
      <c r="Z21" s="30" t="e">
        <f>_xll.qlTenorBasisValue(TenorBasis6M,R21,InterestRatesTrigger)</f>
        <v>#VALUE!</v>
      </c>
      <c r="AA21" s="30" t="e">
        <f t="shared" si="6"/>
        <v>#VALUE!</v>
      </c>
    </row>
    <row r="22" spans="12:27" x14ac:dyDescent="0.2">
      <c r="L22" s="46" t="s">
        <v>50</v>
      </c>
      <c r="M22" s="35" t="e">
        <f>_xll.qlAbcdTenorBasis(,Index,Currency&amp;"ON",SettlementDate,TRUE,M18:M21,,Trigger)</f>
        <v>#NUM!</v>
      </c>
      <c r="O22" s="33">
        <v>1</v>
      </c>
      <c r="P22" s="27" t="str">
        <f>_xll.qlPeriodEquivalent(P21&amp;"+"&amp;O22&amp;"M")</f>
        <v>1Y7M</v>
      </c>
      <c r="Q22" s="28">
        <f>_xll.qlCalendarAdvance(Calendar,SettlementDate,P22,"f",,Trigger)</f>
        <v>42857</v>
      </c>
      <c r="R22" s="28">
        <f>_xll.qlInterestRateIndexValueDate(Index,Q22,Trigger)</f>
        <v>42859</v>
      </c>
      <c r="S22" s="28">
        <f>_xll.qlInterestRateIndexMaturity(Index,R22,Trigger)</f>
        <v>42891</v>
      </c>
      <c r="T22" s="30">
        <f>_xll.qlIndexFixing($M$6,Q22,,InterestRatesTrigger)</f>
        <v>-1.6429161730195652E-3</v>
      </c>
      <c r="U22" s="30">
        <f>_xll.qlIndexFixing(Index,Q22,,InterestRatesTrigger)</f>
        <v>-1.1380530622222274E-3</v>
      </c>
      <c r="V22" s="30">
        <f t="shared" si="5"/>
        <v>5.0486311079733781E-4</v>
      </c>
      <c r="W22" s="29">
        <f>_xll.qlDayCounterYearFraction(DayCounter,SettlementDate,R22,,,Trigger)</f>
        <v>1.6111111111111112</v>
      </c>
      <c r="X22" s="29">
        <f>_xll.qlDayCounterYearFraction(DayCounter,R22,S22)</f>
        <v>8.8888888888888892E-2</v>
      </c>
      <c r="Y22" s="29">
        <f>_xll.qlYieldTSDiscount(Currency&amp;"ON",R22)/(1+U22*X22)</f>
        <v>1.0029753328525681</v>
      </c>
      <c r="Z22" s="30" t="e">
        <f>_xll.qlTenorBasisValue(TenorBasis6M,R22,InterestRatesTrigger)</f>
        <v>#VALUE!</v>
      </c>
      <c r="AA22" s="30" t="e">
        <f t="shared" si="6"/>
        <v>#VALUE!</v>
      </c>
    </row>
    <row r="23" spans="12:27" x14ac:dyDescent="0.2">
      <c r="M23" s="42" t="e">
        <f>1/M20-M18/M19</f>
        <v>#VALUE!</v>
      </c>
      <c r="O23" s="33">
        <v>1</v>
      </c>
      <c r="P23" s="27" t="str">
        <f>_xll.qlPeriodEquivalent(P22&amp;"+"&amp;O23&amp;"M")</f>
        <v>1Y8M</v>
      </c>
      <c r="Q23" s="28">
        <f>_xll.qlCalendarAdvance(Calendar,SettlementDate,P23,"f",,Trigger)</f>
        <v>42888</v>
      </c>
      <c r="R23" s="28">
        <f>_xll.qlInterestRateIndexValueDate(Index,Q23,Trigger)</f>
        <v>42892</v>
      </c>
      <c r="S23" s="28">
        <f>_xll.qlInterestRateIndexMaturity(Index,R23,Trigger)</f>
        <v>42922</v>
      </c>
      <c r="T23" s="30">
        <f>_xll.qlIndexFixing($M$6,Q23,,InterestRatesTrigger)</f>
        <v>-1.5609320428144891E-3</v>
      </c>
      <c r="U23" s="30">
        <f>_xll.qlIndexFixing(Index,Q23,,InterestRatesTrigger)</f>
        <v>-1.0471137985690326E-3</v>
      </c>
      <c r="V23" s="30">
        <f t="shared" si="5"/>
        <v>5.1381824424545641E-4</v>
      </c>
      <c r="W23" s="29">
        <f>_xll.qlDayCounterYearFraction(DayCounter,SettlementDate,R23,,,Trigger)</f>
        <v>1.7027777777777777</v>
      </c>
      <c r="X23" s="29">
        <f>_xll.qlDayCounterYearFraction(DayCounter,R23,S23)</f>
        <v>8.3333333333333329E-2</v>
      </c>
      <c r="Y23" s="29">
        <f>_xll.qlYieldTSDiscount(Currency&amp;"ON",R23)/(1+U23*X23)</f>
        <v>1.0031123493955345</v>
      </c>
      <c r="Z23" s="30" t="e">
        <f>_xll.qlTenorBasisValue(TenorBasis6M,R23,InterestRatesTrigger)</f>
        <v>#VALUE!</v>
      </c>
      <c r="AA23" s="30" t="e">
        <f t="shared" si="6"/>
        <v>#VALUE!</v>
      </c>
    </row>
    <row r="24" spans="12:27" x14ac:dyDescent="0.2">
      <c r="O24" s="33">
        <v>1</v>
      </c>
      <c r="P24" s="27" t="str">
        <f>_xll.qlPeriodEquivalent(P23&amp;"+"&amp;O24&amp;"M")</f>
        <v>1Y9M</v>
      </c>
      <c r="Q24" s="28">
        <f>_xll.qlCalendarAdvance(Calendar,SettlementDate,P24,"f",,Trigger)</f>
        <v>42919</v>
      </c>
      <c r="R24" s="28">
        <f>_xll.qlInterestRateIndexValueDate(Index,Q24,Trigger)</f>
        <v>42921</v>
      </c>
      <c r="S24" s="28">
        <f>_xll.qlInterestRateIndexMaturity(Index,R24,Trigger)</f>
        <v>42954</v>
      </c>
      <c r="T24" s="30">
        <f>_xll.qlIndexFixing($M$6,Q24,,InterestRatesTrigger)</f>
        <v>-1.464826169245451E-3</v>
      </c>
      <c r="U24" s="30">
        <f>_xll.qlIndexFixing(Index,Q24,,InterestRatesTrigger)</f>
        <v>-9.4699976668444219E-4</v>
      </c>
      <c r="V24" s="30">
        <f t="shared" si="5"/>
        <v>5.1782640256100882E-4</v>
      </c>
      <c r="W24" s="29">
        <f>_xll.qlDayCounterYearFraction(DayCounter,SettlementDate,R24,,,Trigger)</f>
        <v>1.7833333333333334</v>
      </c>
      <c r="X24" s="29">
        <f>_xll.qlDayCounterYearFraction(DayCounter,R24,S24)</f>
        <v>9.166666666666666E-2</v>
      </c>
      <c r="Y24" s="29">
        <f>_xll.qlYieldTSDiscount(Currency&amp;"ON",R24)/(1+U24*X24)</f>
        <v>1.0032381654636984</v>
      </c>
      <c r="Z24" s="30" t="e">
        <f>_xll.qlTenorBasisValue(TenorBasis6M,R24,InterestRatesTrigger)</f>
        <v>#VALUE!</v>
      </c>
      <c r="AA24" s="30" t="e">
        <f t="shared" si="6"/>
        <v>#VALUE!</v>
      </c>
    </row>
    <row r="25" spans="12:27" x14ac:dyDescent="0.2">
      <c r="L25" s="72" t="s">
        <v>54</v>
      </c>
      <c r="M25" s="73"/>
      <c r="O25" s="33">
        <v>1</v>
      </c>
      <c r="P25" s="27" t="str">
        <f>_xll.qlPeriodEquivalent(P24&amp;"+"&amp;O25&amp;"M")</f>
        <v>1Y10M</v>
      </c>
      <c r="Q25" s="28">
        <f>_xll.qlCalendarAdvance(Calendar,SettlementDate,P25,"f",,Trigger)</f>
        <v>42949</v>
      </c>
      <c r="R25" s="28">
        <f>_xll.qlInterestRateIndexValueDate(Index,Q25,Trigger)</f>
        <v>42951</v>
      </c>
      <c r="S25" s="28">
        <f>_xll.qlInterestRateIndexMaturity(Index,R25,Trigger)</f>
        <v>42982</v>
      </c>
      <c r="T25" s="30">
        <f>_xll.qlIndexFixing($M$6,Q25,,InterestRatesTrigger)</f>
        <v>-1.3585809845930289E-3</v>
      </c>
      <c r="U25" s="30">
        <f>_xll.qlIndexFixing(Index,Q25,,InterestRatesTrigger)</f>
        <v>-8.3938462702815378E-4</v>
      </c>
      <c r="V25" s="30">
        <f t="shared" si="5"/>
        <v>5.1919635756487515E-4</v>
      </c>
      <c r="W25" s="29">
        <f>_xll.qlDayCounterYearFraction(DayCounter,SettlementDate,R25,,,Trigger)</f>
        <v>1.8666666666666667</v>
      </c>
      <c r="X25" s="29">
        <f>_xll.qlDayCounterYearFraction(DayCounter,R25,S25)</f>
        <v>8.611111111111111E-2</v>
      </c>
      <c r="Y25" s="29">
        <f>_xll.qlYieldTSDiscount(Currency&amp;"ON",R25)/(1+U25*X25)</f>
        <v>1.0033465053633179</v>
      </c>
      <c r="Z25" s="30" t="e">
        <f>_xll.qlTenorBasisValue(TenorBasis6M,R25,InterestRatesTrigger)</f>
        <v>#VALUE!</v>
      </c>
      <c r="AA25" s="30" t="e">
        <f t="shared" si="6"/>
        <v>#VALUE!</v>
      </c>
    </row>
    <row r="26" spans="12:27" x14ac:dyDescent="0.2">
      <c r="L26" s="46" t="s">
        <v>46</v>
      </c>
      <c r="M26" s="43" t="e">
        <f t="array" ref="M26:M29">_xll.qlTenorInstCoefficients(M22)</f>
        <v>#VALUE!</v>
      </c>
      <c r="O26" s="33">
        <v>1</v>
      </c>
      <c r="P26" s="27" t="str">
        <f>_xll.qlPeriodEquivalent(P25&amp;"+"&amp;O26&amp;"M")</f>
        <v>1Y11M</v>
      </c>
      <c r="Q26" s="28">
        <f>_xll.qlCalendarAdvance(Calendar,SettlementDate,P26,"f",,Trigger)</f>
        <v>42982</v>
      </c>
      <c r="R26" s="28">
        <f>_xll.qlInterestRateIndexValueDate(Index,Q26,Trigger)</f>
        <v>42984</v>
      </c>
      <c r="S26" s="28">
        <f>_xll.qlInterestRateIndexMaturity(Index,R26,Trigger)</f>
        <v>43014</v>
      </c>
      <c r="T26" s="30">
        <f>_xll.qlIndexFixing($M$6,Q26,,InterestRatesTrigger)</f>
        <v>-1.2213533399108023E-3</v>
      </c>
      <c r="U26" s="30">
        <f>_xll.qlIndexFixing(Index,Q26,,InterestRatesTrigger)</f>
        <v>-7.0339444477651725E-4</v>
      </c>
      <c r="V26" s="30">
        <f t="shared" si="5"/>
        <v>5.1795889513428506E-4</v>
      </c>
      <c r="W26" s="29">
        <f>_xll.qlDayCounterYearFraction(DayCounter,SettlementDate,R26,,,Trigger)</f>
        <v>1.9583333333333333</v>
      </c>
      <c r="X26" s="29">
        <f>_xll.qlDayCounterYearFraction(DayCounter,R26,S26)</f>
        <v>8.3333333333333329E-2</v>
      </c>
      <c r="Y26" s="29">
        <f>_xll.qlYieldTSDiscount(Currency&amp;"ON",R26)/(1+U26*X26)</f>
        <v>1.0034573906986288</v>
      </c>
      <c r="Z26" s="30" t="e">
        <f>_xll.qlTenorBasisValue(TenorBasis6M,R26,InterestRatesTrigger)</f>
        <v>#VALUE!</v>
      </c>
      <c r="AA26" s="30" t="e">
        <f t="shared" si="6"/>
        <v>#VALUE!</v>
      </c>
    </row>
    <row r="27" spans="12:27" x14ac:dyDescent="0.2">
      <c r="L27" s="46" t="s">
        <v>47</v>
      </c>
      <c r="M27" s="44" t="e">
        <v>#VALUE!</v>
      </c>
      <c r="O27" s="33">
        <v>1</v>
      </c>
      <c r="P27" s="27" t="str">
        <f>_xll.qlPeriodEquivalent(P26&amp;"+"&amp;O27&amp;"M")</f>
        <v>2Y</v>
      </c>
      <c r="Q27" s="28">
        <f>_xll.qlCalendarAdvance(Calendar,SettlementDate,P27,"f",,Trigger)</f>
        <v>43010</v>
      </c>
      <c r="R27" s="28">
        <f>_xll.qlInterestRateIndexValueDate(Index,Q27,Trigger)</f>
        <v>43012</v>
      </c>
      <c r="S27" s="28">
        <f>_xll.qlInterestRateIndexMaturity(Index,R27,Trigger)</f>
        <v>43045</v>
      </c>
      <c r="T27" s="30">
        <f>_xll.qlIndexFixing($M$6,Q27,,InterestRatesTrigger)</f>
        <v>-1.0812282953764907E-3</v>
      </c>
      <c r="U27" s="30">
        <f>_xll.qlIndexFixing(Index,Q27,,InterestRatesTrigger)</f>
        <v>-5.6656460768729619E-4</v>
      </c>
      <c r="V27" s="30">
        <f t="shared" si="5"/>
        <v>5.1466368768919449E-4</v>
      </c>
      <c r="W27" s="29">
        <f>_xll.qlDayCounterYearFraction(DayCounter,SettlementDate,R27,,,Trigger)</f>
        <v>2.036111111111111</v>
      </c>
      <c r="X27" s="29">
        <f>_xll.qlDayCounterYearFraction(DayCounter,R27,S27)</f>
        <v>9.166666666666666E-2</v>
      </c>
      <c r="Y27" s="29">
        <f>_xll.qlYieldTSDiscount(Currency&amp;"ON",R27)/(1+U27*X27)</f>
        <v>1.0035463773044446</v>
      </c>
      <c r="Z27" s="30" t="e">
        <f>_xll.qlTenorBasisValue(TenorBasis6M,R27,InterestRatesTrigger)</f>
        <v>#VALUE!</v>
      </c>
      <c r="AA27" s="30" t="e">
        <f t="shared" si="6"/>
        <v>#VALUE!</v>
      </c>
    </row>
    <row r="28" spans="12:27" x14ac:dyDescent="0.2">
      <c r="L28" s="46" t="s">
        <v>48</v>
      </c>
      <c r="M28" s="44" t="e">
        <v>#VALUE!</v>
      </c>
      <c r="O28" s="33">
        <v>1</v>
      </c>
      <c r="P28" s="27" t="str">
        <f>_xll.qlPeriodEquivalent(P27&amp;"+"&amp;O28&amp;"M")</f>
        <v>2Y1M</v>
      </c>
      <c r="Q28" s="28">
        <f>_xll.qlCalendarAdvance(Calendar,SettlementDate,P28,"f",,Trigger)</f>
        <v>43041</v>
      </c>
      <c r="R28" s="28">
        <f>_xll.qlInterestRateIndexValueDate(Index,Q28,Trigger)</f>
        <v>43045</v>
      </c>
      <c r="S28" s="28">
        <f>_xll.qlInterestRateIndexMaturity(Index,R28,Trigger)</f>
        <v>43075</v>
      </c>
      <c r="T28" s="30">
        <f>_xll.qlIndexFixing($M$6,Q28,,InterestRatesTrigger)</f>
        <v>-9.2151339484081163E-4</v>
      </c>
      <c r="U28" s="30">
        <f>_xll.qlIndexFixing(Index,Q28,,InterestRatesTrigger)</f>
        <v>-4.1072407186382165E-4</v>
      </c>
      <c r="V28" s="30">
        <f t="shared" si="5"/>
        <v>5.1078932297698998E-4</v>
      </c>
      <c r="W28" s="29">
        <f>_xll.qlDayCounterYearFraction(DayCounter,SettlementDate,R28,,,Trigger)</f>
        <v>2.1277777777777778</v>
      </c>
      <c r="X28" s="29">
        <f>_xll.qlDayCounterYearFraction(DayCounter,R28,S28)</f>
        <v>8.3333333333333329E-2</v>
      </c>
      <c r="Y28" s="29">
        <f>_xll.qlYieldTSDiscount(Currency&amp;"ON",R28)/(1+U28*X28)</f>
        <v>1.00362807799555</v>
      </c>
      <c r="Z28" s="30" t="e">
        <f>_xll.qlTenorBasisValue(TenorBasis6M,R28,InterestRatesTrigger)</f>
        <v>#VALUE!</v>
      </c>
      <c r="AA28" s="30" t="e">
        <f t="shared" si="6"/>
        <v>#VALUE!</v>
      </c>
    </row>
    <row r="29" spans="12:27" x14ac:dyDescent="0.2">
      <c r="L29" s="46" t="s">
        <v>49</v>
      </c>
      <c r="M29" s="43" t="e">
        <v>#VALUE!</v>
      </c>
      <c r="O29" s="33">
        <v>1</v>
      </c>
      <c r="P29" s="27" t="str">
        <f>_xll.qlPeriodEquivalent(P28&amp;"+"&amp;O29&amp;"M")</f>
        <v>2Y2M</v>
      </c>
      <c r="Q29" s="28">
        <f>_xll.qlCalendarAdvance(Calendar,SettlementDate,P29,"f",,Trigger)</f>
        <v>43073</v>
      </c>
      <c r="R29" s="28">
        <f>_xll.qlInterestRateIndexValueDate(Index,Q29,Trigger)</f>
        <v>43075</v>
      </c>
      <c r="S29" s="28">
        <f>_xll.qlInterestRateIndexMaturity(Index,R29,Trigger)</f>
        <v>43108</v>
      </c>
      <c r="T29" s="30">
        <f>_xll.qlIndexFixing($M$6,Q29,,InterestRatesTrigger)</f>
        <v>-7.5259330703039955E-4</v>
      </c>
      <c r="U29" s="30">
        <f>_xll.qlIndexFixing(Index,Q29,,InterestRatesTrigger)</f>
        <v>-2.4555923386318767E-4</v>
      </c>
      <c r="V29" s="30">
        <f t="shared" si="5"/>
        <v>5.0703407316721183E-4</v>
      </c>
      <c r="W29" s="29">
        <f>_xll.qlDayCounterYearFraction(DayCounter,SettlementDate,R29,,,Trigger)</f>
        <v>2.2111111111111112</v>
      </c>
      <c r="X29" s="29">
        <f>_xll.qlDayCounterYearFraction(DayCounter,R29,S29)</f>
        <v>9.166666666666666E-2</v>
      </c>
      <c r="Y29" s="29">
        <f>_xll.qlYieldTSDiscount(Currency&amp;"ON",R29)/(1+U29*X29)</f>
        <v>1.0036933942185298</v>
      </c>
      <c r="Z29" s="30" t="e">
        <f>_xll.qlTenorBasisValue(TenorBasis6M,R29,InterestRatesTrigger)</f>
        <v>#VALUE!</v>
      </c>
      <c r="AA29" s="30" t="e">
        <f t="shared" si="6"/>
        <v>#VALUE!</v>
      </c>
    </row>
    <row r="30" spans="12:27" x14ac:dyDescent="0.2">
      <c r="M30" s="42" t="e">
        <f>1/M28-M26/M27</f>
        <v>#VALUE!</v>
      </c>
      <c r="O30" s="33">
        <v>1</v>
      </c>
      <c r="P30" s="27" t="str">
        <f>_xll.qlPeriodEquivalent(P29&amp;"+"&amp;O30&amp;"M")</f>
        <v>2Y3M</v>
      </c>
      <c r="Q30" s="28">
        <f>_xll.qlCalendarAdvance(Calendar,SettlementDate,P30,"f",,Trigger)</f>
        <v>43102</v>
      </c>
      <c r="R30" s="28">
        <f>_xll.qlInterestRateIndexValueDate(Index,Q30,Trigger)</f>
        <v>43104</v>
      </c>
      <c r="S30" s="28">
        <f>_xll.qlInterestRateIndexMaturity(Index,R30,Trigger)</f>
        <v>43136</v>
      </c>
      <c r="T30" s="30">
        <f>_xll.qlIndexFixing($M$6,Q30,,InterestRatesTrigger)</f>
        <v>-5.9251728431436446E-4</v>
      </c>
      <c r="U30" s="30">
        <f>_xll.qlIndexFixing(Index,Q30,,InterestRatesTrigger)</f>
        <v>-8.8617289356607287E-5</v>
      </c>
      <c r="V30" s="30">
        <f t="shared" si="5"/>
        <v>5.0389999495775717E-4</v>
      </c>
      <c r="W30" s="29">
        <f>_xll.qlDayCounterYearFraction(DayCounter,SettlementDate,R30,,,Trigger)</f>
        <v>2.2916666666666665</v>
      </c>
      <c r="X30" s="29">
        <f>_xll.qlDayCounterYearFraction(DayCounter,R30,S30)</f>
        <v>8.8888888888888892E-2</v>
      </c>
      <c r="Y30" s="29">
        <f>_xll.qlYieldTSDiscount(Currency&amp;"ON",R30)/(1+U30*X30)</f>
        <v>1.003740455041477</v>
      </c>
      <c r="Z30" s="30" t="e">
        <f>_xll.qlTenorBasisValue(TenorBasis6M,R30,InterestRatesTrigger)</f>
        <v>#VALUE!</v>
      </c>
      <c r="AA30" s="30" t="e">
        <f t="shared" si="6"/>
        <v>#VALUE!</v>
      </c>
    </row>
    <row r="31" spans="12:27" x14ac:dyDescent="0.2">
      <c r="O31" s="33">
        <v>1</v>
      </c>
      <c r="P31" s="27" t="str">
        <f>_xll.qlPeriodEquivalent(P30&amp;"+"&amp;O31&amp;"M")</f>
        <v>2Y4M</v>
      </c>
      <c r="Q31" s="28">
        <f>_xll.qlCalendarAdvance(Calendar,SettlementDate,P31,"f",,Trigger)</f>
        <v>43133</v>
      </c>
      <c r="R31" s="28">
        <f>_xll.qlInterestRateIndexValueDate(Index,Q31,Trigger)</f>
        <v>43137</v>
      </c>
      <c r="S31" s="28">
        <f>_xll.qlInterestRateIndexMaturity(Index,R31,Trigger)</f>
        <v>43165</v>
      </c>
      <c r="T31" s="30">
        <f>_xll.qlIndexFixing($M$6,Q31,,InterestRatesTrigger)</f>
        <v>-4.110404668576452E-4</v>
      </c>
      <c r="U31" s="30">
        <f>_xll.qlIndexFixing(Index,Q31,,InterestRatesTrigger)</f>
        <v>8.9896469759637962E-5</v>
      </c>
      <c r="V31" s="30">
        <f t="shared" si="5"/>
        <v>5.0093693661728319E-4</v>
      </c>
      <c r="W31" s="29">
        <f>_xll.qlDayCounterYearFraction(DayCounter,SettlementDate,R31,,,Trigger)</f>
        <v>2.3833333333333333</v>
      </c>
      <c r="X31" s="29">
        <f>_xll.qlDayCounterYearFraction(DayCounter,R31,S31)</f>
        <v>7.7777777777777779E-2</v>
      </c>
      <c r="Y31" s="29">
        <f>_xll.qlYieldTSDiscount(Currency&amp;"ON",R31)/(1+U31*X31)</f>
        <v>1.0037797838969063</v>
      </c>
      <c r="Z31" s="30" t="e">
        <f>_xll.qlTenorBasisValue(TenorBasis6M,R31,InterestRatesTrigger)</f>
        <v>#VALUE!</v>
      </c>
      <c r="AA31" s="30" t="e">
        <f t="shared" si="6"/>
        <v>#VALUE!</v>
      </c>
    </row>
    <row r="32" spans="12:27" x14ac:dyDescent="0.2">
      <c r="O32" s="33">
        <v>1</v>
      </c>
      <c r="P32" s="27" t="str">
        <f>_xll.qlPeriodEquivalent(P31&amp;"+"&amp;O32&amp;"M")</f>
        <v>2Y5M</v>
      </c>
      <c r="Q32" s="28">
        <f>_xll.qlCalendarAdvance(Calendar,SettlementDate,P32,"f",,Trigger)</f>
        <v>43161</v>
      </c>
      <c r="R32" s="28">
        <f>_xll.qlInterestRateIndexValueDate(Index,Q32,Trigger)</f>
        <v>43165</v>
      </c>
      <c r="S32" s="28">
        <f>_xll.qlInterestRateIndexMaturity(Index,R32,Trigger)</f>
        <v>43196</v>
      </c>
      <c r="T32" s="30">
        <f>_xll.qlIndexFixing($M$6,Q32,,InterestRatesTrigger)</f>
        <v>-2.3152145272157504E-4</v>
      </c>
      <c r="U32" s="30">
        <f>_xll.qlIndexFixing(Index,Q32,,InterestRatesTrigger)</f>
        <v>2.6720111823270862E-4</v>
      </c>
      <c r="V32" s="30">
        <f t="shared" si="5"/>
        <v>4.9872257095428369E-4</v>
      </c>
      <c r="W32" s="29">
        <f>_xll.qlDayCounterYearFraction(DayCounter,SettlementDate,R32,,,Trigger)</f>
        <v>2.4611111111111112</v>
      </c>
      <c r="X32" s="29">
        <f>_xll.qlDayCounterYearFraction(DayCounter,R32,S32)</f>
        <v>8.611111111111111E-2</v>
      </c>
      <c r="Y32" s="29">
        <f>_xll.qlYieldTSDiscount(Currency&amp;"ON",R32)/(1+U32*X32)</f>
        <v>1.0037957978533933</v>
      </c>
      <c r="Z32" s="30" t="e">
        <f>_xll.qlTenorBasisValue(TenorBasis6M,R32,InterestRatesTrigger)</f>
        <v>#VALUE!</v>
      </c>
      <c r="AA32" s="30" t="e">
        <f t="shared" si="6"/>
        <v>#VALUE!</v>
      </c>
    </row>
    <row r="33" spans="15:27" x14ac:dyDescent="0.2">
      <c r="O33" s="33">
        <v>1</v>
      </c>
      <c r="P33" s="27" t="str">
        <f>_xll.qlPeriodEquivalent(P32&amp;"+"&amp;O33&amp;"M")</f>
        <v>2Y6M</v>
      </c>
      <c r="Q33" s="28">
        <f>_xll.qlCalendarAdvance(Calendar,SettlementDate,P33,"f",,Trigger)</f>
        <v>43193</v>
      </c>
      <c r="R33" s="28">
        <f>_xll.qlInterestRateIndexValueDate(Index,Q33,Trigger)</f>
        <v>43195</v>
      </c>
      <c r="S33" s="28">
        <f>_xll.qlInterestRateIndexMaturity(Index,R33,Trigger)</f>
        <v>43227</v>
      </c>
      <c r="T33" s="30">
        <f>_xll.qlIndexFixing($M$6,Q33,,InterestRatesTrigger)</f>
        <v>-3.9592865050258608E-5</v>
      </c>
      <c r="U33" s="30">
        <f>_xll.qlIndexFixing(Index,Q33,,InterestRatesTrigger)</f>
        <v>4.576171407286167E-4</v>
      </c>
      <c r="V33" s="30">
        <f t="shared" si="5"/>
        <v>4.9721000577887531E-4</v>
      </c>
      <c r="W33" s="29">
        <f>_xll.qlDayCounterYearFraction(DayCounter,SettlementDate,R33,,,Trigger)</f>
        <v>2.5444444444444443</v>
      </c>
      <c r="X33" s="29">
        <f>_xll.qlDayCounterYearFraction(DayCounter,R33,S33)</f>
        <v>8.8888888888888892E-2</v>
      </c>
      <c r="Y33" s="29">
        <f>_xll.qlYieldTSDiscount(Currency&amp;"ON",R33)/(1+U33*X33)</f>
        <v>1.0037976904019963</v>
      </c>
      <c r="Z33" s="30" t="e">
        <f>_xll.qlTenorBasisValue(TenorBasis6M,R33,InterestRatesTrigger)</f>
        <v>#VALUE!</v>
      </c>
      <c r="AA33" s="30" t="e">
        <f t="shared" si="6"/>
        <v>#VALUE!</v>
      </c>
    </row>
    <row r="34" spans="15:27" x14ac:dyDescent="0.2">
      <c r="O34" s="33">
        <v>1</v>
      </c>
      <c r="P34" s="27" t="str">
        <f>_xll.qlPeriodEquivalent(P33&amp;"+"&amp;O34&amp;"M")</f>
        <v>2Y7M</v>
      </c>
      <c r="Q34" s="28">
        <f>_xll.qlCalendarAdvance(Calendar,SettlementDate,P34,"f",,Trigger)</f>
        <v>43222</v>
      </c>
      <c r="R34" s="28">
        <f>_xll.qlInterestRateIndexValueDate(Index,Q34,Trigger)</f>
        <v>43224</v>
      </c>
      <c r="S34" s="28">
        <f>_xll.qlInterestRateIndexMaturity(Index,R34,Trigger)</f>
        <v>43255</v>
      </c>
      <c r="T34" s="30">
        <f>_xll.qlIndexFixing($M$6,Q34,,InterestRatesTrigger)</f>
        <v>1.451211845016423E-4</v>
      </c>
      <c r="U34" s="30">
        <f>_xll.qlIndexFixing(Index,Q34,,InterestRatesTrigger)</f>
        <v>6.4177635871438333E-4</v>
      </c>
      <c r="V34" s="30">
        <f t="shared" si="5"/>
        <v>4.9665517421274106E-4</v>
      </c>
      <c r="W34" s="29">
        <f>_xll.qlDayCounterYearFraction(DayCounter,SettlementDate,R34,,,Trigger)</f>
        <v>2.625</v>
      </c>
      <c r="X34" s="29">
        <f>_xll.qlDayCounterYearFraction(DayCounter,R34,S34)</f>
        <v>8.611111111111111E-2</v>
      </c>
      <c r="Y34" s="29">
        <f>_xll.qlYieldTSDiscount(Currency&amp;"ON",R34)/(1+U34*X34)</f>
        <v>1.0037870290908917</v>
      </c>
      <c r="Z34" s="30" t="e">
        <f>_xll.qlTenorBasisValue(TenorBasis6M,R34,InterestRatesTrigger)</f>
        <v>#VALUE!</v>
      </c>
      <c r="AA34" s="30" t="e">
        <f t="shared" si="6"/>
        <v>#VALUE!</v>
      </c>
    </row>
    <row r="35" spans="15:27" x14ac:dyDescent="0.2">
      <c r="O35" s="33">
        <v>1</v>
      </c>
      <c r="P35" s="27" t="str">
        <f>_xll.qlPeriodEquivalent(P34&amp;"+"&amp;O35&amp;"M")</f>
        <v>2Y8M</v>
      </c>
      <c r="Q35" s="28">
        <f>_xll.qlCalendarAdvance(Calendar,SettlementDate,P35,"f",,Trigger)</f>
        <v>43255</v>
      </c>
      <c r="R35" s="28">
        <f>_xll.qlInterestRateIndexValueDate(Index,Q35,Trigger)</f>
        <v>43257</v>
      </c>
      <c r="S35" s="28">
        <f>_xll.qlInterestRateIndexMaturity(Index,R35,Trigger)</f>
        <v>43287</v>
      </c>
      <c r="T35" s="30">
        <f>_xll.qlIndexFixing($M$6,Q35,,InterestRatesTrigger)</f>
        <v>3.6159362027010644E-4</v>
      </c>
      <c r="U35" s="30">
        <f>_xll.qlIndexFixing(Index,Q35,,InterestRatesTrigger)</f>
        <v>8.5881608800253417E-4</v>
      </c>
      <c r="V35" s="30">
        <f t="shared" si="5"/>
        <v>4.9722246773242773E-4</v>
      </c>
      <c r="W35" s="29">
        <f>_xll.qlDayCounterYearFraction(DayCounter,SettlementDate,R35,,,Trigger)</f>
        <v>2.7166666666666668</v>
      </c>
      <c r="X35" s="29">
        <f>_xll.qlDayCounterYearFraction(DayCounter,R35,S35)</f>
        <v>8.3333333333333329E-2</v>
      </c>
      <c r="Y35" s="29">
        <f>_xll.qlYieldTSDiscount(Currency&amp;"ON",R35)/(1+U35*X35)</f>
        <v>1.0037567043134732</v>
      </c>
      <c r="Z35" s="30" t="e">
        <f>_xll.qlTenorBasisValue(TenorBasis6M,R35,InterestRatesTrigger)</f>
        <v>#VALUE!</v>
      </c>
      <c r="AA35" s="30" t="e">
        <f t="shared" si="6"/>
        <v>#VALUE!</v>
      </c>
    </row>
    <row r="36" spans="15:27" x14ac:dyDescent="0.2">
      <c r="O36" s="33">
        <v>1</v>
      </c>
      <c r="P36" s="27" t="str">
        <f>_xll.qlPeriodEquivalent(P35&amp;"+"&amp;O36&amp;"M")</f>
        <v>2Y9M</v>
      </c>
      <c r="Q36" s="28">
        <f>_xll.qlCalendarAdvance(Calendar,SettlementDate,P36,"f",,Trigger)</f>
        <v>43283</v>
      </c>
      <c r="R36" s="28">
        <f>_xll.qlInterestRateIndexValueDate(Index,Q36,Trigger)</f>
        <v>43285</v>
      </c>
      <c r="S36" s="28">
        <f>_xll.qlInterestRateIndexMaturity(Index,R36,Trigger)</f>
        <v>43318</v>
      </c>
      <c r="T36" s="30">
        <f>_xll.qlIndexFixing($M$6,Q36,,InterestRatesTrigger)</f>
        <v>5.6301816650536102E-4</v>
      </c>
      <c r="U36" s="30">
        <f>_xll.qlIndexFixing(Index,Q36,,InterestRatesTrigger)</f>
        <v>1.0620486018848979E-3</v>
      </c>
      <c r="V36" s="30">
        <f t="shared" si="5"/>
        <v>4.9903043537953692E-4</v>
      </c>
      <c r="W36" s="29">
        <f>_xll.qlDayCounterYearFraction(DayCounter,SettlementDate,R36,,,Trigger)</f>
        <v>2.7944444444444443</v>
      </c>
      <c r="X36" s="29">
        <f>_xll.qlDayCounterYearFraction(DayCounter,R36,S36)</f>
        <v>9.166666666666666E-2</v>
      </c>
      <c r="Y36" s="29">
        <f>_xll.qlYieldTSDiscount(Currency&amp;"ON",R36)/(1+U36*X36)</f>
        <v>1.0037031242541934</v>
      </c>
      <c r="Z36" s="30" t="e">
        <f>_xll.qlTenorBasisValue(TenorBasis6M,R36,InterestRatesTrigger)</f>
        <v>#VALUE!</v>
      </c>
      <c r="AA36" s="30" t="e">
        <f t="shared" si="6"/>
        <v>#VALUE!</v>
      </c>
    </row>
    <row r="37" spans="15:27" x14ac:dyDescent="0.2">
      <c r="O37" s="33">
        <v>1</v>
      </c>
      <c r="P37" s="27" t="str">
        <f>_xll.qlPeriodEquivalent(P36&amp;"+"&amp;O37&amp;"M")</f>
        <v>2Y10M</v>
      </c>
      <c r="Q37" s="28">
        <f>_xll.qlCalendarAdvance(Calendar,SettlementDate,P37,"f",,Trigger)</f>
        <v>43314</v>
      </c>
      <c r="R37" s="28">
        <f>_xll.qlInterestRateIndexValueDate(Index,Q37,Trigger)</f>
        <v>43318</v>
      </c>
      <c r="S37" s="28">
        <f>_xll.qlInterestRateIndexMaturity(Index,R37,Trigger)</f>
        <v>43349</v>
      </c>
      <c r="T37" s="30">
        <f>_xll.qlIndexFixing($M$6,Q37,,InterestRatesTrigger)</f>
        <v>7.8614185231520232E-4</v>
      </c>
      <c r="U37" s="30">
        <f>_xll.qlIndexFixing(Index,Q37,,InterestRatesTrigger)</f>
        <v>1.2886628245429997E-3</v>
      </c>
      <c r="V37" s="30">
        <f t="shared" si="5"/>
        <v>5.0252097222779741E-4</v>
      </c>
      <c r="W37" s="29">
        <f>_xll.qlDayCounterYearFraction(DayCounter,SettlementDate,R37,,,Trigger)</f>
        <v>2.8861111111111111</v>
      </c>
      <c r="X37" s="29">
        <f>_xll.qlDayCounterYearFraction(DayCounter,R37,S37)</f>
        <v>8.611111111111111E-2</v>
      </c>
      <c r="Y37" s="29">
        <f>_xll.qlYieldTSDiscount(Currency&amp;"ON",R37)/(1+U37*X37)</f>
        <v>1.0036376638860471</v>
      </c>
      <c r="Z37" s="30" t="e">
        <f>_xll.qlTenorBasisValue(TenorBasis6M,R37,InterestRatesTrigger)</f>
        <v>#VALUE!</v>
      </c>
      <c r="AA37" s="30" t="e">
        <f t="shared" si="6"/>
        <v>#VALUE!</v>
      </c>
    </row>
    <row r="38" spans="15:27" x14ac:dyDescent="0.2">
      <c r="O38" s="33">
        <v>1</v>
      </c>
      <c r="P38" s="27" t="str">
        <f>_xll.qlPeriodEquivalent(P37&amp;"+"&amp;O38&amp;"M")</f>
        <v>2Y11M</v>
      </c>
      <c r="Q38" s="28">
        <f>_xll.qlCalendarAdvance(Calendar,SettlementDate,P38,"f",,Trigger)</f>
        <v>43346</v>
      </c>
      <c r="R38" s="28">
        <f>_xll.qlInterestRateIndexValueDate(Index,Q38,Trigger)</f>
        <v>43348</v>
      </c>
      <c r="S38" s="28">
        <f>_xll.qlInterestRateIndexMaturity(Index,R38,Trigger)</f>
        <v>43378</v>
      </c>
      <c r="T38" s="30">
        <f>_xll.qlIndexFixing($M$6,Q38,,InterestRatesTrigger)</f>
        <v>9.9568561383289733E-4</v>
      </c>
      <c r="U38" s="30">
        <f>_xll.qlIndexFixing(Index,Q38,,InterestRatesTrigger)</f>
        <v>1.5030276988587943E-3</v>
      </c>
      <c r="V38" s="30">
        <f t="shared" si="5"/>
        <v>5.0734208502589695E-4</v>
      </c>
      <c r="W38" s="29">
        <f>_xll.qlDayCounterYearFraction(DayCounter,SettlementDate,R38,,,Trigger)</f>
        <v>2.9694444444444446</v>
      </c>
      <c r="X38" s="29">
        <f>_xll.qlDayCounterYearFraction(DayCounter,R38,S38)</f>
        <v>8.3333333333333329E-2</v>
      </c>
      <c r="Y38" s="29">
        <f>_xll.qlYieldTSDiscount(Currency&amp;"ON",R38)/(1+U38*X38)</f>
        <v>1.0035578801626395</v>
      </c>
      <c r="Z38" s="30" t="e">
        <f>_xll.qlTenorBasisValue(TenorBasis6M,R38,InterestRatesTrigger)</f>
        <v>#VALUE!</v>
      </c>
      <c r="AA38" s="30" t="e">
        <f t="shared" si="6"/>
        <v>#VALUE!</v>
      </c>
    </row>
    <row r="39" spans="15:27" x14ac:dyDescent="0.2">
      <c r="O39" s="33">
        <v>1</v>
      </c>
      <c r="P39" s="27" t="str">
        <f>_xll.qlPeriodEquivalent(P38&amp;"+"&amp;O39&amp;"M")</f>
        <v>3Y</v>
      </c>
      <c r="Q39" s="28">
        <f>_xll.qlCalendarAdvance(Calendar,SettlementDate,P39,"f",,Trigger)</f>
        <v>43375</v>
      </c>
      <c r="R39" s="28">
        <f>_xll.qlInterestRateIndexValueDate(Index,Q39,Trigger)</f>
        <v>43377</v>
      </c>
      <c r="S39" s="28">
        <f>_xll.qlInterestRateIndexMaturity(Index,R39,Trigger)</f>
        <v>43409</v>
      </c>
      <c r="T39" s="30">
        <f>_xll.qlIndexFixing($M$6,Q39,,InterestRatesTrigger)</f>
        <v>1.2120110050184429E-3</v>
      </c>
      <c r="U39" s="30">
        <f>_xll.qlIndexFixing(Index,Q39,,InterestRatesTrigger)</f>
        <v>1.7257269569309619E-3</v>
      </c>
      <c r="V39" s="30">
        <f t="shared" si="5"/>
        <v>5.1371595191251895E-4</v>
      </c>
      <c r="W39" s="29">
        <f>_xll.qlDayCounterYearFraction(DayCounter,SettlementDate,R39,,,Trigger)</f>
        <v>3.05</v>
      </c>
      <c r="X39" s="29">
        <f>_xll.qlDayCounterYearFraction(DayCounter,R39,S39)</f>
        <v>8.8888888888888892E-2</v>
      </c>
      <c r="Y39" s="29">
        <f>_xll.qlYieldTSDiscount(Currency&amp;"ON",R39)/(1+U39*X39)</f>
        <v>1.0034494442406425</v>
      </c>
      <c r="Z39" s="30" t="e">
        <f>_xll.qlTenorBasisValue(TenorBasis6M,R39,InterestRatesTrigger)</f>
        <v>#VALUE!</v>
      </c>
      <c r="AA39" s="30" t="e">
        <f t="shared" si="6"/>
        <v>#VALUE!</v>
      </c>
    </row>
    <row r="40" spans="15:27" x14ac:dyDescent="0.2">
      <c r="O40" s="33">
        <v>1</v>
      </c>
      <c r="P40" s="27" t="str">
        <f>_xll.qlPeriodEquivalent(P39&amp;"+"&amp;O40&amp;"M")</f>
        <v>3Y1M</v>
      </c>
      <c r="Q40" s="28">
        <f>_xll.qlCalendarAdvance(Calendar,SettlementDate,P40,"f",,Trigger)</f>
        <v>43406</v>
      </c>
      <c r="R40" s="28">
        <f>_xll.qlInterestRateIndexValueDate(Index,Q40,Trigger)</f>
        <v>43410</v>
      </c>
      <c r="S40" s="28">
        <f>_xll.qlInterestRateIndexMaturity(Index,R40,Trigger)</f>
        <v>43440</v>
      </c>
      <c r="T40" s="30">
        <f>_xll.qlIndexFixing($M$6,Q40,,InterestRatesTrigger)</f>
        <v>1.4454303531339363E-3</v>
      </c>
      <c r="U40" s="30">
        <f>_xll.qlIndexFixing(Index,Q40,,InterestRatesTrigger)</f>
        <v>1.9667482646053003E-3</v>
      </c>
      <c r="V40" s="30">
        <f t="shared" si="5"/>
        <v>5.2131791147136397E-4</v>
      </c>
      <c r="W40" s="29">
        <f>_xll.qlDayCounterYearFraction(DayCounter,SettlementDate,R40,,,Trigger)</f>
        <v>3.1416666666666666</v>
      </c>
      <c r="X40" s="29">
        <f>_xll.qlDayCounterYearFraction(DayCounter,R40,S40)</f>
        <v>8.3333333333333329E-2</v>
      </c>
      <c r="Y40" s="29">
        <f>_xll.qlYieldTSDiscount(Currency&amp;"ON",R40)/(1+U40*X40)</f>
        <v>1.0033271068470446</v>
      </c>
      <c r="Z40" s="30" t="e">
        <f>_xll.qlTenorBasisValue(TenorBasis6M,R40,InterestRatesTrigger)</f>
        <v>#VALUE!</v>
      </c>
      <c r="AA40" s="30" t="e">
        <f t="shared" si="6"/>
        <v>#VALUE!</v>
      </c>
    </row>
    <row r="41" spans="15:27" x14ac:dyDescent="0.2">
      <c r="O41" s="33">
        <v>1</v>
      </c>
      <c r="P41" s="27" t="str">
        <f>_xll.qlPeriodEquivalent(P40&amp;"+"&amp;O41&amp;"M")</f>
        <v>3Y2M</v>
      </c>
      <c r="Q41" s="28">
        <f>_xll.qlCalendarAdvance(Calendar,SettlementDate,P41,"f",,Trigger)</f>
        <v>43437</v>
      </c>
      <c r="R41" s="28">
        <f>_xll.qlInterestRateIndexValueDate(Index,Q41,Trigger)</f>
        <v>43439</v>
      </c>
      <c r="S41" s="28">
        <f>_xll.qlInterestRateIndexMaturity(Index,R41,Trigger)</f>
        <v>43472</v>
      </c>
      <c r="T41" s="30">
        <f>_xll.qlIndexFixing($M$6,Q41,,InterestRatesTrigger)</f>
        <v>1.6699322756632349E-3</v>
      </c>
      <c r="U41" s="30">
        <f>_xll.qlIndexFixing(Index,Q41,,InterestRatesTrigger)</f>
        <v>2.1991844116369726E-3</v>
      </c>
      <c r="V41" s="30">
        <f t="shared" si="5"/>
        <v>5.2925213597373772E-4</v>
      </c>
      <c r="W41" s="29">
        <f>_xll.qlDayCounterYearFraction(DayCounter,SettlementDate,R41,,,Trigger)</f>
        <v>3.2222222222222223</v>
      </c>
      <c r="X41" s="29">
        <f>_xll.qlDayCounterYearFraction(DayCounter,R41,S41)</f>
        <v>9.166666666666666E-2</v>
      </c>
      <c r="Y41" s="29">
        <f>_xll.qlYieldTSDiscount(Currency&amp;"ON",R41)/(1+U41*X41)</f>
        <v>1.0031727828131112</v>
      </c>
      <c r="Z41" s="30" t="e">
        <f>_xll.qlTenorBasisValue(TenorBasis6M,R41,InterestRatesTrigger)</f>
        <v>#VALUE!</v>
      </c>
      <c r="AA41" s="30" t="e">
        <f t="shared" si="6"/>
        <v>#VALUE!</v>
      </c>
    </row>
    <row r="42" spans="15:27" x14ac:dyDescent="0.2">
      <c r="O42" s="33">
        <v>1</v>
      </c>
      <c r="P42" s="27" t="str">
        <f>_xll.qlPeriodEquivalent(P41&amp;"+"&amp;O42&amp;"M")</f>
        <v>3Y3M</v>
      </c>
      <c r="Q42" s="28">
        <f>_xll.qlCalendarAdvance(Calendar,SettlementDate,P42,"f",,Trigger)</f>
        <v>43467</v>
      </c>
      <c r="R42" s="28">
        <f>_xll.qlInterestRateIndexValueDate(Index,Q42,Trigger)</f>
        <v>43469</v>
      </c>
      <c r="S42" s="28">
        <f>_xll.qlInterestRateIndexMaturity(Index,R42,Trigger)</f>
        <v>43500</v>
      </c>
      <c r="T42" s="30">
        <f>_xll.qlIndexFixing($M$6,Q42,,InterestRatesTrigger)</f>
        <v>1.884637507535604E-3</v>
      </c>
      <c r="U42" s="30">
        <f>_xll.qlIndexFixing(Index,Q42,,InterestRatesTrigger)</f>
        <v>2.422041458485737E-3</v>
      </c>
      <c r="V42" s="30">
        <f t="shared" si="5"/>
        <v>5.3740395095013297E-4</v>
      </c>
      <c r="W42" s="29">
        <f>_xll.qlDayCounterYearFraction(DayCounter,SettlementDate,R42,,,Trigger)</f>
        <v>3.3055555555555554</v>
      </c>
      <c r="X42" s="29">
        <f>_xll.qlDayCounterYearFraction(DayCounter,R42,S42)</f>
        <v>8.611111111111111E-2</v>
      </c>
      <c r="Y42" s="29">
        <f>_xll.qlYieldTSDiscount(Currency&amp;"ON",R42)/(1+U42*X42)</f>
        <v>1.0030271348723829</v>
      </c>
      <c r="Z42" s="30" t="e">
        <f>_xll.qlTenorBasisValue(TenorBasis6M,R42,InterestRatesTrigger)</f>
        <v>#VALUE!</v>
      </c>
      <c r="AA42" s="30" t="e">
        <f t="shared" si="6"/>
        <v>#VALUE!</v>
      </c>
    </row>
    <row r="43" spans="15:27" x14ac:dyDescent="0.2">
      <c r="O43" s="33">
        <v>1</v>
      </c>
      <c r="P43" s="27" t="str">
        <f>_xll.qlPeriodEquivalent(P42&amp;"+"&amp;O43&amp;"M")</f>
        <v>3Y4M</v>
      </c>
      <c r="Q43" s="28">
        <f>_xll.qlCalendarAdvance(Calendar,SettlementDate,P43,"f",,Trigger)</f>
        <v>43500</v>
      </c>
      <c r="R43" s="28">
        <f>_xll.qlInterestRateIndexValueDate(Index,Q43,Trigger)</f>
        <v>43502</v>
      </c>
      <c r="S43" s="28">
        <f>_xll.qlInterestRateIndexMaturity(Index,R43,Trigger)</f>
        <v>43530</v>
      </c>
      <c r="T43" s="30">
        <f>_xll.qlIndexFixing($M$6,Q43,,InterestRatesTrigger)</f>
        <v>2.1187006692097959E-3</v>
      </c>
      <c r="U43" s="30">
        <f>_xll.qlIndexFixing(Index,Q43,,InterestRatesTrigger)</f>
        <v>2.6656786218781647E-3</v>
      </c>
      <c r="V43" s="30">
        <f t="shared" si="5"/>
        <v>5.4697795266836881E-4</v>
      </c>
      <c r="W43" s="29">
        <f>_xll.qlDayCounterYearFraction(DayCounter,SettlementDate,R43,,,Trigger)</f>
        <v>3.3972222222222221</v>
      </c>
      <c r="X43" s="29">
        <f>_xll.qlDayCounterYearFraction(DayCounter,R43,S43)</f>
        <v>7.7777777777777779E-2</v>
      </c>
      <c r="Y43" s="29">
        <f>_xll.qlYieldTSDiscount(Currency&amp;"ON",R43)/(1+U43*X43)</f>
        <v>1.0028544373978721</v>
      </c>
      <c r="Z43" s="30" t="e">
        <f>_xll.qlTenorBasisValue(TenorBasis6M,R43,InterestRatesTrigger)</f>
        <v>#VALUE!</v>
      </c>
      <c r="AA43" s="30" t="e">
        <f t="shared" si="6"/>
        <v>#VALUE!</v>
      </c>
    </row>
    <row r="44" spans="15:27" x14ac:dyDescent="0.2">
      <c r="O44" s="33">
        <v>1</v>
      </c>
      <c r="P44" s="27" t="str">
        <f>_xll.qlPeriodEquivalent(P43&amp;"+"&amp;O44&amp;"M")</f>
        <v>3Y5M</v>
      </c>
      <c r="Q44" s="28">
        <f>_xll.qlCalendarAdvance(Calendar,SettlementDate,P44,"f",,Trigger)</f>
        <v>43528</v>
      </c>
      <c r="R44" s="28">
        <f>_xll.qlInterestRateIndexValueDate(Index,Q44,Trigger)</f>
        <v>43530</v>
      </c>
      <c r="S44" s="28">
        <f>_xll.qlInterestRateIndexMaturity(Index,R44,Trigger)</f>
        <v>43563</v>
      </c>
      <c r="T44" s="30">
        <f>_xll.qlIndexFixing($M$6,Q44,,InterestRatesTrigger)</f>
        <v>2.3456746854198167E-3</v>
      </c>
      <c r="U44" s="30">
        <f>_xll.qlIndexFixing(Index,Q44,,InterestRatesTrigger)</f>
        <v>2.9027174827463273E-3</v>
      </c>
      <c r="V44" s="30">
        <f t="shared" si="5"/>
        <v>5.5704279732651059E-4</v>
      </c>
      <c r="W44" s="29">
        <f>_xll.qlDayCounterYearFraction(DayCounter,SettlementDate,R44,,,Trigger)</f>
        <v>3.4750000000000001</v>
      </c>
      <c r="X44" s="29">
        <f>_xll.qlDayCounterYearFraction(DayCounter,R44,S44)</f>
        <v>9.166666666666666E-2</v>
      </c>
      <c r="Y44" s="29">
        <f>_xll.qlYieldTSDiscount(Currency&amp;"ON",R44)/(1+U44*X44)</f>
        <v>1.002630312217905</v>
      </c>
      <c r="Z44" s="30" t="e">
        <f>_xll.qlTenorBasisValue(TenorBasis6M,R44,InterestRatesTrigger)</f>
        <v>#VALUE!</v>
      </c>
      <c r="AA44" s="30" t="e">
        <f t="shared" si="6"/>
        <v>#VALUE!</v>
      </c>
    </row>
    <row r="45" spans="15:27" x14ac:dyDescent="0.2">
      <c r="O45" s="33">
        <v>1</v>
      </c>
      <c r="P45" s="27" t="str">
        <f>_xll.qlPeriodEquivalent(P44&amp;"+"&amp;O45&amp;"M")</f>
        <v>3Y6M</v>
      </c>
      <c r="Q45" s="28">
        <f>_xll.qlCalendarAdvance(Calendar,SettlementDate,P45,"f",,Trigger)</f>
        <v>43557</v>
      </c>
      <c r="R45" s="28">
        <f>_xll.qlInterestRateIndexValueDate(Index,Q45,Trigger)</f>
        <v>43559</v>
      </c>
      <c r="S45" s="28">
        <f>_xll.qlInterestRateIndexMaturity(Index,R45,Trigger)</f>
        <v>43591</v>
      </c>
      <c r="T45" s="30">
        <f>_xll.qlIndexFixing($M$6,Q45,,InterestRatesTrigger)</f>
        <v>2.557486231778705E-3</v>
      </c>
      <c r="U45" s="30">
        <f>_xll.qlIndexFixing(Index,Q45,,InterestRatesTrigger)</f>
        <v>3.1245928100087639E-3</v>
      </c>
      <c r="V45" s="30">
        <f t="shared" si="5"/>
        <v>5.6710657823005883E-4</v>
      </c>
      <c r="W45" s="29">
        <f>_xll.qlDayCounterYearFraction(DayCounter,SettlementDate,R45,,,Trigger)</f>
        <v>3.5555555555555554</v>
      </c>
      <c r="X45" s="29">
        <f>_xll.qlDayCounterYearFraction(DayCounter,R45,S45)</f>
        <v>8.8888888888888892E-2</v>
      </c>
      <c r="Y45" s="29">
        <f>_xll.qlYieldTSDiscount(Currency&amp;"ON",R45)/(1+U45*X45)</f>
        <v>1.0024304129766644</v>
      </c>
      <c r="Z45" s="30" t="e">
        <f>_xll.qlTenorBasisValue(TenorBasis6M,R45,InterestRatesTrigger)</f>
        <v>#VALUE!</v>
      </c>
      <c r="AA45" s="30" t="e">
        <f t="shared" si="6"/>
        <v>#VALUE!</v>
      </c>
    </row>
    <row r="46" spans="15:27" x14ac:dyDescent="0.2">
      <c r="O46" s="33">
        <v>1</v>
      </c>
      <c r="P46" s="27" t="str">
        <f>_xll.qlPeriodEquivalent(P45&amp;"+"&amp;O46&amp;"M")</f>
        <v>3Y7M</v>
      </c>
      <c r="Q46" s="28">
        <f>_xll.qlCalendarAdvance(Calendar,SettlementDate,P46,"f",,Trigger)</f>
        <v>43587</v>
      </c>
      <c r="R46" s="28">
        <f>_xll.qlInterestRateIndexValueDate(Index,Q46,Trigger)</f>
        <v>43591</v>
      </c>
      <c r="S46" s="28">
        <f>_xll.qlInterestRateIndexMaturity(Index,R46,Trigger)</f>
        <v>43622</v>
      </c>
      <c r="T46" s="30">
        <f>_xll.qlIndexFixing($M$6,Q46,,InterestRatesTrigger)</f>
        <v>2.7907687148291806E-3</v>
      </c>
      <c r="U46" s="30">
        <f>_xll.qlIndexFixing(Index,Q46,,InterestRatesTrigger)</f>
        <v>3.3698049655030912E-3</v>
      </c>
      <c r="V46" s="30">
        <f t="shared" si="5"/>
        <v>5.7903625067391067E-4</v>
      </c>
      <c r="W46" s="29">
        <f>_xll.qlDayCounterYearFraction(DayCounter,SettlementDate,R46,,,Trigger)</f>
        <v>3.6444444444444444</v>
      </c>
      <c r="X46" s="29">
        <f>_xll.qlDayCounterYearFraction(DayCounter,R46,S46)</f>
        <v>8.611111111111111E-2</v>
      </c>
      <c r="Y46" s="29">
        <f>_xll.qlYieldTSDiscount(Currency&amp;"ON",R46)/(1+U46*X46)</f>
        <v>1.0021901203074199</v>
      </c>
      <c r="Z46" s="30" t="e">
        <f>_xll.qlTenorBasisValue(TenorBasis6M,R46,InterestRatesTrigger)</f>
        <v>#VALUE!</v>
      </c>
      <c r="AA46" s="30" t="e">
        <f t="shared" si="6"/>
        <v>#VALUE!</v>
      </c>
    </row>
    <row r="47" spans="15:27" x14ac:dyDescent="0.2">
      <c r="O47" s="33">
        <v>1</v>
      </c>
      <c r="P47" s="27" t="str">
        <f>_xll.qlPeriodEquivalent(P46&amp;"+"&amp;O47&amp;"M")</f>
        <v>3Y8M</v>
      </c>
      <c r="Q47" s="28">
        <f>_xll.qlCalendarAdvance(Calendar,SettlementDate,P47,"f",,Trigger)</f>
        <v>43619</v>
      </c>
      <c r="R47" s="28">
        <f>_xll.qlInterestRateIndexValueDate(Index,Q47,Trigger)</f>
        <v>43621</v>
      </c>
      <c r="S47" s="28">
        <f>_xll.qlInterestRateIndexMaturity(Index,R47,Trigger)</f>
        <v>43651</v>
      </c>
      <c r="T47" s="30">
        <f>_xll.qlIndexFixing($M$6,Q47,,InterestRatesTrigger)</f>
        <v>3.007928712676744E-3</v>
      </c>
      <c r="U47" s="30">
        <f>_xll.qlIndexFixing(Index,Q47,,InterestRatesTrigger)</f>
        <v>3.5989312282511676E-3</v>
      </c>
      <c r="V47" s="30">
        <f t="shared" si="5"/>
        <v>5.9100251557442363E-4</v>
      </c>
      <c r="W47" s="29">
        <f>_xll.qlDayCounterYearFraction(DayCounter,SettlementDate,R47,,,Trigger)</f>
        <v>3.7277777777777779</v>
      </c>
      <c r="X47" s="29">
        <f>_xll.qlDayCounterYearFraction(DayCounter,R47,S47)</f>
        <v>8.3333333333333329E-2</v>
      </c>
      <c r="Y47" s="29">
        <f>_xll.qlYieldTSDiscount(Currency&amp;"ON",R47)/(1+U47*X47)</f>
        <v>1.001947660572694</v>
      </c>
      <c r="Z47" s="30" t="e">
        <f>_xll.qlTenorBasisValue(TenorBasis6M,R47,InterestRatesTrigger)</f>
        <v>#VALUE!</v>
      </c>
      <c r="AA47" s="30" t="e">
        <f t="shared" si="6"/>
        <v>#VALUE!</v>
      </c>
    </row>
    <row r="48" spans="15:27" x14ac:dyDescent="0.2">
      <c r="O48" s="33">
        <v>1</v>
      </c>
      <c r="P48" s="27" t="str">
        <f>_xll.qlPeriodEquivalent(P47&amp;"+"&amp;O48&amp;"M")</f>
        <v>3Y9M</v>
      </c>
      <c r="Q48" s="28">
        <f>_xll.qlCalendarAdvance(Calendar,SettlementDate,P48,"f",,Trigger)</f>
        <v>43648</v>
      </c>
      <c r="R48" s="28">
        <f>_xll.qlInterestRateIndexValueDate(Index,Q48,Trigger)</f>
        <v>43650</v>
      </c>
      <c r="S48" s="28">
        <f>_xll.qlInterestRateIndexMaturity(Index,R48,Trigger)</f>
        <v>43682</v>
      </c>
      <c r="T48" s="30">
        <f>_xll.qlIndexFixing($M$6,Q48,,InterestRatesTrigger)</f>
        <v>3.2269641321330811E-3</v>
      </c>
      <c r="U48" s="30">
        <f>_xll.qlIndexFixing(Index,Q48,,InterestRatesTrigger)</f>
        <v>3.8309763475743996E-3</v>
      </c>
      <c r="V48" s="30">
        <f t="shared" si="5"/>
        <v>6.0401221544131856E-4</v>
      </c>
      <c r="W48" s="29">
        <f>_xll.qlDayCounterYearFraction(DayCounter,SettlementDate,R48,,,Trigger)</f>
        <v>3.8083333333333331</v>
      </c>
      <c r="X48" s="29">
        <f>_xll.qlDayCounterYearFraction(DayCounter,R48,S48)</f>
        <v>8.8888888888888892E-2</v>
      </c>
      <c r="Y48" s="29">
        <f>_xll.qlYieldTSDiscount(Currency&amp;"ON",R48)/(1+U48*X48)</f>
        <v>1.0016645628437706</v>
      </c>
      <c r="Z48" s="30" t="e">
        <f>_xll.qlTenorBasisValue(TenorBasis6M,R48,InterestRatesTrigger)</f>
        <v>#VALUE!</v>
      </c>
      <c r="AA48" s="30" t="e">
        <f t="shared" si="6"/>
        <v>#VALUE!</v>
      </c>
    </row>
    <row r="49" spans="15:27" x14ac:dyDescent="0.2">
      <c r="O49" s="33">
        <v>1</v>
      </c>
      <c r="P49" s="27" t="str">
        <f>_xll.qlPeriodEquivalent(P48&amp;"+"&amp;O49&amp;"M")</f>
        <v>3Y10M</v>
      </c>
      <c r="Q49" s="28">
        <f>_xll.qlCalendarAdvance(Calendar,SettlementDate,P49,"f",,Trigger)</f>
        <v>43679</v>
      </c>
      <c r="R49" s="28">
        <f>_xll.qlInterestRateIndexValueDate(Index,Q49,Trigger)</f>
        <v>43683</v>
      </c>
      <c r="S49" s="28">
        <f>_xll.qlInterestRateIndexMaturity(Index,R49,Trigger)</f>
        <v>43714</v>
      </c>
      <c r="T49" s="30">
        <f>_xll.qlIndexFixing($M$6,Q49,,InterestRatesTrigger)</f>
        <v>3.4615412523512686E-3</v>
      </c>
      <c r="U49" s="30">
        <f>_xll.qlIndexFixing(Index,Q49,,InterestRatesTrigger)</f>
        <v>4.0805823150147002E-3</v>
      </c>
      <c r="V49" s="30">
        <f t="shared" si="5"/>
        <v>6.190410626634316E-4</v>
      </c>
      <c r="W49" s="29">
        <f>_xll.qlDayCounterYearFraction(DayCounter,SettlementDate,R49,,,Trigger)</f>
        <v>3.9</v>
      </c>
      <c r="X49" s="29">
        <f>_xll.qlDayCounterYearFraction(DayCounter,R49,S49)</f>
        <v>8.611111111111111E-2</v>
      </c>
      <c r="Y49" s="29">
        <f>_xll.qlYieldTSDiscount(Currency&amp;"ON",R49)/(1+U49*X49)</f>
        <v>1.0013571558165264</v>
      </c>
      <c r="Z49" s="30" t="e">
        <f>_xll.qlTenorBasisValue(TenorBasis6M,R49,InterestRatesTrigger)</f>
        <v>#VALUE!</v>
      </c>
      <c r="AA49" s="30" t="e">
        <f t="shared" si="6"/>
        <v>#VALUE!</v>
      </c>
    </row>
    <row r="50" spans="15:27" x14ac:dyDescent="0.2">
      <c r="O50" s="33">
        <v>1</v>
      </c>
      <c r="P50" s="27" t="str">
        <f>_xll.qlPeriodEquivalent(P49&amp;"+"&amp;O50&amp;"M")</f>
        <v>3Y11M</v>
      </c>
      <c r="Q50" s="28">
        <f>_xll.qlCalendarAdvance(Calendar,SettlementDate,P50,"f",,Trigger)</f>
        <v>43710</v>
      </c>
      <c r="R50" s="28">
        <f>_xll.qlInterestRateIndexValueDate(Index,Q50,Trigger)</f>
        <v>43712</v>
      </c>
      <c r="S50" s="28">
        <f>_xll.qlInterestRateIndexMaturity(Index,R50,Trigger)</f>
        <v>43742</v>
      </c>
      <c r="T50" s="30">
        <f>_xll.qlIndexFixing($M$6,Q50,,InterestRatesTrigger)</f>
        <v>3.6644307454025693E-3</v>
      </c>
      <c r="U50" s="30">
        <f>_xll.qlIndexFixing(Index,Q50,,InterestRatesTrigger)</f>
        <v>4.2974977871992337E-3</v>
      </c>
      <c r="V50" s="30">
        <f t="shared" si="5"/>
        <v>6.330670417966644E-4</v>
      </c>
      <c r="W50" s="29">
        <f>_xll.qlDayCounterYearFraction(DayCounter,SettlementDate,R50,,,Trigger)</f>
        <v>3.9805555555555556</v>
      </c>
      <c r="X50" s="29">
        <f>_xll.qlDayCounterYearFraction(DayCounter,R50,S50)</f>
        <v>8.3333333333333329E-2</v>
      </c>
      <c r="Y50" s="29">
        <f>_xll.qlYieldTSDiscount(Currency&amp;"ON",R50)/(1+U50*X50)</f>
        <v>1.0010718420536606</v>
      </c>
      <c r="Z50" s="30" t="e">
        <f>_xll.qlTenorBasisValue(TenorBasis6M,R50,InterestRatesTrigger)</f>
        <v>#VALUE!</v>
      </c>
      <c r="AA50" s="30" t="e">
        <f t="shared" si="6"/>
        <v>#VALUE!</v>
      </c>
    </row>
    <row r="51" spans="15:27" x14ac:dyDescent="0.2">
      <c r="O51" s="33">
        <v>1</v>
      </c>
      <c r="P51" s="27" t="str">
        <f>_xll.qlPeriodEquivalent(P50&amp;"+"&amp;O51&amp;"M")</f>
        <v>4Y</v>
      </c>
      <c r="Q51" s="28">
        <f>_xll.qlCalendarAdvance(Calendar,SettlementDate,P51,"f",,Trigger)</f>
        <v>43740</v>
      </c>
      <c r="R51" s="28">
        <f>_xll.qlInterestRateIndexValueDate(Index,Q51,Trigger)</f>
        <v>43742</v>
      </c>
      <c r="S51" s="28">
        <f>_xll.qlInterestRateIndexMaturity(Index,R51,Trigger)</f>
        <v>43773</v>
      </c>
      <c r="T51" s="30">
        <f>_xll.qlIndexFixing($M$6,Q51,,InterestRatesTrigger)</f>
        <v>3.8803782677104648E-3</v>
      </c>
      <c r="U51" s="30">
        <f>_xll.qlIndexFixing(Index,Q51,,InterestRatesTrigger)</f>
        <v>4.5286089949741499E-3</v>
      </c>
      <c r="V51" s="30">
        <f t="shared" si="5"/>
        <v>6.4823072726368511E-4</v>
      </c>
      <c r="W51" s="29">
        <f>_xll.qlDayCounterYearFraction(DayCounter,SettlementDate,R51,,,Trigger)</f>
        <v>4.0638888888888891</v>
      </c>
      <c r="X51" s="29">
        <f>_xll.qlDayCounterYearFraction(DayCounter,R51,S51)</f>
        <v>8.611111111111111E-2</v>
      </c>
      <c r="Y51" s="29">
        <f>_xll.qlYieldTSDiscount(Currency&amp;"ON",R51)/(1+U51*X51)</f>
        <v>1.0007343881269088</v>
      </c>
      <c r="Z51" s="30" t="e">
        <f>_xll.qlTenorBasisValue(TenorBasis6M,R51,InterestRatesTrigger)</f>
        <v>#VALUE!</v>
      </c>
      <c r="AA51" s="30" t="e">
        <f t="shared" si="6"/>
        <v>#VALUE!</v>
      </c>
    </row>
    <row r="52" spans="15:27" x14ac:dyDescent="0.2">
      <c r="O52" s="33">
        <v>1</v>
      </c>
      <c r="P52" s="27" t="str">
        <f>_xll.qlPeriodEquivalent(P51&amp;"+"&amp;O52&amp;"M")</f>
        <v>4Y1M</v>
      </c>
      <c r="Q52" s="28">
        <f>_xll.qlCalendarAdvance(Calendar,SettlementDate,P52,"f",,Trigger)</f>
        <v>43773</v>
      </c>
      <c r="R52" s="28">
        <f>_xll.qlInterestRateIndexValueDate(Index,Q52,Trigger)</f>
        <v>43775</v>
      </c>
      <c r="S52" s="28">
        <f>_xll.qlInterestRateIndexMaturity(Index,R52,Trigger)</f>
        <v>43805</v>
      </c>
      <c r="T52" s="30">
        <f>_xll.qlIndexFixing($M$6,Q52,,InterestRatesTrigger)</f>
        <v>4.1166675756851845E-3</v>
      </c>
      <c r="U52" s="30">
        <f>_xll.qlIndexFixing(Index,Q52,,InterestRatesTrigger)</f>
        <v>4.7784111861055578E-3</v>
      </c>
      <c r="V52" s="30">
        <f t="shared" si="5"/>
        <v>6.6174361042037333E-4</v>
      </c>
      <c r="W52" s="29">
        <f>_xll.qlDayCounterYearFraction(DayCounter,SettlementDate,R52,,,Trigger)</f>
        <v>4.1555555555555559</v>
      </c>
      <c r="X52" s="29">
        <f>_xll.qlDayCounterYearFraction(DayCounter,R52,S52)</f>
        <v>8.3333333333333329E-2</v>
      </c>
      <c r="Y52" s="29">
        <f>_xll.qlYieldTSDiscount(Currency&amp;"ON",R52)/(1+U52*X52)</f>
        <v>1.0003696518542411</v>
      </c>
      <c r="Z52" s="30" t="e">
        <f>_xll.qlTenorBasisValue(TenorBasis6M,R52,InterestRatesTrigger)</f>
        <v>#VALUE!</v>
      </c>
      <c r="AA52" s="30" t="e">
        <f t="shared" si="6"/>
        <v>#VALUE!</v>
      </c>
    </row>
    <row r="53" spans="15:27" x14ac:dyDescent="0.2">
      <c r="O53" s="33">
        <v>1</v>
      </c>
      <c r="P53" s="27" t="str">
        <f>_xll.qlPeriodEquivalent(P52&amp;"+"&amp;O53&amp;"M")</f>
        <v>4Y2M</v>
      </c>
      <c r="Q53" s="28">
        <f>_xll.qlCalendarAdvance(Calendar,SettlementDate,P53,"f",,Trigger)</f>
        <v>43801</v>
      </c>
      <c r="R53" s="28">
        <f>_xll.qlInterestRateIndexValueDate(Index,Q53,Trigger)</f>
        <v>43803</v>
      </c>
      <c r="S53" s="28">
        <f>_xll.qlInterestRateIndexMaturity(Index,R53,Trigger)</f>
        <v>43836</v>
      </c>
      <c r="T53" s="30">
        <f>_xll.qlIndexFixing($M$6,Q53,,InterestRatesTrigger)</f>
        <v>4.3385480358158132E-3</v>
      </c>
      <c r="U53" s="30">
        <f>_xll.qlIndexFixing(Index,Q53,,InterestRatesTrigger)</f>
        <v>5.0094722776907541E-3</v>
      </c>
      <c r="V53" s="30">
        <f t="shared" si="5"/>
        <v>6.7092424187494091E-4</v>
      </c>
      <c r="W53" s="29">
        <f>_xll.qlDayCounterYearFraction(DayCounter,SettlementDate,R53,,,Trigger)</f>
        <v>4.2333333333333334</v>
      </c>
      <c r="X53" s="29">
        <f>_xll.qlDayCounterYearFraction(DayCounter,R53,S53)</f>
        <v>9.166666666666666E-2</v>
      </c>
      <c r="Y53" s="29">
        <f>_xll.qlYieldTSDiscount(Currency&amp;"ON",R53)/(1+U53*X53)</f>
        <v>0.99998905658201309</v>
      </c>
      <c r="Z53" s="30" t="e">
        <f>_xll.qlTenorBasisValue(TenorBasis6M,R53,InterestRatesTrigger)</f>
        <v>#VALUE!</v>
      </c>
      <c r="AA53" s="30" t="e">
        <f t="shared" si="6"/>
        <v>#VALUE!</v>
      </c>
    </row>
    <row r="54" spans="15:27" x14ac:dyDescent="0.2">
      <c r="O54" s="33">
        <v>1</v>
      </c>
      <c r="P54" s="27" t="str">
        <f>_xll.qlPeriodEquivalent(P53&amp;"+"&amp;O54&amp;"M")</f>
        <v>4Y3M</v>
      </c>
      <c r="Q54" s="28">
        <f>_xll.qlCalendarAdvance(Calendar,SettlementDate,P54,"f",,Trigger)</f>
        <v>43832</v>
      </c>
      <c r="R54" s="28">
        <f>_xll.qlInterestRateIndexValueDate(Index,Q54,Trigger)</f>
        <v>43836</v>
      </c>
      <c r="S54" s="28">
        <f>_xll.qlInterestRateIndexMaturity(Index,R54,Trigger)</f>
        <v>43867</v>
      </c>
      <c r="T54" s="30">
        <f>_xll.qlIndexFixing($M$6,Q54,,InterestRatesTrigger)</f>
        <v>4.5871157648494452E-3</v>
      </c>
      <c r="U54" s="30">
        <f>_xll.qlIndexFixing(Index,Q54,,InterestRatesTrigger)</f>
        <v>5.2643891157533318E-3</v>
      </c>
      <c r="V54" s="30">
        <f t="shared" si="5"/>
        <v>6.7727335090388661E-4</v>
      </c>
      <c r="W54" s="29">
        <f>_xll.qlDayCounterYearFraction(DayCounter,SettlementDate,R54,,,Trigger)</f>
        <v>4.3250000000000002</v>
      </c>
      <c r="X54" s="29">
        <f>_xll.qlDayCounterYearFraction(DayCounter,R54,S54)</f>
        <v>8.611111111111111E-2</v>
      </c>
      <c r="Y54" s="29">
        <f>_xll.qlYieldTSDiscount(Currency&amp;"ON",R54)/(1+U54*X54)</f>
        <v>0.99959739296339811</v>
      </c>
      <c r="Z54" s="30" t="e">
        <f>_xll.qlTenorBasisValue(TenorBasis6M,R54,InterestRatesTrigger)</f>
        <v>#VALUE!</v>
      </c>
      <c r="AA54" s="30" t="e">
        <f t="shared" si="6"/>
        <v>#VALUE!</v>
      </c>
    </row>
    <row r="55" spans="15:27" x14ac:dyDescent="0.2">
      <c r="O55" s="33">
        <v>1</v>
      </c>
      <c r="P55" s="27" t="str">
        <f>_xll.qlPeriodEquivalent(P54&amp;"+"&amp;O55&amp;"M")</f>
        <v>4Y4M</v>
      </c>
      <c r="Q55" s="28">
        <f>_xll.qlCalendarAdvance(Calendar,SettlementDate,P55,"f",,Trigger)</f>
        <v>43864</v>
      </c>
      <c r="R55" s="28">
        <f>_xll.qlInterestRateIndexValueDate(Index,Q55,Trigger)</f>
        <v>43866</v>
      </c>
      <c r="S55" s="28">
        <f>_xll.qlInterestRateIndexMaturity(Index,R55,Trigger)</f>
        <v>43895</v>
      </c>
      <c r="T55" s="30">
        <f>_xll.qlIndexFixing($M$6,Q55,,InterestRatesTrigger)</f>
        <v>4.8199793497619445E-3</v>
      </c>
      <c r="U55" s="30">
        <f>_xll.qlIndexFixing(Index,Q55,,InterestRatesTrigger)</f>
        <v>5.4994993695734289E-3</v>
      </c>
      <c r="V55" s="30">
        <f t="shared" si="5"/>
        <v>6.7952001981148435E-4</v>
      </c>
      <c r="W55" s="29">
        <f>_xll.qlDayCounterYearFraction(DayCounter,SettlementDate,R55,,,Trigger)</f>
        <v>4.4083333333333332</v>
      </c>
      <c r="X55" s="29">
        <f>_xll.qlDayCounterYearFraction(DayCounter,R55,S55)</f>
        <v>8.0555555555555561E-2</v>
      </c>
      <c r="Y55" s="29">
        <f>_xll.qlYieldTSDiscount(Currency&amp;"ON",R55)/(1+U55*X55)</f>
        <v>0.99922606097705235</v>
      </c>
      <c r="Z55" s="30" t="e">
        <f>_xll.qlTenorBasisValue(TenorBasis6M,R55,InterestRatesTrigger)</f>
        <v>#VALUE!</v>
      </c>
      <c r="AA55" s="30" t="e">
        <f t="shared" si="6"/>
        <v>#VALUE!</v>
      </c>
    </row>
    <row r="56" spans="15:27" x14ac:dyDescent="0.2">
      <c r="O56" s="33">
        <v>1</v>
      </c>
      <c r="P56" s="27" t="str">
        <f>_xll.qlPeriodEquivalent(P55&amp;"+"&amp;O56&amp;"M")</f>
        <v>4Y5M</v>
      </c>
      <c r="Q56" s="28">
        <f>_xll.qlCalendarAdvance(Calendar,SettlementDate,P56,"f",,Trigger)</f>
        <v>43892</v>
      </c>
      <c r="R56" s="28">
        <f>_xll.qlInterestRateIndexValueDate(Index,Q56,Trigger)</f>
        <v>43894</v>
      </c>
      <c r="S56" s="28">
        <f>_xll.qlInterestRateIndexMaturity(Index,R56,Trigger)</f>
        <v>43927</v>
      </c>
      <c r="T56" s="30">
        <f>_xll.qlIndexFixing($M$6,Q56,,InterestRatesTrigger)</f>
        <v>5.0691551463743038E-3</v>
      </c>
      <c r="U56" s="30">
        <f>_xll.qlIndexFixing(Index,Q56,,InterestRatesTrigger)</f>
        <v>5.7472229703629685E-3</v>
      </c>
      <c r="V56" s="30">
        <f t="shared" si="5"/>
        <v>6.7806782398866471E-4</v>
      </c>
      <c r="W56" s="29">
        <f>_xll.qlDayCounterYearFraction(DayCounter,SettlementDate,R56,,,Trigger)</f>
        <v>4.4861111111111107</v>
      </c>
      <c r="X56" s="29">
        <f>_xll.qlDayCounterYearFraction(DayCounter,R56,S56)</f>
        <v>9.166666666666666E-2</v>
      </c>
      <c r="Y56" s="29">
        <f>_xll.qlYieldTSDiscount(Currency&amp;"ON",R56)/(1+U56*X56)</f>
        <v>0.99876825195391206</v>
      </c>
      <c r="Z56" s="30" t="e">
        <f>_xll.qlTenorBasisValue(TenorBasis6M,R56,InterestRatesTrigger)</f>
        <v>#VALUE!</v>
      </c>
      <c r="AA56" s="30" t="e">
        <f t="shared" si="6"/>
        <v>#VALUE!</v>
      </c>
    </row>
    <row r="57" spans="15:27" x14ac:dyDescent="0.2">
      <c r="O57" s="33">
        <v>1</v>
      </c>
      <c r="P57" s="27" t="str">
        <f>_xll.qlPeriodEquivalent(P56&amp;"+"&amp;O57&amp;"M")</f>
        <v>4Y6M</v>
      </c>
      <c r="Q57" s="28">
        <f>_xll.qlCalendarAdvance(Calendar,SettlementDate,P57,"f",,Trigger)</f>
        <v>43923</v>
      </c>
      <c r="R57" s="28">
        <f>_xll.qlInterestRateIndexValueDate(Index,Q57,Trigger)</f>
        <v>43927</v>
      </c>
      <c r="S57" s="28">
        <f>_xll.qlInterestRateIndexMaturity(Index,R57,Trigger)</f>
        <v>43957</v>
      </c>
      <c r="T57" s="30">
        <f>_xll.qlIndexFixing($M$6,Q57,,InterestRatesTrigger)</f>
        <v>5.3393930763130371E-3</v>
      </c>
      <c r="U57" s="30">
        <f>_xll.qlIndexFixing(Index,Q57,,InterestRatesTrigger)</f>
        <v>6.011539997927251E-3</v>
      </c>
      <c r="V57" s="30">
        <f t="shared" si="5"/>
        <v>6.7214692161421397E-4</v>
      </c>
      <c r="W57" s="29">
        <f>_xll.qlDayCounterYearFraction(DayCounter,SettlementDate,R57,,,Trigger)</f>
        <v>4.5777777777777775</v>
      </c>
      <c r="X57" s="29">
        <f>_xll.qlDayCounterYearFraction(DayCounter,R57,S57)</f>
        <v>8.3333333333333329E-2</v>
      </c>
      <c r="Y57" s="29">
        <f>_xll.qlYieldTSDiscount(Currency&amp;"ON",R57)/(1+U57*X57)</f>
        <v>0.99833017762750198</v>
      </c>
      <c r="Z57" s="30" t="e">
        <f>_xll.qlTenorBasisValue(TenorBasis6M,R57,InterestRatesTrigger)</f>
        <v>#VALUE!</v>
      </c>
      <c r="AA57" s="30" t="e">
        <f t="shared" si="6"/>
        <v>#VALUE!</v>
      </c>
    </row>
    <row r="58" spans="15:27" x14ac:dyDescent="0.2">
      <c r="O58" s="33">
        <v>1</v>
      </c>
      <c r="P58" s="27" t="str">
        <f>_xll.qlPeriodEquivalent(P57&amp;"+"&amp;O58&amp;"M")</f>
        <v>4Y7M</v>
      </c>
      <c r="Q58" s="28">
        <f>_xll.qlCalendarAdvance(Calendar,SettlementDate,P58,"f",,Trigger)</f>
        <v>43955</v>
      </c>
      <c r="R58" s="28">
        <f>_xll.qlInterestRateIndexValueDate(Index,Q58,Trigger)</f>
        <v>43957</v>
      </c>
      <c r="S58" s="28">
        <f>_xll.qlInterestRateIndexMaturity(Index,R58,Trigger)</f>
        <v>43990</v>
      </c>
      <c r="T58" s="30">
        <f>_xll.qlIndexFixing($M$6,Q58,,InterestRatesTrigger)</f>
        <v>5.6196317115416025E-3</v>
      </c>
      <c r="U58" s="30">
        <f>_xll.qlIndexFixing(Index,Q58,,InterestRatesTrigger)</f>
        <v>6.2810318969688051E-3</v>
      </c>
      <c r="V58" s="30">
        <f t="shared" si="5"/>
        <v>6.6140018542720259E-4</v>
      </c>
      <c r="W58" s="29">
        <f>_xll.qlDayCounterYearFraction(DayCounter,SettlementDate,R58,,,Trigger)</f>
        <v>4.6611111111111114</v>
      </c>
      <c r="X58" s="29">
        <f>_xll.qlDayCounterYearFraction(DayCounter,R58,S58)</f>
        <v>9.166666666666666E-2</v>
      </c>
      <c r="Y58" s="29">
        <f>_xll.qlYieldTSDiscount(Currency&amp;"ON",R58)/(1+U58*X58)</f>
        <v>0.99781157022639499</v>
      </c>
      <c r="Z58" s="30" t="e">
        <f>_xll.qlTenorBasisValue(TenorBasis6M,R58,InterestRatesTrigger)</f>
        <v>#VALUE!</v>
      </c>
      <c r="AA58" s="30" t="e">
        <f t="shared" si="6"/>
        <v>#VALUE!</v>
      </c>
    </row>
    <row r="59" spans="15:27" x14ac:dyDescent="0.2">
      <c r="O59" s="33">
        <v>1</v>
      </c>
      <c r="P59" s="27" t="str">
        <f>_xll.qlPeriodEquivalent(P58&amp;"+"&amp;O59&amp;"M")</f>
        <v>4Y8M</v>
      </c>
      <c r="Q59" s="28">
        <f>_xll.qlCalendarAdvance(Calendar,SettlementDate,P59,"f",,Trigger)</f>
        <v>43984</v>
      </c>
      <c r="R59" s="28">
        <f>_xll.qlInterestRateIndexValueDate(Index,Q59,Trigger)</f>
        <v>43986</v>
      </c>
      <c r="S59" s="28">
        <f>_xll.qlInterestRateIndexMaturity(Index,R59,Trigger)</f>
        <v>44018</v>
      </c>
      <c r="T59" s="30">
        <f>_xll.qlIndexFixing($M$6,Q59,,InterestRatesTrigger)</f>
        <v>5.8815144550464216E-3</v>
      </c>
      <c r="U59" s="30">
        <f>_xll.qlIndexFixing(Index,Q59,,InterestRatesTrigger)</f>
        <v>6.5288010537695174E-3</v>
      </c>
      <c r="V59" s="30">
        <f t="shared" si="5"/>
        <v>6.472865987230958E-4</v>
      </c>
      <c r="W59" s="29">
        <f>_xll.qlDayCounterYearFraction(DayCounter,SettlementDate,R59,,,Trigger)</f>
        <v>4.7416666666666663</v>
      </c>
      <c r="X59" s="29">
        <f>_xll.qlDayCounterYearFraction(DayCounter,R59,S59)</f>
        <v>8.8888888888888892E-2</v>
      </c>
      <c r="Y59" s="29">
        <f>_xll.qlYieldTSDiscount(Currency&amp;"ON",R59)/(1+U59*X59)</f>
        <v>0.99735698457432953</v>
      </c>
      <c r="Z59" s="30" t="e">
        <f>_xll.qlTenorBasisValue(TenorBasis6M,R59,InterestRatesTrigger)</f>
        <v>#VALUE!</v>
      </c>
      <c r="AA59" s="30" t="e">
        <f t="shared" si="6"/>
        <v>#VALUE!</v>
      </c>
    </row>
    <row r="60" spans="15:27" x14ac:dyDescent="0.2">
      <c r="O60" s="33">
        <v>1</v>
      </c>
      <c r="P60" s="27" t="str">
        <f>_xll.qlPeriodEquivalent(P59&amp;"+"&amp;O60&amp;"M")</f>
        <v>4Y9M</v>
      </c>
      <c r="Q60" s="28">
        <f>_xll.qlCalendarAdvance(Calendar,SettlementDate,P60,"f",,Trigger)</f>
        <v>44014</v>
      </c>
      <c r="R60" s="28">
        <f>_xll.qlInterestRateIndexValueDate(Index,Q60,Trigger)</f>
        <v>44018</v>
      </c>
      <c r="S60" s="28">
        <f>_xll.qlInterestRateIndexMaturity(Index,R60,Trigger)</f>
        <v>44049</v>
      </c>
      <c r="T60" s="30">
        <f>_xll.qlIndexFixing($M$6,Q60,,InterestRatesTrigger)</f>
        <v>6.1807874229732798E-3</v>
      </c>
      <c r="U60" s="30">
        <f>_xll.qlIndexFixing(Index,Q60,,InterestRatesTrigger)</f>
        <v>6.8073334101920718E-3</v>
      </c>
      <c r="V60" s="30">
        <f t="shared" si="5"/>
        <v>6.2654598721879201E-4</v>
      </c>
      <c r="W60" s="29">
        <f>_xll.qlDayCounterYearFraction(DayCounter,SettlementDate,R60,,,Trigger)</f>
        <v>4.8305555555555557</v>
      </c>
      <c r="X60" s="29">
        <f>_xll.qlDayCounterYearFraction(DayCounter,R60,S60)</f>
        <v>8.611111111111111E-2</v>
      </c>
      <c r="Y60" s="29">
        <f>_xll.qlYieldTSDiscount(Currency&amp;"ON",R60)/(1+U60*X60)</f>
        <v>0.9968300102690274</v>
      </c>
      <c r="Z60" s="30" t="e">
        <f>_xll.qlTenorBasisValue(TenorBasis6M,R60,InterestRatesTrigger)</f>
        <v>#VALUE!</v>
      </c>
      <c r="AA60" s="30" t="e">
        <f t="shared" si="6"/>
        <v>#VALUE!</v>
      </c>
    </row>
    <row r="61" spans="15:27" x14ac:dyDescent="0.2">
      <c r="O61" s="33">
        <v>1</v>
      </c>
      <c r="P61" s="27" t="str">
        <f>_xll.qlPeriodEquivalent(P60&amp;"+"&amp;O61&amp;"M")</f>
        <v>4Y10M</v>
      </c>
      <c r="Q61" s="28">
        <f>_xll.qlCalendarAdvance(Calendar,SettlementDate,P61,"f",,Trigger)</f>
        <v>44046</v>
      </c>
      <c r="R61" s="28">
        <f>_xll.qlInterestRateIndexValueDate(Index,Q61,Trigger)</f>
        <v>44048</v>
      </c>
      <c r="S61" s="28">
        <f>_xll.qlInterestRateIndexMaturity(Index,R61,Trigger)</f>
        <v>44081</v>
      </c>
      <c r="T61" s="30">
        <f>_xll.qlIndexFixing($M$6,Q61,,InterestRatesTrigger)</f>
        <v>6.4859765194997211E-3</v>
      </c>
      <c r="U61" s="30">
        <f>_xll.qlIndexFixing(Index,Q61,,InterestRatesTrigger)</f>
        <v>7.0865430758521543E-3</v>
      </c>
      <c r="V61" s="30">
        <f t="shared" si="5"/>
        <v>6.0056655635243317E-4</v>
      </c>
      <c r="W61" s="29">
        <f>_xll.qlDayCounterYearFraction(DayCounter,SettlementDate,R61,,,Trigger)</f>
        <v>4.9138888888888888</v>
      </c>
      <c r="X61" s="29">
        <f>_xll.qlDayCounterYearFraction(DayCounter,R61,S61)</f>
        <v>9.166666666666666E-2</v>
      </c>
      <c r="Y61" s="29">
        <f>_xll.qlYieldTSDiscount(Currency&amp;"ON",R61)/(1+U61*X61)</f>
        <v>0.99625411132691488</v>
      </c>
      <c r="Z61" s="30" t="e">
        <f>_xll.qlTenorBasisValue(TenorBasis6M,R61,InterestRatesTrigger)</f>
        <v>#VALUE!</v>
      </c>
      <c r="AA61" s="30" t="e">
        <f t="shared" si="6"/>
        <v>#VALUE!</v>
      </c>
    </row>
    <row r="62" spans="15:27" x14ac:dyDescent="0.2">
      <c r="O62" s="33">
        <v>1</v>
      </c>
      <c r="P62" s="27" t="str">
        <f>_xll.qlPeriodEquivalent(P61&amp;"+"&amp;O62&amp;"M")</f>
        <v>4Y11M</v>
      </c>
      <c r="Q62" s="28">
        <f>_xll.qlCalendarAdvance(Calendar,SettlementDate,P62,"f",,Trigger)</f>
        <v>44076</v>
      </c>
      <c r="R62" s="28">
        <f>_xll.qlInterestRateIndexValueDate(Index,Q62,Trigger)</f>
        <v>44078</v>
      </c>
      <c r="S62" s="28">
        <f>_xll.qlInterestRateIndexMaturity(Index,R62,Trigger)</f>
        <v>44109</v>
      </c>
      <c r="T62" s="30">
        <f>_xll.qlIndexFixing($M$6,Q62,,InterestRatesTrigger)</f>
        <v>6.780797725701046E-3</v>
      </c>
      <c r="U62" s="30">
        <f>_xll.qlIndexFixing(Index,Q62,,InterestRatesTrigger)</f>
        <v>7.3518345618635164E-3</v>
      </c>
      <c r="V62" s="30">
        <f t="shared" si="5"/>
        <v>5.7103683616247045E-4</v>
      </c>
      <c r="W62" s="29">
        <f>_xll.qlDayCounterYearFraction(DayCounter,SettlementDate,R62,,,Trigger)</f>
        <v>4.9972222222222218</v>
      </c>
      <c r="X62" s="29">
        <f>_xll.qlDayCounterYearFraction(DayCounter,R62,S62)</f>
        <v>8.611111111111111E-2</v>
      </c>
      <c r="Y62" s="29">
        <f>_xll.qlYieldTSDiscount(Currency&amp;"ON",R62)/(1+U62*X62)</f>
        <v>0.99573363865975195</v>
      </c>
      <c r="Z62" s="30" t="e">
        <f>_xll.qlTenorBasisValue(TenorBasis6M,R62,InterestRatesTrigger)</f>
        <v>#VALUE!</v>
      </c>
      <c r="AA62" s="30" t="e">
        <f t="shared" si="6"/>
        <v>#VALUE!</v>
      </c>
    </row>
    <row r="63" spans="15:27" x14ac:dyDescent="0.2">
      <c r="O63" s="33">
        <v>1</v>
      </c>
      <c r="P63" s="27" t="str">
        <f>_xll.qlPeriodEquivalent(P62&amp;"+"&amp;O63&amp;"M")</f>
        <v>5Y</v>
      </c>
      <c r="Q63" s="28">
        <f>_xll.qlCalendarAdvance(Calendar,SettlementDate,P63,"f",,Trigger)</f>
        <v>44106</v>
      </c>
      <c r="R63" s="28">
        <f>_xll.qlInterestRateIndexValueDate(Index,Q63,Trigger)</f>
        <v>44110</v>
      </c>
      <c r="S63" s="28">
        <f>_xll.qlInterestRateIndexMaturity(Index,R63,Trigger)</f>
        <v>44141</v>
      </c>
      <c r="T63" s="30">
        <f>_xll.qlIndexFixing($M$6,Q63,,InterestRatesTrigger)</f>
        <v>7.1139515717805373E-3</v>
      </c>
      <c r="U63" s="30">
        <f>_xll.qlIndexFixing(Index,Q63,,InterestRatesTrigger)</f>
        <v>7.6482131076206104E-3</v>
      </c>
      <c r="V63" s="30">
        <f t="shared" si="5"/>
        <v>5.3426153584007312E-4</v>
      </c>
      <c r="W63" s="29">
        <f>_xll.qlDayCounterYearFraction(DayCounter,SettlementDate,R63,,,Trigger)</f>
        <v>5.0861111111111112</v>
      </c>
      <c r="X63" s="29">
        <f>_xll.qlDayCounterYearFraction(DayCounter,R63,S63)</f>
        <v>8.611111111111111E-2</v>
      </c>
      <c r="Y63" s="29">
        <f>_xll.qlYieldTSDiscount(Currency&amp;"ON",R63)/(1+U63*X63)</f>
        <v>0.9951079884491334</v>
      </c>
      <c r="Z63" s="30" t="e">
        <f>_xll.qlTenorBasisValue(TenorBasis6M,R63,InterestRatesTrigger)</f>
        <v>#VALUE!</v>
      </c>
      <c r="AA63" s="30" t="e">
        <f t="shared" si="6"/>
        <v>#VALUE!</v>
      </c>
    </row>
    <row r="64" spans="15:27" x14ac:dyDescent="0.2">
      <c r="O64" s="33">
        <v>1</v>
      </c>
      <c r="P64" s="27" t="str">
        <f>_xll.qlPeriodEquivalent(P63&amp;"+"&amp;O64&amp;"M")</f>
        <v>5Y1M</v>
      </c>
      <c r="Q64" s="28">
        <f>_xll.qlCalendarAdvance(Calendar,SettlementDate,P64,"f",,Trigger)</f>
        <v>44137</v>
      </c>
      <c r="R64" s="28">
        <f>_xll.qlInterestRateIndexValueDate(Index,Q64,Trigger)</f>
        <v>44139</v>
      </c>
      <c r="S64" s="28">
        <f>_xll.qlInterestRateIndexMaturity(Index,R64,Trigger)</f>
        <v>44169</v>
      </c>
      <c r="T64" s="30">
        <f>_xll.qlIndexFixing($M$6,Q64,,InterestRatesTrigger)</f>
        <v>7.4087605597448203E-3</v>
      </c>
      <c r="U64" s="30">
        <f>_xll.qlIndexFixing(Index,Q64,,InterestRatesTrigger)</f>
        <v>7.9113027508377343E-3</v>
      </c>
      <c r="V64" s="30">
        <f t="shared" si="5"/>
        <v>5.0254219109291398E-4</v>
      </c>
      <c r="W64" s="29">
        <f>_xll.qlDayCounterYearFraction(DayCounter,SettlementDate,R64,,,Trigger)</f>
        <v>5.166666666666667</v>
      </c>
      <c r="X64" s="29">
        <f>_xll.qlDayCounterYearFraction(DayCounter,R64,S64)</f>
        <v>8.3333333333333329E-2</v>
      </c>
      <c r="Y64" s="29">
        <f>_xll.qlYieldTSDiscount(Currency&amp;"ON",R64)/(1+U64*X64)</f>
        <v>0.99453821825541289</v>
      </c>
      <c r="Z64" s="30" t="e">
        <f>_xll.qlTenorBasisValue(TenorBasis6M,R64,InterestRatesTrigger)</f>
        <v>#VALUE!</v>
      </c>
      <c r="AA64" s="30" t="e">
        <f t="shared" si="6"/>
        <v>#VALUE!</v>
      </c>
    </row>
    <row r="65" spans="15:27" x14ac:dyDescent="0.2">
      <c r="O65" s="33">
        <v>1</v>
      </c>
      <c r="P65" s="27" t="str">
        <f>_xll.qlPeriodEquivalent(P64&amp;"+"&amp;O65&amp;"M")</f>
        <v>5Y2M</v>
      </c>
      <c r="Q65" s="28">
        <f>_xll.qlCalendarAdvance(Calendar,SettlementDate,P65,"f",,Trigger)</f>
        <v>44167</v>
      </c>
      <c r="R65" s="28">
        <f>_xll.qlInterestRateIndexValueDate(Index,Q65,Trigger)</f>
        <v>44169</v>
      </c>
      <c r="S65" s="28">
        <f>_xll.qlInterestRateIndexMaturity(Index,R65,Trigger)</f>
        <v>44200</v>
      </c>
      <c r="T65" s="30">
        <f>_xll.qlIndexFixing($M$6,Q65,,InterestRatesTrigger)</f>
        <v>7.7202442614699241E-3</v>
      </c>
      <c r="U65" s="30">
        <f>_xll.qlIndexFixing(Index,Q65,,InterestRatesTrigger)</f>
        <v>8.1911371112154008E-3</v>
      </c>
      <c r="V65" s="30">
        <f t="shared" si="5"/>
        <v>4.7089284974547677E-4</v>
      </c>
      <c r="W65" s="29">
        <f>_xll.qlDayCounterYearFraction(DayCounter,SettlementDate,R65,,,Trigger)</f>
        <v>5.25</v>
      </c>
      <c r="X65" s="29">
        <f>_xll.qlDayCounterYearFraction(DayCounter,R65,S65)</f>
        <v>8.611111111111111E-2</v>
      </c>
      <c r="Y65" s="29">
        <f>_xll.qlYieldTSDiscount(Currency&amp;"ON",R65)/(1+U65*X65)</f>
        <v>0.99387881199075689</v>
      </c>
      <c r="Z65" s="30" t="e">
        <f>_xll.qlTenorBasisValue(TenorBasis6M,R65,InterestRatesTrigger)</f>
        <v>#VALUE!</v>
      </c>
      <c r="AA65" s="30" t="e">
        <f t="shared" si="6"/>
        <v>#VALUE!</v>
      </c>
    </row>
    <row r="66" spans="15:27" x14ac:dyDescent="0.2">
      <c r="O66" s="33">
        <v>1</v>
      </c>
      <c r="P66" s="27" t="str">
        <f>_xll.qlPeriodEquivalent(P65&amp;"+"&amp;O66&amp;"M")</f>
        <v>5Y3M</v>
      </c>
      <c r="Q66" s="28">
        <f>_xll.qlCalendarAdvance(Calendar,SettlementDate,P66,"f",,Trigger)</f>
        <v>44200</v>
      </c>
      <c r="R66" s="28">
        <f>_xll.qlInterestRateIndexValueDate(Index,Q66,Trigger)</f>
        <v>44202</v>
      </c>
      <c r="S66" s="28">
        <f>_xll.qlInterestRateIndexMaturity(Index,R66,Trigger)</f>
        <v>44235</v>
      </c>
      <c r="T66" s="30">
        <f>_xll.qlIndexFixing($M$6,Q66,,InterestRatesTrigger)</f>
        <v>8.0617631714321267E-3</v>
      </c>
      <c r="U66" s="30">
        <f>_xll.qlIndexFixing(Index,Q66,,InterestRatesTrigger)</f>
        <v>8.5004514386452269E-3</v>
      </c>
      <c r="V66" s="30">
        <f t="shared" si="5"/>
        <v>4.3868826721310018E-4</v>
      </c>
      <c r="W66" s="29">
        <f>_xll.qlDayCounterYearFraction(DayCounter,SettlementDate,R66,,,Trigger)</f>
        <v>5.3416666666666668</v>
      </c>
      <c r="X66" s="29">
        <f>_xll.qlDayCounterYearFraction(DayCounter,R66,S66)</f>
        <v>9.166666666666666E-2</v>
      </c>
      <c r="Y66" s="29">
        <f>_xll.qlYieldTSDiscount(Currency&amp;"ON",R66)/(1+U66*X66)</f>
        <v>0.99310171908713352</v>
      </c>
      <c r="Z66" s="30" t="e">
        <f>_xll.qlTenorBasisValue(TenorBasis6M,R66,InterestRatesTrigger)</f>
        <v>#VALUE!</v>
      </c>
      <c r="AA66" s="30" t="e">
        <f t="shared" si="6"/>
        <v>#VALUE!</v>
      </c>
    </row>
    <row r="67" spans="15:27" x14ac:dyDescent="0.2">
      <c r="O67" s="33">
        <v>1</v>
      </c>
      <c r="P67" s="27" t="str">
        <f>_xll.qlPeriodEquivalent(P66&amp;"+"&amp;O67&amp;"M")</f>
        <v>5Y4M</v>
      </c>
      <c r="Q67" s="28">
        <f>_xll.qlCalendarAdvance(Calendar,SettlementDate,P67,"f",,Trigger)</f>
        <v>44229</v>
      </c>
      <c r="R67" s="28">
        <f>_xll.qlInterestRateIndexValueDate(Index,Q67,Trigger)</f>
        <v>44231</v>
      </c>
      <c r="S67" s="28">
        <f>_xll.qlInterestRateIndexMaturity(Index,R67,Trigger)</f>
        <v>44259</v>
      </c>
      <c r="T67" s="30">
        <f>_xll.qlIndexFixing($M$6,Q67,,InterestRatesTrigger)</f>
        <v>8.3226897384625076E-3</v>
      </c>
      <c r="U67" s="30">
        <f>_xll.qlIndexFixing(Index,Q67,,InterestRatesTrigger)</f>
        <v>8.7386121123073889E-3</v>
      </c>
      <c r="V67" s="30">
        <f t="shared" si="5"/>
        <v>4.1592237384488126E-4</v>
      </c>
      <c r="W67" s="29">
        <f>_xll.qlDayCounterYearFraction(DayCounter,SettlementDate,R67,,,Trigger)</f>
        <v>5.4222222222222225</v>
      </c>
      <c r="X67" s="29">
        <f>_xll.qlDayCounterYearFraction(DayCounter,R67,S67)</f>
        <v>7.7777777777777779E-2</v>
      </c>
      <c r="Y67" s="29">
        <f>_xll.qlYieldTSDiscount(Currency&amp;"ON",R67)/(1+U67*X67)</f>
        <v>0.99255753177327477</v>
      </c>
      <c r="Z67" s="30" t="e">
        <f>_xll.qlTenorBasisValue(TenorBasis6M,R67,InterestRatesTrigger)</f>
        <v>#VALUE!</v>
      </c>
      <c r="AA67" s="30" t="e">
        <f t="shared" si="6"/>
        <v>#VALUE!</v>
      </c>
    </row>
    <row r="68" spans="15:27" x14ac:dyDescent="0.2">
      <c r="O68" s="33">
        <v>1</v>
      </c>
      <c r="P68" s="27" t="str">
        <f>_xll.qlPeriodEquivalent(P67&amp;"+"&amp;O68&amp;"M")</f>
        <v>5Y5M</v>
      </c>
      <c r="Q68" s="28">
        <f>_xll.qlCalendarAdvance(Calendar,SettlementDate,P68,"f",,Trigger)</f>
        <v>44257</v>
      </c>
      <c r="R68" s="28">
        <f>_xll.qlInterestRateIndexValueDate(Index,Q68,Trigger)</f>
        <v>44259</v>
      </c>
      <c r="S68" s="28">
        <f>_xll.qlInterestRateIndexMaturity(Index,R68,Trigger)</f>
        <v>44292</v>
      </c>
      <c r="T68" s="30">
        <f>_xll.qlIndexFixing($M$6,Q68,,InterestRatesTrigger)</f>
        <v>8.618135563948184E-3</v>
      </c>
      <c r="U68" s="30">
        <f>_xll.qlIndexFixing(Index,Q68,,InterestRatesTrigger)</f>
        <v>9.010949460873361E-3</v>
      </c>
      <c r="V68" s="30">
        <f t="shared" ref="V68:V131" si="14">U68-T68</f>
        <v>3.9281389692517703E-4</v>
      </c>
      <c r="W68" s="29">
        <f>_xll.qlDayCounterYearFraction(DayCounter,SettlementDate,R68,,,Trigger)</f>
        <v>5.5</v>
      </c>
      <c r="X68" s="29">
        <f>_xll.qlDayCounterYearFraction(DayCounter,R68,S68)</f>
        <v>9.166666666666666E-2</v>
      </c>
      <c r="Y68" s="29">
        <f>_xll.qlYieldTSDiscount(Currency&amp;"ON",R68)/(1+U68*X68)</f>
        <v>0.99177041372791042</v>
      </c>
      <c r="Z68" s="30" t="e">
        <f>_xll.qlTenorBasisValue(TenorBasis6M,R68,InterestRatesTrigger)</f>
        <v>#VALUE!</v>
      </c>
      <c r="AA68" s="30" t="e">
        <f t="shared" ref="AA68:AA131" si="15">V68-Z68</f>
        <v>#VALUE!</v>
      </c>
    </row>
    <row r="69" spans="15:27" x14ac:dyDescent="0.2">
      <c r="O69" s="33">
        <v>1</v>
      </c>
      <c r="P69" s="27" t="str">
        <f>_xll.qlPeriodEquivalent(P68&amp;"+"&amp;O69&amp;"M")</f>
        <v>5Y6M</v>
      </c>
      <c r="Q69" s="28">
        <f>_xll.qlCalendarAdvance(Calendar,SettlementDate,P69,"f",,Trigger)</f>
        <v>44292</v>
      </c>
      <c r="R69" s="28">
        <f>_xll.qlInterestRateIndexValueDate(Index,Q69,Trigger)</f>
        <v>44294</v>
      </c>
      <c r="S69" s="28">
        <f>_xll.qlInterestRateIndexMaturity(Index,R69,Trigger)</f>
        <v>44326</v>
      </c>
      <c r="T69" s="30">
        <f>_xll.qlIndexFixing($M$6,Q69,,InterestRatesTrigger)</f>
        <v>8.9436735733736117E-3</v>
      </c>
      <c r="U69" s="30">
        <f>_xll.qlIndexFixing(Index,Q69,,InterestRatesTrigger)</f>
        <v>9.314267867296111E-3</v>
      </c>
      <c r="V69" s="30">
        <f t="shared" si="14"/>
        <v>3.7059429392249932E-4</v>
      </c>
      <c r="W69" s="29">
        <f>_xll.qlDayCounterYearFraction(DayCounter,SettlementDate,R69,,,Trigger)</f>
        <v>5.5972222222222223</v>
      </c>
      <c r="X69" s="29">
        <f>_xll.qlDayCounterYearFraction(DayCounter,R69,S69)</f>
        <v>8.8888888888888892E-2</v>
      </c>
      <c r="Y69" s="29">
        <f>_xll.qlYieldTSDiscount(Currency&amp;"ON",R69)/(1+U69*X69)</f>
        <v>0.99093728179054885</v>
      </c>
      <c r="Z69" s="30" t="e">
        <f>_xll.qlTenorBasisValue(TenorBasis6M,R69,InterestRatesTrigger)</f>
        <v>#VALUE!</v>
      </c>
      <c r="AA69" s="30" t="e">
        <f t="shared" si="15"/>
        <v>#VALUE!</v>
      </c>
    </row>
    <row r="70" spans="15:27" x14ac:dyDescent="0.2">
      <c r="O70" s="33">
        <v>1</v>
      </c>
      <c r="P70" s="27" t="str">
        <f>_xll.qlPeriodEquivalent(P69&amp;"+"&amp;O70&amp;"M")</f>
        <v>5Y7M</v>
      </c>
      <c r="Q70" s="28">
        <f>_xll.qlCalendarAdvance(Calendar,SettlementDate,P70,"f",,Trigger)</f>
        <v>44319</v>
      </c>
      <c r="R70" s="28">
        <f>_xll.qlInterestRateIndexValueDate(Index,Q70,Trigger)</f>
        <v>44321</v>
      </c>
      <c r="S70" s="28">
        <f>_xll.qlInterestRateIndexMaturity(Index,R70,Trigger)</f>
        <v>44354</v>
      </c>
      <c r="T70" s="30">
        <f>_xll.qlIndexFixing($M$6,Q70,,InterestRatesTrigger)</f>
        <v>9.1965850404360991E-3</v>
      </c>
      <c r="U70" s="30">
        <f>_xll.qlIndexFixing(Index,Q70,,InterestRatesTrigger)</f>
        <v>9.5528131236978144E-3</v>
      </c>
      <c r="V70" s="30">
        <f t="shared" si="14"/>
        <v>3.5622808326171533E-4</v>
      </c>
      <c r="W70" s="29">
        <f>_xll.qlDayCounterYearFraction(DayCounter,SettlementDate,R70,,,Trigger)</f>
        <v>5.6722222222222225</v>
      </c>
      <c r="X70" s="29">
        <f>_xll.qlDayCounterYearFraction(DayCounter,R70,S70)</f>
        <v>9.166666666666666E-2</v>
      </c>
      <c r="Y70" s="29">
        <f>_xll.qlYieldTSDiscount(Currency&amp;"ON",R70)/(1+U70*X70)</f>
        <v>0.99022755917674832</v>
      </c>
      <c r="Z70" s="30" t="e">
        <f>_xll.qlTenorBasisValue(TenorBasis6M,R70,InterestRatesTrigger)</f>
        <v>#VALUE!</v>
      </c>
      <c r="AA70" s="30" t="e">
        <f t="shared" si="15"/>
        <v>#VALUE!</v>
      </c>
    </row>
    <row r="71" spans="15:27" x14ac:dyDescent="0.2">
      <c r="O71" s="33">
        <v>1</v>
      </c>
      <c r="P71" s="27" t="str">
        <f>_xll.qlPeriodEquivalent(P70&amp;"+"&amp;O71&amp;"M")</f>
        <v>5Y8M</v>
      </c>
      <c r="Q71" s="28">
        <f>_xll.qlCalendarAdvance(Calendar,SettlementDate,P71,"f",,Trigger)</f>
        <v>44349</v>
      </c>
      <c r="R71" s="28">
        <f>_xll.qlInterestRateIndexValueDate(Index,Q71,Trigger)</f>
        <v>44351</v>
      </c>
      <c r="S71" s="28">
        <f>_xll.qlInterestRateIndexMaturity(Index,R71,Trigger)</f>
        <v>44382</v>
      </c>
      <c r="T71" s="30">
        <f>_xll.qlIndexFixing($M$6,Q71,,InterestRatesTrigger)</f>
        <v>9.4559894611754361E-3</v>
      </c>
      <c r="U71" s="30">
        <f>_xll.qlIndexFixing(Index,Q71,,InterestRatesTrigger)</f>
        <v>9.8004073136818744E-3</v>
      </c>
      <c r="V71" s="30">
        <f t="shared" si="14"/>
        <v>3.4441785250643835E-4</v>
      </c>
      <c r="W71" s="29">
        <f>_xll.qlDayCounterYearFraction(DayCounter,SettlementDate,R71,,,Trigger)</f>
        <v>5.7555555555555555</v>
      </c>
      <c r="X71" s="29">
        <f>_xll.qlDayCounterYearFraction(DayCounter,R71,S71)</f>
        <v>8.611111111111111E-2</v>
      </c>
      <c r="Y71" s="29">
        <f>_xll.qlYieldTSDiscount(Currency&amp;"ON",R71)/(1+U71*X71)</f>
        <v>0.98950178367171404</v>
      </c>
      <c r="Z71" s="30" t="e">
        <f>_xll.qlTenorBasisValue(TenorBasis6M,R71,InterestRatesTrigger)</f>
        <v>#VALUE!</v>
      </c>
      <c r="AA71" s="30" t="e">
        <f t="shared" si="15"/>
        <v>#VALUE!</v>
      </c>
    </row>
    <row r="72" spans="15:27" x14ac:dyDescent="0.2">
      <c r="O72" s="33">
        <v>1</v>
      </c>
      <c r="P72" s="27" t="str">
        <f>_xll.qlPeriodEquivalent(P71&amp;"+"&amp;O72&amp;"M")</f>
        <v>5Y9M</v>
      </c>
      <c r="Q72" s="28">
        <f>_xll.qlCalendarAdvance(Calendar,SettlementDate,P72,"f",,Trigger)</f>
        <v>44379</v>
      </c>
      <c r="R72" s="28">
        <f>_xll.qlInterestRateIndexValueDate(Index,Q72,Trigger)</f>
        <v>44383</v>
      </c>
      <c r="S72" s="28">
        <f>_xll.qlInterestRateIndexMaturity(Index,R72,Trigger)</f>
        <v>44414</v>
      </c>
      <c r="T72" s="30">
        <f>_xll.qlIndexFixing($M$6,Q72,,InterestRatesTrigger)</f>
        <v>9.7334684527889022E-3</v>
      </c>
      <c r="U72" s="30">
        <f>_xll.qlIndexFixing(Index,Q72,,InterestRatesTrigger)</f>
        <v>1.0069210383495003E-2</v>
      </c>
      <c r="V72" s="30">
        <f t="shared" si="14"/>
        <v>3.3574193070610124E-4</v>
      </c>
      <c r="W72" s="29">
        <f>_xll.qlDayCounterYearFraction(DayCounter,SettlementDate,R72,,,Trigger)</f>
        <v>5.8444444444444441</v>
      </c>
      <c r="X72" s="29">
        <f>_xll.qlDayCounterYearFraction(DayCounter,R72,S72)</f>
        <v>8.611111111111111E-2</v>
      </c>
      <c r="Y72" s="29">
        <f>_xll.qlYieldTSDiscount(Currency&amp;"ON",R72)/(1+U72*X72)</f>
        <v>0.98864751300026776</v>
      </c>
      <c r="Z72" s="30" t="e">
        <f>_xll.qlTenorBasisValue(TenorBasis6M,R72,InterestRatesTrigger)</f>
        <v>#VALUE!</v>
      </c>
      <c r="AA72" s="30" t="e">
        <f t="shared" si="15"/>
        <v>#VALUE!</v>
      </c>
    </row>
    <row r="73" spans="15:27" x14ac:dyDescent="0.2">
      <c r="O73" s="33">
        <v>1</v>
      </c>
      <c r="P73" s="27" t="str">
        <f>_xll.qlPeriodEquivalent(P72&amp;"+"&amp;O73&amp;"M")</f>
        <v>5Y10M</v>
      </c>
      <c r="Q73" s="28">
        <f>_xll.qlCalendarAdvance(Calendar,SettlementDate,P73,"f",,Trigger)</f>
        <v>44410</v>
      </c>
      <c r="R73" s="28">
        <f>_xll.qlInterestRateIndexValueDate(Index,Q73,Trigger)</f>
        <v>44412</v>
      </c>
      <c r="S73" s="28">
        <f>_xll.qlInterestRateIndexMaturity(Index,R73,Trigger)</f>
        <v>44445</v>
      </c>
      <c r="T73" s="30">
        <f>_xll.qlIndexFixing($M$6,Q73,,InterestRatesTrigger)</f>
        <v>9.9846720181296835E-3</v>
      </c>
      <c r="U73" s="30">
        <f>_xll.qlIndexFixing(Index,Q73,,InterestRatesTrigger)</f>
        <v>1.0316685967272997E-2</v>
      </c>
      <c r="V73" s="30">
        <f t="shared" si="14"/>
        <v>3.3201394914331335E-4</v>
      </c>
      <c r="W73" s="29">
        <f>_xll.qlDayCounterYearFraction(DayCounter,SettlementDate,R73,,,Trigger)</f>
        <v>5.9249999999999998</v>
      </c>
      <c r="X73" s="29">
        <f>_xll.qlDayCounterYearFraction(DayCounter,R73,S73)</f>
        <v>9.166666666666666E-2</v>
      </c>
      <c r="Y73" s="29">
        <f>_xll.qlYieldTSDiscount(Currency&amp;"ON",R73)/(1+U73*X73)</f>
        <v>0.98779603281144801</v>
      </c>
      <c r="Z73" s="30" t="e">
        <f>_xll.qlTenorBasisValue(TenorBasis6M,R73,InterestRatesTrigger)</f>
        <v>#VALUE!</v>
      </c>
      <c r="AA73" s="30" t="e">
        <f t="shared" si="15"/>
        <v>#VALUE!</v>
      </c>
    </row>
    <row r="74" spans="15:27" x14ac:dyDescent="0.2">
      <c r="O74" s="33">
        <v>1</v>
      </c>
      <c r="P74" s="27" t="str">
        <f>_xll.qlPeriodEquivalent(P73&amp;"+"&amp;O74&amp;"M")</f>
        <v>5Y11M</v>
      </c>
      <c r="Q74" s="28">
        <f>_xll.qlCalendarAdvance(Calendar,SettlementDate,P74,"f",,Trigger)</f>
        <v>44441</v>
      </c>
      <c r="R74" s="28">
        <f>_xll.qlInterestRateIndexValueDate(Index,Q74,Trigger)</f>
        <v>44445</v>
      </c>
      <c r="S74" s="28">
        <f>_xll.qlInterestRateIndexMaturity(Index,R74,Trigger)</f>
        <v>44475</v>
      </c>
      <c r="T74" s="30">
        <f>_xll.qlIndexFixing($M$6,Q74,,InterestRatesTrigger)</f>
        <v>1.0237682546424764E-2</v>
      </c>
      <c r="U74" s="30">
        <f>_xll.qlIndexFixing(Index,Q74,,InterestRatesTrigger)</f>
        <v>1.0570478157325702E-2</v>
      </c>
      <c r="V74" s="30">
        <f t="shared" si="14"/>
        <v>3.3279561090093779E-4</v>
      </c>
      <c r="W74" s="29">
        <f>_xll.qlDayCounterYearFraction(DayCounter,SettlementDate,R74,,,Trigger)</f>
        <v>6.0166666666666666</v>
      </c>
      <c r="X74" s="29">
        <f>_xll.qlDayCounterYearFraction(DayCounter,R74,S74)</f>
        <v>8.3333333333333329E-2</v>
      </c>
      <c r="Y74" s="29">
        <f>_xll.qlYieldTSDiscount(Currency&amp;"ON",R74)/(1+U74*X74)</f>
        <v>0.98695668483665067</v>
      </c>
      <c r="Z74" s="30" t="e">
        <f>_xll.qlTenorBasisValue(TenorBasis6M,R74,InterestRatesTrigger)</f>
        <v>#VALUE!</v>
      </c>
      <c r="AA74" s="30" t="e">
        <f t="shared" si="15"/>
        <v>#VALUE!</v>
      </c>
    </row>
    <row r="75" spans="15:27" x14ac:dyDescent="0.2">
      <c r="O75" s="33">
        <v>1</v>
      </c>
      <c r="P75" s="27" t="str">
        <f>_xll.qlPeriodEquivalent(P74&amp;"+"&amp;O75&amp;"M")</f>
        <v>6Y</v>
      </c>
      <c r="Q75" s="28">
        <f>_xll.qlCalendarAdvance(Calendar,SettlementDate,P75,"f",,Trigger)</f>
        <v>44473</v>
      </c>
      <c r="R75" s="28">
        <f>_xll.qlInterestRateIndexValueDate(Index,Q75,Trigger)</f>
        <v>44475</v>
      </c>
      <c r="S75" s="28">
        <f>_xll.qlInterestRateIndexMaturity(Index,R75,Trigger)</f>
        <v>44508</v>
      </c>
      <c r="T75" s="30">
        <f>_xll.qlIndexFixing($M$6,Q75,,InterestRatesTrigger)</f>
        <v>1.0482240904825928E-2</v>
      </c>
      <c r="U75" s="30">
        <f>_xll.qlIndexFixing(Index,Q75,,InterestRatesTrigger)</f>
        <v>1.0819961717963946E-2</v>
      </c>
      <c r="V75" s="30">
        <f t="shared" si="14"/>
        <v>3.3772081313801841E-4</v>
      </c>
      <c r="W75" s="29">
        <f>_xll.qlDayCounterYearFraction(DayCounter,SettlementDate,R75,,,Trigger)</f>
        <v>6.1</v>
      </c>
      <c r="X75" s="29">
        <f>_xll.qlDayCounterYearFraction(DayCounter,R75,S75)</f>
        <v>9.166666666666666E-2</v>
      </c>
      <c r="Y75" s="29">
        <f>_xll.qlYieldTSDiscount(Currency&amp;"ON",R75)/(1+U75*X75)</f>
        <v>0.98600608250337385</v>
      </c>
      <c r="Z75" s="30" t="e">
        <f>_xll.qlTenorBasisValue(TenorBasis6M,R75,InterestRatesTrigger)</f>
        <v>#VALUE!</v>
      </c>
      <c r="AA75" s="30" t="e">
        <f t="shared" si="15"/>
        <v>#VALUE!</v>
      </c>
    </row>
    <row r="76" spans="15:27" x14ac:dyDescent="0.2">
      <c r="O76" s="33">
        <v>1</v>
      </c>
      <c r="P76" s="27" t="str">
        <f>_xll.qlPeriodEquivalent(P75&amp;"+"&amp;O76&amp;"M")</f>
        <v>6Y1M</v>
      </c>
      <c r="Q76" s="28">
        <f>_xll.qlCalendarAdvance(Calendar,SettlementDate,P76,"f",,Trigger)</f>
        <v>44502</v>
      </c>
      <c r="R76" s="28">
        <f>_xll.qlInterestRateIndexValueDate(Index,Q76,Trigger)</f>
        <v>44504</v>
      </c>
      <c r="S76" s="28">
        <f>_xll.qlInterestRateIndexMaturity(Index,R76,Trigger)</f>
        <v>44536</v>
      </c>
      <c r="T76" s="30">
        <f>_xll.qlIndexFixing($M$6,Q76,,InterestRatesTrigger)</f>
        <v>1.0699701897862179E-2</v>
      </c>
      <c r="U76" s="30">
        <f>_xll.qlIndexFixing(Index,Q76,,InterestRatesTrigger)</f>
        <v>1.1042335282711591E-2</v>
      </c>
      <c r="V76" s="30">
        <f t="shared" si="14"/>
        <v>3.4263338484941119E-4</v>
      </c>
      <c r="W76" s="29">
        <f>_xll.qlDayCounterYearFraction(DayCounter,SettlementDate,R76,,,Trigger)</f>
        <v>6.1805555555555554</v>
      </c>
      <c r="X76" s="29">
        <f>_xll.qlDayCounterYearFraction(DayCounter,R76,S76)</f>
        <v>8.8888888888888892E-2</v>
      </c>
      <c r="Y76" s="29">
        <f>_xll.qlYieldTSDiscount(Currency&amp;"ON",R76)/(1+U76*X76)</f>
        <v>0.98518558876169049</v>
      </c>
      <c r="Z76" s="30" t="e">
        <f>_xll.qlTenorBasisValue(TenorBasis6M,R76,InterestRatesTrigger)</f>
        <v>#VALUE!</v>
      </c>
      <c r="AA76" s="30" t="e">
        <f t="shared" si="15"/>
        <v>#VALUE!</v>
      </c>
    </row>
    <row r="77" spans="15:27" x14ac:dyDescent="0.2">
      <c r="O77" s="33">
        <v>1</v>
      </c>
      <c r="P77" s="27" t="str">
        <f>_xll.qlPeriodEquivalent(P76&amp;"+"&amp;O77&amp;"M")</f>
        <v>6Y2M</v>
      </c>
      <c r="Q77" s="28">
        <f>_xll.qlCalendarAdvance(Calendar,SettlementDate,P77,"f",,Trigger)</f>
        <v>44532</v>
      </c>
      <c r="R77" s="28">
        <f>_xll.qlInterestRateIndexValueDate(Index,Q77,Trigger)</f>
        <v>44536</v>
      </c>
      <c r="S77" s="28">
        <f>_xll.qlInterestRateIndexMaturity(Index,R77,Trigger)</f>
        <v>44567</v>
      </c>
      <c r="T77" s="30">
        <f>_xll.qlIndexFixing($M$6,Q77,,InterestRatesTrigger)</f>
        <v>1.0937342640355912E-2</v>
      </c>
      <c r="U77" s="30">
        <f>_xll.qlIndexFixing(Index,Q77,,InterestRatesTrigger)</f>
        <v>1.1285262633416681E-2</v>
      </c>
      <c r="V77" s="30">
        <f t="shared" si="14"/>
        <v>3.4791999306076939E-4</v>
      </c>
      <c r="W77" s="29">
        <f>_xll.qlDayCounterYearFraction(DayCounter,SettlementDate,R77,,,Trigger)</f>
        <v>6.2694444444444448</v>
      </c>
      <c r="X77" s="29">
        <f>_xll.qlDayCounterYearFraction(DayCounter,R77,S77)</f>
        <v>8.611111111111111E-2</v>
      </c>
      <c r="Y77" s="29">
        <f>_xll.qlYieldTSDiscount(Currency&amp;"ON",R77)/(1+U77*X77)</f>
        <v>0.98425907567340398</v>
      </c>
      <c r="Z77" s="30" t="e">
        <f>_xll.qlTenorBasisValue(TenorBasis6M,R77,InterestRatesTrigger)</f>
        <v>#VALUE!</v>
      </c>
      <c r="AA77" s="30" t="e">
        <f t="shared" si="15"/>
        <v>#VALUE!</v>
      </c>
    </row>
    <row r="78" spans="15:27" x14ac:dyDescent="0.2">
      <c r="O78" s="33">
        <v>1</v>
      </c>
      <c r="P78" s="27" t="str">
        <f>_xll.qlPeriodEquivalent(P77&amp;"+"&amp;O78&amp;"M")</f>
        <v>6Y3M</v>
      </c>
      <c r="Q78" s="28">
        <f>_xll.qlCalendarAdvance(Calendar,SettlementDate,P78,"f",,Trigger)</f>
        <v>44564</v>
      </c>
      <c r="R78" s="28">
        <f>_xll.qlInterestRateIndexValueDate(Index,Q78,Trigger)</f>
        <v>44566</v>
      </c>
      <c r="S78" s="28">
        <f>_xll.qlInterestRateIndexMaturity(Index,R78,Trigger)</f>
        <v>44599</v>
      </c>
      <c r="T78" s="30">
        <f>_xll.qlIndexFixing($M$6,Q78,,InterestRatesTrigger)</f>
        <v>1.1168749520485058E-2</v>
      </c>
      <c r="U78" s="30">
        <f>_xll.qlIndexFixing(Index,Q78,,InterestRatesTrigger)</f>
        <v>1.1521726372472266E-2</v>
      </c>
      <c r="V78" s="30">
        <f t="shared" si="14"/>
        <v>3.5297685198720785E-4</v>
      </c>
      <c r="W78" s="29">
        <f>_xll.qlDayCounterYearFraction(DayCounter,SettlementDate,R78,,,Trigger)</f>
        <v>6.3527777777777779</v>
      </c>
      <c r="X78" s="29">
        <f>_xll.qlDayCounterYearFraction(DayCounter,R78,S78)</f>
        <v>9.166666666666666E-2</v>
      </c>
      <c r="Y78" s="29">
        <f>_xll.qlYieldTSDiscount(Currency&amp;"ON",R78)/(1+U78*X78)</f>
        <v>0.98328023391915464</v>
      </c>
      <c r="Z78" s="30" t="e">
        <f>_xll.qlTenorBasisValue(TenorBasis6M,R78,InterestRatesTrigger)</f>
        <v>#VALUE!</v>
      </c>
      <c r="AA78" s="30" t="e">
        <f t="shared" si="15"/>
        <v>#VALUE!</v>
      </c>
    </row>
    <row r="79" spans="15:27" x14ac:dyDescent="0.2">
      <c r="O79" s="33">
        <v>1</v>
      </c>
      <c r="P79" s="27" t="str">
        <f>_xll.qlPeriodEquivalent(P78&amp;"+"&amp;O79&amp;"M")</f>
        <v>6Y4M</v>
      </c>
      <c r="Q79" s="28">
        <f>_xll.qlCalendarAdvance(Calendar,SettlementDate,P79,"f",,Trigger)</f>
        <v>44594</v>
      </c>
      <c r="R79" s="28">
        <f>_xll.qlInterestRateIndexValueDate(Index,Q79,Trigger)</f>
        <v>44596</v>
      </c>
      <c r="S79" s="28">
        <f>_xll.qlInterestRateIndexMaturity(Index,R79,Trigger)</f>
        <v>44624</v>
      </c>
      <c r="T79" s="30">
        <f>_xll.qlIndexFixing($M$6,Q79,,InterestRatesTrigger)</f>
        <v>1.1370323241075881E-2</v>
      </c>
      <c r="U79" s="30">
        <f>_xll.qlIndexFixing(Index,Q79,,InterestRatesTrigger)</f>
        <v>1.1727542574218042E-2</v>
      </c>
      <c r="V79" s="30">
        <f t="shared" si="14"/>
        <v>3.5721933314216033E-4</v>
      </c>
      <c r="W79" s="29">
        <f>_xll.qlDayCounterYearFraction(DayCounter,SettlementDate,R79,,,Trigger)</f>
        <v>6.4361111111111109</v>
      </c>
      <c r="X79" s="29">
        <f>_xll.qlDayCounterYearFraction(DayCounter,R79,S79)</f>
        <v>7.7777777777777779E-2</v>
      </c>
      <c r="Y79" s="29">
        <f>_xll.qlYieldTSDiscount(Currency&amp;"ON",R79)/(1+U79*X79)</f>
        <v>0.98250821420830037</v>
      </c>
      <c r="Z79" s="30" t="e">
        <f>_xll.qlTenorBasisValue(TenorBasis6M,R79,InterestRatesTrigger)</f>
        <v>#VALUE!</v>
      </c>
      <c r="AA79" s="30" t="e">
        <f t="shared" si="15"/>
        <v>#VALUE!</v>
      </c>
    </row>
    <row r="80" spans="15:27" x14ac:dyDescent="0.2">
      <c r="O80" s="33">
        <v>1</v>
      </c>
      <c r="P80" s="27" t="str">
        <f>_xll.qlPeriodEquivalent(P79&amp;"+"&amp;O80&amp;"M")</f>
        <v>6Y5M</v>
      </c>
      <c r="Q80" s="28">
        <f>_xll.qlCalendarAdvance(Calendar,SettlementDate,P80,"f",,Trigger)</f>
        <v>44622</v>
      </c>
      <c r="R80" s="28">
        <f>_xll.qlInterestRateIndexValueDate(Index,Q80,Trigger)</f>
        <v>44624</v>
      </c>
      <c r="S80" s="28">
        <f>_xll.qlInterestRateIndexMaturity(Index,R80,Trigger)</f>
        <v>44655</v>
      </c>
      <c r="T80" s="30">
        <f>_xll.qlIndexFixing($M$6,Q80,,InterestRatesTrigger)</f>
        <v>1.1585154240074023E-2</v>
      </c>
      <c r="U80" s="30">
        <f>_xll.qlIndexFixing(Index,Q80,,InterestRatesTrigger)</f>
        <v>1.1946811114403412E-2</v>
      </c>
      <c r="V80" s="30">
        <f t="shared" si="14"/>
        <v>3.6165687432938853E-4</v>
      </c>
      <c r="W80" s="29">
        <f>_xll.qlDayCounterYearFraction(DayCounter,SettlementDate,R80,,,Trigger)</f>
        <v>6.5138888888888893</v>
      </c>
      <c r="X80" s="29">
        <f>_xll.qlDayCounterYearFraction(DayCounter,R80,S80)</f>
        <v>8.611111111111111E-2</v>
      </c>
      <c r="Y80" s="29">
        <f>_xll.qlYieldTSDiscount(Currency&amp;"ON",R80)/(1+U80*X80)</f>
        <v>0.98152574010188243</v>
      </c>
      <c r="Z80" s="30" t="e">
        <f>_xll.qlTenorBasisValue(TenorBasis6M,R80,InterestRatesTrigger)</f>
        <v>#VALUE!</v>
      </c>
      <c r="AA80" s="30" t="e">
        <f t="shared" si="15"/>
        <v>#VALUE!</v>
      </c>
    </row>
    <row r="81" spans="15:27" x14ac:dyDescent="0.2">
      <c r="O81" s="33">
        <v>1</v>
      </c>
      <c r="P81" s="27" t="str">
        <f>_xll.qlPeriodEquivalent(P80&amp;"+"&amp;O81&amp;"M")</f>
        <v>6Y6M</v>
      </c>
      <c r="Q81" s="28">
        <f>_xll.qlCalendarAdvance(Calendar,SettlementDate,P81,"f",,Trigger)</f>
        <v>44655</v>
      </c>
      <c r="R81" s="28">
        <f>_xll.qlInterestRateIndexValueDate(Index,Q81,Trigger)</f>
        <v>44657</v>
      </c>
      <c r="S81" s="28">
        <f>_xll.qlInterestRateIndexMaturity(Index,R81,Trigger)</f>
        <v>44687</v>
      </c>
      <c r="T81" s="30">
        <f>_xll.qlIndexFixing($M$6,Q81,,InterestRatesTrigger)</f>
        <v>1.1817539427206647E-2</v>
      </c>
      <c r="U81" s="30">
        <f>_xll.qlIndexFixing(Index,Q81,,InterestRatesTrigger)</f>
        <v>1.2183763456889984E-2</v>
      </c>
      <c r="V81" s="30">
        <f t="shared" si="14"/>
        <v>3.6622402968333745E-4</v>
      </c>
      <c r="W81" s="29">
        <f>_xll.qlDayCounterYearFraction(DayCounter,SettlementDate,R81,,,Trigger)</f>
        <v>6.6055555555555552</v>
      </c>
      <c r="X81" s="29">
        <f>_xll.qlDayCounterYearFraction(DayCounter,R81,S81)</f>
        <v>8.3333333333333329E-2</v>
      </c>
      <c r="Y81" s="29">
        <f>_xll.qlYieldTSDiscount(Currency&amp;"ON",R81)/(1+U81*X81)</f>
        <v>0.9804969771156592</v>
      </c>
      <c r="Z81" s="30" t="e">
        <f>_xll.qlTenorBasisValue(TenorBasis6M,R81,InterestRatesTrigger)</f>
        <v>#VALUE!</v>
      </c>
      <c r="AA81" s="30" t="e">
        <f t="shared" si="15"/>
        <v>#VALUE!</v>
      </c>
    </row>
    <row r="82" spans="15:27" x14ac:dyDescent="0.2">
      <c r="O82" s="33">
        <v>1</v>
      </c>
      <c r="P82" s="27" t="str">
        <f>_xll.qlPeriodEquivalent(P81&amp;"+"&amp;O82&amp;"M")</f>
        <v>6Y7M</v>
      </c>
      <c r="Q82" s="28">
        <f>_xll.qlCalendarAdvance(Calendar,SettlementDate,P82,"f",,Trigger)</f>
        <v>44683</v>
      </c>
      <c r="R82" s="28">
        <f>_xll.qlInterestRateIndexValueDate(Index,Q82,Trigger)</f>
        <v>44685</v>
      </c>
      <c r="S82" s="28">
        <f>_xll.qlInterestRateIndexMaturity(Index,R82,Trigger)</f>
        <v>44718</v>
      </c>
      <c r="T82" s="30">
        <f>_xll.qlIndexFixing($M$6,Q82,,InterestRatesTrigger)</f>
        <v>1.2025840715711344E-2</v>
      </c>
      <c r="U82" s="30">
        <f>_xll.qlIndexFixing(Index,Q82,,InterestRatesTrigger)</f>
        <v>1.2395978302427548E-2</v>
      </c>
      <c r="V82" s="30">
        <f t="shared" si="14"/>
        <v>3.7013758671620468E-4</v>
      </c>
      <c r="W82" s="29">
        <f>_xll.qlDayCounterYearFraction(DayCounter,SettlementDate,R82,,,Trigger)</f>
        <v>6.6833333333333336</v>
      </c>
      <c r="X82" s="29">
        <f>_xll.qlDayCounterYearFraction(DayCounter,R82,S82)</f>
        <v>9.166666666666666E-2</v>
      </c>
      <c r="Y82" s="29">
        <f>_xll.qlYieldTSDiscount(Currency&amp;"ON",R82)/(1+U82*X82)</f>
        <v>0.97947877582888454</v>
      </c>
      <c r="Z82" s="30" t="e">
        <f>_xll.qlTenorBasisValue(TenorBasis6M,R82,InterestRatesTrigger)</f>
        <v>#VALUE!</v>
      </c>
      <c r="AA82" s="30" t="e">
        <f t="shared" si="15"/>
        <v>#VALUE!</v>
      </c>
    </row>
    <row r="83" spans="15:27" x14ac:dyDescent="0.2">
      <c r="O83" s="33">
        <v>1</v>
      </c>
      <c r="P83" s="27" t="str">
        <f>_xll.qlPeriodEquivalent(P82&amp;"+"&amp;O83&amp;"M")</f>
        <v>6Y8M</v>
      </c>
      <c r="Q83" s="28">
        <f>_xll.qlCalendarAdvance(Calendar,SettlementDate,P83,"f",,Trigger)</f>
        <v>44714</v>
      </c>
      <c r="R83" s="28">
        <f>_xll.qlInterestRateIndexValueDate(Index,Q83,Trigger)</f>
        <v>44718</v>
      </c>
      <c r="S83" s="28">
        <f>_xll.qlInterestRateIndexMaturity(Index,R83,Trigger)</f>
        <v>44748</v>
      </c>
      <c r="T83" s="30">
        <f>_xll.qlIndexFixing($M$6,Q83,,InterestRatesTrigger)</f>
        <v>1.2243383416643105E-2</v>
      </c>
      <c r="U83" s="30">
        <f>_xll.qlIndexFixing(Index,Q83,,InterestRatesTrigger)</f>
        <v>1.2617306164048436E-2</v>
      </c>
      <c r="V83" s="30">
        <f t="shared" si="14"/>
        <v>3.7392274740533082E-4</v>
      </c>
      <c r="W83" s="29">
        <f>_xll.qlDayCounterYearFraction(DayCounter,SettlementDate,R83,,,Trigger)</f>
        <v>6.7750000000000004</v>
      </c>
      <c r="X83" s="29">
        <f>_xll.qlDayCounterYearFraction(DayCounter,R83,S83)</f>
        <v>8.3333333333333329E-2</v>
      </c>
      <c r="Y83" s="29">
        <f>_xll.qlYieldTSDiscount(Currency&amp;"ON",R83)/(1+U83*X83)</f>
        <v>0.97848315378200657</v>
      </c>
      <c r="Z83" s="30" t="e">
        <f>_xll.qlTenorBasisValue(TenorBasis6M,R83,InterestRatesTrigger)</f>
        <v>#VALUE!</v>
      </c>
      <c r="AA83" s="30" t="e">
        <f t="shared" si="15"/>
        <v>#VALUE!</v>
      </c>
    </row>
    <row r="84" spans="15:27" x14ac:dyDescent="0.2">
      <c r="O84" s="33">
        <v>1</v>
      </c>
      <c r="P84" s="27" t="str">
        <f>_xll.qlPeriodEquivalent(P83&amp;"+"&amp;O84&amp;"M")</f>
        <v>6Y9M</v>
      </c>
      <c r="Q84" s="28">
        <f>_xll.qlCalendarAdvance(Calendar,SettlementDate,P84,"f",,Trigger)</f>
        <v>44746</v>
      </c>
      <c r="R84" s="28">
        <f>_xll.qlInterestRateIndexValueDate(Index,Q84,Trigger)</f>
        <v>44748</v>
      </c>
      <c r="S84" s="28">
        <f>_xll.qlInterestRateIndexMaturity(Index,R84,Trigger)</f>
        <v>44781</v>
      </c>
      <c r="T84" s="30">
        <f>_xll.qlIndexFixing($M$6,Q84,,InterestRatesTrigger)</f>
        <v>1.2458127346164362E-2</v>
      </c>
      <c r="U84" s="30">
        <f>_xll.qlIndexFixing(Index,Q84,,InterestRatesTrigger)</f>
        <v>1.2835544182047636E-2</v>
      </c>
      <c r="V84" s="30">
        <f t="shared" si="14"/>
        <v>3.7741683588327427E-4</v>
      </c>
      <c r="W84" s="29">
        <f>_xll.qlDayCounterYearFraction(DayCounter,SettlementDate,R84,,,Trigger)</f>
        <v>6.8583333333333334</v>
      </c>
      <c r="X84" s="29">
        <f>_xll.qlDayCounterYearFraction(DayCounter,R84,S84)</f>
        <v>9.166666666666666E-2</v>
      </c>
      <c r="Y84" s="29">
        <f>_xll.qlYieldTSDiscount(Currency&amp;"ON",R84)/(1+U84*X84)</f>
        <v>0.97736365464730279</v>
      </c>
      <c r="Z84" s="30" t="e">
        <f>_xll.qlTenorBasisValue(TenorBasis6M,R84,InterestRatesTrigger)</f>
        <v>#VALUE!</v>
      </c>
      <c r="AA84" s="30" t="e">
        <f t="shared" si="15"/>
        <v>#VALUE!</v>
      </c>
    </row>
    <row r="85" spans="15:27" x14ac:dyDescent="0.2">
      <c r="O85" s="33">
        <v>1</v>
      </c>
      <c r="P85" s="27" t="str">
        <f>_xll.qlPeriodEquivalent(P84&amp;"+"&amp;O85&amp;"M")</f>
        <v>6Y10M</v>
      </c>
      <c r="Q85" s="28">
        <f>_xll.qlCalendarAdvance(Calendar,SettlementDate,P85,"f",,Trigger)</f>
        <v>44775</v>
      </c>
      <c r="R85" s="28">
        <f>_xll.qlInterestRateIndexValueDate(Index,Q85,Trigger)</f>
        <v>44777</v>
      </c>
      <c r="S85" s="28">
        <f>_xll.qlInterestRateIndexMaturity(Index,R85,Trigger)</f>
        <v>44809</v>
      </c>
      <c r="T85" s="30">
        <f>_xll.qlIndexFixing($M$6,Q85,,InterestRatesTrigger)</f>
        <v>1.264809891513341E-2</v>
      </c>
      <c r="U85" s="30">
        <f>_xll.qlIndexFixing(Index,Q85,,InterestRatesTrigger)</f>
        <v>1.3028293385669576E-2</v>
      </c>
      <c r="V85" s="30">
        <f t="shared" si="14"/>
        <v>3.8019447053616595E-4</v>
      </c>
      <c r="W85" s="29">
        <f>_xll.qlDayCounterYearFraction(DayCounter,SettlementDate,R85,,,Trigger)</f>
        <v>6.9388888888888891</v>
      </c>
      <c r="X85" s="29">
        <f>_xll.qlDayCounterYearFraction(DayCounter,R85,S85)</f>
        <v>8.8888888888888892E-2</v>
      </c>
      <c r="Y85" s="29">
        <f>_xll.qlYieldTSDiscount(Currency&amp;"ON",R85)/(1+U85*X85)</f>
        <v>0.97640296955843009</v>
      </c>
      <c r="Z85" s="30" t="e">
        <f>_xll.qlTenorBasisValue(TenorBasis6M,R85,InterestRatesTrigger)</f>
        <v>#VALUE!</v>
      </c>
      <c r="AA85" s="30" t="e">
        <f t="shared" si="15"/>
        <v>#VALUE!</v>
      </c>
    </row>
    <row r="86" spans="15:27" x14ac:dyDescent="0.2">
      <c r="O86" s="33">
        <v>1</v>
      </c>
      <c r="P86" s="27" t="str">
        <f>_xll.qlPeriodEquivalent(P85&amp;"+"&amp;O86&amp;"M")</f>
        <v>6Y11M</v>
      </c>
      <c r="Q86" s="28">
        <f>_xll.qlCalendarAdvance(Calendar,SettlementDate,P86,"f",,Trigger)</f>
        <v>44806</v>
      </c>
      <c r="R86" s="28">
        <f>_xll.qlInterestRateIndexValueDate(Index,Q86,Trigger)</f>
        <v>44810</v>
      </c>
      <c r="S86" s="28">
        <f>_xll.qlInterestRateIndexMaturity(Index,R86,Trigger)</f>
        <v>44840</v>
      </c>
      <c r="T86" s="30">
        <f>_xll.qlIndexFixing($M$6,Q86,,InterestRatesTrigger)</f>
        <v>1.2856987692880573E-2</v>
      </c>
      <c r="U86" s="30">
        <f>_xll.qlIndexFixing(Index,Q86,,InterestRatesTrigger)</f>
        <v>1.3239875789066602E-2</v>
      </c>
      <c r="V86" s="30">
        <f t="shared" si="14"/>
        <v>3.8288809618602926E-4</v>
      </c>
      <c r="W86" s="29">
        <f>_xll.qlDayCounterYearFraction(DayCounter,SettlementDate,R86,,,Trigger)</f>
        <v>7.0305555555555559</v>
      </c>
      <c r="X86" s="29">
        <f>_xll.qlDayCounterYearFraction(DayCounter,R86,S86)</f>
        <v>8.3333333333333329E-2</v>
      </c>
      <c r="Y86" s="29">
        <f>_xll.qlYieldTSDiscount(Currency&amp;"ON",R86)/(1+U86*X86)</f>
        <v>0.97532525103934731</v>
      </c>
      <c r="Z86" s="30" t="e">
        <f>_xll.qlTenorBasisValue(TenorBasis6M,R86,InterestRatesTrigger)</f>
        <v>#VALUE!</v>
      </c>
      <c r="AA86" s="30" t="e">
        <f t="shared" si="15"/>
        <v>#VALUE!</v>
      </c>
    </row>
    <row r="87" spans="15:27" x14ac:dyDescent="0.2">
      <c r="O87" s="33">
        <v>1</v>
      </c>
      <c r="P87" s="27" t="str">
        <f>_xll.qlPeriodEquivalent(P86&amp;"+"&amp;O87&amp;"M")</f>
        <v>7Y</v>
      </c>
      <c r="Q87" s="28">
        <f>_xll.qlCalendarAdvance(Calendar,SettlementDate,P87,"f",,Trigger)</f>
        <v>44837</v>
      </c>
      <c r="R87" s="28">
        <f>_xll.qlInterestRateIndexValueDate(Index,Q87,Trigger)</f>
        <v>44839</v>
      </c>
      <c r="S87" s="28">
        <f>_xll.qlInterestRateIndexMaturity(Index,R87,Trigger)</f>
        <v>44872</v>
      </c>
      <c r="T87" s="30">
        <f>_xll.qlIndexFixing($M$6,Q87,,InterestRatesTrigger)</f>
        <v>1.3053397959232884E-2</v>
      </c>
      <c r="U87" s="30">
        <f>_xll.qlIndexFixing(Index,Q87,,InterestRatesTrigger)</f>
        <v>1.3438703288942802E-2</v>
      </c>
      <c r="V87" s="30">
        <f t="shared" si="14"/>
        <v>3.8530532970991807E-4</v>
      </c>
      <c r="W87" s="29">
        <f>_xll.qlDayCounterYearFraction(DayCounter,SettlementDate,R87,,,Trigger)</f>
        <v>7.1111111111111107</v>
      </c>
      <c r="X87" s="29">
        <f>_xll.qlDayCounterYearFraction(DayCounter,R87,S87)</f>
        <v>9.166666666666666E-2</v>
      </c>
      <c r="Y87" s="29">
        <f>_xll.qlYieldTSDiscount(Currency&amp;"ON",R87)/(1+U87*X87)</f>
        <v>0.97419131866252429</v>
      </c>
      <c r="Z87" s="30" t="e">
        <f>_xll.qlTenorBasisValue(TenorBasis6M,R87,InterestRatesTrigger)</f>
        <v>#VALUE!</v>
      </c>
      <c r="AA87" s="30" t="e">
        <f t="shared" si="15"/>
        <v>#VALUE!</v>
      </c>
    </row>
    <row r="88" spans="15:27" x14ac:dyDescent="0.2">
      <c r="O88" s="33">
        <v>1</v>
      </c>
      <c r="P88" s="27" t="str">
        <f>_xll.qlPeriodEquivalent(P87&amp;"+"&amp;O88&amp;"M")</f>
        <v>7Y1M</v>
      </c>
      <c r="Q88" s="28">
        <f>_xll.qlCalendarAdvance(Calendar,SettlementDate,P88,"f",,Trigger)</f>
        <v>44867</v>
      </c>
      <c r="R88" s="28">
        <f>_xll.qlInterestRateIndexValueDate(Index,Q88,Trigger)</f>
        <v>44869</v>
      </c>
      <c r="S88" s="28">
        <f>_xll.qlInterestRateIndexMaturity(Index,R88,Trigger)</f>
        <v>44900</v>
      </c>
      <c r="T88" s="30">
        <f>_xll.qlIndexFixing($M$6,Q88,,InterestRatesTrigger)</f>
        <v>1.3236921367237184E-2</v>
      </c>
      <c r="U88" s="30">
        <f>_xll.qlIndexFixing(Index,Q88,,InterestRatesTrigger)</f>
        <v>1.3624828806395524E-2</v>
      </c>
      <c r="V88" s="30">
        <f t="shared" si="14"/>
        <v>3.8790743915833974E-4</v>
      </c>
      <c r="W88" s="29">
        <f>_xll.qlDayCounterYearFraction(DayCounter,SettlementDate,R88,,,Trigger)</f>
        <v>7.1944444444444446</v>
      </c>
      <c r="X88" s="29">
        <f>_xll.qlDayCounterYearFraction(DayCounter,R88,S88)</f>
        <v>8.611111111111111E-2</v>
      </c>
      <c r="Y88" s="29">
        <f>_xll.qlYieldTSDiscount(Currency&amp;"ON",R88)/(1+U88*X88)</f>
        <v>0.97319058212359943</v>
      </c>
      <c r="Z88" s="30" t="e">
        <f>_xll.qlTenorBasisValue(TenorBasis6M,R88,InterestRatesTrigger)</f>
        <v>#VALUE!</v>
      </c>
      <c r="AA88" s="30" t="e">
        <f t="shared" si="15"/>
        <v>#VALUE!</v>
      </c>
    </row>
    <row r="89" spans="15:27" x14ac:dyDescent="0.2">
      <c r="O89" s="33">
        <v>1</v>
      </c>
      <c r="P89" s="27" t="str">
        <f>_xll.qlPeriodEquivalent(P88&amp;"+"&amp;O89&amp;"M")</f>
        <v>7Y2M</v>
      </c>
      <c r="Q89" s="28">
        <f>_xll.qlCalendarAdvance(Calendar,SettlementDate,P89,"f",,Trigger)</f>
        <v>44897</v>
      </c>
      <c r="R89" s="28">
        <f>_xll.qlInterestRateIndexValueDate(Index,Q89,Trigger)</f>
        <v>44901</v>
      </c>
      <c r="S89" s="28">
        <f>_xll.qlInterestRateIndexMaturity(Index,R89,Trigger)</f>
        <v>44932</v>
      </c>
      <c r="T89" s="30">
        <f>_xll.qlIndexFixing($M$6,Q89,,InterestRatesTrigger)</f>
        <v>1.343778600340245E-2</v>
      </c>
      <c r="U89" s="30">
        <f>_xll.qlIndexFixing(Index,Q89,,InterestRatesTrigger)</f>
        <v>1.3829164999110116E-2</v>
      </c>
      <c r="V89" s="30">
        <f t="shared" si="14"/>
        <v>3.9137899570766514E-4</v>
      </c>
      <c r="W89" s="29">
        <f>_xll.qlDayCounterYearFraction(DayCounter,SettlementDate,R89,,,Trigger)</f>
        <v>7.2833333333333332</v>
      </c>
      <c r="X89" s="29">
        <f>_xll.qlDayCounterYearFraction(DayCounter,R89,S89)</f>
        <v>8.611111111111111E-2</v>
      </c>
      <c r="Y89" s="29">
        <f>_xll.qlYieldTSDiscount(Currency&amp;"ON",R89)/(1+U89*X89)</f>
        <v>0.97202948069429851</v>
      </c>
      <c r="Z89" s="30" t="e">
        <f>_xll.qlTenorBasisValue(TenorBasis6M,R89,InterestRatesTrigger)</f>
        <v>#VALUE!</v>
      </c>
      <c r="AA89" s="30" t="e">
        <f t="shared" si="15"/>
        <v>#VALUE!</v>
      </c>
    </row>
    <row r="90" spans="15:27" x14ac:dyDescent="0.2">
      <c r="O90" s="33">
        <v>1</v>
      </c>
      <c r="P90" s="27" t="str">
        <f>_xll.qlPeriodEquivalent(P89&amp;"+"&amp;O90&amp;"M")</f>
        <v>7Y3M</v>
      </c>
      <c r="Q90" s="28">
        <f>_xll.qlCalendarAdvance(Calendar,SettlementDate,P90,"f",,Trigger)</f>
        <v>44928</v>
      </c>
      <c r="R90" s="28">
        <f>_xll.qlInterestRateIndexValueDate(Index,Q90,Trigger)</f>
        <v>44930</v>
      </c>
      <c r="S90" s="28">
        <f>_xll.qlInterestRateIndexMaturity(Index,R90,Trigger)</f>
        <v>44963</v>
      </c>
      <c r="T90" s="30">
        <f>_xll.qlIndexFixing($M$6,Q90,,InterestRatesTrigger)</f>
        <v>1.3624503582355372E-2</v>
      </c>
      <c r="U90" s="30">
        <f>_xll.qlIndexFixing(Index,Q90,,InterestRatesTrigger)</f>
        <v>1.4019726540076247E-2</v>
      </c>
      <c r="V90" s="30">
        <f t="shared" si="14"/>
        <v>3.9522295772087546E-4</v>
      </c>
      <c r="W90" s="29">
        <f>_xll.qlDayCounterYearFraction(DayCounter,SettlementDate,R90,,,Trigger)</f>
        <v>7.3638888888888889</v>
      </c>
      <c r="X90" s="29">
        <f>_xll.qlDayCounterYearFraction(DayCounter,R90,S90)</f>
        <v>9.166666666666666E-2</v>
      </c>
      <c r="Y90" s="29">
        <f>_xll.qlYieldTSDiscount(Currency&amp;"ON",R90)/(1+U90*X90)</f>
        <v>0.97088749117825746</v>
      </c>
      <c r="Z90" s="30" t="e">
        <f>_xll.qlTenorBasisValue(TenorBasis6M,R90,InterestRatesTrigger)</f>
        <v>#VALUE!</v>
      </c>
      <c r="AA90" s="30" t="e">
        <f t="shared" si="15"/>
        <v>#VALUE!</v>
      </c>
    </row>
    <row r="91" spans="15:27" x14ac:dyDescent="0.2">
      <c r="O91" s="33">
        <v>1</v>
      </c>
      <c r="P91" s="27" t="str">
        <f>_xll.qlPeriodEquivalent(P90&amp;"+"&amp;O91&amp;"M")</f>
        <v>7Y4M</v>
      </c>
      <c r="Q91" s="28">
        <f>_xll.qlCalendarAdvance(Calendar,SettlementDate,P91,"f",,Trigger)</f>
        <v>44959</v>
      </c>
      <c r="R91" s="28">
        <f>_xll.qlInterestRateIndexValueDate(Index,Q91,Trigger)</f>
        <v>44963</v>
      </c>
      <c r="S91" s="28">
        <f>_xll.qlInterestRateIndexMaturity(Index,R91,Trigger)</f>
        <v>44991</v>
      </c>
      <c r="T91" s="30">
        <f>_xll.qlIndexFixing($M$6,Q91,,InterestRatesTrigger)</f>
        <v>1.3810417216739701E-2</v>
      </c>
      <c r="U91" s="30">
        <f>_xll.qlIndexFixing(Index,Q91,,InterestRatesTrigger)</f>
        <v>1.4209997352430432E-2</v>
      </c>
      <c r="V91" s="30">
        <f t="shared" si="14"/>
        <v>3.9958013569073129E-4</v>
      </c>
      <c r="W91" s="29">
        <f>_xll.qlDayCounterYearFraction(DayCounter,SettlementDate,R91,,,Trigger)</f>
        <v>7.4555555555555557</v>
      </c>
      <c r="X91" s="29">
        <f>_xll.qlDayCounterYearFraction(DayCounter,R91,S91)</f>
        <v>7.7777777777777779E-2</v>
      </c>
      <c r="Y91" s="29">
        <f>_xll.qlYieldTSDiscount(Currency&amp;"ON",R91)/(1+U91*X91)</f>
        <v>0.96985072099505432</v>
      </c>
      <c r="Z91" s="30" t="e">
        <f>_xll.qlTenorBasisValue(TenorBasis6M,R91,InterestRatesTrigger)</f>
        <v>#VALUE!</v>
      </c>
      <c r="AA91" s="30" t="e">
        <f t="shared" si="15"/>
        <v>#VALUE!</v>
      </c>
    </row>
    <row r="92" spans="15:27" x14ac:dyDescent="0.2">
      <c r="O92" s="33">
        <v>1</v>
      </c>
      <c r="P92" s="27" t="str">
        <f>_xll.qlPeriodEquivalent(P91&amp;"+"&amp;O92&amp;"M")</f>
        <v>7Y5M</v>
      </c>
      <c r="Q92" s="28">
        <f>_xll.qlCalendarAdvance(Calendar,SettlementDate,P92,"f",,Trigger)</f>
        <v>44987</v>
      </c>
      <c r="R92" s="28">
        <f>_xll.qlInterestRateIndexValueDate(Index,Q92,Trigger)</f>
        <v>44991</v>
      </c>
      <c r="S92" s="28">
        <f>_xll.qlInterestRateIndexMaturity(Index,R92,Trigger)</f>
        <v>45022</v>
      </c>
      <c r="T92" s="30">
        <f>_xll.qlIndexFixing($M$6,Q92,,InterestRatesTrigger)</f>
        <v>1.3990171317702459E-2</v>
      </c>
      <c r="U92" s="30">
        <f>_xll.qlIndexFixing(Index,Q92,,InterestRatesTrigger)</f>
        <v>1.4394660023620429E-2</v>
      </c>
      <c r="V92" s="30">
        <f t="shared" si="14"/>
        <v>4.0448870591796963E-4</v>
      </c>
      <c r="W92" s="29">
        <f>_xll.qlDayCounterYearFraction(DayCounter,SettlementDate,R92,,,Trigger)</f>
        <v>7.5333333333333332</v>
      </c>
      <c r="X92" s="29">
        <f>_xll.qlDayCounterYearFraction(DayCounter,R92,S92)</f>
        <v>8.611111111111111E-2</v>
      </c>
      <c r="Y92" s="29">
        <f>_xll.qlYieldTSDiscount(Currency&amp;"ON",R92)/(1+U92*X92)</f>
        <v>0.96868011220582328</v>
      </c>
      <c r="Z92" s="30" t="e">
        <f>_xll.qlTenorBasisValue(TenorBasis6M,R92,InterestRatesTrigger)</f>
        <v>#VALUE!</v>
      </c>
      <c r="AA92" s="30" t="e">
        <f t="shared" si="15"/>
        <v>#VALUE!</v>
      </c>
    </row>
    <row r="93" spans="15:27" x14ac:dyDescent="0.2">
      <c r="O93" s="33">
        <v>1</v>
      </c>
      <c r="P93" s="27" t="str">
        <f>_xll.qlPeriodEquivalent(P92&amp;"+"&amp;O93&amp;"M")</f>
        <v>7Y6M</v>
      </c>
      <c r="Q93" s="28">
        <f>_xll.qlCalendarAdvance(Calendar,SettlementDate,P93,"f",,Trigger)</f>
        <v>45019</v>
      </c>
      <c r="R93" s="28">
        <f>_xll.qlInterestRateIndexValueDate(Index,Q93,Trigger)</f>
        <v>45021</v>
      </c>
      <c r="S93" s="28">
        <f>_xll.qlInterestRateIndexMaturity(Index,R93,Trigger)</f>
        <v>45051</v>
      </c>
      <c r="T93" s="30">
        <f>_xll.qlIndexFixing($M$6,Q93,,InterestRatesTrigger)</f>
        <v>1.4166790434446241E-2</v>
      </c>
      <c r="U93" s="30">
        <f>_xll.qlIndexFixing(Index,Q93,,InterestRatesTrigger)</f>
        <v>1.4576685229264363E-2</v>
      </c>
      <c r="V93" s="30">
        <f t="shared" si="14"/>
        <v>4.0989479481812197E-4</v>
      </c>
      <c r="W93" s="29">
        <f>_xll.qlDayCounterYearFraction(DayCounter,SettlementDate,R93,,,Trigger)</f>
        <v>7.6166666666666663</v>
      </c>
      <c r="X93" s="29">
        <f>_xll.qlDayCounterYearFraction(DayCounter,R93,S93)</f>
        <v>8.3333333333333329E-2</v>
      </c>
      <c r="Y93" s="29">
        <f>_xll.qlYieldTSDiscount(Currency&amp;"ON",R93)/(1+U93*X93)</f>
        <v>0.96757634024246619</v>
      </c>
      <c r="Z93" s="30" t="e">
        <f>_xll.qlTenorBasisValue(TenorBasis6M,R93,InterestRatesTrigger)</f>
        <v>#VALUE!</v>
      </c>
      <c r="AA93" s="30" t="e">
        <f t="shared" si="15"/>
        <v>#VALUE!</v>
      </c>
    </row>
    <row r="94" spans="15:27" x14ac:dyDescent="0.2">
      <c r="O94" s="33">
        <v>1</v>
      </c>
      <c r="P94" s="27" t="str">
        <f>_xll.qlPeriodEquivalent(P93&amp;"+"&amp;O94&amp;"M")</f>
        <v>7Y7M</v>
      </c>
      <c r="Q94" s="28">
        <f>_xll.qlCalendarAdvance(Calendar,SettlementDate,P94,"f",,Trigger)</f>
        <v>45048</v>
      </c>
      <c r="R94" s="28">
        <f>_xll.qlInterestRateIndexValueDate(Index,Q94,Trigger)</f>
        <v>45050</v>
      </c>
      <c r="S94" s="28">
        <f>_xll.qlInterestRateIndexMaturity(Index,R94,Trigger)</f>
        <v>45082</v>
      </c>
      <c r="T94" s="30">
        <f>_xll.qlIndexFixing($M$6,Q94,,InterestRatesTrigger)</f>
        <v>1.434505129044944E-2</v>
      </c>
      <c r="U94" s="30">
        <f>_xll.qlIndexFixing(Index,Q94,,InterestRatesTrigger)</f>
        <v>1.476109590531377E-2</v>
      </c>
      <c r="V94" s="30">
        <f t="shared" si="14"/>
        <v>4.1604461486433042E-4</v>
      </c>
      <c r="W94" s="29">
        <f>_xll.qlDayCounterYearFraction(DayCounter,SettlementDate,R94,,,Trigger)</f>
        <v>7.697222222222222</v>
      </c>
      <c r="X94" s="29">
        <f>_xll.qlDayCounterYearFraction(DayCounter,R94,S94)</f>
        <v>8.8888888888888892E-2</v>
      </c>
      <c r="Y94" s="29">
        <f>_xll.qlYieldTSDiscount(Currency&amp;"ON",R94)/(1+U94*X94)</f>
        <v>0.96637965482432919</v>
      </c>
      <c r="Z94" s="30" t="e">
        <f>_xll.qlTenorBasisValue(TenorBasis6M,R94,InterestRatesTrigger)</f>
        <v>#VALUE!</v>
      </c>
      <c r="AA94" s="30" t="e">
        <f t="shared" si="15"/>
        <v>#VALUE!</v>
      </c>
    </row>
    <row r="95" spans="15:27" x14ac:dyDescent="0.2">
      <c r="O95" s="33">
        <v>1</v>
      </c>
      <c r="P95" s="27" t="str">
        <f>_xll.qlPeriodEquivalent(P94&amp;"+"&amp;O95&amp;"M")</f>
        <v>7Y8M</v>
      </c>
      <c r="Q95" s="28">
        <f>_xll.qlCalendarAdvance(Calendar,SettlementDate,P95,"f",,Trigger)</f>
        <v>45079</v>
      </c>
      <c r="R95" s="28">
        <f>_xll.qlInterestRateIndexValueDate(Index,Q95,Trigger)</f>
        <v>45083</v>
      </c>
      <c r="S95" s="28">
        <f>_xll.qlInterestRateIndexMaturity(Index,R95,Trigger)</f>
        <v>45113</v>
      </c>
      <c r="T95" s="30">
        <f>_xll.qlIndexFixing($M$6,Q95,,InterestRatesTrigger)</f>
        <v>1.4531570974265939E-2</v>
      </c>
      <c r="U95" s="30">
        <f>_xll.qlIndexFixing(Index,Q95,,InterestRatesTrigger)</f>
        <v>1.4954780163750847E-2</v>
      </c>
      <c r="V95" s="30">
        <f t="shared" si="14"/>
        <v>4.2320918948490771E-4</v>
      </c>
      <c r="W95" s="29">
        <f>_xll.qlDayCounterYearFraction(DayCounter,SettlementDate,R95,,,Trigger)</f>
        <v>7.7888888888888888</v>
      </c>
      <c r="X95" s="29">
        <f>_xll.qlDayCounterYearFraction(DayCounter,R95,S95)</f>
        <v>8.3333333333333329E-2</v>
      </c>
      <c r="Y95" s="29">
        <f>_xll.qlYieldTSDiscount(Currency&amp;"ON",R95)/(1+U95*X95)</f>
        <v>0.9651737739937476</v>
      </c>
      <c r="Z95" s="30" t="e">
        <f>_xll.qlTenorBasisValue(TenorBasis6M,R95,InterestRatesTrigger)</f>
        <v>#VALUE!</v>
      </c>
      <c r="AA95" s="30" t="e">
        <f t="shared" si="15"/>
        <v>#VALUE!</v>
      </c>
    </row>
    <row r="96" spans="15:27" x14ac:dyDescent="0.2">
      <c r="O96" s="33">
        <v>1</v>
      </c>
      <c r="P96" s="27" t="str">
        <f>_xll.qlPeriodEquivalent(P95&amp;"+"&amp;O96&amp;"M")</f>
        <v>7Y9M</v>
      </c>
      <c r="Q96" s="28">
        <f>_xll.qlCalendarAdvance(Calendar,SettlementDate,P96,"f",,Trigger)</f>
        <v>45110</v>
      </c>
      <c r="R96" s="28">
        <f>_xll.qlInterestRateIndexValueDate(Index,Q96,Trigger)</f>
        <v>45112</v>
      </c>
      <c r="S96" s="28">
        <f>_xll.qlInterestRateIndexMaturity(Index,R96,Trigger)</f>
        <v>45145</v>
      </c>
      <c r="T96" s="30">
        <f>_xll.qlIndexFixing($M$6,Q96,,InterestRatesTrigger)</f>
        <v>1.4708339994184368E-2</v>
      </c>
      <c r="U96" s="30">
        <f>_xll.qlIndexFixing(Index,Q96,,InterestRatesTrigger)</f>
        <v>1.5139144865732717E-2</v>
      </c>
      <c r="V96" s="30">
        <f t="shared" si="14"/>
        <v>4.3080487154834902E-4</v>
      </c>
      <c r="W96" s="29">
        <f>_xll.qlDayCounterYearFraction(DayCounter,SettlementDate,R96,,,Trigger)</f>
        <v>7.8694444444444445</v>
      </c>
      <c r="X96" s="29">
        <f>_xll.qlDayCounterYearFraction(DayCounter,R96,S96)</f>
        <v>9.166666666666666E-2</v>
      </c>
      <c r="Y96" s="29">
        <f>_xll.qlYieldTSDiscount(Currency&amp;"ON",R96)/(1+U96*X96)</f>
        <v>0.96390926544276889</v>
      </c>
      <c r="Z96" s="30" t="e">
        <f>_xll.qlTenorBasisValue(TenorBasis6M,R96,InterestRatesTrigger)</f>
        <v>#VALUE!</v>
      </c>
      <c r="AA96" s="30" t="e">
        <f t="shared" si="15"/>
        <v>#VALUE!</v>
      </c>
    </row>
    <row r="97" spans="15:27" x14ac:dyDescent="0.2">
      <c r="O97" s="33">
        <v>1</v>
      </c>
      <c r="P97" s="27" t="str">
        <f>_xll.qlPeriodEquivalent(P96&amp;"+"&amp;O97&amp;"M")</f>
        <v>7Y10M</v>
      </c>
      <c r="Q97" s="28">
        <f>_xll.qlCalendarAdvance(Calendar,SettlementDate,P97,"f",,Trigger)</f>
        <v>45140</v>
      </c>
      <c r="R97" s="28">
        <f>_xll.qlInterestRateIndexValueDate(Index,Q97,Trigger)</f>
        <v>45142</v>
      </c>
      <c r="S97" s="28">
        <f>_xll.qlInterestRateIndexMaturity(Index,R97,Trigger)</f>
        <v>45173</v>
      </c>
      <c r="T97" s="30">
        <f>_xll.qlIndexFixing($M$6,Q97,,InterestRatesTrigger)</f>
        <v>1.4872765781422543E-2</v>
      </c>
      <c r="U97" s="30">
        <f>_xll.qlIndexFixing(Index,Q97,,InterestRatesTrigger)</f>
        <v>1.5311321636741329E-2</v>
      </c>
      <c r="V97" s="30">
        <f t="shared" si="14"/>
        <v>4.3855585531878648E-4</v>
      </c>
      <c r="W97" s="29">
        <f>_xll.qlDayCounterYearFraction(DayCounter,SettlementDate,R97,,,Trigger)</f>
        <v>7.9527777777777775</v>
      </c>
      <c r="X97" s="29">
        <f>_xll.qlDayCounterYearFraction(DayCounter,R97,S97)</f>
        <v>8.611111111111111E-2</v>
      </c>
      <c r="Y97" s="29">
        <f>_xll.qlYieldTSDiscount(Currency&amp;"ON",R97)/(1+U97*X97)</f>
        <v>0.96279662236431274</v>
      </c>
      <c r="Z97" s="30" t="e">
        <f>_xll.qlTenorBasisValue(TenorBasis6M,R97,InterestRatesTrigger)</f>
        <v>#VALUE!</v>
      </c>
      <c r="AA97" s="30" t="e">
        <f t="shared" si="15"/>
        <v>#VALUE!</v>
      </c>
    </row>
    <row r="98" spans="15:27" x14ac:dyDescent="0.2">
      <c r="O98" s="33">
        <v>1</v>
      </c>
      <c r="P98" s="27" t="str">
        <f>_xll.qlPeriodEquivalent(P97&amp;"+"&amp;O98&amp;"M")</f>
        <v>7Y11M</v>
      </c>
      <c r="Q98" s="28">
        <f>_xll.qlCalendarAdvance(Calendar,SettlementDate,P98,"f",,Trigger)</f>
        <v>45173</v>
      </c>
      <c r="R98" s="28">
        <f>_xll.qlInterestRateIndexValueDate(Index,Q98,Trigger)</f>
        <v>45175</v>
      </c>
      <c r="S98" s="28">
        <f>_xll.qlInterestRateIndexMaturity(Index,R98,Trigger)</f>
        <v>45205</v>
      </c>
      <c r="T98" s="30">
        <f>_xll.qlIndexFixing($M$6,Q98,,InterestRatesTrigger)</f>
        <v>1.5054750581782628E-2</v>
      </c>
      <c r="U98" s="30">
        <f>_xll.qlIndexFixing(Index,Q98,,InterestRatesTrigger)</f>
        <v>1.5502756814893992E-2</v>
      </c>
      <c r="V98" s="30">
        <f t="shared" si="14"/>
        <v>4.4800623311136434E-4</v>
      </c>
      <c r="W98" s="29">
        <f>_xll.qlDayCounterYearFraction(DayCounter,SettlementDate,R98,,,Trigger)</f>
        <v>8.0444444444444443</v>
      </c>
      <c r="X98" s="29">
        <f>_xll.qlDayCounterYearFraction(DayCounter,R98,S98)</f>
        <v>8.3333333333333329E-2</v>
      </c>
      <c r="Y98" s="29">
        <f>_xll.qlYieldTSDiscount(Currency&amp;"ON",R98)/(1+U98*X98)</f>
        <v>0.96151076499558352</v>
      </c>
      <c r="Z98" s="30" t="e">
        <f>_xll.qlTenorBasisValue(TenorBasis6M,R98,InterestRatesTrigger)</f>
        <v>#VALUE!</v>
      </c>
      <c r="AA98" s="30" t="e">
        <f t="shared" si="15"/>
        <v>#VALUE!</v>
      </c>
    </row>
    <row r="99" spans="15:27" x14ac:dyDescent="0.2">
      <c r="O99" s="33">
        <v>1</v>
      </c>
      <c r="P99" s="27" t="str">
        <f>_xll.qlPeriodEquivalent(P98&amp;"+"&amp;O99&amp;"M")</f>
        <v>8Y</v>
      </c>
      <c r="Q99" s="28">
        <f>_xll.qlCalendarAdvance(Calendar,SettlementDate,P99,"f",,Trigger)</f>
        <v>45201</v>
      </c>
      <c r="R99" s="28">
        <f>_xll.qlInterestRateIndexValueDate(Index,Q99,Trigger)</f>
        <v>45203</v>
      </c>
      <c r="S99" s="28">
        <f>_xll.qlInterestRateIndexMaturity(Index,R99,Trigger)</f>
        <v>45236</v>
      </c>
      <c r="T99" s="30">
        <f>_xll.qlIndexFixing($M$6,Q99,,InterestRatesTrigger)</f>
        <v>1.5217872970904753E-2</v>
      </c>
      <c r="U99" s="30">
        <f>_xll.qlIndexFixing(Index,Q99,,InterestRatesTrigger)</f>
        <v>1.5674815576563524E-2</v>
      </c>
      <c r="V99" s="30">
        <f t="shared" si="14"/>
        <v>4.5694260565877151E-4</v>
      </c>
      <c r="W99" s="29">
        <f>_xll.qlDayCounterYearFraction(DayCounter,SettlementDate,R99,,,Trigger)</f>
        <v>8.1222222222222218</v>
      </c>
      <c r="X99" s="29">
        <f>_xll.qlDayCounterYearFraction(DayCounter,R99,S99)</f>
        <v>9.166666666666666E-2</v>
      </c>
      <c r="Y99" s="29">
        <f>_xll.qlYieldTSDiscount(Currency&amp;"ON",R99)/(1+U99*X99)</f>
        <v>0.96024766637991499</v>
      </c>
      <c r="Z99" s="30" t="e">
        <f>_xll.qlTenorBasisValue(TenorBasis6M,R99,InterestRatesTrigger)</f>
        <v>#VALUE!</v>
      </c>
      <c r="AA99" s="30" t="e">
        <f t="shared" si="15"/>
        <v>#VALUE!</v>
      </c>
    </row>
    <row r="100" spans="15:27" x14ac:dyDescent="0.2">
      <c r="O100" s="33">
        <v>1</v>
      </c>
      <c r="P100" s="27" t="str">
        <f>_xll.qlPeriodEquivalent(P99&amp;"+"&amp;O100&amp;"M")</f>
        <v>8Y1M</v>
      </c>
      <c r="Q100" s="28">
        <f>_xll.qlCalendarAdvance(Calendar,SettlementDate,P100,"f",,Trigger)</f>
        <v>45232</v>
      </c>
      <c r="R100" s="28">
        <f>_xll.qlInterestRateIndexValueDate(Index,Q100,Trigger)</f>
        <v>45236</v>
      </c>
      <c r="S100" s="28">
        <f>_xll.qlInterestRateIndexMaturity(Index,R100,Trigger)</f>
        <v>45266</v>
      </c>
      <c r="T100" s="30">
        <f>_xll.qlIndexFixing($M$6,Q100,,InterestRatesTrigger)</f>
        <v>1.5384206765380881E-2</v>
      </c>
      <c r="U100" s="30">
        <f>_xll.qlIndexFixing(Index,Q100,,InterestRatesTrigger)</f>
        <v>1.5849641219614519E-2</v>
      </c>
      <c r="V100" s="30">
        <f t="shared" si="14"/>
        <v>4.654344542336375E-4</v>
      </c>
      <c r="W100" s="29">
        <f>_xll.qlDayCounterYearFraction(DayCounter,SettlementDate,R100,,,Trigger)</f>
        <v>8.2138888888888886</v>
      </c>
      <c r="X100" s="29">
        <f>_xll.qlDayCounterYearFraction(DayCounter,R100,S100)</f>
        <v>8.3333333333333329E-2</v>
      </c>
      <c r="Y100" s="29">
        <f>_xll.qlYieldTSDiscount(Currency&amp;"ON",R100)/(1+U100*X100)</f>
        <v>0.9590211532402132</v>
      </c>
      <c r="Z100" s="30" t="e">
        <f>_xll.qlTenorBasisValue(TenorBasis6M,R100,InterestRatesTrigger)</f>
        <v>#VALUE!</v>
      </c>
      <c r="AA100" s="30" t="e">
        <f t="shared" si="15"/>
        <v>#VALUE!</v>
      </c>
    </row>
    <row r="101" spans="15:27" x14ac:dyDescent="0.2">
      <c r="O101" s="33">
        <v>1</v>
      </c>
      <c r="P101" s="27" t="str">
        <f>_xll.qlPeriodEquivalent(P100&amp;"+"&amp;O101&amp;"M")</f>
        <v>8Y2M</v>
      </c>
      <c r="Q101" s="28">
        <f>_xll.qlCalendarAdvance(Calendar,SettlementDate,P101,"f",,Trigger)</f>
        <v>45264</v>
      </c>
      <c r="R101" s="28">
        <f>_xll.qlInterestRateIndexValueDate(Index,Q101,Trigger)</f>
        <v>45266</v>
      </c>
      <c r="S101" s="28">
        <f>_xll.qlInterestRateIndexMaturity(Index,R101,Trigger)</f>
        <v>45299</v>
      </c>
      <c r="T101" s="30">
        <f>_xll.qlIndexFixing($M$6,Q101,,InterestRatesTrigger)</f>
        <v>1.5545637620362611E-2</v>
      </c>
      <c r="U101" s="30">
        <f>_xll.qlIndexFixing(Index,Q101,,InterestRatesTrigger)</f>
        <v>1.6018418110472575E-2</v>
      </c>
      <c r="V101" s="30">
        <f t="shared" si="14"/>
        <v>4.727804901099638E-4</v>
      </c>
      <c r="W101" s="29">
        <f>_xll.qlDayCounterYearFraction(DayCounter,SettlementDate,R101,,,Trigger)</f>
        <v>8.2972222222222225</v>
      </c>
      <c r="X101" s="29">
        <f>_xll.qlDayCounterYearFraction(DayCounter,R101,S101)</f>
        <v>9.166666666666666E-2</v>
      </c>
      <c r="Y101" s="29">
        <f>_xll.qlYieldTSDiscount(Currency&amp;"ON",R101)/(1+U101*X101)</f>
        <v>0.95765212911914233</v>
      </c>
      <c r="Z101" s="30" t="e">
        <f>_xll.qlTenorBasisValue(TenorBasis6M,R101,InterestRatesTrigger)</f>
        <v>#VALUE!</v>
      </c>
      <c r="AA101" s="30" t="e">
        <f t="shared" si="15"/>
        <v>#VALUE!</v>
      </c>
    </row>
    <row r="102" spans="15:27" x14ac:dyDescent="0.2">
      <c r="O102" s="33">
        <v>1</v>
      </c>
      <c r="P102" s="27" t="str">
        <f>_xll.qlPeriodEquivalent(P101&amp;"+"&amp;O102&amp;"M")</f>
        <v>8Y3M</v>
      </c>
      <c r="Q102" s="28">
        <f>_xll.qlCalendarAdvance(Calendar,SettlementDate,P102,"f",,Trigger)</f>
        <v>45293</v>
      </c>
      <c r="R102" s="28">
        <f>_xll.qlInterestRateIndexValueDate(Index,Q102,Trigger)</f>
        <v>45295</v>
      </c>
      <c r="S102" s="28">
        <f>_xll.qlInterestRateIndexMaturity(Index,R102,Trigger)</f>
        <v>45327</v>
      </c>
      <c r="T102" s="30">
        <f>_xll.qlIndexFixing($M$6,Q102,,InterestRatesTrigger)</f>
        <v>1.5684521896051906E-2</v>
      </c>
      <c r="U102" s="30">
        <f>_xll.qlIndexFixing(Index,Q102,,InterestRatesTrigger)</f>
        <v>1.6162757696635E-2</v>
      </c>
      <c r="V102" s="30">
        <f t="shared" si="14"/>
        <v>4.7823580058309334E-4</v>
      </c>
      <c r="W102" s="29">
        <f>_xll.qlDayCounterYearFraction(DayCounter,SettlementDate,R102,,,Trigger)</f>
        <v>8.3777777777777782</v>
      </c>
      <c r="X102" s="29">
        <f>_xll.qlDayCounterYearFraction(DayCounter,R102,S102)</f>
        <v>8.8888888888888892E-2</v>
      </c>
      <c r="Y102" s="29">
        <f>_xll.qlYieldTSDiscount(Currency&amp;"ON",R102)/(1+U102*X102)</f>
        <v>0.95648548231195785</v>
      </c>
      <c r="Z102" s="30" t="e">
        <f>_xll.qlTenorBasisValue(TenorBasis6M,R102,InterestRatesTrigger)</f>
        <v>#VALUE!</v>
      </c>
      <c r="AA102" s="30" t="e">
        <f t="shared" si="15"/>
        <v>#VALUE!</v>
      </c>
    </row>
    <row r="103" spans="15:27" x14ac:dyDescent="0.2">
      <c r="O103" s="33">
        <v>1</v>
      </c>
      <c r="P103" s="27" t="str">
        <f>_xll.qlPeriodEquivalent(P102&amp;"+"&amp;O103&amp;"M")</f>
        <v>8Y4M</v>
      </c>
      <c r="Q103" s="28">
        <f>_xll.qlCalendarAdvance(Calendar,SettlementDate,P103,"f",,Trigger)</f>
        <v>45324</v>
      </c>
      <c r="R103" s="28">
        <f>_xll.qlInterestRateIndexValueDate(Index,Q103,Trigger)</f>
        <v>45328</v>
      </c>
      <c r="S103" s="28">
        <f>_xll.qlInterestRateIndexMaturity(Index,R103,Trigger)</f>
        <v>45357</v>
      </c>
      <c r="T103" s="30">
        <f>_xll.qlIndexFixing($M$6,Q103,,InterestRatesTrigger)</f>
        <v>1.5830554626648258E-2</v>
      </c>
      <c r="U103" s="30">
        <f>_xll.qlIndexFixing(Index,Q103,,InterestRatesTrigger)</f>
        <v>1.6313479828831745E-2</v>
      </c>
      <c r="V103" s="30">
        <f t="shared" si="14"/>
        <v>4.8292520218348733E-4</v>
      </c>
      <c r="W103" s="29">
        <f>_xll.qlDayCounterYearFraction(DayCounter,SettlementDate,R103,,,Trigger)</f>
        <v>8.469444444444445</v>
      </c>
      <c r="X103" s="29">
        <f>_xll.qlDayCounterYearFraction(DayCounter,R103,S103)</f>
        <v>8.0555555555555561E-2</v>
      </c>
      <c r="Y103" s="29">
        <f>_xll.qlYieldTSDiscount(Currency&amp;"ON",R103)/(1+U103*X103)</f>
        <v>0.95522892817611815</v>
      </c>
      <c r="Z103" s="30" t="e">
        <f>_xll.qlTenorBasisValue(TenorBasis6M,R103,InterestRatesTrigger)</f>
        <v>#VALUE!</v>
      </c>
      <c r="AA103" s="30" t="e">
        <f t="shared" si="15"/>
        <v>#VALUE!</v>
      </c>
    </row>
    <row r="104" spans="15:27" x14ac:dyDescent="0.2">
      <c r="O104" s="33">
        <v>1</v>
      </c>
      <c r="P104" s="27" t="str">
        <f>_xll.qlPeriodEquivalent(P103&amp;"+"&amp;O104&amp;"M")</f>
        <v>8Y5M</v>
      </c>
      <c r="Q104" s="28">
        <f>_xll.qlCalendarAdvance(Calendar,SettlementDate,P104,"f",,Trigger)</f>
        <v>45355</v>
      </c>
      <c r="R104" s="28">
        <f>_xll.qlInterestRateIndexValueDate(Index,Q104,Trigger)</f>
        <v>45357</v>
      </c>
      <c r="S104" s="28">
        <f>_xll.qlInterestRateIndexMaturity(Index,R104,Trigger)</f>
        <v>45390</v>
      </c>
      <c r="T104" s="30">
        <f>_xll.qlIndexFixing($M$6,Q104,,InterestRatesTrigger)</f>
        <v>1.5969357488052213E-2</v>
      </c>
      <c r="U104" s="30">
        <f>_xll.qlIndexFixing(Index,Q104,,InterestRatesTrigger)</f>
        <v>1.6455623556222484E-2</v>
      </c>
      <c r="V104" s="30">
        <f t="shared" si="14"/>
        <v>4.862660681702706E-4</v>
      </c>
      <c r="W104" s="29">
        <f>_xll.qlDayCounterYearFraction(DayCounter,SettlementDate,R104,,,Trigger)</f>
        <v>8.5500000000000007</v>
      </c>
      <c r="X104" s="29">
        <f>_xll.qlDayCounterYearFraction(DayCounter,R104,S104)</f>
        <v>9.166666666666666E-2</v>
      </c>
      <c r="Y104" s="29">
        <f>_xll.qlYieldTSDiscount(Currency&amp;"ON",R104)/(1+U104*X104)</f>
        <v>0.95382725774771648</v>
      </c>
      <c r="Z104" s="30" t="e">
        <f>_xll.qlTenorBasisValue(TenorBasis6M,R104,InterestRatesTrigger)</f>
        <v>#VALUE!</v>
      </c>
      <c r="AA104" s="30" t="e">
        <f t="shared" si="15"/>
        <v>#VALUE!</v>
      </c>
    </row>
    <row r="105" spans="15:27" x14ac:dyDescent="0.2">
      <c r="O105" s="33">
        <v>1</v>
      </c>
      <c r="P105" s="27" t="str">
        <f>_xll.qlPeriodEquivalent(P104&amp;"+"&amp;O105&amp;"M")</f>
        <v>8Y6M</v>
      </c>
      <c r="Q105" s="28">
        <f>_xll.qlCalendarAdvance(Calendar,SettlementDate,P105,"f",,Trigger)</f>
        <v>45384</v>
      </c>
      <c r="R105" s="28">
        <f>_xll.qlInterestRateIndexValueDate(Index,Q105,Trigger)</f>
        <v>45386</v>
      </c>
      <c r="S105" s="28">
        <f>_xll.qlInterestRateIndexMaturity(Index,R105,Trigger)</f>
        <v>45418</v>
      </c>
      <c r="T105" s="30">
        <f>_xll.qlIndexFixing($M$6,Q105,,InterestRatesTrigger)</f>
        <v>1.608894096268465E-2</v>
      </c>
      <c r="U105" s="30">
        <f>_xll.qlIndexFixing(Index,Q105,,InterestRatesTrigger)</f>
        <v>1.6576918601616253E-2</v>
      </c>
      <c r="V105" s="30">
        <f t="shared" si="14"/>
        <v>4.8797763893160262E-4</v>
      </c>
      <c r="W105" s="29">
        <f>_xll.qlDayCounterYearFraction(DayCounter,SettlementDate,R105,,,Trigger)</f>
        <v>8.6305555555555564</v>
      </c>
      <c r="X105" s="29">
        <f>_xll.qlDayCounterYearFraction(DayCounter,R105,S105)</f>
        <v>8.8888888888888892E-2</v>
      </c>
      <c r="Y105" s="29">
        <f>_xll.qlYieldTSDiscount(Currency&amp;"ON",R105)/(1+U105*X105)</f>
        <v>0.95263580043047835</v>
      </c>
      <c r="Z105" s="30" t="e">
        <f>_xll.qlTenorBasisValue(TenorBasis6M,R105,InterestRatesTrigger)</f>
        <v>#VALUE!</v>
      </c>
      <c r="AA105" s="30" t="e">
        <f t="shared" si="15"/>
        <v>#VALUE!</v>
      </c>
    </row>
    <row r="106" spans="15:27" x14ac:dyDescent="0.2">
      <c r="O106" s="33">
        <v>1</v>
      </c>
      <c r="P106" s="27" t="str">
        <f>_xll.qlPeriodEquivalent(P105&amp;"+"&amp;O106&amp;"M")</f>
        <v>8Y7M</v>
      </c>
      <c r="Q106" s="28">
        <f>_xll.qlCalendarAdvance(Calendar,SettlementDate,P106,"f",,Trigger)</f>
        <v>45414</v>
      </c>
      <c r="R106" s="28">
        <f>_xll.qlInterestRateIndexValueDate(Index,Q106,Trigger)</f>
        <v>45418</v>
      </c>
      <c r="S106" s="28">
        <f>_xll.qlInterestRateIndexMaturity(Index,R106,Trigger)</f>
        <v>45449</v>
      </c>
      <c r="T106" s="30">
        <f>_xll.qlIndexFixing($M$6,Q106,,InterestRatesTrigger)</f>
        <v>1.6213722779001283E-2</v>
      </c>
      <c r="U106" s="30">
        <f>_xll.qlIndexFixing(Index,Q106,,InterestRatesTrigger)</f>
        <v>1.6702112608818022E-2</v>
      </c>
      <c r="V106" s="30">
        <f t="shared" si="14"/>
        <v>4.8838982981673842E-4</v>
      </c>
      <c r="W106" s="29">
        <f>_xll.qlDayCounterYearFraction(DayCounter,SettlementDate,R106,,,Trigger)</f>
        <v>8.719444444444445</v>
      </c>
      <c r="X106" s="29">
        <f>_xll.qlDayCounterYearFraction(DayCounter,R106,S106)</f>
        <v>8.611111111111111E-2</v>
      </c>
      <c r="Y106" s="29">
        <f>_xll.qlYieldTSDiscount(Currency&amp;"ON",R106)/(1+U106*X106)</f>
        <v>0.95130885470582016</v>
      </c>
      <c r="Z106" s="30" t="e">
        <f>_xll.qlTenorBasisValue(TenorBasis6M,R106,InterestRatesTrigger)</f>
        <v>#VALUE!</v>
      </c>
      <c r="AA106" s="30" t="e">
        <f t="shared" si="15"/>
        <v>#VALUE!</v>
      </c>
    </row>
    <row r="107" spans="15:27" x14ac:dyDescent="0.2">
      <c r="O107" s="33">
        <v>1</v>
      </c>
      <c r="P107" s="27" t="str">
        <f>_xll.qlPeriodEquivalent(P106&amp;"+"&amp;O107&amp;"M")</f>
        <v>8Y8M</v>
      </c>
      <c r="Q107" s="28">
        <f>_xll.qlCalendarAdvance(Calendar,SettlementDate,P107,"f",,Trigger)</f>
        <v>45446</v>
      </c>
      <c r="R107" s="28">
        <f>_xll.qlInterestRateIndexValueDate(Index,Q107,Trigger)</f>
        <v>45448</v>
      </c>
      <c r="S107" s="28">
        <f>_xll.qlInterestRateIndexMaturity(Index,R107,Trigger)</f>
        <v>45478</v>
      </c>
      <c r="T107" s="30">
        <f>_xll.qlIndexFixing($M$6,Q107,,InterestRatesTrigger)</f>
        <v>1.6323310446040296E-2</v>
      </c>
      <c r="U107" s="30">
        <f>_xll.qlIndexFixing(Index,Q107,,InterestRatesTrigger)</f>
        <v>1.6810620021007416E-2</v>
      </c>
      <c r="V107" s="30">
        <f t="shared" si="14"/>
        <v>4.873095749671208E-4</v>
      </c>
      <c r="W107" s="29">
        <f>_xll.qlDayCounterYearFraction(DayCounter,SettlementDate,R107,,,Trigger)</f>
        <v>8.8027777777777771</v>
      </c>
      <c r="X107" s="29">
        <f>_xll.qlDayCounterYearFraction(DayCounter,R107,S107)</f>
        <v>8.3333333333333329E-2</v>
      </c>
      <c r="Y107" s="29">
        <f>_xll.qlYieldTSDiscount(Currency&amp;"ON",R107)/(1+U107*X107)</f>
        <v>0.95006084974082494</v>
      </c>
      <c r="Z107" s="30" t="e">
        <f>_xll.qlTenorBasisValue(TenorBasis6M,R107,InterestRatesTrigger)</f>
        <v>#VALUE!</v>
      </c>
      <c r="AA107" s="30" t="e">
        <f t="shared" si="15"/>
        <v>#VALUE!</v>
      </c>
    </row>
    <row r="108" spans="15:27" x14ac:dyDescent="0.2">
      <c r="O108" s="33">
        <v>1</v>
      </c>
      <c r="P108" s="27" t="str">
        <f>_xll.qlPeriodEquivalent(P107&amp;"+"&amp;O108&amp;"M")</f>
        <v>8Y9M</v>
      </c>
      <c r="Q108" s="28">
        <f>_xll.qlCalendarAdvance(Calendar,SettlementDate,P108,"f",,Trigger)</f>
        <v>45475</v>
      </c>
      <c r="R108" s="28">
        <f>_xll.qlInterestRateIndexValueDate(Index,Q108,Trigger)</f>
        <v>45477</v>
      </c>
      <c r="S108" s="28">
        <f>_xll.qlInterestRateIndexMaturity(Index,R108,Trigger)</f>
        <v>45509</v>
      </c>
      <c r="T108" s="30">
        <f>_xll.qlIndexFixing($M$6,Q108,,InterestRatesTrigger)</f>
        <v>1.6428447643523358E-2</v>
      </c>
      <c r="U108" s="30">
        <f>_xll.qlIndexFixing(Index,Q108,,InterestRatesTrigger)</f>
        <v>1.6913204494118927E-2</v>
      </c>
      <c r="V108" s="30">
        <f t="shared" si="14"/>
        <v>4.8475685059556906E-4</v>
      </c>
      <c r="W108" s="29">
        <f>_xll.qlDayCounterYearFraction(DayCounter,SettlementDate,R108,,,Trigger)</f>
        <v>8.8833333333333329</v>
      </c>
      <c r="X108" s="29">
        <f>_xll.qlDayCounterYearFraction(DayCounter,R108,S108)</f>
        <v>8.8888888888888892E-2</v>
      </c>
      <c r="Y108" s="29">
        <f>_xll.qlYieldTSDiscount(Currency&amp;"ON",R108)/(1+U108*X108)</f>
        <v>0.94871627021862637</v>
      </c>
      <c r="Z108" s="30" t="e">
        <f>_xll.qlTenorBasisValue(TenorBasis6M,R108,InterestRatesTrigger)</f>
        <v>#VALUE!</v>
      </c>
      <c r="AA108" s="30" t="e">
        <f t="shared" si="15"/>
        <v>#VALUE!</v>
      </c>
    </row>
    <row r="109" spans="15:27" x14ac:dyDescent="0.2">
      <c r="O109" s="33">
        <v>1</v>
      </c>
      <c r="P109" s="27" t="str">
        <f>_xll.qlPeriodEquivalent(P108&amp;"+"&amp;O109&amp;"M")</f>
        <v>8Y10M</v>
      </c>
      <c r="Q109" s="28">
        <f>_xll.qlCalendarAdvance(Calendar,SettlementDate,P109,"f",,Trigger)</f>
        <v>45506</v>
      </c>
      <c r="R109" s="28">
        <f>_xll.qlInterestRateIndexValueDate(Index,Q109,Trigger)</f>
        <v>45510</v>
      </c>
      <c r="S109" s="28">
        <f>_xll.qlInterestRateIndexMaturity(Index,R109,Trigger)</f>
        <v>45541</v>
      </c>
      <c r="T109" s="30">
        <f>_xll.qlIndexFixing($M$6,Q109,,InterestRatesTrigger)</f>
        <v>1.6532643717082789E-2</v>
      </c>
      <c r="U109" s="30">
        <f>_xll.qlIndexFixing(Index,Q109,,InterestRatesTrigger)</f>
        <v>1.7012798068891593E-2</v>
      </c>
      <c r="V109" s="30">
        <f t="shared" si="14"/>
        <v>4.8015435180880431E-4</v>
      </c>
      <c r="W109" s="29">
        <f>_xll.qlDayCounterYearFraction(DayCounter,SettlementDate,R109,,,Trigger)</f>
        <v>8.9749999999999996</v>
      </c>
      <c r="X109" s="29">
        <f>_xll.qlDayCounterYearFraction(DayCounter,R109,S109)</f>
        <v>8.611111111111111E-2</v>
      </c>
      <c r="Y109" s="29">
        <f>_xll.qlYieldTSDiscount(Currency&amp;"ON",R109)/(1+U109*X109)</f>
        <v>0.94732585933591962</v>
      </c>
      <c r="Z109" s="30" t="e">
        <f>_xll.qlTenorBasisValue(TenorBasis6M,R109,InterestRatesTrigger)</f>
        <v>#VALUE!</v>
      </c>
      <c r="AA109" s="30" t="e">
        <f t="shared" si="15"/>
        <v>#VALUE!</v>
      </c>
    </row>
    <row r="110" spans="15:27" x14ac:dyDescent="0.2">
      <c r="O110" s="33">
        <v>1</v>
      </c>
      <c r="P110" s="27" t="str">
        <f>_xll.qlPeriodEquivalent(P109&amp;"+"&amp;O110&amp;"M")</f>
        <v>8Y11M</v>
      </c>
      <c r="Q110" s="28">
        <f>_xll.qlCalendarAdvance(Calendar,SettlementDate,P110,"f",,Trigger)</f>
        <v>45537</v>
      </c>
      <c r="R110" s="28">
        <f>_xll.qlInterestRateIndexValueDate(Index,Q110,Trigger)</f>
        <v>45539</v>
      </c>
      <c r="S110" s="28">
        <f>_xll.qlInterestRateIndexMaturity(Index,R110,Trigger)</f>
        <v>45569</v>
      </c>
      <c r="T110" s="30">
        <f>_xll.qlIndexFixing($M$6,Q110,,InterestRatesTrigger)</f>
        <v>1.6616434434338245E-2</v>
      </c>
      <c r="U110" s="30">
        <f>_xll.qlIndexFixing(Index,Q110,,InterestRatesTrigger)</f>
        <v>1.7090973470532234E-2</v>
      </c>
      <c r="V110" s="30">
        <f t="shared" si="14"/>
        <v>4.745390361939883E-4</v>
      </c>
      <c r="W110" s="29">
        <f>_xll.qlDayCounterYearFraction(DayCounter,SettlementDate,R110,,,Trigger)</f>
        <v>9.0555555555555554</v>
      </c>
      <c r="X110" s="29">
        <f>_xll.qlDayCounterYearFraction(DayCounter,R110,S110)</f>
        <v>8.3333333333333329E-2</v>
      </c>
      <c r="Y110" s="29">
        <f>_xll.qlYieldTSDiscount(Currency&amp;"ON",R110)/(1+U110*X110)</f>
        <v>0.9461046721506744</v>
      </c>
      <c r="Z110" s="30" t="e">
        <f>_xll.qlTenorBasisValue(TenorBasis6M,R110,InterestRatesTrigger)</f>
        <v>#VALUE!</v>
      </c>
      <c r="AA110" s="30" t="e">
        <f t="shared" si="15"/>
        <v>#VALUE!</v>
      </c>
    </row>
    <row r="111" spans="15:27" x14ac:dyDescent="0.2">
      <c r="O111" s="33">
        <v>1</v>
      </c>
      <c r="P111" s="27" t="str">
        <f>_xll.qlPeriodEquivalent(P110&amp;"+"&amp;O111&amp;"M")</f>
        <v>9Y</v>
      </c>
      <c r="Q111" s="28">
        <f>_xll.qlCalendarAdvance(Calendar,SettlementDate,P111,"f",,Trigger)</f>
        <v>45567</v>
      </c>
      <c r="R111" s="28">
        <f>_xll.qlInterestRateIndexValueDate(Index,Q111,Trigger)</f>
        <v>45569</v>
      </c>
      <c r="S111" s="28">
        <f>_xll.qlInterestRateIndexMaturity(Index,R111,Trigger)</f>
        <v>45600</v>
      </c>
      <c r="T111" s="30">
        <f>_xll.qlIndexFixing($M$6,Q111,,InterestRatesTrigger)</f>
        <v>1.6701205012038353E-2</v>
      </c>
      <c r="U111" s="30">
        <f>_xll.qlIndexFixing(Index,Q111,,InterestRatesTrigger)</f>
        <v>1.716836171656869E-2</v>
      </c>
      <c r="V111" s="30">
        <f t="shared" si="14"/>
        <v>4.6715670453033667E-4</v>
      </c>
      <c r="W111" s="29">
        <f>_xll.qlDayCounterYearFraction(DayCounter,SettlementDate,R111,,,Trigger)</f>
        <v>9.1388888888888893</v>
      </c>
      <c r="X111" s="29">
        <f>_xll.qlDayCounterYearFraction(DayCounter,R111,S111)</f>
        <v>8.611111111111111E-2</v>
      </c>
      <c r="Y111" s="29">
        <f>_xll.qlYieldTSDiscount(Currency&amp;"ON",R111)/(1+U111*X111)</f>
        <v>0.94474533510732395</v>
      </c>
      <c r="Z111" s="30" t="e">
        <f>_xll.qlTenorBasisValue(TenorBasis6M,R111,InterestRatesTrigger)</f>
        <v>#VALUE!</v>
      </c>
      <c r="AA111" s="30" t="e">
        <f t="shared" si="15"/>
        <v>#VALUE!</v>
      </c>
    </row>
    <row r="112" spans="15:27" x14ac:dyDescent="0.2">
      <c r="O112" s="33">
        <v>1</v>
      </c>
      <c r="P112" s="27" t="str">
        <f>_xll.qlPeriodEquivalent(P111&amp;"+"&amp;O112&amp;"M")</f>
        <v>9Y1M</v>
      </c>
      <c r="Q112" s="28">
        <f>_xll.qlCalendarAdvance(Calendar,SettlementDate,P112,"f",,Trigger)</f>
        <v>45600</v>
      </c>
      <c r="R112" s="28">
        <f>_xll.qlInterestRateIndexValueDate(Index,Q112,Trigger)</f>
        <v>45602</v>
      </c>
      <c r="S112" s="28">
        <f>_xll.qlInterestRateIndexMaturity(Index,R112,Trigger)</f>
        <v>45632</v>
      </c>
      <c r="T112" s="30">
        <f>_xll.qlIndexFixing($M$6,Q112,,InterestRatesTrigger)</f>
        <v>1.6792401780917565E-2</v>
      </c>
      <c r="U112" s="30">
        <f>_xll.qlIndexFixing(Index,Q112,,InterestRatesTrigger)</f>
        <v>1.7250980758839241E-2</v>
      </c>
      <c r="V112" s="30">
        <f t="shared" si="14"/>
        <v>4.5857897792167535E-4</v>
      </c>
      <c r="W112" s="29">
        <f>_xll.qlDayCounterYearFraction(DayCounter,SettlementDate,R112,,,Trigger)</f>
        <v>9.2305555555555561</v>
      </c>
      <c r="X112" s="29">
        <f>_xll.qlDayCounterYearFraction(DayCounter,R112,S112)</f>
        <v>8.3333333333333329E-2</v>
      </c>
      <c r="Y112" s="29">
        <f>_xll.qlYieldTSDiscount(Currency&amp;"ON",R112)/(1+U112*X112)</f>
        <v>0.94333932283956101</v>
      </c>
      <c r="Z112" s="30" t="e">
        <f>_xll.qlTenorBasisValue(TenorBasis6M,R112,InterestRatesTrigger)</f>
        <v>#VALUE!</v>
      </c>
      <c r="AA112" s="30" t="e">
        <f t="shared" si="15"/>
        <v>#VALUE!</v>
      </c>
    </row>
    <row r="113" spans="15:27" x14ac:dyDescent="0.2">
      <c r="O113" s="33">
        <v>1</v>
      </c>
      <c r="P113" s="27" t="str">
        <f>_xll.qlPeriodEquivalent(P112&amp;"+"&amp;O113&amp;"M")</f>
        <v>9Y2M</v>
      </c>
      <c r="Q113" s="28">
        <f>_xll.qlCalendarAdvance(Calendar,SettlementDate,P113,"f",,Trigger)</f>
        <v>45628</v>
      </c>
      <c r="R113" s="28">
        <f>_xll.qlInterestRateIndexValueDate(Index,Q113,Trigger)</f>
        <v>45630</v>
      </c>
      <c r="S113" s="28">
        <f>_xll.qlInterestRateIndexMaturity(Index,R113,Trigger)</f>
        <v>45663</v>
      </c>
      <c r="T113" s="30">
        <f>_xll.qlIndexFixing($M$6,Q113,,InterestRatesTrigger)</f>
        <v>1.687985483058909E-2</v>
      </c>
      <c r="U113" s="30">
        <f>_xll.qlIndexFixing(Index,Q113,,InterestRatesTrigger)</f>
        <v>1.7330286983760441E-2</v>
      </c>
      <c r="V113" s="30">
        <f t="shared" si="14"/>
        <v>4.5043215317135121E-4</v>
      </c>
      <c r="W113" s="29">
        <f>_xll.qlDayCounterYearFraction(DayCounter,SettlementDate,R113,,,Trigger)</f>
        <v>9.3083333333333336</v>
      </c>
      <c r="X113" s="29">
        <f>_xll.qlDayCounterYearFraction(DayCounter,R113,S113)</f>
        <v>9.166666666666666E-2</v>
      </c>
      <c r="Y113" s="29">
        <f>_xll.qlYieldTSDiscount(Currency&amp;"ON",R113)/(1+U113*X113)</f>
        <v>0.94196706678752995</v>
      </c>
      <c r="Z113" s="30" t="e">
        <f>_xll.qlTenorBasisValue(TenorBasis6M,R113,InterestRatesTrigger)</f>
        <v>#VALUE!</v>
      </c>
      <c r="AA113" s="30" t="e">
        <f t="shared" si="15"/>
        <v>#VALUE!</v>
      </c>
    </row>
    <row r="114" spans="15:27" x14ac:dyDescent="0.2">
      <c r="O114" s="33">
        <v>1</v>
      </c>
      <c r="P114" s="27" t="str">
        <f>_xll.qlPeriodEquivalent(P113&amp;"+"&amp;O114&amp;"M")</f>
        <v>9Y3M</v>
      </c>
      <c r="Q114" s="28">
        <f>_xll.qlCalendarAdvance(Calendar,SettlementDate,P114,"f",,Trigger)</f>
        <v>45659</v>
      </c>
      <c r="R114" s="28">
        <f>_xll.qlInterestRateIndexValueDate(Index,Q114,Trigger)</f>
        <v>45663</v>
      </c>
      <c r="S114" s="28">
        <f>_xll.qlInterestRateIndexMaturity(Index,R114,Trigger)</f>
        <v>45694</v>
      </c>
      <c r="T114" s="30">
        <f>_xll.qlIndexFixing($M$6,Q114,,InterestRatesTrigger)</f>
        <v>1.6976172732966227E-2</v>
      </c>
      <c r="U114" s="30">
        <f>_xll.qlIndexFixing(Index,Q114,,InterestRatesTrigger)</f>
        <v>1.7417179414549528E-2</v>
      </c>
      <c r="V114" s="30">
        <f t="shared" si="14"/>
        <v>4.4100668158330095E-4</v>
      </c>
      <c r="W114" s="29">
        <f>_xll.qlDayCounterYearFraction(DayCounter,SettlementDate,R114,,,Trigger)</f>
        <v>9.4</v>
      </c>
      <c r="X114" s="29">
        <f>_xll.qlDayCounterYearFraction(DayCounter,R114,S114)</f>
        <v>8.611111111111111E-2</v>
      </c>
      <c r="Y114" s="29">
        <f>_xll.qlYieldTSDiscount(Currency&amp;"ON",R114)/(1+U114*X114)</f>
        <v>0.94059518358113026</v>
      </c>
      <c r="Z114" s="30" t="e">
        <f>_xll.qlTenorBasisValue(TenorBasis6M,R114,InterestRatesTrigger)</f>
        <v>#VALUE!</v>
      </c>
      <c r="AA114" s="30" t="e">
        <f t="shared" si="15"/>
        <v>#VALUE!</v>
      </c>
    </row>
    <row r="115" spans="15:27" x14ac:dyDescent="0.2">
      <c r="O115" s="33">
        <v>1</v>
      </c>
      <c r="P115" s="27" t="str">
        <f>_xll.qlPeriodEquivalent(P114&amp;"+"&amp;O115&amp;"M")</f>
        <v>9Y4M</v>
      </c>
      <c r="Q115" s="28">
        <f>_xll.qlCalendarAdvance(Calendar,SettlementDate,P115,"f",,Trigger)</f>
        <v>45691</v>
      </c>
      <c r="R115" s="28">
        <f>_xll.qlInterestRateIndexValueDate(Index,Q115,Trigger)</f>
        <v>45693</v>
      </c>
      <c r="S115" s="28">
        <f>_xll.qlInterestRateIndexMaturity(Index,R115,Trigger)</f>
        <v>45721</v>
      </c>
      <c r="T115" s="30">
        <f>_xll.qlIndexFixing($M$6,Q115,,InterestRatesTrigger)</f>
        <v>1.7064770344302285E-2</v>
      </c>
      <c r="U115" s="30">
        <f>_xll.qlIndexFixing(Index,Q115,,InterestRatesTrigger)</f>
        <v>1.7496929736548403E-2</v>
      </c>
      <c r="V115" s="30">
        <f t="shared" si="14"/>
        <v>4.3215939224611893E-4</v>
      </c>
      <c r="W115" s="29">
        <f>_xll.qlDayCounterYearFraction(DayCounter,SettlementDate,R115,,,Trigger)</f>
        <v>9.4833333333333325</v>
      </c>
      <c r="X115" s="29">
        <f>_xll.qlDayCounterYearFraction(DayCounter,R115,S115)</f>
        <v>7.7777777777777779E-2</v>
      </c>
      <c r="Y115" s="29">
        <f>_xll.qlYieldTSDiscount(Currency&amp;"ON",R115)/(1+U115*X115)</f>
        <v>0.93939689883259303</v>
      </c>
      <c r="Z115" s="30" t="e">
        <f>_xll.qlTenorBasisValue(TenorBasis6M,R115,InterestRatesTrigger)</f>
        <v>#VALUE!</v>
      </c>
      <c r="AA115" s="30" t="e">
        <f t="shared" si="15"/>
        <v>#VALUE!</v>
      </c>
    </row>
    <row r="116" spans="15:27" x14ac:dyDescent="0.2">
      <c r="O116" s="33">
        <v>1</v>
      </c>
      <c r="P116" s="27" t="str">
        <f>_xll.qlPeriodEquivalent(P115&amp;"+"&amp;O116&amp;"M")</f>
        <v>9Y5M</v>
      </c>
      <c r="Q116" s="28">
        <f>_xll.qlCalendarAdvance(Calendar,SettlementDate,P116,"f",,Trigger)</f>
        <v>45719</v>
      </c>
      <c r="R116" s="28">
        <f>_xll.qlInterestRateIndexValueDate(Index,Q116,Trigger)</f>
        <v>45721</v>
      </c>
      <c r="S116" s="28">
        <f>_xll.qlInterestRateIndexMaturity(Index,R116,Trigger)</f>
        <v>45754</v>
      </c>
      <c r="T116" s="30">
        <f>_xll.qlIndexFixing($M$6,Q116,,InterestRatesTrigger)</f>
        <v>1.7166694520143595E-2</v>
      </c>
      <c r="U116" s="30">
        <f>_xll.qlIndexFixing(Index,Q116,,InterestRatesTrigger)</f>
        <v>1.7589088121027725E-2</v>
      </c>
      <c r="V116" s="30">
        <f t="shared" si="14"/>
        <v>4.2239360088413072E-4</v>
      </c>
      <c r="W116" s="29">
        <f>_xll.qlDayCounterYearFraction(DayCounter,SettlementDate,R116,,,Trigger)</f>
        <v>9.5611111111111118</v>
      </c>
      <c r="X116" s="29">
        <f>_xll.qlDayCounterYearFraction(DayCounter,R116,S116)</f>
        <v>9.166666666666666E-2</v>
      </c>
      <c r="Y116" s="29">
        <f>_xll.qlYieldTSDiscount(Currency&amp;"ON",R116)/(1+U116*X116)</f>
        <v>0.93791619904917822</v>
      </c>
      <c r="Z116" s="30" t="e">
        <f>_xll.qlTenorBasisValue(TenorBasis6M,R116,InterestRatesTrigger)</f>
        <v>#VALUE!</v>
      </c>
      <c r="AA116" s="30" t="e">
        <f t="shared" si="15"/>
        <v>#VALUE!</v>
      </c>
    </row>
    <row r="117" spans="15:27" x14ac:dyDescent="0.2">
      <c r="O117" s="33">
        <v>1</v>
      </c>
      <c r="P117" s="27" t="str">
        <f>_xll.qlPeriodEquivalent(P116&amp;"+"&amp;O117&amp;"M")</f>
        <v>9Y6M</v>
      </c>
      <c r="Q117" s="28">
        <f>_xll.qlCalendarAdvance(Calendar,SettlementDate,P117,"f",,Trigger)</f>
        <v>45749</v>
      </c>
      <c r="R117" s="28">
        <f>_xll.qlInterestRateIndexValueDate(Index,Q117,Trigger)</f>
        <v>45751</v>
      </c>
      <c r="S117" s="28">
        <f>_xll.qlInterestRateIndexMaturity(Index,R117,Trigger)</f>
        <v>45782</v>
      </c>
      <c r="T117" s="30">
        <f>_xll.qlIndexFixing($M$6,Q117,,InterestRatesTrigger)</f>
        <v>1.7264522901191511E-2</v>
      </c>
      <c r="U117" s="30">
        <f>_xll.qlIndexFixing(Index,Q117,,InterestRatesTrigger)</f>
        <v>1.7677056151084957E-2</v>
      </c>
      <c r="V117" s="30">
        <f t="shared" si="14"/>
        <v>4.1253324989344586E-4</v>
      </c>
      <c r="W117" s="29">
        <f>_xll.qlDayCounterYearFraction(DayCounter,SettlementDate,R117,,,Trigger)</f>
        <v>9.6444444444444439</v>
      </c>
      <c r="X117" s="29">
        <f>_xll.qlDayCounterYearFraction(DayCounter,R117,S117)</f>
        <v>8.611111111111111E-2</v>
      </c>
      <c r="Y117" s="29">
        <f>_xll.qlYieldTSDiscount(Currency&amp;"ON",R117)/(1+U117*X117)</f>
        <v>0.93666115724056609</v>
      </c>
      <c r="Z117" s="30" t="e">
        <f>_xll.qlTenorBasisValue(TenorBasis6M,R117,InterestRatesTrigger)</f>
        <v>#VALUE!</v>
      </c>
      <c r="AA117" s="30" t="e">
        <f t="shared" si="15"/>
        <v>#VALUE!</v>
      </c>
    </row>
    <row r="118" spans="15:27" x14ac:dyDescent="0.2">
      <c r="O118" s="33">
        <v>1</v>
      </c>
      <c r="P118" s="27" t="str">
        <f>_xll.qlPeriodEquivalent(P117&amp;"+"&amp;O118&amp;"M")</f>
        <v>9Y7M</v>
      </c>
      <c r="Q118" s="28">
        <f>_xll.qlCalendarAdvance(Calendar,SettlementDate,P118,"f",,Trigger)</f>
        <v>45779</v>
      </c>
      <c r="R118" s="28">
        <f>_xll.qlInterestRateIndexValueDate(Index,Q118,Trigger)</f>
        <v>45783</v>
      </c>
      <c r="S118" s="28">
        <f>_xll.qlInterestRateIndexMaturity(Index,R118,Trigger)</f>
        <v>45814</v>
      </c>
      <c r="T118" s="30">
        <f>_xll.qlIndexFixing($M$6,Q118,,InterestRatesTrigger)</f>
        <v>1.7377863093522312E-2</v>
      </c>
      <c r="U118" s="30">
        <f>_xll.qlIndexFixing(Index,Q118,,InterestRatesTrigger)</f>
        <v>1.777904574343326E-2</v>
      </c>
      <c r="V118" s="30">
        <f t="shared" si="14"/>
        <v>4.011826499109479E-4</v>
      </c>
      <c r="W118" s="29">
        <f>_xll.qlDayCounterYearFraction(DayCounter,SettlementDate,R118,,,Trigger)</f>
        <v>9.7333333333333325</v>
      </c>
      <c r="X118" s="29">
        <f>_xll.qlDayCounterYearFraction(DayCounter,R118,S118)</f>
        <v>8.611111111111111E-2</v>
      </c>
      <c r="Y118" s="29">
        <f>_xll.qlYieldTSDiscount(Currency&amp;"ON",R118)/(1+U118*X118)</f>
        <v>0.93521755652250638</v>
      </c>
      <c r="Z118" s="30" t="e">
        <f>_xll.qlTenorBasisValue(TenorBasis6M,R118,InterestRatesTrigger)</f>
        <v>#VALUE!</v>
      </c>
      <c r="AA118" s="30" t="e">
        <f t="shared" si="15"/>
        <v>#VALUE!</v>
      </c>
    </row>
    <row r="119" spans="15:27" x14ac:dyDescent="0.2">
      <c r="O119" s="33">
        <v>1</v>
      </c>
      <c r="P119" s="27" t="str">
        <f>_xll.qlPeriodEquivalent(P118&amp;"+"&amp;O119&amp;"M")</f>
        <v>9Y8M</v>
      </c>
      <c r="Q119" s="28">
        <f>_xll.qlCalendarAdvance(Calendar,SettlementDate,P119,"f",,Trigger)</f>
        <v>45810</v>
      </c>
      <c r="R119" s="28">
        <f>_xll.qlInterestRateIndexValueDate(Index,Q119,Trigger)</f>
        <v>45812</v>
      </c>
      <c r="S119" s="28">
        <f>_xll.qlInterestRateIndexMaturity(Index,R119,Trigger)</f>
        <v>45842</v>
      </c>
      <c r="T119" s="30">
        <f>_xll.qlIndexFixing($M$6,Q119,,InterestRatesTrigger)</f>
        <v>1.7482512936133787E-2</v>
      </c>
      <c r="U119" s="30">
        <f>_xll.qlIndexFixing(Index,Q119,,InterestRatesTrigger)</f>
        <v>1.7873108887644484E-2</v>
      </c>
      <c r="V119" s="30">
        <f t="shared" si="14"/>
        <v>3.9059595151069715E-4</v>
      </c>
      <c r="W119" s="29">
        <f>_xll.qlDayCounterYearFraction(DayCounter,SettlementDate,R119,,,Trigger)</f>
        <v>9.8138888888888882</v>
      </c>
      <c r="X119" s="29">
        <f>_xll.qlDayCounterYearFraction(DayCounter,R119,S119)</f>
        <v>8.3333333333333329E-2</v>
      </c>
      <c r="Y119" s="29">
        <f>_xll.qlYieldTSDiscount(Currency&amp;"ON",R119)/(1+U119*X119)</f>
        <v>0.93394927157103247</v>
      </c>
      <c r="Z119" s="30" t="e">
        <f>_xll.qlTenorBasisValue(TenorBasis6M,R119,InterestRatesTrigger)</f>
        <v>#VALUE!</v>
      </c>
      <c r="AA119" s="30" t="e">
        <f t="shared" si="15"/>
        <v>#VALUE!</v>
      </c>
    </row>
    <row r="120" spans="15:27" x14ac:dyDescent="0.2">
      <c r="O120" s="33">
        <v>1</v>
      </c>
      <c r="P120" s="27" t="str">
        <f>_xll.qlPeriodEquivalent(P119&amp;"+"&amp;O120&amp;"M")</f>
        <v>9Y9M</v>
      </c>
      <c r="Q120" s="28">
        <f>_xll.qlCalendarAdvance(Calendar,SettlementDate,P120,"f",,Trigger)</f>
        <v>45840</v>
      </c>
      <c r="R120" s="28">
        <f>_xll.qlInterestRateIndexValueDate(Index,Q120,Trigger)</f>
        <v>45842</v>
      </c>
      <c r="S120" s="28">
        <f>_xll.qlInterestRateIndexMaturity(Index,R120,Trigger)</f>
        <v>45873</v>
      </c>
      <c r="T120" s="30">
        <f>_xll.qlIndexFixing($M$6,Q120,,InterestRatesTrigger)</f>
        <v>1.7599948708870501E-2</v>
      </c>
      <c r="U120" s="30">
        <f>_xll.qlIndexFixing(Index,Q120,,InterestRatesTrigger)</f>
        <v>1.7978764166347763E-2</v>
      </c>
      <c r="V120" s="30">
        <f t="shared" si="14"/>
        <v>3.7881545747726203E-4</v>
      </c>
      <c r="W120" s="29">
        <f>_xll.qlDayCounterYearFraction(DayCounter,SettlementDate,R120,,,Trigger)</f>
        <v>9.8972222222222221</v>
      </c>
      <c r="X120" s="29">
        <f>_xll.qlDayCounterYearFraction(DayCounter,R120,S120)</f>
        <v>8.611111111111111E-2</v>
      </c>
      <c r="Y120" s="29">
        <f>_xll.qlYieldTSDiscount(Currency&amp;"ON",R120)/(1+U120*X120)</f>
        <v>0.93253590170647072</v>
      </c>
      <c r="Z120" s="30" t="e">
        <f>_xll.qlTenorBasisValue(TenorBasis6M,R120,InterestRatesTrigger)</f>
        <v>#VALUE!</v>
      </c>
      <c r="AA120" s="30" t="e">
        <f t="shared" si="15"/>
        <v>#VALUE!</v>
      </c>
    </row>
    <row r="121" spans="15:27" x14ac:dyDescent="0.2">
      <c r="O121" s="33">
        <v>1</v>
      </c>
      <c r="P121" s="27" t="str">
        <f>_xll.qlPeriodEquivalent(P120&amp;"+"&amp;O121&amp;"M")</f>
        <v>9Y10M</v>
      </c>
      <c r="Q121" s="28">
        <f>_xll.qlCalendarAdvance(Calendar,SettlementDate,P121,"f",,Trigger)</f>
        <v>45873</v>
      </c>
      <c r="R121" s="28">
        <f>_xll.qlInterestRateIndexValueDate(Index,Q121,Trigger)</f>
        <v>45875</v>
      </c>
      <c r="S121" s="28">
        <f>_xll.qlInterestRateIndexMaturity(Index,R121,Trigger)</f>
        <v>45908</v>
      </c>
      <c r="T121" s="30">
        <f>_xll.qlIndexFixing($M$6,Q121,,InterestRatesTrigger)</f>
        <v>1.7737071137111246E-2</v>
      </c>
      <c r="U121" s="30">
        <f>_xll.qlIndexFixing(Index,Q121,,InterestRatesTrigger)</f>
        <v>1.8102163610913345E-2</v>
      </c>
      <c r="V121" s="30">
        <f t="shared" si="14"/>
        <v>3.6509247380209914E-4</v>
      </c>
      <c r="W121" s="29">
        <f>_xll.qlDayCounterYearFraction(DayCounter,SettlementDate,R121,,,Trigger)</f>
        <v>9.9888888888888889</v>
      </c>
      <c r="X121" s="29">
        <f>_xll.qlDayCounterYearFraction(DayCounter,R121,S121)</f>
        <v>9.166666666666666E-2</v>
      </c>
      <c r="Y121" s="29">
        <f>_xll.qlYieldTSDiscount(Currency&amp;"ON",R121)/(1+U121*X121)</f>
        <v>0.9309300751164018</v>
      </c>
      <c r="Z121" s="30" t="e">
        <f>_xll.qlTenorBasisValue(TenorBasis6M,R121,InterestRatesTrigger)</f>
        <v>#VALUE!</v>
      </c>
      <c r="AA121" s="30" t="e">
        <f t="shared" si="15"/>
        <v>#VALUE!</v>
      </c>
    </row>
    <row r="122" spans="15:27" x14ac:dyDescent="0.2">
      <c r="O122" s="33">
        <v>1</v>
      </c>
      <c r="P122" s="27" t="str">
        <f>_xll.qlPeriodEquivalent(P121&amp;"+"&amp;O122&amp;"M")</f>
        <v>9Y11M</v>
      </c>
      <c r="Q122" s="28">
        <f>_xll.qlCalendarAdvance(Calendar,SettlementDate,P122,"f",,Trigger)</f>
        <v>45902</v>
      </c>
      <c r="R122" s="28">
        <f>_xll.qlInterestRateIndexValueDate(Index,Q122,Trigger)</f>
        <v>45904</v>
      </c>
      <c r="S122" s="28">
        <f>_xll.qlInterestRateIndexMaturity(Index,R122,Trigger)</f>
        <v>45936</v>
      </c>
      <c r="T122" s="30">
        <f>_xll.qlIndexFixing($M$6,Q122,,InterestRatesTrigger)</f>
        <v>1.7855727856148917E-2</v>
      </c>
      <c r="U122" s="30">
        <f>_xll.qlIndexFixing(Index,Q122,,InterestRatesTrigger)</f>
        <v>1.820877501883339E-2</v>
      </c>
      <c r="V122" s="30">
        <f t="shared" si="14"/>
        <v>3.5304716268447223E-4</v>
      </c>
      <c r="W122" s="29">
        <f>_xll.qlDayCounterYearFraction(DayCounter,SettlementDate,R122,,,Trigger)</f>
        <v>10.069444444444445</v>
      </c>
      <c r="X122" s="29">
        <f>_xll.qlDayCounterYearFraction(DayCounter,R122,S122)</f>
        <v>8.8888888888888892E-2</v>
      </c>
      <c r="Y122" s="29">
        <f>_xll.qlYieldTSDiscount(Currency&amp;"ON",R122)/(1+U122*X122)</f>
        <v>0.92964046201655359</v>
      </c>
      <c r="Z122" s="30" t="e">
        <f>_xll.qlTenorBasisValue(TenorBasis6M,R122,InterestRatesTrigger)</f>
        <v>#VALUE!</v>
      </c>
      <c r="AA122" s="30" t="e">
        <f t="shared" si="15"/>
        <v>#VALUE!</v>
      </c>
    </row>
    <row r="123" spans="15:27" x14ac:dyDescent="0.2">
      <c r="O123" s="33">
        <v>1</v>
      </c>
      <c r="P123" s="27" t="str">
        <f>_xll.qlPeriodEquivalent(P122&amp;"+"&amp;O123&amp;"M")</f>
        <v>10Y</v>
      </c>
      <c r="Q123" s="28">
        <f>_xll.qlCalendarAdvance(Calendar,SettlementDate,P123,"f",,Trigger)</f>
        <v>45932</v>
      </c>
      <c r="R123" s="28">
        <f>_xll.qlInterestRateIndexValueDate(Index,Q123,Trigger)</f>
        <v>45936</v>
      </c>
      <c r="S123" s="28">
        <f>_xll.qlInterestRateIndexMaturity(Index,R123,Trigger)</f>
        <v>45967</v>
      </c>
      <c r="T123" s="30">
        <f>_xll.qlIndexFixing($M$6,Q123,,InterestRatesTrigger)</f>
        <v>1.7989369756250827E-2</v>
      </c>
      <c r="U123" s="30">
        <f>_xll.qlIndexFixing(Index,Q123,,InterestRatesTrigger)</f>
        <v>1.8329616044174466E-2</v>
      </c>
      <c r="V123" s="30">
        <f t="shared" si="14"/>
        <v>3.402462879236387E-4</v>
      </c>
      <c r="W123" s="29">
        <f>_xll.qlDayCounterYearFraction(DayCounter,SettlementDate,R123,,,Trigger)</f>
        <v>10.158333333333333</v>
      </c>
      <c r="X123" s="29">
        <f>_xll.qlDayCounterYearFraction(DayCounter,R123,S123)</f>
        <v>8.611111111111111E-2</v>
      </c>
      <c r="Y123" s="29">
        <f>_xll.qlYieldTSDiscount(Currency&amp;"ON",R123)/(1+U123*X123)</f>
        <v>0.92820452692856814</v>
      </c>
      <c r="Z123" s="30" t="e">
        <f>_xll.qlTenorBasisValue(TenorBasis6M,R123,InterestRatesTrigger)</f>
        <v>#VALUE!</v>
      </c>
      <c r="AA123" s="30" t="e">
        <f t="shared" si="15"/>
        <v>#VALUE!</v>
      </c>
    </row>
    <row r="124" spans="15:27" x14ac:dyDescent="0.2">
      <c r="O124" s="33">
        <v>1</v>
      </c>
      <c r="P124" s="27" t="str">
        <f>_xll.qlPeriodEquivalent(P123&amp;"+"&amp;O124&amp;"M")</f>
        <v>10Y1M</v>
      </c>
      <c r="Q124" s="28">
        <f>_xll.qlCalendarAdvance(Calendar,SettlementDate,P124,"f",,Trigger)</f>
        <v>45964</v>
      </c>
      <c r="R124" s="28">
        <f>_xll.qlInterestRateIndexValueDate(Index,Q124,Trigger)</f>
        <v>45966</v>
      </c>
      <c r="S124" s="28">
        <f>_xll.qlInterestRateIndexMaturity(Index,R124,Trigger)</f>
        <v>45996</v>
      </c>
      <c r="T124" s="30">
        <f>_xll.qlIndexFixing($M$6,Q124,,InterestRatesTrigger)</f>
        <v>1.8109397144490558E-2</v>
      </c>
      <c r="U124" s="30">
        <f>_xll.qlIndexFixing(Index,Q124,,InterestRatesTrigger)</f>
        <v>1.8440805008543393E-2</v>
      </c>
      <c r="V124" s="30">
        <f t="shared" si="14"/>
        <v>3.3140786405283507E-4</v>
      </c>
      <c r="W124" s="29">
        <f>_xll.qlDayCounterYearFraction(DayCounter,SettlementDate,R124,,,Trigger)</f>
        <v>10.241666666666667</v>
      </c>
      <c r="X124" s="29">
        <f>_xll.qlDayCounterYearFraction(DayCounter,R124,S124)</f>
        <v>8.3333333333333329E-2</v>
      </c>
      <c r="Y124" s="29">
        <f>_xll.qlYieldTSDiscount(Currency&amp;"ON",R124)/(1+U124*X124)</f>
        <v>0.92685386263439906</v>
      </c>
      <c r="Z124" s="30" t="e">
        <f>_xll.qlTenorBasisValue(TenorBasis6M,R124,InterestRatesTrigger)</f>
        <v>#VALUE!</v>
      </c>
      <c r="AA124" s="30" t="e">
        <f t="shared" si="15"/>
        <v>#VALUE!</v>
      </c>
    </row>
    <row r="125" spans="15:27" x14ac:dyDescent="0.2">
      <c r="O125" s="33">
        <v>1</v>
      </c>
      <c r="P125" s="27" t="str">
        <f>_xll.qlPeriodEquivalent(P124&amp;"+"&amp;O125&amp;"M")</f>
        <v>10Y2M</v>
      </c>
      <c r="Q125" s="28">
        <f>_xll.qlCalendarAdvance(Calendar,SettlementDate,P125,"f",,Trigger)</f>
        <v>45993</v>
      </c>
      <c r="R125" s="28">
        <f>_xll.qlInterestRateIndexValueDate(Index,Q125,Trigger)</f>
        <v>45995</v>
      </c>
      <c r="S125" s="28">
        <f>_xll.qlInterestRateIndexMaturity(Index,R125,Trigger)</f>
        <v>46027</v>
      </c>
      <c r="T125" s="30">
        <f>_xll.qlIndexFixing($M$6,Q125,,InterestRatesTrigger)</f>
        <v>1.8226197887970808E-2</v>
      </c>
      <c r="U125" s="30">
        <f>_xll.qlIndexFixing(Index,Q125,,InterestRatesTrigger)</f>
        <v>1.8552429010042226E-2</v>
      </c>
      <c r="V125" s="30">
        <f t="shared" si="14"/>
        <v>3.2623112207141869E-4</v>
      </c>
      <c r="W125" s="29">
        <f>_xll.qlDayCounterYearFraction(DayCounter,SettlementDate,R125,,,Trigger)</f>
        <v>10.322222222222223</v>
      </c>
      <c r="X125" s="29">
        <f>_xll.qlDayCounterYearFraction(DayCounter,R125,S125)</f>
        <v>8.8888888888888892E-2</v>
      </c>
      <c r="Y125" s="29">
        <f>_xll.qlYieldTSDiscount(Currency&amp;"ON",R125)/(1+U125*X125)</f>
        <v>0.92540007814669256</v>
      </c>
      <c r="Z125" s="30" t="e">
        <f>_xll.qlTenorBasisValue(TenorBasis6M,R125,InterestRatesTrigger)</f>
        <v>#VALUE!</v>
      </c>
      <c r="AA125" s="30" t="e">
        <f t="shared" si="15"/>
        <v>#VALUE!</v>
      </c>
    </row>
    <row r="126" spans="15:27" x14ac:dyDescent="0.2">
      <c r="O126" s="33">
        <v>1</v>
      </c>
      <c r="P126" s="27" t="str">
        <f>_xll.qlPeriodEquivalent(P125&amp;"+"&amp;O126&amp;"M")</f>
        <v>10Y3M</v>
      </c>
      <c r="Q126" s="28">
        <f>_xll.qlCalendarAdvance(Calendar,SettlementDate,P126,"f",,Trigger)</f>
        <v>46024</v>
      </c>
      <c r="R126" s="28">
        <f>_xll.qlInterestRateIndexValueDate(Index,Q126,Trigger)</f>
        <v>46028</v>
      </c>
      <c r="S126" s="28">
        <f>_xll.qlInterestRateIndexMaturity(Index,R126,Trigger)</f>
        <v>46059</v>
      </c>
      <c r="T126" s="30">
        <f>_xll.qlIndexFixing($M$6,Q126,,InterestRatesTrigger)</f>
        <v>1.8343651354559343E-2</v>
      </c>
      <c r="U126" s="30">
        <f>_xll.qlIndexFixing(Index,Q126,,InterestRatesTrigger)</f>
        <v>1.8668573967789964E-2</v>
      </c>
      <c r="V126" s="30">
        <f t="shared" si="14"/>
        <v>3.2492261323062085E-4</v>
      </c>
      <c r="W126" s="29">
        <f>_xll.qlDayCounterYearFraction(DayCounter,SettlementDate,R126,,,Trigger)</f>
        <v>10.41388888888889</v>
      </c>
      <c r="X126" s="29">
        <f>_xll.qlDayCounterYearFraction(DayCounter,R126,S126)</f>
        <v>8.611111111111111E-2</v>
      </c>
      <c r="Y126" s="29">
        <f>_xll.qlYieldTSDiscount(Currency&amp;"ON",R126)/(1+U126*X126)</f>
        <v>0.92389467214245757</v>
      </c>
      <c r="Z126" s="30" t="e">
        <f>_xll.qlTenorBasisValue(TenorBasis6M,R126,InterestRatesTrigger)</f>
        <v>#VALUE!</v>
      </c>
      <c r="AA126" s="30" t="e">
        <f t="shared" si="15"/>
        <v>#VALUE!</v>
      </c>
    </row>
    <row r="127" spans="15:27" x14ac:dyDescent="0.2">
      <c r="O127" s="33">
        <v>1</v>
      </c>
      <c r="P127" s="27" t="str">
        <f>_xll.qlPeriodEquivalent(P126&amp;"+"&amp;O127&amp;"M")</f>
        <v>10Y4M</v>
      </c>
      <c r="Q127" s="28">
        <f>_xll.qlCalendarAdvance(Calendar,SettlementDate,P127,"f",,Trigger)</f>
        <v>46055</v>
      </c>
      <c r="R127" s="28">
        <f>_xll.qlInterestRateIndexValueDate(Index,Q127,Trigger)</f>
        <v>46057</v>
      </c>
      <c r="S127" s="28">
        <f>_xll.qlInterestRateIndexMaturity(Index,R127,Trigger)</f>
        <v>46085</v>
      </c>
      <c r="T127" s="30">
        <f>_xll.qlIndexFixing($M$6,Q127,,InterestRatesTrigger)</f>
        <v>1.843564903257227E-2</v>
      </c>
      <c r="U127" s="30">
        <f>_xll.qlIndexFixing(Index,Q127,,InterestRatesTrigger)</f>
        <v>1.8763082938164324E-2</v>
      </c>
      <c r="V127" s="30">
        <f t="shared" si="14"/>
        <v>3.2743390559205471E-4</v>
      </c>
      <c r="W127" s="29">
        <f>_xll.qlDayCounterYearFraction(DayCounter,SettlementDate,R127,,,Trigger)</f>
        <v>10.494444444444444</v>
      </c>
      <c r="X127" s="29">
        <f>_xll.qlDayCounterYearFraction(DayCounter,R127,S127)</f>
        <v>7.7777777777777779E-2</v>
      </c>
      <c r="Y127" s="29">
        <f>_xll.qlYieldTSDiscount(Currency&amp;"ON",R127)/(1+U127*X127)</f>
        <v>0.92266832875159266</v>
      </c>
      <c r="Z127" s="30" t="e">
        <f>_xll.qlTenorBasisValue(TenorBasis6M,R127,InterestRatesTrigger)</f>
        <v>#VALUE!</v>
      </c>
      <c r="AA127" s="30" t="e">
        <f t="shared" si="15"/>
        <v>#VALUE!</v>
      </c>
    </row>
    <row r="128" spans="15:27" x14ac:dyDescent="0.2">
      <c r="O128" s="33">
        <v>1</v>
      </c>
      <c r="P128" s="27" t="str">
        <f>_xll.qlPeriodEquivalent(P127&amp;"+"&amp;O128&amp;"M")</f>
        <v>10Y5M</v>
      </c>
      <c r="Q128" s="28">
        <f>_xll.qlCalendarAdvance(Calendar,SettlementDate,P128,"f",,Trigger)</f>
        <v>46083</v>
      </c>
      <c r="R128" s="28">
        <f>_xll.qlInterestRateIndexValueDate(Index,Q128,Trigger)</f>
        <v>46085</v>
      </c>
      <c r="S128" s="28">
        <f>_xll.qlInterestRateIndexMaturity(Index,R128,Trigger)</f>
        <v>46119</v>
      </c>
      <c r="T128" s="30">
        <f>_xll.qlIndexFixing($M$6,Q128,,InterestRatesTrigger)</f>
        <v>1.8536395212214698E-2</v>
      </c>
      <c r="U128" s="30">
        <f>_xll.qlIndexFixing(Index,Q128,,InterestRatesTrigger)</f>
        <v>1.8871102825501231E-2</v>
      </c>
      <c r="V128" s="30">
        <f t="shared" si="14"/>
        <v>3.3470761328653273E-4</v>
      </c>
      <c r="W128" s="29">
        <f>_xll.qlDayCounterYearFraction(DayCounter,SettlementDate,R128,,,Trigger)</f>
        <v>10.572222222222223</v>
      </c>
      <c r="X128" s="29">
        <f>_xll.qlDayCounterYearFraction(DayCounter,R128,S128)</f>
        <v>9.4444444444444442E-2</v>
      </c>
      <c r="Y128" s="29">
        <f>_xll.qlYieldTSDiscount(Currency&amp;"ON",R128)/(1+U128*X128)</f>
        <v>0.92105023182232604</v>
      </c>
      <c r="Z128" s="30" t="e">
        <f>_xll.qlTenorBasisValue(TenorBasis6M,R128,InterestRatesTrigger)</f>
        <v>#VALUE!</v>
      </c>
      <c r="AA128" s="30" t="e">
        <f t="shared" si="15"/>
        <v>#VALUE!</v>
      </c>
    </row>
    <row r="129" spans="15:27" x14ac:dyDescent="0.2">
      <c r="O129" s="33">
        <v>1</v>
      </c>
      <c r="P129" s="27" t="str">
        <f>_xll.qlPeriodEquivalent(P128&amp;"+"&amp;O129&amp;"M")</f>
        <v>10Y6M</v>
      </c>
      <c r="Q129" s="28">
        <f>_xll.qlCalendarAdvance(Calendar,SettlementDate,P129,"f",,Trigger)</f>
        <v>46114</v>
      </c>
      <c r="R129" s="28">
        <f>_xll.qlInterestRateIndexValueDate(Index,Q129,Trigger)</f>
        <v>46120</v>
      </c>
      <c r="S129" s="28">
        <f>_xll.qlInterestRateIndexMaturity(Index,R129,Trigger)</f>
        <v>46150</v>
      </c>
      <c r="T129" s="30">
        <f>_xll.qlIndexFixing($M$6,Q129,,InterestRatesTrigger)</f>
        <v>1.8630316060916918E-2</v>
      </c>
      <c r="U129" s="30">
        <f>_xll.qlIndexFixing(Index,Q129,,InterestRatesTrigger)</f>
        <v>1.897746787597665E-2</v>
      </c>
      <c r="V129" s="30">
        <f t="shared" si="14"/>
        <v>3.4715181505973192E-4</v>
      </c>
      <c r="W129" s="29">
        <f>_xll.qlDayCounterYearFraction(DayCounter,SettlementDate,R129,,,Trigger)</f>
        <v>10.669444444444444</v>
      </c>
      <c r="X129" s="29">
        <f>_xll.qlDayCounterYearFraction(DayCounter,R129,S129)</f>
        <v>8.3333333333333329E-2</v>
      </c>
      <c r="Y129" s="29">
        <f>_xll.qlYieldTSDiscount(Currency&amp;"ON",R129)/(1+U129*X129)</f>
        <v>0.91957750821815409</v>
      </c>
      <c r="Z129" s="30" t="e">
        <f>_xll.qlTenorBasisValue(TenorBasis6M,R129,InterestRatesTrigger)</f>
        <v>#VALUE!</v>
      </c>
      <c r="AA129" s="30" t="e">
        <f t="shared" si="15"/>
        <v>#VALUE!</v>
      </c>
    </row>
    <row r="130" spans="15:27" x14ac:dyDescent="0.2">
      <c r="O130" s="33">
        <v>1</v>
      </c>
      <c r="P130" s="27" t="str">
        <f>_xll.qlPeriodEquivalent(P129&amp;"+"&amp;O130&amp;"M")</f>
        <v>10Y7M</v>
      </c>
      <c r="Q130" s="28">
        <f>_xll.qlCalendarAdvance(Calendar,SettlementDate,P130,"f",,Trigger)</f>
        <v>46146</v>
      </c>
      <c r="R130" s="28">
        <f>_xll.qlInterestRateIndexValueDate(Index,Q130,Trigger)</f>
        <v>46148</v>
      </c>
      <c r="S130" s="28">
        <f>_xll.qlInterestRateIndexMaturity(Index,R130,Trigger)</f>
        <v>46181</v>
      </c>
      <c r="T130" s="30">
        <f>_xll.qlIndexFixing($M$6,Q130,,InterestRatesTrigger)</f>
        <v>1.8709601587365364E-2</v>
      </c>
      <c r="U130" s="30">
        <f>_xll.qlIndexFixing(Index,Q130,,InterestRatesTrigger)</f>
        <v>1.9072588161639977E-2</v>
      </c>
      <c r="V130" s="30">
        <f t="shared" si="14"/>
        <v>3.6298657427461314E-4</v>
      </c>
      <c r="W130" s="29">
        <f>_xll.qlDayCounterYearFraction(DayCounter,SettlementDate,R130,,,Trigger)</f>
        <v>10.747222222222222</v>
      </c>
      <c r="X130" s="29">
        <f>_xll.qlDayCounterYearFraction(DayCounter,R130,S130)</f>
        <v>9.166666666666666E-2</v>
      </c>
      <c r="Y130" s="29">
        <f>_xll.qlYieldTSDiscount(Currency&amp;"ON",R130)/(1+U130*X130)</f>
        <v>0.91809425326703198</v>
      </c>
      <c r="Z130" s="30" t="e">
        <f>_xll.qlTenorBasisValue(TenorBasis6M,R130,InterestRatesTrigger)</f>
        <v>#VALUE!</v>
      </c>
      <c r="AA130" s="30" t="e">
        <f t="shared" si="15"/>
        <v>#VALUE!</v>
      </c>
    </row>
    <row r="131" spans="15:27" x14ac:dyDescent="0.2">
      <c r="O131" s="33">
        <v>1</v>
      </c>
      <c r="P131" s="27" t="str">
        <f>_xll.qlPeriodEquivalent(P130&amp;"+"&amp;O131&amp;"M")</f>
        <v>10Y8M</v>
      </c>
      <c r="Q131" s="28">
        <f>_xll.qlCalendarAdvance(Calendar,SettlementDate,P131,"f",,Trigger)</f>
        <v>46175</v>
      </c>
      <c r="R131" s="28">
        <f>_xll.qlInterestRateIndexValueDate(Index,Q131,Trigger)</f>
        <v>46177</v>
      </c>
      <c r="S131" s="28">
        <f>_xll.qlInterestRateIndexMaturity(Index,R131,Trigger)</f>
        <v>46209</v>
      </c>
      <c r="T131" s="30">
        <f>_xll.qlIndexFixing($M$6,Q131,,InterestRatesTrigger)</f>
        <v>1.8777344294479137E-2</v>
      </c>
      <c r="U131" s="30">
        <f>_xll.qlIndexFixing(Index,Q131,,InterestRatesTrigger)</f>
        <v>1.9159662582694525E-2</v>
      </c>
      <c r="V131" s="30">
        <f t="shared" si="14"/>
        <v>3.823182882153886E-4</v>
      </c>
      <c r="W131" s="29">
        <f>_xll.qlDayCounterYearFraction(DayCounter,SettlementDate,R131,,,Trigger)</f>
        <v>10.827777777777778</v>
      </c>
      <c r="X131" s="29">
        <f>_xll.qlDayCounterYearFraction(DayCounter,R131,S131)</f>
        <v>8.8888888888888892E-2</v>
      </c>
      <c r="Y131" s="29">
        <f>_xll.qlYieldTSDiscount(Currency&amp;"ON",R131)/(1+U131*X131)</f>
        <v>0.91675452862122164</v>
      </c>
      <c r="Z131" s="30" t="e">
        <f>_xll.qlTenorBasisValue(TenorBasis6M,R131,InterestRatesTrigger)</f>
        <v>#VALUE!</v>
      </c>
      <c r="AA131" s="30" t="e">
        <f t="shared" si="15"/>
        <v>#VALUE!</v>
      </c>
    </row>
    <row r="132" spans="15:27" x14ac:dyDescent="0.2">
      <c r="O132" s="33">
        <v>1</v>
      </c>
      <c r="P132" s="27" t="str">
        <f>_xll.qlPeriodEquivalent(P131&amp;"+"&amp;O132&amp;"M")</f>
        <v>10Y9M</v>
      </c>
      <c r="Q132" s="28">
        <f>_xll.qlCalendarAdvance(Calendar,SettlementDate,P132,"f",,Trigger)</f>
        <v>46205</v>
      </c>
      <c r="R132" s="28">
        <f>_xll.qlInterestRateIndexValueDate(Index,Q132,Trigger)</f>
        <v>46209</v>
      </c>
      <c r="S132" s="28">
        <f>_xll.qlInterestRateIndexMaturity(Index,R132,Trigger)</f>
        <v>46240</v>
      </c>
      <c r="T132" s="30">
        <f>_xll.qlIndexFixing($M$6,Q132,,InterestRatesTrigger)</f>
        <v>1.884401321169913E-2</v>
      </c>
      <c r="U132" s="30">
        <f>_xll.qlIndexFixing(Index,Q132,,InterestRatesTrigger)</f>
        <v>1.9252583450297966E-2</v>
      </c>
      <c r="V132" s="30">
        <f t="shared" ref="V132:V195" si="16">U132-T132</f>
        <v>4.0857023859883559E-4</v>
      </c>
      <c r="W132" s="29">
        <f>_xll.qlDayCounterYearFraction(DayCounter,SettlementDate,R132,,,Trigger)</f>
        <v>10.916666666666666</v>
      </c>
      <c r="X132" s="29">
        <f>_xll.qlDayCounterYearFraction(DayCounter,R132,S132)</f>
        <v>8.611111111111111E-2</v>
      </c>
      <c r="Y132" s="29">
        <f>_xll.qlYieldTSDiscount(Currency&amp;"ON",R132)/(1+U132*X132)</f>
        <v>0.91526824370525028</v>
      </c>
      <c r="Z132" s="30" t="e">
        <f>_xll.qlTenorBasisValue(TenorBasis6M,R132,InterestRatesTrigger)</f>
        <v>#VALUE!</v>
      </c>
      <c r="AA132" s="30" t="e">
        <f t="shared" ref="AA132:AA195" si="17">V132-Z132</f>
        <v>#VALUE!</v>
      </c>
    </row>
    <row r="133" spans="15:27" x14ac:dyDescent="0.2">
      <c r="O133" s="33">
        <v>1</v>
      </c>
      <c r="P133" s="27" t="str">
        <f>_xll.qlPeriodEquivalent(P132&amp;"+"&amp;O133&amp;"M")</f>
        <v>10Y10M</v>
      </c>
      <c r="Q133" s="28">
        <f>_xll.qlCalendarAdvance(Calendar,SettlementDate,P133,"f",,Trigger)</f>
        <v>46237</v>
      </c>
      <c r="R133" s="28">
        <f>_xll.qlInterestRateIndexValueDate(Index,Q133,Trigger)</f>
        <v>46239</v>
      </c>
      <c r="S133" s="28">
        <f>_xll.qlInterestRateIndexMaturity(Index,R133,Trigger)</f>
        <v>46272</v>
      </c>
      <c r="T133" s="30">
        <f>_xll.qlIndexFixing($M$6,Q133,,InterestRatesTrigger)</f>
        <v>1.8902386486917454E-2</v>
      </c>
      <c r="U133" s="30">
        <f>_xll.qlIndexFixing(Index,Q133,,InterestRatesTrigger)</f>
        <v>1.9342045006905648E-2</v>
      </c>
      <c r="V133" s="30">
        <f t="shared" si="16"/>
        <v>4.3965851998819389E-4</v>
      </c>
      <c r="W133" s="29">
        <f>_xll.qlDayCounterYearFraction(DayCounter,SettlementDate,R133,,,Trigger)</f>
        <v>11</v>
      </c>
      <c r="X133" s="29">
        <f>_xll.qlDayCounterYearFraction(DayCounter,R133,S133)</f>
        <v>9.166666666666666E-2</v>
      </c>
      <c r="Y133" s="29">
        <f>_xll.qlYieldTSDiscount(Currency&amp;"ON",R133)/(1+U133*X133)</f>
        <v>0.9137282812139762</v>
      </c>
      <c r="Z133" s="30" t="e">
        <f>_xll.qlTenorBasisValue(TenorBasis6M,R133,InterestRatesTrigger)</f>
        <v>#VALUE!</v>
      </c>
      <c r="AA133" s="30" t="e">
        <f t="shared" si="17"/>
        <v>#VALUE!</v>
      </c>
    </row>
    <row r="134" spans="15:27" x14ac:dyDescent="0.2">
      <c r="O134" s="33">
        <v>1</v>
      </c>
      <c r="P134" s="27" t="str">
        <f>_xll.qlPeriodEquivalent(P133&amp;"+"&amp;O134&amp;"M")</f>
        <v>10Y11M</v>
      </c>
      <c r="Q134" s="28">
        <f>_xll.qlCalendarAdvance(Calendar,SettlementDate,P134,"f",,Trigger)</f>
        <v>46267</v>
      </c>
      <c r="R134" s="28">
        <f>_xll.qlInterestRateIndexValueDate(Index,Q134,Trigger)</f>
        <v>46269</v>
      </c>
      <c r="S134" s="28">
        <f>_xll.qlInterestRateIndexMaturity(Index,R134,Trigger)</f>
        <v>46300</v>
      </c>
      <c r="T134" s="30">
        <f>_xll.qlIndexFixing($M$6,Q134,,InterestRatesTrigger)</f>
        <v>1.8947242127499035E-2</v>
      </c>
      <c r="U134" s="30">
        <f>_xll.qlIndexFixing(Index,Q134,,InterestRatesTrigger)</f>
        <v>1.9420578443765244E-2</v>
      </c>
      <c r="V134" s="30">
        <f t="shared" si="16"/>
        <v>4.7333631626620895E-4</v>
      </c>
      <c r="W134" s="29">
        <f>_xll.qlDayCounterYearFraction(DayCounter,SettlementDate,R134,,,Trigger)</f>
        <v>11.083333333333334</v>
      </c>
      <c r="X134" s="29">
        <f>_xll.qlDayCounterYearFraction(DayCounter,R134,S134)</f>
        <v>8.611111111111111E-2</v>
      </c>
      <c r="Y134" s="29">
        <f>_xll.qlYieldTSDiscount(Currency&amp;"ON",R134)/(1+U134*X134)</f>
        <v>0.9123832524806228</v>
      </c>
      <c r="Z134" s="30" t="e">
        <f>_xll.qlTenorBasisValue(TenorBasis6M,R134,InterestRatesTrigger)</f>
        <v>#VALUE!</v>
      </c>
      <c r="AA134" s="30" t="e">
        <f t="shared" si="17"/>
        <v>#VALUE!</v>
      </c>
    </row>
    <row r="135" spans="15:27" x14ac:dyDescent="0.2">
      <c r="O135" s="33">
        <v>1</v>
      </c>
      <c r="P135" s="27" t="str">
        <f>_xll.qlPeriodEquivalent(P134&amp;"+"&amp;O135&amp;"M")</f>
        <v>11Y</v>
      </c>
      <c r="Q135" s="28">
        <f>_xll.qlCalendarAdvance(Calendar,SettlementDate,P135,"f",,Trigger)</f>
        <v>46297</v>
      </c>
      <c r="R135" s="28">
        <f>_xll.qlInterestRateIndexValueDate(Index,Q135,Trigger)</f>
        <v>46301</v>
      </c>
      <c r="S135" s="28">
        <f>_xll.qlInterestRateIndexMaturity(Index,R135,Trigger)</f>
        <v>46332</v>
      </c>
      <c r="T135" s="30">
        <f>_xll.qlIndexFixing($M$6,Q135,,InterestRatesTrigger)</f>
        <v>1.899108539703263E-2</v>
      </c>
      <c r="U135" s="30">
        <f>_xll.qlIndexFixing(Index,Q135,,InterestRatesTrigger)</f>
        <v>1.9504737960382847E-2</v>
      </c>
      <c r="V135" s="30">
        <f t="shared" si="16"/>
        <v>5.1365256335021703E-4</v>
      </c>
      <c r="W135" s="29">
        <f>_xll.qlDayCounterYearFraction(DayCounter,SettlementDate,R135,,,Trigger)</f>
        <v>11.172222222222222</v>
      </c>
      <c r="X135" s="29">
        <f>_xll.qlDayCounterYearFraction(DayCounter,R135,S135)</f>
        <v>8.611111111111111E-2</v>
      </c>
      <c r="Y135" s="29">
        <f>_xll.qlYieldTSDiscount(Currency&amp;"ON",R135)/(1+U135*X135)</f>
        <v>0.91084251419414808</v>
      </c>
      <c r="Z135" s="30" t="e">
        <f>_xll.qlTenorBasisValue(TenorBasis6M,R135,InterestRatesTrigger)</f>
        <v>#VALUE!</v>
      </c>
      <c r="AA135" s="30" t="e">
        <f t="shared" si="17"/>
        <v>#VALUE!</v>
      </c>
    </row>
    <row r="136" spans="15:27" x14ac:dyDescent="0.2">
      <c r="O136" s="33">
        <v>1</v>
      </c>
      <c r="P136" s="27" t="str">
        <f>_xll.qlPeriodEquivalent(P135&amp;"+"&amp;O136&amp;"M")</f>
        <v>11Y1M</v>
      </c>
      <c r="Q136" s="28">
        <f>_xll.qlCalendarAdvance(Calendar,SettlementDate,P136,"f",,Trigger)</f>
        <v>46328</v>
      </c>
      <c r="R136" s="28">
        <f>_xll.qlInterestRateIndexValueDate(Index,Q136,Trigger)</f>
        <v>46330</v>
      </c>
      <c r="S136" s="28">
        <f>_xll.qlInterestRateIndexMaturity(Index,R136,Trigger)</f>
        <v>46360</v>
      </c>
      <c r="T136" s="30">
        <f>_xll.qlIndexFixing($M$6,Q136,,InterestRatesTrigger)</f>
        <v>1.9029412907263676E-2</v>
      </c>
      <c r="U136" s="30">
        <f>_xll.qlIndexFixing(Index,Q136,,InterestRatesTrigger)</f>
        <v>1.9575927028072648E-2</v>
      </c>
      <c r="V136" s="30">
        <f t="shared" si="16"/>
        <v>5.4651412080897188E-4</v>
      </c>
      <c r="W136" s="29">
        <f>_xll.qlDayCounterYearFraction(DayCounter,SettlementDate,R136,,,Trigger)</f>
        <v>11.252777777777778</v>
      </c>
      <c r="X136" s="29">
        <f>_xll.qlDayCounterYearFraction(DayCounter,R136,S136)</f>
        <v>8.3333333333333329E-2</v>
      </c>
      <c r="Y136" s="29">
        <f>_xll.qlYieldTSDiscount(Currency&amp;"ON",R136)/(1+U136*X136)</f>
        <v>0.90949518105184879</v>
      </c>
      <c r="Z136" s="30" t="e">
        <f>_xll.qlTenorBasisValue(TenorBasis6M,R136,InterestRatesTrigger)</f>
        <v>#VALUE!</v>
      </c>
      <c r="AA136" s="30" t="e">
        <f t="shared" si="17"/>
        <v>#VALUE!</v>
      </c>
    </row>
    <row r="137" spans="15:27" x14ac:dyDescent="0.2">
      <c r="O137" s="33">
        <v>1</v>
      </c>
      <c r="P137" s="27" t="str">
        <f>_xll.qlPeriodEquivalent(P136&amp;"+"&amp;O137&amp;"M")</f>
        <v>11Y2M</v>
      </c>
      <c r="Q137" s="28">
        <f>_xll.qlCalendarAdvance(Calendar,SettlementDate,P137,"f",,Trigger)</f>
        <v>46358</v>
      </c>
      <c r="R137" s="28">
        <f>_xll.qlInterestRateIndexValueDate(Index,Q137,Trigger)</f>
        <v>46360</v>
      </c>
      <c r="S137" s="28">
        <f>_xll.qlInterestRateIndexMaturity(Index,R137,Trigger)</f>
        <v>46391</v>
      </c>
      <c r="T137" s="30">
        <f>_xll.qlIndexFixing($M$6,Q137,,InterestRatesTrigger)</f>
        <v>1.9072481917139936E-2</v>
      </c>
      <c r="U137" s="30">
        <f>_xll.qlIndexFixing(Index,Q137,,InterestRatesTrigger)</f>
        <v>1.9649762236926702E-2</v>
      </c>
      <c r="V137" s="30">
        <f t="shared" si="16"/>
        <v>5.7728031978676597E-4</v>
      </c>
      <c r="W137" s="29">
        <f>_xll.qlDayCounterYearFraction(DayCounter,SettlementDate,R137,,,Trigger)</f>
        <v>11.33611111111111</v>
      </c>
      <c r="X137" s="29">
        <f>_xll.qlDayCounterYearFraction(DayCounter,R137,S137)</f>
        <v>8.611111111111111E-2</v>
      </c>
      <c r="Y137" s="29">
        <f>_xll.qlYieldTSDiscount(Currency&amp;"ON",R137)/(1+U137*X137)</f>
        <v>0.90800014314922584</v>
      </c>
      <c r="Z137" s="30" t="e">
        <f>_xll.qlTenorBasisValue(TenorBasis6M,R137,InterestRatesTrigger)</f>
        <v>#VALUE!</v>
      </c>
      <c r="AA137" s="30" t="e">
        <f t="shared" si="17"/>
        <v>#VALUE!</v>
      </c>
    </row>
    <row r="138" spans="15:27" x14ac:dyDescent="0.2">
      <c r="O138" s="33">
        <v>1</v>
      </c>
      <c r="P138" s="27" t="str">
        <f>_xll.qlPeriodEquivalent(P137&amp;"+"&amp;O138&amp;"M")</f>
        <v>11Y3M</v>
      </c>
      <c r="Q138" s="28">
        <f>_xll.qlCalendarAdvance(Calendar,SettlementDate,P138,"f",,Trigger)</f>
        <v>46391</v>
      </c>
      <c r="R138" s="28">
        <f>_xll.qlInterestRateIndexValueDate(Index,Q138,Trigger)</f>
        <v>46393</v>
      </c>
      <c r="S138" s="28">
        <f>_xll.qlInterestRateIndexMaturity(Index,R138,Trigger)</f>
        <v>46426</v>
      </c>
      <c r="T138" s="30">
        <f>_xll.qlIndexFixing($M$6,Q138,,InterestRatesTrigger)</f>
        <v>1.9122310432146961E-2</v>
      </c>
      <c r="U138" s="30">
        <f>_xll.qlIndexFixing(Index,Q138,,InterestRatesTrigger)</f>
        <v>1.9728309339080884E-2</v>
      </c>
      <c r="V138" s="30">
        <f t="shared" si="16"/>
        <v>6.0599890693392375E-4</v>
      </c>
      <c r="W138" s="29">
        <f>_xll.qlDayCounterYearFraction(DayCounter,SettlementDate,R138,,,Trigger)</f>
        <v>11.427777777777777</v>
      </c>
      <c r="X138" s="29">
        <f>_xll.qlDayCounterYearFraction(DayCounter,R138,S138)</f>
        <v>9.166666666666666E-2</v>
      </c>
      <c r="Y138" s="29">
        <f>_xll.qlYieldTSDiscount(Currency&amp;"ON",R138)/(1+U138*X138)</f>
        <v>0.90630996049783175</v>
      </c>
      <c r="Z138" s="30" t="e">
        <f>_xll.qlTenorBasisValue(TenorBasis6M,R138,InterestRatesTrigger)</f>
        <v>#VALUE!</v>
      </c>
      <c r="AA138" s="30" t="e">
        <f t="shared" si="17"/>
        <v>#VALUE!</v>
      </c>
    </row>
    <row r="139" spans="15:27" x14ac:dyDescent="0.2">
      <c r="O139" s="33">
        <v>1</v>
      </c>
      <c r="P139" s="27" t="str">
        <f>_xll.qlPeriodEquivalent(P138&amp;"+"&amp;O139&amp;"M")</f>
        <v>11Y4M</v>
      </c>
      <c r="Q139" s="28">
        <f>_xll.qlCalendarAdvance(Calendar,SettlementDate,P139,"f",,Trigger)</f>
        <v>46420</v>
      </c>
      <c r="R139" s="28">
        <f>_xll.qlInterestRateIndexValueDate(Index,Q139,Trigger)</f>
        <v>46422</v>
      </c>
      <c r="S139" s="28">
        <f>_xll.qlInterestRateIndexMaturity(Index,R139,Trigger)</f>
        <v>46450</v>
      </c>
      <c r="T139" s="30">
        <f>_xll.qlIndexFixing($M$6,Q139,,InterestRatesTrigger)</f>
        <v>1.9158876754988046E-2</v>
      </c>
      <c r="U139" s="30">
        <f>_xll.qlIndexFixing(Index,Q139,,InterestRatesTrigger)</f>
        <v>1.9782904327780529E-2</v>
      </c>
      <c r="V139" s="30">
        <f t="shared" si="16"/>
        <v>6.240275727924828E-4</v>
      </c>
      <c r="W139" s="29">
        <f>_xll.qlDayCounterYearFraction(DayCounter,SettlementDate,R139,,,Trigger)</f>
        <v>11.508333333333333</v>
      </c>
      <c r="X139" s="29">
        <f>_xll.qlDayCounterYearFraction(DayCounter,R139,S139)</f>
        <v>7.7777777777777779E-2</v>
      </c>
      <c r="Y139" s="29">
        <f>_xll.qlYieldTSDiscount(Currency&amp;"ON",R139)/(1+U139*X139)</f>
        <v>0.90516011453588818</v>
      </c>
      <c r="Z139" s="30" t="e">
        <f>_xll.qlTenorBasisValue(TenorBasis6M,R139,InterestRatesTrigger)</f>
        <v>#VALUE!</v>
      </c>
      <c r="AA139" s="30" t="e">
        <f t="shared" si="17"/>
        <v>#VALUE!</v>
      </c>
    </row>
    <row r="140" spans="15:27" x14ac:dyDescent="0.2">
      <c r="O140" s="33">
        <v>1</v>
      </c>
      <c r="P140" s="27" t="str">
        <f>_xll.qlPeriodEquivalent(P139&amp;"+"&amp;O140&amp;"M")</f>
        <v>11Y5M</v>
      </c>
      <c r="Q140" s="28">
        <f>_xll.qlCalendarAdvance(Calendar,SettlementDate,P140,"f",,Trigger)</f>
        <v>46448</v>
      </c>
      <c r="R140" s="28">
        <f>_xll.qlInterestRateIndexValueDate(Index,Q140,Trigger)</f>
        <v>46450</v>
      </c>
      <c r="S140" s="28">
        <f>_xll.qlInterestRateIndexMaturity(Index,R140,Trigger)</f>
        <v>46482</v>
      </c>
      <c r="T140" s="30">
        <f>_xll.qlIndexFixing($M$6,Q140,,InterestRatesTrigger)</f>
        <v>1.9206479422934075E-2</v>
      </c>
      <c r="U140" s="30">
        <f>_xll.qlIndexFixing(Index,Q140,,InterestRatesTrigger)</f>
        <v>1.9846496111098622E-2</v>
      </c>
      <c r="V140" s="30">
        <f t="shared" si="16"/>
        <v>6.4001668816454638E-4</v>
      </c>
      <c r="W140" s="29">
        <f>_xll.qlDayCounterYearFraction(DayCounter,SettlementDate,R140,,,Trigger)</f>
        <v>11.58611111111111</v>
      </c>
      <c r="X140" s="29">
        <f>_xll.qlDayCounterYearFraction(DayCounter,R140,S140)</f>
        <v>8.8888888888888892E-2</v>
      </c>
      <c r="Y140" s="29">
        <f>_xll.qlYieldTSDiscount(Currency&amp;"ON",R140)/(1+U140*X140)</f>
        <v>0.90360989352570809</v>
      </c>
      <c r="Z140" s="30" t="e">
        <f>_xll.qlTenorBasisValue(TenorBasis6M,R140,InterestRatesTrigger)</f>
        <v>#VALUE!</v>
      </c>
      <c r="AA140" s="30" t="e">
        <f t="shared" si="17"/>
        <v>#VALUE!</v>
      </c>
    </row>
    <row r="141" spans="15:27" x14ac:dyDescent="0.2">
      <c r="O141" s="33">
        <v>1</v>
      </c>
      <c r="P141" s="27" t="str">
        <f>_xll.qlPeriodEquivalent(P140&amp;"+"&amp;O141&amp;"M")</f>
        <v>11Y6M</v>
      </c>
      <c r="Q141" s="28">
        <f>_xll.qlCalendarAdvance(Calendar,SettlementDate,P141,"f",,Trigger)</f>
        <v>46479</v>
      </c>
      <c r="R141" s="28">
        <f>_xll.qlInterestRateIndexValueDate(Index,Q141,Trigger)</f>
        <v>46483</v>
      </c>
      <c r="S141" s="28">
        <f>_xll.qlInterestRateIndexMaturity(Index,R141,Trigger)</f>
        <v>46513</v>
      </c>
      <c r="T141" s="30">
        <f>_xll.qlIndexFixing($M$6,Q141,,InterestRatesTrigger)</f>
        <v>1.9255605962802846E-2</v>
      </c>
      <c r="U141" s="30">
        <f>_xll.qlIndexFixing(Index,Q141,,InterestRatesTrigger)</f>
        <v>1.9906987158214484E-2</v>
      </c>
      <c r="V141" s="30">
        <f t="shared" si="16"/>
        <v>6.5138119541163775E-4</v>
      </c>
      <c r="W141" s="29">
        <f>_xll.qlDayCounterYearFraction(DayCounter,SettlementDate,R141,,,Trigger)</f>
        <v>11.677777777777777</v>
      </c>
      <c r="X141" s="29">
        <f>_xll.qlDayCounterYearFraction(DayCounter,R141,S141)</f>
        <v>8.3333333333333329E-2</v>
      </c>
      <c r="Y141" s="29">
        <f>_xll.qlYieldTSDiscount(Currency&amp;"ON",R141)/(1+U141*X141)</f>
        <v>0.90211644432923799</v>
      </c>
      <c r="Z141" s="30" t="e">
        <f>_xll.qlTenorBasisValue(TenorBasis6M,R141,InterestRatesTrigger)</f>
        <v>#VALUE!</v>
      </c>
      <c r="AA141" s="30" t="e">
        <f t="shared" si="17"/>
        <v>#VALUE!</v>
      </c>
    </row>
    <row r="142" spans="15:27" x14ac:dyDescent="0.2">
      <c r="O142" s="33">
        <v>1</v>
      </c>
      <c r="P142" s="27" t="str">
        <f>_xll.qlPeriodEquivalent(P141&amp;"+"&amp;O142&amp;"M")</f>
        <v>11Y7M</v>
      </c>
      <c r="Q142" s="28">
        <f>_xll.qlCalendarAdvance(Calendar,SettlementDate,P142,"f",,Trigger)</f>
        <v>46510</v>
      </c>
      <c r="R142" s="28">
        <f>_xll.qlInterestRateIndexValueDate(Index,Q142,Trigger)</f>
        <v>46512</v>
      </c>
      <c r="S142" s="28">
        <f>_xll.qlInterestRateIndexMaturity(Index,R142,Trigger)</f>
        <v>46545</v>
      </c>
      <c r="T142" s="30">
        <f>_xll.qlIndexFixing($M$6,Q142,,InterestRatesTrigger)</f>
        <v>1.9306611777272827E-2</v>
      </c>
      <c r="U142" s="30">
        <f>_xll.qlIndexFixing(Index,Q142,,InterestRatesTrigger)</f>
        <v>1.9963414025696773E-2</v>
      </c>
      <c r="V142" s="30">
        <f t="shared" si="16"/>
        <v>6.5680224842394608E-4</v>
      </c>
      <c r="W142" s="29">
        <f>_xll.qlDayCounterYearFraction(DayCounter,SettlementDate,R142,,,Trigger)</f>
        <v>11.758333333333333</v>
      </c>
      <c r="X142" s="29">
        <f>_xll.qlDayCounterYearFraction(DayCounter,R142,S142)</f>
        <v>9.166666666666666E-2</v>
      </c>
      <c r="Y142" s="29">
        <f>_xll.qlYieldTSDiscount(Currency&amp;"ON",R142)/(1+U142*X142)</f>
        <v>0.90056559324890861</v>
      </c>
      <c r="Z142" s="30" t="e">
        <f>_xll.qlTenorBasisValue(TenorBasis6M,R142,InterestRatesTrigger)</f>
        <v>#VALUE!</v>
      </c>
      <c r="AA142" s="30" t="e">
        <f t="shared" si="17"/>
        <v>#VALUE!</v>
      </c>
    </row>
    <row r="143" spans="15:27" x14ac:dyDescent="0.2">
      <c r="O143" s="33">
        <v>1</v>
      </c>
      <c r="P143" s="27" t="str">
        <f>_xll.qlPeriodEquivalent(P142&amp;"+"&amp;O143&amp;"M")</f>
        <v>11Y8M</v>
      </c>
      <c r="Q143" s="28">
        <f>_xll.qlCalendarAdvance(Calendar,SettlementDate,P143,"f",,Trigger)</f>
        <v>46540</v>
      </c>
      <c r="R143" s="28">
        <f>_xll.qlInterestRateIndexValueDate(Index,Q143,Trigger)</f>
        <v>46542</v>
      </c>
      <c r="S143" s="28">
        <f>_xll.qlInterestRateIndexMaturity(Index,R143,Trigger)</f>
        <v>46573</v>
      </c>
      <c r="T143" s="30">
        <f>_xll.qlIndexFixing($M$6,Q143,,InterestRatesTrigger)</f>
        <v>1.9354157964230758E-2</v>
      </c>
      <c r="U143" s="30">
        <f>_xll.qlIndexFixing(Index,Q143,,InterestRatesTrigger)</f>
        <v>2.0010882303145867E-2</v>
      </c>
      <c r="V143" s="30">
        <f t="shared" si="16"/>
        <v>6.5672433891510867E-4</v>
      </c>
      <c r="W143" s="29">
        <f>_xll.qlDayCounterYearFraction(DayCounter,SettlementDate,R143,,,Trigger)</f>
        <v>11.841666666666667</v>
      </c>
      <c r="X143" s="29">
        <f>_xll.qlDayCounterYearFraction(DayCounter,R143,S143)</f>
        <v>8.611111111111111E-2</v>
      </c>
      <c r="Y143" s="29">
        <f>_xll.qlYieldTSDiscount(Currency&amp;"ON",R143)/(1+U143*X143)</f>
        <v>0.89921519574685194</v>
      </c>
      <c r="Z143" s="30" t="e">
        <f>_xll.qlTenorBasisValue(TenorBasis6M,R143,InterestRatesTrigger)</f>
        <v>#VALUE!</v>
      </c>
      <c r="AA143" s="30" t="e">
        <f t="shared" si="17"/>
        <v>#VALUE!</v>
      </c>
    </row>
    <row r="144" spans="15:27" x14ac:dyDescent="0.2">
      <c r="O144" s="33">
        <v>1</v>
      </c>
      <c r="P144" s="27" t="str">
        <f>_xll.qlPeriodEquivalent(P143&amp;"+"&amp;O144&amp;"M")</f>
        <v>11Y9M</v>
      </c>
      <c r="Q144" s="28">
        <f>_xll.qlCalendarAdvance(Calendar,SettlementDate,P144,"f",,Trigger)</f>
        <v>46570</v>
      </c>
      <c r="R144" s="28">
        <f>_xll.qlInterestRateIndexValueDate(Index,Q144,Trigger)</f>
        <v>46574</v>
      </c>
      <c r="S144" s="28">
        <f>_xll.qlInterestRateIndexMaturity(Index,R144,Trigger)</f>
        <v>46605</v>
      </c>
      <c r="T144" s="30">
        <f>_xll.qlIndexFixing($M$6,Q144,,InterestRatesTrigger)</f>
        <v>1.9409679398854789E-2</v>
      </c>
      <c r="U144" s="30">
        <f>_xll.qlIndexFixing(Index,Q144,,InterestRatesTrigger)</f>
        <v>2.0060385898095581E-2</v>
      </c>
      <c r="V144" s="30">
        <f t="shared" si="16"/>
        <v>6.5070649924079196E-4</v>
      </c>
      <c r="W144" s="29">
        <f>_xll.qlDayCounterYearFraction(DayCounter,SettlementDate,R144,,,Trigger)</f>
        <v>11.930555555555555</v>
      </c>
      <c r="X144" s="29">
        <f>_xll.qlDayCounterYearFraction(DayCounter,R144,S144)</f>
        <v>8.611111111111111E-2</v>
      </c>
      <c r="Y144" s="29">
        <f>_xll.qlYieldTSDiscount(Currency&amp;"ON",R144)/(1+U144*X144)</f>
        <v>0.89766694038768291</v>
      </c>
      <c r="Z144" s="30" t="e">
        <f>_xll.qlTenorBasisValue(TenorBasis6M,R144,InterestRatesTrigger)</f>
        <v>#VALUE!</v>
      </c>
      <c r="AA144" s="30" t="e">
        <f t="shared" si="17"/>
        <v>#VALUE!</v>
      </c>
    </row>
    <row r="145" spans="15:27" x14ac:dyDescent="0.2">
      <c r="O145" s="33">
        <v>1</v>
      </c>
      <c r="P145" s="27" t="str">
        <f>_xll.qlPeriodEquivalent(P144&amp;"+"&amp;O145&amp;"M")</f>
        <v>11Y10M</v>
      </c>
      <c r="Q145" s="28">
        <f>_xll.qlCalendarAdvance(Calendar,SettlementDate,P145,"f",,Trigger)</f>
        <v>46601</v>
      </c>
      <c r="R145" s="28">
        <f>_xll.qlInterestRateIndexValueDate(Index,Q145,Trigger)</f>
        <v>46603</v>
      </c>
      <c r="S145" s="28">
        <f>_xll.qlInterestRateIndexMaturity(Index,R145,Trigger)</f>
        <v>46636</v>
      </c>
      <c r="T145" s="30">
        <f>_xll.qlIndexFixing($M$6,Q145,,InterestRatesTrigger)</f>
        <v>1.9464719029876999E-2</v>
      </c>
      <c r="U145" s="30">
        <f>_xll.qlIndexFixing(Index,Q145,,InterestRatesTrigger)</f>
        <v>2.0103967319168609E-2</v>
      </c>
      <c r="V145" s="30">
        <f t="shared" si="16"/>
        <v>6.3924828929161001E-4</v>
      </c>
      <c r="W145" s="29">
        <f>_xll.qlDayCounterYearFraction(DayCounter,SettlementDate,R145,,,Trigger)</f>
        <v>12.011111111111111</v>
      </c>
      <c r="X145" s="29">
        <f>_xll.qlDayCounterYearFraction(DayCounter,R145,S145)</f>
        <v>9.166666666666666E-2</v>
      </c>
      <c r="Y145" s="29">
        <f>_xll.qlYieldTSDiscount(Currency&amp;"ON",R145)/(1+U145*X145)</f>
        <v>0.89616250509146878</v>
      </c>
      <c r="Z145" s="30" t="e">
        <f>_xll.qlTenorBasisValue(TenorBasis6M,R145,InterestRatesTrigger)</f>
        <v>#VALUE!</v>
      </c>
      <c r="AA145" s="30" t="e">
        <f t="shared" si="17"/>
        <v>#VALUE!</v>
      </c>
    </row>
    <row r="146" spans="15:27" x14ac:dyDescent="0.2">
      <c r="O146" s="33">
        <v>1</v>
      </c>
      <c r="P146" s="27" t="str">
        <f>_xll.qlPeriodEquivalent(P145&amp;"+"&amp;O146&amp;"M")</f>
        <v>11Y11M</v>
      </c>
      <c r="Q146" s="28">
        <f>_xll.qlCalendarAdvance(Calendar,SettlementDate,P146,"f",,Trigger)</f>
        <v>46632</v>
      </c>
      <c r="R146" s="28">
        <f>_xll.qlInterestRateIndexValueDate(Index,Q146,Trigger)</f>
        <v>46636</v>
      </c>
      <c r="S146" s="28">
        <f>_xll.qlInterestRateIndexMaturity(Index,R146,Trigger)</f>
        <v>46666</v>
      </c>
      <c r="T146" s="30">
        <f>_xll.qlIndexFixing($M$6,Q146,,InterestRatesTrigger)</f>
        <v>1.9521918491973267E-2</v>
      </c>
      <c r="U146" s="30">
        <f>_xll.qlIndexFixing(Index,Q146,,InterestRatesTrigger)</f>
        <v>2.0142781071688987E-2</v>
      </c>
      <c r="V146" s="30">
        <f t="shared" si="16"/>
        <v>6.2086257971571968E-4</v>
      </c>
      <c r="W146" s="29">
        <f>_xll.qlDayCounterYearFraction(DayCounter,SettlementDate,R146,,,Trigger)</f>
        <v>12.102777777777778</v>
      </c>
      <c r="X146" s="29">
        <f>_xll.qlDayCounterYearFraction(DayCounter,R146,S146)</f>
        <v>8.3333333333333329E-2</v>
      </c>
      <c r="Y146" s="29">
        <f>_xll.qlYieldTSDiscount(Currency&amp;"ON",R146)/(1+U146*X146)</f>
        <v>0.89471309051756298</v>
      </c>
      <c r="Z146" s="30" t="e">
        <f>_xll.qlTenorBasisValue(TenorBasis6M,R146,InterestRatesTrigger)</f>
        <v>#VALUE!</v>
      </c>
      <c r="AA146" s="30" t="e">
        <f t="shared" si="17"/>
        <v>#VALUE!</v>
      </c>
    </row>
    <row r="147" spans="15:27" x14ac:dyDescent="0.2">
      <c r="O147" s="33">
        <v>1</v>
      </c>
      <c r="P147" s="27" t="str">
        <f>_xll.qlPeriodEquivalent(P146&amp;"+"&amp;O147&amp;"M")</f>
        <v>12Y</v>
      </c>
      <c r="Q147" s="28">
        <f>_xll.qlCalendarAdvance(Calendar,SettlementDate,P147,"f",,Trigger)</f>
        <v>46664</v>
      </c>
      <c r="R147" s="28">
        <f>_xll.qlInterestRateIndexValueDate(Index,Q147,Trigger)</f>
        <v>46666</v>
      </c>
      <c r="S147" s="28">
        <f>_xll.qlInterestRateIndexMaturity(Index,R147,Trigger)</f>
        <v>46699</v>
      </c>
      <c r="T147" s="30">
        <f>_xll.qlIndexFixing($M$6,Q147,,InterestRatesTrigger)</f>
        <v>1.9583624970195179E-2</v>
      </c>
      <c r="U147" s="30">
        <f>_xll.qlIndexFixing(Index,Q147,,InterestRatesTrigger)</f>
        <v>2.018114913919708E-2</v>
      </c>
      <c r="V147" s="30">
        <f t="shared" si="16"/>
        <v>5.9752416900190133E-4</v>
      </c>
      <c r="W147" s="29">
        <f>_xll.qlDayCounterYearFraction(DayCounter,SettlementDate,R147,,,Trigger)</f>
        <v>12.186111111111112</v>
      </c>
      <c r="X147" s="29">
        <f>_xll.qlDayCounterYearFraction(DayCounter,R147,S147)</f>
        <v>9.166666666666666E-2</v>
      </c>
      <c r="Y147" s="29">
        <f>_xll.qlYieldTSDiscount(Currency&amp;"ON",R147)/(1+U147*X147)</f>
        <v>0.89310711310269453</v>
      </c>
      <c r="Z147" s="30" t="e">
        <f>_xll.qlTenorBasisValue(TenorBasis6M,R147,InterestRatesTrigger)</f>
        <v>#VALUE!</v>
      </c>
      <c r="AA147" s="30" t="e">
        <f t="shared" si="17"/>
        <v>#VALUE!</v>
      </c>
    </row>
    <row r="148" spans="15:27" x14ac:dyDescent="0.2">
      <c r="O148" s="33">
        <v>1</v>
      </c>
      <c r="P148" s="27" t="str">
        <f>_xll.qlPeriodEquivalent(P147&amp;"+"&amp;O148&amp;"M")</f>
        <v>12Y1M</v>
      </c>
      <c r="Q148" s="28">
        <f>_xll.qlCalendarAdvance(Calendar,SettlementDate,P148,"f",,Trigger)</f>
        <v>46693</v>
      </c>
      <c r="R148" s="28">
        <f>_xll.qlInterestRateIndexValueDate(Index,Q148,Trigger)</f>
        <v>46695</v>
      </c>
      <c r="S148" s="28">
        <f>_xll.qlInterestRateIndexMaturity(Index,R148,Trigger)</f>
        <v>46727</v>
      </c>
      <c r="T148" s="30">
        <f>_xll.qlIndexFixing($M$6,Q148,,InterestRatesTrigger)</f>
        <v>1.9636108321336443E-2</v>
      </c>
      <c r="U148" s="30">
        <f>_xll.qlIndexFixing(Index,Q148,,InterestRatesTrigger)</f>
        <v>2.021191235091313E-2</v>
      </c>
      <c r="V148" s="30">
        <f t="shared" si="16"/>
        <v>5.7580402957668753E-4</v>
      </c>
      <c r="W148" s="29">
        <f>_xll.qlDayCounterYearFraction(DayCounter,SettlementDate,R148,,,Trigger)</f>
        <v>12.266666666666667</v>
      </c>
      <c r="X148" s="29">
        <f>_xll.qlDayCounterYearFraction(DayCounter,R148,S148)</f>
        <v>8.8888888888888892E-2</v>
      </c>
      <c r="Y148" s="29">
        <f>_xll.qlYieldTSDiscount(Currency&amp;"ON",R148)/(1+U148*X148)</f>
        <v>0.89174828016370999</v>
      </c>
      <c r="Z148" s="30" t="e">
        <f>_xll.qlTenorBasisValue(TenorBasis6M,R148,InterestRatesTrigger)</f>
        <v>#VALUE!</v>
      </c>
      <c r="AA148" s="30" t="e">
        <f t="shared" si="17"/>
        <v>#VALUE!</v>
      </c>
    </row>
    <row r="149" spans="15:27" x14ac:dyDescent="0.2">
      <c r="O149" s="33">
        <v>1</v>
      </c>
      <c r="P149" s="27" t="str">
        <f>_xll.qlPeriodEquivalent(P148&amp;"+"&amp;O149&amp;"M")</f>
        <v>12Y2M</v>
      </c>
      <c r="Q149" s="28">
        <f>_xll.qlCalendarAdvance(Calendar,SettlementDate,P149,"f",,Trigger)</f>
        <v>46723</v>
      </c>
      <c r="R149" s="28">
        <f>_xll.qlInterestRateIndexValueDate(Index,Q149,Trigger)</f>
        <v>46727</v>
      </c>
      <c r="S149" s="28">
        <f>_xll.qlInterestRateIndexMaturity(Index,R149,Trigger)</f>
        <v>46758</v>
      </c>
      <c r="T149" s="30">
        <f>_xll.qlIndexFixing($M$6,Q149,,InterestRatesTrigger)</f>
        <v>1.9692059043765617E-2</v>
      </c>
      <c r="U149" s="30">
        <f>_xll.qlIndexFixing(Index,Q149,,InterestRatesTrigger)</f>
        <v>2.0244213387527448E-2</v>
      </c>
      <c r="V149" s="30">
        <f t="shared" si="16"/>
        <v>5.5215434376183065E-4</v>
      </c>
      <c r="W149" s="29">
        <f>_xll.qlDayCounterYearFraction(DayCounter,SettlementDate,R149,,,Trigger)</f>
        <v>12.355555555555556</v>
      </c>
      <c r="X149" s="29">
        <f>_xll.qlDayCounterYearFraction(DayCounter,R149,S149)</f>
        <v>8.611111111111111E-2</v>
      </c>
      <c r="Y149" s="29">
        <f>_xll.qlYieldTSDiscount(Currency&amp;"ON",R149)/(1+U149*X149)</f>
        <v>0.89024192685575321</v>
      </c>
      <c r="Z149" s="30" t="e">
        <f>_xll.qlTenorBasisValue(TenorBasis6M,R149,InterestRatesTrigger)</f>
        <v>#VALUE!</v>
      </c>
      <c r="AA149" s="30" t="e">
        <f t="shared" si="17"/>
        <v>#VALUE!</v>
      </c>
    </row>
    <row r="150" spans="15:27" x14ac:dyDescent="0.2">
      <c r="O150" s="33">
        <v>1</v>
      </c>
      <c r="P150" s="27" t="str">
        <f>_xll.qlPeriodEquivalent(P149&amp;"+"&amp;O150&amp;"M")</f>
        <v>12Y3M</v>
      </c>
      <c r="Q150" s="28">
        <f>_xll.qlCalendarAdvance(Calendar,SettlementDate,P150,"f",,Trigger)</f>
        <v>46755</v>
      </c>
      <c r="R150" s="28">
        <f>_xll.qlInterestRateIndexValueDate(Index,Q150,Trigger)</f>
        <v>46757</v>
      </c>
      <c r="S150" s="28">
        <f>_xll.qlInterestRateIndexMaturity(Index,R150,Trigger)</f>
        <v>46790</v>
      </c>
      <c r="T150" s="30">
        <f>_xll.qlIndexFixing($M$6,Q150,,InterestRatesTrigger)</f>
        <v>1.9746546049305248E-2</v>
      </c>
      <c r="U150" s="30">
        <f>_xll.qlIndexFixing(Index,Q150,,InterestRatesTrigger)</f>
        <v>2.0275903457746096E-2</v>
      </c>
      <c r="V150" s="30">
        <f t="shared" si="16"/>
        <v>5.2935740844084825E-4</v>
      </c>
      <c r="W150" s="29">
        <f>_xll.qlDayCounterYearFraction(DayCounter,SettlementDate,R150,,,Trigger)</f>
        <v>12.438888888888888</v>
      </c>
      <c r="X150" s="29">
        <f>_xll.qlDayCounterYearFraction(DayCounter,R150,S150)</f>
        <v>9.166666666666666E-2</v>
      </c>
      <c r="Y150" s="29">
        <f>_xll.qlYieldTSDiscount(Currency&amp;"ON",R150)/(1+U150*X150)</f>
        <v>0.88868118207406632</v>
      </c>
      <c r="Z150" s="30" t="e">
        <f>_xll.qlTenorBasisValue(TenorBasis6M,R150,InterestRatesTrigger)</f>
        <v>#VALUE!</v>
      </c>
      <c r="AA150" s="30" t="e">
        <f t="shared" si="17"/>
        <v>#VALUE!</v>
      </c>
    </row>
    <row r="151" spans="15:27" x14ac:dyDescent="0.2">
      <c r="O151" s="33">
        <v>1</v>
      </c>
      <c r="P151" s="27" t="str">
        <f>_xll.qlPeriodEquivalent(P150&amp;"+"&amp;O151&amp;"M")</f>
        <v>12Y4M</v>
      </c>
      <c r="Q151" s="28">
        <f>_xll.qlCalendarAdvance(Calendar,SettlementDate,P151,"f",,Trigger)</f>
        <v>46785</v>
      </c>
      <c r="R151" s="28">
        <f>_xll.qlInterestRateIndexValueDate(Index,Q151,Trigger)</f>
        <v>46787</v>
      </c>
      <c r="S151" s="28">
        <f>_xll.qlInterestRateIndexMaturity(Index,R151,Trigger)</f>
        <v>46818</v>
      </c>
      <c r="T151" s="30">
        <f>_xll.qlIndexFixing($M$6,Q151,,InterestRatesTrigger)</f>
        <v>1.9793492842684578E-2</v>
      </c>
      <c r="U151" s="30">
        <f>_xll.qlIndexFixing(Index,Q151,,InterestRatesTrigger)</f>
        <v>2.0301772721711551E-2</v>
      </c>
      <c r="V151" s="30">
        <f t="shared" si="16"/>
        <v>5.0827987902697311E-4</v>
      </c>
      <c r="W151" s="29">
        <f>_xll.qlDayCounterYearFraction(DayCounter,SettlementDate,R151,,,Trigger)</f>
        <v>12.522222222222222</v>
      </c>
      <c r="X151" s="29">
        <f>_xll.qlDayCounterYearFraction(DayCounter,R151,S151)</f>
        <v>8.611111111111111E-2</v>
      </c>
      <c r="Y151" s="29">
        <f>_xll.qlYieldTSDiscount(Currency&amp;"ON",R151)/(1+U151*X151)</f>
        <v>0.88731931757384308</v>
      </c>
      <c r="Z151" s="30" t="e">
        <f>_xll.qlTenorBasisValue(TenorBasis6M,R151,InterestRatesTrigger)</f>
        <v>#VALUE!</v>
      </c>
      <c r="AA151" s="30" t="e">
        <f t="shared" si="17"/>
        <v>#VALUE!</v>
      </c>
    </row>
    <row r="152" spans="15:27" x14ac:dyDescent="0.2">
      <c r="O152" s="33">
        <v>1</v>
      </c>
      <c r="P152" s="27" t="str">
        <f>_xll.qlPeriodEquivalent(P151&amp;"+"&amp;O152&amp;"M")</f>
        <v>12Y5M</v>
      </c>
      <c r="Q152" s="28">
        <f>_xll.qlCalendarAdvance(Calendar,SettlementDate,P152,"f",,Trigger)</f>
        <v>46814</v>
      </c>
      <c r="R152" s="28">
        <f>_xll.qlInterestRateIndexValueDate(Index,Q152,Trigger)</f>
        <v>46818</v>
      </c>
      <c r="S152" s="28">
        <f>_xll.qlInterestRateIndexMaturity(Index,R152,Trigger)</f>
        <v>46849</v>
      </c>
      <c r="T152" s="30">
        <f>_xll.qlIndexFixing($M$6,Q152,,InterestRatesTrigger)</f>
        <v>1.9842726498512913E-2</v>
      </c>
      <c r="U152" s="30">
        <f>_xll.qlIndexFixing(Index,Q152,,InterestRatesTrigger)</f>
        <v>2.032895586083442E-2</v>
      </c>
      <c r="V152" s="30">
        <f t="shared" si="16"/>
        <v>4.8622936232150735E-4</v>
      </c>
      <c r="W152" s="29">
        <f>_xll.qlDayCounterYearFraction(DayCounter,SettlementDate,R152,,,Trigger)</f>
        <v>12.608333333333333</v>
      </c>
      <c r="X152" s="29">
        <f>_xll.qlDayCounterYearFraction(DayCounter,R152,S152)</f>
        <v>8.611111111111111E-2</v>
      </c>
      <c r="Y152" s="29">
        <f>_xll.qlYieldTSDiscount(Currency&amp;"ON",R152)/(1+U152*X152)</f>
        <v>0.88580743886147528</v>
      </c>
      <c r="Z152" s="30" t="e">
        <f>_xll.qlTenorBasisValue(TenorBasis6M,R152,InterestRatesTrigger)</f>
        <v>#VALUE!</v>
      </c>
      <c r="AA152" s="30" t="e">
        <f t="shared" si="17"/>
        <v>#VALUE!</v>
      </c>
    </row>
    <row r="153" spans="15:27" x14ac:dyDescent="0.2">
      <c r="O153" s="33">
        <v>1</v>
      </c>
      <c r="P153" s="27" t="str">
        <f>_xll.qlPeriodEquivalent(P152&amp;"+"&amp;O153&amp;"M")</f>
        <v>12Y6M</v>
      </c>
      <c r="Q153" s="28">
        <f>_xll.qlCalendarAdvance(Calendar,SettlementDate,P153,"f",,Trigger)</f>
        <v>46846</v>
      </c>
      <c r="R153" s="28">
        <f>_xll.qlInterestRateIndexValueDate(Index,Q153,Trigger)</f>
        <v>46848</v>
      </c>
      <c r="S153" s="28">
        <f>_xll.qlInterestRateIndexMaturity(Index,R153,Trigger)</f>
        <v>46878</v>
      </c>
      <c r="T153" s="30">
        <f>_xll.qlIndexFixing($M$6,Q153,,InterestRatesTrigger)</f>
        <v>1.9887017313138244E-2</v>
      </c>
      <c r="U153" s="30">
        <f>_xll.qlIndexFixing(Index,Q153,,InterestRatesTrigger)</f>
        <v>2.0352656414194037E-2</v>
      </c>
      <c r="V153" s="30">
        <f t="shared" si="16"/>
        <v>4.6563910105579254E-4</v>
      </c>
      <c r="W153" s="29">
        <f>_xll.qlDayCounterYearFraction(DayCounter,SettlementDate,R153,,,Trigger)</f>
        <v>12.691666666666666</v>
      </c>
      <c r="X153" s="29">
        <f>_xll.qlDayCounterYearFraction(DayCounter,R153,S153)</f>
        <v>8.3333333333333329E-2</v>
      </c>
      <c r="Y153" s="29">
        <f>_xll.qlYieldTSDiscount(Currency&amp;"ON",R153)/(1+U153*X153)</f>
        <v>0.88439332776151569</v>
      </c>
      <c r="Z153" s="30" t="e">
        <f>_xll.qlTenorBasisValue(TenorBasis6M,R153,InterestRatesTrigger)</f>
        <v>#VALUE!</v>
      </c>
      <c r="AA153" s="30" t="e">
        <f t="shared" si="17"/>
        <v>#VALUE!</v>
      </c>
    </row>
    <row r="154" spans="15:27" x14ac:dyDescent="0.2">
      <c r="O154" s="33">
        <v>1</v>
      </c>
      <c r="P154" s="27" t="str">
        <f>_xll.qlPeriodEquivalent(P153&amp;"+"&amp;O154&amp;"M")</f>
        <v>12Y7M</v>
      </c>
      <c r="Q154" s="28">
        <f>_xll.qlCalendarAdvance(Calendar,SettlementDate,P154,"f",,Trigger)</f>
        <v>46875</v>
      </c>
      <c r="R154" s="28">
        <f>_xll.qlInterestRateIndexValueDate(Index,Q154,Trigger)</f>
        <v>46877</v>
      </c>
      <c r="S154" s="28">
        <f>_xll.qlInterestRateIndexMaturity(Index,R154,Trigger)</f>
        <v>46909</v>
      </c>
      <c r="T154" s="30">
        <f>_xll.qlIndexFixing($M$6,Q154,,InterestRatesTrigger)</f>
        <v>1.9931675305006891E-2</v>
      </c>
      <c r="U154" s="30">
        <f>_xll.qlIndexFixing(Index,Q154,,InterestRatesTrigger)</f>
        <v>2.0376899267776638E-2</v>
      </c>
      <c r="V154" s="30">
        <f t="shared" si="16"/>
        <v>4.4522396276974741E-4</v>
      </c>
      <c r="W154" s="29">
        <f>_xll.qlDayCounterYearFraction(DayCounter,SettlementDate,R154,,,Trigger)</f>
        <v>12.772222222222222</v>
      </c>
      <c r="X154" s="29">
        <f>_xll.qlDayCounterYearFraction(DayCounter,R154,S154)</f>
        <v>8.8888888888888892E-2</v>
      </c>
      <c r="Y154" s="29">
        <f>_xll.qlYieldTSDiscount(Currency&amp;"ON",R154)/(1+U154*X154)</f>
        <v>0.8828773210382721</v>
      </c>
      <c r="Z154" s="30" t="e">
        <f>_xll.qlTenorBasisValue(TenorBasis6M,R154,InterestRatesTrigger)</f>
        <v>#VALUE!</v>
      </c>
      <c r="AA154" s="30" t="e">
        <f t="shared" si="17"/>
        <v>#VALUE!</v>
      </c>
    </row>
    <row r="155" spans="15:27" x14ac:dyDescent="0.2">
      <c r="O155" s="33">
        <v>1</v>
      </c>
      <c r="P155" s="27" t="str">
        <f>_xll.qlPeriodEquivalent(P154&amp;"+"&amp;O155&amp;"M")</f>
        <v>12Y8M</v>
      </c>
      <c r="Q155" s="28">
        <f>_xll.qlCalendarAdvance(Calendar,SettlementDate,P155,"f",,Trigger)</f>
        <v>46906</v>
      </c>
      <c r="R155" s="28">
        <f>_xll.qlInterestRateIndexValueDate(Index,Q155,Trigger)</f>
        <v>46910</v>
      </c>
      <c r="S155" s="28">
        <f>_xll.qlInterestRateIndexMaturity(Index,R155,Trigger)</f>
        <v>46940</v>
      </c>
      <c r="T155" s="30">
        <f>_xll.qlIndexFixing($M$6,Q155,,InterestRatesTrigger)</f>
        <v>1.9974797441693504E-2</v>
      </c>
      <c r="U155" s="30">
        <f>_xll.qlIndexFixing(Index,Q155,,InterestRatesTrigger)</f>
        <v>2.0398653950565837E-2</v>
      </c>
      <c r="V155" s="30">
        <f t="shared" si="16"/>
        <v>4.2385650887233339E-4</v>
      </c>
      <c r="W155" s="29">
        <f>_xll.qlDayCounterYearFraction(DayCounter,SettlementDate,R155,,,Trigger)</f>
        <v>12.863888888888889</v>
      </c>
      <c r="X155" s="29">
        <f>_xll.qlDayCounterYearFraction(DayCounter,R155,S155)</f>
        <v>8.3333333333333329E-2</v>
      </c>
      <c r="Y155" s="29">
        <f>_xll.qlYieldTSDiscount(Currency&amp;"ON",R155)/(1+U155*X155)</f>
        <v>0.88136508247245071</v>
      </c>
      <c r="Z155" s="30" t="e">
        <f>_xll.qlTenorBasisValue(TenorBasis6M,R155,InterestRatesTrigger)</f>
        <v>#VALUE!</v>
      </c>
      <c r="AA155" s="30" t="e">
        <f t="shared" si="17"/>
        <v>#VALUE!</v>
      </c>
    </row>
    <row r="156" spans="15:27" x14ac:dyDescent="0.2">
      <c r="O156" s="33">
        <v>1</v>
      </c>
      <c r="P156" s="27" t="str">
        <f>_xll.qlPeriodEquivalent(P155&amp;"+"&amp;O156&amp;"M")</f>
        <v>12Y9M</v>
      </c>
      <c r="Q156" s="28">
        <f>_xll.qlCalendarAdvance(Calendar,SettlementDate,P156,"f",,Trigger)</f>
        <v>46937</v>
      </c>
      <c r="R156" s="28">
        <f>_xll.qlInterestRateIndexValueDate(Index,Q156,Trigger)</f>
        <v>46939</v>
      </c>
      <c r="S156" s="28">
        <f>_xll.qlInterestRateIndexMaturity(Index,R156,Trigger)</f>
        <v>46972</v>
      </c>
      <c r="T156" s="30">
        <f>_xll.qlIndexFixing($M$6,Q156,,InterestRatesTrigger)</f>
        <v>2.0016411056513955E-2</v>
      </c>
      <c r="U156" s="30">
        <f>_xll.qlIndexFixing(Index,Q156,,InterestRatesTrigger)</f>
        <v>2.0420545457541746E-2</v>
      </c>
      <c r="V156" s="30">
        <f t="shared" si="16"/>
        <v>4.0413440102779127E-4</v>
      </c>
      <c r="W156" s="29">
        <f>_xll.qlDayCounterYearFraction(DayCounter,SettlementDate,R156,,,Trigger)</f>
        <v>12.944444444444445</v>
      </c>
      <c r="X156" s="29">
        <f>_xll.qlDayCounterYearFraction(DayCounter,R156,S156)</f>
        <v>9.166666666666666E-2</v>
      </c>
      <c r="Y156" s="29">
        <f>_xll.qlYieldTSDiscount(Currency&amp;"ON",R156)/(1+U156*X156)</f>
        <v>0.87979819493389233</v>
      </c>
      <c r="Z156" s="30" t="e">
        <f>_xll.qlTenorBasisValue(TenorBasis6M,R156,InterestRatesTrigger)</f>
        <v>#VALUE!</v>
      </c>
      <c r="AA156" s="30" t="e">
        <f t="shared" si="17"/>
        <v>#VALUE!</v>
      </c>
    </row>
    <row r="157" spans="15:27" x14ac:dyDescent="0.2">
      <c r="O157" s="33">
        <v>1</v>
      </c>
      <c r="P157" s="27" t="str">
        <f>_xll.qlPeriodEquivalent(P156&amp;"+"&amp;O157&amp;"M")</f>
        <v>12Y10M</v>
      </c>
      <c r="Q157" s="28">
        <f>_xll.qlCalendarAdvance(Calendar,SettlementDate,P157,"f",,Trigger)</f>
        <v>46967</v>
      </c>
      <c r="R157" s="28">
        <f>_xll.qlInterestRateIndexValueDate(Index,Q157,Trigger)</f>
        <v>46969</v>
      </c>
      <c r="S157" s="28">
        <f>_xll.qlInterestRateIndexMaturity(Index,R157,Trigger)</f>
        <v>47000</v>
      </c>
      <c r="T157" s="30">
        <f>_xll.qlIndexFixing($M$6,Q157,,InterestRatesTrigger)</f>
        <v>2.0051333259302161E-2</v>
      </c>
      <c r="U157" s="30">
        <f>_xll.qlIndexFixing(Index,Q157,,InterestRatesTrigger)</f>
        <v>2.0437090675552404E-2</v>
      </c>
      <c r="V157" s="30">
        <f t="shared" si="16"/>
        <v>3.8575741625024307E-4</v>
      </c>
      <c r="W157" s="29">
        <f>_xll.qlDayCounterYearFraction(DayCounter,SettlementDate,R157,,,Trigger)</f>
        <v>13.027777777777779</v>
      </c>
      <c r="X157" s="29">
        <f>_xll.qlDayCounterYearFraction(DayCounter,R157,S157)</f>
        <v>8.611111111111111E-2</v>
      </c>
      <c r="Y157" s="29">
        <f>_xll.qlYieldTSDiscount(Currency&amp;"ON",R157)/(1+U157*X157)</f>
        <v>0.87843158625548268</v>
      </c>
      <c r="Z157" s="30" t="e">
        <f>_xll.qlTenorBasisValue(TenorBasis6M,R157,InterestRatesTrigger)</f>
        <v>#VALUE!</v>
      </c>
      <c r="AA157" s="30" t="e">
        <f t="shared" si="17"/>
        <v>#VALUE!</v>
      </c>
    </row>
    <row r="158" spans="15:27" x14ac:dyDescent="0.2">
      <c r="O158" s="33">
        <v>1</v>
      </c>
      <c r="P158" s="27" t="str">
        <f>_xll.qlPeriodEquivalent(P157&amp;"+"&amp;O158&amp;"M")</f>
        <v>12Y11M</v>
      </c>
      <c r="Q158" s="28">
        <f>_xll.qlCalendarAdvance(Calendar,SettlementDate,P158,"f",,Trigger)</f>
        <v>47000</v>
      </c>
      <c r="R158" s="28">
        <f>_xll.qlInterestRateIndexValueDate(Index,Q158,Trigger)</f>
        <v>47002</v>
      </c>
      <c r="S158" s="28">
        <f>_xll.qlInterestRateIndexMaturity(Index,R158,Trigger)</f>
        <v>47032</v>
      </c>
      <c r="T158" s="30">
        <f>_xll.qlIndexFixing($M$6,Q158,,InterestRatesTrigger)</f>
        <v>2.0088849531154196E-2</v>
      </c>
      <c r="U158" s="30">
        <f>_xll.qlIndexFixing(Index,Q158,,InterestRatesTrigger)</f>
        <v>2.0454641102189974E-2</v>
      </c>
      <c r="V158" s="30">
        <f t="shared" si="16"/>
        <v>3.6579157103577842E-4</v>
      </c>
      <c r="W158" s="29">
        <f>_xll.qlDayCounterYearFraction(DayCounter,SettlementDate,R158,,,Trigger)</f>
        <v>13.119444444444444</v>
      </c>
      <c r="X158" s="29">
        <f>_xll.qlDayCounterYearFraction(DayCounter,R158,S158)</f>
        <v>8.3333333333333329E-2</v>
      </c>
      <c r="Y158" s="29">
        <f>_xll.qlYieldTSDiscount(Currency&amp;"ON",R158)/(1+U158*X158)</f>
        <v>0.87686818350585949</v>
      </c>
      <c r="Z158" s="30" t="e">
        <f>_xll.qlTenorBasisValue(TenorBasis6M,R158,InterestRatesTrigger)</f>
        <v>#VALUE!</v>
      </c>
      <c r="AA158" s="30" t="e">
        <f t="shared" si="17"/>
        <v>#VALUE!</v>
      </c>
    </row>
    <row r="159" spans="15:27" x14ac:dyDescent="0.2">
      <c r="O159" s="33">
        <v>1</v>
      </c>
      <c r="P159" s="27" t="str">
        <f>_xll.qlPeriodEquivalent(P158&amp;"+"&amp;O159&amp;"M")</f>
        <v>13Y</v>
      </c>
      <c r="Q159" s="28">
        <f>_xll.qlCalendarAdvance(Calendar,SettlementDate,P159,"f",,Trigger)</f>
        <v>47028</v>
      </c>
      <c r="R159" s="28">
        <f>_xll.qlInterestRateIndexValueDate(Index,Q159,Trigger)</f>
        <v>47030</v>
      </c>
      <c r="S159" s="28">
        <f>_xll.qlInterestRateIndexMaturity(Index,R159,Trigger)</f>
        <v>47063</v>
      </c>
      <c r="T159" s="30">
        <f>_xll.qlIndexFixing($M$6,Q159,,InterestRatesTrigger)</f>
        <v>2.0122960906710157E-2</v>
      </c>
      <c r="U159" s="30">
        <f>_xll.qlIndexFixing(Index,Q159,,InterestRatesTrigger)</f>
        <v>2.0471283788532964E-2</v>
      </c>
      <c r="V159" s="30">
        <f t="shared" si="16"/>
        <v>3.4832288182280735E-4</v>
      </c>
      <c r="W159" s="29">
        <f>_xll.qlDayCounterYearFraction(DayCounter,SettlementDate,R159,,,Trigger)</f>
        <v>13.197222222222223</v>
      </c>
      <c r="X159" s="29">
        <f>_xll.qlDayCounterYearFraction(DayCounter,R159,S159)</f>
        <v>9.166666666666666E-2</v>
      </c>
      <c r="Y159" s="29">
        <f>_xll.qlYieldTSDiscount(Currency&amp;"ON",R159)/(1+U159*X159)</f>
        <v>0.87535010930106838</v>
      </c>
      <c r="Z159" s="30" t="e">
        <f>_xll.qlTenorBasisValue(TenorBasis6M,R159,InterestRatesTrigger)</f>
        <v>#VALUE!</v>
      </c>
      <c r="AA159" s="30" t="e">
        <f t="shared" si="17"/>
        <v>#VALUE!</v>
      </c>
    </row>
    <row r="160" spans="15:27" x14ac:dyDescent="0.2">
      <c r="O160" s="33">
        <v>1</v>
      </c>
      <c r="P160" s="27" t="str">
        <f>_xll.qlPeriodEquivalent(P159&amp;"+"&amp;O160&amp;"M")</f>
        <v>13Y1M</v>
      </c>
      <c r="Q160" s="28">
        <f>_xll.qlCalendarAdvance(Calendar,SettlementDate,P160,"f",,Trigger)</f>
        <v>47059</v>
      </c>
      <c r="R160" s="28">
        <f>_xll.qlInterestRateIndexValueDate(Index,Q160,Trigger)</f>
        <v>47063</v>
      </c>
      <c r="S160" s="28">
        <f>_xll.qlInterestRateIndexMaturity(Index,R160,Trigger)</f>
        <v>47093</v>
      </c>
      <c r="T160" s="30">
        <f>_xll.qlIndexFixing($M$6,Q160,,InterestRatesTrigger)</f>
        <v>2.0153710596968466E-2</v>
      </c>
      <c r="U160" s="30">
        <f>_xll.qlIndexFixing(Index,Q160,,InterestRatesTrigger)</f>
        <v>2.0483870879119515E-2</v>
      </c>
      <c r="V160" s="30">
        <f t="shared" si="16"/>
        <v>3.3016028215104853E-4</v>
      </c>
      <c r="W160" s="29">
        <f>_xll.qlDayCounterYearFraction(DayCounter,SettlementDate,R160,,,Trigger)</f>
        <v>13.28888888888889</v>
      </c>
      <c r="X160" s="29">
        <f>_xll.qlDayCounterYearFraction(DayCounter,R160,S160)</f>
        <v>8.3333333333333329E-2</v>
      </c>
      <c r="Y160" s="29">
        <f>_xll.qlYieldTSDiscount(Currency&amp;"ON",R160)/(1+U160*X160)</f>
        <v>0.87388629291780373</v>
      </c>
      <c r="Z160" s="30" t="e">
        <f>_xll.qlTenorBasisValue(TenorBasis6M,R160,InterestRatesTrigger)</f>
        <v>#VALUE!</v>
      </c>
      <c r="AA160" s="30" t="e">
        <f t="shared" si="17"/>
        <v>#VALUE!</v>
      </c>
    </row>
    <row r="161" spans="15:27" x14ac:dyDescent="0.2">
      <c r="O161" s="33">
        <v>1</v>
      </c>
      <c r="P161" s="27" t="str">
        <f>_xll.qlPeriodEquivalent(P160&amp;"+"&amp;O161&amp;"M")</f>
        <v>13Y2M</v>
      </c>
      <c r="Q161" s="28">
        <f>_xll.qlCalendarAdvance(Calendar,SettlementDate,P161,"f",,Trigger)</f>
        <v>47091</v>
      </c>
      <c r="R161" s="28">
        <f>_xll.qlInterestRateIndexValueDate(Index,Q161,Trigger)</f>
        <v>47093</v>
      </c>
      <c r="S161" s="28">
        <f>_xll.qlInterestRateIndexMaturity(Index,R161,Trigger)</f>
        <v>47126</v>
      </c>
      <c r="T161" s="30">
        <f>_xll.qlIndexFixing($M$6,Q161,,InterestRatesTrigger)</f>
        <v>2.0185499851317346E-2</v>
      </c>
      <c r="U161" s="30">
        <f>_xll.qlIndexFixing(Index,Q161,,InterestRatesTrigger)</f>
        <v>2.0498288299787989E-2</v>
      </c>
      <c r="V161" s="30">
        <f t="shared" si="16"/>
        <v>3.1278844847064391E-4</v>
      </c>
      <c r="W161" s="29">
        <f>_xll.qlDayCounterYearFraction(DayCounter,SettlementDate,R161,,,Trigger)</f>
        <v>13.372222222222222</v>
      </c>
      <c r="X161" s="29">
        <f>_xll.qlDayCounterYearFraction(DayCounter,R161,S161)</f>
        <v>9.166666666666666E-2</v>
      </c>
      <c r="Y161" s="29">
        <f>_xll.qlYieldTSDiscount(Currency&amp;"ON",R161)/(1+U161*X161)</f>
        <v>0.87227128988260616</v>
      </c>
      <c r="Z161" s="30" t="e">
        <f>_xll.qlTenorBasisValue(TenorBasis6M,R161,InterestRatesTrigger)</f>
        <v>#VALUE!</v>
      </c>
      <c r="AA161" s="30" t="e">
        <f t="shared" si="17"/>
        <v>#VALUE!</v>
      </c>
    </row>
    <row r="162" spans="15:27" x14ac:dyDescent="0.2">
      <c r="O162" s="33">
        <v>1</v>
      </c>
      <c r="P162" s="27" t="str">
        <f>_xll.qlPeriodEquivalent(P161&amp;"+"&amp;O162&amp;"M")</f>
        <v>13Y3M</v>
      </c>
      <c r="Q162" s="28">
        <f>_xll.qlCalendarAdvance(Calendar,SettlementDate,P162,"f",,Trigger)</f>
        <v>47120</v>
      </c>
      <c r="R162" s="28">
        <f>_xll.qlInterestRateIndexValueDate(Index,Q162,Trigger)</f>
        <v>47122</v>
      </c>
      <c r="S162" s="28">
        <f>_xll.qlInterestRateIndexMaturity(Index,R162,Trigger)</f>
        <v>47154</v>
      </c>
      <c r="T162" s="30">
        <f>_xll.qlIndexFixing($M$6,Q162,,InterestRatesTrigger)</f>
        <v>2.0210192464872045E-2</v>
      </c>
      <c r="U162" s="30">
        <f>_xll.qlIndexFixing(Index,Q162,,InterestRatesTrigger)</f>
        <v>2.0507786932755512E-2</v>
      </c>
      <c r="V162" s="30">
        <f t="shared" si="16"/>
        <v>2.9759446788346633E-4</v>
      </c>
      <c r="W162" s="29">
        <f>_xll.qlDayCounterYearFraction(DayCounter,SettlementDate,R162,,,Trigger)</f>
        <v>13.452777777777778</v>
      </c>
      <c r="X162" s="29">
        <f>_xll.qlDayCounterYearFraction(DayCounter,R162,S162)</f>
        <v>8.8888888888888892E-2</v>
      </c>
      <c r="Y162" s="29">
        <f>_xll.qlYieldTSDiscount(Currency&amp;"ON",R162)/(1+U162*X162)</f>
        <v>0.87090428000780773</v>
      </c>
      <c r="Z162" s="30" t="e">
        <f>_xll.qlTenorBasisValue(TenorBasis6M,R162,InterestRatesTrigger)</f>
        <v>#VALUE!</v>
      </c>
      <c r="AA162" s="30" t="e">
        <f t="shared" si="17"/>
        <v>#VALUE!</v>
      </c>
    </row>
    <row r="163" spans="15:27" x14ac:dyDescent="0.2">
      <c r="O163" s="33">
        <v>1</v>
      </c>
      <c r="P163" s="27" t="str">
        <f>_xll.qlPeriodEquivalent(P162&amp;"+"&amp;O163&amp;"M")</f>
        <v>13Y4M</v>
      </c>
      <c r="Q163" s="28">
        <f>_xll.qlCalendarAdvance(Calendar,SettlementDate,P163,"f",,Trigger)</f>
        <v>47151</v>
      </c>
      <c r="R163" s="28">
        <f>_xll.qlInterestRateIndexValueDate(Index,Q163,Trigger)</f>
        <v>47155</v>
      </c>
      <c r="S163" s="28">
        <f>_xll.qlInterestRateIndexMaturity(Index,R163,Trigger)</f>
        <v>47183</v>
      </c>
      <c r="T163" s="30">
        <f>_xll.qlIndexFixing($M$6,Q163,,InterestRatesTrigger)</f>
        <v>2.0233250863463628E-2</v>
      </c>
      <c r="U163" s="30">
        <f>_xll.qlIndexFixing(Index,Q163,,InterestRatesTrigger)</f>
        <v>2.0514936171842316E-2</v>
      </c>
      <c r="V163" s="30">
        <f t="shared" si="16"/>
        <v>2.8168530837868744E-4</v>
      </c>
      <c r="W163" s="29">
        <f>_xll.qlDayCounterYearFraction(DayCounter,SettlementDate,R163,,,Trigger)</f>
        <v>13.544444444444444</v>
      </c>
      <c r="X163" s="29">
        <f>_xll.qlDayCounterYearFraction(DayCounter,R163,S163)</f>
        <v>7.7777777777777779E-2</v>
      </c>
      <c r="Y163" s="29">
        <f>_xll.qlYieldTSDiscount(Currency&amp;"ON",R163)/(1+U163*X163)</f>
        <v>0.86949102978957105</v>
      </c>
      <c r="Z163" s="30" t="e">
        <f>_xll.qlTenorBasisValue(TenorBasis6M,R163,InterestRatesTrigger)</f>
        <v>#VALUE!</v>
      </c>
      <c r="AA163" s="30" t="e">
        <f t="shared" si="17"/>
        <v>#VALUE!</v>
      </c>
    </row>
    <row r="164" spans="15:27" x14ac:dyDescent="0.2">
      <c r="O164" s="33">
        <v>1</v>
      </c>
      <c r="P164" s="27" t="str">
        <f>_xll.qlPeriodEquivalent(P163&amp;"+"&amp;O164&amp;"M")</f>
        <v>13Y5M</v>
      </c>
      <c r="Q164" s="28">
        <f>_xll.qlCalendarAdvance(Calendar,SettlementDate,P164,"f",,Trigger)</f>
        <v>47179</v>
      </c>
      <c r="R164" s="28">
        <f>_xll.qlInterestRateIndexValueDate(Index,Q164,Trigger)</f>
        <v>47183</v>
      </c>
      <c r="S164" s="28">
        <f>_xll.qlInterestRateIndexMaturity(Index,R164,Trigger)</f>
        <v>47214</v>
      </c>
      <c r="T164" s="30">
        <f>_xll.qlIndexFixing($M$6,Q164,,InterestRatesTrigger)</f>
        <v>2.0256925301098253E-2</v>
      </c>
      <c r="U164" s="30">
        <f>_xll.qlIndexFixing(Index,Q164,,InterestRatesTrigger)</f>
        <v>2.052426087408539E-2</v>
      </c>
      <c r="V164" s="30">
        <f t="shared" si="16"/>
        <v>2.6733557298713739E-4</v>
      </c>
      <c r="W164" s="29">
        <f>_xll.qlDayCounterYearFraction(DayCounter,SettlementDate,R164,,,Trigger)</f>
        <v>13.622222222222222</v>
      </c>
      <c r="X164" s="29">
        <f>_xll.qlDayCounterYearFraction(DayCounter,R164,S164)</f>
        <v>8.611111111111111E-2</v>
      </c>
      <c r="Y164" s="29">
        <f>_xll.qlYieldTSDiscount(Currency&amp;"ON",R164)/(1+U164*X164)</f>
        <v>0.86797601732287544</v>
      </c>
      <c r="Z164" s="30" t="e">
        <f>_xll.qlTenorBasisValue(TenorBasis6M,R164,InterestRatesTrigger)</f>
        <v>#VALUE!</v>
      </c>
      <c r="AA164" s="30" t="e">
        <f t="shared" si="17"/>
        <v>#VALUE!</v>
      </c>
    </row>
    <row r="165" spans="15:27" x14ac:dyDescent="0.2">
      <c r="O165" s="33">
        <v>1</v>
      </c>
      <c r="P165" s="27" t="str">
        <f>_xll.qlPeriodEquivalent(P164&amp;"+"&amp;O165&amp;"M")</f>
        <v>13Y6M</v>
      </c>
      <c r="Q165" s="28">
        <f>_xll.qlCalendarAdvance(Calendar,SettlementDate,P165,"f",,Trigger)</f>
        <v>47211</v>
      </c>
      <c r="R165" s="28">
        <f>_xll.qlInterestRateIndexValueDate(Index,Q165,Trigger)</f>
        <v>47213</v>
      </c>
      <c r="S165" s="28">
        <f>_xll.qlInterestRateIndexMaturity(Index,R165,Trigger)</f>
        <v>47245</v>
      </c>
      <c r="T165" s="30">
        <f>_xll.qlIndexFixing($M$6,Q165,,InterestRatesTrigger)</f>
        <v>2.0278066044371323E-2</v>
      </c>
      <c r="U165" s="30">
        <f>_xll.qlIndexFixing(Index,Q165,,InterestRatesTrigger)</f>
        <v>2.0531234376836849E-2</v>
      </c>
      <c r="V165" s="30">
        <f t="shared" si="16"/>
        <v>2.5316833246552539E-4</v>
      </c>
      <c r="W165" s="29">
        <f>_xll.qlDayCounterYearFraction(DayCounter,SettlementDate,R165,,,Trigger)</f>
        <v>13.705555555555556</v>
      </c>
      <c r="X165" s="29">
        <f>_xll.qlDayCounterYearFraction(DayCounter,R165,S165)</f>
        <v>8.8888888888888892E-2</v>
      </c>
      <c r="Y165" s="29">
        <f>_xll.qlYieldTSDiscount(Currency&amp;"ON",R165)/(1+U165*X165)</f>
        <v>0.86646349469056783</v>
      </c>
      <c r="Z165" s="30" t="e">
        <f>_xll.qlTenorBasisValue(TenorBasis6M,R165,InterestRatesTrigger)</f>
        <v>#VALUE!</v>
      </c>
      <c r="AA165" s="30" t="e">
        <f t="shared" si="17"/>
        <v>#VALUE!</v>
      </c>
    </row>
    <row r="166" spans="15:27" x14ac:dyDescent="0.2">
      <c r="O166" s="33">
        <v>1</v>
      </c>
      <c r="P166" s="27" t="str">
        <f>_xll.qlPeriodEquivalent(P165&amp;"+"&amp;O166&amp;"M")</f>
        <v>13Y7M</v>
      </c>
      <c r="Q166" s="28">
        <f>_xll.qlCalendarAdvance(Calendar,SettlementDate,P166,"f",,Trigger)</f>
        <v>47240</v>
      </c>
      <c r="R166" s="28">
        <f>_xll.qlInterestRateIndexValueDate(Index,Q166,Trigger)</f>
        <v>47242</v>
      </c>
      <c r="S166" s="28">
        <f>_xll.qlInterestRateIndexMaturity(Index,R166,Trigger)</f>
        <v>47273</v>
      </c>
      <c r="T166" s="30">
        <f>_xll.qlIndexFixing($M$6,Q166,,InterestRatesTrigger)</f>
        <v>2.0294740989964997E-2</v>
      </c>
      <c r="U166" s="30">
        <f>_xll.qlIndexFixing(Index,Q166,,InterestRatesTrigger)</f>
        <v>2.0535309967232906E-2</v>
      </c>
      <c r="V166" s="30">
        <f t="shared" si="16"/>
        <v>2.4056897726790899E-4</v>
      </c>
      <c r="W166" s="29">
        <f>_xll.qlDayCounterYearFraction(DayCounter,SettlementDate,R166,,,Trigger)</f>
        <v>13.786111111111111</v>
      </c>
      <c r="X166" s="29">
        <f>_xll.qlDayCounterYearFraction(DayCounter,R166,S166)</f>
        <v>8.611111111111111E-2</v>
      </c>
      <c r="Y166" s="29">
        <f>_xll.qlYieldTSDiscount(Currency&amp;"ON",R166)/(1+U166*X166)</f>
        <v>0.86509955483769274</v>
      </c>
      <c r="Z166" s="30" t="e">
        <f>_xll.qlTenorBasisValue(TenorBasis6M,R166,InterestRatesTrigger)</f>
        <v>#VALUE!</v>
      </c>
      <c r="AA166" s="30" t="e">
        <f t="shared" si="17"/>
        <v>#VALUE!</v>
      </c>
    </row>
    <row r="167" spans="15:27" x14ac:dyDescent="0.2">
      <c r="O167" s="33">
        <v>1</v>
      </c>
      <c r="P167" s="27" t="str">
        <f>_xll.qlPeriodEquivalent(P166&amp;"+"&amp;O167&amp;"M")</f>
        <v>13Y8M</v>
      </c>
      <c r="Q167" s="28">
        <f>_xll.qlCalendarAdvance(Calendar,SettlementDate,P167,"f",,Trigger)</f>
        <v>47273</v>
      </c>
      <c r="R167" s="28">
        <f>_xll.qlInterestRateIndexValueDate(Index,Q167,Trigger)</f>
        <v>47275</v>
      </c>
      <c r="S167" s="28">
        <f>_xll.qlInterestRateIndexMaturity(Index,R167,Trigger)</f>
        <v>47305</v>
      </c>
      <c r="T167" s="30">
        <f>_xll.qlIndexFixing($M$6,Q167,,InterestRatesTrigger)</f>
        <v>2.0311482344360421E-2</v>
      </c>
      <c r="U167" s="30">
        <f>_xll.qlIndexFixing(Index,Q167,,InterestRatesTrigger)</f>
        <v>2.0538503033306732E-2</v>
      </c>
      <c r="V167" s="30">
        <f t="shared" si="16"/>
        <v>2.2702068894631111E-4</v>
      </c>
      <c r="W167" s="29">
        <f>_xll.qlDayCounterYearFraction(DayCounter,SettlementDate,R167,,,Trigger)</f>
        <v>13.877777777777778</v>
      </c>
      <c r="X167" s="29">
        <f>_xll.qlDayCounterYearFraction(DayCounter,R167,S167)</f>
        <v>8.3333333333333329E-2</v>
      </c>
      <c r="Y167" s="29">
        <f>_xll.qlYieldTSDiscount(Currency&amp;"ON",R167)/(1+U167*X167)</f>
        <v>0.86354196217658385</v>
      </c>
      <c r="Z167" s="30" t="e">
        <f>_xll.qlTenorBasisValue(TenorBasis6M,R167,InterestRatesTrigger)</f>
        <v>#VALUE!</v>
      </c>
      <c r="AA167" s="30" t="e">
        <f t="shared" si="17"/>
        <v>#VALUE!</v>
      </c>
    </row>
    <row r="168" spans="15:27" x14ac:dyDescent="0.2">
      <c r="O168" s="33">
        <v>1</v>
      </c>
      <c r="P168" s="27" t="str">
        <f>_xll.qlPeriodEquivalent(P167&amp;"+"&amp;O168&amp;"M")</f>
        <v>13Y9M</v>
      </c>
      <c r="Q168" s="28">
        <f>_xll.qlCalendarAdvance(Calendar,SettlementDate,P168,"f",,Trigger)</f>
        <v>47301</v>
      </c>
      <c r="R168" s="28">
        <f>_xll.qlInterestRateIndexValueDate(Index,Q168,Trigger)</f>
        <v>47303</v>
      </c>
      <c r="S168" s="28">
        <f>_xll.qlInterestRateIndexMaturity(Index,R168,Trigger)</f>
        <v>47336</v>
      </c>
      <c r="T168" s="30">
        <f>_xll.qlIndexFixing($M$6,Q168,,InterestRatesTrigger)</f>
        <v>2.0326717279630851E-2</v>
      </c>
      <c r="U168" s="30">
        <f>_xll.qlIndexFixing(Index,Q168,,InterestRatesTrigger)</f>
        <v>2.0542273365043492E-2</v>
      </c>
      <c r="V168" s="30">
        <f t="shared" si="16"/>
        <v>2.1555608541264093E-4</v>
      </c>
      <c r="W168" s="29">
        <f>_xll.qlDayCounterYearFraction(DayCounter,SettlementDate,R168,,,Trigger)</f>
        <v>13.955555555555556</v>
      </c>
      <c r="X168" s="29">
        <f>_xll.qlDayCounterYearFraction(DayCounter,R168,S168)</f>
        <v>9.166666666666666E-2</v>
      </c>
      <c r="Y168" s="29">
        <f>_xll.qlYieldTSDiscount(Currency&amp;"ON",R168)/(1+U168*X168)</f>
        <v>0.8620324291747008</v>
      </c>
      <c r="Z168" s="30" t="e">
        <f>_xll.qlTenorBasisValue(TenorBasis6M,R168,InterestRatesTrigger)</f>
        <v>#VALUE!</v>
      </c>
      <c r="AA168" s="30" t="e">
        <f t="shared" si="17"/>
        <v>#VALUE!</v>
      </c>
    </row>
    <row r="169" spans="15:27" x14ac:dyDescent="0.2">
      <c r="O169" s="33">
        <v>1</v>
      </c>
      <c r="P169" s="27" t="str">
        <f>_xll.qlPeriodEquivalent(P168&amp;"+"&amp;O169&amp;"M")</f>
        <v>13Y10M</v>
      </c>
      <c r="Q169" s="28">
        <f>_xll.qlCalendarAdvance(Calendar,SettlementDate,P169,"f",,Trigger)</f>
        <v>47332</v>
      </c>
      <c r="R169" s="28">
        <f>_xll.qlInterestRateIndexValueDate(Index,Q169,Trigger)</f>
        <v>47336</v>
      </c>
      <c r="S169" s="28">
        <f>_xll.qlInterestRateIndexMaturity(Index,R169,Trigger)</f>
        <v>47367</v>
      </c>
      <c r="T169" s="30">
        <f>_xll.qlIndexFixing($M$6,Q169,,InterestRatesTrigger)</f>
        <v>2.0337914420733492E-2</v>
      </c>
      <c r="U169" s="30">
        <f>_xll.qlIndexFixing(Index,Q169,,InterestRatesTrigger)</f>
        <v>2.0541817033370435E-2</v>
      </c>
      <c r="V169" s="30">
        <f t="shared" si="16"/>
        <v>2.0390261263694351E-4</v>
      </c>
      <c r="W169" s="29">
        <f>_xll.qlDayCounterYearFraction(DayCounter,SettlementDate,R169,,,Trigger)</f>
        <v>14.047222222222222</v>
      </c>
      <c r="X169" s="29">
        <f>_xll.qlDayCounterYearFraction(DayCounter,R169,S169)</f>
        <v>8.611111111111111E-2</v>
      </c>
      <c r="Y169" s="29">
        <f>_xll.qlYieldTSDiscount(Currency&amp;"ON",R169)/(1+U169*X169)</f>
        <v>0.86052726232464238</v>
      </c>
      <c r="Z169" s="30" t="e">
        <f>_xll.qlTenorBasisValue(TenorBasis6M,R169,InterestRatesTrigger)</f>
        <v>#VALUE!</v>
      </c>
      <c r="AA169" s="30" t="e">
        <f t="shared" si="17"/>
        <v>#VALUE!</v>
      </c>
    </row>
    <row r="170" spans="15:27" x14ac:dyDescent="0.2">
      <c r="O170" s="33">
        <v>1</v>
      </c>
      <c r="P170" s="27" t="str">
        <f>_xll.qlPeriodEquivalent(P169&amp;"+"&amp;O170&amp;"M")</f>
        <v>13Y11M</v>
      </c>
      <c r="Q170" s="28">
        <f>_xll.qlCalendarAdvance(Calendar,SettlementDate,P170,"f",,Trigger)</f>
        <v>47364</v>
      </c>
      <c r="R170" s="28">
        <f>_xll.qlInterestRateIndexValueDate(Index,Q170,Trigger)</f>
        <v>47366</v>
      </c>
      <c r="S170" s="28">
        <f>_xll.qlInterestRateIndexMaturity(Index,R170,Trigger)</f>
        <v>47396</v>
      </c>
      <c r="T170" s="30">
        <f>_xll.qlIndexFixing($M$6,Q170,,InterestRatesTrigger)</f>
        <v>2.0346540559102344E-2</v>
      </c>
      <c r="U170" s="30">
        <f>_xll.qlIndexFixing(Index,Q170,,InterestRatesTrigger)</f>
        <v>2.0540528831939575E-2</v>
      </c>
      <c r="V170" s="30">
        <f t="shared" si="16"/>
        <v>1.9398827283723108E-4</v>
      </c>
      <c r="W170" s="29">
        <f>_xll.qlDayCounterYearFraction(DayCounter,SettlementDate,R170,,,Trigger)</f>
        <v>14.130555555555556</v>
      </c>
      <c r="X170" s="29">
        <f>_xll.qlDayCounterYearFraction(DayCounter,R170,S170)</f>
        <v>8.3333333333333329E-2</v>
      </c>
      <c r="Y170" s="29">
        <f>_xll.qlYieldTSDiscount(Currency&amp;"ON",R170)/(1+U170*X170)</f>
        <v>0.85912036624977606</v>
      </c>
      <c r="Z170" s="30" t="e">
        <f>_xll.qlTenorBasisValue(TenorBasis6M,R170,InterestRatesTrigger)</f>
        <v>#VALUE!</v>
      </c>
      <c r="AA170" s="30" t="e">
        <f t="shared" si="17"/>
        <v>#VALUE!</v>
      </c>
    </row>
    <row r="171" spans="15:27" x14ac:dyDescent="0.2">
      <c r="O171" s="33">
        <v>1</v>
      </c>
      <c r="P171" s="27" t="str">
        <f>_xll.qlPeriodEquivalent(P170&amp;"+"&amp;O171&amp;"M")</f>
        <v>14Y</v>
      </c>
      <c r="Q171" s="28">
        <f>_xll.qlCalendarAdvance(Calendar,SettlementDate,P171,"f",,Trigger)</f>
        <v>47393</v>
      </c>
      <c r="R171" s="28">
        <f>_xll.qlInterestRateIndexValueDate(Index,Q171,Trigger)</f>
        <v>47395</v>
      </c>
      <c r="S171" s="28">
        <f>_xll.qlInterestRateIndexMaturity(Index,R171,Trigger)</f>
        <v>47427</v>
      </c>
      <c r="T171" s="30">
        <f>_xll.qlIndexFixing($M$6,Q171,,InterestRatesTrigger)</f>
        <v>2.0354883058061324E-2</v>
      </c>
      <c r="U171" s="30">
        <f>_xll.qlIndexFixing(Index,Q171,,InterestRatesTrigger)</f>
        <v>2.0539653420698911E-2</v>
      </c>
      <c r="V171" s="30">
        <f t="shared" si="16"/>
        <v>1.8477036263758739E-4</v>
      </c>
      <c r="W171" s="29">
        <f>_xll.qlDayCounterYearFraction(DayCounter,SettlementDate,R171,,,Trigger)</f>
        <v>14.21111111111111</v>
      </c>
      <c r="X171" s="29">
        <f>_xll.qlDayCounterYearFraction(DayCounter,R171,S171)</f>
        <v>8.8888888888888892E-2</v>
      </c>
      <c r="Y171" s="29">
        <f>_xll.qlYieldTSDiscount(Currency&amp;"ON",R171)/(1+U171*X171)</f>
        <v>0.85761696553819644</v>
      </c>
      <c r="Z171" s="30" t="e">
        <f>_xll.qlTenorBasisValue(TenorBasis6M,R171,InterestRatesTrigger)</f>
        <v>#VALUE!</v>
      </c>
      <c r="AA171" s="30" t="e">
        <f t="shared" si="17"/>
        <v>#VALUE!</v>
      </c>
    </row>
    <row r="172" spans="15:27" x14ac:dyDescent="0.2">
      <c r="O172" s="33">
        <v>1</v>
      </c>
      <c r="P172" s="27" t="str">
        <f>_xll.qlPeriodEquivalent(P171&amp;"+"&amp;O172&amp;"M")</f>
        <v>14Y1M</v>
      </c>
      <c r="Q172" s="28">
        <f>_xll.qlCalendarAdvance(Calendar,SettlementDate,P172,"f",,Trigger)</f>
        <v>47424</v>
      </c>
      <c r="R172" s="28">
        <f>_xll.qlInterestRateIndexValueDate(Index,Q172,Trigger)</f>
        <v>47428</v>
      </c>
      <c r="S172" s="28">
        <f>_xll.qlInterestRateIndexMaturity(Index,R172,Trigger)</f>
        <v>47458</v>
      </c>
      <c r="T172" s="30">
        <f>_xll.qlIndexFixing($M$6,Q172,,InterestRatesTrigger)</f>
        <v>2.0359038216307468E-2</v>
      </c>
      <c r="U172" s="30">
        <f>_xll.qlIndexFixing(Index,Q172,,InterestRatesTrigger)</f>
        <v>2.0534864084876148E-2</v>
      </c>
      <c r="V172" s="30">
        <f t="shared" si="16"/>
        <v>1.7582586856867977E-4</v>
      </c>
      <c r="W172" s="29">
        <f>_xll.qlDayCounterYearFraction(DayCounter,SettlementDate,R172,,,Trigger)</f>
        <v>14.302777777777777</v>
      </c>
      <c r="X172" s="29">
        <f>_xll.qlDayCounterYearFraction(DayCounter,R172,S172)</f>
        <v>8.3333333333333329E-2</v>
      </c>
      <c r="Y172" s="29">
        <f>_xll.qlYieldTSDiscount(Currency&amp;"ON",R172)/(1+U172*X172)</f>
        <v>0.85611755027173664</v>
      </c>
      <c r="Z172" s="30" t="e">
        <f>_xll.qlTenorBasisValue(TenorBasis6M,R172,InterestRatesTrigger)</f>
        <v>#VALUE!</v>
      </c>
      <c r="AA172" s="30" t="e">
        <f t="shared" si="17"/>
        <v>#VALUE!</v>
      </c>
    </row>
    <row r="173" spans="15:27" x14ac:dyDescent="0.2">
      <c r="O173" s="33">
        <v>1</v>
      </c>
      <c r="P173" s="27" t="str">
        <f>_xll.qlPeriodEquivalent(P172&amp;"+"&amp;O173&amp;"M")</f>
        <v>14Y2M</v>
      </c>
      <c r="Q173" s="28">
        <f>_xll.qlCalendarAdvance(Calendar,SettlementDate,P173,"f",,Trigger)</f>
        <v>47455</v>
      </c>
      <c r="R173" s="28">
        <f>_xll.qlInterestRateIndexValueDate(Index,Q173,Trigger)</f>
        <v>47457</v>
      </c>
      <c r="S173" s="28">
        <f>_xll.qlInterestRateIndexMaturity(Index,R173,Trigger)</f>
        <v>47490</v>
      </c>
      <c r="T173" s="30">
        <f>_xll.qlIndexFixing($M$6,Q173,,InterestRatesTrigger)</f>
        <v>2.0363484300021512E-2</v>
      </c>
      <c r="U173" s="30">
        <f>_xll.qlIndexFixing(Index,Q173,,InterestRatesTrigger)</f>
        <v>2.0531774896798444E-2</v>
      </c>
      <c r="V173" s="30">
        <f t="shared" si="16"/>
        <v>1.6829059677693145E-4</v>
      </c>
      <c r="W173" s="29">
        <f>_xll.qlDayCounterYearFraction(DayCounter,SettlementDate,R173,,,Trigger)</f>
        <v>14.383333333333333</v>
      </c>
      <c r="X173" s="29">
        <f>_xll.qlDayCounterYearFraction(DayCounter,R173,S173)</f>
        <v>9.166666666666666E-2</v>
      </c>
      <c r="Y173" s="29">
        <f>_xll.qlYieldTSDiscount(Currency&amp;"ON",R173)/(1+U173*X173)</f>
        <v>0.8545700852102085</v>
      </c>
      <c r="Z173" s="30" t="e">
        <f>_xll.qlTenorBasisValue(TenorBasis6M,R173,InterestRatesTrigger)</f>
        <v>#VALUE!</v>
      </c>
      <c r="AA173" s="30" t="e">
        <f t="shared" si="17"/>
        <v>#VALUE!</v>
      </c>
    </row>
    <row r="174" spans="15:27" x14ac:dyDescent="0.2">
      <c r="O174" s="33">
        <v>1</v>
      </c>
      <c r="P174" s="27" t="str">
        <f>_xll.qlPeriodEquivalent(P173&amp;"+"&amp;O174&amp;"M")</f>
        <v>14Y3M</v>
      </c>
      <c r="Q174" s="28">
        <f>_xll.qlCalendarAdvance(Calendar,SettlementDate,P174,"f",,Trigger)</f>
        <v>47485</v>
      </c>
      <c r="R174" s="28">
        <f>_xll.qlInterestRateIndexValueDate(Index,Q174,Trigger)</f>
        <v>47487</v>
      </c>
      <c r="S174" s="28">
        <f>_xll.qlInterestRateIndexMaturity(Index,R174,Trigger)</f>
        <v>47518</v>
      </c>
      <c r="T174" s="30">
        <f>_xll.qlIndexFixing($M$6,Q174,,InterestRatesTrigger)</f>
        <v>2.0362855680727571E-2</v>
      </c>
      <c r="U174" s="30">
        <f>_xll.qlIndexFixing(Index,Q174,,InterestRatesTrigger)</f>
        <v>2.0524784557200325E-2</v>
      </c>
      <c r="V174" s="30">
        <f t="shared" si="16"/>
        <v>1.6192887647275417E-4</v>
      </c>
      <c r="W174" s="29">
        <f>_xll.qlDayCounterYearFraction(DayCounter,SettlementDate,R174,,,Trigger)</f>
        <v>14.466666666666667</v>
      </c>
      <c r="X174" s="29">
        <f>_xll.qlDayCounterYearFraction(DayCounter,R174,S174)</f>
        <v>8.611111111111111E-2</v>
      </c>
      <c r="Y174" s="29">
        <f>_xll.qlYieldTSDiscount(Currency&amp;"ON",R174)/(1+U174*X174)</f>
        <v>0.85322015292267928</v>
      </c>
      <c r="Z174" s="30" t="e">
        <f>_xll.qlTenorBasisValue(TenorBasis6M,R174,InterestRatesTrigger)</f>
        <v>#VALUE!</v>
      </c>
      <c r="AA174" s="30" t="e">
        <f t="shared" si="17"/>
        <v>#VALUE!</v>
      </c>
    </row>
    <row r="175" spans="15:27" x14ac:dyDescent="0.2">
      <c r="O175" s="33">
        <v>1</v>
      </c>
      <c r="P175" s="27" t="str">
        <f>_xll.qlPeriodEquivalent(P174&amp;"+"&amp;O175&amp;"M")</f>
        <v>14Y4M</v>
      </c>
      <c r="Q175" s="28">
        <f>_xll.qlCalendarAdvance(Calendar,SettlementDate,P175,"f",,Trigger)</f>
        <v>47518</v>
      </c>
      <c r="R175" s="28">
        <f>_xll.qlInterestRateIndexValueDate(Index,Q175,Trigger)</f>
        <v>47520</v>
      </c>
      <c r="S175" s="28">
        <f>_xll.qlInterestRateIndexMaturity(Index,R175,Trigger)</f>
        <v>47548</v>
      </c>
      <c r="T175" s="30">
        <f>_xll.qlIndexFixing($M$6,Q175,,InterestRatesTrigger)</f>
        <v>2.0359380071373057E-2</v>
      </c>
      <c r="U175" s="30">
        <f>_xll.qlIndexFixing(Index,Q175,,InterestRatesTrigger)</f>
        <v>2.0515367473234063E-2</v>
      </c>
      <c r="V175" s="30">
        <f t="shared" si="16"/>
        <v>1.5598740186100607E-4</v>
      </c>
      <c r="W175" s="29">
        <f>_xll.qlDayCounterYearFraction(DayCounter,SettlementDate,R175,,,Trigger)</f>
        <v>14.558333333333334</v>
      </c>
      <c r="X175" s="29">
        <f>_xll.qlDayCounterYearFraction(DayCounter,R175,S175)</f>
        <v>7.7777777777777779E-2</v>
      </c>
      <c r="Y175" s="29">
        <f>_xll.qlYieldTSDiscount(Currency&amp;"ON",R175)/(1+U175*X175)</f>
        <v>0.85177646985783639</v>
      </c>
      <c r="Z175" s="30" t="e">
        <f>_xll.qlTenorBasisValue(TenorBasis6M,R175,InterestRatesTrigger)</f>
        <v>#VALUE!</v>
      </c>
      <c r="AA175" s="30" t="e">
        <f t="shared" si="17"/>
        <v>#VALUE!</v>
      </c>
    </row>
    <row r="176" spans="15:27" x14ac:dyDescent="0.2">
      <c r="O176" s="33">
        <v>1</v>
      </c>
      <c r="P176" s="27" t="str">
        <f>_xll.qlPeriodEquivalent(P175&amp;"+"&amp;O176&amp;"M")</f>
        <v>14Y5M</v>
      </c>
      <c r="Q176" s="28">
        <f>_xll.qlCalendarAdvance(Calendar,SettlementDate,P176,"f",,Trigger)</f>
        <v>47546</v>
      </c>
      <c r="R176" s="28">
        <f>_xll.qlInterestRateIndexValueDate(Index,Q176,Trigger)</f>
        <v>47548</v>
      </c>
      <c r="S176" s="28">
        <f>_xll.qlInterestRateIndexMaturity(Index,R176,Trigger)</f>
        <v>47581</v>
      </c>
      <c r="T176" s="30">
        <f>_xll.qlIndexFixing($M$6,Q176,,InterestRatesTrigger)</f>
        <v>2.0358204220973584E-2</v>
      </c>
      <c r="U176" s="30">
        <f>_xll.qlIndexFixing(Index,Q176,,InterestRatesTrigger)</f>
        <v>2.0509521692060127E-2</v>
      </c>
      <c r="V176" s="30">
        <f t="shared" si="16"/>
        <v>1.5131747108654281E-4</v>
      </c>
      <c r="W176" s="29">
        <f>_xll.qlDayCounterYearFraction(DayCounter,SettlementDate,R176,,,Trigger)</f>
        <v>14.636111111111111</v>
      </c>
      <c r="X176" s="29">
        <f>_xll.qlDayCounterYearFraction(DayCounter,R176,S176)</f>
        <v>9.166666666666666E-2</v>
      </c>
      <c r="Y176" s="29">
        <f>_xll.qlYieldTSDiscount(Currency&amp;"ON",R176)/(1+U176*X176)</f>
        <v>0.85018839980862282</v>
      </c>
      <c r="Z176" s="30" t="e">
        <f>_xll.qlTenorBasisValue(TenorBasis6M,R176,InterestRatesTrigger)</f>
        <v>#VALUE!</v>
      </c>
      <c r="AA176" s="30" t="e">
        <f t="shared" si="17"/>
        <v>#VALUE!</v>
      </c>
    </row>
    <row r="177" spans="15:27" x14ac:dyDescent="0.2">
      <c r="O177" s="33">
        <v>1</v>
      </c>
      <c r="P177" s="27" t="str">
        <f>_xll.qlPeriodEquivalent(P176&amp;"+"&amp;O177&amp;"M")</f>
        <v>14Y6M</v>
      </c>
      <c r="Q177" s="28">
        <f>_xll.qlCalendarAdvance(Calendar,SettlementDate,P177,"f",,Trigger)</f>
        <v>47575</v>
      </c>
      <c r="R177" s="28">
        <f>_xll.qlInterestRateIndexValueDate(Index,Q177,Trigger)</f>
        <v>47577</v>
      </c>
      <c r="S177" s="28">
        <f>_xll.qlInterestRateIndexMaturity(Index,R177,Trigger)</f>
        <v>47609</v>
      </c>
      <c r="T177" s="30">
        <f>_xll.qlIndexFixing($M$6,Q177,,InterestRatesTrigger)</f>
        <v>2.0351816438155812E-2</v>
      </c>
      <c r="U177" s="30">
        <f>_xll.qlIndexFixing(Index,Q177,,InterestRatesTrigger)</f>
        <v>2.0499608640277278E-2</v>
      </c>
      <c r="V177" s="30">
        <f t="shared" si="16"/>
        <v>1.4779220212146615E-4</v>
      </c>
      <c r="W177" s="29">
        <f>_xll.qlDayCounterYearFraction(DayCounter,SettlementDate,R177,,,Trigger)</f>
        <v>14.716666666666667</v>
      </c>
      <c r="X177" s="29">
        <f>_xll.qlDayCounterYearFraction(DayCounter,R177,S177)</f>
        <v>8.8888888888888892E-2</v>
      </c>
      <c r="Y177" s="29">
        <f>_xll.qlYieldTSDiscount(Currency&amp;"ON",R177)/(1+U177*X177)</f>
        <v>0.8488455500702401</v>
      </c>
      <c r="Z177" s="30" t="e">
        <f>_xll.qlTenorBasisValue(TenorBasis6M,R177,InterestRatesTrigger)</f>
        <v>#VALUE!</v>
      </c>
      <c r="AA177" s="30" t="e">
        <f t="shared" si="17"/>
        <v>#VALUE!</v>
      </c>
    </row>
    <row r="178" spans="15:27" x14ac:dyDescent="0.2">
      <c r="O178" s="33">
        <v>1</v>
      </c>
      <c r="P178" s="27" t="str">
        <f>_xll.qlPeriodEquivalent(P177&amp;"+"&amp;O178&amp;"M")</f>
        <v>14Y7M</v>
      </c>
      <c r="Q178" s="28">
        <f>_xll.qlCalendarAdvance(Calendar,SettlementDate,P178,"f",,Trigger)</f>
        <v>47605</v>
      </c>
      <c r="R178" s="28">
        <f>_xll.qlInterestRateIndexValueDate(Index,Q178,Trigger)</f>
        <v>47609</v>
      </c>
      <c r="S178" s="28">
        <f>_xll.qlInterestRateIndexMaturity(Index,R178,Trigger)</f>
        <v>47640</v>
      </c>
      <c r="T178" s="30">
        <f>_xll.qlIndexFixing($M$6,Q178,,InterestRatesTrigger)</f>
        <v>2.0342492720511491E-2</v>
      </c>
      <c r="U178" s="30">
        <f>_xll.qlIndexFixing(Index,Q178,,InterestRatesTrigger)</f>
        <v>2.0487429233545337E-2</v>
      </c>
      <c r="V178" s="30">
        <f t="shared" si="16"/>
        <v>1.4493651303384633E-4</v>
      </c>
      <c r="W178" s="29">
        <f>_xll.qlDayCounterYearFraction(DayCounter,SettlementDate,R178,,,Trigger)</f>
        <v>14.805555555555555</v>
      </c>
      <c r="X178" s="29">
        <f>_xll.qlDayCounterYearFraction(DayCounter,R178,S178)</f>
        <v>8.611111111111111E-2</v>
      </c>
      <c r="Y178" s="29">
        <f>_xll.qlYieldTSDiscount(Currency&amp;"ON",R178)/(1+U178*X178)</f>
        <v>0.84736176964187726</v>
      </c>
      <c r="Z178" s="30" t="e">
        <f>_xll.qlTenorBasisValue(TenorBasis6M,R178,InterestRatesTrigger)</f>
        <v>#VALUE!</v>
      </c>
      <c r="AA178" s="30" t="e">
        <f t="shared" si="17"/>
        <v>#VALUE!</v>
      </c>
    </row>
    <row r="179" spans="15:27" x14ac:dyDescent="0.2">
      <c r="O179" s="33">
        <v>1</v>
      </c>
      <c r="P179" s="27" t="str">
        <f>_xll.qlPeriodEquivalent(P178&amp;"+"&amp;O179&amp;"M")</f>
        <v>14Y8M</v>
      </c>
      <c r="Q179" s="28">
        <f>_xll.qlCalendarAdvance(Calendar,SettlementDate,P179,"f",,Trigger)</f>
        <v>47637</v>
      </c>
      <c r="R179" s="28">
        <f>_xll.qlInterestRateIndexValueDate(Index,Q179,Trigger)</f>
        <v>47639</v>
      </c>
      <c r="S179" s="28">
        <f>_xll.qlInterestRateIndexMaturity(Index,R179,Trigger)</f>
        <v>47669</v>
      </c>
      <c r="T179" s="30">
        <f>_xll.qlIndexFixing($M$6,Q179,,InterestRatesTrigger)</f>
        <v>2.0331506179499748E-2</v>
      </c>
      <c r="U179" s="30">
        <f>_xll.qlIndexFixing(Index,Q179,,InterestRatesTrigger)</f>
        <v>2.0474779291492773E-2</v>
      </c>
      <c r="V179" s="30">
        <f t="shared" si="16"/>
        <v>1.4327311199302528E-4</v>
      </c>
      <c r="W179" s="29">
        <f>_xll.qlDayCounterYearFraction(DayCounter,SettlementDate,R179,,,Trigger)</f>
        <v>14.888888888888889</v>
      </c>
      <c r="X179" s="29">
        <f>_xll.qlDayCounterYearFraction(DayCounter,R179,S179)</f>
        <v>8.3333333333333329E-2</v>
      </c>
      <c r="Y179" s="29">
        <f>_xll.qlYieldTSDiscount(Currency&amp;"ON",R179)/(1+U179*X179)</f>
        <v>0.84597672482222253</v>
      </c>
      <c r="Z179" s="30" t="e">
        <f>_xll.qlTenorBasisValue(TenorBasis6M,R179,InterestRatesTrigger)</f>
        <v>#VALUE!</v>
      </c>
      <c r="AA179" s="30" t="e">
        <f t="shared" si="17"/>
        <v>#VALUE!</v>
      </c>
    </row>
    <row r="180" spans="15:27" x14ac:dyDescent="0.2">
      <c r="O180" s="33">
        <v>1</v>
      </c>
      <c r="P180" s="27" t="str">
        <f>_xll.qlPeriodEquivalent(P179&amp;"+"&amp;O180&amp;"M")</f>
        <v>14Y9M</v>
      </c>
      <c r="Q180" s="28">
        <f>_xll.qlCalendarAdvance(Calendar,SettlementDate,P180,"f",,Trigger)</f>
        <v>47666</v>
      </c>
      <c r="R180" s="28">
        <f>_xll.qlInterestRateIndexValueDate(Index,Q180,Trigger)</f>
        <v>47668</v>
      </c>
      <c r="S180" s="28">
        <f>_xll.qlInterestRateIndexMaturity(Index,R180,Trigger)</f>
        <v>47700</v>
      </c>
      <c r="T180" s="30">
        <f>_xll.qlIndexFixing($M$6,Q180,,InterestRatesTrigger)</f>
        <v>2.0319835868987945E-2</v>
      </c>
      <c r="U180" s="30">
        <f>_xll.qlIndexFixing(Index,Q180,,InterestRatesTrigger)</f>
        <v>2.0462476446157785E-2</v>
      </c>
      <c r="V180" s="30">
        <f t="shared" si="16"/>
        <v>1.4264057716983913E-4</v>
      </c>
      <c r="W180" s="29">
        <f>_xll.qlDayCounterYearFraction(DayCounter,SettlementDate,R180,,,Trigger)</f>
        <v>14.969444444444445</v>
      </c>
      <c r="X180" s="29">
        <f>_xll.qlDayCounterYearFraction(DayCounter,R180,S180)</f>
        <v>8.8888888888888892E-2</v>
      </c>
      <c r="Y180" s="29">
        <f>_xll.qlYieldTSDiscount(Currency&amp;"ON",R180)/(1+U180*X180)</f>
        <v>0.84449848663289473</v>
      </c>
      <c r="Z180" s="30" t="e">
        <f>_xll.qlTenorBasisValue(TenorBasis6M,R180,InterestRatesTrigger)</f>
        <v>#VALUE!</v>
      </c>
      <c r="AA180" s="30" t="e">
        <f t="shared" si="17"/>
        <v>#VALUE!</v>
      </c>
    </row>
    <row r="181" spans="15:27" x14ac:dyDescent="0.2">
      <c r="O181" s="33">
        <v>1</v>
      </c>
      <c r="P181" s="27" t="str">
        <f>_xll.qlPeriodEquivalent(P180&amp;"+"&amp;O181&amp;"M")</f>
        <v>14Y10M</v>
      </c>
      <c r="Q181" s="28">
        <f>_xll.qlCalendarAdvance(Calendar,SettlementDate,P181,"f",,Trigger)</f>
        <v>47697</v>
      </c>
      <c r="R181" s="28">
        <f>_xll.qlInterestRateIndexValueDate(Index,Q181,Trigger)</f>
        <v>47701</v>
      </c>
      <c r="S181" s="28">
        <f>_xll.qlInterestRateIndexMaturity(Index,R181,Trigger)</f>
        <v>47732</v>
      </c>
      <c r="T181" s="30">
        <f>_xll.qlIndexFixing($M$6,Q181,,InterestRatesTrigger)</f>
        <v>2.0302876177487338E-2</v>
      </c>
      <c r="U181" s="30">
        <f>_xll.qlIndexFixing(Index,Q181,,InterestRatesTrigger)</f>
        <v>2.0445989164963534E-2</v>
      </c>
      <c r="V181" s="30">
        <f t="shared" si="16"/>
        <v>1.4311298747619536E-4</v>
      </c>
      <c r="W181" s="29">
        <f>_xll.qlDayCounterYearFraction(DayCounter,SettlementDate,R181,,,Trigger)</f>
        <v>15.061111111111112</v>
      </c>
      <c r="X181" s="29">
        <f>_xll.qlDayCounterYearFraction(DayCounter,R181,S181)</f>
        <v>8.611111111111111E-2</v>
      </c>
      <c r="Y181" s="29">
        <f>_xll.qlYieldTSDiscount(Currency&amp;"ON",R181)/(1+U181*X181)</f>
        <v>0.84297740156372214</v>
      </c>
      <c r="Z181" s="30" t="e">
        <f>_xll.qlTenorBasisValue(TenorBasis6M,R181,InterestRatesTrigger)</f>
        <v>#VALUE!</v>
      </c>
      <c r="AA181" s="30" t="e">
        <f t="shared" si="17"/>
        <v>#VALUE!</v>
      </c>
    </row>
    <row r="182" spans="15:27" x14ac:dyDescent="0.2">
      <c r="O182" s="33">
        <v>1</v>
      </c>
      <c r="P182" s="27" t="str">
        <f>_xll.qlPeriodEquivalent(P181&amp;"+"&amp;O182&amp;"M")</f>
        <v>14Y11M</v>
      </c>
      <c r="Q182" s="28">
        <f>_xll.qlCalendarAdvance(Calendar,SettlementDate,P182,"f",,Trigger)</f>
        <v>47728</v>
      </c>
      <c r="R182" s="28">
        <f>_xll.qlInterestRateIndexValueDate(Index,Q182,Trigger)</f>
        <v>47730</v>
      </c>
      <c r="S182" s="28">
        <f>_xll.qlInterestRateIndexMaturity(Index,R182,Trigger)</f>
        <v>47760</v>
      </c>
      <c r="T182" s="30">
        <f>_xll.qlIndexFixing($M$6,Q182,,InterestRatesTrigger)</f>
        <v>2.0285770790527735E-2</v>
      </c>
      <c r="U182" s="30">
        <f>_xll.qlIndexFixing(Index,Q182,,InterestRatesTrigger)</f>
        <v>2.0430339175023349E-2</v>
      </c>
      <c r="V182" s="30">
        <f t="shared" si="16"/>
        <v>1.445683844956136E-4</v>
      </c>
      <c r="W182" s="29">
        <f>_xll.qlDayCounterYearFraction(DayCounter,SettlementDate,R182,,,Trigger)</f>
        <v>15.141666666666667</v>
      </c>
      <c r="X182" s="29">
        <f>_xll.qlDayCounterYearFraction(DayCounter,R182,S182)</f>
        <v>8.3333333333333329E-2</v>
      </c>
      <c r="Y182" s="29">
        <f>_xll.qlYieldTSDiscount(Currency&amp;"ON",R182)/(1+U182*X182)</f>
        <v>0.84164980777025133</v>
      </c>
      <c r="Z182" s="30" t="e">
        <f>_xll.qlTenorBasisValue(TenorBasis6M,R182,InterestRatesTrigger)</f>
        <v>#VALUE!</v>
      </c>
      <c r="AA182" s="30" t="e">
        <f t="shared" si="17"/>
        <v>#VALUE!</v>
      </c>
    </row>
    <row r="183" spans="15:27" x14ac:dyDescent="0.2">
      <c r="O183" s="33">
        <v>1</v>
      </c>
      <c r="P183" s="27" t="str">
        <f>_xll.qlPeriodEquivalent(P182&amp;"+"&amp;O183&amp;"M")</f>
        <v>15Y</v>
      </c>
      <c r="Q183" s="28">
        <f>_xll.qlCalendarAdvance(Calendar,SettlementDate,P183,"f",,Trigger)</f>
        <v>47758</v>
      </c>
      <c r="R183" s="28">
        <f>_xll.qlInterestRateIndexValueDate(Index,Q183,Trigger)</f>
        <v>47760</v>
      </c>
      <c r="S183" s="28">
        <f>_xll.qlInterestRateIndexMaturity(Index,R183,Trigger)</f>
        <v>47791</v>
      </c>
      <c r="T183" s="30">
        <f>_xll.qlIndexFixing($M$6,Q183,,InterestRatesTrigger)</f>
        <v>2.0266621771259249E-2</v>
      </c>
      <c r="U183" s="30">
        <f>_xll.qlIndexFixing(Index,Q183,,InterestRatesTrigger)</f>
        <v>2.0413629035713754E-2</v>
      </c>
      <c r="V183" s="30">
        <f t="shared" si="16"/>
        <v>1.4700726445450452E-4</v>
      </c>
      <c r="W183" s="29">
        <f>_xll.qlDayCounterYearFraction(DayCounter,SettlementDate,R183,,,Trigger)</f>
        <v>15.225</v>
      </c>
      <c r="X183" s="29">
        <f>_xll.qlDayCounterYearFraction(DayCounter,R183,S183)</f>
        <v>8.611111111111111E-2</v>
      </c>
      <c r="Y183" s="29">
        <f>_xll.qlYieldTSDiscount(Currency&amp;"ON",R183)/(1+U183*X183)</f>
        <v>0.84018302276265699</v>
      </c>
      <c r="Z183" s="30" t="e">
        <f>_xll.qlTenorBasisValue(TenorBasis6M,R183,InterestRatesTrigger)</f>
        <v>#VALUE!</v>
      </c>
      <c r="AA183" s="30" t="e">
        <f t="shared" si="17"/>
        <v>#VALUE!</v>
      </c>
    </row>
    <row r="184" spans="15:27" x14ac:dyDescent="0.2">
      <c r="O184" s="33">
        <v>1</v>
      </c>
      <c r="P184" s="27" t="str">
        <f>_xll.qlPeriodEquivalent(P183&amp;"+"&amp;O184&amp;"M")</f>
        <v>15Y1M</v>
      </c>
      <c r="Q184" s="28">
        <f>_xll.qlCalendarAdvance(Calendar,SettlementDate,P184,"f",,Trigger)</f>
        <v>47791</v>
      </c>
      <c r="R184" s="28">
        <f>_xll.qlInterestRateIndexValueDate(Index,Q184,Trigger)</f>
        <v>47793</v>
      </c>
      <c r="S184" s="28">
        <f>_xll.qlInterestRateIndexMaturity(Index,R184,Trigger)</f>
        <v>47823</v>
      </c>
      <c r="T184" s="30">
        <f>_xll.qlIndexFixing($M$6,Q184,,InterestRatesTrigger)</f>
        <v>2.0243581101158981E-2</v>
      </c>
      <c r="U184" s="30">
        <f>_xll.qlIndexFixing(Index,Q184,,InterestRatesTrigger)</f>
        <v>2.0393309416228078E-2</v>
      </c>
      <c r="V184" s="30">
        <f t="shared" si="16"/>
        <v>1.4972831506909756E-4</v>
      </c>
      <c r="W184" s="29">
        <f>_xll.qlDayCounterYearFraction(DayCounter,SettlementDate,R184,,,Trigger)</f>
        <v>15.316666666666666</v>
      </c>
      <c r="X184" s="29">
        <f>_xll.qlDayCounterYearFraction(DayCounter,R184,S184)</f>
        <v>8.3333333333333329E-2</v>
      </c>
      <c r="Y184" s="29">
        <f>_xll.qlYieldTSDiscount(Currency&amp;"ON",R184)/(1+U184*X184)</f>
        <v>0.83867390258547247</v>
      </c>
      <c r="Z184" s="30" t="e">
        <f>_xll.qlTenorBasisValue(TenorBasis6M,R184,InterestRatesTrigger)</f>
        <v>#VALUE!</v>
      </c>
      <c r="AA184" s="30" t="e">
        <f t="shared" si="17"/>
        <v>#VALUE!</v>
      </c>
    </row>
    <row r="185" spans="15:27" x14ac:dyDescent="0.2">
      <c r="O185" s="33">
        <v>1</v>
      </c>
      <c r="P185" s="27" t="str">
        <f>_xll.qlPeriodEquivalent(P184&amp;"+"&amp;O185&amp;"M")</f>
        <v>15Y2M</v>
      </c>
      <c r="Q185" s="28">
        <f>_xll.qlCalendarAdvance(Calendar,SettlementDate,P185,"f",,Trigger)</f>
        <v>47819</v>
      </c>
      <c r="R185" s="28">
        <f>_xll.qlInterestRateIndexValueDate(Index,Q185,Trigger)</f>
        <v>47821</v>
      </c>
      <c r="S185" s="28">
        <f>_xll.qlInterestRateIndexMaturity(Index,R185,Trigger)</f>
        <v>47854</v>
      </c>
      <c r="T185" s="30">
        <f>_xll.qlIndexFixing($M$6,Q185,,InterestRatesTrigger)</f>
        <v>2.022372398893731E-2</v>
      </c>
      <c r="U185" s="30">
        <f>_xll.qlIndexFixing(Index,Q185,,InterestRatesTrigger)</f>
        <v>2.0375931975084333E-2</v>
      </c>
      <c r="V185" s="30">
        <f t="shared" si="16"/>
        <v>1.5220798614702311E-4</v>
      </c>
      <c r="W185" s="29">
        <f>_xll.qlDayCounterYearFraction(DayCounter,SettlementDate,R185,,,Trigger)</f>
        <v>15.394444444444444</v>
      </c>
      <c r="X185" s="29">
        <f>_xll.qlDayCounterYearFraction(DayCounter,R185,S185)</f>
        <v>9.166666666666666E-2</v>
      </c>
      <c r="Y185" s="29">
        <f>_xll.qlYieldTSDiscount(Currency&amp;"ON",R185)/(1+U185*X185)</f>
        <v>0.83721480598046083</v>
      </c>
      <c r="Z185" s="30" t="e">
        <f>_xll.qlTenorBasisValue(TenorBasis6M,R185,InterestRatesTrigger)</f>
        <v>#VALUE!</v>
      </c>
      <c r="AA185" s="30" t="e">
        <f t="shared" si="17"/>
        <v>#VALUE!</v>
      </c>
    </row>
    <row r="186" spans="15:27" x14ac:dyDescent="0.2">
      <c r="O186" s="33">
        <v>1</v>
      </c>
      <c r="P186" s="27" t="str">
        <f>_xll.qlPeriodEquivalent(P185&amp;"+"&amp;O186&amp;"M")</f>
        <v>15Y3M</v>
      </c>
      <c r="Q186" s="28">
        <f>_xll.qlCalendarAdvance(Calendar,SettlementDate,P186,"f",,Trigger)</f>
        <v>47850</v>
      </c>
      <c r="R186" s="28">
        <f>_xll.qlInterestRateIndexValueDate(Index,Q186,Trigger)</f>
        <v>47854</v>
      </c>
      <c r="S186" s="28">
        <f>_xll.qlInterestRateIndexMaturity(Index,R186,Trigger)</f>
        <v>47885</v>
      </c>
      <c r="T186" s="30">
        <f>_xll.qlIndexFixing($M$6,Q186,,InterestRatesTrigger)</f>
        <v>2.0197997944289933E-2</v>
      </c>
      <c r="U186" s="30">
        <f>_xll.qlIndexFixing(Index,Q186,,InterestRatesTrigger)</f>
        <v>2.0352823452886849E-2</v>
      </c>
      <c r="V186" s="30">
        <f t="shared" si="16"/>
        <v>1.5482550859691538E-4</v>
      </c>
      <c r="W186" s="29">
        <f>_xll.qlDayCounterYearFraction(DayCounter,SettlementDate,R186,,,Trigger)</f>
        <v>15.486111111111111</v>
      </c>
      <c r="X186" s="29">
        <f>_xll.qlDayCounterYearFraction(DayCounter,R186,S186)</f>
        <v>8.611111111111111E-2</v>
      </c>
      <c r="Y186" s="29">
        <f>_xll.qlYieldTSDiscount(Currency&amp;"ON",R186)/(1+U186*X186)</f>
        <v>0.83576170600925326</v>
      </c>
      <c r="Z186" s="30" t="e">
        <f>_xll.qlTenorBasisValue(TenorBasis6M,R186,InterestRatesTrigger)</f>
        <v>#VALUE!</v>
      </c>
      <c r="AA186" s="30" t="e">
        <f t="shared" si="17"/>
        <v>#VALUE!</v>
      </c>
    </row>
    <row r="187" spans="15:27" x14ac:dyDescent="0.2">
      <c r="O187" s="33">
        <v>1</v>
      </c>
      <c r="P187" s="27" t="str">
        <f>_xll.qlPeriodEquivalent(P186&amp;"+"&amp;O187&amp;"M")</f>
        <v>15Y4M</v>
      </c>
      <c r="Q187" s="28">
        <f>_xll.qlCalendarAdvance(Calendar,SettlementDate,P187,"f",,Trigger)</f>
        <v>47882</v>
      </c>
      <c r="R187" s="28">
        <f>_xll.qlInterestRateIndexValueDate(Index,Q187,Trigger)</f>
        <v>47884</v>
      </c>
      <c r="S187" s="28">
        <f>_xll.qlInterestRateIndexMaturity(Index,R187,Trigger)</f>
        <v>47912</v>
      </c>
      <c r="T187" s="30">
        <f>_xll.qlIndexFixing($M$6,Q187,,InterestRatesTrigger)</f>
        <v>2.0173352769781477E-2</v>
      </c>
      <c r="U187" s="30">
        <f>_xll.qlIndexFixing(Index,Q187,,InterestRatesTrigger)</f>
        <v>2.0330471715749469E-2</v>
      </c>
      <c r="V187" s="30">
        <f t="shared" si="16"/>
        <v>1.5711894596799267E-4</v>
      </c>
      <c r="W187" s="29">
        <f>_xll.qlDayCounterYearFraction(DayCounter,SettlementDate,R187,,,Trigger)</f>
        <v>15.569444444444445</v>
      </c>
      <c r="X187" s="29">
        <f>_xll.qlDayCounterYearFraction(DayCounter,R187,S187)</f>
        <v>7.7777777777777779E-2</v>
      </c>
      <c r="Y187" s="29">
        <f>_xll.qlYieldTSDiscount(Currency&amp;"ON",R187)/(1+U187*X187)</f>
        <v>0.83450009295981875</v>
      </c>
      <c r="Z187" s="30" t="e">
        <f>_xll.qlTenorBasisValue(TenorBasis6M,R187,InterestRatesTrigger)</f>
        <v>#VALUE!</v>
      </c>
      <c r="AA187" s="30" t="e">
        <f t="shared" si="17"/>
        <v>#VALUE!</v>
      </c>
    </row>
    <row r="188" spans="15:27" x14ac:dyDescent="0.2">
      <c r="O188" s="33">
        <v>1</v>
      </c>
      <c r="P188" s="27" t="str">
        <f>_xll.qlPeriodEquivalent(P187&amp;"+"&amp;O188&amp;"M")</f>
        <v>15Y5M</v>
      </c>
      <c r="Q188" s="28">
        <f>_xll.qlCalendarAdvance(Calendar,SettlementDate,P188,"f",,Trigger)</f>
        <v>47910</v>
      </c>
      <c r="R188" s="28">
        <f>_xll.qlInterestRateIndexValueDate(Index,Q188,Trigger)</f>
        <v>47912</v>
      </c>
      <c r="S188" s="28">
        <f>_xll.qlInterestRateIndexMaturity(Index,R188,Trigger)</f>
        <v>47945</v>
      </c>
      <c r="T188" s="30">
        <f>_xll.qlIndexFixing($M$6,Q188,,InterestRatesTrigger)</f>
        <v>2.0150508280055008E-2</v>
      </c>
      <c r="U188" s="30">
        <f>_xll.qlIndexFixing(Index,Q188,,InterestRatesTrigger)</f>
        <v>2.0310123337999159E-2</v>
      </c>
      <c r="V188" s="30">
        <f t="shared" si="16"/>
        <v>1.5961505794415132E-4</v>
      </c>
      <c r="W188" s="29">
        <f>_xll.qlDayCounterYearFraction(DayCounter,SettlementDate,R188,,,Trigger)</f>
        <v>15.647222222222222</v>
      </c>
      <c r="X188" s="29">
        <f>_xll.qlDayCounterYearFraction(DayCounter,R188,S188)</f>
        <v>9.166666666666666E-2</v>
      </c>
      <c r="Y188" s="29">
        <f>_xll.qlYieldTSDiscount(Currency&amp;"ON",R188)/(1+U188*X188)</f>
        <v>0.83295950310527722</v>
      </c>
      <c r="Z188" s="30" t="e">
        <f>_xll.qlTenorBasisValue(TenorBasis6M,R188,InterestRatesTrigger)</f>
        <v>#VALUE!</v>
      </c>
      <c r="AA188" s="30" t="e">
        <f t="shared" si="17"/>
        <v>#VALUE!</v>
      </c>
    </row>
    <row r="189" spans="15:27" x14ac:dyDescent="0.2">
      <c r="O189" s="33">
        <v>1</v>
      </c>
      <c r="P189" s="27" t="str">
        <f>_xll.qlPeriodEquivalent(P188&amp;"+"&amp;O189&amp;"M")</f>
        <v>15Y6M</v>
      </c>
      <c r="Q189" s="28">
        <f>_xll.qlCalendarAdvance(Calendar,SettlementDate,P189,"f",,Trigger)</f>
        <v>47940</v>
      </c>
      <c r="R189" s="28">
        <f>_xll.qlInterestRateIndexValueDate(Index,Q189,Trigger)</f>
        <v>47942</v>
      </c>
      <c r="S189" s="28">
        <f>_xll.qlInterestRateIndexMaturity(Index,R189,Trigger)</f>
        <v>47973</v>
      </c>
      <c r="T189" s="30">
        <f>_xll.qlIndexFixing($M$6,Q189,,InterestRatesTrigger)</f>
        <v>2.0123976807488005E-2</v>
      </c>
      <c r="U189" s="30">
        <f>_xll.qlIndexFixing(Index,Q189,,InterestRatesTrigger)</f>
        <v>2.028587427903307E-2</v>
      </c>
      <c r="V189" s="30">
        <f t="shared" si="16"/>
        <v>1.6189747154506454E-4</v>
      </c>
      <c r="W189" s="29">
        <f>_xll.qlDayCounterYearFraction(DayCounter,SettlementDate,R189,,,Trigger)</f>
        <v>15.730555555555556</v>
      </c>
      <c r="X189" s="29">
        <f>_xll.qlDayCounterYearFraction(DayCounter,R189,S189)</f>
        <v>8.611111111111111E-2</v>
      </c>
      <c r="Y189" s="29">
        <f>_xll.qlYieldTSDiscount(Currency&amp;"ON",R189)/(1+U189*X189)</f>
        <v>0.83165856041237041</v>
      </c>
      <c r="Z189" s="30" t="e">
        <f>_xll.qlTenorBasisValue(TenorBasis6M,R189,InterestRatesTrigger)</f>
        <v>#VALUE!</v>
      </c>
      <c r="AA189" s="30" t="e">
        <f t="shared" si="17"/>
        <v>#VALUE!</v>
      </c>
    </row>
    <row r="190" spans="15:27" x14ac:dyDescent="0.2">
      <c r="O190" s="33">
        <v>1</v>
      </c>
      <c r="P190" s="27" t="str">
        <f>_xll.qlPeriodEquivalent(P189&amp;"+"&amp;O190&amp;"M")</f>
        <v>15Y7M</v>
      </c>
      <c r="Q190" s="28">
        <f>_xll.qlCalendarAdvance(Calendar,SettlementDate,P190,"f",,Trigger)</f>
        <v>47970</v>
      </c>
      <c r="R190" s="28">
        <f>_xll.qlInterestRateIndexValueDate(Index,Q190,Trigger)</f>
        <v>47974</v>
      </c>
      <c r="S190" s="28">
        <f>_xll.qlInterestRateIndexMaturity(Index,R190,Trigger)</f>
        <v>48005</v>
      </c>
      <c r="T190" s="30">
        <f>_xll.qlIndexFixing($M$6,Q190,,InterestRatesTrigger)</f>
        <v>2.0094801307325116E-2</v>
      </c>
      <c r="U190" s="30">
        <f>_xll.qlIndexFixing(Index,Q190,,InterestRatesTrigger)</f>
        <v>2.0259198632025629E-2</v>
      </c>
      <c r="V190" s="30">
        <f t="shared" si="16"/>
        <v>1.6439732470051316E-4</v>
      </c>
      <c r="W190" s="29">
        <f>_xll.qlDayCounterYearFraction(DayCounter,SettlementDate,R190,,,Trigger)</f>
        <v>15.819444444444445</v>
      </c>
      <c r="X190" s="29">
        <f>_xll.qlDayCounterYearFraction(DayCounter,R190,S190)</f>
        <v>8.611111111111111E-2</v>
      </c>
      <c r="Y190" s="29">
        <f>_xll.qlYieldTSDiscount(Currency&amp;"ON",R190)/(1+U190*X190)</f>
        <v>0.83017544305345981</v>
      </c>
      <c r="Z190" s="30" t="e">
        <f>_xll.qlTenorBasisValue(TenorBasis6M,R190,InterestRatesTrigger)</f>
        <v>#VALUE!</v>
      </c>
      <c r="AA190" s="30" t="e">
        <f t="shared" si="17"/>
        <v>#VALUE!</v>
      </c>
    </row>
    <row r="191" spans="15:27" x14ac:dyDescent="0.2">
      <c r="O191" s="33">
        <v>1</v>
      </c>
      <c r="P191" s="27" t="str">
        <f>_xll.qlPeriodEquivalent(P190&amp;"+"&amp;O191&amp;"M")</f>
        <v>15Y8M</v>
      </c>
      <c r="Q191" s="28">
        <f>_xll.qlCalendarAdvance(Calendar,SettlementDate,P191,"f",,Trigger)</f>
        <v>48001</v>
      </c>
      <c r="R191" s="28">
        <f>_xll.qlInterestRateIndexValueDate(Index,Q191,Trigger)</f>
        <v>48003</v>
      </c>
      <c r="S191" s="28">
        <f>_xll.qlInterestRateIndexMaturity(Index,R191,Trigger)</f>
        <v>48033</v>
      </c>
      <c r="T191" s="30">
        <f>_xll.qlIndexFixing($M$6,Q191,,InterestRatesTrigger)</f>
        <v>2.0067273179829925E-2</v>
      </c>
      <c r="U191" s="30">
        <f>_xll.qlIndexFixing(Index,Q191,,InterestRatesTrigger)</f>
        <v>2.0233851615126142E-2</v>
      </c>
      <c r="V191" s="30">
        <f t="shared" si="16"/>
        <v>1.665784352962163E-4</v>
      </c>
      <c r="W191" s="29">
        <f>_xll.qlDayCounterYearFraction(DayCounter,SettlementDate,R191,,,Trigger)</f>
        <v>15.9</v>
      </c>
      <c r="X191" s="29">
        <f>_xll.qlDayCounterYearFraction(DayCounter,R191,S191)</f>
        <v>8.3333333333333329E-2</v>
      </c>
      <c r="Y191" s="29">
        <f>_xll.qlYieldTSDiscount(Currency&amp;"ON",R191)/(1+U191*X191)</f>
        <v>0.82888209484785913</v>
      </c>
      <c r="Z191" s="30" t="e">
        <f>_xll.qlTenorBasisValue(TenorBasis6M,R191,InterestRatesTrigger)</f>
        <v>#VALUE!</v>
      </c>
      <c r="AA191" s="30" t="e">
        <f t="shared" si="17"/>
        <v>#VALUE!</v>
      </c>
    </row>
    <row r="192" spans="15:27" x14ac:dyDescent="0.2">
      <c r="O192" s="33">
        <v>1</v>
      </c>
      <c r="P192" s="27" t="str">
        <f>_xll.qlPeriodEquivalent(P191&amp;"+"&amp;O192&amp;"M")</f>
        <v>15Y9M</v>
      </c>
      <c r="Q192" s="28">
        <f>_xll.qlCalendarAdvance(Calendar,SettlementDate,P192,"f",,Trigger)</f>
        <v>48031</v>
      </c>
      <c r="R192" s="28">
        <f>_xll.qlInterestRateIndexValueDate(Index,Q192,Trigger)</f>
        <v>48033</v>
      </c>
      <c r="S192" s="28">
        <f>_xll.qlInterestRateIndexMaturity(Index,R192,Trigger)</f>
        <v>48064</v>
      </c>
      <c r="T192" s="30">
        <f>_xll.qlIndexFixing($M$6,Q192,,InterestRatesTrigger)</f>
        <v>2.0037950931718018E-2</v>
      </c>
      <c r="U192" s="30">
        <f>_xll.qlIndexFixing(Index,Q192,,InterestRatesTrigger)</f>
        <v>2.020684240705984E-2</v>
      </c>
      <c r="V192" s="30">
        <f t="shared" si="16"/>
        <v>1.6889147534182233E-4</v>
      </c>
      <c r="W192" s="29">
        <f>_xll.qlDayCounterYearFraction(DayCounter,SettlementDate,R192,,,Trigger)</f>
        <v>15.983333333333333</v>
      </c>
      <c r="X192" s="29">
        <f>_xll.qlDayCounterYearFraction(DayCounter,R192,S192)</f>
        <v>8.611111111111111E-2</v>
      </c>
      <c r="Y192" s="29">
        <f>_xll.qlYieldTSDiscount(Currency&amp;"ON",R192)/(1+U192*X192)</f>
        <v>0.82745378436537853</v>
      </c>
      <c r="Z192" s="30" t="e">
        <f>_xll.qlTenorBasisValue(TenorBasis6M,R192,InterestRatesTrigger)</f>
        <v>#VALUE!</v>
      </c>
      <c r="AA192" s="30" t="e">
        <f t="shared" si="17"/>
        <v>#VALUE!</v>
      </c>
    </row>
    <row r="193" spans="15:27" x14ac:dyDescent="0.2">
      <c r="O193" s="33">
        <v>1</v>
      </c>
      <c r="P193" s="27" t="str">
        <f>_xll.qlPeriodEquivalent(P192&amp;"+"&amp;O193&amp;"M")</f>
        <v>15Y10M</v>
      </c>
      <c r="Q193" s="28">
        <f>_xll.qlCalendarAdvance(Calendar,SettlementDate,P193,"f",,Trigger)</f>
        <v>48064</v>
      </c>
      <c r="R193" s="28">
        <f>_xll.qlInterestRateIndexValueDate(Index,Q193,Trigger)</f>
        <v>48066</v>
      </c>
      <c r="S193" s="28">
        <f>_xll.qlInterestRateIndexMaturity(Index,R193,Trigger)</f>
        <v>48099</v>
      </c>
      <c r="T193" s="30">
        <f>_xll.qlIndexFixing($M$6,Q193,,InterestRatesTrigger)</f>
        <v>2.0004534948681041E-2</v>
      </c>
      <c r="U193" s="30">
        <f>_xll.qlIndexFixing(Index,Q193,,InterestRatesTrigger)</f>
        <v>2.017596141158232E-2</v>
      </c>
      <c r="V193" s="30">
        <f t="shared" si="16"/>
        <v>1.7142646290127864E-4</v>
      </c>
      <c r="W193" s="29">
        <f>_xll.qlDayCounterYearFraction(DayCounter,SettlementDate,R193,,,Trigger)</f>
        <v>16.074999999999999</v>
      </c>
      <c r="X193" s="29">
        <f>_xll.qlDayCounterYearFraction(DayCounter,R193,S193)</f>
        <v>9.166666666666666E-2</v>
      </c>
      <c r="Y193" s="29">
        <f>_xll.qlYieldTSDiscount(Currency&amp;"ON",R193)/(1+U193*X193)</f>
        <v>0.82584647039479653</v>
      </c>
      <c r="Z193" s="30" t="e">
        <f>_xll.qlTenorBasisValue(TenorBasis6M,R193,InterestRatesTrigger)</f>
        <v>#VALUE!</v>
      </c>
      <c r="AA193" s="30" t="e">
        <f t="shared" si="17"/>
        <v>#VALUE!</v>
      </c>
    </row>
    <row r="194" spans="15:27" x14ac:dyDescent="0.2">
      <c r="O194" s="33">
        <v>1</v>
      </c>
      <c r="P194" s="27" t="str">
        <f>_xll.qlPeriodEquivalent(P193&amp;"+"&amp;O194&amp;"M")</f>
        <v>15Y11M</v>
      </c>
      <c r="Q194" s="28">
        <f>_xll.qlCalendarAdvance(Calendar,SettlementDate,P194,"f",,Trigger)</f>
        <v>48093</v>
      </c>
      <c r="R194" s="28">
        <f>_xll.qlInterestRateIndexValueDate(Index,Q194,Trigger)</f>
        <v>48095</v>
      </c>
      <c r="S194" s="28">
        <f>_xll.qlInterestRateIndexMaturity(Index,R194,Trigger)</f>
        <v>48127</v>
      </c>
      <c r="T194" s="30">
        <f>_xll.qlIndexFixing($M$6,Q194,,InterestRatesTrigger)</f>
        <v>1.9974075187342011E-2</v>
      </c>
      <c r="U194" s="30">
        <f>_xll.qlIndexFixing(Index,Q194,,InterestRatesTrigger)</f>
        <v>2.0147556632036656E-2</v>
      </c>
      <c r="V194" s="30">
        <f t="shared" si="16"/>
        <v>1.7348144469464533E-4</v>
      </c>
      <c r="W194" s="29">
        <f>_xll.qlDayCounterYearFraction(DayCounter,SettlementDate,R194,,,Trigger)</f>
        <v>16.155555555555555</v>
      </c>
      <c r="X194" s="29">
        <f>_xll.qlDayCounterYearFraction(DayCounter,R194,S194)</f>
        <v>8.8888888888888892E-2</v>
      </c>
      <c r="Y194" s="29">
        <f>_xll.qlYieldTSDiscount(Currency&amp;"ON",R194)/(1+U194*X194)</f>
        <v>0.82456599407045406</v>
      </c>
      <c r="Z194" s="30" t="e">
        <f>_xll.qlTenorBasisValue(TenorBasis6M,R194,InterestRatesTrigger)</f>
        <v>#VALUE!</v>
      </c>
      <c r="AA194" s="30" t="e">
        <f t="shared" si="17"/>
        <v>#VALUE!</v>
      </c>
    </row>
    <row r="195" spans="15:27" x14ac:dyDescent="0.2">
      <c r="O195" s="33">
        <v>1</v>
      </c>
      <c r="P195" s="27" t="str">
        <f>_xll.qlPeriodEquivalent(P194&amp;"+"&amp;O195&amp;"M")</f>
        <v>16Y</v>
      </c>
      <c r="Q195" s="28">
        <f>_xll.qlCalendarAdvance(Calendar,SettlementDate,P195,"f",,Trigger)</f>
        <v>48123</v>
      </c>
      <c r="R195" s="28">
        <f>_xll.qlInterestRateIndexValueDate(Index,Q195,Trigger)</f>
        <v>48127</v>
      </c>
      <c r="S195" s="28">
        <f>_xll.qlInterestRateIndexMaturity(Index,R195,Trigger)</f>
        <v>48158</v>
      </c>
      <c r="T195" s="30">
        <f>_xll.qlIndexFixing($M$6,Q195,,InterestRatesTrigger)</f>
        <v>1.9939461118246741E-2</v>
      </c>
      <c r="U195" s="30">
        <f>_xll.qlIndexFixing(Index,Q195,,InterestRatesTrigger)</f>
        <v>2.0115164401351575E-2</v>
      </c>
      <c r="V195" s="30">
        <f t="shared" si="16"/>
        <v>1.7570328310483399E-4</v>
      </c>
      <c r="W195" s="29">
        <f>_xll.qlDayCounterYearFraction(DayCounter,SettlementDate,R195,,,Trigger)</f>
        <v>16.244444444444444</v>
      </c>
      <c r="X195" s="29">
        <f>_xll.qlDayCounterYearFraction(DayCounter,R195,S195)</f>
        <v>8.611111111111111E-2</v>
      </c>
      <c r="Y195" s="29">
        <f>_xll.qlYieldTSDiscount(Currency&amp;"ON",R195)/(1+U195*X195)</f>
        <v>0.82315287149408234</v>
      </c>
      <c r="Z195" s="30" t="e">
        <f>_xll.qlTenorBasisValue(TenorBasis6M,R195,InterestRatesTrigger)</f>
        <v>#VALUE!</v>
      </c>
      <c r="AA195" s="30" t="e">
        <f t="shared" si="17"/>
        <v>#VALUE!</v>
      </c>
    </row>
    <row r="196" spans="15:27" x14ac:dyDescent="0.2">
      <c r="O196" s="33">
        <v>1</v>
      </c>
      <c r="P196" s="27" t="str">
        <f>_xll.qlPeriodEquivalent(P195&amp;"+"&amp;O196&amp;"M")</f>
        <v>16Y1M</v>
      </c>
      <c r="Q196" s="28">
        <f>_xll.qlCalendarAdvance(Calendar,SettlementDate,P196,"f",,Trigger)</f>
        <v>48155</v>
      </c>
      <c r="R196" s="28">
        <f>_xll.qlInterestRateIndexValueDate(Index,Q196,Trigger)</f>
        <v>48157</v>
      </c>
      <c r="S196" s="28">
        <f>_xll.qlInterestRateIndexMaturity(Index,R196,Trigger)</f>
        <v>48187</v>
      </c>
      <c r="T196" s="30">
        <f>_xll.qlIndexFixing($M$6,Q196,,InterestRatesTrigger)</f>
        <v>1.990606892701674E-2</v>
      </c>
      <c r="U196" s="30">
        <f>_xll.qlIndexFixing(Index,Q196,,InterestRatesTrigger)</f>
        <v>2.0083801891360054E-2</v>
      </c>
      <c r="V196" s="30">
        <f t="shared" ref="V196:V253" si="18">U196-T196</f>
        <v>1.7773296434331343E-4</v>
      </c>
      <c r="W196" s="29">
        <f>_xll.qlDayCounterYearFraction(DayCounter,SettlementDate,R196,,,Trigger)</f>
        <v>16.327777777777779</v>
      </c>
      <c r="X196" s="29">
        <f>_xll.qlDayCounterYearFraction(DayCounter,R196,S196)</f>
        <v>8.3333333333333329E-2</v>
      </c>
      <c r="Y196" s="29">
        <f>_xll.qlYieldTSDiscount(Currency&amp;"ON",R196)/(1+U196*X196)</f>
        <v>0.821835356950815</v>
      </c>
      <c r="Z196" s="30" t="e">
        <f>_xll.qlTenorBasisValue(TenorBasis6M,R196,InterestRatesTrigger)</f>
        <v>#VALUE!</v>
      </c>
      <c r="AA196" s="30" t="e">
        <f t="shared" ref="AA196:AA253" si="19">V196-Z196</f>
        <v>#VALUE!</v>
      </c>
    </row>
    <row r="197" spans="15:27" x14ac:dyDescent="0.2">
      <c r="O197" s="33">
        <v>1</v>
      </c>
      <c r="P197" s="27" t="str">
        <f>_xll.qlPeriodEquivalent(P196&amp;"+"&amp;O197&amp;"M")</f>
        <v>16Y2M</v>
      </c>
      <c r="Q197" s="28">
        <f>_xll.qlCalendarAdvance(Calendar,SettlementDate,P197,"f",,Trigger)</f>
        <v>48184</v>
      </c>
      <c r="R197" s="28">
        <f>_xll.qlInterestRateIndexValueDate(Index,Q197,Trigger)</f>
        <v>48186</v>
      </c>
      <c r="S197" s="28">
        <f>_xll.qlInterestRateIndexMaturity(Index,R197,Trigger)</f>
        <v>48218</v>
      </c>
      <c r="T197" s="30">
        <f>_xll.qlIndexFixing($M$6,Q197,,InterestRatesTrigger)</f>
        <v>1.9872840564287564E-2</v>
      </c>
      <c r="U197" s="30">
        <f>_xll.qlIndexFixing(Index,Q197,,InterestRatesTrigger)</f>
        <v>2.0052614652438516E-2</v>
      </c>
      <c r="V197" s="30">
        <f t="shared" si="18"/>
        <v>1.7977408815095242E-4</v>
      </c>
      <c r="W197" s="29">
        <f>_xll.qlDayCounterYearFraction(DayCounter,SettlementDate,R197,,,Trigger)</f>
        <v>16.408333333333335</v>
      </c>
      <c r="X197" s="29">
        <f>_xll.qlDayCounterYearFraction(DayCounter,R197,S197)</f>
        <v>8.8888888888888892E-2</v>
      </c>
      <c r="Y197" s="29">
        <f>_xll.qlYieldTSDiscount(Currency&amp;"ON",R197)/(1+U197*X197)</f>
        <v>0.82043049881993568</v>
      </c>
      <c r="Z197" s="30" t="e">
        <f>_xll.qlTenorBasisValue(TenorBasis6M,R197,InterestRatesTrigger)</f>
        <v>#VALUE!</v>
      </c>
      <c r="AA197" s="30" t="e">
        <f t="shared" si="19"/>
        <v>#VALUE!</v>
      </c>
    </row>
    <row r="198" spans="15:27" x14ac:dyDescent="0.2">
      <c r="O198" s="33">
        <v>1</v>
      </c>
      <c r="P198" s="27" t="str">
        <f>_xll.qlPeriodEquivalent(P197&amp;"+"&amp;O198&amp;"M")</f>
        <v>16Y3M</v>
      </c>
      <c r="Q198" s="28">
        <f>_xll.qlCalendarAdvance(Calendar,SettlementDate,P198,"f",,Trigger)</f>
        <v>48215</v>
      </c>
      <c r="R198" s="28">
        <f>_xll.qlInterestRateIndexValueDate(Index,Q198,Trigger)</f>
        <v>48219</v>
      </c>
      <c r="S198" s="28">
        <f>_xll.qlInterestRateIndexMaturity(Index,R198,Trigger)</f>
        <v>48250</v>
      </c>
      <c r="T198" s="30">
        <f>_xll.qlIndexFixing($M$6,Q198,,InterestRatesTrigger)</f>
        <v>1.983408628613767E-2</v>
      </c>
      <c r="U198" s="30">
        <f>_xll.qlIndexFixing(Index,Q198,,InterestRatesTrigger)</f>
        <v>2.0015978240549535E-2</v>
      </c>
      <c r="V198" s="30">
        <f t="shared" si="18"/>
        <v>1.8189195441186551E-4</v>
      </c>
      <c r="W198" s="29">
        <f>_xll.qlDayCounterYearFraction(DayCounter,SettlementDate,R198,,,Trigger)</f>
        <v>16.5</v>
      </c>
      <c r="X198" s="29">
        <f>_xll.qlDayCounterYearFraction(DayCounter,R198,S198)</f>
        <v>8.611111111111111E-2</v>
      </c>
      <c r="Y198" s="29">
        <f>_xll.qlYieldTSDiscount(Currency&amp;"ON",R198)/(1+U198*X198)</f>
        <v>0.81898677657516605</v>
      </c>
      <c r="Z198" s="30" t="e">
        <f>_xll.qlTenorBasisValue(TenorBasis6M,R198,InterestRatesTrigger)</f>
        <v>#VALUE!</v>
      </c>
      <c r="AA198" s="30" t="e">
        <f t="shared" si="19"/>
        <v>#VALUE!</v>
      </c>
    </row>
    <row r="199" spans="15:27" x14ac:dyDescent="0.2">
      <c r="O199" s="33">
        <v>1</v>
      </c>
      <c r="P199" s="27" t="str">
        <f>_xll.qlPeriodEquivalent(P198&amp;"+"&amp;O199&amp;"M")</f>
        <v>16Y4M</v>
      </c>
      <c r="Q199" s="28">
        <f>_xll.qlCalendarAdvance(Calendar,SettlementDate,P199,"f",,Trigger)</f>
        <v>48246</v>
      </c>
      <c r="R199" s="28">
        <f>_xll.qlInterestRateIndexValueDate(Index,Q199,Trigger)</f>
        <v>48248</v>
      </c>
      <c r="S199" s="28">
        <f>_xll.qlInterestRateIndexMaturity(Index,R199,Trigger)</f>
        <v>48277</v>
      </c>
      <c r="T199" s="30">
        <f>_xll.qlIndexFixing($M$6,Q199,,InterestRatesTrigger)</f>
        <v>1.9799243673577979E-2</v>
      </c>
      <c r="U199" s="30">
        <f>_xll.qlIndexFixing(Index,Q199,,InterestRatesTrigger)</f>
        <v>1.9982894367879676E-2</v>
      </c>
      <c r="V199" s="30">
        <f t="shared" si="18"/>
        <v>1.8365069430169648E-4</v>
      </c>
      <c r="W199" s="29">
        <f>_xll.qlDayCounterYearFraction(DayCounter,SettlementDate,R199,,,Trigger)</f>
        <v>16.580555555555556</v>
      </c>
      <c r="X199" s="29">
        <f>_xll.qlDayCounterYearFraction(DayCounter,R199,S199)</f>
        <v>8.0555555555555561E-2</v>
      </c>
      <c r="Y199" s="29">
        <f>_xll.qlYieldTSDiscount(Currency&amp;"ON",R199)/(1+U199*X199)</f>
        <v>0.81777327989130244</v>
      </c>
      <c r="Z199" s="30" t="e">
        <f>_xll.qlTenorBasisValue(TenorBasis6M,R199,InterestRatesTrigger)</f>
        <v>#VALUE!</v>
      </c>
      <c r="AA199" s="30" t="e">
        <f t="shared" si="19"/>
        <v>#VALUE!</v>
      </c>
    </row>
    <row r="200" spans="15:27" x14ac:dyDescent="0.2">
      <c r="O200" s="33">
        <v>1</v>
      </c>
      <c r="P200" s="27" t="str">
        <f>_xll.qlPeriodEquivalent(P199&amp;"+"&amp;O200&amp;"M")</f>
        <v>16Y5M</v>
      </c>
      <c r="Q200" s="28">
        <f>_xll.qlCalendarAdvance(Calendar,SettlementDate,P200,"f",,Trigger)</f>
        <v>48275</v>
      </c>
      <c r="R200" s="28">
        <f>_xll.qlInterestRateIndexValueDate(Index,Q200,Trigger)</f>
        <v>48277</v>
      </c>
      <c r="S200" s="28">
        <f>_xll.qlInterestRateIndexMaturity(Index,R200,Trigger)</f>
        <v>48309</v>
      </c>
      <c r="T200" s="30">
        <f>_xll.qlIndexFixing($M$6,Q200,,InterestRatesTrigger)</f>
        <v>1.9763224826033765E-2</v>
      </c>
      <c r="U200" s="30">
        <f>_xll.qlIndexFixing(Index,Q200,,InterestRatesTrigger)</f>
        <v>1.9948783259055303E-2</v>
      </c>
      <c r="V200" s="30">
        <f t="shared" si="18"/>
        <v>1.8555843302153763E-4</v>
      </c>
      <c r="W200" s="29">
        <f>_xll.qlDayCounterYearFraction(DayCounter,SettlementDate,R200,,,Trigger)</f>
        <v>16.661111111111111</v>
      </c>
      <c r="X200" s="29">
        <f>_xll.qlDayCounterYearFraction(DayCounter,R200,S200)</f>
        <v>8.8888888888888892E-2</v>
      </c>
      <c r="Y200" s="29">
        <f>_xll.qlYieldTSDiscount(Currency&amp;"ON",R200)/(1+U200*X200)</f>
        <v>0.81633780807697265</v>
      </c>
      <c r="Z200" s="30" t="e">
        <f>_xll.qlTenorBasisValue(TenorBasis6M,R200,InterestRatesTrigger)</f>
        <v>#VALUE!</v>
      </c>
      <c r="AA200" s="30" t="e">
        <f t="shared" si="19"/>
        <v>#VALUE!</v>
      </c>
    </row>
    <row r="201" spans="15:27" x14ac:dyDescent="0.2">
      <c r="O201" s="33">
        <v>1</v>
      </c>
      <c r="P201" s="27" t="str">
        <f>_xll.qlPeriodEquivalent(P200&amp;"+"&amp;O201&amp;"M")</f>
        <v>16Y6M</v>
      </c>
      <c r="Q201" s="28">
        <f>_xll.qlCalendarAdvance(Calendar,SettlementDate,P201,"f",,Trigger)</f>
        <v>48306</v>
      </c>
      <c r="R201" s="28">
        <f>_xll.qlInterestRateIndexValueDate(Index,Q201,Trigger)</f>
        <v>48310</v>
      </c>
      <c r="S201" s="28">
        <f>_xll.qlInterestRateIndexMaturity(Index,R201,Trigger)</f>
        <v>48340</v>
      </c>
      <c r="T201" s="30">
        <f>_xll.qlIndexFixing($M$6,Q201,,InterestRatesTrigger)</f>
        <v>1.9721699515486968E-2</v>
      </c>
      <c r="U201" s="30">
        <f>_xll.qlIndexFixing(Index,Q201,,InterestRatesTrigger)</f>
        <v>1.9909138162184092E-2</v>
      </c>
      <c r="V201" s="30">
        <f t="shared" si="18"/>
        <v>1.8743864669712451E-4</v>
      </c>
      <c r="W201" s="29">
        <f>_xll.qlDayCounterYearFraction(DayCounter,SettlementDate,R201,,,Trigger)</f>
        <v>16.752777777777776</v>
      </c>
      <c r="X201" s="29">
        <f>_xll.qlDayCounterYearFraction(DayCounter,R201,S201)</f>
        <v>8.3333333333333329E-2</v>
      </c>
      <c r="Y201" s="29">
        <f>_xll.qlYieldTSDiscount(Currency&amp;"ON",R201)/(1+U201*X201)</f>
        <v>0.81495443397352008</v>
      </c>
      <c r="Z201" s="30" t="e">
        <f>_xll.qlTenorBasisValue(TenorBasis6M,R201,InterestRatesTrigger)</f>
        <v>#VALUE!</v>
      </c>
      <c r="AA201" s="30" t="e">
        <f t="shared" si="19"/>
        <v>#VALUE!</v>
      </c>
    </row>
    <row r="202" spans="15:27" x14ac:dyDescent="0.2">
      <c r="O202" s="33">
        <v>1</v>
      </c>
      <c r="P202" s="27" t="str">
        <f>_xll.qlPeriodEquivalent(P201&amp;"+"&amp;O202&amp;"M")</f>
        <v>16Y7M</v>
      </c>
      <c r="Q202" s="28">
        <f>_xll.qlCalendarAdvance(Calendar,SettlementDate,P202,"f",,Trigger)</f>
        <v>48337</v>
      </c>
      <c r="R202" s="28">
        <f>_xll.qlInterestRateIndexValueDate(Index,Q202,Trigger)</f>
        <v>48339</v>
      </c>
      <c r="S202" s="28">
        <f>_xll.qlInterestRateIndexMaturity(Index,R202,Trigger)</f>
        <v>48372</v>
      </c>
      <c r="T202" s="30">
        <f>_xll.qlIndexFixing($M$6,Q202,,InterestRatesTrigger)</f>
        <v>1.9683863954856985E-2</v>
      </c>
      <c r="U202" s="30">
        <f>_xll.qlIndexFixing(Index,Q202,,InterestRatesTrigger)</f>
        <v>1.9873075250152927E-2</v>
      </c>
      <c r="V202" s="30">
        <f t="shared" si="18"/>
        <v>1.8921129529594211E-4</v>
      </c>
      <c r="W202" s="29">
        <f>_xll.qlDayCounterYearFraction(DayCounter,SettlementDate,R202,,,Trigger)</f>
        <v>16.833333333333332</v>
      </c>
      <c r="X202" s="29">
        <f>_xll.qlDayCounterYearFraction(DayCounter,R202,S202)</f>
        <v>9.166666666666666E-2</v>
      </c>
      <c r="Y202" s="29">
        <f>_xll.qlYieldTSDiscount(Currency&amp;"ON",R202)/(1+U202*X202)</f>
        <v>0.81352970513776468</v>
      </c>
      <c r="Z202" s="30" t="e">
        <f>_xll.qlTenorBasisValue(TenorBasis6M,R202,InterestRatesTrigger)</f>
        <v>#VALUE!</v>
      </c>
      <c r="AA202" s="30" t="e">
        <f t="shared" si="19"/>
        <v>#VALUE!</v>
      </c>
    </row>
    <row r="203" spans="15:27" x14ac:dyDescent="0.2">
      <c r="O203" s="33">
        <v>1</v>
      </c>
      <c r="P203" s="27" t="str">
        <f>_xll.qlPeriodEquivalent(P202&amp;"+"&amp;O203&amp;"M")</f>
        <v>16Y8M</v>
      </c>
      <c r="Q203" s="28">
        <f>_xll.qlCalendarAdvance(Calendar,SettlementDate,P203,"f",,Trigger)</f>
        <v>48367</v>
      </c>
      <c r="R203" s="28">
        <f>_xll.qlInterestRateIndexValueDate(Index,Q203,Trigger)</f>
        <v>48369</v>
      </c>
      <c r="S203" s="28">
        <f>_xll.qlInterestRateIndexMaturity(Index,R203,Trigger)</f>
        <v>48400</v>
      </c>
      <c r="T203" s="30">
        <f>_xll.qlIndexFixing($M$6,Q203,,InterestRatesTrigger)</f>
        <v>1.9644498651209739E-2</v>
      </c>
      <c r="U203" s="30">
        <f>_xll.qlIndexFixing(Index,Q203,,InterestRatesTrigger)</f>
        <v>1.9835281066035913E-2</v>
      </c>
      <c r="V203" s="30">
        <f t="shared" si="18"/>
        <v>1.9078241482617386E-4</v>
      </c>
      <c r="W203" s="29">
        <f>_xll.qlDayCounterYearFraction(DayCounter,SettlementDate,R203,,,Trigger)</f>
        <v>16.916666666666668</v>
      </c>
      <c r="X203" s="29">
        <f>_xll.qlDayCounterYearFraction(DayCounter,R203,S203)</f>
        <v>8.611111111111111E-2</v>
      </c>
      <c r="Y203" s="29">
        <f>_xll.qlYieldTSDiscount(Currency&amp;"ON",R203)/(1+U203*X203)</f>
        <v>0.81228957324535589</v>
      </c>
      <c r="Z203" s="30" t="e">
        <f>_xll.qlTenorBasisValue(TenorBasis6M,R203,InterestRatesTrigger)</f>
        <v>#VALUE!</v>
      </c>
      <c r="AA203" s="30" t="e">
        <f t="shared" si="19"/>
        <v>#VALUE!</v>
      </c>
    </row>
    <row r="204" spans="15:27" x14ac:dyDescent="0.2">
      <c r="O204" s="33">
        <v>1</v>
      </c>
      <c r="P204" s="27" t="str">
        <f>_xll.qlPeriodEquivalent(P203&amp;"+"&amp;O204&amp;"M")</f>
        <v>16Y9M</v>
      </c>
      <c r="Q204" s="28">
        <f>_xll.qlCalendarAdvance(Calendar,SettlementDate,P204,"f",,Trigger)</f>
        <v>48397</v>
      </c>
      <c r="R204" s="28">
        <f>_xll.qlInterestRateIndexValueDate(Index,Q204,Trigger)</f>
        <v>48401</v>
      </c>
      <c r="S204" s="28">
        <f>_xll.qlInterestRateIndexMaturity(Index,R204,Trigger)</f>
        <v>48432</v>
      </c>
      <c r="T204" s="30">
        <f>_xll.qlIndexFixing($M$6,Q204,,InterestRatesTrigger)</f>
        <v>1.9601366645869495E-2</v>
      </c>
      <c r="U204" s="30">
        <f>_xll.qlIndexFixing(Index,Q204,,InterestRatesTrigger)</f>
        <v>1.9793828953960164E-2</v>
      </c>
      <c r="V204" s="30">
        <f t="shared" si="18"/>
        <v>1.9246230809066844E-4</v>
      </c>
      <c r="W204" s="29">
        <f>_xll.qlDayCounterYearFraction(DayCounter,SettlementDate,R204,,,Trigger)</f>
        <v>17.005555555555556</v>
      </c>
      <c r="X204" s="29">
        <f>_xll.qlDayCounterYearFraction(DayCounter,R204,S204)</f>
        <v>8.611111111111111E-2</v>
      </c>
      <c r="Y204" s="29">
        <f>_xll.qlYieldTSDiscount(Currency&amp;"ON",R204)/(1+U204*X204)</f>
        <v>0.81087654289793865</v>
      </c>
      <c r="Z204" s="30" t="e">
        <f>_xll.qlTenorBasisValue(TenorBasis6M,R204,InterestRatesTrigger)</f>
        <v>#VALUE!</v>
      </c>
      <c r="AA204" s="30" t="e">
        <f t="shared" si="19"/>
        <v>#VALUE!</v>
      </c>
    </row>
    <row r="205" spans="15:27" x14ac:dyDescent="0.2">
      <c r="O205" s="33">
        <v>1</v>
      </c>
      <c r="P205" s="27" t="str">
        <f>_xll.qlPeriodEquivalent(P204&amp;"+"&amp;O205&amp;"M")</f>
        <v>16Y10M</v>
      </c>
      <c r="Q205" s="28">
        <f>_xll.qlCalendarAdvance(Calendar,SettlementDate,P205,"f",,Trigger)</f>
        <v>48428</v>
      </c>
      <c r="R205" s="28">
        <f>_xll.qlInterestRateIndexValueDate(Index,Q205,Trigger)</f>
        <v>48430</v>
      </c>
      <c r="S205" s="28">
        <f>_xll.qlInterestRateIndexMaturity(Index,R205,Trigger)</f>
        <v>48463</v>
      </c>
      <c r="T205" s="30">
        <f>_xll.qlIndexFixing($M$6,Q205,,InterestRatesTrigger)</f>
        <v>1.9561171043452997E-2</v>
      </c>
      <c r="U205" s="30">
        <f>_xll.qlIndexFixing(Index,Q205,,InterestRatesTrigger)</f>
        <v>1.9755153759948903E-2</v>
      </c>
      <c r="V205" s="30">
        <f t="shared" si="18"/>
        <v>1.9398271649590654E-4</v>
      </c>
      <c r="W205" s="29">
        <f>_xll.qlDayCounterYearFraction(DayCounter,SettlementDate,R205,,,Trigger)</f>
        <v>17.086111111111112</v>
      </c>
      <c r="X205" s="29">
        <f>_xll.qlDayCounterYearFraction(DayCounter,R205,S205)</f>
        <v>9.166666666666666E-2</v>
      </c>
      <c r="Y205" s="29">
        <f>_xll.qlYieldTSDiscount(Currency&amp;"ON",R205)/(1+U205*X205)</f>
        <v>0.80951216660756087</v>
      </c>
      <c r="Z205" s="30" t="e">
        <f>_xll.qlTenorBasisValue(TenorBasis6M,R205,InterestRatesTrigger)</f>
        <v>#VALUE!</v>
      </c>
      <c r="AA205" s="30" t="e">
        <f t="shared" si="19"/>
        <v>#VALUE!</v>
      </c>
    </row>
    <row r="206" spans="15:27" x14ac:dyDescent="0.2">
      <c r="O206" s="33">
        <v>1</v>
      </c>
      <c r="P206" s="27" t="str">
        <f>_xll.qlPeriodEquivalent(P205&amp;"+"&amp;O206&amp;"M")</f>
        <v>16Y11M</v>
      </c>
      <c r="Q206" s="28">
        <f>_xll.qlCalendarAdvance(Calendar,SettlementDate,P206,"f",,Trigger)</f>
        <v>48459</v>
      </c>
      <c r="R206" s="28">
        <f>_xll.qlInterestRateIndexValueDate(Index,Q206,Trigger)</f>
        <v>48463</v>
      </c>
      <c r="S206" s="28">
        <f>_xll.qlInterestRateIndexMaturity(Index,R206,Trigger)</f>
        <v>48493</v>
      </c>
      <c r="T206" s="30">
        <f>_xll.qlIndexFixing($M$6,Q206,,InterestRatesTrigger)</f>
        <v>1.9515438917053984E-2</v>
      </c>
      <c r="U206" s="30">
        <f>_xll.qlIndexFixing(Index,Q206,,InterestRatesTrigger)</f>
        <v>1.9710884083062652E-2</v>
      </c>
      <c r="V206" s="30">
        <f t="shared" si="18"/>
        <v>1.9544516600866757E-4</v>
      </c>
      <c r="W206" s="29">
        <f>_xll.qlDayCounterYearFraction(DayCounter,SettlementDate,R206,,,Trigger)</f>
        <v>17.177777777777777</v>
      </c>
      <c r="X206" s="29">
        <f>_xll.qlDayCounterYearFraction(DayCounter,R206,S206)</f>
        <v>8.3333333333333329E-2</v>
      </c>
      <c r="Y206" s="29">
        <f>_xll.qlYieldTSDiscount(Currency&amp;"ON",R206)/(1+U206*X206)</f>
        <v>0.80819900896981522</v>
      </c>
      <c r="Z206" s="30" t="e">
        <f>_xll.qlTenorBasisValue(TenorBasis6M,R206,InterestRatesTrigger)</f>
        <v>#VALUE!</v>
      </c>
      <c r="AA206" s="30" t="e">
        <f t="shared" si="19"/>
        <v>#VALUE!</v>
      </c>
    </row>
    <row r="207" spans="15:27" x14ac:dyDescent="0.2">
      <c r="O207" s="33">
        <v>1</v>
      </c>
      <c r="P207" s="27" t="str">
        <f>_xll.qlPeriodEquivalent(P206&amp;"+"&amp;O207&amp;"M")</f>
        <v>17Y</v>
      </c>
      <c r="Q207" s="28">
        <f>_xll.qlCalendarAdvance(Calendar,SettlementDate,P207,"f",,Trigger)</f>
        <v>48491</v>
      </c>
      <c r="R207" s="28">
        <f>_xll.qlInterestRateIndexValueDate(Index,Q207,Trigger)</f>
        <v>48493</v>
      </c>
      <c r="S207" s="28">
        <f>_xll.qlInterestRateIndexMaturity(Index,R207,Trigger)</f>
        <v>48526</v>
      </c>
      <c r="T207" s="30">
        <f>_xll.qlIndexFixing($M$6,Q207,,InterestRatesTrigger)</f>
        <v>1.9472032572702896E-2</v>
      </c>
      <c r="U207" s="30">
        <f>_xll.qlIndexFixing(Index,Q207,,InterestRatesTrigger)</f>
        <v>1.9668916788152625E-2</v>
      </c>
      <c r="V207" s="30">
        <f t="shared" si="18"/>
        <v>1.9688421544972884E-4</v>
      </c>
      <c r="W207" s="29">
        <f>_xll.qlDayCounterYearFraction(DayCounter,SettlementDate,R207,,,Trigger)</f>
        <v>17.261111111111113</v>
      </c>
      <c r="X207" s="29">
        <f>_xll.qlDayCounterYearFraction(DayCounter,R207,S207)</f>
        <v>9.166666666666666E-2</v>
      </c>
      <c r="Y207" s="29">
        <f>_xll.qlYieldTSDiscount(Currency&amp;"ON",R207)/(1+U207*X207)</f>
        <v>0.80675757977359686</v>
      </c>
      <c r="Z207" s="30" t="e">
        <f>_xll.qlTenorBasisValue(TenorBasis6M,R207,InterestRatesTrigger)</f>
        <v>#VALUE!</v>
      </c>
      <c r="AA207" s="30" t="e">
        <f t="shared" si="19"/>
        <v>#VALUE!</v>
      </c>
    </row>
    <row r="208" spans="15:27" x14ac:dyDescent="0.2">
      <c r="O208" s="33">
        <v>1</v>
      </c>
      <c r="P208" s="27" t="str">
        <f>_xll.qlPeriodEquivalent(P207&amp;"+"&amp;O208&amp;"M")</f>
        <v>17Y1M</v>
      </c>
      <c r="Q208" s="28">
        <f>_xll.qlCalendarAdvance(Calendar,SettlementDate,P208,"f",,Trigger)</f>
        <v>48520</v>
      </c>
      <c r="R208" s="28">
        <f>_xll.qlInterestRateIndexValueDate(Index,Q208,Trigger)</f>
        <v>48522</v>
      </c>
      <c r="S208" s="28">
        <f>_xll.qlInterestRateIndexMaturity(Index,R208,Trigger)</f>
        <v>48554</v>
      </c>
      <c r="T208" s="30">
        <f>_xll.qlIndexFixing($M$6,Q208,,InterestRatesTrigger)</f>
        <v>1.9430107547120101E-2</v>
      </c>
      <c r="U208" s="30">
        <f>_xll.qlIndexFixing(Index,Q208,,InterestRatesTrigger)</f>
        <v>1.9628178632233595E-2</v>
      </c>
      <c r="V208" s="30">
        <f t="shared" si="18"/>
        <v>1.9807108511349369E-4</v>
      </c>
      <c r="W208" s="29">
        <f>_xll.qlDayCounterYearFraction(DayCounter,SettlementDate,R208,,,Trigger)</f>
        <v>17.341666666666665</v>
      </c>
      <c r="X208" s="29">
        <f>_xll.qlDayCounterYearFraction(DayCounter,R208,S208)</f>
        <v>8.8888888888888892E-2</v>
      </c>
      <c r="Y208" s="29">
        <f>_xll.qlYieldTSDiscount(Currency&amp;"ON",R208)/(1+U208*X208)</f>
        <v>0.80554089073802193</v>
      </c>
      <c r="Z208" s="30" t="e">
        <f>_xll.qlTenorBasisValue(TenorBasis6M,R208,InterestRatesTrigger)</f>
        <v>#VALUE!</v>
      </c>
      <c r="AA208" s="30" t="e">
        <f t="shared" si="19"/>
        <v>#VALUE!</v>
      </c>
    </row>
    <row r="209" spans="15:27" x14ac:dyDescent="0.2">
      <c r="O209" s="33">
        <v>1</v>
      </c>
      <c r="P209" s="27" t="str">
        <f>_xll.qlPeriodEquivalent(P208&amp;"+"&amp;O209&amp;"M")</f>
        <v>17Y2M</v>
      </c>
      <c r="Q209" s="28">
        <f>_xll.qlCalendarAdvance(Calendar,SettlementDate,P209,"f",,Trigger)</f>
        <v>48550</v>
      </c>
      <c r="R209" s="28">
        <f>_xll.qlInterestRateIndexValueDate(Index,Q209,Trigger)</f>
        <v>48554</v>
      </c>
      <c r="S209" s="28">
        <f>_xll.qlInterestRateIndexMaturity(Index,R209,Trigger)</f>
        <v>48585</v>
      </c>
      <c r="T209" s="30">
        <f>_xll.qlIndexFixing($M$6,Q209,,InterestRatesTrigger)</f>
        <v>1.9383071629310997E-2</v>
      </c>
      <c r="U209" s="30">
        <f>_xll.qlIndexFixing(Index,Q209,,InterestRatesTrigger)</f>
        <v>1.9582368502803035E-2</v>
      </c>
      <c r="V209" s="30">
        <f t="shared" si="18"/>
        <v>1.9929687349203723E-4</v>
      </c>
      <c r="W209" s="29">
        <f>_xll.qlDayCounterYearFraction(DayCounter,SettlementDate,R209,,,Trigger)</f>
        <v>17.430555555555557</v>
      </c>
      <c r="X209" s="29">
        <f>_xll.qlDayCounterYearFraction(DayCounter,R209,S209)</f>
        <v>8.611111111111111E-2</v>
      </c>
      <c r="Y209" s="29">
        <f>_xll.qlYieldTSDiscount(Currency&amp;"ON",R209)/(1+U209*X209)</f>
        <v>0.80419896074933972</v>
      </c>
      <c r="Z209" s="30" t="e">
        <f>_xll.qlTenorBasisValue(TenorBasis6M,R209,InterestRatesTrigger)</f>
        <v>#VALUE!</v>
      </c>
      <c r="AA209" s="30" t="e">
        <f t="shared" si="19"/>
        <v>#VALUE!</v>
      </c>
    </row>
    <row r="210" spans="15:27" x14ac:dyDescent="0.2">
      <c r="O210" s="33">
        <v>1</v>
      </c>
      <c r="P210" s="27" t="str">
        <f>_xll.qlPeriodEquivalent(P209&amp;"+"&amp;O210&amp;"M")</f>
        <v>17Y3M</v>
      </c>
      <c r="Q210" s="28">
        <f>_xll.qlCalendarAdvance(Calendar,SettlementDate,P210,"f",,Trigger)</f>
        <v>48582</v>
      </c>
      <c r="R210" s="28">
        <f>_xll.qlInterestRateIndexValueDate(Index,Q210,Trigger)</f>
        <v>48584</v>
      </c>
      <c r="S210" s="28">
        <f>_xll.qlInterestRateIndexMaturity(Index,R210,Trigger)</f>
        <v>48617</v>
      </c>
      <c r="T210" s="30">
        <f>_xll.qlIndexFixing($M$6,Q210,,InterestRatesTrigger)</f>
        <v>1.9337571827159037E-2</v>
      </c>
      <c r="U210" s="30">
        <f>_xll.qlIndexFixing(Index,Q210,,InterestRatesTrigger)</f>
        <v>1.9538014564781457E-2</v>
      </c>
      <c r="V210" s="30">
        <f t="shared" si="18"/>
        <v>2.0044273762242007E-4</v>
      </c>
      <c r="W210" s="29">
        <f>_xll.qlDayCounterYearFraction(DayCounter,SettlementDate,R210,,,Trigger)</f>
        <v>17.513888888888889</v>
      </c>
      <c r="X210" s="29">
        <f>_xll.qlDayCounterYearFraction(DayCounter,R210,S210)</f>
        <v>9.166666666666666E-2</v>
      </c>
      <c r="Y210" s="29">
        <f>_xll.qlYieldTSDiscount(Currency&amp;"ON",R210)/(1+U210*X210)</f>
        <v>0.80281811964839045</v>
      </c>
      <c r="Z210" s="30" t="e">
        <f>_xll.qlTenorBasisValue(TenorBasis6M,R210,InterestRatesTrigger)</f>
        <v>#VALUE!</v>
      </c>
      <c r="AA210" s="30" t="e">
        <f t="shared" si="19"/>
        <v>#VALUE!</v>
      </c>
    </row>
    <row r="211" spans="15:27" x14ac:dyDescent="0.2">
      <c r="O211" s="33">
        <v>1</v>
      </c>
      <c r="P211" s="27" t="str">
        <f>_xll.qlPeriodEquivalent(P210&amp;"+"&amp;O211&amp;"M")</f>
        <v>17Y4M</v>
      </c>
      <c r="Q211" s="28">
        <f>_xll.qlCalendarAdvance(Calendar,SettlementDate,P211,"f",,Trigger)</f>
        <v>48612</v>
      </c>
      <c r="R211" s="28">
        <f>_xll.qlInterestRateIndexValueDate(Index,Q211,Trigger)</f>
        <v>48614</v>
      </c>
      <c r="S211" s="28">
        <f>_xll.qlInterestRateIndexMaturity(Index,R211,Trigger)</f>
        <v>48642</v>
      </c>
      <c r="T211" s="30">
        <f>_xll.qlIndexFixing($M$6,Q211,,InterestRatesTrigger)</f>
        <v>1.9293098669262512E-2</v>
      </c>
      <c r="U211" s="30">
        <f>_xll.qlIndexFixing(Index,Q211,,InterestRatesTrigger)</f>
        <v>1.949440779586523E-2</v>
      </c>
      <c r="V211" s="30">
        <f t="shared" si="18"/>
        <v>2.013091266027181E-4</v>
      </c>
      <c r="W211" s="29">
        <f>_xll.qlDayCounterYearFraction(DayCounter,SettlementDate,R211,,,Trigger)</f>
        <v>17.597222222222221</v>
      </c>
      <c r="X211" s="29">
        <f>_xll.qlDayCounterYearFraction(DayCounter,R211,S211)</f>
        <v>7.7777777777777779E-2</v>
      </c>
      <c r="Y211" s="29">
        <f>_xll.qlYieldTSDiscount(Currency&amp;"ON",R211)/(1+U211*X211)</f>
        <v>0.80174632881913477</v>
      </c>
      <c r="Z211" s="30" t="e">
        <f>_xll.qlTenorBasisValue(TenorBasis6M,R211,InterestRatesTrigger)</f>
        <v>#VALUE!</v>
      </c>
      <c r="AA211" s="30" t="e">
        <f t="shared" si="19"/>
        <v>#VALUE!</v>
      </c>
    </row>
    <row r="212" spans="15:27" x14ac:dyDescent="0.2">
      <c r="O212" s="33">
        <v>1</v>
      </c>
      <c r="P212" s="27" t="str">
        <f>_xll.qlPeriodEquivalent(P211&amp;"+"&amp;O212&amp;"M")</f>
        <v>17Y5M</v>
      </c>
      <c r="Q212" s="28">
        <f>_xll.qlCalendarAdvance(Calendar,SettlementDate,P212,"f",,Trigger)</f>
        <v>48640</v>
      </c>
      <c r="R212" s="28">
        <f>_xll.qlInterestRateIndexValueDate(Index,Q212,Trigger)</f>
        <v>48642</v>
      </c>
      <c r="S212" s="28">
        <f>_xll.qlInterestRateIndexMaturity(Index,R212,Trigger)</f>
        <v>48673</v>
      </c>
      <c r="T212" s="30">
        <f>_xll.qlIndexFixing($M$6,Q212,,InterestRatesTrigger)</f>
        <v>1.9249075317839887E-2</v>
      </c>
      <c r="U212" s="30">
        <f>_xll.qlIndexFixing(Index,Q212,,InterestRatesTrigger)</f>
        <v>1.9451318037884423E-2</v>
      </c>
      <c r="V212" s="30">
        <f t="shared" si="18"/>
        <v>2.022427200445362E-4</v>
      </c>
      <c r="W212" s="29">
        <f>_xll.qlDayCounterYearFraction(DayCounter,SettlementDate,R212,,,Trigger)</f>
        <v>17.675000000000001</v>
      </c>
      <c r="X212" s="29">
        <f>_xll.qlDayCounterYearFraction(DayCounter,R212,S212)</f>
        <v>8.611111111111111E-2</v>
      </c>
      <c r="Y212" s="29">
        <f>_xll.qlYieldTSDiscount(Currency&amp;"ON",R212)/(1+U212*X212)</f>
        <v>0.80041818312125723</v>
      </c>
      <c r="Z212" s="30" t="e">
        <f>_xll.qlTenorBasisValue(TenorBasis6M,R212,InterestRatesTrigger)</f>
        <v>#VALUE!</v>
      </c>
      <c r="AA212" s="30" t="e">
        <f t="shared" si="19"/>
        <v>#VALUE!</v>
      </c>
    </row>
    <row r="213" spans="15:27" x14ac:dyDescent="0.2">
      <c r="O213" s="33">
        <v>1</v>
      </c>
      <c r="P213" s="27" t="str">
        <f>_xll.qlPeriodEquivalent(P212&amp;"+"&amp;O213&amp;"M")</f>
        <v>17Y6M</v>
      </c>
      <c r="Q213" s="28">
        <f>_xll.qlCalendarAdvance(Calendar,SettlementDate,P213,"f",,Trigger)</f>
        <v>48673</v>
      </c>
      <c r="R213" s="28">
        <f>_xll.qlInterestRateIndexValueDate(Index,Q213,Trigger)</f>
        <v>48675</v>
      </c>
      <c r="S213" s="28">
        <f>_xll.qlInterestRateIndexMaturity(Index,R213,Trigger)</f>
        <v>48705</v>
      </c>
      <c r="T213" s="30">
        <f>_xll.qlIndexFixing($M$6,Q213,,InterestRatesTrigger)</f>
        <v>1.9197631024467476E-2</v>
      </c>
      <c r="U213" s="30">
        <f>_xll.qlIndexFixing(Index,Q213,,InterestRatesTrigger)</f>
        <v>1.94007529013831E-2</v>
      </c>
      <c r="V213" s="30">
        <f t="shared" si="18"/>
        <v>2.03121876915624E-4</v>
      </c>
      <c r="W213" s="29">
        <f>_xll.qlDayCounterYearFraction(DayCounter,SettlementDate,R213,,,Trigger)</f>
        <v>17.766666666666666</v>
      </c>
      <c r="X213" s="29">
        <f>_xll.qlDayCounterYearFraction(DayCounter,R213,S213)</f>
        <v>8.3333333333333329E-2</v>
      </c>
      <c r="Y213" s="29">
        <f>_xll.qlYieldTSDiscount(Currency&amp;"ON",R213)/(1+U213*X213)</f>
        <v>0.79905483617988959</v>
      </c>
      <c r="Z213" s="30" t="e">
        <f>_xll.qlTenorBasisValue(TenorBasis6M,R213,InterestRatesTrigger)</f>
        <v>#VALUE!</v>
      </c>
      <c r="AA213" s="30" t="e">
        <f t="shared" si="19"/>
        <v>#VALUE!</v>
      </c>
    </row>
    <row r="214" spans="15:27" x14ac:dyDescent="0.2">
      <c r="O214" s="33">
        <v>1</v>
      </c>
      <c r="P214" s="27" t="str">
        <f>_xll.qlPeriodEquivalent(P213&amp;"+"&amp;O214&amp;"M")</f>
        <v>17Y7M</v>
      </c>
      <c r="Q214" s="28">
        <f>_xll.qlCalendarAdvance(Calendar,SettlementDate,P214,"f",,Trigger)</f>
        <v>48701</v>
      </c>
      <c r="R214" s="28">
        <f>_xll.qlInterestRateIndexValueDate(Index,Q214,Trigger)</f>
        <v>48703</v>
      </c>
      <c r="S214" s="28">
        <f>_xll.qlInterestRateIndexMaturity(Index,R214,Trigger)</f>
        <v>48736</v>
      </c>
      <c r="T214" s="30">
        <f>_xll.qlIndexFixing($M$6,Q214,,InterestRatesTrigger)</f>
        <v>1.9152275280914084E-2</v>
      </c>
      <c r="U214" s="30">
        <f>_xll.qlIndexFixing(Index,Q214,,InterestRatesTrigger)</f>
        <v>1.9356139887479851E-2</v>
      </c>
      <c r="V214" s="30">
        <f t="shared" si="18"/>
        <v>2.0386460656576788E-4</v>
      </c>
      <c r="W214" s="29">
        <f>_xll.qlDayCounterYearFraction(DayCounter,SettlementDate,R214,,,Trigger)</f>
        <v>17.844444444444445</v>
      </c>
      <c r="X214" s="29">
        <f>_xll.qlDayCounterYearFraction(DayCounter,R214,S214)</f>
        <v>9.166666666666666E-2</v>
      </c>
      <c r="Y214" s="29">
        <f>_xll.qlYieldTSDiscount(Currency&amp;"ON",R214)/(1+U214*X214)</f>
        <v>0.79773796505294126</v>
      </c>
      <c r="Z214" s="30" t="e">
        <f>_xll.qlTenorBasisValue(TenorBasis6M,R214,InterestRatesTrigger)</f>
        <v>#VALUE!</v>
      </c>
      <c r="AA214" s="30" t="e">
        <f t="shared" si="19"/>
        <v>#VALUE!</v>
      </c>
    </row>
    <row r="215" spans="15:27" x14ac:dyDescent="0.2">
      <c r="O215" s="33">
        <v>1</v>
      </c>
      <c r="P215" s="27" t="str">
        <f>_xll.qlPeriodEquivalent(P214&amp;"+"&amp;O215&amp;"M")</f>
        <v>17Y8M</v>
      </c>
      <c r="Q215" s="28">
        <f>_xll.qlCalendarAdvance(Calendar,SettlementDate,P215,"f",,Trigger)</f>
        <v>48732</v>
      </c>
      <c r="R215" s="28">
        <f>_xll.qlInterestRateIndexValueDate(Index,Q215,Trigger)</f>
        <v>48736</v>
      </c>
      <c r="S215" s="28">
        <f>_xll.qlInterestRateIndexMaturity(Index,R215,Trigger)</f>
        <v>48766</v>
      </c>
      <c r="T215" s="30">
        <f>_xll.qlIndexFixing($M$6,Q215,,InterestRatesTrigger)</f>
        <v>1.9100036105971441E-2</v>
      </c>
      <c r="U215" s="30">
        <f>_xll.qlIndexFixing(Index,Q215,,InterestRatesTrigger)</f>
        <v>1.9304523650591321E-2</v>
      </c>
      <c r="V215" s="30">
        <f t="shared" si="18"/>
        <v>2.0448754461988017E-4</v>
      </c>
      <c r="W215" s="29">
        <f>_xll.qlDayCounterYearFraction(DayCounter,SettlementDate,R215,,,Trigger)</f>
        <v>17.93611111111111</v>
      </c>
      <c r="X215" s="29">
        <f>_xll.qlDayCounterYearFraction(DayCounter,R215,S215)</f>
        <v>8.3333333333333329E-2</v>
      </c>
      <c r="Y215" s="29">
        <f>_xll.qlYieldTSDiscount(Currency&amp;"ON",R215)/(1+U215*X215)</f>
        <v>0.79647155472836395</v>
      </c>
      <c r="Z215" s="30" t="e">
        <f>_xll.qlTenorBasisValue(TenorBasis6M,R215,InterestRatesTrigger)</f>
        <v>#VALUE!</v>
      </c>
      <c r="AA215" s="30" t="e">
        <f t="shared" si="19"/>
        <v>#VALUE!</v>
      </c>
    </row>
    <row r="216" spans="15:27" x14ac:dyDescent="0.2">
      <c r="O216" s="33">
        <v>1</v>
      </c>
      <c r="P216" s="27" t="str">
        <f>_xll.qlPeriodEquivalent(P215&amp;"+"&amp;O216&amp;"M")</f>
        <v>17Y9M</v>
      </c>
      <c r="Q216" s="28">
        <f>_xll.qlCalendarAdvance(Calendar,SettlementDate,P216,"f",,Trigger)</f>
        <v>48764</v>
      </c>
      <c r="R216" s="28">
        <f>_xll.qlInterestRateIndexValueDate(Index,Q216,Trigger)</f>
        <v>48766</v>
      </c>
      <c r="S216" s="28">
        <f>_xll.qlInterestRateIndexMaturity(Index,R216,Trigger)</f>
        <v>48799</v>
      </c>
      <c r="T216" s="30">
        <f>_xll.qlIndexFixing($M$6,Q216,,InterestRatesTrigger)</f>
        <v>1.9050161036845124E-2</v>
      </c>
      <c r="U216" s="30">
        <f>_xll.qlIndexFixing(Index,Q216,,InterestRatesTrigger)</f>
        <v>1.9255224592939643E-2</v>
      </c>
      <c r="V216" s="30">
        <f t="shared" si="18"/>
        <v>2.0506355609451951E-4</v>
      </c>
      <c r="W216" s="29">
        <f>_xll.qlDayCounterYearFraction(DayCounter,SettlementDate,R216,,,Trigger)</f>
        <v>18.019444444444446</v>
      </c>
      <c r="X216" s="29">
        <f>_xll.qlDayCounterYearFraction(DayCounter,R216,S216)</f>
        <v>9.166666666666666E-2</v>
      </c>
      <c r="Y216" s="29">
        <f>_xll.qlYieldTSDiscount(Currency&amp;"ON",R216)/(1+U216*X216)</f>
        <v>0.7950817367732993</v>
      </c>
      <c r="Z216" s="30" t="e">
        <f>_xll.qlTenorBasisValue(TenorBasis6M,R216,InterestRatesTrigger)</f>
        <v>#VALUE!</v>
      </c>
      <c r="AA216" s="30" t="e">
        <f t="shared" si="19"/>
        <v>#VALUE!</v>
      </c>
    </row>
    <row r="217" spans="15:27" x14ac:dyDescent="0.2">
      <c r="O217" s="33">
        <v>1</v>
      </c>
      <c r="P217" s="27" t="str">
        <f>_xll.qlPeriodEquivalent(P216&amp;"+"&amp;O217&amp;"M")</f>
        <v>17Y10M</v>
      </c>
      <c r="Q217" s="28">
        <f>_xll.qlCalendarAdvance(Calendar,SettlementDate,P217,"f",,Trigger)</f>
        <v>48793</v>
      </c>
      <c r="R217" s="28">
        <f>_xll.qlInterestRateIndexValueDate(Index,Q217,Trigger)</f>
        <v>48795</v>
      </c>
      <c r="S217" s="28">
        <f>_xll.qlInterestRateIndexMaturity(Index,R217,Trigger)</f>
        <v>48827</v>
      </c>
      <c r="T217" s="30">
        <f>_xll.qlIndexFixing($M$6,Q217,,InterestRatesTrigger)</f>
        <v>1.9002610716707391E-2</v>
      </c>
      <c r="U217" s="30">
        <f>_xll.qlIndexFixing(Index,Q217,,InterestRatesTrigger)</f>
        <v>1.9208058407359785E-2</v>
      </c>
      <c r="V217" s="30">
        <f t="shared" si="18"/>
        <v>2.0544769065239388E-4</v>
      </c>
      <c r="W217" s="29">
        <f>_xll.qlDayCounterYearFraction(DayCounter,SettlementDate,R217,,,Trigger)</f>
        <v>18.100000000000001</v>
      </c>
      <c r="X217" s="29">
        <f>_xll.qlDayCounterYearFraction(DayCounter,R217,S217)</f>
        <v>8.8888888888888892E-2</v>
      </c>
      <c r="Y217" s="29">
        <f>_xll.qlYieldTSDiscount(Currency&amp;"ON",R217)/(1+U217*X217)</f>
        <v>0.79390910693411498</v>
      </c>
      <c r="Z217" s="30" t="e">
        <f>_xll.qlTenorBasisValue(TenorBasis6M,R217,InterestRatesTrigger)</f>
        <v>#VALUE!</v>
      </c>
      <c r="AA217" s="30" t="e">
        <f t="shared" si="19"/>
        <v>#VALUE!</v>
      </c>
    </row>
    <row r="218" spans="15:27" x14ac:dyDescent="0.2">
      <c r="O218" s="33">
        <v>1</v>
      </c>
      <c r="P218" s="27" t="str">
        <f>_xll.qlPeriodEquivalent(P217&amp;"+"&amp;O218&amp;"M")</f>
        <v>17Y11M</v>
      </c>
      <c r="Q218" s="28">
        <f>_xll.qlCalendarAdvance(Calendar,SettlementDate,P218,"f",,Trigger)</f>
        <v>48824</v>
      </c>
      <c r="R218" s="28">
        <f>_xll.qlInterestRateIndexValueDate(Index,Q218,Trigger)</f>
        <v>48828</v>
      </c>
      <c r="S218" s="28">
        <f>_xll.qlInterestRateIndexMaturity(Index,R218,Trigger)</f>
        <v>48858</v>
      </c>
      <c r="T218" s="30">
        <f>_xll.qlIndexFixing($M$6,Q218,,InterestRatesTrigger)</f>
        <v>1.8948180086284516E-2</v>
      </c>
      <c r="U218" s="30">
        <f>_xll.qlIndexFixing(Index,Q218,,InterestRatesTrigger)</f>
        <v>1.9153936579621167E-2</v>
      </c>
      <c r="V218" s="30">
        <f t="shared" si="18"/>
        <v>2.0575649333665069E-4</v>
      </c>
      <c r="W218" s="29">
        <f>_xll.qlDayCounterYearFraction(DayCounter,SettlementDate,R218,,,Trigger)</f>
        <v>18.191666666666666</v>
      </c>
      <c r="X218" s="29">
        <f>_xll.qlDayCounterYearFraction(DayCounter,R218,S218)</f>
        <v>8.3333333333333329E-2</v>
      </c>
      <c r="Y218" s="29">
        <f>_xll.qlYieldTSDiscount(Currency&amp;"ON",R218)/(1+U218*X218)</f>
        <v>0.79261662642152786</v>
      </c>
      <c r="Z218" s="30" t="e">
        <f>_xll.qlTenorBasisValue(TenorBasis6M,R218,InterestRatesTrigger)</f>
        <v>#VALUE!</v>
      </c>
      <c r="AA218" s="30" t="e">
        <f t="shared" si="19"/>
        <v>#VALUE!</v>
      </c>
    </row>
    <row r="219" spans="15:27" x14ac:dyDescent="0.2">
      <c r="O219" s="33">
        <v>1</v>
      </c>
      <c r="P219" s="27" t="str">
        <f>_xll.qlPeriodEquivalent(P218&amp;"+"&amp;O219&amp;"M")</f>
        <v>18Y</v>
      </c>
      <c r="Q219" s="28">
        <f>_xll.qlCalendarAdvance(Calendar,SettlementDate,P219,"f",,Trigger)</f>
        <v>48855</v>
      </c>
      <c r="R219" s="28">
        <f>_xll.qlInterestRateIndexValueDate(Index,Q219,Trigger)</f>
        <v>48857</v>
      </c>
      <c r="S219" s="28">
        <f>_xll.qlInterestRateIndexMaturity(Index,R219,Trigger)</f>
        <v>48890</v>
      </c>
      <c r="T219" s="30">
        <f>_xll.qlIndexFixing($M$6,Q219,,InterestRatesTrigger)</f>
        <v>1.8898152454810718E-2</v>
      </c>
      <c r="U219" s="30">
        <f>_xll.qlIndexFixing(Index,Q219,,InterestRatesTrigger)</f>
        <v>1.9104140949837953E-2</v>
      </c>
      <c r="V219" s="30">
        <f t="shared" si="18"/>
        <v>2.0598849502723518E-4</v>
      </c>
      <c r="W219" s="29">
        <f>_xll.qlDayCounterYearFraction(DayCounter,SettlementDate,R219,,,Trigger)</f>
        <v>18.272222222222222</v>
      </c>
      <c r="X219" s="29">
        <f>_xll.qlDayCounterYearFraction(DayCounter,R219,S219)</f>
        <v>9.166666666666666E-2</v>
      </c>
      <c r="Y219" s="29">
        <f>_xll.qlYieldTSDiscount(Currency&amp;"ON",R219)/(1+U219*X219)</f>
        <v>0.79128611874934351</v>
      </c>
      <c r="Z219" s="30" t="e">
        <f>_xll.qlTenorBasisValue(TenorBasis6M,R219,InterestRatesTrigger)</f>
        <v>#VALUE!</v>
      </c>
      <c r="AA219" s="30" t="e">
        <f t="shared" si="19"/>
        <v>#VALUE!</v>
      </c>
    </row>
    <row r="220" spans="15:27" x14ac:dyDescent="0.2">
      <c r="O220" s="33">
        <v>1</v>
      </c>
      <c r="P220" s="27" t="str">
        <f>_xll.qlPeriodEquivalent(P219&amp;"+"&amp;O220&amp;"M")</f>
        <v>18Y1M</v>
      </c>
      <c r="Q220" s="28">
        <f>_xll.qlCalendarAdvance(Calendar,SettlementDate,P220,"f",,Trigger)</f>
        <v>48885</v>
      </c>
      <c r="R220" s="28">
        <f>_xll.qlInterestRateIndexValueDate(Index,Q220,Trigger)</f>
        <v>48887</v>
      </c>
      <c r="S220" s="28">
        <f>_xll.qlInterestRateIndexMaturity(Index,R220,Trigger)</f>
        <v>48918</v>
      </c>
      <c r="T220" s="30">
        <f>_xll.qlIndexFixing($M$6,Q220,,InterestRatesTrigger)</f>
        <v>1.8847673265548804E-2</v>
      </c>
      <c r="U220" s="30">
        <f>_xll.qlIndexFixing(Index,Q220,,InterestRatesTrigger)</f>
        <v>1.9053725474106366E-2</v>
      </c>
      <c r="V220" s="30">
        <f t="shared" si="18"/>
        <v>2.0605220855756182E-4</v>
      </c>
      <c r="W220" s="29">
        <f>_xll.qlDayCounterYearFraction(DayCounter,SettlementDate,R220,,,Trigger)</f>
        <v>18.355555555555554</v>
      </c>
      <c r="X220" s="29">
        <f>_xll.qlDayCounterYearFraction(DayCounter,R220,S220)</f>
        <v>8.611111111111111E-2</v>
      </c>
      <c r="Y220" s="29">
        <f>_xll.qlYieldTSDiscount(Currency&amp;"ON",R220)/(1+U220*X220)</f>
        <v>0.79012899168459361</v>
      </c>
      <c r="Z220" s="30" t="e">
        <f>_xll.qlTenorBasisValue(TenorBasis6M,R220,InterestRatesTrigger)</f>
        <v>#VALUE!</v>
      </c>
      <c r="AA220" s="30" t="e">
        <f t="shared" si="19"/>
        <v>#VALUE!</v>
      </c>
    </row>
    <row r="221" spans="15:27" x14ac:dyDescent="0.2">
      <c r="O221" s="33">
        <v>1</v>
      </c>
      <c r="P221" s="27" t="str">
        <f>_xll.qlPeriodEquivalent(P220&amp;"+"&amp;O221&amp;"M")</f>
        <v>18Y2M</v>
      </c>
      <c r="Q221" s="28">
        <f>_xll.qlCalendarAdvance(Calendar,SettlementDate,P221,"f",,Trigger)</f>
        <v>48915</v>
      </c>
      <c r="R221" s="28">
        <f>_xll.qlInterestRateIndexValueDate(Index,Q221,Trigger)</f>
        <v>48919</v>
      </c>
      <c r="S221" s="28">
        <f>_xll.qlInterestRateIndexMaturity(Index,R221,Trigger)</f>
        <v>48950</v>
      </c>
      <c r="T221" s="30">
        <f>_xll.qlIndexFixing($M$6,Q221,,InterestRatesTrigger)</f>
        <v>1.8792502507140579E-2</v>
      </c>
      <c r="U221" s="30">
        <f>_xll.qlIndexFixing(Index,Q221,,InterestRatesTrigger)</f>
        <v>1.8998525963915252E-2</v>
      </c>
      <c r="V221" s="30">
        <f t="shared" si="18"/>
        <v>2.0602345677467326E-4</v>
      </c>
      <c r="W221" s="29">
        <f>_xll.qlDayCounterYearFraction(DayCounter,SettlementDate,R221,,,Trigger)</f>
        <v>18.444444444444443</v>
      </c>
      <c r="X221" s="29">
        <f>_xll.qlDayCounterYearFraction(DayCounter,R221,S221)</f>
        <v>8.611111111111111E-2</v>
      </c>
      <c r="Y221" s="29">
        <f>_xll.qlYieldTSDiscount(Currency&amp;"ON",R221)/(1+U221*X221)</f>
        <v>0.78881123302507339</v>
      </c>
      <c r="Z221" s="30" t="e">
        <f>_xll.qlTenorBasisValue(TenorBasis6M,R221,InterestRatesTrigger)</f>
        <v>#VALUE!</v>
      </c>
      <c r="AA221" s="30" t="e">
        <f t="shared" si="19"/>
        <v>#VALUE!</v>
      </c>
    </row>
    <row r="222" spans="15:27" x14ac:dyDescent="0.2">
      <c r="O222" s="33">
        <v>1</v>
      </c>
      <c r="P222" s="27" t="str">
        <f>_xll.qlPeriodEquivalent(P221&amp;"+"&amp;O222&amp;"M")</f>
        <v>18Y3M</v>
      </c>
      <c r="Q222" s="28">
        <f>_xll.qlCalendarAdvance(Calendar,SettlementDate,P222,"f",,Trigger)</f>
        <v>48946</v>
      </c>
      <c r="R222" s="28">
        <f>_xll.qlInterestRateIndexValueDate(Index,Q222,Trigger)</f>
        <v>48948</v>
      </c>
      <c r="S222" s="28">
        <f>_xll.qlInterestRateIndexMaturity(Index,R222,Trigger)</f>
        <v>48981</v>
      </c>
      <c r="T222" s="30">
        <f>_xll.qlIndexFixing($M$6,Q222,,InterestRatesTrigger)</f>
        <v>1.8741236028698503E-2</v>
      </c>
      <c r="U222" s="30">
        <f>_xll.qlIndexFixing(Index,Q222,,InterestRatesTrigger)</f>
        <v>1.8947134255869521E-2</v>
      </c>
      <c r="V222" s="30">
        <f t="shared" si="18"/>
        <v>2.0589822717101761E-4</v>
      </c>
      <c r="W222" s="29">
        <f>_xll.qlDayCounterYearFraction(DayCounter,SettlementDate,R222,,,Trigger)</f>
        <v>18.524999999999999</v>
      </c>
      <c r="X222" s="29">
        <f>_xll.qlDayCounterYearFraction(DayCounter,R222,S222)</f>
        <v>9.166666666666666E-2</v>
      </c>
      <c r="Y222" s="29">
        <f>_xll.qlYieldTSDiscount(Currency&amp;"ON",R222)/(1+U222*X222)</f>
        <v>0.78753957282222831</v>
      </c>
      <c r="Z222" s="30" t="e">
        <f>_xll.qlTenorBasisValue(TenorBasis6M,R222,InterestRatesTrigger)</f>
        <v>#VALUE!</v>
      </c>
      <c r="AA222" s="30" t="e">
        <f t="shared" si="19"/>
        <v>#VALUE!</v>
      </c>
    </row>
    <row r="223" spans="15:27" x14ac:dyDescent="0.2">
      <c r="O223" s="33">
        <v>1</v>
      </c>
      <c r="P223" s="27" t="str">
        <f>_xll.qlPeriodEquivalent(P222&amp;"+"&amp;O223&amp;"M")</f>
        <v>18Y4M</v>
      </c>
      <c r="Q223" s="28">
        <f>_xll.qlCalendarAdvance(Calendar,SettlementDate,P223,"f",,Trigger)</f>
        <v>48977</v>
      </c>
      <c r="R223" s="28">
        <f>_xll.qlInterestRateIndexValueDate(Index,Q223,Trigger)</f>
        <v>48981</v>
      </c>
      <c r="S223" s="28">
        <f>_xll.qlInterestRateIndexMaturity(Index,R223,Trigger)</f>
        <v>49009</v>
      </c>
      <c r="T223" s="30">
        <f>_xll.qlIndexFixing($M$6,Q223,,InterestRatesTrigger)</f>
        <v>1.8685209979274475E-2</v>
      </c>
      <c r="U223" s="30">
        <f>_xll.qlIndexFixing(Index,Q223,,InterestRatesTrigger)</f>
        <v>1.8890786927322014E-2</v>
      </c>
      <c r="V223" s="30">
        <f t="shared" si="18"/>
        <v>2.0557694804753876E-4</v>
      </c>
      <c r="W223" s="29">
        <f>_xll.qlDayCounterYearFraction(DayCounter,SettlementDate,R223,,,Trigger)</f>
        <v>18.616666666666667</v>
      </c>
      <c r="X223" s="29">
        <f>_xll.qlDayCounterYearFraction(DayCounter,R223,S223)</f>
        <v>7.7777777777777779E-2</v>
      </c>
      <c r="Y223" s="29">
        <f>_xll.qlYieldTSDiscount(Currency&amp;"ON",R223)/(1+U223*X223)</f>
        <v>0.78639896838379986</v>
      </c>
      <c r="Z223" s="30" t="e">
        <f>_xll.qlTenorBasisValue(TenorBasis6M,R223,InterestRatesTrigger)</f>
        <v>#VALUE!</v>
      </c>
      <c r="AA223" s="30" t="e">
        <f t="shared" si="19"/>
        <v>#VALUE!</v>
      </c>
    </row>
    <row r="224" spans="15:27" x14ac:dyDescent="0.2">
      <c r="O224" s="33">
        <v>1</v>
      </c>
      <c r="P224" s="27" t="str">
        <f>_xll.qlPeriodEquivalent(P223&amp;"+"&amp;O224&amp;"M")</f>
        <v>18Y5M</v>
      </c>
      <c r="Q224" s="28">
        <f>_xll.qlCalendarAdvance(Calendar,SettlementDate,P224,"f",,Trigger)</f>
        <v>49005</v>
      </c>
      <c r="R224" s="28">
        <f>_xll.qlInterestRateIndexValueDate(Index,Q224,Trigger)</f>
        <v>49009</v>
      </c>
      <c r="S224" s="28">
        <f>_xll.qlInterestRateIndexMaturity(Index,R224,Trigger)</f>
        <v>49040</v>
      </c>
      <c r="T224" s="30">
        <f>_xll.qlIndexFixing($M$6,Q224,,InterestRatesTrigger)</f>
        <v>1.8634356717577367E-2</v>
      </c>
      <c r="U224" s="30">
        <f>_xll.qlIndexFixing(Index,Q224,,InterestRatesTrigger)</f>
        <v>1.8839586158232089E-2</v>
      </c>
      <c r="V224" s="30">
        <f t="shared" si="18"/>
        <v>2.0522944065472226E-4</v>
      </c>
      <c r="W224" s="29">
        <f>_xll.qlDayCounterYearFraction(DayCounter,SettlementDate,R224,,,Trigger)</f>
        <v>18.694444444444443</v>
      </c>
      <c r="X224" s="29">
        <f>_xll.qlDayCounterYearFraction(DayCounter,R224,S224)</f>
        <v>8.611111111111111E-2</v>
      </c>
      <c r="Y224" s="29">
        <f>_xll.qlYieldTSDiscount(Currency&amp;"ON",R224)/(1+U224*X224)</f>
        <v>0.7851377968802713</v>
      </c>
      <c r="Z224" s="30" t="e">
        <f>_xll.qlTenorBasisValue(TenorBasis6M,R224,InterestRatesTrigger)</f>
        <v>#VALUE!</v>
      </c>
      <c r="AA224" s="30" t="e">
        <f t="shared" si="19"/>
        <v>#VALUE!</v>
      </c>
    </row>
    <row r="225" spans="15:27" x14ac:dyDescent="0.2">
      <c r="O225" s="33">
        <v>1</v>
      </c>
      <c r="P225" s="27" t="str">
        <f>_xll.qlPeriodEquivalent(P224&amp;"+"&amp;O225&amp;"M")</f>
        <v>18Y6M</v>
      </c>
      <c r="Q225" s="28">
        <f>_xll.qlCalendarAdvance(Calendar,SettlementDate,P225,"f",,Trigger)</f>
        <v>49037</v>
      </c>
      <c r="R225" s="28">
        <f>_xll.qlInterestRateIndexValueDate(Index,Q225,Trigger)</f>
        <v>49039</v>
      </c>
      <c r="S225" s="28">
        <f>_xll.qlInterestRateIndexMaturity(Index,R225,Trigger)</f>
        <v>49069</v>
      </c>
      <c r="T225" s="30">
        <f>_xll.qlIndexFixing($M$6,Q225,,InterestRatesTrigger)</f>
        <v>1.8581141434719228E-2</v>
      </c>
      <c r="U225" s="30">
        <f>_xll.qlIndexFixing(Index,Q225,,InterestRatesTrigger)</f>
        <v>1.8785863276534087E-2</v>
      </c>
      <c r="V225" s="30">
        <f t="shared" si="18"/>
        <v>2.0472184181485886E-4</v>
      </c>
      <c r="W225" s="29">
        <f>_xll.qlDayCounterYearFraction(DayCounter,SettlementDate,R225,,,Trigger)</f>
        <v>18.777777777777779</v>
      </c>
      <c r="X225" s="29">
        <f>_xll.qlDayCounterYearFraction(DayCounter,R225,S225)</f>
        <v>8.3333333333333329E-2</v>
      </c>
      <c r="Y225" s="29">
        <f>_xll.qlYieldTSDiscount(Currency&amp;"ON",R225)/(1+U225*X225)</f>
        <v>0.783964913229939</v>
      </c>
      <c r="Z225" s="30" t="e">
        <f>_xll.qlTenorBasisValue(TenorBasis6M,R225,InterestRatesTrigger)</f>
        <v>#VALUE!</v>
      </c>
      <c r="AA225" s="30" t="e">
        <f t="shared" si="19"/>
        <v>#VALUE!</v>
      </c>
    </row>
    <row r="226" spans="15:27" x14ac:dyDescent="0.2">
      <c r="O226" s="33">
        <v>1</v>
      </c>
      <c r="P226" s="27" t="str">
        <f>_xll.qlPeriodEquivalent(P225&amp;"+"&amp;O226&amp;"M")</f>
        <v>18Y7M</v>
      </c>
      <c r="Q226" s="28">
        <f>_xll.qlCalendarAdvance(Calendar,SettlementDate,P226,"f",,Trigger)</f>
        <v>49066</v>
      </c>
      <c r="R226" s="28">
        <f>_xll.qlInterestRateIndexValueDate(Index,Q226,Trigger)</f>
        <v>49068</v>
      </c>
      <c r="S226" s="28">
        <f>_xll.qlInterestRateIndexMaturity(Index,R226,Trigger)</f>
        <v>49100</v>
      </c>
      <c r="T226" s="30">
        <f>_xll.qlIndexFixing($M$6,Q226,,InterestRatesTrigger)</f>
        <v>1.8528035531040488E-2</v>
      </c>
      <c r="U226" s="30">
        <f>_xll.qlIndexFixing(Index,Q226,,InterestRatesTrigger)</f>
        <v>1.8732147959394652E-2</v>
      </c>
      <c r="V226" s="30">
        <f t="shared" si="18"/>
        <v>2.0411242835416399E-4</v>
      </c>
      <c r="W226" s="29">
        <f>_xll.qlDayCounterYearFraction(DayCounter,SettlementDate,R226,,,Trigger)</f>
        <v>18.858333333333334</v>
      </c>
      <c r="X226" s="29">
        <f>_xll.qlDayCounterYearFraction(DayCounter,R226,S226)</f>
        <v>8.8888888888888892E-2</v>
      </c>
      <c r="Y226" s="29">
        <f>_xll.qlYieldTSDiscount(Currency&amp;"ON",R226)/(1+U226*X226)</f>
        <v>0.78271536112501039</v>
      </c>
      <c r="Z226" s="30" t="e">
        <f>_xll.qlTenorBasisValue(TenorBasis6M,R226,InterestRatesTrigger)</f>
        <v>#VALUE!</v>
      </c>
      <c r="AA226" s="30" t="e">
        <f t="shared" si="19"/>
        <v>#VALUE!</v>
      </c>
    </row>
    <row r="227" spans="15:27" x14ac:dyDescent="0.2">
      <c r="O227" s="33">
        <v>1</v>
      </c>
      <c r="P227" s="27" t="str">
        <f>_xll.qlPeriodEquivalent(P226&amp;"+"&amp;O227&amp;"M")</f>
        <v>18Y8M</v>
      </c>
      <c r="Q227" s="28">
        <f>_xll.qlCalendarAdvance(Calendar,SettlementDate,P227,"f",,Trigger)</f>
        <v>49097</v>
      </c>
      <c r="R227" s="28">
        <f>_xll.qlInterestRateIndexValueDate(Index,Q227,Trigger)</f>
        <v>49101</v>
      </c>
      <c r="S227" s="28">
        <f>_xll.qlInterestRateIndexMaturity(Index,R227,Trigger)</f>
        <v>49131</v>
      </c>
      <c r="T227" s="30">
        <f>_xll.qlIndexFixing($M$6,Q227,,InterestRatesTrigger)</f>
        <v>1.8468967540034242E-2</v>
      </c>
      <c r="U227" s="30">
        <f>_xll.qlIndexFixing(Index,Q227,,InterestRatesTrigger)</f>
        <v>1.8672247142374587E-2</v>
      </c>
      <c r="V227" s="30">
        <f t="shared" si="18"/>
        <v>2.0327960234034492E-4</v>
      </c>
      <c r="W227" s="29">
        <f>_xll.qlDayCounterYearFraction(DayCounter,SettlementDate,R227,,,Trigger)</f>
        <v>18.95</v>
      </c>
      <c r="X227" s="29">
        <f>_xll.qlDayCounterYearFraction(DayCounter,R227,S227)</f>
        <v>8.3333333333333329E-2</v>
      </c>
      <c r="Y227" s="29">
        <f>_xll.qlYieldTSDiscount(Currency&amp;"ON",R227)/(1+U227*X227)</f>
        <v>0.7814733646844082</v>
      </c>
      <c r="Z227" s="30" t="e">
        <f>_xll.qlTenorBasisValue(TenorBasis6M,R227,InterestRatesTrigger)</f>
        <v>#VALUE!</v>
      </c>
      <c r="AA227" s="30" t="e">
        <f t="shared" si="19"/>
        <v>#VALUE!</v>
      </c>
    </row>
    <row r="228" spans="15:27" x14ac:dyDescent="0.2">
      <c r="O228" s="33">
        <v>1</v>
      </c>
      <c r="P228" s="27" t="str">
        <f>_xll.qlPeriodEquivalent(P227&amp;"+"&amp;O228&amp;"M")</f>
        <v>18Y9M</v>
      </c>
      <c r="Q228" s="28">
        <f>_xll.qlCalendarAdvance(Calendar,SettlementDate,P228,"f",,Trigger)</f>
        <v>49128</v>
      </c>
      <c r="R228" s="28">
        <f>_xll.qlInterestRateIndexValueDate(Index,Q228,Trigger)</f>
        <v>49130</v>
      </c>
      <c r="S228" s="28">
        <f>_xll.qlInterestRateIndexMaturity(Index,R228,Trigger)</f>
        <v>49163</v>
      </c>
      <c r="T228" s="30">
        <f>_xll.qlIndexFixing($M$6,Q228,,InterestRatesTrigger)</f>
        <v>1.8414562366182646E-2</v>
      </c>
      <c r="U228" s="30">
        <f>_xll.qlIndexFixing(Index,Q228,,InterestRatesTrigger)</f>
        <v>1.8616959799180322E-2</v>
      </c>
      <c r="V228" s="30">
        <f t="shared" si="18"/>
        <v>2.023974329976759E-4</v>
      </c>
      <c r="W228" s="29">
        <f>_xll.qlDayCounterYearFraction(DayCounter,SettlementDate,R228,,,Trigger)</f>
        <v>19.030555555555555</v>
      </c>
      <c r="X228" s="29">
        <f>_xll.qlDayCounterYearFraction(DayCounter,R228,S228)</f>
        <v>9.166666666666666E-2</v>
      </c>
      <c r="Y228" s="29">
        <f>_xll.qlYieldTSDiscount(Currency&amp;"ON",R228)/(1+U228*X228)</f>
        <v>0.78019514202396434</v>
      </c>
      <c r="Z228" s="30" t="e">
        <f>_xll.qlTenorBasisValue(TenorBasis6M,R228,InterestRatesTrigger)</f>
        <v>#VALUE!</v>
      </c>
      <c r="AA228" s="30" t="e">
        <f t="shared" si="19"/>
        <v>#VALUE!</v>
      </c>
    </row>
    <row r="229" spans="15:27" x14ac:dyDescent="0.2">
      <c r="O229" s="33">
        <v>1</v>
      </c>
      <c r="P229" s="27" t="str">
        <f>_xll.qlPeriodEquivalent(P228&amp;"+"&amp;O229&amp;"M")</f>
        <v>18Y10M</v>
      </c>
      <c r="Q229" s="28">
        <f>_xll.qlCalendarAdvance(Calendar,SettlementDate,P229,"f",,Trigger)</f>
        <v>49158</v>
      </c>
      <c r="R229" s="28">
        <f>_xll.qlInterestRateIndexValueDate(Index,Q229,Trigger)</f>
        <v>49160</v>
      </c>
      <c r="S229" s="28">
        <f>_xll.qlInterestRateIndexMaturity(Index,R229,Trigger)</f>
        <v>49191</v>
      </c>
      <c r="T229" s="30">
        <f>_xll.qlIndexFixing($M$6,Q229,,InterestRatesTrigger)</f>
        <v>1.8360187179124448E-2</v>
      </c>
      <c r="U229" s="30">
        <f>_xll.qlIndexFixing(Index,Q229,,InterestRatesTrigger)</f>
        <v>1.8561569995606434E-2</v>
      </c>
      <c r="V229" s="30">
        <f t="shared" si="18"/>
        <v>2.0138281648198614E-4</v>
      </c>
      <c r="W229" s="29">
        <f>_xll.qlDayCounterYearFraction(DayCounter,SettlementDate,R229,,,Trigger)</f>
        <v>19.113888888888887</v>
      </c>
      <c r="X229" s="29">
        <f>_xll.qlDayCounterYearFraction(DayCounter,R229,S229)</f>
        <v>8.611111111111111E-2</v>
      </c>
      <c r="Y229" s="29">
        <f>_xll.qlYieldTSDiscount(Currency&amp;"ON",R229)/(1+U229*X229)</f>
        <v>0.77908379431664776</v>
      </c>
      <c r="Z229" s="30" t="e">
        <f>_xll.qlTenorBasisValue(TenorBasis6M,R229,InterestRatesTrigger)</f>
        <v>#VALUE!</v>
      </c>
      <c r="AA229" s="30" t="e">
        <f t="shared" si="19"/>
        <v>#VALUE!</v>
      </c>
    </row>
    <row r="230" spans="15:27" x14ac:dyDescent="0.2">
      <c r="O230" s="33">
        <v>1</v>
      </c>
      <c r="P230" s="27" t="str">
        <f>_xll.qlPeriodEquivalent(P229&amp;"+"&amp;O230&amp;"M")</f>
        <v>18Y11M</v>
      </c>
      <c r="Q230" s="28">
        <f>_xll.qlCalendarAdvance(Calendar,SettlementDate,P230,"f",,Trigger)</f>
        <v>49191</v>
      </c>
      <c r="R230" s="28">
        <f>_xll.qlInterestRateIndexValueDate(Index,Q230,Trigger)</f>
        <v>49193</v>
      </c>
      <c r="S230" s="28">
        <f>_xll.qlInterestRateIndexMaturity(Index,R230,Trigger)</f>
        <v>49223</v>
      </c>
      <c r="T230" s="30">
        <f>_xll.qlIndexFixing($M$6,Q230,,InterestRatesTrigger)</f>
        <v>1.829943499935105E-2</v>
      </c>
      <c r="U230" s="30">
        <f>_xll.qlIndexFixing(Index,Q230,,InterestRatesTrigger)</f>
        <v>1.8499543239379967E-2</v>
      </c>
      <c r="V230" s="30">
        <f t="shared" si="18"/>
        <v>2.0010824002891781E-4</v>
      </c>
      <c r="W230" s="29">
        <f>_xll.qlDayCounterYearFraction(DayCounter,SettlementDate,R230,,,Trigger)</f>
        <v>19.205555555555556</v>
      </c>
      <c r="X230" s="29">
        <f>_xll.qlDayCounterYearFraction(DayCounter,R230,S230)</f>
        <v>8.3333333333333329E-2</v>
      </c>
      <c r="Y230" s="29">
        <f>_xll.qlYieldTSDiscount(Currency&amp;"ON",R230)/(1+U230*X230)</f>
        <v>0.77781890547545895</v>
      </c>
      <c r="Z230" s="30" t="e">
        <f>_xll.qlTenorBasisValue(TenorBasis6M,R230,InterestRatesTrigger)</f>
        <v>#VALUE!</v>
      </c>
      <c r="AA230" s="30" t="e">
        <f t="shared" si="19"/>
        <v>#VALUE!</v>
      </c>
    </row>
    <row r="231" spans="15:27" x14ac:dyDescent="0.2">
      <c r="O231" s="33">
        <v>1</v>
      </c>
      <c r="P231" s="27" t="str">
        <f>_xll.qlPeriodEquivalent(P230&amp;"+"&amp;O231&amp;"M")</f>
        <v>19Y</v>
      </c>
      <c r="Q231" s="28">
        <f>_xll.qlCalendarAdvance(Calendar,SettlementDate,P231,"f",,Trigger)</f>
        <v>49219</v>
      </c>
      <c r="R231" s="28">
        <f>_xll.qlInterestRateIndexValueDate(Index,Q231,Trigger)</f>
        <v>49221</v>
      </c>
      <c r="S231" s="28">
        <f>_xll.qlInterestRateIndexMaturity(Index,R231,Trigger)</f>
        <v>49254</v>
      </c>
      <c r="T231" s="30">
        <f>_xll.qlIndexFixing($M$6,Q231,,InterestRatesTrigger)</f>
        <v>1.8245746433989334E-2</v>
      </c>
      <c r="U231" s="30">
        <f>_xll.qlIndexFixing(Index,Q231,,InterestRatesTrigger)</f>
        <v>1.8444596038648019E-2</v>
      </c>
      <c r="V231" s="30">
        <f t="shared" si="18"/>
        <v>1.9884960465868518E-4</v>
      </c>
      <c r="W231" s="29">
        <f>_xll.qlDayCounterYearFraction(DayCounter,SettlementDate,R231,,,Trigger)</f>
        <v>19.283333333333335</v>
      </c>
      <c r="X231" s="29">
        <f>_xll.qlDayCounterYearFraction(DayCounter,R231,S231)</f>
        <v>9.166666666666666E-2</v>
      </c>
      <c r="Y231" s="29">
        <f>_xll.qlYieldTSDiscount(Currency&amp;"ON",R231)/(1+U231*X231)</f>
        <v>0.7765977285464607</v>
      </c>
      <c r="Z231" s="30" t="e">
        <f>_xll.qlTenorBasisValue(TenorBasis6M,R231,InterestRatesTrigger)</f>
        <v>#VALUE!</v>
      </c>
      <c r="AA231" s="30" t="e">
        <f t="shared" si="19"/>
        <v>#VALUE!</v>
      </c>
    </row>
    <row r="232" spans="15:27" x14ac:dyDescent="0.2">
      <c r="O232" s="33">
        <v>1</v>
      </c>
      <c r="P232" s="27" t="str">
        <f>_xll.qlPeriodEquivalent(P231&amp;"+"&amp;O232&amp;"M")</f>
        <v>19Y1M</v>
      </c>
      <c r="Q232" s="28">
        <f>_xll.qlCalendarAdvance(Calendar,SettlementDate,P232,"f",,Trigger)</f>
        <v>49250</v>
      </c>
      <c r="R232" s="28">
        <f>_xll.qlInterestRateIndexValueDate(Index,Q232,Trigger)</f>
        <v>49254</v>
      </c>
      <c r="S232" s="28">
        <f>_xll.qlInterestRateIndexMaturity(Index,R232,Trigger)</f>
        <v>49284</v>
      </c>
      <c r="T232" s="30">
        <f>_xll.qlIndexFixing($M$6,Q232,,InterestRatesTrigger)</f>
        <v>1.818520683468261E-2</v>
      </c>
      <c r="U232" s="30">
        <f>_xll.qlIndexFixing(Index,Q232,,InterestRatesTrigger)</f>
        <v>1.8382502528406341E-2</v>
      </c>
      <c r="V232" s="30">
        <f t="shared" si="18"/>
        <v>1.9729569372373135E-4</v>
      </c>
      <c r="W232" s="29">
        <f>_xll.qlDayCounterYearFraction(DayCounter,SettlementDate,R232,,,Trigger)</f>
        <v>19.375</v>
      </c>
      <c r="X232" s="29">
        <f>_xll.qlDayCounterYearFraction(DayCounter,R232,S232)</f>
        <v>8.3333333333333329E-2</v>
      </c>
      <c r="Y232" s="29">
        <f>_xll.qlYieldTSDiscount(Currency&amp;"ON",R232)/(1+U232*X232)</f>
        <v>0.77542400782532117</v>
      </c>
      <c r="Z232" s="30" t="e">
        <f>_xll.qlTenorBasisValue(TenorBasis6M,R232,InterestRatesTrigger)</f>
        <v>#VALUE!</v>
      </c>
      <c r="AA232" s="30" t="e">
        <f t="shared" si="19"/>
        <v>#VALUE!</v>
      </c>
    </row>
    <row r="233" spans="15:27" x14ac:dyDescent="0.2">
      <c r="O233" s="33">
        <v>1</v>
      </c>
      <c r="P233" s="27" t="str">
        <f>_xll.qlPeriodEquivalent(P232&amp;"+"&amp;O233&amp;"M")</f>
        <v>19Y2M</v>
      </c>
      <c r="Q233" s="28">
        <f>_xll.qlCalendarAdvance(Calendar,SettlementDate,P233,"f",,Trigger)</f>
        <v>49282</v>
      </c>
      <c r="R233" s="28">
        <f>_xll.qlInterestRateIndexValueDate(Index,Q233,Trigger)</f>
        <v>49284</v>
      </c>
      <c r="S233" s="28">
        <f>_xll.qlInterestRateIndexMaturity(Index,R233,Trigger)</f>
        <v>49317</v>
      </c>
      <c r="T233" s="30">
        <f>_xll.qlIndexFixing($M$6,Q233,,InterestRatesTrigger)</f>
        <v>1.812707340969217E-2</v>
      </c>
      <c r="U233" s="30">
        <f>_xll.qlIndexFixing(Index,Q233,,InterestRatesTrigger)</f>
        <v>1.8322715379482834E-2</v>
      </c>
      <c r="V233" s="30">
        <f t="shared" si="18"/>
        <v>1.9564196979066431E-4</v>
      </c>
      <c r="W233" s="29">
        <f>_xll.qlDayCounterYearFraction(DayCounter,SettlementDate,R233,,,Trigger)</f>
        <v>19.458333333333332</v>
      </c>
      <c r="X233" s="29">
        <f>_xll.qlDayCounterYearFraction(DayCounter,R233,S233)</f>
        <v>9.166666666666666E-2</v>
      </c>
      <c r="Y233" s="29">
        <f>_xll.qlYieldTSDiscount(Currency&amp;"ON",R233)/(1+U233*X233)</f>
        <v>0.77413651158050689</v>
      </c>
      <c r="Z233" s="30" t="e">
        <f>_xll.qlTenorBasisValue(TenorBasis6M,R233,InterestRatesTrigger)</f>
        <v>#VALUE!</v>
      </c>
      <c r="AA233" s="30" t="e">
        <f t="shared" si="19"/>
        <v>#VALUE!</v>
      </c>
    </row>
    <row r="234" spans="15:27" x14ac:dyDescent="0.2">
      <c r="O234" s="33">
        <v>1</v>
      </c>
      <c r="P234" s="27" t="str">
        <f>_xll.qlPeriodEquivalent(P233&amp;"+"&amp;O234&amp;"M")</f>
        <v>19Y3M</v>
      </c>
      <c r="Q234" s="28">
        <f>_xll.qlCalendarAdvance(Calendar,SettlementDate,P234,"f",,Trigger)</f>
        <v>49311</v>
      </c>
      <c r="R234" s="28">
        <f>_xll.qlInterestRateIndexValueDate(Index,Q234,Trigger)</f>
        <v>49313</v>
      </c>
      <c r="S234" s="28">
        <f>_xll.qlInterestRateIndexMaturity(Index,R234,Trigger)</f>
        <v>49345</v>
      </c>
      <c r="T234" s="30">
        <f>_xll.qlIndexFixing($M$6,Q234,,InterestRatesTrigger)</f>
        <v>1.8072501031044241E-2</v>
      </c>
      <c r="U234" s="30">
        <f>_xll.qlIndexFixing(Index,Q234,,InterestRatesTrigger)</f>
        <v>1.8266473388285631E-2</v>
      </c>
      <c r="V234" s="30">
        <f t="shared" si="18"/>
        <v>1.9397235724138984E-4</v>
      </c>
      <c r="W234" s="29">
        <f>_xll.qlDayCounterYearFraction(DayCounter,SettlementDate,R234,,,Trigger)</f>
        <v>19.538888888888888</v>
      </c>
      <c r="X234" s="29">
        <f>_xll.qlDayCounterYearFraction(DayCounter,R234,S234)</f>
        <v>8.8888888888888892E-2</v>
      </c>
      <c r="Y234" s="29">
        <f>_xll.qlYieldTSDiscount(Currency&amp;"ON",R234)/(1+U234*X234)</f>
        <v>0.7730507529994165</v>
      </c>
      <c r="Z234" s="30" t="e">
        <f>_xll.qlTenorBasisValue(TenorBasis6M,R234,InterestRatesTrigger)</f>
        <v>#VALUE!</v>
      </c>
      <c r="AA234" s="30" t="e">
        <f t="shared" si="19"/>
        <v>#VALUE!</v>
      </c>
    </row>
    <row r="235" spans="15:27" x14ac:dyDescent="0.2">
      <c r="O235" s="33">
        <v>1</v>
      </c>
      <c r="P235" s="27" t="str">
        <f>_xll.qlPeriodEquivalent(P234&amp;"+"&amp;O235&amp;"M")</f>
        <v>19Y4M</v>
      </c>
      <c r="Q235" s="28">
        <f>_xll.qlCalendarAdvance(Calendar,SettlementDate,P235,"f",,Trigger)</f>
        <v>49342</v>
      </c>
      <c r="R235" s="28">
        <f>_xll.qlInterestRateIndexValueDate(Index,Q235,Trigger)</f>
        <v>49346</v>
      </c>
      <c r="S235" s="28">
        <f>_xll.qlInterestRateIndexMaturity(Index,R235,Trigger)</f>
        <v>49374</v>
      </c>
      <c r="T235" s="30">
        <f>_xll.qlIndexFixing($M$6,Q235,,InterestRatesTrigger)</f>
        <v>1.8011554330333381E-2</v>
      </c>
      <c r="U235" s="30">
        <f>_xll.qlIndexFixing(Index,Q235,,InterestRatesTrigger)</f>
        <v>1.8203532579242739E-2</v>
      </c>
      <c r="V235" s="30">
        <f t="shared" si="18"/>
        <v>1.919782489093573E-4</v>
      </c>
      <c r="W235" s="29">
        <f>_xll.qlDayCounterYearFraction(DayCounter,SettlementDate,R235,,,Trigger)</f>
        <v>19.630555555555556</v>
      </c>
      <c r="X235" s="29">
        <f>_xll.qlDayCounterYearFraction(DayCounter,R235,S235)</f>
        <v>7.7777777777777779E-2</v>
      </c>
      <c r="Y235" s="29">
        <f>_xll.qlYieldTSDiscount(Currency&amp;"ON",R235)/(1+U235*X235)</f>
        <v>0.77193242583435562</v>
      </c>
      <c r="Z235" s="30" t="e">
        <f>_xll.qlTenorBasisValue(TenorBasis6M,R235,InterestRatesTrigger)</f>
        <v>#VALUE!</v>
      </c>
      <c r="AA235" s="30" t="e">
        <f t="shared" si="19"/>
        <v>#VALUE!</v>
      </c>
    </row>
    <row r="236" spans="15:27" x14ac:dyDescent="0.2">
      <c r="O236" s="33">
        <v>1</v>
      </c>
      <c r="P236" s="27" t="str">
        <f>_xll.qlPeriodEquivalent(P235&amp;"+"&amp;O236&amp;"M")</f>
        <v>19Y5M</v>
      </c>
      <c r="Q236" s="28">
        <f>_xll.qlCalendarAdvance(Calendar,SettlementDate,P236,"f",,Trigger)</f>
        <v>49370</v>
      </c>
      <c r="R236" s="28">
        <f>_xll.qlInterestRateIndexValueDate(Index,Q236,Trigger)</f>
        <v>49374</v>
      </c>
      <c r="S236" s="28">
        <f>_xll.qlInterestRateIndexMaturity(Index,R236,Trigger)</f>
        <v>49405</v>
      </c>
      <c r="T236" s="30">
        <f>_xll.qlIndexFixing($M$6,Q236,,InterestRatesTrigger)</f>
        <v>1.7956362126320877E-2</v>
      </c>
      <c r="U236" s="30">
        <f>_xll.qlIndexFixing(Index,Q236,,InterestRatesTrigger)</f>
        <v>1.8146356858505359E-2</v>
      </c>
      <c r="V236" s="30">
        <f t="shared" si="18"/>
        <v>1.8999473218448207E-4</v>
      </c>
      <c r="W236" s="29">
        <f>_xll.qlDayCounterYearFraction(DayCounter,SettlementDate,R236,,,Trigger)</f>
        <v>19.708333333333332</v>
      </c>
      <c r="X236" s="29">
        <f>_xll.qlDayCounterYearFraction(DayCounter,R236,S236)</f>
        <v>8.611111111111111E-2</v>
      </c>
      <c r="Y236" s="29">
        <f>_xll.qlYieldTSDiscount(Currency&amp;"ON",R236)/(1+U236*X236)</f>
        <v>0.77073957599174814</v>
      </c>
      <c r="Z236" s="30" t="e">
        <f>_xll.qlTenorBasisValue(TenorBasis6M,R236,InterestRatesTrigger)</f>
        <v>#VALUE!</v>
      </c>
      <c r="AA236" s="30" t="e">
        <f t="shared" si="19"/>
        <v>#VALUE!</v>
      </c>
    </row>
    <row r="237" spans="15:27" x14ac:dyDescent="0.2">
      <c r="O237" s="33">
        <v>1</v>
      </c>
      <c r="P237" s="27" t="str">
        <f>_xll.qlPeriodEquivalent(P236&amp;"+"&amp;O237&amp;"M")</f>
        <v>19Y6M</v>
      </c>
      <c r="Q237" s="28">
        <f>_xll.qlCalendarAdvance(Calendar,SettlementDate,P237,"f",,Trigger)</f>
        <v>49401</v>
      </c>
      <c r="R237" s="28">
        <f>_xll.qlInterestRateIndexValueDate(Index,Q237,Trigger)</f>
        <v>49403</v>
      </c>
      <c r="S237" s="28">
        <f>_xll.qlInterestRateIndexMaturity(Index,R237,Trigger)</f>
        <v>49433</v>
      </c>
      <c r="T237" s="30">
        <f>_xll.qlIndexFixing($M$6,Q237,,InterestRatesTrigger)</f>
        <v>1.7901069670434921E-2</v>
      </c>
      <c r="U237" s="30">
        <f>_xll.qlIndexFixing(Index,Q237,,InterestRatesTrigger)</f>
        <v>1.8088972260213332E-2</v>
      </c>
      <c r="V237" s="30">
        <f t="shared" si="18"/>
        <v>1.8790258977841034E-4</v>
      </c>
      <c r="W237" s="29">
        <f>_xll.qlDayCounterYearFraction(DayCounter,SettlementDate,R237,,,Trigger)</f>
        <v>19.788888888888888</v>
      </c>
      <c r="X237" s="29">
        <f>_xll.qlDayCounterYearFraction(DayCounter,R237,S237)</f>
        <v>8.3333333333333329E-2</v>
      </c>
      <c r="Y237" s="29">
        <f>_xll.qlYieldTSDiscount(Currency&amp;"ON",R237)/(1+U237*X237)</f>
        <v>0.76966867037703846</v>
      </c>
      <c r="Z237" s="30" t="e">
        <f>_xll.qlTenorBasisValue(TenorBasis6M,R237,InterestRatesTrigger)</f>
        <v>#VALUE!</v>
      </c>
      <c r="AA237" s="30" t="e">
        <f t="shared" si="19"/>
        <v>#VALUE!</v>
      </c>
    </row>
    <row r="238" spans="15:27" x14ac:dyDescent="0.2">
      <c r="O238" s="33">
        <v>1</v>
      </c>
      <c r="P238" s="27" t="str">
        <f>_xll.qlPeriodEquivalent(P237&amp;"+"&amp;O238&amp;"M")</f>
        <v>19Y7M</v>
      </c>
      <c r="Q238" s="28">
        <f>_xll.qlCalendarAdvance(Calendar,SettlementDate,P238,"f",,Trigger)</f>
        <v>49431</v>
      </c>
      <c r="R238" s="28">
        <f>_xll.qlInterestRateIndexValueDate(Index,Q238,Trigger)</f>
        <v>49433</v>
      </c>
      <c r="S238" s="28">
        <f>_xll.qlInterestRateIndexMaturity(Index,R238,Trigger)</f>
        <v>49464</v>
      </c>
      <c r="T238" s="30">
        <f>_xll.qlIndexFixing($M$6,Q238,,InterestRatesTrigger)</f>
        <v>1.78425897304526E-2</v>
      </c>
      <c r="U238" s="30">
        <f>_xll.qlIndexFixing(Index,Q238,,InterestRatesTrigger)</f>
        <v>1.8028116912353818E-2</v>
      </c>
      <c r="V238" s="30">
        <f t="shared" si="18"/>
        <v>1.8552718190121761E-4</v>
      </c>
      <c r="W238" s="29">
        <f>_xll.qlDayCounterYearFraction(DayCounter,SettlementDate,R238,,,Trigger)</f>
        <v>19.872222222222224</v>
      </c>
      <c r="X238" s="29">
        <f>_xll.qlDayCounterYearFraction(DayCounter,R238,S238)</f>
        <v>8.611111111111111E-2</v>
      </c>
      <c r="Y238" s="29">
        <f>_xll.qlYieldTSDiscount(Currency&amp;"ON",R238)/(1+U238*X238)</f>
        <v>0.76848768775809595</v>
      </c>
      <c r="Z238" s="30" t="e">
        <f>_xll.qlTenorBasisValue(TenorBasis6M,R238,InterestRatesTrigger)</f>
        <v>#VALUE!</v>
      </c>
      <c r="AA238" s="30" t="e">
        <f t="shared" si="19"/>
        <v>#VALUE!</v>
      </c>
    </row>
    <row r="239" spans="15:27" x14ac:dyDescent="0.2">
      <c r="O239" s="33">
        <v>1</v>
      </c>
      <c r="P239" s="27" t="str">
        <f>_xll.qlPeriodEquivalent(P238&amp;"+"&amp;O239&amp;"M")</f>
        <v>19Y8M</v>
      </c>
      <c r="Q239" s="28">
        <f>_xll.qlCalendarAdvance(Calendar,SettlementDate,P239,"f",,Trigger)</f>
        <v>49464</v>
      </c>
      <c r="R239" s="28">
        <f>_xll.qlInterestRateIndexValueDate(Index,Q239,Trigger)</f>
        <v>49466</v>
      </c>
      <c r="S239" s="28">
        <f>_xll.qlInterestRateIndexMaturity(Index,R239,Trigger)</f>
        <v>49496</v>
      </c>
      <c r="T239" s="30">
        <f>_xll.qlIndexFixing($M$6,Q239,,InterestRatesTrigger)</f>
        <v>1.7779124747893782E-2</v>
      </c>
      <c r="U239" s="30">
        <f>_xll.qlIndexFixing(Index,Q239,,InterestRatesTrigger)</f>
        <v>1.7961923433684746E-2</v>
      </c>
      <c r="V239" s="30">
        <f t="shared" si="18"/>
        <v>1.8279868579096359E-4</v>
      </c>
      <c r="W239" s="29">
        <f>_xll.qlDayCounterYearFraction(DayCounter,SettlementDate,R239,,,Trigger)</f>
        <v>19.963888888888889</v>
      </c>
      <c r="X239" s="29">
        <f>_xll.qlDayCounterYearFraction(DayCounter,R239,S239)</f>
        <v>8.3333333333333329E-2</v>
      </c>
      <c r="Y239" s="29">
        <f>_xll.qlYieldTSDiscount(Currency&amp;"ON",R239)/(1+U239*X239)</f>
        <v>0.76727548813397595</v>
      </c>
      <c r="Z239" s="30" t="e">
        <f>_xll.qlTenorBasisValue(TenorBasis6M,R239,InterestRatesTrigger)</f>
        <v>#VALUE!</v>
      </c>
      <c r="AA239" s="30" t="e">
        <f t="shared" si="19"/>
        <v>#VALUE!</v>
      </c>
    </row>
    <row r="240" spans="15:27" x14ac:dyDescent="0.2">
      <c r="O240" s="33">
        <v>1</v>
      </c>
      <c r="P240" s="27" t="str">
        <f>_xll.qlPeriodEquivalent(P239&amp;"+"&amp;O240&amp;"M")</f>
        <v>19Y9M</v>
      </c>
      <c r="Q240" s="28">
        <f>_xll.qlCalendarAdvance(Calendar,SettlementDate,P240,"f",,Trigger)</f>
        <v>49492</v>
      </c>
      <c r="R240" s="28">
        <f>_xll.qlInterestRateIndexValueDate(Index,Q240,Trigger)</f>
        <v>49494</v>
      </c>
      <c r="S240" s="28">
        <f>_xll.qlInterestRateIndexMaturity(Index,R240,Trigger)</f>
        <v>49527</v>
      </c>
      <c r="T240" s="30">
        <f>_xll.qlIndexFixing($M$6,Q240,,InterestRatesTrigger)</f>
        <v>1.7723029526969955E-2</v>
      </c>
      <c r="U240" s="30">
        <f>_xll.qlIndexFixing(Index,Q240,,InterestRatesTrigger)</f>
        <v>1.7903222246045531E-2</v>
      </c>
      <c r="V240" s="30">
        <f t="shared" si="18"/>
        <v>1.8019271907557602E-4</v>
      </c>
      <c r="W240" s="29">
        <f>_xll.qlDayCounterYearFraction(DayCounter,SettlementDate,R240,,,Trigger)</f>
        <v>20.041666666666668</v>
      </c>
      <c r="X240" s="29">
        <f>_xll.qlDayCounterYearFraction(DayCounter,R240,S240)</f>
        <v>9.166666666666666E-2</v>
      </c>
      <c r="Y240" s="29">
        <f>_xll.qlYieldTSDiscount(Currency&amp;"ON",R240)/(1+U240*X240)</f>
        <v>0.76610550019787149</v>
      </c>
      <c r="Z240" s="30" t="e">
        <f>_xll.qlTenorBasisValue(TenorBasis6M,R240,InterestRatesTrigger)</f>
        <v>#VALUE!</v>
      </c>
      <c r="AA240" s="30" t="e">
        <f t="shared" si="19"/>
        <v>#VALUE!</v>
      </c>
    </row>
    <row r="241" spans="15:27" x14ac:dyDescent="0.2">
      <c r="O241" s="33">
        <v>1</v>
      </c>
      <c r="P241" s="27" t="str">
        <f>_xll.qlPeriodEquivalent(P240&amp;"+"&amp;O241&amp;"M")</f>
        <v>19Y10M</v>
      </c>
      <c r="Q241" s="28">
        <f>_xll.qlCalendarAdvance(Calendar,SettlementDate,P241,"f",,Trigger)</f>
        <v>49523</v>
      </c>
      <c r="R241" s="28">
        <f>_xll.qlInterestRateIndexValueDate(Index,Q241,Trigger)</f>
        <v>49527</v>
      </c>
      <c r="S241" s="28">
        <f>_xll.qlInterestRateIndexMaturity(Index,R241,Trigger)</f>
        <v>49558</v>
      </c>
      <c r="T241" s="30">
        <f>_xll.qlIndexFixing($M$6,Q241,,InterestRatesTrigger)</f>
        <v>1.7659698077373661E-2</v>
      </c>
      <c r="U241" s="30">
        <f>_xll.qlIndexFixing(Index,Q241,,InterestRatesTrigger)</f>
        <v>1.7836841717501828E-2</v>
      </c>
      <c r="V241" s="30">
        <f t="shared" si="18"/>
        <v>1.7714364012816688E-4</v>
      </c>
      <c r="W241" s="29">
        <f>_xll.qlDayCounterYearFraction(DayCounter,SettlementDate,R241,,,Trigger)</f>
        <v>20.133333333333333</v>
      </c>
      <c r="X241" s="29">
        <f>_xll.qlDayCounterYearFraction(DayCounter,R241,S241)</f>
        <v>8.611111111111111E-2</v>
      </c>
      <c r="Y241" s="29">
        <f>_xll.qlYieldTSDiscount(Currency&amp;"ON",R241)/(1+U241*X241)</f>
        <v>0.76494321921197583</v>
      </c>
      <c r="Z241" s="30" t="e">
        <f>_xll.qlTenorBasisValue(TenorBasis6M,R241,InterestRatesTrigger)</f>
        <v>#VALUE!</v>
      </c>
      <c r="AA241" s="30" t="e">
        <f t="shared" si="19"/>
        <v>#VALUE!</v>
      </c>
    </row>
    <row r="242" spans="15:27" x14ac:dyDescent="0.2">
      <c r="O242" s="33">
        <v>1</v>
      </c>
      <c r="P242" s="27" t="str">
        <f>_xll.qlPeriodEquivalent(P241&amp;"+"&amp;O242&amp;"M")</f>
        <v>19Y11M</v>
      </c>
      <c r="Q242" s="28">
        <f>_xll.qlCalendarAdvance(Calendar,SettlementDate,P242,"f",,Trigger)</f>
        <v>49555</v>
      </c>
      <c r="R242" s="28">
        <f>_xll.qlInterestRateIndexValueDate(Index,Q242,Trigger)</f>
        <v>49557</v>
      </c>
      <c r="S242" s="28">
        <f>_xll.qlInterestRateIndexMaturity(Index,R242,Trigger)</f>
        <v>49587</v>
      </c>
      <c r="T242" s="30">
        <f>_xll.qlIndexFixing($M$6,Q242,,InterestRatesTrigger)</f>
        <v>1.7601528562344093E-2</v>
      </c>
      <c r="U242" s="30">
        <f>_xll.qlIndexFixing(Index,Q242,,InterestRatesTrigger)</f>
        <v>1.777570241954507E-2</v>
      </c>
      <c r="V242" s="30">
        <f t="shared" si="18"/>
        <v>1.7417385720097656E-4</v>
      </c>
      <c r="W242" s="29">
        <f>_xll.qlDayCounterYearFraction(DayCounter,SettlementDate,R242,,,Trigger)</f>
        <v>20.216666666666665</v>
      </c>
      <c r="X242" s="29">
        <f>_xll.qlDayCounterYearFraction(DayCounter,R242,S242)</f>
        <v>8.3333333333333329E-2</v>
      </c>
      <c r="Y242" s="29">
        <f>_xll.qlYieldTSDiscount(Currency&amp;"ON",R242)/(1+U242*X242)</f>
        <v>0.76386079127606721</v>
      </c>
      <c r="Z242" s="30" t="e">
        <f>_xll.qlTenorBasisValue(TenorBasis6M,R242,InterestRatesTrigger)</f>
        <v>#VALUE!</v>
      </c>
      <c r="AA242" s="30" t="e">
        <f t="shared" si="19"/>
        <v>#VALUE!</v>
      </c>
    </row>
    <row r="243" spans="15:27" x14ac:dyDescent="0.2">
      <c r="O243" s="33">
        <v>1</v>
      </c>
      <c r="P243" s="27" t="str">
        <f>_xll.qlPeriodEquivalent(P242&amp;"+"&amp;O243&amp;"M")</f>
        <v>20Y</v>
      </c>
      <c r="Q243" s="28">
        <f>_xll.qlCalendarAdvance(Calendar,SettlementDate,P243,"f",,Trigger)</f>
        <v>49584</v>
      </c>
      <c r="R243" s="28">
        <f>_xll.qlInterestRateIndexValueDate(Index,Q243,Trigger)</f>
        <v>49586</v>
      </c>
      <c r="S243" s="28">
        <f>_xll.qlInterestRateIndexMaturity(Index,R243,Trigger)</f>
        <v>49618</v>
      </c>
      <c r="T243" s="30">
        <f>_xll.qlIndexFixing($M$6,Q243,,InterestRatesTrigger)</f>
        <v>1.7543576236571379E-2</v>
      </c>
      <c r="U243" s="30">
        <f>_xll.qlIndexFixing(Index,Q243,,InterestRatesTrigger)</f>
        <v>1.7714631157329241E-2</v>
      </c>
      <c r="V243" s="30">
        <f t="shared" si="18"/>
        <v>1.7105492075786266E-4</v>
      </c>
      <c r="W243" s="29">
        <f>_xll.qlDayCounterYearFraction(DayCounter,SettlementDate,R243,,,Trigger)</f>
        <v>20.297222222222221</v>
      </c>
      <c r="X243" s="29">
        <f>_xll.qlDayCounterYearFraction(DayCounter,R243,S243)</f>
        <v>8.8888888888888892E-2</v>
      </c>
      <c r="Y243" s="29">
        <f>_xll.qlYieldTSDiscount(Currency&amp;"ON",R243)/(1+U243*X243)</f>
        <v>0.76270813742270827</v>
      </c>
      <c r="Z243" s="30" t="e">
        <f>_xll.qlTenorBasisValue(TenorBasis6M,R243,InterestRatesTrigger)</f>
        <v>#VALUE!</v>
      </c>
      <c r="AA243" s="30" t="e">
        <f t="shared" si="19"/>
        <v>#VALUE!</v>
      </c>
    </row>
    <row r="244" spans="15:27" x14ac:dyDescent="0.2">
      <c r="O244" s="33">
        <v>1</v>
      </c>
      <c r="P244" s="27" t="str">
        <f>_xll.qlPeriodEquivalent(P243&amp;"+"&amp;O244&amp;"M")</f>
        <v>20Y1M</v>
      </c>
      <c r="Q244" s="28">
        <f>_xll.qlCalendarAdvance(Calendar,SettlementDate,P244,"f",,Trigger)</f>
        <v>49615</v>
      </c>
      <c r="R244" s="28">
        <f>_xll.qlInterestRateIndexValueDate(Index,Q244,Trigger)</f>
        <v>49619</v>
      </c>
      <c r="S244" s="28">
        <f>_xll.qlInterestRateIndexMaturity(Index,R244,Trigger)</f>
        <v>49649</v>
      </c>
      <c r="T244" s="30">
        <f>_xll.qlIndexFixing($M$6,Q244,,InterestRatesTrigger)</f>
        <v>1.7480069095305417E-2</v>
      </c>
      <c r="U244" s="30">
        <f>_xll.qlIndexFixing(Index,Q244,,InterestRatesTrigger)</f>
        <v>1.7647761280803032E-2</v>
      </c>
      <c r="V244" s="30">
        <f t="shared" si="18"/>
        <v>1.6769218549761433E-4</v>
      </c>
      <c r="W244" s="29">
        <f>_xll.qlDayCounterYearFraction(DayCounter,SettlementDate,R244,,,Trigger)</f>
        <v>20.388888888888889</v>
      </c>
      <c r="X244" s="29">
        <f>_xll.qlDayCounterYearFraction(DayCounter,R244,S244)</f>
        <v>8.3333333333333329E-2</v>
      </c>
      <c r="Y244" s="29">
        <f>_xll.qlYieldTSDiscount(Currency&amp;"ON",R244)/(1+U244*X244)</f>
        <v>0.7615626558519375</v>
      </c>
      <c r="Z244" s="30" t="e">
        <f>_xll.qlTenorBasisValue(TenorBasis6M,R244,InterestRatesTrigger)</f>
        <v>#VALUE!</v>
      </c>
      <c r="AA244" s="30" t="e">
        <f t="shared" si="19"/>
        <v>#VALUE!</v>
      </c>
    </row>
    <row r="245" spans="15:27" x14ac:dyDescent="0.2">
      <c r="O245" s="33">
        <v>1</v>
      </c>
      <c r="P245" s="27" t="str">
        <f>_xll.qlPeriodEquivalent(P244&amp;"+"&amp;O245&amp;"M")</f>
        <v>20Y2M</v>
      </c>
      <c r="Q245" s="28">
        <f>_xll.qlCalendarAdvance(Calendar,SettlementDate,P245,"f",,Trigger)</f>
        <v>49646</v>
      </c>
      <c r="R245" s="28">
        <f>_xll.qlInterestRateIndexValueDate(Index,Q245,Trigger)</f>
        <v>49648</v>
      </c>
      <c r="S245" s="28">
        <f>_xll.qlInterestRateIndexMaturity(Index,R245,Trigger)</f>
        <v>49681</v>
      </c>
      <c r="T245" s="30">
        <f>_xll.qlIndexFixing($M$6,Q245,,InterestRatesTrigger)</f>
        <v>1.7421740479530712E-2</v>
      </c>
      <c r="U245" s="30">
        <f>_xll.qlIndexFixing(Index,Q245,,InterestRatesTrigger)</f>
        <v>1.7586291030957862E-2</v>
      </c>
      <c r="V245" s="30">
        <f t="shared" si="18"/>
        <v>1.6455055142714989E-4</v>
      </c>
      <c r="W245" s="29">
        <f>_xll.qlDayCounterYearFraction(DayCounter,SettlementDate,R245,,,Trigger)</f>
        <v>20.469444444444445</v>
      </c>
      <c r="X245" s="29">
        <f>_xll.qlDayCounterYearFraction(DayCounter,R245,S245)</f>
        <v>9.166666666666666E-2</v>
      </c>
      <c r="Y245" s="29">
        <f>_xll.qlYieldTSDiscount(Currency&amp;"ON",R245)/(1+U245*X245)</f>
        <v>0.76038437764697264</v>
      </c>
      <c r="Z245" s="30" t="e">
        <f>_xll.qlTenorBasisValue(TenorBasis6M,R245,InterestRatesTrigger)</f>
        <v>#VALUE!</v>
      </c>
      <c r="AA245" s="30" t="e">
        <f t="shared" si="19"/>
        <v>#VALUE!</v>
      </c>
    </row>
    <row r="246" spans="15:27" x14ac:dyDescent="0.2">
      <c r="O246" s="33">
        <v>1</v>
      </c>
      <c r="P246" s="27" t="str">
        <f>_xll.qlPeriodEquivalent(P245&amp;"+"&amp;O246&amp;"M")</f>
        <v>20Y3M</v>
      </c>
      <c r="Q246" s="28">
        <f>_xll.qlCalendarAdvance(Calendar,SettlementDate,P246,"f",,Trigger)</f>
        <v>49676</v>
      </c>
      <c r="R246" s="28">
        <f>_xll.qlInterestRateIndexValueDate(Index,Q246,Trigger)</f>
        <v>49678</v>
      </c>
      <c r="S246" s="28">
        <f>_xll.qlInterestRateIndexMaturity(Index,R246,Trigger)</f>
        <v>49709</v>
      </c>
      <c r="T246" s="30">
        <f>_xll.qlIndexFixing($M$6,Q246,,InterestRatesTrigger)</f>
        <v>1.7364361428886962E-2</v>
      </c>
      <c r="U246" s="30">
        <f>_xll.qlIndexFixing(Index,Q246,,InterestRatesTrigger)</f>
        <v>1.7525907227542509E-2</v>
      </c>
      <c r="V246" s="30">
        <f t="shared" si="18"/>
        <v>1.61545798655547E-4</v>
      </c>
      <c r="W246" s="29">
        <f>_xll.qlDayCounterYearFraction(DayCounter,SettlementDate,R246,,,Trigger)</f>
        <v>20.552777777777777</v>
      </c>
      <c r="X246" s="29">
        <f>_xll.qlDayCounterYearFraction(DayCounter,R246,S246)</f>
        <v>8.611111111111111E-2</v>
      </c>
      <c r="Y246" s="29">
        <f>_xll.qlYieldTSDiscount(Currency&amp;"ON",R246)/(1+U246*X246)</f>
        <v>0.75935995142857859</v>
      </c>
      <c r="Z246" s="30" t="e">
        <f>_xll.qlTenorBasisValue(TenorBasis6M,R246,InterestRatesTrigger)</f>
        <v>#VALUE!</v>
      </c>
      <c r="AA246" s="30" t="e">
        <f t="shared" si="19"/>
        <v>#VALUE!</v>
      </c>
    </row>
    <row r="247" spans="15:27" x14ac:dyDescent="0.2">
      <c r="O247" s="33">
        <v>1</v>
      </c>
      <c r="P247" s="27" t="str">
        <f>_xll.qlPeriodEquivalent(P246&amp;"+"&amp;O247&amp;"M")</f>
        <v>20Y4M</v>
      </c>
      <c r="Q247" s="28">
        <f>_xll.qlCalendarAdvance(Calendar,SettlementDate,P247,"f",,Trigger)</f>
        <v>49709</v>
      </c>
      <c r="R247" s="28">
        <f>_xll.qlInterestRateIndexValueDate(Index,Q247,Trigger)</f>
        <v>49711</v>
      </c>
      <c r="S247" s="28">
        <f>_xll.qlInterestRateIndexMaturity(Index,R247,Trigger)</f>
        <v>49740</v>
      </c>
      <c r="T247" s="30">
        <f>_xll.qlIndexFixing($M$6,Q247,,InterestRatesTrigger)</f>
        <v>1.7301314673097604E-2</v>
      </c>
      <c r="U247" s="30">
        <f>_xll.qlIndexFixing(Index,Q247,,InterestRatesTrigger)</f>
        <v>1.74595724866164E-2</v>
      </c>
      <c r="V247" s="30">
        <f t="shared" si="18"/>
        <v>1.5825781351879592E-4</v>
      </c>
      <c r="W247" s="29">
        <f>_xll.qlDayCounterYearFraction(DayCounter,SettlementDate,R247,,,Trigger)</f>
        <v>20.644444444444446</v>
      </c>
      <c r="X247" s="29">
        <f>_xll.qlDayCounterYearFraction(DayCounter,R247,S247)</f>
        <v>8.0555555555555561E-2</v>
      </c>
      <c r="Y247" s="29">
        <f>_xll.qlYieldTSDiscount(Currency&amp;"ON",R247)/(1+U247*X247)</f>
        <v>0.75823101124984882</v>
      </c>
      <c r="Z247" s="30" t="e">
        <f>_xll.qlTenorBasisValue(TenorBasis6M,R247,InterestRatesTrigger)</f>
        <v>#VALUE!</v>
      </c>
      <c r="AA247" s="30" t="e">
        <f t="shared" si="19"/>
        <v>#VALUE!</v>
      </c>
    </row>
    <row r="248" spans="15:27" x14ac:dyDescent="0.2">
      <c r="O248" s="33">
        <v>1</v>
      </c>
      <c r="P248" s="27" t="str">
        <f>_xll.qlPeriodEquivalent(P247&amp;"+"&amp;O248&amp;"M")</f>
        <v>20Y5M</v>
      </c>
      <c r="Q248" s="28">
        <f>_xll.qlCalendarAdvance(Calendar,SettlementDate,P248,"f",,Trigger)</f>
        <v>49737</v>
      </c>
      <c r="R248" s="28">
        <f>_xll.qlInterestRateIndexValueDate(Index,Q248,Trigger)</f>
        <v>49739</v>
      </c>
      <c r="S248" s="28">
        <f>_xll.qlInterestRateIndexMaturity(Index,R248,Trigger)</f>
        <v>49772</v>
      </c>
      <c r="T248" s="30">
        <f>_xll.qlIndexFixing($M$6,Q248,,InterestRatesTrigger)</f>
        <v>1.724483013151373E-2</v>
      </c>
      <c r="U248" s="30">
        <f>_xll.qlIndexFixing(Index,Q248,,InterestRatesTrigger)</f>
        <v>1.7400075086816909E-2</v>
      </c>
      <c r="V248" s="30">
        <f t="shared" si="18"/>
        <v>1.5524495530317914E-4</v>
      </c>
      <c r="W248" s="29">
        <f>_xll.qlDayCounterYearFraction(DayCounter,SettlementDate,R248,,,Trigger)</f>
        <v>20.722222222222221</v>
      </c>
      <c r="X248" s="29">
        <f>_xll.qlDayCounterYearFraction(DayCounter,R248,S248)</f>
        <v>9.166666666666666E-2</v>
      </c>
      <c r="Y248" s="29">
        <f>_xll.qlYieldTSDiscount(Currency&amp;"ON",R248)/(1+U248*X248)</f>
        <v>0.75706949190688655</v>
      </c>
      <c r="Z248" s="30" t="e">
        <f>_xll.qlTenorBasisValue(TenorBasis6M,R248,InterestRatesTrigger)</f>
        <v>#VALUE!</v>
      </c>
      <c r="AA248" s="30" t="e">
        <f t="shared" si="19"/>
        <v>#VALUE!</v>
      </c>
    </row>
    <row r="249" spans="15:27" x14ac:dyDescent="0.2">
      <c r="O249" s="33">
        <v>1</v>
      </c>
      <c r="P249" s="27" t="str">
        <f>_xll.qlPeriodEquivalent(P248&amp;"+"&amp;O249&amp;"M")</f>
        <v>20Y6M</v>
      </c>
      <c r="Q249" s="28">
        <f>_xll.qlCalendarAdvance(Calendar,SettlementDate,P249,"f",,Trigger)</f>
        <v>49767</v>
      </c>
      <c r="R249" s="28">
        <f>_xll.qlInterestRateIndexValueDate(Index,Q249,Trigger)</f>
        <v>49769</v>
      </c>
      <c r="S249" s="28">
        <f>_xll.qlInterestRateIndexMaturity(Index,R249,Trigger)</f>
        <v>49800</v>
      </c>
      <c r="T249" s="30">
        <f>_xll.qlIndexFixing($M$6,Q249,,InterestRatesTrigger)</f>
        <v>1.7187985789428307E-2</v>
      </c>
      <c r="U249" s="30">
        <f>_xll.qlIndexFixing(Index,Q249,,InterestRatesTrigger)</f>
        <v>1.7340297136996179E-2</v>
      </c>
      <c r="V249" s="30">
        <f t="shared" si="18"/>
        <v>1.5231134756787251E-4</v>
      </c>
      <c r="W249" s="29">
        <f>_xll.qlDayCounterYearFraction(DayCounter,SettlementDate,R249,,,Trigger)</f>
        <v>20.805555555555557</v>
      </c>
      <c r="X249" s="29">
        <f>_xll.qlDayCounterYearFraction(DayCounter,R249,S249)</f>
        <v>8.611111111111111E-2</v>
      </c>
      <c r="Y249" s="29">
        <f>_xll.qlYieldTSDiscount(Currency&amp;"ON",R249)/(1+U249*X249)</f>
        <v>0.756059842696575</v>
      </c>
      <c r="Z249" s="30" t="e">
        <f>_xll.qlTenorBasisValue(TenorBasis6M,R249,InterestRatesTrigger)</f>
        <v>#VALUE!</v>
      </c>
      <c r="AA249" s="30" t="e">
        <f t="shared" si="19"/>
        <v>#VALUE!</v>
      </c>
    </row>
    <row r="250" spans="15:27" x14ac:dyDescent="0.2">
      <c r="O250" s="33">
        <v>1</v>
      </c>
      <c r="P250" s="27" t="str">
        <f>_xll.qlPeriodEquivalent(P249&amp;"+"&amp;O250&amp;"M")</f>
        <v>20Y7M</v>
      </c>
      <c r="Q250" s="28">
        <f>_xll.qlCalendarAdvance(Calendar,SettlementDate,P250,"f",,Trigger)</f>
        <v>49797</v>
      </c>
      <c r="R250" s="28">
        <f>_xll.qlInterestRateIndexValueDate(Index,Q250,Trigger)</f>
        <v>49801</v>
      </c>
      <c r="S250" s="28">
        <f>_xll.qlInterestRateIndexMaturity(Index,R250,Trigger)</f>
        <v>49832</v>
      </c>
      <c r="T250" s="30">
        <f>_xll.qlIndexFixing($M$6,Q250,,InterestRatesTrigger)</f>
        <v>1.7126409848684594E-2</v>
      </c>
      <c r="U250" s="30">
        <f>_xll.qlIndexFixing(Index,Q250,,InterestRatesTrigger)</f>
        <v>1.7275528103373326E-2</v>
      </c>
      <c r="V250" s="30">
        <f t="shared" si="18"/>
        <v>1.4911825468873208E-4</v>
      </c>
      <c r="W250" s="29">
        <f>_xll.qlDayCounterYearFraction(DayCounter,SettlementDate,R250,,,Trigger)</f>
        <v>20.894444444444446</v>
      </c>
      <c r="X250" s="29">
        <f>_xll.qlDayCounterYearFraction(DayCounter,R250,S250)</f>
        <v>8.611111111111111E-2</v>
      </c>
      <c r="Y250" s="29">
        <f>_xll.qlYieldTSDiscount(Currency&amp;"ON",R250)/(1+U250*X250)</f>
        <v>0.75491072194135644</v>
      </c>
      <c r="Z250" s="30" t="e">
        <f>_xll.qlTenorBasisValue(TenorBasis6M,R250,InterestRatesTrigger)</f>
        <v>#VALUE!</v>
      </c>
      <c r="AA250" s="30" t="e">
        <f t="shared" si="19"/>
        <v>#VALUE!</v>
      </c>
    </row>
    <row r="251" spans="15:27" x14ac:dyDescent="0.2">
      <c r="O251" s="33">
        <v>1</v>
      </c>
      <c r="P251" s="27" t="str">
        <f>_xll.qlPeriodEquivalent(P250&amp;"+"&amp;O251&amp;"M")</f>
        <v>20Y8M</v>
      </c>
      <c r="Q251" s="28">
        <f>_xll.qlCalendarAdvance(Calendar,SettlementDate,P251,"f",,Trigger)</f>
        <v>49828</v>
      </c>
      <c r="R251" s="28">
        <f>_xll.qlInterestRateIndexValueDate(Index,Q251,Trigger)</f>
        <v>49830</v>
      </c>
      <c r="S251" s="28">
        <f>_xll.qlInterestRateIndexMaturity(Index,R251,Trigger)</f>
        <v>49860</v>
      </c>
      <c r="T251" s="30">
        <f>_xll.qlIndexFixing($M$6,Q251,,InterestRatesTrigger)</f>
        <v>1.7071391830665306E-2</v>
      </c>
      <c r="U251" s="30">
        <f>_xll.qlIndexFixing(Index,Q251,,InterestRatesTrigger)</f>
        <v>1.7217683986982202E-2</v>
      </c>
      <c r="V251" s="30">
        <f t="shared" si="18"/>
        <v>1.4629215631689618E-4</v>
      </c>
      <c r="W251" s="29">
        <f>_xll.qlDayCounterYearFraction(DayCounter,SettlementDate,R251,,,Trigger)</f>
        <v>20.975000000000001</v>
      </c>
      <c r="X251" s="29">
        <f>_xll.qlDayCounterYearFraction(DayCounter,R251,S251)</f>
        <v>8.3333333333333329E-2</v>
      </c>
      <c r="Y251" s="29">
        <f>_xll.qlYieldTSDiscount(Currency&amp;"ON",R251)/(1+U251*X251)</f>
        <v>0.75391034759916642</v>
      </c>
      <c r="Z251" s="30" t="e">
        <f>_xll.qlTenorBasisValue(TenorBasis6M,R251,InterestRatesTrigger)</f>
        <v>#VALUE!</v>
      </c>
      <c r="AA251" s="30" t="e">
        <f t="shared" si="19"/>
        <v>#VALUE!</v>
      </c>
    </row>
    <row r="252" spans="15:27" x14ac:dyDescent="0.2">
      <c r="O252" s="33">
        <v>1</v>
      </c>
      <c r="P252" s="27" t="str">
        <f>_xll.qlPeriodEquivalent(P251&amp;"+"&amp;O252&amp;"M")</f>
        <v>20Y9M</v>
      </c>
      <c r="Q252" s="28">
        <f>_xll.qlCalendarAdvance(Calendar,SettlementDate,P252,"f",,Trigger)</f>
        <v>49858</v>
      </c>
      <c r="R252" s="28">
        <f>_xll.qlInterestRateIndexValueDate(Index,Q252,Trigger)</f>
        <v>49860</v>
      </c>
      <c r="S252" s="28">
        <f>_xll.qlInterestRateIndexMaturity(Index,R252,Trigger)</f>
        <v>49891</v>
      </c>
      <c r="T252" s="30">
        <f>_xll.qlIndexFixing($M$6,Q252,,InterestRatesTrigger)</f>
        <v>1.7013610901340685E-2</v>
      </c>
      <c r="U252" s="30">
        <f>_xll.qlIndexFixing(Index,Q252,,InterestRatesTrigger)</f>
        <v>1.7156919730840769E-2</v>
      </c>
      <c r="V252" s="30">
        <f t="shared" si="18"/>
        <v>1.4330882950008492E-4</v>
      </c>
      <c r="W252" s="29">
        <f>_xll.qlDayCounterYearFraction(DayCounter,SettlementDate,R252,,,Trigger)</f>
        <v>21.058333333333334</v>
      </c>
      <c r="X252" s="29">
        <f>_xll.qlDayCounterYearFraction(DayCounter,R252,S252)</f>
        <v>8.611111111111111E-2</v>
      </c>
      <c r="Y252" s="29">
        <f>_xll.qlYieldTSDiscount(Currency&amp;"ON",R252)/(1+U252*X252)</f>
        <v>0.75280732685880281</v>
      </c>
      <c r="Z252" s="30" t="e">
        <f>_xll.qlTenorBasisValue(TenorBasis6M,R252,InterestRatesTrigger)</f>
        <v>#VALUE!</v>
      </c>
      <c r="AA252" s="30" t="e">
        <f t="shared" si="19"/>
        <v>#VALUE!</v>
      </c>
    </row>
    <row r="253" spans="15:27" x14ac:dyDescent="0.2">
      <c r="O253" s="33">
        <v>1</v>
      </c>
      <c r="P253" s="27" t="str">
        <f>_xll.qlPeriodEquivalent(P252&amp;"+"&amp;O253&amp;"M")</f>
        <v>20Y10M</v>
      </c>
      <c r="Q253" s="28">
        <f>_xll.qlCalendarAdvance(Calendar,SettlementDate,P253,"f",,Trigger)</f>
        <v>49891</v>
      </c>
      <c r="R253" s="28">
        <f>_xll.qlInterestRateIndexValueDate(Index,Q253,Trigger)</f>
        <v>49893</v>
      </c>
      <c r="S253" s="28">
        <f>_xll.qlInterestRateIndexMaturity(Index,R253,Trigger)</f>
        <v>49926</v>
      </c>
      <c r="T253" s="30">
        <f>_xll.qlIndexFixing($M$6,Q253,,InterestRatesTrigger)</f>
        <v>1.6949888176860384E-2</v>
      </c>
      <c r="U253" s="30">
        <f>_xll.qlIndexFixing(Index,Q253,,InterestRatesTrigger)</f>
        <v>1.7089910026374288E-2</v>
      </c>
      <c r="V253" s="30">
        <f t="shared" si="18"/>
        <v>1.4002184951390426E-4</v>
      </c>
      <c r="W253" s="29">
        <f>_xll.qlDayCounterYearFraction(DayCounter,SettlementDate,R253,,,Trigger)</f>
        <v>21.15</v>
      </c>
      <c r="X253" s="29">
        <f>_xll.qlDayCounterYearFraction(DayCounter,R253,S253)</f>
        <v>9.166666666666666E-2</v>
      </c>
      <c r="Y253" s="29">
        <f>_xll.qlYieldTSDiscount(Currency&amp;"ON",R253)/(1+U253*X253)</f>
        <v>0.75156824534792765</v>
      </c>
      <c r="Z253" s="30" t="e">
        <f>_xll.qlTenorBasisValue(TenorBasis6M,R253,InterestRatesTrigger)</f>
        <v>#VALUE!</v>
      </c>
      <c r="AA253" s="30" t="e">
        <f t="shared" si="19"/>
        <v>#VALUE!</v>
      </c>
    </row>
    <row r="254" spans="15:27" x14ac:dyDescent="0.2">
      <c r="O254" s="33">
        <v>1</v>
      </c>
      <c r="P254" s="27" t="str">
        <f>_xll.qlPeriodEquivalent(P253&amp;"+"&amp;O254&amp;"M")</f>
        <v>20Y11M</v>
      </c>
      <c r="Q254" s="28">
        <f>_xll.qlCalendarAdvance(Calendar,SettlementDate,P254,"f",,Trigger)</f>
        <v>49920</v>
      </c>
      <c r="R254" s="28">
        <f>_xll.qlInterestRateIndexValueDate(Index,Q254,Trigger)</f>
        <v>49922</v>
      </c>
      <c r="S254" s="28">
        <f>_xll.qlInterestRateIndexMaturity(Index,R254,Trigger)</f>
        <v>49954</v>
      </c>
      <c r="T254" s="30">
        <f>_xll.qlIndexFixing($M$6,Q254,,InterestRatesTrigger)</f>
        <v>1.6895699257471197E-2</v>
      </c>
      <c r="U254" s="30">
        <f>_xll.qlIndexFixing(Index,Q254,,InterestRatesTrigger)</f>
        <v>1.7032975357985647E-2</v>
      </c>
      <c r="V254" s="30">
        <f t="shared" ref="V254:V291" si="20">U254-T254</f>
        <v>1.3727610051444961E-4</v>
      </c>
      <c r="W254" s="29">
        <f>_xll.qlDayCounterYearFraction(DayCounter,SettlementDate,R254,,,Trigger)</f>
        <v>21.230555555555554</v>
      </c>
      <c r="X254" s="29">
        <f>_xll.qlDayCounterYearFraction(DayCounter,R254,S254)</f>
        <v>8.8888888888888892E-2</v>
      </c>
      <c r="Y254" s="29">
        <f>_xll.qlYieldTSDiscount(Currency&amp;"ON",R254)/(1+U254*X254)</f>
        <v>0.75058268415238127</v>
      </c>
      <c r="Z254" s="30" t="e">
        <f>_xll.qlTenorBasisValue(TenorBasis6M,R254,InterestRatesTrigger)</f>
        <v>#VALUE!</v>
      </c>
      <c r="AA254" s="30" t="e">
        <f t="shared" ref="AA254:AA291" si="21">V254-Z254</f>
        <v>#VALUE!</v>
      </c>
    </row>
    <row r="255" spans="15:27" x14ac:dyDescent="0.2">
      <c r="O255" s="33">
        <v>1</v>
      </c>
      <c r="P255" s="27" t="str">
        <f>_xll.qlPeriodEquivalent(P254&amp;"+"&amp;O255&amp;"M")</f>
        <v>21Y</v>
      </c>
      <c r="Q255" s="28">
        <f>_xll.qlCalendarAdvance(Calendar,SettlementDate,P255,"f",,Trigger)</f>
        <v>49950</v>
      </c>
      <c r="R255" s="28">
        <f>_xll.qlInterestRateIndexValueDate(Index,Q255,Trigger)</f>
        <v>49954</v>
      </c>
      <c r="S255" s="28">
        <f>_xll.qlInterestRateIndexMaturity(Index,R255,Trigger)</f>
        <v>49985</v>
      </c>
      <c r="T255" s="30">
        <f>_xll.qlIndexFixing($M$6,Q255,,InterestRatesTrigger)</f>
        <v>1.6836192103687368E-2</v>
      </c>
      <c r="U255" s="30">
        <f>_xll.qlIndexFixing(Index,Q255,,InterestRatesTrigger)</f>
        <v>1.6970464435776454E-2</v>
      </c>
      <c r="V255" s="30">
        <f t="shared" si="20"/>
        <v>1.3427233208908665E-4</v>
      </c>
      <c r="W255" s="29">
        <f>_xll.qlDayCounterYearFraction(DayCounter,SettlementDate,R255,,,Trigger)</f>
        <v>21.319444444444443</v>
      </c>
      <c r="X255" s="29">
        <f>_xll.qlDayCounterYearFraction(DayCounter,R255,S255)</f>
        <v>8.611111111111111E-2</v>
      </c>
      <c r="Y255" s="29">
        <f>_xll.qlYieldTSDiscount(Currency&amp;"ON",R255)/(1+U255*X255)</f>
        <v>0.74949655581245933</v>
      </c>
      <c r="Z255" s="30" t="e">
        <f>_xll.qlTenorBasisValue(TenorBasis6M,R255,InterestRatesTrigger)</f>
        <v>#VALUE!</v>
      </c>
      <c r="AA255" s="30" t="e">
        <f t="shared" si="21"/>
        <v>#VALUE!</v>
      </c>
    </row>
    <row r="256" spans="15:27" x14ac:dyDescent="0.2">
      <c r="O256" s="33">
        <v>1</v>
      </c>
      <c r="P256" s="27" t="str">
        <f>_xll.qlPeriodEquivalent(P255&amp;"+"&amp;O256&amp;"M")</f>
        <v>21Y1M</v>
      </c>
      <c r="Q256" s="28">
        <f>_xll.qlCalendarAdvance(Calendar,SettlementDate,P256,"f",,Trigger)</f>
        <v>49982</v>
      </c>
      <c r="R256" s="28">
        <f>_xll.qlInterestRateIndexValueDate(Index,Q256,Trigger)</f>
        <v>49984</v>
      </c>
      <c r="S256" s="28">
        <f>_xll.qlInterestRateIndexMaturity(Index,R256,Trigger)</f>
        <v>50014</v>
      </c>
      <c r="T256" s="30">
        <f>_xll.qlIndexFixing($M$6,Q256,,InterestRatesTrigger)</f>
        <v>1.6780785820084354E-2</v>
      </c>
      <c r="U256" s="30">
        <f>_xll.qlIndexFixing(Index,Q256,,InterestRatesTrigger)</f>
        <v>1.6912274194243793E-2</v>
      </c>
      <c r="V256" s="30">
        <f t="shared" si="20"/>
        <v>1.3148837415943859E-4</v>
      </c>
      <c r="W256" s="29">
        <f>_xll.qlDayCounterYearFraction(DayCounter,SettlementDate,R256,,,Trigger)</f>
        <v>21.402777777777779</v>
      </c>
      <c r="X256" s="29">
        <f>_xll.qlDayCounterYearFraction(DayCounter,R256,S256)</f>
        <v>8.3333333333333329E-2</v>
      </c>
      <c r="Y256" s="29">
        <f>_xll.qlYieldTSDiscount(Currency&amp;"ON",R256)/(1+U256*X256)</f>
        <v>0.74848529623555826</v>
      </c>
      <c r="Z256" s="30" t="e">
        <f>_xll.qlTenorBasisValue(TenorBasis6M,R256,InterestRatesTrigger)</f>
        <v>#VALUE!</v>
      </c>
      <c r="AA256" s="30" t="e">
        <f t="shared" si="21"/>
        <v>#VALUE!</v>
      </c>
    </row>
    <row r="257" spans="15:27" x14ac:dyDescent="0.2">
      <c r="O257" s="33">
        <v>1</v>
      </c>
      <c r="P257" s="27" t="str">
        <f>_xll.qlPeriodEquivalent(P256&amp;"+"&amp;O257&amp;"M")</f>
        <v>21Y2M</v>
      </c>
      <c r="Q257" s="28">
        <f>_xll.qlCalendarAdvance(Calendar,SettlementDate,P257,"f",,Trigger)</f>
        <v>50011</v>
      </c>
      <c r="R257" s="28">
        <f>_xll.qlInterestRateIndexValueDate(Index,Q257,Trigger)</f>
        <v>50013</v>
      </c>
      <c r="S257" s="28">
        <f>_xll.qlInterestRateIndexMaturity(Index,R257,Trigger)</f>
        <v>50045</v>
      </c>
      <c r="T257" s="30">
        <f>_xll.qlIndexFixing($M$6,Q257,,InterestRatesTrigger)</f>
        <v>1.672598074392323E-2</v>
      </c>
      <c r="U257" s="30">
        <f>_xll.qlIndexFixing(Index,Q257,,InterestRatesTrigger)</f>
        <v>1.685468624751052E-2</v>
      </c>
      <c r="V257" s="30">
        <f t="shared" si="20"/>
        <v>1.2870550358728972E-4</v>
      </c>
      <c r="W257" s="29">
        <f>_xll.qlDayCounterYearFraction(DayCounter,SettlementDate,R257,,,Trigger)</f>
        <v>21.483333333333334</v>
      </c>
      <c r="X257" s="29">
        <f>_xll.qlDayCounterYearFraction(DayCounter,R257,S257)</f>
        <v>8.8888888888888892E-2</v>
      </c>
      <c r="Y257" s="29">
        <f>_xll.qlYieldTSDiscount(Currency&amp;"ON",R257)/(1+U257*X257)</f>
        <v>0.74740853325546386</v>
      </c>
      <c r="Z257" s="30" t="e">
        <f>_xll.qlTenorBasisValue(TenorBasis6M,R257,InterestRatesTrigger)</f>
        <v>#VALUE!</v>
      </c>
      <c r="AA257" s="30" t="e">
        <f t="shared" si="21"/>
        <v>#VALUE!</v>
      </c>
    </row>
    <row r="258" spans="15:27" x14ac:dyDescent="0.2">
      <c r="O258" s="33">
        <v>1</v>
      </c>
      <c r="P258" s="27" t="str">
        <f>_xll.qlPeriodEquivalent(P257&amp;"+"&amp;O258&amp;"M")</f>
        <v>21Y3M</v>
      </c>
      <c r="Q258" s="28">
        <f>_xll.qlCalendarAdvance(Calendar,SettlementDate,P258,"f",,Trigger)</f>
        <v>50042</v>
      </c>
      <c r="R258" s="28">
        <f>_xll.qlInterestRateIndexValueDate(Index,Q258,Trigger)</f>
        <v>50046</v>
      </c>
      <c r="S258" s="28">
        <f>_xll.qlInterestRateIndexMaturity(Index,R258,Trigger)</f>
        <v>50077</v>
      </c>
      <c r="T258" s="30">
        <f>_xll.qlIndexFixing($M$6,Q258,,InterestRatesTrigger)</f>
        <v>1.6665806049858768E-2</v>
      </c>
      <c r="U258" s="30">
        <f>_xll.qlIndexFixing(Index,Q258,,InterestRatesTrigger)</f>
        <v>1.6791511792680222E-2</v>
      </c>
      <c r="V258" s="30">
        <f t="shared" si="20"/>
        <v>1.2570574282145391E-4</v>
      </c>
      <c r="W258" s="29">
        <f>_xll.qlDayCounterYearFraction(DayCounter,SettlementDate,R258,,,Trigger)</f>
        <v>21.574999999999999</v>
      </c>
      <c r="X258" s="29">
        <f>_xll.qlDayCounterYearFraction(DayCounter,R258,S258)</f>
        <v>8.611111111111111E-2</v>
      </c>
      <c r="Y258" s="29">
        <f>_xll.qlYieldTSDiscount(Currency&amp;"ON",R258)/(1+U258*X258)</f>
        <v>0.74630332851537273</v>
      </c>
      <c r="Z258" s="30" t="e">
        <f>_xll.qlTenorBasisValue(TenorBasis6M,R258,InterestRatesTrigger)</f>
        <v>#VALUE!</v>
      </c>
      <c r="AA258" s="30" t="e">
        <f t="shared" si="21"/>
        <v>#VALUE!</v>
      </c>
    </row>
    <row r="259" spans="15:27" x14ac:dyDescent="0.2">
      <c r="O259" s="33">
        <v>1</v>
      </c>
      <c r="P259" s="27" t="str">
        <f>_xll.qlPeriodEquivalent(P258&amp;"+"&amp;O259&amp;"M")</f>
        <v>21Y4M</v>
      </c>
      <c r="Q259" s="28">
        <f>_xll.qlCalendarAdvance(Calendar,SettlementDate,P259,"f",,Trigger)</f>
        <v>50073</v>
      </c>
      <c r="R259" s="28">
        <f>_xll.qlInterestRateIndexValueDate(Index,Q259,Trigger)</f>
        <v>50075</v>
      </c>
      <c r="S259" s="28">
        <f>_xll.qlInterestRateIndexMaturity(Index,R259,Trigger)</f>
        <v>50103</v>
      </c>
      <c r="T259" s="30">
        <f>_xll.qlIndexFixing($M$6,Q259,,InterestRatesTrigger)</f>
        <v>1.6614436167290414E-2</v>
      </c>
      <c r="U259" s="30">
        <f>_xll.qlIndexFixing(Index,Q259,,InterestRatesTrigger)</f>
        <v>1.6737620012694521E-2</v>
      </c>
      <c r="V259" s="30">
        <f t="shared" si="20"/>
        <v>1.2318384540410676E-4</v>
      </c>
      <c r="W259" s="29">
        <f>_xll.qlDayCounterYearFraction(DayCounter,SettlementDate,R259,,,Trigger)</f>
        <v>21.655555555555555</v>
      </c>
      <c r="X259" s="29">
        <f>_xll.qlDayCounterYearFraction(DayCounter,R259,S259)</f>
        <v>7.7777777777777779E-2</v>
      </c>
      <c r="Y259" s="29">
        <f>_xll.qlYieldTSDiscount(Currency&amp;"ON",R259)/(1+U259*X259)</f>
        <v>0.74540995275039379</v>
      </c>
      <c r="Z259" s="30" t="e">
        <f>_xll.qlTenorBasisValue(TenorBasis6M,R259,InterestRatesTrigger)</f>
        <v>#VALUE!</v>
      </c>
      <c r="AA259" s="30" t="e">
        <f t="shared" si="21"/>
        <v>#VALUE!</v>
      </c>
    </row>
    <row r="260" spans="15:27" x14ac:dyDescent="0.2">
      <c r="O260" s="33">
        <v>1</v>
      </c>
      <c r="P260" s="27" t="str">
        <f>_xll.qlPeriodEquivalent(P259&amp;"+"&amp;O260&amp;"M")</f>
        <v>21Y5M</v>
      </c>
      <c r="Q260" s="28">
        <f>_xll.qlCalendarAdvance(Calendar,SettlementDate,P260,"f",,Trigger)</f>
        <v>50101</v>
      </c>
      <c r="R260" s="28">
        <f>_xll.qlInterestRateIndexValueDate(Index,Q260,Trigger)</f>
        <v>50103</v>
      </c>
      <c r="S260" s="28">
        <f>_xll.qlInterestRateIndexMaturity(Index,R260,Trigger)</f>
        <v>50137</v>
      </c>
      <c r="T260" s="30">
        <f>_xll.qlIndexFixing($M$6,Q260,,InterestRatesTrigger)</f>
        <v>1.6560555869039137E-2</v>
      </c>
      <c r="U260" s="30">
        <f>_xll.qlIndexFixing(Index,Q260,,InterestRatesTrigger)</f>
        <v>1.6680982830388082E-2</v>
      </c>
      <c r="V260" s="30">
        <f t="shared" si="20"/>
        <v>1.2042696134894476E-4</v>
      </c>
      <c r="W260" s="29">
        <f>_xll.qlDayCounterYearFraction(DayCounter,SettlementDate,R260,,,Trigger)</f>
        <v>21.733333333333334</v>
      </c>
      <c r="X260" s="29">
        <f>_xll.qlDayCounterYearFraction(DayCounter,R260,S260)</f>
        <v>9.4444444444444442E-2</v>
      </c>
      <c r="Y260" s="29">
        <f>_xll.qlYieldTSDiscount(Currency&amp;"ON",R260)/(1+U260*X260)</f>
        <v>0.74424458289821538</v>
      </c>
      <c r="Z260" s="30" t="e">
        <f>_xll.qlTenorBasisValue(TenorBasis6M,R260,InterestRatesTrigger)</f>
        <v>#VALUE!</v>
      </c>
      <c r="AA260" s="30" t="e">
        <f t="shared" si="21"/>
        <v>#VALUE!</v>
      </c>
    </row>
    <row r="261" spans="15:27" x14ac:dyDescent="0.2">
      <c r="O261" s="33">
        <v>1</v>
      </c>
      <c r="P261" s="27" t="str">
        <f>_xll.qlPeriodEquivalent(P260&amp;"+"&amp;O261&amp;"M")</f>
        <v>21Y6M</v>
      </c>
      <c r="Q261" s="28">
        <f>_xll.qlCalendarAdvance(Calendar,SettlementDate,P261,"f",,Trigger)</f>
        <v>50132</v>
      </c>
      <c r="R261" s="28">
        <f>_xll.qlInterestRateIndexValueDate(Index,Q261,Trigger)</f>
        <v>50138</v>
      </c>
      <c r="S261" s="28">
        <f>_xll.qlInterestRateIndexMaturity(Index,R261,Trigger)</f>
        <v>50168</v>
      </c>
      <c r="T261" s="30">
        <f>_xll.qlIndexFixing($M$6,Q261,,InterestRatesTrigger)</f>
        <v>1.6499749571038613E-2</v>
      </c>
      <c r="U261" s="30">
        <f>_xll.qlIndexFixing(Index,Q261,,InterestRatesTrigger)</f>
        <v>1.6617220920617015E-2</v>
      </c>
      <c r="V261" s="30">
        <f t="shared" si="20"/>
        <v>1.1747134957840188E-4</v>
      </c>
      <c r="W261" s="29">
        <f>_xll.qlDayCounterYearFraction(DayCounter,SettlementDate,R261,,,Trigger)</f>
        <v>21.830555555555556</v>
      </c>
      <c r="X261" s="29">
        <f>_xll.qlDayCounterYearFraction(DayCounter,R261,S261)</f>
        <v>8.3333333333333329E-2</v>
      </c>
      <c r="Y261" s="29">
        <f>_xll.qlYieldTSDiscount(Currency&amp;"ON",R261)/(1+U261*X261)</f>
        <v>0.74318974461362564</v>
      </c>
      <c r="Z261" s="30" t="e">
        <f>_xll.qlTenorBasisValue(TenorBasis6M,R261,InterestRatesTrigger)</f>
        <v>#VALUE!</v>
      </c>
      <c r="AA261" s="30" t="e">
        <f t="shared" si="21"/>
        <v>#VALUE!</v>
      </c>
    </row>
    <row r="262" spans="15:27" x14ac:dyDescent="0.2">
      <c r="O262" s="33">
        <v>1</v>
      </c>
      <c r="P262" s="27" t="str">
        <f>_xll.qlPeriodEquivalent(P261&amp;"+"&amp;O262&amp;"M")</f>
        <v>21Y7M</v>
      </c>
      <c r="Q262" s="28">
        <f>_xll.qlCalendarAdvance(Calendar,SettlementDate,P262,"f",,Trigger)</f>
        <v>50164</v>
      </c>
      <c r="R262" s="28">
        <f>_xll.qlInterestRateIndexValueDate(Index,Q262,Trigger)</f>
        <v>50166</v>
      </c>
      <c r="S262" s="28">
        <f>_xll.qlInterestRateIndexMaturity(Index,R262,Trigger)</f>
        <v>50199</v>
      </c>
      <c r="T262" s="30">
        <f>_xll.qlIndexFixing($M$6,Q262,,InterestRatesTrigger)</f>
        <v>1.6448367653158644E-2</v>
      </c>
      <c r="U262" s="30">
        <f>_xll.qlIndexFixing(Index,Q262,,InterestRatesTrigger)</f>
        <v>1.6563267136301105E-2</v>
      </c>
      <c r="V262" s="30">
        <f t="shared" si="20"/>
        <v>1.1489948314246171E-4</v>
      </c>
      <c r="W262" s="29">
        <f>_xll.qlDayCounterYearFraction(DayCounter,SettlementDate,R262,,,Trigger)</f>
        <v>21.908333333333335</v>
      </c>
      <c r="X262" s="29">
        <f>_xll.qlDayCounterYearFraction(DayCounter,R262,S262)</f>
        <v>9.166666666666666E-2</v>
      </c>
      <c r="Y262" s="29">
        <f>_xll.qlYieldTSDiscount(Currency&amp;"ON",R262)/(1+U262*X262)</f>
        <v>0.74213820046624135</v>
      </c>
      <c r="Z262" s="30" t="e">
        <f>_xll.qlTenorBasisValue(TenorBasis6M,R262,InterestRatesTrigger)</f>
        <v>#VALUE!</v>
      </c>
      <c r="AA262" s="30" t="e">
        <f t="shared" si="21"/>
        <v>#VALUE!</v>
      </c>
    </row>
    <row r="263" spans="15:27" x14ac:dyDescent="0.2">
      <c r="O263" s="33">
        <v>1</v>
      </c>
      <c r="P263" s="27" t="str">
        <f>_xll.qlPeriodEquivalent(P262&amp;"+"&amp;O263&amp;"M")</f>
        <v>21Y8M</v>
      </c>
      <c r="Q263" s="28">
        <f>_xll.qlCalendarAdvance(Calendar,SettlementDate,P263,"f",,Trigger)</f>
        <v>50193</v>
      </c>
      <c r="R263" s="28">
        <f>_xll.qlInterestRateIndexValueDate(Index,Q263,Trigger)</f>
        <v>50195</v>
      </c>
      <c r="S263" s="28">
        <f>_xll.qlInterestRateIndexMaturity(Index,R263,Trigger)</f>
        <v>50227</v>
      </c>
      <c r="T263" s="30">
        <f>_xll.qlIndexFixing($M$6,Q263,,InterestRatesTrigger)</f>
        <v>1.6397701165594691E-2</v>
      </c>
      <c r="U263" s="30">
        <f>_xll.qlIndexFixing(Index,Q263,,InterestRatesTrigger)</f>
        <v>1.6510125867392755E-2</v>
      </c>
      <c r="V263" s="30">
        <f t="shared" si="20"/>
        <v>1.1242470179806396E-4</v>
      </c>
      <c r="W263" s="29">
        <f>_xll.qlDayCounterYearFraction(DayCounter,SettlementDate,R263,,,Trigger)</f>
        <v>21.988888888888887</v>
      </c>
      <c r="X263" s="29">
        <f>_xll.qlDayCounterYearFraction(DayCounter,R263,S263)</f>
        <v>8.8888888888888892E-2</v>
      </c>
      <c r="Y263" s="29">
        <f>_xll.qlYieldTSDiscount(Currency&amp;"ON",R263)/(1+U263*X263)</f>
        <v>0.74119358735923069</v>
      </c>
      <c r="Z263" s="30" t="e">
        <f>_xll.qlTenorBasisValue(TenorBasis6M,R263,InterestRatesTrigger)</f>
        <v>#VALUE!</v>
      </c>
      <c r="AA263" s="30" t="e">
        <f t="shared" si="21"/>
        <v>#VALUE!</v>
      </c>
    </row>
    <row r="264" spans="15:27" x14ac:dyDescent="0.2">
      <c r="O264" s="33">
        <v>1</v>
      </c>
      <c r="P264" s="27" t="str">
        <f>_xll.qlPeriodEquivalent(P263&amp;"+"&amp;O264&amp;"M")</f>
        <v>21Y9M</v>
      </c>
      <c r="Q264" s="28">
        <f>_xll.qlCalendarAdvance(Calendar,SettlementDate,P264,"f",,Trigger)</f>
        <v>50223</v>
      </c>
      <c r="R264" s="28">
        <f>_xll.qlInterestRateIndexValueDate(Index,Q264,Trigger)</f>
        <v>50227</v>
      </c>
      <c r="S264" s="28">
        <f>_xll.qlInterestRateIndexMaturity(Index,R264,Trigger)</f>
        <v>50258</v>
      </c>
      <c r="T264" s="30">
        <f>_xll.qlIndexFixing($M$6,Q264,,InterestRatesTrigger)</f>
        <v>1.6342279105586614E-2</v>
      </c>
      <c r="U264" s="30">
        <f>_xll.qlIndexFixing(Index,Q264,,InterestRatesTrigger)</f>
        <v>1.6452005560417208E-2</v>
      </c>
      <c r="V264" s="30">
        <f t="shared" si="20"/>
        <v>1.0972645483059429E-4</v>
      </c>
      <c r="W264" s="29">
        <f>_xll.qlDayCounterYearFraction(DayCounter,SettlementDate,R264,,,Trigger)</f>
        <v>22.077777777777779</v>
      </c>
      <c r="X264" s="29">
        <f>_xll.qlDayCounterYearFraction(DayCounter,R264,S264)</f>
        <v>8.611111111111111E-2</v>
      </c>
      <c r="Y264" s="29">
        <f>_xll.qlYieldTSDiscount(Currency&amp;"ON",R264)/(1+U264*X264)</f>
        <v>0.74015240928104686</v>
      </c>
      <c r="Z264" s="30" t="e">
        <f>_xll.qlTenorBasisValue(TenorBasis6M,R264,InterestRatesTrigger)</f>
        <v>#VALUE!</v>
      </c>
      <c r="AA264" s="30" t="e">
        <f t="shared" si="21"/>
        <v>#VALUE!</v>
      </c>
    </row>
    <row r="265" spans="15:27" x14ac:dyDescent="0.2">
      <c r="O265" s="33">
        <v>1</v>
      </c>
      <c r="P265" s="27" t="str">
        <f>_xll.qlPeriodEquivalent(P264&amp;"+"&amp;O265&amp;"M")</f>
        <v>21Y10M</v>
      </c>
      <c r="Q265" s="28">
        <f>_xll.qlCalendarAdvance(Calendar,SettlementDate,P265,"f",,Trigger)</f>
        <v>50255</v>
      </c>
      <c r="R265" s="28">
        <f>_xll.qlInterestRateIndexValueDate(Index,Q265,Trigger)</f>
        <v>50257</v>
      </c>
      <c r="S265" s="28">
        <f>_xll.qlInterestRateIndexMaturity(Index,R265,Trigger)</f>
        <v>50290</v>
      </c>
      <c r="T265" s="30">
        <f>_xll.qlIndexFixing($M$6,Q265,,InterestRatesTrigger)</f>
        <v>1.6289414364983174E-2</v>
      </c>
      <c r="U265" s="30">
        <f>_xll.qlIndexFixing(Index,Q265,,InterestRatesTrigger)</f>
        <v>1.639653830354168E-2</v>
      </c>
      <c r="V265" s="30">
        <f t="shared" si="20"/>
        <v>1.0712393855850585E-4</v>
      </c>
      <c r="W265" s="29">
        <f>_xll.qlDayCounterYearFraction(DayCounter,SettlementDate,R265,,,Trigger)</f>
        <v>22.161111111111111</v>
      </c>
      <c r="X265" s="29">
        <f>_xll.qlDayCounterYearFraction(DayCounter,R265,S265)</f>
        <v>9.166666666666666E-2</v>
      </c>
      <c r="Y265" s="29">
        <f>_xll.qlYieldTSDiscount(Currency&amp;"ON",R265)/(1+U265*X265)</f>
        <v>0.7390820641191822</v>
      </c>
      <c r="Z265" s="30" t="e">
        <f>_xll.qlTenorBasisValue(TenorBasis6M,R265,InterestRatesTrigger)</f>
        <v>#VALUE!</v>
      </c>
      <c r="AA265" s="30" t="e">
        <f t="shared" si="21"/>
        <v>#VALUE!</v>
      </c>
    </row>
    <row r="266" spans="15:27" x14ac:dyDescent="0.2">
      <c r="O266" s="33">
        <v>1</v>
      </c>
      <c r="P266" s="27" t="str">
        <f>_xll.qlPeriodEquivalent(P265&amp;"+"&amp;O266&amp;"M")</f>
        <v>21Y11M</v>
      </c>
      <c r="Q266" s="28">
        <f>_xll.qlCalendarAdvance(Calendar,SettlementDate,P266,"f",,Trigger)</f>
        <v>50285</v>
      </c>
      <c r="R266" s="28">
        <f>_xll.qlInterestRateIndexValueDate(Index,Q266,Trigger)</f>
        <v>50287</v>
      </c>
      <c r="S266" s="28">
        <f>_xll.qlInterestRateIndexMaturity(Index,R266,Trigger)</f>
        <v>50318</v>
      </c>
      <c r="T266" s="30">
        <f>_xll.qlIndexFixing($M$6,Q266,,InterestRatesTrigger)</f>
        <v>1.6239059030681173E-2</v>
      </c>
      <c r="U266" s="30">
        <f>_xll.qlIndexFixing(Index,Q266,,InterestRatesTrigger)</f>
        <v>1.6343763739697745E-2</v>
      </c>
      <c r="V266" s="30">
        <f t="shared" si="20"/>
        <v>1.0470470901657175E-4</v>
      </c>
      <c r="W266" s="29">
        <f>_xll.qlDayCounterYearFraction(DayCounter,SettlementDate,R266,,,Trigger)</f>
        <v>22.244444444444444</v>
      </c>
      <c r="X266" s="29">
        <f>_xll.qlDayCounterYearFraction(DayCounter,R266,S266)</f>
        <v>8.611111111111111E-2</v>
      </c>
      <c r="Y266" s="29">
        <f>_xll.qlYieldTSDiscount(Currency&amp;"ON",R266)/(1+U266*X266)</f>
        <v>0.7381505540877269</v>
      </c>
      <c r="Z266" s="30" t="e">
        <f>_xll.qlTenorBasisValue(TenorBasis6M,R266,InterestRatesTrigger)</f>
        <v>#VALUE!</v>
      </c>
      <c r="AA266" s="30" t="e">
        <f t="shared" si="21"/>
        <v>#VALUE!</v>
      </c>
    </row>
    <row r="267" spans="15:27" x14ac:dyDescent="0.2">
      <c r="O267" s="33">
        <v>1</v>
      </c>
      <c r="P267" s="27" t="str">
        <f>_xll.qlPeriodEquivalent(P266&amp;"+"&amp;O267&amp;"M")</f>
        <v>22Y</v>
      </c>
      <c r="Q267" s="28">
        <f>_xll.qlCalendarAdvance(Calendar,SettlementDate,P267,"f",,Trigger)</f>
        <v>50315</v>
      </c>
      <c r="R267" s="28">
        <f>_xll.qlInterestRateIndexValueDate(Index,Q267,Trigger)</f>
        <v>50319</v>
      </c>
      <c r="S267" s="28">
        <f>_xll.qlInterestRateIndexMaturity(Index,R267,Trigger)</f>
        <v>50350</v>
      </c>
      <c r="T267" s="30">
        <f>_xll.qlIndexFixing($M$6,Q267,,InterestRatesTrigger)</f>
        <v>1.6184929196293475E-2</v>
      </c>
      <c r="U267" s="30">
        <f>_xll.qlIndexFixing(Index,Q267,,InterestRatesTrigger)</f>
        <v>1.628701490840425E-2</v>
      </c>
      <c r="V267" s="30">
        <f t="shared" si="20"/>
        <v>1.0208571211077488E-4</v>
      </c>
      <c r="W267" s="29">
        <f>_xll.qlDayCounterYearFraction(DayCounter,SettlementDate,R267,,,Trigger)</f>
        <v>22.333333333333332</v>
      </c>
      <c r="X267" s="29">
        <f>_xll.qlDayCounterYearFraction(DayCounter,R267,S267)</f>
        <v>8.611111111111111E-2</v>
      </c>
      <c r="Y267" s="29">
        <f>_xll.qlYieldTSDiscount(Currency&amp;"ON",R267)/(1+U267*X267)</f>
        <v>0.73709021878380321</v>
      </c>
      <c r="Z267" s="30" t="e">
        <f>_xll.qlTenorBasisValue(TenorBasis6M,R267,InterestRatesTrigger)</f>
        <v>#VALUE!</v>
      </c>
      <c r="AA267" s="30" t="e">
        <f t="shared" si="21"/>
        <v>#VALUE!</v>
      </c>
    </row>
    <row r="268" spans="15:27" x14ac:dyDescent="0.2">
      <c r="O268" s="33">
        <v>1</v>
      </c>
      <c r="P268" s="27" t="str">
        <f>_xll.qlPeriodEquivalent(P267&amp;"+"&amp;O268&amp;"M")</f>
        <v>22Y1M</v>
      </c>
      <c r="Q268" s="28">
        <f>_xll.qlCalendarAdvance(Calendar,SettlementDate,P268,"f",,Trigger)</f>
        <v>50346</v>
      </c>
      <c r="R268" s="28">
        <f>_xll.qlInterestRateIndexValueDate(Index,Q268,Trigger)</f>
        <v>50348</v>
      </c>
      <c r="S268" s="28">
        <f>_xll.qlInterestRateIndexMaturity(Index,R268,Trigger)</f>
        <v>50378</v>
      </c>
      <c r="T268" s="30">
        <f>_xll.qlIndexFixing($M$6,Q268,,InterestRatesTrigger)</f>
        <v>1.6136922054639236E-2</v>
      </c>
      <c r="U268" s="30">
        <f>_xll.qlIndexFixing(Index,Q268,,InterestRatesTrigger)</f>
        <v>1.6236706178387017E-2</v>
      </c>
      <c r="V268" s="30">
        <f t="shared" si="20"/>
        <v>9.978412374778145E-5</v>
      </c>
      <c r="W268" s="29">
        <f>_xll.qlDayCounterYearFraction(DayCounter,SettlementDate,R268,,,Trigger)</f>
        <v>22.413888888888888</v>
      </c>
      <c r="X268" s="29">
        <f>_xll.qlDayCounterYearFraction(DayCounter,R268,S268)</f>
        <v>8.3333333333333329E-2</v>
      </c>
      <c r="Y268" s="29">
        <f>_xll.qlYieldTSDiscount(Currency&amp;"ON",R268)/(1+U268*X268)</f>
        <v>0.73616674668680782</v>
      </c>
      <c r="Z268" s="30" t="e">
        <f>_xll.qlTenorBasisValue(TenorBasis6M,R268,InterestRatesTrigger)</f>
        <v>#VALUE!</v>
      </c>
      <c r="AA268" s="30" t="e">
        <f t="shared" si="21"/>
        <v>#VALUE!</v>
      </c>
    </row>
    <row r="269" spans="15:27" x14ac:dyDescent="0.2">
      <c r="O269" s="33">
        <v>1</v>
      </c>
      <c r="P269" s="27" t="str">
        <f>_xll.qlPeriodEquivalent(P268&amp;"+"&amp;O269&amp;"M")</f>
        <v>22Y2M</v>
      </c>
      <c r="Q269" s="28">
        <f>_xll.qlCalendarAdvance(Calendar,SettlementDate,P269,"f",,Trigger)</f>
        <v>50376</v>
      </c>
      <c r="R269" s="28">
        <f>_xll.qlInterestRateIndexValueDate(Index,Q269,Trigger)</f>
        <v>50378</v>
      </c>
      <c r="S269" s="28">
        <f>_xll.qlInterestRateIndexMaturity(Index,R269,Trigger)</f>
        <v>50409</v>
      </c>
      <c r="T269" s="30">
        <f>_xll.qlIndexFixing($M$6,Q269,,InterestRatesTrigger)</f>
        <v>1.6086908702360271E-2</v>
      </c>
      <c r="U269" s="30">
        <f>_xll.qlIndexFixing(Index,Q269,,InterestRatesTrigger)</f>
        <v>1.6184276980064066E-2</v>
      </c>
      <c r="V269" s="30">
        <f t="shared" si="20"/>
        <v>9.7368277703794442E-5</v>
      </c>
      <c r="W269" s="29">
        <f>_xll.qlDayCounterYearFraction(DayCounter,SettlementDate,R269,,,Trigger)</f>
        <v>22.497222222222224</v>
      </c>
      <c r="X269" s="29">
        <f>_xll.qlDayCounterYearFraction(DayCounter,R269,S269)</f>
        <v>8.611111111111111E-2</v>
      </c>
      <c r="Y269" s="29">
        <f>_xll.qlYieldTSDiscount(Currency&amp;"ON",R269)/(1+U269*X269)</f>
        <v>0.7351483233713747</v>
      </c>
      <c r="Z269" s="30" t="e">
        <f>_xll.qlTenorBasisValue(TenorBasis6M,R269,InterestRatesTrigger)</f>
        <v>#VALUE!</v>
      </c>
      <c r="AA269" s="30" t="e">
        <f t="shared" si="21"/>
        <v>#VALUE!</v>
      </c>
    </row>
    <row r="270" spans="15:27" x14ac:dyDescent="0.2">
      <c r="O270" s="33">
        <v>1</v>
      </c>
      <c r="P270" s="27" t="str">
        <f>_xll.qlPeriodEquivalent(P269&amp;"+"&amp;O270&amp;"M")</f>
        <v>22Y3M</v>
      </c>
      <c r="Q270" s="28">
        <f>_xll.qlCalendarAdvance(Calendar,SettlementDate,P270,"f",,Trigger)</f>
        <v>50409</v>
      </c>
      <c r="R270" s="28">
        <f>_xll.qlInterestRateIndexValueDate(Index,Q270,Trigger)</f>
        <v>50411</v>
      </c>
      <c r="S270" s="28">
        <f>_xll.qlInterestRateIndexMaturity(Index,R270,Trigger)</f>
        <v>50444</v>
      </c>
      <c r="T270" s="30">
        <f>_xll.qlIndexFixing($M$6,Q270,,InterestRatesTrigger)</f>
        <v>1.6032238645358795E-2</v>
      </c>
      <c r="U270" s="30">
        <f>_xll.qlIndexFixing(Index,Q270,,InterestRatesTrigger)</f>
        <v>1.612696424816772E-2</v>
      </c>
      <c r="V270" s="30">
        <f t="shared" si="20"/>
        <v>9.4725602808924669E-5</v>
      </c>
      <c r="W270" s="29">
        <f>_xll.qlDayCounterYearFraction(DayCounter,SettlementDate,R270,,,Trigger)</f>
        <v>22.588888888888889</v>
      </c>
      <c r="X270" s="29">
        <f>_xll.qlDayCounterYearFraction(DayCounter,R270,S270)</f>
        <v>9.166666666666666E-2</v>
      </c>
      <c r="Y270" s="29">
        <f>_xll.qlYieldTSDiscount(Currency&amp;"ON",R270)/(1+U270*X270)</f>
        <v>0.73400385361628129</v>
      </c>
      <c r="Z270" s="30" t="e">
        <f>_xll.qlTenorBasisValue(TenorBasis6M,R270,InterestRatesTrigger)</f>
        <v>#VALUE!</v>
      </c>
      <c r="AA270" s="30" t="e">
        <f t="shared" si="21"/>
        <v>#VALUE!</v>
      </c>
    </row>
    <row r="271" spans="15:27" x14ac:dyDescent="0.2">
      <c r="O271" s="33">
        <v>1</v>
      </c>
      <c r="P271" s="27" t="str">
        <f>_xll.qlPeriodEquivalent(P270&amp;"+"&amp;O271&amp;"M")</f>
        <v>22Y4M</v>
      </c>
      <c r="Q271" s="28">
        <f>_xll.qlCalendarAdvance(Calendar,SettlementDate,P271,"f",,Trigger)</f>
        <v>50438</v>
      </c>
      <c r="R271" s="28">
        <f>_xll.qlInterestRateIndexValueDate(Index,Q271,Trigger)</f>
        <v>50440</v>
      </c>
      <c r="S271" s="28">
        <f>_xll.qlInterestRateIndexMaturity(Index,R271,Trigger)</f>
        <v>50468</v>
      </c>
      <c r="T271" s="30">
        <f>_xll.qlIndexFixing($M$6,Q271,,InterestRatesTrigger)</f>
        <v>1.5987862550616492E-2</v>
      </c>
      <c r="U271" s="30">
        <f>_xll.qlIndexFixing(Index,Q271,,InterestRatesTrigger)</f>
        <v>1.6080535083484091E-2</v>
      </c>
      <c r="V271" s="30">
        <f t="shared" si="20"/>
        <v>9.2672532867599244E-5</v>
      </c>
      <c r="W271" s="29">
        <f>_xll.qlDayCounterYearFraction(DayCounter,SettlementDate,R271,,,Trigger)</f>
        <v>22.669444444444444</v>
      </c>
      <c r="X271" s="29">
        <f>_xll.qlDayCounterYearFraction(DayCounter,R271,S271)</f>
        <v>7.7777777777777779E-2</v>
      </c>
      <c r="Y271" s="29">
        <f>_xll.qlYieldTSDiscount(Currency&amp;"ON",R271)/(1+U271*X271)</f>
        <v>0.73322364752336333</v>
      </c>
      <c r="Z271" s="30" t="e">
        <f>_xll.qlTenorBasisValue(TenorBasis6M,R271,InterestRatesTrigger)</f>
        <v>#VALUE!</v>
      </c>
      <c r="AA271" s="30" t="e">
        <f t="shared" si="21"/>
        <v>#VALUE!</v>
      </c>
    </row>
    <row r="272" spans="15:27" x14ac:dyDescent="0.2">
      <c r="O272" s="33">
        <v>1</v>
      </c>
      <c r="P272" s="27" t="str">
        <f>_xll.qlPeriodEquivalent(P271&amp;"+"&amp;O272&amp;"M")</f>
        <v>22Y5M</v>
      </c>
      <c r="Q272" s="28">
        <f>_xll.qlCalendarAdvance(Calendar,SettlementDate,P272,"f",,Trigger)</f>
        <v>50466</v>
      </c>
      <c r="R272" s="28">
        <f>_xll.qlInterestRateIndexValueDate(Index,Q272,Trigger)</f>
        <v>50468</v>
      </c>
      <c r="S272" s="28">
        <f>_xll.qlInterestRateIndexMaturity(Index,R272,Trigger)</f>
        <v>50500</v>
      </c>
      <c r="T272" s="30">
        <f>_xll.qlIndexFixing($M$6,Q272,,InterestRatesTrigger)</f>
        <v>1.5941708007939093E-2</v>
      </c>
      <c r="U272" s="30">
        <f>_xll.qlIndexFixing(Index,Q272,,InterestRatesTrigger)</f>
        <v>1.6032134785407548E-2</v>
      </c>
      <c r="V272" s="30">
        <f t="shared" si="20"/>
        <v>9.0426777468455288E-5</v>
      </c>
      <c r="W272" s="29">
        <f>_xll.qlDayCounterYearFraction(DayCounter,SettlementDate,R272,,,Trigger)</f>
        <v>22.747222222222224</v>
      </c>
      <c r="X272" s="29">
        <f>_xll.qlDayCounterYearFraction(DayCounter,R272,S272)</f>
        <v>8.8888888888888892E-2</v>
      </c>
      <c r="Y272" s="29">
        <f>_xll.qlYieldTSDiscount(Currency&amp;"ON",R272)/(1+U272*X272)</f>
        <v>0.7321855040079065</v>
      </c>
      <c r="Z272" s="30" t="e">
        <f>_xll.qlTenorBasisValue(TenorBasis6M,R272,InterestRatesTrigger)</f>
        <v>#VALUE!</v>
      </c>
      <c r="AA272" s="30" t="e">
        <f t="shared" si="21"/>
        <v>#VALUE!</v>
      </c>
    </row>
    <row r="273" spans="15:27" x14ac:dyDescent="0.2">
      <c r="O273" s="33">
        <v>1</v>
      </c>
      <c r="P273" s="27" t="str">
        <f>_xll.qlPeriodEquivalent(P272&amp;"+"&amp;O273&amp;"M")</f>
        <v>22Y6M</v>
      </c>
      <c r="Q273" s="28">
        <f>_xll.qlCalendarAdvance(Calendar,SettlementDate,P273,"f",,Trigger)</f>
        <v>50497</v>
      </c>
      <c r="R273" s="28">
        <f>_xll.qlInterestRateIndexValueDate(Index,Q273,Trigger)</f>
        <v>50501</v>
      </c>
      <c r="S273" s="28">
        <f>_xll.qlInterestRateIndexMaturity(Index,R273,Trigger)</f>
        <v>50531</v>
      </c>
      <c r="T273" s="30">
        <f>_xll.qlIndexFixing($M$6,Q273,,InterestRatesTrigger)</f>
        <v>1.5891013070983284E-2</v>
      </c>
      <c r="U273" s="30">
        <f>_xll.qlIndexFixing(Index,Q273,,InterestRatesTrigger)</f>
        <v>1.5979062797274679E-2</v>
      </c>
      <c r="V273" s="30">
        <f t="shared" si="20"/>
        <v>8.8049726291394848E-5</v>
      </c>
      <c r="W273" s="29">
        <f>_xll.qlDayCounterYearFraction(DayCounter,SettlementDate,R273,,,Trigger)</f>
        <v>22.838888888888889</v>
      </c>
      <c r="X273" s="29">
        <f>_xll.qlDayCounterYearFraction(DayCounter,R273,S273)</f>
        <v>8.3333333333333329E-2</v>
      </c>
      <c r="Y273" s="29">
        <f>_xll.qlYieldTSDiscount(Currency&amp;"ON",R273)/(1+U273*X273)</f>
        <v>0.73118539583274833</v>
      </c>
      <c r="Z273" s="30" t="e">
        <f>_xll.qlTenorBasisValue(TenorBasis6M,R273,InterestRatesTrigger)</f>
        <v>#VALUE!</v>
      </c>
      <c r="AA273" s="30" t="e">
        <f t="shared" si="21"/>
        <v>#VALUE!</v>
      </c>
    </row>
    <row r="274" spans="15:27" x14ac:dyDescent="0.2">
      <c r="O274" s="33">
        <v>1</v>
      </c>
      <c r="P274" s="27" t="str">
        <f>_xll.qlPeriodEquivalent(P273&amp;"+"&amp;O274&amp;"M")</f>
        <v>22Y7M</v>
      </c>
      <c r="Q274" s="28">
        <f>_xll.qlCalendarAdvance(Calendar,SettlementDate,P274,"f",,Trigger)</f>
        <v>50528</v>
      </c>
      <c r="R274" s="28">
        <f>_xll.qlInterestRateIndexValueDate(Index,Q274,Trigger)</f>
        <v>50530</v>
      </c>
      <c r="S274" s="28">
        <f>_xll.qlInterestRateIndexMaturity(Index,R274,Trigger)</f>
        <v>50563</v>
      </c>
      <c r="T274" s="30">
        <f>_xll.qlIndexFixing($M$6,Q274,,InterestRatesTrigger)</f>
        <v>1.5845178928788946E-2</v>
      </c>
      <c r="U274" s="30">
        <f>_xll.qlIndexFixing(Index,Q274,,InterestRatesTrigger)</f>
        <v>1.5931026097055163E-2</v>
      </c>
      <c r="V274" s="30">
        <f t="shared" si="20"/>
        <v>8.5847168266216939E-5</v>
      </c>
      <c r="W274" s="29">
        <f>_xll.qlDayCounterYearFraction(DayCounter,SettlementDate,R274,,,Trigger)</f>
        <v>22.919444444444444</v>
      </c>
      <c r="X274" s="29">
        <f>_xll.qlDayCounterYearFraction(DayCounter,R274,S274)</f>
        <v>9.166666666666666E-2</v>
      </c>
      <c r="Y274" s="29">
        <f>_xll.qlYieldTSDiscount(Currency&amp;"ON",R274)/(1+U274*X274)</f>
        <v>0.730156683717188</v>
      </c>
      <c r="Z274" s="30" t="e">
        <f>_xll.qlTenorBasisValue(TenorBasis6M,R274,InterestRatesTrigger)</f>
        <v>#VALUE!</v>
      </c>
      <c r="AA274" s="30" t="e">
        <f t="shared" si="21"/>
        <v>#VALUE!</v>
      </c>
    </row>
    <row r="275" spans="15:27" x14ac:dyDescent="0.2">
      <c r="O275" s="33">
        <v>1</v>
      </c>
      <c r="P275" s="27" t="str">
        <f>_xll.qlPeriodEquivalent(P274&amp;"+"&amp;O275&amp;"M")</f>
        <v>22Y8M</v>
      </c>
      <c r="Q275" s="28">
        <f>_xll.qlCalendarAdvance(Calendar,SettlementDate,P275,"f",,Trigger)</f>
        <v>50558</v>
      </c>
      <c r="R275" s="28">
        <f>_xll.qlInterestRateIndexValueDate(Index,Q275,Trigger)</f>
        <v>50560</v>
      </c>
      <c r="S275" s="28">
        <f>_xll.qlInterestRateIndexMaturity(Index,R275,Trigger)</f>
        <v>50591</v>
      </c>
      <c r="T275" s="30">
        <f>_xll.qlIndexFixing($M$6,Q275,,InterestRatesTrigger)</f>
        <v>1.5800599703213906E-2</v>
      </c>
      <c r="U275" s="30">
        <f>_xll.qlIndexFixing(Index,Q275,,InterestRatesTrigger)</f>
        <v>1.5884373559754729E-2</v>
      </c>
      <c r="V275" s="30">
        <f t="shared" si="20"/>
        <v>8.3773856540823172E-5</v>
      </c>
      <c r="W275" s="29">
        <f>_xll.qlDayCounterYearFraction(DayCounter,SettlementDate,R275,,,Trigger)</f>
        <v>23.002777777777776</v>
      </c>
      <c r="X275" s="29">
        <f>_xll.qlDayCounterYearFraction(DayCounter,R275,S275)</f>
        <v>8.611111111111111E-2</v>
      </c>
      <c r="Y275" s="29">
        <f>_xll.qlYieldTSDiscount(Currency&amp;"ON",R275)/(1+U275*X275)</f>
        <v>0.72926113316746688</v>
      </c>
      <c r="Z275" s="30" t="e">
        <f>_xll.qlTenorBasisValue(TenorBasis6M,R275,InterestRatesTrigger)</f>
        <v>#VALUE!</v>
      </c>
      <c r="AA275" s="30" t="e">
        <f t="shared" si="21"/>
        <v>#VALUE!</v>
      </c>
    </row>
    <row r="276" spans="15:27" x14ac:dyDescent="0.2">
      <c r="O276" s="33">
        <v>1</v>
      </c>
      <c r="P276" s="27" t="str">
        <f>_xll.qlPeriodEquivalent(P275&amp;"+"&amp;O276&amp;"M")</f>
        <v>22Y9M</v>
      </c>
      <c r="Q276" s="28">
        <f>_xll.qlCalendarAdvance(Calendar,SettlementDate,P276,"f",,Trigger)</f>
        <v>50588</v>
      </c>
      <c r="R276" s="28">
        <f>_xll.qlInterestRateIndexValueDate(Index,Q276,Trigger)</f>
        <v>50592</v>
      </c>
      <c r="S276" s="28">
        <f>_xll.qlInterestRateIndexMaturity(Index,R276,Trigger)</f>
        <v>50623</v>
      </c>
      <c r="T276" s="30">
        <f>_xll.qlIndexFixing($M$6,Q276,,InterestRatesTrigger)</f>
        <v>1.5753002095977655E-2</v>
      </c>
      <c r="U276" s="30">
        <f>_xll.qlIndexFixing(Index,Q276,,InterestRatesTrigger)</f>
        <v>1.5834542744659844E-2</v>
      </c>
      <c r="V276" s="30">
        <f t="shared" si="20"/>
        <v>8.1540648682189298E-5</v>
      </c>
      <c r="W276" s="29">
        <f>_xll.qlDayCounterYearFraction(DayCounter,SettlementDate,R276,,,Trigger)</f>
        <v>23.091666666666665</v>
      </c>
      <c r="X276" s="29">
        <f>_xll.qlDayCounterYearFraction(DayCounter,R276,S276)</f>
        <v>8.611111111111111E-2</v>
      </c>
      <c r="Y276" s="29">
        <f>_xll.qlYieldTSDiscount(Currency&amp;"ON",R276)/(1+U276*X276)</f>
        <v>0.72824147064602562</v>
      </c>
      <c r="Z276" s="30" t="e">
        <f>_xll.qlTenorBasisValue(TenorBasis6M,R276,InterestRatesTrigger)</f>
        <v>#VALUE!</v>
      </c>
      <c r="AA276" s="30" t="e">
        <f t="shared" si="21"/>
        <v>#VALUE!</v>
      </c>
    </row>
    <row r="277" spans="15:27" x14ac:dyDescent="0.2">
      <c r="O277" s="33">
        <v>1</v>
      </c>
      <c r="P277" s="27" t="str">
        <f>_xll.qlPeriodEquivalent(P276&amp;"+"&amp;O277&amp;"M")</f>
        <v>22Y10M</v>
      </c>
      <c r="Q277" s="28">
        <f>_xll.qlCalendarAdvance(Calendar,SettlementDate,P277,"f",,Trigger)</f>
        <v>50619</v>
      </c>
      <c r="R277" s="28">
        <f>_xll.qlInterestRateIndexValueDate(Index,Q277,Trigger)</f>
        <v>50621</v>
      </c>
      <c r="S277" s="28">
        <f>_xll.qlInterestRateIndexMaturity(Index,R277,Trigger)</f>
        <v>50654</v>
      </c>
      <c r="T277" s="30">
        <f>_xll.qlIndexFixing($M$6,Q277,,InterestRatesTrigger)</f>
        <v>1.5709871233001816E-2</v>
      </c>
      <c r="U277" s="30">
        <f>_xll.qlIndexFixing(Index,Q277,,InterestRatesTrigger)</f>
        <v>1.578936992890205E-2</v>
      </c>
      <c r="V277" s="30">
        <f t="shared" si="20"/>
        <v>7.9498695900234034E-5</v>
      </c>
      <c r="W277" s="29">
        <f>_xll.qlDayCounterYearFraction(DayCounter,SettlementDate,R277,,,Trigger)</f>
        <v>23.172222222222221</v>
      </c>
      <c r="X277" s="29">
        <f>_xll.qlDayCounterYearFraction(DayCounter,R277,S277)</f>
        <v>9.166666666666666E-2</v>
      </c>
      <c r="Y277" s="29">
        <f>_xll.qlYieldTSDiscount(Currency&amp;"ON",R277)/(1+U277*X277)</f>
        <v>0.72725758156492171</v>
      </c>
      <c r="Z277" s="30" t="e">
        <f>_xll.qlTenorBasisValue(TenorBasis6M,R277,InterestRatesTrigger)</f>
        <v>#VALUE!</v>
      </c>
      <c r="AA277" s="30" t="e">
        <f t="shared" si="21"/>
        <v>#VALUE!</v>
      </c>
    </row>
    <row r="278" spans="15:27" x14ac:dyDescent="0.2">
      <c r="O278" s="33">
        <v>1</v>
      </c>
      <c r="P278" s="27" t="str">
        <f>_xll.qlPeriodEquivalent(P277&amp;"+"&amp;O278&amp;"M")</f>
        <v>22Y11M</v>
      </c>
      <c r="Q278" s="28">
        <f>_xll.qlCalendarAdvance(Calendar,SettlementDate,P278,"f",,Trigger)</f>
        <v>50650</v>
      </c>
      <c r="R278" s="28">
        <f>_xll.qlInterestRateIndexValueDate(Index,Q278,Trigger)</f>
        <v>50654</v>
      </c>
      <c r="S278" s="28">
        <f>_xll.qlInterestRateIndexMaturity(Index,R278,Trigger)</f>
        <v>50684</v>
      </c>
      <c r="T278" s="30">
        <f>_xll.qlIndexFixing($M$6,Q278,,InterestRatesTrigger)</f>
        <v>1.5663684596943561E-2</v>
      </c>
      <c r="U278" s="30">
        <f>_xll.qlIndexFixing(Index,Q278,,InterestRatesTrigger)</f>
        <v>1.5741068008419568E-2</v>
      </c>
      <c r="V278" s="30">
        <f t="shared" si="20"/>
        <v>7.7383411476006358E-5</v>
      </c>
      <c r="W278" s="29">
        <f>_xll.qlDayCounterYearFraction(DayCounter,SettlementDate,R278,,,Trigger)</f>
        <v>23.263888888888889</v>
      </c>
      <c r="X278" s="29">
        <f>_xll.qlDayCounterYearFraction(DayCounter,R278,S278)</f>
        <v>8.3333333333333329E-2</v>
      </c>
      <c r="Y278" s="29">
        <f>_xll.qlYieldTSDiscount(Currency&amp;"ON",R278)/(1+U278*X278)</f>
        <v>0.72631013231415897</v>
      </c>
      <c r="Z278" s="30" t="e">
        <f>_xll.qlTenorBasisValue(TenorBasis6M,R278,InterestRatesTrigger)</f>
        <v>#VALUE!</v>
      </c>
      <c r="AA278" s="30" t="e">
        <f t="shared" si="21"/>
        <v>#VALUE!</v>
      </c>
    </row>
    <row r="279" spans="15:27" x14ac:dyDescent="0.2">
      <c r="O279" s="33">
        <v>1</v>
      </c>
      <c r="P279" s="27" t="str">
        <f>_xll.qlPeriodEquivalent(P278&amp;"+"&amp;O279&amp;"M")</f>
        <v>23Y</v>
      </c>
      <c r="Q279" s="28">
        <f>_xll.qlCalendarAdvance(Calendar,SettlementDate,P279,"f",,Trigger)</f>
        <v>50682</v>
      </c>
      <c r="R279" s="28">
        <f>_xll.qlInterestRateIndexValueDate(Index,Q279,Trigger)</f>
        <v>50684</v>
      </c>
      <c r="S279" s="28">
        <f>_xll.qlInterestRateIndexMaturity(Index,R279,Trigger)</f>
        <v>50717</v>
      </c>
      <c r="T279" s="30">
        <f>_xll.qlIndexFixing($M$6,Q279,,InterestRatesTrigger)</f>
        <v>1.5620458359574162E-2</v>
      </c>
      <c r="U279" s="30">
        <f>_xll.qlIndexFixing(Index,Q279,,InterestRatesTrigger)</f>
        <v>1.5695796440751347E-2</v>
      </c>
      <c r="V279" s="30">
        <f t="shared" si="20"/>
        <v>7.5338081177184213E-5</v>
      </c>
      <c r="W279" s="29">
        <f>_xll.qlDayCounterYearFraction(DayCounter,SettlementDate,R279,,,Trigger)</f>
        <v>23.347222222222221</v>
      </c>
      <c r="X279" s="29">
        <f>_xll.qlDayCounterYearFraction(DayCounter,R279,S279)</f>
        <v>9.166666666666666E-2</v>
      </c>
      <c r="Y279" s="29">
        <f>_xll.qlYieldTSDiscount(Currency&amp;"ON",R279)/(1+U279*X279)</f>
        <v>0.72527130308717502</v>
      </c>
      <c r="Z279" s="30" t="e">
        <f>_xll.qlTenorBasisValue(TenorBasis6M,R279,InterestRatesTrigger)</f>
        <v>#VALUE!</v>
      </c>
      <c r="AA279" s="30" t="e">
        <f t="shared" si="21"/>
        <v>#VALUE!</v>
      </c>
    </row>
    <row r="280" spans="15:27" x14ac:dyDescent="0.2">
      <c r="O280" s="33">
        <v>1</v>
      </c>
      <c r="P280" s="27" t="str">
        <f>_xll.qlPeriodEquivalent(P279&amp;"+"&amp;O280&amp;"M")</f>
        <v>23Y1M</v>
      </c>
      <c r="Q280" s="28">
        <f>_xll.qlCalendarAdvance(Calendar,SettlementDate,P280,"f",,Trigger)</f>
        <v>50711</v>
      </c>
      <c r="R280" s="28">
        <f>_xll.qlInterestRateIndexValueDate(Index,Q280,Trigger)</f>
        <v>50713</v>
      </c>
      <c r="S280" s="28">
        <f>_xll.qlInterestRateIndexMaturity(Index,R280,Trigger)</f>
        <v>50745</v>
      </c>
      <c r="T280" s="30">
        <f>_xll.qlIndexFixing($M$6,Q280,,InterestRatesTrigger)</f>
        <v>1.5580875413657713E-2</v>
      </c>
      <c r="U280" s="30">
        <f>_xll.qlIndexFixing(Index,Q280,,InterestRatesTrigger)</f>
        <v>1.5654392922440918E-2</v>
      </c>
      <c r="V280" s="30">
        <f t="shared" si="20"/>
        <v>7.3517508783205177E-5</v>
      </c>
      <c r="W280" s="29">
        <f>_xll.qlDayCounterYearFraction(DayCounter,SettlementDate,R280,,,Trigger)</f>
        <v>23.427777777777777</v>
      </c>
      <c r="X280" s="29">
        <f>_xll.qlDayCounterYearFraction(DayCounter,R280,S280)</f>
        <v>8.8888888888888892E-2</v>
      </c>
      <c r="Y280" s="29">
        <f>_xll.qlYieldTSDiscount(Currency&amp;"ON",R280)/(1+U280*X280)</f>
        <v>0.72439394780231769</v>
      </c>
      <c r="Z280" s="30" t="e">
        <f>_xll.qlTenorBasisValue(TenorBasis6M,R280,InterestRatesTrigger)</f>
        <v>#VALUE!</v>
      </c>
      <c r="AA280" s="30" t="e">
        <f t="shared" si="21"/>
        <v>#VALUE!</v>
      </c>
    </row>
    <row r="281" spans="15:27" x14ac:dyDescent="0.2">
      <c r="O281" s="33">
        <v>1</v>
      </c>
      <c r="P281" s="27" t="str">
        <f>_xll.qlPeriodEquivalent(P280&amp;"+"&amp;O281&amp;"M")</f>
        <v>23Y2M</v>
      </c>
      <c r="Q281" s="28">
        <f>_xll.qlCalendarAdvance(Calendar,SettlementDate,P281,"f",,Trigger)</f>
        <v>50741</v>
      </c>
      <c r="R281" s="28">
        <f>_xll.qlInterestRateIndexValueDate(Index,Q281,Trigger)</f>
        <v>50745</v>
      </c>
      <c r="S281" s="28">
        <f>_xll.qlInterestRateIndexMaturity(Index,R281,Trigger)</f>
        <v>50776</v>
      </c>
      <c r="T281" s="30">
        <f>_xll.qlIndexFixing($M$6,Q281,,InterestRatesTrigger)</f>
        <v>1.5538068049197776E-2</v>
      </c>
      <c r="U281" s="30">
        <f>_xll.qlIndexFixing(Index,Q281,,InterestRatesTrigger)</f>
        <v>1.5609621879462562E-2</v>
      </c>
      <c r="V281" s="30">
        <f t="shared" si="20"/>
        <v>7.1553830264785984E-5</v>
      </c>
      <c r="W281" s="29">
        <f>_xll.qlDayCounterYearFraction(DayCounter,SettlementDate,R281,,,Trigger)</f>
        <v>23.516666666666666</v>
      </c>
      <c r="X281" s="29">
        <f>_xll.qlDayCounterYearFraction(DayCounter,R281,S281)</f>
        <v>8.611111111111111E-2</v>
      </c>
      <c r="Y281" s="29">
        <f>_xll.qlYieldTSDiscount(Currency&amp;"ON",R281)/(1+U281*X281)</f>
        <v>0.72342627306751994</v>
      </c>
      <c r="Z281" s="30" t="e">
        <f>_xll.qlTenorBasisValue(TenorBasis6M,R281,InterestRatesTrigger)</f>
        <v>#VALUE!</v>
      </c>
      <c r="AA281" s="30" t="e">
        <f t="shared" si="21"/>
        <v>#VALUE!</v>
      </c>
    </row>
    <row r="282" spans="15:27" x14ac:dyDescent="0.2">
      <c r="O282" s="33">
        <v>1</v>
      </c>
      <c r="P282" s="27" t="str">
        <f>_xll.qlPeriodEquivalent(P281&amp;"+"&amp;O282&amp;"M")</f>
        <v>23Y3M</v>
      </c>
      <c r="Q282" s="28">
        <f>_xll.qlCalendarAdvance(Calendar,SettlementDate,P282,"f",,Trigger)</f>
        <v>50773</v>
      </c>
      <c r="R282" s="28">
        <f>_xll.qlInterestRateIndexValueDate(Index,Q282,Trigger)</f>
        <v>50775</v>
      </c>
      <c r="S282" s="28">
        <f>_xll.qlInterestRateIndexMaturity(Index,R282,Trigger)</f>
        <v>50808</v>
      </c>
      <c r="T282" s="30">
        <f>_xll.qlIndexFixing($M$6,Q282,,InterestRatesTrigger)</f>
        <v>1.5497894085331705E-2</v>
      </c>
      <c r="U282" s="30">
        <f>_xll.qlIndexFixing(Index,Q282,,InterestRatesTrigger)</f>
        <v>1.556757486503312E-2</v>
      </c>
      <c r="V282" s="30">
        <f t="shared" si="20"/>
        <v>6.9680779701415327E-5</v>
      </c>
      <c r="W282" s="29">
        <f>_xll.qlDayCounterYearFraction(DayCounter,SettlementDate,R282,,,Trigger)</f>
        <v>23.6</v>
      </c>
      <c r="X282" s="29">
        <f>_xll.qlDayCounterYearFraction(DayCounter,R282,S282)</f>
        <v>9.166666666666666E-2</v>
      </c>
      <c r="Y282" s="29">
        <f>_xll.qlYieldTSDiscount(Currency&amp;"ON",R282)/(1+U282*X282)</f>
        <v>0.72243095960219228</v>
      </c>
      <c r="Z282" s="30" t="e">
        <f>_xll.qlTenorBasisValue(TenorBasis6M,R282,InterestRatesTrigger)</f>
        <v>#VALUE!</v>
      </c>
      <c r="AA282" s="30" t="e">
        <f t="shared" si="21"/>
        <v>#VALUE!</v>
      </c>
    </row>
    <row r="283" spans="15:27" x14ac:dyDescent="0.2">
      <c r="O283" s="33">
        <v>1</v>
      </c>
      <c r="P283" s="27" t="str">
        <f>_xll.qlPeriodEquivalent(P282&amp;"+"&amp;O283&amp;"M")</f>
        <v>23Y4M</v>
      </c>
      <c r="Q283" s="28">
        <f>_xll.qlCalendarAdvance(Calendar,SettlementDate,P283,"f",,Trigger)</f>
        <v>50803</v>
      </c>
      <c r="R283" s="28">
        <f>_xll.qlInterestRateIndexValueDate(Index,Q283,Trigger)</f>
        <v>50805</v>
      </c>
      <c r="S283" s="28">
        <f>_xll.qlInterestRateIndexMaturity(Index,R283,Trigger)</f>
        <v>50833</v>
      </c>
      <c r="T283" s="30">
        <f>_xll.qlIndexFixing($M$6,Q283,,InterestRatesTrigger)</f>
        <v>1.5460789272725111E-2</v>
      </c>
      <c r="U283" s="30">
        <f>_xll.qlIndexFixing(Index,Q283,,InterestRatesTrigger)</f>
        <v>1.5528829457188855E-2</v>
      </c>
      <c r="V283" s="30">
        <f t="shared" si="20"/>
        <v>6.8040184463744741E-5</v>
      </c>
      <c r="W283" s="29">
        <f>_xll.qlDayCounterYearFraction(DayCounter,SettlementDate,R283,,,Trigger)</f>
        <v>23.683333333333334</v>
      </c>
      <c r="X283" s="29">
        <f>_xll.qlDayCounterYearFraction(DayCounter,R283,S283)</f>
        <v>7.7777777777777779E-2</v>
      </c>
      <c r="Y283" s="29">
        <f>_xll.qlYieldTSDiscount(Currency&amp;"ON",R283)/(1+U283*X283)</f>
        <v>0.72165707632555265</v>
      </c>
      <c r="Z283" s="30" t="e">
        <f>_xll.qlTenorBasisValue(TenorBasis6M,R283,InterestRatesTrigger)</f>
        <v>#VALUE!</v>
      </c>
      <c r="AA283" s="30" t="e">
        <f t="shared" si="21"/>
        <v>#VALUE!</v>
      </c>
    </row>
    <row r="284" spans="15:27" x14ac:dyDescent="0.2">
      <c r="O284" s="33">
        <v>1</v>
      </c>
      <c r="P284" s="27" t="str">
        <f>_xll.qlPeriodEquivalent(P283&amp;"+"&amp;O284&amp;"M")</f>
        <v>23Y5M</v>
      </c>
      <c r="Q284" s="28">
        <f>_xll.qlCalendarAdvance(Calendar,SettlementDate,P284,"f",,Trigger)</f>
        <v>50831</v>
      </c>
      <c r="R284" s="28">
        <f>_xll.qlInterestRateIndexValueDate(Index,Q284,Trigger)</f>
        <v>50833</v>
      </c>
      <c r="S284" s="28">
        <f>_xll.qlInterestRateIndexMaturity(Index,R284,Trigger)</f>
        <v>50864</v>
      </c>
      <c r="T284" s="30">
        <f>_xll.qlIndexFixing($M$6,Q284,,InterestRatesTrigger)</f>
        <v>1.5424646336987096E-2</v>
      </c>
      <c r="U284" s="30">
        <f>_xll.qlIndexFixing(Index,Q284,,InterestRatesTrigger)</f>
        <v>1.549099687496968E-2</v>
      </c>
      <c r="V284" s="30">
        <f t="shared" si="20"/>
        <v>6.6350537982583571E-5</v>
      </c>
      <c r="W284" s="29">
        <f>_xll.qlDayCounterYearFraction(DayCounter,SettlementDate,R284,,,Trigger)</f>
        <v>23.761111111111113</v>
      </c>
      <c r="X284" s="29">
        <f>_xll.qlDayCounterYearFraction(DayCounter,R284,S284)</f>
        <v>8.611111111111111E-2</v>
      </c>
      <c r="Y284" s="29">
        <f>_xll.qlYieldTSDiscount(Currency&amp;"ON",R284)/(1+U284*X284)</f>
        <v>0.72069951583501191</v>
      </c>
      <c r="Z284" s="30" t="e">
        <f>_xll.qlTenorBasisValue(TenorBasis6M,R284,InterestRatesTrigger)</f>
        <v>#VALUE!</v>
      </c>
      <c r="AA284" s="30" t="e">
        <f t="shared" si="21"/>
        <v>#VALUE!</v>
      </c>
    </row>
    <row r="285" spans="15:27" x14ac:dyDescent="0.2">
      <c r="O285" s="33">
        <v>1</v>
      </c>
      <c r="P285" s="27" t="str">
        <f>_xll.qlPeriodEquivalent(P284&amp;"+"&amp;O285&amp;"M")</f>
        <v>23Y6M</v>
      </c>
      <c r="Q285" s="28">
        <f>_xll.qlCalendarAdvance(Calendar,SettlementDate,P285,"f",,Trigger)</f>
        <v>50864</v>
      </c>
      <c r="R285" s="28">
        <f>_xll.qlInterestRateIndexValueDate(Index,Q285,Trigger)</f>
        <v>50866</v>
      </c>
      <c r="S285" s="28">
        <f>_xll.qlInterestRateIndexMaturity(Index,R285,Trigger)</f>
        <v>50896</v>
      </c>
      <c r="T285" s="30">
        <f>_xll.qlIndexFixing($M$6,Q285,,InterestRatesTrigger)</f>
        <v>1.5384444664619856E-2</v>
      </c>
      <c r="U285" s="30">
        <f>_xll.qlIndexFixing(Index,Q285,,InterestRatesTrigger)</f>
        <v>1.5448974787070746E-2</v>
      </c>
      <c r="V285" s="30">
        <f t="shared" si="20"/>
        <v>6.4530122450889849E-5</v>
      </c>
      <c r="W285" s="29">
        <f>_xll.qlDayCounterYearFraction(DayCounter,SettlementDate,R285,,,Trigger)</f>
        <v>23.852777777777778</v>
      </c>
      <c r="X285" s="29">
        <f>_xll.qlDayCounterYearFraction(DayCounter,R285,S285)</f>
        <v>8.3333333333333329E-2</v>
      </c>
      <c r="Y285" s="29">
        <f>_xll.qlYieldTSDiscount(Currency&amp;"ON",R285)/(1+U285*X285)</f>
        <v>0.71971542238421782</v>
      </c>
      <c r="Z285" s="30" t="e">
        <f>_xll.qlTenorBasisValue(TenorBasis6M,R285,InterestRatesTrigger)</f>
        <v>#VALUE!</v>
      </c>
      <c r="AA285" s="30" t="e">
        <f t="shared" si="21"/>
        <v>#VALUE!</v>
      </c>
    </row>
    <row r="286" spans="15:27" x14ac:dyDescent="0.2">
      <c r="O286" s="33">
        <v>1</v>
      </c>
      <c r="P286" s="27" t="str">
        <f>_xll.qlPeriodEquivalent(P285&amp;"+"&amp;O286&amp;"M")</f>
        <v>23Y7M</v>
      </c>
      <c r="Q286" s="28">
        <f>_xll.qlCalendarAdvance(Calendar,SettlementDate,P286,"f",,Trigger)</f>
        <v>50892</v>
      </c>
      <c r="R286" s="28">
        <f>_xll.qlInterestRateIndexValueDate(Index,Q286,Trigger)</f>
        <v>50894</v>
      </c>
      <c r="S286" s="28">
        <f>_xll.qlInterestRateIndexMaturity(Index,R286,Trigger)</f>
        <v>50927</v>
      </c>
      <c r="T286" s="30">
        <f>_xll.qlIndexFixing($M$6,Q286,,InterestRatesTrigger)</f>
        <v>1.5350223092317383E-2</v>
      </c>
      <c r="U286" s="30">
        <f>_xll.qlIndexFixing(Index,Q286,,InterestRatesTrigger)</f>
        <v>1.5413161782625358E-2</v>
      </c>
      <c r="V286" s="30">
        <f t="shared" si="20"/>
        <v>6.2938690307975942E-5</v>
      </c>
      <c r="W286" s="29">
        <f>_xll.qlDayCounterYearFraction(DayCounter,SettlementDate,R286,,,Trigger)</f>
        <v>23.930555555555557</v>
      </c>
      <c r="X286" s="29">
        <f>_xll.qlDayCounterYearFraction(DayCounter,R286,S286)</f>
        <v>9.166666666666666E-2</v>
      </c>
      <c r="Y286" s="29">
        <f>_xll.qlYieldTSDiscount(Currency&amp;"ON",R286)/(1+U286*X286)</f>
        <v>0.71876517333044032</v>
      </c>
      <c r="Z286" s="30" t="e">
        <f>_xll.qlTenorBasisValue(TenorBasis6M,R286,InterestRatesTrigger)</f>
        <v>#VALUE!</v>
      </c>
      <c r="AA286" s="30" t="e">
        <f t="shared" si="21"/>
        <v>#VALUE!</v>
      </c>
    </row>
    <row r="287" spans="15:27" x14ac:dyDescent="0.2">
      <c r="O287" s="33">
        <v>1</v>
      </c>
      <c r="P287" s="27" t="str">
        <f>_xll.qlPeriodEquivalent(P286&amp;"+"&amp;O287&amp;"M")</f>
        <v>23Y8M</v>
      </c>
      <c r="Q287" s="28">
        <f>_xll.qlCalendarAdvance(Calendar,SettlementDate,P287,"f",,Trigger)</f>
        <v>50923</v>
      </c>
      <c r="R287" s="28">
        <f>_xll.qlInterestRateIndexValueDate(Index,Q287,Trigger)</f>
        <v>50927</v>
      </c>
      <c r="S287" s="28">
        <f>_xll.qlInterestRateIndexMaturity(Index,R287,Trigger)</f>
        <v>50957</v>
      </c>
      <c r="T287" s="30">
        <f>_xll.qlIndexFixing($M$6,Q287,,InterestRatesTrigger)</f>
        <v>1.5312683632974888E-2</v>
      </c>
      <c r="U287" s="30">
        <f>_xll.qlIndexFixing(Index,Q287,,InterestRatesTrigger)</f>
        <v>1.5373958409147903E-2</v>
      </c>
      <c r="V287" s="30">
        <f t="shared" si="20"/>
        <v>6.12747761730148E-5</v>
      </c>
      <c r="W287" s="29">
        <f>_xll.qlDayCounterYearFraction(DayCounter,SettlementDate,R287,,,Trigger)</f>
        <v>24.022222222222222</v>
      </c>
      <c r="X287" s="29">
        <f>_xll.qlDayCounterYearFraction(DayCounter,R287,S287)</f>
        <v>8.3333333333333329E-2</v>
      </c>
      <c r="Y287" s="29">
        <f>_xll.qlYieldTSDiscount(Currency&amp;"ON",R287)/(1+U287*X287)</f>
        <v>0.71784963180105166</v>
      </c>
      <c r="Z287" s="30" t="e">
        <f>_xll.qlTenorBasisValue(TenorBasis6M,R287,InterestRatesTrigger)</f>
        <v>#VALUE!</v>
      </c>
      <c r="AA287" s="30" t="e">
        <f t="shared" si="21"/>
        <v>#VALUE!</v>
      </c>
    </row>
    <row r="288" spans="15:27" x14ac:dyDescent="0.2">
      <c r="O288" s="33">
        <v>1</v>
      </c>
      <c r="P288" s="27" t="str">
        <f>_xll.qlPeriodEquivalent(P287&amp;"+"&amp;O288&amp;"M")</f>
        <v>23Y9M</v>
      </c>
      <c r="Q288" s="28">
        <f>_xll.qlCalendarAdvance(Calendar,SettlementDate,P288,"f",,Trigger)</f>
        <v>50955</v>
      </c>
      <c r="R288" s="28">
        <f>_xll.qlInterestRateIndexValueDate(Index,Q288,Trigger)</f>
        <v>50957</v>
      </c>
      <c r="S288" s="28">
        <f>_xll.qlInterestRateIndexMaturity(Index,R288,Trigger)</f>
        <v>50990</v>
      </c>
      <c r="T288" s="30">
        <f>_xll.qlIndexFixing($M$6,Q288,,InterestRatesTrigger)</f>
        <v>1.5278221705891003E-2</v>
      </c>
      <c r="U288" s="30">
        <f>_xll.qlIndexFixing(Index,Q288,,InterestRatesTrigger)</f>
        <v>1.5337904569177659E-2</v>
      </c>
      <c r="V288" s="30">
        <f t="shared" si="20"/>
        <v>5.9682863286655841E-5</v>
      </c>
      <c r="W288" s="29">
        <f>_xll.qlDayCounterYearFraction(DayCounter,SettlementDate,R288,,,Trigger)</f>
        <v>24.105555555555554</v>
      </c>
      <c r="X288" s="29">
        <f>_xll.qlDayCounterYearFraction(DayCounter,R288,S288)</f>
        <v>9.166666666666666E-2</v>
      </c>
      <c r="Y288" s="29">
        <f>_xll.qlYieldTSDiscount(Currency&amp;"ON",R288)/(1+U288*X288)</f>
        <v>0.71684542618495706</v>
      </c>
      <c r="Z288" s="30" t="e">
        <f>_xll.qlTenorBasisValue(TenorBasis6M,R288,InterestRatesTrigger)</f>
        <v>#VALUE!</v>
      </c>
      <c r="AA288" s="30" t="e">
        <f t="shared" si="21"/>
        <v>#VALUE!</v>
      </c>
    </row>
    <row r="289" spans="15:27" x14ac:dyDescent="0.2">
      <c r="O289" s="33">
        <v>1</v>
      </c>
      <c r="P289" s="27" t="str">
        <f>_xll.qlPeriodEquivalent(P288&amp;"+"&amp;O289&amp;"M")</f>
        <v>23Y10M</v>
      </c>
      <c r="Q289" s="28">
        <f>_xll.qlCalendarAdvance(Calendar,SettlementDate,P289,"f",,Trigger)</f>
        <v>50984</v>
      </c>
      <c r="R289" s="28">
        <f>_xll.qlInterestRateIndexValueDate(Index,Q289,Trigger)</f>
        <v>50986</v>
      </c>
      <c r="S289" s="28">
        <f>_xll.qlInterestRateIndexMaturity(Index,R289,Trigger)</f>
        <v>51018</v>
      </c>
      <c r="T289" s="30">
        <f>_xll.qlIndexFixing($M$6,Q289,,InterestRatesTrigger)</f>
        <v>1.524679776838761E-2</v>
      </c>
      <c r="U289" s="30">
        <f>_xll.qlIndexFixing(Index,Q289,,InterestRatesTrigger)</f>
        <v>1.5305078637595781E-2</v>
      </c>
      <c r="V289" s="30">
        <f t="shared" si="20"/>
        <v>5.8280869208171548E-5</v>
      </c>
      <c r="W289" s="29">
        <f>_xll.qlDayCounterYearFraction(DayCounter,SettlementDate,R289,,,Trigger)</f>
        <v>24.18611111111111</v>
      </c>
      <c r="X289" s="29">
        <f>_xll.qlDayCounterYearFraction(DayCounter,R289,S289)</f>
        <v>8.8888888888888892E-2</v>
      </c>
      <c r="Y289" s="29">
        <f>_xll.qlYieldTSDiscount(Currency&amp;"ON",R289)/(1+U289*X289)</f>
        <v>0.71599675260266782</v>
      </c>
      <c r="Z289" s="30" t="e">
        <f>_xll.qlTenorBasisValue(TenorBasis6M,R289,InterestRatesTrigger)</f>
        <v>#VALUE!</v>
      </c>
      <c r="AA289" s="30" t="e">
        <f t="shared" si="21"/>
        <v>#VALUE!</v>
      </c>
    </row>
    <row r="290" spans="15:27" x14ac:dyDescent="0.2">
      <c r="O290" s="33">
        <v>1</v>
      </c>
      <c r="P290" s="27" t="str">
        <f>_xll.qlPeriodEquivalent(P289&amp;"+"&amp;O290&amp;"M")</f>
        <v>23Y11M</v>
      </c>
      <c r="Q290" s="28">
        <f>_xll.qlCalendarAdvance(Calendar,SettlementDate,P290,"f",,Trigger)</f>
        <v>51015</v>
      </c>
      <c r="R290" s="28">
        <f>_xll.qlInterestRateIndexValueDate(Index,Q290,Trigger)</f>
        <v>51019</v>
      </c>
      <c r="S290" s="28">
        <f>_xll.qlInterestRateIndexMaturity(Index,R290,Trigger)</f>
        <v>51049</v>
      </c>
      <c r="T290" s="30">
        <f>_xll.qlIndexFixing($M$6,Q290,,InterestRatesTrigger)</f>
        <v>1.5212357680967514E-2</v>
      </c>
      <c r="U290" s="30">
        <f>_xll.qlIndexFixing(Index,Q290,,InterestRatesTrigger)</f>
        <v>1.5269117826228751E-2</v>
      </c>
      <c r="V290" s="30">
        <f t="shared" si="20"/>
        <v>5.6760145261236516E-5</v>
      </c>
      <c r="W290" s="29">
        <f>_xll.qlDayCounterYearFraction(DayCounter,SettlementDate,R290,,,Trigger)</f>
        <v>24.277777777777779</v>
      </c>
      <c r="X290" s="29">
        <f>_xll.qlDayCounterYearFraction(DayCounter,R290,S290)</f>
        <v>8.3333333333333329E-2</v>
      </c>
      <c r="Y290" s="29">
        <f>_xll.qlYieldTSDiscount(Currency&amp;"ON",R290)/(1+U290*X290)</f>
        <v>0.71506032708832901</v>
      </c>
      <c r="Z290" s="30" t="e">
        <f>_xll.qlTenorBasisValue(TenorBasis6M,R290,InterestRatesTrigger)</f>
        <v>#VALUE!</v>
      </c>
      <c r="AA290" s="30" t="e">
        <f t="shared" si="21"/>
        <v>#VALUE!</v>
      </c>
    </row>
    <row r="291" spans="15:27" x14ac:dyDescent="0.2">
      <c r="O291" s="33">
        <v>1</v>
      </c>
      <c r="P291" s="27" t="str">
        <f>_xll.qlPeriodEquivalent(P290&amp;"+"&amp;O291&amp;"M")</f>
        <v>24Y</v>
      </c>
      <c r="Q291" s="28">
        <f>_xll.qlCalendarAdvance(Calendar,SettlementDate,P291,"f",,Trigger)</f>
        <v>51046</v>
      </c>
      <c r="R291" s="28">
        <f>_xll.qlInterestRateIndexValueDate(Index,Q291,Trigger)</f>
        <v>51048</v>
      </c>
      <c r="S291" s="28">
        <f>_xll.qlInterestRateIndexMaturity(Index,R291,Trigger)</f>
        <v>51081</v>
      </c>
      <c r="T291" s="30">
        <f>_xll.qlIndexFixing($M$6,Q291,,InterestRatesTrigger)</f>
        <v>1.5182251060104271E-2</v>
      </c>
      <c r="U291" s="30">
        <f>_xll.qlIndexFixing(Index,Q291,,InterestRatesTrigger)</f>
        <v>1.5237629601362426E-2</v>
      </c>
      <c r="V291" s="30">
        <f t="shared" si="20"/>
        <v>5.537854125815464E-5</v>
      </c>
      <c r="W291" s="29">
        <f>_xll.qlDayCounterYearFraction(DayCounter,SettlementDate,R291,,,Trigger)</f>
        <v>24.358333333333334</v>
      </c>
      <c r="X291" s="29">
        <f>_xll.qlDayCounterYearFraction(DayCounter,R291,S291)</f>
        <v>9.166666666666666E-2</v>
      </c>
      <c r="Y291" s="29">
        <f>_xll.qlYieldTSDiscount(Currency&amp;"ON",R291)/(1+U291*X291)</f>
        <v>0.71409643544592727</v>
      </c>
      <c r="Z291" s="30" t="e">
        <f>_xll.qlTenorBasisValue(TenorBasis6M,R291,InterestRatesTrigger)</f>
        <v>#VALUE!</v>
      </c>
      <c r="AA291" s="30" t="e">
        <f t="shared" si="21"/>
        <v>#VALUE!</v>
      </c>
    </row>
    <row r="292" spans="15:27" x14ac:dyDescent="0.2">
      <c r="O292" s="33">
        <v>1</v>
      </c>
      <c r="P292" s="27" t="str">
        <f>_xll.qlPeriodEquivalent(P291&amp;"+"&amp;O292&amp;"M")</f>
        <v>24Y1M</v>
      </c>
      <c r="Q292" s="28">
        <f>_xll.qlCalendarAdvance(Calendar,SettlementDate,P292,"f",,Trigger)</f>
        <v>51076</v>
      </c>
      <c r="R292" s="28">
        <f>_xll.qlInterestRateIndexValueDate(Index,Q292,Trigger)</f>
        <v>51078</v>
      </c>
      <c r="S292" s="28">
        <f>_xll.qlInterestRateIndexMaturity(Index,R292,Trigger)</f>
        <v>51109</v>
      </c>
      <c r="T292" s="30">
        <f>_xll.qlIndexFixing($M$6,Q292,,InterestRatesTrigger)</f>
        <v>1.5153097363249084E-2</v>
      </c>
      <c r="U292" s="30">
        <f>_xll.qlIndexFixing(Index,Q292,,InterestRatesTrigger)</f>
        <v>1.5207200842532876E-2</v>
      </c>
      <c r="V292" s="30">
        <f t="shared" ref="V292:V355" si="22">U292-T292</f>
        <v>5.4103479283791264E-5</v>
      </c>
      <c r="W292" s="29">
        <f>_xll.qlDayCounterYearFraction(DayCounter,SettlementDate,R292,,,Trigger)</f>
        <v>24.441666666666666</v>
      </c>
      <c r="X292" s="29">
        <f>_xll.qlDayCounterYearFraction(DayCounter,R292,S292)</f>
        <v>8.611111111111111E-2</v>
      </c>
      <c r="Y292" s="29">
        <f>_xll.qlYieldTSDiscount(Currency&amp;"ON",R292)/(1+U292*X292)</f>
        <v>0.71325624120483044</v>
      </c>
      <c r="Z292" s="30" t="e">
        <f>_xll.qlTenorBasisValue(TenorBasis6M,R292,InterestRatesTrigger)</f>
        <v>#VALUE!</v>
      </c>
      <c r="AA292" s="30" t="e">
        <f t="shared" ref="AA292:AA355" si="23">V292-Z292</f>
        <v>#VALUE!</v>
      </c>
    </row>
    <row r="293" spans="15:27" x14ac:dyDescent="0.2">
      <c r="O293" s="33">
        <v>1</v>
      </c>
      <c r="P293" s="27" t="str">
        <f>_xll.qlPeriodEquivalent(P292&amp;"+"&amp;O293&amp;"M")</f>
        <v>24Y2M</v>
      </c>
      <c r="Q293" s="28">
        <f>_xll.qlCalendarAdvance(Calendar,SettlementDate,P293,"f",,Trigger)</f>
        <v>51106</v>
      </c>
      <c r="R293" s="28">
        <f>_xll.qlInterestRateIndexValueDate(Index,Q293,Trigger)</f>
        <v>51110</v>
      </c>
      <c r="S293" s="28">
        <f>_xll.qlInterestRateIndexMaturity(Index,R293,Trigger)</f>
        <v>51141</v>
      </c>
      <c r="T293" s="30">
        <f>_xll.qlIndexFixing($M$6,Q293,,InterestRatesTrigger)</f>
        <v>1.5122841872096653E-2</v>
      </c>
      <c r="U293" s="30">
        <f>_xll.qlIndexFixing(Index,Q293,,InterestRatesTrigger)</f>
        <v>1.5175602023562431E-2</v>
      </c>
      <c r="V293" s="30">
        <f t="shared" si="22"/>
        <v>5.2760151465778074E-5</v>
      </c>
      <c r="W293" s="29">
        <f>_xll.qlDayCounterYearFraction(DayCounter,SettlementDate,R293,,,Trigger)</f>
        <v>24.530555555555555</v>
      </c>
      <c r="X293" s="29">
        <f>_xll.qlDayCounterYearFraction(DayCounter,R293,S293)</f>
        <v>8.611111111111111E-2</v>
      </c>
      <c r="Y293" s="29">
        <f>_xll.qlYieldTSDiscount(Currency&amp;"ON",R293)/(1+U293*X293)</f>
        <v>0.71229876449747809</v>
      </c>
      <c r="Z293" s="30" t="e">
        <f>_xll.qlTenorBasisValue(TenorBasis6M,R293,InterestRatesTrigger)</f>
        <v>#VALUE!</v>
      </c>
      <c r="AA293" s="30" t="e">
        <f t="shared" si="23"/>
        <v>#VALUE!</v>
      </c>
    </row>
    <row r="294" spans="15:27" x14ac:dyDescent="0.2">
      <c r="O294" s="33">
        <v>1</v>
      </c>
      <c r="P294" s="27" t="str">
        <f>_xll.qlPeriodEquivalent(P293&amp;"+"&amp;O294&amp;"M")</f>
        <v>24Y3M</v>
      </c>
      <c r="Q294" s="28">
        <f>_xll.qlCalendarAdvance(Calendar,SettlementDate,P294,"f",,Trigger)</f>
        <v>51137</v>
      </c>
      <c r="R294" s="28">
        <f>_xll.qlInterestRateIndexValueDate(Index,Q294,Trigger)</f>
        <v>51139</v>
      </c>
      <c r="S294" s="28">
        <f>_xll.qlInterestRateIndexMaturity(Index,R294,Trigger)</f>
        <v>51172</v>
      </c>
      <c r="T294" s="30">
        <f>_xll.qlIndexFixing($M$6,Q294,,InterestRatesTrigger)</f>
        <v>1.5096282419192779E-2</v>
      </c>
      <c r="U294" s="30">
        <f>_xll.qlIndexFixing(Index,Q294,,InterestRatesTrigger)</f>
        <v>1.5147843925622115E-2</v>
      </c>
      <c r="V294" s="30">
        <f t="shared" si="22"/>
        <v>5.1561506429336282E-5</v>
      </c>
      <c r="W294" s="29">
        <f>_xll.qlDayCounterYearFraction(DayCounter,SettlementDate,R294,,,Trigger)</f>
        <v>24.611111111111111</v>
      </c>
      <c r="X294" s="29">
        <f>_xll.qlDayCounterYearFraction(DayCounter,R294,S294)</f>
        <v>9.166666666666666E-2</v>
      </c>
      <c r="Y294" s="29">
        <f>_xll.qlYieldTSDiscount(Currency&amp;"ON",R294)/(1+U294*X294)</f>
        <v>0.71137397189381135</v>
      </c>
      <c r="Z294" s="30" t="e">
        <f>_xll.qlTenorBasisValue(TenorBasis6M,R294,InterestRatesTrigger)</f>
        <v>#VALUE!</v>
      </c>
      <c r="AA294" s="30" t="e">
        <f t="shared" si="23"/>
        <v>#VALUE!</v>
      </c>
    </row>
    <row r="295" spans="15:27" x14ac:dyDescent="0.2">
      <c r="O295" s="33">
        <v>1</v>
      </c>
      <c r="P295" s="27" t="str">
        <f>_xll.qlPeriodEquivalent(P294&amp;"+"&amp;O295&amp;"M")</f>
        <v>24Y4M</v>
      </c>
      <c r="Q295" s="28">
        <f>_xll.qlCalendarAdvance(Calendar,SettlementDate,P295,"f",,Trigger)</f>
        <v>51168</v>
      </c>
      <c r="R295" s="28">
        <f>_xll.qlInterestRateIndexValueDate(Index,Q295,Trigger)</f>
        <v>51172</v>
      </c>
      <c r="S295" s="28">
        <f>_xll.qlInterestRateIndexMaturity(Index,R295,Trigger)</f>
        <v>51201</v>
      </c>
      <c r="T295" s="30">
        <f>_xll.qlIndexFixing($M$6,Q295,,InterestRatesTrigger)</f>
        <v>1.506810735836725E-2</v>
      </c>
      <c r="U295" s="30">
        <f>_xll.qlIndexFixing(Index,Q295,,InterestRatesTrigger)</f>
        <v>1.511847398312227E-2</v>
      </c>
      <c r="V295" s="30">
        <f t="shared" si="22"/>
        <v>5.0366624755019893E-5</v>
      </c>
      <c r="W295" s="29">
        <f>_xll.qlDayCounterYearFraction(DayCounter,SettlementDate,R295,,,Trigger)</f>
        <v>24.702777777777779</v>
      </c>
      <c r="X295" s="29">
        <f>_xll.qlDayCounterYearFraction(DayCounter,R295,S295)</f>
        <v>8.0555555555555561E-2</v>
      </c>
      <c r="Y295" s="29">
        <f>_xll.qlYieldTSDiscount(Currency&amp;"ON",R295)/(1+U295*X295)</f>
        <v>0.71051201324666224</v>
      </c>
      <c r="Z295" s="30" t="e">
        <f>_xll.qlTenorBasisValue(TenorBasis6M,R295,InterestRatesTrigger)</f>
        <v>#VALUE!</v>
      </c>
      <c r="AA295" s="30" t="e">
        <f t="shared" si="23"/>
        <v>#VALUE!</v>
      </c>
    </row>
    <row r="296" spans="15:27" x14ac:dyDescent="0.2">
      <c r="O296" s="33">
        <v>1</v>
      </c>
      <c r="P296" s="27" t="str">
        <f>_xll.qlPeriodEquivalent(P295&amp;"+"&amp;O296&amp;"M")</f>
        <v>24Y5M</v>
      </c>
      <c r="Q296" s="28">
        <f>_xll.qlCalendarAdvance(Calendar,SettlementDate,P296,"f",,Trigger)</f>
        <v>51197</v>
      </c>
      <c r="R296" s="28">
        <f>_xll.qlInterestRateIndexValueDate(Index,Q296,Trigger)</f>
        <v>51201</v>
      </c>
      <c r="S296" s="28">
        <f>_xll.qlInterestRateIndexMaturity(Index,R296,Trigger)</f>
        <v>51232</v>
      </c>
      <c r="T296" s="30">
        <f>_xll.qlIndexFixing($M$6,Q296,,InterestRatesTrigger)</f>
        <v>1.5043902517116198E-2</v>
      </c>
      <c r="U296" s="30">
        <f>_xll.qlIndexFixing(Index,Q296,,InterestRatesTrigger)</f>
        <v>1.5093182740130771E-2</v>
      </c>
      <c r="V296" s="30">
        <f t="shared" si="22"/>
        <v>4.9280223014572591E-5</v>
      </c>
      <c r="W296" s="29">
        <f>_xll.qlDayCounterYearFraction(DayCounter,SettlementDate,R296,,,Trigger)</f>
        <v>24.783333333333335</v>
      </c>
      <c r="X296" s="29">
        <f>_xll.qlDayCounterYearFraction(DayCounter,R296,S296)</f>
        <v>8.611111111111111E-2</v>
      </c>
      <c r="Y296" s="29">
        <f>_xll.qlYieldTSDiscount(Currency&amp;"ON",R296)/(1+U296*X296)</f>
        <v>0.7095926415377527</v>
      </c>
      <c r="Z296" s="30" t="e">
        <f>_xll.qlTenorBasisValue(TenorBasis6M,R296,InterestRatesTrigger)</f>
        <v>#VALUE!</v>
      </c>
      <c r="AA296" s="30" t="e">
        <f t="shared" si="23"/>
        <v>#VALUE!</v>
      </c>
    </row>
    <row r="297" spans="15:27" x14ac:dyDescent="0.2">
      <c r="O297" s="33">
        <v>1</v>
      </c>
      <c r="P297" s="27" t="str">
        <f>_xll.qlPeriodEquivalent(P296&amp;"+"&amp;O297&amp;"M")</f>
        <v>24Y6M</v>
      </c>
      <c r="Q297" s="28">
        <f>_xll.qlCalendarAdvance(Calendar,SettlementDate,P297,"f",,Trigger)</f>
        <v>51229</v>
      </c>
      <c r="R297" s="28">
        <f>_xll.qlInterestRateIndexValueDate(Index,Q297,Trigger)</f>
        <v>51231</v>
      </c>
      <c r="S297" s="28">
        <f>_xll.qlInterestRateIndexMaturity(Index,R297,Trigger)</f>
        <v>51263</v>
      </c>
      <c r="T297" s="30">
        <f>_xll.qlIndexFixing($M$6,Q297,,InterestRatesTrigger)</f>
        <v>1.5020183649819829E-2</v>
      </c>
      <c r="U297" s="30">
        <f>_xll.qlIndexFixing(Index,Q297,,InterestRatesTrigger)</f>
        <v>1.506841460600622E-2</v>
      </c>
      <c r="V297" s="30">
        <f t="shared" si="22"/>
        <v>4.8230956186390284E-5</v>
      </c>
      <c r="W297" s="29">
        <f>_xll.qlDayCounterYearFraction(DayCounter,SettlementDate,R297,,,Trigger)</f>
        <v>24.866666666666667</v>
      </c>
      <c r="X297" s="29">
        <f>_xll.qlDayCounterYearFraction(DayCounter,R297,S297)</f>
        <v>8.8888888888888892E-2</v>
      </c>
      <c r="Y297" s="29">
        <f>_xll.qlYieldTSDiscount(Currency&amp;"ON",R297)/(1+U297*X297)</f>
        <v>0.70867604855174571</v>
      </c>
      <c r="Z297" s="30" t="e">
        <f>_xll.qlTenorBasisValue(TenorBasis6M,R297,InterestRatesTrigger)</f>
        <v>#VALUE!</v>
      </c>
      <c r="AA297" s="30" t="e">
        <f t="shared" si="23"/>
        <v>#VALUE!</v>
      </c>
    </row>
    <row r="298" spans="15:27" x14ac:dyDescent="0.2">
      <c r="O298" s="33">
        <v>1</v>
      </c>
      <c r="P298" s="27" t="str">
        <f>_xll.qlPeriodEquivalent(P297&amp;"+"&amp;O298&amp;"M")</f>
        <v>24Y7M</v>
      </c>
      <c r="Q298" s="28">
        <f>_xll.qlCalendarAdvance(Calendar,SettlementDate,P298,"f",,Trigger)</f>
        <v>51258</v>
      </c>
      <c r="R298" s="28">
        <f>_xll.qlInterestRateIndexValueDate(Index,Q298,Trigger)</f>
        <v>51260</v>
      </c>
      <c r="S298" s="28">
        <f>_xll.qlInterestRateIndexMaturity(Index,R298,Trigger)</f>
        <v>51291</v>
      </c>
      <c r="T298" s="30">
        <f>_xll.qlIndexFixing($M$6,Q298,,InterestRatesTrigger)</f>
        <v>1.499853819197082E-2</v>
      </c>
      <c r="U298" s="30">
        <f>_xll.qlIndexFixing(Index,Q298,,InterestRatesTrigger)</f>
        <v>1.5045837618467615E-2</v>
      </c>
      <c r="V298" s="30">
        <f t="shared" si="22"/>
        <v>4.7299426496795124E-5</v>
      </c>
      <c r="W298" s="29">
        <f>_xll.qlDayCounterYearFraction(DayCounter,SettlementDate,R298,,,Trigger)</f>
        <v>24.947222222222223</v>
      </c>
      <c r="X298" s="29">
        <f>_xll.qlDayCounterYearFraction(DayCounter,R298,S298)</f>
        <v>8.611111111111111E-2</v>
      </c>
      <c r="Y298" s="29">
        <f>_xll.qlYieldTSDiscount(Currency&amp;"ON",R298)/(1+U298*X298)</f>
        <v>0.70785056707839067</v>
      </c>
      <c r="Z298" s="30" t="e">
        <f>_xll.qlTenorBasisValue(TenorBasis6M,R298,InterestRatesTrigger)</f>
        <v>#VALUE!</v>
      </c>
      <c r="AA298" s="30" t="e">
        <f t="shared" si="23"/>
        <v>#VALUE!</v>
      </c>
    </row>
    <row r="299" spans="15:27" x14ac:dyDescent="0.2">
      <c r="O299" s="33">
        <v>1</v>
      </c>
      <c r="P299" s="27" t="str">
        <f>_xll.qlPeriodEquivalent(P298&amp;"+"&amp;O299&amp;"M")</f>
        <v>24Y8M</v>
      </c>
      <c r="Q299" s="28">
        <f>_xll.qlCalendarAdvance(Calendar,SettlementDate,P299,"f",,Trigger)</f>
        <v>51291</v>
      </c>
      <c r="R299" s="28">
        <f>_xll.qlInterestRateIndexValueDate(Index,Q299,Trigger)</f>
        <v>51293</v>
      </c>
      <c r="S299" s="28">
        <f>_xll.qlInterestRateIndexMaturity(Index,R299,Trigger)</f>
        <v>51323</v>
      </c>
      <c r="T299" s="30">
        <f>_xll.qlIndexFixing($M$6,Q299,,InterestRatesTrigger)</f>
        <v>1.4975257072207704E-2</v>
      </c>
      <c r="U299" s="30">
        <f>_xll.qlIndexFixing(Index,Q299,,InterestRatesTrigger)</f>
        <v>1.5021558014405301E-2</v>
      </c>
      <c r="V299" s="30">
        <f t="shared" si="22"/>
        <v>4.6300942197596839E-5</v>
      </c>
      <c r="W299" s="29">
        <f>_xll.qlDayCounterYearFraction(DayCounter,SettlementDate,R299,,,Trigger)</f>
        <v>25.038888888888888</v>
      </c>
      <c r="X299" s="29">
        <f>_xll.qlDayCounterYearFraction(DayCounter,R299,S299)</f>
        <v>8.3333333333333329E-2</v>
      </c>
      <c r="Y299" s="29">
        <f>_xll.qlYieldTSDiscount(Currency&amp;"ON",R299)/(1+U299*X299)</f>
        <v>0.7069096446114812</v>
      </c>
      <c r="Z299" s="30" t="e">
        <f>_xll.qlTenorBasisValue(TenorBasis6M,R299,InterestRatesTrigger)</f>
        <v>#VALUE!</v>
      </c>
      <c r="AA299" s="30" t="e">
        <f t="shared" si="23"/>
        <v>#VALUE!</v>
      </c>
    </row>
    <row r="300" spans="15:27" x14ac:dyDescent="0.2">
      <c r="O300" s="33">
        <v>1</v>
      </c>
      <c r="P300" s="27" t="str">
        <f>_xll.qlPeriodEquivalent(P299&amp;"+"&amp;O300&amp;"M")</f>
        <v>24Y9M</v>
      </c>
      <c r="Q300" s="28">
        <f>_xll.qlCalendarAdvance(Calendar,SettlementDate,P300,"f",,Trigger)</f>
        <v>51319</v>
      </c>
      <c r="R300" s="28">
        <f>_xll.qlInterestRateIndexValueDate(Index,Q300,Trigger)</f>
        <v>51321</v>
      </c>
      <c r="S300" s="28">
        <f>_xll.qlInterestRateIndexMaturity(Index,R300,Trigger)</f>
        <v>51354</v>
      </c>
      <c r="T300" s="30">
        <f>_xll.qlIndexFixing($M$6,Q300,,InterestRatesTrigger)</f>
        <v>1.4956626130339405E-2</v>
      </c>
      <c r="U300" s="30">
        <f>_xll.qlIndexFixing(Index,Q300,,InterestRatesTrigger)</f>
        <v>1.5002088025579272E-2</v>
      </c>
      <c r="V300" s="30">
        <f t="shared" si="22"/>
        <v>4.5461895239866726E-5</v>
      </c>
      <c r="W300" s="29">
        <f>_xll.qlDayCounterYearFraction(DayCounter,SettlementDate,R300,,,Trigger)</f>
        <v>25.116666666666667</v>
      </c>
      <c r="X300" s="29">
        <f>_xll.qlDayCounterYearFraction(DayCounter,R300,S300)</f>
        <v>9.166666666666666E-2</v>
      </c>
      <c r="Y300" s="29">
        <f>_xll.qlYieldTSDiscount(Currency&amp;"ON",R300)/(1+U300*X300)</f>
        <v>0.70600022404948548</v>
      </c>
      <c r="Z300" s="30" t="e">
        <f>_xll.qlTenorBasisValue(TenorBasis6M,R300,InterestRatesTrigger)</f>
        <v>#VALUE!</v>
      </c>
      <c r="AA300" s="30" t="e">
        <f t="shared" si="23"/>
        <v>#VALUE!</v>
      </c>
    </row>
    <row r="301" spans="15:27" x14ac:dyDescent="0.2">
      <c r="O301" s="33">
        <v>1</v>
      </c>
      <c r="P301" s="27" t="str">
        <f>_xll.qlPeriodEquivalent(P300&amp;"+"&amp;O301&amp;"M")</f>
        <v>24Y10M</v>
      </c>
      <c r="Q301" s="28">
        <f>_xll.qlCalendarAdvance(Calendar,SettlementDate,P301,"f",,Trigger)</f>
        <v>51350</v>
      </c>
      <c r="R301" s="28">
        <f>_xll.qlInterestRateIndexValueDate(Index,Q301,Trigger)</f>
        <v>51354</v>
      </c>
      <c r="S301" s="28">
        <f>_xll.qlInterestRateIndexMaturity(Index,R301,Trigger)</f>
        <v>51385</v>
      </c>
      <c r="T301" s="30">
        <f>_xll.qlIndexFixing($M$6,Q301,,InterestRatesTrigger)</f>
        <v>1.4936155947184216E-2</v>
      </c>
      <c r="U301" s="30">
        <f>_xll.qlIndexFixing(Index,Q301,,InterestRatesTrigger)</f>
        <v>1.4980761198122234E-2</v>
      </c>
      <c r="V301" s="30">
        <f t="shared" si="22"/>
        <v>4.4605250938018273E-5</v>
      </c>
      <c r="W301" s="29">
        <f>_xll.qlDayCounterYearFraction(DayCounter,SettlementDate,R301,,,Trigger)</f>
        <v>25.208333333333332</v>
      </c>
      <c r="X301" s="29">
        <f>_xll.qlDayCounterYearFraction(DayCounter,R301,S301)</f>
        <v>8.611111111111111E-2</v>
      </c>
      <c r="Y301" s="29">
        <f>_xll.qlYieldTSDiscount(Currency&amp;"ON",R301)/(1+U301*X301)</f>
        <v>0.70509358439530534</v>
      </c>
      <c r="Z301" s="30" t="e">
        <f>_xll.qlTenorBasisValue(TenorBasis6M,R301,InterestRatesTrigger)</f>
        <v>#VALUE!</v>
      </c>
      <c r="AA301" s="30" t="e">
        <f t="shared" si="23"/>
        <v>#VALUE!</v>
      </c>
    </row>
    <row r="302" spans="15:27" x14ac:dyDescent="0.2">
      <c r="O302" s="33">
        <v>1</v>
      </c>
      <c r="P302" s="27" t="str">
        <f>_xll.qlPeriodEquivalent(P301&amp;"+"&amp;O302&amp;"M")</f>
        <v>24Y11M</v>
      </c>
      <c r="Q302" s="28">
        <f>_xll.qlCalendarAdvance(Calendar,SettlementDate,P302,"f",,Trigger)</f>
        <v>51382</v>
      </c>
      <c r="R302" s="28">
        <f>_xll.qlInterestRateIndexValueDate(Index,Q302,Trigger)</f>
        <v>51384</v>
      </c>
      <c r="S302" s="28">
        <f>_xll.qlInterestRateIndexMaturity(Index,R302,Trigger)</f>
        <v>51414</v>
      </c>
      <c r="T302" s="30">
        <f>_xll.qlIndexFixing($M$6,Q302,,InterestRatesTrigger)</f>
        <v>1.4918855420653188E-2</v>
      </c>
      <c r="U302" s="30">
        <f>_xll.qlIndexFixing(Index,Q302,,InterestRatesTrigger)</f>
        <v>1.4962732779871146E-2</v>
      </c>
      <c r="V302" s="30">
        <f t="shared" si="22"/>
        <v>4.3877359217958656E-5</v>
      </c>
      <c r="W302" s="29">
        <f>_xll.qlDayCounterYearFraction(DayCounter,SettlementDate,R302,,,Trigger)</f>
        <v>25.291666666666668</v>
      </c>
      <c r="X302" s="29">
        <f>_xll.qlDayCounterYearFraction(DayCounter,R302,S302)</f>
        <v>8.3333333333333329E-2</v>
      </c>
      <c r="Y302" s="29">
        <f>_xll.qlYieldTSDiscount(Currency&amp;"ON",R302)/(1+U302*X302)</f>
        <v>0.70424738552420141</v>
      </c>
      <c r="Z302" s="30" t="e">
        <f>_xll.qlTenorBasisValue(TenorBasis6M,R302,InterestRatesTrigger)</f>
        <v>#VALUE!</v>
      </c>
      <c r="AA302" s="30" t="e">
        <f t="shared" si="23"/>
        <v>#VALUE!</v>
      </c>
    </row>
    <row r="303" spans="15:27" x14ac:dyDescent="0.2">
      <c r="O303" s="33">
        <v>1</v>
      </c>
      <c r="P303" s="27" t="str">
        <f>_xll.qlPeriodEquivalent(P302&amp;"+"&amp;O303&amp;"M")</f>
        <v>25Y</v>
      </c>
      <c r="Q303" s="28">
        <f>_xll.qlCalendarAdvance(Calendar,SettlementDate,P303,"f",,Trigger)</f>
        <v>51411</v>
      </c>
      <c r="R303" s="28">
        <f>_xll.qlInterestRateIndexValueDate(Index,Q303,Trigger)</f>
        <v>51413</v>
      </c>
      <c r="S303" s="28">
        <f>_xll.qlInterestRateIndexMaturity(Index,R303,Trigger)</f>
        <v>51445</v>
      </c>
      <c r="T303" s="30">
        <f>_xll.qlIndexFixing($M$6,Q303,,InterestRatesTrigger)</f>
        <v>1.4903279638418532E-2</v>
      </c>
      <c r="U303" s="30">
        <f>_xll.qlIndexFixing(Index,Q303,,InterestRatesTrigger)</f>
        <v>1.4946470292649117E-2</v>
      </c>
      <c r="V303" s="30">
        <f t="shared" si="22"/>
        <v>4.319065423058488E-5</v>
      </c>
      <c r="W303" s="29">
        <f>_xll.qlDayCounterYearFraction(DayCounter,SettlementDate,R303,,,Trigger)</f>
        <v>25.372222222222224</v>
      </c>
      <c r="X303" s="29">
        <f>_xll.qlDayCounterYearFraction(DayCounter,R303,S303)</f>
        <v>8.8888888888888892E-2</v>
      </c>
      <c r="Y303" s="29">
        <f>_xll.qlYieldTSDiscount(Currency&amp;"ON",R303)/(1+U303*X303)</f>
        <v>0.70334466310303467</v>
      </c>
      <c r="Z303" s="30" t="e">
        <f>_xll.qlTenorBasisValue(TenorBasis6M,R303,InterestRatesTrigger)</f>
        <v>#VALUE!</v>
      </c>
      <c r="AA303" s="30" t="e">
        <f t="shared" si="23"/>
        <v>#VALUE!</v>
      </c>
    </row>
    <row r="304" spans="15:27" x14ac:dyDescent="0.2">
      <c r="O304" s="33">
        <v>1</v>
      </c>
      <c r="P304" s="27" t="str">
        <f>_xll.qlPeriodEquivalent(P303&amp;"+"&amp;O304&amp;"M")</f>
        <v>25Y1M</v>
      </c>
      <c r="Q304" s="28">
        <f>_xll.qlCalendarAdvance(Calendar,SettlementDate,P304,"f",,Trigger)</f>
        <v>51442</v>
      </c>
      <c r="R304" s="28">
        <f>_xll.qlInterestRateIndexValueDate(Index,Q304,Trigger)</f>
        <v>51446</v>
      </c>
      <c r="S304" s="28">
        <f>_xll.qlInterestRateIndexMaturity(Index,R304,Trigger)</f>
        <v>51476</v>
      </c>
      <c r="T304" s="30">
        <f>_xll.qlIndexFixing($M$6,Q304,,InterestRatesTrigger)</f>
        <v>1.4885874891902517E-2</v>
      </c>
      <c r="U304" s="30">
        <f>_xll.qlIndexFixing(Index,Q304,,InterestRatesTrigger)</f>
        <v>1.492834026167511E-2</v>
      </c>
      <c r="V304" s="30">
        <f t="shared" si="22"/>
        <v>4.2465369772592965E-5</v>
      </c>
      <c r="W304" s="29">
        <f>_xll.qlDayCounterYearFraction(DayCounter,SettlementDate,R304,,,Trigger)</f>
        <v>25.463888888888889</v>
      </c>
      <c r="X304" s="29">
        <f>_xll.qlDayCounterYearFraction(DayCounter,R304,S304)</f>
        <v>8.3333333333333329E-2</v>
      </c>
      <c r="Y304" s="29">
        <f>_xll.qlYieldTSDiscount(Currency&amp;"ON",R304)/(1+U304*X304)</f>
        <v>0.70244441872315033</v>
      </c>
      <c r="Z304" s="30" t="e">
        <f>_xll.qlTenorBasisValue(TenorBasis6M,R304,InterestRatesTrigger)</f>
        <v>#VALUE!</v>
      </c>
      <c r="AA304" s="30" t="e">
        <f t="shared" si="23"/>
        <v>#VALUE!</v>
      </c>
    </row>
    <row r="305" spans="15:27" x14ac:dyDescent="0.2">
      <c r="O305" s="33">
        <v>1</v>
      </c>
      <c r="P305" s="27" t="str">
        <f>_xll.qlPeriodEquivalent(P304&amp;"+"&amp;O305&amp;"M")</f>
        <v>25Y2M</v>
      </c>
      <c r="Q305" s="28">
        <f>_xll.qlCalendarAdvance(Calendar,SettlementDate,P305,"f",,Trigger)</f>
        <v>51473</v>
      </c>
      <c r="R305" s="28">
        <f>_xll.qlInterestRateIndexValueDate(Index,Q305,Trigger)</f>
        <v>51475</v>
      </c>
      <c r="S305" s="28">
        <f>_xll.qlInterestRateIndexMaturity(Index,R305,Trigger)</f>
        <v>51508</v>
      </c>
      <c r="T305" s="30">
        <f>_xll.qlIndexFixing($M$6,Q305,,InterestRatesTrigger)</f>
        <v>1.4871151650510875E-2</v>
      </c>
      <c r="U305" s="30">
        <f>_xll.qlIndexFixing(Index,Q305,,InterestRatesTrigger)</f>
        <v>1.491294184790316E-2</v>
      </c>
      <c r="V305" s="30">
        <f t="shared" si="22"/>
        <v>4.1790197392284692E-5</v>
      </c>
      <c r="W305" s="29">
        <f>_xll.qlDayCounterYearFraction(DayCounter,SettlementDate,R305,,,Trigger)</f>
        <v>25.544444444444444</v>
      </c>
      <c r="X305" s="29">
        <f>_xll.qlDayCounterYearFraction(DayCounter,R305,S305)</f>
        <v>9.166666666666666E-2</v>
      </c>
      <c r="Y305" s="29">
        <f>_xll.qlYieldTSDiscount(Currency&amp;"ON",R305)/(1+U305*X305)</f>
        <v>0.70151692792632836</v>
      </c>
      <c r="Z305" s="30" t="e">
        <f>_xll.qlTenorBasisValue(TenorBasis6M,R305,InterestRatesTrigger)</f>
        <v>#VALUE!</v>
      </c>
      <c r="AA305" s="30" t="e">
        <f t="shared" si="23"/>
        <v>#VALUE!</v>
      </c>
    </row>
    <row r="306" spans="15:27" x14ac:dyDescent="0.2">
      <c r="O306" s="33">
        <v>1</v>
      </c>
      <c r="P306" s="27" t="str">
        <f>_xll.qlPeriodEquivalent(P305&amp;"+"&amp;O306&amp;"M")</f>
        <v>25Y3M</v>
      </c>
      <c r="Q306" s="28">
        <f>_xll.qlCalendarAdvance(Calendar,SettlementDate,P306,"f",,Trigger)</f>
        <v>51503</v>
      </c>
      <c r="R306" s="28">
        <f>_xll.qlInterestRateIndexValueDate(Index,Q306,Trigger)</f>
        <v>51505</v>
      </c>
      <c r="S306" s="28">
        <f>_xll.qlInterestRateIndexMaturity(Index,R306,Trigger)</f>
        <v>51536</v>
      </c>
      <c r="T306" s="30">
        <f>_xll.qlIndexFixing($M$6,Q306,,InterestRatesTrigger)</f>
        <v>1.4855983134202218E-2</v>
      </c>
      <c r="U306" s="30">
        <f>_xll.qlIndexFixing(Index,Q306,,InterestRatesTrigger)</f>
        <v>1.4897129520693764E-2</v>
      </c>
      <c r="V306" s="30">
        <f t="shared" si="22"/>
        <v>4.114638649154595E-5</v>
      </c>
      <c r="W306" s="29">
        <f>_xll.qlDayCounterYearFraction(DayCounter,SettlementDate,R306,,,Trigger)</f>
        <v>25.627777777777776</v>
      </c>
      <c r="X306" s="29">
        <f>_xll.qlDayCounterYearFraction(DayCounter,R306,S306)</f>
        <v>8.611111111111111E-2</v>
      </c>
      <c r="Y306" s="29">
        <f>_xll.qlYieldTSDiscount(Currency&amp;"ON",R306)/(1+U306*X306)</f>
        <v>0.7007075766638966</v>
      </c>
      <c r="Z306" s="30" t="e">
        <f>_xll.qlTenorBasisValue(TenorBasis6M,R306,InterestRatesTrigger)</f>
        <v>#VALUE!</v>
      </c>
      <c r="AA306" s="30" t="e">
        <f t="shared" si="23"/>
        <v>#VALUE!</v>
      </c>
    </row>
    <row r="307" spans="15:27" x14ac:dyDescent="0.2">
      <c r="O307" s="33">
        <v>1</v>
      </c>
      <c r="P307" s="27" t="str">
        <f>_xll.qlPeriodEquivalent(P306&amp;"+"&amp;O307&amp;"M")</f>
        <v>25Y4M</v>
      </c>
      <c r="Q307" s="28">
        <f>_xll.qlCalendarAdvance(Calendar,SettlementDate,P307,"f",,Trigger)</f>
        <v>51536</v>
      </c>
      <c r="R307" s="28">
        <f>_xll.qlInterestRateIndexValueDate(Index,Q307,Trigger)</f>
        <v>51538</v>
      </c>
      <c r="S307" s="28">
        <f>_xll.qlInterestRateIndexMaturity(Index,R307,Trigger)</f>
        <v>51566</v>
      </c>
      <c r="T307" s="30">
        <f>_xll.qlIndexFixing($M$6,Q307,,InterestRatesTrigger)</f>
        <v>1.4839623528429664E-2</v>
      </c>
      <c r="U307" s="30">
        <f>_xll.qlIndexFixing(Index,Q307,,InterestRatesTrigger)</f>
        <v>1.4880076643450289E-2</v>
      </c>
      <c r="V307" s="30">
        <f t="shared" si="22"/>
        <v>4.0453115020624292E-5</v>
      </c>
      <c r="W307" s="29">
        <f>_xll.qlDayCounterYearFraction(DayCounter,SettlementDate,R307,,,Trigger)</f>
        <v>25.719444444444445</v>
      </c>
      <c r="X307" s="29">
        <f>_xll.qlDayCounterYearFraction(DayCounter,R307,S307)</f>
        <v>7.7777777777777779E-2</v>
      </c>
      <c r="Y307" s="29">
        <f>_xll.qlYieldTSDiscount(Currency&amp;"ON",R307)/(1+U307*X307)</f>
        <v>0.69984234033114867</v>
      </c>
      <c r="Z307" s="30" t="e">
        <f>_xll.qlTenorBasisValue(TenorBasis6M,R307,InterestRatesTrigger)</f>
        <v>#VALUE!</v>
      </c>
      <c r="AA307" s="30" t="e">
        <f t="shared" si="23"/>
        <v>#VALUE!</v>
      </c>
    </row>
    <row r="308" spans="15:27" x14ac:dyDescent="0.2">
      <c r="O308" s="33">
        <v>1</v>
      </c>
      <c r="P308" s="27" t="str">
        <f>_xll.qlPeriodEquivalent(P307&amp;"+"&amp;O308&amp;"M")</f>
        <v>25Y5M</v>
      </c>
      <c r="Q308" s="28">
        <f>_xll.qlCalendarAdvance(Calendar,SettlementDate,P308,"f",,Trigger)</f>
        <v>51564</v>
      </c>
      <c r="R308" s="28">
        <f>_xll.qlInterestRateIndexValueDate(Index,Q308,Trigger)</f>
        <v>51566</v>
      </c>
      <c r="S308" s="28">
        <f>_xll.qlInterestRateIndexMaturity(Index,R308,Trigger)</f>
        <v>51599</v>
      </c>
      <c r="T308" s="30">
        <f>_xll.qlIndexFixing($M$6,Q308,,InterestRatesTrigger)</f>
        <v>1.4826579233209585E-2</v>
      </c>
      <c r="U308" s="30">
        <f>_xll.qlIndexFixing(Index,Q308,,InterestRatesTrigger)</f>
        <v>1.4866381563811907E-2</v>
      </c>
      <c r="V308" s="30">
        <f t="shared" si="22"/>
        <v>3.98023306023218E-5</v>
      </c>
      <c r="W308" s="29">
        <f>_xll.qlDayCounterYearFraction(DayCounter,SettlementDate,R308,,,Trigger)</f>
        <v>25.797222222222221</v>
      </c>
      <c r="X308" s="29">
        <f>_xll.qlDayCounterYearFraction(DayCounter,R308,S308)</f>
        <v>9.166666666666666E-2</v>
      </c>
      <c r="Y308" s="29">
        <f>_xll.qlYieldTSDiscount(Currency&amp;"ON",R308)/(1+U308*X308)</f>
        <v>0.69889212335429718</v>
      </c>
      <c r="Z308" s="30" t="e">
        <f>_xll.qlTenorBasisValue(TenorBasis6M,R308,InterestRatesTrigger)</f>
        <v>#VALUE!</v>
      </c>
      <c r="AA308" s="30" t="e">
        <f t="shared" si="23"/>
        <v>#VALUE!</v>
      </c>
    </row>
    <row r="309" spans="15:27" x14ac:dyDescent="0.2">
      <c r="O309" s="33">
        <v>1</v>
      </c>
      <c r="P309" s="27" t="str">
        <f>_xll.qlPeriodEquivalent(P308&amp;"+"&amp;O309&amp;"M")</f>
        <v>25Y6M</v>
      </c>
      <c r="Q309" s="28">
        <f>_xll.qlCalendarAdvance(Calendar,SettlementDate,P309,"f",,Trigger)</f>
        <v>51593</v>
      </c>
      <c r="R309" s="28">
        <f>_xll.qlInterestRateIndexValueDate(Index,Q309,Trigger)</f>
        <v>51595</v>
      </c>
      <c r="S309" s="28">
        <f>_xll.qlInterestRateIndexMaturity(Index,R309,Trigger)</f>
        <v>51627</v>
      </c>
      <c r="T309" s="30">
        <f>_xll.qlIndexFixing($M$6,Q309,,InterestRatesTrigger)</f>
        <v>1.4812989294384626E-2</v>
      </c>
      <c r="U309" s="30">
        <f>_xll.qlIndexFixing(Index,Q309,,InterestRatesTrigger)</f>
        <v>1.485218033921154E-2</v>
      </c>
      <c r="V309" s="30">
        <f t="shared" si="22"/>
        <v>3.9191044826913934E-5</v>
      </c>
      <c r="W309" s="29">
        <f>_xll.qlDayCounterYearFraction(DayCounter,SettlementDate,R309,,,Trigger)</f>
        <v>25.877777777777776</v>
      </c>
      <c r="X309" s="29">
        <f>_xll.qlDayCounterYearFraction(DayCounter,R309,S309)</f>
        <v>8.8888888888888892E-2</v>
      </c>
      <c r="Y309" s="29">
        <f>_xll.qlYieldTSDiscount(Currency&amp;"ON",R309)/(1+U309*X309)</f>
        <v>0.6980880724497186</v>
      </c>
      <c r="Z309" s="30" t="e">
        <f>_xll.qlTenorBasisValue(TenorBasis6M,R309,InterestRatesTrigger)</f>
        <v>#VALUE!</v>
      </c>
      <c r="AA309" s="30" t="e">
        <f t="shared" si="23"/>
        <v>#VALUE!</v>
      </c>
    </row>
    <row r="310" spans="15:27" x14ac:dyDescent="0.2">
      <c r="O310" s="33">
        <v>1</v>
      </c>
      <c r="P310" s="27" t="str">
        <f>_xll.qlPeriodEquivalent(P309&amp;"+"&amp;O310&amp;"M")</f>
        <v>25Y7M</v>
      </c>
      <c r="Q310" s="28">
        <f>_xll.qlCalendarAdvance(Calendar,SettlementDate,P310,"f",,Trigger)</f>
        <v>51623</v>
      </c>
      <c r="R310" s="28">
        <f>_xll.qlInterestRateIndexValueDate(Index,Q310,Trigger)</f>
        <v>51627</v>
      </c>
      <c r="S310" s="28">
        <f>_xll.qlInterestRateIndexMaturity(Index,R310,Trigger)</f>
        <v>51658</v>
      </c>
      <c r="T310" s="30">
        <f>_xll.qlIndexFixing($M$6,Q310,,InterestRatesTrigger)</f>
        <v>1.4798389664750599E-2</v>
      </c>
      <c r="U310" s="30">
        <f>_xll.qlIndexFixing(Index,Q310,,InterestRatesTrigger)</f>
        <v>1.483691238602158E-2</v>
      </c>
      <c r="V310" s="30">
        <f t="shared" si="22"/>
        <v>3.8522721270981344E-5</v>
      </c>
      <c r="W310" s="29">
        <f>_xll.qlDayCounterYearFraction(DayCounter,SettlementDate,R310,,,Trigger)</f>
        <v>25.966666666666665</v>
      </c>
      <c r="X310" s="29">
        <f>_xll.qlDayCounterYearFraction(DayCounter,R310,S310)</f>
        <v>8.611111111111111E-2</v>
      </c>
      <c r="Y310" s="29">
        <f>_xll.qlYieldTSDiscount(Currency&amp;"ON",R310)/(1+U310*X310)</f>
        <v>0.69719974271068419</v>
      </c>
      <c r="Z310" s="30" t="e">
        <f>_xll.qlTenorBasisValue(TenorBasis6M,R310,InterestRatesTrigger)</f>
        <v>#VALUE!</v>
      </c>
      <c r="AA310" s="30" t="e">
        <f t="shared" si="23"/>
        <v>#VALUE!</v>
      </c>
    </row>
    <row r="311" spans="15:27" x14ac:dyDescent="0.2">
      <c r="O311" s="33">
        <v>1</v>
      </c>
      <c r="P311" s="27" t="str">
        <f>_xll.qlPeriodEquivalent(P310&amp;"+"&amp;O311&amp;"M")</f>
        <v>25Y8M</v>
      </c>
      <c r="Q311" s="28">
        <f>_xll.qlCalendarAdvance(Calendar,SettlementDate,P311,"f",,Trigger)</f>
        <v>51655</v>
      </c>
      <c r="R311" s="28">
        <f>_xll.qlInterestRateIndexValueDate(Index,Q311,Trigger)</f>
        <v>51657</v>
      </c>
      <c r="S311" s="28">
        <f>_xll.qlInterestRateIndexMaturity(Index,R311,Trigger)</f>
        <v>51687</v>
      </c>
      <c r="T311" s="30">
        <f>_xll.qlIndexFixing($M$6,Q311,,InterestRatesTrigger)</f>
        <v>1.4785074778563612E-2</v>
      </c>
      <c r="U311" s="30">
        <f>_xll.qlIndexFixing(Index,Q311,,InterestRatesTrigger)</f>
        <v>1.4822978247084784E-2</v>
      </c>
      <c r="V311" s="30">
        <f t="shared" si="22"/>
        <v>3.7903468521172101E-5</v>
      </c>
      <c r="W311" s="29">
        <f>_xll.qlDayCounterYearFraction(DayCounter,SettlementDate,R311,,,Trigger)</f>
        <v>26.05</v>
      </c>
      <c r="X311" s="29">
        <f>_xll.qlDayCounterYearFraction(DayCounter,R311,S311)</f>
        <v>8.3333333333333329E-2</v>
      </c>
      <c r="Y311" s="29">
        <f>_xll.qlYieldTSDiscount(Currency&amp;"ON",R311)/(1+U311*X311)</f>
        <v>0.69637049121327155</v>
      </c>
      <c r="Z311" s="30" t="e">
        <f>_xll.qlTenorBasisValue(TenorBasis6M,R311,InterestRatesTrigger)</f>
        <v>#VALUE!</v>
      </c>
      <c r="AA311" s="30" t="e">
        <f t="shared" si="23"/>
        <v>#VALUE!</v>
      </c>
    </row>
    <row r="312" spans="15:27" x14ac:dyDescent="0.2">
      <c r="O312" s="33">
        <v>1</v>
      </c>
      <c r="P312" s="27" t="str">
        <f>_xll.qlPeriodEquivalent(P311&amp;"+"&amp;O312&amp;"M")</f>
        <v>25Y9M</v>
      </c>
      <c r="Q312" s="28">
        <f>_xll.qlCalendarAdvance(Calendar,SettlementDate,P312,"f",,Trigger)</f>
        <v>51684</v>
      </c>
      <c r="R312" s="28">
        <f>_xll.qlInterestRateIndexValueDate(Index,Q312,Trigger)</f>
        <v>51686</v>
      </c>
      <c r="S312" s="28">
        <f>_xll.qlInterestRateIndexMaturity(Index,R312,Trigger)</f>
        <v>51718</v>
      </c>
      <c r="T312" s="30">
        <f>_xll.qlIndexFixing($M$6,Q312,,InterestRatesTrigger)</f>
        <v>1.4772832911193468E-2</v>
      </c>
      <c r="U312" s="30">
        <f>_xll.qlIndexFixing(Index,Q312,,InterestRatesTrigger)</f>
        <v>1.4810117938079403E-2</v>
      </c>
      <c r="V312" s="30">
        <f t="shared" si="22"/>
        <v>3.7285026885935935E-5</v>
      </c>
      <c r="W312" s="29">
        <f>_xll.qlDayCounterYearFraction(DayCounter,SettlementDate,R312,,,Trigger)</f>
        <v>26.130555555555556</v>
      </c>
      <c r="X312" s="29">
        <f>_xll.qlDayCounterYearFraction(DayCounter,R312,S312)</f>
        <v>8.8888888888888892E-2</v>
      </c>
      <c r="Y312" s="29">
        <f>_xll.qlYieldTSDiscount(Currency&amp;"ON",R312)/(1+U312*X312)</f>
        <v>0.69548568316521864</v>
      </c>
      <c r="Z312" s="30" t="e">
        <f>_xll.qlTenorBasisValue(TenorBasis6M,R312,InterestRatesTrigger)</f>
        <v>#VALUE!</v>
      </c>
      <c r="AA312" s="30" t="e">
        <f t="shared" si="23"/>
        <v>#VALUE!</v>
      </c>
    </row>
    <row r="313" spans="15:27" x14ac:dyDescent="0.2">
      <c r="O313" s="33">
        <v>1</v>
      </c>
      <c r="P313" s="27" t="str">
        <f>_xll.qlPeriodEquivalent(P312&amp;"+"&amp;O313&amp;"M")</f>
        <v>25Y10M</v>
      </c>
      <c r="Q313" s="28">
        <f>_xll.qlCalendarAdvance(Calendar,SettlementDate,P313,"f",,Trigger)</f>
        <v>51715</v>
      </c>
      <c r="R313" s="28">
        <f>_xll.qlInterestRateIndexValueDate(Index,Q313,Trigger)</f>
        <v>51719</v>
      </c>
      <c r="S313" s="28">
        <f>_xll.qlInterestRateIndexMaturity(Index,R313,Trigger)</f>
        <v>51750</v>
      </c>
      <c r="T313" s="30">
        <f>_xll.qlIndexFixing($M$6,Q313,,InterestRatesTrigger)</f>
        <v>1.4759048450031115E-2</v>
      </c>
      <c r="U313" s="30">
        <f>_xll.qlIndexFixing(Index,Q313,,InterestRatesTrigger)</f>
        <v>1.4795665984310702E-2</v>
      </c>
      <c r="V313" s="30">
        <f t="shared" si="22"/>
        <v>3.6617534279586791E-5</v>
      </c>
      <c r="W313" s="29">
        <f>_xll.qlDayCounterYearFraction(DayCounter,SettlementDate,R313,,,Trigger)</f>
        <v>26.222222222222221</v>
      </c>
      <c r="X313" s="29">
        <f>_xll.qlDayCounterYearFraction(DayCounter,R313,S313)</f>
        <v>8.611111111111111E-2</v>
      </c>
      <c r="Y313" s="29">
        <f>_xll.qlYieldTSDiscount(Currency&amp;"ON",R313)/(1+U313*X313)</f>
        <v>0.69457454055320245</v>
      </c>
      <c r="Z313" s="30" t="e">
        <f>_xll.qlTenorBasisValue(TenorBasis6M,R313,InterestRatesTrigger)</f>
        <v>#VALUE!</v>
      </c>
      <c r="AA313" s="30" t="e">
        <f t="shared" si="23"/>
        <v>#VALUE!</v>
      </c>
    </row>
    <row r="314" spans="15:27" x14ac:dyDescent="0.2">
      <c r="O314" s="33">
        <v>1</v>
      </c>
      <c r="P314" s="27" t="str">
        <f>_xll.qlPeriodEquivalent(P313&amp;"+"&amp;O314&amp;"M")</f>
        <v>25Y11M</v>
      </c>
      <c r="Q314" s="28">
        <f>_xll.qlCalendarAdvance(Calendar,SettlementDate,P314,"f",,Trigger)</f>
        <v>51746</v>
      </c>
      <c r="R314" s="28">
        <f>_xll.qlInterestRateIndexValueDate(Index,Q314,Trigger)</f>
        <v>51748</v>
      </c>
      <c r="S314" s="28">
        <f>_xll.qlInterestRateIndexMaturity(Index,R314,Trigger)</f>
        <v>51778</v>
      </c>
      <c r="T314" s="30">
        <f>_xll.qlIndexFixing($M$6,Q314,,InterestRatesTrigger)</f>
        <v>1.4747308692116157E-2</v>
      </c>
      <c r="U314" s="30">
        <f>_xll.qlIndexFixing(Index,Q314,,InterestRatesTrigger)</f>
        <v>1.4783347051722018E-2</v>
      </c>
      <c r="V314" s="30">
        <f t="shared" si="22"/>
        <v>3.6038359605861103E-5</v>
      </c>
      <c r="W314" s="29">
        <f>_xll.qlDayCounterYearFraction(DayCounter,SettlementDate,R314,,,Trigger)</f>
        <v>26.302777777777777</v>
      </c>
      <c r="X314" s="29">
        <f>_xll.qlDayCounterYearFraction(DayCounter,R314,S314)</f>
        <v>8.3333333333333329E-2</v>
      </c>
      <c r="Y314" s="29">
        <f>_xll.qlYieldTSDiscount(Currency&amp;"ON",R314)/(1+U314*X314)</f>
        <v>0.69377892512639994</v>
      </c>
      <c r="Z314" s="30" t="e">
        <f>_xll.qlTenorBasisValue(TenorBasis6M,R314,InterestRatesTrigger)</f>
        <v>#VALUE!</v>
      </c>
      <c r="AA314" s="30" t="e">
        <f t="shared" si="23"/>
        <v>#VALUE!</v>
      </c>
    </row>
    <row r="315" spans="15:27" x14ac:dyDescent="0.2">
      <c r="O315" s="33">
        <v>1</v>
      </c>
      <c r="P315" s="27" t="str">
        <f>_xll.qlPeriodEquivalent(P314&amp;"+"&amp;O315&amp;"M")</f>
        <v>26Y</v>
      </c>
      <c r="Q315" s="28">
        <f>_xll.qlCalendarAdvance(Calendar,SettlementDate,P315,"f",,Trigger)</f>
        <v>51776</v>
      </c>
      <c r="R315" s="28">
        <f>_xll.qlInterestRateIndexValueDate(Index,Q315,Trigger)</f>
        <v>51778</v>
      </c>
      <c r="S315" s="28">
        <f>_xll.qlInterestRateIndexMaturity(Index,R315,Trigger)</f>
        <v>51809</v>
      </c>
      <c r="T315" s="30">
        <f>_xll.qlIndexFixing($M$6,Q315,,InterestRatesTrigger)</f>
        <v>1.4735777924106838E-2</v>
      </c>
      <c r="U315" s="30">
        <f>_xll.qlIndexFixing(Index,Q315,,InterestRatesTrigger)</f>
        <v>1.4771206029253175E-2</v>
      </c>
      <c r="V315" s="30">
        <f t="shared" si="22"/>
        <v>3.5428105146336625E-5</v>
      </c>
      <c r="W315" s="29">
        <f>_xll.qlDayCounterYearFraction(DayCounter,SettlementDate,R315,,,Trigger)</f>
        <v>26.386111111111113</v>
      </c>
      <c r="X315" s="29">
        <f>_xll.qlDayCounterYearFraction(DayCounter,R315,S315)</f>
        <v>8.611111111111111E-2</v>
      </c>
      <c r="Y315" s="29">
        <f>_xll.qlYieldTSDiscount(Currency&amp;"ON",R315)/(1+U315*X315)</f>
        <v>0.69289966203009346</v>
      </c>
      <c r="Z315" s="30" t="e">
        <f>_xll.qlTenorBasisValue(TenorBasis6M,R315,InterestRatesTrigger)</f>
        <v>#VALUE!</v>
      </c>
      <c r="AA315" s="30" t="e">
        <f t="shared" si="23"/>
        <v>#VALUE!</v>
      </c>
    </row>
    <row r="316" spans="15:27" x14ac:dyDescent="0.2">
      <c r="O316" s="33">
        <v>1</v>
      </c>
      <c r="P316" s="27" t="str">
        <f>_xll.qlPeriodEquivalent(P315&amp;"+"&amp;O316&amp;"M")</f>
        <v>26Y1M</v>
      </c>
      <c r="Q316" s="28">
        <f>_xll.qlCalendarAdvance(Calendar,SettlementDate,P316,"f",,Trigger)</f>
        <v>51809</v>
      </c>
      <c r="R316" s="28">
        <f>_xll.qlInterestRateIndexValueDate(Index,Q316,Trigger)</f>
        <v>51811</v>
      </c>
      <c r="S316" s="28">
        <f>_xll.qlInterestRateIndexMaturity(Index,R316,Trigger)</f>
        <v>51841</v>
      </c>
      <c r="T316" s="30">
        <f>_xll.qlIndexFixing($M$6,Q316,,InterestRatesTrigger)</f>
        <v>1.4723335549426508E-2</v>
      </c>
      <c r="U316" s="30">
        <f>_xll.qlIndexFixing(Index,Q316,,InterestRatesTrigger)</f>
        <v>1.4758117646445079E-2</v>
      </c>
      <c r="V316" s="30">
        <f t="shared" si="22"/>
        <v>3.4782097018570823E-5</v>
      </c>
      <c r="W316" s="29">
        <f>_xll.qlDayCounterYearFraction(DayCounter,SettlementDate,R316,,,Trigger)</f>
        <v>26.477777777777778</v>
      </c>
      <c r="X316" s="29">
        <f>_xll.qlDayCounterYearFraction(DayCounter,R316,S316)</f>
        <v>8.3333333333333329E-2</v>
      </c>
      <c r="Y316" s="29">
        <f>_xll.qlYieldTSDiscount(Currency&amp;"ON",R316)/(1+U316*X316)</f>
        <v>0.69199406663762009</v>
      </c>
      <c r="Z316" s="30" t="e">
        <f>_xll.qlTenorBasisValue(TenorBasis6M,R316,InterestRatesTrigger)</f>
        <v>#VALUE!</v>
      </c>
      <c r="AA316" s="30" t="e">
        <f t="shared" si="23"/>
        <v>#VALUE!</v>
      </c>
    </row>
    <row r="317" spans="15:27" x14ac:dyDescent="0.2">
      <c r="O317" s="33">
        <v>1</v>
      </c>
      <c r="P317" s="27" t="str">
        <f>_xll.qlPeriodEquivalent(P316&amp;"+"&amp;O317&amp;"M")</f>
        <v>26Y2M</v>
      </c>
      <c r="Q317" s="28">
        <f>_xll.qlCalendarAdvance(Calendar,SettlementDate,P317,"f",,Trigger)</f>
        <v>51837</v>
      </c>
      <c r="R317" s="28">
        <f>_xll.qlInterestRateIndexValueDate(Index,Q317,Trigger)</f>
        <v>51839</v>
      </c>
      <c r="S317" s="28">
        <f>_xll.qlInterestRateIndexMaturity(Index,R317,Trigger)</f>
        <v>51872</v>
      </c>
      <c r="T317" s="30">
        <f>_xll.qlIndexFixing($M$6,Q317,,InterestRatesTrigger)</f>
        <v>1.4713648761723876E-2</v>
      </c>
      <c r="U317" s="30">
        <f>_xll.qlIndexFixing(Index,Q317,,InterestRatesTrigger)</f>
        <v>1.4747856530019442E-2</v>
      </c>
      <c r="V317" s="30">
        <f t="shared" si="22"/>
        <v>3.4207768295565696E-5</v>
      </c>
      <c r="W317" s="29">
        <f>_xll.qlDayCounterYearFraction(DayCounter,SettlementDate,R317,,,Trigger)</f>
        <v>26.555555555555557</v>
      </c>
      <c r="X317" s="29">
        <f>_xll.qlDayCounterYearFraction(DayCounter,R317,S317)</f>
        <v>9.166666666666666E-2</v>
      </c>
      <c r="Y317" s="29">
        <f>_xll.qlYieldTSDiscount(Currency&amp;"ON",R317)/(1+U317*X317)</f>
        <v>0.69111830695379228</v>
      </c>
      <c r="Z317" s="30" t="e">
        <f>_xll.qlTenorBasisValue(TenorBasis6M,R317,InterestRatesTrigger)</f>
        <v>#VALUE!</v>
      </c>
      <c r="AA317" s="30" t="e">
        <f t="shared" si="23"/>
        <v>#VALUE!</v>
      </c>
    </row>
    <row r="318" spans="15:27" x14ac:dyDescent="0.2">
      <c r="O318" s="33">
        <v>1</v>
      </c>
      <c r="P318" s="27" t="str">
        <f>_xll.qlPeriodEquivalent(P317&amp;"+"&amp;O318&amp;"M")</f>
        <v>26Y3M</v>
      </c>
      <c r="Q318" s="28">
        <f>_xll.qlCalendarAdvance(Calendar,SettlementDate,P318,"f",,Trigger)</f>
        <v>51868</v>
      </c>
      <c r="R318" s="28">
        <f>_xll.qlInterestRateIndexValueDate(Index,Q318,Trigger)</f>
        <v>51872</v>
      </c>
      <c r="S318" s="28">
        <f>_xll.qlInterestRateIndexMaturity(Index,R318,Trigger)</f>
        <v>51903</v>
      </c>
      <c r="T318" s="30">
        <f>_xll.qlIndexFixing($M$6,Q318,,InterestRatesTrigger)</f>
        <v>1.4702022674069131E-2</v>
      </c>
      <c r="U318" s="30">
        <f>_xll.qlIndexFixing(Index,Q318,,InterestRatesTrigger)</f>
        <v>1.4735606862142245E-2</v>
      </c>
      <c r="V318" s="30">
        <f t="shared" si="22"/>
        <v>3.3584188073114071E-5</v>
      </c>
      <c r="W318" s="29">
        <f>_xll.qlDayCounterYearFraction(DayCounter,SettlementDate,R318,,,Trigger)</f>
        <v>26.647222222222222</v>
      </c>
      <c r="X318" s="29">
        <f>_xll.qlDayCounterYearFraction(DayCounter,R318,S318)</f>
        <v>8.611111111111111E-2</v>
      </c>
      <c r="Y318" s="29">
        <f>_xll.qlYieldTSDiscount(Currency&amp;"ON",R318)/(1+U318*X318)</f>
        <v>0.69024462014338761</v>
      </c>
      <c r="Z318" s="30" t="e">
        <f>_xll.qlTenorBasisValue(TenorBasis6M,R318,InterestRatesTrigger)</f>
        <v>#VALUE!</v>
      </c>
      <c r="AA318" s="30" t="e">
        <f t="shared" si="23"/>
        <v>#VALUE!</v>
      </c>
    </row>
    <row r="319" spans="15:27" x14ac:dyDescent="0.2">
      <c r="O319" s="33">
        <v>1</v>
      </c>
      <c r="P319" s="27" t="str">
        <f>_xll.qlPeriodEquivalent(P318&amp;"+"&amp;O319&amp;"M")</f>
        <v>26Y4M</v>
      </c>
      <c r="Q319" s="28">
        <f>_xll.qlCalendarAdvance(Calendar,SettlementDate,P319,"f",,Trigger)</f>
        <v>51900</v>
      </c>
      <c r="R319" s="28">
        <f>_xll.qlInterestRateIndexValueDate(Index,Q319,Trigger)</f>
        <v>51902</v>
      </c>
      <c r="S319" s="28">
        <f>_xll.qlInterestRateIndexMaturity(Index,R319,Trigger)</f>
        <v>51930</v>
      </c>
      <c r="T319" s="30">
        <f>_xll.qlIndexFixing($M$6,Q319,,InterestRatesTrigger)</f>
        <v>1.4691719834868546E-2</v>
      </c>
      <c r="U319" s="30">
        <f>_xll.qlIndexFixing(Index,Q319,,InterestRatesTrigger)</f>
        <v>1.472475306295002E-2</v>
      </c>
      <c r="V319" s="30">
        <f t="shared" si="22"/>
        <v>3.3033228081473867E-5</v>
      </c>
      <c r="W319" s="29">
        <f>_xll.qlDayCounterYearFraction(DayCounter,SettlementDate,R319,,,Trigger)</f>
        <v>26.730555555555554</v>
      </c>
      <c r="X319" s="29">
        <f>_xll.qlDayCounterYearFraction(DayCounter,R319,S319)</f>
        <v>7.7777777777777779E-2</v>
      </c>
      <c r="Y319" s="29">
        <f>_xll.qlYieldTSDiscount(Currency&amp;"ON",R319)/(1+U319*X319)</f>
        <v>0.6894851371122831</v>
      </c>
      <c r="Z319" s="30" t="e">
        <f>_xll.qlTenorBasisValue(TenorBasis6M,R319,InterestRatesTrigger)</f>
        <v>#VALUE!</v>
      </c>
      <c r="AA319" s="30" t="e">
        <f t="shared" si="23"/>
        <v>#VALUE!</v>
      </c>
    </row>
    <row r="320" spans="15:27" x14ac:dyDescent="0.2">
      <c r="O320" s="33">
        <v>1</v>
      </c>
      <c r="P320" s="27" t="str">
        <f>_xll.qlPeriodEquivalent(P319&amp;"+"&amp;O320&amp;"M")</f>
        <v>26Y5M</v>
      </c>
      <c r="Q320" s="28">
        <f>_xll.qlCalendarAdvance(Calendar,SettlementDate,P320,"f",,Trigger)</f>
        <v>51928</v>
      </c>
      <c r="R320" s="28">
        <f>_xll.qlInterestRateIndexValueDate(Index,Q320,Trigger)</f>
        <v>51930</v>
      </c>
      <c r="S320" s="28">
        <f>_xll.qlInterestRateIndexMaturity(Index,R320,Trigger)</f>
        <v>51964</v>
      </c>
      <c r="T320" s="30">
        <f>_xll.qlIndexFixing($M$6,Q320,,InterestRatesTrigger)</f>
        <v>1.4683753090031944E-2</v>
      </c>
      <c r="U320" s="30">
        <f>_xll.qlIndexFixing(Index,Q320,,InterestRatesTrigger)</f>
        <v>1.4716205961878248E-2</v>
      </c>
      <c r="V320" s="30">
        <f t="shared" si="22"/>
        <v>3.2452871846304007E-5</v>
      </c>
      <c r="W320" s="29">
        <f>_xll.qlDayCounterYearFraction(DayCounter,SettlementDate,R320,,,Trigger)</f>
        <v>26.808333333333334</v>
      </c>
      <c r="X320" s="29">
        <f>_xll.qlDayCounterYearFraction(DayCounter,R320,S320)</f>
        <v>9.4444444444444442E-2</v>
      </c>
      <c r="Y320" s="29">
        <f>_xll.qlYieldTSDiscount(Currency&amp;"ON",R320)/(1+U320*X320)</f>
        <v>0.68852994364053699</v>
      </c>
      <c r="Z320" s="30" t="e">
        <f>_xll.qlTenorBasisValue(TenorBasis6M,R320,InterestRatesTrigger)</f>
        <v>#VALUE!</v>
      </c>
      <c r="AA320" s="30" t="e">
        <f t="shared" si="23"/>
        <v>#VALUE!</v>
      </c>
    </row>
    <row r="321" spans="15:27" x14ac:dyDescent="0.2">
      <c r="O321" s="33">
        <v>1</v>
      </c>
      <c r="P321" s="27" t="str">
        <f>_xll.qlPeriodEquivalent(P320&amp;"+"&amp;O321&amp;"M")</f>
        <v>26Y6M</v>
      </c>
      <c r="Q321" s="28">
        <f>_xll.qlCalendarAdvance(Calendar,SettlementDate,P321,"f",,Trigger)</f>
        <v>51958</v>
      </c>
      <c r="R321" s="28">
        <f>_xll.qlInterestRateIndexValueDate(Index,Q321,Trigger)</f>
        <v>51964</v>
      </c>
      <c r="S321" s="28">
        <f>_xll.qlInterestRateIndexMaturity(Index,R321,Trigger)</f>
        <v>51994</v>
      </c>
      <c r="T321" s="30">
        <f>_xll.qlIndexFixing($M$6,Q321,,InterestRatesTrigger)</f>
        <v>1.467296796933848E-2</v>
      </c>
      <c r="U321" s="30">
        <f>_xll.qlIndexFixing(Index,Q321,,InterestRatesTrigger)</f>
        <v>1.4704814913313768E-2</v>
      </c>
      <c r="V321" s="30">
        <f t="shared" si="22"/>
        <v>3.1846943975288866E-5</v>
      </c>
      <c r="W321" s="29">
        <f>_xll.qlDayCounterYearFraction(DayCounter,SettlementDate,R321,,,Trigger)</f>
        <v>26.902777777777779</v>
      </c>
      <c r="X321" s="29">
        <f>_xll.qlDayCounterYearFraction(DayCounter,R321,S321)</f>
        <v>8.3333333333333329E-2</v>
      </c>
      <c r="Y321" s="29">
        <f>_xll.qlYieldTSDiscount(Currency&amp;"ON",R321)/(1+U321*X321)</f>
        <v>0.68768935566666411</v>
      </c>
      <c r="Z321" s="30" t="e">
        <f>_xll.qlTenorBasisValue(TenorBasis6M,R321,InterestRatesTrigger)</f>
        <v>#VALUE!</v>
      </c>
      <c r="AA321" s="30" t="e">
        <f t="shared" si="23"/>
        <v>#VALUE!</v>
      </c>
    </row>
    <row r="322" spans="15:27" x14ac:dyDescent="0.2">
      <c r="O322" s="33">
        <v>1</v>
      </c>
      <c r="P322" s="27" t="str">
        <f>_xll.qlPeriodEquivalent(P321&amp;"+"&amp;O322&amp;"M")</f>
        <v>26Y7M</v>
      </c>
      <c r="Q322" s="28">
        <f>_xll.qlCalendarAdvance(Calendar,SettlementDate,P322,"f",,Trigger)</f>
        <v>51988</v>
      </c>
      <c r="R322" s="28">
        <f>_xll.qlInterestRateIndexValueDate(Index,Q322,Trigger)</f>
        <v>51992</v>
      </c>
      <c r="S322" s="28">
        <f>_xll.qlInterestRateIndexMaturity(Index,R322,Trigger)</f>
        <v>52023</v>
      </c>
      <c r="T322" s="30">
        <f>_xll.qlIndexFixing($M$6,Q322,,InterestRatesTrigger)</f>
        <v>1.4665171201259061E-2</v>
      </c>
      <c r="U322" s="30">
        <f>_xll.qlIndexFixing(Index,Q322,,InterestRatesTrigger)</f>
        <v>1.4696490399141933E-2</v>
      </c>
      <c r="V322" s="30">
        <f t="shared" si="22"/>
        <v>3.1319197882871685E-5</v>
      </c>
      <c r="W322" s="29">
        <f>_xll.qlDayCounterYearFraction(DayCounter,SettlementDate,R322,,,Trigger)</f>
        <v>26.980555555555554</v>
      </c>
      <c r="X322" s="29">
        <f>_xll.qlDayCounterYearFraction(DayCounter,R322,S322)</f>
        <v>8.611111111111111E-2</v>
      </c>
      <c r="Y322" s="29">
        <f>_xll.qlYieldTSDiscount(Currency&amp;"ON",R322)/(1+U322*X322)</f>
        <v>0.68687792387660063</v>
      </c>
      <c r="Z322" s="30" t="e">
        <f>_xll.qlTenorBasisValue(TenorBasis6M,R322,InterestRatesTrigger)</f>
        <v>#VALUE!</v>
      </c>
      <c r="AA322" s="30" t="e">
        <f t="shared" si="23"/>
        <v>#VALUE!</v>
      </c>
    </row>
    <row r="323" spans="15:27" x14ac:dyDescent="0.2">
      <c r="O323" s="33">
        <v>1</v>
      </c>
      <c r="P323" s="27" t="str">
        <f>_xll.qlPeriodEquivalent(P322&amp;"+"&amp;O323&amp;"M")</f>
        <v>26Y8M</v>
      </c>
      <c r="Q323" s="28">
        <f>_xll.qlCalendarAdvance(Calendar,SettlementDate,P323,"f",,Trigger)</f>
        <v>52019</v>
      </c>
      <c r="R323" s="28">
        <f>_xll.qlInterestRateIndexValueDate(Index,Q323,Trigger)</f>
        <v>52021</v>
      </c>
      <c r="S323" s="28">
        <f>_xll.qlInterestRateIndexMaturity(Index,R323,Trigger)</f>
        <v>52051</v>
      </c>
      <c r="T323" s="30">
        <f>_xll.qlIndexFixing($M$6,Q323,,InterestRatesTrigger)</f>
        <v>1.4657193595571272E-2</v>
      </c>
      <c r="U323" s="30">
        <f>_xll.qlIndexFixing(Index,Q323,,InterestRatesTrigger)</f>
        <v>1.4687987908481581E-2</v>
      </c>
      <c r="V323" s="30">
        <f t="shared" si="22"/>
        <v>3.0794312910309429E-5</v>
      </c>
      <c r="W323" s="29">
        <f>_xll.qlDayCounterYearFraction(DayCounter,SettlementDate,R323,,,Trigger)</f>
        <v>27.06111111111111</v>
      </c>
      <c r="X323" s="29">
        <f>_xll.qlDayCounterYearFraction(DayCounter,R323,S323)</f>
        <v>8.3333333333333329E-2</v>
      </c>
      <c r="Y323" s="29">
        <f>_xll.qlYieldTSDiscount(Currency&amp;"ON",R323)/(1+U323*X323)</f>
        <v>0.68609590738010873</v>
      </c>
      <c r="Z323" s="30" t="e">
        <f>_xll.qlTenorBasisValue(TenorBasis6M,R323,InterestRatesTrigger)</f>
        <v>#VALUE!</v>
      </c>
      <c r="AA323" s="30" t="e">
        <f t="shared" si="23"/>
        <v>#VALUE!</v>
      </c>
    </row>
    <row r="324" spans="15:27" x14ac:dyDescent="0.2">
      <c r="O324" s="33">
        <v>1</v>
      </c>
      <c r="P324" s="27" t="str">
        <f>_xll.qlPeriodEquivalent(P323&amp;"+"&amp;O324&amp;"M")</f>
        <v>26Y9M</v>
      </c>
      <c r="Q324" s="28">
        <f>_xll.qlCalendarAdvance(Calendar,SettlementDate,P324,"f",,Trigger)</f>
        <v>52049</v>
      </c>
      <c r="R324" s="28">
        <f>_xll.qlInterestRateIndexValueDate(Index,Q324,Trigger)</f>
        <v>52051</v>
      </c>
      <c r="S324" s="28">
        <f>_xll.qlInterestRateIndexMaturity(Index,R324,Trigger)</f>
        <v>52082</v>
      </c>
      <c r="T324" s="30">
        <f>_xll.qlIndexFixing($M$6,Q324,,InterestRatesTrigger)</f>
        <v>1.4649747470174486E-2</v>
      </c>
      <c r="U324" s="30">
        <f>_xll.qlIndexFixing(Index,Q324,,InterestRatesTrigger)</f>
        <v>1.4679988679159209E-2</v>
      </c>
      <c r="V324" s="30">
        <f t="shared" si="22"/>
        <v>3.0241208984723919E-5</v>
      </c>
      <c r="W324" s="29">
        <f>_xll.qlDayCounterYearFraction(DayCounter,SettlementDate,R324,,,Trigger)</f>
        <v>27.144444444444446</v>
      </c>
      <c r="X324" s="29">
        <f>_xll.qlDayCounterYearFraction(DayCounter,R324,S324)</f>
        <v>8.611111111111111E-2</v>
      </c>
      <c r="Y324" s="29">
        <f>_xll.qlYieldTSDiscount(Currency&amp;"ON",R324)/(1+U324*X324)</f>
        <v>0.68523145785499018</v>
      </c>
      <c r="Z324" s="30" t="e">
        <f>_xll.qlTenorBasisValue(TenorBasis6M,R324,InterestRatesTrigger)</f>
        <v>#VALUE!</v>
      </c>
      <c r="AA324" s="30" t="e">
        <f t="shared" si="23"/>
        <v>#VALUE!</v>
      </c>
    </row>
    <row r="325" spans="15:27" x14ac:dyDescent="0.2">
      <c r="O325" s="33">
        <v>1</v>
      </c>
      <c r="P325" s="27" t="str">
        <f>_xll.qlPeriodEquivalent(P324&amp;"+"&amp;O325&amp;"M")</f>
        <v>26Y10M</v>
      </c>
      <c r="Q325" s="28">
        <f>_xll.qlCalendarAdvance(Calendar,SettlementDate,P325,"f",,Trigger)</f>
        <v>52082</v>
      </c>
      <c r="R325" s="28">
        <f>_xll.qlInterestRateIndexValueDate(Index,Q325,Trigger)</f>
        <v>52084</v>
      </c>
      <c r="S325" s="28">
        <f>_xll.qlInterestRateIndexMaturity(Index,R325,Trigger)</f>
        <v>52117</v>
      </c>
      <c r="T325" s="30">
        <f>_xll.qlIndexFixing($M$6,Q325,,InterestRatesTrigger)</f>
        <v>1.4642294260490182E-2</v>
      </c>
      <c r="U325" s="30">
        <f>_xll.qlIndexFixing(Index,Q325,,InterestRatesTrigger)</f>
        <v>1.4671927148173227E-2</v>
      </c>
      <c r="V325" s="30">
        <f t="shared" si="22"/>
        <v>2.9632887683045048E-5</v>
      </c>
      <c r="W325" s="29">
        <f>_xll.qlDayCounterYearFraction(DayCounter,SettlementDate,R325,,,Trigger)</f>
        <v>27.236111111111111</v>
      </c>
      <c r="X325" s="29">
        <f>_xll.qlDayCounterYearFraction(DayCounter,R325,S325)</f>
        <v>9.166666666666666E-2</v>
      </c>
      <c r="Y325" s="29">
        <f>_xll.qlYieldTSDiscount(Currency&amp;"ON",R325)/(1+U325*X325)</f>
        <v>0.68425724744268668</v>
      </c>
      <c r="Z325" s="30" t="e">
        <f>_xll.qlTenorBasisValue(TenorBasis6M,R325,InterestRatesTrigger)</f>
        <v>#VALUE!</v>
      </c>
      <c r="AA325" s="30" t="e">
        <f t="shared" si="23"/>
        <v>#VALUE!</v>
      </c>
    </row>
    <row r="326" spans="15:27" x14ac:dyDescent="0.2">
      <c r="O326" s="33">
        <v>1</v>
      </c>
      <c r="P326" s="27" t="str">
        <f>_xll.qlPeriodEquivalent(P325&amp;"+"&amp;O326&amp;"M")</f>
        <v>26Y11M</v>
      </c>
      <c r="Q326" s="28">
        <f>_xll.qlCalendarAdvance(Calendar,SettlementDate,P326,"f",,Trigger)</f>
        <v>52111</v>
      </c>
      <c r="R326" s="28">
        <f>_xll.qlInterestRateIndexValueDate(Index,Q326,Trigger)</f>
        <v>52113</v>
      </c>
      <c r="S326" s="28">
        <f>_xll.qlInterestRateIndexMaturity(Index,R326,Trigger)</f>
        <v>52145</v>
      </c>
      <c r="T326" s="30">
        <f>_xll.qlIndexFixing($M$6,Q326,,InterestRatesTrigger)</f>
        <v>1.463572709068911E-2</v>
      </c>
      <c r="U326" s="30">
        <f>_xll.qlIndexFixing(Index,Q326,,InterestRatesTrigger)</f>
        <v>1.4664852580758836E-2</v>
      </c>
      <c r="V326" s="30">
        <f t="shared" si="22"/>
        <v>2.9125490069725757E-5</v>
      </c>
      <c r="W326" s="29">
        <f>_xll.qlDayCounterYearFraction(DayCounter,SettlementDate,R326,,,Trigger)</f>
        <v>27.316666666666666</v>
      </c>
      <c r="X326" s="29">
        <f>_xll.qlDayCounterYearFraction(DayCounter,R326,S326)</f>
        <v>8.8888888888888892E-2</v>
      </c>
      <c r="Y326" s="29">
        <f>_xll.qlYieldTSDiscount(Currency&amp;"ON",R326)/(1+U326*X326)</f>
        <v>0.68347939239818156</v>
      </c>
      <c r="Z326" s="30" t="e">
        <f>_xll.qlTenorBasisValue(TenorBasis6M,R326,InterestRatesTrigger)</f>
        <v>#VALUE!</v>
      </c>
      <c r="AA326" s="30" t="e">
        <f t="shared" si="23"/>
        <v>#VALUE!</v>
      </c>
    </row>
    <row r="327" spans="15:27" x14ac:dyDescent="0.2">
      <c r="O327" s="33">
        <v>1</v>
      </c>
      <c r="P327" s="27" t="str">
        <f>_xll.qlPeriodEquivalent(P326&amp;"+"&amp;O327&amp;"M")</f>
        <v>27Y</v>
      </c>
      <c r="Q327" s="28">
        <f>_xll.qlCalendarAdvance(Calendar,SettlementDate,P327,"f",,Trigger)</f>
        <v>52141</v>
      </c>
      <c r="R327" s="28">
        <f>_xll.qlInterestRateIndexValueDate(Index,Q327,Trigger)</f>
        <v>52145</v>
      </c>
      <c r="S327" s="28">
        <f>_xll.qlInterestRateIndexMaturity(Index,R327,Trigger)</f>
        <v>52176</v>
      </c>
      <c r="T327" s="30">
        <f>_xll.qlIndexFixing($M$6,Q327,,InterestRatesTrigger)</f>
        <v>1.4629019062412634E-2</v>
      </c>
      <c r="U327" s="30">
        <f>_xll.qlIndexFixing(Index,Q327,,InterestRatesTrigger)</f>
        <v>1.4657590028947206E-2</v>
      </c>
      <c r="V327" s="30">
        <f t="shared" si="22"/>
        <v>2.857096653457146E-5</v>
      </c>
      <c r="W327" s="29">
        <f>_xll.qlDayCounterYearFraction(DayCounter,SettlementDate,R327,,,Trigger)</f>
        <v>27.405555555555555</v>
      </c>
      <c r="X327" s="29">
        <f>_xll.qlDayCounterYearFraction(DayCounter,R327,S327)</f>
        <v>8.611111111111111E-2</v>
      </c>
      <c r="Y327" s="29">
        <f>_xll.qlYieldTSDiscount(Currency&amp;"ON",R327)/(1+U327*X327)</f>
        <v>0.68261956988160122</v>
      </c>
      <c r="Z327" s="30" t="e">
        <f>_xll.qlTenorBasisValue(TenorBasis6M,R327,InterestRatesTrigger)</f>
        <v>#VALUE!</v>
      </c>
      <c r="AA327" s="30" t="e">
        <f t="shared" si="23"/>
        <v>#VALUE!</v>
      </c>
    </row>
    <row r="328" spans="15:27" x14ac:dyDescent="0.2">
      <c r="O328" s="33">
        <v>1</v>
      </c>
      <c r="P328" s="27" t="str">
        <f>_xll.qlPeriodEquivalent(P327&amp;"+"&amp;O328&amp;"M")</f>
        <v>27Y1M</v>
      </c>
      <c r="Q328" s="28">
        <f>_xll.qlCalendarAdvance(Calendar,SettlementDate,P328,"f",,Trigger)</f>
        <v>52173</v>
      </c>
      <c r="R328" s="28">
        <f>_xll.qlInterestRateIndexValueDate(Index,Q328,Trigger)</f>
        <v>52175</v>
      </c>
      <c r="S328" s="28">
        <f>_xll.qlInterestRateIndexMaturity(Index,R328,Trigger)</f>
        <v>52205</v>
      </c>
      <c r="T328" s="30">
        <f>_xll.qlIndexFixing($M$6,Q328,,InterestRatesTrigger)</f>
        <v>1.4623219214108474E-2</v>
      </c>
      <c r="U328" s="30">
        <f>_xll.qlIndexFixing(Index,Q328,,InterestRatesTrigger)</f>
        <v>1.4651276598534935E-2</v>
      </c>
      <c r="V328" s="30">
        <f t="shared" si="22"/>
        <v>2.8057384426460885E-5</v>
      </c>
      <c r="W328" s="29">
        <f>_xll.qlDayCounterYearFraction(DayCounter,SettlementDate,R328,,,Trigger)</f>
        <v>27.488888888888887</v>
      </c>
      <c r="X328" s="29">
        <f>_xll.qlDayCounterYearFraction(DayCounter,R328,S328)</f>
        <v>8.3333333333333329E-2</v>
      </c>
      <c r="Y328" s="29">
        <f>_xll.qlYieldTSDiscount(Currency&amp;"ON",R328)/(1+U328*X328)</f>
        <v>0.68181650710837061</v>
      </c>
      <c r="Z328" s="30" t="e">
        <f>_xll.qlTenorBasisValue(TenorBasis6M,R328,InterestRatesTrigger)</f>
        <v>#VALUE!</v>
      </c>
      <c r="AA328" s="30" t="e">
        <f t="shared" si="23"/>
        <v>#VALUE!</v>
      </c>
    </row>
    <row r="329" spans="15:27" x14ac:dyDescent="0.2">
      <c r="O329" s="33">
        <v>1</v>
      </c>
      <c r="P329" s="27" t="str">
        <f>_xll.qlPeriodEquivalent(P328&amp;"+"&amp;O329&amp;"M")</f>
        <v>27Y2M</v>
      </c>
      <c r="Q329" s="28">
        <f>_xll.qlCalendarAdvance(Calendar,SettlementDate,P329,"f",,Trigger)</f>
        <v>52202</v>
      </c>
      <c r="R329" s="28">
        <f>_xll.qlInterestRateIndexValueDate(Index,Q329,Trigger)</f>
        <v>52204</v>
      </c>
      <c r="S329" s="28">
        <f>_xll.qlInterestRateIndexMaturity(Index,R329,Trigger)</f>
        <v>52236</v>
      </c>
      <c r="T329" s="30">
        <f>_xll.qlIndexFixing($M$6,Q329,,InterestRatesTrigger)</f>
        <v>1.4618724895769653E-2</v>
      </c>
      <c r="U329" s="30">
        <f>_xll.qlIndexFixing(Index,Q329,,InterestRatesTrigger)</f>
        <v>1.4646269125494216E-2</v>
      </c>
      <c r="V329" s="30">
        <f t="shared" si="22"/>
        <v>2.7544229724563163E-5</v>
      </c>
      <c r="W329" s="29">
        <f>_xll.qlDayCounterYearFraction(DayCounter,SettlementDate,R329,,,Trigger)</f>
        <v>27.569444444444443</v>
      </c>
      <c r="X329" s="29">
        <f>_xll.qlDayCounterYearFraction(DayCounter,R329,S329)</f>
        <v>8.8888888888888892E-2</v>
      </c>
      <c r="Y329" s="29">
        <f>_xll.qlYieldTSDiscount(Currency&amp;"ON",R329)/(1+U329*X329)</f>
        <v>0.68095923928123614</v>
      </c>
      <c r="Z329" s="30" t="e">
        <f>_xll.qlTenorBasisValue(TenorBasis6M,R329,InterestRatesTrigger)</f>
        <v>#VALUE!</v>
      </c>
      <c r="AA329" s="30" t="e">
        <f t="shared" si="23"/>
        <v>#VALUE!</v>
      </c>
    </row>
    <row r="330" spans="15:27" x14ac:dyDescent="0.2">
      <c r="O330" s="33">
        <v>1</v>
      </c>
      <c r="P330" s="27" t="str">
        <f>_xll.qlPeriodEquivalent(P329&amp;"+"&amp;O330&amp;"M")</f>
        <v>27Y3M</v>
      </c>
      <c r="Q330" s="28">
        <f>_xll.qlCalendarAdvance(Calendar,SettlementDate,P330,"f",,Trigger)</f>
        <v>52233</v>
      </c>
      <c r="R330" s="28">
        <f>_xll.qlInterestRateIndexValueDate(Index,Q330,Trigger)</f>
        <v>52237</v>
      </c>
      <c r="S330" s="28">
        <f>_xll.qlInterestRateIndexMaturity(Index,R330,Trigger)</f>
        <v>52268</v>
      </c>
      <c r="T330" s="30">
        <f>_xll.qlIndexFixing($M$6,Q330,,InterestRatesTrigger)</f>
        <v>1.4613493466720985E-2</v>
      </c>
      <c r="U330" s="30">
        <f>_xll.qlIndexFixing(Index,Q330,,InterestRatesTrigger)</f>
        <v>1.4640484545826933E-2</v>
      </c>
      <c r="V330" s="30">
        <f t="shared" si="22"/>
        <v>2.6991079105948002E-5</v>
      </c>
      <c r="W330" s="29">
        <f>_xll.qlDayCounterYearFraction(DayCounter,SettlementDate,R330,,,Trigger)</f>
        <v>27.661111111111111</v>
      </c>
      <c r="X330" s="29">
        <f>_xll.qlDayCounterYearFraction(DayCounter,R330,S330)</f>
        <v>8.611111111111111E-2</v>
      </c>
      <c r="Y330" s="29">
        <f>_xll.qlYieldTSDiscount(Currency&amp;"ON",R330)/(1+U330*X330)</f>
        <v>0.68007589823613368</v>
      </c>
      <c r="Z330" s="30" t="e">
        <f>_xll.qlTenorBasisValue(TenorBasis6M,R330,InterestRatesTrigger)</f>
        <v>#VALUE!</v>
      </c>
      <c r="AA330" s="30" t="e">
        <f t="shared" si="23"/>
        <v>#VALUE!</v>
      </c>
    </row>
    <row r="331" spans="15:27" x14ac:dyDescent="0.2">
      <c r="O331" s="33">
        <v>1</v>
      </c>
      <c r="P331" s="27" t="str">
        <f>_xll.qlPeriodEquivalent(P330&amp;"+"&amp;O331&amp;"M")</f>
        <v>27Y4M</v>
      </c>
      <c r="Q331" s="28">
        <f>_xll.qlCalendarAdvance(Calendar,SettlementDate,P331,"f",,Trigger)</f>
        <v>52264</v>
      </c>
      <c r="R331" s="28">
        <f>_xll.qlInterestRateIndexValueDate(Index,Q331,Trigger)</f>
        <v>52266</v>
      </c>
      <c r="S331" s="28">
        <f>_xll.qlInterestRateIndexMaturity(Index,R331,Trigger)</f>
        <v>52294</v>
      </c>
      <c r="T331" s="30">
        <f>_xll.qlIndexFixing($M$6,Q331,,InterestRatesTrigger)</f>
        <v>1.4608905125352845E-2</v>
      </c>
      <c r="U331" s="30">
        <f>_xll.qlIndexFixing(Index,Q331,,InterestRatesTrigger)</f>
        <v>1.4635430976108754E-2</v>
      </c>
      <c r="V331" s="30">
        <f t="shared" si="22"/>
        <v>2.652585075590963E-5</v>
      </c>
      <c r="W331" s="29">
        <f>_xll.qlDayCounterYearFraction(DayCounter,SettlementDate,R331,,,Trigger)</f>
        <v>27.741666666666667</v>
      </c>
      <c r="X331" s="29">
        <f>_xll.qlDayCounterYearFraction(DayCounter,R331,S331)</f>
        <v>7.7777777777777779E-2</v>
      </c>
      <c r="Y331" s="29">
        <f>_xll.qlYieldTSDiscount(Currency&amp;"ON",R331)/(1+U331*X331)</f>
        <v>0.67935932720642322</v>
      </c>
      <c r="Z331" s="30" t="e">
        <f>_xll.qlTenorBasisValue(TenorBasis6M,R331,InterestRatesTrigger)</f>
        <v>#VALUE!</v>
      </c>
      <c r="AA331" s="30" t="e">
        <f t="shared" si="23"/>
        <v>#VALUE!</v>
      </c>
    </row>
    <row r="332" spans="15:27" x14ac:dyDescent="0.2">
      <c r="O332" s="33">
        <v>1</v>
      </c>
      <c r="P332" s="27" t="str">
        <f>_xll.qlPeriodEquivalent(P331&amp;"+"&amp;O332&amp;"M")</f>
        <v>27Y5M</v>
      </c>
      <c r="Q332" s="28">
        <f>_xll.qlCalendarAdvance(Calendar,SettlementDate,P332,"f",,Trigger)</f>
        <v>52292</v>
      </c>
      <c r="R332" s="28">
        <f>_xll.qlInterestRateIndexValueDate(Index,Q332,Trigger)</f>
        <v>52294</v>
      </c>
      <c r="S332" s="28">
        <f>_xll.qlInterestRateIndexMaturity(Index,R332,Trigger)</f>
        <v>52327</v>
      </c>
      <c r="T332" s="30">
        <f>_xll.qlIndexFixing($M$6,Q332,,InterestRatesTrigger)</f>
        <v>1.4606816771439411E-2</v>
      </c>
      <c r="U332" s="30">
        <f>_xll.qlIndexFixing(Index,Q332,,InterestRatesTrigger)</f>
        <v>1.4632841151462503E-2</v>
      </c>
      <c r="V332" s="30">
        <f t="shared" si="22"/>
        <v>2.6024380023092347E-5</v>
      </c>
      <c r="W332" s="29">
        <f>_xll.qlDayCounterYearFraction(DayCounter,SettlementDate,R332,,,Trigger)</f>
        <v>27.819444444444443</v>
      </c>
      <c r="X332" s="29">
        <f>_xll.qlDayCounterYearFraction(DayCounter,R332,S332)</f>
        <v>9.166666666666666E-2</v>
      </c>
      <c r="Y332" s="29">
        <f>_xll.qlYieldTSDiscount(Currency&amp;"ON",R332)/(1+U332*X332)</f>
        <v>0.67845069160670812</v>
      </c>
      <c r="Z332" s="30" t="e">
        <f>_xll.qlTenorBasisValue(TenorBasis6M,R332,InterestRatesTrigger)</f>
        <v>#VALUE!</v>
      </c>
      <c r="AA332" s="30" t="e">
        <f t="shared" si="23"/>
        <v>#VALUE!</v>
      </c>
    </row>
    <row r="333" spans="15:27" x14ac:dyDescent="0.2">
      <c r="O333" s="33">
        <v>1</v>
      </c>
      <c r="P333" s="27" t="str">
        <f>_xll.qlPeriodEquivalent(P332&amp;"+"&amp;O333&amp;"M")</f>
        <v>27Y6M</v>
      </c>
      <c r="Q333" s="28">
        <f>_xll.qlCalendarAdvance(Calendar,SettlementDate,P333,"f",,Trigger)</f>
        <v>52323</v>
      </c>
      <c r="R333" s="28">
        <f>_xll.qlInterestRateIndexValueDate(Index,Q333,Trigger)</f>
        <v>52327</v>
      </c>
      <c r="S333" s="28">
        <f>_xll.qlInterestRateIndexMaturity(Index,R333,Trigger)</f>
        <v>52357</v>
      </c>
      <c r="T333" s="30">
        <f>_xll.qlIndexFixing($M$6,Q333,,InterestRatesTrigger)</f>
        <v>1.4602812026323519E-2</v>
      </c>
      <c r="U333" s="30">
        <f>_xll.qlIndexFixing(Index,Q333,,InterestRatesTrigger)</f>
        <v>1.4628315665761171E-2</v>
      </c>
      <c r="V333" s="30">
        <f t="shared" si="22"/>
        <v>2.5503639437651771E-5</v>
      </c>
      <c r="W333" s="29">
        <f>_xll.qlDayCounterYearFraction(DayCounter,SettlementDate,R333,,,Trigger)</f>
        <v>27.911111111111111</v>
      </c>
      <c r="X333" s="29">
        <f>_xll.qlDayCounterYearFraction(DayCounter,R333,S333)</f>
        <v>8.3333333333333329E-2</v>
      </c>
      <c r="Y333" s="29">
        <f>_xll.qlYieldTSDiscount(Currency&amp;"ON",R333)/(1+U333*X333)</f>
        <v>0.67762626369216405</v>
      </c>
      <c r="Z333" s="30" t="e">
        <f>_xll.qlTenorBasisValue(TenorBasis6M,R333,InterestRatesTrigger)</f>
        <v>#VALUE!</v>
      </c>
      <c r="AA333" s="30" t="e">
        <f t="shared" si="23"/>
        <v>#VALUE!</v>
      </c>
    </row>
    <row r="334" spans="15:27" x14ac:dyDescent="0.2">
      <c r="O334" s="33">
        <v>1</v>
      </c>
      <c r="P334" s="27" t="str">
        <f>_xll.qlPeriodEquivalent(P333&amp;"+"&amp;O334&amp;"M")</f>
        <v>27Y7M</v>
      </c>
      <c r="Q334" s="28">
        <f>_xll.qlCalendarAdvance(Calendar,SettlementDate,P334,"f",,Trigger)</f>
        <v>52355</v>
      </c>
      <c r="R334" s="28">
        <f>_xll.qlInterestRateIndexValueDate(Index,Q334,Trigger)</f>
        <v>52357</v>
      </c>
      <c r="S334" s="28">
        <f>_xll.qlInterestRateIndexMaturity(Index,R334,Trigger)</f>
        <v>52390</v>
      </c>
      <c r="T334" s="30">
        <f>_xll.qlIndexFixing($M$6,Q334,,InterestRatesTrigger)</f>
        <v>1.4601193820449736E-2</v>
      </c>
      <c r="U334" s="30">
        <f>_xll.qlIndexFixing(Index,Q334,,InterestRatesTrigger)</f>
        <v>1.4626189024850529E-2</v>
      </c>
      <c r="V334" s="30">
        <f t="shared" si="22"/>
        <v>2.4995204400793045E-5</v>
      </c>
      <c r="W334" s="29">
        <f>_xll.qlDayCounterYearFraction(DayCounter,SettlementDate,R334,,,Trigger)</f>
        <v>27.994444444444444</v>
      </c>
      <c r="X334" s="29">
        <f>_xll.qlDayCounterYearFraction(DayCounter,R334,S334)</f>
        <v>9.166666666666666E-2</v>
      </c>
      <c r="Y334" s="29">
        <f>_xll.qlYieldTSDiscount(Currency&amp;"ON",R334)/(1+U334*X334)</f>
        <v>0.67672040005833167</v>
      </c>
      <c r="Z334" s="30" t="e">
        <f>_xll.qlTenorBasisValue(TenorBasis6M,R334,InterestRatesTrigger)</f>
        <v>#VALUE!</v>
      </c>
      <c r="AA334" s="30" t="e">
        <f t="shared" si="23"/>
        <v>#VALUE!</v>
      </c>
    </row>
    <row r="335" spans="15:27" x14ac:dyDescent="0.2">
      <c r="O335" s="33">
        <v>1</v>
      </c>
      <c r="P335" s="27" t="str">
        <f>_xll.qlPeriodEquivalent(P334&amp;"+"&amp;O335&amp;"M")</f>
        <v>27Y8M</v>
      </c>
      <c r="Q335" s="28">
        <f>_xll.qlCalendarAdvance(Calendar,SettlementDate,P335,"f",,Trigger)</f>
        <v>52384</v>
      </c>
      <c r="R335" s="28">
        <f>_xll.qlInterestRateIndexValueDate(Index,Q335,Trigger)</f>
        <v>52386</v>
      </c>
      <c r="S335" s="28">
        <f>_xll.qlInterestRateIndexMaturity(Index,R335,Trigger)</f>
        <v>52418</v>
      </c>
      <c r="T335" s="30">
        <f>_xll.qlIndexFixing($M$6,Q335,,InterestRatesTrigger)</f>
        <v>1.4599148773036807E-2</v>
      </c>
      <c r="U335" s="30">
        <f>_xll.qlIndexFixing(Index,Q335,,InterestRatesTrigger)</f>
        <v>1.4623685221147598E-2</v>
      </c>
      <c r="V335" s="30">
        <f t="shared" si="22"/>
        <v>2.4536448110790143E-5</v>
      </c>
      <c r="W335" s="29">
        <f>_xll.qlDayCounterYearFraction(DayCounter,SettlementDate,R335,,,Trigger)</f>
        <v>28.074999999999999</v>
      </c>
      <c r="X335" s="29">
        <f>_xll.qlDayCounterYearFraction(DayCounter,R335,S335)</f>
        <v>8.8888888888888892E-2</v>
      </c>
      <c r="Y335" s="29">
        <f>_xll.qlYieldTSDiscount(Currency&amp;"ON",R335)/(1+U335*X335)</f>
        <v>0.67595300504414557</v>
      </c>
      <c r="Z335" s="30" t="e">
        <f>_xll.qlTenorBasisValue(TenorBasis6M,R335,InterestRatesTrigger)</f>
        <v>#VALUE!</v>
      </c>
      <c r="AA335" s="30" t="e">
        <f t="shared" si="23"/>
        <v>#VALUE!</v>
      </c>
    </row>
    <row r="336" spans="15:27" x14ac:dyDescent="0.2">
      <c r="O336" s="33">
        <v>1</v>
      </c>
      <c r="P336" s="27" t="str">
        <f>_xll.qlPeriodEquivalent(P335&amp;"+"&amp;O336&amp;"M")</f>
        <v>27Y9M</v>
      </c>
      <c r="Q336" s="28">
        <f>_xll.qlCalendarAdvance(Calendar,SettlementDate,P336,"f",,Trigger)</f>
        <v>52414</v>
      </c>
      <c r="R336" s="28">
        <f>_xll.qlInterestRateIndexValueDate(Index,Q336,Trigger)</f>
        <v>52418</v>
      </c>
      <c r="S336" s="28">
        <f>_xll.qlInterestRateIndexMaturity(Index,R336,Trigger)</f>
        <v>52449</v>
      </c>
      <c r="T336" s="30">
        <f>_xll.qlIndexFixing($M$6,Q336,,InterestRatesTrigger)</f>
        <v>1.4597507363503031E-2</v>
      </c>
      <c r="U336" s="30">
        <f>_xll.qlIndexFixing(Index,Q336,,InterestRatesTrigger)</f>
        <v>1.4621542514964388E-2</v>
      </c>
      <c r="V336" s="30">
        <f t="shared" si="22"/>
        <v>2.4035151461357721E-5</v>
      </c>
      <c r="W336" s="29">
        <f>_xll.qlDayCounterYearFraction(DayCounter,SettlementDate,R336,,,Trigger)</f>
        <v>28.163888888888888</v>
      </c>
      <c r="X336" s="29">
        <f>_xll.qlDayCounterYearFraction(DayCounter,R336,S336)</f>
        <v>8.611111111111111E-2</v>
      </c>
      <c r="Y336" s="29">
        <f>_xll.qlYieldTSDiscount(Currency&amp;"ON",R336)/(1+U336*X336)</f>
        <v>0.67510446870601948</v>
      </c>
      <c r="Z336" s="30" t="e">
        <f>_xll.qlTenorBasisValue(TenorBasis6M,R336,InterestRatesTrigger)</f>
        <v>#VALUE!</v>
      </c>
      <c r="AA336" s="30" t="e">
        <f t="shared" si="23"/>
        <v>#VALUE!</v>
      </c>
    </row>
    <row r="337" spans="15:27" x14ac:dyDescent="0.2">
      <c r="O337" s="33">
        <v>1</v>
      </c>
      <c r="P337" s="27" t="str">
        <f>_xll.qlPeriodEquivalent(P336&amp;"+"&amp;O337&amp;"M")</f>
        <v>27Y10M</v>
      </c>
      <c r="Q337" s="28">
        <f>_xll.qlCalendarAdvance(Calendar,SettlementDate,P337,"f",,Trigger)</f>
        <v>52446</v>
      </c>
      <c r="R337" s="28">
        <f>_xll.qlInterestRateIndexValueDate(Index,Q337,Trigger)</f>
        <v>52448</v>
      </c>
      <c r="S337" s="28">
        <f>_xll.qlInterestRateIndexMaturity(Index,R337,Trigger)</f>
        <v>52481</v>
      </c>
      <c r="T337" s="30">
        <f>_xll.qlIndexFixing($M$6,Q337,,InterestRatesTrigger)</f>
        <v>1.459738986334891E-2</v>
      </c>
      <c r="U337" s="30">
        <f>_xll.qlIndexFixing(Index,Q337,,InterestRatesTrigger)</f>
        <v>1.4620940294871397E-2</v>
      </c>
      <c r="V337" s="30">
        <f t="shared" si="22"/>
        <v>2.35504315224868E-5</v>
      </c>
      <c r="W337" s="29">
        <f>_xll.qlDayCounterYearFraction(DayCounter,SettlementDate,R337,,,Trigger)</f>
        <v>28.247222222222224</v>
      </c>
      <c r="X337" s="29">
        <f>_xll.qlDayCounterYearFraction(DayCounter,R337,S337)</f>
        <v>9.166666666666666E-2</v>
      </c>
      <c r="Y337" s="29">
        <f>_xll.qlYieldTSDiscount(Currency&amp;"ON",R337)/(1+U337*X337)</f>
        <v>0.67422958323070148</v>
      </c>
      <c r="Z337" s="30" t="e">
        <f>_xll.qlTenorBasisValue(TenorBasis6M,R337,InterestRatesTrigger)</f>
        <v>#VALUE!</v>
      </c>
      <c r="AA337" s="30" t="e">
        <f t="shared" si="23"/>
        <v>#VALUE!</v>
      </c>
    </row>
    <row r="338" spans="15:27" x14ac:dyDescent="0.2">
      <c r="O338" s="33">
        <v>1</v>
      </c>
      <c r="P338" s="27" t="str">
        <f>_xll.qlPeriodEquivalent(P337&amp;"+"&amp;O338&amp;"M")</f>
        <v>27Y11M</v>
      </c>
      <c r="Q338" s="28">
        <f>_xll.qlCalendarAdvance(Calendar,SettlementDate,P338,"f",,Trigger)</f>
        <v>52476</v>
      </c>
      <c r="R338" s="28">
        <f>_xll.qlInterestRateIndexValueDate(Index,Q338,Trigger)</f>
        <v>52478</v>
      </c>
      <c r="S338" s="28">
        <f>_xll.qlInterestRateIndexMaturity(Index,R338,Trigger)</f>
        <v>52509</v>
      </c>
      <c r="T338" s="30">
        <f>_xll.qlIndexFixing($M$6,Q338,,InterestRatesTrigger)</f>
        <v>1.4596683237638705E-2</v>
      </c>
      <c r="U338" s="30">
        <f>_xll.qlIndexFixing(Index,Q338,,InterestRatesTrigger)</f>
        <v>1.4619781516835134E-2</v>
      </c>
      <c r="V338" s="30">
        <f t="shared" si="22"/>
        <v>2.3098279196429039E-5</v>
      </c>
      <c r="W338" s="29">
        <f>_xll.qlDayCounterYearFraction(DayCounter,SettlementDate,R338,,,Trigger)</f>
        <v>28.330555555555556</v>
      </c>
      <c r="X338" s="29">
        <f>_xll.qlDayCounterYearFraction(DayCounter,R338,S338)</f>
        <v>8.611111111111111E-2</v>
      </c>
      <c r="Y338" s="29">
        <f>_xll.qlYieldTSDiscount(Currency&amp;"ON",R338)/(1+U338*X338)</f>
        <v>0.67346516032483006</v>
      </c>
      <c r="Z338" s="30" t="e">
        <f>_xll.qlTenorBasisValue(TenorBasis6M,R338,InterestRatesTrigger)</f>
        <v>#VALUE!</v>
      </c>
      <c r="AA338" s="30" t="e">
        <f t="shared" si="23"/>
        <v>#VALUE!</v>
      </c>
    </row>
    <row r="339" spans="15:27" x14ac:dyDescent="0.2">
      <c r="O339" s="33">
        <v>1</v>
      </c>
      <c r="P339" s="27" t="str">
        <f>_xll.qlPeriodEquivalent(P338&amp;"+"&amp;O339&amp;"M")</f>
        <v>28Y</v>
      </c>
      <c r="Q339" s="28">
        <f>_xll.qlCalendarAdvance(Calendar,SettlementDate,P339,"f",,Trigger)</f>
        <v>52506</v>
      </c>
      <c r="R339" s="28">
        <f>_xll.qlInterestRateIndexValueDate(Index,Q339,Trigger)</f>
        <v>52510</v>
      </c>
      <c r="S339" s="28">
        <f>_xll.qlInterestRateIndexMaturity(Index,R339,Trigger)</f>
        <v>52541</v>
      </c>
      <c r="T339" s="30">
        <f>_xll.qlIndexFixing($M$6,Q339,,InterestRatesTrigger)</f>
        <v>1.4597190662303573E-2</v>
      </c>
      <c r="U339" s="30">
        <f>_xll.qlIndexFixing(Index,Q339,,InterestRatesTrigger)</f>
        <v>1.4619797765218418E-2</v>
      </c>
      <c r="V339" s="30">
        <f t="shared" si="22"/>
        <v>2.2607102914845925E-5</v>
      </c>
      <c r="W339" s="29">
        <f>_xll.qlDayCounterYearFraction(DayCounter,SettlementDate,R339,,,Trigger)</f>
        <v>28.419444444444444</v>
      </c>
      <c r="X339" s="29">
        <f>_xll.qlDayCounterYearFraction(DayCounter,R339,S339)</f>
        <v>8.611111111111111E-2</v>
      </c>
      <c r="Y339" s="29">
        <f>_xll.qlYieldTSDiscount(Currency&amp;"ON",R339)/(1+U339*X339)</f>
        <v>0.67259246417142382</v>
      </c>
      <c r="Z339" s="30" t="e">
        <f>_xll.qlTenorBasisValue(TenorBasis6M,R339,InterestRatesTrigger)</f>
        <v>#VALUE!</v>
      </c>
      <c r="AA339" s="30" t="e">
        <f t="shared" si="23"/>
        <v>#VALUE!</v>
      </c>
    </row>
    <row r="340" spans="15:27" x14ac:dyDescent="0.2">
      <c r="O340" s="33">
        <v>1</v>
      </c>
      <c r="P340" s="27" t="str">
        <f>_xll.qlPeriodEquivalent(P339&amp;"+"&amp;O340&amp;"M")</f>
        <v>28Y1M</v>
      </c>
      <c r="Q340" s="28">
        <f>_xll.qlCalendarAdvance(Calendar,SettlementDate,P340,"f",,Trigger)</f>
        <v>52537</v>
      </c>
      <c r="R340" s="28">
        <f>_xll.qlInterestRateIndexValueDate(Index,Q340,Trigger)</f>
        <v>52539</v>
      </c>
      <c r="S340" s="28">
        <f>_xll.qlInterestRateIndexMaturity(Index,R340,Trigger)</f>
        <v>52569</v>
      </c>
      <c r="T340" s="30">
        <f>_xll.qlIndexFixing($M$6,Q340,,InterestRatesTrigger)</f>
        <v>1.4597908932262094E-2</v>
      </c>
      <c r="U340" s="30">
        <f>_xll.qlIndexFixing(Index,Q340,,InterestRatesTrigger)</f>
        <v>1.4620082571197734E-2</v>
      </c>
      <c r="V340" s="30">
        <f t="shared" si="22"/>
        <v>2.2173638935640838E-5</v>
      </c>
      <c r="W340" s="29">
        <f>_xll.qlDayCounterYearFraction(DayCounter,SettlementDate,R340,,,Trigger)</f>
        <v>28.5</v>
      </c>
      <c r="X340" s="29">
        <f>_xll.qlDayCounterYearFraction(DayCounter,R340,S340)</f>
        <v>8.3333333333333329E-2</v>
      </c>
      <c r="Y340" s="29">
        <f>_xll.qlYieldTSDiscount(Currency&amp;"ON",R340)/(1+U340*X340)</f>
        <v>0.67182976852390874</v>
      </c>
      <c r="Z340" s="30" t="e">
        <f>_xll.qlTenorBasisValue(TenorBasis6M,R340,InterestRatesTrigger)</f>
        <v>#VALUE!</v>
      </c>
      <c r="AA340" s="30" t="e">
        <f t="shared" si="23"/>
        <v>#VALUE!</v>
      </c>
    </row>
    <row r="341" spans="15:27" x14ac:dyDescent="0.2">
      <c r="O341" s="33">
        <v>1</v>
      </c>
      <c r="P341" s="27" t="str">
        <f>_xll.qlPeriodEquivalent(P340&amp;"+"&amp;O341&amp;"M")</f>
        <v>28Y2M</v>
      </c>
      <c r="Q341" s="28">
        <f>_xll.qlCalendarAdvance(Calendar,SettlementDate,P341,"f",,Trigger)</f>
        <v>52567</v>
      </c>
      <c r="R341" s="28">
        <f>_xll.qlInterestRateIndexValueDate(Index,Q341,Trigger)</f>
        <v>52569</v>
      </c>
      <c r="S341" s="28">
        <f>_xll.qlInterestRateIndexMaturity(Index,R341,Trigger)</f>
        <v>52600</v>
      </c>
      <c r="T341" s="30">
        <f>_xll.qlIndexFixing($M$6,Q341,,InterestRatesTrigger)</f>
        <v>1.4599889355335197E-2</v>
      </c>
      <c r="U341" s="30">
        <f>_xll.qlIndexFixing(Index,Q341,,InterestRatesTrigger)</f>
        <v>1.4621606066706322E-2</v>
      </c>
      <c r="V341" s="30">
        <f t="shared" si="22"/>
        <v>2.171671137112495E-5</v>
      </c>
      <c r="W341" s="29">
        <f>_xll.qlDayCounterYearFraction(DayCounter,SettlementDate,R341,,,Trigger)</f>
        <v>28.583333333333332</v>
      </c>
      <c r="X341" s="29">
        <f>_xll.qlDayCounterYearFraction(DayCounter,R341,S341)</f>
        <v>8.611111111111111E-2</v>
      </c>
      <c r="Y341" s="29">
        <f>_xll.qlYieldTSDiscount(Currency&amp;"ON",R341)/(1+U341*X341)</f>
        <v>0.67098618130204035</v>
      </c>
      <c r="Z341" s="30" t="e">
        <f>_xll.qlTenorBasisValue(TenorBasis6M,R341,InterestRatesTrigger)</f>
        <v>#VALUE!</v>
      </c>
      <c r="AA341" s="30" t="e">
        <f t="shared" si="23"/>
        <v>#VALUE!</v>
      </c>
    </row>
    <row r="342" spans="15:27" x14ac:dyDescent="0.2">
      <c r="O342" s="33">
        <v>1</v>
      </c>
      <c r="P342" s="27" t="str">
        <f>_xll.qlPeriodEquivalent(P341&amp;"+"&amp;O342&amp;"M")</f>
        <v>28Y3M</v>
      </c>
      <c r="Q342" s="28">
        <f>_xll.qlCalendarAdvance(Calendar,SettlementDate,P342,"f",,Trigger)</f>
        <v>52600</v>
      </c>
      <c r="R342" s="28">
        <f>_xll.qlInterestRateIndexValueDate(Index,Q342,Trigger)</f>
        <v>52602</v>
      </c>
      <c r="S342" s="28">
        <f>_xll.qlInterestRateIndexMaturity(Index,R342,Trigger)</f>
        <v>52635</v>
      </c>
      <c r="T342" s="30">
        <f>_xll.qlIndexFixing($M$6,Q342,,InterestRatesTrigger)</f>
        <v>1.4603096235596365E-2</v>
      </c>
      <c r="U342" s="30">
        <f>_xll.qlIndexFixing(Index,Q342,,InterestRatesTrigger)</f>
        <v>1.4624310420933253E-2</v>
      </c>
      <c r="V342" s="30">
        <f t="shared" si="22"/>
        <v>2.12141853368885E-5</v>
      </c>
      <c r="W342" s="29">
        <f>_xll.qlDayCounterYearFraction(DayCounter,SettlementDate,R342,,,Trigger)</f>
        <v>28.675000000000001</v>
      </c>
      <c r="X342" s="29">
        <f>_xll.qlDayCounterYearFraction(DayCounter,R342,S342)</f>
        <v>9.166666666666666E-2</v>
      </c>
      <c r="Y342" s="29">
        <f>_xll.qlYieldTSDiscount(Currency&amp;"ON",R342)/(1+U342*X342)</f>
        <v>0.67003481943685095</v>
      </c>
      <c r="Z342" s="30" t="e">
        <f>_xll.qlTenorBasisValue(TenorBasis6M,R342,InterestRatesTrigger)</f>
        <v>#VALUE!</v>
      </c>
      <c r="AA342" s="30" t="e">
        <f t="shared" si="23"/>
        <v>#VALUE!</v>
      </c>
    </row>
    <row r="343" spans="15:27" x14ac:dyDescent="0.2">
      <c r="O343" s="33">
        <v>1</v>
      </c>
      <c r="P343" s="27" t="str">
        <f>_xll.qlPeriodEquivalent(P342&amp;"+"&amp;O343&amp;"M")</f>
        <v>28Y4M</v>
      </c>
      <c r="Q343" s="28">
        <f>_xll.qlCalendarAdvance(Calendar,SettlementDate,P343,"f",,Trigger)</f>
        <v>52629</v>
      </c>
      <c r="R343" s="28">
        <f>_xll.qlInterestRateIndexValueDate(Index,Q343,Trigger)</f>
        <v>52631</v>
      </c>
      <c r="S343" s="28">
        <f>_xll.qlInterestRateIndexMaturity(Index,R343,Trigger)</f>
        <v>52660</v>
      </c>
      <c r="T343" s="30">
        <f>_xll.qlIndexFixing($M$6,Q343,,InterestRatesTrigger)</f>
        <v>1.4604537269301514E-2</v>
      </c>
      <c r="U343" s="30">
        <f>_xll.qlIndexFixing(Index,Q343,,InterestRatesTrigger)</f>
        <v>1.4625352067567194E-2</v>
      </c>
      <c r="V343" s="30">
        <f t="shared" si="22"/>
        <v>2.0814798265680196E-5</v>
      </c>
      <c r="W343" s="29">
        <f>_xll.qlDayCounterYearFraction(DayCounter,SettlementDate,R343,,,Trigger)</f>
        <v>28.755555555555556</v>
      </c>
      <c r="X343" s="29">
        <f>_xll.qlDayCounterYearFraction(DayCounter,R343,S343)</f>
        <v>8.0555555555555561E-2</v>
      </c>
      <c r="Y343" s="29">
        <f>_xll.qlYieldTSDiscount(Currency&amp;"ON",R343)/(1+U343*X343)</f>
        <v>0.66935618016736087</v>
      </c>
      <c r="Z343" s="30" t="e">
        <f>_xll.qlTenorBasisValue(TenorBasis6M,R343,InterestRatesTrigger)</f>
        <v>#VALUE!</v>
      </c>
      <c r="AA343" s="30" t="e">
        <f t="shared" si="23"/>
        <v>#VALUE!</v>
      </c>
    </row>
    <row r="344" spans="15:27" x14ac:dyDescent="0.2">
      <c r="O344" s="33">
        <v>1</v>
      </c>
      <c r="P344" s="27" t="str">
        <f>_xll.qlPeriodEquivalent(P343&amp;"+"&amp;O344&amp;"M")</f>
        <v>28Y5M</v>
      </c>
      <c r="Q344" s="28">
        <f>_xll.qlCalendarAdvance(Calendar,SettlementDate,P344,"f",,Trigger)</f>
        <v>52658</v>
      </c>
      <c r="R344" s="28">
        <f>_xll.qlInterestRateIndexValueDate(Index,Q344,Trigger)</f>
        <v>52660</v>
      </c>
      <c r="S344" s="28">
        <f>_xll.qlInterestRateIndexMaturity(Index,R344,Trigger)</f>
        <v>52691</v>
      </c>
      <c r="T344" s="30">
        <f>_xll.qlIndexFixing($M$6,Q344,,InterestRatesTrigger)</f>
        <v>1.4608645061033732E-2</v>
      </c>
      <c r="U344" s="30">
        <f>_xll.qlIndexFixing(Index,Q344,,InterestRatesTrigger)</f>
        <v>1.4629026321096611E-2</v>
      </c>
      <c r="V344" s="30">
        <f t="shared" si="22"/>
        <v>2.0381260062879089E-5</v>
      </c>
      <c r="W344" s="29">
        <f>_xll.qlDayCounterYearFraction(DayCounter,SettlementDate,R344,,,Trigger)</f>
        <v>28.836111111111112</v>
      </c>
      <c r="X344" s="29">
        <f>_xll.qlDayCounterYearFraction(DayCounter,R344,S344)</f>
        <v>8.611111111111111E-2</v>
      </c>
      <c r="Y344" s="29">
        <f>_xll.qlYieldTSDiscount(Currency&amp;"ON",R344)/(1+U344*X344)</f>
        <v>0.66851515813107898</v>
      </c>
      <c r="Z344" s="30" t="e">
        <f>_xll.qlTenorBasisValue(TenorBasis6M,R344,InterestRatesTrigger)</f>
        <v>#VALUE!</v>
      </c>
      <c r="AA344" s="30" t="e">
        <f t="shared" si="23"/>
        <v>#VALUE!</v>
      </c>
    </row>
    <row r="345" spans="15:27" x14ac:dyDescent="0.2">
      <c r="O345" s="33">
        <v>1</v>
      </c>
      <c r="P345" s="27" t="str">
        <f>_xll.qlPeriodEquivalent(P344&amp;"+"&amp;O345&amp;"M")</f>
        <v>28Y6M</v>
      </c>
      <c r="Q345" s="28">
        <f>_xll.qlCalendarAdvance(Calendar,SettlementDate,P345,"f",,Trigger)</f>
        <v>52691</v>
      </c>
      <c r="R345" s="28">
        <f>_xll.qlInterestRateIndexValueDate(Index,Q345,Trigger)</f>
        <v>52693</v>
      </c>
      <c r="S345" s="28">
        <f>_xll.qlInterestRateIndexMaturity(Index,R345,Trigger)</f>
        <v>52723</v>
      </c>
      <c r="T345" s="30">
        <f>_xll.qlIndexFixing($M$6,Q345,,InterestRatesTrigger)</f>
        <v>1.461285716986449E-2</v>
      </c>
      <c r="U345" s="30">
        <f>_xll.qlIndexFixing(Index,Q345,,InterestRatesTrigger)</f>
        <v>1.4632771554128787E-2</v>
      </c>
      <c r="V345" s="30">
        <f t="shared" si="22"/>
        <v>1.9914384264296814E-5</v>
      </c>
      <c r="W345" s="29">
        <f>_xll.qlDayCounterYearFraction(DayCounter,SettlementDate,R345,,,Trigger)</f>
        <v>28.927777777777777</v>
      </c>
      <c r="X345" s="29">
        <f>_xll.qlDayCounterYearFraction(DayCounter,R345,S345)</f>
        <v>8.3333333333333329E-2</v>
      </c>
      <c r="Y345" s="29">
        <f>_xll.qlYieldTSDiscount(Currency&amp;"ON",R345)/(1+U345*X345)</f>
        <v>0.66764797361910022</v>
      </c>
      <c r="Z345" s="30" t="e">
        <f>_xll.qlTenorBasisValue(TenorBasis6M,R345,InterestRatesTrigger)</f>
        <v>#VALUE!</v>
      </c>
      <c r="AA345" s="30" t="e">
        <f t="shared" si="23"/>
        <v>#VALUE!</v>
      </c>
    </row>
    <row r="346" spans="15:27" x14ac:dyDescent="0.2">
      <c r="O346" s="33">
        <v>1</v>
      </c>
      <c r="P346" s="27" t="str">
        <f>_xll.qlPeriodEquivalent(P345&amp;"+"&amp;O346&amp;"M")</f>
        <v>28Y7M</v>
      </c>
      <c r="Q346" s="28">
        <f>_xll.qlCalendarAdvance(Calendar,SettlementDate,P346,"f",,Trigger)</f>
        <v>52719</v>
      </c>
      <c r="R346" s="28">
        <f>_xll.qlInterestRateIndexValueDate(Index,Q346,Trigger)</f>
        <v>52721</v>
      </c>
      <c r="S346" s="28">
        <f>_xll.qlInterestRateIndexMaturity(Index,R346,Trigger)</f>
        <v>52754</v>
      </c>
      <c r="T346" s="30">
        <f>_xll.qlIndexFixing($M$6,Q346,,InterestRatesTrigger)</f>
        <v>1.4618489393188581E-2</v>
      </c>
      <c r="U346" s="30">
        <f>_xll.qlIndexFixing(Index,Q346,,InterestRatesTrigger)</f>
        <v>1.463798804928196E-2</v>
      </c>
      <c r="V346" s="30">
        <f t="shared" si="22"/>
        <v>1.9498656093379016E-5</v>
      </c>
      <c r="W346" s="29">
        <f>_xll.qlDayCounterYearFraction(DayCounter,SettlementDate,R346,,,Trigger)</f>
        <v>29.005555555555556</v>
      </c>
      <c r="X346" s="29">
        <f>_xll.qlDayCounterYearFraction(DayCounter,R346,S346)</f>
        <v>9.166666666666666E-2</v>
      </c>
      <c r="Y346" s="29">
        <f>_xll.qlYieldTSDiscount(Currency&amp;"ON",R346)/(1+U346*X346)</f>
        <v>0.66680852481017405</v>
      </c>
      <c r="Z346" s="30" t="e">
        <f>_xll.qlTenorBasisValue(TenorBasis6M,R346,InterestRatesTrigger)</f>
        <v>#VALUE!</v>
      </c>
      <c r="AA346" s="30" t="e">
        <f t="shared" si="23"/>
        <v>#VALUE!</v>
      </c>
    </row>
    <row r="347" spans="15:27" x14ac:dyDescent="0.2">
      <c r="O347" s="33">
        <v>1</v>
      </c>
      <c r="P347" s="27" t="str">
        <f>_xll.qlPeriodEquivalent(P346&amp;"+"&amp;O347&amp;"M")</f>
        <v>28Y8M</v>
      </c>
      <c r="Q347" s="28">
        <f>_xll.qlCalendarAdvance(Calendar,SettlementDate,P347,"f",,Trigger)</f>
        <v>52750</v>
      </c>
      <c r="R347" s="28">
        <f>_xll.qlInterestRateIndexValueDate(Index,Q347,Trigger)</f>
        <v>52754</v>
      </c>
      <c r="S347" s="28">
        <f>_xll.qlInterestRateIndexMaturity(Index,R347,Trigger)</f>
        <v>52784</v>
      </c>
      <c r="T347" s="30">
        <f>_xll.qlIndexFixing($M$6,Q347,,InterestRatesTrigger)</f>
        <v>1.4623334908008268E-2</v>
      </c>
      <c r="U347" s="30">
        <f>_xll.qlIndexFixing(Index,Q347,,InterestRatesTrigger)</f>
        <v>1.4642389712611781E-2</v>
      </c>
      <c r="V347" s="30">
        <f t="shared" si="22"/>
        <v>1.9054804603513276E-5</v>
      </c>
      <c r="W347" s="29">
        <f>_xll.qlDayCounterYearFraction(DayCounter,SettlementDate,R347,,,Trigger)</f>
        <v>29.097222222222221</v>
      </c>
      <c r="X347" s="29">
        <f>_xll.qlDayCounterYearFraction(DayCounter,R347,S347)</f>
        <v>8.3333333333333329E-2</v>
      </c>
      <c r="Y347" s="29">
        <f>_xll.qlYieldTSDiscount(Currency&amp;"ON",R347)/(1+U347*X347)</f>
        <v>0.66599706600431674</v>
      </c>
      <c r="Z347" s="30" t="e">
        <f>_xll.qlTenorBasisValue(TenorBasis6M,R347,InterestRatesTrigger)</f>
        <v>#VALUE!</v>
      </c>
      <c r="AA347" s="30" t="e">
        <f t="shared" si="23"/>
        <v>#VALUE!</v>
      </c>
    </row>
    <row r="348" spans="15:27" x14ac:dyDescent="0.2">
      <c r="O348" s="33">
        <v>1</v>
      </c>
      <c r="P348" s="27" t="str">
        <f>_xll.qlPeriodEquivalent(P347&amp;"+"&amp;O348&amp;"M")</f>
        <v>28Y9M</v>
      </c>
      <c r="Q348" s="28">
        <f>_xll.qlCalendarAdvance(Calendar,SettlementDate,P348,"f",,Trigger)</f>
        <v>52782</v>
      </c>
      <c r="R348" s="28">
        <f>_xll.qlInterestRateIndexValueDate(Index,Q348,Trigger)</f>
        <v>52784</v>
      </c>
      <c r="S348" s="28">
        <f>_xll.qlInterestRateIndexMaturity(Index,R348,Trigger)</f>
        <v>52817</v>
      </c>
      <c r="T348" s="30">
        <f>_xll.qlIndexFixing($M$6,Q348,,InterestRatesTrigger)</f>
        <v>1.4630687129762102E-2</v>
      </c>
      <c r="U348" s="30">
        <f>_xll.qlIndexFixing(Index,Q348,,InterestRatesTrigger)</f>
        <v>1.464930797447311E-2</v>
      </c>
      <c r="V348" s="30">
        <f t="shared" si="22"/>
        <v>1.862084471100818E-5</v>
      </c>
      <c r="W348" s="29">
        <f>_xll.qlDayCounterYearFraction(DayCounter,SettlementDate,R348,,,Trigger)</f>
        <v>29.180555555555557</v>
      </c>
      <c r="X348" s="29">
        <f>_xll.qlDayCounterYearFraction(DayCounter,R348,S348)</f>
        <v>9.166666666666666E-2</v>
      </c>
      <c r="Y348" s="29">
        <f>_xll.qlYieldTSDiscount(Currency&amp;"ON",R348)/(1+U348*X348)</f>
        <v>0.66510498387760564</v>
      </c>
      <c r="Z348" s="30" t="e">
        <f>_xll.qlTenorBasisValue(TenorBasis6M,R348,InterestRatesTrigger)</f>
        <v>#VALUE!</v>
      </c>
      <c r="AA348" s="30" t="e">
        <f t="shared" si="23"/>
        <v>#VALUE!</v>
      </c>
    </row>
    <row r="349" spans="15:27" x14ac:dyDescent="0.2">
      <c r="O349" s="33">
        <v>1</v>
      </c>
      <c r="P349" s="27" t="str">
        <f>_xll.qlPeriodEquivalent(P348&amp;"+"&amp;O349&amp;"M")</f>
        <v>28Y10M</v>
      </c>
      <c r="Q349" s="28">
        <f>_xll.qlCalendarAdvance(Calendar,SettlementDate,P349,"f",,Trigger)</f>
        <v>52811</v>
      </c>
      <c r="R349" s="28">
        <f>_xll.qlInterestRateIndexValueDate(Index,Q349,Trigger)</f>
        <v>52813</v>
      </c>
      <c r="S349" s="28">
        <f>_xll.qlInterestRateIndexMaturity(Index,R349,Trigger)</f>
        <v>52845</v>
      </c>
      <c r="T349" s="30">
        <f>_xll.qlIndexFixing($M$6,Q349,,InterestRatesTrigger)</f>
        <v>1.4636850962194969E-2</v>
      </c>
      <c r="U349" s="30">
        <f>_xll.qlIndexFixing(Index,Q349,,InterestRatesTrigger)</f>
        <v>1.4655080682495769E-2</v>
      </c>
      <c r="V349" s="30">
        <f t="shared" si="22"/>
        <v>1.8229720300799723E-5</v>
      </c>
      <c r="W349" s="29">
        <f>_xll.qlDayCounterYearFraction(DayCounter,SettlementDate,R349,,,Trigger)</f>
        <v>29.261111111111113</v>
      </c>
      <c r="X349" s="29">
        <f>_xll.qlDayCounterYearFraction(DayCounter,R349,S349)</f>
        <v>8.8888888888888892E-2</v>
      </c>
      <c r="Y349" s="29">
        <f>_xll.qlYieldTSDiscount(Currency&amp;"ON",R349)/(1+U349*X349)</f>
        <v>0.66434876946342414</v>
      </c>
      <c r="Z349" s="30" t="e">
        <f>_xll.qlTenorBasisValue(TenorBasis6M,R349,InterestRatesTrigger)</f>
        <v>#VALUE!</v>
      </c>
      <c r="AA349" s="30" t="e">
        <f t="shared" si="23"/>
        <v>#VALUE!</v>
      </c>
    </row>
    <row r="350" spans="15:27" x14ac:dyDescent="0.2">
      <c r="O350" s="33">
        <v>1</v>
      </c>
      <c r="P350" s="27" t="str">
        <f>_xll.qlPeriodEquivalent(P349&amp;"+"&amp;O350&amp;"M")</f>
        <v>28Y11M</v>
      </c>
      <c r="Q350" s="28">
        <f>_xll.qlCalendarAdvance(Calendar,SettlementDate,P350,"f",,Trigger)</f>
        <v>52842</v>
      </c>
      <c r="R350" s="28">
        <f>_xll.qlInterestRateIndexValueDate(Index,Q350,Trigger)</f>
        <v>52846</v>
      </c>
      <c r="S350" s="28">
        <f>_xll.qlInterestRateIndexMaturity(Index,R350,Trigger)</f>
        <v>52876</v>
      </c>
      <c r="T350" s="30">
        <f>_xll.qlIndexFixing($M$6,Q350,,InterestRatesTrigger)</f>
        <v>1.4644220681526932E-2</v>
      </c>
      <c r="U350" s="30">
        <f>_xll.qlIndexFixing(Index,Q350,,InterestRatesTrigger)</f>
        <v>1.4662015557891372E-2</v>
      </c>
      <c r="V350" s="30">
        <f t="shared" si="22"/>
        <v>1.7794876364440881E-5</v>
      </c>
      <c r="W350" s="29">
        <f>_xll.qlDayCounterYearFraction(DayCounter,SettlementDate,R350,,,Trigger)</f>
        <v>29.352777777777778</v>
      </c>
      <c r="X350" s="29">
        <f>_xll.qlDayCounterYearFraction(DayCounter,R350,S350)</f>
        <v>8.3333333333333329E-2</v>
      </c>
      <c r="Y350" s="29">
        <f>_xll.qlYieldTSDiscount(Currency&amp;"ON",R350)/(1+U350*X350)</f>
        <v>0.66351214215777343</v>
      </c>
      <c r="Z350" s="30" t="e">
        <f>_xll.qlTenorBasisValue(TenorBasis6M,R350,InterestRatesTrigger)</f>
        <v>#VALUE!</v>
      </c>
      <c r="AA350" s="30" t="e">
        <f t="shared" si="23"/>
        <v>#VALUE!</v>
      </c>
    </row>
    <row r="351" spans="15:27" x14ac:dyDescent="0.2">
      <c r="O351" s="33">
        <v>1</v>
      </c>
      <c r="P351" s="27" t="str">
        <f>_xll.qlPeriodEquivalent(P350&amp;"+"&amp;O351&amp;"M")</f>
        <v>29Y</v>
      </c>
      <c r="Q351" s="28">
        <f>_xll.qlCalendarAdvance(Calendar,SettlementDate,P351,"f",,Trigger)</f>
        <v>52873</v>
      </c>
      <c r="R351" s="28">
        <f>_xll.qlInterestRateIndexValueDate(Index,Q351,Trigger)</f>
        <v>52875</v>
      </c>
      <c r="S351" s="28">
        <f>_xll.qlInterestRateIndexMaturity(Index,R351,Trigger)</f>
        <v>52908</v>
      </c>
      <c r="T351" s="30">
        <f>_xll.qlIndexFixing($M$6,Q351,,InterestRatesTrigger)</f>
        <v>1.465342478787238E-2</v>
      </c>
      <c r="U351" s="30">
        <f>_xll.qlIndexFixing(Index,Q351,,InterestRatesTrigger)</f>
        <v>1.4670813592244546E-2</v>
      </c>
      <c r="V351" s="30">
        <f t="shared" si="22"/>
        <v>1.7388804372166222E-5</v>
      </c>
      <c r="W351" s="29">
        <f>_xll.qlDayCounterYearFraction(DayCounter,SettlementDate,R351,,,Trigger)</f>
        <v>29.433333333333334</v>
      </c>
      <c r="X351" s="29">
        <f>_xll.qlDayCounterYearFraction(DayCounter,R351,S351)</f>
        <v>9.166666666666666E-2</v>
      </c>
      <c r="Y351" s="29">
        <f>_xll.qlYieldTSDiscount(Currency&amp;"ON",R351)/(1+U351*X351)</f>
        <v>0.66264896007096785</v>
      </c>
      <c r="Z351" s="30" t="e">
        <f>_xll.qlTenorBasisValue(TenorBasis6M,R351,InterestRatesTrigger)</f>
        <v>#VALUE!</v>
      </c>
      <c r="AA351" s="30" t="e">
        <f t="shared" si="23"/>
        <v>#VALUE!</v>
      </c>
    </row>
    <row r="352" spans="15:27" x14ac:dyDescent="0.2">
      <c r="O352" s="33">
        <v>1</v>
      </c>
      <c r="P352" s="27" t="str">
        <f>_xll.qlPeriodEquivalent(P351&amp;"+"&amp;O352&amp;"M")</f>
        <v>29Y1M</v>
      </c>
      <c r="Q352" s="28">
        <f>_xll.qlCalendarAdvance(Calendar,SettlementDate,P352,"f",,Trigger)</f>
        <v>52903</v>
      </c>
      <c r="R352" s="28">
        <f>_xll.qlInterestRateIndexValueDate(Index,Q352,Trigger)</f>
        <v>52905</v>
      </c>
      <c r="S352" s="28">
        <f>_xll.qlInterestRateIndexMaturity(Index,R352,Trigger)</f>
        <v>52936</v>
      </c>
      <c r="T352" s="30">
        <f>_xll.qlIndexFixing($M$6,Q352,,InterestRatesTrigger)</f>
        <v>1.4661369434775503E-2</v>
      </c>
      <c r="U352" s="30">
        <f>_xll.qlIndexFixing(Index,Q352,,InterestRatesTrigger)</f>
        <v>1.4678372907475019E-2</v>
      </c>
      <c r="V352" s="30">
        <f t="shared" si="22"/>
        <v>1.7003472699516492E-5</v>
      </c>
      <c r="W352" s="29">
        <f>_xll.qlDayCounterYearFraction(DayCounter,SettlementDate,R352,,,Trigger)</f>
        <v>29.516666666666666</v>
      </c>
      <c r="X352" s="29">
        <f>_xll.qlDayCounterYearFraction(DayCounter,R352,S352)</f>
        <v>8.611111111111111E-2</v>
      </c>
      <c r="Y352" s="29">
        <f>_xll.qlYieldTSDiscount(Currency&amp;"ON",R352)/(1+U352*X352)</f>
        <v>0.6618942915340249</v>
      </c>
      <c r="Z352" s="30" t="e">
        <f>_xll.qlTenorBasisValue(TenorBasis6M,R352,InterestRatesTrigger)</f>
        <v>#VALUE!</v>
      </c>
      <c r="AA352" s="30" t="e">
        <f t="shared" si="23"/>
        <v>#VALUE!</v>
      </c>
    </row>
    <row r="353" spans="15:27" x14ac:dyDescent="0.2">
      <c r="O353" s="33">
        <v>1</v>
      </c>
      <c r="P353" s="27" t="str">
        <f>_xll.qlPeriodEquivalent(P352&amp;"+"&amp;O353&amp;"M")</f>
        <v>29Y2M</v>
      </c>
      <c r="Q353" s="28">
        <f>_xll.qlCalendarAdvance(Calendar,SettlementDate,P353,"f",,Trigger)</f>
        <v>52933</v>
      </c>
      <c r="R353" s="28">
        <f>_xll.qlInterestRateIndexValueDate(Index,Q353,Trigger)</f>
        <v>52937</v>
      </c>
      <c r="S353" s="28">
        <f>_xll.qlInterestRateIndexMaturity(Index,R353,Trigger)</f>
        <v>52968</v>
      </c>
      <c r="T353" s="30">
        <f>_xll.qlIndexFixing($M$6,Q353,,InterestRatesTrigger)</f>
        <v>1.4671540298849038E-2</v>
      </c>
      <c r="U353" s="30">
        <f>_xll.qlIndexFixing(Index,Q353,,InterestRatesTrigger)</f>
        <v>1.4688124955343612E-2</v>
      </c>
      <c r="V353" s="30">
        <f t="shared" si="22"/>
        <v>1.6584656494574024E-5</v>
      </c>
      <c r="W353" s="29">
        <f>_xll.qlDayCounterYearFraction(DayCounter,SettlementDate,R353,,,Trigger)</f>
        <v>29.605555555555554</v>
      </c>
      <c r="X353" s="29">
        <f>_xll.qlDayCounterYearFraction(DayCounter,R353,S353)</f>
        <v>8.611111111111111E-2</v>
      </c>
      <c r="Y353" s="29">
        <f>_xll.qlYieldTSDiscount(Currency&amp;"ON",R353)/(1+U353*X353)</f>
        <v>0.66103223085574614</v>
      </c>
      <c r="Z353" s="30" t="e">
        <f>_xll.qlTenorBasisValue(TenorBasis6M,R353,InterestRatesTrigger)</f>
        <v>#VALUE!</v>
      </c>
      <c r="AA353" s="30" t="e">
        <f t="shared" si="23"/>
        <v>#VALUE!</v>
      </c>
    </row>
    <row r="354" spans="15:27" x14ac:dyDescent="0.2">
      <c r="O354" s="33">
        <v>1</v>
      </c>
      <c r="P354" s="27" t="str">
        <f>_xll.qlPeriodEquivalent(P353&amp;"+"&amp;O354&amp;"M")</f>
        <v>29Y3M</v>
      </c>
      <c r="Q354" s="28">
        <f>_xll.qlCalendarAdvance(Calendar,SettlementDate,P354,"f",,Trigger)</f>
        <v>52964</v>
      </c>
      <c r="R354" s="28">
        <f>_xll.qlInterestRateIndexValueDate(Index,Q354,Trigger)</f>
        <v>52966</v>
      </c>
      <c r="S354" s="28">
        <f>_xll.qlInterestRateIndexMaturity(Index,R354,Trigger)</f>
        <v>52999</v>
      </c>
      <c r="T354" s="30">
        <f>_xll.qlIndexFixing($M$6,Q354,,InterestRatesTrigger)</f>
        <v>1.4682392816054638E-2</v>
      </c>
      <c r="U354" s="30">
        <f>_xll.qlIndexFixing(Index,Q354,,InterestRatesTrigger)</f>
        <v>1.4698590683974319E-2</v>
      </c>
      <c r="V354" s="30">
        <f t="shared" si="22"/>
        <v>1.619786791968135E-5</v>
      </c>
      <c r="W354" s="29">
        <f>_xll.qlDayCounterYearFraction(DayCounter,SettlementDate,R354,,,Trigger)</f>
        <v>29.68611111111111</v>
      </c>
      <c r="X354" s="29">
        <f>_xll.qlDayCounterYearFraction(DayCounter,R354,S354)</f>
        <v>9.166666666666666E-2</v>
      </c>
      <c r="Y354" s="29">
        <f>_xll.qlYieldTSDiscount(Currency&amp;"ON",R354)/(1+U354*X354)</f>
        <v>0.66019750863337812</v>
      </c>
      <c r="Z354" s="30" t="e">
        <f>_xll.qlTenorBasisValue(TenorBasis6M,R354,InterestRatesTrigger)</f>
        <v>#VALUE!</v>
      </c>
      <c r="AA354" s="30" t="e">
        <f t="shared" si="23"/>
        <v>#VALUE!</v>
      </c>
    </row>
    <row r="355" spans="15:27" x14ac:dyDescent="0.2">
      <c r="O355" s="33">
        <v>1</v>
      </c>
      <c r="P355" s="27" t="str">
        <f>_xll.qlPeriodEquivalent(P354&amp;"+"&amp;O355&amp;"M")</f>
        <v>29Y4M</v>
      </c>
      <c r="Q355" s="28">
        <f>_xll.qlCalendarAdvance(Calendar,SettlementDate,P355,"f",,Trigger)</f>
        <v>52995</v>
      </c>
      <c r="R355" s="28">
        <f>_xll.qlInterestRateIndexValueDate(Index,Q355,Trigger)</f>
        <v>52999</v>
      </c>
      <c r="S355" s="28">
        <f>_xll.qlInterestRateIndexMaturity(Index,R355,Trigger)</f>
        <v>53027</v>
      </c>
      <c r="T355" s="30">
        <f>_xll.qlIndexFixing($M$6,Q355,,InterestRatesTrigger)</f>
        <v>1.4692022550709512E-2</v>
      </c>
      <c r="U355" s="30">
        <f>_xll.qlIndexFixing(Index,Q355,,InterestRatesTrigger)</f>
        <v>1.4707826911381108E-2</v>
      </c>
      <c r="V355" s="30">
        <f t="shared" si="22"/>
        <v>1.5804360671596226E-5</v>
      </c>
      <c r="W355" s="29">
        <f>_xll.qlDayCounterYearFraction(DayCounter,SettlementDate,R355,,,Trigger)</f>
        <v>29.777777777777779</v>
      </c>
      <c r="X355" s="29">
        <f>_xll.qlDayCounterYearFraction(DayCounter,R355,S355)</f>
        <v>7.7777777777777779E-2</v>
      </c>
      <c r="Y355" s="29">
        <f>_xll.qlYieldTSDiscount(Currency&amp;"ON",R355)/(1+U355*X355)</f>
        <v>0.65944412169124333</v>
      </c>
      <c r="Z355" s="30" t="e">
        <f>_xll.qlTenorBasisValue(TenorBasis6M,R355,InterestRatesTrigger)</f>
        <v>#VALUE!</v>
      </c>
      <c r="AA355" s="30" t="e">
        <f t="shared" si="23"/>
        <v>#VALUE!</v>
      </c>
    </row>
    <row r="356" spans="15:27" x14ac:dyDescent="0.2">
      <c r="O356" s="33">
        <v>1</v>
      </c>
      <c r="P356" s="27" t="str">
        <f>_xll.qlPeriodEquivalent(P355&amp;"+"&amp;O356&amp;"M")</f>
        <v>29Y5M</v>
      </c>
      <c r="Q356" s="28">
        <f>_xll.qlCalendarAdvance(Calendar,SettlementDate,P356,"f",,Trigger)</f>
        <v>53023</v>
      </c>
      <c r="R356" s="28">
        <f>_xll.qlInterestRateIndexValueDate(Index,Q356,Trigger)</f>
        <v>53027</v>
      </c>
      <c r="S356" s="28">
        <f>_xll.qlInterestRateIndexMaturity(Index,R356,Trigger)</f>
        <v>53058</v>
      </c>
      <c r="T356" s="30">
        <f>_xll.qlIndexFixing($M$6,Q356,,InterestRatesTrigger)</f>
        <v>1.4704394049023599E-2</v>
      </c>
      <c r="U356" s="30">
        <f>_xll.qlIndexFixing(Index,Q356,,InterestRatesTrigger)</f>
        <v>1.4719827162755092E-2</v>
      </c>
      <c r="V356" s="30">
        <f t="shared" ref="V356:V419" si="24">U356-T356</f>
        <v>1.5433113731493434E-5</v>
      </c>
      <c r="W356" s="29">
        <f>_xll.qlDayCounterYearFraction(DayCounter,SettlementDate,R356,,,Trigger)</f>
        <v>29.855555555555554</v>
      </c>
      <c r="X356" s="29">
        <f>_xll.qlDayCounterYearFraction(DayCounter,R356,S356)</f>
        <v>8.611111111111111E-2</v>
      </c>
      <c r="Y356" s="29">
        <f>_xll.qlYieldTSDiscount(Currency&amp;"ON",R356)/(1+U356*X356)</f>
        <v>0.6586101162636383</v>
      </c>
      <c r="Z356" s="30" t="e">
        <f>_xll.qlTenorBasisValue(TenorBasis6M,R356,InterestRatesTrigger)</f>
        <v>#VALUE!</v>
      </c>
      <c r="AA356" s="30" t="e">
        <f t="shared" ref="AA356:AA419" si="25">V356-Z356</f>
        <v>#VALUE!</v>
      </c>
    </row>
    <row r="357" spans="15:27" x14ac:dyDescent="0.2">
      <c r="O357" s="33">
        <v>1</v>
      </c>
      <c r="P357" s="27" t="str">
        <f>_xll.qlPeriodEquivalent(P356&amp;"+"&amp;O357&amp;"M")</f>
        <v>29Y6M</v>
      </c>
      <c r="Q357" s="28">
        <f>_xll.qlCalendarAdvance(Calendar,SettlementDate,P357,"f",,Trigger)</f>
        <v>53055</v>
      </c>
      <c r="R357" s="28">
        <f>_xll.qlInterestRateIndexValueDate(Index,Q357,Trigger)</f>
        <v>53057</v>
      </c>
      <c r="S357" s="28">
        <f>_xll.qlInterestRateIndexMaturity(Index,R357,Trigger)</f>
        <v>53087</v>
      </c>
      <c r="T357" s="30">
        <f>_xll.qlIndexFixing($M$6,Q357,,InterestRatesTrigger)</f>
        <v>1.4716247825381501E-2</v>
      </c>
      <c r="U357" s="30">
        <f>_xll.qlIndexFixing(Index,Q357,,InterestRatesTrigger)</f>
        <v>1.4731311154815963E-2</v>
      </c>
      <c r="V357" s="30">
        <f t="shared" si="24"/>
        <v>1.5063329434461536E-5</v>
      </c>
      <c r="W357" s="29">
        <f>_xll.qlDayCounterYearFraction(DayCounter,SettlementDate,R357,,,Trigger)</f>
        <v>29.93888888888889</v>
      </c>
      <c r="X357" s="29">
        <f>_xll.qlDayCounterYearFraction(DayCounter,R357,S357)</f>
        <v>8.3333333333333329E-2</v>
      </c>
      <c r="Y357" s="29">
        <f>_xll.qlYieldTSDiscount(Currency&amp;"ON",R357)/(1+U357*X357)</f>
        <v>0.657830327751874</v>
      </c>
      <c r="Z357" s="30" t="e">
        <f>_xll.qlTenorBasisValue(TenorBasis6M,R357,InterestRatesTrigger)</f>
        <v>#VALUE!</v>
      </c>
      <c r="AA357" s="30" t="e">
        <f t="shared" si="25"/>
        <v>#VALUE!</v>
      </c>
    </row>
    <row r="358" spans="15:27" x14ac:dyDescent="0.2">
      <c r="O358" s="33">
        <v>1</v>
      </c>
      <c r="P358" s="27" t="str">
        <f>_xll.qlPeriodEquivalent(P357&amp;"+"&amp;O358&amp;"M")</f>
        <v>29Y7M</v>
      </c>
      <c r="Q358" s="28">
        <f>_xll.qlCalendarAdvance(Calendar,SettlementDate,P358,"f",,Trigger)</f>
        <v>53084</v>
      </c>
      <c r="R358" s="28">
        <f>_xll.qlInterestRateIndexValueDate(Index,Q358,Trigger)</f>
        <v>53086</v>
      </c>
      <c r="S358" s="28">
        <f>_xll.qlInterestRateIndexMaturity(Index,R358,Trigger)</f>
        <v>53118</v>
      </c>
      <c r="T358" s="30">
        <f>_xll.qlIndexFixing($M$6,Q358,,InterestRatesTrigger)</f>
        <v>1.4729930976710992E-2</v>
      </c>
      <c r="U358" s="30">
        <f>_xll.qlIndexFixing(Index,Q358,,InterestRatesTrigger)</f>
        <v>1.4744624244361071E-2</v>
      </c>
      <c r="V358" s="30">
        <f t="shared" si="24"/>
        <v>1.4693267650078834E-5</v>
      </c>
      <c r="W358" s="29">
        <f>_xll.qlDayCounterYearFraction(DayCounter,SettlementDate,R358,,,Trigger)</f>
        <v>30.019444444444446</v>
      </c>
      <c r="X358" s="29">
        <f>_xll.qlDayCounterYearFraction(DayCounter,R358,S358)</f>
        <v>8.8888888888888892E-2</v>
      </c>
      <c r="Y358" s="29">
        <f>_xll.qlYieldTSDiscount(Currency&amp;"ON",R358)/(1+U358*X358)</f>
        <v>0.65699695694992255</v>
      </c>
      <c r="Z358" s="30" t="e">
        <f>_xll.qlTenorBasisValue(TenorBasis6M,R358,InterestRatesTrigger)</f>
        <v>#VALUE!</v>
      </c>
      <c r="AA358" s="30" t="e">
        <f t="shared" si="25"/>
        <v>#VALUE!</v>
      </c>
    </row>
    <row r="359" spans="15:27" x14ac:dyDescent="0.2">
      <c r="O359" s="33">
        <v>1</v>
      </c>
      <c r="P359" s="27" t="str">
        <f>_xll.qlPeriodEquivalent(P358&amp;"+"&amp;O359&amp;"M")</f>
        <v>29Y8M</v>
      </c>
      <c r="Q359" s="28">
        <f>_xll.qlCalendarAdvance(Calendar,SettlementDate,P359,"f",,Trigger)</f>
        <v>53115</v>
      </c>
      <c r="R359" s="28">
        <f>_xll.qlInterestRateIndexValueDate(Index,Q359,Trigger)</f>
        <v>53119</v>
      </c>
      <c r="S359" s="28">
        <f>_xll.qlInterestRateIndexMaturity(Index,R359,Trigger)</f>
        <v>53149</v>
      </c>
      <c r="T359" s="30">
        <f>_xll.qlIndexFixing($M$6,Q359,,InterestRatesTrigger)</f>
        <v>1.4744075025517667E-2</v>
      </c>
      <c r="U359" s="30">
        <f>_xll.qlIndexFixing(Index,Q359,,InterestRatesTrigger)</f>
        <v>1.4758375537580193E-2</v>
      </c>
      <c r="V359" s="30">
        <f t="shared" si="24"/>
        <v>1.4300512062526138E-5</v>
      </c>
      <c r="W359" s="29">
        <f>_xll.qlDayCounterYearFraction(DayCounter,SettlementDate,R359,,,Trigger)</f>
        <v>30.111111111111111</v>
      </c>
      <c r="X359" s="29">
        <f>_xll.qlDayCounterYearFraction(DayCounter,R359,S359)</f>
        <v>8.3333333333333329E-2</v>
      </c>
      <c r="Y359" s="29">
        <f>_xll.qlYieldTSDiscount(Currency&amp;"ON",R359)/(1+U359*X359)</f>
        <v>0.65616394357391528</v>
      </c>
      <c r="Z359" s="30" t="e">
        <f>_xll.qlTenorBasisValue(TenorBasis6M,R359,InterestRatesTrigger)</f>
        <v>#VALUE!</v>
      </c>
      <c r="AA359" s="30" t="e">
        <f t="shared" si="25"/>
        <v>#VALUE!</v>
      </c>
    </row>
    <row r="360" spans="15:27" x14ac:dyDescent="0.2">
      <c r="O360" s="33">
        <v>1</v>
      </c>
      <c r="P360" s="27" t="str">
        <f>_xll.qlPeriodEquivalent(P359&amp;"+"&amp;O360&amp;"M")</f>
        <v>29Y9M</v>
      </c>
      <c r="Q360" s="28">
        <f>_xll.qlCalendarAdvance(Calendar,SettlementDate,P360,"f",,Trigger)</f>
        <v>53146</v>
      </c>
      <c r="R360" s="28">
        <f>_xll.qlInterestRateIndexValueDate(Index,Q360,Trigger)</f>
        <v>53148</v>
      </c>
      <c r="S360" s="28">
        <f>_xll.qlInterestRateIndexMaturity(Index,R360,Trigger)</f>
        <v>53181</v>
      </c>
      <c r="T360" s="30">
        <f>_xll.qlIndexFixing($M$6,Q360,,InterestRatesTrigger)</f>
        <v>1.475982674631156E-2</v>
      </c>
      <c r="U360" s="30">
        <f>_xll.qlIndexFixing(Index,Q360,,InterestRatesTrigger)</f>
        <v>1.4773760104880298E-2</v>
      </c>
      <c r="V360" s="30">
        <f t="shared" si="24"/>
        <v>1.3933358568737897E-5</v>
      </c>
      <c r="W360" s="29">
        <f>_xll.qlDayCounterYearFraction(DayCounter,SettlementDate,R360,,,Trigger)</f>
        <v>30.191666666666666</v>
      </c>
      <c r="X360" s="29">
        <f>_xll.qlDayCounterYearFraction(DayCounter,R360,S360)</f>
        <v>9.166666666666666E-2</v>
      </c>
      <c r="Y360" s="29">
        <f>_xll.qlYieldTSDiscount(Currency&amp;"ON",R360)/(1+U360*X360)</f>
        <v>0.65530414189772079</v>
      </c>
      <c r="Z360" s="30" t="e">
        <f>_xll.qlTenorBasisValue(TenorBasis6M,R360,InterestRatesTrigger)</f>
        <v>#VALUE!</v>
      </c>
      <c r="AA360" s="30" t="e">
        <f t="shared" si="25"/>
        <v>#VALUE!</v>
      </c>
    </row>
    <row r="361" spans="15:27" x14ac:dyDescent="0.2">
      <c r="O361" s="33">
        <v>1</v>
      </c>
      <c r="P361" s="27" t="str">
        <f>_xll.qlPeriodEquivalent(P360&amp;"+"&amp;O361&amp;"M")</f>
        <v>29Y10M</v>
      </c>
      <c r="Q361" s="28">
        <f>_xll.qlCalendarAdvance(Calendar,SettlementDate,P361,"f",,Trigger)</f>
        <v>53176</v>
      </c>
      <c r="R361" s="28">
        <f>_xll.qlInterestRateIndexValueDate(Index,Q361,Trigger)</f>
        <v>53178</v>
      </c>
      <c r="S361" s="28">
        <f>_xll.qlInterestRateIndexMaturity(Index,R361,Trigger)</f>
        <v>53209</v>
      </c>
      <c r="T361" s="30">
        <f>_xll.qlIndexFixing($M$6,Q361,,InterestRatesTrigger)</f>
        <v>1.4774038273088763E-2</v>
      </c>
      <c r="U361" s="30">
        <f>_xll.qlIndexFixing(Index,Q361,,InterestRatesTrigger)</f>
        <v>1.4787623511027231E-2</v>
      </c>
      <c r="V361" s="30">
        <f t="shared" si="24"/>
        <v>1.3585237938467526E-5</v>
      </c>
      <c r="W361" s="29">
        <f>_xll.qlDayCounterYearFraction(DayCounter,SettlementDate,R361,,,Trigger)</f>
        <v>30.274999999999999</v>
      </c>
      <c r="X361" s="29">
        <f>_xll.qlDayCounterYearFraction(DayCounter,R361,S361)</f>
        <v>8.611111111111111E-2</v>
      </c>
      <c r="Y361" s="29">
        <f>_xll.qlYieldTSDiscount(Currency&amp;"ON",R361)/(1+U361*X361)</f>
        <v>0.65455207824425099</v>
      </c>
      <c r="Z361" s="30" t="e">
        <f>_xll.qlTenorBasisValue(TenorBasis6M,R361,InterestRatesTrigger)</f>
        <v>#VALUE!</v>
      </c>
      <c r="AA361" s="30" t="e">
        <f t="shared" si="25"/>
        <v>#VALUE!</v>
      </c>
    </row>
    <row r="362" spans="15:27" x14ac:dyDescent="0.2">
      <c r="O362" s="33">
        <v>1</v>
      </c>
      <c r="P362" s="27" t="str">
        <f>_xll.qlPeriodEquivalent(P361&amp;"+"&amp;O362&amp;"M")</f>
        <v>29Y11M</v>
      </c>
      <c r="Q362" s="28">
        <f>_xll.qlCalendarAdvance(Calendar,SettlementDate,P362,"f",,Trigger)</f>
        <v>53209</v>
      </c>
      <c r="R362" s="28">
        <f>_xll.qlInterestRateIndexValueDate(Index,Q362,Trigger)</f>
        <v>53211</v>
      </c>
      <c r="S362" s="28">
        <f>_xll.qlInterestRateIndexMaturity(Index,R362,Trigger)</f>
        <v>53241</v>
      </c>
      <c r="T362" s="30">
        <f>_xll.qlIndexFixing($M$6,Q362,,InterestRatesTrigger)</f>
        <v>1.4791174406406427E-2</v>
      </c>
      <c r="U362" s="30">
        <f>_xll.qlIndexFixing(Index,Q362,,InterestRatesTrigger)</f>
        <v>1.4804374621959049E-2</v>
      </c>
      <c r="V362" s="30">
        <f t="shared" si="24"/>
        <v>1.3200215552622296E-5</v>
      </c>
      <c r="W362" s="29">
        <f>_xll.qlDayCounterYearFraction(DayCounter,SettlementDate,R362,,,Trigger)</f>
        <v>30.366666666666667</v>
      </c>
      <c r="X362" s="29">
        <f>_xll.qlDayCounterYearFraction(DayCounter,R362,S362)</f>
        <v>8.3333333333333329E-2</v>
      </c>
      <c r="Y362" s="29">
        <f>_xll.qlYieldTSDiscount(Currency&amp;"ON",R362)/(1+U362*X362)</f>
        <v>0.65369266406515558</v>
      </c>
      <c r="Z362" s="30" t="e">
        <f>_xll.qlTenorBasisValue(TenorBasis6M,R362,InterestRatesTrigger)</f>
        <v>#VALUE!</v>
      </c>
      <c r="AA362" s="30" t="e">
        <f t="shared" si="25"/>
        <v>#VALUE!</v>
      </c>
    </row>
    <row r="363" spans="15:27" x14ac:dyDescent="0.2">
      <c r="O363" s="33">
        <v>1</v>
      </c>
      <c r="P363" s="27" t="str">
        <f>_xll.qlPeriodEquivalent(P362&amp;"+"&amp;O363&amp;"M")</f>
        <v>30Y</v>
      </c>
      <c r="Q363" s="28">
        <f>_xll.qlCalendarAdvance(Calendar,SettlementDate,P363,"f",,Trigger)</f>
        <v>53237</v>
      </c>
      <c r="R363" s="28">
        <f>_xll.qlInterestRateIndexValueDate(Index,Q363,Trigger)</f>
        <v>53239</v>
      </c>
      <c r="S363" s="28">
        <f>_xll.qlInterestRateIndexMaturity(Index,R363,Trigger)</f>
        <v>53272</v>
      </c>
      <c r="T363" s="30">
        <f>_xll.qlIndexFixing($M$6,Q363,,InterestRatesTrigger)</f>
        <v>1.4808443185813598E-2</v>
      </c>
      <c r="U363" s="30">
        <f>_xll.qlIndexFixing(Index,Q363,,InterestRatesTrigger)</f>
        <v>1.4821298245022228E-2</v>
      </c>
      <c r="V363" s="30">
        <f t="shared" si="24"/>
        <v>1.2855059208630171E-5</v>
      </c>
      <c r="W363" s="29">
        <f>_xll.qlDayCounterYearFraction(DayCounter,SettlementDate,R363,,,Trigger)</f>
        <v>30.444444444444443</v>
      </c>
      <c r="X363" s="29">
        <f>_xll.qlDayCounterYearFraction(DayCounter,R363,S363)</f>
        <v>9.166666666666666E-2</v>
      </c>
      <c r="Y363" s="29">
        <f>_xll.qlYieldTSDiscount(Currency&amp;"ON",R363)/(1+U363*X363)</f>
        <v>0.6528601074147522</v>
      </c>
      <c r="Z363" s="30" t="e">
        <f>_xll.qlTenorBasisValue(TenorBasis6M,R363,InterestRatesTrigger)</f>
        <v>#VALUE!</v>
      </c>
      <c r="AA363" s="30" t="e">
        <f t="shared" si="25"/>
        <v>#VALUE!</v>
      </c>
    </row>
    <row r="364" spans="15:27" x14ac:dyDescent="0.2">
      <c r="O364" s="33">
        <v>1</v>
      </c>
      <c r="P364" s="27" t="str">
        <f>_xll.qlPeriodEquivalent(P363&amp;"+"&amp;O364&amp;"M")</f>
        <v>30Y1M</v>
      </c>
      <c r="Q364" s="28">
        <f>_xll.qlCalendarAdvance(Calendar,SettlementDate,P364,"f",,Trigger)</f>
        <v>53268</v>
      </c>
      <c r="R364" s="28">
        <f>_xll.qlInterestRateIndexValueDate(Index,Q364,Trigger)</f>
        <v>53272</v>
      </c>
      <c r="S364" s="28">
        <f>_xll.qlInterestRateIndexMaturity(Index,R364,Trigger)</f>
        <v>53302</v>
      </c>
      <c r="T364" s="30">
        <f>_xll.qlIndexFixing($M$6,Q364,,InterestRatesTrigger)</f>
        <v>1.4824810850601722E-2</v>
      </c>
      <c r="U364" s="30">
        <f>_xll.qlIndexFixing(Index,Q364,,InterestRatesTrigger)</f>
        <v>1.4837291246795559E-2</v>
      </c>
      <c r="V364" s="30">
        <f t="shared" si="24"/>
        <v>1.2480396193836896E-5</v>
      </c>
      <c r="W364" s="29">
        <f>_xll.qlDayCounterYearFraction(DayCounter,SettlementDate,R364,,,Trigger)</f>
        <v>30.536111111111111</v>
      </c>
      <c r="X364" s="29">
        <f>_xll.qlDayCounterYearFraction(DayCounter,R364,S364)</f>
        <v>8.3333333333333329E-2</v>
      </c>
      <c r="Y364" s="29">
        <f>_xll.qlYieldTSDiscount(Currency&amp;"ON",R364)/(1+U364*X364)</f>
        <v>0.65205464862855989</v>
      </c>
      <c r="Z364" s="30" t="e">
        <f>_xll.qlTenorBasisValue(TenorBasis6M,R364,InterestRatesTrigger)</f>
        <v>#VALUE!</v>
      </c>
      <c r="AA364" s="30" t="e">
        <f t="shared" si="25"/>
        <v>#VALUE!</v>
      </c>
    </row>
    <row r="365" spans="15:27" x14ac:dyDescent="0.2">
      <c r="O365" s="33">
        <v>1</v>
      </c>
      <c r="P365" s="27" t="str">
        <f>_xll.qlPeriodEquivalent(P364&amp;"+"&amp;O365&amp;"M")</f>
        <v>30Y2M</v>
      </c>
      <c r="Q365" s="28">
        <f>_xll.qlCalendarAdvance(Calendar,SettlementDate,P365,"f",,Trigger)</f>
        <v>53300</v>
      </c>
      <c r="R365" s="28">
        <f>_xll.qlInterestRateIndexValueDate(Index,Q365,Trigger)</f>
        <v>53302</v>
      </c>
      <c r="S365" s="28">
        <f>_xll.qlInterestRateIndexMaturity(Index,R365,Trigger)</f>
        <v>53335</v>
      </c>
      <c r="T365" s="30">
        <f>_xll.qlIndexFixing($M$6,Q365,,InterestRatesTrigger)</f>
        <v>1.4842679338167904E-2</v>
      </c>
      <c r="U365" s="30">
        <f>_xll.qlIndexFixing(Index,Q365,,InterestRatesTrigger)</f>
        <v>1.4854784086200921E-2</v>
      </c>
      <c r="V365" s="30">
        <f t="shared" si="24"/>
        <v>1.2104748033016366E-5</v>
      </c>
      <c r="W365" s="29">
        <f>_xll.qlDayCounterYearFraction(DayCounter,SettlementDate,R365,,,Trigger)</f>
        <v>30.619444444444444</v>
      </c>
      <c r="X365" s="29">
        <f>_xll.qlDayCounterYearFraction(DayCounter,R365,S365)</f>
        <v>9.166666666666666E-2</v>
      </c>
      <c r="Y365" s="29">
        <f>_xll.qlYieldTSDiscount(Currency&amp;"ON",R365)/(1+U365*X365)</f>
        <v>0.65116863707863737</v>
      </c>
      <c r="Z365" s="30" t="e">
        <f>_xll.qlTenorBasisValue(TenorBasis6M,R365,InterestRatesTrigger)</f>
        <v>#VALUE!</v>
      </c>
      <c r="AA365" s="30" t="e">
        <f t="shared" si="25"/>
        <v>#VALUE!</v>
      </c>
    </row>
    <row r="366" spans="15:27" x14ac:dyDescent="0.2">
      <c r="O366" s="33">
        <v>1</v>
      </c>
      <c r="P366" s="27" t="str">
        <f>_xll.qlPeriodEquivalent(P365&amp;"+"&amp;O366&amp;"M")</f>
        <v>30Y3M</v>
      </c>
      <c r="Q366" s="28">
        <f>_xll.qlCalendarAdvance(Calendar,SettlementDate,P366,"f",,Trigger)</f>
        <v>53329</v>
      </c>
      <c r="R366" s="28">
        <f>_xll.qlInterestRateIndexValueDate(Index,Q366,Trigger)</f>
        <v>53331</v>
      </c>
      <c r="S366" s="28">
        <f>_xll.qlInterestRateIndexMaturity(Index,R366,Trigger)</f>
        <v>53363</v>
      </c>
      <c r="T366" s="30">
        <f>_xll.qlIndexFixing($M$6,Q366,,InterestRatesTrigger)</f>
        <v>1.4857430663601789E-2</v>
      </c>
      <c r="U366" s="30">
        <f>_xll.qlIndexFixing(Index,Q366,,InterestRatesTrigger)</f>
        <v>1.4869190118886322E-2</v>
      </c>
      <c r="V366" s="30">
        <f t="shared" si="24"/>
        <v>1.1759455284532372E-5</v>
      </c>
      <c r="W366" s="29">
        <f>_xll.qlDayCounterYearFraction(DayCounter,SettlementDate,R366,,,Trigger)</f>
        <v>30.7</v>
      </c>
      <c r="X366" s="29">
        <f>_xll.qlDayCounterYearFraction(DayCounter,R366,S366)</f>
        <v>8.8888888888888892E-2</v>
      </c>
      <c r="Y366" s="29">
        <f>_xll.qlYieldTSDiscount(Currency&amp;"ON",R366)/(1+U366*X366)</f>
        <v>0.65041708015923094</v>
      </c>
      <c r="Z366" s="30" t="e">
        <f>_xll.qlTenorBasisValue(TenorBasis6M,R366,InterestRatesTrigger)</f>
        <v>#VALUE!</v>
      </c>
      <c r="AA366" s="30" t="e">
        <f t="shared" si="25"/>
        <v>#VALUE!</v>
      </c>
    </row>
    <row r="367" spans="15:27" x14ac:dyDescent="0.2">
      <c r="O367" s="33">
        <v>1</v>
      </c>
      <c r="P367" s="27" t="str">
        <f>_xll.qlPeriodEquivalent(P366&amp;"+"&amp;O367&amp;"M")</f>
        <v>30Y4M</v>
      </c>
      <c r="Q367" s="28">
        <f>_xll.qlCalendarAdvance(Calendar,SettlementDate,P367,"f",,Trigger)</f>
        <v>53360</v>
      </c>
      <c r="R367" s="28">
        <f>_xll.qlInterestRateIndexValueDate(Index,Q367,Trigger)</f>
        <v>53364</v>
      </c>
      <c r="S367" s="28">
        <f>_xll.qlInterestRateIndexMaturity(Index,R367,Trigger)</f>
        <v>53392</v>
      </c>
      <c r="T367" s="30">
        <f>_xll.qlIndexFixing($M$6,Q367,,InterestRatesTrigger)</f>
        <v>1.4872271963759192E-2</v>
      </c>
      <c r="U367" s="30">
        <f>_xll.qlIndexFixing(Index,Q367,,InterestRatesTrigger)</f>
        <v>1.4883650530396673E-2</v>
      </c>
      <c r="V367" s="30">
        <f t="shared" si="24"/>
        <v>1.1378566637481116E-5</v>
      </c>
      <c r="W367" s="29">
        <f>_xll.qlDayCounterYearFraction(DayCounter,SettlementDate,R367,,,Trigger)</f>
        <v>30.791666666666668</v>
      </c>
      <c r="X367" s="29">
        <f>_xll.qlDayCounterYearFraction(DayCounter,R367,S367)</f>
        <v>7.7777777777777779E-2</v>
      </c>
      <c r="Y367" s="29">
        <f>_xll.qlYieldTSDiscount(Currency&amp;"ON",R367)/(1+U367*X367)</f>
        <v>0.64963888552179727</v>
      </c>
      <c r="Z367" s="30" t="e">
        <f>_xll.qlTenorBasisValue(TenorBasis6M,R367,InterestRatesTrigger)</f>
        <v>#VALUE!</v>
      </c>
      <c r="AA367" s="30" t="e">
        <f t="shared" si="25"/>
        <v>#VALUE!</v>
      </c>
    </row>
    <row r="368" spans="15:27" x14ac:dyDescent="0.2">
      <c r="O368" s="33">
        <v>1</v>
      </c>
      <c r="P368" s="27" t="str">
        <f>_xll.qlPeriodEquivalent(P367&amp;"+"&amp;O368&amp;"M")</f>
        <v>30Y5M</v>
      </c>
      <c r="Q368" s="28">
        <f>_xll.qlCalendarAdvance(Calendar,SettlementDate,P368,"f",,Trigger)</f>
        <v>53388</v>
      </c>
      <c r="R368" s="28">
        <f>_xll.qlInterestRateIndexValueDate(Index,Q368,Trigger)</f>
        <v>53392</v>
      </c>
      <c r="S368" s="28">
        <f>_xll.qlInterestRateIndexMaturity(Index,R368,Trigger)</f>
        <v>53423</v>
      </c>
      <c r="T368" s="30">
        <f>_xll.qlIndexFixing($M$6,Q368,,InterestRatesTrigger)</f>
        <v>1.4888174193241264E-2</v>
      </c>
      <c r="U368" s="30">
        <f>_xll.qlIndexFixing(Index,Q368,,InterestRatesTrigger)</f>
        <v>1.4899189434822067E-2</v>
      </c>
      <c r="V368" s="30">
        <f t="shared" si="24"/>
        <v>1.1015241580803609E-5</v>
      </c>
      <c r="W368" s="29">
        <f>_xll.qlDayCounterYearFraction(DayCounter,SettlementDate,R368,,,Trigger)</f>
        <v>30.869444444444444</v>
      </c>
      <c r="X368" s="29">
        <f>_xll.qlDayCounterYearFraction(DayCounter,R368,S368)</f>
        <v>8.611111111111111E-2</v>
      </c>
      <c r="Y368" s="29">
        <f>_xll.qlYieldTSDiscount(Currency&amp;"ON",R368)/(1+U368*X368)</f>
        <v>0.64880704958411239</v>
      </c>
      <c r="Z368" s="30" t="e">
        <f>_xll.qlTenorBasisValue(TenorBasis6M,R368,InterestRatesTrigger)</f>
        <v>#VALUE!</v>
      </c>
      <c r="AA368" s="30" t="e">
        <f t="shared" si="25"/>
        <v>#VALUE!</v>
      </c>
    </row>
    <row r="369" spans="15:27" x14ac:dyDescent="0.2">
      <c r="O369" s="33">
        <v>1</v>
      </c>
      <c r="P369" s="27" t="str">
        <f>_xll.qlPeriodEquivalent(P368&amp;"+"&amp;O369&amp;"M")</f>
        <v>30Y6M</v>
      </c>
      <c r="Q369" s="28">
        <f>_xll.qlCalendarAdvance(Calendar,SettlementDate,P369,"f",,Trigger)</f>
        <v>53419</v>
      </c>
      <c r="R369" s="28">
        <f>_xll.qlInterestRateIndexValueDate(Index,Q369,Trigger)</f>
        <v>53421</v>
      </c>
      <c r="S369" s="28">
        <f>_xll.qlInterestRateIndexMaturity(Index,R369,Trigger)</f>
        <v>53451</v>
      </c>
      <c r="T369" s="30">
        <f>_xll.qlIndexFixing($M$6,Q369,,InterestRatesTrigger)</f>
        <v>1.4902056170598144E-2</v>
      </c>
      <c r="U369" s="30">
        <f>_xll.qlIndexFixing(Index,Q369,,InterestRatesTrigger)</f>
        <v>1.4912714812649774E-2</v>
      </c>
      <c r="V369" s="30">
        <f t="shared" si="24"/>
        <v>1.0658642051630807E-5</v>
      </c>
      <c r="W369" s="29">
        <f>_xll.qlDayCounterYearFraction(DayCounter,SettlementDate,R369,,,Trigger)</f>
        <v>30.95</v>
      </c>
      <c r="X369" s="29">
        <f>_xll.qlDayCounterYearFraction(DayCounter,R369,S369)</f>
        <v>8.3333333333333329E-2</v>
      </c>
      <c r="Y369" s="29">
        <f>_xll.qlYieldTSDiscount(Currency&amp;"ON",R369)/(1+U369*X369)</f>
        <v>0.64805596630590856</v>
      </c>
      <c r="Z369" s="30" t="e">
        <f>_xll.qlTenorBasisValue(TenorBasis6M,R369,InterestRatesTrigger)</f>
        <v>#VALUE!</v>
      </c>
      <c r="AA369" s="30" t="e">
        <f t="shared" si="25"/>
        <v>#VALUE!</v>
      </c>
    </row>
    <row r="370" spans="15:27" x14ac:dyDescent="0.2">
      <c r="O370" s="33">
        <v>1</v>
      </c>
      <c r="P370" s="27" t="str">
        <f>_xll.qlPeriodEquivalent(P369&amp;"+"&amp;O370&amp;"M")</f>
        <v>30Y7M</v>
      </c>
      <c r="Q370" s="28">
        <f>_xll.qlCalendarAdvance(Calendar,SettlementDate,P370,"f",,Trigger)</f>
        <v>53449</v>
      </c>
      <c r="R370" s="28">
        <f>_xll.qlInterestRateIndexValueDate(Index,Q370,Trigger)</f>
        <v>53451</v>
      </c>
      <c r="S370" s="28">
        <f>_xll.qlInterestRateIndexMaturity(Index,R370,Trigger)</f>
        <v>53482</v>
      </c>
      <c r="T370" s="30">
        <f>_xll.qlIndexFixing($M$6,Q370,,InterestRatesTrigger)</f>
        <v>1.4917233035734822E-2</v>
      </c>
      <c r="U370" s="30">
        <f>_xll.qlIndexFixing(Index,Q370,,InterestRatesTrigger)</f>
        <v>1.4927506638289305E-2</v>
      </c>
      <c r="V370" s="30">
        <f t="shared" si="24"/>
        <v>1.0273602554483618E-5</v>
      </c>
      <c r="W370" s="29">
        <f>_xll.qlDayCounterYearFraction(DayCounter,SettlementDate,R370,,,Trigger)</f>
        <v>31.033333333333335</v>
      </c>
      <c r="X370" s="29">
        <f>_xll.qlDayCounterYearFraction(DayCounter,R370,S370)</f>
        <v>8.611111111111111E-2</v>
      </c>
      <c r="Y370" s="29">
        <f>_xll.qlYieldTSDiscount(Currency&amp;"ON",R370)/(1+U370*X370)</f>
        <v>0.64722458307760122</v>
      </c>
      <c r="Z370" s="30" t="e">
        <f>_xll.qlTenorBasisValue(TenorBasis6M,R370,InterestRatesTrigger)</f>
        <v>#VALUE!</v>
      </c>
      <c r="AA370" s="30" t="e">
        <f t="shared" si="25"/>
        <v>#VALUE!</v>
      </c>
    </row>
    <row r="371" spans="15:27" x14ac:dyDescent="0.2">
      <c r="O371" s="33">
        <v>1</v>
      </c>
      <c r="P371" s="27" t="str">
        <f>_xll.qlPeriodEquivalent(P370&amp;"+"&amp;O371&amp;"M")</f>
        <v>30Y8M</v>
      </c>
      <c r="Q371" s="28">
        <f>_xll.qlCalendarAdvance(Calendar,SettlementDate,P371,"f",,Trigger)</f>
        <v>53482</v>
      </c>
      <c r="R371" s="28">
        <f>_xll.qlInterestRateIndexValueDate(Index,Q371,Trigger)</f>
        <v>53484</v>
      </c>
      <c r="S371" s="28">
        <f>_xll.qlInterestRateIndexMaturity(Index,R371,Trigger)</f>
        <v>53514</v>
      </c>
      <c r="T371" s="30">
        <f>_xll.qlIndexFixing($M$6,Q371,,InterestRatesTrigger)</f>
        <v>1.4932404764137708E-2</v>
      </c>
      <c r="U371" s="30">
        <f>_xll.qlIndexFixing(Index,Q371,,InterestRatesTrigger)</f>
        <v>1.4942262173333276E-2</v>
      </c>
      <c r="V371" s="30">
        <f t="shared" si="24"/>
        <v>9.857409195568323E-6</v>
      </c>
      <c r="W371" s="29">
        <f>_xll.qlDayCounterYearFraction(DayCounter,SettlementDate,R371,,,Trigger)</f>
        <v>31.125</v>
      </c>
      <c r="X371" s="29">
        <f>_xll.qlDayCounterYearFraction(DayCounter,R371,S371)</f>
        <v>8.3333333333333329E-2</v>
      </c>
      <c r="Y371" s="29">
        <f>_xll.qlYieldTSDiscount(Currency&amp;"ON",R371)/(1+U371*X371)</f>
        <v>0.64636667693521932</v>
      </c>
      <c r="Z371" s="30" t="e">
        <f>_xll.qlTenorBasisValue(TenorBasis6M,R371,InterestRatesTrigger)</f>
        <v>#VALUE!</v>
      </c>
      <c r="AA371" s="30" t="e">
        <f t="shared" si="25"/>
        <v>#VALUE!</v>
      </c>
    </row>
    <row r="372" spans="15:27" x14ac:dyDescent="0.2">
      <c r="O372" s="33">
        <v>1</v>
      </c>
      <c r="P372" s="27" t="str">
        <f>_xll.qlPeriodEquivalent(P371&amp;"+"&amp;O372&amp;"M")</f>
        <v>30Y9M</v>
      </c>
      <c r="Q372" s="28">
        <f>_xll.qlCalendarAdvance(Calendar,SettlementDate,P372,"f",,Trigger)</f>
        <v>53510</v>
      </c>
      <c r="R372" s="28">
        <f>_xll.qlInterestRateIndexValueDate(Index,Q372,Trigger)</f>
        <v>53512</v>
      </c>
      <c r="S372" s="28">
        <f>_xll.qlInterestRateIndexMaturity(Index,R372,Trigger)</f>
        <v>53545</v>
      </c>
      <c r="T372" s="30">
        <f>_xll.qlIndexFixing($M$6,Q372,,InterestRatesTrigger)</f>
        <v>1.4947053482217951E-2</v>
      </c>
      <c r="U372" s="30">
        <f>_xll.qlIndexFixing(Index,Q372,,InterestRatesTrigger)</f>
        <v>1.4956529975592211E-2</v>
      </c>
      <c r="V372" s="30">
        <f t="shared" si="24"/>
        <v>9.4764933742594315E-6</v>
      </c>
      <c r="W372" s="29">
        <f>_xll.qlDayCounterYearFraction(DayCounter,SettlementDate,R372,,,Trigger)</f>
        <v>31.202777777777779</v>
      </c>
      <c r="X372" s="29">
        <f>_xll.qlDayCounterYearFraction(DayCounter,R372,S372)</f>
        <v>9.166666666666666E-2</v>
      </c>
      <c r="Y372" s="29">
        <f>_xll.qlYieldTSDiscount(Currency&amp;"ON",R372)/(1+U372*X372)</f>
        <v>0.64553578147137691</v>
      </c>
      <c r="Z372" s="30" t="e">
        <f>_xll.qlTenorBasisValue(TenorBasis6M,R372,InterestRatesTrigger)</f>
        <v>#VALUE!</v>
      </c>
      <c r="AA372" s="30" t="e">
        <f t="shared" si="25"/>
        <v>#VALUE!</v>
      </c>
    </row>
    <row r="373" spans="15:27" x14ac:dyDescent="0.2">
      <c r="O373" s="33">
        <v>1</v>
      </c>
      <c r="P373" s="27" t="str">
        <f>_xll.qlPeriodEquivalent(P372&amp;"+"&amp;O373&amp;"M")</f>
        <v>30Y10M</v>
      </c>
      <c r="Q373" s="28">
        <f>_xll.qlCalendarAdvance(Calendar,SettlementDate,P373,"f",,Trigger)</f>
        <v>53541</v>
      </c>
      <c r="R373" s="28">
        <f>_xll.qlInterestRateIndexValueDate(Index,Q373,Trigger)</f>
        <v>53545</v>
      </c>
      <c r="S373" s="28">
        <f>_xll.qlInterestRateIndexMaturity(Index,R373,Trigger)</f>
        <v>53576</v>
      </c>
      <c r="T373" s="30">
        <f>_xll.qlIndexFixing($M$6,Q373,,InterestRatesTrigger)</f>
        <v>1.4960960109794526E-2</v>
      </c>
      <c r="U373" s="30">
        <f>_xll.qlIndexFixing(Index,Q373,,InterestRatesTrigger)</f>
        <v>1.4970016233702081E-2</v>
      </c>
      <c r="V373" s="30">
        <f t="shared" si="24"/>
        <v>9.0561239075546973E-6</v>
      </c>
      <c r="W373" s="29">
        <f>_xll.qlDayCounterYearFraction(DayCounter,SettlementDate,R373,,,Trigger)</f>
        <v>31.294444444444444</v>
      </c>
      <c r="X373" s="29">
        <f>_xll.qlDayCounterYearFraction(DayCounter,R373,S373)</f>
        <v>8.611111111111111E-2</v>
      </c>
      <c r="Y373" s="29">
        <f>_xll.qlYieldTSDiscount(Currency&amp;"ON",R373)/(1+U373*X373)</f>
        <v>0.6447052617581136</v>
      </c>
      <c r="Z373" s="30" t="e">
        <f>_xll.qlTenorBasisValue(TenorBasis6M,R373,InterestRatesTrigger)</f>
        <v>#VALUE!</v>
      </c>
      <c r="AA373" s="30" t="e">
        <f t="shared" si="25"/>
        <v>#VALUE!</v>
      </c>
    </row>
    <row r="374" spans="15:27" x14ac:dyDescent="0.2">
      <c r="O374" s="33">
        <v>1</v>
      </c>
      <c r="P374" s="27" t="str">
        <f>_xll.qlPeriodEquivalent(P373&amp;"+"&amp;O374&amp;"M")</f>
        <v>30Y11M</v>
      </c>
      <c r="Q374" s="28">
        <f>_xll.qlCalendarAdvance(Calendar,SettlementDate,P374,"f",,Trigger)</f>
        <v>53573</v>
      </c>
      <c r="R374" s="28">
        <f>_xll.qlInterestRateIndexValueDate(Index,Q374,Trigger)</f>
        <v>53575</v>
      </c>
      <c r="S374" s="28">
        <f>_xll.qlInterestRateIndexMaturity(Index,R374,Trigger)</f>
        <v>53605</v>
      </c>
      <c r="T374" s="30">
        <f>_xll.qlIndexFixing($M$6,Q374,,InterestRatesTrigger)</f>
        <v>1.4973704151058698E-2</v>
      </c>
      <c r="U374" s="30">
        <f>_xll.qlIndexFixing(Index,Q374,,InterestRatesTrigger)</f>
        <v>1.4982368204253582E-2</v>
      </c>
      <c r="V374" s="30">
        <f t="shared" si="24"/>
        <v>8.6640531948845023E-6</v>
      </c>
      <c r="W374" s="29">
        <f>_xll.qlDayCounterYearFraction(DayCounter,SettlementDate,R374,,,Trigger)</f>
        <v>31.377777777777776</v>
      </c>
      <c r="X374" s="29">
        <f>_xll.qlDayCounterYearFraction(DayCounter,R374,S374)</f>
        <v>8.3333333333333329E-2</v>
      </c>
      <c r="Y374" s="29">
        <f>_xll.qlYieldTSDiscount(Currency&amp;"ON",R374)/(1+U374*X374)</f>
        <v>0.64392858738359993</v>
      </c>
      <c r="Z374" s="30" t="e">
        <f>_xll.qlTenorBasisValue(TenorBasis6M,R374,InterestRatesTrigger)</f>
        <v>#VALUE!</v>
      </c>
      <c r="AA374" s="30" t="e">
        <f t="shared" si="25"/>
        <v>#VALUE!</v>
      </c>
    </row>
    <row r="375" spans="15:27" x14ac:dyDescent="0.2">
      <c r="O375" s="33">
        <v>1</v>
      </c>
      <c r="P375" s="27" t="str">
        <f>_xll.qlPeriodEquivalent(P374&amp;"+"&amp;O375&amp;"M")</f>
        <v>31Y</v>
      </c>
      <c r="Q375" s="28">
        <f>_xll.qlCalendarAdvance(Calendar,SettlementDate,P375,"f",,Trigger)</f>
        <v>53602</v>
      </c>
      <c r="R375" s="28">
        <f>_xll.qlInterestRateIndexValueDate(Index,Q375,Trigger)</f>
        <v>53604</v>
      </c>
      <c r="S375" s="28">
        <f>_xll.qlInterestRateIndexMaturity(Index,R375,Trigger)</f>
        <v>53636</v>
      </c>
      <c r="T375" s="30">
        <f>_xll.qlIndexFixing($M$6,Q375,,InterestRatesTrigger)</f>
        <v>1.4987266224786577E-2</v>
      </c>
      <c r="U375" s="30">
        <f>_xll.qlIndexFixing(Index,Q375,,InterestRatesTrigger)</f>
        <v>1.4995527636221528E-2</v>
      </c>
      <c r="V375" s="30">
        <f t="shared" si="24"/>
        <v>8.2614114349510714E-6</v>
      </c>
      <c r="W375" s="29">
        <f>_xll.qlDayCounterYearFraction(DayCounter,SettlementDate,R375,,,Trigger)</f>
        <v>31.458333333333332</v>
      </c>
      <c r="X375" s="29">
        <f>_xll.qlDayCounterYearFraction(DayCounter,R375,S375)</f>
        <v>8.8888888888888892E-2</v>
      </c>
      <c r="Y375" s="29">
        <f>_xll.qlYieldTSDiscount(Currency&amp;"ON",R375)/(1+U375*X375)</f>
        <v>0.64309862103197013</v>
      </c>
      <c r="Z375" s="30" t="e">
        <f>_xll.qlTenorBasisValue(TenorBasis6M,R375,InterestRatesTrigger)</f>
        <v>#VALUE!</v>
      </c>
      <c r="AA375" s="30" t="e">
        <f t="shared" si="25"/>
        <v>#VALUE!</v>
      </c>
    </row>
    <row r="376" spans="15:27" x14ac:dyDescent="0.2">
      <c r="O376" s="33">
        <v>1</v>
      </c>
      <c r="P376" s="27" t="str">
        <f>_xll.qlPeriodEquivalent(P375&amp;"+"&amp;O376&amp;"M")</f>
        <v>31Y1M</v>
      </c>
      <c r="Q376" s="28">
        <f>_xll.qlCalendarAdvance(Calendar,SettlementDate,P376,"f",,Trigger)</f>
        <v>53633</v>
      </c>
      <c r="R376" s="28">
        <f>_xll.qlInterestRateIndexValueDate(Index,Q376,Trigger)</f>
        <v>53637</v>
      </c>
      <c r="S376" s="28">
        <f>_xll.qlInterestRateIndexMaturity(Index,R376,Trigger)</f>
        <v>53667</v>
      </c>
      <c r="T376" s="30">
        <f>_xll.qlIndexFixing($M$6,Q376,,InterestRatesTrigger)</f>
        <v>1.5000070850759606E-2</v>
      </c>
      <c r="U376" s="30">
        <f>_xll.qlIndexFixing(Index,Q376,,InterestRatesTrigger)</f>
        <v>1.5007895761766754E-2</v>
      </c>
      <c r="V376" s="30">
        <f t="shared" si="24"/>
        <v>7.8249110071482164E-6</v>
      </c>
      <c r="W376" s="29">
        <f>_xll.qlDayCounterYearFraction(DayCounter,SettlementDate,R376,,,Trigger)</f>
        <v>31.55</v>
      </c>
      <c r="X376" s="29">
        <f>_xll.qlDayCounterYearFraction(DayCounter,R376,S376)</f>
        <v>8.3333333333333329E-2</v>
      </c>
      <c r="Y376" s="29">
        <f>_xll.qlYieldTSDiscount(Currency&amp;"ON",R376)/(1+U376*X376)</f>
        <v>0.64226906658694538</v>
      </c>
      <c r="Z376" s="30" t="e">
        <f>_xll.qlTenorBasisValue(TenorBasis6M,R376,InterestRatesTrigger)</f>
        <v>#VALUE!</v>
      </c>
      <c r="AA376" s="30" t="e">
        <f t="shared" si="25"/>
        <v>#VALUE!</v>
      </c>
    </row>
    <row r="377" spans="15:27" x14ac:dyDescent="0.2">
      <c r="O377" s="33">
        <v>1</v>
      </c>
      <c r="P377" s="27" t="str">
        <f>_xll.qlPeriodEquivalent(P376&amp;"+"&amp;O377&amp;"M")</f>
        <v>31Y2M</v>
      </c>
      <c r="Q377" s="28">
        <f>_xll.qlCalendarAdvance(Calendar,SettlementDate,P377,"f",,Trigger)</f>
        <v>53664</v>
      </c>
      <c r="R377" s="28">
        <f>_xll.qlInterestRateIndexValueDate(Index,Q377,Trigger)</f>
        <v>53666</v>
      </c>
      <c r="S377" s="28">
        <f>_xll.qlInterestRateIndexMaturity(Index,R377,Trigger)</f>
        <v>53699</v>
      </c>
      <c r="T377" s="30">
        <f>_xll.qlIndexFixing($M$6,Q377,,InterestRatesTrigger)</f>
        <v>1.5013436810790251E-2</v>
      </c>
      <c r="U377" s="30">
        <f>_xll.qlIndexFixing(Index,Q377,,InterestRatesTrigger)</f>
        <v>1.5020841607425502E-2</v>
      </c>
      <c r="V377" s="30">
        <f t="shared" si="24"/>
        <v>7.4047966352516065E-6</v>
      </c>
      <c r="W377" s="29">
        <f>_xll.qlDayCounterYearFraction(DayCounter,SettlementDate,R377,,,Trigger)</f>
        <v>31.630555555555556</v>
      </c>
      <c r="X377" s="29">
        <f>_xll.qlDayCounterYearFraction(DayCounter,R377,S377)</f>
        <v>9.166666666666666E-2</v>
      </c>
      <c r="Y377" s="29">
        <f>_xll.qlYieldTSDiscount(Currency&amp;"ON",R377)/(1+U377*X377)</f>
        <v>0.64141307232647371</v>
      </c>
      <c r="Z377" s="30" t="e">
        <f>_xll.qlTenorBasisValue(TenorBasis6M,R377,InterestRatesTrigger)</f>
        <v>#VALUE!</v>
      </c>
      <c r="AA377" s="30" t="e">
        <f t="shared" si="25"/>
        <v>#VALUE!</v>
      </c>
    </row>
    <row r="378" spans="15:27" x14ac:dyDescent="0.2">
      <c r="O378" s="33">
        <v>1</v>
      </c>
      <c r="P378" s="27" t="str">
        <f>_xll.qlPeriodEquivalent(P377&amp;"+"&amp;O378&amp;"M")</f>
        <v>31Y3M</v>
      </c>
      <c r="Q378" s="28">
        <f>_xll.qlCalendarAdvance(Calendar,SettlementDate,P378,"f",,Trigger)</f>
        <v>53694</v>
      </c>
      <c r="R378" s="28">
        <f>_xll.qlInterestRateIndexValueDate(Index,Q378,Trigger)</f>
        <v>53696</v>
      </c>
      <c r="S378" s="28">
        <f>_xll.qlInterestRateIndexMaturity(Index,R378,Trigger)</f>
        <v>53727</v>
      </c>
      <c r="T378" s="30">
        <f>_xll.qlIndexFixing($M$6,Q378,,InterestRatesTrigger)</f>
        <v>1.5024296518949293E-2</v>
      </c>
      <c r="U378" s="30">
        <f>_xll.qlIndexFixing(Index,Q378,,InterestRatesTrigger)</f>
        <v>1.5031295241799584E-2</v>
      </c>
      <c r="V378" s="30">
        <f t="shared" si="24"/>
        <v>6.9987228502911558E-6</v>
      </c>
      <c r="W378" s="29">
        <f>_xll.qlDayCounterYearFraction(DayCounter,SettlementDate,R378,,,Trigger)</f>
        <v>31.713888888888889</v>
      </c>
      <c r="X378" s="29">
        <f>_xll.qlDayCounterYearFraction(DayCounter,R378,S378)</f>
        <v>8.611111111111111E-2</v>
      </c>
      <c r="Y378" s="29">
        <f>_xll.qlYieldTSDiscount(Currency&amp;"ON",R378)/(1+U378*X378)</f>
        <v>0.64066448601316306</v>
      </c>
      <c r="Z378" s="30" t="e">
        <f>_xll.qlTenorBasisValue(TenorBasis6M,R378,InterestRatesTrigger)</f>
        <v>#VALUE!</v>
      </c>
      <c r="AA378" s="30" t="e">
        <f t="shared" si="25"/>
        <v>#VALUE!</v>
      </c>
    </row>
    <row r="379" spans="15:27" x14ac:dyDescent="0.2">
      <c r="O379" s="33">
        <v>1</v>
      </c>
      <c r="P379" s="27" t="str">
        <f>_xll.qlPeriodEquivalent(P378&amp;"+"&amp;O379&amp;"M")</f>
        <v>31Y4M</v>
      </c>
      <c r="Q379" s="28">
        <f>_xll.qlCalendarAdvance(Calendar,SettlementDate,P379,"f",,Trigger)</f>
        <v>53727</v>
      </c>
      <c r="R379" s="28">
        <f>_xll.qlInterestRateIndexValueDate(Index,Q379,Trigger)</f>
        <v>53729</v>
      </c>
      <c r="S379" s="28">
        <f>_xll.qlInterestRateIndexMaturity(Index,R379,Trigger)</f>
        <v>53757</v>
      </c>
      <c r="T379" s="30">
        <f>_xll.qlIndexFixing($M$6,Q379,,InterestRatesTrigger)</f>
        <v>1.5035455575699455E-2</v>
      </c>
      <c r="U379" s="30">
        <f>_xll.qlIndexFixing(Index,Q379,,InterestRatesTrigger)</f>
        <v>1.5042007211002302E-2</v>
      </c>
      <c r="V379" s="30">
        <f t="shared" si="24"/>
        <v>6.5516353028472613E-6</v>
      </c>
      <c r="W379" s="29">
        <f>_xll.qlDayCounterYearFraction(DayCounter,SettlementDate,R379,,,Trigger)</f>
        <v>31.805555555555557</v>
      </c>
      <c r="X379" s="29">
        <f>_xll.qlDayCounterYearFraction(DayCounter,R379,S379)</f>
        <v>7.7777777777777779E-2</v>
      </c>
      <c r="Y379" s="29">
        <f>_xll.qlYieldTSDiscount(Currency&amp;"ON",R379)/(1+U379*X379)</f>
        <v>0.63986281324934202</v>
      </c>
      <c r="Z379" s="30" t="e">
        <f>_xll.qlTenorBasisValue(TenorBasis6M,R379,InterestRatesTrigger)</f>
        <v>#VALUE!</v>
      </c>
      <c r="AA379" s="30" t="e">
        <f t="shared" si="25"/>
        <v>#VALUE!</v>
      </c>
    </row>
    <row r="380" spans="15:27" x14ac:dyDescent="0.2">
      <c r="O380" s="33">
        <v>1</v>
      </c>
      <c r="P380" s="27" t="str">
        <f>_xll.qlPeriodEquivalent(P379&amp;"+"&amp;O380&amp;"M")</f>
        <v>31Y5M</v>
      </c>
      <c r="Q380" s="28">
        <f>_xll.qlCalendarAdvance(Calendar,SettlementDate,P380,"f",,Trigger)</f>
        <v>53755</v>
      </c>
      <c r="R380" s="28">
        <f>_xll.qlInterestRateIndexValueDate(Index,Q380,Trigger)</f>
        <v>53757</v>
      </c>
      <c r="S380" s="28">
        <f>_xll.qlInterestRateIndexMaturity(Index,R380,Trigger)</f>
        <v>53790</v>
      </c>
      <c r="T380" s="30">
        <f>_xll.qlIndexFixing($M$6,Q380,,InterestRatesTrigger)</f>
        <v>1.5048357204084827E-2</v>
      </c>
      <c r="U380" s="30">
        <f>_xll.qlIndexFixing(Index,Q380,,InterestRatesTrigger)</f>
        <v>1.5054471978371741E-2</v>
      </c>
      <c r="V380" s="30">
        <f t="shared" si="24"/>
        <v>6.114774286913871E-6</v>
      </c>
      <c r="W380" s="29">
        <f>_xll.qlDayCounterYearFraction(DayCounter,SettlementDate,R380,,,Trigger)</f>
        <v>31.883333333333333</v>
      </c>
      <c r="X380" s="29">
        <f>_xll.qlDayCounterYearFraction(DayCounter,R380,S380)</f>
        <v>9.166666666666666E-2</v>
      </c>
      <c r="Y380" s="29">
        <f>_xll.qlYieldTSDiscount(Currency&amp;"ON",R380)/(1+U380*X380)</f>
        <v>0.63898134896659675</v>
      </c>
      <c r="Z380" s="30" t="e">
        <f>_xll.qlTenorBasisValue(TenorBasis6M,R380,InterestRatesTrigger)</f>
        <v>#VALUE!</v>
      </c>
      <c r="AA380" s="30" t="e">
        <f t="shared" si="25"/>
        <v>#VALUE!</v>
      </c>
    </row>
    <row r="381" spans="15:27" x14ac:dyDescent="0.2">
      <c r="O381" s="33">
        <v>1</v>
      </c>
      <c r="P381" s="27" t="str">
        <f>_xll.qlPeriodEquivalent(P380&amp;"+"&amp;O381&amp;"M")</f>
        <v>31Y6M</v>
      </c>
      <c r="Q381" s="28">
        <f>_xll.qlCalendarAdvance(Calendar,SettlementDate,P381,"f",,Trigger)</f>
        <v>53784</v>
      </c>
      <c r="R381" s="28">
        <f>_xll.qlInterestRateIndexValueDate(Index,Q381,Trigger)</f>
        <v>53786</v>
      </c>
      <c r="S381" s="28">
        <f>_xll.qlInterestRateIndexMaturity(Index,R381,Trigger)</f>
        <v>53818</v>
      </c>
      <c r="T381" s="30">
        <f>_xll.qlIndexFixing($M$6,Q381,,InterestRatesTrigger)</f>
        <v>1.5058297887290961E-2</v>
      </c>
      <c r="U381" s="30">
        <f>_xll.qlIndexFixing(Index,Q381,,InterestRatesTrigger)</f>
        <v>1.5063997590750167E-2</v>
      </c>
      <c r="V381" s="30">
        <f t="shared" si="24"/>
        <v>5.6997034592054518E-6</v>
      </c>
      <c r="W381" s="29">
        <f>_xll.qlDayCounterYearFraction(DayCounter,SettlementDate,R381,,,Trigger)</f>
        <v>31.963888888888889</v>
      </c>
      <c r="X381" s="29">
        <f>_xll.qlDayCounterYearFraction(DayCounter,R381,S381)</f>
        <v>8.8888888888888892E-2</v>
      </c>
      <c r="Y381" s="29">
        <f>_xll.qlYieldTSDiscount(Currency&amp;"ON",R381)/(1+U381*X381)</f>
        <v>0.63823391037615718</v>
      </c>
      <c r="Z381" s="30" t="e">
        <f>_xll.qlTenorBasisValue(TenorBasis6M,R381,InterestRatesTrigger)</f>
        <v>#VALUE!</v>
      </c>
      <c r="AA381" s="30" t="e">
        <f t="shared" si="25"/>
        <v>#VALUE!</v>
      </c>
    </row>
    <row r="382" spans="15:27" x14ac:dyDescent="0.2">
      <c r="O382" s="33">
        <v>1</v>
      </c>
      <c r="P382" s="27" t="str">
        <f>_xll.qlPeriodEquivalent(P381&amp;"+"&amp;O382&amp;"M")</f>
        <v>31Y7M</v>
      </c>
      <c r="Q382" s="28">
        <f>_xll.qlCalendarAdvance(Calendar,SettlementDate,P382,"f",,Trigger)</f>
        <v>53814</v>
      </c>
      <c r="R382" s="28">
        <f>_xll.qlInterestRateIndexValueDate(Index,Q382,Trigger)</f>
        <v>53818</v>
      </c>
      <c r="S382" s="28">
        <f>_xll.qlInterestRateIndexMaturity(Index,R382,Trigger)</f>
        <v>53849</v>
      </c>
      <c r="T382" s="30">
        <f>_xll.qlIndexFixing($M$6,Q382,,InterestRatesTrigger)</f>
        <v>1.5068930976900891E-2</v>
      </c>
      <c r="U382" s="30">
        <f>_xll.qlIndexFixing(Index,Q382,,InterestRatesTrigger)</f>
        <v>1.5074165731038151E-2</v>
      </c>
      <c r="V382" s="30">
        <f t="shared" si="24"/>
        <v>5.2347541372593787E-6</v>
      </c>
      <c r="W382" s="29">
        <f>_xll.qlDayCounterYearFraction(DayCounter,SettlementDate,R382,,,Trigger)</f>
        <v>32.052777777777777</v>
      </c>
      <c r="X382" s="29">
        <f>_xll.qlDayCounterYearFraction(DayCounter,R382,S382)</f>
        <v>8.611111111111111E-2</v>
      </c>
      <c r="Y382" s="29">
        <f>_xll.qlYieldTSDiscount(Currency&amp;"ON",R382)/(1+U382*X382)</f>
        <v>0.63740684532904945</v>
      </c>
      <c r="Z382" s="30" t="e">
        <f>_xll.qlTenorBasisValue(TenorBasis6M,R382,InterestRatesTrigger)</f>
        <v>#VALUE!</v>
      </c>
      <c r="AA382" s="30" t="e">
        <f t="shared" si="25"/>
        <v>#VALUE!</v>
      </c>
    </row>
    <row r="383" spans="15:27" x14ac:dyDescent="0.2">
      <c r="O383" s="33">
        <v>1</v>
      </c>
      <c r="P383" s="27" t="str">
        <f>_xll.qlPeriodEquivalent(P382&amp;"+"&amp;O383&amp;"M")</f>
        <v>31Y8M</v>
      </c>
      <c r="Q383" s="28">
        <f>_xll.qlCalendarAdvance(Calendar,SettlementDate,P383,"f",,Trigger)</f>
        <v>53846</v>
      </c>
      <c r="R383" s="28">
        <f>_xll.qlInterestRateIndexValueDate(Index,Q383,Trigger)</f>
        <v>53848</v>
      </c>
      <c r="S383" s="28">
        <f>_xll.qlInterestRateIndexMaturity(Index,R383,Trigger)</f>
        <v>53878</v>
      </c>
      <c r="T383" s="30">
        <f>_xll.qlIndexFixing($M$6,Q383,,InterestRatesTrigger)</f>
        <v>1.5078496364839822E-2</v>
      </c>
      <c r="U383" s="30">
        <f>_xll.qlIndexFixing(Index,Q383,,InterestRatesTrigger)</f>
        <v>1.5083289630946517E-2</v>
      </c>
      <c r="V383" s="30">
        <f t="shared" si="24"/>
        <v>4.7932661066951709E-6</v>
      </c>
      <c r="W383" s="29">
        <f>_xll.qlDayCounterYearFraction(DayCounter,SettlementDate,R383,,,Trigger)</f>
        <v>32.136111111111113</v>
      </c>
      <c r="X383" s="29">
        <f>_xll.qlDayCounterYearFraction(DayCounter,R383,S383)</f>
        <v>8.3333333333333329E-2</v>
      </c>
      <c r="Y383" s="29">
        <f>_xll.qlYieldTSDiscount(Currency&amp;"ON",R383)/(1+U383*X383)</f>
        <v>0.63663359447295653</v>
      </c>
      <c r="Z383" s="30" t="e">
        <f>_xll.qlTenorBasisValue(TenorBasis6M,R383,InterestRatesTrigger)</f>
        <v>#VALUE!</v>
      </c>
      <c r="AA383" s="30" t="e">
        <f t="shared" si="25"/>
        <v>#VALUE!</v>
      </c>
    </row>
    <row r="384" spans="15:27" x14ac:dyDescent="0.2">
      <c r="O384" s="33">
        <v>1</v>
      </c>
      <c r="P384" s="27" t="str">
        <f>_xll.qlPeriodEquivalent(P383&amp;"+"&amp;O384&amp;"M")</f>
        <v>31Y9M</v>
      </c>
      <c r="Q384" s="28">
        <f>_xll.qlCalendarAdvance(Calendar,SettlementDate,P384,"f",,Trigger)</f>
        <v>53875</v>
      </c>
      <c r="R384" s="28">
        <f>_xll.qlInterestRateIndexValueDate(Index,Q384,Trigger)</f>
        <v>53877</v>
      </c>
      <c r="S384" s="28">
        <f>_xll.qlInterestRateIndexMaturity(Index,R384,Trigger)</f>
        <v>53909</v>
      </c>
      <c r="T384" s="30">
        <f>_xll.qlIndexFixing($M$6,Q384,,InterestRatesTrigger)</f>
        <v>1.5088800284838721E-2</v>
      </c>
      <c r="U384" s="30">
        <f>_xll.qlIndexFixing(Index,Q384,,InterestRatesTrigger)</f>
        <v>1.5093138943358675E-2</v>
      </c>
      <c r="V384" s="30">
        <f t="shared" si="24"/>
        <v>4.3386585199534089E-6</v>
      </c>
      <c r="W384" s="29">
        <f>_xll.qlDayCounterYearFraction(DayCounter,SettlementDate,R384,,,Trigger)</f>
        <v>32.216666666666669</v>
      </c>
      <c r="X384" s="29">
        <f>_xll.qlDayCounterYearFraction(DayCounter,R384,S384)</f>
        <v>8.8888888888888892E-2</v>
      </c>
      <c r="Y384" s="29">
        <f>_xll.qlYieldTSDiscount(Currency&amp;"ON",R384)/(1+U384*X384)</f>
        <v>0.63580749867142039</v>
      </c>
      <c r="Z384" s="30" t="e">
        <f>_xll.qlTenorBasisValue(TenorBasis6M,R384,InterestRatesTrigger)</f>
        <v>#VALUE!</v>
      </c>
      <c r="AA384" s="30" t="e">
        <f t="shared" si="25"/>
        <v>#VALUE!</v>
      </c>
    </row>
    <row r="385" spans="15:27" x14ac:dyDescent="0.2">
      <c r="O385" s="33">
        <v>1</v>
      </c>
      <c r="P385" s="27" t="str">
        <f>_xll.qlPeriodEquivalent(P384&amp;"+"&amp;O385&amp;"M")</f>
        <v>31Y10M</v>
      </c>
      <c r="Q385" s="28">
        <f>_xll.qlCalendarAdvance(Calendar,SettlementDate,P385,"f",,Trigger)</f>
        <v>53906</v>
      </c>
      <c r="R385" s="28">
        <f>_xll.qlInterestRateIndexValueDate(Index,Q385,Trigger)</f>
        <v>53910</v>
      </c>
      <c r="S385" s="28">
        <f>_xll.qlInterestRateIndexMaturity(Index,R385,Trigger)</f>
        <v>53941</v>
      </c>
      <c r="T385" s="30">
        <f>_xll.qlIndexFixing($M$6,Q385,,InterestRatesTrigger)</f>
        <v>1.5098536475998304E-2</v>
      </c>
      <c r="U385" s="30">
        <f>_xll.qlIndexFixing(Index,Q385,,InterestRatesTrigger)</f>
        <v>1.5102374928753949E-2</v>
      </c>
      <c r="V385" s="30">
        <f t="shared" si="24"/>
        <v>3.8384527556445391E-6</v>
      </c>
      <c r="W385" s="29">
        <f>_xll.qlDayCounterYearFraction(DayCounter,SettlementDate,R385,,,Trigger)</f>
        <v>32.30833333333333</v>
      </c>
      <c r="X385" s="29">
        <f>_xll.qlDayCounterYearFraction(DayCounter,R385,S385)</f>
        <v>8.611111111111111E-2</v>
      </c>
      <c r="Y385" s="29">
        <f>_xll.qlYieldTSDiscount(Currency&amp;"ON",R385)/(1+U385*X385)</f>
        <v>0.63495535581437101</v>
      </c>
      <c r="Z385" s="30" t="e">
        <f>_xll.qlTenorBasisValue(TenorBasis6M,R385,InterestRatesTrigger)</f>
        <v>#VALUE!</v>
      </c>
      <c r="AA385" s="30" t="e">
        <f t="shared" si="25"/>
        <v>#VALUE!</v>
      </c>
    </row>
    <row r="386" spans="15:27" x14ac:dyDescent="0.2">
      <c r="O386" s="33">
        <v>1</v>
      </c>
      <c r="P386" s="27" t="str">
        <f>_xll.qlPeriodEquivalent(P385&amp;"+"&amp;O386&amp;"M")</f>
        <v>31Y11M</v>
      </c>
      <c r="Q386" s="28">
        <f>_xll.qlCalendarAdvance(Calendar,SettlementDate,P386,"f",,Trigger)</f>
        <v>53937</v>
      </c>
      <c r="R386" s="28">
        <f>_xll.qlInterestRateIndexValueDate(Index,Q386,Trigger)</f>
        <v>53939</v>
      </c>
      <c r="S386" s="28">
        <f>_xll.qlInterestRateIndexMaturity(Index,R386,Trigger)</f>
        <v>53969</v>
      </c>
      <c r="T386" s="30">
        <f>_xll.qlIndexFixing($M$6,Q386,,InterestRatesTrigger)</f>
        <v>1.510666314007203E-2</v>
      </c>
      <c r="U386" s="30">
        <f>_xll.qlIndexFixing(Index,Q386,,InterestRatesTrigger)</f>
        <v>1.5110056697104746E-2</v>
      </c>
      <c r="V386" s="30">
        <f t="shared" si="24"/>
        <v>3.3935570327159326E-6</v>
      </c>
      <c r="W386" s="29">
        <f>_xll.qlDayCounterYearFraction(DayCounter,SettlementDate,R386,,,Trigger)</f>
        <v>32.388888888888886</v>
      </c>
      <c r="X386" s="29">
        <f>_xll.qlDayCounterYearFraction(DayCounter,R386,S386)</f>
        <v>8.3333333333333329E-2</v>
      </c>
      <c r="Y386" s="29">
        <f>_xll.qlYieldTSDiscount(Currency&amp;"ON",R386)/(1+U386*X386)</f>
        <v>0.63421022957780782</v>
      </c>
      <c r="Z386" s="30" t="e">
        <f>_xll.qlTenorBasisValue(TenorBasis6M,R386,InterestRatesTrigger)</f>
        <v>#VALUE!</v>
      </c>
      <c r="AA386" s="30" t="e">
        <f t="shared" si="25"/>
        <v>#VALUE!</v>
      </c>
    </row>
    <row r="387" spans="15:27" x14ac:dyDescent="0.2">
      <c r="O387" s="33">
        <v>1</v>
      </c>
      <c r="P387" s="27" t="str">
        <f>_xll.qlPeriodEquivalent(P386&amp;"+"&amp;O387&amp;"M")</f>
        <v>32Y</v>
      </c>
      <c r="Q387" s="28">
        <f>_xll.qlCalendarAdvance(Calendar,SettlementDate,P387,"f",,Trigger)</f>
        <v>53967</v>
      </c>
      <c r="R387" s="28">
        <f>_xll.qlInterestRateIndexValueDate(Index,Q387,Trigger)</f>
        <v>53969</v>
      </c>
      <c r="S387" s="28">
        <f>_xll.qlInterestRateIndexMaturity(Index,R387,Trigger)</f>
        <v>54000</v>
      </c>
      <c r="T387" s="30">
        <f>_xll.qlIndexFixing($M$6,Q387,,InterestRatesTrigger)</f>
        <v>1.5115624672603132E-2</v>
      </c>
      <c r="U387" s="30">
        <f>_xll.qlIndexFixing(Index,Q387,,InterestRatesTrigger)</f>
        <v>1.5118535738713879E-2</v>
      </c>
      <c r="V387" s="30">
        <f t="shared" si="24"/>
        <v>2.911066110746624E-6</v>
      </c>
      <c r="W387" s="29">
        <f>_xll.qlDayCounterYearFraction(DayCounter,SettlementDate,R387,,,Trigger)</f>
        <v>32.472222222222221</v>
      </c>
      <c r="X387" s="29">
        <f>_xll.qlDayCounterYearFraction(DayCounter,R387,S387)</f>
        <v>8.611111111111111E-2</v>
      </c>
      <c r="Y387" s="29">
        <f>_xll.qlYieldTSDiscount(Currency&amp;"ON",R387)/(1+U387*X387)</f>
        <v>0.63338582022983991</v>
      </c>
      <c r="Z387" s="30" t="e">
        <f>_xll.qlTenorBasisValue(TenorBasis6M,R387,InterestRatesTrigger)</f>
        <v>#VALUE!</v>
      </c>
      <c r="AA387" s="30" t="e">
        <f t="shared" si="25"/>
        <v>#VALUE!</v>
      </c>
    </row>
    <row r="388" spans="15:27" x14ac:dyDescent="0.2">
      <c r="O388" s="33">
        <v>1</v>
      </c>
      <c r="P388" s="27" t="str">
        <f>_xll.qlPeriodEquivalent(P387&amp;"+"&amp;O388&amp;"M")</f>
        <v>32Y1M</v>
      </c>
      <c r="Q388" s="28">
        <f>_xll.qlCalendarAdvance(Calendar,SettlementDate,P388,"f",,Trigger)</f>
        <v>54000</v>
      </c>
      <c r="R388" s="28">
        <f>_xll.qlInterestRateIndexValueDate(Index,Q388,Trigger)</f>
        <v>54002</v>
      </c>
      <c r="S388" s="28">
        <f>_xll.qlInterestRateIndexMaturity(Index,R388,Trigger)</f>
        <v>54032</v>
      </c>
      <c r="T388" s="30">
        <f>_xll.qlIndexFixing($M$6,Q388,,InterestRatesTrigger)</f>
        <v>1.5124073394763293E-2</v>
      </c>
      <c r="U388" s="30">
        <f>_xll.qlIndexFixing(Index,Q388,,InterestRatesTrigger)</f>
        <v>1.5126462418675324E-2</v>
      </c>
      <c r="V388" s="30">
        <f t="shared" si="24"/>
        <v>2.3890239120305523E-6</v>
      </c>
      <c r="W388" s="29">
        <f>_xll.qlDayCounterYearFraction(DayCounter,SettlementDate,R388,,,Trigger)</f>
        <v>32.56388888888889</v>
      </c>
      <c r="X388" s="29">
        <f>_xll.qlDayCounterYearFraction(DayCounter,R388,S388)</f>
        <v>8.3333333333333329E-2</v>
      </c>
      <c r="Y388" s="29">
        <f>_xll.qlYieldTSDiscount(Currency&amp;"ON",R388)/(1+U388*X388)</f>
        <v>0.63253547534365762</v>
      </c>
      <c r="Z388" s="30" t="e">
        <f>_xll.qlTenorBasisValue(TenorBasis6M,R388,InterestRatesTrigger)</f>
        <v>#VALUE!</v>
      </c>
      <c r="AA388" s="30" t="e">
        <f t="shared" si="25"/>
        <v>#VALUE!</v>
      </c>
    </row>
    <row r="389" spans="15:27" x14ac:dyDescent="0.2">
      <c r="O389" s="33">
        <v>1</v>
      </c>
      <c r="P389" s="27" t="str">
        <f>_xll.qlPeriodEquivalent(P388&amp;"+"&amp;O389&amp;"M")</f>
        <v>32Y2M</v>
      </c>
      <c r="Q389" s="28">
        <f>_xll.qlCalendarAdvance(Calendar,SettlementDate,P389,"f",,Trigger)</f>
        <v>54028</v>
      </c>
      <c r="R389" s="28">
        <f>_xll.qlInterestRateIndexValueDate(Index,Q389,Trigger)</f>
        <v>54030</v>
      </c>
      <c r="S389" s="28">
        <f>_xll.qlInterestRateIndexMaturity(Index,R389,Trigger)</f>
        <v>54063</v>
      </c>
      <c r="T389" s="30">
        <f>_xll.qlIndexFixing($M$6,Q389,,InterestRatesTrigger)</f>
        <v>1.513257505230489E-2</v>
      </c>
      <c r="U389" s="30">
        <f>_xll.qlIndexFixing(Index,Q389,,InterestRatesTrigger)</f>
        <v>1.5134483476191689E-2</v>
      </c>
      <c r="V389" s="30">
        <f t="shared" si="24"/>
        <v>1.9084238867990433E-6</v>
      </c>
      <c r="W389" s="29">
        <f>_xll.qlDayCounterYearFraction(DayCounter,SettlementDate,R389,,,Trigger)</f>
        <v>32.641666666666666</v>
      </c>
      <c r="X389" s="29">
        <f>_xll.qlDayCounterYearFraction(DayCounter,R389,S389)</f>
        <v>9.166666666666666E-2</v>
      </c>
      <c r="Y389" s="29">
        <f>_xll.qlYieldTSDiscount(Currency&amp;"ON",R389)/(1+U389*X389)</f>
        <v>0.63171233799653548</v>
      </c>
      <c r="Z389" s="30" t="e">
        <f>_xll.qlTenorBasisValue(TenorBasis6M,R389,InterestRatesTrigger)</f>
        <v>#VALUE!</v>
      </c>
      <c r="AA389" s="30" t="e">
        <f t="shared" si="25"/>
        <v>#VALUE!</v>
      </c>
    </row>
    <row r="390" spans="15:27" x14ac:dyDescent="0.2">
      <c r="O390" s="33">
        <v>1</v>
      </c>
      <c r="P390" s="27" t="str">
        <f>_xll.qlPeriodEquivalent(P389&amp;"+"&amp;O390&amp;"M")</f>
        <v>32Y3M</v>
      </c>
      <c r="Q390" s="28">
        <f>_xll.qlCalendarAdvance(Calendar,SettlementDate,P390,"f",,Trigger)</f>
        <v>54059</v>
      </c>
      <c r="R390" s="28">
        <f>_xll.qlInterestRateIndexValueDate(Index,Q390,Trigger)</f>
        <v>54063</v>
      </c>
      <c r="S390" s="28">
        <f>_xll.qlInterestRateIndexMaturity(Index,R390,Trigger)</f>
        <v>54094</v>
      </c>
      <c r="T390" s="30">
        <f>_xll.qlIndexFixing($M$6,Q390,,InterestRatesTrigger)</f>
        <v>1.5139693626991399E-2</v>
      </c>
      <c r="U390" s="30">
        <f>_xll.qlIndexFixing(Index,Q390,,InterestRatesTrigger)</f>
        <v>1.51410726807658E-2</v>
      </c>
      <c r="V390" s="30">
        <f t="shared" si="24"/>
        <v>1.379053774400868E-6</v>
      </c>
      <c r="W390" s="29">
        <f>_xll.qlDayCounterYearFraction(DayCounter,SettlementDate,R390,,,Trigger)</f>
        <v>32.733333333333334</v>
      </c>
      <c r="X390" s="29">
        <f>_xll.qlDayCounterYearFraction(DayCounter,R390,S390)</f>
        <v>8.611111111111111E-2</v>
      </c>
      <c r="Y390" s="29">
        <f>_xll.qlYieldTSDiscount(Currency&amp;"ON",R390)/(1+U390*X390)</f>
        <v>0.63088988491661502</v>
      </c>
      <c r="Z390" s="30" t="e">
        <f>_xll.qlTenorBasisValue(TenorBasis6M,R390,InterestRatesTrigger)</f>
        <v>#VALUE!</v>
      </c>
      <c r="AA390" s="30" t="e">
        <f t="shared" si="25"/>
        <v>#VALUE!</v>
      </c>
    </row>
    <row r="391" spans="15:27" x14ac:dyDescent="0.2">
      <c r="O391" s="33">
        <v>1</v>
      </c>
      <c r="P391" s="27" t="str">
        <f>_xll.qlPeriodEquivalent(P390&amp;"+"&amp;O391&amp;"M")</f>
        <v>32Y4M</v>
      </c>
      <c r="Q391" s="28">
        <f>_xll.qlCalendarAdvance(Calendar,SettlementDate,P391,"f",,Trigger)</f>
        <v>54091</v>
      </c>
      <c r="R391" s="28">
        <f>_xll.qlInterestRateIndexValueDate(Index,Q391,Trigger)</f>
        <v>54093</v>
      </c>
      <c r="S391" s="28">
        <f>_xll.qlInterestRateIndexMaturity(Index,R391,Trigger)</f>
        <v>54122</v>
      </c>
      <c r="T391" s="30">
        <f>_xll.qlIndexFixing($M$6,Q391,,InterestRatesTrigger)</f>
        <v>1.5145684629286145E-2</v>
      </c>
      <c r="U391" s="30">
        <f>_xll.qlIndexFixing(Index,Q391,,InterestRatesTrigger)</f>
        <v>1.5146576954134639E-2</v>
      </c>
      <c r="V391" s="30">
        <f t="shared" si="24"/>
        <v>8.9232484849419147E-7</v>
      </c>
      <c r="W391" s="29">
        <f>_xll.qlDayCounterYearFraction(DayCounter,SettlementDate,R391,,,Trigger)</f>
        <v>32.81666666666667</v>
      </c>
      <c r="X391" s="29">
        <f>_xll.qlDayCounterYearFraction(DayCounter,R391,S391)</f>
        <v>8.0555555555555561E-2</v>
      </c>
      <c r="Y391" s="29">
        <f>_xll.qlYieldTSDiscount(Currency&amp;"ON",R391)/(1+U391*X391)</f>
        <v>0.63014761213222137</v>
      </c>
      <c r="Z391" s="30" t="e">
        <f>_xll.qlTenorBasisValue(TenorBasis6M,R391,InterestRatesTrigger)</f>
        <v>#VALUE!</v>
      </c>
      <c r="AA391" s="30" t="e">
        <f t="shared" si="25"/>
        <v>#VALUE!</v>
      </c>
    </row>
    <row r="392" spans="15:27" x14ac:dyDescent="0.2">
      <c r="O392" s="33">
        <v>1</v>
      </c>
      <c r="P392" s="27" t="str">
        <f>_xll.qlPeriodEquivalent(P391&amp;"+"&amp;O392&amp;"M")</f>
        <v>32Y5M</v>
      </c>
      <c r="Q392" s="28">
        <f>_xll.qlCalendarAdvance(Calendar,SettlementDate,P392,"f",,Trigger)</f>
        <v>54119</v>
      </c>
      <c r="R392" s="28">
        <f>_xll.qlInterestRateIndexValueDate(Index,Q392,Trigger)</f>
        <v>54121</v>
      </c>
      <c r="S392" s="28">
        <f>_xll.qlInterestRateIndexMaturity(Index,R392,Trigger)</f>
        <v>54155</v>
      </c>
      <c r="T392" s="30">
        <f>_xll.qlIndexFixing($M$6,Q392,,InterestRatesTrigger)</f>
        <v>1.5153826034883539E-2</v>
      </c>
      <c r="U392" s="30">
        <f>_xll.qlIndexFixing(Index,Q392,,InterestRatesTrigger)</f>
        <v>1.5154199124402818E-2</v>
      </c>
      <c r="V392" s="30">
        <f t="shared" si="24"/>
        <v>3.7308951927883527E-7</v>
      </c>
      <c r="W392" s="29">
        <f>_xll.qlDayCounterYearFraction(DayCounter,SettlementDate,R392,,,Trigger)</f>
        <v>32.894444444444446</v>
      </c>
      <c r="X392" s="29">
        <f>_xll.qlDayCounterYearFraction(DayCounter,R392,S392)</f>
        <v>9.4444444444444442E-2</v>
      </c>
      <c r="Y392" s="29">
        <f>_xll.qlYieldTSDiscount(Currency&amp;"ON",R392)/(1+U392*X392)</f>
        <v>0.62927352321831698</v>
      </c>
      <c r="Z392" s="30" t="e">
        <f>_xll.qlTenorBasisValue(TenorBasis6M,R392,InterestRatesTrigger)</f>
        <v>#VALUE!</v>
      </c>
      <c r="AA392" s="30" t="e">
        <f t="shared" si="25"/>
        <v>#VALUE!</v>
      </c>
    </row>
    <row r="393" spans="15:27" x14ac:dyDescent="0.2">
      <c r="O393" s="33">
        <v>1</v>
      </c>
      <c r="P393" s="27" t="str">
        <f>_xll.qlPeriodEquivalent(P392&amp;"+"&amp;O393&amp;"M")</f>
        <v>32Y6M</v>
      </c>
      <c r="Q393" s="28">
        <f>_xll.qlCalendarAdvance(Calendar,SettlementDate,P393,"f",,Trigger)</f>
        <v>54150</v>
      </c>
      <c r="R393" s="28">
        <f>_xll.qlInterestRateIndexValueDate(Index,Q393,Trigger)</f>
        <v>54156</v>
      </c>
      <c r="S393" s="28">
        <f>_xll.qlInterestRateIndexMaturity(Index,R393,Trigger)</f>
        <v>54186</v>
      </c>
      <c r="T393" s="30">
        <f>_xll.qlIndexFixing($M$6,Q393,,InterestRatesTrigger)</f>
        <v>1.5159163564828937E-2</v>
      </c>
      <c r="U393" s="30">
        <f>_xll.qlIndexFixing(Index,Q393,,InterestRatesTrigger)</f>
        <v>1.5158966209198432E-2</v>
      </c>
      <c r="V393" s="30">
        <f t="shared" si="24"/>
        <v>-1.9735563050460314E-7</v>
      </c>
      <c r="W393" s="29">
        <f>_xll.qlDayCounterYearFraction(DayCounter,SettlementDate,R393,,,Trigger)</f>
        <v>32.991666666666667</v>
      </c>
      <c r="X393" s="29">
        <f>_xll.qlDayCounterYearFraction(DayCounter,R393,S393)</f>
        <v>8.3333333333333329E-2</v>
      </c>
      <c r="Y393" s="29">
        <f>_xll.qlYieldTSDiscount(Currency&amp;"ON",R393)/(1+U393*X393)</f>
        <v>0.62845317826383751</v>
      </c>
      <c r="Z393" s="30" t="e">
        <f>_xll.qlTenorBasisValue(TenorBasis6M,R393,InterestRatesTrigger)</f>
        <v>#VALUE!</v>
      </c>
      <c r="AA393" s="30" t="e">
        <f t="shared" si="25"/>
        <v>#VALUE!</v>
      </c>
    </row>
    <row r="394" spans="15:27" x14ac:dyDescent="0.2">
      <c r="O394" s="33">
        <v>1</v>
      </c>
      <c r="P394" s="27" t="str">
        <f>_xll.qlPeriodEquivalent(P393&amp;"+"&amp;O394&amp;"M")</f>
        <v>32Y7M</v>
      </c>
      <c r="Q394" s="28">
        <f>_xll.qlCalendarAdvance(Calendar,SettlementDate,P394,"f",,Trigger)</f>
        <v>54182</v>
      </c>
      <c r="R394" s="28">
        <f>_xll.qlInterestRateIndexValueDate(Index,Q394,Trigger)</f>
        <v>54184</v>
      </c>
      <c r="S394" s="28">
        <f>_xll.qlInterestRateIndexMaturity(Index,R394,Trigger)</f>
        <v>54217</v>
      </c>
      <c r="T394" s="30">
        <f>_xll.qlIndexFixing($M$6,Q394,,InterestRatesTrigger)</f>
        <v>1.5165594756546049E-2</v>
      </c>
      <c r="U394" s="30">
        <f>_xll.qlIndexFixing(Index,Q394,,InterestRatesTrigger)</f>
        <v>1.5164879493390678E-2</v>
      </c>
      <c r="V394" s="30">
        <f t="shared" si="24"/>
        <v>-7.1526315537084884E-7</v>
      </c>
      <c r="W394" s="29">
        <f>_xll.qlDayCounterYearFraction(DayCounter,SettlementDate,R394,,,Trigger)</f>
        <v>33.069444444444443</v>
      </c>
      <c r="X394" s="29">
        <f>_xll.qlDayCounterYearFraction(DayCounter,R394,S394)</f>
        <v>9.166666666666666E-2</v>
      </c>
      <c r="Y394" s="29">
        <f>_xll.qlYieldTSDiscount(Currency&amp;"ON",R394)/(1+U394*X394)</f>
        <v>0.62763359065772928</v>
      </c>
      <c r="Z394" s="30" t="e">
        <f>_xll.qlTenorBasisValue(TenorBasis6M,R394,InterestRatesTrigger)</f>
        <v>#VALUE!</v>
      </c>
      <c r="AA394" s="30" t="e">
        <f t="shared" si="25"/>
        <v>#VALUE!</v>
      </c>
    </row>
    <row r="395" spans="15:27" x14ac:dyDescent="0.2">
      <c r="O395" s="33">
        <v>1</v>
      </c>
      <c r="P395" s="27" t="str">
        <f>_xll.qlPeriodEquivalent(P394&amp;"+"&amp;O395&amp;"M")</f>
        <v>32Y8M</v>
      </c>
      <c r="Q395" s="28">
        <f>_xll.qlCalendarAdvance(Calendar,SettlementDate,P395,"f",,Trigger)</f>
        <v>54211</v>
      </c>
      <c r="R395" s="28">
        <f>_xll.qlInterestRateIndexValueDate(Index,Q395,Trigger)</f>
        <v>54213</v>
      </c>
      <c r="S395" s="28">
        <f>_xll.qlInterestRateIndexMaturity(Index,R395,Trigger)</f>
        <v>54245</v>
      </c>
      <c r="T395" s="30">
        <f>_xll.qlIndexFixing($M$6,Q395,,InterestRatesTrigger)</f>
        <v>1.5170179256000504E-2</v>
      </c>
      <c r="U395" s="30">
        <f>_xll.qlIndexFixing(Index,Q395,,InterestRatesTrigger)</f>
        <v>1.5168956700930825E-2</v>
      </c>
      <c r="V395" s="30">
        <f t="shared" si="24"/>
        <v>-1.2225550696798315E-6</v>
      </c>
      <c r="W395" s="29">
        <f>_xll.qlDayCounterYearFraction(DayCounter,SettlementDate,R395,,,Trigger)</f>
        <v>33.15</v>
      </c>
      <c r="X395" s="29">
        <f>_xll.qlDayCounterYearFraction(DayCounter,R395,S395)</f>
        <v>8.8888888888888892E-2</v>
      </c>
      <c r="Y395" s="29">
        <f>_xll.qlYieldTSDiscount(Currency&amp;"ON",R395)/(1+U395*X395)</f>
        <v>0.62689398969302523</v>
      </c>
      <c r="Z395" s="30" t="e">
        <f>_xll.qlTenorBasisValue(TenorBasis6M,R395,InterestRatesTrigger)</f>
        <v>#VALUE!</v>
      </c>
      <c r="AA395" s="30" t="e">
        <f t="shared" si="25"/>
        <v>#VALUE!</v>
      </c>
    </row>
    <row r="396" spans="15:27" x14ac:dyDescent="0.2">
      <c r="O396" s="33">
        <v>1</v>
      </c>
      <c r="P396" s="27" t="str">
        <f>_xll.qlPeriodEquivalent(P395&amp;"+"&amp;O396&amp;"M")</f>
        <v>32Y9M</v>
      </c>
      <c r="Q396" s="28">
        <f>_xll.qlCalendarAdvance(Calendar,SettlementDate,P396,"f",,Trigger)</f>
        <v>54241</v>
      </c>
      <c r="R396" s="28">
        <f>_xll.qlInterestRateIndexValueDate(Index,Q396,Trigger)</f>
        <v>54245</v>
      </c>
      <c r="S396" s="28">
        <f>_xll.qlInterestRateIndexMaturity(Index,R396,Trigger)</f>
        <v>54276</v>
      </c>
      <c r="T396" s="30">
        <f>_xll.qlIndexFixing($M$6,Q396,,InterestRatesTrigger)</f>
        <v>1.5174829810022867E-2</v>
      </c>
      <c r="U396" s="30">
        <f>_xll.qlIndexFixing(Index,Q396,,InterestRatesTrigger)</f>
        <v>1.5173038340691277E-2</v>
      </c>
      <c r="V396" s="30">
        <f t="shared" si="24"/>
        <v>-1.7914693315902036E-6</v>
      </c>
      <c r="W396" s="29">
        <f>_xll.qlDayCounterYearFraction(DayCounter,SettlementDate,R396,,,Trigger)</f>
        <v>33.238888888888887</v>
      </c>
      <c r="X396" s="29">
        <f>_xll.qlDayCounterYearFraction(DayCounter,R396,S396)</f>
        <v>8.611111111111111E-2</v>
      </c>
      <c r="Y396" s="29">
        <f>_xll.qlYieldTSDiscount(Currency&amp;"ON",R396)/(1+U396*X396)</f>
        <v>0.6260759114146327</v>
      </c>
      <c r="Z396" s="30" t="e">
        <f>_xll.qlTenorBasisValue(TenorBasis6M,R396,InterestRatesTrigger)</f>
        <v>#VALUE!</v>
      </c>
      <c r="AA396" s="30" t="e">
        <f t="shared" si="25"/>
        <v>#VALUE!</v>
      </c>
    </row>
    <row r="397" spans="15:27" x14ac:dyDescent="0.2">
      <c r="O397" s="33">
        <v>1</v>
      </c>
      <c r="P397" s="27" t="str">
        <f>_xll.qlPeriodEquivalent(P396&amp;"+"&amp;O397&amp;"M")</f>
        <v>32Y10M</v>
      </c>
      <c r="Q397" s="28">
        <f>_xll.qlCalendarAdvance(Calendar,SettlementDate,P397,"f",,Trigger)</f>
        <v>54273</v>
      </c>
      <c r="R397" s="28">
        <f>_xll.qlInterestRateIndexValueDate(Index,Q397,Trigger)</f>
        <v>54275</v>
      </c>
      <c r="S397" s="28">
        <f>_xll.qlInterestRateIndexMaturity(Index,R397,Trigger)</f>
        <v>54308</v>
      </c>
      <c r="T397" s="30">
        <f>_xll.qlIndexFixing($M$6,Q397,,InterestRatesTrigger)</f>
        <v>1.5179891424800151E-2</v>
      </c>
      <c r="U397" s="30">
        <f>_xll.qlIndexFixing(Index,Q397,,InterestRatesTrigger)</f>
        <v>1.5177531134228676E-2</v>
      </c>
      <c r="V397" s="30">
        <f t="shared" si="24"/>
        <v>-2.3602905714747296E-6</v>
      </c>
      <c r="W397" s="29">
        <f>_xll.qlDayCounterYearFraction(DayCounter,SettlementDate,R397,,,Trigger)</f>
        <v>33.322222222222223</v>
      </c>
      <c r="X397" s="29">
        <f>_xll.qlDayCounterYearFraction(DayCounter,R397,S397)</f>
        <v>9.166666666666666E-2</v>
      </c>
      <c r="Y397" s="29">
        <f>_xll.qlYieldTSDiscount(Currency&amp;"ON",R397)/(1+U397*X397)</f>
        <v>0.62523232339816481</v>
      </c>
      <c r="Z397" s="30" t="e">
        <f>_xll.qlTenorBasisValue(TenorBasis6M,R397,InterestRatesTrigger)</f>
        <v>#VALUE!</v>
      </c>
      <c r="AA397" s="30" t="e">
        <f t="shared" si="25"/>
        <v>#VALUE!</v>
      </c>
    </row>
    <row r="398" spans="15:27" x14ac:dyDescent="0.2">
      <c r="O398" s="33">
        <v>1</v>
      </c>
      <c r="P398" s="27" t="str">
        <f>_xll.qlPeriodEquivalent(P397&amp;"+"&amp;O398&amp;"M")</f>
        <v>32Y11M</v>
      </c>
      <c r="Q398" s="28">
        <f>_xll.qlCalendarAdvance(Calendar,SettlementDate,P398,"f",,Trigger)</f>
        <v>54303</v>
      </c>
      <c r="R398" s="28">
        <f>_xll.qlInterestRateIndexValueDate(Index,Q398,Trigger)</f>
        <v>54305</v>
      </c>
      <c r="S398" s="28">
        <f>_xll.qlInterestRateIndexMaturity(Index,R398,Trigger)</f>
        <v>54336</v>
      </c>
      <c r="T398" s="30">
        <f>_xll.qlIndexFixing($M$6,Q398,,InterestRatesTrigger)</f>
        <v>1.5182971029128181E-2</v>
      </c>
      <c r="U398" s="30">
        <f>_xll.qlIndexFixing(Index,Q398,,InterestRatesTrigger)</f>
        <v>1.5180071222779588E-2</v>
      </c>
      <c r="V398" s="30">
        <f t="shared" si="24"/>
        <v>-2.899806348592715E-6</v>
      </c>
      <c r="W398" s="29">
        <f>_xll.qlDayCounterYearFraction(DayCounter,SettlementDate,R398,,,Trigger)</f>
        <v>33.405555555555559</v>
      </c>
      <c r="X398" s="29">
        <f>_xll.qlDayCounterYearFraction(DayCounter,R398,S398)</f>
        <v>8.611111111111111E-2</v>
      </c>
      <c r="Y398" s="29">
        <f>_xll.qlYieldTSDiscount(Currency&amp;"ON",R398)/(1+U398*X398)</f>
        <v>0.62449491725240958</v>
      </c>
      <c r="Z398" s="30" t="e">
        <f>_xll.qlTenorBasisValue(TenorBasis6M,R398,InterestRatesTrigger)</f>
        <v>#VALUE!</v>
      </c>
      <c r="AA398" s="30" t="e">
        <f t="shared" si="25"/>
        <v>#VALUE!</v>
      </c>
    </row>
    <row r="399" spans="15:27" x14ac:dyDescent="0.2">
      <c r="O399" s="33">
        <v>1</v>
      </c>
      <c r="P399" s="27" t="str">
        <f>_xll.qlPeriodEquivalent(P398&amp;"+"&amp;O399&amp;"M")</f>
        <v>33Y</v>
      </c>
      <c r="Q399" s="28">
        <f>_xll.qlCalendarAdvance(Calendar,SettlementDate,P399,"f",,Trigger)</f>
        <v>54333</v>
      </c>
      <c r="R399" s="28">
        <f>_xll.qlInterestRateIndexValueDate(Index,Q399,Trigger)</f>
        <v>54337</v>
      </c>
      <c r="S399" s="28">
        <f>_xll.qlInterestRateIndexMaturity(Index,R399,Trigger)</f>
        <v>54368</v>
      </c>
      <c r="T399" s="30">
        <f>_xll.qlIndexFixing($M$6,Q399,,InterestRatesTrigger)</f>
        <v>1.5186593945920554E-2</v>
      </c>
      <c r="U399" s="30">
        <f>_xll.qlIndexFixing(Index,Q399,,InterestRatesTrigger)</f>
        <v>1.5183089559650352E-2</v>
      </c>
      <c r="V399" s="30">
        <f t="shared" si="24"/>
        <v>-3.5043862702012485E-6</v>
      </c>
      <c r="W399" s="29">
        <f>_xll.qlDayCounterYearFraction(DayCounter,SettlementDate,R399,,,Trigger)</f>
        <v>33.494444444444447</v>
      </c>
      <c r="X399" s="29">
        <f>_xll.qlDayCounterYearFraction(DayCounter,R399,S399)</f>
        <v>8.611111111111111E-2</v>
      </c>
      <c r="Y399" s="29">
        <f>_xll.qlYieldTSDiscount(Currency&amp;"ON",R399)/(1+U399*X399)</f>
        <v>0.62365305357232481</v>
      </c>
      <c r="Z399" s="30" t="e">
        <f>_xll.qlTenorBasisValue(TenorBasis6M,R399,InterestRatesTrigger)</f>
        <v>#VALUE!</v>
      </c>
      <c r="AA399" s="30" t="e">
        <f t="shared" si="25"/>
        <v>#VALUE!</v>
      </c>
    </row>
    <row r="400" spans="15:27" x14ac:dyDescent="0.2">
      <c r="O400" s="33">
        <v>1</v>
      </c>
      <c r="P400" s="27" t="str">
        <f>_xll.qlPeriodEquivalent(P399&amp;"+"&amp;O400&amp;"M")</f>
        <v>33Y1M</v>
      </c>
      <c r="Q400" s="28">
        <f>_xll.qlCalendarAdvance(Calendar,SettlementDate,P400,"f",,Trigger)</f>
        <v>54364</v>
      </c>
      <c r="R400" s="28">
        <f>_xll.qlInterestRateIndexValueDate(Index,Q400,Trigger)</f>
        <v>54366</v>
      </c>
      <c r="S400" s="28">
        <f>_xll.qlInterestRateIndexMaturity(Index,R400,Trigger)</f>
        <v>54396</v>
      </c>
      <c r="T400" s="30">
        <f>_xll.qlIndexFixing($M$6,Q400,,InterestRatesTrigger)</f>
        <v>1.5189074984340856E-2</v>
      </c>
      <c r="U400" s="30">
        <f>_xll.qlIndexFixing(Index,Q400,,InterestRatesTrigger)</f>
        <v>1.5185024278863146E-2</v>
      </c>
      <c r="V400" s="30">
        <f t="shared" si="24"/>
        <v>-4.0507054777094709E-6</v>
      </c>
      <c r="W400" s="29">
        <f>_xll.qlDayCounterYearFraction(DayCounter,SettlementDate,R400,,,Trigger)</f>
        <v>33.575000000000003</v>
      </c>
      <c r="X400" s="29">
        <f>_xll.qlDayCounterYearFraction(DayCounter,R400,S400)</f>
        <v>8.3333333333333329E-2</v>
      </c>
      <c r="Y400" s="29">
        <f>_xll.qlYieldTSDiscount(Currency&amp;"ON",R400)/(1+U400*X400)</f>
        <v>0.62291720513310223</v>
      </c>
      <c r="Z400" s="30" t="e">
        <f>_xll.qlTenorBasisValue(TenorBasis6M,R400,InterestRatesTrigger)</f>
        <v>#VALUE!</v>
      </c>
      <c r="AA400" s="30" t="e">
        <f t="shared" si="25"/>
        <v>#VALUE!</v>
      </c>
    </row>
    <row r="401" spans="15:27" x14ac:dyDescent="0.2">
      <c r="O401" s="33">
        <v>1</v>
      </c>
      <c r="P401" s="27" t="str">
        <f>_xll.qlPeriodEquivalent(P400&amp;"+"&amp;O401&amp;"M")</f>
        <v>33Y2M</v>
      </c>
      <c r="Q401" s="28">
        <f>_xll.qlCalendarAdvance(Calendar,SettlementDate,P401,"f",,Trigger)</f>
        <v>54394</v>
      </c>
      <c r="R401" s="28">
        <f>_xll.qlInterestRateIndexValueDate(Index,Q401,Trigger)</f>
        <v>54396</v>
      </c>
      <c r="S401" s="28">
        <f>_xll.qlInterestRateIndexMaturity(Index,R401,Trigger)</f>
        <v>54427</v>
      </c>
      <c r="T401" s="30">
        <f>_xll.qlIndexFixing($M$6,Q401,,InterestRatesTrigger)</f>
        <v>1.5191941067478988E-2</v>
      </c>
      <c r="U401" s="30">
        <f>_xll.qlIndexFixing(Index,Q401,,InterestRatesTrigger)</f>
        <v>1.5187296752976977E-2</v>
      </c>
      <c r="V401" s="30">
        <f t="shared" si="24"/>
        <v>-4.6443145020110682E-6</v>
      </c>
      <c r="W401" s="29">
        <f>_xll.qlDayCounterYearFraction(DayCounter,SettlementDate,R401,,,Trigger)</f>
        <v>33.658333333333331</v>
      </c>
      <c r="X401" s="29">
        <f>_xll.qlDayCounterYearFraction(DayCounter,R401,S401)</f>
        <v>8.611111111111111E-2</v>
      </c>
      <c r="Y401" s="29">
        <f>_xll.qlYieldTSDiscount(Currency&amp;"ON",R401)/(1+U401*X401)</f>
        <v>0.62210341139796732</v>
      </c>
      <c r="Z401" s="30" t="e">
        <f>_xll.qlTenorBasisValue(TenorBasis6M,R401,InterestRatesTrigger)</f>
        <v>#VALUE!</v>
      </c>
      <c r="AA401" s="30" t="e">
        <f t="shared" si="25"/>
        <v>#VALUE!</v>
      </c>
    </row>
    <row r="402" spans="15:27" x14ac:dyDescent="0.2">
      <c r="O402" s="33">
        <v>1</v>
      </c>
      <c r="P402" s="27" t="str">
        <f>_xll.qlPeriodEquivalent(P401&amp;"+"&amp;O402&amp;"M")</f>
        <v>33Y3M</v>
      </c>
      <c r="Q402" s="28">
        <f>_xll.qlCalendarAdvance(Calendar,SettlementDate,P402,"f",,Trigger)</f>
        <v>54427</v>
      </c>
      <c r="R402" s="28">
        <f>_xll.qlInterestRateIndexValueDate(Index,Q402,Trigger)</f>
        <v>54429</v>
      </c>
      <c r="S402" s="28">
        <f>_xll.qlInterestRateIndexMaturity(Index,R402,Trigger)</f>
        <v>54462</v>
      </c>
      <c r="T402" s="30">
        <f>_xll.qlIndexFixing($M$6,Q402,,InterestRatesTrigger)</f>
        <v>1.5194865569013224E-2</v>
      </c>
      <c r="U402" s="30">
        <f>_xll.qlIndexFixing(Index,Q402,,InterestRatesTrigger)</f>
        <v>1.5189548655914336E-2</v>
      </c>
      <c r="V402" s="30">
        <f t="shared" si="24"/>
        <v>-5.316913098888168E-6</v>
      </c>
      <c r="W402" s="29">
        <f>_xll.qlDayCounterYearFraction(DayCounter,SettlementDate,R402,,,Trigger)</f>
        <v>33.75</v>
      </c>
      <c r="X402" s="29">
        <f>_xll.qlDayCounterYearFraction(DayCounter,R402,S402)</f>
        <v>9.166666666666666E-2</v>
      </c>
      <c r="Y402" s="29">
        <f>_xll.qlYieldTSDiscount(Currency&amp;"ON",R402)/(1+U402*X402)</f>
        <v>0.62118576628502764</v>
      </c>
      <c r="Z402" s="30" t="e">
        <f>_xll.qlTenorBasisValue(TenorBasis6M,R402,InterestRatesTrigger)</f>
        <v>#VALUE!</v>
      </c>
      <c r="AA402" s="30" t="e">
        <f t="shared" si="25"/>
        <v>#VALUE!</v>
      </c>
    </row>
    <row r="403" spans="15:27" x14ac:dyDescent="0.2">
      <c r="O403" s="33">
        <v>1</v>
      </c>
      <c r="P403" s="27" t="str">
        <f>_xll.qlPeriodEquivalent(P402&amp;"+"&amp;O403&amp;"M")</f>
        <v>33Y4M</v>
      </c>
      <c r="Q403" s="28">
        <f>_xll.qlCalendarAdvance(Calendar,SettlementDate,P403,"f",,Trigger)</f>
        <v>54456</v>
      </c>
      <c r="R403" s="28">
        <f>_xll.qlInterestRateIndexValueDate(Index,Q403,Trigger)</f>
        <v>54458</v>
      </c>
      <c r="S403" s="28">
        <f>_xll.qlInterestRateIndexMaturity(Index,R403,Trigger)</f>
        <v>54486</v>
      </c>
      <c r="T403" s="30">
        <f>_xll.qlIndexFixing($M$6,Q403,,InterestRatesTrigger)</f>
        <v>1.5194643060918762E-2</v>
      </c>
      <c r="U403" s="30">
        <f>_xll.qlIndexFixing(Index,Q403,,InterestRatesTrigger)</f>
        <v>1.5188795759672706E-2</v>
      </c>
      <c r="V403" s="30">
        <f t="shared" si="24"/>
        <v>-5.847301246055675E-6</v>
      </c>
      <c r="W403" s="29">
        <f>_xll.qlDayCounterYearFraction(DayCounter,SettlementDate,R403,,,Trigger)</f>
        <v>33.830555555555556</v>
      </c>
      <c r="X403" s="29">
        <f>_xll.qlDayCounterYearFraction(DayCounter,R403,S403)</f>
        <v>7.7777777777777779E-2</v>
      </c>
      <c r="Y403" s="29">
        <f>_xll.qlYieldTSDiscount(Currency&amp;"ON",R403)/(1+U403*X403)</f>
        <v>0.62055718563568574</v>
      </c>
      <c r="Z403" s="30" t="e">
        <f>_xll.qlTenorBasisValue(TenorBasis6M,R403,InterestRatesTrigger)</f>
        <v>#VALUE!</v>
      </c>
      <c r="AA403" s="30" t="e">
        <f t="shared" si="25"/>
        <v>#VALUE!</v>
      </c>
    </row>
    <row r="404" spans="15:27" x14ac:dyDescent="0.2">
      <c r="O404" s="33">
        <v>1</v>
      </c>
      <c r="P404" s="27" t="str">
        <f>_xll.qlPeriodEquivalent(P403&amp;"+"&amp;O404&amp;"M")</f>
        <v>33Y5M</v>
      </c>
      <c r="Q404" s="28">
        <f>_xll.qlCalendarAdvance(Calendar,SettlementDate,P404,"f",,Trigger)</f>
        <v>54484</v>
      </c>
      <c r="R404" s="28">
        <f>_xll.qlInterestRateIndexValueDate(Index,Q404,Trigger)</f>
        <v>54486</v>
      </c>
      <c r="S404" s="28">
        <f>_xll.qlInterestRateIndexMaturity(Index,R404,Trigger)</f>
        <v>54518</v>
      </c>
      <c r="T404" s="30">
        <f>_xll.qlIndexFixing($M$6,Q404,,InterestRatesTrigger)</f>
        <v>1.5197039660955758E-2</v>
      </c>
      <c r="U404" s="30">
        <f>_xll.qlIndexFixing(Index,Q404,,InterestRatesTrigger)</f>
        <v>1.5190580881784266E-2</v>
      </c>
      <c r="V404" s="30">
        <f t="shared" si="24"/>
        <v>-6.4587791714920684E-6</v>
      </c>
      <c r="W404" s="29">
        <f>_xll.qlDayCounterYearFraction(DayCounter,SettlementDate,R404,,,Trigger)</f>
        <v>33.908333333333331</v>
      </c>
      <c r="X404" s="29">
        <f>_xll.qlDayCounterYearFraction(DayCounter,R404,S404)</f>
        <v>8.8888888888888892E-2</v>
      </c>
      <c r="Y404" s="29">
        <f>_xll.qlYieldTSDiscount(Currency&amp;"ON",R404)/(1+U404*X404)</f>
        <v>0.6197201118803547</v>
      </c>
      <c r="Z404" s="30" t="e">
        <f>_xll.qlTenorBasisValue(TenorBasis6M,R404,InterestRatesTrigger)</f>
        <v>#VALUE!</v>
      </c>
      <c r="AA404" s="30" t="e">
        <f t="shared" si="25"/>
        <v>#VALUE!</v>
      </c>
    </row>
    <row r="405" spans="15:27" x14ac:dyDescent="0.2">
      <c r="O405" s="33">
        <v>1</v>
      </c>
      <c r="P405" s="27" t="str">
        <f>_xll.qlPeriodEquivalent(P404&amp;"+"&amp;O405&amp;"M")</f>
        <v>33Y6M</v>
      </c>
      <c r="Q405" s="28">
        <f>_xll.qlCalendarAdvance(Calendar,SettlementDate,P405,"f",,Trigger)</f>
        <v>54515</v>
      </c>
      <c r="R405" s="28">
        <f>_xll.qlInterestRateIndexValueDate(Index,Q405,Trigger)</f>
        <v>54519</v>
      </c>
      <c r="S405" s="28">
        <f>_xll.qlInterestRateIndexMaturity(Index,R405,Trigger)</f>
        <v>54549</v>
      </c>
      <c r="T405" s="30">
        <f>_xll.qlIndexFixing($M$6,Q405,,InterestRatesTrigger)</f>
        <v>1.5197080739338453E-2</v>
      </c>
      <c r="U405" s="30">
        <f>_xll.qlIndexFixing(Index,Q405,,InterestRatesTrigger)</f>
        <v>1.5189961505048366E-2</v>
      </c>
      <c r="V405" s="30">
        <f t="shared" si="24"/>
        <v>-7.1192342900872063E-6</v>
      </c>
      <c r="W405" s="29">
        <f>_xll.qlDayCounterYearFraction(DayCounter,SettlementDate,R405,,,Trigger)</f>
        <v>34</v>
      </c>
      <c r="X405" s="29">
        <f>_xll.qlDayCounterYearFraction(DayCounter,R405,S405)</f>
        <v>8.3333333333333329E-2</v>
      </c>
      <c r="Y405" s="29">
        <f>_xll.qlYieldTSDiscount(Currency&amp;"ON",R405)/(1+U405*X405)</f>
        <v>0.61891017802304937</v>
      </c>
      <c r="Z405" s="30" t="e">
        <f>_xll.qlTenorBasisValue(TenorBasis6M,R405,InterestRatesTrigger)</f>
        <v>#VALUE!</v>
      </c>
      <c r="AA405" s="30" t="e">
        <f t="shared" si="25"/>
        <v>#VALUE!</v>
      </c>
    </row>
    <row r="406" spans="15:27" x14ac:dyDescent="0.2">
      <c r="O406" s="33">
        <v>1</v>
      </c>
      <c r="P406" s="27" t="str">
        <f>_xll.qlPeriodEquivalent(P405&amp;"+"&amp;O406&amp;"M")</f>
        <v>33Y7M</v>
      </c>
      <c r="Q406" s="28">
        <f>_xll.qlCalendarAdvance(Calendar,SettlementDate,P406,"f",,Trigger)</f>
        <v>54546</v>
      </c>
      <c r="R406" s="28">
        <f>_xll.qlInterestRateIndexValueDate(Index,Q406,Trigger)</f>
        <v>54548</v>
      </c>
      <c r="S406" s="28">
        <f>_xll.qlInterestRateIndexMaturity(Index,R406,Trigger)</f>
        <v>54581</v>
      </c>
      <c r="T406" s="30">
        <f>_xll.qlIndexFixing($M$6,Q406,,InterestRatesTrigger)</f>
        <v>1.5198187369208135E-2</v>
      </c>
      <c r="U406" s="30">
        <f>_xll.qlIndexFixing(Index,Q406,,InterestRatesTrigger)</f>
        <v>1.5190427228757904E-2</v>
      </c>
      <c r="V406" s="30">
        <f t="shared" si="24"/>
        <v>-7.7601404502303239E-6</v>
      </c>
      <c r="W406" s="29">
        <f>_xll.qlDayCounterYearFraction(DayCounter,SettlementDate,R406,,,Trigger)</f>
        <v>34.080555555555556</v>
      </c>
      <c r="X406" s="29">
        <f>_xll.qlDayCounterYearFraction(DayCounter,R406,S406)</f>
        <v>9.166666666666666E-2</v>
      </c>
      <c r="Y406" s="29">
        <f>_xll.qlYieldTSDiscount(Currency&amp;"ON",R406)/(1+U406*X406)</f>
        <v>0.61807527979048638</v>
      </c>
      <c r="Z406" s="30" t="e">
        <f>_xll.qlTenorBasisValue(TenorBasis6M,R406,InterestRatesTrigger)</f>
        <v>#VALUE!</v>
      </c>
      <c r="AA406" s="30" t="e">
        <f t="shared" si="25"/>
        <v>#VALUE!</v>
      </c>
    </row>
    <row r="407" spans="15:27" x14ac:dyDescent="0.2">
      <c r="O407" s="33">
        <v>1</v>
      </c>
      <c r="P407" s="27" t="str">
        <f>_xll.qlPeriodEquivalent(P406&amp;"+"&amp;O407&amp;"M")</f>
        <v>33Y8M</v>
      </c>
      <c r="Q407" s="28">
        <f>_xll.qlCalendarAdvance(Calendar,SettlementDate,P407,"f",,Trigger)</f>
        <v>54576</v>
      </c>
      <c r="R407" s="28">
        <f>_xll.qlInterestRateIndexValueDate(Index,Q407,Trigger)</f>
        <v>54578</v>
      </c>
      <c r="S407" s="28">
        <f>_xll.qlInterestRateIndexMaturity(Index,R407,Trigger)</f>
        <v>54609</v>
      </c>
      <c r="T407" s="30">
        <f>_xll.qlIndexFixing($M$6,Q407,,InterestRatesTrigger)</f>
        <v>1.5197234618745992E-2</v>
      </c>
      <c r="U407" s="30">
        <f>_xll.qlIndexFixing(Index,Q407,,InterestRatesTrigger)</f>
        <v>1.5188857806041855E-2</v>
      </c>
      <c r="V407" s="30">
        <f t="shared" si="24"/>
        <v>-8.3768127041375373E-6</v>
      </c>
      <c r="W407" s="29">
        <f>_xll.qlDayCounterYearFraction(DayCounter,SettlementDate,R407,,,Trigger)</f>
        <v>34.163888888888891</v>
      </c>
      <c r="X407" s="29">
        <f>_xll.qlDayCounterYearFraction(DayCounter,R407,S407)</f>
        <v>8.611111111111111E-2</v>
      </c>
      <c r="Y407" s="29">
        <f>_xll.qlYieldTSDiscount(Currency&amp;"ON",R407)/(1+U407*X407)</f>
        <v>0.61734562641746304</v>
      </c>
      <c r="Z407" s="30" t="e">
        <f>_xll.qlTenorBasisValue(TenorBasis6M,R407,InterestRatesTrigger)</f>
        <v>#VALUE!</v>
      </c>
      <c r="AA407" s="30" t="e">
        <f t="shared" si="25"/>
        <v>#VALUE!</v>
      </c>
    </row>
    <row r="408" spans="15:27" x14ac:dyDescent="0.2">
      <c r="O408" s="33">
        <v>1</v>
      </c>
      <c r="P408" s="27" t="str">
        <f>_xll.qlPeriodEquivalent(P407&amp;"+"&amp;O408&amp;"M")</f>
        <v>33Y9M</v>
      </c>
      <c r="Q408" s="28">
        <f>_xll.qlCalendarAdvance(Calendar,SettlementDate,P408,"f",,Trigger)</f>
        <v>54606</v>
      </c>
      <c r="R408" s="28">
        <f>_xll.qlInterestRateIndexValueDate(Index,Q408,Trigger)</f>
        <v>54610</v>
      </c>
      <c r="S408" s="28">
        <f>_xll.qlInterestRateIndexMaturity(Index,R408,Trigger)</f>
        <v>54641</v>
      </c>
      <c r="T408" s="30">
        <f>_xll.qlIndexFixing($M$6,Q408,,InterestRatesTrigger)</f>
        <v>1.5196367563531269E-2</v>
      </c>
      <c r="U408" s="30">
        <f>_xll.qlIndexFixing(Index,Q408,,InterestRatesTrigger)</f>
        <v>1.5187299192107165E-2</v>
      </c>
      <c r="V408" s="30">
        <f t="shared" si="24"/>
        <v>-9.0683714241042435E-6</v>
      </c>
      <c r="W408" s="29">
        <f>_xll.qlDayCounterYearFraction(DayCounter,SettlementDate,R408,,,Trigger)</f>
        <v>34.25277777777778</v>
      </c>
      <c r="X408" s="29">
        <f>_xll.qlDayCounterYearFraction(DayCounter,R408,S408)</f>
        <v>8.611111111111111E-2</v>
      </c>
      <c r="Y408" s="29">
        <f>_xll.qlYieldTSDiscount(Currency&amp;"ON",R408)/(1+U408*X408)</f>
        <v>0.61651286634499414</v>
      </c>
      <c r="Z408" s="30" t="e">
        <f>_xll.qlTenorBasisValue(TenorBasis6M,R408,InterestRatesTrigger)</f>
        <v>#VALUE!</v>
      </c>
      <c r="AA408" s="30" t="e">
        <f t="shared" si="25"/>
        <v>#VALUE!</v>
      </c>
    </row>
    <row r="409" spans="15:27" x14ac:dyDescent="0.2">
      <c r="O409" s="33">
        <v>1</v>
      </c>
      <c r="P409" s="27" t="str">
        <f>_xll.qlPeriodEquivalent(P408&amp;"+"&amp;O409&amp;"M")</f>
        <v>33Y10M</v>
      </c>
      <c r="Q409" s="28">
        <f>_xll.qlCalendarAdvance(Calendar,SettlementDate,P409,"f",,Trigger)</f>
        <v>54637</v>
      </c>
      <c r="R409" s="28">
        <f>_xll.qlInterestRateIndexValueDate(Index,Q409,Trigger)</f>
        <v>54639</v>
      </c>
      <c r="S409" s="28">
        <f>_xll.qlInterestRateIndexMaturity(Index,R409,Trigger)</f>
        <v>54672</v>
      </c>
      <c r="T409" s="30">
        <f>_xll.qlIndexFixing($M$6,Q409,,InterestRatesTrigger)</f>
        <v>1.5195692700314855E-2</v>
      </c>
      <c r="U409" s="30">
        <f>_xll.qlIndexFixing(Index,Q409,,InterestRatesTrigger)</f>
        <v>1.5185965150194295E-2</v>
      </c>
      <c r="V409" s="30">
        <f t="shared" si="24"/>
        <v>-9.7275501205595222E-6</v>
      </c>
      <c r="W409" s="29">
        <f>_xll.qlDayCounterYearFraction(DayCounter,SettlementDate,R409,,,Trigger)</f>
        <v>34.333333333333336</v>
      </c>
      <c r="X409" s="29">
        <f>_xll.qlDayCounterYearFraction(DayCounter,R409,S409)</f>
        <v>9.166666666666666E-2</v>
      </c>
      <c r="Y409" s="29">
        <f>_xll.qlYieldTSDiscount(Currency&amp;"ON",R409)/(1+U409*X409)</f>
        <v>0.61570730704114152</v>
      </c>
      <c r="Z409" s="30" t="e">
        <f>_xll.qlTenorBasisValue(TenorBasis6M,R409,InterestRatesTrigger)</f>
        <v>#VALUE!</v>
      </c>
      <c r="AA409" s="30" t="e">
        <f t="shared" si="25"/>
        <v>#VALUE!</v>
      </c>
    </row>
    <row r="410" spans="15:27" x14ac:dyDescent="0.2">
      <c r="O410" s="33">
        <v>1</v>
      </c>
      <c r="P410" s="27" t="str">
        <f>_xll.qlPeriodEquivalent(P409&amp;"+"&amp;O410&amp;"M")</f>
        <v>33Y11M</v>
      </c>
      <c r="Q410" s="28">
        <f>_xll.qlCalendarAdvance(Calendar,SettlementDate,P410,"f",,Trigger)</f>
        <v>54668</v>
      </c>
      <c r="R410" s="28">
        <f>_xll.qlInterestRateIndexValueDate(Index,Q410,Trigger)</f>
        <v>54672</v>
      </c>
      <c r="S410" s="28">
        <f>_xll.qlInterestRateIndexMaturity(Index,R410,Trigger)</f>
        <v>54702</v>
      </c>
      <c r="T410" s="30">
        <f>_xll.qlIndexFixing($M$6,Q410,,InterestRatesTrigger)</f>
        <v>1.519283098407076E-2</v>
      </c>
      <c r="U410" s="30">
        <f>_xll.qlIndexFixing(Index,Q410,,InterestRatesTrigger)</f>
        <v>1.5182403035941761E-2</v>
      </c>
      <c r="V410" s="30">
        <f t="shared" si="24"/>
        <v>-1.0427948128999276E-5</v>
      </c>
      <c r="W410" s="29">
        <f>_xll.qlDayCounterYearFraction(DayCounter,SettlementDate,R410,,,Trigger)</f>
        <v>34.424999999999997</v>
      </c>
      <c r="X410" s="29">
        <f>_xll.qlDayCounterYearFraction(DayCounter,R410,S410)</f>
        <v>8.3333333333333329E-2</v>
      </c>
      <c r="Y410" s="29">
        <f>_xll.qlYieldTSDiscount(Currency&amp;"ON",R410)/(1+U410*X410)</f>
        <v>0.61492875077244125</v>
      </c>
      <c r="Z410" s="30" t="e">
        <f>_xll.qlTenorBasisValue(TenorBasis6M,R410,InterestRatesTrigger)</f>
        <v>#VALUE!</v>
      </c>
      <c r="AA410" s="30" t="e">
        <f t="shared" si="25"/>
        <v>#VALUE!</v>
      </c>
    </row>
    <row r="411" spans="15:27" x14ac:dyDescent="0.2">
      <c r="O411" s="33">
        <v>1</v>
      </c>
      <c r="P411" s="27" t="str">
        <f>_xll.qlPeriodEquivalent(P410&amp;"+"&amp;O411&amp;"M")</f>
        <v>34Y</v>
      </c>
      <c r="Q411" s="28">
        <f>_xll.qlCalendarAdvance(Calendar,SettlementDate,P411,"f",,Trigger)</f>
        <v>54700</v>
      </c>
      <c r="R411" s="28">
        <f>_xll.qlInterestRateIndexValueDate(Index,Q411,Trigger)</f>
        <v>54702</v>
      </c>
      <c r="S411" s="28">
        <f>_xll.qlInterestRateIndexMaturity(Index,R411,Trigger)</f>
        <v>54735</v>
      </c>
      <c r="T411" s="30">
        <f>_xll.qlIndexFixing($M$6,Q411,,InterestRatesTrigger)</f>
        <v>1.5191339993547716E-2</v>
      </c>
      <c r="U411" s="30">
        <f>_xll.qlIndexFixing(Index,Q411,,InterestRatesTrigger)</f>
        <v>1.5180197895941949E-2</v>
      </c>
      <c r="V411" s="30">
        <f t="shared" si="24"/>
        <v>-1.1142097605767662E-5</v>
      </c>
      <c r="W411" s="29">
        <f>_xll.qlDayCounterYearFraction(DayCounter,SettlementDate,R411,,,Trigger)</f>
        <v>34.508333333333333</v>
      </c>
      <c r="X411" s="29">
        <f>_xll.qlDayCounterYearFraction(DayCounter,R411,S411)</f>
        <v>9.166666666666666E-2</v>
      </c>
      <c r="Y411" s="29">
        <f>_xll.qlYieldTSDiscount(Currency&amp;"ON",R411)/(1+U411*X411)</f>
        <v>0.61407372235347391</v>
      </c>
      <c r="Z411" s="30" t="e">
        <f>_xll.qlTenorBasisValue(TenorBasis6M,R411,InterestRatesTrigger)</f>
        <v>#VALUE!</v>
      </c>
      <c r="AA411" s="30" t="e">
        <f t="shared" si="25"/>
        <v>#VALUE!</v>
      </c>
    </row>
    <row r="412" spans="15:27" x14ac:dyDescent="0.2">
      <c r="O412" s="33">
        <v>1</v>
      </c>
      <c r="P412" s="27" t="str">
        <f>_xll.qlPeriodEquivalent(P411&amp;"+"&amp;O412&amp;"M")</f>
        <v>34Y1M</v>
      </c>
      <c r="Q412" s="28">
        <f>_xll.qlCalendarAdvance(Calendar,SettlementDate,P412,"f",,Trigger)</f>
        <v>54729</v>
      </c>
      <c r="R412" s="28">
        <f>_xll.qlInterestRateIndexValueDate(Index,Q412,Trigger)</f>
        <v>54731</v>
      </c>
      <c r="S412" s="28">
        <f>_xll.qlInterestRateIndexMaturity(Index,R412,Trigger)</f>
        <v>54763</v>
      </c>
      <c r="T412" s="30">
        <f>_xll.qlIndexFixing($M$6,Q412,,InterestRatesTrigger)</f>
        <v>1.5188333953972954E-2</v>
      </c>
      <c r="U412" s="30">
        <f>_xll.qlIndexFixing(Index,Q412,,InterestRatesTrigger)</f>
        <v>1.5176537964280423E-2</v>
      </c>
      <c r="V412" s="30">
        <f t="shared" si="24"/>
        <v>-1.1795989692531261E-5</v>
      </c>
      <c r="W412" s="29">
        <f>_xll.qlDayCounterYearFraction(DayCounter,SettlementDate,R412,,,Trigger)</f>
        <v>34.588888888888889</v>
      </c>
      <c r="X412" s="29">
        <f>_xll.qlDayCounterYearFraction(DayCounter,R412,S412)</f>
        <v>8.8888888888888892E-2</v>
      </c>
      <c r="Y412" s="29">
        <f>_xll.qlYieldTSDiscount(Currency&amp;"ON",R412)/(1+U412*X412)</f>
        <v>0.61334925110143601</v>
      </c>
      <c r="Z412" s="30" t="e">
        <f>_xll.qlTenorBasisValue(TenorBasis6M,R412,InterestRatesTrigger)</f>
        <v>#VALUE!</v>
      </c>
      <c r="AA412" s="30" t="e">
        <f t="shared" si="25"/>
        <v>#VALUE!</v>
      </c>
    </row>
    <row r="413" spans="15:27" x14ac:dyDescent="0.2">
      <c r="O413" s="33">
        <v>1</v>
      </c>
      <c r="P413" s="27" t="str">
        <f>_xll.qlPeriodEquivalent(P412&amp;"+"&amp;O413&amp;"M")</f>
        <v>34Y2M</v>
      </c>
      <c r="Q413" s="28">
        <f>_xll.qlCalendarAdvance(Calendar,SettlementDate,P413,"f",,Trigger)</f>
        <v>54759</v>
      </c>
      <c r="R413" s="28">
        <f>_xll.qlInterestRateIndexValueDate(Index,Q413,Trigger)</f>
        <v>54763</v>
      </c>
      <c r="S413" s="28">
        <f>_xll.qlInterestRateIndexMaturity(Index,R413,Trigger)</f>
        <v>54794</v>
      </c>
      <c r="T413" s="30">
        <f>_xll.qlIndexFixing($M$6,Q413,,InterestRatesTrigger)</f>
        <v>1.518451869714515E-2</v>
      </c>
      <c r="U413" s="30">
        <f>_xll.qlIndexFixing(Index,Q413,,InterestRatesTrigger)</f>
        <v>1.5171989284107739E-2</v>
      </c>
      <c r="V413" s="30">
        <f t="shared" si="24"/>
        <v>-1.2529413037410536E-5</v>
      </c>
      <c r="W413" s="29">
        <f>_xll.qlDayCounterYearFraction(DayCounter,SettlementDate,R413,,,Trigger)</f>
        <v>34.677777777777777</v>
      </c>
      <c r="X413" s="29">
        <f>_xll.qlDayCounterYearFraction(DayCounter,R413,S413)</f>
        <v>8.611111111111111E-2</v>
      </c>
      <c r="Y413" s="29">
        <f>_xll.qlYieldTSDiscount(Currency&amp;"ON",R413)/(1+U413*X413)</f>
        <v>0.61254832863800068</v>
      </c>
      <c r="Z413" s="30" t="e">
        <f>_xll.qlTenorBasisValue(TenorBasis6M,R413,InterestRatesTrigger)</f>
        <v>#VALUE!</v>
      </c>
      <c r="AA413" s="30" t="e">
        <f t="shared" si="25"/>
        <v>#VALUE!</v>
      </c>
    </row>
    <row r="414" spans="15:27" x14ac:dyDescent="0.2">
      <c r="O414" s="33">
        <v>1</v>
      </c>
      <c r="P414" s="27" t="str">
        <f>_xll.qlPeriodEquivalent(P413&amp;"+"&amp;O414&amp;"M")</f>
        <v>34Y3M</v>
      </c>
      <c r="Q414" s="28">
        <f>_xll.qlCalendarAdvance(Calendar,SettlementDate,P414,"f",,Trigger)</f>
        <v>54791</v>
      </c>
      <c r="R414" s="28">
        <f>_xll.qlInterestRateIndexValueDate(Index,Q414,Trigger)</f>
        <v>54793</v>
      </c>
      <c r="S414" s="28">
        <f>_xll.qlInterestRateIndexMaturity(Index,R414,Trigger)</f>
        <v>54826</v>
      </c>
      <c r="T414" s="30">
        <f>_xll.qlIndexFixing($M$6,Q414,,InterestRatesTrigger)</f>
        <v>1.5181170134607283E-2</v>
      </c>
      <c r="U414" s="30">
        <f>_xll.qlIndexFixing(Index,Q414,,InterestRatesTrigger)</f>
        <v>1.5167906120678866E-2</v>
      </c>
      <c r="V414" s="30">
        <f t="shared" si="24"/>
        <v>-1.326401392841639E-5</v>
      </c>
      <c r="W414" s="29">
        <f>_xll.qlDayCounterYearFraction(DayCounter,SettlementDate,R414,,,Trigger)</f>
        <v>34.761111111111113</v>
      </c>
      <c r="X414" s="29">
        <f>_xll.qlDayCounterYearFraction(DayCounter,R414,S414)</f>
        <v>9.166666666666666E-2</v>
      </c>
      <c r="Y414" s="29">
        <f>_xll.qlYieldTSDiscount(Currency&amp;"ON",R414)/(1+U414*X414)</f>
        <v>0.61172295160743806</v>
      </c>
      <c r="Z414" s="30" t="e">
        <f>_xll.qlTenorBasisValue(TenorBasis6M,R414,InterestRatesTrigger)</f>
        <v>#VALUE!</v>
      </c>
      <c r="AA414" s="30" t="e">
        <f t="shared" si="25"/>
        <v>#VALUE!</v>
      </c>
    </row>
    <row r="415" spans="15:27" x14ac:dyDescent="0.2">
      <c r="O415" s="33">
        <v>1</v>
      </c>
      <c r="P415" s="27" t="str">
        <f>_xll.qlPeriodEquivalent(P414&amp;"+"&amp;O415&amp;"M")</f>
        <v>34Y4M</v>
      </c>
      <c r="Q415" s="28">
        <f>_xll.qlCalendarAdvance(Calendar,SettlementDate,P415,"f",,Trigger)</f>
        <v>54821</v>
      </c>
      <c r="R415" s="28">
        <f>_xll.qlInterestRateIndexValueDate(Index,Q415,Trigger)</f>
        <v>54823</v>
      </c>
      <c r="S415" s="28">
        <f>_xll.qlInterestRateIndexMaturity(Index,R415,Trigger)</f>
        <v>54851</v>
      </c>
      <c r="T415" s="30">
        <f>_xll.qlIndexFixing($M$6,Q415,,InterestRatesTrigger)</f>
        <v>1.517558695168532E-2</v>
      </c>
      <c r="U415" s="30">
        <f>_xll.qlIndexFixing(Index,Q415,,InterestRatesTrigger)</f>
        <v>1.516166599232863E-2</v>
      </c>
      <c r="V415" s="30">
        <f t="shared" si="24"/>
        <v>-1.3920959356690174E-5</v>
      </c>
      <c r="W415" s="29">
        <f>_xll.qlDayCounterYearFraction(DayCounter,SettlementDate,R415,,,Trigger)</f>
        <v>34.844444444444441</v>
      </c>
      <c r="X415" s="29">
        <f>_xll.qlDayCounterYearFraction(DayCounter,R415,S415)</f>
        <v>7.7777777777777779E-2</v>
      </c>
      <c r="Y415" s="29">
        <f>_xll.qlYieldTSDiscount(Currency&amp;"ON",R415)/(1+U415*X415)</f>
        <v>0.61107892896250915</v>
      </c>
      <c r="Z415" s="30" t="e">
        <f>_xll.qlTenorBasisValue(TenorBasis6M,R415,InterestRatesTrigger)</f>
        <v>#VALUE!</v>
      </c>
      <c r="AA415" s="30" t="e">
        <f t="shared" si="25"/>
        <v>#VALUE!</v>
      </c>
    </row>
    <row r="416" spans="15:27" x14ac:dyDescent="0.2">
      <c r="O416" s="33">
        <v>1</v>
      </c>
      <c r="P416" s="27" t="str">
        <f>_xll.qlPeriodEquivalent(P415&amp;"+"&amp;O416&amp;"M")</f>
        <v>34Y5M</v>
      </c>
      <c r="Q416" s="28">
        <f>_xll.qlCalendarAdvance(Calendar,SettlementDate,P416,"f",,Trigger)</f>
        <v>54849</v>
      </c>
      <c r="R416" s="28">
        <f>_xll.qlInterestRateIndexValueDate(Index,Q416,Trigger)</f>
        <v>54851</v>
      </c>
      <c r="S416" s="28">
        <f>_xll.qlInterestRateIndexMaturity(Index,R416,Trigger)</f>
        <v>54882</v>
      </c>
      <c r="T416" s="30">
        <f>_xll.qlIndexFixing($M$6,Q416,,InterestRatesTrigger)</f>
        <v>1.5171780043611843E-2</v>
      </c>
      <c r="U416" s="30">
        <f>_xll.qlIndexFixing(Index,Q416,,InterestRatesTrigger)</f>
        <v>1.5157139369674132E-2</v>
      </c>
      <c r="V416" s="30">
        <f t="shared" si="24"/>
        <v>-1.4640673937710985E-5</v>
      </c>
      <c r="W416" s="29">
        <f>_xll.qlDayCounterYearFraction(DayCounter,SettlementDate,R416,,,Trigger)</f>
        <v>34.922222222222224</v>
      </c>
      <c r="X416" s="29">
        <f>_xll.qlDayCounterYearFraction(DayCounter,R416,S416)</f>
        <v>8.611111111111111E-2</v>
      </c>
      <c r="Y416" s="29">
        <f>_xll.qlYieldTSDiscount(Currency&amp;"ON",R416)/(1+U416*X416)</f>
        <v>0.61028172954073256</v>
      </c>
      <c r="Z416" s="30" t="e">
        <f>_xll.qlTenorBasisValue(TenorBasis6M,R416,InterestRatesTrigger)</f>
        <v>#VALUE!</v>
      </c>
      <c r="AA416" s="30" t="e">
        <f t="shared" si="25"/>
        <v>#VALUE!</v>
      </c>
    </row>
    <row r="417" spans="15:27" x14ac:dyDescent="0.2">
      <c r="O417" s="33">
        <v>1</v>
      </c>
      <c r="P417" s="27" t="str">
        <f>_xll.qlPeriodEquivalent(P416&amp;"+"&amp;O417&amp;"M")</f>
        <v>34Y6M</v>
      </c>
      <c r="Q417" s="28">
        <f>_xll.qlCalendarAdvance(Calendar,SettlementDate,P417,"f",,Trigger)</f>
        <v>54882</v>
      </c>
      <c r="R417" s="28">
        <f>_xll.qlInterestRateIndexValueDate(Index,Q417,Trigger)</f>
        <v>54884</v>
      </c>
      <c r="S417" s="28">
        <f>_xll.qlInterestRateIndexMaturity(Index,R417,Trigger)</f>
        <v>54914</v>
      </c>
      <c r="T417" s="30">
        <f>_xll.qlIndexFixing($M$6,Q417,,InterestRatesTrigger)</f>
        <v>1.516563565863116E-2</v>
      </c>
      <c r="U417" s="30">
        <f>_xll.qlIndexFixing(Index,Q417,,InterestRatesTrigger)</f>
        <v>1.5150192778296656E-2</v>
      </c>
      <c r="V417" s="30">
        <f t="shared" si="24"/>
        <v>-1.5442880334504139E-5</v>
      </c>
      <c r="W417" s="29">
        <f>_xll.qlDayCounterYearFraction(DayCounter,SettlementDate,R417,,,Trigger)</f>
        <v>35.013888888888886</v>
      </c>
      <c r="X417" s="29">
        <f>_xll.qlDayCounterYearFraction(DayCounter,R417,S417)</f>
        <v>8.3333333333333329E-2</v>
      </c>
      <c r="Y417" s="29">
        <f>_xll.qlYieldTSDiscount(Currency&amp;"ON",R417)/(1+U417*X417)</f>
        <v>0.60946011421990942</v>
      </c>
      <c r="Z417" s="30" t="e">
        <f>_xll.qlTenorBasisValue(TenorBasis6M,R417,InterestRatesTrigger)</f>
        <v>#VALUE!</v>
      </c>
      <c r="AA417" s="30" t="e">
        <f t="shared" si="25"/>
        <v>#VALUE!</v>
      </c>
    </row>
    <row r="418" spans="15:27" x14ac:dyDescent="0.2">
      <c r="O418" s="33">
        <v>1</v>
      </c>
      <c r="P418" s="27" t="str">
        <f>_xll.qlPeriodEquivalent(P417&amp;"+"&amp;O418&amp;"M")</f>
        <v>34Y7M</v>
      </c>
      <c r="Q418" s="28">
        <f>_xll.qlCalendarAdvance(Calendar,SettlementDate,P418,"f",,Trigger)</f>
        <v>54910</v>
      </c>
      <c r="R418" s="28">
        <f>_xll.qlInterestRateIndexValueDate(Index,Q418,Trigger)</f>
        <v>54912</v>
      </c>
      <c r="S418" s="28">
        <f>_xll.qlInterestRateIndexMaturity(Index,R418,Trigger)</f>
        <v>54945</v>
      </c>
      <c r="T418" s="30">
        <f>_xll.qlIndexFixing($M$6,Q418,,InterestRatesTrigger)</f>
        <v>1.5160768637998827E-2</v>
      </c>
      <c r="U418" s="30">
        <f>_xll.qlIndexFixing(Index,Q418,,InterestRatesTrigger)</f>
        <v>1.5144583831689122E-2</v>
      </c>
      <c r="V418" s="30">
        <f t="shared" si="24"/>
        <v>-1.6184806309705452E-5</v>
      </c>
      <c r="W418" s="29">
        <f>_xll.qlDayCounterYearFraction(DayCounter,SettlementDate,R418,,,Trigger)</f>
        <v>35.091666666666669</v>
      </c>
      <c r="X418" s="29">
        <f>_xll.qlDayCounterYearFraction(DayCounter,R418,S418)</f>
        <v>9.166666666666666E-2</v>
      </c>
      <c r="Y418" s="29">
        <f>_xll.qlYieldTSDiscount(Currency&amp;"ON",R418)/(1+U418*X418)</f>
        <v>0.6086656584384863</v>
      </c>
      <c r="Z418" s="30" t="e">
        <f>_xll.qlTenorBasisValue(TenorBasis6M,R418,InterestRatesTrigger)</f>
        <v>#VALUE!</v>
      </c>
      <c r="AA418" s="30" t="e">
        <f t="shared" si="25"/>
        <v>#VALUE!</v>
      </c>
    </row>
    <row r="419" spans="15:27" x14ac:dyDescent="0.2">
      <c r="O419" s="33">
        <v>1</v>
      </c>
      <c r="P419" s="27" t="str">
        <f>_xll.qlPeriodEquivalent(P418&amp;"+"&amp;O419&amp;"M")</f>
        <v>34Y8M</v>
      </c>
      <c r="Q419" s="28">
        <f>_xll.qlCalendarAdvance(Calendar,SettlementDate,P419,"f",,Trigger)</f>
        <v>54941</v>
      </c>
      <c r="R419" s="28">
        <f>_xll.qlInterestRateIndexValueDate(Index,Q419,Trigger)</f>
        <v>54945</v>
      </c>
      <c r="S419" s="28">
        <f>_xll.qlInterestRateIndexMaturity(Index,R419,Trigger)</f>
        <v>54975</v>
      </c>
      <c r="T419" s="30">
        <f>_xll.qlIndexFixing($M$6,Q419,,InterestRatesTrigger)</f>
        <v>1.5153039129467416E-2</v>
      </c>
      <c r="U419" s="30">
        <f>_xll.qlIndexFixing(Index,Q419,,InterestRatesTrigger)</f>
        <v>1.5136054767057594E-2</v>
      </c>
      <c r="V419" s="30">
        <f t="shared" si="24"/>
        <v>-1.698436240982204E-5</v>
      </c>
      <c r="W419" s="29">
        <f>_xll.qlDayCounterYearFraction(DayCounter,SettlementDate,R419,,,Trigger)</f>
        <v>35.18333333333333</v>
      </c>
      <c r="X419" s="29">
        <f>_xll.qlDayCounterYearFraction(DayCounter,R419,S419)</f>
        <v>8.3333333333333329E-2</v>
      </c>
      <c r="Y419" s="29">
        <f>_xll.qlYieldTSDiscount(Currency&amp;"ON",R419)/(1+U419*X419)</f>
        <v>0.60789799189608185</v>
      </c>
      <c r="Z419" s="30" t="e">
        <f>_xll.qlTenorBasisValue(TenorBasis6M,R419,InterestRatesTrigger)</f>
        <v>#VALUE!</v>
      </c>
      <c r="AA419" s="30" t="e">
        <f t="shared" si="25"/>
        <v>#VALUE!</v>
      </c>
    </row>
    <row r="420" spans="15:27" x14ac:dyDescent="0.2">
      <c r="O420" s="33">
        <v>1</v>
      </c>
      <c r="P420" s="27" t="str">
        <f>_xll.qlPeriodEquivalent(P419&amp;"+"&amp;O420&amp;"M")</f>
        <v>34Y9M</v>
      </c>
      <c r="Q420" s="28">
        <f>_xll.qlCalendarAdvance(Calendar,SettlementDate,P420,"f",,Trigger)</f>
        <v>54973</v>
      </c>
      <c r="R420" s="28">
        <f>_xll.qlInterestRateIndexValueDate(Index,Q420,Trigger)</f>
        <v>54975</v>
      </c>
      <c r="S420" s="28">
        <f>_xll.qlInterestRateIndexMaturity(Index,R420,Trigger)</f>
        <v>55008</v>
      </c>
      <c r="T420" s="30">
        <f>_xll.qlIndexFixing($M$6,Q420,,InterestRatesTrigger)</f>
        <v>1.5146626992989874E-2</v>
      </c>
      <c r="U420" s="30">
        <f>_xll.qlIndexFixing(Index,Q420,,InterestRatesTrigger)</f>
        <v>1.5128826303538937E-2</v>
      </c>
      <c r="V420" s="30">
        <f t="shared" ref="V420:V483" si="26">U420-T420</f>
        <v>-1.7800689450937421E-5</v>
      </c>
      <c r="W420" s="29">
        <f>_xll.qlDayCounterYearFraction(DayCounter,SettlementDate,R420,,,Trigger)</f>
        <v>35.266666666666666</v>
      </c>
      <c r="X420" s="29">
        <f>_xll.qlDayCounterYearFraction(DayCounter,R420,S420)</f>
        <v>9.166666666666666E-2</v>
      </c>
      <c r="Y420" s="29">
        <f>_xll.qlYieldTSDiscount(Currency&amp;"ON",R420)/(1+U420*X420)</f>
        <v>0.6070552628352891</v>
      </c>
      <c r="Z420" s="30" t="e">
        <f>_xll.qlTenorBasisValue(TenorBasis6M,R420,InterestRatesTrigger)</f>
        <v>#VALUE!</v>
      </c>
      <c r="AA420" s="30" t="e">
        <f t="shared" ref="AA420:AA483" si="27">V420-Z420</f>
        <v>#VALUE!</v>
      </c>
    </row>
    <row r="421" spans="15:27" x14ac:dyDescent="0.2">
      <c r="O421" s="33">
        <v>1</v>
      </c>
      <c r="P421" s="27" t="str">
        <f>_xll.qlPeriodEquivalent(P420&amp;"+"&amp;O421&amp;"M")</f>
        <v>34Y10M</v>
      </c>
      <c r="Q421" s="28">
        <f>_xll.qlCalendarAdvance(Calendar,SettlementDate,P421,"f",,Trigger)</f>
        <v>55002</v>
      </c>
      <c r="R421" s="28">
        <f>_xll.qlInterestRateIndexValueDate(Index,Q421,Trigger)</f>
        <v>55004</v>
      </c>
      <c r="S421" s="28">
        <f>_xll.qlInterestRateIndexMaturity(Index,R421,Trigger)</f>
        <v>55036</v>
      </c>
      <c r="T421" s="30">
        <f>_xll.qlIndexFixing($M$6,Q421,,InterestRatesTrigger)</f>
        <v>1.5139138806669616E-2</v>
      </c>
      <c r="U421" s="30">
        <f>_xll.qlIndexFixing(Index,Q421,,InterestRatesTrigger)</f>
        <v>1.5120591654303184E-2</v>
      </c>
      <c r="V421" s="30">
        <f t="shared" si="26"/>
        <v>-1.8547152366432673E-5</v>
      </c>
      <c r="W421" s="29">
        <f>_xll.qlDayCounterYearFraction(DayCounter,SettlementDate,R421,,,Trigger)</f>
        <v>35.347222222222221</v>
      </c>
      <c r="X421" s="29">
        <f>_xll.qlDayCounterYearFraction(DayCounter,R421,S421)</f>
        <v>8.8888888888888892E-2</v>
      </c>
      <c r="Y421" s="29">
        <f>_xll.qlYieldTSDiscount(Currency&amp;"ON",R421)/(1+U421*X421)</f>
        <v>0.60634139738463977</v>
      </c>
      <c r="Z421" s="30" t="e">
        <f>_xll.qlTenorBasisValue(TenorBasis6M,R421,InterestRatesTrigger)</f>
        <v>#VALUE!</v>
      </c>
      <c r="AA421" s="30" t="e">
        <f t="shared" si="27"/>
        <v>#VALUE!</v>
      </c>
    </row>
    <row r="422" spans="15:27" x14ac:dyDescent="0.2">
      <c r="O422" s="33">
        <v>1</v>
      </c>
      <c r="P422" s="27" t="str">
        <f>_xll.qlPeriodEquivalent(P421&amp;"+"&amp;O422&amp;"M")</f>
        <v>34Y11M</v>
      </c>
      <c r="Q422" s="28">
        <f>_xll.qlCalendarAdvance(Calendar,SettlementDate,P422,"f",,Trigger)</f>
        <v>55033</v>
      </c>
      <c r="R422" s="28">
        <f>_xll.qlInterestRateIndexValueDate(Index,Q422,Trigger)</f>
        <v>55037</v>
      </c>
      <c r="S422" s="28">
        <f>_xll.qlInterestRateIndexMaturity(Index,R422,Trigger)</f>
        <v>55067</v>
      </c>
      <c r="T422" s="30">
        <f>_xll.qlIndexFixing($M$6,Q422,,InterestRatesTrigger)</f>
        <v>1.5129873289711604E-2</v>
      </c>
      <c r="U422" s="30">
        <f>_xll.qlIndexFixing(Index,Q422,,InterestRatesTrigger)</f>
        <v>1.5110476534562878E-2</v>
      </c>
      <c r="V422" s="30">
        <f t="shared" si="26"/>
        <v>-1.9396755148726186E-5</v>
      </c>
      <c r="W422" s="29">
        <f>_xll.qlDayCounterYearFraction(DayCounter,SettlementDate,R422,,,Trigger)</f>
        <v>35.43888888888889</v>
      </c>
      <c r="X422" s="29">
        <f>_xll.qlDayCounterYearFraction(DayCounter,R422,S422)</f>
        <v>8.3333333333333329E-2</v>
      </c>
      <c r="Y422" s="29">
        <f>_xll.qlYieldTSDiscount(Currency&amp;"ON",R422)/(1+U422*X422)</f>
        <v>0.60555241009409766</v>
      </c>
      <c r="Z422" s="30" t="e">
        <f>_xll.qlTenorBasisValue(TenorBasis6M,R422,InterestRatesTrigger)</f>
        <v>#VALUE!</v>
      </c>
      <c r="AA422" s="30" t="e">
        <f t="shared" si="27"/>
        <v>#VALUE!</v>
      </c>
    </row>
    <row r="423" spans="15:27" x14ac:dyDescent="0.2">
      <c r="O423" s="33">
        <v>1</v>
      </c>
      <c r="P423" s="27" t="str">
        <f>_xll.qlPeriodEquivalent(P422&amp;"+"&amp;O423&amp;"M")</f>
        <v>35Y</v>
      </c>
      <c r="Q423" s="28">
        <f>_xll.qlCalendarAdvance(Calendar,SettlementDate,P423,"f",,Trigger)</f>
        <v>55064</v>
      </c>
      <c r="R423" s="28">
        <f>_xll.qlInterestRateIndexValueDate(Index,Q423,Trigger)</f>
        <v>55066</v>
      </c>
      <c r="S423" s="28">
        <f>_xll.qlInterestRateIndexMaturity(Index,R423,Trigger)</f>
        <v>55099</v>
      </c>
      <c r="T423" s="30">
        <f>_xll.qlIndexFixing($M$6,Q423,,InterestRatesTrigger)</f>
        <v>1.5122016592409407E-2</v>
      </c>
      <c r="U423" s="30">
        <f>_xll.qlIndexFixing(Index,Q423,,InterestRatesTrigger)</f>
        <v>1.5101793624827666E-2</v>
      </c>
      <c r="V423" s="30">
        <f t="shared" si="26"/>
        <v>-2.022296758174072E-5</v>
      </c>
      <c r="W423" s="29">
        <f>_xll.qlDayCounterYearFraction(DayCounter,SettlementDate,R423,,,Trigger)</f>
        <v>35.519444444444446</v>
      </c>
      <c r="X423" s="29">
        <f>_xll.qlDayCounterYearFraction(DayCounter,R423,S423)</f>
        <v>9.166666666666666E-2</v>
      </c>
      <c r="Y423" s="29">
        <f>_xll.qlYieldTSDiscount(Currency&amp;"ON",R423)/(1+U423*X423)</f>
        <v>0.60473969994694265</v>
      </c>
      <c r="Z423" s="30" t="e">
        <f>_xll.qlTenorBasisValue(TenorBasis6M,R423,InterestRatesTrigger)</f>
        <v>#VALUE!</v>
      </c>
      <c r="AA423" s="30" t="e">
        <f t="shared" si="27"/>
        <v>#VALUE!</v>
      </c>
    </row>
    <row r="424" spans="15:27" x14ac:dyDescent="0.2">
      <c r="O424" s="33">
        <v>1</v>
      </c>
      <c r="P424" s="27" t="str">
        <f>_xll.qlPeriodEquivalent(P423&amp;"+"&amp;O424&amp;"M")</f>
        <v>35Y1M</v>
      </c>
      <c r="Q424" s="28">
        <f>_xll.qlCalendarAdvance(Calendar,SettlementDate,P424,"f",,Trigger)</f>
        <v>55094</v>
      </c>
      <c r="R424" s="28">
        <f>_xll.qlInterestRateIndexValueDate(Index,Q424,Trigger)</f>
        <v>55096</v>
      </c>
      <c r="S424" s="28">
        <f>_xll.qlInterestRateIndexMaturity(Index,R424,Trigger)</f>
        <v>55127</v>
      </c>
      <c r="T424" s="30">
        <f>_xll.qlIndexFixing($M$6,Q424,,InterestRatesTrigger)</f>
        <v>1.5112487265830043E-2</v>
      </c>
      <c r="U424" s="30">
        <f>_xll.qlIndexFixing(Index,Q424,,InterestRatesTrigger)</f>
        <v>1.5091471758018652E-2</v>
      </c>
      <c r="V424" s="30">
        <f t="shared" si="26"/>
        <v>-2.1015507811391124E-5</v>
      </c>
      <c r="W424" s="29">
        <f>_xll.qlDayCounterYearFraction(DayCounter,SettlementDate,R424,,,Trigger)</f>
        <v>35.602777777777774</v>
      </c>
      <c r="X424" s="29">
        <f>_xll.qlDayCounterYearFraction(DayCounter,R424,S424)</f>
        <v>8.611111111111111E-2</v>
      </c>
      <c r="Y424" s="29">
        <f>_xll.qlYieldTSDiscount(Currency&amp;"ON",R424)/(1+U424*X424)</f>
        <v>0.60402975411353987</v>
      </c>
      <c r="Z424" s="30" t="e">
        <f>_xll.qlTenorBasisValue(TenorBasis6M,R424,InterestRatesTrigger)</f>
        <v>#VALUE!</v>
      </c>
      <c r="AA424" s="30" t="e">
        <f t="shared" si="27"/>
        <v>#VALUE!</v>
      </c>
    </row>
    <row r="425" spans="15:27" x14ac:dyDescent="0.2">
      <c r="O425" s="33">
        <v>1</v>
      </c>
      <c r="P425" s="27" t="str">
        <f>_xll.qlPeriodEquivalent(P424&amp;"+"&amp;O425&amp;"M")</f>
        <v>35Y2M</v>
      </c>
      <c r="Q425" s="28">
        <f>_xll.qlCalendarAdvance(Calendar,SettlementDate,P425,"f",,Trigger)</f>
        <v>55124</v>
      </c>
      <c r="R425" s="28">
        <f>_xll.qlInterestRateIndexValueDate(Index,Q425,Trigger)</f>
        <v>55128</v>
      </c>
      <c r="S425" s="28">
        <f>_xll.qlInterestRateIndexMaturity(Index,R425,Trigger)</f>
        <v>55159</v>
      </c>
      <c r="T425" s="30">
        <f>_xll.qlIndexFixing($M$6,Q425,,InterestRatesTrigger)</f>
        <v>1.5102069312171585E-2</v>
      </c>
      <c r="U425" s="30">
        <f>_xll.qlIndexFixing(Index,Q425,,InterestRatesTrigger)</f>
        <v>1.5080164497164568E-2</v>
      </c>
      <c r="V425" s="30">
        <f t="shared" si="26"/>
        <v>-2.1904815007016409E-5</v>
      </c>
      <c r="W425" s="29">
        <f>_xll.qlDayCounterYearFraction(DayCounter,SettlementDate,R425,,,Trigger)</f>
        <v>35.69166666666667</v>
      </c>
      <c r="X425" s="29">
        <f>_xll.qlDayCounterYearFraction(DayCounter,R425,S425)</f>
        <v>8.611111111111111E-2</v>
      </c>
      <c r="Y425" s="29">
        <f>_xll.qlYieldTSDiscount(Currency&amp;"ON",R425)/(1+U425*X425)</f>
        <v>0.60322000817513699</v>
      </c>
      <c r="Z425" s="30" t="e">
        <f>_xll.qlTenorBasisValue(TenorBasis6M,R425,InterestRatesTrigger)</f>
        <v>#VALUE!</v>
      </c>
      <c r="AA425" s="30" t="e">
        <f t="shared" si="27"/>
        <v>#VALUE!</v>
      </c>
    </row>
    <row r="426" spans="15:27" x14ac:dyDescent="0.2">
      <c r="O426" s="33">
        <v>1</v>
      </c>
      <c r="P426" s="27" t="str">
        <f>_xll.qlPeriodEquivalent(P425&amp;"+"&amp;O426&amp;"M")</f>
        <v>35Y3M</v>
      </c>
      <c r="Q426" s="28">
        <f>_xll.qlCalendarAdvance(Calendar,SettlementDate,P426,"f",,Trigger)</f>
        <v>55155</v>
      </c>
      <c r="R426" s="28">
        <f>_xll.qlInterestRateIndexValueDate(Index,Q426,Trigger)</f>
        <v>55157</v>
      </c>
      <c r="S426" s="28">
        <f>_xll.qlInterestRateIndexMaturity(Index,R426,Trigger)</f>
        <v>55190</v>
      </c>
      <c r="T426" s="30">
        <f>_xll.qlIndexFixing($M$6,Q426,,InterestRatesTrigger)</f>
        <v>1.5092355572427447E-2</v>
      </c>
      <c r="U426" s="30">
        <f>_xll.qlIndexFixing(Index,Q426,,InterestRatesTrigger)</f>
        <v>1.5069602687857075E-2</v>
      </c>
      <c r="V426" s="30">
        <f t="shared" si="26"/>
        <v>-2.2752884570372695E-5</v>
      </c>
      <c r="W426" s="29">
        <f>_xll.qlDayCounterYearFraction(DayCounter,SettlementDate,R426,,,Trigger)</f>
        <v>35.772222222222226</v>
      </c>
      <c r="X426" s="29">
        <f>_xll.qlDayCounterYearFraction(DayCounter,R426,S426)</f>
        <v>9.166666666666666E-2</v>
      </c>
      <c r="Y426" s="29">
        <f>_xll.qlYieldTSDiscount(Currency&amp;"ON",R426)/(1+U426*X426)</f>
        <v>0.60243724004799348</v>
      </c>
      <c r="Z426" s="30" t="e">
        <f>_xll.qlTenorBasisValue(TenorBasis6M,R426,InterestRatesTrigger)</f>
        <v>#VALUE!</v>
      </c>
      <c r="AA426" s="30" t="e">
        <f t="shared" si="27"/>
        <v>#VALUE!</v>
      </c>
    </row>
    <row r="427" spans="15:27" x14ac:dyDescent="0.2">
      <c r="O427" s="33">
        <v>1</v>
      </c>
      <c r="P427" s="27" t="str">
        <f>_xll.qlPeriodEquivalent(P426&amp;"+"&amp;O427&amp;"M")</f>
        <v>35Y4M</v>
      </c>
      <c r="Q427" s="28">
        <f>_xll.qlCalendarAdvance(Calendar,SettlementDate,P427,"f",,Trigger)</f>
        <v>55186</v>
      </c>
      <c r="R427" s="28">
        <f>_xll.qlInterestRateIndexValueDate(Index,Q427,Trigger)</f>
        <v>55190</v>
      </c>
      <c r="S427" s="28">
        <f>_xll.qlInterestRateIndexMaturity(Index,R427,Trigger)</f>
        <v>55218</v>
      </c>
      <c r="T427" s="30">
        <f>_xll.qlIndexFixing($M$6,Q427,,InterestRatesTrigger)</f>
        <v>1.5079692873056137E-2</v>
      </c>
      <c r="U427" s="30">
        <f>_xll.qlIndexFixing(Index,Q427,,InterestRatesTrigger)</f>
        <v>1.5056072424210714E-2</v>
      </c>
      <c r="V427" s="30">
        <f t="shared" si="26"/>
        <v>-2.3620448845422873E-5</v>
      </c>
      <c r="W427" s="29">
        <f>_xll.qlDayCounterYearFraction(DayCounter,SettlementDate,R427,,,Trigger)</f>
        <v>35.863888888888887</v>
      </c>
      <c r="X427" s="29">
        <f>_xll.qlDayCounterYearFraction(DayCounter,R427,S427)</f>
        <v>7.7777777777777779E-2</v>
      </c>
      <c r="Y427" s="29">
        <f>_xll.qlYieldTSDiscount(Currency&amp;"ON",R427)/(1+U427*X427)</f>
        <v>0.60173134113012872</v>
      </c>
      <c r="Z427" s="30" t="e">
        <f>_xll.qlTenorBasisValue(TenorBasis6M,R427,InterestRatesTrigger)</f>
        <v>#VALUE!</v>
      </c>
      <c r="AA427" s="30" t="e">
        <f t="shared" si="27"/>
        <v>#VALUE!</v>
      </c>
    </row>
    <row r="428" spans="15:27" x14ac:dyDescent="0.2">
      <c r="O428" s="33">
        <v>1</v>
      </c>
      <c r="P428" s="27" t="str">
        <f>_xll.qlPeriodEquivalent(P427&amp;"+"&amp;O428&amp;"M")</f>
        <v>35Y5M</v>
      </c>
      <c r="Q428" s="28">
        <f>_xll.qlCalendarAdvance(Calendar,SettlementDate,P428,"f",,Trigger)</f>
        <v>55214</v>
      </c>
      <c r="R428" s="28">
        <f>_xll.qlInterestRateIndexValueDate(Index,Q428,Trigger)</f>
        <v>55218</v>
      </c>
      <c r="S428" s="28">
        <f>_xll.qlInterestRateIndexMaturity(Index,R428,Trigger)</f>
        <v>55249</v>
      </c>
      <c r="T428" s="30">
        <f>_xll.qlIndexFixing($M$6,Q428,,InterestRatesTrigger)</f>
        <v>1.5069351348161274E-2</v>
      </c>
      <c r="U428" s="30">
        <f>_xll.qlIndexFixing(Index,Q428,,InterestRatesTrigger)</f>
        <v>1.5044871801500567E-2</v>
      </c>
      <c r="V428" s="30">
        <f t="shared" si="26"/>
        <v>-2.4479546660707147E-5</v>
      </c>
      <c r="W428" s="29">
        <f>_xll.qlDayCounterYearFraction(DayCounter,SettlementDate,R428,,,Trigger)</f>
        <v>35.94166666666667</v>
      </c>
      <c r="X428" s="29">
        <f>_xll.qlDayCounterYearFraction(DayCounter,R428,S428)</f>
        <v>8.611111111111111E-2</v>
      </c>
      <c r="Y428" s="29">
        <f>_xll.qlYieldTSDiscount(Currency&amp;"ON",R428)/(1+U428*X428)</f>
        <v>0.60095168564252732</v>
      </c>
      <c r="Z428" s="30" t="e">
        <f>_xll.qlTenorBasisValue(TenorBasis6M,R428,InterestRatesTrigger)</f>
        <v>#VALUE!</v>
      </c>
      <c r="AA428" s="30" t="e">
        <f t="shared" si="27"/>
        <v>#VALUE!</v>
      </c>
    </row>
    <row r="429" spans="15:27" x14ac:dyDescent="0.2">
      <c r="O429" s="33">
        <v>1</v>
      </c>
      <c r="P429" s="27" t="str">
        <f>_xll.qlPeriodEquivalent(P428&amp;"+"&amp;O429&amp;"M")</f>
        <v>35Y6M</v>
      </c>
      <c r="Q429" s="28">
        <f>_xll.qlCalendarAdvance(Calendar,SettlementDate,P429,"f",,Trigger)</f>
        <v>55247</v>
      </c>
      <c r="R429" s="28">
        <f>_xll.qlInterestRateIndexValueDate(Index,Q429,Trigger)</f>
        <v>55249</v>
      </c>
      <c r="S429" s="28">
        <f>_xll.qlInterestRateIndexMaturity(Index,R429,Trigger)</f>
        <v>55281</v>
      </c>
      <c r="T429" s="30">
        <f>_xll.qlIndexFixing($M$6,Q429,,InterestRatesTrigger)</f>
        <v>1.5057006506793424E-2</v>
      </c>
      <c r="U429" s="30">
        <f>_xll.qlIndexFixing(Index,Q429,,InterestRatesTrigger)</f>
        <v>1.5031598579388905E-2</v>
      </c>
      <c r="V429" s="30">
        <f t="shared" si="26"/>
        <v>-2.5407927404519359E-5</v>
      </c>
      <c r="W429" s="29">
        <f>_xll.qlDayCounterYearFraction(DayCounter,SettlementDate,R429,,,Trigger)</f>
        <v>36.027777777777779</v>
      </c>
      <c r="X429" s="29">
        <f>_xll.qlDayCounterYearFraction(DayCounter,R429,S429)</f>
        <v>8.8888888888888892E-2</v>
      </c>
      <c r="Y429" s="29">
        <f>_xll.qlYieldTSDiscount(Currency&amp;"ON",R429)/(1+U429*X429)</f>
        <v>0.60014853677772051</v>
      </c>
      <c r="Z429" s="30" t="e">
        <f>_xll.qlTenorBasisValue(TenorBasis6M,R429,InterestRatesTrigger)</f>
        <v>#VALUE!</v>
      </c>
      <c r="AA429" s="30" t="e">
        <f t="shared" si="27"/>
        <v>#VALUE!</v>
      </c>
    </row>
    <row r="430" spans="15:27" x14ac:dyDescent="0.2">
      <c r="O430" s="33">
        <v>1</v>
      </c>
      <c r="P430" s="27" t="str">
        <f>_xll.qlPeriodEquivalent(P429&amp;"+"&amp;O430&amp;"M")</f>
        <v>35Y7M</v>
      </c>
      <c r="Q430" s="28">
        <f>_xll.qlCalendarAdvance(Calendar,SettlementDate,P430,"f",,Trigger)</f>
        <v>55275</v>
      </c>
      <c r="R430" s="28">
        <f>_xll.qlInterestRateIndexValueDate(Index,Q430,Trigger)</f>
        <v>55277</v>
      </c>
      <c r="S430" s="28">
        <f>_xll.qlInterestRateIndexMaturity(Index,R430,Trigger)</f>
        <v>55309</v>
      </c>
      <c r="T430" s="30">
        <f>_xll.qlIndexFixing($M$6,Q430,,InterestRatesTrigger)</f>
        <v>1.5045222769287658E-2</v>
      </c>
      <c r="U430" s="30">
        <f>_xll.qlIndexFixing(Index,Q430,,InterestRatesTrigger)</f>
        <v>1.5018978975674391E-2</v>
      </c>
      <c r="V430" s="30">
        <f t="shared" si="26"/>
        <v>-2.6243793613267563E-5</v>
      </c>
      <c r="W430" s="29">
        <f>_xll.qlDayCounterYearFraction(DayCounter,SettlementDate,R430,,,Trigger)</f>
        <v>36.105555555555554</v>
      </c>
      <c r="X430" s="29">
        <f>_xll.qlDayCounterYearFraction(DayCounter,R430,S430)</f>
        <v>8.8888888888888892E-2</v>
      </c>
      <c r="Y430" s="29">
        <f>_xll.qlYieldTSDiscount(Currency&amp;"ON",R430)/(1+U430*X430)</f>
        <v>0.59944721620903452</v>
      </c>
      <c r="Z430" s="30" t="e">
        <f>_xll.qlTenorBasisValue(TenorBasis6M,R430,InterestRatesTrigger)</f>
        <v>#VALUE!</v>
      </c>
      <c r="AA430" s="30" t="e">
        <f t="shared" si="27"/>
        <v>#VALUE!</v>
      </c>
    </row>
    <row r="431" spans="15:27" x14ac:dyDescent="0.2">
      <c r="O431" s="33">
        <v>1</v>
      </c>
      <c r="P431" s="27" t="str">
        <f>_xll.qlPeriodEquivalent(P430&amp;"+"&amp;O431&amp;"M")</f>
        <v>35Y8M</v>
      </c>
      <c r="Q431" s="28">
        <f>_xll.qlCalendarAdvance(Calendar,SettlementDate,P431,"f",,Trigger)</f>
        <v>55306</v>
      </c>
      <c r="R431" s="28">
        <f>_xll.qlInterestRateIndexValueDate(Index,Q431,Trigger)</f>
        <v>55310</v>
      </c>
      <c r="S431" s="28">
        <f>_xll.qlInterestRateIndexMaturity(Index,R431,Trigger)</f>
        <v>55340</v>
      </c>
      <c r="T431" s="30">
        <f>_xll.qlIndexFixing($M$6,Q431,,InterestRatesTrigger)</f>
        <v>1.5030514217016844E-2</v>
      </c>
      <c r="U431" s="30">
        <f>_xll.qlIndexFixing(Index,Q431,,InterestRatesTrigger)</f>
        <v>1.5003303997821682E-2</v>
      </c>
      <c r="V431" s="30">
        <f t="shared" si="26"/>
        <v>-2.7210219195161756E-5</v>
      </c>
      <c r="W431" s="29">
        <f>_xll.qlDayCounterYearFraction(DayCounter,SettlementDate,R431,,,Trigger)</f>
        <v>36.197222222222223</v>
      </c>
      <c r="X431" s="29">
        <f>_xll.qlDayCounterYearFraction(DayCounter,R431,S431)</f>
        <v>8.3333333333333329E-2</v>
      </c>
      <c r="Y431" s="29">
        <f>_xll.qlYieldTSDiscount(Currency&amp;"ON",R431)/(1+U431*X431)</f>
        <v>0.59867229144053891</v>
      </c>
      <c r="Z431" s="30" t="e">
        <f>_xll.qlTenorBasisValue(TenorBasis6M,R431,InterestRatesTrigger)</f>
        <v>#VALUE!</v>
      </c>
      <c r="AA431" s="30" t="e">
        <f t="shared" si="27"/>
        <v>#VALUE!</v>
      </c>
    </row>
    <row r="432" spans="15:27" x14ac:dyDescent="0.2">
      <c r="O432" s="33">
        <v>1</v>
      </c>
      <c r="P432" s="27" t="str">
        <f>_xll.qlPeriodEquivalent(P431&amp;"+"&amp;O432&amp;"M")</f>
        <v>35Y9M</v>
      </c>
      <c r="Q432" s="28">
        <f>_xll.qlCalendarAdvance(Calendar,SettlementDate,P432,"f",,Trigger)</f>
        <v>55337</v>
      </c>
      <c r="R432" s="28">
        <f>_xll.qlInterestRateIndexValueDate(Index,Q432,Trigger)</f>
        <v>55339</v>
      </c>
      <c r="S432" s="28">
        <f>_xll.qlInterestRateIndexMaturity(Index,R432,Trigger)</f>
        <v>55372</v>
      </c>
      <c r="T432" s="30">
        <f>_xll.qlIndexFixing($M$6,Q432,,InterestRatesTrigger)</f>
        <v>1.501740752472003E-2</v>
      </c>
      <c r="U432" s="30">
        <f>_xll.qlIndexFixing(Index,Q432,,InterestRatesTrigger)</f>
        <v>1.4989256856496882E-2</v>
      </c>
      <c r="V432" s="30">
        <f t="shared" si="26"/>
        <v>-2.8150668223148045E-5</v>
      </c>
      <c r="W432" s="29">
        <f>_xll.qlDayCounterYearFraction(DayCounter,SettlementDate,R432,,,Trigger)</f>
        <v>36.277777777777779</v>
      </c>
      <c r="X432" s="29">
        <f>_xll.qlDayCounterYearFraction(DayCounter,R432,S432)</f>
        <v>9.166666666666666E-2</v>
      </c>
      <c r="Y432" s="29">
        <f>_xll.qlYieldTSDiscount(Currency&amp;"ON",R432)/(1+U432*X432)</f>
        <v>0.59787441642109629</v>
      </c>
      <c r="Z432" s="30" t="e">
        <f>_xll.qlTenorBasisValue(TenorBasis6M,R432,InterestRatesTrigger)</f>
        <v>#VALUE!</v>
      </c>
      <c r="AA432" s="30" t="e">
        <f t="shared" si="27"/>
        <v>#VALUE!</v>
      </c>
    </row>
    <row r="433" spans="15:27" x14ac:dyDescent="0.2">
      <c r="O433" s="33">
        <v>1</v>
      </c>
      <c r="P433" s="27" t="str">
        <f>_xll.qlPeriodEquivalent(P432&amp;"+"&amp;O433&amp;"M")</f>
        <v>35Y10M</v>
      </c>
      <c r="Q433" s="28">
        <f>_xll.qlCalendarAdvance(Calendar,SettlementDate,P433,"f",,Trigger)</f>
        <v>55367</v>
      </c>
      <c r="R433" s="28">
        <f>_xll.qlInterestRateIndexValueDate(Index,Q433,Trigger)</f>
        <v>55369</v>
      </c>
      <c r="S433" s="28">
        <f>_xll.qlInterestRateIndexMaturity(Index,R433,Trigger)</f>
        <v>55400</v>
      </c>
      <c r="T433" s="30">
        <f>_xll.qlIndexFixing($M$6,Q433,,InterestRatesTrigger)</f>
        <v>1.5002870932960034E-2</v>
      </c>
      <c r="U433" s="30">
        <f>_xll.qlIndexFixing(Index,Q433,,InterestRatesTrigger)</f>
        <v>1.4973819517843897E-2</v>
      </c>
      <c r="V433" s="30">
        <f t="shared" si="26"/>
        <v>-2.9051415116136334E-5</v>
      </c>
      <c r="W433" s="29">
        <f>_xll.qlDayCounterYearFraction(DayCounter,SettlementDate,R433,,,Trigger)</f>
        <v>36.361111111111114</v>
      </c>
      <c r="X433" s="29">
        <f>_xll.qlDayCounterYearFraction(DayCounter,R433,S433)</f>
        <v>8.611111111111111E-2</v>
      </c>
      <c r="Y433" s="29">
        <f>_xll.qlYieldTSDiscount(Currency&amp;"ON",R433)/(1+U433*X433)</f>
        <v>0.59717760636366057</v>
      </c>
      <c r="Z433" s="30" t="e">
        <f>_xll.qlTenorBasisValue(TenorBasis6M,R433,InterestRatesTrigger)</f>
        <v>#VALUE!</v>
      </c>
      <c r="AA433" s="30" t="e">
        <f t="shared" si="27"/>
        <v>#VALUE!</v>
      </c>
    </row>
    <row r="434" spans="15:27" x14ac:dyDescent="0.2">
      <c r="O434" s="33">
        <v>1</v>
      </c>
      <c r="P434" s="27" t="str">
        <f>_xll.qlPeriodEquivalent(P433&amp;"+"&amp;O434&amp;"M")</f>
        <v>35Y11M</v>
      </c>
      <c r="Q434" s="28">
        <f>_xll.qlCalendarAdvance(Calendar,SettlementDate,P434,"f",,Trigger)</f>
        <v>55400</v>
      </c>
      <c r="R434" s="28">
        <f>_xll.qlInterestRateIndexValueDate(Index,Q434,Trigger)</f>
        <v>55402</v>
      </c>
      <c r="S434" s="28">
        <f>_xll.qlInterestRateIndexMaturity(Index,R434,Trigger)</f>
        <v>55432</v>
      </c>
      <c r="T434" s="30">
        <f>_xll.qlIndexFixing($M$6,Q434,,InterestRatesTrigger)</f>
        <v>1.498631049348198E-2</v>
      </c>
      <c r="U434" s="30">
        <f>_xll.qlIndexFixing(Index,Q434,,InterestRatesTrigger)</f>
        <v>1.4956233694340071E-2</v>
      </c>
      <c r="V434" s="30">
        <f t="shared" si="26"/>
        <v>-3.0076799141909305E-5</v>
      </c>
      <c r="W434" s="29">
        <f>_xll.qlDayCounterYearFraction(DayCounter,SettlementDate,R434,,,Trigger)</f>
        <v>36.452777777777776</v>
      </c>
      <c r="X434" s="29">
        <f>_xll.qlDayCounterYearFraction(DayCounter,R434,S434)</f>
        <v>8.3333333333333329E-2</v>
      </c>
      <c r="Y434" s="29">
        <f>_xll.qlYieldTSDiscount(Currency&amp;"ON",R434)/(1+U434*X434)</f>
        <v>0.5963830975665606</v>
      </c>
      <c r="Z434" s="30" t="e">
        <f>_xll.qlTenorBasisValue(TenorBasis6M,R434,InterestRatesTrigger)</f>
        <v>#VALUE!</v>
      </c>
      <c r="AA434" s="30" t="e">
        <f t="shared" si="27"/>
        <v>#VALUE!</v>
      </c>
    </row>
    <row r="435" spans="15:27" x14ac:dyDescent="0.2">
      <c r="O435" s="33">
        <v>1</v>
      </c>
      <c r="P435" s="27" t="str">
        <f>_xll.qlPeriodEquivalent(P434&amp;"+"&amp;O435&amp;"M")</f>
        <v>36Y</v>
      </c>
      <c r="Q435" s="28">
        <f>_xll.qlCalendarAdvance(Calendar,SettlementDate,P435,"f",,Trigger)</f>
        <v>55428</v>
      </c>
      <c r="R435" s="28">
        <f>_xll.qlInterestRateIndexValueDate(Index,Q435,Trigger)</f>
        <v>55430</v>
      </c>
      <c r="S435" s="28">
        <f>_xll.qlInterestRateIndexMaturity(Index,R435,Trigger)</f>
        <v>55463</v>
      </c>
      <c r="T435" s="30">
        <f>_xll.qlIndexFixing($M$6,Q435,,InterestRatesTrigger)</f>
        <v>1.4971883444641067E-2</v>
      </c>
      <c r="U435" s="30">
        <f>_xll.qlIndexFixing(Index,Q435,,InterestRatesTrigger)</f>
        <v>1.4940857394424807E-2</v>
      </c>
      <c r="V435" s="30">
        <f t="shared" si="26"/>
        <v>-3.102605021625994E-5</v>
      </c>
      <c r="W435" s="29">
        <f>_xll.qlDayCounterYearFraction(DayCounter,SettlementDate,R435,,,Trigger)</f>
        <v>36.530555555555559</v>
      </c>
      <c r="X435" s="29">
        <f>_xll.qlDayCounterYearFraction(DayCounter,R435,S435)</f>
        <v>9.166666666666666E-2</v>
      </c>
      <c r="Y435" s="29">
        <f>_xll.qlYieldTSDiscount(Currency&amp;"ON",R435)/(1+U435*X435)</f>
        <v>0.59561546286838429</v>
      </c>
      <c r="Z435" s="30" t="e">
        <f>_xll.qlTenorBasisValue(TenorBasis6M,R435,InterestRatesTrigger)</f>
        <v>#VALUE!</v>
      </c>
      <c r="AA435" s="30" t="e">
        <f t="shared" si="27"/>
        <v>#VALUE!</v>
      </c>
    </row>
    <row r="436" spans="15:27" x14ac:dyDescent="0.2">
      <c r="O436" s="33">
        <v>1</v>
      </c>
      <c r="P436" s="27" t="str">
        <f>_xll.qlPeriodEquivalent(P435&amp;"+"&amp;O436&amp;"M")</f>
        <v>36Y1M</v>
      </c>
      <c r="Q436" s="28">
        <f>_xll.qlCalendarAdvance(Calendar,SettlementDate,P436,"f",,Trigger)</f>
        <v>55459</v>
      </c>
      <c r="R436" s="28">
        <f>_xll.qlInterestRateIndexValueDate(Index,Q436,Trigger)</f>
        <v>55463</v>
      </c>
      <c r="S436" s="28">
        <f>_xll.qlInterestRateIndexMaturity(Index,R436,Trigger)</f>
        <v>55493</v>
      </c>
      <c r="T436" s="30">
        <f>_xll.qlIndexFixing($M$6,Q436,,InterestRatesTrigger)</f>
        <v>1.4953917824452212E-2</v>
      </c>
      <c r="U436" s="30">
        <f>_xll.qlIndexFixing(Index,Q436,,InterestRatesTrigger)</f>
        <v>1.4921872164734395E-2</v>
      </c>
      <c r="V436" s="30">
        <f t="shared" si="26"/>
        <v>-3.2045659717816477E-5</v>
      </c>
      <c r="W436" s="29">
        <f>_xll.qlDayCounterYearFraction(DayCounter,SettlementDate,R436,,,Trigger)</f>
        <v>36.62222222222222</v>
      </c>
      <c r="X436" s="29">
        <f>_xll.qlDayCounterYearFraction(DayCounter,R436,S436)</f>
        <v>8.3333333333333329E-2</v>
      </c>
      <c r="Y436" s="29">
        <f>_xll.qlYieldTSDiscount(Currency&amp;"ON",R436)/(1+U436*X436)</f>
        <v>0.59487405168102359</v>
      </c>
      <c r="Z436" s="30" t="e">
        <f>_xll.qlTenorBasisValue(TenorBasis6M,R436,InterestRatesTrigger)</f>
        <v>#VALUE!</v>
      </c>
      <c r="AA436" s="30" t="e">
        <f t="shared" si="27"/>
        <v>#VALUE!</v>
      </c>
    </row>
    <row r="437" spans="15:27" x14ac:dyDescent="0.2">
      <c r="O437" s="33">
        <v>1</v>
      </c>
      <c r="P437" s="27" t="str">
        <f>_xll.qlPeriodEquivalent(P436&amp;"+"&amp;O437&amp;"M")</f>
        <v>36Y2M</v>
      </c>
      <c r="Q437" s="28">
        <f>_xll.qlCalendarAdvance(Calendar,SettlementDate,P437,"f",,Trigger)</f>
        <v>55491</v>
      </c>
      <c r="R437" s="28">
        <f>_xll.qlInterestRateIndexValueDate(Index,Q437,Trigger)</f>
        <v>55493</v>
      </c>
      <c r="S437" s="28">
        <f>_xll.qlInterestRateIndexMaturity(Index,R437,Trigger)</f>
        <v>55526</v>
      </c>
      <c r="T437" s="30">
        <f>_xll.qlIndexFixing($M$6,Q437,,InterestRatesTrigger)</f>
        <v>1.4937137517640022E-2</v>
      </c>
      <c r="U437" s="30">
        <f>_xll.qlIndexFixing(Index,Q437,,InterestRatesTrigger)</f>
        <v>1.4904049184429689E-2</v>
      </c>
      <c r="V437" s="30">
        <f t="shared" si="26"/>
        <v>-3.3088333210333151E-5</v>
      </c>
      <c r="W437" s="29">
        <f>_xll.qlDayCounterYearFraction(DayCounter,SettlementDate,R437,,,Trigger)</f>
        <v>36.705555555555556</v>
      </c>
      <c r="X437" s="29">
        <f>_xll.qlDayCounterYearFraction(DayCounter,R437,S437)</f>
        <v>9.166666666666666E-2</v>
      </c>
      <c r="Y437" s="29">
        <f>_xll.qlYieldTSDiscount(Currency&amp;"ON",R437)/(1+U437*X437)</f>
        <v>0.59406085644347628</v>
      </c>
      <c r="Z437" s="30" t="e">
        <f>_xll.qlTenorBasisValue(TenorBasis6M,R437,InterestRatesTrigger)</f>
        <v>#VALUE!</v>
      </c>
      <c r="AA437" s="30" t="e">
        <f t="shared" si="27"/>
        <v>#VALUE!</v>
      </c>
    </row>
    <row r="438" spans="15:27" x14ac:dyDescent="0.2">
      <c r="O438" s="33">
        <v>1</v>
      </c>
      <c r="P438" s="27" t="str">
        <f>_xll.qlPeriodEquivalent(P437&amp;"+"&amp;O438&amp;"M")</f>
        <v>36Y3M</v>
      </c>
      <c r="Q438" s="28">
        <f>_xll.qlCalendarAdvance(Calendar,SettlementDate,P438,"f",,Trigger)</f>
        <v>55520</v>
      </c>
      <c r="R438" s="28">
        <f>_xll.qlInterestRateIndexValueDate(Index,Q438,Trigger)</f>
        <v>55522</v>
      </c>
      <c r="S438" s="28">
        <f>_xll.qlInterestRateIndexMaturity(Index,R438,Trigger)</f>
        <v>55554</v>
      </c>
      <c r="T438" s="30">
        <f>_xll.qlIndexFixing($M$6,Q438,,InterestRatesTrigger)</f>
        <v>1.4920231466757083E-2</v>
      </c>
      <c r="U438" s="30">
        <f>_xll.qlIndexFixing(Index,Q438,,InterestRatesTrigger)</f>
        <v>1.4886191996119902E-2</v>
      </c>
      <c r="V438" s="30">
        <f t="shared" si="26"/>
        <v>-3.4039470637181601E-5</v>
      </c>
      <c r="W438" s="29">
        <f>_xll.qlDayCounterYearFraction(DayCounter,SettlementDate,R438,,,Trigger)</f>
        <v>36.786111111111111</v>
      </c>
      <c r="X438" s="29">
        <f>_xll.qlDayCounterYearFraction(DayCounter,R438,S438)</f>
        <v>8.8888888888888892E-2</v>
      </c>
      <c r="Y438" s="29">
        <f>_xll.qlYieldTSDiscount(Currency&amp;"ON",R438)/(1+U438*X438)</f>
        <v>0.59337237722767922</v>
      </c>
      <c r="Z438" s="30" t="e">
        <f>_xll.qlTenorBasisValue(TenorBasis6M,R438,InterestRatesTrigger)</f>
        <v>#VALUE!</v>
      </c>
      <c r="AA438" s="30" t="e">
        <f t="shared" si="27"/>
        <v>#VALUE!</v>
      </c>
    </row>
    <row r="439" spans="15:27" x14ac:dyDescent="0.2">
      <c r="O439" s="33">
        <v>1</v>
      </c>
      <c r="P439" s="27" t="str">
        <f>_xll.qlPeriodEquivalent(P438&amp;"+"&amp;O439&amp;"M")</f>
        <v>36Y4M</v>
      </c>
      <c r="Q439" s="28">
        <f>_xll.qlCalendarAdvance(Calendar,SettlementDate,P439,"f",,Trigger)</f>
        <v>55551</v>
      </c>
      <c r="R439" s="28">
        <f>_xll.qlInterestRateIndexValueDate(Index,Q439,Trigger)</f>
        <v>55555</v>
      </c>
      <c r="S439" s="28">
        <f>_xll.qlInterestRateIndexMaturity(Index,R439,Trigger)</f>
        <v>55584</v>
      </c>
      <c r="T439" s="30">
        <f>_xll.qlIndexFixing($M$6,Q439,,InterestRatesTrigger)</f>
        <v>1.490032245116346E-2</v>
      </c>
      <c r="U439" s="30">
        <f>_xll.qlIndexFixing(Index,Q439,,InterestRatesTrigger)</f>
        <v>1.4865220198285274E-2</v>
      </c>
      <c r="V439" s="30">
        <f t="shared" si="26"/>
        <v>-3.5102252878185802E-5</v>
      </c>
      <c r="W439" s="29">
        <f>_xll.qlDayCounterYearFraction(DayCounter,SettlementDate,R439,,,Trigger)</f>
        <v>36.87777777777778</v>
      </c>
      <c r="X439" s="29">
        <f>_xll.qlDayCounterYearFraction(DayCounter,R439,S439)</f>
        <v>8.0555555555555561E-2</v>
      </c>
      <c r="Y439" s="29">
        <f>_xll.qlYieldTSDiscount(Currency&amp;"ON",R439)/(1+U439*X439)</f>
        <v>0.59263635705564</v>
      </c>
      <c r="Z439" s="30" t="e">
        <f>_xll.qlTenorBasisValue(TenorBasis6M,R439,InterestRatesTrigger)</f>
        <v>#VALUE!</v>
      </c>
      <c r="AA439" s="30" t="e">
        <f t="shared" si="27"/>
        <v>#VALUE!</v>
      </c>
    </row>
    <row r="440" spans="15:27" x14ac:dyDescent="0.2">
      <c r="O440" s="33">
        <v>1</v>
      </c>
      <c r="P440" s="27" t="str">
        <f>_xll.qlPeriodEquivalent(P439&amp;"+"&amp;O440&amp;"M")</f>
        <v>36Y5M</v>
      </c>
      <c r="Q440" s="28">
        <f>_xll.qlCalendarAdvance(Calendar,SettlementDate,P440,"f",,Trigger)</f>
        <v>55582</v>
      </c>
      <c r="R440" s="28">
        <f>_xll.qlInterestRateIndexValueDate(Index,Q440,Trigger)</f>
        <v>55584</v>
      </c>
      <c r="S440" s="28">
        <f>_xll.qlInterestRateIndexMaturity(Index,R440,Trigger)</f>
        <v>55617</v>
      </c>
      <c r="T440" s="30">
        <f>_xll.qlIndexFixing($M$6,Q440,,InterestRatesTrigger)</f>
        <v>1.4882194487909315E-2</v>
      </c>
      <c r="U440" s="30">
        <f>_xll.qlIndexFixing(Index,Q440,,InterestRatesTrigger)</f>
        <v>1.4846020977787464E-2</v>
      </c>
      <c r="V440" s="30">
        <f t="shared" si="26"/>
        <v>-3.6173510121851465E-5</v>
      </c>
      <c r="W440" s="29">
        <f>_xll.qlDayCounterYearFraction(DayCounter,SettlementDate,R440,,,Trigger)</f>
        <v>36.958333333333336</v>
      </c>
      <c r="X440" s="29">
        <f>_xll.qlDayCounterYearFraction(DayCounter,R440,S440)</f>
        <v>9.166666666666666E-2</v>
      </c>
      <c r="Y440" s="29">
        <f>_xll.qlYieldTSDiscount(Currency&amp;"ON",R440)/(1+U440*X440)</f>
        <v>0.59182927154793485</v>
      </c>
      <c r="Z440" s="30" t="e">
        <f>_xll.qlTenorBasisValue(TenorBasis6M,R440,InterestRatesTrigger)</f>
        <v>#VALUE!</v>
      </c>
      <c r="AA440" s="30" t="e">
        <f t="shared" si="27"/>
        <v>#VALUE!</v>
      </c>
    </row>
    <row r="441" spans="15:27" x14ac:dyDescent="0.2">
      <c r="O441" s="33">
        <v>1</v>
      </c>
      <c r="P441" s="27" t="str">
        <f>_xll.qlPeriodEquivalent(P440&amp;"+"&amp;O441&amp;"M")</f>
        <v>36Y6M</v>
      </c>
      <c r="Q441" s="28">
        <f>_xll.qlCalendarAdvance(Calendar,SettlementDate,P441,"f",,Trigger)</f>
        <v>55611</v>
      </c>
      <c r="R441" s="28">
        <f>_xll.qlInterestRateIndexValueDate(Index,Q441,Trigger)</f>
        <v>55613</v>
      </c>
      <c r="S441" s="28">
        <f>_xll.qlInterestRateIndexMaturity(Index,R441,Trigger)</f>
        <v>55645</v>
      </c>
      <c r="T441" s="30">
        <f>_xll.qlIndexFixing($M$6,Q441,,InterestRatesTrigger)</f>
        <v>1.486351048916229E-2</v>
      </c>
      <c r="U441" s="30">
        <f>_xll.qlIndexFixing(Index,Q441,,InterestRatesTrigger)</f>
        <v>1.482634596082999E-2</v>
      </c>
      <c r="V441" s="30">
        <f t="shared" si="26"/>
        <v>-3.7164528332300772E-5</v>
      </c>
      <c r="W441" s="29">
        <f>_xll.qlDayCounterYearFraction(DayCounter,SettlementDate,R441,,,Trigger)</f>
        <v>37.038888888888891</v>
      </c>
      <c r="X441" s="29">
        <f>_xll.qlDayCounterYearFraction(DayCounter,R441,S441)</f>
        <v>8.8888888888888892E-2</v>
      </c>
      <c r="Y441" s="29">
        <f>_xll.qlYieldTSDiscount(Currency&amp;"ON",R441)/(1+U441*X441)</f>
        <v>0.59114598585460398</v>
      </c>
      <c r="Z441" s="30" t="e">
        <f>_xll.qlTenorBasisValue(TenorBasis6M,R441,InterestRatesTrigger)</f>
        <v>#VALUE!</v>
      </c>
      <c r="AA441" s="30" t="e">
        <f t="shared" si="27"/>
        <v>#VALUE!</v>
      </c>
    </row>
    <row r="442" spans="15:27" x14ac:dyDescent="0.2">
      <c r="O442" s="33">
        <v>1</v>
      </c>
      <c r="P442" s="27" t="str">
        <f>_xll.qlPeriodEquivalent(P441&amp;"+"&amp;O442&amp;"M")</f>
        <v>36Y7M</v>
      </c>
      <c r="Q442" s="28">
        <f>_xll.qlCalendarAdvance(Calendar,SettlementDate,P442,"f",,Trigger)</f>
        <v>55641</v>
      </c>
      <c r="R442" s="28">
        <f>_xll.qlInterestRateIndexValueDate(Index,Q442,Trigger)</f>
        <v>55645</v>
      </c>
      <c r="S442" s="28">
        <f>_xll.qlInterestRateIndexMaturity(Index,R442,Trigger)</f>
        <v>55676</v>
      </c>
      <c r="T442" s="30">
        <f>_xll.qlIndexFixing($M$6,Q442,,InterestRatesTrigger)</f>
        <v>1.4842235815878509E-2</v>
      </c>
      <c r="U442" s="30">
        <f>_xll.qlIndexFixing(Index,Q442,,InterestRatesTrigger)</f>
        <v>1.4803961009519353E-2</v>
      </c>
      <c r="V442" s="30">
        <f t="shared" si="26"/>
        <v>-3.827480635915613E-5</v>
      </c>
      <c r="W442" s="29">
        <f>_xll.qlDayCounterYearFraction(DayCounter,SettlementDate,R442,,,Trigger)</f>
        <v>37.12777777777778</v>
      </c>
      <c r="X442" s="29">
        <f>_xll.qlDayCounterYearFraction(DayCounter,R442,S442)</f>
        <v>8.611111111111111E-2</v>
      </c>
      <c r="Y442" s="29">
        <f>_xll.qlYieldTSDiscount(Currency&amp;"ON",R442)/(1+U442*X442)</f>
        <v>0.5903914131411766</v>
      </c>
      <c r="Z442" s="30" t="e">
        <f>_xll.qlTenorBasisValue(TenorBasis6M,R442,InterestRatesTrigger)</f>
        <v>#VALUE!</v>
      </c>
      <c r="AA442" s="30" t="e">
        <f t="shared" si="27"/>
        <v>#VALUE!</v>
      </c>
    </row>
    <row r="443" spans="15:27" x14ac:dyDescent="0.2">
      <c r="O443" s="33">
        <v>1</v>
      </c>
      <c r="P443" s="27" t="str">
        <f>_xll.qlPeriodEquivalent(P442&amp;"+"&amp;O443&amp;"M")</f>
        <v>36Y8M</v>
      </c>
      <c r="Q443" s="28">
        <f>_xll.qlCalendarAdvance(Calendar,SettlementDate,P443,"f",,Trigger)</f>
        <v>55673</v>
      </c>
      <c r="R443" s="28">
        <f>_xll.qlInterestRateIndexValueDate(Index,Q443,Trigger)</f>
        <v>55675</v>
      </c>
      <c r="S443" s="28">
        <f>_xll.qlInterestRateIndexMaturity(Index,R443,Trigger)</f>
        <v>55705</v>
      </c>
      <c r="T443" s="30">
        <f>_xll.qlIndexFixing($M$6,Q443,,InterestRatesTrigger)</f>
        <v>1.4821663825563824E-2</v>
      </c>
      <c r="U443" s="30">
        <f>_xll.qlIndexFixing(Index,Q443,,InterestRatesTrigger)</f>
        <v>1.4782335134753133E-2</v>
      </c>
      <c r="V443" s="30">
        <f t="shared" si="26"/>
        <v>-3.9328690810691569E-5</v>
      </c>
      <c r="W443" s="29">
        <f>_xll.qlDayCounterYearFraction(DayCounter,SettlementDate,R443,,,Trigger)</f>
        <v>37.211111111111109</v>
      </c>
      <c r="X443" s="29">
        <f>_xll.qlDayCounterYearFraction(DayCounter,R443,S443)</f>
        <v>8.3333333333333329E-2</v>
      </c>
      <c r="Y443" s="29">
        <f>_xll.qlYieldTSDiscount(Currency&amp;"ON",R443)/(1+U443*X443)</f>
        <v>0.58968736582247971</v>
      </c>
      <c r="Z443" s="30" t="e">
        <f>_xll.qlTenorBasisValue(TenorBasis6M,R443,InterestRatesTrigger)</f>
        <v>#VALUE!</v>
      </c>
      <c r="AA443" s="30" t="e">
        <f t="shared" si="27"/>
        <v>#VALUE!</v>
      </c>
    </row>
    <row r="444" spans="15:27" x14ac:dyDescent="0.2">
      <c r="O444" s="33">
        <v>1</v>
      </c>
      <c r="P444" s="27" t="str">
        <f>_xll.qlPeriodEquivalent(P443&amp;"+"&amp;O444&amp;"M")</f>
        <v>36Y9M</v>
      </c>
      <c r="Q444" s="28">
        <f>_xll.qlCalendarAdvance(Calendar,SettlementDate,P444,"f",,Trigger)</f>
        <v>55702</v>
      </c>
      <c r="R444" s="28">
        <f>_xll.qlInterestRateIndexValueDate(Index,Q444,Trigger)</f>
        <v>55704</v>
      </c>
      <c r="S444" s="28">
        <f>_xll.qlInterestRateIndexMaturity(Index,R444,Trigger)</f>
        <v>55736</v>
      </c>
      <c r="T444" s="30">
        <f>_xll.qlIndexFixing($M$6,Q444,,InterestRatesTrigger)</f>
        <v>1.4801027374247711E-2</v>
      </c>
      <c r="U444" s="30">
        <f>_xll.qlIndexFixing(Index,Q444,,InterestRatesTrigger)</f>
        <v>1.4760607589843211E-2</v>
      </c>
      <c r="V444" s="30">
        <f t="shared" si="26"/>
        <v>-4.0419784404499559E-5</v>
      </c>
      <c r="W444" s="29">
        <f>_xll.qlDayCounterYearFraction(DayCounter,SettlementDate,R444,,,Trigger)</f>
        <v>37.291666666666664</v>
      </c>
      <c r="X444" s="29">
        <f>_xll.qlDayCounterYearFraction(DayCounter,R444,S444)</f>
        <v>8.8888888888888892E-2</v>
      </c>
      <c r="Y444" s="29">
        <f>_xll.qlYieldTSDiscount(Currency&amp;"ON",R444)/(1+U444*X444)</f>
        <v>0.58893696546868401</v>
      </c>
      <c r="Z444" s="30" t="e">
        <f>_xll.qlTenorBasisValue(TenorBasis6M,R444,InterestRatesTrigger)</f>
        <v>#VALUE!</v>
      </c>
      <c r="AA444" s="30" t="e">
        <f t="shared" si="27"/>
        <v>#VALUE!</v>
      </c>
    </row>
    <row r="445" spans="15:27" x14ac:dyDescent="0.2">
      <c r="O445" s="33">
        <v>1</v>
      </c>
      <c r="P445" s="27" t="str">
        <f>_xll.qlPeriodEquivalent(P444&amp;"+"&amp;O445&amp;"M")</f>
        <v>36Y10M</v>
      </c>
      <c r="Q445" s="28">
        <f>_xll.qlCalendarAdvance(Calendar,SettlementDate,P445,"f",,Trigger)</f>
        <v>55733</v>
      </c>
      <c r="R445" s="28">
        <f>_xll.qlInterestRateIndexValueDate(Index,Q445,Trigger)</f>
        <v>55737</v>
      </c>
      <c r="S445" s="28">
        <f>_xll.qlInterestRateIndexMaturity(Index,R445,Trigger)</f>
        <v>55768</v>
      </c>
      <c r="T445" s="30">
        <f>_xll.qlIndexFixing($M$6,Q445,,InterestRatesTrigger)</f>
        <v>1.4776991704598442E-2</v>
      </c>
      <c r="U445" s="30">
        <f>_xll.qlIndexFixing(Index,Q445,,InterestRatesTrigger)</f>
        <v>1.4735378808050504E-2</v>
      </c>
      <c r="V445" s="30">
        <f t="shared" si="26"/>
        <v>-4.1612896547938219E-5</v>
      </c>
      <c r="W445" s="29">
        <f>_xll.qlDayCounterYearFraction(DayCounter,SettlementDate,R445,,,Trigger)</f>
        <v>37.383333333333333</v>
      </c>
      <c r="X445" s="29">
        <f>_xll.qlDayCounterYearFraction(DayCounter,R445,S445)</f>
        <v>8.611111111111111E-2</v>
      </c>
      <c r="Y445" s="29">
        <f>_xll.qlYieldTSDiscount(Currency&amp;"ON",R445)/(1+U445*X445)</f>
        <v>0.58816436481592649</v>
      </c>
      <c r="Z445" s="30" t="e">
        <f>_xll.qlTenorBasisValue(TenorBasis6M,R445,InterestRatesTrigger)</f>
        <v>#VALUE!</v>
      </c>
      <c r="AA445" s="30" t="e">
        <f t="shared" si="27"/>
        <v>#VALUE!</v>
      </c>
    </row>
    <row r="446" spans="15:27" x14ac:dyDescent="0.2">
      <c r="O446" s="33">
        <v>1</v>
      </c>
      <c r="P446" s="27" t="str">
        <f>_xll.qlPeriodEquivalent(P445&amp;"+"&amp;O446&amp;"M")</f>
        <v>36Y11M</v>
      </c>
      <c r="Q446" s="28">
        <f>_xll.qlCalendarAdvance(Calendar,SettlementDate,P446,"f",,Trigger)</f>
        <v>55764</v>
      </c>
      <c r="R446" s="28">
        <f>_xll.qlInterestRateIndexValueDate(Index,Q446,Trigger)</f>
        <v>55766</v>
      </c>
      <c r="S446" s="28">
        <f>_xll.qlInterestRateIndexMaturity(Index,R446,Trigger)</f>
        <v>55796</v>
      </c>
      <c r="T446" s="30">
        <f>_xll.qlIndexFixing($M$6,Q446,,InterestRatesTrigger)</f>
        <v>1.4755257377604636E-2</v>
      </c>
      <c r="U446" s="30">
        <f>_xll.qlIndexFixing(Index,Q446,,InterestRatesTrigger)</f>
        <v>1.47125843136795E-2</v>
      </c>
      <c r="V446" s="30">
        <f t="shared" si="26"/>
        <v>-4.2673063925136034E-5</v>
      </c>
      <c r="W446" s="29">
        <f>_xll.qlDayCounterYearFraction(DayCounter,SettlementDate,R446,,,Trigger)</f>
        <v>37.463888888888889</v>
      </c>
      <c r="X446" s="29">
        <f>_xll.qlDayCounterYearFraction(DayCounter,R446,S446)</f>
        <v>8.3333333333333329E-2</v>
      </c>
      <c r="Y446" s="29">
        <f>_xll.qlYieldTSDiscount(Currency&amp;"ON",R446)/(1+U446*X446)</f>
        <v>0.58749018917998541</v>
      </c>
      <c r="Z446" s="30" t="e">
        <f>_xll.qlTenorBasisValue(TenorBasis6M,R446,InterestRatesTrigger)</f>
        <v>#VALUE!</v>
      </c>
      <c r="AA446" s="30" t="e">
        <f t="shared" si="27"/>
        <v>#VALUE!</v>
      </c>
    </row>
    <row r="447" spans="15:27" x14ac:dyDescent="0.2">
      <c r="O447" s="33">
        <v>1</v>
      </c>
      <c r="P447" s="27" t="str">
        <f>_xll.qlPeriodEquivalent(P446&amp;"+"&amp;O447&amp;"M")</f>
        <v>37Y</v>
      </c>
      <c r="Q447" s="28">
        <f>_xll.qlCalendarAdvance(Calendar,SettlementDate,P447,"f",,Trigger)</f>
        <v>55794</v>
      </c>
      <c r="R447" s="28">
        <f>_xll.qlInterestRateIndexValueDate(Index,Q447,Trigger)</f>
        <v>55796</v>
      </c>
      <c r="S447" s="28">
        <f>_xll.qlInterestRateIndexMaturity(Index,R447,Trigger)</f>
        <v>55827</v>
      </c>
      <c r="T447" s="30">
        <f>_xll.qlIndexFixing($M$6,Q447,,InterestRatesTrigger)</f>
        <v>1.4731972150931525E-2</v>
      </c>
      <c r="U447" s="30">
        <f>_xll.qlIndexFixing(Index,Q447,,InterestRatesTrigger)</f>
        <v>1.4688145991329468E-2</v>
      </c>
      <c r="V447" s="30">
        <f t="shared" si="26"/>
        <v>-4.3826159602057546E-5</v>
      </c>
      <c r="W447" s="29">
        <f>_xll.qlDayCounterYearFraction(DayCounter,SettlementDate,R447,,,Trigger)</f>
        <v>37.547222222222224</v>
      </c>
      <c r="X447" s="29">
        <f>_xll.qlDayCounterYearFraction(DayCounter,R447,S447)</f>
        <v>8.611111111111111E-2</v>
      </c>
      <c r="Y447" s="29">
        <f>_xll.qlYieldTSDiscount(Currency&amp;"ON",R447)/(1+U447*X447)</f>
        <v>0.5867459788881203</v>
      </c>
      <c r="Z447" s="30" t="e">
        <f>_xll.qlTenorBasisValue(TenorBasis6M,R447,InterestRatesTrigger)</f>
        <v>#VALUE!</v>
      </c>
      <c r="AA447" s="30" t="e">
        <f t="shared" si="27"/>
        <v>#VALUE!</v>
      </c>
    </row>
    <row r="448" spans="15:27" x14ac:dyDescent="0.2">
      <c r="O448" s="33">
        <v>1</v>
      </c>
      <c r="P448" s="27" t="str">
        <f>_xll.qlPeriodEquivalent(P447&amp;"+"&amp;O448&amp;"M")</f>
        <v>37Y1M</v>
      </c>
      <c r="Q448" s="28">
        <f>_xll.qlCalendarAdvance(Calendar,SettlementDate,P448,"f",,Trigger)</f>
        <v>55827</v>
      </c>
      <c r="R448" s="28">
        <f>_xll.qlInterestRateIndexValueDate(Index,Q448,Trigger)</f>
        <v>55829</v>
      </c>
      <c r="S448" s="28">
        <f>_xll.qlInterestRateIndexMaturity(Index,R448,Trigger)</f>
        <v>55859</v>
      </c>
      <c r="T448" s="30">
        <f>_xll.qlIndexFixing($M$6,Q448,,InterestRatesTrigger)</f>
        <v>1.4705799694538335E-2</v>
      </c>
      <c r="U448" s="30">
        <f>_xll.qlIndexFixing(Index,Q448,,InterestRatesTrigger)</f>
        <v>1.4660731580929287E-2</v>
      </c>
      <c r="V448" s="30">
        <f t="shared" si="26"/>
        <v>-4.5068113609048055E-5</v>
      </c>
      <c r="W448" s="29">
        <f>_xll.qlDayCounterYearFraction(DayCounter,SettlementDate,R448,,,Trigger)</f>
        <v>37.638888888888886</v>
      </c>
      <c r="X448" s="29">
        <f>_xll.qlDayCounterYearFraction(DayCounter,R448,S448)</f>
        <v>8.3333333333333329E-2</v>
      </c>
      <c r="Y448" s="29">
        <f>_xll.qlYieldTSDiscount(Currency&amp;"ON",R448)/(1+U448*X448)</f>
        <v>0.58597991263545923</v>
      </c>
      <c r="Z448" s="30" t="e">
        <f>_xll.qlTenorBasisValue(TenorBasis6M,R448,InterestRatesTrigger)</f>
        <v>#VALUE!</v>
      </c>
      <c r="AA448" s="30" t="e">
        <f t="shared" si="27"/>
        <v>#VALUE!</v>
      </c>
    </row>
    <row r="449" spans="15:27" x14ac:dyDescent="0.2">
      <c r="O449" s="33">
        <v>1</v>
      </c>
      <c r="P449" s="27" t="str">
        <f>_xll.qlPeriodEquivalent(P448&amp;"+"&amp;O449&amp;"M")</f>
        <v>37Y2M</v>
      </c>
      <c r="Q449" s="28">
        <f>_xll.qlCalendarAdvance(Calendar,SettlementDate,P449,"f",,Trigger)</f>
        <v>55855</v>
      </c>
      <c r="R449" s="28">
        <f>_xll.qlInterestRateIndexValueDate(Index,Q449,Trigger)</f>
        <v>55857</v>
      </c>
      <c r="S449" s="28">
        <f>_xll.qlInterestRateIndexMaturity(Index,R449,Trigger)</f>
        <v>55890</v>
      </c>
      <c r="T449" s="30">
        <f>_xll.qlIndexFixing($M$6,Q449,,InterestRatesTrigger)</f>
        <v>1.4682539941203065E-2</v>
      </c>
      <c r="U449" s="30">
        <f>_xll.qlIndexFixing(Index,Q449,,InterestRatesTrigger)</f>
        <v>1.4636321724671544E-2</v>
      </c>
      <c r="V449" s="30">
        <f t="shared" si="26"/>
        <v>-4.6218216531520792E-5</v>
      </c>
      <c r="W449" s="29">
        <f>_xll.qlDayCounterYearFraction(DayCounter,SettlementDate,R449,,,Trigger)</f>
        <v>37.716666666666669</v>
      </c>
      <c r="X449" s="29">
        <f>_xll.qlDayCounterYearFraction(DayCounter,R449,S449)</f>
        <v>9.166666666666666E-2</v>
      </c>
      <c r="Y449" s="29">
        <f>_xll.qlYieldTSDiscount(Currency&amp;"ON",R449)/(1+U449*X449)</f>
        <v>0.58524032883218102</v>
      </c>
      <c r="Z449" s="30" t="e">
        <f>_xll.qlTenorBasisValue(TenorBasis6M,R449,InterestRatesTrigger)</f>
        <v>#VALUE!</v>
      </c>
      <c r="AA449" s="30" t="e">
        <f t="shared" si="27"/>
        <v>#VALUE!</v>
      </c>
    </row>
    <row r="450" spans="15:27" x14ac:dyDescent="0.2">
      <c r="O450" s="33">
        <v>1</v>
      </c>
      <c r="P450" s="27" t="str">
        <f>_xll.qlPeriodEquivalent(P449&amp;"+"&amp;O450&amp;"M")</f>
        <v>37Y3M</v>
      </c>
      <c r="Q450" s="28">
        <f>_xll.qlCalendarAdvance(Calendar,SettlementDate,P450,"f",,Trigger)</f>
        <v>55886</v>
      </c>
      <c r="R450" s="28">
        <f>_xll.qlInterestRateIndexValueDate(Index,Q450,Trigger)</f>
        <v>55890</v>
      </c>
      <c r="S450" s="28">
        <f>_xll.qlInterestRateIndexMaturity(Index,R450,Trigger)</f>
        <v>55921</v>
      </c>
      <c r="T450" s="30">
        <f>_xll.qlIndexFixing($M$6,Q450,,InterestRatesTrigger)</f>
        <v>1.4655023090081867E-2</v>
      </c>
      <c r="U450" s="30">
        <f>_xll.qlIndexFixing(Index,Q450,,InterestRatesTrigger)</f>
        <v>1.4607550699970029E-2</v>
      </c>
      <c r="V450" s="30">
        <f t="shared" si="26"/>
        <v>-4.7472390111838458E-5</v>
      </c>
      <c r="W450" s="29">
        <f>_xll.qlDayCounterYearFraction(DayCounter,SettlementDate,R450,,,Trigger)</f>
        <v>37.80833333333333</v>
      </c>
      <c r="X450" s="29">
        <f>_xll.qlDayCounterYearFraction(DayCounter,R450,S450)</f>
        <v>8.611111111111111E-2</v>
      </c>
      <c r="Y450" s="29">
        <f>_xll.qlYieldTSDiscount(Currency&amp;"ON",R450)/(1+U450*X450)</f>
        <v>0.58450262296510191</v>
      </c>
      <c r="Z450" s="30" t="e">
        <f>_xll.qlTenorBasisValue(TenorBasis6M,R450,InterestRatesTrigger)</f>
        <v>#VALUE!</v>
      </c>
      <c r="AA450" s="30" t="e">
        <f t="shared" si="27"/>
        <v>#VALUE!</v>
      </c>
    </row>
    <row r="451" spans="15:27" x14ac:dyDescent="0.2">
      <c r="O451" s="33">
        <v>1</v>
      </c>
      <c r="P451" s="27" t="str">
        <f>_xll.qlPeriodEquivalent(P450&amp;"+"&amp;O451&amp;"M")</f>
        <v>37Y4M</v>
      </c>
      <c r="Q451" s="28">
        <f>_xll.qlCalendarAdvance(Calendar,SettlementDate,P451,"f",,Trigger)</f>
        <v>55918</v>
      </c>
      <c r="R451" s="28">
        <f>_xll.qlInterestRateIndexValueDate(Index,Q451,Trigger)</f>
        <v>55920</v>
      </c>
      <c r="S451" s="28">
        <f>_xll.qlInterestRateIndexMaturity(Index,R451,Trigger)</f>
        <v>55948</v>
      </c>
      <c r="T451" s="30">
        <f>_xll.qlIndexFixing($M$6,Q451,,InterestRatesTrigger)</f>
        <v>1.462952232593105E-2</v>
      </c>
      <c r="U451" s="30">
        <f>_xll.qlIndexFixing(Index,Q451,,InterestRatesTrigger)</f>
        <v>1.458092080940546E-2</v>
      </c>
      <c r="V451" s="30">
        <f t="shared" si="26"/>
        <v>-4.8601516525590208E-5</v>
      </c>
      <c r="W451" s="29">
        <f>_xll.qlDayCounterYearFraction(DayCounter,SettlementDate,R451,,,Trigger)</f>
        <v>37.891666666666666</v>
      </c>
      <c r="X451" s="29">
        <f>_xll.qlDayCounterYearFraction(DayCounter,R451,S451)</f>
        <v>7.7777777777777779E-2</v>
      </c>
      <c r="Y451" s="29">
        <f>_xll.qlYieldTSDiscount(Currency&amp;"ON",R451)/(1+U451*X451)</f>
        <v>0.58386185414234215</v>
      </c>
      <c r="Z451" s="30" t="e">
        <f>_xll.qlTenorBasisValue(TenorBasis6M,R451,InterestRatesTrigger)</f>
        <v>#VALUE!</v>
      </c>
      <c r="AA451" s="30" t="e">
        <f t="shared" si="27"/>
        <v>#VALUE!</v>
      </c>
    </row>
    <row r="452" spans="15:27" x14ac:dyDescent="0.2">
      <c r="O452" s="33">
        <v>1</v>
      </c>
      <c r="P452" s="27" t="str">
        <f>_xll.qlPeriodEquivalent(P451&amp;"+"&amp;O452&amp;"M")</f>
        <v>37Y5M</v>
      </c>
      <c r="Q452" s="28">
        <f>_xll.qlCalendarAdvance(Calendar,SettlementDate,P452,"f",,Trigger)</f>
        <v>55946</v>
      </c>
      <c r="R452" s="28">
        <f>_xll.qlInterestRateIndexValueDate(Index,Q452,Trigger)</f>
        <v>55948</v>
      </c>
      <c r="S452" s="28">
        <f>_xll.qlInterestRateIndexMaturity(Index,R452,Trigger)</f>
        <v>55982</v>
      </c>
      <c r="T452" s="30">
        <f>_xll.qlIndexFixing($M$6,Q452,,InterestRatesTrigger)</f>
        <v>1.4603830385398704E-2</v>
      </c>
      <c r="U452" s="30">
        <f>_xll.qlIndexFixing(Index,Q452,,InterestRatesTrigger)</f>
        <v>1.4553965987601961E-2</v>
      </c>
      <c r="V452" s="30">
        <f t="shared" si="26"/>
        <v>-4.986439779674362E-5</v>
      </c>
      <c r="W452" s="29">
        <f>_xll.qlDayCounterYearFraction(DayCounter,SettlementDate,R452,,,Trigger)</f>
        <v>37.969444444444441</v>
      </c>
      <c r="X452" s="29">
        <f>_xll.qlDayCounterYearFraction(DayCounter,R452,S452)</f>
        <v>9.4444444444444442E-2</v>
      </c>
      <c r="Y452" s="29">
        <f>_xll.qlYieldTSDiscount(Currency&amp;"ON",R452)/(1+U452*X452)</f>
        <v>0.58305821203093888</v>
      </c>
      <c r="Z452" s="30" t="e">
        <f>_xll.qlTenorBasisValue(TenorBasis6M,R452,InterestRatesTrigger)</f>
        <v>#VALUE!</v>
      </c>
      <c r="AA452" s="30" t="e">
        <f t="shared" si="27"/>
        <v>#VALUE!</v>
      </c>
    </row>
    <row r="453" spans="15:27" x14ac:dyDescent="0.2">
      <c r="O453" s="33">
        <v>1</v>
      </c>
      <c r="P453" s="27" t="str">
        <f>_xll.qlPeriodEquivalent(P452&amp;"+"&amp;O453&amp;"M")</f>
        <v>37Y6M</v>
      </c>
      <c r="Q453" s="28">
        <f>_xll.qlCalendarAdvance(Calendar,SettlementDate,P453,"f",,Trigger)</f>
        <v>55976</v>
      </c>
      <c r="R453" s="28">
        <f>_xll.qlInterestRateIndexValueDate(Index,Q453,Trigger)</f>
        <v>55982</v>
      </c>
      <c r="S453" s="28">
        <f>_xll.qlInterestRateIndexMaturity(Index,R453,Trigger)</f>
        <v>56012</v>
      </c>
      <c r="T453" s="30">
        <f>_xll.qlIndexFixing($M$6,Q453,,InterestRatesTrigger)</f>
        <v>1.4573554840681346E-2</v>
      </c>
      <c r="U453" s="30">
        <f>_xll.qlIndexFixing(Index,Q453,,InterestRatesTrigger)</f>
        <v>1.4522390221638481E-2</v>
      </c>
      <c r="V453" s="30">
        <f t="shared" si="26"/>
        <v>-5.1164619042864956E-5</v>
      </c>
      <c r="W453" s="29">
        <f>_xll.qlDayCounterYearFraction(DayCounter,SettlementDate,R453,,,Trigger)</f>
        <v>38.06388888888889</v>
      </c>
      <c r="X453" s="29">
        <f>_xll.qlDayCounterYearFraction(DayCounter,R453,S453)</f>
        <v>8.3333333333333329E-2</v>
      </c>
      <c r="Y453" s="29">
        <f>_xll.qlYieldTSDiscount(Currency&amp;"ON",R453)/(1+U453*X453)</f>
        <v>0.58235070959544799</v>
      </c>
      <c r="Z453" s="30" t="e">
        <f>_xll.qlTenorBasisValue(TenorBasis6M,R453,InterestRatesTrigger)</f>
        <v>#VALUE!</v>
      </c>
      <c r="AA453" s="30" t="e">
        <f t="shared" si="27"/>
        <v>#VALUE!</v>
      </c>
    </row>
    <row r="454" spans="15:27" x14ac:dyDescent="0.2">
      <c r="O454" s="33">
        <v>1</v>
      </c>
      <c r="P454" s="27" t="str">
        <f>_xll.qlPeriodEquivalent(P453&amp;"+"&amp;O454&amp;"M")</f>
        <v>37Y7M</v>
      </c>
      <c r="Q454" s="28">
        <f>_xll.qlCalendarAdvance(Calendar,SettlementDate,P454,"f",,Trigger)</f>
        <v>56006</v>
      </c>
      <c r="R454" s="28">
        <f>_xll.qlInterestRateIndexValueDate(Index,Q454,Trigger)</f>
        <v>56010</v>
      </c>
      <c r="S454" s="28">
        <f>_xll.qlInterestRateIndexMaturity(Index,R454,Trigger)</f>
        <v>56041</v>
      </c>
      <c r="T454" s="30">
        <f>_xll.qlIndexFixing($M$6,Q454,,InterestRatesTrigger)</f>
        <v>1.4547280593975032E-2</v>
      </c>
      <c r="U454" s="30">
        <f>_xll.qlIndexFixing(Index,Q454,,InterestRatesTrigger)</f>
        <v>1.4494933326878527E-2</v>
      </c>
      <c r="V454" s="30">
        <f t="shared" si="26"/>
        <v>-5.2347267096504099E-5</v>
      </c>
      <c r="W454" s="29">
        <f>_xll.qlDayCounterYearFraction(DayCounter,SettlementDate,R454,,,Trigger)</f>
        <v>38.141666666666666</v>
      </c>
      <c r="X454" s="29">
        <f>_xll.qlDayCounterYearFraction(DayCounter,R454,S454)</f>
        <v>8.611111111111111E-2</v>
      </c>
      <c r="Y454" s="29">
        <f>_xll.qlYieldTSDiscount(Currency&amp;"ON",R454)/(1+U454*X454)</f>
        <v>0.58166928549593666</v>
      </c>
      <c r="Z454" s="30" t="e">
        <f>_xll.qlTenorBasisValue(TenorBasis6M,R454,InterestRatesTrigger)</f>
        <v>#VALUE!</v>
      </c>
      <c r="AA454" s="30" t="e">
        <f t="shared" si="27"/>
        <v>#VALUE!</v>
      </c>
    </row>
    <row r="455" spans="15:27" x14ac:dyDescent="0.2">
      <c r="O455" s="33">
        <v>1</v>
      </c>
      <c r="P455" s="27" t="str">
        <f>_xll.qlPeriodEquivalent(P454&amp;"+"&amp;O455&amp;"M")</f>
        <v>37Y8M</v>
      </c>
      <c r="Q455" s="28">
        <f>_xll.qlCalendarAdvance(Calendar,SettlementDate,P455,"f",,Trigger)</f>
        <v>56037</v>
      </c>
      <c r="R455" s="28">
        <f>_xll.qlInterestRateIndexValueDate(Index,Q455,Trigger)</f>
        <v>56039</v>
      </c>
      <c r="S455" s="28">
        <f>_xll.qlInterestRateIndexMaturity(Index,R455,Trigger)</f>
        <v>56069</v>
      </c>
      <c r="T455" s="30">
        <f>_xll.qlIndexFixing($M$6,Q455,,InterestRatesTrigger)</f>
        <v>1.4519806847673067E-2</v>
      </c>
      <c r="U455" s="30">
        <f>_xll.qlIndexFixing(Index,Q455,,InterestRatesTrigger)</f>
        <v>1.4466266868401689E-2</v>
      </c>
      <c r="V455" s="30">
        <f t="shared" si="26"/>
        <v>-5.3539979271377547E-5</v>
      </c>
      <c r="W455" s="29">
        <f>_xll.qlDayCounterYearFraction(DayCounter,SettlementDate,R455,,,Trigger)</f>
        <v>38.222222222222221</v>
      </c>
      <c r="X455" s="29">
        <f>_xll.qlDayCounterYearFraction(DayCounter,R455,S455)</f>
        <v>8.3333333333333329E-2</v>
      </c>
      <c r="Y455" s="29">
        <f>_xll.qlYieldTSDiscount(Currency&amp;"ON",R455)/(1+U455*X455)</f>
        <v>0.58101317994089341</v>
      </c>
      <c r="Z455" s="30" t="e">
        <f>_xll.qlTenorBasisValue(TenorBasis6M,R455,InterestRatesTrigger)</f>
        <v>#VALUE!</v>
      </c>
      <c r="AA455" s="30" t="e">
        <f t="shared" si="27"/>
        <v>#VALUE!</v>
      </c>
    </row>
    <row r="456" spans="15:27" x14ac:dyDescent="0.2">
      <c r="O456" s="33">
        <v>1</v>
      </c>
      <c r="P456" s="27" t="str">
        <f>_xll.qlPeriodEquivalent(P455&amp;"+"&amp;O456&amp;"M")</f>
        <v>37Y9M</v>
      </c>
      <c r="Q456" s="28">
        <f>_xll.qlCalendarAdvance(Calendar,SettlementDate,P456,"f",,Trigger)</f>
        <v>56067</v>
      </c>
      <c r="R456" s="28">
        <f>_xll.qlInterestRateIndexValueDate(Index,Q456,Trigger)</f>
        <v>56069</v>
      </c>
      <c r="S456" s="28">
        <f>_xll.qlInterestRateIndexMaturity(Index,R456,Trigger)</f>
        <v>56100</v>
      </c>
      <c r="T456" s="30">
        <f>_xll.qlIndexFixing($M$6,Q456,,InterestRatesTrigger)</f>
        <v>1.4490320795595155E-2</v>
      </c>
      <c r="U456" s="30">
        <f>_xll.qlIndexFixing(Index,Q456,,InterestRatesTrigger)</f>
        <v>1.4435483797733871E-2</v>
      </c>
      <c r="V456" s="30">
        <f t="shared" si="26"/>
        <v>-5.4836997861284001E-5</v>
      </c>
      <c r="W456" s="29">
        <f>_xll.qlDayCounterYearFraction(DayCounter,SettlementDate,R456,,,Trigger)</f>
        <v>38.305555555555557</v>
      </c>
      <c r="X456" s="29">
        <f>_xll.qlDayCounterYearFraction(DayCounter,R456,S456)</f>
        <v>8.611111111111111E-2</v>
      </c>
      <c r="Y456" s="29">
        <f>_xll.qlYieldTSDiscount(Currency&amp;"ON",R456)/(1+U456*X456)</f>
        <v>0.58028925900401829</v>
      </c>
      <c r="Z456" s="30" t="e">
        <f>_xll.qlTenorBasisValue(TenorBasis6M,R456,InterestRatesTrigger)</f>
        <v>#VALUE!</v>
      </c>
      <c r="AA456" s="30" t="e">
        <f t="shared" si="27"/>
        <v>#VALUE!</v>
      </c>
    </row>
    <row r="457" spans="15:27" x14ac:dyDescent="0.2">
      <c r="O457" s="33">
        <v>1</v>
      </c>
      <c r="P457" s="27" t="str">
        <f>_xll.qlPeriodEquivalent(P456&amp;"+"&amp;O457&amp;"M")</f>
        <v>37Y10M</v>
      </c>
      <c r="Q457" s="28">
        <f>_xll.qlCalendarAdvance(Calendar,SettlementDate,P457,"f",,Trigger)</f>
        <v>56100</v>
      </c>
      <c r="R457" s="28">
        <f>_xll.qlInterestRateIndexValueDate(Index,Q457,Trigger)</f>
        <v>56102</v>
      </c>
      <c r="S457" s="28">
        <f>_xll.qlInterestRateIndexMaturity(Index,R457,Trigger)</f>
        <v>56135</v>
      </c>
      <c r="T457" s="30">
        <f>_xll.qlIndexFixing($M$6,Q457,,InterestRatesTrigger)</f>
        <v>1.4456861485536912E-2</v>
      </c>
      <c r="U457" s="30">
        <f>_xll.qlIndexFixing(Index,Q457,,InterestRatesTrigger)</f>
        <v>1.4400556742068074E-2</v>
      </c>
      <c r="V457" s="30">
        <f t="shared" si="26"/>
        <v>-5.6304743468838653E-5</v>
      </c>
      <c r="W457" s="29">
        <f>_xll.qlDayCounterYearFraction(DayCounter,SettlementDate,R457,,,Trigger)</f>
        <v>38.397222222222226</v>
      </c>
      <c r="X457" s="29">
        <f>_xll.qlDayCounterYearFraction(DayCounter,R457,S457)</f>
        <v>9.166666666666666E-2</v>
      </c>
      <c r="Y457" s="29">
        <f>_xll.qlYieldTSDiscount(Currency&amp;"ON",R457)/(1+U457*X457)</f>
        <v>0.57947495535507632</v>
      </c>
      <c r="Z457" s="30" t="e">
        <f>_xll.qlTenorBasisValue(TenorBasis6M,R457,InterestRatesTrigger)</f>
        <v>#VALUE!</v>
      </c>
      <c r="AA457" s="30" t="e">
        <f t="shared" si="27"/>
        <v>#VALUE!</v>
      </c>
    </row>
    <row r="458" spans="15:27" x14ac:dyDescent="0.2">
      <c r="O458" s="33">
        <v>1</v>
      </c>
      <c r="P458" s="27" t="str">
        <f>_xll.qlPeriodEquivalent(P457&amp;"+"&amp;O458&amp;"M")</f>
        <v>37Y11M</v>
      </c>
      <c r="Q458" s="28">
        <f>_xll.qlCalendarAdvance(Calendar,SettlementDate,P458,"f",,Trigger)</f>
        <v>56129</v>
      </c>
      <c r="R458" s="28">
        <f>_xll.qlInterestRateIndexValueDate(Index,Q458,Trigger)</f>
        <v>56131</v>
      </c>
      <c r="S458" s="28">
        <f>_xll.qlInterestRateIndexMaturity(Index,R458,Trigger)</f>
        <v>56163</v>
      </c>
      <c r="T458" s="30">
        <f>_xll.qlIndexFixing($M$6,Q458,,InterestRatesTrigger)</f>
        <v>1.442735454826094E-2</v>
      </c>
      <c r="U458" s="30">
        <f>_xll.qlIndexFixing(Index,Q458,,InterestRatesTrigger)</f>
        <v>1.4369809443412207E-2</v>
      </c>
      <c r="V458" s="30">
        <f t="shared" si="26"/>
        <v>-5.7545104848732986E-5</v>
      </c>
      <c r="W458" s="29">
        <f>_xll.qlDayCounterYearFraction(DayCounter,SettlementDate,R458,,,Trigger)</f>
        <v>38.477777777777774</v>
      </c>
      <c r="X458" s="29">
        <f>_xll.qlDayCounterYearFraction(DayCounter,R458,S458)</f>
        <v>8.8888888888888892E-2</v>
      </c>
      <c r="Y458" s="29">
        <f>_xll.qlYieldTSDiscount(Currency&amp;"ON",R458)/(1+U458*X458)</f>
        <v>0.57882555770138033</v>
      </c>
      <c r="Z458" s="30" t="e">
        <f>_xll.qlTenorBasisValue(TenorBasis6M,R458,InterestRatesTrigger)</f>
        <v>#VALUE!</v>
      </c>
      <c r="AA458" s="30" t="e">
        <f t="shared" si="27"/>
        <v>#VALUE!</v>
      </c>
    </row>
    <row r="459" spans="15:27" x14ac:dyDescent="0.2">
      <c r="O459" s="33">
        <v>1</v>
      </c>
      <c r="P459" s="27" t="str">
        <f>_xll.qlPeriodEquivalent(P458&amp;"+"&amp;O459&amp;"M")</f>
        <v>38Y</v>
      </c>
      <c r="Q459" s="28">
        <f>_xll.qlCalendarAdvance(Calendar,SettlementDate,P459,"f",,Trigger)</f>
        <v>56159</v>
      </c>
      <c r="R459" s="28">
        <f>_xll.qlInterestRateIndexValueDate(Index,Q459,Trigger)</f>
        <v>56163</v>
      </c>
      <c r="S459" s="28">
        <f>_xll.qlInterestRateIndexMaturity(Index,R459,Trigger)</f>
        <v>56194</v>
      </c>
      <c r="T459" s="30">
        <f>_xll.qlIndexFixing($M$6,Q459,,InterestRatesTrigger)</f>
        <v>1.4394039753888078E-2</v>
      </c>
      <c r="U459" s="30">
        <f>_xll.qlIndexFixing(Index,Q459,,InterestRatesTrigger)</f>
        <v>1.4335106274263957E-2</v>
      </c>
      <c r="V459" s="30">
        <f t="shared" si="26"/>
        <v>-5.893347962412053E-5</v>
      </c>
      <c r="W459" s="29">
        <f>_xll.qlDayCounterYearFraction(DayCounter,SettlementDate,R459,,,Trigger)</f>
        <v>38.56666666666667</v>
      </c>
      <c r="X459" s="29">
        <f>_xll.qlDayCounterYearFraction(DayCounter,R459,S459)</f>
        <v>8.611111111111111E-2</v>
      </c>
      <c r="Y459" s="29">
        <f>_xll.qlYieldTSDiscount(Currency&amp;"ON",R459)/(1+U459*X459)</f>
        <v>0.57810897611457845</v>
      </c>
      <c r="Z459" s="30" t="e">
        <f>_xll.qlTenorBasisValue(TenorBasis6M,R459,InterestRatesTrigger)</f>
        <v>#VALUE!</v>
      </c>
      <c r="AA459" s="30" t="e">
        <f t="shared" si="27"/>
        <v>#VALUE!</v>
      </c>
    </row>
    <row r="460" spans="15:27" x14ac:dyDescent="0.2">
      <c r="O460" s="33">
        <v>1</v>
      </c>
      <c r="P460" s="27" t="str">
        <f>_xll.qlPeriodEquivalent(P459&amp;"+"&amp;O460&amp;"M")</f>
        <v>38Y1M</v>
      </c>
      <c r="Q460" s="28">
        <f>_xll.qlCalendarAdvance(Calendar,SettlementDate,P460,"f",,Trigger)</f>
        <v>56191</v>
      </c>
      <c r="R460" s="28">
        <f>_xll.qlInterestRateIndexValueDate(Index,Q460,Trigger)</f>
        <v>56193</v>
      </c>
      <c r="S460" s="28">
        <f>_xll.qlInterestRateIndexMaturity(Index,R460,Trigger)</f>
        <v>56223</v>
      </c>
      <c r="T460" s="30">
        <f>_xll.qlIndexFixing($M$6,Q460,,InterestRatesTrigger)</f>
        <v>1.4362120857375871E-2</v>
      </c>
      <c r="U460" s="30">
        <f>_xll.qlIndexFixing(Index,Q460,,InterestRatesTrigger)</f>
        <v>1.4301870793651084E-2</v>
      </c>
      <c r="V460" s="30">
        <f t="shared" si="26"/>
        <v>-6.025006372478714E-5</v>
      </c>
      <c r="W460" s="29">
        <f>_xll.qlDayCounterYearFraction(DayCounter,SettlementDate,R460,,,Trigger)</f>
        <v>38.65</v>
      </c>
      <c r="X460" s="29">
        <f>_xll.qlDayCounterYearFraction(DayCounter,R460,S460)</f>
        <v>8.3333333333333329E-2</v>
      </c>
      <c r="Y460" s="29">
        <f>_xll.qlYieldTSDiscount(Currency&amp;"ON",R460)/(1+U460*X460)</f>
        <v>0.57744091403746689</v>
      </c>
      <c r="Z460" s="30" t="e">
        <f>_xll.qlTenorBasisValue(TenorBasis6M,R460,InterestRatesTrigger)</f>
        <v>#VALUE!</v>
      </c>
      <c r="AA460" s="30" t="e">
        <f t="shared" si="27"/>
        <v>#VALUE!</v>
      </c>
    </row>
    <row r="461" spans="15:27" x14ac:dyDescent="0.2">
      <c r="O461" s="33">
        <v>1</v>
      </c>
      <c r="P461" s="27" t="str">
        <f>_xll.qlPeriodEquivalent(P460&amp;"+"&amp;O461&amp;"M")</f>
        <v>38Y2M</v>
      </c>
      <c r="Q461" s="28">
        <f>_xll.qlCalendarAdvance(Calendar,SettlementDate,P461,"f",,Trigger)</f>
        <v>56220</v>
      </c>
      <c r="R461" s="28">
        <f>_xll.qlInterestRateIndexValueDate(Index,Q461,Trigger)</f>
        <v>56222</v>
      </c>
      <c r="S461" s="28">
        <f>_xll.qlInterestRateIndexMaturity(Index,R461,Trigger)</f>
        <v>56254</v>
      </c>
      <c r="T461" s="30">
        <f>_xll.qlIndexFixing($M$6,Q461,,InterestRatesTrigger)</f>
        <v>1.4329815287650038E-2</v>
      </c>
      <c r="U461" s="30">
        <f>_xll.qlIndexFixing(Index,Q461,,InterestRatesTrigger)</f>
        <v>1.4268202292841425E-2</v>
      </c>
      <c r="V461" s="30">
        <f t="shared" si="26"/>
        <v>-6.1612994808613042E-5</v>
      </c>
      <c r="W461" s="29">
        <f>_xll.qlDayCounterYearFraction(DayCounter,SettlementDate,R461,,,Trigger)</f>
        <v>38.730555555555554</v>
      </c>
      <c r="X461" s="29">
        <f>_xll.qlDayCounterYearFraction(DayCounter,R461,S461)</f>
        <v>8.8888888888888892E-2</v>
      </c>
      <c r="Y461" s="29">
        <f>_xll.qlYieldTSDiscount(Currency&amp;"ON",R461)/(1+U461*X461)</f>
        <v>0.57672955920121238</v>
      </c>
      <c r="Z461" s="30" t="e">
        <f>_xll.qlTenorBasisValue(TenorBasis6M,R461,InterestRatesTrigger)</f>
        <v>#VALUE!</v>
      </c>
      <c r="AA461" s="30" t="e">
        <f t="shared" si="27"/>
        <v>#VALUE!</v>
      </c>
    </row>
    <row r="462" spans="15:27" x14ac:dyDescent="0.2">
      <c r="O462" s="33">
        <v>1</v>
      </c>
      <c r="P462" s="27" t="str">
        <f>_xll.qlPeriodEquivalent(P461&amp;"+"&amp;O462&amp;"M")</f>
        <v>38Y3M</v>
      </c>
      <c r="Q462" s="28">
        <f>_xll.qlCalendarAdvance(Calendar,SettlementDate,P462,"f",,Trigger)</f>
        <v>56251</v>
      </c>
      <c r="R462" s="28">
        <f>_xll.qlInterestRateIndexValueDate(Index,Q462,Trigger)</f>
        <v>56255</v>
      </c>
      <c r="S462" s="28">
        <f>_xll.qlInterestRateIndexMaturity(Index,R462,Trigger)</f>
        <v>56286</v>
      </c>
      <c r="T462" s="30">
        <f>_xll.qlIndexFixing($M$6,Q462,,InterestRatesTrigger)</f>
        <v>1.4293115920466047E-2</v>
      </c>
      <c r="U462" s="30">
        <f>_xll.qlIndexFixing(Index,Q462,,InterestRatesTrigger)</f>
        <v>1.4230015210350923E-2</v>
      </c>
      <c r="V462" s="30">
        <f t="shared" si="26"/>
        <v>-6.310071011512465E-5</v>
      </c>
      <c r="W462" s="29">
        <f>_xll.qlDayCounterYearFraction(DayCounter,SettlementDate,R462,,,Trigger)</f>
        <v>38.822222222222223</v>
      </c>
      <c r="X462" s="29">
        <f>_xll.qlDayCounterYearFraction(DayCounter,R462,S462)</f>
        <v>8.611111111111111E-2</v>
      </c>
      <c r="Y462" s="29">
        <f>_xll.qlYieldTSDiscount(Currency&amp;"ON",R462)/(1+U462*X462)</f>
        <v>0.57599768652345684</v>
      </c>
      <c r="Z462" s="30" t="e">
        <f>_xll.qlTenorBasisValue(TenorBasis6M,R462,InterestRatesTrigger)</f>
        <v>#VALUE!</v>
      </c>
      <c r="AA462" s="30" t="e">
        <f t="shared" si="27"/>
        <v>#VALUE!</v>
      </c>
    </row>
    <row r="463" spans="15:27" x14ac:dyDescent="0.2">
      <c r="O463" s="33">
        <v>1</v>
      </c>
      <c r="P463" s="27" t="str">
        <f>_xll.qlPeriodEquivalent(P462&amp;"+"&amp;O463&amp;"M")</f>
        <v>38Y4M</v>
      </c>
      <c r="Q463" s="28">
        <f>_xll.qlCalendarAdvance(Calendar,SettlementDate,P463,"f",,Trigger)</f>
        <v>56282</v>
      </c>
      <c r="R463" s="28">
        <f>_xll.qlInterestRateIndexValueDate(Index,Q463,Trigger)</f>
        <v>56284</v>
      </c>
      <c r="S463" s="28">
        <f>_xll.qlInterestRateIndexMaturity(Index,R463,Trigger)</f>
        <v>56312</v>
      </c>
      <c r="T463" s="30">
        <f>_xll.qlIndexFixing($M$6,Q463,,InterestRatesTrigger)</f>
        <v>1.426080388197962E-2</v>
      </c>
      <c r="U463" s="30">
        <f>_xll.qlIndexFixing(Index,Q463,,InterestRatesTrigger)</f>
        <v>1.4196434394279565E-2</v>
      </c>
      <c r="V463" s="30">
        <f t="shared" si="26"/>
        <v>-6.4369487700055572E-5</v>
      </c>
      <c r="W463" s="29">
        <f>_xll.qlDayCounterYearFraction(DayCounter,SettlementDate,R463,,,Trigger)</f>
        <v>38.902777777777779</v>
      </c>
      <c r="X463" s="29">
        <f>_xll.qlDayCounterYearFraction(DayCounter,R463,S463)</f>
        <v>7.7777777777777779E-2</v>
      </c>
      <c r="Y463" s="29">
        <f>_xll.qlYieldTSDiscount(Currency&amp;"ON",R463)/(1+U463*X463)</f>
        <v>0.57540487597685919</v>
      </c>
      <c r="Z463" s="30" t="e">
        <f>_xll.qlTenorBasisValue(TenorBasis6M,R463,InterestRatesTrigger)</f>
        <v>#VALUE!</v>
      </c>
      <c r="AA463" s="30" t="e">
        <f t="shared" si="27"/>
        <v>#VALUE!</v>
      </c>
    </row>
    <row r="464" spans="15:27" x14ac:dyDescent="0.2">
      <c r="O464" s="33">
        <v>1</v>
      </c>
      <c r="P464" s="27" t="str">
        <f>_xll.qlPeriodEquivalent(P463&amp;"+"&amp;O464&amp;"M")</f>
        <v>38Y5M</v>
      </c>
      <c r="Q464" s="28">
        <f>_xll.qlCalendarAdvance(Calendar,SettlementDate,P464,"f",,Trigger)</f>
        <v>56310</v>
      </c>
      <c r="R464" s="28">
        <f>_xll.qlInterestRateIndexValueDate(Index,Q464,Trigger)</f>
        <v>56312</v>
      </c>
      <c r="S464" s="28">
        <f>_xll.qlInterestRateIndexMaturity(Index,R464,Trigger)</f>
        <v>56345</v>
      </c>
      <c r="T464" s="30">
        <f>_xll.qlIndexFixing($M$6,Q464,,InterestRatesTrigger)</f>
        <v>1.4226590121627939E-2</v>
      </c>
      <c r="U464" s="30">
        <f>_xll.qlIndexFixing(Index,Q464,,InterestRatesTrigger)</f>
        <v>1.4160774911948176E-2</v>
      </c>
      <c r="V464" s="30">
        <f t="shared" si="26"/>
        <v>-6.5815209679763453E-5</v>
      </c>
      <c r="W464" s="29">
        <f>_xll.qlDayCounterYearFraction(DayCounter,SettlementDate,R464,,,Trigger)</f>
        <v>38.980555555555554</v>
      </c>
      <c r="X464" s="29">
        <f>_xll.qlDayCounterYearFraction(DayCounter,R464,S464)</f>
        <v>9.166666666666666E-2</v>
      </c>
      <c r="Y464" s="29">
        <f>_xll.qlYieldTSDiscount(Currency&amp;"ON",R464)/(1+U464*X464)</f>
        <v>0.57465605401704623</v>
      </c>
      <c r="Z464" s="30" t="e">
        <f>_xll.qlTenorBasisValue(TenorBasis6M,R464,InterestRatesTrigger)</f>
        <v>#VALUE!</v>
      </c>
      <c r="AA464" s="30" t="e">
        <f t="shared" si="27"/>
        <v>#VALUE!</v>
      </c>
    </row>
    <row r="465" spans="15:27" x14ac:dyDescent="0.2">
      <c r="O465" s="33">
        <v>1</v>
      </c>
      <c r="P465" s="27" t="str">
        <f>_xll.qlPeriodEquivalent(P464&amp;"+"&amp;O465&amp;"M")</f>
        <v>38Y6M</v>
      </c>
      <c r="Q465" s="28">
        <f>_xll.qlCalendarAdvance(Calendar,SettlementDate,P465,"f",,Trigger)</f>
        <v>56341</v>
      </c>
      <c r="R465" s="28">
        <f>_xll.qlInterestRateIndexValueDate(Index,Q465,Trigger)</f>
        <v>56345</v>
      </c>
      <c r="S465" s="28">
        <f>_xll.qlInterestRateIndexMaturity(Index,R465,Trigger)</f>
        <v>56375</v>
      </c>
      <c r="T465" s="30">
        <f>_xll.qlIndexFixing($M$6,Q465,,InterestRatesTrigger)</f>
        <v>1.4188187965491927E-2</v>
      </c>
      <c r="U465" s="30">
        <f>_xll.qlIndexFixing(Index,Q465,,InterestRatesTrigger)</f>
        <v>1.4120882345915575E-2</v>
      </c>
      <c r="V465" s="30">
        <f t="shared" si="26"/>
        <v>-6.7305619576352171E-5</v>
      </c>
      <c r="W465" s="29">
        <f>_xll.qlDayCounterYearFraction(DayCounter,SettlementDate,R465,,,Trigger)</f>
        <v>39.072222222222223</v>
      </c>
      <c r="X465" s="29">
        <f>_xll.qlDayCounterYearFraction(DayCounter,R465,S465)</f>
        <v>8.3333333333333329E-2</v>
      </c>
      <c r="Y465" s="29">
        <f>_xll.qlYieldTSDiscount(Currency&amp;"ON",R465)/(1+U465*X465)</f>
        <v>0.57397716959068601</v>
      </c>
      <c r="Z465" s="30" t="e">
        <f>_xll.qlTenorBasisValue(TenorBasis6M,R465,InterestRatesTrigger)</f>
        <v>#VALUE!</v>
      </c>
      <c r="AA465" s="30" t="e">
        <f t="shared" si="27"/>
        <v>#VALUE!</v>
      </c>
    </row>
    <row r="466" spans="15:27" x14ac:dyDescent="0.2">
      <c r="O466" s="33">
        <v>1</v>
      </c>
      <c r="P466" s="27" t="str">
        <f>_xll.qlPeriodEquivalent(P465&amp;"+"&amp;O466&amp;"M")</f>
        <v>38Y7M</v>
      </c>
      <c r="Q466" s="28">
        <f>_xll.qlCalendarAdvance(Calendar,SettlementDate,P466,"f",,Trigger)</f>
        <v>56373</v>
      </c>
      <c r="R466" s="28">
        <f>_xll.qlInterestRateIndexValueDate(Index,Q466,Trigger)</f>
        <v>56375</v>
      </c>
      <c r="S466" s="28">
        <f>_xll.qlInterestRateIndexMaturity(Index,R466,Trigger)</f>
        <v>56408</v>
      </c>
      <c r="T466" s="30">
        <f>_xll.qlIndexFixing($M$6,Q466,,InterestRatesTrigger)</f>
        <v>1.415064552870811E-2</v>
      </c>
      <c r="U466" s="30">
        <f>_xll.qlIndexFixing(Index,Q466,,InterestRatesTrigger)</f>
        <v>1.4081814111579697E-2</v>
      </c>
      <c r="V466" s="30">
        <f t="shared" si="26"/>
        <v>-6.8831417128413508E-5</v>
      </c>
      <c r="W466" s="29">
        <f>_xll.qlDayCounterYearFraction(DayCounter,SettlementDate,R466,,,Trigger)</f>
        <v>39.155555555555559</v>
      </c>
      <c r="X466" s="29">
        <f>_xll.qlDayCounterYearFraction(DayCounter,R466,S466)</f>
        <v>9.166666666666666E-2</v>
      </c>
      <c r="Y466" s="29">
        <f>_xll.qlYieldTSDiscount(Currency&amp;"ON",R466)/(1+U466*X466)</f>
        <v>0.57323400472125252</v>
      </c>
      <c r="Z466" s="30" t="e">
        <f>_xll.qlTenorBasisValue(TenorBasis6M,R466,InterestRatesTrigger)</f>
        <v>#VALUE!</v>
      </c>
      <c r="AA466" s="30" t="e">
        <f t="shared" si="27"/>
        <v>#VALUE!</v>
      </c>
    </row>
    <row r="467" spans="15:27" x14ac:dyDescent="0.2">
      <c r="O467" s="33">
        <v>1</v>
      </c>
      <c r="P467" s="27" t="str">
        <f>_xll.qlPeriodEquivalent(P466&amp;"+"&amp;O467&amp;"M")</f>
        <v>38Y8M</v>
      </c>
      <c r="Q467" s="28">
        <f>_xll.qlCalendarAdvance(Calendar,SettlementDate,P467,"f",,Trigger)</f>
        <v>56402</v>
      </c>
      <c r="R467" s="28">
        <f>_xll.qlInterestRateIndexValueDate(Index,Q467,Trigger)</f>
        <v>56404</v>
      </c>
      <c r="S467" s="28">
        <f>_xll.qlInterestRateIndexMaturity(Index,R467,Trigger)</f>
        <v>56436</v>
      </c>
      <c r="T467" s="30">
        <f>_xll.qlIndexFixing($M$6,Q467,,InterestRatesTrigger)</f>
        <v>1.411495406840102E-2</v>
      </c>
      <c r="U467" s="30">
        <f>_xll.qlIndexFixing(Index,Q467,,InterestRatesTrigger)</f>
        <v>1.4044735597723013E-2</v>
      </c>
      <c r="V467" s="30">
        <f t="shared" si="26"/>
        <v>-7.021847067800735E-5</v>
      </c>
      <c r="W467" s="29">
        <f>_xll.qlDayCounterYearFraction(DayCounter,SettlementDate,R467,,,Trigger)</f>
        <v>39.236111111111114</v>
      </c>
      <c r="X467" s="29">
        <f>_xll.qlDayCounterYearFraction(DayCounter,R467,S467)</f>
        <v>8.8888888888888892E-2</v>
      </c>
      <c r="Y467" s="29">
        <f>_xll.qlYieldTSDiscount(Currency&amp;"ON",R467)/(1+U467*X467)</f>
        <v>0.57260550332115356</v>
      </c>
      <c r="Z467" s="30" t="e">
        <f>_xll.qlTenorBasisValue(TenorBasis6M,R467,InterestRatesTrigger)</f>
        <v>#VALUE!</v>
      </c>
      <c r="AA467" s="30" t="e">
        <f t="shared" si="27"/>
        <v>#VALUE!</v>
      </c>
    </row>
    <row r="468" spans="15:27" x14ac:dyDescent="0.2">
      <c r="O468" s="33">
        <v>1</v>
      </c>
      <c r="P468" s="27" t="str">
        <f>_xll.qlPeriodEquivalent(P467&amp;"+"&amp;O468&amp;"M")</f>
        <v>38Y9M</v>
      </c>
      <c r="Q468" s="28">
        <f>_xll.qlCalendarAdvance(Calendar,SettlementDate,P468,"f",,Trigger)</f>
        <v>56432</v>
      </c>
      <c r="R468" s="28">
        <f>_xll.qlInterestRateIndexValueDate(Index,Q468,Trigger)</f>
        <v>56436</v>
      </c>
      <c r="S468" s="28">
        <f>_xll.qlInterestRateIndexMaturity(Index,R468,Trigger)</f>
        <v>56467</v>
      </c>
      <c r="T468" s="30">
        <f>_xll.qlIndexFixing($M$6,Q468,,InterestRatesTrigger)</f>
        <v>1.4074762382417961E-2</v>
      </c>
      <c r="U468" s="30">
        <f>_xll.qlIndexFixing(Index,Q468,,InterestRatesTrigger)</f>
        <v>1.4002992077655494E-2</v>
      </c>
      <c r="V468" s="30">
        <f t="shared" si="26"/>
        <v>-7.1770304762467513E-5</v>
      </c>
      <c r="W468" s="29">
        <f>_xll.qlDayCounterYearFraction(DayCounter,SettlementDate,R468,,,Trigger)</f>
        <v>39.325000000000003</v>
      </c>
      <c r="X468" s="29">
        <f>_xll.qlDayCounterYearFraction(DayCounter,R468,S468)</f>
        <v>8.611111111111111E-2</v>
      </c>
      <c r="Y468" s="29">
        <f>_xll.qlYieldTSDiscount(Currency&amp;"ON",R468)/(1+U468*X468)</f>
        <v>0.57191231437948464</v>
      </c>
      <c r="Z468" s="30" t="e">
        <f>_xll.qlTenorBasisValue(TenorBasis6M,R468,InterestRatesTrigger)</f>
        <v>#VALUE!</v>
      </c>
      <c r="AA468" s="30" t="e">
        <f t="shared" si="27"/>
        <v>#VALUE!</v>
      </c>
    </row>
    <row r="469" spans="15:27" x14ac:dyDescent="0.2">
      <c r="O469" s="33">
        <v>1</v>
      </c>
      <c r="P469" s="27" t="str">
        <f>_xll.qlPeriodEquivalent(P468&amp;"+"&amp;O469&amp;"M")</f>
        <v>38Y10M</v>
      </c>
      <c r="Q469" s="28">
        <f>_xll.qlCalendarAdvance(Calendar,SettlementDate,P469,"f",,Trigger)</f>
        <v>56464</v>
      </c>
      <c r="R469" s="28">
        <f>_xll.qlInterestRateIndexValueDate(Index,Q469,Trigger)</f>
        <v>56466</v>
      </c>
      <c r="S469" s="28">
        <f>_xll.qlInterestRateIndexMaturity(Index,R469,Trigger)</f>
        <v>56499</v>
      </c>
      <c r="T469" s="30">
        <f>_xll.qlIndexFixing($M$6,Q469,,InterestRatesTrigger)</f>
        <v>1.4035222008964869E-2</v>
      </c>
      <c r="U469" s="30">
        <f>_xll.qlIndexFixing(Index,Q469,,InterestRatesTrigger)</f>
        <v>1.3961896747867995E-2</v>
      </c>
      <c r="V469" s="30">
        <f t="shared" si="26"/>
        <v>-7.3325261096874109E-5</v>
      </c>
      <c r="W469" s="29">
        <f>_xll.qlDayCounterYearFraction(DayCounter,SettlementDate,R469,,,Trigger)</f>
        <v>39.408333333333331</v>
      </c>
      <c r="X469" s="29">
        <f>_xll.qlDayCounterYearFraction(DayCounter,R469,S469)</f>
        <v>9.166666666666666E-2</v>
      </c>
      <c r="Y469" s="29">
        <f>_xll.qlYieldTSDiscount(Currency&amp;"ON",R469)/(1+U469*X469)</f>
        <v>0.57120005512916883</v>
      </c>
      <c r="Z469" s="30" t="e">
        <f>_xll.qlTenorBasisValue(TenorBasis6M,R469,InterestRatesTrigger)</f>
        <v>#VALUE!</v>
      </c>
      <c r="AA469" s="30" t="e">
        <f t="shared" si="27"/>
        <v>#VALUE!</v>
      </c>
    </row>
    <row r="470" spans="15:27" x14ac:dyDescent="0.2">
      <c r="O470" s="33">
        <v>1</v>
      </c>
      <c r="P470" s="27" t="str">
        <f>_xll.qlPeriodEquivalent(P469&amp;"+"&amp;O470&amp;"M")</f>
        <v>38Y11M</v>
      </c>
      <c r="Q470" s="28">
        <f>_xll.qlCalendarAdvance(Calendar,SettlementDate,P470,"f",,Trigger)</f>
        <v>56494</v>
      </c>
      <c r="R470" s="28">
        <f>_xll.qlInterestRateIndexValueDate(Index,Q470,Trigger)</f>
        <v>56496</v>
      </c>
      <c r="S470" s="28">
        <f>_xll.qlInterestRateIndexMaturity(Index,R470,Trigger)</f>
        <v>56527</v>
      </c>
      <c r="T470" s="30">
        <f>_xll.qlIndexFixing($M$6,Q470,,InterestRatesTrigger)</f>
        <v>1.3996460663953998E-2</v>
      </c>
      <c r="U470" s="30">
        <f>_xll.qlIndexFixing(Index,Q470,,InterestRatesTrigger)</f>
        <v>1.3921674629502334E-2</v>
      </c>
      <c r="V470" s="30">
        <f t="shared" si="26"/>
        <v>-7.4786034451664041E-5</v>
      </c>
      <c r="W470" s="29">
        <f>_xll.qlDayCounterYearFraction(DayCounter,SettlementDate,R470,,,Trigger)</f>
        <v>39.491666666666667</v>
      </c>
      <c r="X470" s="29">
        <f>_xll.qlDayCounterYearFraction(DayCounter,R470,S470)</f>
        <v>8.611111111111111E-2</v>
      </c>
      <c r="Y470" s="29">
        <f>_xll.qlYieldTSDiscount(Currency&amp;"ON",R470)/(1+U470*X470)</f>
        <v>0.57057887936508045</v>
      </c>
      <c r="Z470" s="30" t="e">
        <f>_xll.qlTenorBasisValue(TenorBasis6M,R470,InterestRatesTrigger)</f>
        <v>#VALUE!</v>
      </c>
      <c r="AA470" s="30" t="e">
        <f t="shared" si="27"/>
        <v>#VALUE!</v>
      </c>
    </row>
    <row r="471" spans="15:27" x14ac:dyDescent="0.2">
      <c r="O471" s="33">
        <v>1</v>
      </c>
      <c r="P471" s="27" t="str">
        <f>_xll.qlPeriodEquivalent(P470&amp;"+"&amp;O471&amp;"M")</f>
        <v>39Y</v>
      </c>
      <c r="Q471" s="28">
        <f>_xll.qlCalendarAdvance(Calendar,SettlementDate,P471,"f",,Trigger)</f>
        <v>56524</v>
      </c>
      <c r="R471" s="28">
        <f>_xll.qlInterestRateIndexValueDate(Index,Q471,Trigger)</f>
        <v>56528</v>
      </c>
      <c r="S471" s="28">
        <f>_xll.qlInterestRateIndexMaturity(Index,R471,Trigger)</f>
        <v>56559</v>
      </c>
      <c r="T471" s="30">
        <f>_xll.qlIndexFixing($M$6,Q471,,InterestRatesTrigger)</f>
        <v>1.395347355610389E-2</v>
      </c>
      <c r="U471" s="30">
        <f>_xll.qlIndexFixing(Index,Q471,,InterestRatesTrigger)</f>
        <v>1.3877049589898126E-2</v>
      </c>
      <c r="V471" s="30">
        <f t="shared" si="26"/>
        <v>-7.6423966205763777E-5</v>
      </c>
      <c r="W471" s="29">
        <f>_xll.qlDayCounterYearFraction(DayCounter,SettlementDate,R471,,,Trigger)</f>
        <v>39.580555555555556</v>
      </c>
      <c r="X471" s="29">
        <f>_xll.qlDayCounterYearFraction(DayCounter,R471,S471)</f>
        <v>8.611111111111111E-2</v>
      </c>
      <c r="Y471" s="29">
        <f>_xll.qlYieldTSDiscount(Currency&amp;"ON",R471)/(1+U471*X471)</f>
        <v>0.56987209446782905</v>
      </c>
      <c r="Z471" s="30" t="e">
        <f>_xll.qlTenorBasisValue(TenorBasis6M,R471,InterestRatesTrigger)</f>
        <v>#VALUE!</v>
      </c>
      <c r="AA471" s="30" t="e">
        <f t="shared" si="27"/>
        <v>#VALUE!</v>
      </c>
    </row>
    <row r="472" spans="15:27" x14ac:dyDescent="0.2">
      <c r="O472" s="33">
        <v>1</v>
      </c>
      <c r="P472" s="27" t="str">
        <f>_xll.qlPeriodEquivalent(P471&amp;"+"&amp;O472&amp;"M")</f>
        <v>39Y1M</v>
      </c>
      <c r="Q472" s="28">
        <f>_xll.qlCalendarAdvance(Calendar,SettlementDate,P472,"f",,Trigger)</f>
        <v>56555</v>
      </c>
      <c r="R472" s="28">
        <f>_xll.qlInterestRateIndexValueDate(Index,Q472,Trigger)</f>
        <v>56557</v>
      </c>
      <c r="S472" s="28">
        <f>_xll.qlInterestRateIndexMaturity(Index,R472,Trigger)</f>
        <v>56587</v>
      </c>
      <c r="T472" s="30">
        <f>_xll.qlIndexFixing($M$6,Q472,,InterestRatesTrigger)</f>
        <v>1.3914197916131243E-2</v>
      </c>
      <c r="U472" s="30">
        <f>_xll.qlIndexFixing(Index,Q472,,InterestRatesTrigger)</f>
        <v>1.3836300744740626E-2</v>
      </c>
      <c r="V472" s="30">
        <f t="shared" si="26"/>
        <v>-7.7897171390617359E-5</v>
      </c>
      <c r="W472" s="29">
        <f>_xll.qlDayCounterYearFraction(DayCounter,SettlementDate,R472,,,Trigger)</f>
        <v>39.661111111111111</v>
      </c>
      <c r="X472" s="29">
        <f>_xll.qlDayCounterYearFraction(DayCounter,R472,S472)</f>
        <v>8.3333333333333329E-2</v>
      </c>
      <c r="Y472" s="29">
        <f>_xll.qlYieldTSDiscount(Currency&amp;"ON",R472)/(1+U472*X472)</f>
        <v>0.56925607075041729</v>
      </c>
      <c r="Z472" s="30" t="e">
        <f>_xll.qlTenorBasisValue(TenorBasis6M,R472,InterestRatesTrigger)</f>
        <v>#VALUE!</v>
      </c>
      <c r="AA472" s="30" t="e">
        <f t="shared" si="27"/>
        <v>#VALUE!</v>
      </c>
    </row>
    <row r="473" spans="15:27" x14ac:dyDescent="0.2">
      <c r="O473" s="33">
        <v>1</v>
      </c>
      <c r="P473" s="27" t="str">
        <f>_xll.qlPeriodEquivalent(P472&amp;"+"&amp;O473&amp;"M")</f>
        <v>39Y2M</v>
      </c>
      <c r="Q473" s="28">
        <f>_xll.qlCalendarAdvance(Calendar,SettlementDate,P473,"f",,Trigger)</f>
        <v>56585</v>
      </c>
      <c r="R473" s="28">
        <f>_xll.qlInterestRateIndexValueDate(Index,Q473,Trigger)</f>
        <v>56587</v>
      </c>
      <c r="S473" s="28">
        <f>_xll.qlInterestRateIndexMaturity(Index,R473,Trigger)</f>
        <v>56618</v>
      </c>
      <c r="T473" s="30">
        <f>_xll.qlIndexFixing($M$6,Q473,,InterestRatesTrigger)</f>
        <v>1.3871958640256921E-2</v>
      </c>
      <c r="U473" s="30">
        <f>_xll.qlIndexFixing(Index,Q473,,InterestRatesTrigger)</f>
        <v>1.3792460188288405E-2</v>
      </c>
      <c r="V473" s="30">
        <f t="shared" si="26"/>
        <v>-7.949845196851546E-5</v>
      </c>
      <c r="W473" s="29">
        <f>_xll.qlDayCounterYearFraction(DayCounter,SettlementDate,R473,,,Trigger)</f>
        <v>39.744444444444447</v>
      </c>
      <c r="X473" s="29">
        <f>_xll.qlDayCounterYearFraction(DayCounter,R473,S473)</f>
        <v>8.611111111111111E-2</v>
      </c>
      <c r="Y473" s="29">
        <f>_xll.qlYieldTSDiscount(Currency&amp;"ON",R473)/(1+U473*X473)</f>
        <v>0.56857708979060739</v>
      </c>
      <c r="Z473" s="30" t="e">
        <f>_xll.qlTenorBasisValue(TenorBasis6M,R473,InterestRatesTrigger)</f>
        <v>#VALUE!</v>
      </c>
      <c r="AA473" s="30" t="e">
        <f t="shared" si="27"/>
        <v>#VALUE!</v>
      </c>
    </row>
    <row r="474" spans="15:27" x14ac:dyDescent="0.2">
      <c r="O474" s="33">
        <v>1</v>
      </c>
      <c r="P474" s="27" t="str">
        <f>_xll.qlPeriodEquivalent(P473&amp;"+"&amp;O474&amp;"M")</f>
        <v>39Y3M</v>
      </c>
      <c r="Q474" s="28">
        <f>_xll.qlCalendarAdvance(Calendar,SettlementDate,P474,"f",,Trigger)</f>
        <v>56618</v>
      </c>
      <c r="R474" s="28">
        <f>_xll.qlInterestRateIndexValueDate(Index,Q474,Trigger)</f>
        <v>56620</v>
      </c>
      <c r="S474" s="28">
        <f>_xll.qlInterestRateIndexMaturity(Index,R474,Trigger)</f>
        <v>56653</v>
      </c>
      <c r="T474" s="30">
        <f>_xll.qlIndexFixing($M$6,Q474,,InterestRatesTrigger)</f>
        <v>1.3824170173279365E-2</v>
      </c>
      <c r="U474" s="30">
        <f>_xll.qlIndexFixing(Index,Q474,,InterestRatesTrigger)</f>
        <v>1.3742861197460437E-2</v>
      </c>
      <c r="V474" s="30">
        <f t="shared" si="26"/>
        <v>-8.130897581892782E-5</v>
      </c>
      <c r="W474" s="29">
        <f>_xll.qlDayCounterYearFraction(DayCounter,SettlementDate,R474,,,Trigger)</f>
        <v>39.836111111111109</v>
      </c>
      <c r="X474" s="29">
        <f>_xll.qlDayCounterYearFraction(DayCounter,R474,S474)</f>
        <v>9.166666666666666E-2</v>
      </c>
      <c r="Y474" s="29">
        <f>_xll.qlYieldTSDiscount(Currency&amp;"ON",R474)/(1+U474*X474)</f>
        <v>0.56781417464807538</v>
      </c>
      <c r="Z474" s="30" t="e">
        <f>_xll.qlTenorBasisValue(TenorBasis6M,R474,InterestRatesTrigger)</f>
        <v>#VALUE!</v>
      </c>
      <c r="AA474" s="30" t="e">
        <f t="shared" si="27"/>
        <v>#VALUE!</v>
      </c>
    </row>
    <row r="475" spans="15:27" x14ac:dyDescent="0.2">
      <c r="O475" s="33">
        <v>1</v>
      </c>
      <c r="P475" s="27" t="str">
        <f>_xll.qlPeriodEquivalent(P474&amp;"+"&amp;O475&amp;"M")</f>
        <v>39Y4M</v>
      </c>
      <c r="Q475" s="28">
        <f>_xll.qlCalendarAdvance(Calendar,SettlementDate,P475,"f",,Trigger)</f>
        <v>56647</v>
      </c>
      <c r="R475" s="28">
        <f>_xll.qlInterestRateIndexValueDate(Index,Q475,Trigger)</f>
        <v>56649</v>
      </c>
      <c r="S475" s="28">
        <f>_xll.qlInterestRateIndexMaturity(Index,R475,Trigger)</f>
        <v>56677</v>
      </c>
      <c r="T475" s="30">
        <f>_xll.qlIndexFixing($M$6,Q475,,InterestRatesTrigger)</f>
        <v>1.3784517707028534E-2</v>
      </c>
      <c r="U475" s="30">
        <f>_xll.qlIndexFixing(Index,Q475,,InterestRatesTrigger)</f>
        <v>1.3701801864915668E-2</v>
      </c>
      <c r="V475" s="30">
        <f t="shared" si="26"/>
        <v>-8.2715842112866117E-5</v>
      </c>
      <c r="W475" s="29">
        <f>_xll.qlDayCounterYearFraction(DayCounter,SettlementDate,R475,,,Trigger)</f>
        <v>39.916666666666664</v>
      </c>
      <c r="X475" s="29">
        <f>_xll.qlDayCounterYearFraction(DayCounter,R475,S475)</f>
        <v>7.7777777777777779E-2</v>
      </c>
      <c r="Y475" s="29">
        <f>_xll.qlYieldTSDiscount(Currency&amp;"ON",R475)/(1+U475*X475)</f>
        <v>0.56729242345264952</v>
      </c>
      <c r="Z475" s="30" t="e">
        <f>_xll.qlTenorBasisValue(TenorBasis6M,R475,InterestRatesTrigger)</f>
        <v>#VALUE!</v>
      </c>
      <c r="AA475" s="30" t="e">
        <f t="shared" si="27"/>
        <v>#VALUE!</v>
      </c>
    </row>
    <row r="476" spans="15:27" x14ac:dyDescent="0.2">
      <c r="O476" s="33">
        <v>1</v>
      </c>
      <c r="P476" s="27" t="str">
        <f>_xll.qlPeriodEquivalent(P475&amp;"+"&amp;O476&amp;"M")</f>
        <v>39Y5M</v>
      </c>
      <c r="Q476" s="28">
        <f>_xll.qlCalendarAdvance(Calendar,SettlementDate,P476,"f",,Trigger)</f>
        <v>56675</v>
      </c>
      <c r="R476" s="28">
        <f>_xll.qlInterestRateIndexValueDate(Index,Q476,Trigger)</f>
        <v>56677</v>
      </c>
      <c r="S476" s="28">
        <f>_xll.qlInterestRateIndexMaturity(Index,R476,Trigger)</f>
        <v>56709</v>
      </c>
      <c r="T476" s="30">
        <f>_xll.qlIndexFixing($M$6,Q476,,InterestRatesTrigger)</f>
        <v>1.3741429982924158E-2</v>
      </c>
      <c r="U476" s="30">
        <f>_xll.qlIndexFixing(Index,Q476,,InterestRatesTrigger)</f>
        <v>1.3657072821587901E-2</v>
      </c>
      <c r="V476" s="30">
        <f t="shared" si="26"/>
        <v>-8.4357161336257036E-5</v>
      </c>
      <c r="W476" s="29">
        <f>_xll.qlDayCounterYearFraction(DayCounter,SettlementDate,R476,,,Trigger)</f>
        <v>39.994444444444447</v>
      </c>
      <c r="X476" s="29">
        <f>_xll.qlDayCounterYearFraction(DayCounter,R476,S476)</f>
        <v>8.8888888888888892E-2</v>
      </c>
      <c r="Y476" s="29">
        <f>_xll.qlYieldTSDiscount(Currency&amp;"ON",R476)/(1+U476*X476)</f>
        <v>0.56660094567801111</v>
      </c>
      <c r="Z476" s="30" t="e">
        <f>_xll.qlTenorBasisValue(TenorBasis6M,R476,InterestRatesTrigger)</f>
        <v>#VALUE!</v>
      </c>
      <c r="AA476" s="30" t="e">
        <f t="shared" si="27"/>
        <v>#VALUE!</v>
      </c>
    </row>
    <row r="477" spans="15:27" x14ac:dyDescent="0.2">
      <c r="O477" s="33">
        <v>1</v>
      </c>
      <c r="P477" s="27" t="str">
        <f>_xll.qlPeriodEquivalent(P476&amp;"+"&amp;O477&amp;"M")</f>
        <v>39Y6M</v>
      </c>
      <c r="Q477" s="28">
        <f>_xll.qlCalendarAdvance(Calendar,SettlementDate,P477,"f",,Trigger)</f>
        <v>56706</v>
      </c>
      <c r="R477" s="28">
        <f>_xll.qlInterestRateIndexValueDate(Index,Q477,Trigger)</f>
        <v>56710</v>
      </c>
      <c r="S477" s="28">
        <f>_xll.qlInterestRateIndexMaturity(Index,R477,Trigger)</f>
        <v>56740</v>
      </c>
      <c r="T477" s="30">
        <f>_xll.qlIndexFixing($M$6,Q477,,InterestRatesTrigger)</f>
        <v>1.3692980884728811E-2</v>
      </c>
      <c r="U477" s="30">
        <f>_xll.qlIndexFixing(Index,Q477,,InterestRatesTrigger)</f>
        <v>1.3606872454393404E-2</v>
      </c>
      <c r="V477" s="30">
        <f t="shared" si="26"/>
        <v>-8.6108430335407604E-5</v>
      </c>
      <c r="W477" s="29">
        <f>_xll.qlDayCounterYearFraction(DayCounter,SettlementDate,R477,,,Trigger)</f>
        <v>40.086111111111109</v>
      </c>
      <c r="X477" s="29">
        <f>_xll.qlDayCounterYearFraction(DayCounter,R477,S477)</f>
        <v>8.3333333333333329E-2</v>
      </c>
      <c r="Y477" s="29">
        <f>_xll.qlYieldTSDiscount(Currency&amp;"ON",R477)/(1+U477*X477)</f>
        <v>0.56593341180996981</v>
      </c>
      <c r="Z477" s="30" t="e">
        <f>_xll.qlTenorBasisValue(TenorBasis6M,R477,InterestRatesTrigger)</f>
        <v>#VALUE!</v>
      </c>
      <c r="AA477" s="30" t="e">
        <f t="shared" si="27"/>
        <v>#VALUE!</v>
      </c>
    </row>
    <row r="478" spans="15:27" x14ac:dyDescent="0.2">
      <c r="O478" s="33">
        <v>1</v>
      </c>
      <c r="P478" s="27" t="str">
        <f>_xll.qlPeriodEquivalent(P477&amp;"+"&amp;O478&amp;"M")</f>
        <v>39Y7M</v>
      </c>
      <c r="Q478" s="28">
        <f>_xll.qlCalendarAdvance(Calendar,SettlementDate,P478,"f",,Trigger)</f>
        <v>56737</v>
      </c>
      <c r="R478" s="28">
        <f>_xll.qlInterestRateIndexValueDate(Index,Q478,Trigger)</f>
        <v>56739</v>
      </c>
      <c r="S478" s="28">
        <f>_xll.qlInterestRateIndexMaturity(Index,R478,Trigger)</f>
        <v>56772</v>
      </c>
      <c r="T478" s="30">
        <f>_xll.qlIndexFixing($M$6,Q478,,InterestRatesTrigger)</f>
        <v>1.3647239894623424E-2</v>
      </c>
      <c r="U478" s="30">
        <f>_xll.qlIndexFixing(Index,Q478,,InterestRatesTrigger)</f>
        <v>1.3559425768674417E-2</v>
      </c>
      <c r="V478" s="30">
        <f t="shared" si="26"/>
        <v>-8.7814125949006727E-5</v>
      </c>
      <c r="W478" s="29">
        <f>_xll.qlDayCounterYearFraction(DayCounter,SettlementDate,R478,,,Trigger)</f>
        <v>40.166666666666664</v>
      </c>
      <c r="X478" s="29">
        <f>_xll.qlDayCounterYearFraction(DayCounter,R478,S478)</f>
        <v>9.166666666666666E-2</v>
      </c>
      <c r="Y478" s="29">
        <f>_xll.qlYieldTSDiscount(Currency&amp;"ON",R478)/(1+U478*X478)</f>
        <v>0.56524826098118053</v>
      </c>
      <c r="Z478" s="30" t="e">
        <f>_xll.qlTenorBasisValue(TenorBasis6M,R478,InterestRatesTrigger)</f>
        <v>#VALUE!</v>
      </c>
      <c r="AA478" s="30" t="e">
        <f t="shared" si="27"/>
        <v>#VALUE!</v>
      </c>
    </row>
    <row r="479" spans="15:27" x14ac:dyDescent="0.2">
      <c r="O479" s="33">
        <v>1</v>
      </c>
      <c r="P479" s="27" t="str">
        <f>_xll.qlPeriodEquivalent(P478&amp;"+"&amp;O479&amp;"M")</f>
        <v>39Y8M</v>
      </c>
      <c r="Q479" s="28">
        <f>_xll.qlCalendarAdvance(Calendar,SettlementDate,P479,"f",,Trigger)</f>
        <v>56767</v>
      </c>
      <c r="R479" s="28">
        <f>_xll.qlInterestRateIndexValueDate(Index,Q479,Trigger)</f>
        <v>56769</v>
      </c>
      <c r="S479" s="28">
        <f>_xll.qlInterestRateIndexMaturity(Index,R479,Trigger)</f>
        <v>56800</v>
      </c>
      <c r="T479" s="30">
        <f>_xll.qlIndexFixing($M$6,Q479,,InterestRatesTrigger)</f>
        <v>1.3601750380910028E-2</v>
      </c>
      <c r="U479" s="30">
        <f>_xll.qlIndexFixing(Index,Q479,,InterestRatesTrigger)</f>
        <v>1.3512312360284344E-2</v>
      </c>
      <c r="V479" s="30">
        <f t="shared" si="26"/>
        <v>-8.9438020625684164E-5</v>
      </c>
      <c r="W479" s="29">
        <f>_xll.qlDayCounterYearFraction(DayCounter,SettlementDate,R479,,,Trigger)</f>
        <v>40.25</v>
      </c>
      <c r="X479" s="29">
        <f>_xll.qlDayCounterYearFraction(DayCounter,R479,S479)</f>
        <v>8.611111111111111E-2</v>
      </c>
      <c r="Y479" s="29">
        <f>_xll.qlYieldTSDiscount(Currency&amp;"ON",R479)/(1+U479*X479)</f>
        <v>0.56465084945373256</v>
      </c>
      <c r="Z479" s="30" t="e">
        <f>_xll.qlTenorBasisValue(TenorBasis6M,R479,InterestRatesTrigger)</f>
        <v>#VALUE!</v>
      </c>
      <c r="AA479" s="30" t="e">
        <f t="shared" si="27"/>
        <v>#VALUE!</v>
      </c>
    </row>
    <row r="480" spans="15:27" x14ac:dyDescent="0.2">
      <c r="O480" s="33">
        <v>1</v>
      </c>
      <c r="P480" s="27" t="str">
        <f>_xll.qlPeriodEquivalent(P479&amp;"+"&amp;O480&amp;"M")</f>
        <v>39Y9M</v>
      </c>
      <c r="Q480" s="28">
        <f>_xll.qlCalendarAdvance(Calendar,SettlementDate,P480,"f",,Trigger)</f>
        <v>56797</v>
      </c>
      <c r="R480" s="28">
        <f>_xll.qlInterestRateIndexValueDate(Index,Q480,Trigger)</f>
        <v>56801</v>
      </c>
      <c r="S480" s="28">
        <f>_xll.qlInterestRateIndexMaturity(Index,R480,Trigger)</f>
        <v>56832</v>
      </c>
      <c r="T480" s="30">
        <f>_xll.qlIndexFixing($M$6,Q480,,InterestRatesTrigger)</f>
        <v>1.3551264101394336E-2</v>
      </c>
      <c r="U480" s="30">
        <f>_xll.qlIndexFixing(Index,Q480,,InterestRatesTrigger)</f>
        <v>1.3460005790321247E-2</v>
      </c>
      <c r="V480" s="30">
        <f t="shared" si="26"/>
        <v>-9.1258311073089474E-5</v>
      </c>
      <c r="W480" s="29">
        <f>_xll.qlDayCounterYearFraction(DayCounter,SettlementDate,R480,,,Trigger)</f>
        <v>40.338888888888889</v>
      </c>
      <c r="X480" s="29">
        <f>_xll.qlDayCounterYearFraction(DayCounter,R480,S480)</f>
        <v>8.611111111111111E-2</v>
      </c>
      <c r="Y480" s="29">
        <f>_xll.qlYieldTSDiscount(Currency&amp;"ON",R480)/(1+U480*X480)</f>
        <v>0.56397154954776074</v>
      </c>
      <c r="Z480" s="30" t="e">
        <f>_xll.qlTenorBasisValue(TenorBasis6M,R480,InterestRatesTrigger)</f>
        <v>#VALUE!</v>
      </c>
      <c r="AA480" s="30" t="e">
        <f t="shared" si="27"/>
        <v>#VALUE!</v>
      </c>
    </row>
    <row r="481" spans="15:27" x14ac:dyDescent="0.2">
      <c r="O481" s="33">
        <v>1</v>
      </c>
      <c r="P481" s="27" t="str">
        <f>_xll.qlPeriodEquivalent(P480&amp;"+"&amp;O481&amp;"M")</f>
        <v>39Y10M</v>
      </c>
      <c r="Q481" s="28">
        <f>_xll.qlCalendarAdvance(Calendar,SettlementDate,P481,"f",,Trigger)</f>
        <v>56828</v>
      </c>
      <c r="R481" s="28">
        <f>_xll.qlInterestRateIndexValueDate(Index,Q481,Trigger)</f>
        <v>56830</v>
      </c>
      <c r="S481" s="28">
        <f>_xll.qlInterestRateIndexMaturity(Index,R481,Trigger)</f>
        <v>56863</v>
      </c>
      <c r="T481" s="30">
        <f>_xll.qlIndexFixing($M$6,Q481,,InterestRatesTrigger)</f>
        <v>1.3503614281865337E-2</v>
      </c>
      <c r="U481" s="30">
        <f>_xll.qlIndexFixing(Index,Q481,,InterestRatesTrigger)</f>
        <v>1.3410622269469451E-2</v>
      </c>
      <c r="V481" s="30">
        <f t="shared" si="26"/>
        <v>-9.2992012395886475E-5</v>
      </c>
      <c r="W481" s="29">
        <f>_xll.qlDayCounterYearFraction(DayCounter,SettlementDate,R481,,,Trigger)</f>
        <v>40.419444444444444</v>
      </c>
      <c r="X481" s="29">
        <f>_xll.qlDayCounterYearFraction(DayCounter,R481,S481)</f>
        <v>9.166666666666666E-2</v>
      </c>
      <c r="Y481" s="29">
        <f>_xll.qlYieldTSDiscount(Currency&amp;"ON",R481)/(1+U481*X481)</f>
        <v>0.56331699585362249</v>
      </c>
      <c r="Z481" s="30" t="e">
        <f>_xll.qlTenorBasisValue(TenorBasis6M,R481,InterestRatesTrigger)</f>
        <v>#VALUE!</v>
      </c>
      <c r="AA481" s="30" t="e">
        <f t="shared" si="27"/>
        <v>#VALUE!</v>
      </c>
    </row>
    <row r="482" spans="15:27" x14ac:dyDescent="0.2">
      <c r="O482" s="33">
        <v>1</v>
      </c>
      <c r="P482" s="27" t="str">
        <f>_xll.qlPeriodEquivalent(P481&amp;"+"&amp;O482&amp;"M")</f>
        <v>39Y11M</v>
      </c>
      <c r="Q482" s="28">
        <f>_xll.qlCalendarAdvance(Calendar,SettlementDate,P482,"f",,Trigger)</f>
        <v>56859</v>
      </c>
      <c r="R482" s="28">
        <f>_xll.qlInterestRateIndexValueDate(Index,Q482,Trigger)</f>
        <v>56863</v>
      </c>
      <c r="S482" s="28">
        <f>_xll.qlInterestRateIndexMaturity(Index,R482,Trigger)</f>
        <v>56893</v>
      </c>
      <c r="T482" s="30">
        <f>_xll.qlIndexFixing($M$6,Q482,,InterestRatesTrigger)</f>
        <v>1.3451431403429304E-2</v>
      </c>
      <c r="U482" s="30">
        <f>_xll.qlIndexFixing(Index,Q482,,InterestRatesTrigger)</f>
        <v>1.3356622627862968E-2</v>
      </c>
      <c r="V482" s="30">
        <f t="shared" si="26"/>
        <v>-9.4808775566335157E-5</v>
      </c>
      <c r="W482" s="29">
        <f>_xll.qlDayCounterYearFraction(DayCounter,SettlementDate,R482,,,Trigger)</f>
        <v>40.511111111111113</v>
      </c>
      <c r="X482" s="29">
        <f>_xll.qlDayCounterYearFraction(DayCounter,R482,S482)</f>
        <v>8.3333333333333329E-2</v>
      </c>
      <c r="Y482" s="29">
        <f>_xll.qlYieldTSDiscount(Currency&amp;"ON",R482)/(1+U482*X482)</f>
        <v>0.56268590132174434</v>
      </c>
      <c r="Z482" s="30" t="e">
        <f>_xll.qlTenorBasisValue(TenorBasis6M,R482,InterestRatesTrigger)</f>
        <v>#VALUE!</v>
      </c>
      <c r="AA482" s="30" t="e">
        <f t="shared" si="27"/>
        <v>#VALUE!</v>
      </c>
    </row>
    <row r="483" spans="15:27" x14ac:dyDescent="0.2">
      <c r="O483" s="33">
        <v>1</v>
      </c>
      <c r="P483" s="27" t="str">
        <f>_xll.qlPeriodEquivalent(P482&amp;"+"&amp;O483&amp;"M")</f>
        <v>40Y</v>
      </c>
      <c r="Q483" s="28">
        <f>_xll.qlCalendarAdvance(Calendar,SettlementDate,P483,"f",,Trigger)</f>
        <v>56891</v>
      </c>
      <c r="R483" s="28">
        <f>_xll.qlInterestRateIndexValueDate(Index,Q483,Trigger)</f>
        <v>56893</v>
      </c>
      <c r="S483" s="28">
        <f>_xll.qlInterestRateIndexMaturity(Index,R483,Trigger)</f>
        <v>56926</v>
      </c>
      <c r="T483" s="30">
        <f>_xll.qlIndexFixing($M$6,Q483,,InterestRatesTrigger)</f>
        <v>1.33962640235003E-2</v>
      </c>
      <c r="U483" s="30">
        <f>_xll.qlIndexFixing(Index,Q483,,InterestRatesTrigger)</f>
        <v>1.3301425566601664E-2</v>
      </c>
      <c r="V483" s="30">
        <f t="shared" si="26"/>
        <v>-9.4838456898636847E-5</v>
      </c>
      <c r="W483" s="29">
        <f>_xll.qlDayCounterYearFraction(DayCounter,SettlementDate,R483,,,Trigger)</f>
        <v>40.594444444444441</v>
      </c>
      <c r="X483" s="29">
        <f>_xll.qlDayCounterYearFraction(DayCounter,R483,S483)</f>
        <v>9.166666666666666E-2</v>
      </c>
      <c r="Y483" s="29">
        <f>_xll.qlYieldTSDiscount(Currency&amp;"ON",R483)/(1+U483*X483)</f>
        <v>0.56199622017102346</v>
      </c>
      <c r="Z483" s="30" t="e">
        <f>_xll.qlTenorBasisValue(TenorBasis6M,R483,InterestRatesTrigger)</f>
        <v>#VALUE!</v>
      </c>
      <c r="AA483" s="30" t="e">
        <f t="shared" si="27"/>
        <v>#VALUE!</v>
      </c>
    </row>
    <row r="484" spans="15:27" x14ac:dyDescent="0.2">
      <c r="O484" s="33">
        <v>1</v>
      </c>
      <c r="P484" s="27" t="str">
        <f>_xll.qlPeriodEquivalent(P483&amp;"+"&amp;O484&amp;"M")</f>
        <v>40Y1M</v>
      </c>
      <c r="Q484" s="28">
        <f>_xll.qlCalendarAdvance(Calendar,SettlementDate,P484,"f",,Trigger)</f>
        <v>56920</v>
      </c>
      <c r="R484" s="28">
        <f>_xll.qlInterestRateIndexValueDate(Index,Q484,Trigger)</f>
        <v>56922</v>
      </c>
      <c r="S484" s="28">
        <f>_xll.qlInterestRateIndexMaturity(Index,R484,Trigger)</f>
        <v>56954</v>
      </c>
      <c r="T484" s="30">
        <f>_xll.qlIndexFixing($M$6,Q484,,InterestRatesTrigger)</f>
        <v>1.3343199800748828E-2</v>
      </c>
      <c r="U484" s="30">
        <f>_xll.qlIndexFixing(Index,Q484,,InterestRatesTrigger)</f>
        <v>1.3249494586218546E-2</v>
      </c>
      <c r="V484" s="30">
        <f t="shared" ref="V484:V547" si="28">U484-T484</f>
        <v>-9.3705214530281911E-5</v>
      </c>
      <c r="W484" s="29">
        <f>_xll.qlDayCounterYearFraction(DayCounter,SettlementDate,R484,,,Trigger)</f>
        <v>40.674999999999997</v>
      </c>
      <c r="X484" s="29">
        <f>_xll.qlDayCounterYearFraction(DayCounter,R484,S484)</f>
        <v>8.8888888888888892E-2</v>
      </c>
      <c r="Y484" s="29">
        <f>_xll.qlYieldTSDiscount(Currency&amp;"ON",R484)/(1+U484*X484)</f>
        <v>0.56141358295683819</v>
      </c>
      <c r="Z484" s="30" t="e">
        <f>_xll.qlTenorBasisValue(TenorBasis6M,R484,InterestRatesTrigger)</f>
        <v>#VALUE!</v>
      </c>
      <c r="AA484" s="30" t="e">
        <f t="shared" ref="AA484:AA547" si="29">V484-Z484</f>
        <v>#VALUE!</v>
      </c>
    </row>
    <row r="485" spans="15:27" x14ac:dyDescent="0.2">
      <c r="O485" s="33">
        <v>1</v>
      </c>
      <c r="P485" s="27" t="str">
        <f>_xll.qlPeriodEquivalent(P484&amp;"+"&amp;O485&amp;"M")</f>
        <v>40Y2M</v>
      </c>
      <c r="Q485" s="28">
        <f>_xll.qlCalendarAdvance(Calendar,SettlementDate,P485,"f",,Trigger)</f>
        <v>56950</v>
      </c>
      <c r="R485" s="28">
        <f>_xll.qlInterestRateIndexValueDate(Index,Q485,Trigger)</f>
        <v>56954</v>
      </c>
      <c r="S485" s="28">
        <f>_xll.qlInterestRateIndexMaturity(Index,R485,Trigger)</f>
        <v>56985</v>
      </c>
      <c r="T485" s="30">
        <f>_xll.qlIndexFixing($M$6,Q485,,InterestRatesTrigger)</f>
        <v>1.3285083940116734E-2</v>
      </c>
      <c r="U485" s="30">
        <f>_xll.qlIndexFixing(Index,Q485,,InterestRatesTrigger)</f>
        <v>1.3192589763582063E-2</v>
      </c>
      <c r="V485" s="30">
        <f t="shared" si="28"/>
        <v>-9.2494176534670819E-5</v>
      </c>
      <c r="W485" s="29">
        <f>_xll.qlDayCounterYearFraction(DayCounter,SettlementDate,R485,,,Trigger)</f>
        <v>40.763888888888886</v>
      </c>
      <c r="X485" s="29">
        <f>_xll.qlDayCounterYearFraction(DayCounter,R485,S485)</f>
        <v>8.611111111111111E-2</v>
      </c>
      <c r="Y485" s="29">
        <f>_xll.qlYieldTSDiscount(Currency&amp;"ON",R485)/(1+U485*X485)</f>
        <v>0.56077185943533825</v>
      </c>
      <c r="Z485" s="30" t="e">
        <f>_xll.qlTenorBasisValue(TenorBasis6M,R485,InterestRatesTrigger)</f>
        <v>#VALUE!</v>
      </c>
      <c r="AA485" s="30" t="e">
        <f t="shared" si="29"/>
        <v>#VALUE!</v>
      </c>
    </row>
    <row r="486" spans="15:27" x14ac:dyDescent="0.2">
      <c r="O486" s="33">
        <v>1</v>
      </c>
      <c r="P486" s="27" t="str">
        <f>_xll.qlPeriodEquivalent(P485&amp;"+"&amp;O486&amp;"M")</f>
        <v>40Y3M</v>
      </c>
      <c r="Q486" s="28">
        <f>_xll.qlCalendarAdvance(Calendar,SettlementDate,P486,"f",,Trigger)</f>
        <v>56982</v>
      </c>
      <c r="R486" s="28">
        <f>_xll.qlInterestRateIndexValueDate(Index,Q486,Trigger)</f>
        <v>56984</v>
      </c>
      <c r="S486" s="28">
        <f>_xll.qlInterestRateIndexMaturity(Index,R486,Trigger)</f>
        <v>57017</v>
      </c>
      <c r="T486" s="30">
        <f>_xll.qlIndexFixing($M$6,Q486,,InterestRatesTrigger)</f>
        <v>1.3229147348836826E-2</v>
      </c>
      <c r="U486" s="30">
        <f>_xll.qlIndexFixing(Index,Q486,,InterestRatesTrigger)</f>
        <v>1.3137792050308407E-2</v>
      </c>
      <c r="V486" s="30">
        <f t="shared" si="28"/>
        <v>-9.135529852841856E-5</v>
      </c>
      <c r="W486" s="29">
        <f>_xll.qlDayCounterYearFraction(DayCounter,SettlementDate,R486,,,Trigger)</f>
        <v>40.847222222222221</v>
      </c>
      <c r="X486" s="29">
        <f>_xll.qlDayCounterYearFraction(DayCounter,R486,S486)</f>
        <v>9.166666666666666E-2</v>
      </c>
      <c r="Y486" s="29">
        <f>_xll.qlYieldTSDiscount(Currency&amp;"ON",R486)/(1+U486*X486)</f>
        <v>0.56011349471821115</v>
      </c>
      <c r="Z486" s="30" t="e">
        <f>_xll.qlTenorBasisValue(TenorBasis6M,R486,InterestRatesTrigger)</f>
        <v>#VALUE!</v>
      </c>
      <c r="AA486" s="30" t="e">
        <f t="shared" si="29"/>
        <v>#VALUE!</v>
      </c>
    </row>
    <row r="487" spans="15:27" x14ac:dyDescent="0.2">
      <c r="O487" s="33">
        <v>1</v>
      </c>
      <c r="P487" s="27" t="str">
        <f>_xll.qlPeriodEquivalent(P486&amp;"+"&amp;O487&amp;"M")</f>
        <v>40Y4M</v>
      </c>
      <c r="Q487" s="28">
        <f>_xll.qlCalendarAdvance(Calendar,SettlementDate,P487,"f",,Trigger)</f>
        <v>57012</v>
      </c>
      <c r="R487" s="28">
        <f>_xll.qlInterestRateIndexValueDate(Index,Q487,Trigger)</f>
        <v>57014</v>
      </c>
      <c r="S487" s="28">
        <f>_xll.qlInterestRateIndexMaturity(Index,R487,Trigger)</f>
        <v>57045</v>
      </c>
      <c r="T487" s="30">
        <f>_xll.qlIndexFixing($M$6,Q487,,InterestRatesTrigger)</f>
        <v>1.3176349789849821E-2</v>
      </c>
      <c r="U487" s="30">
        <f>_xll.qlIndexFixing(Index,Q487,,InterestRatesTrigger)</f>
        <v>1.3086034698709857E-2</v>
      </c>
      <c r="V487" s="30">
        <f t="shared" si="28"/>
        <v>-9.0315091139964165E-5</v>
      </c>
      <c r="W487" s="29">
        <f>_xll.qlDayCounterYearFraction(DayCounter,SettlementDate,R487,,,Trigger)</f>
        <v>40.930555555555557</v>
      </c>
      <c r="X487" s="29">
        <f>_xll.qlDayCounterYearFraction(DayCounter,R487,S487)</f>
        <v>8.611111111111111E-2</v>
      </c>
      <c r="Y487" s="29">
        <f>_xll.qlYieldTSDiscount(Currency&amp;"ON",R487)/(1+U487*X487)</f>
        <v>0.55953987815700068</v>
      </c>
      <c r="Z487" s="30" t="e">
        <f>_xll.qlTenorBasisValue(TenorBasis6M,R487,InterestRatesTrigger)</f>
        <v>#VALUE!</v>
      </c>
      <c r="AA487" s="30" t="e">
        <f t="shared" si="29"/>
        <v>#VALUE!</v>
      </c>
    </row>
    <row r="488" spans="15:27" x14ac:dyDescent="0.2">
      <c r="O488" s="33">
        <v>1</v>
      </c>
      <c r="P488" s="27" t="str">
        <f>_xll.qlPeriodEquivalent(P487&amp;"+"&amp;O488&amp;"M")</f>
        <v>40Y5M</v>
      </c>
      <c r="Q488" s="28">
        <f>_xll.qlCalendarAdvance(Calendar,SettlementDate,P488,"f",,Trigger)</f>
        <v>57041</v>
      </c>
      <c r="R488" s="28">
        <f>_xll.qlInterestRateIndexValueDate(Index,Q488,Trigger)</f>
        <v>57045</v>
      </c>
      <c r="S488" s="28">
        <f>_xll.qlInterestRateIndexMaturity(Index,R488,Trigger)</f>
        <v>57076</v>
      </c>
      <c r="T488" s="30">
        <f>_xll.qlIndexFixing($M$6,Q488,,InterestRatesTrigger)</f>
        <v>1.3120949641497136E-2</v>
      </c>
      <c r="U488" s="30">
        <f>_xll.qlIndexFixing(Index,Q488,,InterestRatesTrigger)</f>
        <v>1.3031697383430338E-2</v>
      </c>
      <c r="V488" s="30">
        <f t="shared" si="28"/>
        <v>-8.9252258066798568E-5</v>
      </c>
      <c r="W488" s="29">
        <f>_xll.qlDayCounterYearFraction(DayCounter,SettlementDate,R488,,,Trigger)</f>
        <v>41.016666666666666</v>
      </c>
      <c r="X488" s="29">
        <f>_xll.qlDayCounterYearFraction(DayCounter,R488,S488)</f>
        <v>8.611111111111111E-2</v>
      </c>
      <c r="Y488" s="29">
        <f>_xll.qlYieldTSDiscount(Currency&amp;"ON",R488)/(1+U488*X488)</f>
        <v>0.55890833909917215</v>
      </c>
      <c r="Z488" s="30" t="e">
        <f>_xll.qlTenorBasisValue(TenorBasis6M,R488,InterestRatesTrigger)</f>
        <v>#VALUE!</v>
      </c>
      <c r="AA488" s="30" t="e">
        <f t="shared" si="29"/>
        <v>#VALUE!</v>
      </c>
    </row>
    <row r="489" spans="15:27" x14ac:dyDescent="0.2">
      <c r="O489" s="33">
        <v>1</v>
      </c>
      <c r="P489" s="27" t="str">
        <f>_xll.qlPeriodEquivalent(P488&amp;"+"&amp;O489&amp;"M")</f>
        <v>40Y6M</v>
      </c>
      <c r="Q489" s="28">
        <f>_xll.qlCalendarAdvance(Calendar,SettlementDate,P489,"f",,Trigger)</f>
        <v>57074</v>
      </c>
      <c r="R489" s="28">
        <f>_xll.qlInterestRateIndexValueDate(Index,Q489,Trigger)</f>
        <v>57076</v>
      </c>
      <c r="S489" s="28">
        <f>_xll.qlInterestRateIndexMaturity(Index,R489,Trigger)</f>
        <v>57108</v>
      </c>
      <c r="T489" s="30">
        <f>_xll.qlIndexFixing($M$6,Q489,,InterestRatesTrigger)</f>
        <v>1.3065447920598272E-2</v>
      </c>
      <c r="U489" s="30">
        <f>_xll.qlIndexFixing(Index,Q489,,InterestRatesTrigger)</f>
        <v>1.2977227692875237E-2</v>
      </c>
      <c r="V489" s="30">
        <f t="shared" si="28"/>
        <v>-8.8220227723034839E-5</v>
      </c>
      <c r="W489" s="29">
        <f>_xll.qlDayCounterYearFraction(DayCounter,SettlementDate,R489,,,Trigger)</f>
        <v>41.102777777777774</v>
      </c>
      <c r="X489" s="29">
        <f>_xll.qlDayCounterYearFraction(DayCounter,R489,S489)</f>
        <v>8.8888888888888892E-2</v>
      </c>
      <c r="Y489" s="29">
        <f>_xll.qlYieldTSDiscount(Currency&amp;"ON",R489)/(1+U489*X489)</f>
        <v>0.55826007789335397</v>
      </c>
      <c r="Z489" s="30" t="e">
        <f>_xll.qlTenorBasisValue(TenorBasis6M,R489,InterestRatesTrigger)</f>
        <v>#VALUE!</v>
      </c>
      <c r="AA489" s="30" t="e">
        <f t="shared" si="29"/>
        <v>#VALUE!</v>
      </c>
    </row>
    <row r="490" spans="15:27" x14ac:dyDescent="0.2">
      <c r="O490" s="33">
        <v>1</v>
      </c>
      <c r="P490" s="27" t="str">
        <f>_xll.qlPeriodEquivalent(P489&amp;"+"&amp;O490&amp;"M")</f>
        <v>40Y7M</v>
      </c>
      <c r="Q490" s="28">
        <f>_xll.qlCalendarAdvance(Calendar,SettlementDate,P490,"f",,Trigger)</f>
        <v>57102</v>
      </c>
      <c r="R490" s="28">
        <f>_xll.qlInterestRateIndexValueDate(Index,Q490,Trigger)</f>
        <v>57104</v>
      </c>
      <c r="S490" s="28">
        <f>_xll.qlInterestRateIndexMaturity(Index,R490,Trigger)</f>
        <v>57136</v>
      </c>
      <c r="T490" s="30">
        <f>_xll.qlIndexFixing($M$6,Q490,,InterestRatesTrigger)</f>
        <v>1.3016373751854604E-2</v>
      </c>
      <c r="U490" s="30">
        <f>_xll.qlIndexFixing(Index,Q490,,InterestRatesTrigger)</f>
        <v>1.2929035690841251E-2</v>
      </c>
      <c r="V490" s="30">
        <f t="shared" si="28"/>
        <v>-8.7338061013353396E-5</v>
      </c>
      <c r="W490" s="29">
        <f>_xll.qlDayCounterYearFraction(DayCounter,SettlementDate,R490,,,Trigger)</f>
        <v>41.180555555555557</v>
      </c>
      <c r="X490" s="29">
        <f>_xll.qlDayCounterYearFraction(DayCounter,R490,S490)</f>
        <v>8.8888888888888892E-2</v>
      </c>
      <c r="Y490" s="29">
        <f>_xll.qlYieldTSDiscount(Currency&amp;"ON",R490)/(1+U490*X490)</f>
        <v>0.55769562404960316</v>
      </c>
      <c r="Z490" s="30" t="e">
        <f>_xll.qlTenorBasisValue(TenorBasis6M,R490,InterestRatesTrigger)</f>
        <v>#VALUE!</v>
      </c>
      <c r="AA490" s="30" t="e">
        <f t="shared" si="29"/>
        <v>#VALUE!</v>
      </c>
    </row>
    <row r="491" spans="15:27" x14ac:dyDescent="0.2">
      <c r="O491" s="33">
        <v>1</v>
      </c>
      <c r="P491" s="27" t="str">
        <f>_xll.qlPeriodEquivalent(P490&amp;"+"&amp;O491&amp;"M")</f>
        <v>40Y8M</v>
      </c>
      <c r="Q491" s="28">
        <f>_xll.qlCalendarAdvance(Calendar,SettlementDate,P491,"f",,Trigger)</f>
        <v>57133</v>
      </c>
      <c r="R491" s="28">
        <f>_xll.qlInterestRateIndexValueDate(Index,Q491,Trigger)</f>
        <v>57137</v>
      </c>
      <c r="S491" s="28">
        <f>_xll.qlInterestRateIndexMaturity(Index,R491,Trigger)</f>
        <v>57167</v>
      </c>
      <c r="T491" s="30">
        <f>_xll.qlIndexFixing($M$6,Q491,,InterestRatesTrigger)</f>
        <v>1.2960373425423555E-2</v>
      </c>
      <c r="U491" s="30">
        <f>_xll.qlIndexFixing(Index,Q491,,InterestRatesTrigger)</f>
        <v>1.2874005518232146E-2</v>
      </c>
      <c r="V491" s="30">
        <f t="shared" si="28"/>
        <v>-8.6367907191409188E-5</v>
      </c>
      <c r="W491" s="29">
        <f>_xll.qlDayCounterYearFraction(DayCounter,SettlementDate,R491,,,Trigger)</f>
        <v>41.272222222222226</v>
      </c>
      <c r="X491" s="29">
        <f>_xll.qlDayCounterYearFraction(DayCounter,R491,S491)</f>
        <v>8.3333333333333329E-2</v>
      </c>
      <c r="Y491" s="29">
        <f>_xll.qlYieldTSDiscount(Currency&amp;"ON",R491)/(1+U491*X491)</f>
        <v>0.55707354438425127</v>
      </c>
      <c r="Z491" s="30" t="e">
        <f>_xll.qlTenorBasisValue(TenorBasis6M,R491,InterestRatesTrigger)</f>
        <v>#VALUE!</v>
      </c>
      <c r="AA491" s="30" t="e">
        <f t="shared" si="29"/>
        <v>#VALUE!</v>
      </c>
    </row>
    <row r="492" spans="15:27" x14ac:dyDescent="0.2">
      <c r="O492" s="33">
        <v>1</v>
      </c>
      <c r="P492" s="27" t="str">
        <f>_xll.qlPeriodEquivalent(P491&amp;"+"&amp;O492&amp;"M")</f>
        <v>40Y9M</v>
      </c>
      <c r="Q492" s="28">
        <f>_xll.qlCalendarAdvance(Calendar,SettlementDate,P492,"f",,Trigger)</f>
        <v>57164</v>
      </c>
      <c r="R492" s="28">
        <f>_xll.qlInterestRateIndexValueDate(Index,Q492,Trigger)</f>
        <v>57166</v>
      </c>
      <c r="S492" s="28">
        <f>_xll.qlInterestRateIndexMaturity(Index,R492,Trigger)</f>
        <v>57199</v>
      </c>
      <c r="T492" s="30">
        <f>_xll.qlIndexFixing($M$6,Q492,,InterestRatesTrigger)</f>
        <v>1.2908704819104052E-2</v>
      </c>
      <c r="U492" s="30">
        <f>_xll.qlIndexFixing(Index,Q492,,InterestRatesTrigger)</f>
        <v>1.282320121664152E-2</v>
      </c>
      <c r="V492" s="30">
        <f t="shared" si="28"/>
        <v>-8.5503602462531914E-5</v>
      </c>
      <c r="W492" s="29">
        <f>_xll.qlDayCounterYearFraction(DayCounter,SettlementDate,R492,,,Trigger)</f>
        <v>41.352777777777774</v>
      </c>
      <c r="X492" s="29">
        <f>_xll.qlDayCounterYearFraction(DayCounter,R492,S492)</f>
        <v>9.166666666666666E-2</v>
      </c>
      <c r="Y492" s="29">
        <f>_xll.qlYieldTSDiscount(Currency&amp;"ON",R492)/(1+U492*X492)</f>
        <v>0.5564354775576843</v>
      </c>
      <c r="Z492" s="30" t="e">
        <f>_xll.qlTenorBasisValue(TenorBasis6M,R492,InterestRatesTrigger)</f>
        <v>#VALUE!</v>
      </c>
      <c r="AA492" s="30" t="e">
        <f t="shared" si="29"/>
        <v>#VALUE!</v>
      </c>
    </row>
    <row r="493" spans="15:27" x14ac:dyDescent="0.2">
      <c r="O493" s="33">
        <v>1</v>
      </c>
      <c r="P493" s="27" t="str">
        <f>_xll.qlPeriodEquivalent(P492&amp;"+"&amp;O493&amp;"M")</f>
        <v>40Y10M</v>
      </c>
      <c r="Q493" s="28">
        <f>_xll.qlCalendarAdvance(Calendar,SettlementDate,P493,"f",,Trigger)</f>
        <v>57194</v>
      </c>
      <c r="R493" s="28">
        <f>_xll.qlInterestRateIndexValueDate(Index,Q493,Trigger)</f>
        <v>57196</v>
      </c>
      <c r="S493" s="28">
        <f>_xll.qlInterestRateIndexMaturity(Index,R493,Trigger)</f>
        <v>57227</v>
      </c>
      <c r="T493" s="30">
        <f>_xll.qlIndexFixing($M$6,Q493,,InterestRatesTrigger)</f>
        <v>1.2858955778992976E-2</v>
      </c>
      <c r="U493" s="30">
        <f>_xll.qlIndexFixing(Index,Q493,,InterestRatesTrigger)</f>
        <v>1.2774248628058127E-2</v>
      </c>
      <c r="V493" s="30">
        <f t="shared" si="28"/>
        <v>-8.4707150934849526E-5</v>
      </c>
      <c r="W493" s="29">
        <f>_xll.qlDayCounterYearFraction(DayCounter,SettlementDate,R493,,,Trigger)</f>
        <v>41.43611111111111</v>
      </c>
      <c r="X493" s="29">
        <f>_xll.qlDayCounterYearFraction(DayCounter,R493,S493)</f>
        <v>8.611111111111111E-2</v>
      </c>
      <c r="Y493" s="29">
        <f>_xll.qlYieldTSDiscount(Currency&amp;"ON",R493)/(1+U493*X493)</f>
        <v>0.55587935757787532</v>
      </c>
      <c r="Z493" s="30" t="e">
        <f>_xll.qlTenorBasisValue(TenorBasis6M,R493,InterestRatesTrigger)</f>
        <v>#VALUE!</v>
      </c>
      <c r="AA493" s="30" t="e">
        <f t="shared" si="29"/>
        <v>#VALUE!</v>
      </c>
    </row>
    <row r="494" spans="15:27" x14ac:dyDescent="0.2">
      <c r="O494" s="33">
        <v>1</v>
      </c>
      <c r="P494" s="27" t="str">
        <f>_xll.qlPeriodEquivalent(P493&amp;"+"&amp;O494&amp;"M")</f>
        <v>40Y11M</v>
      </c>
      <c r="Q494" s="28">
        <f>_xll.qlCalendarAdvance(Calendar,SettlementDate,P494,"f",,Trigger)</f>
        <v>57227</v>
      </c>
      <c r="R494" s="28">
        <f>_xll.qlInterestRateIndexValueDate(Index,Q494,Trigger)</f>
        <v>57229</v>
      </c>
      <c r="S494" s="28">
        <f>_xll.qlInterestRateIndexMaturity(Index,R494,Trigger)</f>
        <v>57259</v>
      </c>
      <c r="T494" s="30">
        <f>_xll.qlIndexFixing($M$6,Q494,,InterestRatesTrigger)</f>
        <v>1.2804094073361583E-2</v>
      </c>
      <c r="U494" s="30">
        <f>_xll.qlIndexFixing(Index,Q494,,InterestRatesTrigger)</f>
        <v>1.272022769414427E-2</v>
      </c>
      <c r="V494" s="30">
        <f t="shared" si="28"/>
        <v>-8.3866379217312215E-5</v>
      </c>
      <c r="W494" s="29">
        <f>_xll.qlDayCounterYearFraction(DayCounter,SettlementDate,R494,,,Trigger)</f>
        <v>41.527777777777779</v>
      </c>
      <c r="X494" s="29">
        <f>_xll.qlDayCounterYearFraction(DayCounter,R494,S494)</f>
        <v>8.3333333333333329E-2</v>
      </c>
      <c r="Y494" s="29">
        <f>_xll.qlYieldTSDiscount(Currency&amp;"ON",R494)/(1+U494*X494)</f>
        <v>0.55524713313926266</v>
      </c>
      <c r="Z494" s="30" t="e">
        <f>_xll.qlTenorBasisValue(TenorBasis6M,R494,InterestRatesTrigger)</f>
        <v>#VALUE!</v>
      </c>
      <c r="AA494" s="30" t="e">
        <f t="shared" si="29"/>
        <v>#VALUE!</v>
      </c>
    </row>
    <row r="495" spans="15:27" x14ac:dyDescent="0.2">
      <c r="O495" s="33">
        <v>1</v>
      </c>
      <c r="P495" s="27" t="str">
        <f>_xll.qlPeriodEquivalent(P494&amp;"+"&amp;O495&amp;"M")</f>
        <v>41Y</v>
      </c>
      <c r="Q495" s="28">
        <f>_xll.qlCalendarAdvance(Calendar,SettlementDate,P495,"f",,Trigger)</f>
        <v>57255</v>
      </c>
      <c r="R495" s="28">
        <f>_xll.qlInterestRateIndexValueDate(Index,Q495,Trigger)</f>
        <v>57257</v>
      </c>
      <c r="S495" s="28">
        <f>_xll.qlInterestRateIndexMaturity(Index,R495,Trigger)</f>
        <v>57290</v>
      </c>
      <c r="T495" s="30">
        <f>_xll.qlIndexFixing($M$6,Q495,,InterestRatesTrigger)</f>
        <v>1.2755743254382942E-2</v>
      </c>
      <c r="U495" s="30">
        <f>_xll.qlIndexFixing(Index,Q495,,InterestRatesTrigger)</f>
        <v>1.2672583842648003E-2</v>
      </c>
      <c r="V495" s="30">
        <f t="shared" si="28"/>
        <v>-8.3159411734938862E-5</v>
      </c>
      <c r="W495" s="29">
        <f>_xll.qlDayCounterYearFraction(DayCounter,SettlementDate,R495,,,Trigger)</f>
        <v>41.605555555555554</v>
      </c>
      <c r="X495" s="29">
        <f>_xll.qlDayCounterYearFraction(DayCounter,R495,S495)</f>
        <v>9.166666666666666E-2</v>
      </c>
      <c r="Y495" s="29">
        <f>_xll.qlYieldTSDiscount(Currency&amp;"ON",R495)/(1+U495*X495)</f>
        <v>0.55463836407785849</v>
      </c>
      <c r="Z495" s="30" t="e">
        <f>_xll.qlTenorBasisValue(TenorBasis6M,R495,InterestRatesTrigger)</f>
        <v>#VALUE!</v>
      </c>
      <c r="AA495" s="30" t="e">
        <f t="shared" si="29"/>
        <v>#VALUE!</v>
      </c>
    </row>
    <row r="496" spans="15:27" x14ac:dyDescent="0.2">
      <c r="O496" s="33">
        <v>1</v>
      </c>
      <c r="P496" s="27" t="str">
        <f>_xll.qlPeriodEquivalent(P495&amp;"+"&amp;O496&amp;"M")</f>
        <v>41Y1M</v>
      </c>
      <c r="Q496" s="28">
        <f>_xll.qlCalendarAdvance(Calendar,SettlementDate,P496,"f",,Trigger)</f>
        <v>57286</v>
      </c>
      <c r="R496" s="28">
        <f>_xll.qlInterestRateIndexValueDate(Index,Q496,Trigger)</f>
        <v>57290</v>
      </c>
      <c r="S496" s="28">
        <f>_xll.qlInterestRateIndexMaturity(Index,R496,Trigger)</f>
        <v>57320</v>
      </c>
      <c r="T496" s="30">
        <f>_xll.qlIndexFixing($M$6,Q496,,InterestRatesTrigger)</f>
        <v>1.270329290145078E-2</v>
      </c>
      <c r="U496" s="30">
        <f>_xll.qlIndexFixing(Index,Q496,,InterestRatesTrigger)</f>
        <v>1.262086051267719E-2</v>
      </c>
      <c r="V496" s="30">
        <f t="shared" si="28"/>
        <v>-8.2432388773590048E-5</v>
      </c>
      <c r="W496" s="29">
        <f>_xll.qlDayCounterYearFraction(DayCounter,SettlementDate,R496,,,Trigger)</f>
        <v>41.697222222222223</v>
      </c>
      <c r="X496" s="29">
        <f>_xll.qlDayCounterYearFraction(DayCounter,R496,S496)</f>
        <v>8.3333333333333329E-2</v>
      </c>
      <c r="Y496" s="29">
        <f>_xll.qlYieldTSDiscount(Currency&amp;"ON",R496)/(1+U496*X496)</f>
        <v>0.55405142389260276</v>
      </c>
      <c r="Z496" s="30" t="e">
        <f>_xll.qlTenorBasisValue(TenorBasis6M,R496,InterestRatesTrigger)</f>
        <v>#VALUE!</v>
      </c>
      <c r="AA496" s="30" t="e">
        <f t="shared" si="29"/>
        <v>#VALUE!</v>
      </c>
    </row>
    <row r="497" spans="15:27" x14ac:dyDescent="0.2">
      <c r="O497" s="33">
        <v>1</v>
      </c>
      <c r="P497" s="27" t="str">
        <f>_xll.qlPeriodEquivalent(P496&amp;"+"&amp;O497&amp;"M")</f>
        <v>41Y2M</v>
      </c>
      <c r="Q497" s="28">
        <f>_xll.qlCalendarAdvance(Calendar,SettlementDate,P497,"f",,Trigger)</f>
        <v>57318</v>
      </c>
      <c r="R497" s="28">
        <f>_xll.qlInterestRateIndexValueDate(Index,Q497,Trigger)</f>
        <v>57320</v>
      </c>
      <c r="S497" s="28">
        <f>_xll.qlInterestRateIndexMaturity(Index,R497,Trigger)</f>
        <v>57353</v>
      </c>
      <c r="T497" s="30">
        <f>_xll.qlIndexFixing($M$6,Q497,,InterestRatesTrigger)</f>
        <v>1.2652813255756745E-2</v>
      </c>
      <c r="U497" s="30">
        <f>_xll.qlIndexFixing(Index,Q497,,InterestRatesTrigger)</f>
        <v>1.2571040812227546E-2</v>
      </c>
      <c r="V497" s="30">
        <f t="shared" si="28"/>
        <v>-8.1772443529198532E-5</v>
      </c>
      <c r="W497" s="29">
        <f>_xll.qlDayCounterYearFraction(DayCounter,SettlementDate,R497,,,Trigger)</f>
        <v>41.780555555555559</v>
      </c>
      <c r="X497" s="29">
        <f>_xll.qlDayCounterYearFraction(DayCounter,R497,S497)</f>
        <v>9.166666666666666E-2</v>
      </c>
      <c r="Y497" s="29">
        <f>_xll.qlYieldTSDiscount(Currency&amp;"ON",R497)/(1+U497*X497)</f>
        <v>0.55340990257566225</v>
      </c>
      <c r="Z497" s="30" t="e">
        <f>_xll.qlTenorBasisValue(TenorBasis6M,R497,InterestRatesTrigger)</f>
        <v>#VALUE!</v>
      </c>
      <c r="AA497" s="30" t="e">
        <f t="shared" si="29"/>
        <v>#VALUE!</v>
      </c>
    </row>
    <row r="498" spans="15:27" x14ac:dyDescent="0.2">
      <c r="O498" s="33">
        <v>1</v>
      </c>
      <c r="P498" s="27" t="str">
        <f>_xll.qlPeriodEquivalent(P497&amp;"+"&amp;O498&amp;"M")</f>
        <v>41Y3M</v>
      </c>
      <c r="Q498" s="28">
        <f>_xll.qlCalendarAdvance(Calendar,SettlementDate,P498,"f",,Trigger)</f>
        <v>57347</v>
      </c>
      <c r="R498" s="28">
        <f>_xll.qlInterestRateIndexValueDate(Index,Q498,Trigger)</f>
        <v>57349</v>
      </c>
      <c r="S498" s="28">
        <f>_xll.qlInterestRateIndexMaturity(Index,R498,Trigger)</f>
        <v>57381</v>
      </c>
      <c r="T498" s="30">
        <f>_xll.qlIndexFixing($M$6,Q498,,InterestRatesTrigger)</f>
        <v>1.2606843816723445E-2</v>
      </c>
      <c r="U498" s="30">
        <f>_xll.qlIndexFixing(Index,Q498,,InterestRatesTrigger)</f>
        <v>1.252563708379284E-2</v>
      </c>
      <c r="V498" s="30">
        <f t="shared" si="28"/>
        <v>-8.120673293060543E-5</v>
      </c>
      <c r="W498" s="29">
        <f>_xll.qlDayCounterYearFraction(DayCounter,SettlementDate,R498,,,Trigger)</f>
        <v>41.861111111111114</v>
      </c>
      <c r="X498" s="29">
        <f>_xll.qlDayCounterYearFraction(DayCounter,R498,S498)</f>
        <v>8.8888888888888892E-2</v>
      </c>
      <c r="Y498" s="29">
        <f>_xll.qlYieldTSDiscount(Currency&amp;"ON",R498)/(1+U498*X498)</f>
        <v>0.55286782003903501</v>
      </c>
      <c r="Z498" s="30" t="e">
        <f>_xll.qlTenorBasisValue(TenorBasis6M,R498,InterestRatesTrigger)</f>
        <v>#VALUE!</v>
      </c>
      <c r="AA498" s="30" t="e">
        <f t="shared" si="29"/>
        <v>#VALUE!</v>
      </c>
    </row>
    <row r="499" spans="15:27" x14ac:dyDescent="0.2">
      <c r="O499" s="33">
        <v>1</v>
      </c>
      <c r="P499" s="27" t="str">
        <f>_xll.qlPeriodEquivalent(P498&amp;"+"&amp;O499&amp;"M")</f>
        <v>41Y4M</v>
      </c>
      <c r="Q499" s="28">
        <f>_xll.qlCalendarAdvance(Calendar,SettlementDate,P499,"f",,Trigger)</f>
        <v>57378</v>
      </c>
      <c r="R499" s="28">
        <f>_xll.qlInterestRateIndexValueDate(Index,Q499,Trigger)</f>
        <v>57382</v>
      </c>
      <c r="S499" s="28">
        <f>_xll.qlInterestRateIndexMaturity(Index,R499,Trigger)</f>
        <v>57410</v>
      </c>
      <c r="T499" s="30">
        <f>_xll.qlIndexFixing($M$6,Q499,,InterestRatesTrigger)</f>
        <v>1.2556790042279291E-2</v>
      </c>
      <c r="U499" s="30">
        <f>_xll.qlIndexFixing(Index,Q499,,InterestRatesTrigger)</f>
        <v>1.2476160731645449E-2</v>
      </c>
      <c r="V499" s="30">
        <f t="shared" si="28"/>
        <v>-8.062931063384203E-5</v>
      </c>
      <c r="W499" s="29">
        <f>_xll.qlDayCounterYearFraction(DayCounter,SettlementDate,R499,,,Trigger)</f>
        <v>41.952777777777776</v>
      </c>
      <c r="X499" s="29">
        <f>_xll.qlDayCounterYearFraction(DayCounter,R499,S499)</f>
        <v>7.7777777777777779E-2</v>
      </c>
      <c r="Y499" s="29">
        <f>_xll.qlYieldTSDiscount(Currency&amp;"ON",R499)/(1+U499*X499)</f>
        <v>0.55230858183286702</v>
      </c>
      <c r="Z499" s="30" t="e">
        <f>_xll.qlTenorBasisValue(TenorBasis6M,R499,InterestRatesTrigger)</f>
        <v>#VALUE!</v>
      </c>
      <c r="AA499" s="30" t="e">
        <f t="shared" si="29"/>
        <v>#VALUE!</v>
      </c>
    </row>
    <row r="500" spans="15:27" x14ac:dyDescent="0.2">
      <c r="O500" s="33">
        <v>1</v>
      </c>
      <c r="P500" s="27" t="str">
        <f>_xll.qlPeriodEquivalent(P499&amp;"+"&amp;O500&amp;"M")</f>
        <v>41Y5M</v>
      </c>
      <c r="Q500" s="28">
        <f>_xll.qlCalendarAdvance(Calendar,SettlementDate,P500,"f",,Trigger)</f>
        <v>57406</v>
      </c>
      <c r="R500" s="28">
        <f>_xll.qlInterestRateIndexValueDate(Index,Q500,Trigger)</f>
        <v>57410</v>
      </c>
      <c r="S500" s="28">
        <f>_xll.qlInterestRateIndexMaturity(Index,R500,Trigger)</f>
        <v>57441</v>
      </c>
      <c r="T500" s="30">
        <f>_xll.qlIndexFixing($M$6,Q500,,InterestRatesTrigger)</f>
        <v>1.2511234803359261E-2</v>
      </c>
      <c r="U500" s="30">
        <f>_xll.qlIndexFixing(Index,Q500,,InterestRatesTrigger)</f>
        <v>1.2431089726188331E-2</v>
      </c>
      <c r="V500" s="30">
        <f t="shared" si="28"/>
        <v>-8.0145077170929585E-5</v>
      </c>
      <c r="W500" s="29">
        <f>_xll.qlDayCounterYearFraction(DayCounter,SettlementDate,R500,,,Trigger)</f>
        <v>42.030555555555559</v>
      </c>
      <c r="X500" s="29">
        <f>_xll.qlDayCounterYearFraction(DayCounter,R500,S500)</f>
        <v>8.611111111111111E-2</v>
      </c>
      <c r="Y500" s="29">
        <f>_xll.qlYieldTSDiscount(Currency&amp;"ON",R500)/(1+U500*X500)</f>
        <v>0.55171453603669607</v>
      </c>
      <c r="Z500" s="30" t="e">
        <f>_xll.qlTenorBasisValue(TenorBasis6M,R500,InterestRatesTrigger)</f>
        <v>#VALUE!</v>
      </c>
      <c r="AA500" s="30" t="e">
        <f t="shared" si="29"/>
        <v>#VALUE!</v>
      </c>
    </row>
    <row r="501" spans="15:27" x14ac:dyDescent="0.2">
      <c r="O501" s="33">
        <v>1</v>
      </c>
      <c r="P501" s="27" t="str">
        <f>_xll.qlPeriodEquivalent(P500&amp;"+"&amp;O501&amp;"M")</f>
        <v>41Y6M</v>
      </c>
      <c r="Q501" s="28">
        <f>_xll.qlCalendarAdvance(Calendar,SettlementDate,P501,"f",,Trigger)</f>
        <v>57437</v>
      </c>
      <c r="R501" s="28">
        <f>_xll.qlInterestRateIndexValueDate(Index,Q501,Trigger)</f>
        <v>57439</v>
      </c>
      <c r="S501" s="28">
        <f>_xll.qlInterestRateIndexMaturity(Index,R501,Trigger)</f>
        <v>57469</v>
      </c>
      <c r="T501" s="30">
        <f>_xll.qlIndexFixing($M$6,Q501,,InterestRatesTrigger)</f>
        <v>1.2466904779379284E-2</v>
      </c>
      <c r="U501" s="30">
        <f>_xll.qlIndexFixing(Index,Q501,,InterestRatesTrigger)</f>
        <v>1.2387196541526535E-2</v>
      </c>
      <c r="V501" s="30">
        <f t="shared" si="28"/>
        <v>-7.9708237852749164E-5</v>
      </c>
      <c r="W501" s="29">
        <f>_xll.qlDayCounterYearFraction(DayCounter,SettlementDate,R501,,,Trigger)</f>
        <v>42.111111111111114</v>
      </c>
      <c r="X501" s="29">
        <f>_xll.qlDayCounterYearFraction(DayCounter,R501,S501)</f>
        <v>8.3333333333333329E-2</v>
      </c>
      <c r="Y501" s="29">
        <f>_xll.qlYieldTSDiscount(Currency&amp;"ON",R501)/(1+U501*X501)</f>
        <v>0.55118002729721771</v>
      </c>
      <c r="Z501" s="30" t="e">
        <f>_xll.qlTenorBasisValue(TenorBasis6M,R501,InterestRatesTrigger)</f>
        <v>#VALUE!</v>
      </c>
      <c r="AA501" s="30" t="e">
        <f t="shared" si="29"/>
        <v>#VALUE!</v>
      </c>
    </row>
    <row r="502" spans="15:27" x14ac:dyDescent="0.2">
      <c r="O502" s="33">
        <v>1</v>
      </c>
      <c r="P502" s="27" t="str">
        <f>_xll.qlPeriodEquivalent(P501&amp;"+"&amp;O502&amp;"M")</f>
        <v>41Y7M</v>
      </c>
      <c r="Q502" s="28">
        <f>_xll.qlCalendarAdvance(Calendar,SettlementDate,P502,"f",,Trigger)</f>
        <v>57467</v>
      </c>
      <c r="R502" s="28">
        <f>_xll.qlInterestRateIndexValueDate(Index,Q502,Trigger)</f>
        <v>57469</v>
      </c>
      <c r="S502" s="28">
        <f>_xll.qlInterestRateIndexMaturity(Index,R502,Trigger)</f>
        <v>57500</v>
      </c>
      <c r="T502" s="30">
        <f>_xll.qlIndexFixing($M$6,Q502,,InterestRatesTrigger)</f>
        <v>1.2420505652728087E-2</v>
      </c>
      <c r="U502" s="30">
        <f>_xll.qlIndexFixing(Index,Q502,,InterestRatesTrigger)</f>
        <v>1.2341212418785372E-2</v>
      </c>
      <c r="V502" s="30">
        <f t="shared" si="28"/>
        <v>-7.9293233942715272E-5</v>
      </c>
      <c r="W502" s="29">
        <f>_xll.qlDayCounterYearFraction(DayCounter,SettlementDate,R502,,,Trigger)</f>
        <v>42.194444444444443</v>
      </c>
      <c r="X502" s="29">
        <f>_xll.qlDayCounterYearFraction(DayCounter,R502,S502)</f>
        <v>8.611111111111111E-2</v>
      </c>
      <c r="Y502" s="29">
        <f>_xll.qlYieldTSDiscount(Currency&amp;"ON",R502)/(1+U502*X502)</f>
        <v>0.55059124810331594</v>
      </c>
      <c r="Z502" s="30" t="e">
        <f>_xll.qlTenorBasisValue(TenorBasis6M,R502,InterestRatesTrigger)</f>
        <v>#VALUE!</v>
      </c>
      <c r="AA502" s="30" t="e">
        <f t="shared" si="29"/>
        <v>#VALUE!</v>
      </c>
    </row>
    <row r="503" spans="15:27" x14ac:dyDescent="0.2">
      <c r="O503" s="33">
        <v>1</v>
      </c>
      <c r="P503" s="27" t="str">
        <f>_xll.qlPeriodEquivalent(P502&amp;"+"&amp;O503&amp;"M")</f>
        <v>41Y8M</v>
      </c>
      <c r="Q503" s="28">
        <f>_xll.qlCalendarAdvance(Calendar,SettlementDate,P503,"f",,Trigger)</f>
        <v>57500</v>
      </c>
      <c r="R503" s="28">
        <f>_xll.qlInterestRateIndexValueDate(Index,Q503,Trigger)</f>
        <v>57502</v>
      </c>
      <c r="S503" s="28">
        <f>_xll.qlInterestRateIndexMaturity(Index,R503,Trigger)</f>
        <v>57532</v>
      </c>
      <c r="T503" s="30">
        <f>_xll.qlIndexFixing($M$6,Q503,,InterestRatesTrigger)</f>
        <v>1.2371298693635069E-2</v>
      </c>
      <c r="U503" s="30">
        <f>_xll.qlIndexFixing(Index,Q503,,InterestRatesTrigger)</f>
        <v>1.22924001407414E-2</v>
      </c>
      <c r="V503" s="30">
        <f t="shared" si="28"/>
        <v>-7.8898552893669205E-5</v>
      </c>
      <c r="W503" s="29">
        <f>_xll.qlDayCounterYearFraction(DayCounter,SettlementDate,R503,,,Trigger)</f>
        <v>42.286111111111111</v>
      </c>
      <c r="X503" s="29">
        <f>_xll.qlDayCounterYearFraction(DayCounter,R503,S503)</f>
        <v>8.3333333333333329E-2</v>
      </c>
      <c r="Y503" s="29">
        <f>_xll.qlYieldTSDiscount(Currency&amp;"ON",R503)/(1+U503*X503)</f>
        <v>0.54998621099478873</v>
      </c>
      <c r="Z503" s="30" t="e">
        <f>_xll.qlTenorBasisValue(TenorBasis6M,R503,InterestRatesTrigger)</f>
        <v>#VALUE!</v>
      </c>
      <c r="AA503" s="30" t="e">
        <f t="shared" si="29"/>
        <v>#VALUE!</v>
      </c>
    </row>
    <row r="504" spans="15:27" x14ac:dyDescent="0.2">
      <c r="O504" s="33">
        <v>1</v>
      </c>
      <c r="P504" s="27" t="str">
        <f>_xll.qlPeriodEquivalent(P503&amp;"+"&amp;O504&amp;"M")</f>
        <v>41Y9M</v>
      </c>
      <c r="Q504" s="28">
        <f>_xll.qlCalendarAdvance(Calendar,SettlementDate,P504,"f",,Trigger)</f>
        <v>57528</v>
      </c>
      <c r="R504" s="28">
        <f>_xll.qlInterestRateIndexValueDate(Index,Q504,Trigger)</f>
        <v>57530</v>
      </c>
      <c r="S504" s="28">
        <f>_xll.qlInterestRateIndexMaturity(Index,R504,Trigger)</f>
        <v>57563</v>
      </c>
      <c r="T504" s="30">
        <f>_xll.qlIndexFixing($M$6,Q504,,InterestRatesTrigger)</f>
        <v>1.232808302367807E-2</v>
      </c>
      <c r="U504" s="30">
        <f>_xll.qlIndexFixing(Index,Q504,,InterestRatesTrigger)</f>
        <v>1.2249483469787169E-2</v>
      </c>
      <c r="V504" s="30">
        <f t="shared" si="28"/>
        <v>-7.8599553890900536E-5</v>
      </c>
      <c r="W504" s="29">
        <f>_xll.qlDayCounterYearFraction(DayCounter,SettlementDate,R504,,,Trigger)</f>
        <v>42.363888888888887</v>
      </c>
      <c r="X504" s="29">
        <f>_xll.qlDayCounterYearFraction(DayCounter,R504,S504)</f>
        <v>9.166666666666666E-2</v>
      </c>
      <c r="Y504" s="29">
        <f>_xll.qlYieldTSDiscount(Currency&amp;"ON",R504)/(1+U504*X504)</f>
        <v>0.54940340838585322</v>
      </c>
      <c r="Z504" s="30" t="e">
        <f>_xll.qlTenorBasisValue(TenorBasis6M,R504,InterestRatesTrigger)</f>
        <v>#VALUE!</v>
      </c>
      <c r="AA504" s="30" t="e">
        <f t="shared" si="29"/>
        <v>#VALUE!</v>
      </c>
    </row>
    <row r="505" spans="15:27" x14ac:dyDescent="0.2">
      <c r="O505" s="33">
        <v>1</v>
      </c>
      <c r="P505" s="27" t="str">
        <f>_xll.qlPeriodEquivalent(P504&amp;"+"&amp;O505&amp;"M")</f>
        <v>41Y10M</v>
      </c>
      <c r="Q505" s="28">
        <f>_xll.qlCalendarAdvance(Calendar,SettlementDate,P505,"f",,Trigger)</f>
        <v>57559</v>
      </c>
      <c r="R505" s="28">
        <f>_xll.qlInterestRateIndexValueDate(Index,Q505,Trigger)</f>
        <v>57563</v>
      </c>
      <c r="S505" s="28">
        <f>_xll.qlInterestRateIndexMaturity(Index,R505,Trigger)</f>
        <v>57594</v>
      </c>
      <c r="T505" s="30">
        <f>_xll.qlIndexFixing($M$6,Q505,,InterestRatesTrigger)</f>
        <v>1.2280754345899291E-2</v>
      </c>
      <c r="U505" s="30">
        <f>_xll.qlIndexFixing(Index,Q505,,InterestRatesTrigger)</f>
        <v>1.2202441621831157E-2</v>
      </c>
      <c r="V505" s="30">
        <f t="shared" si="28"/>
        <v>-7.8312724068134096E-5</v>
      </c>
      <c r="W505" s="29">
        <f>_xll.qlDayCounterYearFraction(DayCounter,SettlementDate,R505,,,Trigger)</f>
        <v>42.455555555555556</v>
      </c>
      <c r="X505" s="29">
        <f>_xll.qlDayCounterYearFraction(DayCounter,R505,S505)</f>
        <v>8.611111111111111E-2</v>
      </c>
      <c r="Y505" s="29">
        <f>_xll.qlYieldTSDiscount(Currency&amp;"ON",R505)/(1+U505*X505)</f>
        <v>0.54882277022434822</v>
      </c>
      <c r="Z505" s="30" t="e">
        <f>_xll.qlTenorBasisValue(TenorBasis6M,R505,InterestRatesTrigger)</f>
        <v>#VALUE!</v>
      </c>
      <c r="AA505" s="30" t="e">
        <f t="shared" si="29"/>
        <v>#VALUE!</v>
      </c>
    </row>
    <row r="506" spans="15:27" x14ac:dyDescent="0.2">
      <c r="O506" s="33">
        <v>1</v>
      </c>
      <c r="P506" s="27" t="str">
        <f>_xll.qlPeriodEquivalent(P505&amp;"+"&amp;O506&amp;"M")</f>
        <v>41Y11M</v>
      </c>
      <c r="Q506" s="28">
        <f>_xll.qlCalendarAdvance(Calendar,SettlementDate,P506,"f",,Trigger)</f>
        <v>57591</v>
      </c>
      <c r="R506" s="28">
        <f>_xll.qlInterestRateIndexValueDate(Index,Q506,Trigger)</f>
        <v>57593</v>
      </c>
      <c r="S506" s="28">
        <f>_xll.qlInterestRateIndexMaturity(Index,R506,Trigger)</f>
        <v>57623</v>
      </c>
      <c r="T506" s="30">
        <f>_xll.qlIndexFixing($M$6,Q506,,InterestRatesTrigger)</f>
        <v>1.2237929292810534E-2</v>
      </c>
      <c r="U506" s="30">
        <f>_xll.qlIndexFixing(Index,Q506,,InterestRatesTrigger)</f>
        <v>1.2159829857835369E-2</v>
      </c>
      <c r="V506" s="30">
        <f t="shared" si="28"/>
        <v>-7.8099434975165138E-5</v>
      </c>
      <c r="W506" s="29">
        <f>_xll.qlDayCounterYearFraction(DayCounter,SettlementDate,R506,,,Trigger)</f>
        <v>42.538888888888891</v>
      </c>
      <c r="X506" s="29">
        <f>_xll.qlDayCounterYearFraction(DayCounter,R506,S506)</f>
        <v>8.3333333333333329E-2</v>
      </c>
      <c r="Y506" s="29">
        <f>_xll.qlYieldTSDiscount(Currency&amp;"ON",R506)/(1+U506*X506)</f>
        <v>0.54828216752080583</v>
      </c>
      <c r="Z506" s="30" t="e">
        <f>_xll.qlTenorBasisValue(TenorBasis6M,R506,InterestRatesTrigger)</f>
        <v>#VALUE!</v>
      </c>
      <c r="AA506" s="30" t="e">
        <f t="shared" si="29"/>
        <v>#VALUE!</v>
      </c>
    </row>
    <row r="507" spans="15:27" x14ac:dyDescent="0.2">
      <c r="O507" s="33">
        <v>1</v>
      </c>
      <c r="P507" s="27" t="str">
        <f>_xll.qlPeriodEquivalent(P506&amp;"+"&amp;O507&amp;"M")</f>
        <v>42Y</v>
      </c>
      <c r="Q507" s="28">
        <f>_xll.qlCalendarAdvance(Calendar,SettlementDate,P507,"f",,Trigger)</f>
        <v>57620</v>
      </c>
      <c r="R507" s="28">
        <f>_xll.qlInterestRateIndexValueDate(Index,Q507,Trigger)</f>
        <v>57622</v>
      </c>
      <c r="S507" s="28">
        <f>_xll.qlInterestRateIndexMaturity(Index,R507,Trigger)</f>
        <v>57654</v>
      </c>
      <c r="T507" s="30">
        <f>_xll.qlIndexFixing($M$6,Q507,,InterestRatesTrigger)</f>
        <v>1.2195629628830029E-2</v>
      </c>
      <c r="U507" s="30">
        <f>_xll.qlIndexFixing(Index,Q507,,InterestRatesTrigger)</f>
        <v>1.2117690347019094E-2</v>
      </c>
      <c r="V507" s="30">
        <f t="shared" si="28"/>
        <v>-7.7939281810934791E-5</v>
      </c>
      <c r="W507" s="29">
        <f>_xll.qlDayCounterYearFraction(DayCounter,SettlementDate,R507,,,Trigger)</f>
        <v>42.619444444444447</v>
      </c>
      <c r="X507" s="29">
        <f>_xll.qlDayCounterYearFraction(DayCounter,R507,S507)</f>
        <v>8.8888888888888892E-2</v>
      </c>
      <c r="Y507" s="29">
        <f>_xll.qlYieldTSDiscount(Currency&amp;"ON",R507)/(1+U507*X507)</f>
        <v>0.54770724951332495</v>
      </c>
      <c r="Z507" s="30" t="e">
        <f>_xll.qlTenorBasisValue(TenorBasis6M,R507,InterestRatesTrigger)</f>
        <v>#VALUE!</v>
      </c>
      <c r="AA507" s="30" t="e">
        <f t="shared" si="29"/>
        <v>#VALUE!</v>
      </c>
    </row>
    <row r="508" spans="15:27" x14ac:dyDescent="0.2">
      <c r="O508" s="33">
        <v>1</v>
      </c>
      <c r="P508" s="27" t="str">
        <f>_xll.qlPeriodEquivalent(P507&amp;"+"&amp;O508&amp;"M")</f>
        <v>42Y1M</v>
      </c>
      <c r="Q508" s="28">
        <f>_xll.qlCalendarAdvance(Calendar,SettlementDate,P508,"f",,Trigger)</f>
        <v>57651</v>
      </c>
      <c r="R508" s="28">
        <f>_xll.qlInterestRateIndexValueDate(Index,Q508,Trigger)</f>
        <v>57655</v>
      </c>
      <c r="S508" s="28">
        <f>_xll.qlInterestRateIndexMaturity(Index,R508,Trigger)</f>
        <v>57685</v>
      </c>
      <c r="T508" s="30">
        <f>_xll.qlIndexFixing($M$6,Q508,,InterestRatesTrigger)</f>
        <v>1.2150345311590982E-2</v>
      </c>
      <c r="U508" s="30">
        <f>_xll.qlIndexFixing(Index,Q508,,InterestRatesTrigger)</f>
        <v>1.2072534072975927E-2</v>
      </c>
      <c r="V508" s="30">
        <f t="shared" si="28"/>
        <v>-7.7811238615055345E-5</v>
      </c>
      <c r="W508" s="29">
        <f>_xll.qlDayCounterYearFraction(DayCounter,SettlementDate,R508,,,Trigger)</f>
        <v>42.711111111111109</v>
      </c>
      <c r="X508" s="29">
        <f>_xll.qlDayCounterYearFraction(DayCounter,R508,S508)</f>
        <v>8.3333333333333329E-2</v>
      </c>
      <c r="Y508" s="29">
        <f>_xll.qlYieldTSDiscount(Currency&amp;"ON",R508)/(1+U508*X508)</f>
        <v>0.54713450876925074</v>
      </c>
      <c r="Z508" s="30" t="e">
        <f>_xll.qlTenorBasisValue(TenorBasis6M,R508,InterestRatesTrigger)</f>
        <v>#VALUE!</v>
      </c>
      <c r="AA508" s="30" t="e">
        <f t="shared" si="29"/>
        <v>#VALUE!</v>
      </c>
    </row>
    <row r="509" spans="15:27" x14ac:dyDescent="0.2">
      <c r="O509" s="33">
        <v>1</v>
      </c>
      <c r="P509" s="27" t="str">
        <f>_xll.qlPeriodEquivalent(P508&amp;"+"&amp;O509&amp;"M")</f>
        <v>42Y2M</v>
      </c>
      <c r="Q509" s="28">
        <f>_xll.qlCalendarAdvance(Calendar,SettlementDate,P509,"f",,Trigger)</f>
        <v>57682</v>
      </c>
      <c r="R509" s="28">
        <f>_xll.qlInterestRateIndexValueDate(Index,Q509,Trigger)</f>
        <v>57684</v>
      </c>
      <c r="S509" s="28">
        <f>_xll.qlInterestRateIndexMaturity(Index,R509,Trigger)</f>
        <v>57717</v>
      </c>
      <c r="T509" s="30">
        <f>_xll.qlIndexFixing($M$6,Q509,,InterestRatesTrigger)</f>
        <v>1.2108873260221678E-2</v>
      </c>
      <c r="U509" s="30">
        <f>_xll.qlIndexFixing(Index,Q509,,InterestRatesTrigger)</f>
        <v>1.2031117932767415E-2</v>
      </c>
      <c r="V509" s="30">
        <f t="shared" si="28"/>
        <v>-7.7755327454263889E-5</v>
      </c>
      <c r="W509" s="29">
        <f>_xll.qlDayCounterYearFraction(DayCounter,SettlementDate,R509,,,Trigger)</f>
        <v>42.791666666666664</v>
      </c>
      <c r="X509" s="29">
        <f>_xll.qlDayCounterYearFraction(DayCounter,R509,S509)</f>
        <v>9.166666666666666E-2</v>
      </c>
      <c r="Y509" s="29">
        <f>_xll.qlYieldTSDiscount(Currency&amp;"ON",R509)/(1+U509*X509)</f>
        <v>0.54654663090131128</v>
      </c>
      <c r="Z509" s="30" t="e">
        <f>_xll.qlTenorBasisValue(TenorBasis6M,R509,InterestRatesTrigger)</f>
        <v>#VALUE!</v>
      </c>
      <c r="AA509" s="30" t="e">
        <f t="shared" si="29"/>
        <v>#VALUE!</v>
      </c>
    </row>
    <row r="510" spans="15:27" x14ac:dyDescent="0.2">
      <c r="O510" s="33">
        <v>1</v>
      </c>
      <c r="P510" s="27" t="str">
        <f>_xll.qlPeriodEquivalent(P509&amp;"+"&amp;O510&amp;"M")</f>
        <v>42Y3M</v>
      </c>
      <c r="Q510" s="28">
        <f>_xll.qlCalendarAdvance(Calendar,SettlementDate,P510,"f",,Trigger)</f>
        <v>57712</v>
      </c>
      <c r="R510" s="28">
        <f>_xll.qlInterestRateIndexValueDate(Index,Q510,Trigger)</f>
        <v>57714</v>
      </c>
      <c r="S510" s="28">
        <f>_xll.qlInterestRateIndexMaturity(Index,R510,Trigger)</f>
        <v>57745</v>
      </c>
      <c r="T510" s="30">
        <f>_xll.qlIndexFixing($M$6,Q510,,InterestRatesTrigger)</f>
        <v>1.2069060927530189E-2</v>
      </c>
      <c r="U510" s="30">
        <f>_xll.qlIndexFixing(Index,Q510,,InterestRatesTrigger)</f>
        <v>1.1991324095333022E-2</v>
      </c>
      <c r="V510" s="30">
        <f t="shared" si="28"/>
        <v>-7.7736832197167205E-5</v>
      </c>
      <c r="W510" s="29">
        <f>_xll.qlDayCounterYearFraction(DayCounter,SettlementDate,R510,,,Trigger)</f>
        <v>42.875</v>
      </c>
      <c r="X510" s="29">
        <f>_xll.qlDayCounterYearFraction(DayCounter,R510,S510)</f>
        <v>8.611111111111111E-2</v>
      </c>
      <c r="Y510" s="29">
        <f>_xll.qlYieldTSDiscount(Currency&amp;"ON",R510)/(1+U510*X510)</f>
        <v>0.54603394164309316</v>
      </c>
      <c r="Z510" s="30" t="e">
        <f>_xll.qlTenorBasisValue(TenorBasis6M,R510,InterestRatesTrigger)</f>
        <v>#VALUE!</v>
      </c>
      <c r="AA510" s="30" t="e">
        <f t="shared" si="29"/>
        <v>#VALUE!</v>
      </c>
    </row>
    <row r="511" spans="15:27" x14ac:dyDescent="0.2">
      <c r="O511" s="33">
        <v>1</v>
      </c>
      <c r="P511" s="27" t="str">
        <f>_xll.qlPeriodEquivalent(P510&amp;"+"&amp;O511&amp;"M")</f>
        <v>42Y4M</v>
      </c>
      <c r="Q511" s="28">
        <f>_xll.qlCalendarAdvance(Calendar,SettlementDate,P511,"f",,Trigger)</f>
        <v>57745</v>
      </c>
      <c r="R511" s="28">
        <f>_xll.qlInterestRateIndexValueDate(Index,Q511,Trigger)</f>
        <v>57747</v>
      </c>
      <c r="S511" s="28">
        <f>_xll.qlInterestRateIndexMaturity(Index,R511,Trigger)</f>
        <v>57775</v>
      </c>
      <c r="T511" s="30">
        <f>_xll.qlIndexFixing($M$6,Q511,,InterestRatesTrigger)</f>
        <v>1.2026345018431186E-2</v>
      </c>
      <c r="U511" s="30">
        <f>_xll.qlIndexFixing(Index,Q511,,InterestRatesTrigger)</f>
        <v>1.1948576959804098E-2</v>
      </c>
      <c r="V511" s="30">
        <f t="shared" si="28"/>
        <v>-7.7768058627088188E-5</v>
      </c>
      <c r="W511" s="29">
        <f>_xll.qlDayCounterYearFraction(DayCounter,SettlementDate,R511,,,Trigger)</f>
        <v>42.966666666666669</v>
      </c>
      <c r="X511" s="29">
        <f>_xll.qlDayCounterYearFraction(DayCounter,R511,S511)</f>
        <v>7.7777777777777779E-2</v>
      </c>
      <c r="Y511" s="29">
        <f>_xll.qlYieldTSDiscount(Currency&amp;"ON",R511)/(1+U511*X511)</f>
        <v>0.54548682687580718</v>
      </c>
      <c r="Z511" s="30" t="e">
        <f>_xll.qlTenorBasisValue(TenorBasis6M,R511,InterestRatesTrigger)</f>
        <v>#VALUE!</v>
      </c>
      <c r="AA511" s="30" t="e">
        <f t="shared" si="29"/>
        <v>#VALUE!</v>
      </c>
    </row>
    <row r="512" spans="15:27" x14ac:dyDescent="0.2">
      <c r="O512" s="33">
        <v>1</v>
      </c>
      <c r="P512" s="27" t="str">
        <f>_xll.qlPeriodEquivalent(P511&amp;"+"&amp;O512&amp;"M")</f>
        <v>42Y5M</v>
      </c>
      <c r="Q512" s="28">
        <f>_xll.qlCalendarAdvance(Calendar,SettlementDate,P512,"f",,Trigger)</f>
        <v>57773</v>
      </c>
      <c r="R512" s="28">
        <f>_xll.qlInterestRateIndexValueDate(Index,Q512,Trigger)</f>
        <v>57775</v>
      </c>
      <c r="S512" s="28">
        <f>_xll.qlInterestRateIndexMaturity(Index,R512,Trigger)</f>
        <v>57808</v>
      </c>
      <c r="T512" s="30">
        <f>_xll.qlIndexFixing($M$6,Q512,,InterestRatesTrigger)</f>
        <v>1.1987276132533578E-2</v>
      </c>
      <c r="U512" s="30">
        <f>_xll.qlIndexFixing(Index,Q512,,InterestRatesTrigger)</f>
        <v>1.1909402694915241E-2</v>
      </c>
      <c r="V512" s="30">
        <f t="shared" si="28"/>
        <v>-7.7873437618336538E-5</v>
      </c>
      <c r="W512" s="29">
        <f>_xll.qlDayCounterYearFraction(DayCounter,SettlementDate,R512,,,Trigger)</f>
        <v>43.044444444444444</v>
      </c>
      <c r="X512" s="29">
        <f>_xll.qlDayCounterYearFraction(DayCounter,R512,S512)</f>
        <v>9.166666666666666E-2</v>
      </c>
      <c r="Y512" s="29">
        <f>_xll.qlYieldTSDiscount(Currency&amp;"ON",R512)/(1+U512*X512)</f>
        <v>0.54488867813285646</v>
      </c>
      <c r="Z512" s="30" t="e">
        <f>_xll.qlTenorBasisValue(TenorBasis6M,R512,InterestRatesTrigger)</f>
        <v>#VALUE!</v>
      </c>
      <c r="AA512" s="30" t="e">
        <f t="shared" si="29"/>
        <v>#VALUE!</v>
      </c>
    </row>
    <row r="513" spans="15:27" x14ac:dyDescent="0.2">
      <c r="O513" s="33">
        <v>1</v>
      </c>
      <c r="P513" s="27" t="str">
        <f>_xll.qlPeriodEquivalent(P512&amp;"+"&amp;O513&amp;"M")</f>
        <v>42Y6M</v>
      </c>
      <c r="Q513" s="28">
        <f>_xll.qlCalendarAdvance(Calendar,SettlementDate,P513,"f",,Trigger)</f>
        <v>57802</v>
      </c>
      <c r="R513" s="28">
        <f>_xll.qlInterestRateIndexValueDate(Index,Q513,Trigger)</f>
        <v>57804</v>
      </c>
      <c r="S513" s="28">
        <f>_xll.qlInterestRateIndexMaturity(Index,R513,Trigger)</f>
        <v>57836</v>
      </c>
      <c r="T513" s="30">
        <f>_xll.qlIndexFixing($M$6,Q513,,InterestRatesTrigger)</f>
        <v>1.1950243019158147E-2</v>
      </c>
      <c r="U513" s="30">
        <f>_xll.qlIndexFixing(Index,Q513,,InterestRatesTrigger)</f>
        <v>1.1872238570510285E-2</v>
      </c>
      <c r="V513" s="30">
        <f t="shared" si="28"/>
        <v>-7.8004448647861491E-5</v>
      </c>
      <c r="W513" s="29">
        <f>_xll.qlDayCounterYearFraction(DayCounter,SettlementDate,R513,,,Trigger)</f>
        <v>43.125</v>
      </c>
      <c r="X513" s="29">
        <f>_xll.qlDayCounterYearFraction(DayCounter,R513,S513)</f>
        <v>8.8888888888888892E-2</v>
      </c>
      <c r="Y513" s="29">
        <f>_xll.qlYieldTSDiscount(Currency&amp;"ON",R513)/(1+U513*X513)</f>
        <v>0.5443827254382857</v>
      </c>
      <c r="Z513" s="30" t="e">
        <f>_xll.qlTenorBasisValue(TenorBasis6M,R513,InterestRatesTrigger)</f>
        <v>#VALUE!</v>
      </c>
      <c r="AA513" s="30" t="e">
        <f t="shared" si="29"/>
        <v>#VALUE!</v>
      </c>
    </row>
    <row r="514" spans="15:27" x14ac:dyDescent="0.2">
      <c r="O514" s="33">
        <v>1</v>
      </c>
      <c r="P514" s="27" t="str">
        <f>_xll.qlPeriodEquivalent(P513&amp;"+"&amp;O514&amp;"M")</f>
        <v>42Y7M</v>
      </c>
      <c r="Q514" s="28">
        <f>_xll.qlCalendarAdvance(Calendar,SettlementDate,P514,"f",,Trigger)</f>
        <v>57832</v>
      </c>
      <c r="R514" s="28">
        <f>_xll.qlInterestRateIndexValueDate(Index,Q514,Trigger)</f>
        <v>57836</v>
      </c>
      <c r="S514" s="28">
        <f>_xll.qlInterestRateIndexMaturity(Index,R514,Trigger)</f>
        <v>57867</v>
      </c>
      <c r="T514" s="30">
        <f>_xll.qlIndexFixing($M$6,Q514,,InterestRatesTrigger)</f>
        <v>1.1910040508302799E-2</v>
      </c>
      <c r="U514" s="30">
        <f>_xll.qlIndexFixing(Index,Q514,,InterestRatesTrigger)</f>
        <v>1.1831836500981239E-2</v>
      </c>
      <c r="V514" s="30">
        <f t="shared" si="28"/>
        <v>-7.8204007321560146E-5</v>
      </c>
      <c r="W514" s="29">
        <f>_xll.qlDayCounterYearFraction(DayCounter,SettlementDate,R514,,,Trigger)</f>
        <v>43.213888888888889</v>
      </c>
      <c r="X514" s="29">
        <f>_xll.qlDayCounterYearFraction(DayCounter,R514,S514)</f>
        <v>8.611111111111111E-2</v>
      </c>
      <c r="Y514" s="29">
        <f>_xll.qlYieldTSDiscount(Currency&amp;"ON",R514)/(1+U514*X514)</f>
        <v>0.54382487745782371</v>
      </c>
      <c r="Z514" s="30" t="e">
        <f>_xll.qlTenorBasisValue(TenorBasis6M,R514,InterestRatesTrigger)</f>
        <v>#VALUE!</v>
      </c>
      <c r="AA514" s="30" t="e">
        <f t="shared" si="29"/>
        <v>#VALUE!</v>
      </c>
    </row>
    <row r="515" spans="15:27" x14ac:dyDescent="0.2">
      <c r="O515" s="33">
        <v>1</v>
      </c>
      <c r="P515" s="27" t="str">
        <f>_xll.qlPeriodEquivalent(P514&amp;"+"&amp;O515&amp;"M")</f>
        <v>42Y8M</v>
      </c>
      <c r="Q515" s="28">
        <f>_xll.qlCalendarAdvance(Calendar,SettlementDate,P515,"f",,Trigger)</f>
        <v>57864</v>
      </c>
      <c r="R515" s="28">
        <f>_xll.qlInterestRateIndexValueDate(Index,Q515,Trigger)</f>
        <v>57866</v>
      </c>
      <c r="S515" s="28">
        <f>_xll.qlInterestRateIndexMaturity(Index,R515,Trigger)</f>
        <v>57896</v>
      </c>
      <c r="T515" s="30">
        <f>_xll.qlIndexFixing($M$6,Q515,,InterestRatesTrigger)</f>
        <v>1.1873058132463754E-2</v>
      </c>
      <c r="U515" s="30">
        <f>_xll.qlIndexFixing(Index,Q515,,InterestRatesTrigger)</f>
        <v>1.179461512064961E-2</v>
      </c>
      <c r="V515" s="30">
        <f t="shared" si="28"/>
        <v>-7.844301181414437E-5</v>
      </c>
      <c r="W515" s="29">
        <f>_xll.qlDayCounterYearFraction(DayCounter,SettlementDate,R515,,,Trigger)</f>
        <v>43.297222222222224</v>
      </c>
      <c r="X515" s="29">
        <f>_xll.qlDayCounterYearFraction(DayCounter,R515,S515)</f>
        <v>8.3333333333333329E-2</v>
      </c>
      <c r="Y515" s="29">
        <f>_xll.qlYieldTSDiscount(Currency&amp;"ON",R515)/(1+U515*X515)</f>
        <v>0.54330516684890662</v>
      </c>
      <c r="Z515" s="30" t="e">
        <f>_xll.qlTenorBasisValue(TenorBasis6M,R515,InterestRatesTrigger)</f>
        <v>#VALUE!</v>
      </c>
      <c r="AA515" s="30" t="e">
        <f t="shared" si="29"/>
        <v>#VALUE!</v>
      </c>
    </row>
    <row r="516" spans="15:27" x14ac:dyDescent="0.2">
      <c r="O516" s="33">
        <v>1</v>
      </c>
      <c r="P516" s="27" t="str">
        <f>_xll.qlPeriodEquivalent(P515&amp;"+"&amp;O516&amp;"M")</f>
        <v>42Y9M</v>
      </c>
      <c r="Q516" s="28">
        <f>_xll.qlCalendarAdvance(Calendar,SettlementDate,P516,"f",,Trigger)</f>
        <v>57893</v>
      </c>
      <c r="R516" s="28">
        <f>_xll.qlInterestRateIndexValueDate(Index,Q516,Trigger)</f>
        <v>57895</v>
      </c>
      <c r="S516" s="28">
        <f>_xll.qlInterestRateIndexMaturity(Index,R516,Trigger)</f>
        <v>57927</v>
      </c>
      <c r="T516" s="30">
        <f>_xll.qlIndexFixing($M$6,Q516,,InterestRatesTrigger)</f>
        <v>1.1836722970187119E-2</v>
      </c>
      <c r="U516" s="30">
        <f>_xll.qlIndexFixing(Index,Q516,,InterestRatesTrigger)</f>
        <v>1.1757976368615142E-2</v>
      </c>
      <c r="V516" s="30">
        <f t="shared" si="28"/>
        <v>-7.8746601571977326E-5</v>
      </c>
      <c r="W516" s="29">
        <f>_xll.qlDayCounterYearFraction(DayCounter,SettlementDate,R516,,,Trigger)</f>
        <v>43.37777777777778</v>
      </c>
      <c r="X516" s="29">
        <f>_xll.qlDayCounterYearFraction(DayCounter,R516,S516)</f>
        <v>8.8888888888888892E-2</v>
      </c>
      <c r="Y516" s="29">
        <f>_xll.qlYieldTSDiscount(Currency&amp;"ON",R516)/(1+U516*X516)</f>
        <v>0.54275224241268039</v>
      </c>
      <c r="Z516" s="30" t="e">
        <f>_xll.qlTenorBasisValue(TenorBasis6M,R516,InterestRatesTrigger)</f>
        <v>#VALUE!</v>
      </c>
      <c r="AA516" s="30" t="e">
        <f t="shared" si="29"/>
        <v>#VALUE!</v>
      </c>
    </row>
    <row r="517" spans="15:27" x14ac:dyDescent="0.2">
      <c r="O517" s="33">
        <v>1</v>
      </c>
      <c r="P517" s="27" t="str">
        <f>_xll.qlPeriodEquivalent(P516&amp;"+"&amp;O517&amp;"M")</f>
        <v>42Y10M</v>
      </c>
      <c r="Q517" s="28">
        <f>_xll.qlCalendarAdvance(Calendar,SettlementDate,P517,"f",,Trigger)</f>
        <v>57924</v>
      </c>
      <c r="R517" s="28">
        <f>_xll.qlInterestRateIndexValueDate(Index,Q517,Trigger)</f>
        <v>57928</v>
      </c>
      <c r="S517" s="28">
        <f>_xll.qlInterestRateIndexMaturity(Index,R517,Trigger)</f>
        <v>57959</v>
      </c>
      <c r="T517" s="30">
        <f>_xll.qlIndexFixing($M$6,Q517,,InterestRatesTrigger)</f>
        <v>1.1797516284201757E-2</v>
      </c>
      <c r="U517" s="30">
        <f>_xll.qlIndexFixing(Index,Q517,,InterestRatesTrigger)</f>
        <v>1.1718389423654101E-2</v>
      </c>
      <c r="V517" s="30">
        <f t="shared" si="28"/>
        <v>-7.9126860547656247E-5</v>
      </c>
      <c r="W517" s="29">
        <f>_xll.qlDayCounterYearFraction(DayCounter,SettlementDate,R517,,,Trigger)</f>
        <v>43.469444444444441</v>
      </c>
      <c r="X517" s="29">
        <f>_xll.qlDayCounterYearFraction(DayCounter,R517,S517)</f>
        <v>8.611111111111111E-2</v>
      </c>
      <c r="Y517" s="29">
        <f>_xll.qlYieldTSDiscount(Currency&amp;"ON",R517)/(1+U517*X517)</f>
        <v>0.54218353308076117</v>
      </c>
      <c r="Z517" s="30" t="e">
        <f>_xll.qlTenorBasisValue(TenorBasis6M,R517,InterestRatesTrigger)</f>
        <v>#VALUE!</v>
      </c>
      <c r="AA517" s="30" t="e">
        <f t="shared" si="29"/>
        <v>#VALUE!</v>
      </c>
    </row>
    <row r="518" spans="15:27" x14ac:dyDescent="0.2">
      <c r="O518" s="33">
        <v>1</v>
      </c>
      <c r="P518" s="27" t="str">
        <f>_xll.qlPeriodEquivalent(P517&amp;"+"&amp;O518&amp;"M")</f>
        <v>42Y11M</v>
      </c>
      <c r="Q518" s="28">
        <f>_xll.qlCalendarAdvance(Calendar,SettlementDate,P518,"f",,Trigger)</f>
        <v>57955</v>
      </c>
      <c r="R518" s="28">
        <f>_xll.qlInterestRateIndexValueDate(Index,Q518,Trigger)</f>
        <v>57957</v>
      </c>
      <c r="S518" s="28">
        <f>_xll.qlInterestRateIndexMaturity(Index,R518,Trigger)</f>
        <v>57987</v>
      </c>
      <c r="T518" s="30">
        <f>_xll.qlIndexFixing($M$6,Q518,,InterestRatesTrigger)</f>
        <v>1.1763787208461274E-2</v>
      </c>
      <c r="U518" s="30">
        <f>_xll.qlIndexFixing(Index,Q518,,InterestRatesTrigger)</f>
        <v>1.1684275437403358E-2</v>
      </c>
      <c r="V518" s="30">
        <f t="shared" si="28"/>
        <v>-7.9511771057916292E-5</v>
      </c>
      <c r="W518" s="29">
        <f>_xll.qlDayCounterYearFraction(DayCounter,SettlementDate,R518,,,Trigger)</f>
        <v>43.55</v>
      </c>
      <c r="X518" s="29">
        <f>_xll.qlDayCounterYearFraction(DayCounter,R518,S518)</f>
        <v>8.3333333333333329E-2</v>
      </c>
      <c r="Y518" s="29">
        <f>_xll.qlYieldTSDiscount(Currency&amp;"ON",R518)/(1+U518*X518)</f>
        <v>0.54168787356409953</v>
      </c>
      <c r="Z518" s="30" t="e">
        <f>_xll.qlTenorBasisValue(TenorBasis6M,R518,InterestRatesTrigger)</f>
        <v>#VALUE!</v>
      </c>
      <c r="AA518" s="30" t="e">
        <f t="shared" si="29"/>
        <v>#VALUE!</v>
      </c>
    </row>
    <row r="519" spans="15:27" x14ac:dyDescent="0.2">
      <c r="O519" s="33">
        <v>1</v>
      </c>
      <c r="P519" s="27" t="str">
        <f>_xll.qlPeriodEquivalent(P518&amp;"+"&amp;O519&amp;"M")</f>
        <v>43Y</v>
      </c>
      <c r="Q519" s="28">
        <f>_xll.qlCalendarAdvance(Calendar,SettlementDate,P519,"f",,Trigger)</f>
        <v>57985</v>
      </c>
      <c r="R519" s="28">
        <f>_xll.qlInterestRateIndexValueDate(Index,Q519,Trigger)</f>
        <v>57987</v>
      </c>
      <c r="S519" s="28">
        <f>_xll.qlInterestRateIndexMaturity(Index,R519,Trigger)</f>
        <v>58018</v>
      </c>
      <c r="T519" s="30">
        <f>_xll.qlIndexFixing($M$6,Q519,,InterestRatesTrigger)</f>
        <v>1.1728797301039838E-2</v>
      </c>
      <c r="U519" s="30">
        <f>_xll.qlIndexFixing(Index,Q519,,InterestRatesTrigger)</f>
        <v>1.164881387732856E-2</v>
      </c>
      <c r="V519" s="30">
        <f t="shared" si="28"/>
        <v>-7.9983423711278354E-5</v>
      </c>
      <c r="W519" s="29">
        <f>_xll.qlDayCounterYearFraction(DayCounter,SettlementDate,R519,,,Trigger)</f>
        <v>43.633333333333333</v>
      </c>
      <c r="X519" s="29">
        <f>_xll.qlDayCounterYearFraction(DayCounter,R519,S519)</f>
        <v>8.611111111111111E-2</v>
      </c>
      <c r="Y519" s="29">
        <f>_xll.qlYieldTSDiscount(Currency&amp;"ON",R519)/(1+U519*X519)</f>
        <v>0.54114147301760251</v>
      </c>
      <c r="Z519" s="30" t="e">
        <f>_xll.qlTenorBasisValue(TenorBasis6M,R519,InterestRatesTrigger)</f>
        <v>#VALUE!</v>
      </c>
      <c r="AA519" s="30" t="e">
        <f t="shared" si="29"/>
        <v>#VALUE!</v>
      </c>
    </row>
    <row r="520" spans="15:27" x14ac:dyDescent="0.2">
      <c r="O520" s="33">
        <v>1</v>
      </c>
      <c r="P520" s="27" t="str">
        <f>_xll.qlPeriodEquivalent(P519&amp;"+"&amp;O520&amp;"M")</f>
        <v>43Y1M</v>
      </c>
      <c r="Q520" s="28">
        <f>_xll.qlCalendarAdvance(Calendar,SettlementDate,P520,"f",,Trigger)</f>
        <v>58018</v>
      </c>
      <c r="R520" s="28">
        <f>_xll.qlInterestRateIndexValueDate(Index,Q520,Trigger)</f>
        <v>58020</v>
      </c>
      <c r="S520" s="28">
        <f>_xll.qlInterestRateIndexMaturity(Index,R520,Trigger)</f>
        <v>58050</v>
      </c>
      <c r="T520" s="30">
        <f>_xll.qlIndexFixing($M$6,Q520,,InterestRatesTrigger)</f>
        <v>1.1691923117612468E-2</v>
      </c>
      <c r="U520" s="30">
        <f>_xll.qlIndexFixing(Index,Q520,,InterestRatesTrigger)</f>
        <v>1.1611380783410397E-2</v>
      </c>
      <c r="V520" s="30">
        <f t="shared" si="28"/>
        <v>-8.0542334202071686E-5</v>
      </c>
      <c r="W520" s="29">
        <f>_xll.qlDayCounterYearFraction(DayCounter,SettlementDate,R520,,,Trigger)</f>
        <v>43.725000000000001</v>
      </c>
      <c r="X520" s="29">
        <f>_xll.qlDayCounterYearFraction(DayCounter,R520,S520)</f>
        <v>8.3333333333333329E-2</v>
      </c>
      <c r="Y520" s="29">
        <f>_xll.qlYieldTSDiscount(Currency&amp;"ON",R520)/(1+U520*X520)</f>
        <v>0.5405794915786033</v>
      </c>
      <c r="Z520" s="30" t="e">
        <f>_xll.qlTenorBasisValue(TenorBasis6M,R520,InterestRatesTrigger)</f>
        <v>#VALUE!</v>
      </c>
      <c r="AA520" s="30" t="e">
        <f t="shared" si="29"/>
        <v>#VALUE!</v>
      </c>
    </row>
    <row r="521" spans="15:27" x14ac:dyDescent="0.2">
      <c r="O521" s="33">
        <v>1</v>
      </c>
      <c r="P521" s="27" t="str">
        <f>_xll.qlPeriodEquivalent(P520&amp;"+"&amp;O521&amp;"M")</f>
        <v>43Y2M</v>
      </c>
      <c r="Q521" s="28">
        <f>_xll.qlCalendarAdvance(Calendar,SettlementDate,P521,"f",,Trigger)</f>
        <v>58046</v>
      </c>
      <c r="R521" s="28">
        <f>_xll.qlInterestRateIndexValueDate(Index,Q521,Trigger)</f>
        <v>58048</v>
      </c>
      <c r="S521" s="28">
        <f>_xll.qlInterestRateIndexMaturity(Index,R521,Trigger)</f>
        <v>58081</v>
      </c>
      <c r="T521" s="30">
        <f>_xll.qlIndexFixing($M$6,Q521,,InterestRatesTrigger)</f>
        <v>1.1659929794146349E-2</v>
      </c>
      <c r="U521" s="30">
        <f>_xll.qlIndexFixing(Index,Q521,,InterestRatesTrigger)</f>
        <v>1.157881346320444E-2</v>
      </c>
      <c r="V521" s="30">
        <f t="shared" si="28"/>
        <v>-8.1116330941908427E-5</v>
      </c>
      <c r="W521" s="29">
        <f>_xll.qlDayCounterYearFraction(DayCounter,SettlementDate,R521,,,Trigger)</f>
        <v>43.802777777777777</v>
      </c>
      <c r="X521" s="29">
        <f>_xll.qlDayCounterYearFraction(DayCounter,R521,S521)</f>
        <v>9.166666666666666E-2</v>
      </c>
      <c r="Y521" s="29">
        <f>_xll.qlYieldTSDiscount(Currency&amp;"ON",R521)/(1+U521*X521)</f>
        <v>0.54003772600382005</v>
      </c>
      <c r="Z521" s="30" t="e">
        <f>_xll.qlTenorBasisValue(TenorBasis6M,R521,InterestRatesTrigger)</f>
        <v>#VALUE!</v>
      </c>
      <c r="AA521" s="30" t="e">
        <f t="shared" si="29"/>
        <v>#VALUE!</v>
      </c>
    </row>
    <row r="522" spans="15:27" x14ac:dyDescent="0.2">
      <c r="O522" s="33">
        <v>1</v>
      </c>
      <c r="P522" s="27" t="str">
        <f>_xll.qlPeriodEquivalent(P521&amp;"+"&amp;O522&amp;"M")</f>
        <v>43Y3M</v>
      </c>
      <c r="Q522" s="28">
        <f>_xll.qlCalendarAdvance(Calendar,SettlementDate,P522,"f",,Trigger)</f>
        <v>58077</v>
      </c>
      <c r="R522" s="28">
        <f>_xll.qlInterestRateIndexValueDate(Index,Q522,Trigger)</f>
        <v>58081</v>
      </c>
      <c r="S522" s="28">
        <f>_xll.qlInterestRateIndexMaturity(Index,R522,Trigger)</f>
        <v>58112</v>
      </c>
      <c r="T522" s="30">
        <f>_xll.qlIndexFixing($M$6,Q522,,InterestRatesTrigger)</f>
        <v>1.1625013346620994E-2</v>
      </c>
      <c r="U522" s="30">
        <f>_xll.qlIndexFixing(Index,Q522,,InterestRatesTrigger)</f>
        <v>1.154322837227717E-2</v>
      </c>
      <c r="V522" s="30">
        <f t="shared" si="28"/>
        <v>-8.1784974343824049E-5</v>
      </c>
      <c r="W522" s="29">
        <f>_xll.qlDayCounterYearFraction(DayCounter,SettlementDate,R522,,,Trigger)</f>
        <v>43.894444444444446</v>
      </c>
      <c r="X522" s="29">
        <f>_xll.qlDayCounterYearFraction(DayCounter,R522,S522)</f>
        <v>8.611111111111111E-2</v>
      </c>
      <c r="Y522" s="29">
        <f>_xll.qlYieldTSDiscount(Currency&amp;"ON",R522)/(1+U522*X522)</f>
        <v>0.5394974541636155</v>
      </c>
      <c r="Z522" s="30" t="e">
        <f>_xll.qlTenorBasisValue(TenorBasis6M,R522,InterestRatesTrigger)</f>
        <v>#VALUE!</v>
      </c>
      <c r="AA522" s="30" t="e">
        <f t="shared" si="29"/>
        <v>#VALUE!</v>
      </c>
    </row>
    <row r="523" spans="15:27" x14ac:dyDescent="0.2">
      <c r="O523" s="33">
        <v>1</v>
      </c>
      <c r="P523" s="27" t="str">
        <f>_xll.qlPeriodEquivalent(P522&amp;"+"&amp;O523&amp;"M")</f>
        <v>43Y4M</v>
      </c>
      <c r="Q523" s="28">
        <f>_xll.qlCalendarAdvance(Calendar,SettlementDate,P523,"f",,Trigger)</f>
        <v>58109</v>
      </c>
      <c r="R523" s="28">
        <f>_xll.qlInterestRateIndexValueDate(Index,Q523,Trigger)</f>
        <v>58111</v>
      </c>
      <c r="S523" s="28">
        <f>_xll.qlInterestRateIndexMaturity(Index,R523,Trigger)</f>
        <v>58139</v>
      </c>
      <c r="T523" s="30">
        <f>_xll.qlIndexFixing($M$6,Q523,,InterestRatesTrigger)</f>
        <v>1.1594390255090316E-2</v>
      </c>
      <c r="U523" s="30">
        <f>_xll.qlIndexFixing(Index,Q523,,InterestRatesTrigger)</f>
        <v>1.1511959705507049E-2</v>
      </c>
      <c r="V523" s="30">
        <f t="shared" si="28"/>
        <v>-8.243054958326744E-5</v>
      </c>
      <c r="W523" s="29">
        <f>_xll.qlDayCounterYearFraction(DayCounter,SettlementDate,R523,,,Trigger)</f>
        <v>43.977777777777774</v>
      </c>
      <c r="X523" s="29">
        <f>_xll.qlDayCounterYearFraction(DayCounter,R523,S523)</f>
        <v>7.7777777777777779E-2</v>
      </c>
      <c r="Y523" s="29">
        <f>_xll.qlYieldTSDiscount(Currency&amp;"ON",R523)/(1+U523*X523)</f>
        <v>0.53902841500594889</v>
      </c>
      <c r="Z523" s="30" t="e">
        <f>_xll.qlTenorBasisValue(TenorBasis6M,R523,InterestRatesTrigger)</f>
        <v>#VALUE!</v>
      </c>
      <c r="AA523" s="30" t="e">
        <f t="shared" si="29"/>
        <v>#VALUE!</v>
      </c>
    </row>
    <row r="524" spans="15:27" x14ac:dyDescent="0.2">
      <c r="O524" s="33">
        <v>1</v>
      </c>
      <c r="P524" s="27" t="str">
        <f>_xll.qlPeriodEquivalent(P523&amp;"+"&amp;O524&amp;"M")</f>
        <v>43Y5M</v>
      </c>
      <c r="Q524" s="28">
        <f>_xll.qlCalendarAdvance(Calendar,SettlementDate,P524,"f",,Trigger)</f>
        <v>58137</v>
      </c>
      <c r="R524" s="28">
        <f>_xll.qlInterestRateIndexValueDate(Index,Q524,Trigger)</f>
        <v>58139</v>
      </c>
      <c r="S524" s="28">
        <f>_xll.qlInterestRateIndexMaturity(Index,R524,Trigger)</f>
        <v>58172</v>
      </c>
      <c r="T524" s="30">
        <f>_xll.qlIndexFixing($M$6,Q524,,InterestRatesTrigger)</f>
        <v>1.1563903164441508E-2</v>
      </c>
      <c r="U524" s="30">
        <f>_xll.qlIndexFixing(Index,Q524,,InterestRatesTrigger)</f>
        <v>1.1480702417548243E-2</v>
      </c>
      <c r="V524" s="30">
        <f t="shared" si="28"/>
        <v>-8.3200746893264538E-5</v>
      </c>
      <c r="W524" s="29">
        <f>_xll.qlDayCounterYearFraction(DayCounter,SettlementDate,R524,,,Trigger)</f>
        <v>44.055555555555557</v>
      </c>
      <c r="X524" s="29">
        <f>_xll.qlDayCounterYearFraction(DayCounter,R524,S524)</f>
        <v>9.166666666666666E-2</v>
      </c>
      <c r="Y524" s="29">
        <f>_xll.qlYieldTSDiscount(Currency&amp;"ON",R524)/(1+U524*X524)</f>
        <v>0.53845828998802325</v>
      </c>
      <c r="Z524" s="30" t="e">
        <f>_xll.qlTenorBasisValue(TenorBasis6M,R524,InterestRatesTrigger)</f>
        <v>#VALUE!</v>
      </c>
      <c r="AA524" s="30" t="e">
        <f t="shared" si="29"/>
        <v>#VALUE!</v>
      </c>
    </row>
    <row r="525" spans="15:27" x14ac:dyDescent="0.2">
      <c r="O525" s="33">
        <v>1</v>
      </c>
      <c r="P525" s="27" t="str">
        <f>_xll.qlPeriodEquivalent(P524&amp;"+"&amp;O525&amp;"M")</f>
        <v>43Y6M</v>
      </c>
      <c r="Q525" s="28">
        <f>_xll.qlCalendarAdvance(Calendar,SettlementDate,P525,"f",,Trigger)</f>
        <v>58167</v>
      </c>
      <c r="R525" s="28">
        <f>_xll.qlInterestRateIndexValueDate(Index,Q525,Trigger)</f>
        <v>58169</v>
      </c>
      <c r="S525" s="28">
        <f>_xll.qlInterestRateIndexMaturity(Index,R525,Trigger)</f>
        <v>58200</v>
      </c>
      <c r="T525" s="30">
        <f>_xll.qlIndexFixing($M$6,Q525,,InterestRatesTrigger)</f>
        <v>1.1534357582845123E-2</v>
      </c>
      <c r="U525" s="30">
        <f>_xll.qlIndexFixing(Index,Q525,,InterestRatesTrigger)</f>
        <v>1.1450389161998987E-2</v>
      </c>
      <c r="V525" s="30">
        <f t="shared" si="28"/>
        <v>-8.3968420846135955E-5</v>
      </c>
      <c r="W525" s="29">
        <f>_xll.qlDayCounterYearFraction(DayCounter,SettlementDate,R525,,,Trigger)</f>
        <v>44.138888888888886</v>
      </c>
      <c r="X525" s="29">
        <f>_xll.qlDayCounterYearFraction(DayCounter,R525,S525)</f>
        <v>8.611111111111111E-2</v>
      </c>
      <c r="Y525" s="29">
        <f>_xll.qlYieldTSDiscount(Currency&amp;"ON",R525)/(1+U525*X525)</f>
        <v>0.5379755361123566</v>
      </c>
      <c r="Z525" s="30" t="e">
        <f>_xll.qlTenorBasisValue(TenorBasis6M,R525,InterestRatesTrigger)</f>
        <v>#VALUE!</v>
      </c>
      <c r="AA525" s="30" t="e">
        <f t="shared" si="29"/>
        <v>#VALUE!</v>
      </c>
    </row>
    <row r="526" spans="15:27" x14ac:dyDescent="0.2">
      <c r="O526" s="33">
        <v>1</v>
      </c>
      <c r="P526" s="27" t="str">
        <f>_xll.qlPeriodEquivalent(P525&amp;"+"&amp;O526&amp;"M")</f>
        <v>43Y7M</v>
      </c>
      <c r="Q526" s="28">
        <f>_xll.qlCalendarAdvance(Calendar,SettlementDate,P526,"f",,Trigger)</f>
        <v>58197</v>
      </c>
      <c r="R526" s="28">
        <f>_xll.qlInterestRateIndexValueDate(Index,Q526,Trigger)</f>
        <v>58201</v>
      </c>
      <c r="S526" s="28">
        <f>_xll.qlInterestRateIndexMaturity(Index,R526,Trigger)</f>
        <v>58232</v>
      </c>
      <c r="T526" s="30">
        <f>_xll.qlIndexFixing($M$6,Q526,,InterestRatesTrigger)</f>
        <v>1.1502984280563873E-2</v>
      </c>
      <c r="U526" s="30">
        <f>_xll.qlIndexFixing(Index,Q526,,InterestRatesTrigger)</f>
        <v>1.1418100531035209E-2</v>
      </c>
      <c r="V526" s="30">
        <f t="shared" si="28"/>
        <v>-8.4883749528663968E-5</v>
      </c>
      <c r="W526" s="29">
        <f>_xll.qlDayCounterYearFraction(DayCounter,SettlementDate,R526,,,Trigger)</f>
        <v>44.227777777777774</v>
      </c>
      <c r="X526" s="29">
        <f>_xll.qlDayCounterYearFraction(DayCounter,R526,S526)</f>
        <v>8.611111111111111E-2</v>
      </c>
      <c r="Y526" s="29">
        <f>_xll.qlYieldTSDiscount(Currency&amp;"ON",R526)/(1+U526*X526)</f>
        <v>0.53742603510102527</v>
      </c>
      <c r="Z526" s="30" t="e">
        <f>_xll.qlTenorBasisValue(TenorBasis6M,R526,InterestRatesTrigger)</f>
        <v>#VALUE!</v>
      </c>
      <c r="AA526" s="30" t="e">
        <f t="shared" si="29"/>
        <v>#VALUE!</v>
      </c>
    </row>
    <row r="527" spans="15:27" x14ac:dyDescent="0.2">
      <c r="O527" s="33">
        <v>1</v>
      </c>
      <c r="P527" s="27" t="str">
        <f>_xll.qlPeriodEquivalent(P526&amp;"+"&amp;O527&amp;"M")</f>
        <v>43Y8M</v>
      </c>
      <c r="Q527" s="28">
        <f>_xll.qlCalendarAdvance(Calendar,SettlementDate,P527,"f",,Trigger)</f>
        <v>58228</v>
      </c>
      <c r="R527" s="28">
        <f>_xll.qlInterestRateIndexValueDate(Index,Q527,Trigger)</f>
        <v>58230</v>
      </c>
      <c r="S527" s="28">
        <f>_xll.qlInterestRateIndexMaturity(Index,R527,Trigger)</f>
        <v>58260</v>
      </c>
      <c r="T527" s="30">
        <f>_xll.qlIndexFixing($M$6,Q527,,InterestRatesTrigger)</f>
        <v>1.1475582785585026E-2</v>
      </c>
      <c r="U527" s="30">
        <f>_xll.qlIndexFixing(Index,Q527,,InterestRatesTrigger)</f>
        <v>1.1389831529275973E-2</v>
      </c>
      <c r="V527" s="30">
        <f t="shared" si="28"/>
        <v>-8.5751256309052337E-5</v>
      </c>
      <c r="W527" s="29">
        <f>_xll.qlDayCounterYearFraction(DayCounter,SettlementDate,R527,,,Trigger)</f>
        <v>44.30833333333333</v>
      </c>
      <c r="X527" s="29">
        <f>_xll.qlDayCounterYearFraction(DayCounter,R527,S527)</f>
        <v>8.3333333333333329E-2</v>
      </c>
      <c r="Y527" s="29">
        <f>_xll.qlYieldTSDiscount(Currency&amp;"ON",R527)/(1+U527*X527)</f>
        <v>0.53694675293562022</v>
      </c>
      <c r="Z527" s="30" t="e">
        <f>_xll.qlTenorBasisValue(TenorBasis6M,R527,InterestRatesTrigger)</f>
        <v>#VALUE!</v>
      </c>
      <c r="AA527" s="30" t="e">
        <f t="shared" si="29"/>
        <v>#VALUE!</v>
      </c>
    </row>
    <row r="528" spans="15:27" x14ac:dyDescent="0.2">
      <c r="O528" s="33">
        <v>1</v>
      </c>
      <c r="P528" s="27" t="str">
        <f>_xll.qlPeriodEquivalent(P527&amp;"+"&amp;O528&amp;"M")</f>
        <v>43Y9M</v>
      </c>
      <c r="Q528" s="28">
        <f>_xll.qlCalendarAdvance(Calendar,SettlementDate,P528,"f",,Trigger)</f>
        <v>58258</v>
      </c>
      <c r="R528" s="28">
        <f>_xll.qlInterestRateIndexValueDate(Index,Q528,Trigger)</f>
        <v>58260</v>
      </c>
      <c r="S528" s="28">
        <f>_xll.qlInterestRateIndexMaturity(Index,R528,Trigger)</f>
        <v>58291</v>
      </c>
      <c r="T528" s="30">
        <f>_xll.qlIndexFixing($M$6,Q528,,InterestRatesTrigger)</f>
        <v>1.1447404971514587E-2</v>
      </c>
      <c r="U528" s="30">
        <f>_xll.qlIndexFixing(Index,Q528,,InterestRatesTrigger)</f>
        <v>1.1360661328995337E-2</v>
      </c>
      <c r="V528" s="30">
        <f t="shared" si="28"/>
        <v>-8.6743642519249847E-5</v>
      </c>
      <c r="W528" s="29">
        <f>_xll.qlDayCounterYearFraction(DayCounter,SettlementDate,R528,,,Trigger)</f>
        <v>44.391666666666666</v>
      </c>
      <c r="X528" s="29">
        <f>_xll.qlDayCounterYearFraction(DayCounter,R528,S528)</f>
        <v>8.611111111111111E-2</v>
      </c>
      <c r="Y528" s="29">
        <f>_xll.qlYieldTSDiscount(Currency&amp;"ON",R528)/(1+U528*X528)</f>
        <v>0.53641815290780348</v>
      </c>
      <c r="Z528" s="30" t="e">
        <f>_xll.qlTenorBasisValue(TenorBasis6M,R528,InterestRatesTrigger)</f>
        <v>#VALUE!</v>
      </c>
      <c r="AA528" s="30" t="e">
        <f t="shared" si="29"/>
        <v>#VALUE!</v>
      </c>
    </row>
    <row r="529" spans="15:27" x14ac:dyDescent="0.2">
      <c r="O529" s="33">
        <v>1</v>
      </c>
      <c r="P529" s="27" t="str">
        <f>_xll.qlPeriodEquivalent(P528&amp;"+"&amp;O529&amp;"M")</f>
        <v>43Y10M</v>
      </c>
      <c r="Q529" s="28">
        <f>_xll.qlCalendarAdvance(Calendar,SettlementDate,P529,"f",,Trigger)</f>
        <v>58291</v>
      </c>
      <c r="R529" s="28">
        <f>_xll.qlInterestRateIndexValueDate(Index,Q529,Trigger)</f>
        <v>58293</v>
      </c>
      <c r="S529" s="28">
        <f>_xll.qlInterestRateIndexMaturity(Index,R529,Trigger)</f>
        <v>58326</v>
      </c>
      <c r="T529" s="30">
        <f>_xll.qlIndexFixing($M$6,Q529,,InterestRatesTrigger)</f>
        <v>1.1417092767646929E-2</v>
      </c>
      <c r="U529" s="30">
        <f>_xll.qlIndexFixing(Index,Q529,,InterestRatesTrigger)</f>
        <v>1.1329168907795955E-2</v>
      </c>
      <c r="V529" s="30">
        <f t="shared" si="28"/>
        <v>-8.7923859850973576E-5</v>
      </c>
      <c r="W529" s="29">
        <f>_xll.qlDayCounterYearFraction(DayCounter,SettlementDate,R529,,,Trigger)</f>
        <v>44.483333333333334</v>
      </c>
      <c r="X529" s="29">
        <f>_xll.qlDayCounterYearFraction(DayCounter,R529,S529)</f>
        <v>9.166666666666666E-2</v>
      </c>
      <c r="Y529" s="29">
        <f>_xll.qlYieldTSDiscount(Currency&amp;"ON",R529)/(1+U529*X529)</f>
        <v>0.5358236418592498</v>
      </c>
      <c r="Z529" s="30" t="e">
        <f>_xll.qlTenorBasisValue(TenorBasis6M,R529,InterestRatesTrigger)</f>
        <v>#VALUE!</v>
      </c>
      <c r="AA529" s="30" t="e">
        <f t="shared" si="29"/>
        <v>#VALUE!</v>
      </c>
    </row>
    <row r="530" spans="15:27" x14ac:dyDescent="0.2">
      <c r="O530" s="33">
        <v>1</v>
      </c>
      <c r="P530" s="27" t="str">
        <f>_xll.qlPeriodEquivalent(P529&amp;"+"&amp;O530&amp;"M")</f>
        <v>43Y11M</v>
      </c>
      <c r="Q530" s="28">
        <f>_xll.qlCalendarAdvance(Calendar,SettlementDate,P530,"f",,Trigger)</f>
        <v>58320</v>
      </c>
      <c r="R530" s="28">
        <f>_xll.qlInterestRateIndexValueDate(Index,Q530,Trigger)</f>
        <v>58322</v>
      </c>
      <c r="S530" s="28">
        <f>_xll.qlInterestRateIndexMaturity(Index,R530,Trigger)</f>
        <v>58354</v>
      </c>
      <c r="T530" s="30">
        <f>_xll.qlIndexFixing($M$6,Q530,,InterestRatesTrigger)</f>
        <v>1.1391961869243739E-2</v>
      </c>
      <c r="U530" s="30">
        <f>_xll.qlIndexFixing(Index,Q530,,InterestRatesTrigger)</f>
        <v>1.1302998250749263E-2</v>
      </c>
      <c r="V530" s="30">
        <f t="shared" si="28"/>
        <v>-8.8963618494475316E-5</v>
      </c>
      <c r="W530" s="29">
        <f>_xll.qlDayCounterYearFraction(DayCounter,SettlementDate,R530,,,Trigger)</f>
        <v>44.56388888888889</v>
      </c>
      <c r="X530" s="29">
        <f>_xll.qlDayCounterYearFraction(DayCounter,R530,S530)</f>
        <v>8.8888888888888892E-2</v>
      </c>
      <c r="Y530" s="29">
        <f>_xll.qlYieldTSDiscount(Currency&amp;"ON",R530)/(1+U530*X530)</f>
        <v>0.53534932119542389</v>
      </c>
      <c r="Z530" s="30" t="e">
        <f>_xll.qlTenorBasisValue(TenorBasis6M,R530,InterestRatesTrigger)</f>
        <v>#VALUE!</v>
      </c>
      <c r="AA530" s="30" t="e">
        <f t="shared" si="29"/>
        <v>#VALUE!</v>
      </c>
    </row>
    <row r="531" spans="15:27" x14ac:dyDescent="0.2">
      <c r="O531" s="33">
        <v>1</v>
      </c>
      <c r="P531" s="27" t="str">
        <f>_xll.qlPeriodEquivalent(P530&amp;"+"&amp;O531&amp;"M")</f>
        <v>44Y</v>
      </c>
      <c r="Q531" s="28">
        <f>_xll.qlCalendarAdvance(Calendar,SettlementDate,P531,"f",,Trigger)</f>
        <v>58350</v>
      </c>
      <c r="R531" s="28">
        <f>_xll.qlInterestRateIndexValueDate(Index,Q531,Trigger)</f>
        <v>58354</v>
      </c>
      <c r="S531" s="28">
        <f>_xll.qlInterestRateIndexMaturity(Index,R531,Trigger)</f>
        <v>58385</v>
      </c>
      <c r="T531" s="30">
        <f>_xll.qlIndexFixing($M$6,Q531,,InterestRatesTrigger)</f>
        <v>1.1365029941643743E-2</v>
      </c>
      <c r="U531" s="30">
        <f>_xll.qlIndexFixing(Index,Q531,,InterestRatesTrigger)</f>
        <v>1.1274854486491714E-2</v>
      </c>
      <c r="V531" s="30">
        <f t="shared" si="28"/>
        <v>-9.0175455152028544E-5</v>
      </c>
      <c r="W531" s="29">
        <f>_xll.qlDayCounterYearFraction(DayCounter,SettlementDate,R531,,,Trigger)</f>
        <v>44.652777777777779</v>
      </c>
      <c r="X531" s="29">
        <f>_xll.qlDayCounterYearFraction(DayCounter,R531,S531)</f>
        <v>8.611111111111111E-2</v>
      </c>
      <c r="Y531" s="29">
        <f>_xll.qlYieldTSDiscount(Currency&amp;"ON",R531)/(1+U531*X531)</f>
        <v>0.53482583481419033</v>
      </c>
      <c r="Z531" s="30" t="e">
        <f>_xll.qlTenorBasisValue(TenorBasis6M,R531,InterestRatesTrigger)</f>
        <v>#VALUE!</v>
      </c>
      <c r="AA531" s="30" t="e">
        <f t="shared" si="29"/>
        <v>#VALUE!</v>
      </c>
    </row>
    <row r="532" spans="15:27" x14ac:dyDescent="0.2">
      <c r="O532" s="33">
        <v>1</v>
      </c>
      <c r="P532" s="27" t="str">
        <f>_xll.qlPeriodEquivalent(P531&amp;"+"&amp;O532&amp;"M")</f>
        <v>44Y1M</v>
      </c>
      <c r="Q532" s="28">
        <f>_xll.qlCalendarAdvance(Calendar,SettlementDate,P532,"f",,Trigger)</f>
        <v>58382</v>
      </c>
      <c r="R532" s="28">
        <f>_xll.qlInterestRateIndexValueDate(Index,Q532,Trigger)</f>
        <v>58384</v>
      </c>
      <c r="S532" s="28">
        <f>_xll.qlInterestRateIndexMaturity(Index,R532,Trigger)</f>
        <v>58414</v>
      </c>
      <c r="T532" s="30">
        <f>_xll.qlIndexFixing($M$6,Q532,,InterestRatesTrigger)</f>
        <v>1.1340588437152022E-2</v>
      </c>
      <c r="U532" s="30">
        <f>_xll.qlIndexFixing(Index,Q532,,InterestRatesTrigger)</f>
        <v>1.1249218516610426E-2</v>
      </c>
      <c r="V532" s="30">
        <f t="shared" si="28"/>
        <v>-9.1369920541595206E-5</v>
      </c>
      <c r="W532" s="29">
        <f>_xll.qlDayCounterYearFraction(DayCounter,SettlementDate,R532,,,Trigger)</f>
        <v>44.736111111111114</v>
      </c>
      <c r="X532" s="29">
        <f>_xll.qlDayCounterYearFraction(DayCounter,R532,S532)</f>
        <v>8.3333333333333329E-2</v>
      </c>
      <c r="Y532" s="29">
        <f>_xll.qlYieldTSDiscount(Currency&amp;"ON",R532)/(1+U532*X532)</f>
        <v>0.53433763673127899</v>
      </c>
      <c r="Z532" s="30" t="e">
        <f>_xll.qlTenorBasisValue(TenorBasis6M,R532,InterestRatesTrigger)</f>
        <v>#VALUE!</v>
      </c>
      <c r="AA532" s="30" t="e">
        <f t="shared" si="29"/>
        <v>#VALUE!</v>
      </c>
    </row>
    <row r="533" spans="15:27" x14ac:dyDescent="0.2">
      <c r="O533" s="33">
        <v>1</v>
      </c>
      <c r="P533" s="27" t="str">
        <f>_xll.qlPeriodEquivalent(P532&amp;"+"&amp;O533&amp;"M")</f>
        <v>44Y2M</v>
      </c>
      <c r="Q533" s="28">
        <f>_xll.qlCalendarAdvance(Calendar,SettlementDate,P533,"f",,Trigger)</f>
        <v>58411</v>
      </c>
      <c r="R533" s="28">
        <f>_xll.qlInterestRateIndexValueDate(Index,Q533,Trigger)</f>
        <v>58413</v>
      </c>
      <c r="S533" s="28">
        <f>_xll.qlInterestRateIndexMaturity(Index,R533,Trigger)</f>
        <v>58445</v>
      </c>
      <c r="T533" s="30">
        <f>_xll.qlIndexFixing($M$6,Q533,,InterestRatesTrigger)</f>
        <v>1.1317068112972062E-2</v>
      </c>
      <c r="U533" s="30">
        <f>_xll.qlIndexFixing(Index,Q533,,InterestRatesTrigger)</f>
        <v>1.1224414507606528E-2</v>
      </c>
      <c r="V533" s="30">
        <f t="shared" si="28"/>
        <v>-9.2653605365533576E-5</v>
      </c>
      <c r="W533" s="29">
        <f>_xll.qlDayCounterYearFraction(DayCounter,SettlementDate,R533,,,Trigger)</f>
        <v>44.81666666666667</v>
      </c>
      <c r="X533" s="29">
        <f>_xll.qlDayCounterYearFraction(DayCounter,R533,S533)</f>
        <v>8.8888888888888892E-2</v>
      </c>
      <c r="Y533" s="29">
        <f>_xll.qlYieldTSDiscount(Currency&amp;"ON",R533)/(1+U533*X533)</f>
        <v>0.53381777569163014</v>
      </c>
      <c r="Z533" s="30" t="e">
        <f>_xll.qlTenorBasisValue(TenorBasis6M,R533,InterestRatesTrigger)</f>
        <v>#VALUE!</v>
      </c>
      <c r="AA533" s="30" t="e">
        <f t="shared" si="29"/>
        <v>#VALUE!</v>
      </c>
    </row>
    <row r="534" spans="15:27" x14ac:dyDescent="0.2">
      <c r="O534" s="33">
        <v>1</v>
      </c>
      <c r="P534" s="27" t="str">
        <f>_xll.qlPeriodEquivalent(P533&amp;"+"&amp;O534&amp;"M")</f>
        <v>44Y3M</v>
      </c>
      <c r="Q534" s="28">
        <f>_xll.qlCalendarAdvance(Calendar,SettlementDate,P534,"f",,Trigger)</f>
        <v>58442</v>
      </c>
      <c r="R534" s="28">
        <f>_xll.qlInterestRateIndexValueDate(Index,Q534,Trigger)</f>
        <v>58446</v>
      </c>
      <c r="S534" s="28">
        <f>_xll.qlInterestRateIndexMaturity(Index,R534,Trigger)</f>
        <v>58477</v>
      </c>
      <c r="T534" s="30">
        <f>_xll.qlIndexFixing($M$6,Q534,,InterestRatesTrigger)</f>
        <v>1.1291923692223151E-2</v>
      </c>
      <c r="U534" s="30">
        <f>_xll.qlIndexFixing(Index,Q534,,InterestRatesTrigger)</f>
        <v>1.1197820600811025E-2</v>
      </c>
      <c r="V534" s="30">
        <f t="shared" si="28"/>
        <v>-9.4103091412126028E-5</v>
      </c>
      <c r="W534" s="29">
        <f>_xll.qlDayCounterYearFraction(DayCounter,SettlementDate,R534,,,Trigger)</f>
        <v>44.908333333333331</v>
      </c>
      <c r="X534" s="29">
        <f>_xll.qlDayCounterYearFraction(DayCounter,R534,S534)</f>
        <v>8.611111111111111E-2</v>
      </c>
      <c r="Y534" s="29">
        <f>_xll.qlYieldTSDiscount(Currency&amp;"ON",R534)/(1+U534*X534)</f>
        <v>0.533282409064602</v>
      </c>
      <c r="Z534" s="30" t="e">
        <f>_xll.qlTenorBasisValue(TenorBasis6M,R534,InterestRatesTrigger)</f>
        <v>#VALUE!</v>
      </c>
      <c r="AA534" s="30" t="e">
        <f t="shared" si="29"/>
        <v>#VALUE!</v>
      </c>
    </row>
    <row r="535" spans="15:27" x14ac:dyDescent="0.2">
      <c r="O535" s="33">
        <v>1</v>
      </c>
      <c r="P535" s="27" t="str">
        <f>_xll.qlPeriodEquivalent(P534&amp;"+"&amp;O535&amp;"M")</f>
        <v>44Y4M</v>
      </c>
      <c r="Q535" s="28">
        <f>_xll.qlCalendarAdvance(Calendar,SettlementDate,P535,"f",,Trigger)</f>
        <v>58473</v>
      </c>
      <c r="R535" s="28">
        <f>_xll.qlInterestRateIndexValueDate(Index,Q535,Trigger)</f>
        <v>58475</v>
      </c>
      <c r="S535" s="28">
        <f>_xll.qlInterestRateIndexMaturity(Index,R535,Trigger)</f>
        <v>58504</v>
      </c>
      <c r="T535" s="30">
        <f>_xll.qlIndexFixing($M$6,Q535,,InterestRatesTrigger)</f>
        <v>1.1270821447450296E-2</v>
      </c>
      <c r="U535" s="30">
        <f>_xll.qlIndexFixing(Index,Q535,,InterestRatesTrigger)</f>
        <v>1.1175415644845947E-2</v>
      </c>
      <c r="V535" s="30">
        <f t="shared" si="28"/>
        <v>-9.5405802604349096E-5</v>
      </c>
      <c r="W535" s="29">
        <f>_xll.qlDayCounterYearFraction(DayCounter,SettlementDate,R535,,,Trigger)</f>
        <v>44.988888888888887</v>
      </c>
      <c r="X535" s="29">
        <f>_xll.qlDayCounterYearFraction(DayCounter,R535,S535)</f>
        <v>8.0555555555555561E-2</v>
      </c>
      <c r="Y535" s="29">
        <f>_xll.qlYieldTSDiscount(Currency&amp;"ON",R535)/(1+U535*X535)</f>
        <v>0.53283182113031924</v>
      </c>
      <c r="Z535" s="30" t="e">
        <f>_xll.qlTenorBasisValue(TenorBasis6M,R535,InterestRatesTrigger)</f>
        <v>#VALUE!</v>
      </c>
      <c r="AA535" s="30" t="e">
        <f t="shared" si="29"/>
        <v>#VALUE!</v>
      </c>
    </row>
    <row r="536" spans="15:27" x14ac:dyDescent="0.2">
      <c r="O536" s="33">
        <v>1</v>
      </c>
      <c r="P536" s="27" t="str">
        <f>_xll.qlPeriodEquivalent(P535&amp;"+"&amp;O536&amp;"M")</f>
        <v>44Y5M</v>
      </c>
      <c r="Q536" s="28">
        <f>_xll.qlCalendarAdvance(Calendar,SettlementDate,P536,"f",,Trigger)</f>
        <v>58502</v>
      </c>
      <c r="R536" s="28">
        <f>_xll.qlInterestRateIndexValueDate(Index,Q536,Trigger)</f>
        <v>58504</v>
      </c>
      <c r="S536" s="28">
        <f>_xll.qlInterestRateIndexMaturity(Index,R536,Trigger)</f>
        <v>58536</v>
      </c>
      <c r="T536" s="30">
        <f>_xll.qlIndexFixing($M$6,Q536,,InterestRatesTrigger)</f>
        <v>1.1249569594050379E-2</v>
      </c>
      <c r="U536" s="30">
        <f>_xll.qlIndexFixing(Index,Q536,,InterestRatesTrigger)</f>
        <v>1.1152667368714009E-2</v>
      </c>
      <c r="V536" s="30">
        <f t="shared" si="28"/>
        <v>-9.6902225336370496E-5</v>
      </c>
      <c r="W536" s="29">
        <f>_xll.qlDayCounterYearFraction(DayCounter,SettlementDate,R536,,,Trigger)</f>
        <v>45.069444444444443</v>
      </c>
      <c r="X536" s="29">
        <f>_xll.qlDayCounterYearFraction(DayCounter,R536,S536)</f>
        <v>8.8888888888888892E-2</v>
      </c>
      <c r="Y536" s="29">
        <f>_xll.qlYieldTSDiscount(Currency&amp;"ON",R536)/(1+U536*X536)</f>
        <v>0.53230003509608737</v>
      </c>
      <c r="Z536" s="30" t="e">
        <f>_xll.qlTenorBasisValue(TenorBasis6M,R536,InterestRatesTrigger)</f>
        <v>#VALUE!</v>
      </c>
      <c r="AA536" s="30" t="e">
        <f t="shared" si="29"/>
        <v>#VALUE!</v>
      </c>
    </row>
    <row r="537" spans="15:27" x14ac:dyDescent="0.2">
      <c r="O537" s="33">
        <v>1</v>
      </c>
      <c r="P537" s="27" t="str">
        <f>_xll.qlPeriodEquivalent(P536&amp;"+"&amp;O537&amp;"M")</f>
        <v>44Y6M</v>
      </c>
      <c r="Q537" s="28">
        <f>_xll.qlCalendarAdvance(Calendar,SettlementDate,P537,"f",,Trigger)</f>
        <v>58533</v>
      </c>
      <c r="R537" s="28">
        <f>_xll.qlInterestRateIndexValueDate(Index,Q537,Trigger)</f>
        <v>58537</v>
      </c>
      <c r="S537" s="28">
        <f>_xll.qlInterestRateIndexMaturity(Index,R537,Trigger)</f>
        <v>58567</v>
      </c>
      <c r="T537" s="30">
        <f>_xll.qlIndexFixing($M$6,Q537,,InterestRatesTrigger)</f>
        <v>1.1227270477323081E-2</v>
      </c>
      <c r="U537" s="30">
        <f>_xll.qlIndexFixing(Index,Q537,,InterestRatesTrigger)</f>
        <v>1.1128745675187623E-2</v>
      </c>
      <c r="V537" s="30">
        <f t="shared" si="28"/>
        <v>-9.852480213545789E-5</v>
      </c>
      <c r="W537" s="29">
        <f>_xll.qlDayCounterYearFraction(DayCounter,SettlementDate,R537,,,Trigger)</f>
        <v>45.161111111111111</v>
      </c>
      <c r="X537" s="29">
        <f>_xll.qlDayCounterYearFraction(DayCounter,R537,S537)</f>
        <v>8.3333333333333329E-2</v>
      </c>
      <c r="Y537" s="29">
        <f>_xll.qlYieldTSDiscount(Currency&amp;"ON",R537)/(1+U537*X537)</f>
        <v>0.53178567098814411</v>
      </c>
      <c r="Z537" s="30" t="e">
        <f>_xll.qlTenorBasisValue(TenorBasis6M,R537,InterestRatesTrigger)</f>
        <v>#VALUE!</v>
      </c>
      <c r="AA537" s="30" t="e">
        <f t="shared" si="29"/>
        <v>#VALUE!</v>
      </c>
    </row>
    <row r="538" spans="15:27" x14ac:dyDescent="0.2">
      <c r="O538" s="33">
        <v>1</v>
      </c>
      <c r="P538" s="27" t="str">
        <f>_xll.qlPeriodEquivalent(P537&amp;"+"&amp;O538&amp;"M")</f>
        <v>44Y7M</v>
      </c>
      <c r="Q538" s="28">
        <f>_xll.qlCalendarAdvance(Calendar,SettlementDate,P538,"f",,Trigger)</f>
        <v>58564</v>
      </c>
      <c r="R538" s="28">
        <f>_xll.qlInterestRateIndexValueDate(Index,Q538,Trigger)</f>
        <v>58566</v>
      </c>
      <c r="S538" s="28">
        <f>_xll.qlInterestRateIndexMaturity(Index,R538,Trigger)</f>
        <v>58599</v>
      </c>
      <c r="T538" s="30">
        <f>_xll.qlIndexFixing($M$6,Q538,,InterestRatesTrigger)</f>
        <v>1.120776594241106E-2</v>
      </c>
      <c r="U538" s="30">
        <f>_xll.qlIndexFixing(Index,Q538,,InterestRatesTrigger)</f>
        <v>1.1107612498111926E-2</v>
      </c>
      <c r="V538" s="30">
        <f t="shared" si="28"/>
        <v>-1.0015344429913434E-4</v>
      </c>
      <c r="W538" s="29">
        <f>_xll.qlDayCounterYearFraction(DayCounter,SettlementDate,R538,,,Trigger)</f>
        <v>45.241666666666667</v>
      </c>
      <c r="X538" s="29">
        <f>_xll.qlDayCounterYearFraction(DayCounter,R538,S538)</f>
        <v>9.166666666666666E-2</v>
      </c>
      <c r="Y538" s="29">
        <f>_xll.qlYieldTSDiscount(Currency&amp;"ON",R538)/(1+U538*X538)</f>
        <v>0.53125694706338189</v>
      </c>
      <c r="Z538" s="30" t="e">
        <f>_xll.qlTenorBasisValue(TenorBasis6M,R538,InterestRatesTrigger)</f>
        <v>#VALUE!</v>
      </c>
      <c r="AA538" s="30" t="e">
        <f t="shared" si="29"/>
        <v>#VALUE!</v>
      </c>
    </row>
    <row r="539" spans="15:27" x14ac:dyDescent="0.2">
      <c r="O539" s="33">
        <v>1</v>
      </c>
      <c r="P539" s="27" t="str">
        <f>_xll.qlPeriodEquivalent(P538&amp;"+"&amp;O539&amp;"M")</f>
        <v>44Y8M</v>
      </c>
      <c r="Q539" s="28">
        <f>_xll.qlCalendarAdvance(Calendar,SettlementDate,P539,"f",,Trigger)</f>
        <v>58594</v>
      </c>
      <c r="R539" s="28">
        <f>_xll.qlInterestRateIndexValueDate(Index,Q539,Trigger)</f>
        <v>58596</v>
      </c>
      <c r="S539" s="28">
        <f>_xll.qlInterestRateIndexMaturity(Index,R539,Trigger)</f>
        <v>58627</v>
      </c>
      <c r="T539" s="30">
        <f>_xll.qlIndexFixing($M$6,Q539,,InterestRatesTrigger)</f>
        <v>1.1189164234998484E-2</v>
      </c>
      <c r="U539" s="30">
        <f>_xll.qlIndexFixing(Index,Q539,,InterestRatesTrigger)</f>
        <v>1.1087417819181995E-2</v>
      </c>
      <c r="V539" s="30">
        <f t="shared" si="28"/>
        <v>-1.0174641581648866E-4</v>
      </c>
      <c r="W539" s="29">
        <f>_xll.qlDayCounterYearFraction(DayCounter,SettlementDate,R539,,,Trigger)</f>
        <v>45.325000000000003</v>
      </c>
      <c r="X539" s="29">
        <f>_xll.qlDayCounterYearFraction(DayCounter,R539,S539)</f>
        <v>8.611111111111111E-2</v>
      </c>
      <c r="Y539" s="29">
        <f>_xll.qlYieldTSDiscount(Currency&amp;"ON",R539)/(1+U539*X539)</f>
        <v>0.53079485081063826</v>
      </c>
      <c r="Z539" s="30" t="e">
        <f>_xll.qlTenorBasisValue(TenorBasis6M,R539,InterestRatesTrigger)</f>
        <v>#VALUE!</v>
      </c>
      <c r="AA539" s="30" t="e">
        <f t="shared" si="29"/>
        <v>#VALUE!</v>
      </c>
    </row>
    <row r="540" spans="15:27" x14ac:dyDescent="0.2">
      <c r="O540" s="33">
        <v>1</v>
      </c>
      <c r="P540" s="27" t="str">
        <f>_xll.qlPeriodEquivalent(P539&amp;"+"&amp;O540&amp;"M")</f>
        <v>44Y9M</v>
      </c>
      <c r="Q540" s="28">
        <f>_xll.qlCalendarAdvance(Calendar,SettlementDate,P540,"f",,Trigger)</f>
        <v>58624</v>
      </c>
      <c r="R540" s="28">
        <f>_xll.qlInterestRateIndexValueDate(Index,Q540,Trigger)</f>
        <v>58628</v>
      </c>
      <c r="S540" s="28">
        <f>_xll.qlInterestRateIndexMaturity(Index,R540,Trigger)</f>
        <v>58659</v>
      </c>
      <c r="T540" s="30">
        <f>_xll.qlIndexFixing($M$6,Q540,,InterestRatesTrigger)</f>
        <v>1.116994344439033E-2</v>
      </c>
      <c r="U540" s="30">
        <f>_xll.qlIndexFixing(Index,Q540,,InterestRatesTrigger)</f>
        <v>1.1066363272980018E-2</v>
      </c>
      <c r="V540" s="30">
        <f t="shared" si="28"/>
        <v>-1.0358017141031198E-4</v>
      </c>
      <c r="W540" s="29">
        <f>_xll.qlDayCounterYearFraction(DayCounter,SettlementDate,R540,,,Trigger)</f>
        <v>45.413888888888891</v>
      </c>
      <c r="X540" s="29">
        <f>_xll.qlDayCounterYearFraction(DayCounter,R540,S540)</f>
        <v>8.611111111111111E-2</v>
      </c>
      <c r="Y540" s="29">
        <f>_xll.qlYieldTSDiscount(Currency&amp;"ON",R540)/(1+U540*X540)</f>
        <v>0.53026841751169329</v>
      </c>
      <c r="Z540" s="30" t="e">
        <f>_xll.qlTenorBasisValue(TenorBasis6M,R540,InterestRatesTrigger)</f>
        <v>#VALUE!</v>
      </c>
      <c r="AA540" s="30" t="e">
        <f t="shared" si="29"/>
        <v>#VALUE!</v>
      </c>
    </row>
    <row r="541" spans="15:27" x14ac:dyDescent="0.2">
      <c r="O541" s="33">
        <v>1</v>
      </c>
      <c r="P541" s="27" t="str">
        <f>_xll.qlPeriodEquivalent(P540&amp;"+"&amp;O541&amp;"M")</f>
        <v>44Y10M</v>
      </c>
      <c r="Q541" s="28">
        <f>_xll.qlCalendarAdvance(Calendar,SettlementDate,P541,"f",,Trigger)</f>
        <v>58655</v>
      </c>
      <c r="R541" s="28">
        <f>_xll.qlInterestRateIndexValueDate(Index,Q541,Trigger)</f>
        <v>58657</v>
      </c>
      <c r="S541" s="28">
        <f>_xll.qlInterestRateIndexMaturity(Index,R541,Trigger)</f>
        <v>58690</v>
      </c>
      <c r="T541" s="30">
        <f>_xll.qlIndexFixing($M$6,Q541,,InterestRatesTrigger)</f>
        <v>1.1153153017191351E-2</v>
      </c>
      <c r="U541" s="30">
        <f>_xll.qlIndexFixing(Index,Q541,,InterestRatesTrigger)</f>
        <v>1.1047780871910556E-2</v>
      </c>
      <c r="V541" s="30">
        <f t="shared" si="28"/>
        <v>-1.0537214528079548E-4</v>
      </c>
      <c r="W541" s="29">
        <f>_xll.qlDayCounterYearFraction(DayCounter,SettlementDate,R541,,,Trigger)</f>
        <v>45.494444444444447</v>
      </c>
      <c r="X541" s="29">
        <f>_xll.qlDayCounterYearFraction(DayCounter,R541,S541)</f>
        <v>9.166666666666666E-2</v>
      </c>
      <c r="Y541" s="29">
        <f>_xll.qlYieldTSDiscount(Currency&amp;"ON",R541)/(1+U541*X541)</f>
        <v>0.52976006338189419</v>
      </c>
      <c r="Z541" s="30" t="e">
        <f>_xll.qlTenorBasisValue(TenorBasis6M,R541,InterestRatesTrigger)</f>
        <v>#VALUE!</v>
      </c>
      <c r="AA541" s="30" t="e">
        <f t="shared" si="29"/>
        <v>#VALUE!</v>
      </c>
    </row>
    <row r="542" spans="15:27" x14ac:dyDescent="0.2">
      <c r="O542" s="33">
        <v>1</v>
      </c>
      <c r="P542" s="27" t="str">
        <f>_xll.qlPeriodEquivalent(P541&amp;"+"&amp;O542&amp;"M")</f>
        <v>44Y11M</v>
      </c>
      <c r="Q542" s="28">
        <f>_xll.qlCalendarAdvance(Calendar,SettlementDate,P542,"f",,Trigger)</f>
        <v>58686</v>
      </c>
      <c r="R542" s="28">
        <f>_xll.qlInterestRateIndexValueDate(Index,Q542,Trigger)</f>
        <v>58690</v>
      </c>
      <c r="S542" s="28">
        <f>_xll.qlInterestRateIndexMaturity(Index,R542,Trigger)</f>
        <v>58720</v>
      </c>
      <c r="T542" s="30">
        <f>_xll.qlIndexFixing($M$6,Q542,,InterestRatesTrigger)</f>
        <v>1.1135552320072684E-2</v>
      </c>
      <c r="U542" s="30">
        <f>_xll.qlIndexFixing(Index,Q542,,InterestRatesTrigger)</f>
        <v>1.1028247001793723E-2</v>
      </c>
      <c r="V542" s="30">
        <f t="shared" si="28"/>
        <v>-1.0730531827896073E-4</v>
      </c>
      <c r="W542" s="29">
        <f>_xll.qlDayCounterYearFraction(DayCounter,SettlementDate,R542,,,Trigger)</f>
        <v>45.586111111111109</v>
      </c>
      <c r="X542" s="29">
        <f>_xll.qlDayCounterYearFraction(DayCounter,R542,S542)</f>
        <v>8.3333333333333329E-2</v>
      </c>
      <c r="Y542" s="29">
        <f>_xll.qlYieldTSDiscount(Currency&amp;"ON",R542)/(1+U542*X542)</f>
        <v>0.52926854291043535</v>
      </c>
      <c r="Z542" s="30" t="e">
        <f>_xll.qlTenorBasisValue(TenorBasis6M,R542,InterestRatesTrigger)</f>
        <v>#VALUE!</v>
      </c>
      <c r="AA542" s="30" t="e">
        <f t="shared" si="29"/>
        <v>#VALUE!</v>
      </c>
    </row>
    <row r="543" spans="15:27" x14ac:dyDescent="0.2">
      <c r="O543" s="33">
        <v>1</v>
      </c>
      <c r="P543" s="27" t="str">
        <f>_xll.qlPeriodEquivalent(P542&amp;"+"&amp;O543&amp;"M")</f>
        <v>45Y</v>
      </c>
      <c r="Q543" s="28">
        <f>_xll.qlCalendarAdvance(Calendar,SettlementDate,P543,"f",,Trigger)</f>
        <v>58718</v>
      </c>
      <c r="R543" s="28">
        <f>_xll.qlInterestRateIndexValueDate(Index,Q543,Trigger)</f>
        <v>58720</v>
      </c>
      <c r="S543" s="28">
        <f>_xll.qlInterestRateIndexMaturity(Index,R543,Trigger)</f>
        <v>58753</v>
      </c>
      <c r="T543" s="30">
        <f>_xll.qlIndexFixing($M$6,Q543,,InterestRatesTrigger)</f>
        <v>1.1119952148010174E-2</v>
      </c>
      <c r="U543" s="30">
        <f>_xll.qlIndexFixing(Index,Q543,,InterestRatesTrigger)</f>
        <v>1.1010621343275805E-2</v>
      </c>
      <c r="V543" s="30">
        <f t="shared" si="28"/>
        <v>-1.0933080473436892E-4</v>
      </c>
      <c r="W543" s="29">
        <f>_xll.qlDayCounterYearFraction(DayCounter,SettlementDate,R543,,,Trigger)</f>
        <v>45.669444444444444</v>
      </c>
      <c r="X543" s="29">
        <f>_xll.qlDayCounterYearFraction(DayCounter,R543,S543)</f>
        <v>9.166666666666666E-2</v>
      </c>
      <c r="Y543" s="29">
        <f>_xll.qlYieldTSDiscount(Currency&amp;"ON",R543)/(1+U543*X543)</f>
        <v>0.52873016348864721</v>
      </c>
      <c r="Z543" s="30" t="e">
        <f>_xll.qlTenorBasisValue(TenorBasis6M,R543,InterestRatesTrigger)</f>
        <v>#VALUE!</v>
      </c>
      <c r="AA543" s="30" t="e">
        <f t="shared" si="29"/>
        <v>#VALUE!</v>
      </c>
    </row>
    <row r="544" spans="15:27" x14ac:dyDescent="0.2">
      <c r="O544" s="33">
        <v>1</v>
      </c>
      <c r="P544" s="27" t="str">
        <f>_xll.qlPeriodEquivalent(P543&amp;"+"&amp;O544&amp;"M")</f>
        <v>45Y1M</v>
      </c>
      <c r="Q544" s="28">
        <f>_xll.qlCalendarAdvance(Calendar,SettlementDate,P544,"f",,Trigger)</f>
        <v>58747</v>
      </c>
      <c r="R544" s="28">
        <f>_xll.qlInterestRateIndexValueDate(Index,Q544,Trigger)</f>
        <v>58749</v>
      </c>
      <c r="S544" s="28">
        <f>_xll.qlInterestRateIndexMaturity(Index,R544,Trigger)</f>
        <v>58781</v>
      </c>
      <c r="T544" s="30">
        <f>_xll.qlIndexFixing($M$6,Q544,,InterestRatesTrigger)</f>
        <v>1.110601657339727E-2</v>
      </c>
      <c r="U544" s="30">
        <f>_xll.qlIndexFixing(Index,Q544,,InterestRatesTrigger)</f>
        <v>1.0994804350169252E-2</v>
      </c>
      <c r="V544" s="30">
        <f t="shared" si="28"/>
        <v>-1.1121222322801882E-4</v>
      </c>
      <c r="W544" s="29">
        <f>_xll.qlDayCounterYearFraction(DayCounter,SettlementDate,R544,,,Trigger)</f>
        <v>45.75</v>
      </c>
      <c r="X544" s="29">
        <f>_xll.qlDayCounterYearFraction(DayCounter,R544,S544)</f>
        <v>8.8888888888888892E-2</v>
      </c>
      <c r="Y544" s="29">
        <f>_xll.qlYieldTSDiscount(Currency&amp;"ON",R544)/(1+U544*X544)</f>
        <v>0.52827383496016556</v>
      </c>
      <c r="Z544" s="30" t="e">
        <f>_xll.qlTenorBasisValue(TenorBasis6M,R544,InterestRatesTrigger)</f>
        <v>#VALUE!</v>
      </c>
      <c r="AA544" s="30" t="e">
        <f t="shared" si="29"/>
        <v>#VALUE!</v>
      </c>
    </row>
    <row r="545" spans="15:27" x14ac:dyDescent="0.2">
      <c r="O545" s="33">
        <v>1</v>
      </c>
      <c r="P545" s="27" t="str">
        <f>_xll.qlPeriodEquivalent(P544&amp;"+"&amp;O545&amp;"M")</f>
        <v>45Y2M</v>
      </c>
      <c r="Q545" s="28">
        <f>_xll.qlCalendarAdvance(Calendar,SettlementDate,P545,"f",,Trigger)</f>
        <v>58777</v>
      </c>
      <c r="R545" s="28">
        <f>_xll.qlInterestRateIndexValueDate(Index,Q545,Trigger)</f>
        <v>58781</v>
      </c>
      <c r="S545" s="28">
        <f>_xll.qlInterestRateIndexMaturity(Index,R545,Trigger)</f>
        <v>58812</v>
      </c>
      <c r="T545" s="30">
        <f>_xll.qlIndexFixing($M$6,Q545,,InterestRatesTrigger)</f>
        <v>1.1091554272921529E-2</v>
      </c>
      <c r="U545" s="30">
        <f>_xll.qlIndexFixing(Index,Q545,,InterestRatesTrigger)</f>
        <v>1.0978193422083565E-2</v>
      </c>
      <c r="V545" s="30">
        <f t="shared" si="28"/>
        <v>-1.1336085083796417E-4</v>
      </c>
      <c r="W545" s="29">
        <f>_xll.qlDayCounterYearFraction(DayCounter,SettlementDate,R545,,,Trigger)</f>
        <v>45.838888888888889</v>
      </c>
      <c r="X545" s="29">
        <f>_xll.qlDayCounterYearFraction(DayCounter,R545,S545)</f>
        <v>8.611111111111111E-2</v>
      </c>
      <c r="Y545" s="29">
        <f>_xll.qlYieldTSDiscount(Currency&amp;"ON",R545)/(1+U545*X545)</f>
        <v>0.52776969370101734</v>
      </c>
      <c r="Z545" s="30" t="e">
        <f>_xll.qlTenorBasisValue(TenorBasis6M,R545,InterestRatesTrigger)</f>
        <v>#VALUE!</v>
      </c>
      <c r="AA545" s="30" t="e">
        <f t="shared" si="29"/>
        <v>#VALUE!</v>
      </c>
    </row>
    <row r="546" spans="15:27" x14ac:dyDescent="0.2">
      <c r="O546" s="33">
        <v>1</v>
      </c>
      <c r="P546" s="27" t="str">
        <f>_xll.qlPeriodEquivalent(P545&amp;"+"&amp;O546&amp;"M")</f>
        <v>45Y3M</v>
      </c>
      <c r="Q546" s="28">
        <f>_xll.qlCalendarAdvance(Calendar,SettlementDate,P546,"f",,Trigger)</f>
        <v>58809</v>
      </c>
      <c r="R546" s="28">
        <f>_xll.qlInterestRateIndexValueDate(Index,Q546,Trigger)</f>
        <v>58811</v>
      </c>
      <c r="S546" s="28">
        <f>_xll.qlInterestRateIndexMaturity(Index,R546,Trigger)</f>
        <v>58844</v>
      </c>
      <c r="T546" s="30">
        <f>_xll.qlIndexFixing($M$6,Q546,,InterestRatesTrigger)</f>
        <v>1.1078789820129423E-2</v>
      </c>
      <c r="U546" s="30">
        <f>_xll.qlIndexFixing(Index,Q546,,InterestRatesTrigger)</f>
        <v>1.0963232328173464E-2</v>
      </c>
      <c r="V546" s="30">
        <f t="shared" si="28"/>
        <v>-1.1555749195595912E-4</v>
      </c>
      <c r="W546" s="29">
        <f>_xll.qlDayCounterYearFraction(DayCounter,SettlementDate,R546,,,Trigger)</f>
        <v>45.922222222222224</v>
      </c>
      <c r="X546" s="29">
        <f>_xll.qlDayCounterYearFraction(DayCounter,R546,S546)</f>
        <v>9.166666666666666E-2</v>
      </c>
      <c r="Y546" s="29">
        <f>_xll.qlYieldTSDiscount(Currency&amp;"ON",R546)/(1+U546*X546)</f>
        <v>0.52725092240180493</v>
      </c>
      <c r="Z546" s="30" t="e">
        <f>_xll.qlTenorBasisValue(TenorBasis6M,R546,InterestRatesTrigger)</f>
        <v>#VALUE!</v>
      </c>
      <c r="AA546" s="30" t="e">
        <f t="shared" si="29"/>
        <v>#VALUE!</v>
      </c>
    </row>
    <row r="547" spans="15:27" x14ac:dyDescent="0.2">
      <c r="O547" s="33">
        <v>1</v>
      </c>
      <c r="P547" s="27" t="str">
        <f>_xll.qlPeriodEquivalent(P546&amp;"+"&amp;O547&amp;"M")</f>
        <v>45Y4M</v>
      </c>
      <c r="Q547" s="28">
        <f>_xll.qlCalendarAdvance(Calendar,SettlementDate,P547,"f",,Trigger)</f>
        <v>58839</v>
      </c>
      <c r="R547" s="28">
        <f>_xll.qlInterestRateIndexValueDate(Index,Q547,Trigger)</f>
        <v>58841</v>
      </c>
      <c r="S547" s="28">
        <f>_xll.qlInterestRateIndexMaturity(Index,R547,Trigger)</f>
        <v>58869</v>
      </c>
      <c r="T547" s="30">
        <f>_xll.qlIndexFixing($M$6,Q547,,InterestRatesTrigger)</f>
        <v>1.1067091433184042E-2</v>
      </c>
      <c r="U547" s="30">
        <f>_xll.qlIndexFixing(Index,Q547,,InterestRatesTrigger)</f>
        <v>1.0949551291281612E-2</v>
      </c>
      <c r="V547" s="30">
        <f t="shared" si="28"/>
        <v>-1.1754014190243009E-4</v>
      </c>
      <c r="W547" s="29">
        <f>_xll.qlDayCounterYearFraction(DayCounter,SettlementDate,R547,,,Trigger)</f>
        <v>46.005555555555553</v>
      </c>
      <c r="X547" s="29">
        <f>_xll.qlDayCounterYearFraction(DayCounter,R547,S547)</f>
        <v>7.7777777777777779E-2</v>
      </c>
      <c r="Y547" s="29">
        <f>_xll.qlYieldTSDiscount(Currency&amp;"ON",R547)/(1+U547*X547)</f>
        <v>0.52684529283117243</v>
      </c>
      <c r="Z547" s="30" t="e">
        <f>_xll.qlTenorBasisValue(TenorBasis6M,R547,InterestRatesTrigger)</f>
        <v>#VALUE!</v>
      </c>
      <c r="AA547" s="30" t="e">
        <f t="shared" si="29"/>
        <v>#VALUE!</v>
      </c>
    </row>
    <row r="548" spans="15:27" x14ac:dyDescent="0.2">
      <c r="O548" s="33">
        <v>1</v>
      </c>
      <c r="P548" s="27" t="str">
        <f>_xll.qlPeriodEquivalent(P547&amp;"+"&amp;O548&amp;"M")</f>
        <v>45Y5M</v>
      </c>
      <c r="Q548" s="28">
        <f>_xll.qlCalendarAdvance(Calendar,SettlementDate,P548,"f",,Trigger)</f>
        <v>58867</v>
      </c>
      <c r="R548" s="28">
        <f>_xll.qlInterestRateIndexValueDate(Index,Q548,Trigger)</f>
        <v>58869</v>
      </c>
      <c r="S548" s="28">
        <f>_xll.qlInterestRateIndexMaturity(Index,R548,Trigger)</f>
        <v>58900</v>
      </c>
      <c r="T548" s="30">
        <f>_xll.qlIndexFixing($M$6,Q548,,InterestRatesTrigger)</f>
        <v>1.1056823792210832E-2</v>
      </c>
      <c r="U548" s="30">
        <f>_xll.qlIndexFixing(Index,Q548,,InterestRatesTrigger)</f>
        <v>1.0937062802316719E-2</v>
      </c>
      <c r="V548" s="30">
        <f t="shared" ref="V548:V611" si="30">U548-T548</f>
        <v>-1.1976098989411287E-4</v>
      </c>
      <c r="W548" s="29">
        <f>_xll.qlDayCounterYearFraction(DayCounter,SettlementDate,R548,,,Trigger)</f>
        <v>46.083333333333336</v>
      </c>
      <c r="X548" s="29">
        <f>_xll.qlDayCounterYearFraction(DayCounter,R548,S548)</f>
        <v>8.611111111111111E-2</v>
      </c>
      <c r="Y548" s="29">
        <f>_xll.qlYieldTSDiscount(Currency&amp;"ON",R548)/(1+U548*X548)</f>
        <v>0.52634476766140259</v>
      </c>
      <c r="Z548" s="30" t="e">
        <f>_xll.qlTenorBasisValue(TenorBasis6M,R548,InterestRatesTrigger)</f>
        <v>#VALUE!</v>
      </c>
      <c r="AA548" s="30" t="e">
        <f t="shared" ref="AA548:AA611" si="31">V548-Z548</f>
        <v>#VALUE!</v>
      </c>
    </row>
    <row r="549" spans="15:27" x14ac:dyDescent="0.2">
      <c r="O549" s="33">
        <v>1</v>
      </c>
      <c r="P549" s="27" t="str">
        <f>_xll.qlPeriodEquivalent(P548&amp;"+"&amp;O549&amp;"M")</f>
        <v>45Y6M</v>
      </c>
      <c r="Q549" s="28">
        <f>_xll.qlCalendarAdvance(Calendar,SettlementDate,P549,"f",,Trigger)</f>
        <v>58900</v>
      </c>
      <c r="R549" s="28">
        <f>_xll.qlInterestRateIndexValueDate(Index,Q549,Trigger)</f>
        <v>58902</v>
      </c>
      <c r="S549" s="28">
        <f>_xll.qlInterestRateIndexMaturity(Index,R549,Trigger)</f>
        <v>58932</v>
      </c>
      <c r="T549" s="30">
        <f>_xll.qlIndexFixing($M$6,Q549,,InterestRatesTrigger)</f>
        <v>1.1045780734166399E-2</v>
      </c>
      <c r="U549" s="30">
        <f>_xll.qlIndexFixing(Index,Q549,,InterestRatesTrigger)</f>
        <v>1.0923514041460081E-2</v>
      </c>
      <c r="V549" s="30">
        <f t="shared" si="30"/>
        <v>-1.2226669270631874E-4</v>
      </c>
      <c r="W549" s="29">
        <f>_xll.qlDayCounterYearFraction(DayCounter,SettlementDate,R549,,,Trigger)</f>
        <v>46.174999999999997</v>
      </c>
      <c r="X549" s="29">
        <f>_xll.qlDayCounterYearFraction(DayCounter,R549,S549)</f>
        <v>8.3333333333333329E-2</v>
      </c>
      <c r="Y549" s="29">
        <f>_xll.qlYieldTSDiscount(Currency&amp;"ON",R549)/(1+U549*X549)</f>
        <v>0.52582838860682868</v>
      </c>
      <c r="Z549" s="30" t="e">
        <f>_xll.qlTenorBasisValue(TenorBasis6M,R549,InterestRatesTrigger)</f>
        <v>#VALUE!</v>
      </c>
      <c r="AA549" s="30" t="e">
        <f t="shared" si="31"/>
        <v>#VALUE!</v>
      </c>
    </row>
    <row r="550" spans="15:27" x14ac:dyDescent="0.2">
      <c r="O550" s="33">
        <v>1</v>
      </c>
      <c r="P550" s="27" t="str">
        <f>_xll.qlPeriodEquivalent(P549&amp;"+"&amp;O550&amp;"M")</f>
        <v>45Y7M</v>
      </c>
      <c r="Q550" s="28">
        <f>_xll.qlCalendarAdvance(Calendar,SettlementDate,P550,"f",,Trigger)</f>
        <v>58928</v>
      </c>
      <c r="R550" s="28">
        <f>_xll.qlInterestRateIndexValueDate(Index,Q550,Trigger)</f>
        <v>58930</v>
      </c>
      <c r="S550" s="28">
        <f>_xll.qlInterestRateIndexMaturity(Index,R550,Trigger)</f>
        <v>58963</v>
      </c>
      <c r="T550" s="30">
        <f>_xll.qlIndexFixing($M$6,Q550,,InterestRatesTrigger)</f>
        <v>1.1037353160387202E-2</v>
      </c>
      <c r="U550" s="30">
        <f>_xll.qlIndexFixing(Index,Q550,,InterestRatesTrigger)</f>
        <v>1.0912727685719856E-2</v>
      </c>
      <c r="V550" s="30">
        <f t="shared" si="30"/>
        <v>-1.246254746673451E-4</v>
      </c>
      <c r="W550" s="29">
        <f>_xll.qlDayCounterYearFraction(DayCounter,SettlementDate,R550,,,Trigger)</f>
        <v>46.25277777777778</v>
      </c>
      <c r="X550" s="29">
        <f>_xll.qlDayCounterYearFraction(DayCounter,R550,S550)</f>
        <v>9.166666666666666E-2</v>
      </c>
      <c r="Y550" s="29">
        <f>_xll.qlYieldTSDiscount(Currency&amp;"ON",R550)/(1+U550*X550)</f>
        <v>0.52532977171883322</v>
      </c>
      <c r="Z550" s="30" t="e">
        <f>_xll.qlTenorBasisValue(TenorBasis6M,R550,InterestRatesTrigger)</f>
        <v>#VALUE!</v>
      </c>
      <c r="AA550" s="30" t="e">
        <f t="shared" si="31"/>
        <v>#VALUE!</v>
      </c>
    </row>
    <row r="551" spans="15:27" x14ac:dyDescent="0.2">
      <c r="O551" s="33">
        <v>1</v>
      </c>
      <c r="P551" s="27" t="str">
        <f>_xll.qlPeriodEquivalent(P550&amp;"+"&amp;O551&amp;"M")</f>
        <v>45Y8M</v>
      </c>
      <c r="Q551" s="28">
        <f>_xll.qlCalendarAdvance(Calendar,SettlementDate,P551,"f",,Trigger)</f>
        <v>58959</v>
      </c>
      <c r="R551" s="28">
        <f>_xll.qlInterestRateIndexValueDate(Index,Q551,Trigger)</f>
        <v>58963</v>
      </c>
      <c r="S551" s="28">
        <f>_xll.qlInterestRateIndexMaturity(Index,R551,Trigger)</f>
        <v>58993</v>
      </c>
      <c r="T551" s="30">
        <f>_xll.qlIndexFixing($M$6,Q551,,InterestRatesTrigger)</f>
        <v>1.1028266725491065E-2</v>
      </c>
      <c r="U551" s="30">
        <f>_xll.qlIndexFixing(Index,Q551,,InterestRatesTrigger)</f>
        <v>1.0901074479145123E-2</v>
      </c>
      <c r="V551" s="30">
        <f t="shared" si="30"/>
        <v>-1.2719224634594184E-4</v>
      </c>
      <c r="W551" s="29">
        <f>_xll.qlDayCounterYearFraction(DayCounter,SettlementDate,R551,,,Trigger)</f>
        <v>46.344444444444441</v>
      </c>
      <c r="X551" s="29">
        <f>_xll.qlDayCounterYearFraction(DayCounter,R551,S551)</f>
        <v>8.3333333333333329E-2</v>
      </c>
      <c r="Y551" s="29">
        <f>_xll.qlYieldTSDiscount(Currency&amp;"ON",R551)/(1+U551*X551)</f>
        <v>0.5248469934025739</v>
      </c>
      <c r="Z551" s="30" t="e">
        <f>_xll.qlTenorBasisValue(TenorBasis6M,R551,InterestRatesTrigger)</f>
        <v>#VALUE!</v>
      </c>
      <c r="AA551" s="30" t="e">
        <f t="shared" si="31"/>
        <v>#VALUE!</v>
      </c>
    </row>
    <row r="552" spans="15:27" x14ac:dyDescent="0.2">
      <c r="O552" s="33">
        <v>1</v>
      </c>
      <c r="P552" s="27" t="str">
        <f>_xll.qlPeriodEquivalent(P551&amp;"+"&amp;O552&amp;"M")</f>
        <v>45Y9M</v>
      </c>
      <c r="Q552" s="28">
        <f>_xll.qlCalendarAdvance(Calendar,SettlementDate,P552,"f",,Trigger)</f>
        <v>58991</v>
      </c>
      <c r="R552" s="28">
        <f>_xll.qlInterestRateIndexValueDate(Index,Q552,Trigger)</f>
        <v>58993</v>
      </c>
      <c r="S552" s="28">
        <f>_xll.qlInterestRateIndexMaturity(Index,R552,Trigger)</f>
        <v>59026</v>
      </c>
      <c r="T552" s="30">
        <f>_xll.qlIndexFixing($M$6,Q552,,InterestRatesTrigger)</f>
        <v>1.1021227557468776E-2</v>
      </c>
      <c r="U552" s="30">
        <f>_xll.qlIndexFixing(Index,Q552,,InterestRatesTrigger)</f>
        <v>1.0891368347763346E-2</v>
      </c>
      <c r="V552" s="30">
        <f t="shared" si="30"/>
        <v>-1.2985920970542963E-4</v>
      </c>
      <c r="W552" s="29">
        <f>_xll.qlDayCounterYearFraction(DayCounter,SettlementDate,R552,,,Trigger)</f>
        <v>46.427777777777777</v>
      </c>
      <c r="X552" s="29">
        <f>_xll.qlDayCounterYearFraction(DayCounter,R552,S552)</f>
        <v>9.166666666666666E-2</v>
      </c>
      <c r="Y552" s="29">
        <f>_xll.qlYieldTSDiscount(Currency&amp;"ON",R552)/(1+U552*X552)</f>
        <v>0.52431796929239571</v>
      </c>
      <c r="Z552" s="30" t="e">
        <f>_xll.qlTenorBasisValue(TenorBasis6M,R552,InterestRatesTrigger)</f>
        <v>#VALUE!</v>
      </c>
      <c r="AA552" s="30" t="e">
        <f t="shared" si="31"/>
        <v>#VALUE!</v>
      </c>
    </row>
    <row r="553" spans="15:27" x14ac:dyDescent="0.2">
      <c r="O553" s="33">
        <v>1</v>
      </c>
      <c r="P553" s="27" t="str">
        <f>_xll.qlPeriodEquivalent(P552&amp;"+"&amp;O553&amp;"M")</f>
        <v>45Y10M</v>
      </c>
      <c r="Q553" s="28">
        <f>_xll.qlCalendarAdvance(Calendar,SettlementDate,P553,"f",,Trigger)</f>
        <v>59020</v>
      </c>
      <c r="R553" s="28">
        <f>_xll.qlInterestRateIndexValueDate(Index,Q553,Trigger)</f>
        <v>59022</v>
      </c>
      <c r="S553" s="28">
        <f>_xll.qlInterestRateIndexMaturity(Index,R553,Trigger)</f>
        <v>59054</v>
      </c>
      <c r="T553" s="30">
        <f>_xll.qlIndexFixing($M$6,Q553,,InterestRatesTrigger)</f>
        <v>1.1015105205358644E-2</v>
      </c>
      <c r="U553" s="30">
        <f>_xll.qlIndexFixing(Index,Q553,,InterestRatesTrigger)</f>
        <v>1.0882782616647435E-2</v>
      </c>
      <c r="V553" s="30">
        <f t="shared" si="30"/>
        <v>-1.3232258871120894E-4</v>
      </c>
      <c r="W553" s="29">
        <f>_xll.qlDayCounterYearFraction(DayCounter,SettlementDate,R553,,,Trigger)</f>
        <v>46.508333333333333</v>
      </c>
      <c r="X553" s="29">
        <f>_xll.qlDayCounterYearFraction(DayCounter,R553,S553)</f>
        <v>8.8888888888888892E-2</v>
      </c>
      <c r="Y553" s="29">
        <f>_xll.qlYieldTSDiscount(Currency&amp;"ON",R553)/(1+U553*X553)</f>
        <v>0.52386912423042309</v>
      </c>
      <c r="Z553" s="30" t="e">
        <f>_xll.qlTenorBasisValue(TenorBasis6M,R553,InterestRatesTrigger)</f>
        <v>#VALUE!</v>
      </c>
      <c r="AA553" s="30" t="e">
        <f t="shared" si="31"/>
        <v>#VALUE!</v>
      </c>
    </row>
    <row r="554" spans="15:27" x14ac:dyDescent="0.2">
      <c r="O554" s="33">
        <v>1</v>
      </c>
      <c r="P554" s="27" t="str">
        <f>_xll.qlPeriodEquivalent(P553&amp;"+"&amp;O554&amp;"M")</f>
        <v>45Y11M</v>
      </c>
      <c r="Q554" s="28">
        <f>_xll.qlCalendarAdvance(Calendar,SettlementDate,P554,"f",,Trigger)</f>
        <v>59051</v>
      </c>
      <c r="R554" s="28">
        <f>_xll.qlInterestRateIndexValueDate(Index,Q554,Trigger)</f>
        <v>59055</v>
      </c>
      <c r="S554" s="28">
        <f>_xll.qlInterestRateIndexMaturity(Index,R554,Trigger)</f>
        <v>59085</v>
      </c>
      <c r="T554" s="30">
        <f>_xll.qlIndexFixing($M$6,Q554,,InterestRatesTrigger)</f>
        <v>1.1009088781362308E-2</v>
      </c>
      <c r="U554" s="30">
        <f>_xll.qlIndexFixing(Index,Q554,,InterestRatesTrigger)</f>
        <v>1.0873929378889535E-2</v>
      </c>
      <c r="V554" s="30">
        <f t="shared" si="30"/>
        <v>-1.3515940247277314E-4</v>
      </c>
      <c r="W554" s="29">
        <f>_xll.qlDayCounterYearFraction(DayCounter,SettlementDate,R554,,,Trigger)</f>
        <v>46.6</v>
      </c>
      <c r="X554" s="29">
        <f>_xll.qlDayCounterYearFraction(DayCounter,R554,S554)</f>
        <v>8.3333333333333329E-2</v>
      </c>
      <c r="Y554" s="29">
        <f>_xll.qlYieldTSDiscount(Currency&amp;"ON",R554)/(1+U554*X554)</f>
        <v>0.52337269239127582</v>
      </c>
      <c r="Z554" s="30" t="e">
        <f>_xll.qlTenorBasisValue(TenorBasis6M,R554,InterestRatesTrigger)</f>
        <v>#VALUE!</v>
      </c>
      <c r="AA554" s="30" t="e">
        <f t="shared" si="31"/>
        <v>#VALUE!</v>
      </c>
    </row>
    <row r="555" spans="15:27" x14ac:dyDescent="0.2">
      <c r="O555" s="33">
        <v>1</v>
      </c>
      <c r="P555" s="27" t="str">
        <f>_xll.qlPeriodEquivalent(P554&amp;"+"&amp;O555&amp;"M")</f>
        <v>46Y</v>
      </c>
      <c r="Q555" s="28">
        <f>_xll.qlCalendarAdvance(Calendar,SettlementDate,P555,"f",,Trigger)</f>
        <v>59082</v>
      </c>
      <c r="R555" s="28">
        <f>_xll.qlInterestRateIndexValueDate(Index,Q555,Trigger)</f>
        <v>59084</v>
      </c>
      <c r="S555" s="28">
        <f>_xll.qlInterestRateIndexMaturity(Index,R555,Trigger)</f>
        <v>59117</v>
      </c>
      <c r="T555" s="30">
        <f>_xll.qlIndexFixing($M$6,Q555,,InterestRatesTrigger)</f>
        <v>1.1005192128505925E-2</v>
      </c>
      <c r="U555" s="30">
        <f>_xll.qlIndexFixing(Index,Q555,,InterestRatesTrigger)</f>
        <v>1.0867233483767533E-2</v>
      </c>
      <c r="V555" s="30">
        <f t="shared" si="30"/>
        <v>-1.3795864473839167E-4</v>
      </c>
      <c r="W555" s="29">
        <f>_xll.qlDayCounterYearFraction(DayCounter,SettlementDate,R555,,,Trigger)</f>
        <v>46.680555555555557</v>
      </c>
      <c r="X555" s="29">
        <f>_xll.qlDayCounterYearFraction(DayCounter,R555,S555)</f>
        <v>9.166666666666666E-2</v>
      </c>
      <c r="Y555" s="29">
        <f>_xll.qlYieldTSDiscount(Currency&amp;"ON",R555)/(1+U555*X555)</f>
        <v>0.52286194174738254</v>
      </c>
      <c r="Z555" s="30" t="e">
        <f>_xll.qlTenorBasisValue(TenorBasis6M,R555,InterestRatesTrigger)</f>
        <v>#VALUE!</v>
      </c>
      <c r="AA555" s="30" t="e">
        <f t="shared" si="31"/>
        <v>#VALUE!</v>
      </c>
    </row>
    <row r="556" spans="15:27" x14ac:dyDescent="0.2">
      <c r="O556" s="33">
        <v>1</v>
      </c>
      <c r="P556" s="27" t="str">
        <f>_xll.qlPeriodEquivalent(P555&amp;"+"&amp;O556&amp;"M")</f>
        <v>46Y1M</v>
      </c>
      <c r="Q556" s="28">
        <f>_xll.qlCalendarAdvance(Calendar,SettlementDate,P556,"f",,Trigger)</f>
        <v>59112</v>
      </c>
      <c r="R556" s="28">
        <f>_xll.qlInterestRateIndexValueDate(Index,Q556,Trigger)</f>
        <v>59114</v>
      </c>
      <c r="S556" s="28">
        <f>_xll.qlInterestRateIndexMaturity(Index,R556,Trigger)</f>
        <v>59145</v>
      </c>
      <c r="T556" s="30">
        <f>_xll.qlIndexFixing($M$6,Q556,,InterestRatesTrigger)</f>
        <v>1.1001567944269767E-2</v>
      </c>
      <c r="U556" s="30">
        <f>_xll.qlIndexFixing(Index,Q556,,InterestRatesTrigger)</f>
        <v>1.0860901406620807E-2</v>
      </c>
      <c r="V556" s="30">
        <f t="shared" si="30"/>
        <v>-1.4066653764895944E-4</v>
      </c>
      <c r="W556" s="29">
        <f>_xll.qlDayCounterYearFraction(DayCounter,SettlementDate,R556,,,Trigger)</f>
        <v>46.763888888888886</v>
      </c>
      <c r="X556" s="29">
        <f>_xll.qlDayCounterYearFraction(DayCounter,R556,S556)</f>
        <v>8.611111111111111E-2</v>
      </c>
      <c r="Y556" s="29">
        <f>_xll.qlYieldTSDiscount(Currency&amp;"ON",R556)/(1+U556*X556)</f>
        <v>0.52241467182450707</v>
      </c>
      <c r="Z556" s="30" t="e">
        <f>_xll.qlTenorBasisValue(TenorBasis6M,R556,InterestRatesTrigger)</f>
        <v>#VALUE!</v>
      </c>
      <c r="AA556" s="30" t="e">
        <f t="shared" si="31"/>
        <v>#VALUE!</v>
      </c>
    </row>
    <row r="557" spans="15:27" x14ac:dyDescent="0.2">
      <c r="O557" s="33">
        <v>1</v>
      </c>
      <c r="P557" s="27" t="str">
        <f>_xll.qlPeriodEquivalent(P556&amp;"+"&amp;O557&amp;"M")</f>
        <v>46Y2M</v>
      </c>
      <c r="Q557" s="28">
        <f>_xll.qlCalendarAdvance(Calendar,SettlementDate,P557,"f",,Trigger)</f>
        <v>59142</v>
      </c>
      <c r="R557" s="28">
        <f>_xll.qlInterestRateIndexValueDate(Index,Q557,Trigger)</f>
        <v>59146</v>
      </c>
      <c r="S557" s="28">
        <f>_xll.qlInterestRateIndexMaturity(Index,R557,Trigger)</f>
        <v>59177</v>
      </c>
      <c r="T557" s="30">
        <f>_xll.qlIndexFixing($M$6,Q557,,InterestRatesTrigger)</f>
        <v>1.0998983291682326E-2</v>
      </c>
      <c r="U557" s="30">
        <f>_xll.qlIndexFixing(Index,Q557,,InterestRatesTrigger)</f>
        <v>1.085524210906893E-2</v>
      </c>
      <c r="V557" s="30">
        <f t="shared" si="30"/>
        <v>-1.4374118261339594E-4</v>
      </c>
      <c r="W557" s="29">
        <f>_xll.qlDayCounterYearFraction(DayCounter,SettlementDate,R557,,,Trigger)</f>
        <v>46.852777777777774</v>
      </c>
      <c r="X557" s="29">
        <f>_xll.qlDayCounterYearFraction(DayCounter,R557,S557)</f>
        <v>8.611111111111111E-2</v>
      </c>
      <c r="Y557" s="29">
        <f>_xll.qlYieldTSDiscount(Currency&amp;"ON",R557)/(1+U557*X557)</f>
        <v>0.52190454110962914</v>
      </c>
      <c r="Z557" s="30" t="e">
        <f>_xll.qlTenorBasisValue(TenorBasis6M,R557,InterestRatesTrigger)</f>
        <v>#VALUE!</v>
      </c>
      <c r="AA557" s="30" t="e">
        <f t="shared" si="31"/>
        <v>#VALUE!</v>
      </c>
    </row>
    <row r="558" spans="15:27" x14ac:dyDescent="0.2">
      <c r="O558" s="33">
        <v>1</v>
      </c>
      <c r="P558" s="27" t="str">
        <f>_xll.qlPeriodEquivalent(P557&amp;"+"&amp;O558&amp;"M")</f>
        <v>46Y3M</v>
      </c>
      <c r="Q558" s="28">
        <f>_xll.qlCalendarAdvance(Calendar,SettlementDate,P558,"f",,Trigger)</f>
        <v>59173</v>
      </c>
      <c r="R558" s="28">
        <f>_xll.qlInterestRateIndexValueDate(Index,Q558,Trigger)</f>
        <v>59175</v>
      </c>
      <c r="S558" s="28">
        <f>_xll.qlInterestRateIndexMaturity(Index,R558,Trigger)</f>
        <v>59208</v>
      </c>
      <c r="T558" s="30">
        <f>_xll.qlIndexFixing($M$6,Q558,,InterestRatesTrigger)</f>
        <v>1.0997896868664855E-2</v>
      </c>
      <c r="U558" s="30">
        <f>_xll.qlIndexFixing(Index,Q558,,InterestRatesTrigger)</f>
        <v>1.0851190129786466E-2</v>
      </c>
      <c r="V558" s="30">
        <f t="shared" si="30"/>
        <v>-1.4670673887838895E-4</v>
      </c>
      <c r="W558" s="29">
        <f>_xll.qlDayCounterYearFraction(DayCounter,SettlementDate,R558,,,Trigger)</f>
        <v>46.93333333333333</v>
      </c>
      <c r="X558" s="29">
        <f>_xll.qlDayCounterYearFraction(DayCounter,R558,S558)</f>
        <v>9.166666666666666E-2</v>
      </c>
      <c r="Y558" s="29">
        <f>_xll.qlYieldTSDiscount(Currency&amp;"ON",R558)/(1+U558*X558)</f>
        <v>0.52141131757958215</v>
      </c>
      <c r="Z558" s="30" t="e">
        <f>_xll.qlTenorBasisValue(TenorBasis6M,R558,InterestRatesTrigger)</f>
        <v>#VALUE!</v>
      </c>
      <c r="AA558" s="30" t="e">
        <f t="shared" si="31"/>
        <v>#VALUE!</v>
      </c>
    </row>
    <row r="559" spans="15:27" x14ac:dyDescent="0.2">
      <c r="O559" s="33">
        <v>1</v>
      </c>
      <c r="P559" s="27" t="str">
        <f>_xll.qlPeriodEquivalent(P558&amp;"+"&amp;O559&amp;"M")</f>
        <v>46Y4M</v>
      </c>
      <c r="Q559" s="28">
        <f>_xll.qlCalendarAdvance(Calendar,SettlementDate,P559,"f",,Trigger)</f>
        <v>59204</v>
      </c>
      <c r="R559" s="28">
        <f>_xll.qlInterestRateIndexValueDate(Index,Q559,Trigger)</f>
        <v>59208</v>
      </c>
      <c r="S559" s="28">
        <f>_xll.qlInterestRateIndexMaturity(Index,R559,Trigger)</f>
        <v>59236</v>
      </c>
      <c r="T559" s="30">
        <f>_xll.qlIndexFixing($M$6,Q559,,InterestRatesTrigger)</f>
        <v>1.0996585771751999E-2</v>
      </c>
      <c r="U559" s="30">
        <f>_xll.qlIndexFixing(Index,Q559,,InterestRatesTrigger)</f>
        <v>1.0846823445297573E-2</v>
      </c>
      <c r="V559" s="30">
        <f t="shared" si="30"/>
        <v>-1.4976232645442546E-4</v>
      </c>
      <c r="W559" s="29">
        <f>_xll.qlDayCounterYearFraction(DayCounter,SettlementDate,R559,,,Trigger)</f>
        <v>47.024999999999999</v>
      </c>
      <c r="X559" s="29">
        <f>_xll.qlDayCounterYearFraction(DayCounter,R559,S559)</f>
        <v>7.7777777777777779E-2</v>
      </c>
      <c r="Y559" s="29">
        <f>_xll.qlYieldTSDiscount(Currency&amp;"ON",R559)/(1+U559*X559)</f>
        <v>0.5209648049427269</v>
      </c>
      <c r="Z559" s="30" t="e">
        <f>_xll.qlTenorBasisValue(TenorBasis6M,R559,InterestRatesTrigger)</f>
        <v>#VALUE!</v>
      </c>
      <c r="AA559" s="30" t="e">
        <f t="shared" si="31"/>
        <v>#VALUE!</v>
      </c>
    </row>
    <row r="560" spans="15:27" x14ac:dyDescent="0.2">
      <c r="O560" s="33">
        <v>1</v>
      </c>
      <c r="P560" s="27" t="str">
        <f>_xll.qlPeriodEquivalent(P559&amp;"+"&amp;O560&amp;"M")</f>
        <v>46Y5M</v>
      </c>
      <c r="Q560" s="28">
        <f>_xll.qlCalendarAdvance(Calendar,SettlementDate,P560,"f",,Trigger)</f>
        <v>59232</v>
      </c>
      <c r="R560" s="28">
        <f>_xll.qlInterestRateIndexValueDate(Index,Q560,Trigger)</f>
        <v>59236</v>
      </c>
      <c r="S560" s="28">
        <f>_xll.qlInterestRateIndexMaturity(Index,R560,Trigger)</f>
        <v>59267</v>
      </c>
      <c r="T560" s="30">
        <f>_xll.qlIndexFixing($M$6,Q560,,InterestRatesTrigger)</f>
        <v>1.0997614698822641E-2</v>
      </c>
      <c r="U560" s="30">
        <f>_xll.qlIndexFixing(Index,Q560,,InterestRatesTrigger)</f>
        <v>1.0844788924534193E-2</v>
      </c>
      <c r="V560" s="30">
        <f t="shared" si="30"/>
        <v>-1.5282577428844812E-4</v>
      </c>
      <c r="W560" s="29">
        <f>_xll.qlDayCounterYearFraction(DayCounter,SettlementDate,R560,,,Trigger)</f>
        <v>47.102777777777774</v>
      </c>
      <c r="X560" s="29">
        <f>_xll.qlDayCounterYearFraction(DayCounter,R560,S560)</f>
        <v>8.611111111111111E-2</v>
      </c>
      <c r="Y560" s="29">
        <f>_xll.qlYieldTSDiscount(Currency&amp;"ON",R560)/(1+U560*X560)</f>
        <v>0.52047269485829784</v>
      </c>
      <c r="Z560" s="30" t="e">
        <f>_xll.qlTenorBasisValue(TenorBasis6M,R560,InterestRatesTrigger)</f>
        <v>#VALUE!</v>
      </c>
      <c r="AA560" s="30" t="e">
        <f t="shared" si="31"/>
        <v>#VALUE!</v>
      </c>
    </row>
    <row r="561" spans="15:27" x14ac:dyDescent="0.2">
      <c r="O561" s="33">
        <v>1</v>
      </c>
      <c r="P561" s="27" t="str">
        <f>_xll.qlPeriodEquivalent(P560&amp;"+"&amp;O561&amp;"M")</f>
        <v>46Y6M</v>
      </c>
      <c r="Q561" s="28">
        <f>_xll.qlCalendarAdvance(Calendar,SettlementDate,P561,"f",,Trigger)</f>
        <v>59264</v>
      </c>
      <c r="R561" s="28">
        <f>_xll.qlInterestRateIndexValueDate(Index,Q561,Trigger)</f>
        <v>59266</v>
      </c>
      <c r="S561" s="28">
        <f>_xll.qlInterestRateIndexMaturity(Index,R561,Trigger)</f>
        <v>59296</v>
      </c>
      <c r="T561" s="30">
        <f>_xll.qlIndexFixing($M$6,Q561,,InterestRatesTrigger)</f>
        <v>1.099891137069875E-2</v>
      </c>
      <c r="U561" s="30">
        <f>_xll.qlIndexFixing(Index,Q561,,InterestRatesTrigger)</f>
        <v>1.0842971009117797E-2</v>
      </c>
      <c r="V561" s="30">
        <f t="shared" si="30"/>
        <v>-1.5594036158095292E-4</v>
      </c>
      <c r="W561" s="29">
        <f>_xll.qlDayCounterYearFraction(DayCounter,SettlementDate,R561,,,Trigger)</f>
        <v>47.18611111111111</v>
      </c>
      <c r="X561" s="29">
        <f>_xll.qlDayCounterYearFraction(DayCounter,R561,S561)</f>
        <v>8.3333333333333329E-2</v>
      </c>
      <c r="Y561" s="29">
        <f>_xll.qlYieldTSDiscount(Currency&amp;"ON",R561)/(1+U561*X561)</f>
        <v>0.52001187235062418</v>
      </c>
      <c r="Z561" s="30" t="e">
        <f>_xll.qlTenorBasisValue(TenorBasis6M,R561,InterestRatesTrigger)</f>
        <v>#VALUE!</v>
      </c>
      <c r="AA561" s="30" t="e">
        <f t="shared" si="31"/>
        <v>#VALUE!</v>
      </c>
    </row>
    <row r="562" spans="15:27" x14ac:dyDescent="0.2">
      <c r="O562" s="33">
        <v>1</v>
      </c>
      <c r="P562" s="27" t="str">
        <f>_xll.qlPeriodEquivalent(P561&amp;"+"&amp;O562&amp;"M")</f>
        <v>46Y7M</v>
      </c>
      <c r="Q562" s="28">
        <f>_xll.qlCalendarAdvance(Calendar,SettlementDate,P562,"f",,Trigger)</f>
        <v>59293</v>
      </c>
      <c r="R562" s="28">
        <f>_xll.qlInterestRateIndexValueDate(Index,Q562,Trigger)</f>
        <v>59295</v>
      </c>
      <c r="S562" s="28">
        <f>_xll.qlInterestRateIndexMaturity(Index,R562,Trigger)</f>
        <v>59327</v>
      </c>
      <c r="T562" s="30">
        <f>_xll.qlIndexFixing($M$6,Q562,,InterestRatesTrigger)</f>
        <v>1.1001726340135465E-2</v>
      </c>
      <c r="U562" s="30">
        <f>_xll.qlIndexFixing(Index,Q562,,InterestRatesTrigger)</f>
        <v>1.0842531087642548E-2</v>
      </c>
      <c r="V562" s="30">
        <f t="shared" si="30"/>
        <v>-1.5919525249291633E-4</v>
      </c>
      <c r="W562" s="29">
        <f>_xll.qlDayCounterYearFraction(DayCounter,SettlementDate,R562,,,Trigger)</f>
        <v>47.266666666666666</v>
      </c>
      <c r="X562" s="29">
        <f>_xll.qlDayCounterYearFraction(DayCounter,R562,S562)</f>
        <v>8.8888888888888892E-2</v>
      </c>
      <c r="Y562" s="29">
        <f>_xll.qlYieldTSDiscount(Currency&amp;"ON",R562)/(1+U562*X562)</f>
        <v>0.51952029933907617</v>
      </c>
      <c r="Z562" s="30" t="e">
        <f>_xll.qlTenorBasisValue(TenorBasis6M,R562,InterestRatesTrigger)</f>
        <v>#VALUE!</v>
      </c>
      <c r="AA562" s="30" t="e">
        <f t="shared" si="31"/>
        <v>#VALUE!</v>
      </c>
    </row>
    <row r="563" spans="15:27" x14ac:dyDescent="0.2">
      <c r="O563" s="33">
        <v>1</v>
      </c>
      <c r="P563" s="27" t="str">
        <f>_xll.qlPeriodEquivalent(P562&amp;"+"&amp;O563&amp;"M")</f>
        <v>46Y8M</v>
      </c>
      <c r="Q563" s="28">
        <f>_xll.qlCalendarAdvance(Calendar,SettlementDate,P563,"f",,Trigger)</f>
        <v>59324</v>
      </c>
      <c r="R563" s="28">
        <f>_xll.qlInterestRateIndexValueDate(Index,Q563,Trigger)</f>
        <v>59328</v>
      </c>
      <c r="S563" s="28">
        <f>_xll.qlInterestRateIndexMaturity(Index,R563,Trigger)</f>
        <v>59358</v>
      </c>
      <c r="T563" s="30">
        <f>_xll.qlIndexFixing($M$6,Q563,,InterestRatesTrigger)</f>
        <v>1.1005120138409374E-2</v>
      </c>
      <c r="U563" s="30">
        <f>_xll.qlIndexFixing(Index,Q563,,InterestRatesTrigger)</f>
        <v>1.0842392737719031E-2</v>
      </c>
      <c r="V563" s="30">
        <f t="shared" si="30"/>
        <v>-1.6272740069034342E-4</v>
      </c>
      <c r="W563" s="29">
        <f>_xll.qlDayCounterYearFraction(DayCounter,SettlementDate,R563,,,Trigger)</f>
        <v>47.358333333333334</v>
      </c>
      <c r="X563" s="29">
        <f>_xll.qlDayCounterYearFraction(DayCounter,R563,S563)</f>
        <v>8.3333333333333329E-2</v>
      </c>
      <c r="Y563" s="29">
        <f>_xll.qlYieldTSDiscount(Currency&amp;"ON",R563)/(1+U563*X563)</f>
        <v>0.51902812505132312</v>
      </c>
      <c r="Z563" s="30" t="e">
        <f>_xll.qlTenorBasisValue(TenorBasis6M,R563,InterestRatesTrigger)</f>
        <v>#VALUE!</v>
      </c>
      <c r="AA563" s="30" t="e">
        <f t="shared" si="31"/>
        <v>#VALUE!</v>
      </c>
    </row>
    <row r="564" spans="15:27" x14ac:dyDescent="0.2">
      <c r="O564" s="33">
        <v>1</v>
      </c>
      <c r="P564" s="27" t="str">
        <f>_xll.qlPeriodEquivalent(P563&amp;"+"&amp;O564&amp;"M")</f>
        <v>46Y9M</v>
      </c>
      <c r="Q564" s="28">
        <f>_xll.qlCalendarAdvance(Calendar,SettlementDate,P564,"f",,Trigger)</f>
        <v>59355</v>
      </c>
      <c r="R564" s="28">
        <f>_xll.qlInterestRateIndexValueDate(Index,Q564,Trigger)</f>
        <v>59357</v>
      </c>
      <c r="S564" s="28">
        <f>_xll.qlInterestRateIndexMaturity(Index,R564,Trigger)</f>
        <v>59390</v>
      </c>
      <c r="T564" s="30">
        <f>_xll.qlIndexFixing($M$6,Q564,,InterestRatesTrigger)</f>
        <v>1.1010256080294732E-2</v>
      </c>
      <c r="U564" s="30">
        <f>_xll.qlIndexFixing(Index,Q564,,InterestRatesTrigger)</f>
        <v>1.084405832996667E-2</v>
      </c>
      <c r="V564" s="30">
        <f t="shared" si="30"/>
        <v>-1.6619775032806171E-4</v>
      </c>
      <c r="W564" s="29">
        <f>_xll.qlDayCounterYearFraction(DayCounter,SettlementDate,R564,,,Trigger)</f>
        <v>47.43888888888889</v>
      </c>
      <c r="X564" s="29">
        <f>_xll.qlDayCounterYearFraction(DayCounter,R564,S564)</f>
        <v>9.166666666666666E-2</v>
      </c>
      <c r="Y564" s="29">
        <f>_xll.qlYieldTSDiscount(Currency&amp;"ON",R564)/(1+U564*X564)</f>
        <v>0.51852152495560178</v>
      </c>
      <c r="Z564" s="30" t="e">
        <f>_xll.qlTenorBasisValue(TenorBasis6M,R564,InterestRatesTrigger)</f>
        <v>#VALUE!</v>
      </c>
      <c r="AA564" s="30" t="e">
        <f t="shared" si="31"/>
        <v>#VALUE!</v>
      </c>
    </row>
    <row r="565" spans="15:27" x14ac:dyDescent="0.2">
      <c r="O565" s="33">
        <v>1</v>
      </c>
      <c r="P565" s="27" t="str">
        <f>_xll.qlPeriodEquivalent(P564&amp;"+"&amp;O565&amp;"M")</f>
        <v>46Y10M</v>
      </c>
      <c r="Q565" s="28">
        <f>_xll.qlCalendarAdvance(Calendar,SettlementDate,P565,"f",,Trigger)</f>
        <v>59385</v>
      </c>
      <c r="R565" s="28">
        <f>_xll.qlInterestRateIndexValueDate(Index,Q565,Trigger)</f>
        <v>59387</v>
      </c>
      <c r="S565" s="28">
        <f>_xll.qlInterestRateIndexMaturity(Index,R565,Trigger)</f>
        <v>59418</v>
      </c>
      <c r="T565" s="30">
        <f>_xll.qlIndexFixing($M$6,Q565,,InterestRatesTrigger)</f>
        <v>1.1015275911433727E-2</v>
      </c>
      <c r="U565" s="30">
        <f>_xll.qlIndexFixing(Index,Q565,,InterestRatesTrigger)</f>
        <v>1.0845732523529262E-2</v>
      </c>
      <c r="V565" s="30">
        <f t="shared" si="30"/>
        <v>-1.6954338790446492E-4</v>
      </c>
      <c r="W565" s="29">
        <f>_xll.qlDayCounterYearFraction(DayCounter,SettlementDate,R565,,,Trigger)</f>
        <v>47.522222222222226</v>
      </c>
      <c r="X565" s="29">
        <f>_xll.qlDayCounterYearFraction(DayCounter,R565,S565)</f>
        <v>8.611111111111111E-2</v>
      </c>
      <c r="Y565" s="29">
        <f>_xll.qlYieldTSDiscount(Currency&amp;"ON",R565)/(1+U565*X565)</f>
        <v>0.51807734535862615</v>
      </c>
      <c r="Z565" s="30" t="e">
        <f>_xll.qlTenorBasisValue(TenorBasis6M,R565,InterestRatesTrigger)</f>
        <v>#VALUE!</v>
      </c>
      <c r="AA565" s="30" t="e">
        <f t="shared" si="31"/>
        <v>#VALUE!</v>
      </c>
    </row>
    <row r="566" spans="15:27" x14ac:dyDescent="0.2">
      <c r="O566" s="33">
        <v>1</v>
      </c>
      <c r="P566" s="27" t="str">
        <f>_xll.qlPeriodEquivalent(P565&amp;"+"&amp;O566&amp;"M")</f>
        <v>46Y11M</v>
      </c>
      <c r="Q566" s="28">
        <f>_xll.qlCalendarAdvance(Calendar,SettlementDate,P566,"f",,Trigger)</f>
        <v>59418</v>
      </c>
      <c r="R566" s="28">
        <f>_xll.qlInterestRateIndexValueDate(Index,Q566,Trigger)</f>
        <v>59420</v>
      </c>
      <c r="S566" s="28">
        <f>_xll.qlInterestRateIndexMaturity(Index,R566,Trigger)</f>
        <v>59450</v>
      </c>
      <c r="T566" s="30">
        <f>_xll.qlIndexFixing($M$6,Q566,,InterestRatesTrigger)</f>
        <v>1.1022241982162839E-2</v>
      </c>
      <c r="U566" s="30">
        <f>_xll.qlIndexFixing(Index,Q566,,InterestRatesTrigger)</f>
        <v>1.0848859667758504E-2</v>
      </c>
      <c r="V566" s="30">
        <f t="shared" si="30"/>
        <v>-1.733823144043356E-4</v>
      </c>
      <c r="W566" s="29">
        <f>_xll.qlDayCounterYearFraction(DayCounter,SettlementDate,R566,,,Trigger)</f>
        <v>47.613888888888887</v>
      </c>
      <c r="X566" s="29">
        <f>_xll.qlDayCounterYearFraction(DayCounter,R566,S566)</f>
        <v>8.3333333333333329E-2</v>
      </c>
      <c r="Y566" s="29">
        <f>_xll.qlYieldTSDiscount(Currency&amp;"ON",R566)/(1+U566*X566)</f>
        <v>0.51757017065677324</v>
      </c>
      <c r="Z566" s="30" t="e">
        <f>_xll.qlTenorBasisValue(TenorBasis6M,R566,InterestRatesTrigger)</f>
        <v>#VALUE!</v>
      </c>
      <c r="AA566" s="30" t="e">
        <f t="shared" si="31"/>
        <v>#VALUE!</v>
      </c>
    </row>
    <row r="567" spans="15:27" x14ac:dyDescent="0.2">
      <c r="O567" s="33">
        <v>1</v>
      </c>
      <c r="P567" s="27" t="str">
        <f>_xll.qlPeriodEquivalent(P566&amp;"+"&amp;O567&amp;"M")</f>
        <v>47Y</v>
      </c>
      <c r="Q567" s="28">
        <f>_xll.qlCalendarAdvance(Calendar,SettlementDate,P567,"f",,Trigger)</f>
        <v>59446</v>
      </c>
      <c r="R567" s="28">
        <f>_xll.qlInterestRateIndexValueDate(Index,Q567,Trigger)</f>
        <v>59448</v>
      </c>
      <c r="S567" s="28">
        <f>_xll.qlInterestRateIndexMaturity(Index,R567,Trigger)</f>
        <v>59481</v>
      </c>
      <c r="T567" s="30">
        <f>_xll.qlIndexFixing($M$6,Q567,,InterestRatesTrigger)</f>
        <v>1.1030275219450821E-2</v>
      </c>
      <c r="U567" s="30">
        <f>_xll.qlIndexFixing(Index,Q567,,InterestRatesTrigger)</f>
        <v>1.0853310119504786E-2</v>
      </c>
      <c r="V567" s="30">
        <f t="shared" si="30"/>
        <v>-1.7696509994603524E-4</v>
      </c>
      <c r="W567" s="29">
        <f>_xll.qlDayCounterYearFraction(DayCounter,SettlementDate,R567,,,Trigger)</f>
        <v>47.69166666666667</v>
      </c>
      <c r="X567" s="29">
        <f>_xll.qlDayCounterYearFraction(DayCounter,R567,S567)</f>
        <v>9.166666666666666E-2</v>
      </c>
      <c r="Y567" s="29">
        <f>_xll.qlYieldTSDiscount(Currency&amp;"ON",R567)/(1+U567*X567)</f>
        <v>0.51707995237419835</v>
      </c>
      <c r="Z567" s="30" t="e">
        <f>_xll.qlTenorBasisValue(TenorBasis6M,R567,InterestRatesTrigger)</f>
        <v>#VALUE!</v>
      </c>
      <c r="AA567" s="30" t="e">
        <f t="shared" si="31"/>
        <v>#VALUE!</v>
      </c>
    </row>
    <row r="568" spans="15:27" x14ac:dyDescent="0.2">
      <c r="O568" s="33">
        <v>1</v>
      </c>
      <c r="P568" s="27" t="str">
        <f>_xll.qlPeriodEquivalent(P567&amp;"+"&amp;O568&amp;"M")</f>
        <v>47Y1M</v>
      </c>
      <c r="Q568" s="28">
        <f>_xll.qlCalendarAdvance(Calendar,SettlementDate,P568,"f",,Trigger)</f>
        <v>59477</v>
      </c>
      <c r="R568" s="28">
        <f>_xll.qlInterestRateIndexValueDate(Index,Q568,Trigger)</f>
        <v>59481</v>
      </c>
      <c r="S568" s="28">
        <f>_xll.qlInterestRateIndexMaturity(Index,R568,Trigger)</f>
        <v>59511</v>
      </c>
      <c r="T568" s="30">
        <f>_xll.qlIndexFixing($M$6,Q568,,InterestRatesTrigger)</f>
        <v>1.103888528063024E-2</v>
      </c>
      <c r="U568" s="30">
        <f>_xll.qlIndexFixing(Index,Q568,,InterestRatesTrigger)</f>
        <v>1.0858048286690902E-2</v>
      </c>
      <c r="V568" s="30">
        <f t="shared" si="30"/>
        <v>-1.8083699393933728E-4</v>
      </c>
      <c r="W568" s="29">
        <f>_xll.qlDayCounterYearFraction(DayCounter,SettlementDate,R568,,,Trigger)</f>
        <v>47.783333333333331</v>
      </c>
      <c r="X568" s="29">
        <f>_xll.qlDayCounterYearFraction(DayCounter,R568,S568)</f>
        <v>8.3333333333333329E-2</v>
      </c>
      <c r="Y568" s="29">
        <f>_xll.qlYieldTSDiscount(Currency&amp;"ON",R568)/(1+U568*X568)</f>
        <v>0.5166041301629104</v>
      </c>
      <c r="Z568" s="30" t="e">
        <f>_xll.qlTenorBasisValue(TenorBasis6M,R568,InterestRatesTrigger)</f>
        <v>#VALUE!</v>
      </c>
      <c r="AA568" s="30" t="e">
        <f t="shared" si="31"/>
        <v>#VALUE!</v>
      </c>
    </row>
    <row r="569" spans="15:27" x14ac:dyDescent="0.2">
      <c r="O569" s="33">
        <v>1</v>
      </c>
      <c r="P569" s="27" t="str">
        <f>_xll.qlPeriodEquivalent(P568&amp;"+"&amp;O569&amp;"M")</f>
        <v>47Y2M</v>
      </c>
      <c r="Q569" s="28">
        <f>_xll.qlCalendarAdvance(Calendar,SettlementDate,P569,"f",,Trigger)</f>
        <v>59509</v>
      </c>
      <c r="R569" s="28">
        <f>_xll.qlInterestRateIndexValueDate(Index,Q569,Trigger)</f>
        <v>59511</v>
      </c>
      <c r="S569" s="28">
        <f>_xll.qlInterestRateIndexMaturity(Index,R569,Trigger)</f>
        <v>59544</v>
      </c>
      <c r="T569" s="30">
        <f>_xll.qlIndexFixing($M$6,Q569,,InterestRatesTrigger)</f>
        <v>1.1049670891585869E-2</v>
      </c>
      <c r="U569" s="30">
        <f>_xll.qlIndexFixing(Index,Q569,,InterestRatesTrigger)</f>
        <v>1.0864843598360385E-2</v>
      </c>
      <c r="V569" s="30">
        <f t="shared" si="30"/>
        <v>-1.8482729322548408E-4</v>
      </c>
      <c r="W569" s="29">
        <f>_xll.qlDayCounterYearFraction(DayCounter,SettlementDate,R569,,,Trigger)</f>
        <v>47.866666666666667</v>
      </c>
      <c r="X569" s="29">
        <f>_xll.qlDayCounterYearFraction(DayCounter,R569,S569)</f>
        <v>9.166666666666666E-2</v>
      </c>
      <c r="Y569" s="29">
        <f>_xll.qlYieldTSDiscount(Currency&amp;"ON",R569)/(1+U569*X569)</f>
        <v>0.51608236309183364</v>
      </c>
      <c r="Z569" s="30" t="e">
        <f>_xll.qlTenorBasisValue(TenorBasis6M,R569,InterestRatesTrigger)</f>
        <v>#VALUE!</v>
      </c>
      <c r="AA569" s="30" t="e">
        <f t="shared" si="31"/>
        <v>#VALUE!</v>
      </c>
    </row>
    <row r="570" spans="15:27" x14ac:dyDescent="0.2">
      <c r="O570" s="33">
        <v>1</v>
      </c>
      <c r="P570" s="27" t="str">
        <f>_xll.qlPeriodEquivalent(P569&amp;"+"&amp;O570&amp;"M")</f>
        <v>47Y3M</v>
      </c>
      <c r="Q570" s="28">
        <f>_xll.qlCalendarAdvance(Calendar,SettlementDate,P570,"f",,Trigger)</f>
        <v>59538</v>
      </c>
      <c r="R570" s="28">
        <f>_xll.qlInterestRateIndexValueDate(Index,Q570,Trigger)</f>
        <v>59540</v>
      </c>
      <c r="S570" s="28">
        <f>_xll.qlInterestRateIndexMaturity(Index,R570,Trigger)</f>
        <v>59572</v>
      </c>
      <c r="T570" s="30">
        <f>_xll.qlIndexFixing($M$6,Q570,,InterestRatesTrigger)</f>
        <v>1.1059779396352665E-2</v>
      </c>
      <c r="U570" s="30">
        <f>_xll.qlIndexFixing(Index,Q570,,InterestRatesTrigger)</f>
        <v>1.0871290450211457E-2</v>
      </c>
      <c r="V570" s="30">
        <f t="shared" si="30"/>
        <v>-1.8848894614120759E-4</v>
      </c>
      <c r="W570" s="29">
        <f>_xll.qlDayCounterYearFraction(DayCounter,SettlementDate,R570,,,Trigger)</f>
        <v>47.947222222222223</v>
      </c>
      <c r="X570" s="29">
        <f>_xll.qlDayCounterYearFraction(DayCounter,R570,S570)</f>
        <v>8.8888888888888892E-2</v>
      </c>
      <c r="Y570" s="29">
        <f>_xll.qlYieldTSDiscount(Currency&amp;"ON",R570)/(1+U570*X570)</f>
        <v>0.51563870878633555</v>
      </c>
      <c r="Z570" s="30" t="e">
        <f>_xll.qlTenorBasisValue(TenorBasis6M,R570,InterestRatesTrigger)</f>
        <v>#VALUE!</v>
      </c>
      <c r="AA570" s="30" t="e">
        <f t="shared" si="31"/>
        <v>#VALUE!</v>
      </c>
    </row>
    <row r="571" spans="15:27" x14ac:dyDescent="0.2">
      <c r="O571" s="33">
        <v>1</v>
      </c>
      <c r="P571" s="27" t="str">
        <f>_xll.qlPeriodEquivalent(P570&amp;"+"&amp;O571&amp;"M")</f>
        <v>47Y4M</v>
      </c>
      <c r="Q571" s="28">
        <f>_xll.qlCalendarAdvance(Calendar,SettlementDate,P571,"f",,Trigger)</f>
        <v>59569</v>
      </c>
      <c r="R571" s="28">
        <f>_xll.qlInterestRateIndexValueDate(Index,Q571,Trigger)</f>
        <v>59573</v>
      </c>
      <c r="S571" s="28">
        <f>_xll.qlInterestRateIndexMaturity(Index,R571,Trigger)</f>
        <v>59601</v>
      </c>
      <c r="T571" s="30">
        <f>_xll.qlIndexFixing($M$6,Q571,,InterestRatesTrigger)</f>
        <v>1.1071345069878342E-2</v>
      </c>
      <c r="U571" s="30">
        <f>_xll.qlIndexFixing(Index,Q571,,InterestRatesTrigger)</f>
        <v>1.0878812176929716E-2</v>
      </c>
      <c r="V571" s="30">
        <f t="shared" si="30"/>
        <v>-1.9253289294862697E-4</v>
      </c>
      <c r="W571" s="29">
        <f>_xll.qlDayCounterYearFraction(DayCounter,SettlementDate,R571,,,Trigger)</f>
        <v>48.038888888888891</v>
      </c>
      <c r="X571" s="29">
        <f>_xll.qlDayCounterYearFraction(DayCounter,R571,S571)</f>
        <v>7.7777777777777779E-2</v>
      </c>
      <c r="Y571" s="29">
        <f>_xll.qlYieldTSDiscount(Currency&amp;"ON",R571)/(1+U571*X571)</f>
        <v>0.51517832818505438</v>
      </c>
      <c r="Z571" s="30" t="e">
        <f>_xll.qlTenorBasisValue(TenorBasis6M,R571,InterestRatesTrigger)</f>
        <v>#VALUE!</v>
      </c>
      <c r="AA571" s="30" t="e">
        <f t="shared" si="31"/>
        <v>#VALUE!</v>
      </c>
    </row>
    <row r="572" spans="15:27" x14ac:dyDescent="0.2">
      <c r="O572" s="33">
        <v>1</v>
      </c>
      <c r="P572" s="27" t="str">
        <f>_xll.qlPeriodEquivalent(P571&amp;"+"&amp;O572&amp;"M")</f>
        <v>47Y5M</v>
      </c>
      <c r="Q572" s="28">
        <f>_xll.qlCalendarAdvance(Calendar,SettlementDate,P572,"f",,Trigger)</f>
        <v>59597</v>
      </c>
      <c r="R572" s="28">
        <f>_xll.qlInterestRateIndexValueDate(Index,Q572,Trigger)</f>
        <v>59601</v>
      </c>
      <c r="S572" s="28">
        <f>_xll.qlInterestRateIndexMaturity(Index,R572,Trigger)</f>
        <v>59632</v>
      </c>
      <c r="T572" s="30">
        <f>_xll.qlIndexFixing($M$6,Q572,,InterestRatesTrigger)</f>
        <v>1.1084575746929616E-2</v>
      </c>
      <c r="U572" s="30">
        <f>_xll.qlIndexFixing(Index,Q572,,InterestRatesTrigger)</f>
        <v>1.0888076387152454E-2</v>
      </c>
      <c r="V572" s="30">
        <f t="shared" si="30"/>
        <v>-1.9649935977716221E-4</v>
      </c>
      <c r="W572" s="29">
        <f>_xll.qlDayCounterYearFraction(DayCounter,SettlementDate,R572,,,Trigger)</f>
        <v>48.116666666666667</v>
      </c>
      <c r="X572" s="29">
        <f>_xll.qlDayCounterYearFraction(DayCounter,R572,S572)</f>
        <v>8.611111111111111E-2</v>
      </c>
      <c r="Y572" s="29">
        <f>_xll.qlYieldTSDiscount(Currency&amp;"ON",R572)/(1+U572*X572)</f>
        <v>0.51468805667014461</v>
      </c>
      <c r="Z572" s="30" t="e">
        <f>_xll.qlTenorBasisValue(TenorBasis6M,R572,InterestRatesTrigger)</f>
        <v>#VALUE!</v>
      </c>
      <c r="AA572" s="30" t="e">
        <f t="shared" si="31"/>
        <v>#VALUE!</v>
      </c>
    </row>
    <row r="573" spans="15:27" x14ac:dyDescent="0.2">
      <c r="O573" s="33">
        <v>1</v>
      </c>
      <c r="P573" s="27" t="str">
        <f>_xll.qlPeriodEquivalent(P572&amp;"+"&amp;O573&amp;"M")</f>
        <v>47Y6M</v>
      </c>
      <c r="Q573" s="28">
        <f>_xll.qlCalendarAdvance(Calendar,SettlementDate,P573,"f",,Trigger)</f>
        <v>59628</v>
      </c>
      <c r="R573" s="28">
        <f>_xll.qlInterestRateIndexValueDate(Index,Q573,Trigger)</f>
        <v>59630</v>
      </c>
      <c r="S573" s="28">
        <f>_xll.qlInterestRateIndexMaturity(Index,R573,Trigger)</f>
        <v>59660</v>
      </c>
      <c r="T573" s="30">
        <f>_xll.qlIndexFixing($M$6,Q573,,InterestRatesTrigger)</f>
        <v>1.1097657662642035E-2</v>
      </c>
      <c r="U573" s="30">
        <f>_xll.qlIndexFixing(Index,Q573,,InterestRatesTrigger)</f>
        <v>1.0897278606480931E-2</v>
      </c>
      <c r="V573" s="30">
        <f t="shared" si="30"/>
        <v>-2.0037905616110407E-4</v>
      </c>
      <c r="W573" s="29">
        <f>_xll.qlDayCounterYearFraction(DayCounter,SettlementDate,R573,,,Trigger)</f>
        <v>48.197222222222223</v>
      </c>
      <c r="X573" s="29">
        <f>_xll.qlDayCounterYearFraction(DayCounter,R573,S573)</f>
        <v>8.3333333333333329E-2</v>
      </c>
      <c r="Y573" s="29">
        <f>_xll.qlYieldTSDiscount(Currency&amp;"ON",R573)/(1+U573*X573)</f>
        <v>0.51424406675122736</v>
      </c>
      <c r="Z573" s="30" t="e">
        <f>_xll.qlTenorBasisValue(TenorBasis6M,R573,InterestRatesTrigger)</f>
        <v>#VALUE!</v>
      </c>
      <c r="AA573" s="30" t="e">
        <f t="shared" si="31"/>
        <v>#VALUE!</v>
      </c>
    </row>
    <row r="574" spans="15:27" x14ac:dyDescent="0.2">
      <c r="O574" s="33">
        <v>1</v>
      </c>
      <c r="P574" s="27" t="str">
        <f>_xll.qlPeriodEquivalent(P573&amp;"+"&amp;O574&amp;"M")</f>
        <v>47Y7M</v>
      </c>
      <c r="Q574" s="28">
        <f>_xll.qlCalendarAdvance(Calendar,SettlementDate,P574,"f",,Trigger)</f>
        <v>59658</v>
      </c>
      <c r="R574" s="28">
        <f>_xll.qlInterestRateIndexValueDate(Index,Q574,Trigger)</f>
        <v>59660</v>
      </c>
      <c r="S574" s="28">
        <f>_xll.qlInterestRateIndexMaturity(Index,R574,Trigger)</f>
        <v>59691</v>
      </c>
      <c r="T574" s="30">
        <f>_xll.qlIndexFixing($M$6,Q574,,InterestRatesTrigger)</f>
        <v>1.1113086131578872E-2</v>
      </c>
      <c r="U574" s="30">
        <f>_xll.qlIndexFixing(Index,Q574,,InterestRatesTrigger)</f>
        <v>1.0908463568316361E-2</v>
      </c>
      <c r="V574" s="30">
        <f t="shared" si="30"/>
        <v>-2.0462256326251108E-4</v>
      </c>
      <c r="W574" s="29">
        <f>_xll.qlDayCounterYearFraction(DayCounter,SettlementDate,R574,,,Trigger)</f>
        <v>48.280555555555559</v>
      </c>
      <c r="X574" s="29">
        <f>_xll.qlDayCounterYearFraction(DayCounter,R574,S574)</f>
        <v>8.611111111111111E-2</v>
      </c>
      <c r="Y574" s="29">
        <f>_xll.qlYieldTSDiscount(Currency&amp;"ON",R574)/(1+U574*X574)</f>
        <v>0.51375289910046451</v>
      </c>
      <c r="Z574" s="30" t="e">
        <f>_xll.qlTenorBasisValue(TenorBasis6M,R574,InterestRatesTrigger)</f>
        <v>#VALUE!</v>
      </c>
      <c r="AA574" s="30" t="e">
        <f t="shared" si="31"/>
        <v>#VALUE!</v>
      </c>
    </row>
    <row r="575" spans="15:27" x14ac:dyDescent="0.2">
      <c r="O575" s="33">
        <v>1</v>
      </c>
      <c r="P575" s="27" t="str">
        <f>_xll.qlPeriodEquivalent(P574&amp;"+"&amp;O575&amp;"M")</f>
        <v>47Y8M</v>
      </c>
      <c r="Q575" s="28">
        <f>_xll.qlCalendarAdvance(Calendar,SettlementDate,P575,"f",,Trigger)</f>
        <v>59691</v>
      </c>
      <c r="R575" s="28">
        <f>_xll.qlInterestRateIndexValueDate(Index,Q575,Trigger)</f>
        <v>59693</v>
      </c>
      <c r="S575" s="28">
        <f>_xll.qlInterestRateIndexMaturity(Index,R575,Trigger)</f>
        <v>59723</v>
      </c>
      <c r="T575" s="30">
        <f>_xll.qlIndexFixing($M$6,Q575,,InterestRatesTrigger)</f>
        <v>1.1130388863434426E-2</v>
      </c>
      <c r="U575" s="30">
        <f>_xll.qlIndexFixing(Index,Q575,,InterestRatesTrigger)</f>
        <v>1.0921168173741336E-2</v>
      </c>
      <c r="V575" s="30">
        <f t="shared" si="30"/>
        <v>-2.0922068969309038E-4</v>
      </c>
      <c r="W575" s="29">
        <f>_xll.qlDayCounterYearFraction(DayCounter,SettlementDate,R575,,,Trigger)</f>
        <v>48.37222222222222</v>
      </c>
      <c r="X575" s="29">
        <f>_xll.qlDayCounterYearFraction(DayCounter,R575,S575)</f>
        <v>8.3333333333333329E-2</v>
      </c>
      <c r="Y575" s="29">
        <f>_xll.qlYieldTSDiscount(Currency&amp;"ON",R575)/(1+U575*X575)</f>
        <v>0.5132450255622808</v>
      </c>
      <c r="Z575" s="30" t="e">
        <f>_xll.qlTenorBasisValue(TenorBasis6M,R575,InterestRatesTrigger)</f>
        <v>#VALUE!</v>
      </c>
      <c r="AA575" s="30" t="e">
        <f t="shared" si="31"/>
        <v>#VALUE!</v>
      </c>
    </row>
    <row r="576" spans="15:27" x14ac:dyDescent="0.2">
      <c r="O576" s="33">
        <v>1</v>
      </c>
      <c r="P576" s="27" t="str">
        <f>_xll.qlPeriodEquivalent(P575&amp;"+"&amp;O576&amp;"M")</f>
        <v>47Y9M</v>
      </c>
      <c r="Q576" s="28">
        <f>_xll.qlCalendarAdvance(Calendar,SettlementDate,P576,"f",,Trigger)</f>
        <v>59719</v>
      </c>
      <c r="R576" s="28">
        <f>_xll.qlInterestRateIndexValueDate(Index,Q576,Trigger)</f>
        <v>59721</v>
      </c>
      <c r="S576" s="28">
        <f>_xll.qlInterestRateIndexMaturity(Index,R576,Trigger)</f>
        <v>59754</v>
      </c>
      <c r="T576" s="30">
        <f>_xll.qlIndexFixing($M$6,Q576,,InterestRatesTrigger)</f>
        <v>1.1147879295802068E-2</v>
      </c>
      <c r="U576" s="30">
        <f>_xll.qlIndexFixing(Index,Q576,,InterestRatesTrigger)</f>
        <v>1.0934378091713918E-2</v>
      </c>
      <c r="V576" s="30">
        <f t="shared" si="30"/>
        <v>-2.1350120408815051E-4</v>
      </c>
      <c r="W576" s="29">
        <f>_xll.qlDayCounterYearFraction(DayCounter,SettlementDate,R576,,,Trigger)</f>
        <v>48.45</v>
      </c>
      <c r="X576" s="29">
        <f>_xll.qlDayCounterYearFraction(DayCounter,R576,S576)</f>
        <v>9.166666666666666E-2</v>
      </c>
      <c r="Y576" s="29">
        <f>_xll.qlYieldTSDiscount(Currency&amp;"ON",R576)/(1+U576*X576)</f>
        <v>0.51275388786216458</v>
      </c>
      <c r="Z576" s="30" t="e">
        <f>_xll.qlTenorBasisValue(TenorBasis6M,R576,InterestRatesTrigger)</f>
        <v>#VALUE!</v>
      </c>
      <c r="AA576" s="30" t="e">
        <f t="shared" si="31"/>
        <v>#VALUE!</v>
      </c>
    </row>
    <row r="577" spans="15:27" x14ac:dyDescent="0.2">
      <c r="O577" s="33">
        <v>1</v>
      </c>
      <c r="P577" s="27" t="str">
        <f>_xll.qlPeriodEquivalent(P576&amp;"+"&amp;O577&amp;"M")</f>
        <v>47Y10M</v>
      </c>
      <c r="Q577" s="28">
        <f>_xll.qlCalendarAdvance(Calendar,SettlementDate,P577,"f",,Trigger)</f>
        <v>59750</v>
      </c>
      <c r="R577" s="28">
        <f>_xll.qlInterestRateIndexValueDate(Index,Q577,Trigger)</f>
        <v>59754</v>
      </c>
      <c r="S577" s="28">
        <f>_xll.qlInterestRateIndexMaturity(Index,R577,Trigger)</f>
        <v>59785</v>
      </c>
      <c r="T577" s="30">
        <f>_xll.qlIndexFixing($M$6,Q577,,InterestRatesTrigger)</f>
        <v>1.1167119582159829E-2</v>
      </c>
      <c r="U577" s="30">
        <f>_xll.qlIndexFixing(Index,Q577,,InterestRatesTrigger)</f>
        <v>1.0948923322000521E-2</v>
      </c>
      <c r="V577" s="30">
        <f t="shared" si="30"/>
        <v>-2.1819626015930765E-4</v>
      </c>
      <c r="W577" s="29">
        <f>_xll.qlDayCounterYearFraction(DayCounter,SettlementDate,R577,,,Trigger)</f>
        <v>48.541666666666664</v>
      </c>
      <c r="X577" s="29">
        <f>_xll.qlDayCounterYearFraction(DayCounter,R577,S577)</f>
        <v>8.611111111111111E-2</v>
      </c>
      <c r="Y577" s="29">
        <f>_xll.qlYieldTSDiscount(Currency&amp;"ON",R577)/(1+U577*X577)</f>
        <v>0.51226089119069496</v>
      </c>
      <c r="Z577" s="30" t="e">
        <f>_xll.qlTenorBasisValue(TenorBasis6M,R577,InterestRatesTrigger)</f>
        <v>#VALUE!</v>
      </c>
      <c r="AA577" s="30" t="e">
        <f t="shared" si="31"/>
        <v>#VALUE!</v>
      </c>
    </row>
    <row r="578" spans="15:27" x14ac:dyDescent="0.2">
      <c r="O578" s="33">
        <v>1</v>
      </c>
      <c r="P578" s="27" t="str">
        <f>_xll.qlPeriodEquivalent(P577&amp;"+"&amp;O578&amp;"M")</f>
        <v>47Y11M</v>
      </c>
      <c r="Q578" s="28">
        <f>_xll.qlCalendarAdvance(Calendar,SettlementDate,P578,"f",,Trigger)</f>
        <v>59782</v>
      </c>
      <c r="R578" s="28">
        <f>_xll.qlInterestRateIndexValueDate(Index,Q578,Trigger)</f>
        <v>59784</v>
      </c>
      <c r="S578" s="28">
        <f>_xll.qlInterestRateIndexMaturity(Index,R578,Trigger)</f>
        <v>59814</v>
      </c>
      <c r="T578" s="30">
        <f>_xll.qlIndexFixing($M$6,Q578,,InterestRatesTrigger)</f>
        <v>1.1186107985257543E-2</v>
      </c>
      <c r="U578" s="30">
        <f>_xll.qlIndexFixing(Index,Q578,,InterestRatesTrigger)</f>
        <v>1.0963497160648927E-2</v>
      </c>
      <c r="V578" s="30">
        <f t="shared" si="30"/>
        <v>-2.2261082460861559E-4</v>
      </c>
      <c r="W578" s="29">
        <f>_xll.qlDayCounterYearFraction(DayCounter,SettlementDate,R578,,,Trigger)</f>
        <v>48.625</v>
      </c>
      <c r="X578" s="29">
        <f>_xll.qlDayCounterYearFraction(DayCounter,R578,S578)</f>
        <v>8.3333333333333329E-2</v>
      </c>
      <c r="Y578" s="29">
        <f>_xll.qlYieldTSDiscount(Currency&amp;"ON",R578)/(1+U578*X578)</f>
        <v>0.51179957886216321</v>
      </c>
      <c r="Z578" s="30" t="e">
        <f>_xll.qlTenorBasisValue(TenorBasis6M,R578,InterestRatesTrigger)</f>
        <v>#VALUE!</v>
      </c>
      <c r="AA578" s="30" t="e">
        <f t="shared" si="31"/>
        <v>#VALUE!</v>
      </c>
    </row>
    <row r="579" spans="15:27" x14ac:dyDescent="0.2">
      <c r="O579" s="33">
        <v>1</v>
      </c>
      <c r="P579" s="27" t="str">
        <f>_xll.qlPeriodEquivalent(P578&amp;"+"&amp;O579&amp;"M")</f>
        <v>48Y</v>
      </c>
      <c r="Q579" s="28">
        <f>_xll.qlCalendarAdvance(Calendar,SettlementDate,P579,"f",,Trigger)</f>
        <v>59811</v>
      </c>
      <c r="R579" s="28">
        <f>_xll.qlInterestRateIndexValueDate(Index,Q579,Trigger)</f>
        <v>59813</v>
      </c>
      <c r="S579" s="28">
        <f>_xll.qlInterestRateIndexMaturity(Index,R579,Trigger)</f>
        <v>59845</v>
      </c>
      <c r="T579" s="30">
        <f>_xll.qlIndexFixing($M$6,Q579,,InterestRatesTrigger)</f>
        <v>1.1207045372476354E-2</v>
      </c>
      <c r="U579" s="30">
        <f>_xll.qlIndexFixing(Index,Q579,,InterestRatesTrigger)</f>
        <v>1.0979843641659714E-2</v>
      </c>
      <c r="V579" s="30">
        <f t="shared" si="30"/>
        <v>-2.2720173081663964E-4</v>
      </c>
      <c r="W579" s="29">
        <f>_xll.qlDayCounterYearFraction(DayCounter,SettlementDate,R579,,,Trigger)</f>
        <v>48.705555555555556</v>
      </c>
      <c r="X579" s="29">
        <f>_xll.qlDayCounterYearFraction(DayCounter,R579,S579)</f>
        <v>8.8888888888888892E-2</v>
      </c>
      <c r="Y579" s="29">
        <f>_xll.qlYieldTSDiscount(Currency&amp;"ON",R579)/(1+U579*X579)</f>
        <v>0.51130697417706539</v>
      </c>
      <c r="Z579" s="30" t="e">
        <f>_xll.qlTenorBasisValue(TenorBasis6M,R579,InterestRatesTrigger)</f>
        <v>#VALUE!</v>
      </c>
      <c r="AA579" s="30" t="e">
        <f t="shared" si="31"/>
        <v>#VALUE!</v>
      </c>
    </row>
    <row r="580" spans="15:27" x14ac:dyDescent="0.2">
      <c r="O580" s="33">
        <v>1</v>
      </c>
      <c r="P580" s="27" t="str">
        <f>_xll.qlPeriodEquivalent(P579&amp;"+"&amp;O580&amp;"M")</f>
        <v>48Y1M</v>
      </c>
      <c r="Q580" s="28">
        <f>_xll.qlCalendarAdvance(Calendar,SettlementDate,P580,"f",,Trigger)</f>
        <v>59842</v>
      </c>
      <c r="R580" s="28">
        <f>_xll.qlInterestRateIndexValueDate(Index,Q580,Trigger)</f>
        <v>59846</v>
      </c>
      <c r="S580" s="28">
        <f>_xll.qlInterestRateIndexMaturity(Index,R580,Trigger)</f>
        <v>59876</v>
      </c>
      <c r="T580" s="30">
        <f>_xll.qlIndexFixing($M$6,Q580,,InterestRatesTrigger)</f>
        <v>1.1229866619594908E-2</v>
      </c>
      <c r="U580" s="30">
        <f>_xll.qlIndexFixing(Index,Q580,,InterestRatesTrigger)</f>
        <v>1.0997708381204063E-2</v>
      </c>
      <c r="V580" s="30">
        <f t="shared" si="30"/>
        <v>-2.3215823839084493E-4</v>
      </c>
      <c r="W580" s="29">
        <f>_xll.qlDayCounterYearFraction(DayCounter,SettlementDate,R580,,,Trigger)</f>
        <v>48.797222222222224</v>
      </c>
      <c r="X580" s="29">
        <f>_xll.qlDayCounterYearFraction(DayCounter,R580,S580)</f>
        <v>8.3333333333333329E-2</v>
      </c>
      <c r="Y580" s="29">
        <f>_xll.qlYieldTSDiscount(Currency&amp;"ON",R580)/(1+U580*X580)</f>
        <v>0.51081258542503882</v>
      </c>
      <c r="Z580" s="30" t="e">
        <f>_xll.qlTenorBasisValue(TenorBasis6M,R580,InterestRatesTrigger)</f>
        <v>#VALUE!</v>
      </c>
      <c r="AA580" s="30" t="e">
        <f t="shared" si="31"/>
        <v>#VALUE!</v>
      </c>
    </row>
    <row r="581" spans="15:27" x14ac:dyDescent="0.2">
      <c r="O581" s="33">
        <v>1</v>
      </c>
      <c r="P581" s="27" t="str">
        <f>_xll.qlPeriodEquivalent(P580&amp;"+"&amp;O581&amp;"M")</f>
        <v>48Y2M</v>
      </c>
      <c r="Q581" s="28">
        <f>_xll.qlCalendarAdvance(Calendar,SettlementDate,P581,"f",,Trigger)</f>
        <v>59873</v>
      </c>
      <c r="R581" s="28">
        <f>_xll.qlInterestRateIndexValueDate(Index,Q581,Trigger)</f>
        <v>59875</v>
      </c>
      <c r="S581" s="28">
        <f>_xll.qlInterestRateIndexMaturity(Index,R581,Trigger)</f>
        <v>59908</v>
      </c>
      <c r="T581" s="30">
        <f>_xll.qlIndexFixing($M$6,Q581,,InterestRatesTrigger)</f>
        <v>1.1253675091085213E-2</v>
      </c>
      <c r="U581" s="30">
        <f>_xll.qlIndexFixing(Index,Q581,,InterestRatesTrigger)</f>
        <v>1.1016669801221211E-2</v>
      </c>
      <c r="V581" s="30">
        <f t="shared" si="30"/>
        <v>-2.3700528986400279E-4</v>
      </c>
      <c r="W581" s="29">
        <f>_xll.qlDayCounterYearFraction(DayCounter,SettlementDate,R581,,,Trigger)</f>
        <v>48.87777777777778</v>
      </c>
      <c r="X581" s="29">
        <f>_xll.qlDayCounterYearFraction(DayCounter,R581,S581)</f>
        <v>9.166666666666666E-2</v>
      </c>
      <c r="Y581" s="29">
        <f>_xll.qlYieldTSDiscount(Currency&amp;"ON",R581)/(1+U581*X581)</f>
        <v>0.51030331882354152</v>
      </c>
      <c r="Z581" s="30" t="e">
        <f>_xll.qlTenorBasisValue(TenorBasis6M,R581,InterestRatesTrigger)</f>
        <v>#VALUE!</v>
      </c>
      <c r="AA581" s="30" t="e">
        <f t="shared" si="31"/>
        <v>#VALUE!</v>
      </c>
    </row>
    <row r="582" spans="15:27" x14ac:dyDescent="0.2">
      <c r="O582" s="33">
        <v>1</v>
      </c>
      <c r="P582" s="27" t="str">
        <f>_xll.qlPeriodEquivalent(P581&amp;"+"&amp;O582&amp;"M")</f>
        <v>48Y3M</v>
      </c>
      <c r="Q582" s="28">
        <f>_xll.qlCalendarAdvance(Calendar,SettlementDate,P582,"f",,Trigger)</f>
        <v>59903</v>
      </c>
      <c r="R582" s="28">
        <f>_xll.qlInterestRateIndexValueDate(Index,Q582,Trigger)</f>
        <v>59905</v>
      </c>
      <c r="S582" s="28">
        <f>_xll.qlInterestRateIndexMaturity(Index,R582,Trigger)</f>
        <v>59936</v>
      </c>
      <c r="T582" s="30">
        <f>_xll.qlIndexFixing($M$6,Q582,,InterestRatesTrigger)</f>
        <v>1.1276519758241886E-2</v>
      </c>
      <c r="U582" s="30">
        <f>_xll.qlIndexFixing(Index,Q582,,InterestRatesTrigger)</f>
        <v>1.1034863724026296E-2</v>
      </c>
      <c r="V582" s="30">
        <f t="shared" si="30"/>
        <v>-2.4165603421559025E-4</v>
      </c>
      <c r="W582" s="29">
        <f>_xll.qlDayCounterYearFraction(DayCounter,SettlementDate,R582,,,Trigger)</f>
        <v>48.961111111111109</v>
      </c>
      <c r="X582" s="29">
        <f>_xll.qlDayCounterYearFraction(DayCounter,R582,S582)</f>
        <v>8.611111111111111E-2</v>
      </c>
      <c r="Y582" s="29">
        <f>_xll.qlYieldTSDiscount(Currency&amp;"ON",R582)/(1+U582*X582)</f>
        <v>0.50985564969016373</v>
      </c>
      <c r="Z582" s="30" t="e">
        <f>_xll.qlTenorBasisValue(TenorBasis6M,R582,InterestRatesTrigger)</f>
        <v>#VALUE!</v>
      </c>
      <c r="AA582" s="30" t="e">
        <f t="shared" si="31"/>
        <v>#VALUE!</v>
      </c>
    </row>
    <row r="583" spans="15:27" x14ac:dyDescent="0.2">
      <c r="O583" s="33">
        <v>1</v>
      </c>
      <c r="P583" s="27" t="str">
        <f>_xll.qlPeriodEquivalent(P582&amp;"+"&amp;O583&amp;"M")</f>
        <v>48Y4M</v>
      </c>
      <c r="Q583" s="28">
        <f>_xll.qlCalendarAdvance(Calendar,SettlementDate,P583,"f",,Trigger)</f>
        <v>59936</v>
      </c>
      <c r="R583" s="28">
        <f>_xll.qlInterestRateIndexValueDate(Index,Q583,Trigger)</f>
        <v>59938</v>
      </c>
      <c r="S583" s="28">
        <f>_xll.qlInterestRateIndexMaturity(Index,R583,Trigger)</f>
        <v>59967</v>
      </c>
      <c r="T583" s="30">
        <f>_xll.qlIndexFixing($M$6,Q583,,InterestRatesTrigger)</f>
        <v>1.1302985948940122E-2</v>
      </c>
      <c r="U583" s="30">
        <f>_xll.qlIndexFixing(Index,Q583,,InterestRatesTrigger)</f>
        <v>1.1056107696164033E-2</v>
      </c>
      <c r="V583" s="30">
        <f t="shared" si="30"/>
        <v>-2.4687825277608898E-4</v>
      </c>
      <c r="W583" s="29">
        <f>_xll.qlDayCounterYearFraction(DayCounter,SettlementDate,R583,,,Trigger)</f>
        <v>49.052777777777777</v>
      </c>
      <c r="X583" s="29">
        <f>_xll.qlDayCounterYearFraction(DayCounter,R583,S583)</f>
        <v>8.0555555555555561E-2</v>
      </c>
      <c r="Y583" s="29">
        <f>_xll.qlYieldTSDiscount(Currency&amp;"ON",R583)/(1+U583*X583)</f>
        <v>0.50935943652803761</v>
      </c>
      <c r="Z583" s="30" t="e">
        <f>_xll.qlTenorBasisValue(TenorBasis6M,R583,InterestRatesTrigger)</f>
        <v>#VALUE!</v>
      </c>
      <c r="AA583" s="30" t="e">
        <f t="shared" si="31"/>
        <v>#VALUE!</v>
      </c>
    </row>
    <row r="584" spans="15:27" x14ac:dyDescent="0.2">
      <c r="O584" s="33">
        <v>1</v>
      </c>
      <c r="P584" s="27" t="str">
        <f>_xll.qlPeriodEquivalent(P583&amp;"+"&amp;O584&amp;"M")</f>
        <v>48Y5M</v>
      </c>
      <c r="Q584" s="28">
        <f>_xll.qlCalendarAdvance(Calendar,SettlementDate,P584,"f",,Trigger)</f>
        <v>59964</v>
      </c>
      <c r="R584" s="28">
        <f>_xll.qlInterestRateIndexValueDate(Index,Q584,Trigger)</f>
        <v>59966</v>
      </c>
      <c r="S584" s="28">
        <f>_xll.qlInterestRateIndexMaturity(Index,R584,Trigger)</f>
        <v>60000</v>
      </c>
      <c r="T584" s="30">
        <f>_xll.qlIndexFixing($M$6,Q584,,InterestRatesTrigger)</f>
        <v>1.1330664169835062E-2</v>
      </c>
      <c r="U584" s="30">
        <f>_xll.qlIndexFixing(Index,Q584,,InterestRatesTrigger)</f>
        <v>1.1078665566196718E-2</v>
      </c>
      <c r="V584" s="30">
        <f t="shared" si="30"/>
        <v>-2.5199860363834398E-4</v>
      </c>
      <c r="W584" s="29">
        <f>_xll.qlDayCounterYearFraction(DayCounter,SettlementDate,R584,,,Trigger)</f>
        <v>49.130555555555553</v>
      </c>
      <c r="X584" s="29">
        <f>_xll.qlDayCounterYearFraction(DayCounter,R584,S584)</f>
        <v>9.4444444444444442E-2</v>
      </c>
      <c r="Y584" s="29">
        <f>_xll.qlYieldTSDiscount(Currency&amp;"ON",R584)/(1+U584*X584)</f>
        <v>0.50883291685968879</v>
      </c>
      <c r="Z584" s="30" t="e">
        <f>_xll.qlTenorBasisValue(TenorBasis6M,R584,InterestRatesTrigger)</f>
        <v>#VALUE!</v>
      </c>
      <c r="AA584" s="30" t="e">
        <f t="shared" si="31"/>
        <v>#VALUE!</v>
      </c>
    </row>
    <row r="585" spans="15:27" x14ac:dyDescent="0.2">
      <c r="O585" s="33">
        <v>1</v>
      </c>
      <c r="P585" s="27" t="str">
        <f>_xll.qlPeriodEquivalent(P584&amp;"+"&amp;O585&amp;"M")</f>
        <v>48Y6M</v>
      </c>
      <c r="Q585" s="28">
        <f>_xll.qlCalendarAdvance(Calendar,SettlementDate,P585,"f",,Trigger)</f>
        <v>59994</v>
      </c>
      <c r="R585" s="28">
        <f>_xll.qlInterestRateIndexValueDate(Index,Q585,Trigger)</f>
        <v>60000</v>
      </c>
      <c r="S585" s="28">
        <f>_xll.qlInterestRateIndexMaturity(Index,R585,Trigger)</f>
        <v>60030</v>
      </c>
      <c r="T585" s="30">
        <f>_xll.qlIndexFixing($M$6,Q585,,InterestRatesTrigger)</f>
        <v>1.1359294593527913E-2</v>
      </c>
      <c r="U585" s="30">
        <f>_xll.qlIndexFixing(Index,Q585,,InterestRatesTrigger)</f>
        <v>1.1101905724653527E-2</v>
      </c>
      <c r="V585" s="30">
        <f t="shared" si="30"/>
        <v>-2.5738886887438639E-4</v>
      </c>
      <c r="W585" s="29">
        <f>_xll.qlDayCounterYearFraction(DayCounter,SettlementDate,R585,,,Trigger)</f>
        <v>49.225000000000001</v>
      </c>
      <c r="X585" s="29">
        <f>_xll.qlDayCounterYearFraction(DayCounter,R585,S585)</f>
        <v>8.3333333333333329E-2</v>
      </c>
      <c r="Y585" s="29">
        <f>_xll.qlYieldTSDiscount(Currency&amp;"ON",R585)/(1+U585*X585)</f>
        <v>0.50835051469138626</v>
      </c>
      <c r="Z585" s="30" t="e">
        <f>_xll.qlTenorBasisValue(TenorBasis6M,R585,InterestRatesTrigger)</f>
        <v>#VALUE!</v>
      </c>
      <c r="AA585" s="30" t="e">
        <f t="shared" si="31"/>
        <v>#VALUE!</v>
      </c>
    </row>
    <row r="586" spans="15:27" x14ac:dyDescent="0.2">
      <c r="O586" s="33">
        <v>1</v>
      </c>
      <c r="P586" s="27" t="str">
        <f>_xll.qlPeriodEquivalent(P585&amp;"+"&amp;O586&amp;"M")</f>
        <v>48Y7M</v>
      </c>
      <c r="Q586" s="28">
        <f>_xll.qlCalendarAdvance(Calendar,SettlementDate,P586,"f",,Trigger)</f>
        <v>60024</v>
      </c>
      <c r="R586" s="28">
        <f>_xll.qlInterestRateIndexValueDate(Index,Q586,Trigger)</f>
        <v>60028</v>
      </c>
      <c r="S586" s="28">
        <f>_xll.qlInterestRateIndexMaturity(Index,R586,Trigger)</f>
        <v>60059</v>
      </c>
      <c r="T586" s="30">
        <f>_xll.qlIndexFixing($M$6,Q586,,InterestRatesTrigger)</f>
        <v>1.1386724306420615E-2</v>
      </c>
      <c r="U586" s="30">
        <f>_xll.qlIndexFixing(Index,Q586,,InterestRatesTrigger)</f>
        <v>1.1124417194765965E-2</v>
      </c>
      <c r="V586" s="30">
        <f t="shared" si="30"/>
        <v>-2.6230711165465062E-4</v>
      </c>
      <c r="W586" s="29">
        <f>_xll.qlDayCounterYearFraction(DayCounter,SettlementDate,R586,,,Trigger)</f>
        <v>49.302777777777777</v>
      </c>
      <c r="X586" s="29">
        <f>_xll.qlDayCounterYearFraction(DayCounter,R586,S586)</f>
        <v>8.611111111111111E-2</v>
      </c>
      <c r="Y586" s="29">
        <f>_xll.qlYieldTSDiscount(Currency&amp;"ON",R586)/(1+U586*X586)</f>
        <v>0.50788520286160788</v>
      </c>
      <c r="Z586" s="30" t="e">
        <f>_xll.qlTenorBasisValue(TenorBasis6M,R586,InterestRatesTrigger)</f>
        <v>#VALUE!</v>
      </c>
      <c r="AA586" s="30" t="e">
        <f t="shared" si="31"/>
        <v>#VALUE!</v>
      </c>
    </row>
    <row r="587" spans="15:27" x14ac:dyDescent="0.2">
      <c r="O587" s="33">
        <v>1</v>
      </c>
      <c r="P587" s="27" t="str">
        <f>_xll.qlPeriodEquivalent(P586&amp;"+"&amp;O587&amp;"M")</f>
        <v>48Y8M</v>
      </c>
      <c r="Q587" s="28">
        <f>_xll.qlCalendarAdvance(Calendar,SettlementDate,P587,"f",,Trigger)</f>
        <v>60055</v>
      </c>
      <c r="R587" s="28">
        <f>_xll.qlInterestRateIndexValueDate(Index,Q587,Trigger)</f>
        <v>60057</v>
      </c>
      <c r="S587" s="28">
        <f>_xll.qlInterestRateIndexMaturity(Index,R587,Trigger)</f>
        <v>60087</v>
      </c>
      <c r="T587" s="30">
        <f>_xll.qlIndexFixing($M$6,Q587,,InterestRatesTrigger)</f>
        <v>1.1414830058527947E-2</v>
      </c>
      <c r="U587" s="30">
        <f>_xll.qlIndexFixing(Index,Q587,,InterestRatesTrigger)</f>
        <v>1.1147545529634151E-2</v>
      </c>
      <c r="V587" s="30">
        <f t="shared" si="30"/>
        <v>-2.6728452889379639E-4</v>
      </c>
      <c r="W587" s="29">
        <f>_xll.qlDayCounterYearFraction(DayCounter,SettlementDate,R587,,,Trigger)</f>
        <v>49.383333333333333</v>
      </c>
      <c r="X587" s="29">
        <f>_xll.qlDayCounterYearFraction(DayCounter,R587,S587)</f>
        <v>8.3333333333333329E-2</v>
      </c>
      <c r="Y587" s="29">
        <f>_xll.qlYieldTSDiscount(Currency&amp;"ON",R587)/(1+U587*X587)</f>
        <v>0.50743450798720424</v>
      </c>
      <c r="Z587" s="30" t="e">
        <f>_xll.qlTenorBasisValue(TenorBasis6M,R587,InterestRatesTrigger)</f>
        <v>#VALUE!</v>
      </c>
      <c r="AA587" s="30" t="e">
        <f t="shared" si="31"/>
        <v>#VALUE!</v>
      </c>
    </row>
    <row r="588" spans="15:27" x14ac:dyDescent="0.2">
      <c r="O588" s="33">
        <v>1</v>
      </c>
      <c r="P588" s="27" t="str">
        <f>_xll.qlPeriodEquivalent(P587&amp;"+"&amp;O588&amp;"M")</f>
        <v>48Y9M</v>
      </c>
      <c r="Q588" s="28">
        <f>_xll.qlCalendarAdvance(Calendar,SettlementDate,P588,"f",,Trigger)</f>
        <v>60085</v>
      </c>
      <c r="R588" s="28">
        <f>_xll.qlInterestRateIndexValueDate(Index,Q588,Trigger)</f>
        <v>60087</v>
      </c>
      <c r="S588" s="28">
        <f>_xll.qlInterestRateIndexMaturity(Index,R588,Trigger)</f>
        <v>60118</v>
      </c>
      <c r="T588" s="30">
        <f>_xll.qlIndexFixing($M$6,Q588,,InterestRatesTrigger)</f>
        <v>1.1446450772121539E-2</v>
      </c>
      <c r="U588" s="30">
        <f>_xll.qlIndexFixing(Index,Q588,,InterestRatesTrigger)</f>
        <v>1.1173737039964779E-2</v>
      </c>
      <c r="V588" s="30">
        <f t="shared" si="30"/>
        <v>-2.7271373215675965E-4</v>
      </c>
      <c r="W588" s="29">
        <f>_xll.qlDayCounterYearFraction(DayCounter,SettlementDate,R588,,,Trigger)</f>
        <v>49.466666666666669</v>
      </c>
      <c r="X588" s="29">
        <f>_xll.qlDayCounterYearFraction(DayCounter,R588,S588)</f>
        <v>8.611111111111111E-2</v>
      </c>
      <c r="Y588" s="29">
        <f>_xll.qlYieldTSDiscount(Currency&amp;"ON",R588)/(1+U588*X588)</f>
        <v>0.50693545164988063</v>
      </c>
      <c r="Z588" s="30" t="e">
        <f>_xll.qlTenorBasisValue(TenorBasis6M,R588,InterestRatesTrigger)</f>
        <v>#VALUE!</v>
      </c>
      <c r="AA588" s="30" t="e">
        <f t="shared" si="31"/>
        <v>#VALUE!</v>
      </c>
    </row>
    <row r="589" spans="15:27" x14ac:dyDescent="0.2">
      <c r="O589" s="33">
        <v>1</v>
      </c>
      <c r="P589" s="27" t="str">
        <f>_xll.qlPeriodEquivalent(P588&amp;"+"&amp;O589&amp;"M")</f>
        <v>48Y10M</v>
      </c>
      <c r="Q589" s="28">
        <f>_xll.qlCalendarAdvance(Calendar,SettlementDate,P589,"f",,Trigger)</f>
        <v>60118</v>
      </c>
      <c r="R589" s="28">
        <f>_xll.qlInterestRateIndexValueDate(Index,Q589,Trigger)</f>
        <v>60120</v>
      </c>
      <c r="S589" s="28">
        <f>_xll.qlInterestRateIndexMaturity(Index,R589,Trigger)</f>
        <v>60153</v>
      </c>
      <c r="T589" s="30">
        <f>_xll.qlIndexFixing($M$6,Q589,,InterestRatesTrigger)</f>
        <v>1.1483291379819476E-2</v>
      </c>
      <c r="U589" s="30">
        <f>_xll.qlIndexFixing(Index,Q589,,InterestRatesTrigger)</f>
        <v>1.1204413213213759E-2</v>
      </c>
      <c r="V589" s="30">
        <f t="shared" si="30"/>
        <v>-2.7887816660571683E-4</v>
      </c>
      <c r="W589" s="29">
        <f>_xll.qlDayCounterYearFraction(DayCounter,SettlementDate,R589,,,Trigger)</f>
        <v>49.55833333333333</v>
      </c>
      <c r="X589" s="29">
        <f>_xll.qlDayCounterYearFraction(DayCounter,R589,S589)</f>
        <v>9.166666666666666E-2</v>
      </c>
      <c r="Y589" s="29">
        <f>_xll.qlYieldTSDiscount(Currency&amp;"ON",R589)/(1+U589*X589)</f>
        <v>0.50637121117999817</v>
      </c>
      <c r="Z589" s="30" t="e">
        <f>_xll.qlTenorBasisValue(TenorBasis6M,R589,InterestRatesTrigger)</f>
        <v>#VALUE!</v>
      </c>
      <c r="AA589" s="30" t="e">
        <f t="shared" si="31"/>
        <v>#VALUE!</v>
      </c>
    </row>
    <row r="590" spans="15:27" x14ac:dyDescent="0.2">
      <c r="O590" s="33">
        <v>1</v>
      </c>
      <c r="P590" s="27" t="str">
        <f>_xll.qlPeriodEquivalent(P589&amp;"+"&amp;O590&amp;"M")</f>
        <v>48Y11M</v>
      </c>
      <c r="Q590" s="28">
        <f>_xll.qlCalendarAdvance(Calendar,SettlementDate,P590,"f",,Trigger)</f>
        <v>60147</v>
      </c>
      <c r="R590" s="28">
        <f>_xll.qlInterestRateIndexValueDate(Index,Q590,Trigger)</f>
        <v>60149</v>
      </c>
      <c r="S590" s="28">
        <f>_xll.qlInterestRateIndexMaturity(Index,R590,Trigger)</f>
        <v>60181</v>
      </c>
      <c r="T590" s="30">
        <f>_xll.qlIndexFixing($M$6,Q590,,InterestRatesTrigger)</f>
        <v>1.1514837038935355E-2</v>
      </c>
      <c r="U590" s="30">
        <f>_xll.qlIndexFixing(Index,Q590,,InterestRatesTrigger)</f>
        <v>1.123073092005461E-2</v>
      </c>
      <c r="V590" s="30">
        <f t="shared" si="30"/>
        <v>-2.8410611888074477E-4</v>
      </c>
      <c r="W590" s="29">
        <f>_xll.qlDayCounterYearFraction(DayCounter,SettlementDate,R590,,,Trigger)</f>
        <v>49.638888888888886</v>
      </c>
      <c r="X590" s="29">
        <f>_xll.qlDayCounterYearFraction(DayCounter,R590,S590)</f>
        <v>8.8888888888888892E-2</v>
      </c>
      <c r="Y590" s="29">
        <f>_xll.qlYieldTSDiscount(Currency&amp;"ON",R590)/(1+U590*X590)</f>
        <v>0.50591789578911184</v>
      </c>
      <c r="Z590" s="30" t="e">
        <f>_xll.qlTenorBasisValue(TenorBasis6M,R590,InterestRatesTrigger)</f>
        <v>#VALUE!</v>
      </c>
      <c r="AA590" s="30" t="e">
        <f t="shared" si="31"/>
        <v>#VALUE!</v>
      </c>
    </row>
    <row r="591" spans="15:27" x14ac:dyDescent="0.2">
      <c r="O591" s="33">
        <v>1</v>
      </c>
      <c r="P591" s="27" t="str">
        <f>_xll.qlPeriodEquivalent(P590&amp;"+"&amp;O591&amp;"M")</f>
        <v>49Y</v>
      </c>
      <c r="Q591" s="28">
        <f>_xll.qlCalendarAdvance(Calendar,SettlementDate,P591,"f",,Trigger)</f>
        <v>60177</v>
      </c>
      <c r="R591" s="28">
        <f>_xll.qlInterestRateIndexValueDate(Index,Q591,Trigger)</f>
        <v>60181</v>
      </c>
      <c r="S591" s="28">
        <f>_xll.qlInterestRateIndexMaturity(Index,R591,Trigger)</f>
        <v>60212</v>
      </c>
      <c r="T591" s="30">
        <f>_xll.qlIndexFixing($M$6,Q591,,InterestRatesTrigger)</f>
        <v>1.1550961968017744E-2</v>
      </c>
      <c r="U591" s="30">
        <f>_xll.qlIndexFixing(Index,Q591,,InterestRatesTrigger)</f>
        <v>1.1260986664638269E-2</v>
      </c>
      <c r="V591" s="30">
        <f t="shared" si="30"/>
        <v>-2.8997530337947566E-4</v>
      </c>
      <c r="W591" s="29">
        <f>_xll.qlDayCounterYearFraction(DayCounter,SettlementDate,R591,,,Trigger)</f>
        <v>49.727777777777774</v>
      </c>
      <c r="X591" s="29">
        <f>_xll.qlDayCounterYearFraction(DayCounter,R591,S591)</f>
        <v>8.611111111111111E-2</v>
      </c>
      <c r="Y591" s="29">
        <f>_xll.qlYieldTSDiscount(Currency&amp;"ON",R591)/(1+U591*X591)</f>
        <v>0.5054150334908023</v>
      </c>
      <c r="Z591" s="30" t="e">
        <f>_xll.qlTenorBasisValue(TenorBasis6M,R591,InterestRatesTrigger)</f>
        <v>#VALUE!</v>
      </c>
      <c r="AA591" s="30" t="e">
        <f t="shared" si="31"/>
        <v>#VALUE!</v>
      </c>
    </row>
    <row r="592" spans="15:27" x14ac:dyDescent="0.2">
      <c r="O592" s="33">
        <v>1</v>
      </c>
      <c r="P592" s="27" t="str">
        <f>_xll.qlPeriodEquivalent(P591&amp;"+"&amp;O592&amp;"M")</f>
        <v>49Y1M</v>
      </c>
      <c r="Q592" s="28">
        <f>_xll.qlCalendarAdvance(Calendar,SettlementDate,P592,"f",,Trigger)</f>
        <v>60209</v>
      </c>
      <c r="R592" s="28">
        <f>_xll.qlInterestRateIndexValueDate(Index,Q592,Trigger)</f>
        <v>60211</v>
      </c>
      <c r="S592" s="28">
        <f>_xll.qlInterestRateIndexMaturity(Index,R592,Trigger)</f>
        <v>60241</v>
      </c>
      <c r="T592" s="30">
        <f>_xll.qlIndexFixing($M$6,Q592,,InterestRatesTrigger)</f>
        <v>1.1585967291667387E-2</v>
      </c>
      <c r="U592" s="30">
        <f>_xll.qlIndexFixing(Index,Q592,,InterestRatesTrigger)</f>
        <v>1.1290409976624005E-2</v>
      </c>
      <c r="V592" s="30">
        <f t="shared" si="30"/>
        <v>-2.9555731504338212E-4</v>
      </c>
      <c r="W592" s="29">
        <f>_xll.qlDayCounterYearFraction(DayCounter,SettlementDate,R592,,,Trigger)</f>
        <v>49.81111111111111</v>
      </c>
      <c r="X592" s="29">
        <f>_xll.qlDayCounterYearFraction(DayCounter,R592,S592)</f>
        <v>8.3333333333333329E-2</v>
      </c>
      <c r="Y592" s="29">
        <f>_xll.qlYieldTSDiscount(Currency&amp;"ON",R592)/(1+U592*X592)</f>
        <v>0.5049435741410232</v>
      </c>
      <c r="Z592" s="30" t="e">
        <f>_xll.qlTenorBasisValue(TenorBasis6M,R592,InterestRatesTrigger)</f>
        <v>#VALUE!</v>
      </c>
      <c r="AA592" s="30" t="e">
        <f t="shared" si="31"/>
        <v>#VALUE!</v>
      </c>
    </row>
    <row r="593" spans="15:27" x14ac:dyDescent="0.2">
      <c r="O593" s="33">
        <v>1</v>
      </c>
      <c r="P593" s="27" t="str">
        <f>_xll.qlPeriodEquivalent(P592&amp;"+"&amp;O593&amp;"M")</f>
        <v>49Y2M</v>
      </c>
      <c r="Q593" s="28">
        <f>_xll.qlCalendarAdvance(Calendar,SettlementDate,P593,"f",,Trigger)</f>
        <v>60238</v>
      </c>
      <c r="R593" s="28">
        <f>_xll.qlInterestRateIndexValueDate(Index,Q593,Trigger)</f>
        <v>60240</v>
      </c>
      <c r="S593" s="28">
        <f>_xll.qlInterestRateIndexMaturity(Index,R593,Trigger)</f>
        <v>60272</v>
      </c>
      <c r="T593" s="30">
        <f>_xll.qlIndexFixing($M$6,Q593,,InterestRatesTrigger)</f>
        <v>1.1623324880280783E-2</v>
      </c>
      <c r="U593" s="30">
        <f>_xll.qlIndexFixing(Index,Q593,,InterestRatesTrigger)</f>
        <v>1.1321975449796462E-2</v>
      </c>
      <c r="V593" s="30">
        <f t="shared" si="30"/>
        <v>-3.0134943048432117E-4</v>
      </c>
      <c r="W593" s="29">
        <f>_xll.qlDayCounterYearFraction(DayCounter,SettlementDate,R593,,,Trigger)</f>
        <v>49.891666666666666</v>
      </c>
      <c r="X593" s="29">
        <f>_xll.qlDayCounterYearFraction(DayCounter,R593,S593)</f>
        <v>8.8888888888888892E-2</v>
      </c>
      <c r="Y593" s="29">
        <f>_xll.qlYieldTSDiscount(Currency&amp;"ON",R593)/(1+U593*X593)</f>
        <v>0.50443974993272767</v>
      </c>
      <c r="Z593" s="30" t="e">
        <f>_xll.qlTenorBasisValue(TenorBasis6M,R593,InterestRatesTrigger)</f>
        <v>#VALUE!</v>
      </c>
      <c r="AA593" s="30" t="e">
        <f t="shared" si="31"/>
        <v>#VALUE!</v>
      </c>
    </row>
    <row r="594" spans="15:27" x14ac:dyDescent="0.2">
      <c r="O594" s="33">
        <v>1</v>
      </c>
      <c r="P594" s="27" t="str">
        <f>_xll.qlPeriodEquivalent(P593&amp;"+"&amp;O594&amp;"M")</f>
        <v>49Y3M</v>
      </c>
      <c r="Q594" s="28">
        <f>_xll.qlCalendarAdvance(Calendar,SettlementDate,P594,"f",,Trigger)</f>
        <v>60269</v>
      </c>
      <c r="R594" s="28">
        <f>_xll.qlInterestRateIndexValueDate(Index,Q594,Trigger)</f>
        <v>60273</v>
      </c>
      <c r="S594" s="28">
        <f>_xll.qlInterestRateIndexMaturity(Index,R594,Trigger)</f>
        <v>60304</v>
      </c>
      <c r="T594" s="30">
        <f>_xll.qlIndexFixing($M$6,Q594,,InterestRatesTrigger)</f>
        <v>1.1664548151823478E-2</v>
      </c>
      <c r="U594" s="30">
        <f>_xll.qlIndexFixing(Index,Q594,,InterestRatesTrigger)</f>
        <v>1.1356856277743192E-2</v>
      </c>
      <c r="V594" s="30">
        <f t="shared" si="30"/>
        <v>-3.0769187408028614E-4</v>
      </c>
      <c r="W594" s="29">
        <f>_xll.qlDayCounterYearFraction(DayCounter,SettlementDate,R594,,,Trigger)</f>
        <v>49.983333333333334</v>
      </c>
      <c r="X594" s="29">
        <f>_xll.qlDayCounterYearFraction(DayCounter,R594,S594)</f>
        <v>8.611111111111111E-2</v>
      </c>
      <c r="Y594" s="29">
        <f>_xll.qlYieldTSDiscount(Currency&amp;"ON",R594)/(1+U594*X594)</f>
        <v>0.50391713826720441</v>
      </c>
      <c r="Z594" s="30" t="e">
        <f>_xll.qlTenorBasisValue(TenorBasis6M,R594,InterestRatesTrigger)</f>
        <v>#VALUE!</v>
      </c>
      <c r="AA594" s="30" t="e">
        <f t="shared" si="31"/>
        <v>#VALUE!</v>
      </c>
    </row>
    <row r="595" spans="15:27" x14ac:dyDescent="0.2">
      <c r="O595" s="33">
        <v>1</v>
      </c>
      <c r="P595" s="27" t="str">
        <f>_xll.qlPeriodEquivalent(P594&amp;"+"&amp;O595&amp;"M")</f>
        <v>49Y4M</v>
      </c>
      <c r="Q595" s="28">
        <f>_xll.qlCalendarAdvance(Calendar,SettlementDate,P595,"f",,Trigger)</f>
        <v>60300</v>
      </c>
      <c r="R595" s="28">
        <f>_xll.qlInterestRateIndexValueDate(Index,Q595,Trigger)</f>
        <v>60302</v>
      </c>
      <c r="S595" s="28">
        <f>_xll.qlInterestRateIndexMaturity(Index,R595,Trigger)</f>
        <v>60330</v>
      </c>
      <c r="T595" s="30">
        <f>_xll.qlIndexFixing($M$6,Q595,,InterestRatesTrigger)</f>
        <v>1.1700118528052654E-2</v>
      </c>
      <c r="U595" s="30">
        <f>_xll.qlIndexFixing(Index,Q595,,InterestRatesTrigger)</f>
        <v>1.1387001957418199E-2</v>
      </c>
      <c r="V595" s="30">
        <f t="shared" si="30"/>
        <v>-3.1311657063445505E-4</v>
      </c>
      <c r="W595" s="29">
        <f>_xll.qlDayCounterYearFraction(DayCounter,SettlementDate,R595,,,Trigger)</f>
        <v>50.06388888888889</v>
      </c>
      <c r="X595" s="29">
        <f>_xll.qlDayCounterYearFraction(DayCounter,R595,S595)</f>
        <v>7.7777777777777779E-2</v>
      </c>
      <c r="Y595" s="29">
        <f>_xll.qlYieldTSDiscount(Currency&amp;"ON",R595)/(1+U595*X595)</f>
        <v>0.50349057270824893</v>
      </c>
      <c r="Z595" s="30" t="e">
        <f>_xll.qlTenorBasisValue(TenorBasis6M,R595,InterestRatesTrigger)</f>
        <v>#VALUE!</v>
      </c>
      <c r="AA595" s="30" t="e">
        <f t="shared" si="31"/>
        <v>#VALUE!</v>
      </c>
    </row>
    <row r="596" spans="15:27" x14ac:dyDescent="0.2">
      <c r="O596" s="33">
        <v>1</v>
      </c>
      <c r="P596" s="27" t="str">
        <f>_xll.qlPeriodEquivalent(P595&amp;"+"&amp;O596&amp;"M")</f>
        <v>49Y5M</v>
      </c>
      <c r="Q596" s="28">
        <f>_xll.qlCalendarAdvance(Calendar,SettlementDate,P596,"f",,Trigger)</f>
        <v>60328</v>
      </c>
      <c r="R596" s="28">
        <f>_xll.qlInterestRateIndexValueDate(Index,Q596,Trigger)</f>
        <v>60330</v>
      </c>
      <c r="S596" s="28">
        <f>_xll.qlInterestRateIndexMaturity(Index,R596,Trigger)</f>
        <v>60363</v>
      </c>
      <c r="T596" s="30">
        <f>_xll.qlIndexFixing($M$6,Q596,,InterestRatesTrigger)</f>
        <v>1.1742377074036884E-2</v>
      </c>
      <c r="U596" s="30">
        <f>_xll.qlIndexFixing(Index,Q596,,InterestRatesTrigger)</f>
        <v>1.1423071186374272E-2</v>
      </c>
      <c r="V596" s="30">
        <f t="shared" si="30"/>
        <v>-3.1930588766261245E-4</v>
      </c>
      <c r="W596" s="29">
        <f>_xll.qlDayCounterYearFraction(DayCounter,SettlementDate,R596,,,Trigger)</f>
        <v>50.141666666666666</v>
      </c>
      <c r="X596" s="29">
        <f>_xll.qlDayCounterYearFraction(DayCounter,R596,S596)</f>
        <v>9.166666666666666E-2</v>
      </c>
      <c r="Y596" s="29">
        <f>_xll.qlYieldTSDiscount(Currency&amp;"ON",R596)/(1+U596*X596)</f>
        <v>0.50295167392219831</v>
      </c>
      <c r="Z596" s="30" t="e">
        <f>_xll.qlTenorBasisValue(TenorBasis6M,R596,InterestRatesTrigger)</f>
        <v>#VALUE!</v>
      </c>
      <c r="AA596" s="30" t="e">
        <f t="shared" si="31"/>
        <v>#VALUE!</v>
      </c>
    </row>
    <row r="597" spans="15:27" x14ac:dyDescent="0.2">
      <c r="O597" s="33">
        <v>1</v>
      </c>
      <c r="P597" s="27" t="str">
        <f>_xll.qlPeriodEquivalent(P596&amp;"+"&amp;O597&amp;"M")</f>
        <v>49Y6M</v>
      </c>
      <c r="Q597" s="28">
        <f>_xll.qlCalendarAdvance(Calendar,SettlementDate,P597,"f",,Trigger)</f>
        <v>60359</v>
      </c>
      <c r="R597" s="28">
        <f>_xll.qlInterestRateIndexValueDate(Index,Q597,Trigger)</f>
        <v>60363</v>
      </c>
      <c r="S597" s="28">
        <f>_xll.qlInterestRateIndexMaturity(Index,R597,Trigger)</f>
        <v>60393</v>
      </c>
      <c r="T597" s="30">
        <f>_xll.qlIndexFixing($M$6,Q597,,InterestRatesTrigger)</f>
        <v>1.178575787397218E-2</v>
      </c>
      <c r="U597" s="30">
        <f>_xll.qlIndexFixing(Index,Q597,,InterestRatesTrigger)</f>
        <v>1.1460048911973608E-2</v>
      </c>
      <c r="V597" s="30">
        <f t="shared" si="30"/>
        <v>-3.2570896199857202E-4</v>
      </c>
      <c r="W597" s="29">
        <f>_xll.qlDayCounterYearFraction(DayCounter,SettlementDate,R597,,,Trigger)</f>
        <v>50.233333333333334</v>
      </c>
      <c r="X597" s="29">
        <f>_xll.qlDayCounterYearFraction(DayCounter,R597,S597)</f>
        <v>8.3333333333333329E-2</v>
      </c>
      <c r="Y597" s="29">
        <f>_xll.qlYieldTSDiscount(Currency&amp;"ON",R597)/(1+U597*X597)</f>
        <v>0.50245711990554698</v>
      </c>
      <c r="Z597" s="30" t="e">
        <f>_xll.qlTenorBasisValue(TenorBasis6M,R597,InterestRatesTrigger)</f>
        <v>#VALUE!</v>
      </c>
      <c r="AA597" s="30" t="e">
        <f t="shared" si="31"/>
        <v>#VALUE!</v>
      </c>
    </row>
    <row r="598" spans="15:27" x14ac:dyDescent="0.2">
      <c r="O598" s="33">
        <v>1</v>
      </c>
      <c r="P598" s="27" t="str">
        <f>_xll.qlPeriodEquivalent(P597&amp;"+"&amp;O598&amp;"M")</f>
        <v>49Y7M</v>
      </c>
      <c r="Q598" s="28">
        <f>_xll.qlCalendarAdvance(Calendar,SettlementDate,P598,"f",,Trigger)</f>
        <v>60391</v>
      </c>
      <c r="R598" s="28">
        <f>_xll.qlInterestRateIndexValueDate(Index,Q598,Trigger)</f>
        <v>60393</v>
      </c>
      <c r="S598" s="28">
        <f>_xll.qlInterestRateIndexMaturity(Index,R598,Trigger)</f>
        <v>60426</v>
      </c>
      <c r="T598" s="30">
        <f>_xll.qlIndexFixing($M$6,Q598,,InterestRatesTrigger)</f>
        <v>1.1831671588033192E-2</v>
      </c>
      <c r="U598" s="30">
        <f>_xll.qlIndexFixing(Index,Q598,,InterestRatesTrigger)</f>
        <v>1.1499396611416302E-2</v>
      </c>
      <c r="V598" s="30">
        <f t="shared" si="30"/>
        <v>-3.3227497661689025E-4</v>
      </c>
      <c r="W598" s="29">
        <f>_xll.qlDayCounterYearFraction(DayCounter,SettlementDate,R598,,,Trigger)</f>
        <v>50.31666666666667</v>
      </c>
      <c r="X598" s="29">
        <f>_xll.qlDayCounterYearFraction(DayCounter,R598,S598)</f>
        <v>9.166666666666666E-2</v>
      </c>
      <c r="Y598" s="29">
        <f>_xll.qlYieldTSDiscount(Currency&amp;"ON",R598)/(1+U598*X598)</f>
        <v>0.50191442169623124</v>
      </c>
      <c r="Z598" s="30" t="e">
        <f>_xll.qlTenorBasisValue(TenorBasis6M,R598,InterestRatesTrigger)</f>
        <v>#VALUE!</v>
      </c>
      <c r="AA598" s="30" t="e">
        <f t="shared" si="31"/>
        <v>#VALUE!</v>
      </c>
    </row>
    <row r="599" spans="15:27" x14ac:dyDescent="0.2">
      <c r="O599" s="33">
        <v>1</v>
      </c>
      <c r="P599" s="27" t="str">
        <f>_xll.qlPeriodEquivalent(P598&amp;"+"&amp;O599&amp;"M")</f>
        <v>49Y8M</v>
      </c>
      <c r="Q599" s="28">
        <f>_xll.qlCalendarAdvance(Calendar,SettlementDate,P599,"f",,Trigger)</f>
        <v>60420</v>
      </c>
      <c r="R599" s="28">
        <f>_xll.qlInterestRateIndexValueDate(Index,Q599,Trigger)</f>
        <v>60422</v>
      </c>
      <c r="S599" s="28">
        <f>_xll.qlInterestRateIndexMaturity(Index,R599,Trigger)</f>
        <v>60454</v>
      </c>
      <c r="T599" s="30">
        <f>_xll.qlIndexFixing($M$6,Q599,,InterestRatesTrigger)</f>
        <v>1.1873653105586857E-2</v>
      </c>
      <c r="U599" s="30">
        <f>_xll.qlIndexFixing(Index,Q599,,InterestRatesTrigger)</f>
        <v>1.1535392808761646E-2</v>
      </c>
      <c r="V599" s="30">
        <f t="shared" si="30"/>
        <v>-3.3826029682521019E-4</v>
      </c>
      <c r="W599" s="29">
        <f>_xll.qlDayCounterYearFraction(DayCounter,SettlementDate,R599,,,Trigger)</f>
        <v>50.397222222222226</v>
      </c>
      <c r="X599" s="29">
        <f>_xll.qlDayCounterYearFraction(DayCounter,R599,S599)</f>
        <v>8.8888888888888892E-2</v>
      </c>
      <c r="Y599" s="29">
        <f>_xll.qlYieldTSDiscount(Currency&amp;"ON",R599)/(1+U599*X599)</f>
        <v>0.50145104689399189</v>
      </c>
      <c r="Z599" s="30" t="e">
        <f>_xll.qlTenorBasisValue(TenorBasis6M,R599,InterestRatesTrigger)</f>
        <v>#VALUE!</v>
      </c>
      <c r="AA599" s="30" t="e">
        <f t="shared" si="31"/>
        <v>#VALUE!</v>
      </c>
    </row>
    <row r="600" spans="15:27" x14ac:dyDescent="0.2">
      <c r="O600" s="33">
        <v>1</v>
      </c>
      <c r="P600" s="27" t="str">
        <f>_xll.qlPeriodEquivalent(P599&amp;"+"&amp;O600&amp;"M")</f>
        <v>49Y9M</v>
      </c>
      <c r="Q600" s="28">
        <f>_xll.qlCalendarAdvance(Calendar,SettlementDate,P600,"f",,Trigger)</f>
        <v>60450</v>
      </c>
      <c r="R600" s="28">
        <f>_xll.qlInterestRateIndexValueDate(Index,Q600,Trigger)</f>
        <v>60454</v>
      </c>
      <c r="S600" s="28">
        <f>_xll.qlInterestRateIndexMaturity(Index,R600,Trigger)</f>
        <v>60485</v>
      </c>
      <c r="T600" s="30">
        <f>_xll.qlIndexFixing($M$6,Q600,,InterestRatesTrigger)</f>
        <v>1.1921375361328012E-2</v>
      </c>
      <c r="U600" s="30">
        <f>_xll.qlIndexFixing(Index,Q600,,InterestRatesTrigger)</f>
        <v>1.1576404470048087E-2</v>
      </c>
      <c r="V600" s="30">
        <f t="shared" si="30"/>
        <v>-3.4497089127992486E-4</v>
      </c>
      <c r="W600" s="29">
        <f>_xll.qlDayCounterYearFraction(DayCounter,SettlementDate,R600,,,Trigger)</f>
        <v>50.486111111111114</v>
      </c>
      <c r="X600" s="29">
        <f>_xll.qlDayCounterYearFraction(DayCounter,R600,S600)</f>
        <v>8.611111111111111E-2</v>
      </c>
      <c r="Y600" s="29">
        <f>_xll.qlYieldTSDiscount(Currency&amp;"ON",R600)/(1+U600*X600)</f>
        <v>0.50093662316482224</v>
      </c>
      <c r="Z600" s="30" t="e">
        <f>_xll.qlTenorBasisValue(TenorBasis6M,R600,InterestRatesTrigger)</f>
        <v>#VALUE!</v>
      </c>
      <c r="AA600" s="30" t="e">
        <f t="shared" si="31"/>
        <v>#VALUE!</v>
      </c>
    </row>
    <row r="601" spans="15:27" x14ac:dyDescent="0.2">
      <c r="O601" s="33">
        <v>1</v>
      </c>
      <c r="P601" s="27" t="str">
        <f>_xll.qlPeriodEquivalent(P600&amp;"+"&amp;O601&amp;"M")</f>
        <v>49Y10M</v>
      </c>
      <c r="Q601" s="28">
        <f>_xll.qlCalendarAdvance(Calendar,SettlementDate,P601,"f",,Trigger)</f>
        <v>60482</v>
      </c>
      <c r="R601" s="28">
        <f>_xll.qlInterestRateIndexValueDate(Index,Q601,Trigger)</f>
        <v>60484</v>
      </c>
      <c r="S601" s="28">
        <f>_xll.qlInterestRateIndexMaturity(Index,R601,Trigger)</f>
        <v>60517</v>
      </c>
      <c r="T601" s="30">
        <f>_xll.qlIndexFixing($M$6,Q601,,InterestRatesTrigger)</f>
        <v>1.1970285130195149E-2</v>
      </c>
      <c r="U601" s="30">
        <f>_xll.qlIndexFixing(Index,Q601,,InterestRatesTrigger)</f>
        <v>1.1618578100351133E-2</v>
      </c>
      <c r="V601" s="30">
        <f t="shared" si="30"/>
        <v>-3.5170702984401586E-4</v>
      </c>
      <c r="W601" s="29">
        <f>_xll.qlDayCounterYearFraction(DayCounter,SettlementDate,R601,,,Trigger)</f>
        <v>50.569444444444443</v>
      </c>
      <c r="X601" s="29">
        <f>_xll.qlDayCounterYearFraction(DayCounter,R601,S601)</f>
        <v>9.166666666666666E-2</v>
      </c>
      <c r="Y601" s="29">
        <f>_xll.qlYieldTSDiscount(Currency&amp;"ON",R601)/(1+U601*X601)</f>
        <v>0.50040541980995301</v>
      </c>
      <c r="Z601" s="30" t="e">
        <f>_xll.qlTenorBasisValue(TenorBasis6M,R601,InterestRatesTrigger)</f>
        <v>#VALUE!</v>
      </c>
      <c r="AA601" s="30" t="e">
        <f t="shared" si="31"/>
        <v>#VALUE!</v>
      </c>
    </row>
    <row r="602" spans="15:27" x14ac:dyDescent="0.2">
      <c r="O602" s="33">
        <v>1</v>
      </c>
      <c r="P602" s="27" t="str">
        <f>_xll.qlPeriodEquivalent(P601&amp;"+"&amp;O602&amp;"M")</f>
        <v>49Y11M</v>
      </c>
      <c r="Q602" s="28">
        <f>_xll.qlCalendarAdvance(Calendar,SettlementDate,P602,"f",,Trigger)</f>
        <v>60512</v>
      </c>
      <c r="R602" s="28">
        <f>_xll.qlInterestRateIndexValueDate(Index,Q602,Trigger)</f>
        <v>60514</v>
      </c>
      <c r="S602" s="28">
        <f>_xll.qlInterestRateIndexMaturity(Index,R602,Trigger)</f>
        <v>60545</v>
      </c>
      <c r="T602" s="30">
        <f>_xll.qlIndexFixing($M$6,Q602,,InterestRatesTrigger)</f>
        <v>1.2016332966972415E-2</v>
      </c>
      <c r="U602" s="30">
        <f>_xll.qlIndexFixing(Index,Q602,,InterestRatesTrigger)</f>
        <v>1.1658345518781454E-2</v>
      </c>
      <c r="V602" s="30">
        <f t="shared" si="30"/>
        <v>-3.5798744819096062E-4</v>
      </c>
      <c r="W602" s="29">
        <f>_xll.qlDayCounterYearFraction(DayCounter,SettlementDate,R602,,,Trigger)</f>
        <v>50.652777777777779</v>
      </c>
      <c r="X602" s="29">
        <f>_xll.qlDayCounterYearFraction(DayCounter,R602,S602)</f>
        <v>8.611111111111111E-2</v>
      </c>
      <c r="Y602" s="29">
        <f>_xll.qlYieldTSDiscount(Currency&amp;"ON",R602)/(1+U602*X602)</f>
        <v>0.49993740047836221</v>
      </c>
      <c r="Z602" s="30" t="e">
        <f>_xll.qlTenorBasisValue(TenorBasis6M,R602,InterestRatesTrigger)</f>
        <v>#VALUE!</v>
      </c>
      <c r="AA602" s="30" t="e">
        <f t="shared" si="31"/>
        <v>#VALUE!</v>
      </c>
    </row>
    <row r="603" spans="15:27" x14ac:dyDescent="0.2">
      <c r="O603" s="33">
        <v>1</v>
      </c>
      <c r="P603" s="27" t="str">
        <f>_xll.qlPeriodEquivalent(P602&amp;"+"&amp;O603&amp;"M")</f>
        <v>50Y</v>
      </c>
      <c r="Q603" s="28">
        <f>_xll.qlCalendarAdvance(Calendar,SettlementDate,P603,"f",,Trigger)</f>
        <v>60542</v>
      </c>
      <c r="R603" s="28">
        <f>_xll.qlInterestRateIndexValueDate(Index,Q603,Trigger)</f>
        <v>60546</v>
      </c>
      <c r="S603" s="28">
        <f>_xll.qlInterestRateIndexMaturity(Index,R603,Trigger)</f>
        <v>60577</v>
      </c>
      <c r="T603" s="30">
        <f>_xll.qlIndexFixing($M$6,Q603,,InterestRatesTrigger)</f>
        <v>1.2050791387907114E-2</v>
      </c>
      <c r="U603" s="30">
        <f>_xll.qlIndexFixing(Index,Q603,,InterestRatesTrigger)</f>
        <v>1.1694150857444472E-2</v>
      </c>
      <c r="V603" s="30">
        <f t="shared" si="30"/>
        <v>-3.5664053046264264E-4</v>
      </c>
      <c r="W603" s="29">
        <f>_xll.qlDayCounterYearFraction(DayCounter,SettlementDate,R603,,,Trigger)</f>
        <v>50.741666666666667</v>
      </c>
      <c r="X603" s="29">
        <f>_xll.qlDayCounterYearFraction(DayCounter,R603,S603)</f>
        <v>8.611111111111111E-2</v>
      </c>
      <c r="Y603" s="29">
        <f>_xll.qlYieldTSDiscount(Currency&amp;"ON",R603)/(1+U603*X603)</f>
        <v>0.49940239882394072</v>
      </c>
      <c r="Z603" s="30" t="e">
        <f>_xll.qlTenorBasisValue(TenorBasis6M,R603,InterestRatesTrigger)</f>
        <v>#VALUE!</v>
      </c>
      <c r="AA603" s="30" t="e">
        <f t="shared" si="31"/>
        <v>#VALUE!</v>
      </c>
    </row>
    <row r="604" spans="15:27" x14ac:dyDescent="0.2">
      <c r="O604" s="33">
        <v>1</v>
      </c>
      <c r="P604" s="27" t="str">
        <f>_xll.qlPeriodEquivalent(P603&amp;"+"&amp;O604&amp;"M")</f>
        <v>50Y1M</v>
      </c>
      <c r="Q604" s="28">
        <f>_xll.qlCalendarAdvance(Calendar,SettlementDate,P604,"f",,Trigger)</f>
        <v>60573</v>
      </c>
      <c r="R604" s="28">
        <f>_xll.qlInterestRateIndexValueDate(Index,Q604,Trigger)</f>
        <v>60575</v>
      </c>
      <c r="S604" s="28">
        <f>_xll.qlInterestRateIndexMaturity(Index,R604,Trigger)</f>
        <v>60605</v>
      </c>
      <c r="T604" s="30">
        <f>_xll.qlIndexFixing($M$6,Q604,,InterestRatesTrigger)</f>
        <v>1.2070894348840788E-2</v>
      </c>
      <c r="U604" s="30">
        <f>_xll.qlIndexFixing(Index,Q604,,InterestRatesTrigger)</f>
        <v>1.1720351958667052E-2</v>
      </c>
      <c r="V604" s="30">
        <f t="shared" si="30"/>
        <v>-3.505423901737359E-4</v>
      </c>
      <c r="W604" s="29">
        <f>_xll.qlDayCounterYearFraction(DayCounter,SettlementDate,R604,,,Trigger)</f>
        <v>50.822222222222223</v>
      </c>
      <c r="X604" s="29">
        <f>_xll.qlDayCounterYearFraction(DayCounter,R604,S604)</f>
        <v>8.3333333333333329E-2</v>
      </c>
      <c r="Y604" s="29">
        <f>_xll.qlYieldTSDiscount(Currency&amp;"ON",R604)/(1+U604*X604)</f>
        <v>0.49893321748464753</v>
      </c>
      <c r="Z604" s="30" t="e">
        <f>_xll.qlTenorBasisValue(TenorBasis6M,R604,InterestRatesTrigger)</f>
        <v>#VALUE!</v>
      </c>
      <c r="AA604" s="30" t="e">
        <f t="shared" si="31"/>
        <v>#VALUE!</v>
      </c>
    </row>
    <row r="605" spans="15:27" x14ac:dyDescent="0.2">
      <c r="O605" s="33">
        <v>1</v>
      </c>
      <c r="P605" s="27" t="str">
        <f>_xll.qlPeriodEquivalent(P604&amp;"+"&amp;O605&amp;"M")</f>
        <v>50Y2M</v>
      </c>
      <c r="Q605" s="28">
        <f>_xll.qlCalendarAdvance(Calendar,SettlementDate,P605,"f",,Trigger)</f>
        <v>60603</v>
      </c>
      <c r="R605" s="28">
        <f>_xll.qlInterestRateIndexValueDate(Index,Q605,Trigger)</f>
        <v>60605</v>
      </c>
      <c r="S605" s="28">
        <f>_xll.qlInterestRateIndexMaturity(Index,R605,Trigger)</f>
        <v>60636</v>
      </c>
      <c r="T605" s="30">
        <f>_xll.qlIndexFixing($M$6,Q605,,InterestRatesTrigger)</f>
        <v>1.2092735803582041E-2</v>
      </c>
      <c r="U605" s="30">
        <f>_xll.qlIndexFixing(Index,Q605,,InterestRatesTrigger)</f>
        <v>1.1748668265044403E-2</v>
      </c>
      <c r="V605" s="30">
        <f t="shared" si="30"/>
        <v>-3.4406753853763808E-4</v>
      </c>
      <c r="W605" s="29">
        <f>_xll.qlDayCounterYearFraction(DayCounter,SettlementDate,R605,,,Trigger)</f>
        <v>50.905555555555559</v>
      </c>
      <c r="X605" s="29">
        <f>_xll.qlDayCounterYearFraction(DayCounter,R605,S605)</f>
        <v>8.611111111111111E-2</v>
      </c>
      <c r="Y605" s="29">
        <f>_xll.qlYieldTSDiscount(Currency&amp;"ON",R605)/(1+U605*X605)</f>
        <v>0.4984144160422122</v>
      </c>
      <c r="Z605" s="30" t="e">
        <f>_xll.qlTenorBasisValue(TenorBasis6M,R605,InterestRatesTrigger)</f>
        <v>#VALUE!</v>
      </c>
      <c r="AA605" s="30" t="e">
        <f t="shared" si="31"/>
        <v>#VALUE!</v>
      </c>
    </row>
    <row r="606" spans="15:27" x14ac:dyDescent="0.2">
      <c r="O606" s="33">
        <v>1</v>
      </c>
      <c r="P606" s="27" t="str">
        <f>_xll.qlPeriodEquivalent(P605&amp;"+"&amp;O606&amp;"M")</f>
        <v>50Y3M</v>
      </c>
      <c r="Q606" s="28">
        <f>_xll.qlCalendarAdvance(Calendar,SettlementDate,P606,"f",,Trigger)</f>
        <v>60636</v>
      </c>
      <c r="R606" s="28">
        <f>_xll.qlInterestRateIndexValueDate(Index,Q606,Trigger)</f>
        <v>60638</v>
      </c>
      <c r="S606" s="28">
        <f>_xll.qlInterestRateIndexMaturity(Index,R606,Trigger)</f>
        <v>60671</v>
      </c>
      <c r="T606" s="30">
        <f>_xll.qlIndexFixing($M$6,Q606,,InterestRatesTrigger)</f>
        <v>1.2117153418560053E-2</v>
      </c>
      <c r="U606" s="30">
        <f>_xll.qlIndexFixing(Index,Q606,,InterestRatesTrigger)</f>
        <v>1.1780260646090794E-2</v>
      </c>
      <c r="V606" s="30">
        <f t="shared" si="30"/>
        <v>-3.3689277246925879E-4</v>
      </c>
      <c r="W606" s="29">
        <f>_xll.qlDayCounterYearFraction(DayCounter,SettlementDate,R606,,,Trigger)</f>
        <v>50.99722222222222</v>
      </c>
      <c r="X606" s="29">
        <f>_xll.qlDayCounterYearFraction(DayCounter,R606,S606)</f>
        <v>9.166666666666666E-2</v>
      </c>
      <c r="Y606" s="29">
        <f>_xll.qlYieldTSDiscount(Currency&amp;"ON",R606)/(1+U606*X606)</f>
        <v>0.49782858341445957</v>
      </c>
      <c r="Z606" s="30" t="e">
        <f>_xll.qlTenorBasisValue(TenorBasis6M,R606,InterestRatesTrigger)</f>
        <v>#VALUE!</v>
      </c>
      <c r="AA606" s="30" t="e">
        <f t="shared" si="31"/>
        <v>#VALUE!</v>
      </c>
    </row>
    <row r="607" spans="15:27" x14ac:dyDescent="0.2">
      <c r="O607" s="33">
        <v>1</v>
      </c>
      <c r="P607" s="27" t="str">
        <f>_xll.qlPeriodEquivalent(P606&amp;"+"&amp;O607&amp;"M")</f>
        <v>50Y4M</v>
      </c>
      <c r="Q607" s="28">
        <f>_xll.qlCalendarAdvance(Calendar,SettlementDate,P607,"f",,Trigger)</f>
        <v>60665</v>
      </c>
      <c r="R607" s="28">
        <f>_xll.qlInterestRateIndexValueDate(Index,Q607,Trigger)</f>
        <v>60667</v>
      </c>
      <c r="S607" s="28">
        <f>_xll.qlInterestRateIndexMaturity(Index,R607,Trigger)</f>
        <v>60695</v>
      </c>
      <c r="T607" s="30">
        <f>_xll.qlIndexFixing($M$6,Q607,,InterestRatesTrigger)</f>
        <v>1.2134764451379811E-2</v>
      </c>
      <c r="U607" s="30">
        <f>_xll.qlIndexFixing(Index,Q607,,InterestRatesTrigger)</f>
        <v>1.1803512163865675E-2</v>
      </c>
      <c r="V607" s="30">
        <f t="shared" si="30"/>
        <v>-3.3125228751413639E-4</v>
      </c>
      <c r="W607" s="29">
        <f>_xll.qlDayCounterYearFraction(DayCounter,SettlementDate,R607,,,Trigger)</f>
        <v>51.077777777777776</v>
      </c>
      <c r="X607" s="29">
        <f>_xll.qlDayCounterYearFraction(DayCounter,R607,S607)</f>
        <v>7.7777777777777779E-2</v>
      </c>
      <c r="Y607" s="29">
        <f>_xll.qlYieldTSDiscount(Currency&amp;"ON",R607)/(1+U607*X607)</f>
        <v>0.4974236132181431</v>
      </c>
      <c r="Z607" s="30" t="e">
        <f>_xll.qlTenorBasisValue(TenorBasis6M,R607,InterestRatesTrigger)</f>
        <v>#VALUE!</v>
      </c>
      <c r="AA607" s="30" t="e">
        <f t="shared" si="31"/>
        <v>#VALUE!</v>
      </c>
    </row>
    <row r="608" spans="15:27" x14ac:dyDescent="0.2">
      <c r="O608" s="33">
        <v>1</v>
      </c>
      <c r="P608" s="27" t="str">
        <f>_xll.qlPeriodEquivalent(P607&amp;"+"&amp;O608&amp;"M")</f>
        <v>50Y5M</v>
      </c>
      <c r="Q608" s="28">
        <f>_xll.qlCalendarAdvance(Calendar,SettlementDate,P608,"f",,Trigger)</f>
        <v>60693</v>
      </c>
      <c r="R608" s="28">
        <f>_xll.qlInterestRateIndexValueDate(Index,Q608,Trigger)</f>
        <v>60695</v>
      </c>
      <c r="S608" s="28">
        <f>_xll.qlInterestRateIndexMaturity(Index,R608,Trigger)</f>
        <v>60727</v>
      </c>
      <c r="T608" s="30">
        <f>_xll.qlIndexFixing($M$6,Q608,,InterestRatesTrigger)</f>
        <v>1.2156583962429912E-2</v>
      </c>
      <c r="U608" s="30">
        <f>_xll.qlIndexFixing(Index,Q608,,InterestRatesTrigger)</f>
        <v>1.1831583043825089E-2</v>
      </c>
      <c r="V608" s="30">
        <f t="shared" si="30"/>
        <v>-3.2500091860482305E-4</v>
      </c>
      <c r="W608" s="29">
        <f>_xll.qlDayCounterYearFraction(DayCounter,SettlementDate,R608,,,Trigger)</f>
        <v>51.155555555555559</v>
      </c>
      <c r="X608" s="29">
        <f>_xll.qlDayCounterYearFraction(DayCounter,R608,S608)</f>
        <v>8.8888888888888892E-2</v>
      </c>
      <c r="Y608" s="29">
        <f>_xll.qlYieldTSDiscount(Currency&amp;"ON",R608)/(1+U608*X608)</f>
        <v>0.49688823414440753</v>
      </c>
      <c r="Z608" s="30" t="e">
        <f>_xll.qlTenorBasisValue(TenorBasis6M,R608,InterestRatesTrigger)</f>
        <v>#VALUE!</v>
      </c>
      <c r="AA608" s="30" t="e">
        <f t="shared" si="31"/>
        <v>#VALUE!</v>
      </c>
    </row>
    <row r="609" spans="15:27" x14ac:dyDescent="0.2">
      <c r="O609" s="33">
        <v>1</v>
      </c>
      <c r="P609" s="27" t="str">
        <f>_xll.qlPeriodEquivalent(P608&amp;"+"&amp;O609&amp;"M")</f>
        <v>50Y6M</v>
      </c>
      <c r="Q609" s="28">
        <f>_xll.qlCalendarAdvance(Calendar,SettlementDate,P609,"f",,Trigger)</f>
        <v>60724</v>
      </c>
      <c r="R609" s="28">
        <f>_xll.qlInterestRateIndexValueDate(Index,Q609,Trigger)</f>
        <v>60728</v>
      </c>
      <c r="S609" s="28">
        <f>_xll.qlInterestRateIndexMaturity(Index,R609,Trigger)</f>
        <v>60758</v>
      </c>
      <c r="T609" s="30">
        <f>_xll.qlIndexFixing($M$6,Q609,,InterestRatesTrigger)</f>
        <v>1.2178469324592101E-2</v>
      </c>
      <c r="U609" s="30">
        <f>_xll.qlIndexFixing(Index,Q609,,InterestRatesTrigger)</f>
        <v>1.1860173439908195E-2</v>
      </c>
      <c r="V609" s="30">
        <f t="shared" si="30"/>
        <v>-3.1829588468390568E-4</v>
      </c>
      <c r="W609" s="29">
        <f>_xll.qlDayCounterYearFraction(DayCounter,SettlementDate,R609,,,Trigger)</f>
        <v>51.24722222222222</v>
      </c>
      <c r="X609" s="29">
        <f>_xll.qlDayCounterYearFraction(DayCounter,R609,S609)</f>
        <v>8.3333333333333329E-2</v>
      </c>
      <c r="Y609" s="29">
        <f>_xll.qlYieldTSDiscount(Currency&amp;"ON",R609)/(1+U609*X609)</f>
        <v>0.49636652717605328</v>
      </c>
      <c r="Z609" s="30" t="e">
        <f>_xll.qlTenorBasisValue(TenorBasis6M,R609,InterestRatesTrigger)</f>
        <v>#VALUE!</v>
      </c>
      <c r="AA609" s="30" t="e">
        <f t="shared" si="31"/>
        <v>#VALUE!</v>
      </c>
    </row>
    <row r="610" spans="15:27" x14ac:dyDescent="0.2">
      <c r="O610" s="33">
        <v>1</v>
      </c>
      <c r="P610" s="27" t="str">
        <f>_xll.qlPeriodEquivalent(P609&amp;"+"&amp;O610&amp;"M")</f>
        <v>50Y7M</v>
      </c>
      <c r="Q610" s="28">
        <f>_xll.qlCalendarAdvance(Calendar,SettlementDate,P610,"f",,Trigger)</f>
        <v>60755</v>
      </c>
      <c r="R610" s="28">
        <f>_xll.qlInterestRateIndexValueDate(Index,Q610,Trigger)</f>
        <v>60757</v>
      </c>
      <c r="S610" s="28">
        <f>_xll.qlInterestRateIndexMaturity(Index,R610,Trigger)</f>
        <v>60790</v>
      </c>
      <c r="T610" s="30">
        <f>_xll.qlIndexFixing($M$6,Q610,,InterestRatesTrigger)</f>
        <v>1.2200234815221802E-2</v>
      </c>
      <c r="U610" s="30">
        <f>_xll.qlIndexFixing(Index,Q610,,InterestRatesTrigger)</f>
        <v>1.1888246282608348E-2</v>
      </c>
      <c r="V610" s="30">
        <f t="shared" si="30"/>
        <v>-3.1198853261345423E-4</v>
      </c>
      <c r="W610" s="29">
        <f>_xll.qlDayCounterYearFraction(DayCounter,SettlementDate,R610,,,Trigger)</f>
        <v>51.327777777777776</v>
      </c>
      <c r="X610" s="29">
        <f>_xll.qlDayCounterYearFraction(DayCounter,R610,S610)</f>
        <v>9.166666666666666E-2</v>
      </c>
      <c r="Y610" s="29">
        <f>_xll.qlYieldTSDiscount(Currency&amp;"ON",R610)/(1+U610*X610)</f>
        <v>0.49582983789485596</v>
      </c>
      <c r="Z610" s="30" t="e">
        <f>_xll.qlTenorBasisValue(TenorBasis6M,R610,InterestRatesTrigger)</f>
        <v>#VALUE!</v>
      </c>
      <c r="AA610" s="30" t="e">
        <f t="shared" si="31"/>
        <v>#VALUE!</v>
      </c>
    </row>
    <row r="611" spans="15:27" x14ac:dyDescent="0.2">
      <c r="O611" s="33">
        <v>1</v>
      </c>
      <c r="P611" s="27" t="str">
        <f>_xll.qlPeriodEquivalent(P610&amp;"+"&amp;O611&amp;"M")</f>
        <v>50Y8M</v>
      </c>
      <c r="Q611" s="28">
        <f>_xll.qlCalendarAdvance(Calendar,SettlementDate,P611,"f",,Trigger)</f>
        <v>60785</v>
      </c>
      <c r="R611" s="28">
        <f>_xll.qlInterestRateIndexValueDate(Index,Q611,Trigger)</f>
        <v>60787</v>
      </c>
      <c r="S611" s="28">
        <f>_xll.qlInterestRateIndexMaturity(Index,R611,Trigger)</f>
        <v>60818</v>
      </c>
      <c r="T611" s="30">
        <f>_xll.qlIndexFixing($M$6,Q611,,InterestRatesTrigger)</f>
        <v>1.221983398039612E-2</v>
      </c>
      <c r="U611" s="30">
        <f>_xll.qlIndexFixing(Index,Q611,,InterestRatesTrigger)</f>
        <v>1.1913865304983463E-2</v>
      </c>
      <c r="V611" s="30">
        <f t="shared" si="30"/>
        <v>-3.0596867541265657E-4</v>
      </c>
      <c r="W611" s="29">
        <f>_xll.qlDayCounterYearFraction(DayCounter,SettlementDate,R611,,,Trigger)</f>
        <v>51.411111111111111</v>
      </c>
      <c r="X611" s="29">
        <f>_xll.qlDayCounterYearFraction(DayCounter,R611,S611)</f>
        <v>8.611111111111111E-2</v>
      </c>
      <c r="Y611" s="29">
        <f>_xll.qlYieldTSDiscount(Currency&amp;"ON",R611)/(1+U611*X611)</f>
        <v>0.49535790392205897</v>
      </c>
      <c r="Z611" s="30" t="e">
        <f>_xll.qlTenorBasisValue(TenorBasis6M,R611,InterestRatesTrigger)</f>
        <v>#VALUE!</v>
      </c>
      <c r="AA611" s="30" t="e">
        <f t="shared" si="31"/>
        <v>#VALUE!</v>
      </c>
    </row>
    <row r="612" spans="15:27" x14ac:dyDescent="0.2">
      <c r="O612" s="33">
        <v>1</v>
      </c>
      <c r="P612" s="27" t="str">
        <f>_xll.qlPeriodEquivalent(P611&amp;"+"&amp;O612&amp;"M")</f>
        <v>50Y9M</v>
      </c>
      <c r="Q612" s="28">
        <f>_xll.qlCalendarAdvance(Calendar,SettlementDate,P612,"f",,Trigger)</f>
        <v>60815</v>
      </c>
      <c r="R612" s="28">
        <f>_xll.qlInterestRateIndexValueDate(Index,Q612,Trigger)</f>
        <v>60819</v>
      </c>
      <c r="S612" s="28">
        <f>_xll.qlInterestRateIndexMaturity(Index,R612,Trigger)</f>
        <v>60850</v>
      </c>
      <c r="T612" s="30">
        <f>_xll.qlIndexFixing($M$6,Q612,,InterestRatesTrigger)</f>
        <v>1.2241806710604342E-2</v>
      </c>
      <c r="U612" s="30">
        <f>_xll.qlIndexFixing(Index,Q612,,InterestRatesTrigger)</f>
        <v>1.1942424675067783E-2</v>
      </c>
      <c r="V612" s="30">
        <f t="shared" ref="V612:V675" si="32">U612-T612</f>
        <v>-2.9938203553655889E-4</v>
      </c>
      <c r="W612" s="29">
        <f>_xll.qlDayCounterYearFraction(DayCounter,SettlementDate,R612,,,Trigger)</f>
        <v>51.5</v>
      </c>
      <c r="X612" s="29">
        <f>_xll.qlDayCounterYearFraction(DayCounter,R612,S612)</f>
        <v>8.611111111111111E-2</v>
      </c>
      <c r="Y612" s="29">
        <f>_xll.qlYieldTSDiscount(Currency&amp;"ON",R612)/(1+U612*X612)</f>
        <v>0.49481918640991629</v>
      </c>
      <c r="Z612" s="30" t="e">
        <f>_xll.qlTenorBasisValue(TenorBasis6M,R612,InterestRatesTrigger)</f>
        <v>#VALUE!</v>
      </c>
      <c r="AA612" s="30" t="e">
        <f t="shared" ref="AA612:AA675" si="33">V612-Z612</f>
        <v>#VALUE!</v>
      </c>
    </row>
    <row r="613" spans="15:27" x14ac:dyDescent="0.2">
      <c r="O613" s="33">
        <v>1</v>
      </c>
      <c r="P613" s="27" t="str">
        <f>_xll.qlPeriodEquivalent(P612&amp;"+"&amp;O613&amp;"M")</f>
        <v>50Y10M</v>
      </c>
      <c r="Q613" s="28">
        <f>_xll.qlCalendarAdvance(Calendar,SettlementDate,P613,"f",,Trigger)</f>
        <v>60846</v>
      </c>
      <c r="R613" s="28">
        <f>_xll.qlInterestRateIndexValueDate(Index,Q613,Trigger)</f>
        <v>60848</v>
      </c>
      <c r="S613" s="28">
        <f>_xll.qlInterestRateIndexMaturity(Index,R613,Trigger)</f>
        <v>60881</v>
      </c>
      <c r="T613" s="30">
        <f>_xll.qlIndexFixing($M$6,Q613,,InterestRatesTrigger)</f>
        <v>1.2262717372803036E-2</v>
      </c>
      <c r="U613" s="30">
        <f>_xll.qlIndexFixing(Index,Q613,,InterestRatesTrigger)</f>
        <v>1.1969458744285143E-2</v>
      </c>
      <c r="V613" s="30">
        <f t="shared" si="32"/>
        <v>-2.9325862851789335E-4</v>
      </c>
      <c r="W613" s="29">
        <f>_xll.qlDayCounterYearFraction(DayCounter,SettlementDate,R613,,,Trigger)</f>
        <v>51.580555555555556</v>
      </c>
      <c r="X613" s="29">
        <f>_xll.qlDayCounterYearFraction(DayCounter,R613,S613)</f>
        <v>9.166666666666666E-2</v>
      </c>
      <c r="Y613" s="29">
        <f>_xll.qlYieldTSDiscount(Currency&amp;"ON",R613)/(1+U613*X613)</f>
        <v>0.49429776212348864</v>
      </c>
      <c r="Z613" s="30" t="e">
        <f>_xll.qlTenorBasisValue(TenorBasis6M,R613,InterestRatesTrigger)</f>
        <v>#VALUE!</v>
      </c>
      <c r="AA613" s="30" t="e">
        <f t="shared" si="33"/>
        <v>#VALUE!</v>
      </c>
    </row>
    <row r="614" spans="15:27" x14ac:dyDescent="0.2">
      <c r="O614" s="33">
        <v>1</v>
      </c>
      <c r="P614" s="27" t="str">
        <f>_xll.qlPeriodEquivalent(P613&amp;"+"&amp;O614&amp;"M")</f>
        <v>50Y11M</v>
      </c>
      <c r="Q614" s="28">
        <f>_xll.qlCalendarAdvance(Calendar,SettlementDate,P614,"f",,Trigger)</f>
        <v>60877</v>
      </c>
      <c r="R614" s="28">
        <f>_xll.qlInterestRateIndexValueDate(Index,Q614,Trigger)</f>
        <v>60881</v>
      </c>
      <c r="S614" s="28">
        <f>_xll.qlInterestRateIndexMaturity(Index,R614,Trigger)</f>
        <v>60911</v>
      </c>
      <c r="T614" s="30">
        <f>_xll.qlIndexFixing($M$6,Q614,,InterestRatesTrigger)</f>
        <v>1.2283497968779145E-2</v>
      </c>
      <c r="U614" s="30">
        <f>_xll.qlIndexFixing(Index,Q614,,InterestRatesTrigger)</f>
        <v>1.1996686038072468E-2</v>
      </c>
      <c r="V614" s="30">
        <f t="shared" si="32"/>
        <v>-2.8681193070667632E-4</v>
      </c>
      <c r="W614" s="29">
        <f>_xll.qlDayCounterYearFraction(DayCounter,SettlementDate,R614,,,Trigger)</f>
        <v>51.672222222222224</v>
      </c>
      <c r="X614" s="29">
        <f>_xll.qlDayCounterYearFraction(DayCounter,R614,S614)</f>
        <v>8.3333333333333329E-2</v>
      </c>
      <c r="Y614" s="29">
        <f>_xll.qlYieldTSDiscount(Currency&amp;"ON",R614)/(1+U614*X614)</f>
        <v>0.49379083484270236</v>
      </c>
      <c r="Z614" s="30" t="e">
        <f>_xll.qlTenorBasisValue(TenorBasis6M,R614,InterestRatesTrigger)</f>
        <v>#VALUE!</v>
      </c>
      <c r="AA614" s="30" t="e">
        <f t="shared" si="33"/>
        <v>#VALUE!</v>
      </c>
    </row>
    <row r="615" spans="15:27" x14ac:dyDescent="0.2">
      <c r="O615" s="33">
        <v>1</v>
      </c>
      <c r="P615" s="27" t="str">
        <f>_xll.qlPeriodEquivalent(P614&amp;"+"&amp;O615&amp;"M")</f>
        <v>51Y</v>
      </c>
      <c r="Q615" s="28">
        <f>_xll.qlCalendarAdvance(Calendar,SettlementDate,P615,"f",,Trigger)</f>
        <v>60909</v>
      </c>
      <c r="R615" s="28">
        <f>_xll.qlInterestRateIndexValueDate(Index,Q615,Trigger)</f>
        <v>60911</v>
      </c>
      <c r="S615" s="28">
        <f>_xll.qlInterestRateIndexMaturity(Index,R615,Trigger)</f>
        <v>60944</v>
      </c>
      <c r="T615" s="30">
        <f>_xll.qlIndexFixing($M$6,Q615,,InterestRatesTrigger)</f>
        <v>1.2305417616197514E-2</v>
      </c>
      <c r="U615" s="30">
        <f>_xll.qlIndexFixing(Index,Q615,,InterestRatesTrigger)</f>
        <v>1.2024959057081605E-2</v>
      </c>
      <c r="V615" s="30">
        <f t="shared" si="32"/>
        <v>-2.8045855911590888E-4</v>
      </c>
      <c r="W615" s="29">
        <f>_xll.qlDayCounterYearFraction(DayCounter,SettlementDate,R615,,,Trigger)</f>
        <v>51.755555555555553</v>
      </c>
      <c r="X615" s="29">
        <f>_xll.qlDayCounterYearFraction(DayCounter,R615,S615)</f>
        <v>9.166666666666666E-2</v>
      </c>
      <c r="Y615" s="29">
        <f>_xll.qlYieldTSDiscount(Currency&amp;"ON",R615)/(1+U615*X615)</f>
        <v>0.49323535744631436</v>
      </c>
      <c r="Z615" s="30" t="e">
        <f>_xll.qlTenorBasisValue(TenorBasis6M,R615,InterestRatesTrigger)</f>
        <v>#VALUE!</v>
      </c>
      <c r="AA615" s="30" t="e">
        <f t="shared" si="33"/>
        <v>#VALUE!</v>
      </c>
    </row>
    <row r="616" spans="15:27" x14ac:dyDescent="0.2">
      <c r="O616" s="33">
        <v>1</v>
      </c>
      <c r="P616" s="27" t="str">
        <f>_xll.qlPeriodEquivalent(P615&amp;"+"&amp;O616&amp;"M")</f>
        <v>51Y1M</v>
      </c>
      <c r="Q616" s="28">
        <f>_xll.qlCalendarAdvance(Calendar,SettlementDate,P616,"f",,Trigger)</f>
        <v>60938</v>
      </c>
      <c r="R616" s="28">
        <f>_xll.qlInterestRateIndexValueDate(Index,Q616,Trigger)</f>
        <v>60940</v>
      </c>
      <c r="S616" s="28">
        <f>_xll.qlInterestRateIndexMaturity(Index,R616,Trigger)</f>
        <v>60972</v>
      </c>
      <c r="T616" s="30">
        <f>_xll.qlIndexFixing($M$6,Q616,,InterestRatesTrigger)</f>
        <v>1.232436988768848E-2</v>
      </c>
      <c r="U616" s="30">
        <f>_xll.qlIndexFixing(Index,Q616,,InterestRatesTrigger)</f>
        <v>1.2049665120832109E-2</v>
      </c>
      <c r="V616" s="30">
        <f t="shared" si="32"/>
        <v>-2.7470476685637069E-4</v>
      </c>
      <c r="W616" s="29">
        <f>_xll.qlDayCounterYearFraction(DayCounter,SettlementDate,R616,,,Trigger)</f>
        <v>51.836111111111109</v>
      </c>
      <c r="X616" s="29">
        <f>_xll.qlDayCounterYearFraction(DayCounter,R616,S616)</f>
        <v>8.8888888888888892E-2</v>
      </c>
      <c r="Y616" s="29">
        <f>_xll.qlYieldTSDiscount(Currency&amp;"ON",R616)/(1+U616*X616)</f>
        <v>0.49276235958591508</v>
      </c>
      <c r="Z616" s="30" t="e">
        <f>_xll.qlTenorBasisValue(TenorBasis6M,R616,InterestRatesTrigger)</f>
        <v>#VALUE!</v>
      </c>
      <c r="AA616" s="30" t="e">
        <f t="shared" si="33"/>
        <v>#VALUE!</v>
      </c>
    </row>
    <row r="617" spans="15:27" x14ac:dyDescent="0.2">
      <c r="O617" s="33">
        <v>1</v>
      </c>
      <c r="P617" s="27" t="str">
        <f>_xll.qlPeriodEquivalent(P616&amp;"+"&amp;O617&amp;"M")</f>
        <v>51Y2M</v>
      </c>
      <c r="Q617" s="28">
        <f>_xll.qlCalendarAdvance(Calendar,SettlementDate,P617,"f",,Trigger)</f>
        <v>60968</v>
      </c>
      <c r="R617" s="28">
        <f>_xll.qlInterestRateIndexValueDate(Index,Q617,Trigger)</f>
        <v>60972</v>
      </c>
      <c r="S617" s="28">
        <f>_xll.qlInterestRateIndexMaturity(Index,R617,Trigger)</f>
        <v>61003</v>
      </c>
      <c r="T617" s="30">
        <f>_xll.qlIndexFixing($M$6,Q617,,InterestRatesTrigger)</f>
        <v>1.2345224205262585E-2</v>
      </c>
      <c r="U617" s="30">
        <f>_xll.qlIndexFixing(Index,Q617,,InterestRatesTrigger)</f>
        <v>1.2076843471311223E-2</v>
      </c>
      <c r="V617" s="30">
        <f t="shared" si="32"/>
        <v>-2.6838073395136185E-4</v>
      </c>
      <c r="W617" s="29">
        <f>_xll.qlDayCounterYearFraction(DayCounter,SettlementDate,R617,,,Trigger)</f>
        <v>51.924999999999997</v>
      </c>
      <c r="X617" s="29">
        <f>_xll.qlDayCounterYearFraction(DayCounter,R617,S617)</f>
        <v>8.611111111111111E-2</v>
      </c>
      <c r="Y617" s="29">
        <f>_xll.qlYieldTSDiscount(Currency&amp;"ON",R617)/(1+U617*X617)</f>
        <v>0.49223843681815854</v>
      </c>
      <c r="Z617" s="30" t="e">
        <f>_xll.qlTenorBasisValue(TenorBasis6M,R617,InterestRatesTrigger)</f>
        <v>#VALUE!</v>
      </c>
      <c r="AA617" s="30" t="e">
        <f t="shared" si="33"/>
        <v>#VALUE!</v>
      </c>
    </row>
    <row r="618" spans="15:27" x14ac:dyDescent="0.2">
      <c r="O618" s="33">
        <v>1</v>
      </c>
      <c r="P618" s="27" t="str">
        <f>_xll.qlPeriodEquivalent(P617&amp;"+"&amp;O618&amp;"M")</f>
        <v>51Y3M</v>
      </c>
      <c r="Q618" s="28">
        <f>_xll.qlCalendarAdvance(Calendar,SettlementDate,P618,"f",,Trigger)</f>
        <v>61000</v>
      </c>
      <c r="R618" s="28">
        <f>_xll.qlInterestRateIndexValueDate(Index,Q618,Trigger)</f>
        <v>61002</v>
      </c>
      <c r="S618" s="28">
        <f>_xll.qlInterestRateIndexMaturity(Index,R618,Trigger)</f>
        <v>61035</v>
      </c>
      <c r="T618" s="30">
        <f>_xll.qlIndexFixing($M$6,Q618,,InterestRatesTrigger)</f>
        <v>1.2366260600753522E-2</v>
      </c>
      <c r="U618" s="30">
        <f>_xll.qlIndexFixing(Index,Q618,,InterestRatesTrigger)</f>
        <v>1.210404089798041E-2</v>
      </c>
      <c r="V618" s="30">
        <f t="shared" si="32"/>
        <v>-2.6221970277311157E-4</v>
      </c>
      <c r="W618" s="29">
        <f>_xll.qlDayCounterYearFraction(DayCounter,SettlementDate,R618,,,Trigger)</f>
        <v>52.008333333333333</v>
      </c>
      <c r="X618" s="29">
        <f>_xll.qlDayCounterYearFraction(DayCounter,R618,S618)</f>
        <v>9.166666666666666E-2</v>
      </c>
      <c r="Y618" s="29">
        <f>_xll.qlYieldTSDiscount(Currency&amp;"ON",R618)/(1+U618*X618)</f>
        <v>0.49169839994964964</v>
      </c>
      <c r="Z618" s="30" t="e">
        <f>_xll.qlTenorBasisValue(TenorBasis6M,R618,InterestRatesTrigger)</f>
        <v>#VALUE!</v>
      </c>
      <c r="AA618" s="30" t="e">
        <f t="shared" si="33"/>
        <v>#VALUE!</v>
      </c>
    </row>
    <row r="619" spans="15:27" x14ac:dyDescent="0.2">
      <c r="O619" s="33">
        <v>1</v>
      </c>
      <c r="P619" s="27" t="str">
        <f>_xll.qlPeriodEquivalent(P618&amp;"+"&amp;O619&amp;"M")</f>
        <v>51Y4M</v>
      </c>
      <c r="Q619" s="28">
        <f>_xll.qlCalendarAdvance(Calendar,SettlementDate,P619,"f",,Trigger)</f>
        <v>61030</v>
      </c>
      <c r="R619" s="28">
        <f>_xll.qlInterestRateIndexValueDate(Index,Q619,Trigger)</f>
        <v>61032</v>
      </c>
      <c r="S619" s="28">
        <f>_xll.qlInterestRateIndexMaturity(Index,R619,Trigger)</f>
        <v>61060</v>
      </c>
      <c r="T619" s="30">
        <f>_xll.qlIndexFixing($M$6,Q619,,InterestRatesTrigger)</f>
        <v>1.2383384677023823E-2</v>
      </c>
      <c r="U619" s="30">
        <f>_xll.qlIndexFixing(Index,Q619,,InterestRatesTrigger)</f>
        <v>1.212666111969986E-2</v>
      </c>
      <c r="V619" s="30">
        <f t="shared" si="32"/>
        <v>-2.5672355732396339E-4</v>
      </c>
      <c r="W619" s="29">
        <f>_xll.qlDayCounterYearFraction(DayCounter,SettlementDate,R619,,,Trigger)</f>
        <v>52.091666666666669</v>
      </c>
      <c r="X619" s="29">
        <f>_xll.qlDayCounterYearFraction(DayCounter,R619,S619)</f>
        <v>7.7777777777777779E-2</v>
      </c>
      <c r="Y619" s="29">
        <f>_xll.qlYieldTSDiscount(Currency&amp;"ON",R619)/(1+U619*X619)</f>
        <v>0.49127391636320433</v>
      </c>
      <c r="Z619" s="30" t="e">
        <f>_xll.qlTenorBasisValue(TenorBasis6M,R619,InterestRatesTrigger)</f>
        <v>#VALUE!</v>
      </c>
      <c r="AA619" s="30" t="e">
        <f t="shared" si="33"/>
        <v>#VALUE!</v>
      </c>
    </row>
    <row r="620" spans="15:27" x14ac:dyDescent="0.2">
      <c r="O620" s="33">
        <v>1</v>
      </c>
      <c r="P620" s="27" t="str">
        <f>_xll.qlPeriodEquivalent(P619&amp;"+"&amp;O620&amp;"M")</f>
        <v>51Y5M</v>
      </c>
      <c r="Q620" s="28">
        <f>_xll.qlCalendarAdvance(Calendar,SettlementDate,P620,"f",,Trigger)</f>
        <v>61058</v>
      </c>
      <c r="R620" s="28">
        <f>_xll.qlInterestRateIndexValueDate(Index,Q620,Trigger)</f>
        <v>61060</v>
      </c>
      <c r="S620" s="28">
        <f>_xll.qlInterestRateIndexMaturity(Index,R620,Trigger)</f>
        <v>61092</v>
      </c>
      <c r="T620" s="30">
        <f>_xll.qlIndexFixing($M$6,Q620,,InterestRatesTrigger)</f>
        <v>1.2403967059025078E-2</v>
      </c>
      <c r="U620" s="30">
        <f>_xll.qlIndexFixing(Index,Q620,,InterestRatesTrigger)</f>
        <v>1.2153123307294955E-2</v>
      </c>
      <c r="V620" s="30">
        <f t="shared" si="32"/>
        <v>-2.5084375173012319E-4</v>
      </c>
      <c r="W620" s="29">
        <f>_xll.qlDayCounterYearFraction(DayCounter,SettlementDate,R620,,,Trigger)</f>
        <v>52.169444444444444</v>
      </c>
      <c r="X620" s="29">
        <f>_xll.qlDayCounterYearFraction(DayCounter,R620,S620)</f>
        <v>8.8888888888888892E-2</v>
      </c>
      <c r="Y620" s="29">
        <f>_xll.qlYieldTSDiscount(Currency&amp;"ON",R620)/(1+U620*X620)</f>
        <v>0.49073398739776353</v>
      </c>
      <c r="Z620" s="30" t="e">
        <f>_xll.qlTenorBasisValue(TenorBasis6M,R620,InterestRatesTrigger)</f>
        <v>#VALUE!</v>
      </c>
      <c r="AA620" s="30" t="e">
        <f t="shared" si="33"/>
        <v>#VALUE!</v>
      </c>
    </row>
    <row r="621" spans="15:27" x14ac:dyDescent="0.2">
      <c r="O621" s="33">
        <v>1</v>
      </c>
      <c r="P621" s="27" t="str">
        <f>_xll.qlPeriodEquivalent(P620&amp;"+"&amp;O621&amp;"M")</f>
        <v>51Y6M</v>
      </c>
      <c r="Q621" s="28">
        <f>_xll.qlCalendarAdvance(Calendar,SettlementDate,P621,"f",,Trigger)</f>
        <v>61092</v>
      </c>
      <c r="R621" s="28">
        <f>_xll.qlInterestRateIndexValueDate(Index,Q621,Trigger)</f>
        <v>61094</v>
      </c>
      <c r="S621" s="28">
        <f>_xll.qlInterestRateIndexMaturity(Index,R621,Trigger)</f>
        <v>61126</v>
      </c>
      <c r="T621" s="30">
        <f>_xll.qlIndexFixing($M$6,Q621,,InterestRatesTrigger)</f>
        <v>1.2426192038207107E-2</v>
      </c>
      <c r="U621" s="30">
        <f>_xll.qlIndexFixing(Index,Q621,,InterestRatesTrigger)</f>
        <v>1.2182010791951803E-2</v>
      </c>
      <c r="V621" s="30">
        <f t="shared" si="32"/>
        <v>-2.4418124625530391E-4</v>
      </c>
      <c r="W621" s="29">
        <f>_xll.qlDayCounterYearFraction(DayCounter,SettlementDate,R621,,,Trigger)</f>
        <v>52.263888888888886</v>
      </c>
      <c r="X621" s="29">
        <f>_xll.qlDayCounterYearFraction(DayCounter,R621,S621)</f>
        <v>8.8888888888888892E-2</v>
      </c>
      <c r="Y621" s="29">
        <f>_xll.qlYieldTSDiscount(Currency&amp;"ON",R621)/(1+U621*X621)</f>
        <v>0.49015846488965964</v>
      </c>
      <c r="Z621" s="30" t="e">
        <f>_xll.qlTenorBasisValue(TenorBasis6M,R621,InterestRatesTrigger)</f>
        <v>#VALUE!</v>
      </c>
      <c r="AA621" s="30" t="e">
        <f t="shared" si="33"/>
        <v>#VALUE!</v>
      </c>
    </row>
    <row r="622" spans="15:27" x14ac:dyDescent="0.2">
      <c r="O622" s="33">
        <v>1</v>
      </c>
      <c r="P622" s="27" t="str">
        <f>_xll.qlPeriodEquivalent(P621&amp;"+"&amp;O622&amp;"M")</f>
        <v>51Y7M</v>
      </c>
      <c r="Q622" s="28">
        <f>_xll.qlCalendarAdvance(Calendar,SettlementDate,P622,"f",,Trigger)</f>
        <v>61119</v>
      </c>
      <c r="R622" s="28">
        <f>_xll.qlInterestRateIndexValueDate(Index,Q622,Trigger)</f>
        <v>61121</v>
      </c>
      <c r="S622" s="28">
        <f>_xll.qlInterestRateIndexMaturity(Index,R622,Trigger)</f>
        <v>61154</v>
      </c>
      <c r="T622" s="30">
        <f>_xll.qlIndexFixing($M$6,Q622,,InterestRatesTrigger)</f>
        <v>1.2444274224280799E-2</v>
      </c>
      <c r="U622" s="30">
        <f>_xll.qlIndexFixing(Index,Q622,,InterestRatesTrigger)</f>
        <v>1.2205440976021236E-2</v>
      </c>
      <c r="V622" s="30">
        <f t="shared" si="32"/>
        <v>-2.3883324825956301E-4</v>
      </c>
      <c r="W622" s="29">
        <f>_xll.qlDayCounterYearFraction(DayCounter,SettlementDate,R622,,,Trigger)</f>
        <v>52.338888888888889</v>
      </c>
      <c r="X622" s="29">
        <f>_xll.qlDayCounterYearFraction(DayCounter,R622,S622)</f>
        <v>9.166666666666666E-2</v>
      </c>
      <c r="Y622" s="29">
        <f>_xll.qlYieldTSDiscount(Currency&amp;"ON",R622)/(1+U622*X622)</f>
        <v>0.48968457596017256</v>
      </c>
      <c r="Z622" s="30" t="e">
        <f>_xll.qlTenorBasisValue(TenorBasis6M,R622,InterestRatesTrigger)</f>
        <v>#VALUE!</v>
      </c>
      <c r="AA622" s="30" t="e">
        <f t="shared" si="33"/>
        <v>#VALUE!</v>
      </c>
    </row>
    <row r="623" spans="15:27" x14ac:dyDescent="0.2">
      <c r="O623" s="33">
        <v>1</v>
      </c>
      <c r="P623" s="27" t="str">
        <f>_xll.qlPeriodEquivalent(P622&amp;"+"&amp;O623&amp;"M")</f>
        <v>51Y8M</v>
      </c>
      <c r="Q623" s="28">
        <f>_xll.qlCalendarAdvance(Calendar,SettlementDate,P623,"f",,Trigger)</f>
        <v>61150</v>
      </c>
      <c r="R623" s="28">
        <f>_xll.qlInterestRateIndexValueDate(Index,Q623,Trigger)</f>
        <v>61154</v>
      </c>
      <c r="S623" s="28">
        <f>_xll.qlInterestRateIndexMaturity(Index,R623,Trigger)</f>
        <v>61184</v>
      </c>
      <c r="T623" s="30">
        <f>_xll.qlIndexFixing($M$6,Q623,,InterestRatesTrigger)</f>
        <v>1.2463974493591934E-2</v>
      </c>
      <c r="U623" s="30">
        <f>_xll.qlIndexFixing(Index,Q623,,InterestRatesTrigger)</f>
        <v>1.2231264856895407E-2</v>
      </c>
      <c r="V623" s="30">
        <f t="shared" si="32"/>
        <v>-2.3270963669652645E-4</v>
      </c>
      <c r="W623" s="29">
        <f>_xll.qlDayCounterYearFraction(DayCounter,SettlementDate,R623,,,Trigger)</f>
        <v>52.430555555555557</v>
      </c>
      <c r="X623" s="29">
        <f>_xll.qlDayCounterYearFraction(DayCounter,R623,S623)</f>
        <v>8.3333333333333329E-2</v>
      </c>
      <c r="Y623" s="29">
        <f>_xll.qlYieldTSDiscount(Currency&amp;"ON",R623)/(1+U623*X623)</f>
        <v>0.48917526480235218</v>
      </c>
      <c r="Z623" s="30" t="e">
        <f>_xll.qlTenorBasisValue(TenorBasis6M,R623,InterestRatesTrigger)</f>
        <v>#VALUE!</v>
      </c>
      <c r="AA623" s="30" t="e">
        <f t="shared" si="33"/>
        <v>#VALUE!</v>
      </c>
    </row>
    <row r="624" spans="15:27" x14ac:dyDescent="0.2">
      <c r="O624" s="33">
        <v>1</v>
      </c>
      <c r="P624" s="27" t="str">
        <f>_xll.qlPeriodEquivalent(P623&amp;"+"&amp;O624&amp;"M")</f>
        <v>51Y9M</v>
      </c>
      <c r="Q624" s="28">
        <f>_xll.qlCalendarAdvance(Calendar,SettlementDate,P624,"f",,Trigger)</f>
        <v>61182</v>
      </c>
      <c r="R624" s="28">
        <f>_xll.qlInterestRateIndexValueDate(Index,Q624,Trigger)</f>
        <v>61184</v>
      </c>
      <c r="S624" s="28">
        <f>_xll.qlInterestRateIndexMaturity(Index,R624,Trigger)</f>
        <v>61217</v>
      </c>
      <c r="T624" s="30">
        <f>_xll.qlIndexFixing($M$6,Q624,,InterestRatesTrigger)</f>
        <v>1.2484836244990307E-2</v>
      </c>
      <c r="U624" s="30">
        <f>_xll.qlIndexFixing(Index,Q624,,InterestRatesTrigger)</f>
        <v>1.2258162598320608E-2</v>
      </c>
      <c r="V624" s="30">
        <f t="shared" si="32"/>
        <v>-2.2667364666969884E-4</v>
      </c>
      <c r="W624" s="29">
        <f>_xll.qlDayCounterYearFraction(DayCounter,SettlementDate,R624,,,Trigger)</f>
        <v>52.513888888888886</v>
      </c>
      <c r="X624" s="29">
        <f>_xll.qlDayCounterYearFraction(DayCounter,R624,S624)</f>
        <v>9.166666666666666E-2</v>
      </c>
      <c r="Y624" s="29">
        <f>_xll.qlYieldTSDiscount(Currency&amp;"ON",R624)/(1+U624*X624)</f>
        <v>0.48861674683837425</v>
      </c>
      <c r="Z624" s="30" t="e">
        <f>_xll.qlTenorBasisValue(TenorBasis6M,R624,InterestRatesTrigger)</f>
        <v>#VALUE!</v>
      </c>
      <c r="AA624" s="30" t="e">
        <f t="shared" si="33"/>
        <v>#VALUE!</v>
      </c>
    </row>
    <row r="625" spans="15:27" x14ac:dyDescent="0.2">
      <c r="O625" s="33">
        <v>1</v>
      </c>
      <c r="P625" s="27" t="str">
        <f>_xll.qlPeriodEquivalent(P624&amp;"+"&amp;O625&amp;"M")</f>
        <v>51Y10M</v>
      </c>
      <c r="Q625" s="28">
        <f>_xll.qlCalendarAdvance(Calendar,SettlementDate,P625,"f",,Trigger)</f>
        <v>61211</v>
      </c>
      <c r="R625" s="28">
        <f>_xll.qlInterestRateIndexValueDate(Index,Q625,Trigger)</f>
        <v>61213</v>
      </c>
      <c r="S625" s="28">
        <f>_xll.qlInterestRateIndexMaturity(Index,R625,Trigger)</f>
        <v>61245</v>
      </c>
      <c r="T625" s="30">
        <f>_xll.qlIndexFixing($M$6,Q625,,InterestRatesTrigger)</f>
        <v>1.2502796008136974E-2</v>
      </c>
      <c r="U625" s="30">
        <f>_xll.qlIndexFixing(Index,Q625,,InterestRatesTrigger)</f>
        <v>1.2281579012118071E-2</v>
      </c>
      <c r="V625" s="30">
        <f t="shared" si="32"/>
        <v>-2.2121699601890255E-4</v>
      </c>
      <c r="W625" s="29">
        <f>_xll.qlDayCounterYearFraction(DayCounter,SettlementDate,R625,,,Trigger)</f>
        <v>52.594444444444441</v>
      </c>
      <c r="X625" s="29">
        <f>_xll.qlDayCounterYearFraction(DayCounter,R625,S625)</f>
        <v>8.8888888888888892E-2</v>
      </c>
      <c r="Y625" s="29">
        <f>_xll.qlYieldTSDiscount(Currency&amp;"ON",R625)/(1+U625*X625)</f>
        <v>0.48814149958858893</v>
      </c>
      <c r="Z625" s="30" t="e">
        <f>_xll.qlTenorBasisValue(TenorBasis6M,R625,InterestRatesTrigger)</f>
        <v>#VALUE!</v>
      </c>
      <c r="AA625" s="30" t="e">
        <f t="shared" si="33"/>
        <v>#VALUE!</v>
      </c>
    </row>
    <row r="626" spans="15:27" x14ac:dyDescent="0.2">
      <c r="O626" s="33">
        <v>1</v>
      </c>
      <c r="P626" s="27" t="str">
        <f>_xll.qlPeriodEquivalent(P625&amp;"+"&amp;O626&amp;"M")</f>
        <v>51Y11M</v>
      </c>
      <c r="Q626" s="28">
        <f>_xll.qlCalendarAdvance(Calendar,SettlementDate,P626,"f",,Trigger)</f>
        <v>61242</v>
      </c>
      <c r="R626" s="28">
        <f>_xll.qlInterestRateIndexValueDate(Index,Q626,Trigger)</f>
        <v>61246</v>
      </c>
      <c r="S626" s="28">
        <f>_xll.qlInterestRateIndexMaturity(Index,R626,Trigger)</f>
        <v>61276</v>
      </c>
      <c r="T626" s="30">
        <f>_xll.qlIndexFixing($M$6,Q626,,InterestRatesTrigger)</f>
        <v>1.2522638563058131E-2</v>
      </c>
      <c r="U626" s="30">
        <f>_xll.qlIndexFixing(Index,Q626,,InterestRatesTrigger)</f>
        <v>1.2307515382932621E-2</v>
      </c>
      <c r="V626" s="30">
        <f t="shared" si="32"/>
        <v>-2.1512318012550935E-4</v>
      </c>
      <c r="W626" s="29">
        <f>_xll.qlDayCounterYearFraction(DayCounter,SettlementDate,R626,,,Trigger)</f>
        <v>52.68611111111111</v>
      </c>
      <c r="X626" s="29">
        <f>_xll.qlDayCounterYearFraction(DayCounter,R626,S626)</f>
        <v>8.3333333333333329E-2</v>
      </c>
      <c r="Y626" s="29">
        <f>_xll.qlYieldTSDiscount(Currency&amp;"ON",R626)/(1+U626*X626)</f>
        <v>0.48761484366073193</v>
      </c>
      <c r="Z626" s="30" t="e">
        <f>_xll.qlTenorBasisValue(TenorBasis6M,R626,InterestRatesTrigger)</f>
        <v>#VALUE!</v>
      </c>
      <c r="AA626" s="30" t="e">
        <f t="shared" si="33"/>
        <v>#VALUE!</v>
      </c>
    </row>
    <row r="627" spans="15:27" x14ac:dyDescent="0.2">
      <c r="O627" s="33">
        <v>1</v>
      </c>
      <c r="P627" s="27" t="str">
        <f>_xll.qlPeriodEquivalent(P626&amp;"+"&amp;O627&amp;"M")</f>
        <v>52Y</v>
      </c>
      <c r="Q627" s="28">
        <f>_xll.qlCalendarAdvance(Calendar,SettlementDate,P627,"f",,Trigger)</f>
        <v>61273</v>
      </c>
      <c r="R627" s="28">
        <f>_xll.qlInterestRateIndexValueDate(Index,Q627,Trigger)</f>
        <v>61275</v>
      </c>
      <c r="S627" s="28">
        <f>_xll.qlInterestRateIndexMaturity(Index,R627,Trigger)</f>
        <v>61308</v>
      </c>
      <c r="T627" s="30">
        <f>_xll.qlIndexFixing($M$6,Q627,,InterestRatesTrigger)</f>
        <v>1.2542488001583217E-2</v>
      </c>
      <c r="U627" s="30">
        <f>_xll.qlIndexFixing(Index,Q627,,InterestRatesTrigger)</f>
        <v>1.2333097275087307E-2</v>
      </c>
      <c r="V627" s="30">
        <f t="shared" si="32"/>
        <v>-2.0939072649591058E-4</v>
      </c>
      <c r="W627" s="29">
        <f>_xll.qlDayCounterYearFraction(DayCounter,SettlementDate,R627,,,Trigger)</f>
        <v>52.766666666666666</v>
      </c>
      <c r="X627" s="29">
        <f>_xll.qlDayCounterYearFraction(DayCounter,R627,S627)</f>
        <v>9.166666666666666E-2</v>
      </c>
      <c r="Y627" s="29">
        <f>_xll.qlYieldTSDiscount(Currency&amp;"ON",R627)/(1+U627*X627)</f>
        <v>0.48707242469728329</v>
      </c>
      <c r="Z627" s="30" t="e">
        <f>_xll.qlTenorBasisValue(TenorBasis6M,R627,InterestRatesTrigger)</f>
        <v>#VALUE!</v>
      </c>
      <c r="AA627" s="30" t="e">
        <f t="shared" si="33"/>
        <v>#VALUE!</v>
      </c>
    </row>
    <row r="628" spans="15:27" x14ac:dyDescent="0.2">
      <c r="O628" s="33">
        <v>1</v>
      </c>
      <c r="P628" s="27" t="str">
        <f>_xll.qlPeriodEquivalent(P627&amp;"+"&amp;O628&amp;"M")</f>
        <v>52Y1M</v>
      </c>
      <c r="Q628" s="28">
        <f>_xll.qlCalendarAdvance(Calendar,SettlementDate,P628,"f",,Trigger)</f>
        <v>61303</v>
      </c>
      <c r="R628" s="28">
        <f>_xll.qlInterestRateIndexValueDate(Index,Q628,Trigger)</f>
        <v>61305</v>
      </c>
      <c r="S628" s="28">
        <f>_xll.qlInterestRateIndexMaturity(Index,R628,Trigger)</f>
        <v>61336</v>
      </c>
      <c r="T628" s="30">
        <f>_xll.qlIndexFixing($M$6,Q628,,InterestRatesTrigger)</f>
        <v>1.2560184633223575E-2</v>
      </c>
      <c r="U628" s="30">
        <f>_xll.qlIndexFixing(Index,Q628,,InterestRatesTrigger)</f>
        <v>1.2356244506055795E-2</v>
      </c>
      <c r="V628" s="30">
        <f t="shared" si="32"/>
        <v>-2.0394012716777946E-4</v>
      </c>
      <c r="W628" s="29">
        <f>_xll.qlDayCounterYearFraction(DayCounter,SettlementDate,R628,,,Trigger)</f>
        <v>52.85</v>
      </c>
      <c r="X628" s="29">
        <f>_xll.qlDayCounterYearFraction(DayCounter,R628,S628)</f>
        <v>8.611111111111111E-2</v>
      </c>
      <c r="Y628" s="29">
        <f>_xll.qlYieldTSDiscount(Currency&amp;"ON",R628)/(1+U628*X628)</f>
        <v>0.48659626295127251</v>
      </c>
      <c r="Z628" s="30" t="e">
        <f>_xll.qlTenorBasisValue(TenorBasis6M,R628,InterestRatesTrigger)</f>
        <v>#VALUE!</v>
      </c>
      <c r="AA628" s="30" t="e">
        <f t="shared" si="33"/>
        <v>#VALUE!</v>
      </c>
    </row>
    <row r="629" spans="15:27" x14ac:dyDescent="0.2">
      <c r="O629" s="33">
        <v>1</v>
      </c>
      <c r="P629" s="27" t="str">
        <f>_xll.qlPeriodEquivalent(P628&amp;"+"&amp;O629&amp;"M")</f>
        <v>52Y2M</v>
      </c>
      <c r="Q629" s="28">
        <f>_xll.qlCalendarAdvance(Calendar,SettlementDate,P629,"f",,Trigger)</f>
        <v>61333</v>
      </c>
      <c r="R629" s="28">
        <f>_xll.qlInterestRateIndexValueDate(Index,Q629,Trigger)</f>
        <v>61337</v>
      </c>
      <c r="S629" s="28">
        <f>_xll.qlInterestRateIndexMaturity(Index,R629,Trigger)</f>
        <v>61368</v>
      </c>
      <c r="T629" s="30">
        <f>_xll.qlIndexFixing($M$6,Q629,,InterestRatesTrigger)</f>
        <v>1.2580056657309196E-2</v>
      </c>
      <c r="U629" s="30">
        <f>_xll.qlIndexFixing(Index,Q629,,InterestRatesTrigger)</f>
        <v>1.2382073897177224E-2</v>
      </c>
      <c r="V629" s="30">
        <f t="shared" si="32"/>
        <v>-1.9798276013197232E-4</v>
      </c>
      <c r="W629" s="29">
        <f>_xll.qlDayCounterYearFraction(DayCounter,SettlementDate,R629,,,Trigger)</f>
        <v>52.93888888888889</v>
      </c>
      <c r="X629" s="29">
        <f>_xll.qlDayCounterYearFraction(DayCounter,R629,S629)</f>
        <v>8.611111111111111E-2</v>
      </c>
      <c r="Y629" s="29">
        <f>_xll.qlYieldTSDiscount(Currency&amp;"ON",R629)/(1+U629*X629)</f>
        <v>0.48605250031644009</v>
      </c>
      <c r="Z629" s="30" t="e">
        <f>_xll.qlTenorBasisValue(TenorBasis6M,R629,InterestRatesTrigger)</f>
        <v>#VALUE!</v>
      </c>
      <c r="AA629" s="30" t="e">
        <f t="shared" si="33"/>
        <v>#VALUE!</v>
      </c>
    </row>
    <row r="630" spans="15:27" x14ac:dyDescent="0.2">
      <c r="O630" s="33">
        <v>1</v>
      </c>
      <c r="P630" s="27" t="str">
        <f>_xll.qlPeriodEquivalent(P629&amp;"+"&amp;O630&amp;"M")</f>
        <v>52Y3M</v>
      </c>
      <c r="Q630" s="28">
        <f>_xll.qlCalendarAdvance(Calendar,SettlementDate,P630,"f",,Trigger)</f>
        <v>61364</v>
      </c>
      <c r="R630" s="28">
        <f>_xll.qlInterestRateIndexValueDate(Index,Q630,Trigger)</f>
        <v>61366</v>
      </c>
      <c r="S630" s="28">
        <f>_xll.qlInterestRateIndexMaturity(Index,R630,Trigger)</f>
        <v>61399</v>
      </c>
      <c r="T630" s="30">
        <f>_xll.qlIndexFixing($M$6,Q630,,InterestRatesTrigger)</f>
        <v>1.2598995111531994E-2</v>
      </c>
      <c r="U630" s="30">
        <f>_xll.qlIndexFixing(Index,Q630,,InterestRatesTrigger)</f>
        <v>1.240654437959954E-2</v>
      </c>
      <c r="V630" s="30">
        <f t="shared" si="32"/>
        <v>-1.9245073193245414E-4</v>
      </c>
      <c r="W630" s="29">
        <f>_xll.qlDayCounterYearFraction(DayCounter,SettlementDate,R630,,,Trigger)</f>
        <v>53.019444444444446</v>
      </c>
      <c r="X630" s="29">
        <f>_xll.qlDayCounterYearFraction(DayCounter,R630,S630)</f>
        <v>9.166666666666666E-2</v>
      </c>
      <c r="Y630" s="29">
        <f>_xll.qlYieldTSDiscount(Currency&amp;"ON",R630)/(1+U630*X630)</f>
        <v>0.48552602651212029</v>
      </c>
      <c r="Z630" s="30" t="e">
        <f>_xll.qlTenorBasisValue(TenorBasis6M,R630,InterestRatesTrigger)</f>
        <v>#VALUE!</v>
      </c>
      <c r="AA630" s="30" t="e">
        <f t="shared" si="33"/>
        <v>#VALUE!</v>
      </c>
    </row>
    <row r="631" spans="15:27" x14ac:dyDescent="0.2">
      <c r="O631" s="33">
        <v>1</v>
      </c>
      <c r="P631" s="27" t="str">
        <f>_xll.qlPeriodEquivalent(P630&amp;"+"&amp;O631&amp;"M")</f>
        <v>52Y4M</v>
      </c>
      <c r="Q631" s="28">
        <f>_xll.qlCalendarAdvance(Calendar,SettlementDate,P631,"f",,Trigger)</f>
        <v>61395</v>
      </c>
      <c r="R631" s="28">
        <f>_xll.qlInterestRateIndexValueDate(Index,Q631,Trigger)</f>
        <v>61399</v>
      </c>
      <c r="S631" s="28">
        <f>_xll.qlInterestRateIndexMaturity(Index,R631,Trigger)</f>
        <v>61428</v>
      </c>
      <c r="T631" s="30">
        <f>_xll.qlIndexFixing($M$6,Q631,,InterestRatesTrigger)</f>
        <v>1.261709355412787E-2</v>
      </c>
      <c r="U631" s="30">
        <f>_xll.qlIndexFixing(Index,Q631,,InterestRatesTrigger)</f>
        <v>1.2430359539749676E-2</v>
      </c>
      <c r="V631" s="30">
        <f t="shared" si="32"/>
        <v>-1.8673401437819398E-4</v>
      </c>
      <c r="W631" s="29">
        <f>_xll.qlDayCounterYearFraction(DayCounter,SettlementDate,R631,,,Trigger)</f>
        <v>53.111111111111114</v>
      </c>
      <c r="X631" s="29">
        <f>_xll.qlDayCounterYearFraction(DayCounter,R631,S631)</f>
        <v>8.0555555555555561E-2</v>
      </c>
      <c r="Y631" s="29">
        <f>_xll.qlYieldTSDiscount(Currency&amp;"ON",R631)/(1+U631*X631)</f>
        <v>0.48503179199838381</v>
      </c>
      <c r="Z631" s="30" t="e">
        <f>_xll.qlTenorBasisValue(TenorBasis6M,R631,InterestRatesTrigger)</f>
        <v>#VALUE!</v>
      </c>
      <c r="AA631" s="30" t="e">
        <f t="shared" si="33"/>
        <v>#VALUE!</v>
      </c>
    </row>
    <row r="632" spans="15:27" x14ac:dyDescent="0.2">
      <c r="O632" s="33">
        <v>1</v>
      </c>
      <c r="P632" s="27" t="str">
        <f>_xll.qlPeriodEquivalent(P631&amp;"+"&amp;O632&amp;"M")</f>
        <v>52Y5M</v>
      </c>
      <c r="Q632" s="28">
        <f>_xll.qlCalendarAdvance(Calendar,SettlementDate,P632,"f",,Trigger)</f>
        <v>61424</v>
      </c>
      <c r="R632" s="28">
        <f>_xll.qlInterestRateIndexValueDate(Index,Q632,Trigger)</f>
        <v>61428</v>
      </c>
      <c r="S632" s="28">
        <f>_xll.qlInterestRateIndexMaturity(Index,R632,Trigger)</f>
        <v>61459</v>
      </c>
      <c r="T632" s="30">
        <f>_xll.qlIndexFixing($M$6,Q632,,InterestRatesTrigger)</f>
        <v>1.2635769955382228E-2</v>
      </c>
      <c r="U632" s="30">
        <f>_xll.qlIndexFixing(Index,Q632,,InterestRatesTrigger)</f>
        <v>1.2454489434555415E-2</v>
      </c>
      <c r="V632" s="30">
        <f t="shared" si="32"/>
        <v>-1.8128052082681291E-4</v>
      </c>
      <c r="W632" s="29">
        <f>_xll.qlDayCounterYearFraction(DayCounter,SettlementDate,R632,,,Trigger)</f>
        <v>53.19166666666667</v>
      </c>
      <c r="X632" s="29">
        <f>_xll.qlDayCounterYearFraction(DayCounter,R632,S632)</f>
        <v>8.611111111111111E-2</v>
      </c>
      <c r="Y632" s="29">
        <f>_xll.qlYieldTSDiscount(Currency&amp;"ON",R632)/(1+U632*X632)</f>
        <v>0.48450488641549938</v>
      </c>
      <c r="Z632" s="30" t="e">
        <f>_xll.qlTenorBasisValue(TenorBasis6M,R632,InterestRatesTrigger)</f>
        <v>#VALUE!</v>
      </c>
      <c r="AA632" s="30" t="e">
        <f t="shared" si="33"/>
        <v>#VALUE!</v>
      </c>
    </row>
    <row r="633" spans="15:27" x14ac:dyDescent="0.2">
      <c r="O633" s="33">
        <v>1</v>
      </c>
      <c r="P633" s="27" t="str">
        <f>_xll.qlPeriodEquivalent(P632&amp;"+"&amp;O633&amp;"M")</f>
        <v>52Y6M</v>
      </c>
      <c r="Q633" s="28">
        <f>_xll.qlCalendarAdvance(Calendar,SettlementDate,P633,"f",,Trigger)</f>
        <v>61455</v>
      </c>
      <c r="R633" s="28">
        <f>_xll.qlInterestRateIndexValueDate(Index,Q633,Trigger)</f>
        <v>61457</v>
      </c>
      <c r="S633" s="28">
        <f>_xll.qlInterestRateIndexMaturity(Index,R633,Trigger)</f>
        <v>61487</v>
      </c>
      <c r="T633" s="30">
        <f>_xll.qlIndexFixing($M$6,Q633,,InterestRatesTrigger)</f>
        <v>1.2652749369549632E-2</v>
      </c>
      <c r="U633" s="30">
        <f>_xll.qlIndexFixing(Index,Q633,,InterestRatesTrigger)</f>
        <v>1.2476631912161196E-2</v>
      </c>
      <c r="V633" s="30">
        <f t="shared" si="32"/>
        <v>-1.7611745738843609E-4</v>
      </c>
      <c r="W633" s="29">
        <f>_xll.qlDayCounterYearFraction(DayCounter,SettlementDate,R633,,,Trigger)</f>
        <v>53.272222222222226</v>
      </c>
      <c r="X633" s="29">
        <f>_xll.qlDayCounterYearFraction(DayCounter,R633,S633)</f>
        <v>8.3333333333333329E-2</v>
      </c>
      <c r="Y633" s="29">
        <f>_xll.qlYieldTSDiscount(Currency&amp;"ON",R633)/(1+U633*X633)</f>
        <v>0.48402809540424574</v>
      </c>
      <c r="Z633" s="30" t="e">
        <f>_xll.qlTenorBasisValue(TenorBasis6M,R633,InterestRatesTrigger)</f>
        <v>#VALUE!</v>
      </c>
      <c r="AA633" s="30" t="e">
        <f t="shared" si="33"/>
        <v>#VALUE!</v>
      </c>
    </row>
    <row r="634" spans="15:27" x14ac:dyDescent="0.2">
      <c r="O634" s="33">
        <v>1</v>
      </c>
      <c r="P634" s="27" t="str">
        <f>_xll.qlPeriodEquivalent(P633&amp;"+"&amp;O634&amp;"M")</f>
        <v>52Y7M</v>
      </c>
      <c r="Q634" s="28">
        <f>_xll.qlCalendarAdvance(Calendar,SettlementDate,P634,"f",,Trigger)</f>
        <v>61485</v>
      </c>
      <c r="R634" s="28">
        <f>_xll.qlInterestRateIndexValueDate(Index,Q634,Trigger)</f>
        <v>61487</v>
      </c>
      <c r="S634" s="28">
        <f>_xll.qlInterestRateIndexMaturity(Index,R634,Trigger)</f>
        <v>61518</v>
      </c>
      <c r="T634" s="30">
        <f>_xll.qlIndexFixing($M$6,Q634,,InterestRatesTrigger)</f>
        <v>1.2671246579170571E-2</v>
      </c>
      <c r="U634" s="30">
        <f>_xll.qlIndexFixing(Index,Q634,,InterestRatesTrigger)</f>
        <v>1.2500601669110038E-2</v>
      </c>
      <c r="V634" s="30">
        <f t="shared" si="32"/>
        <v>-1.7064491006053319E-4</v>
      </c>
      <c r="W634" s="29">
        <f>_xll.qlDayCounterYearFraction(DayCounter,SettlementDate,R634,,,Trigger)</f>
        <v>53.355555555555554</v>
      </c>
      <c r="X634" s="29">
        <f>_xll.qlDayCounterYearFraction(DayCounter,R634,S634)</f>
        <v>8.611111111111111E-2</v>
      </c>
      <c r="Y634" s="29">
        <f>_xll.qlYieldTSDiscount(Currency&amp;"ON",R634)/(1+U634*X634)</f>
        <v>0.48350053941138643</v>
      </c>
      <c r="Z634" s="30" t="e">
        <f>_xll.qlTenorBasisValue(TenorBasis6M,R634,InterestRatesTrigger)</f>
        <v>#VALUE!</v>
      </c>
      <c r="AA634" s="30" t="e">
        <f t="shared" si="33"/>
        <v>#VALUE!</v>
      </c>
    </row>
    <row r="635" spans="15:27" x14ac:dyDescent="0.2">
      <c r="O635" s="33">
        <v>1</v>
      </c>
      <c r="P635" s="27" t="str">
        <f>_xll.qlPeriodEquivalent(P634&amp;"+"&amp;O635&amp;"M")</f>
        <v>52Y8M</v>
      </c>
      <c r="Q635" s="28">
        <f>_xll.qlCalendarAdvance(Calendar,SettlementDate,P635,"f",,Trigger)</f>
        <v>61518</v>
      </c>
      <c r="R635" s="28">
        <f>_xll.qlInterestRateIndexValueDate(Index,Q635,Trigger)</f>
        <v>61520</v>
      </c>
      <c r="S635" s="28">
        <f>_xll.qlInterestRateIndexMaturity(Index,R635,Trigger)</f>
        <v>61550</v>
      </c>
      <c r="T635" s="30">
        <f>_xll.qlIndexFixing($M$6,Q635,,InterestRatesTrigger)</f>
        <v>1.269034392637991E-2</v>
      </c>
      <c r="U635" s="30">
        <f>_xll.qlIndexFixing(Index,Q635,,InterestRatesTrigger)</f>
        <v>1.2525497087307436E-2</v>
      </c>
      <c r="V635" s="30">
        <f t="shared" si="32"/>
        <v>-1.6484683907247444E-4</v>
      </c>
      <c r="W635" s="29">
        <f>_xll.qlDayCounterYearFraction(DayCounter,SettlementDate,R635,,,Trigger)</f>
        <v>53.447222222222223</v>
      </c>
      <c r="X635" s="29">
        <f>_xll.qlDayCounterYearFraction(DayCounter,R635,S635)</f>
        <v>8.3333333333333329E-2</v>
      </c>
      <c r="Y635" s="29">
        <f>_xll.qlYieldTSDiscount(Currency&amp;"ON",R635)/(1+U635*X635)</f>
        <v>0.48295529524973635</v>
      </c>
      <c r="Z635" s="30" t="e">
        <f>_xll.qlTenorBasisValue(TenorBasis6M,R635,InterestRatesTrigger)</f>
        <v>#VALUE!</v>
      </c>
      <c r="AA635" s="30" t="e">
        <f t="shared" si="33"/>
        <v>#VALUE!</v>
      </c>
    </row>
    <row r="636" spans="15:27" x14ac:dyDescent="0.2">
      <c r="O636" s="33">
        <v>1</v>
      </c>
      <c r="P636" s="27" t="str">
        <f>_xll.qlPeriodEquivalent(P635&amp;"+"&amp;O636&amp;"M")</f>
        <v>52Y9M</v>
      </c>
      <c r="Q636" s="28">
        <f>_xll.qlCalendarAdvance(Calendar,SettlementDate,P636,"f",,Trigger)</f>
        <v>61546</v>
      </c>
      <c r="R636" s="28">
        <f>_xll.qlInterestRateIndexValueDate(Index,Q636,Trigger)</f>
        <v>61548</v>
      </c>
      <c r="S636" s="28">
        <f>_xll.qlInterestRateIndexMaturity(Index,R636,Trigger)</f>
        <v>61581</v>
      </c>
      <c r="T636" s="30">
        <f>_xll.qlIndexFixing($M$6,Q636,,InterestRatesTrigger)</f>
        <v>1.2708413579708927E-2</v>
      </c>
      <c r="U636" s="30">
        <f>_xll.qlIndexFixing(Index,Q636,,InterestRatesTrigger)</f>
        <v>1.2548765496996402E-2</v>
      </c>
      <c r="V636" s="30">
        <f t="shared" si="32"/>
        <v>-1.5964808271252441E-4</v>
      </c>
      <c r="W636" s="29">
        <f>_xll.qlDayCounterYearFraction(DayCounter,SettlementDate,R636,,,Trigger)</f>
        <v>53.524999999999999</v>
      </c>
      <c r="X636" s="29">
        <f>_xll.qlDayCounterYearFraction(DayCounter,R636,S636)</f>
        <v>9.166666666666666E-2</v>
      </c>
      <c r="Y636" s="29">
        <f>_xll.qlYieldTSDiscount(Currency&amp;"ON",R636)/(1+U636*X636)</f>
        <v>0.4824277836201164</v>
      </c>
      <c r="Z636" s="30" t="e">
        <f>_xll.qlTenorBasisValue(TenorBasis6M,R636,InterestRatesTrigger)</f>
        <v>#VALUE!</v>
      </c>
      <c r="AA636" s="30" t="e">
        <f t="shared" si="33"/>
        <v>#VALUE!</v>
      </c>
    </row>
    <row r="637" spans="15:27" x14ac:dyDescent="0.2">
      <c r="O637" s="33">
        <v>1</v>
      </c>
      <c r="P637" s="27" t="str">
        <f>_xll.qlPeriodEquivalent(P636&amp;"+"&amp;O637&amp;"M")</f>
        <v>52Y10M</v>
      </c>
      <c r="Q637" s="28">
        <f>_xll.qlCalendarAdvance(Calendar,SettlementDate,P637,"f",,Trigger)</f>
        <v>61577</v>
      </c>
      <c r="R637" s="28">
        <f>_xll.qlInterestRateIndexValueDate(Index,Q637,Trigger)</f>
        <v>61581</v>
      </c>
      <c r="S637" s="28">
        <f>_xll.qlInterestRateIndexMaturity(Index,R637,Trigger)</f>
        <v>61612</v>
      </c>
      <c r="T637" s="30">
        <f>_xll.qlIndexFixing($M$6,Q637,,InterestRatesTrigger)</f>
        <v>1.2726688783659894E-2</v>
      </c>
      <c r="U637" s="30">
        <f>_xll.qlIndexFixing(Index,Q637,,InterestRatesTrigger)</f>
        <v>1.2572665172094336E-2</v>
      </c>
      <c r="V637" s="30">
        <f t="shared" si="32"/>
        <v>-1.5402361156555827E-4</v>
      </c>
      <c r="W637" s="29">
        <f>_xll.qlDayCounterYearFraction(DayCounter,SettlementDate,R637,,,Trigger)</f>
        <v>53.616666666666667</v>
      </c>
      <c r="X637" s="29">
        <f>_xll.qlDayCounterYearFraction(DayCounter,R637,S637)</f>
        <v>8.611111111111111E-2</v>
      </c>
      <c r="Y637" s="29">
        <f>_xll.qlYieldTSDiscount(Currency&amp;"ON",R637)/(1+U637*X637)</f>
        <v>0.48189900567857924</v>
      </c>
      <c r="Z637" s="30" t="e">
        <f>_xll.qlTenorBasisValue(TenorBasis6M,R637,InterestRatesTrigger)</f>
        <v>#VALUE!</v>
      </c>
      <c r="AA637" s="30" t="e">
        <f t="shared" si="33"/>
        <v>#VALUE!</v>
      </c>
    </row>
    <row r="638" spans="15:27" x14ac:dyDescent="0.2">
      <c r="O638" s="33">
        <v>1</v>
      </c>
      <c r="P638" s="27" t="str">
        <f>_xll.qlPeriodEquivalent(P637&amp;"+"&amp;O638&amp;"M")</f>
        <v>52Y11M</v>
      </c>
      <c r="Q638" s="28">
        <f>_xll.qlCalendarAdvance(Calendar,SettlementDate,P638,"f",,Trigger)</f>
        <v>61609</v>
      </c>
      <c r="R638" s="28">
        <f>_xll.qlInterestRateIndexValueDate(Index,Q638,Trigger)</f>
        <v>61611</v>
      </c>
      <c r="S638" s="28">
        <f>_xll.qlInterestRateIndexMaturity(Index,R638,Trigger)</f>
        <v>61641</v>
      </c>
      <c r="T638" s="30">
        <f>_xll.qlIndexFixing($M$6,Q638,,InterestRatesTrigger)</f>
        <v>1.2743583616854792E-2</v>
      </c>
      <c r="U638" s="30">
        <f>_xll.qlIndexFixing(Index,Q638,,InterestRatesTrigger)</f>
        <v>1.2594697867059246E-2</v>
      </c>
      <c r="V638" s="30">
        <f t="shared" si="32"/>
        <v>-1.4888574979554647E-4</v>
      </c>
      <c r="W638" s="29">
        <f>_xll.qlDayCounterYearFraction(DayCounter,SettlementDate,R638,,,Trigger)</f>
        <v>53.7</v>
      </c>
      <c r="X638" s="29">
        <f>_xll.qlDayCounterYearFraction(DayCounter,R638,S638)</f>
        <v>8.3333333333333329E-2</v>
      </c>
      <c r="Y638" s="29">
        <f>_xll.qlYieldTSDiscount(Currency&amp;"ON",R638)/(1+U638*X638)</f>
        <v>0.48140439773752175</v>
      </c>
      <c r="Z638" s="30" t="e">
        <f>_xll.qlTenorBasisValue(TenorBasis6M,R638,InterestRatesTrigger)</f>
        <v>#VALUE!</v>
      </c>
      <c r="AA638" s="30" t="e">
        <f t="shared" si="33"/>
        <v>#VALUE!</v>
      </c>
    </row>
    <row r="639" spans="15:27" x14ac:dyDescent="0.2">
      <c r="O639" s="33">
        <v>1</v>
      </c>
      <c r="P639" s="27" t="str">
        <f>_xll.qlPeriodEquivalent(P638&amp;"+"&amp;O639&amp;"M")</f>
        <v>53Y</v>
      </c>
      <c r="Q639" s="28">
        <f>_xll.qlCalendarAdvance(Calendar,SettlementDate,P639,"f",,Trigger)</f>
        <v>61638</v>
      </c>
      <c r="R639" s="28">
        <f>_xll.qlInterestRateIndexValueDate(Index,Q639,Trigger)</f>
        <v>61640</v>
      </c>
      <c r="S639" s="28">
        <f>_xll.qlInterestRateIndexMaturity(Index,R639,Trigger)</f>
        <v>61672</v>
      </c>
      <c r="T639" s="30">
        <f>_xll.qlIndexFixing($M$6,Q639,,InterestRatesTrigger)</f>
        <v>1.2761305064755424E-2</v>
      </c>
      <c r="U639" s="30">
        <f>_xll.qlIndexFixing(Index,Q639,,InterestRatesTrigger)</f>
        <v>1.2617586499354405E-2</v>
      </c>
      <c r="V639" s="30">
        <f t="shared" si="32"/>
        <v>-1.4371856540101868E-4</v>
      </c>
      <c r="W639" s="29">
        <f>_xll.qlDayCounterYearFraction(DayCounter,SettlementDate,R639,,,Trigger)</f>
        <v>53.780555555555559</v>
      </c>
      <c r="X639" s="29">
        <f>_xll.qlDayCounterYearFraction(DayCounter,R639,S639)</f>
        <v>8.8888888888888892E-2</v>
      </c>
      <c r="Y639" s="29">
        <f>_xll.qlYieldTSDiscount(Currency&amp;"ON",R639)/(1+U639*X639)</f>
        <v>0.48087614160259595</v>
      </c>
      <c r="Z639" s="30" t="e">
        <f>_xll.qlTenorBasisValue(TenorBasis6M,R639,InterestRatesTrigger)</f>
        <v>#VALUE!</v>
      </c>
      <c r="AA639" s="30" t="e">
        <f t="shared" si="33"/>
        <v>#VALUE!</v>
      </c>
    </row>
    <row r="640" spans="15:27" x14ac:dyDescent="0.2">
      <c r="O640" s="33">
        <v>1</v>
      </c>
      <c r="P640" s="27" t="str">
        <f>_xll.qlPeriodEquivalent(P639&amp;"+"&amp;O640&amp;"M")</f>
        <v>53Y1M</v>
      </c>
      <c r="Q640" s="28">
        <f>_xll.qlCalendarAdvance(Calendar,SettlementDate,P640,"f",,Trigger)</f>
        <v>61669</v>
      </c>
      <c r="R640" s="28">
        <f>_xll.qlInterestRateIndexValueDate(Index,Q640,Trigger)</f>
        <v>61673</v>
      </c>
      <c r="S640" s="28">
        <f>_xll.qlInterestRateIndexMaturity(Index,R640,Trigger)</f>
        <v>61703</v>
      </c>
      <c r="T640" s="30">
        <f>_xll.qlIndexFixing($M$6,Q640,,InterestRatesTrigger)</f>
        <v>1.2779118565968695E-2</v>
      </c>
      <c r="U640" s="30">
        <f>_xll.qlIndexFixing(Index,Q640,,InterestRatesTrigger)</f>
        <v>1.264088618204795E-2</v>
      </c>
      <c r="V640" s="30">
        <f t="shared" si="32"/>
        <v>-1.3823238392074444E-4</v>
      </c>
      <c r="W640" s="29">
        <f>_xll.qlDayCounterYearFraction(DayCounter,SettlementDate,R640,,,Trigger)</f>
        <v>53.87222222222222</v>
      </c>
      <c r="X640" s="29">
        <f>_xll.qlDayCounterYearFraction(DayCounter,R640,S640)</f>
        <v>8.3333333333333329E-2</v>
      </c>
      <c r="Y640" s="29">
        <f>_xll.qlYieldTSDiscount(Currency&amp;"ON",R640)/(1+U640*X640)</f>
        <v>0.4803469558920464</v>
      </c>
      <c r="Z640" s="30" t="e">
        <f>_xll.qlTenorBasisValue(TenorBasis6M,R640,InterestRatesTrigger)</f>
        <v>#VALUE!</v>
      </c>
      <c r="AA640" s="30" t="e">
        <f t="shared" si="33"/>
        <v>#VALUE!</v>
      </c>
    </row>
    <row r="641" spans="15:27" x14ac:dyDescent="0.2">
      <c r="O641" s="33">
        <v>1</v>
      </c>
      <c r="P641" s="27" t="str">
        <f>_xll.qlPeriodEquivalent(P640&amp;"+"&amp;O641&amp;"M")</f>
        <v>53Y2M</v>
      </c>
      <c r="Q641" s="28">
        <f>_xll.qlCalendarAdvance(Calendar,SettlementDate,P641,"f",,Trigger)</f>
        <v>61700</v>
      </c>
      <c r="R641" s="28">
        <f>_xll.qlInterestRateIndexValueDate(Index,Q641,Trigger)</f>
        <v>61702</v>
      </c>
      <c r="S641" s="28">
        <f>_xll.qlInterestRateIndexMaturity(Index,R641,Trigger)</f>
        <v>61735</v>
      </c>
      <c r="T641" s="30">
        <f>_xll.qlIndexFixing($M$6,Q641,,InterestRatesTrigger)</f>
        <v>1.2797056066354336E-2</v>
      </c>
      <c r="U641" s="30">
        <f>_xll.qlIndexFixing(Index,Q641,,InterestRatesTrigger)</f>
        <v>1.2663982778137689E-2</v>
      </c>
      <c r="V641" s="30">
        <f t="shared" si="32"/>
        <v>-1.3307328821664764E-4</v>
      </c>
      <c r="W641" s="29">
        <f>_xll.qlDayCounterYearFraction(DayCounter,SettlementDate,R641,,,Trigger)</f>
        <v>53.952777777777776</v>
      </c>
      <c r="X641" s="29">
        <f>_xll.qlDayCounterYearFraction(DayCounter,R641,S641)</f>
        <v>9.166666666666666E-2</v>
      </c>
      <c r="Y641" s="29">
        <f>_xll.qlYieldTSDiscount(Currency&amp;"ON",R641)/(1+U641*X641)</f>
        <v>0.47980149682180151</v>
      </c>
      <c r="Z641" s="30" t="e">
        <f>_xll.qlTenorBasisValue(TenorBasis6M,R641,InterestRatesTrigger)</f>
        <v>#VALUE!</v>
      </c>
      <c r="AA641" s="30" t="e">
        <f t="shared" si="33"/>
        <v>#VALUE!</v>
      </c>
    </row>
    <row r="642" spans="15:27" x14ac:dyDescent="0.2">
      <c r="O642" s="33">
        <v>1</v>
      </c>
      <c r="P642" s="27" t="str">
        <f>_xll.qlPeriodEquivalent(P641&amp;"+"&amp;O642&amp;"M")</f>
        <v>53Y3M</v>
      </c>
      <c r="Q642" s="28">
        <f>_xll.qlCalendarAdvance(Calendar,SettlementDate,P642,"f",,Trigger)</f>
        <v>61730</v>
      </c>
      <c r="R642" s="28">
        <f>_xll.qlInterestRateIndexValueDate(Index,Q642,Trigger)</f>
        <v>61732</v>
      </c>
      <c r="S642" s="28">
        <f>_xll.qlInterestRateIndexMaturity(Index,R642,Trigger)</f>
        <v>61763</v>
      </c>
      <c r="T642" s="30">
        <f>_xll.qlIndexFixing($M$6,Q642,,InterestRatesTrigger)</f>
        <v>1.2812871809433858E-2</v>
      </c>
      <c r="U642" s="30">
        <f>_xll.qlIndexFixing(Index,Q642,,InterestRatesTrigger)</f>
        <v>1.2684685841941601E-2</v>
      </c>
      <c r="V642" s="30">
        <f t="shared" si="32"/>
        <v>-1.2818596749225759E-4</v>
      </c>
      <c r="W642" s="29">
        <f>_xll.qlDayCounterYearFraction(DayCounter,SettlementDate,R642,,,Trigger)</f>
        <v>54.036111111111111</v>
      </c>
      <c r="X642" s="29">
        <f>_xll.qlDayCounterYearFraction(DayCounter,R642,S642)</f>
        <v>8.611111111111111E-2</v>
      </c>
      <c r="Y642" s="29">
        <f>_xll.qlYieldTSDiscount(Currency&amp;"ON",R642)/(1+U642*X642)</f>
        <v>0.4793232626035277</v>
      </c>
      <c r="Z642" s="30" t="e">
        <f>_xll.qlTenorBasisValue(TenorBasis6M,R642,InterestRatesTrigger)</f>
        <v>#VALUE!</v>
      </c>
      <c r="AA642" s="30" t="e">
        <f t="shared" si="33"/>
        <v>#VALUE!</v>
      </c>
    </row>
    <row r="643" spans="15:27" x14ac:dyDescent="0.2">
      <c r="O643" s="33">
        <v>1</v>
      </c>
      <c r="P643" s="27" t="str">
        <f>_xll.qlPeriodEquivalent(P642&amp;"+"&amp;O643&amp;"M")</f>
        <v>53Y4M</v>
      </c>
      <c r="Q643" s="28">
        <f>_xll.qlCalendarAdvance(Calendar,SettlementDate,P643,"f",,Trigger)</f>
        <v>61763</v>
      </c>
      <c r="R643" s="28">
        <f>_xll.qlInterestRateIndexValueDate(Index,Q643,Trigger)</f>
        <v>61765</v>
      </c>
      <c r="S643" s="28">
        <f>_xll.qlInterestRateIndexMaturity(Index,R643,Trigger)</f>
        <v>61793</v>
      </c>
      <c r="T643" s="30">
        <f>_xll.qlIndexFixing($M$6,Q643,,InterestRatesTrigger)</f>
        <v>1.2829704464280793E-2</v>
      </c>
      <c r="U643" s="30">
        <f>_xll.qlIndexFixing(Index,Q643,,InterestRatesTrigger)</f>
        <v>1.2706783607381946E-2</v>
      </c>
      <c r="V643" s="30">
        <f t="shared" si="32"/>
        <v>-1.2292085689884734E-4</v>
      </c>
      <c r="W643" s="29">
        <f>_xll.qlDayCounterYearFraction(DayCounter,SettlementDate,R643,,,Trigger)</f>
        <v>54.12777777777778</v>
      </c>
      <c r="X643" s="29">
        <f>_xll.qlDayCounterYearFraction(DayCounter,R643,S643)</f>
        <v>7.7777777777777779E-2</v>
      </c>
      <c r="Y643" s="29">
        <f>_xll.qlYieldTSDiscount(Currency&amp;"ON",R643)/(1+U643*X643)</f>
        <v>0.47881064284684799</v>
      </c>
      <c r="Z643" s="30" t="e">
        <f>_xll.qlTenorBasisValue(TenorBasis6M,R643,InterestRatesTrigger)</f>
        <v>#VALUE!</v>
      </c>
      <c r="AA643" s="30" t="e">
        <f t="shared" si="33"/>
        <v>#VALUE!</v>
      </c>
    </row>
    <row r="644" spans="15:27" x14ac:dyDescent="0.2">
      <c r="O644" s="33">
        <v>1</v>
      </c>
      <c r="P644" s="27" t="str">
        <f>_xll.qlPeriodEquivalent(P643&amp;"+"&amp;O644&amp;"M")</f>
        <v>53Y5M</v>
      </c>
      <c r="Q644" s="28">
        <f>_xll.qlCalendarAdvance(Calendar,SettlementDate,P644,"f",,Trigger)</f>
        <v>61791</v>
      </c>
      <c r="R644" s="28">
        <f>_xll.qlInterestRateIndexValueDate(Index,Q644,Trigger)</f>
        <v>61793</v>
      </c>
      <c r="S644" s="28">
        <f>_xll.qlInterestRateIndexMaturity(Index,R644,Trigger)</f>
        <v>61826</v>
      </c>
      <c r="T644" s="30">
        <f>_xll.qlIndexFixing($M$6,Q644,,InterestRatesTrigger)</f>
        <v>1.2847651886445504E-2</v>
      </c>
      <c r="U644" s="30">
        <f>_xll.qlIndexFixing(Index,Q644,,InterestRatesTrigger)</f>
        <v>1.2729747336336866E-2</v>
      </c>
      <c r="V644" s="30">
        <f t="shared" si="32"/>
        <v>-1.1790455010863773E-4</v>
      </c>
      <c r="W644" s="29">
        <f>_xll.qlDayCounterYearFraction(DayCounter,SettlementDate,R644,,,Trigger)</f>
        <v>54.205555555555556</v>
      </c>
      <c r="X644" s="29">
        <f>_xll.qlDayCounterYearFraction(DayCounter,R644,S644)</f>
        <v>9.166666666666666E-2</v>
      </c>
      <c r="Y644" s="29">
        <f>_xll.qlYieldTSDiscount(Currency&amp;"ON",R644)/(1+U644*X644)</f>
        <v>0.4782480052442416</v>
      </c>
      <c r="Z644" s="30" t="e">
        <f>_xll.qlTenorBasisValue(TenorBasis6M,R644,InterestRatesTrigger)</f>
        <v>#VALUE!</v>
      </c>
      <c r="AA644" s="30" t="e">
        <f t="shared" si="33"/>
        <v>#VALUE!</v>
      </c>
    </row>
    <row r="645" spans="15:27" x14ac:dyDescent="0.2">
      <c r="O645" s="33">
        <v>1</v>
      </c>
      <c r="P645" s="27" t="str">
        <f>_xll.qlPeriodEquivalent(P644&amp;"+"&amp;O645&amp;"M")</f>
        <v>53Y6M</v>
      </c>
      <c r="Q645" s="28">
        <f>_xll.qlCalendarAdvance(Calendar,SettlementDate,P645,"f",,Trigger)</f>
        <v>61820</v>
      </c>
      <c r="R645" s="28">
        <f>_xll.qlInterestRateIndexValueDate(Index,Q645,Trigger)</f>
        <v>61822</v>
      </c>
      <c r="S645" s="28">
        <f>_xll.qlInterestRateIndexMaturity(Index,R645,Trigger)</f>
        <v>61854</v>
      </c>
      <c r="T645" s="30">
        <f>_xll.qlIndexFixing($M$6,Q645,,InterestRatesTrigger)</f>
        <v>1.2862987738716247E-2</v>
      </c>
      <c r="U645" s="30">
        <f>_xll.qlIndexFixing(Index,Q645,,InterestRatesTrigger)</f>
        <v>1.2749753840952949E-2</v>
      </c>
      <c r="V645" s="30">
        <f t="shared" si="32"/>
        <v>-1.1323389776329851E-4</v>
      </c>
      <c r="W645" s="29">
        <f>_xll.qlDayCounterYearFraction(DayCounter,SettlementDate,R645,,,Trigger)</f>
        <v>54.286111111111111</v>
      </c>
      <c r="X645" s="29">
        <f>_xll.qlDayCounterYearFraction(DayCounter,R645,S645)</f>
        <v>8.8888888888888892E-2</v>
      </c>
      <c r="Y645" s="29">
        <f>_xll.qlYieldTSDiscount(Currency&amp;"ON",R645)/(1+U645*X645)</f>
        <v>0.47776965747258321</v>
      </c>
      <c r="Z645" s="30" t="e">
        <f>_xll.qlTenorBasisValue(TenorBasis6M,R645,InterestRatesTrigger)</f>
        <v>#VALUE!</v>
      </c>
      <c r="AA645" s="30" t="e">
        <f t="shared" si="33"/>
        <v>#VALUE!</v>
      </c>
    </row>
    <row r="646" spans="15:27" x14ac:dyDescent="0.2">
      <c r="O646" s="33">
        <v>1</v>
      </c>
      <c r="P646" s="27" t="str">
        <f>_xll.qlPeriodEquivalent(P645&amp;"+"&amp;O646&amp;"M")</f>
        <v>53Y7M</v>
      </c>
      <c r="Q646" s="28">
        <f>_xll.qlCalendarAdvance(Calendar,SettlementDate,P646,"f",,Trigger)</f>
        <v>61850</v>
      </c>
      <c r="R646" s="28">
        <f>_xll.qlInterestRateIndexValueDate(Index,Q646,Trigger)</f>
        <v>61854</v>
      </c>
      <c r="S646" s="28">
        <f>_xll.qlInterestRateIndexMaturity(Index,R646,Trigger)</f>
        <v>61885</v>
      </c>
      <c r="T646" s="30">
        <f>_xll.qlIndexFixing($M$6,Q646,,InterestRatesTrigger)</f>
        <v>1.287980240837055E-2</v>
      </c>
      <c r="U646" s="30">
        <f>_xll.qlIndexFixing(Index,Q646,,InterestRatesTrigger)</f>
        <v>1.2771682549696715E-2</v>
      </c>
      <c r="V646" s="30">
        <f t="shared" si="32"/>
        <v>-1.0811985867383543E-4</v>
      </c>
      <c r="W646" s="29">
        <f>_xll.qlDayCounterYearFraction(DayCounter,SettlementDate,R646,,,Trigger)</f>
        <v>54.375</v>
      </c>
      <c r="X646" s="29">
        <f>_xll.qlDayCounterYearFraction(DayCounter,R646,S646)</f>
        <v>8.611111111111111E-2</v>
      </c>
      <c r="Y646" s="29">
        <f>_xll.qlYieldTSDiscount(Currency&amp;"ON",R646)/(1+U646*X646)</f>
        <v>0.47723999329913275</v>
      </c>
      <c r="Z646" s="30" t="e">
        <f>_xll.qlTenorBasisValue(TenorBasis6M,R646,InterestRatesTrigger)</f>
        <v>#VALUE!</v>
      </c>
      <c r="AA646" s="30" t="e">
        <f t="shared" si="33"/>
        <v>#VALUE!</v>
      </c>
    </row>
    <row r="647" spans="15:27" x14ac:dyDescent="0.2">
      <c r="O647" s="33">
        <v>1</v>
      </c>
      <c r="P647" s="27" t="str">
        <f>_xll.qlPeriodEquivalent(P646&amp;"+"&amp;O647&amp;"M")</f>
        <v>53Y8M</v>
      </c>
      <c r="Q647" s="28">
        <f>_xll.qlCalendarAdvance(Calendar,SettlementDate,P647,"f",,Trigger)</f>
        <v>61882</v>
      </c>
      <c r="R647" s="28">
        <f>_xll.qlInterestRateIndexValueDate(Index,Q647,Trigger)</f>
        <v>61884</v>
      </c>
      <c r="S647" s="28">
        <f>_xll.qlInterestRateIndexMaturity(Index,R647,Trigger)</f>
        <v>61914</v>
      </c>
      <c r="T647" s="30">
        <f>_xll.qlIndexFixing($M$6,Q647,,InterestRatesTrigger)</f>
        <v>1.2895381503259529E-2</v>
      </c>
      <c r="U647" s="30">
        <f>_xll.qlIndexFixing(Index,Q647,,InterestRatesTrigger)</f>
        <v>1.2792005278684293E-2</v>
      </c>
      <c r="V647" s="30">
        <f t="shared" si="32"/>
        <v>-1.0337622457523565E-4</v>
      </c>
      <c r="W647" s="29">
        <f>_xll.qlDayCounterYearFraction(DayCounter,SettlementDate,R647,,,Trigger)</f>
        <v>54.458333333333336</v>
      </c>
      <c r="X647" s="29">
        <f>_xll.qlDayCounterYearFraction(DayCounter,R647,S647)</f>
        <v>8.3333333333333329E-2</v>
      </c>
      <c r="Y647" s="29">
        <f>_xll.qlYieldTSDiscount(Currency&amp;"ON",R647)/(1+U647*X647)</f>
        <v>0.47674442088970076</v>
      </c>
      <c r="Z647" s="30" t="e">
        <f>_xll.qlTenorBasisValue(TenorBasis6M,R647,InterestRatesTrigger)</f>
        <v>#VALUE!</v>
      </c>
      <c r="AA647" s="30" t="e">
        <f t="shared" si="33"/>
        <v>#VALUE!</v>
      </c>
    </row>
    <row r="648" spans="15:27" x14ac:dyDescent="0.2">
      <c r="O648" s="33">
        <v>1</v>
      </c>
      <c r="P648" s="27" t="str">
        <f>_xll.qlPeriodEquivalent(P647&amp;"+"&amp;O648&amp;"M")</f>
        <v>53Y9M</v>
      </c>
      <c r="Q648" s="28">
        <f>_xll.qlCalendarAdvance(Calendar,SettlementDate,P648,"f",,Trigger)</f>
        <v>61911</v>
      </c>
      <c r="R648" s="28">
        <f>_xll.qlInterestRateIndexValueDate(Index,Q648,Trigger)</f>
        <v>61913</v>
      </c>
      <c r="S648" s="28">
        <f>_xll.qlInterestRateIndexMaturity(Index,R648,Trigger)</f>
        <v>61945</v>
      </c>
      <c r="T648" s="30">
        <f>_xll.qlIndexFixing($M$6,Q648,,InterestRatesTrigger)</f>
        <v>1.2911767978621147E-2</v>
      </c>
      <c r="U648" s="30">
        <f>_xll.qlIndexFixing(Index,Q648,,InterestRatesTrigger)</f>
        <v>1.281315873898986E-2</v>
      </c>
      <c r="V648" s="30">
        <f t="shared" si="32"/>
        <v>-9.8609239631286538E-5</v>
      </c>
      <c r="W648" s="29">
        <f>_xll.qlDayCounterYearFraction(DayCounter,SettlementDate,R648,,,Trigger)</f>
        <v>54.538888888888891</v>
      </c>
      <c r="X648" s="29">
        <f>_xll.qlDayCounterYearFraction(DayCounter,R648,S648)</f>
        <v>8.8888888888888892E-2</v>
      </c>
      <c r="Y648" s="29">
        <f>_xll.qlYieldTSDiscount(Currency&amp;"ON",R648)/(1+U648*X648)</f>
        <v>0.47621501285497903</v>
      </c>
      <c r="Z648" s="30" t="e">
        <f>_xll.qlTenorBasisValue(TenorBasis6M,R648,InterestRatesTrigger)</f>
        <v>#VALUE!</v>
      </c>
      <c r="AA648" s="30" t="e">
        <f t="shared" si="33"/>
        <v>#VALUE!</v>
      </c>
    </row>
    <row r="649" spans="15:27" x14ac:dyDescent="0.2">
      <c r="O649" s="33">
        <v>1</v>
      </c>
      <c r="P649" s="27" t="str">
        <f>_xll.qlPeriodEquivalent(P648&amp;"+"&amp;O649&amp;"M")</f>
        <v>53Y10M</v>
      </c>
      <c r="Q649" s="28">
        <f>_xll.qlCalendarAdvance(Calendar,SettlementDate,P649,"f",,Trigger)</f>
        <v>61942</v>
      </c>
      <c r="R649" s="28">
        <f>_xll.qlInterestRateIndexValueDate(Index,Q649,Trigger)</f>
        <v>61946</v>
      </c>
      <c r="S649" s="28">
        <f>_xll.qlInterestRateIndexMaturity(Index,R649,Trigger)</f>
        <v>61977</v>
      </c>
      <c r="T649" s="30">
        <f>_xll.qlIndexFixing($M$6,Q649,,InterestRatesTrigger)</f>
        <v>1.2928613910980697E-2</v>
      </c>
      <c r="U649" s="30">
        <f>_xll.qlIndexFixing(Index,Q649,,InterestRatesTrigger)</f>
        <v>1.2835128156820856E-2</v>
      </c>
      <c r="V649" s="30">
        <f t="shared" si="32"/>
        <v>-9.3485754159841269E-5</v>
      </c>
      <c r="W649" s="29">
        <f>_xll.qlDayCounterYearFraction(DayCounter,SettlementDate,R649,,,Trigger)</f>
        <v>54.630555555555553</v>
      </c>
      <c r="X649" s="29">
        <f>_xll.qlDayCounterYearFraction(DayCounter,R649,S649)</f>
        <v>8.611111111111111E-2</v>
      </c>
      <c r="Y649" s="29">
        <f>_xll.qlYieldTSDiscount(Currency&amp;"ON",R649)/(1+U649*X649)</f>
        <v>0.47566803157010834</v>
      </c>
      <c r="Z649" s="30" t="e">
        <f>_xll.qlTenorBasisValue(TenorBasis6M,R649,InterestRatesTrigger)</f>
        <v>#VALUE!</v>
      </c>
      <c r="AA649" s="30" t="e">
        <f t="shared" si="33"/>
        <v>#VALUE!</v>
      </c>
    </row>
    <row r="650" spans="15:27" x14ac:dyDescent="0.2">
      <c r="O650" s="33">
        <v>1</v>
      </c>
      <c r="P650" s="27" t="str">
        <f>_xll.qlPeriodEquivalent(P649&amp;"+"&amp;O650&amp;"M")</f>
        <v>53Y11M</v>
      </c>
      <c r="Q650" s="28">
        <f>_xll.qlCalendarAdvance(Calendar,SettlementDate,P650,"f",,Trigger)</f>
        <v>61973</v>
      </c>
      <c r="R650" s="28">
        <f>_xll.qlInterestRateIndexValueDate(Index,Q650,Trigger)</f>
        <v>61975</v>
      </c>
      <c r="S650" s="28">
        <f>_xll.qlInterestRateIndexMaturity(Index,R650,Trigger)</f>
        <v>62005</v>
      </c>
      <c r="T650" s="30">
        <f>_xll.qlIndexFixing($M$6,Q650,,InterestRatesTrigger)</f>
        <v>1.2943205575500549E-2</v>
      </c>
      <c r="U650" s="30">
        <f>_xll.qlIndexFixing(Index,Q650,,InterestRatesTrigger)</f>
        <v>1.2854167480406353E-2</v>
      </c>
      <c r="V650" s="30">
        <f t="shared" si="32"/>
        <v>-8.9038095094196024E-5</v>
      </c>
      <c r="W650" s="29">
        <f>_xll.qlDayCounterYearFraction(DayCounter,SettlementDate,R650,,,Trigger)</f>
        <v>54.711111111111109</v>
      </c>
      <c r="X650" s="29">
        <f>_xll.qlDayCounterYearFraction(DayCounter,R650,S650)</f>
        <v>8.3333333333333329E-2</v>
      </c>
      <c r="Y650" s="29">
        <f>_xll.qlYieldTSDiscount(Currency&amp;"ON",R650)/(1+U650*X650)</f>
        <v>0.47518936006796159</v>
      </c>
      <c r="Z650" s="30" t="e">
        <f>_xll.qlTenorBasisValue(TenorBasis6M,R650,InterestRatesTrigger)</f>
        <v>#VALUE!</v>
      </c>
      <c r="AA650" s="30" t="e">
        <f t="shared" si="33"/>
        <v>#VALUE!</v>
      </c>
    </row>
    <row r="651" spans="15:27" x14ac:dyDescent="0.2">
      <c r="O651" s="33">
        <v>1</v>
      </c>
      <c r="P651" s="27" t="str">
        <f>_xll.qlPeriodEquivalent(P650&amp;"+"&amp;O651&amp;"M")</f>
        <v>54Y</v>
      </c>
      <c r="Q651" s="28">
        <f>_xll.qlCalendarAdvance(Calendar,SettlementDate,P651,"f",,Trigger)</f>
        <v>62003</v>
      </c>
      <c r="R651" s="28">
        <f>_xll.qlInterestRateIndexValueDate(Index,Q651,Trigger)</f>
        <v>62005</v>
      </c>
      <c r="S651" s="28">
        <f>_xll.qlInterestRateIndexMaturity(Index,R651,Trigger)</f>
        <v>62036</v>
      </c>
      <c r="T651" s="30">
        <f>_xll.qlIndexFixing($M$6,Q651,,InterestRatesTrigger)</f>
        <v>1.2959143675005929E-2</v>
      </c>
      <c r="U651" s="30">
        <f>_xll.qlIndexFixing(Index,Q651,,InterestRatesTrigger)</f>
        <v>1.2874811084435738E-2</v>
      </c>
      <c r="V651" s="30">
        <f t="shared" si="32"/>
        <v>-8.4332590570191171E-5</v>
      </c>
      <c r="W651" s="29">
        <f>_xll.qlDayCounterYearFraction(DayCounter,SettlementDate,R651,,,Trigger)</f>
        <v>54.794444444444444</v>
      </c>
      <c r="X651" s="29">
        <f>_xll.qlDayCounterYearFraction(DayCounter,R651,S651)</f>
        <v>8.611111111111111E-2</v>
      </c>
      <c r="Y651" s="29">
        <f>_xll.qlYieldTSDiscount(Currency&amp;"ON",R651)/(1+U651*X651)</f>
        <v>0.4746595998899345</v>
      </c>
      <c r="Z651" s="30" t="e">
        <f>_xll.qlTenorBasisValue(TenorBasis6M,R651,InterestRatesTrigger)</f>
        <v>#VALUE!</v>
      </c>
      <c r="AA651" s="30" t="e">
        <f t="shared" si="33"/>
        <v>#VALUE!</v>
      </c>
    </row>
    <row r="652" spans="15:27" x14ac:dyDescent="0.2">
      <c r="O652" s="33">
        <v>1</v>
      </c>
      <c r="P652" s="27" t="str">
        <f>_xll.qlPeriodEquivalent(P651&amp;"+"&amp;O652&amp;"M")</f>
        <v>54Y1M</v>
      </c>
      <c r="Q652" s="28">
        <f>_xll.qlCalendarAdvance(Calendar,SettlementDate,P652,"f",,Trigger)</f>
        <v>62036</v>
      </c>
      <c r="R652" s="28">
        <f>_xll.qlInterestRateIndexValueDate(Index,Q652,Trigger)</f>
        <v>62038</v>
      </c>
      <c r="S652" s="28">
        <f>_xll.qlInterestRateIndexMaturity(Index,R652,Trigger)</f>
        <v>62068</v>
      </c>
      <c r="T652" s="30">
        <f>_xll.qlIndexFixing($M$6,Q652,,InterestRatesTrigger)</f>
        <v>1.2975464626219235E-2</v>
      </c>
      <c r="U652" s="30">
        <f>_xll.qlIndexFixing(Index,Q652,,InterestRatesTrigger)</f>
        <v>1.2896098197512806E-2</v>
      </c>
      <c r="V652" s="30">
        <f t="shared" si="32"/>
        <v>-7.9366428706428849E-5</v>
      </c>
      <c r="W652" s="29">
        <f>_xll.qlDayCounterYearFraction(DayCounter,SettlementDate,R652,,,Trigger)</f>
        <v>54.886111111111113</v>
      </c>
      <c r="X652" s="29">
        <f>_xll.qlDayCounterYearFraction(DayCounter,R652,S652)</f>
        <v>8.3333333333333329E-2</v>
      </c>
      <c r="Y652" s="29">
        <f>_xll.qlYieldTSDiscount(Currency&amp;"ON",R652)/(1+U652*X652)</f>
        <v>0.47411246510463351</v>
      </c>
      <c r="Z652" s="30" t="e">
        <f>_xll.qlTenorBasisValue(TenorBasis6M,R652,InterestRatesTrigger)</f>
        <v>#VALUE!</v>
      </c>
      <c r="AA652" s="30" t="e">
        <f t="shared" si="33"/>
        <v>#VALUE!</v>
      </c>
    </row>
    <row r="653" spans="15:27" x14ac:dyDescent="0.2">
      <c r="O653" s="33">
        <v>1</v>
      </c>
      <c r="P653" s="27" t="str">
        <f>_xll.qlPeriodEquivalent(P652&amp;"+"&amp;O653&amp;"M")</f>
        <v>54Y2M</v>
      </c>
      <c r="Q653" s="28">
        <f>_xll.qlCalendarAdvance(Calendar,SettlementDate,P653,"f",,Trigger)</f>
        <v>62064</v>
      </c>
      <c r="R653" s="28">
        <f>_xll.qlInterestRateIndexValueDate(Index,Q653,Trigger)</f>
        <v>62066</v>
      </c>
      <c r="S653" s="28">
        <f>_xll.qlInterestRateIndexMaturity(Index,R653,Trigger)</f>
        <v>62099</v>
      </c>
      <c r="T653" s="30">
        <f>_xll.qlIndexFixing($M$6,Q653,,InterestRatesTrigger)</f>
        <v>1.2991027996830889E-2</v>
      </c>
      <c r="U653" s="30">
        <f>_xll.qlIndexFixing(Index,Q653,,InterestRatesTrigger)</f>
        <v>1.2916108866588259E-2</v>
      </c>
      <c r="V653" s="30">
        <f t="shared" si="32"/>
        <v>-7.4919130242630597E-5</v>
      </c>
      <c r="W653" s="29">
        <f>_xll.qlDayCounterYearFraction(DayCounter,SettlementDate,R653,,,Trigger)</f>
        <v>54.963888888888889</v>
      </c>
      <c r="X653" s="29">
        <f>_xll.qlDayCounterYearFraction(DayCounter,R653,S653)</f>
        <v>9.166666666666666E-2</v>
      </c>
      <c r="Y653" s="29">
        <f>_xll.qlYieldTSDiscount(Currency&amp;"ON",R653)/(1+U653*X653)</f>
        <v>0.47358279979793044</v>
      </c>
      <c r="Z653" s="30" t="e">
        <f>_xll.qlTenorBasisValue(TenorBasis6M,R653,InterestRatesTrigger)</f>
        <v>#VALUE!</v>
      </c>
      <c r="AA653" s="30" t="e">
        <f t="shared" si="33"/>
        <v>#VALUE!</v>
      </c>
    </row>
    <row r="654" spans="15:27" x14ac:dyDescent="0.2">
      <c r="O654" s="33">
        <v>1</v>
      </c>
      <c r="P654" s="27" t="str">
        <f>_xll.qlPeriodEquivalent(P653&amp;"+"&amp;O654&amp;"M")</f>
        <v>54Y3M</v>
      </c>
      <c r="Q654" s="28">
        <f>_xll.qlCalendarAdvance(Calendar,SettlementDate,P654,"f",,Trigger)</f>
        <v>62095</v>
      </c>
      <c r="R654" s="28">
        <f>_xll.qlInterestRateIndexValueDate(Index,Q654,Trigger)</f>
        <v>62099</v>
      </c>
      <c r="S654" s="28">
        <f>_xll.qlInterestRateIndexMaturity(Index,R654,Trigger)</f>
        <v>62130</v>
      </c>
      <c r="T654" s="30">
        <f>_xll.qlIndexFixing($M$6,Q654,,InterestRatesTrigger)</f>
        <v>1.3006504493341434E-2</v>
      </c>
      <c r="U654" s="30">
        <f>_xll.qlIndexFixing(Index,Q654,,InterestRatesTrigger)</f>
        <v>1.2936371326632477E-2</v>
      </c>
      <c r="V654" s="30">
        <f t="shared" si="32"/>
        <v>-7.0133166708957403E-5</v>
      </c>
      <c r="W654" s="29">
        <f>_xll.qlDayCounterYearFraction(DayCounter,SettlementDate,R654,,,Trigger)</f>
        <v>55.055555555555557</v>
      </c>
      <c r="X654" s="29">
        <f>_xll.qlDayCounterYearFraction(DayCounter,R654,S654)</f>
        <v>8.611111111111111E-2</v>
      </c>
      <c r="Y654" s="29">
        <f>_xll.qlYieldTSDiscount(Currency&amp;"ON",R654)/(1+U654*X654)</f>
        <v>0.47305258712410198</v>
      </c>
      <c r="Z654" s="30" t="e">
        <f>_xll.qlTenorBasisValue(TenorBasis6M,R654,InterestRatesTrigger)</f>
        <v>#VALUE!</v>
      </c>
      <c r="AA654" s="30" t="e">
        <f t="shared" si="33"/>
        <v>#VALUE!</v>
      </c>
    </row>
    <row r="655" spans="15:27" x14ac:dyDescent="0.2">
      <c r="O655" s="33">
        <v>1</v>
      </c>
      <c r="P655" s="27" t="str">
        <f>_xll.qlPeriodEquivalent(P654&amp;"+"&amp;O655&amp;"M")</f>
        <v>54Y4M</v>
      </c>
      <c r="Q655" s="28">
        <f>_xll.qlCalendarAdvance(Calendar,SettlementDate,P655,"f",,Trigger)</f>
        <v>62127</v>
      </c>
      <c r="R655" s="28">
        <f>_xll.qlInterestRateIndexValueDate(Index,Q655,Trigger)</f>
        <v>62129</v>
      </c>
      <c r="S655" s="28">
        <f>_xll.qlInterestRateIndexMaturity(Index,R655,Trigger)</f>
        <v>62157</v>
      </c>
      <c r="T655" s="30">
        <f>_xll.qlIndexFixing($M$6,Q655,,InterestRatesTrigger)</f>
        <v>1.3019842794070233E-2</v>
      </c>
      <c r="U655" s="30">
        <f>_xll.qlIndexFixing(Index,Q655,,InterestRatesTrigger)</f>
        <v>1.2953927492267743E-2</v>
      </c>
      <c r="V655" s="30">
        <f t="shared" si="32"/>
        <v>-6.5915301802490708E-5</v>
      </c>
      <c r="W655" s="29">
        <f>_xll.qlDayCounterYearFraction(DayCounter,SettlementDate,R655,,,Trigger)</f>
        <v>55.138888888888886</v>
      </c>
      <c r="X655" s="29">
        <f>_xll.qlDayCounterYearFraction(DayCounter,R655,S655)</f>
        <v>7.7777777777777779E-2</v>
      </c>
      <c r="Y655" s="29">
        <f>_xll.qlYieldTSDiscount(Currency&amp;"ON",R655)/(1+U655*X655)</f>
        <v>0.47259067662394616</v>
      </c>
      <c r="Z655" s="30" t="e">
        <f>_xll.qlTenorBasisValue(TenorBasis6M,R655,InterestRatesTrigger)</f>
        <v>#VALUE!</v>
      </c>
      <c r="AA655" s="30" t="e">
        <f t="shared" si="33"/>
        <v>#VALUE!</v>
      </c>
    </row>
    <row r="656" spans="15:27" x14ac:dyDescent="0.2">
      <c r="O656" s="33">
        <v>1</v>
      </c>
      <c r="P656" s="27" t="str">
        <f>_xll.qlPeriodEquivalent(P655&amp;"+"&amp;O656&amp;"M")</f>
        <v>54Y5M</v>
      </c>
      <c r="Q656" s="28">
        <f>_xll.qlCalendarAdvance(Calendar,SettlementDate,P656,"f",,Trigger)</f>
        <v>62155</v>
      </c>
      <c r="R656" s="28">
        <f>_xll.qlInterestRateIndexValueDate(Index,Q656,Trigger)</f>
        <v>62157</v>
      </c>
      <c r="S656" s="28">
        <f>_xll.qlInterestRateIndexMaturity(Index,R656,Trigger)</f>
        <v>62190</v>
      </c>
      <c r="T656" s="30">
        <f>_xll.qlIndexFixing($M$6,Q656,,InterestRatesTrigger)</f>
        <v>1.303588140071406E-2</v>
      </c>
      <c r="U656" s="30">
        <f>_xll.qlIndexFixing(Index,Q656,,InterestRatesTrigger)</f>
        <v>1.2974410005249289E-2</v>
      </c>
      <c r="V656" s="30">
        <f t="shared" si="32"/>
        <v>-6.1471395464770748E-5</v>
      </c>
      <c r="W656" s="29">
        <f>_xll.qlDayCounterYearFraction(DayCounter,SettlementDate,R656,,,Trigger)</f>
        <v>55.216666666666669</v>
      </c>
      <c r="X656" s="29">
        <f>_xll.qlDayCounterYearFraction(DayCounter,R656,S656)</f>
        <v>9.166666666666666E-2</v>
      </c>
      <c r="Y656" s="29">
        <f>_xll.qlYieldTSDiscount(Currency&amp;"ON",R656)/(1+U656*X656)</f>
        <v>0.47202686479899775</v>
      </c>
      <c r="Z656" s="30" t="e">
        <f>_xll.qlTenorBasisValue(TenorBasis6M,R656,InterestRatesTrigger)</f>
        <v>#VALUE!</v>
      </c>
      <c r="AA656" s="30" t="e">
        <f t="shared" si="33"/>
        <v>#VALUE!</v>
      </c>
    </row>
    <row r="657" spans="15:27" x14ac:dyDescent="0.2">
      <c r="O657" s="33">
        <v>1</v>
      </c>
      <c r="P657" s="27" t="str">
        <f>_xll.qlPeriodEquivalent(P656&amp;"+"&amp;O657&amp;"M")</f>
        <v>54Y6M</v>
      </c>
      <c r="Q657" s="28">
        <f>_xll.qlCalendarAdvance(Calendar,SettlementDate,P657,"f",,Trigger)</f>
        <v>62185</v>
      </c>
      <c r="R657" s="28">
        <f>_xll.qlInterestRateIndexValueDate(Index,Q657,Trigger)</f>
        <v>62187</v>
      </c>
      <c r="S657" s="28">
        <f>_xll.qlInterestRateIndexMaturity(Index,R657,Trigger)</f>
        <v>62218</v>
      </c>
      <c r="T657" s="30">
        <f>_xll.qlIndexFixing($M$6,Q657,,InterestRatesTrigger)</f>
        <v>1.3049382519735416E-2</v>
      </c>
      <c r="U657" s="30">
        <f>_xll.qlIndexFixing(Index,Q657,,InterestRatesTrigger)</f>
        <v>1.299210490352929E-2</v>
      </c>
      <c r="V657" s="30">
        <f t="shared" si="32"/>
        <v>-5.7277616206125731E-5</v>
      </c>
      <c r="W657" s="29">
        <f>_xll.qlDayCounterYearFraction(DayCounter,SettlementDate,R657,,,Trigger)</f>
        <v>55.3</v>
      </c>
      <c r="X657" s="29">
        <f>_xll.qlDayCounterYearFraction(DayCounter,R657,S657)</f>
        <v>8.611111111111111E-2</v>
      </c>
      <c r="Y657" s="29">
        <f>_xll.qlYieldTSDiscount(Currency&amp;"ON",R657)/(1+U657*X657)</f>
        <v>0.47154793480263102</v>
      </c>
      <c r="Z657" s="30" t="e">
        <f>_xll.qlTenorBasisValue(TenorBasis6M,R657,InterestRatesTrigger)</f>
        <v>#VALUE!</v>
      </c>
      <c r="AA657" s="30" t="e">
        <f t="shared" si="33"/>
        <v>#VALUE!</v>
      </c>
    </row>
    <row r="658" spans="15:27" x14ac:dyDescent="0.2">
      <c r="O658" s="33">
        <v>1</v>
      </c>
      <c r="P658" s="27" t="str">
        <f>_xll.qlPeriodEquivalent(P657&amp;"+"&amp;O658&amp;"M")</f>
        <v>54Y7M</v>
      </c>
      <c r="Q658" s="28">
        <f>_xll.qlCalendarAdvance(Calendar,SettlementDate,P658,"f",,Trigger)</f>
        <v>62215</v>
      </c>
      <c r="R658" s="28">
        <f>_xll.qlInterestRateIndexValueDate(Index,Q658,Trigger)</f>
        <v>62219</v>
      </c>
      <c r="S658" s="28">
        <f>_xll.qlInterestRateIndexMaturity(Index,R658,Trigger)</f>
        <v>62250</v>
      </c>
      <c r="T658" s="30">
        <f>_xll.qlIndexFixing($M$6,Q658,,InterestRatesTrigger)</f>
        <v>1.3064617184795221E-2</v>
      </c>
      <c r="U658" s="30">
        <f>_xll.qlIndexFixing(Index,Q658,,InterestRatesTrigger)</f>
        <v>1.3011907206077979E-2</v>
      </c>
      <c r="V658" s="30">
        <f t="shared" si="32"/>
        <v>-5.2709978717242409E-5</v>
      </c>
      <c r="W658" s="29">
        <f>_xll.qlDayCounterYearFraction(DayCounter,SettlementDate,R658,,,Trigger)</f>
        <v>55.388888888888886</v>
      </c>
      <c r="X658" s="29">
        <f>_xll.qlDayCounterYearFraction(DayCounter,R658,S658)</f>
        <v>8.611111111111111E-2</v>
      </c>
      <c r="Y658" s="29">
        <f>_xll.qlYieldTSDiscount(Currency&amp;"ON",R658)/(1+U658*X658)</f>
        <v>0.47100077666482842</v>
      </c>
      <c r="Z658" s="30" t="e">
        <f>_xll.qlTenorBasisValue(TenorBasis6M,R658,InterestRatesTrigger)</f>
        <v>#VALUE!</v>
      </c>
      <c r="AA658" s="30" t="e">
        <f t="shared" si="33"/>
        <v>#VALUE!</v>
      </c>
    </row>
    <row r="659" spans="15:27" x14ac:dyDescent="0.2">
      <c r="O659" s="33">
        <v>1</v>
      </c>
      <c r="P659" s="27" t="str">
        <f>_xll.qlPeriodEquivalent(P658&amp;"+"&amp;O659&amp;"M")</f>
        <v>54Y8M</v>
      </c>
      <c r="Q659" s="28">
        <f>_xll.qlCalendarAdvance(Calendar,SettlementDate,P659,"f",,Trigger)</f>
        <v>62246</v>
      </c>
      <c r="R659" s="28">
        <f>_xll.qlInterestRateIndexValueDate(Index,Q659,Trigger)</f>
        <v>62248</v>
      </c>
      <c r="S659" s="28">
        <f>_xll.qlInterestRateIndexMaturity(Index,R659,Trigger)</f>
        <v>62278</v>
      </c>
      <c r="T659" s="30">
        <f>_xll.qlIndexFixing($M$6,Q659,,InterestRatesTrigger)</f>
        <v>1.3077785839233691E-2</v>
      </c>
      <c r="U659" s="30">
        <f>_xll.qlIndexFixing(Index,Q659,,InterestRatesTrigger)</f>
        <v>1.302909704063282E-2</v>
      </c>
      <c r="V659" s="30">
        <f t="shared" si="32"/>
        <v>-4.8688798600871053E-5</v>
      </c>
      <c r="W659" s="29">
        <f>_xll.qlDayCounterYearFraction(DayCounter,SettlementDate,R659,,,Trigger)</f>
        <v>55.469444444444441</v>
      </c>
      <c r="X659" s="29">
        <f>_xll.qlDayCounterYearFraction(DayCounter,R659,S659)</f>
        <v>8.3333333333333329E-2</v>
      </c>
      <c r="Y659" s="29">
        <f>_xll.qlYieldTSDiscount(Currency&amp;"ON",R659)/(1+U659*X659)</f>
        <v>0.47052195379023593</v>
      </c>
      <c r="Z659" s="30" t="e">
        <f>_xll.qlTenorBasisValue(TenorBasis6M,R659,InterestRatesTrigger)</f>
        <v>#VALUE!</v>
      </c>
      <c r="AA659" s="30" t="e">
        <f t="shared" si="33"/>
        <v>#VALUE!</v>
      </c>
    </row>
    <row r="660" spans="15:27" x14ac:dyDescent="0.2">
      <c r="O660" s="33">
        <v>1</v>
      </c>
      <c r="P660" s="27" t="str">
        <f>_xll.qlPeriodEquivalent(P659&amp;"+"&amp;O660&amp;"M")</f>
        <v>54Y9M</v>
      </c>
      <c r="Q660" s="28">
        <f>_xll.qlCalendarAdvance(Calendar,SettlementDate,P660,"f",,Trigger)</f>
        <v>62276</v>
      </c>
      <c r="R660" s="28">
        <f>_xll.qlInterestRateIndexValueDate(Index,Q660,Trigger)</f>
        <v>62278</v>
      </c>
      <c r="S660" s="28">
        <f>_xll.qlInterestRateIndexMaturity(Index,R660,Trigger)</f>
        <v>62309</v>
      </c>
      <c r="T660" s="30">
        <f>_xll.qlIndexFixing($M$6,Q660,,InterestRatesTrigger)</f>
        <v>1.3092197869496483E-2</v>
      </c>
      <c r="U660" s="30">
        <f>_xll.qlIndexFixing(Index,Q660,,InterestRatesTrigger)</f>
        <v>1.3047757135706757E-2</v>
      </c>
      <c r="V660" s="30">
        <f t="shared" si="32"/>
        <v>-4.4440733789726655E-5</v>
      </c>
      <c r="W660" s="29">
        <f>_xll.qlDayCounterYearFraction(DayCounter,SettlementDate,R660,,,Trigger)</f>
        <v>55.552777777777777</v>
      </c>
      <c r="X660" s="29">
        <f>_xll.qlDayCounterYearFraction(DayCounter,R660,S660)</f>
        <v>8.611111111111111E-2</v>
      </c>
      <c r="Y660" s="29">
        <f>_xll.qlYieldTSDiscount(Currency&amp;"ON",R660)/(1+U660*X660)</f>
        <v>0.46999198405288706</v>
      </c>
      <c r="Z660" s="30" t="e">
        <f>_xll.qlTenorBasisValue(TenorBasis6M,R660,InterestRatesTrigger)</f>
        <v>#VALUE!</v>
      </c>
      <c r="AA660" s="30" t="e">
        <f t="shared" si="33"/>
        <v>#VALUE!</v>
      </c>
    </row>
    <row r="661" spans="15:27" x14ac:dyDescent="0.2">
      <c r="O661" s="33">
        <v>1</v>
      </c>
      <c r="P661" s="27" t="str">
        <f>_xll.qlPeriodEquivalent(P660&amp;"+"&amp;O661&amp;"M")</f>
        <v>54Y10M</v>
      </c>
      <c r="Q661" s="28">
        <f>_xll.qlCalendarAdvance(Calendar,SettlementDate,P661,"f",,Trigger)</f>
        <v>62309</v>
      </c>
      <c r="R661" s="28">
        <f>_xll.qlInterestRateIndexValueDate(Index,Q661,Trigger)</f>
        <v>62311</v>
      </c>
      <c r="S661" s="28">
        <f>_xll.qlInterestRateIndexMaturity(Index,R661,Trigger)</f>
        <v>62344</v>
      </c>
      <c r="T661" s="30">
        <f>_xll.qlIndexFixing($M$6,Q661,,InterestRatesTrigger)</f>
        <v>1.3108265032343202E-2</v>
      </c>
      <c r="U661" s="30">
        <f>_xll.qlIndexFixing(Index,Q661,,InterestRatesTrigger)</f>
        <v>1.3068495648343902E-2</v>
      </c>
      <c r="V661" s="30">
        <f t="shared" si="32"/>
        <v>-3.9769383999299635E-5</v>
      </c>
      <c r="W661" s="29">
        <f>_xll.qlDayCounterYearFraction(DayCounter,SettlementDate,R661,,,Trigger)</f>
        <v>55.644444444444446</v>
      </c>
      <c r="X661" s="29">
        <f>_xll.qlDayCounterYearFraction(DayCounter,R661,S661)</f>
        <v>9.166666666666666E-2</v>
      </c>
      <c r="Y661" s="29">
        <f>_xll.qlYieldTSDiscount(Currency&amp;"ON",R661)/(1+U661*X661)</f>
        <v>0.46939369566126765</v>
      </c>
      <c r="Z661" s="30" t="e">
        <f>_xll.qlTenorBasisValue(TenorBasis6M,R661,InterestRatesTrigger)</f>
        <v>#VALUE!</v>
      </c>
      <c r="AA661" s="30" t="e">
        <f t="shared" si="33"/>
        <v>#VALUE!</v>
      </c>
    </row>
    <row r="662" spans="15:27" x14ac:dyDescent="0.2">
      <c r="O662" s="33">
        <v>1</v>
      </c>
      <c r="P662" s="27" t="str">
        <f>_xll.qlPeriodEquivalent(P661&amp;"+"&amp;O662&amp;"M")</f>
        <v>54Y11M</v>
      </c>
      <c r="Q662" s="28">
        <f>_xll.qlCalendarAdvance(Calendar,SettlementDate,P662,"f",,Trigger)</f>
        <v>62338</v>
      </c>
      <c r="R662" s="28">
        <f>_xll.qlInterestRateIndexValueDate(Index,Q662,Trigger)</f>
        <v>62340</v>
      </c>
      <c r="S662" s="28">
        <f>_xll.qlInterestRateIndexMaturity(Index,R662,Trigger)</f>
        <v>62372</v>
      </c>
      <c r="T662" s="30">
        <f>_xll.qlIndexFixing($M$6,Q662,,InterestRatesTrigger)</f>
        <v>1.3120923945032503E-2</v>
      </c>
      <c r="U662" s="30">
        <f>_xll.qlIndexFixing(Index,Q662,,InterestRatesTrigger)</f>
        <v>1.3085022954659464E-2</v>
      </c>
      <c r="V662" s="30">
        <f t="shared" si="32"/>
        <v>-3.5900990373038955E-5</v>
      </c>
      <c r="W662" s="29">
        <f>_xll.qlDayCounterYearFraction(DayCounter,SettlementDate,R662,,,Trigger)</f>
        <v>55.725000000000001</v>
      </c>
      <c r="X662" s="29">
        <f>_xll.qlDayCounterYearFraction(DayCounter,R662,S662)</f>
        <v>8.8888888888888892E-2</v>
      </c>
      <c r="Y662" s="29">
        <f>_xll.qlYieldTSDiscount(Currency&amp;"ON",R662)/(1+U662*X662)</f>
        <v>0.4689149493675851</v>
      </c>
      <c r="Z662" s="30" t="e">
        <f>_xll.qlTenorBasisValue(TenorBasis6M,R662,InterestRatesTrigger)</f>
        <v>#VALUE!</v>
      </c>
      <c r="AA662" s="30" t="e">
        <f t="shared" si="33"/>
        <v>#VALUE!</v>
      </c>
    </row>
    <row r="663" spans="15:27" x14ac:dyDescent="0.2">
      <c r="O663" s="33">
        <v>1</v>
      </c>
      <c r="P663" s="27" t="str">
        <f>_xll.qlPeriodEquivalent(P662&amp;"+"&amp;O663&amp;"M")</f>
        <v>55Y</v>
      </c>
      <c r="Q663" s="28">
        <f>_xll.qlCalendarAdvance(Calendar,SettlementDate,P663,"f",,Trigger)</f>
        <v>62368</v>
      </c>
      <c r="R663" s="28">
        <f>_xll.qlInterestRateIndexValueDate(Index,Q663,Trigger)</f>
        <v>62372</v>
      </c>
      <c r="S663" s="28">
        <f>_xll.qlInterestRateIndexMaturity(Index,R663,Trigger)</f>
        <v>62403</v>
      </c>
      <c r="T663" s="30">
        <f>_xll.qlIndexFixing($M$6,Q663,,InterestRatesTrigger)</f>
        <v>1.3134754774923228E-2</v>
      </c>
      <c r="U663" s="30">
        <f>_xll.qlIndexFixing(Index,Q663,,InterestRatesTrigger)</f>
        <v>1.3103073560092326E-2</v>
      </c>
      <c r="V663" s="30">
        <f t="shared" si="32"/>
        <v>-3.1681214830901749E-5</v>
      </c>
      <c r="W663" s="29">
        <f>_xll.qlDayCounterYearFraction(DayCounter,SettlementDate,R663,,,Trigger)</f>
        <v>55.81388888888889</v>
      </c>
      <c r="X663" s="29">
        <f>_xll.qlDayCounterYearFraction(DayCounter,R663,S663)</f>
        <v>8.611111111111111E-2</v>
      </c>
      <c r="Y663" s="29">
        <f>_xll.qlYieldTSDiscount(Currency&amp;"ON",R663)/(1+U663*X663)</f>
        <v>0.46838496647988953</v>
      </c>
      <c r="Z663" s="30" t="e">
        <f>_xll.qlTenorBasisValue(TenorBasis6M,R663,InterestRatesTrigger)</f>
        <v>#VALUE!</v>
      </c>
      <c r="AA663" s="30" t="e">
        <f t="shared" si="33"/>
        <v>#VALUE!</v>
      </c>
    </row>
    <row r="664" spans="15:27" x14ac:dyDescent="0.2">
      <c r="O664" s="33">
        <v>1</v>
      </c>
      <c r="P664" s="27" t="str">
        <f>_xll.qlPeriodEquivalent(P663&amp;"+"&amp;O664&amp;"M")</f>
        <v>55Y1M</v>
      </c>
      <c r="Q664" s="28">
        <f>_xll.qlCalendarAdvance(Calendar,SettlementDate,P664,"f",,Trigger)</f>
        <v>62400</v>
      </c>
      <c r="R664" s="28">
        <f>_xll.qlInterestRateIndexValueDate(Index,Q664,Trigger)</f>
        <v>62402</v>
      </c>
      <c r="S664" s="28">
        <f>_xll.qlInterestRateIndexMaturity(Index,R664,Trigger)</f>
        <v>62432</v>
      </c>
      <c r="T664" s="30">
        <f>_xll.qlIndexFixing($M$6,Q664,,InterestRatesTrigger)</f>
        <v>1.3147514061653709E-2</v>
      </c>
      <c r="U664" s="30">
        <f>_xll.qlIndexFixing(Index,Q664,,InterestRatesTrigger)</f>
        <v>1.3119731361928899E-2</v>
      </c>
      <c r="V664" s="30">
        <f t="shared" si="32"/>
        <v>-2.7782699724809845E-5</v>
      </c>
      <c r="W664" s="29">
        <f>_xll.qlDayCounterYearFraction(DayCounter,SettlementDate,R664,,,Trigger)</f>
        <v>55.897222222222226</v>
      </c>
      <c r="X664" s="29">
        <f>_xll.qlDayCounterYearFraction(DayCounter,R664,S664)</f>
        <v>8.3333333333333329E-2</v>
      </c>
      <c r="Y664" s="29">
        <f>_xll.qlYieldTSDiscount(Currency&amp;"ON",R664)/(1+U664*X664)</f>
        <v>0.46788923016603257</v>
      </c>
      <c r="Z664" s="30" t="e">
        <f>_xll.qlTenorBasisValue(TenorBasis6M,R664,InterestRatesTrigger)</f>
        <v>#VALUE!</v>
      </c>
      <c r="AA664" s="30" t="e">
        <f t="shared" si="33"/>
        <v>#VALUE!</v>
      </c>
    </row>
    <row r="665" spans="15:27" x14ac:dyDescent="0.2">
      <c r="O665" s="33">
        <v>1</v>
      </c>
      <c r="P665" s="27" t="str">
        <f>_xll.qlPeriodEquivalent(P664&amp;"+"&amp;O665&amp;"M")</f>
        <v>55Y2M</v>
      </c>
      <c r="Q665" s="28">
        <f>_xll.qlCalendarAdvance(Calendar,SettlementDate,P665,"f",,Trigger)</f>
        <v>62429</v>
      </c>
      <c r="R665" s="28">
        <f>_xll.qlInterestRateIndexValueDate(Index,Q665,Trigger)</f>
        <v>62431</v>
      </c>
      <c r="S665" s="28">
        <f>_xll.qlInterestRateIndexMaturity(Index,R665,Trigger)</f>
        <v>62463</v>
      </c>
      <c r="T665" s="30">
        <f>_xll.qlIndexFixing($M$6,Q665,,InterestRatesTrigger)</f>
        <v>1.3161035309090241E-2</v>
      </c>
      <c r="U665" s="30">
        <f>_xll.qlIndexFixing(Index,Q665,,InterestRatesTrigger)</f>
        <v>1.3137160679739246E-2</v>
      </c>
      <c r="V665" s="30">
        <f t="shared" si="32"/>
        <v>-2.3874629350995047E-5</v>
      </c>
      <c r="W665" s="29">
        <f>_xll.qlDayCounterYearFraction(DayCounter,SettlementDate,R665,,,Trigger)</f>
        <v>55.977777777777774</v>
      </c>
      <c r="X665" s="29">
        <f>_xll.qlDayCounterYearFraction(DayCounter,R665,S665)</f>
        <v>8.8888888888888892E-2</v>
      </c>
      <c r="Y665" s="29">
        <f>_xll.qlYieldTSDiscount(Currency&amp;"ON",R665)/(1+U665*X665)</f>
        <v>0.4673594770311395</v>
      </c>
      <c r="Z665" s="30" t="e">
        <f>_xll.qlTenorBasisValue(TenorBasis6M,R665,InterestRatesTrigger)</f>
        <v>#VALUE!</v>
      </c>
      <c r="AA665" s="30" t="e">
        <f t="shared" si="33"/>
        <v>#VALUE!</v>
      </c>
    </row>
    <row r="666" spans="15:27" x14ac:dyDescent="0.2">
      <c r="O666" s="33">
        <v>1</v>
      </c>
      <c r="P666" s="27" t="str">
        <f>_xll.qlPeriodEquivalent(P665&amp;"+"&amp;O666&amp;"M")</f>
        <v>55Y3M</v>
      </c>
      <c r="Q666" s="28">
        <f>_xll.qlCalendarAdvance(Calendar,SettlementDate,P666,"f",,Trigger)</f>
        <v>62460</v>
      </c>
      <c r="R666" s="28">
        <f>_xll.qlInterestRateIndexValueDate(Index,Q666,Trigger)</f>
        <v>62464</v>
      </c>
      <c r="S666" s="28">
        <f>_xll.qlInterestRateIndexMaturity(Index,R666,Trigger)</f>
        <v>62495</v>
      </c>
      <c r="T666" s="30">
        <f>_xll.qlIndexFixing($M$6,Q666,,InterestRatesTrigger)</f>
        <v>1.3174720564238625E-2</v>
      </c>
      <c r="U666" s="30">
        <f>_xll.qlIndexFixing(Index,Q666,,InterestRatesTrigger)</f>
        <v>1.315502210636473E-2</v>
      </c>
      <c r="V666" s="30">
        <f t="shared" si="32"/>
        <v>-1.9698457873895334E-5</v>
      </c>
      <c r="W666" s="29">
        <f>_xll.qlDayCounterYearFraction(DayCounter,SettlementDate,R666,,,Trigger)</f>
        <v>56.069444444444443</v>
      </c>
      <c r="X666" s="29">
        <f>_xll.qlDayCounterYearFraction(DayCounter,R666,S666)</f>
        <v>8.611111111111111E-2</v>
      </c>
      <c r="Y666" s="29">
        <f>_xll.qlYieldTSDiscount(Currency&amp;"ON",R666)/(1+U666*X666)</f>
        <v>0.46681259924614898</v>
      </c>
      <c r="Z666" s="30" t="e">
        <f>_xll.qlTenorBasisValue(TenorBasis6M,R666,InterestRatesTrigger)</f>
        <v>#VALUE!</v>
      </c>
      <c r="AA666" s="30" t="e">
        <f t="shared" si="33"/>
        <v>#VALUE!</v>
      </c>
    </row>
    <row r="667" spans="15:27" x14ac:dyDescent="0.2">
      <c r="O667" s="33">
        <v>1</v>
      </c>
      <c r="P667" s="27" t="str">
        <f>_xll.qlPeriodEquivalent(P666&amp;"+"&amp;O667&amp;"M")</f>
        <v>55Y4M</v>
      </c>
      <c r="Q667" s="28">
        <f>_xll.qlCalendarAdvance(Calendar,SettlementDate,P667,"f",,Trigger)</f>
        <v>62491</v>
      </c>
      <c r="R667" s="28">
        <f>_xll.qlInterestRateIndexValueDate(Index,Q667,Trigger)</f>
        <v>62493</v>
      </c>
      <c r="S667" s="28">
        <f>_xll.qlInterestRateIndexMaturity(Index,R667,Trigger)</f>
        <v>62521</v>
      </c>
      <c r="T667" s="30">
        <f>_xll.qlIndexFixing($M$6,Q667,,InterestRatesTrigger)</f>
        <v>1.3185614167926676E-2</v>
      </c>
      <c r="U667" s="30">
        <f>_xll.qlIndexFixing(Index,Q667,,InterestRatesTrigger)</f>
        <v>1.3169400821663972E-2</v>
      </c>
      <c r="V667" s="30">
        <f t="shared" si="32"/>
        <v>-1.6213346262703571E-5</v>
      </c>
      <c r="W667" s="29">
        <f>_xll.qlDayCounterYearFraction(DayCounter,SettlementDate,R667,,,Trigger)</f>
        <v>56.15</v>
      </c>
      <c r="X667" s="29">
        <f>_xll.qlDayCounterYearFraction(DayCounter,R667,S667)</f>
        <v>7.7777777777777779E-2</v>
      </c>
      <c r="Y667" s="29">
        <f>_xll.qlYieldTSDiscount(Currency&amp;"ON",R667)/(1+U667*X667)</f>
        <v>0.46636827859719321</v>
      </c>
      <c r="Z667" s="30" t="e">
        <f>_xll.qlTenorBasisValue(TenorBasis6M,R667,InterestRatesTrigger)</f>
        <v>#VALUE!</v>
      </c>
      <c r="AA667" s="30" t="e">
        <f t="shared" si="33"/>
        <v>#VALUE!</v>
      </c>
    </row>
    <row r="668" spans="15:27" x14ac:dyDescent="0.2">
      <c r="O668" s="33">
        <v>1</v>
      </c>
      <c r="P668" s="27" t="str">
        <f>_xll.qlPeriodEquivalent(P667&amp;"+"&amp;O668&amp;"M")</f>
        <v>55Y5M</v>
      </c>
      <c r="Q668" s="28">
        <f>_xll.qlCalendarAdvance(Calendar,SettlementDate,P668,"f",,Trigger)</f>
        <v>62519</v>
      </c>
      <c r="R668" s="28">
        <f>_xll.qlInterestRateIndexValueDate(Index,Q668,Trigger)</f>
        <v>62521</v>
      </c>
      <c r="S668" s="28">
        <f>_xll.qlInterestRateIndexMaturity(Index,R668,Trigger)</f>
        <v>62554</v>
      </c>
      <c r="T668" s="30">
        <f>_xll.qlIndexFixing($M$6,Q668,,InterestRatesTrigger)</f>
        <v>1.3199523050525418E-2</v>
      </c>
      <c r="U668" s="30">
        <f>_xll.qlIndexFixing(Index,Q668,,InterestRatesTrigger)</f>
        <v>1.3187115109194056E-2</v>
      </c>
      <c r="V668" s="30">
        <f t="shared" si="32"/>
        <v>-1.2407941331362554E-5</v>
      </c>
      <c r="W668" s="29">
        <f>_xll.qlDayCounterYearFraction(DayCounter,SettlementDate,R668,,,Trigger)</f>
        <v>56.227777777777774</v>
      </c>
      <c r="X668" s="29">
        <f>_xll.qlDayCounterYearFraction(DayCounter,R668,S668)</f>
        <v>9.166666666666666E-2</v>
      </c>
      <c r="Y668" s="29">
        <f>_xll.qlYieldTSDiscount(Currency&amp;"ON",R668)/(1+U668*X668)</f>
        <v>0.46580461767299941</v>
      </c>
      <c r="Z668" s="30" t="e">
        <f>_xll.qlTenorBasisValue(TenorBasis6M,R668,InterestRatesTrigger)</f>
        <v>#VALUE!</v>
      </c>
      <c r="AA668" s="30" t="e">
        <f t="shared" si="33"/>
        <v>#VALUE!</v>
      </c>
    </row>
    <row r="669" spans="15:27" x14ac:dyDescent="0.2">
      <c r="O669" s="33">
        <v>1</v>
      </c>
      <c r="P669" s="27" t="str">
        <f>_xll.qlPeriodEquivalent(P668&amp;"+"&amp;O669&amp;"M")</f>
        <v>55Y6M</v>
      </c>
      <c r="Q669" s="28">
        <f>_xll.qlCalendarAdvance(Calendar,SettlementDate,P669,"f",,Trigger)</f>
        <v>62550</v>
      </c>
      <c r="R669" s="28">
        <f>_xll.qlInterestRateIndexValueDate(Index,Q669,Trigger)</f>
        <v>62554</v>
      </c>
      <c r="S669" s="28">
        <f>_xll.qlInterestRateIndexMaturity(Index,R669,Trigger)</f>
        <v>62584</v>
      </c>
      <c r="T669" s="30">
        <f>_xll.qlIndexFixing($M$6,Q669,,InterestRatesTrigger)</f>
        <v>1.3211718299651842E-2</v>
      </c>
      <c r="U669" s="30">
        <f>_xll.qlIndexFixing(Index,Q669,,InterestRatesTrigger)</f>
        <v>1.320318577423496E-2</v>
      </c>
      <c r="V669" s="30">
        <f t="shared" si="32"/>
        <v>-8.5325254168822084E-6</v>
      </c>
      <c r="W669" s="29">
        <f>_xll.qlDayCounterYearFraction(DayCounter,SettlementDate,R669,,,Trigger)</f>
        <v>56.319444444444443</v>
      </c>
      <c r="X669" s="29">
        <f>_xll.qlDayCounterYearFraction(DayCounter,R669,S669)</f>
        <v>8.3333333333333329E-2</v>
      </c>
      <c r="Y669" s="29">
        <f>_xll.qlYieldTSDiscount(Currency&amp;"ON",R669)/(1+U669*X669)</f>
        <v>0.46529214362529886</v>
      </c>
      <c r="Z669" s="30" t="e">
        <f>_xll.qlTenorBasisValue(TenorBasis6M,R669,InterestRatesTrigger)</f>
        <v>#VALUE!</v>
      </c>
      <c r="AA669" s="30" t="e">
        <f t="shared" si="33"/>
        <v>#VALUE!</v>
      </c>
    </row>
    <row r="670" spans="15:27" x14ac:dyDescent="0.2">
      <c r="O670" s="33">
        <v>1</v>
      </c>
      <c r="P670" s="27" t="str">
        <f>_xll.qlPeriodEquivalent(P669&amp;"+"&amp;O670&amp;"M")</f>
        <v>55Y7M</v>
      </c>
      <c r="Q670" s="28">
        <f>_xll.qlCalendarAdvance(Calendar,SettlementDate,P670,"f",,Trigger)</f>
        <v>62582</v>
      </c>
      <c r="R670" s="28">
        <f>_xll.qlInterestRateIndexValueDate(Index,Q670,Trigger)</f>
        <v>62584</v>
      </c>
      <c r="S670" s="28">
        <f>_xll.qlInterestRateIndexMaturity(Index,R670,Trigger)</f>
        <v>62617</v>
      </c>
      <c r="T670" s="30">
        <f>_xll.qlIndexFixing($M$6,Q670,,InterestRatesTrigger)</f>
        <v>1.3225159186553983E-2</v>
      </c>
      <c r="U670" s="30">
        <f>_xll.qlIndexFixing(Index,Q670,,InterestRatesTrigger)</f>
        <v>1.3220437708974167E-2</v>
      </c>
      <c r="V670" s="30">
        <f t="shared" si="32"/>
        <v>-4.7214775798151698E-6</v>
      </c>
      <c r="W670" s="29">
        <f>_xll.qlDayCounterYearFraction(DayCounter,SettlementDate,R670,,,Trigger)</f>
        <v>56.402777777777779</v>
      </c>
      <c r="X670" s="29">
        <f>_xll.qlDayCounterYearFraction(DayCounter,R670,S670)</f>
        <v>9.166666666666666E-2</v>
      </c>
      <c r="Y670" s="29">
        <f>_xll.qlYieldTSDiscount(Currency&amp;"ON",R670)/(1+U670*X670)</f>
        <v>0.46472862086588618</v>
      </c>
      <c r="Z670" s="30" t="e">
        <f>_xll.qlTenorBasisValue(TenorBasis6M,R670,InterestRatesTrigger)</f>
        <v>#VALUE!</v>
      </c>
      <c r="AA670" s="30" t="e">
        <f t="shared" si="33"/>
        <v>#VALUE!</v>
      </c>
    </row>
    <row r="671" spans="15:27" x14ac:dyDescent="0.2">
      <c r="O671" s="33">
        <v>1</v>
      </c>
      <c r="P671" s="27" t="str">
        <f>_xll.qlPeriodEquivalent(P670&amp;"+"&amp;O671&amp;"M")</f>
        <v>55Y8M</v>
      </c>
      <c r="Q671" s="28">
        <f>_xll.qlCalendarAdvance(Calendar,SettlementDate,P671,"f",,Trigger)</f>
        <v>62611</v>
      </c>
      <c r="R671" s="28">
        <f>_xll.qlInterestRateIndexValueDate(Index,Q671,Trigger)</f>
        <v>62613</v>
      </c>
      <c r="S671" s="28">
        <f>_xll.qlInterestRateIndexMaturity(Index,R671,Trigger)</f>
        <v>62645</v>
      </c>
      <c r="T671" s="30">
        <f>_xll.qlIndexFixing($M$6,Q671,,InterestRatesTrigger)</f>
        <v>1.3236242766921646E-2</v>
      </c>
      <c r="U671" s="30">
        <f>_xll.qlIndexFixing(Index,Q671,,InterestRatesTrigger)</f>
        <v>1.3234917464916007E-2</v>
      </c>
      <c r="V671" s="30">
        <f t="shared" si="32"/>
        <v>-1.325302005639184E-6</v>
      </c>
      <c r="W671" s="29">
        <f>_xll.qlDayCounterYearFraction(DayCounter,SettlementDate,R671,,,Trigger)</f>
        <v>56.483333333333334</v>
      </c>
      <c r="X671" s="29">
        <f>_xll.qlDayCounterYearFraction(DayCounter,R671,S671)</f>
        <v>8.8888888888888892E-2</v>
      </c>
      <c r="Y671" s="29">
        <f>_xll.qlYieldTSDiscount(Currency&amp;"ON",R671)/(1+U671*X671)</f>
        <v>0.46425054202273575</v>
      </c>
      <c r="Z671" s="30" t="e">
        <f>_xll.qlTenorBasisValue(TenorBasis6M,R671,InterestRatesTrigger)</f>
        <v>#VALUE!</v>
      </c>
      <c r="AA671" s="30" t="e">
        <f t="shared" si="33"/>
        <v>#VALUE!</v>
      </c>
    </row>
    <row r="672" spans="15:27" x14ac:dyDescent="0.2">
      <c r="O672" s="33">
        <v>1</v>
      </c>
      <c r="P672" s="27" t="str">
        <f>_xll.qlPeriodEquivalent(P671&amp;"+"&amp;O672&amp;"M")</f>
        <v>55Y9M</v>
      </c>
      <c r="Q672" s="28">
        <f>_xll.qlCalendarAdvance(Calendar,SettlementDate,P672,"f",,Trigger)</f>
        <v>62641</v>
      </c>
      <c r="R672" s="28">
        <f>_xll.qlInterestRateIndexValueDate(Index,Q672,Trigger)</f>
        <v>62645</v>
      </c>
      <c r="S672" s="28">
        <f>_xll.qlInterestRateIndexMaturity(Index,R672,Trigger)</f>
        <v>62676</v>
      </c>
      <c r="T672" s="30">
        <f>_xll.qlIndexFixing($M$6,Q672,,InterestRatesTrigger)</f>
        <v>1.3248319148990431E-2</v>
      </c>
      <c r="U672" s="30">
        <f>_xll.qlIndexFixing(Index,Q672,,InterestRatesTrigger)</f>
        <v>1.32506877036899E-2</v>
      </c>
      <c r="V672" s="30">
        <f t="shared" si="32"/>
        <v>2.368554699469505E-6</v>
      </c>
      <c r="W672" s="29">
        <f>_xll.qlDayCounterYearFraction(DayCounter,SettlementDate,R672,,,Trigger)</f>
        <v>56.572222222222223</v>
      </c>
      <c r="X672" s="29">
        <f>_xll.qlDayCounterYearFraction(DayCounter,R672,S672)</f>
        <v>8.611111111111111E-2</v>
      </c>
      <c r="Y672" s="29">
        <f>_xll.qlYieldTSDiscount(Currency&amp;"ON",R672)/(1+U672*X672)</f>
        <v>0.46372136673676673</v>
      </c>
      <c r="Z672" s="30" t="e">
        <f>_xll.qlTenorBasisValue(TenorBasis6M,R672,InterestRatesTrigger)</f>
        <v>#VALUE!</v>
      </c>
      <c r="AA672" s="30" t="e">
        <f t="shared" si="33"/>
        <v>#VALUE!</v>
      </c>
    </row>
    <row r="673" spans="15:27" x14ac:dyDescent="0.2">
      <c r="O673" s="33">
        <v>1</v>
      </c>
      <c r="P673" s="27" t="str">
        <f>_xll.qlPeriodEquivalent(P672&amp;"+"&amp;O673&amp;"M")</f>
        <v>55Y10M</v>
      </c>
      <c r="Q673" s="28">
        <f>_xll.qlCalendarAdvance(Calendar,SettlementDate,P673,"f",,Trigger)</f>
        <v>62673</v>
      </c>
      <c r="R673" s="28">
        <f>_xll.qlInterestRateIndexValueDate(Index,Q673,Trigger)</f>
        <v>62675</v>
      </c>
      <c r="S673" s="28">
        <f>_xll.qlInterestRateIndexMaturity(Index,R673,Trigger)</f>
        <v>62708</v>
      </c>
      <c r="T673" s="30">
        <f>_xll.qlIndexFixing($M$6,Q673,,InterestRatesTrigger)</f>
        <v>1.3260724707576768E-2</v>
      </c>
      <c r="U673" s="30">
        <f>_xll.qlIndexFixing(Index,Q673,,InterestRatesTrigger)</f>
        <v>1.3266666893176097E-2</v>
      </c>
      <c r="V673" s="30">
        <f t="shared" si="32"/>
        <v>5.9421855993294082E-6</v>
      </c>
      <c r="W673" s="29">
        <f>_xll.qlDayCounterYearFraction(DayCounter,SettlementDate,R673,,,Trigger)</f>
        <v>56.655555555555559</v>
      </c>
      <c r="X673" s="29">
        <f>_xll.qlDayCounterYearFraction(DayCounter,R673,S673)</f>
        <v>9.166666666666666E-2</v>
      </c>
      <c r="Y673" s="29">
        <f>_xll.qlYieldTSDiscount(Currency&amp;"ON",R673)/(1+U673*X673)</f>
        <v>0.46317525204077831</v>
      </c>
      <c r="Z673" s="30" t="e">
        <f>_xll.qlTenorBasisValue(TenorBasis6M,R673,InterestRatesTrigger)</f>
        <v>#VALUE!</v>
      </c>
      <c r="AA673" s="30" t="e">
        <f t="shared" si="33"/>
        <v>#VALUE!</v>
      </c>
    </row>
    <row r="674" spans="15:27" x14ac:dyDescent="0.2">
      <c r="O674" s="33">
        <v>1</v>
      </c>
      <c r="P674" s="27" t="str">
        <f>_xll.qlPeriodEquivalent(P673&amp;"+"&amp;O674&amp;"M")</f>
        <v>55Y11M</v>
      </c>
      <c r="Q674" s="28">
        <f>_xll.qlCalendarAdvance(Calendar,SettlementDate,P674,"f",,Trigger)</f>
        <v>62703</v>
      </c>
      <c r="R674" s="28">
        <f>_xll.qlInterestRateIndexValueDate(Index,Q674,Trigger)</f>
        <v>62705</v>
      </c>
      <c r="S674" s="28">
        <f>_xll.qlInterestRateIndexMaturity(Index,R674,Trigger)</f>
        <v>62736</v>
      </c>
      <c r="T674" s="30">
        <f>_xll.qlIndexFixing($M$6,Q674,,InterestRatesTrigger)</f>
        <v>1.3271201504304215E-2</v>
      </c>
      <c r="U674" s="30">
        <f>_xll.qlIndexFixing(Index,Q674,,InterestRatesTrigger)</f>
        <v>1.3280430937839064E-2</v>
      </c>
      <c r="V674" s="30">
        <f t="shared" si="32"/>
        <v>9.2294335348498679E-6</v>
      </c>
      <c r="W674" s="29">
        <f>_xll.qlDayCounterYearFraction(DayCounter,SettlementDate,R674,,,Trigger)</f>
        <v>56.738888888888887</v>
      </c>
      <c r="X674" s="29">
        <f>_xll.qlDayCounterYearFraction(DayCounter,R674,S674)</f>
        <v>8.611111111111111E-2</v>
      </c>
      <c r="Y674" s="29">
        <f>_xll.qlYieldTSDiscount(Currency&amp;"ON",R674)/(1+U674*X674)</f>
        <v>0.46269754393115631</v>
      </c>
      <c r="Z674" s="30" t="e">
        <f>_xll.qlTenorBasisValue(TenorBasis6M,R674,InterestRatesTrigger)</f>
        <v>#VALUE!</v>
      </c>
      <c r="AA674" s="30" t="e">
        <f t="shared" si="33"/>
        <v>#VALUE!</v>
      </c>
    </row>
    <row r="675" spans="15:27" x14ac:dyDescent="0.2">
      <c r="O675" s="33">
        <v>1</v>
      </c>
      <c r="P675" s="27" t="str">
        <f>_xll.qlPeriodEquivalent(P674&amp;"+"&amp;O675&amp;"M")</f>
        <v>56Y</v>
      </c>
      <c r="Q675" s="28">
        <f>_xll.qlCalendarAdvance(Calendar,SettlementDate,P675,"f",,Trigger)</f>
        <v>62733</v>
      </c>
      <c r="R675" s="28">
        <f>_xll.qlInterestRateIndexValueDate(Index,Q675,Trigger)</f>
        <v>62737</v>
      </c>
      <c r="S675" s="28">
        <f>_xll.qlInterestRateIndexMaturity(Index,R675,Trigger)</f>
        <v>62768</v>
      </c>
      <c r="T675" s="30">
        <f>_xll.qlIndexFixing($M$6,Q675,,InterestRatesTrigger)</f>
        <v>1.3283089795723894E-2</v>
      </c>
      <c r="U675" s="30">
        <f>_xll.qlIndexFixing(Index,Q675,,InterestRatesTrigger)</f>
        <v>1.329588374287463E-2</v>
      </c>
      <c r="V675" s="30">
        <f t="shared" si="32"/>
        <v>1.2793947150735105E-5</v>
      </c>
      <c r="W675" s="29">
        <f>_xll.qlDayCounterYearFraction(DayCounter,SettlementDate,R675,,,Trigger)</f>
        <v>56.827777777777776</v>
      </c>
      <c r="X675" s="29">
        <f>_xll.qlDayCounterYearFraction(DayCounter,R675,S675)</f>
        <v>8.611111111111111E-2</v>
      </c>
      <c r="Y675" s="29">
        <f>_xll.qlYieldTSDiscount(Currency&amp;"ON",R675)/(1+U675*X675)</f>
        <v>0.46215172822358908</v>
      </c>
      <c r="Z675" s="30" t="e">
        <f>_xll.qlTenorBasisValue(TenorBasis6M,R675,InterestRatesTrigger)</f>
        <v>#VALUE!</v>
      </c>
      <c r="AA675" s="30" t="e">
        <f t="shared" si="33"/>
        <v>#VALUE!</v>
      </c>
    </row>
    <row r="676" spans="15:27" x14ac:dyDescent="0.2">
      <c r="O676" s="33">
        <v>1</v>
      </c>
      <c r="P676" s="27" t="str">
        <f>_xll.qlPeriodEquivalent(P675&amp;"+"&amp;O676&amp;"M")</f>
        <v>56Y1M</v>
      </c>
      <c r="Q676" s="28">
        <f>_xll.qlCalendarAdvance(Calendar,SettlementDate,P676,"f",,Trigger)</f>
        <v>62764</v>
      </c>
      <c r="R676" s="28">
        <f>_xll.qlInterestRateIndexValueDate(Index,Q676,Trigger)</f>
        <v>62766</v>
      </c>
      <c r="S676" s="28">
        <f>_xll.qlInterestRateIndexMaturity(Index,R676,Trigger)</f>
        <v>62796</v>
      </c>
      <c r="T676" s="30">
        <f>_xll.qlIndexFixing($M$6,Q676,,InterestRatesTrigger)</f>
        <v>1.3293246297599204E-2</v>
      </c>
      <c r="U676" s="30">
        <f>_xll.qlIndexFixing(Index,Q676,,InterestRatesTrigger)</f>
        <v>1.330915849215053E-2</v>
      </c>
      <c r="V676" s="30">
        <f t="shared" ref="V676:V722" si="34">U676-T676</f>
        <v>1.5912194551326309E-5</v>
      </c>
      <c r="W676" s="29">
        <f>_xll.qlDayCounterYearFraction(DayCounter,SettlementDate,R676,,,Trigger)</f>
        <v>56.908333333333331</v>
      </c>
      <c r="X676" s="29">
        <f>_xll.qlDayCounterYearFraction(DayCounter,R676,S676)</f>
        <v>8.3333333333333329E-2</v>
      </c>
      <c r="Y676" s="29">
        <f>_xll.qlYieldTSDiscount(Currency&amp;"ON",R676)/(1+U676*X676)</f>
        <v>0.46167429534734916</v>
      </c>
      <c r="Z676" s="30" t="e">
        <f>_xll.qlTenorBasisValue(TenorBasis6M,R676,InterestRatesTrigger)</f>
        <v>#VALUE!</v>
      </c>
      <c r="AA676" s="30" t="e">
        <f t="shared" ref="AA676:AA722" si="35">V676-Z676</f>
        <v>#VALUE!</v>
      </c>
    </row>
    <row r="677" spans="15:27" x14ac:dyDescent="0.2">
      <c r="O677" s="33">
        <v>1</v>
      </c>
      <c r="P677" s="27" t="str">
        <f>_xll.qlPeriodEquivalent(P676&amp;"+"&amp;O677&amp;"M")</f>
        <v>56Y2M</v>
      </c>
      <c r="Q677" s="28">
        <f>_xll.qlCalendarAdvance(Calendar,SettlementDate,P677,"f",,Trigger)</f>
        <v>62794</v>
      </c>
      <c r="R677" s="28">
        <f>_xll.qlInterestRateIndexValueDate(Index,Q677,Trigger)</f>
        <v>62796</v>
      </c>
      <c r="S677" s="28">
        <f>_xll.qlInterestRateIndexMaturity(Index,R677,Trigger)</f>
        <v>62827</v>
      </c>
      <c r="T677" s="30">
        <f>_xll.qlIndexFixing($M$6,Q677,,InterestRatesTrigger)</f>
        <v>1.3304425960159121E-2</v>
      </c>
      <c r="U677" s="30">
        <f>_xll.qlIndexFixing(Index,Q677,,InterestRatesTrigger)</f>
        <v>1.3323617239960572E-2</v>
      </c>
      <c r="V677" s="30">
        <f t="shared" si="34"/>
        <v>1.9191279801451105E-5</v>
      </c>
      <c r="W677" s="29">
        <f>_xll.qlDayCounterYearFraction(DayCounter,SettlementDate,R677,,,Trigger)</f>
        <v>56.991666666666667</v>
      </c>
      <c r="X677" s="29">
        <f>_xll.qlDayCounterYearFraction(DayCounter,R677,S677)</f>
        <v>8.611111111111111E-2</v>
      </c>
      <c r="Y677" s="29">
        <f>_xll.qlYieldTSDiscount(Currency&amp;"ON",R677)/(1+U677*X677)</f>
        <v>0.46114582895192696</v>
      </c>
      <c r="Z677" s="30" t="e">
        <f>_xll.qlTenorBasisValue(TenorBasis6M,R677,InterestRatesTrigger)</f>
        <v>#VALUE!</v>
      </c>
      <c r="AA677" s="30" t="e">
        <f t="shared" si="35"/>
        <v>#VALUE!</v>
      </c>
    </row>
    <row r="678" spans="15:27" x14ac:dyDescent="0.2">
      <c r="O678" s="33">
        <v>1</v>
      </c>
      <c r="P678" s="27" t="str">
        <f>_xll.qlPeriodEquivalent(P677&amp;"+"&amp;O678&amp;"M")</f>
        <v>56Y3M</v>
      </c>
      <c r="Q678" s="28">
        <f>_xll.qlCalendarAdvance(Calendar,SettlementDate,P678,"f",,Trigger)</f>
        <v>62827</v>
      </c>
      <c r="R678" s="28">
        <f>_xll.qlInterestRateIndexValueDate(Index,Q678,Trigger)</f>
        <v>62829</v>
      </c>
      <c r="S678" s="28">
        <f>_xll.qlInterestRateIndexMaturity(Index,R678,Trigger)</f>
        <v>62862</v>
      </c>
      <c r="T678" s="30">
        <f>_xll.qlIndexFixing($M$6,Q678,,InterestRatesTrigger)</f>
        <v>1.3316865779389984E-2</v>
      </c>
      <c r="U678" s="30">
        <f>_xll.qlIndexFixing(Index,Q678,,InterestRatesTrigger)</f>
        <v>1.3339641016976763E-2</v>
      </c>
      <c r="V678" s="30">
        <f t="shared" si="34"/>
        <v>2.2775237586779296E-5</v>
      </c>
      <c r="W678" s="29">
        <f>_xll.qlDayCounterYearFraction(DayCounter,SettlementDate,R678,,,Trigger)</f>
        <v>57.083333333333336</v>
      </c>
      <c r="X678" s="29">
        <f>_xll.qlDayCounterYearFraction(DayCounter,R678,S678)</f>
        <v>9.166666666666666E-2</v>
      </c>
      <c r="Y678" s="29">
        <f>_xll.qlYieldTSDiscount(Currency&amp;"ON",R678)/(1+U678*X678)</f>
        <v>0.46054935109687162</v>
      </c>
      <c r="Z678" s="30" t="e">
        <f>_xll.qlTenorBasisValue(TenorBasis6M,R678,InterestRatesTrigger)</f>
        <v>#VALUE!</v>
      </c>
      <c r="AA678" s="30" t="e">
        <f t="shared" si="35"/>
        <v>#VALUE!</v>
      </c>
    </row>
    <row r="679" spans="15:27" x14ac:dyDescent="0.2">
      <c r="O679" s="33">
        <v>1</v>
      </c>
      <c r="P679" s="27" t="str">
        <f>_xll.qlPeriodEquivalent(P678&amp;"+"&amp;O679&amp;"M")</f>
        <v>56Y4M</v>
      </c>
      <c r="Q679" s="28">
        <f>_xll.qlCalendarAdvance(Calendar,SettlementDate,P679,"f",,Trigger)</f>
        <v>62856</v>
      </c>
      <c r="R679" s="28">
        <f>_xll.qlInterestRateIndexValueDate(Index,Q679,Trigger)</f>
        <v>62858</v>
      </c>
      <c r="S679" s="28">
        <f>_xll.qlInterestRateIndexMaturity(Index,R679,Trigger)</f>
        <v>62887</v>
      </c>
      <c r="T679" s="30">
        <f>_xll.qlIndexFixing($M$6,Q679,,InterestRatesTrigger)</f>
        <v>1.3325188807520085E-2</v>
      </c>
      <c r="U679" s="30">
        <f>_xll.qlIndexFixing(Index,Q679,,InterestRatesTrigger)</f>
        <v>1.3350751495996408E-2</v>
      </c>
      <c r="V679" s="30">
        <f t="shared" si="34"/>
        <v>2.5562688476322634E-5</v>
      </c>
      <c r="W679" s="29">
        <f>_xll.qlDayCounterYearFraction(DayCounter,SettlementDate,R679,,,Trigger)</f>
        <v>57.163888888888891</v>
      </c>
      <c r="X679" s="29">
        <f>_xll.qlDayCounterYearFraction(DayCounter,R679,S679)</f>
        <v>8.0555555555555561E-2</v>
      </c>
      <c r="Y679" s="29">
        <f>_xll.qlYieldTSDiscount(Currency&amp;"ON",R679)/(1+U679*X679)</f>
        <v>0.46012359357859323</v>
      </c>
      <c r="Z679" s="30" t="e">
        <f>_xll.qlTenorBasisValue(TenorBasis6M,R679,InterestRatesTrigger)</f>
        <v>#VALUE!</v>
      </c>
      <c r="AA679" s="30" t="e">
        <f t="shared" si="35"/>
        <v>#VALUE!</v>
      </c>
    </row>
    <row r="680" spans="15:27" x14ac:dyDescent="0.2">
      <c r="O680" s="33">
        <v>1</v>
      </c>
      <c r="P680" s="27" t="str">
        <f>_xll.qlPeriodEquivalent(P679&amp;"+"&amp;O680&amp;"M")</f>
        <v>56Y5M</v>
      </c>
      <c r="Q680" s="28">
        <f>_xll.qlCalendarAdvance(Calendar,SettlementDate,P680,"f",,Trigger)</f>
        <v>62885</v>
      </c>
      <c r="R680" s="28">
        <f>_xll.qlInterestRateIndexValueDate(Index,Q680,Trigger)</f>
        <v>62887</v>
      </c>
      <c r="S680" s="28">
        <f>_xll.qlInterestRateIndexMaturity(Index,R680,Trigger)</f>
        <v>62918</v>
      </c>
      <c r="T680" s="30">
        <f>_xll.qlIndexFixing($M$6,Q680,,InterestRatesTrigger)</f>
        <v>1.3335830176297652E-2</v>
      </c>
      <c r="U680" s="30">
        <f>_xll.qlIndexFixing(Index,Q680,,InterestRatesTrigger)</f>
        <v>1.3364437605770699E-2</v>
      </c>
      <c r="V680" s="30">
        <f t="shared" si="34"/>
        <v>2.8607429473047341E-5</v>
      </c>
      <c r="W680" s="29">
        <f>_xll.qlDayCounterYearFraction(DayCounter,SettlementDate,R680,,,Trigger)</f>
        <v>57.244444444444447</v>
      </c>
      <c r="X680" s="29">
        <f>_xll.qlDayCounterYearFraction(DayCounter,R680,S680)</f>
        <v>8.611111111111111E-2</v>
      </c>
      <c r="Y680" s="29">
        <f>_xll.qlYieldTSDiscount(Currency&amp;"ON",R680)/(1+U680*X680)</f>
        <v>0.45959562519908159</v>
      </c>
      <c r="Z680" s="30" t="e">
        <f>_xll.qlTenorBasisValue(TenorBasis6M,R680,InterestRatesTrigger)</f>
        <v>#VALUE!</v>
      </c>
      <c r="AA680" s="30" t="e">
        <f t="shared" si="35"/>
        <v>#VALUE!</v>
      </c>
    </row>
    <row r="681" spans="15:27" x14ac:dyDescent="0.2">
      <c r="O681" s="33">
        <v>1</v>
      </c>
      <c r="P681" s="27" t="str">
        <f>_xll.qlPeriodEquivalent(P680&amp;"+"&amp;O681&amp;"M")</f>
        <v>56Y6M</v>
      </c>
      <c r="Q681" s="28">
        <f>_xll.qlCalendarAdvance(Calendar,SettlementDate,P681,"f",,Trigger)</f>
        <v>62918</v>
      </c>
      <c r="R681" s="28">
        <f>_xll.qlInterestRateIndexValueDate(Index,Q681,Trigger)</f>
        <v>62920</v>
      </c>
      <c r="S681" s="28">
        <f>_xll.qlInterestRateIndexMaturity(Index,R681,Trigger)</f>
        <v>62950</v>
      </c>
      <c r="T681" s="30">
        <f>_xll.qlIndexFixing($M$6,Q681,,InterestRatesTrigger)</f>
        <v>1.3346350404273899E-2</v>
      </c>
      <c r="U681" s="30">
        <f>_xll.qlIndexFixing(Index,Q681,,InterestRatesTrigger)</f>
        <v>1.3378185176460278E-2</v>
      </c>
      <c r="V681" s="30">
        <f t="shared" si="34"/>
        <v>3.1834772186378757E-5</v>
      </c>
      <c r="W681" s="29">
        <f>_xll.qlDayCounterYearFraction(DayCounter,SettlementDate,R681,,,Trigger)</f>
        <v>57.336111111111109</v>
      </c>
      <c r="X681" s="29">
        <f>_xll.qlDayCounterYearFraction(DayCounter,R681,S681)</f>
        <v>8.3333333333333329E-2</v>
      </c>
      <c r="Y681" s="29">
        <f>_xll.qlYieldTSDiscount(Currency&amp;"ON",R681)/(1+U681*X681)</f>
        <v>0.45905093988083245</v>
      </c>
      <c r="Z681" s="30" t="e">
        <f>_xll.qlTenorBasisValue(TenorBasis6M,R681,InterestRatesTrigger)</f>
        <v>#VALUE!</v>
      </c>
      <c r="AA681" s="30" t="e">
        <f t="shared" si="35"/>
        <v>#VALUE!</v>
      </c>
    </row>
    <row r="682" spans="15:27" x14ac:dyDescent="0.2">
      <c r="O682" s="33">
        <v>1</v>
      </c>
      <c r="P682" s="27" t="str">
        <f>_xll.qlPeriodEquivalent(P681&amp;"+"&amp;O682&amp;"M")</f>
        <v>56Y7M</v>
      </c>
      <c r="Q682" s="28">
        <f>_xll.qlCalendarAdvance(Calendar,SettlementDate,P682,"f",,Trigger)</f>
        <v>62946</v>
      </c>
      <c r="R682" s="28">
        <f>_xll.qlInterestRateIndexValueDate(Index,Q682,Trigger)</f>
        <v>62948</v>
      </c>
      <c r="S682" s="28">
        <f>_xll.qlInterestRateIndexMaturity(Index,R682,Trigger)</f>
        <v>62981</v>
      </c>
      <c r="T682" s="30">
        <f>_xll.qlIndexFixing($M$6,Q682,,InterestRatesTrigger)</f>
        <v>1.335665731970243E-2</v>
      </c>
      <c r="U682" s="30">
        <f>_xll.qlIndexFixing(Index,Q682,,InterestRatesTrigger)</f>
        <v>1.339136359432028E-2</v>
      </c>
      <c r="V682" s="30">
        <f t="shared" si="34"/>
        <v>3.4706274617849961E-5</v>
      </c>
      <c r="W682" s="29">
        <f>_xll.qlDayCounterYearFraction(DayCounter,SettlementDate,R682,,,Trigger)</f>
        <v>57.413888888888891</v>
      </c>
      <c r="X682" s="29">
        <f>_xll.qlDayCounterYearFraction(DayCounter,R682,S682)</f>
        <v>9.166666666666666E-2</v>
      </c>
      <c r="Y682" s="29">
        <f>_xll.qlYieldTSDiscount(Currency&amp;"ON",R682)/(1+U682*X682)</f>
        <v>0.45852333090816083</v>
      </c>
      <c r="Z682" s="30" t="e">
        <f>_xll.qlTenorBasisValue(TenorBasis6M,R682,InterestRatesTrigger)</f>
        <v>#VALUE!</v>
      </c>
      <c r="AA682" s="30" t="e">
        <f t="shared" si="35"/>
        <v>#VALUE!</v>
      </c>
    </row>
    <row r="683" spans="15:27" x14ac:dyDescent="0.2">
      <c r="O683" s="33">
        <v>1</v>
      </c>
      <c r="P683" s="27" t="str">
        <f>_xll.qlPeriodEquivalent(P682&amp;"+"&amp;O683&amp;"M")</f>
        <v>56Y8M</v>
      </c>
      <c r="Q683" s="28">
        <f>_xll.qlCalendarAdvance(Calendar,SettlementDate,P683,"f",,Trigger)</f>
        <v>62977</v>
      </c>
      <c r="R683" s="28">
        <f>_xll.qlInterestRateIndexValueDate(Index,Q683,Trigger)</f>
        <v>62981</v>
      </c>
      <c r="S683" s="28">
        <f>_xll.qlInterestRateIndexMaturity(Index,R683,Trigger)</f>
        <v>63011</v>
      </c>
      <c r="T683" s="30">
        <f>_xll.qlIndexFixing($M$6,Q683,,InterestRatesTrigger)</f>
        <v>1.3365911242953388E-2</v>
      </c>
      <c r="U683" s="30">
        <f>_xll.qlIndexFixing(Index,Q683,,InterestRatesTrigger)</f>
        <v>1.3403611131503013E-2</v>
      </c>
      <c r="V683" s="30">
        <f t="shared" si="34"/>
        <v>3.7699888549624916E-5</v>
      </c>
      <c r="W683" s="29">
        <f>_xll.qlDayCounterYearFraction(DayCounter,SettlementDate,R683,,,Trigger)</f>
        <v>57.505555555555553</v>
      </c>
      <c r="X683" s="29">
        <f>_xll.qlDayCounterYearFraction(DayCounter,R683,S683)</f>
        <v>8.3333333333333329E-2</v>
      </c>
      <c r="Y683" s="29">
        <f>_xll.qlYieldTSDiscount(Currency&amp;"ON",R683)/(1+U683*X683)</f>
        <v>0.45801320196997641</v>
      </c>
      <c r="Z683" s="30" t="e">
        <f>_xll.qlTenorBasisValue(TenorBasis6M,R683,InterestRatesTrigger)</f>
        <v>#VALUE!</v>
      </c>
      <c r="AA683" s="30" t="e">
        <f t="shared" si="35"/>
        <v>#VALUE!</v>
      </c>
    </row>
    <row r="684" spans="15:27" x14ac:dyDescent="0.2">
      <c r="O684" s="33">
        <v>1</v>
      </c>
      <c r="P684" s="27" t="str">
        <f>_xll.qlPeriodEquivalent(P683&amp;"+"&amp;O684&amp;"M")</f>
        <v>56Y9M</v>
      </c>
      <c r="Q684" s="28">
        <f>_xll.qlCalendarAdvance(Calendar,SettlementDate,P684,"f",,Trigger)</f>
        <v>63009</v>
      </c>
      <c r="R684" s="28">
        <f>_xll.qlInterestRateIndexValueDate(Index,Q684,Trigger)</f>
        <v>63011</v>
      </c>
      <c r="S684" s="28">
        <f>_xll.qlInterestRateIndexMaturity(Index,R684,Trigger)</f>
        <v>63044</v>
      </c>
      <c r="T684" s="30">
        <f>_xll.qlIndexFixing($M$6,Q684,,InterestRatesTrigger)</f>
        <v>1.3376421831869935E-2</v>
      </c>
      <c r="U684" s="30">
        <f>_xll.qlIndexFixing(Index,Q684,,InterestRatesTrigger)</f>
        <v>1.3417054314751296E-2</v>
      </c>
      <c r="V684" s="30">
        <f t="shared" si="34"/>
        <v>4.0632482881360413E-5</v>
      </c>
      <c r="W684" s="29">
        <f>_xll.qlDayCounterYearFraction(DayCounter,SettlementDate,R684,,,Trigger)</f>
        <v>57.588888888888889</v>
      </c>
      <c r="X684" s="29">
        <f>_xll.qlDayCounterYearFraction(DayCounter,R684,S684)</f>
        <v>9.166666666666666E-2</v>
      </c>
      <c r="Y684" s="29">
        <f>_xll.qlYieldTSDiscount(Currency&amp;"ON",R684)/(1+U684*X684)</f>
        <v>0.45745202058400619</v>
      </c>
      <c r="Z684" s="30" t="e">
        <f>_xll.qlTenorBasisValue(TenorBasis6M,R684,InterestRatesTrigger)</f>
        <v>#VALUE!</v>
      </c>
      <c r="AA684" s="30" t="e">
        <f t="shared" si="35"/>
        <v>#VALUE!</v>
      </c>
    </row>
    <row r="685" spans="15:27" x14ac:dyDescent="0.2">
      <c r="O685" s="33">
        <v>1</v>
      </c>
      <c r="P685" s="27" t="str">
        <f>_xll.qlPeriodEquivalent(P684&amp;"+"&amp;O685&amp;"M")</f>
        <v>56Y10M</v>
      </c>
      <c r="Q685" s="28">
        <f>_xll.qlCalendarAdvance(Calendar,SettlementDate,P685,"f",,Trigger)</f>
        <v>63038</v>
      </c>
      <c r="R685" s="28">
        <f>_xll.qlInterestRateIndexValueDate(Index,Q685,Trigger)</f>
        <v>63040</v>
      </c>
      <c r="S685" s="28">
        <f>_xll.qlInterestRateIndexMaturity(Index,R685,Trigger)</f>
        <v>63072</v>
      </c>
      <c r="T685" s="30">
        <f>_xll.qlIndexFixing($M$6,Q685,,InterestRatesTrigger)</f>
        <v>1.3384813885427005E-2</v>
      </c>
      <c r="U685" s="30">
        <f>_xll.qlIndexFixing(Index,Q685,,InterestRatesTrigger)</f>
        <v>1.3428035628881285E-2</v>
      </c>
      <c r="V685" s="30">
        <f t="shared" si="34"/>
        <v>4.3221743454280315E-5</v>
      </c>
      <c r="W685" s="29">
        <f>_xll.qlDayCounterYearFraction(DayCounter,SettlementDate,R685,,,Trigger)</f>
        <v>57.669444444444444</v>
      </c>
      <c r="X685" s="29">
        <f>_xll.qlDayCounterYearFraction(DayCounter,R685,S685)</f>
        <v>8.8888888888888892E-2</v>
      </c>
      <c r="Y685" s="29">
        <f>_xll.qlYieldTSDiscount(Currency&amp;"ON",R685)/(1+U685*X685)</f>
        <v>0.4569762498658918</v>
      </c>
      <c r="Z685" s="30" t="e">
        <f>_xll.qlTenorBasisValue(TenorBasis6M,R685,InterestRatesTrigger)</f>
        <v>#VALUE!</v>
      </c>
      <c r="AA685" s="30" t="e">
        <f t="shared" si="35"/>
        <v>#VALUE!</v>
      </c>
    </row>
    <row r="686" spans="15:27" x14ac:dyDescent="0.2">
      <c r="O686" s="33">
        <v>1</v>
      </c>
      <c r="P686" s="27" t="str">
        <f>_xll.qlPeriodEquivalent(P685&amp;"+"&amp;O686&amp;"M")</f>
        <v>56Y11M</v>
      </c>
      <c r="Q686" s="28">
        <f>_xll.qlCalendarAdvance(Calendar,SettlementDate,P686,"f",,Trigger)</f>
        <v>63069</v>
      </c>
      <c r="R686" s="28">
        <f>_xll.qlInterestRateIndexValueDate(Index,Q686,Trigger)</f>
        <v>63073</v>
      </c>
      <c r="S686" s="28">
        <f>_xll.qlInterestRateIndexMaturity(Index,R686,Trigger)</f>
        <v>63103</v>
      </c>
      <c r="T686" s="30">
        <f>_xll.qlIndexFixing($M$6,Q686,,InterestRatesTrigger)</f>
        <v>1.3393792273597604E-2</v>
      </c>
      <c r="U686" s="30">
        <f>_xll.qlIndexFixing(Index,Q686,,InterestRatesTrigger)</f>
        <v>1.3439852052913537E-2</v>
      </c>
      <c r="V686" s="30">
        <f t="shared" si="34"/>
        <v>4.6059779315932303E-5</v>
      </c>
      <c r="W686" s="29">
        <f>_xll.qlDayCounterYearFraction(DayCounter,SettlementDate,R686,,,Trigger)</f>
        <v>57.761111111111113</v>
      </c>
      <c r="X686" s="29">
        <f>_xll.qlDayCounterYearFraction(DayCounter,R686,S686)</f>
        <v>8.3333333333333329E-2</v>
      </c>
      <c r="Y686" s="29">
        <f>_xll.qlYieldTSDiscount(Currency&amp;"ON",R686)/(1+U686*X686)</f>
        <v>0.4564497990143867</v>
      </c>
      <c r="Z686" s="30" t="e">
        <f>_xll.qlTenorBasisValue(TenorBasis6M,R686,InterestRatesTrigger)</f>
        <v>#VALUE!</v>
      </c>
      <c r="AA686" s="30" t="e">
        <f t="shared" si="35"/>
        <v>#VALUE!</v>
      </c>
    </row>
    <row r="687" spans="15:27" x14ac:dyDescent="0.2">
      <c r="O687" s="33">
        <v>1</v>
      </c>
      <c r="P687" s="27" t="str">
        <f>_xll.qlPeriodEquivalent(P686&amp;"+"&amp;O687&amp;"M")</f>
        <v>57Y</v>
      </c>
      <c r="Q687" s="28">
        <f>_xll.qlCalendarAdvance(Calendar,SettlementDate,P687,"f",,Trigger)</f>
        <v>63100</v>
      </c>
      <c r="R687" s="28">
        <f>_xll.qlInterestRateIndexValueDate(Index,Q687,Trigger)</f>
        <v>63102</v>
      </c>
      <c r="S687" s="28">
        <f>_xll.qlInterestRateIndexMaturity(Index,R687,Trigger)</f>
        <v>63135</v>
      </c>
      <c r="T687" s="30">
        <f>_xll.qlIndexFixing($M$6,Q687,,InterestRatesTrigger)</f>
        <v>1.340334550122209E-2</v>
      </c>
      <c r="U687" s="30">
        <f>_xll.qlIndexFixing(Index,Q687,,InterestRatesTrigger)</f>
        <v>1.3452050850561196E-2</v>
      </c>
      <c r="V687" s="30">
        <f t="shared" si="34"/>
        <v>4.8705349339105836E-5</v>
      </c>
      <c r="W687" s="29">
        <f>_xll.qlDayCounterYearFraction(DayCounter,SettlementDate,R687,,,Trigger)</f>
        <v>57.841666666666669</v>
      </c>
      <c r="X687" s="29">
        <f>_xll.qlDayCounterYearFraction(DayCounter,R687,S687)</f>
        <v>9.166666666666666E-2</v>
      </c>
      <c r="Y687" s="29">
        <f>_xll.qlYieldTSDiscount(Currency&amp;"ON",R687)/(1+U687*X687)</f>
        <v>0.45590634728120211</v>
      </c>
      <c r="Z687" s="30" t="e">
        <f>_xll.qlTenorBasisValue(TenorBasis6M,R687,InterestRatesTrigger)</f>
        <v>#VALUE!</v>
      </c>
      <c r="AA687" s="30" t="e">
        <f t="shared" si="35"/>
        <v>#VALUE!</v>
      </c>
    </row>
    <row r="688" spans="15:27" x14ac:dyDescent="0.2">
      <c r="O688" s="33">
        <v>1</v>
      </c>
      <c r="P688" s="27" t="str">
        <f>_xll.qlPeriodEquivalent(P687&amp;"+"&amp;O688&amp;"M")</f>
        <v>57Y1M</v>
      </c>
      <c r="Q688" s="28">
        <f>_xll.qlCalendarAdvance(Calendar,SettlementDate,P688,"f",,Trigger)</f>
        <v>63130</v>
      </c>
      <c r="R688" s="28">
        <f>_xll.qlInterestRateIndexValueDate(Index,Q688,Trigger)</f>
        <v>63132</v>
      </c>
      <c r="S688" s="28">
        <f>_xll.qlInterestRateIndexMaturity(Index,R688,Trigger)</f>
        <v>63163</v>
      </c>
      <c r="T688" s="30">
        <f>_xll.qlIndexFixing($M$6,Q688,,InterestRatesTrigger)</f>
        <v>1.3411018181556924E-2</v>
      </c>
      <c r="U688" s="30">
        <f>_xll.qlIndexFixing(Index,Q688,,InterestRatesTrigger)</f>
        <v>1.3462170070709701E-2</v>
      </c>
      <c r="V688" s="30">
        <f t="shared" si="34"/>
        <v>5.1151889152776728E-5</v>
      </c>
      <c r="W688" s="29">
        <f>_xll.qlDayCounterYearFraction(DayCounter,SettlementDate,R688,,,Trigger)</f>
        <v>57.924999999999997</v>
      </c>
      <c r="X688" s="29">
        <f>_xll.qlDayCounterYearFraction(DayCounter,R688,S688)</f>
        <v>8.611111111111111E-2</v>
      </c>
      <c r="Y688" s="29">
        <f>_xll.qlYieldTSDiscount(Currency&amp;"ON",R688)/(1+U688*X688)</f>
        <v>0.45543133516113177</v>
      </c>
      <c r="Z688" s="30" t="e">
        <f>_xll.qlTenorBasisValue(TenorBasis6M,R688,InterestRatesTrigger)</f>
        <v>#VALUE!</v>
      </c>
      <c r="AA688" s="30" t="e">
        <f t="shared" si="35"/>
        <v>#VALUE!</v>
      </c>
    </row>
    <row r="689" spans="15:27" x14ac:dyDescent="0.2">
      <c r="O689" s="33">
        <v>1</v>
      </c>
      <c r="P689" s="27" t="str">
        <f>_xll.qlPeriodEquivalent(P688&amp;"+"&amp;O689&amp;"M")</f>
        <v>57Y2M</v>
      </c>
      <c r="Q689" s="28">
        <f>_xll.qlCalendarAdvance(Calendar,SettlementDate,P689,"f",,Trigger)</f>
        <v>63160</v>
      </c>
      <c r="R689" s="28">
        <f>_xll.qlInterestRateIndexValueDate(Index,Q689,Trigger)</f>
        <v>63164</v>
      </c>
      <c r="S689" s="28">
        <f>_xll.qlInterestRateIndexMaturity(Index,R689,Trigger)</f>
        <v>63195</v>
      </c>
      <c r="T689" s="30">
        <f>_xll.qlIndexFixing($M$6,Q689,,InterestRatesTrigger)</f>
        <v>1.3419801419662781E-2</v>
      </c>
      <c r="U689" s="30">
        <f>_xll.qlIndexFixing(Index,Q689,,InterestRatesTrigger)</f>
        <v>1.3473586914363393E-2</v>
      </c>
      <c r="V689" s="30">
        <f t="shared" si="34"/>
        <v>5.378549470061271E-5</v>
      </c>
      <c r="W689" s="29">
        <f>_xll.qlDayCounterYearFraction(DayCounter,SettlementDate,R689,,,Trigger)</f>
        <v>58.013888888888886</v>
      </c>
      <c r="X689" s="29">
        <f>_xll.qlDayCounterYearFraction(DayCounter,R689,S689)</f>
        <v>8.611111111111111E-2</v>
      </c>
      <c r="Y689" s="29">
        <f>_xll.qlYieldTSDiscount(Currency&amp;"ON",R689)/(1+U689*X689)</f>
        <v>0.4548886038553861</v>
      </c>
      <c r="Z689" s="30" t="e">
        <f>_xll.qlTenorBasisValue(TenorBasis6M,R689,InterestRatesTrigger)</f>
        <v>#VALUE!</v>
      </c>
      <c r="AA689" s="30" t="e">
        <f t="shared" si="35"/>
        <v>#VALUE!</v>
      </c>
    </row>
    <row r="690" spans="15:27" x14ac:dyDescent="0.2">
      <c r="O690" s="33">
        <v>1</v>
      </c>
      <c r="P690" s="27" t="str">
        <f>_xll.qlPeriodEquivalent(P689&amp;"+"&amp;O690&amp;"M")</f>
        <v>57Y3M</v>
      </c>
      <c r="Q690" s="28">
        <f>_xll.qlCalendarAdvance(Calendar,SettlementDate,P690,"f",,Trigger)</f>
        <v>63191</v>
      </c>
      <c r="R690" s="28">
        <f>_xll.qlInterestRateIndexValueDate(Index,Q690,Trigger)</f>
        <v>63193</v>
      </c>
      <c r="S690" s="28">
        <f>_xll.qlInterestRateIndexMaturity(Index,R690,Trigger)</f>
        <v>63226</v>
      </c>
      <c r="T690" s="30">
        <f>_xll.qlIndexFixing($M$6,Q690,,InterestRatesTrigger)</f>
        <v>1.342831232964253E-2</v>
      </c>
      <c r="U690" s="30">
        <f>_xll.qlIndexFixing(Index,Q690,,InterestRatesTrigger)</f>
        <v>1.3484503854251626E-2</v>
      </c>
      <c r="V690" s="30">
        <f t="shared" si="34"/>
        <v>5.6191524609096322E-5</v>
      </c>
      <c r="W690" s="29">
        <f>_xll.qlDayCounterYearFraction(DayCounter,SettlementDate,R690,,,Trigger)</f>
        <v>58.094444444444441</v>
      </c>
      <c r="X690" s="29">
        <f>_xll.qlDayCounterYearFraction(DayCounter,R690,S690)</f>
        <v>9.166666666666666E-2</v>
      </c>
      <c r="Y690" s="29">
        <f>_xll.qlYieldTSDiscount(Currency&amp;"ON",R690)/(1+U690*X690)</f>
        <v>0.45436298515024665</v>
      </c>
      <c r="Z690" s="30" t="e">
        <f>_xll.qlTenorBasisValue(TenorBasis6M,R690,InterestRatesTrigger)</f>
        <v>#VALUE!</v>
      </c>
      <c r="AA690" s="30" t="e">
        <f t="shared" si="35"/>
        <v>#VALUE!</v>
      </c>
    </row>
    <row r="691" spans="15:27" x14ac:dyDescent="0.2">
      <c r="O691" s="33">
        <v>1</v>
      </c>
      <c r="P691" s="27" t="str">
        <f>_xll.qlPeriodEquivalent(P690&amp;"+"&amp;O691&amp;"M")</f>
        <v>57Y4M</v>
      </c>
      <c r="Q691" s="28">
        <f>_xll.qlCalendarAdvance(Calendar,SettlementDate,P691,"f",,Trigger)</f>
        <v>63222</v>
      </c>
      <c r="R691" s="28">
        <f>_xll.qlInterestRateIndexValueDate(Index,Q691,Trigger)</f>
        <v>63226</v>
      </c>
      <c r="S691" s="28">
        <f>_xll.qlInterestRateIndexMaturity(Index,R691,Trigger)</f>
        <v>63254</v>
      </c>
      <c r="T691" s="30">
        <f>_xll.qlIndexFixing($M$6,Q691,,InterestRatesTrigger)</f>
        <v>1.3434985424239772E-2</v>
      </c>
      <c r="U691" s="30">
        <f>_xll.qlIndexFixing(Index,Q691,,InterestRatesTrigger)</f>
        <v>1.3493542644561009E-2</v>
      </c>
      <c r="V691" s="30">
        <f t="shared" si="34"/>
        <v>5.8557220321237696E-5</v>
      </c>
      <c r="W691" s="29">
        <f>_xll.qlDayCounterYearFraction(DayCounter,SettlementDate,R691,,,Trigger)</f>
        <v>58.18611111111111</v>
      </c>
      <c r="X691" s="29">
        <f>_xll.qlDayCounterYearFraction(DayCounter,R691,S691)</f>
        <v>7.7777777777777779E-2</v>
      </c>
      <c r="Y691" s="29">
        <f>_xll.qlYieldTSDiscount(Currency&amp;"ON",R691)/(1+U691*X691)</f>
        <v>0.45388896719168026</v>
      </c>
      <c r="Z691" s="30" t="e">
        <f>_xll.qlTenorBasisValue(TenorBasis6M,R691,InterestRatesTrigger)</f>
        <v>#VALUE!</v>
      </c>
      <c r="AA691" s="30" t="e">
        <f t="shared" si="35"/>
        <v>#VALUE!</v>
      </c>
    </row>
    <row r="692" spans="15:27" x14ac:dyDescent="0.2">
      <c r="O692" s="33">
        <v>1</v>
      </c>
      <c r="P692" s="27" t="str">
        <f>_xll.qlPeriodEquivalent(P691&amp;"+"&amp;O692&amp;"M")</f>
        <v>57Y5M</v>
      </c>
      <c r="Q692" s="28">
        <f>_xll.qlCalendarAdvance(Calendar,SettlementDate,P692,"f",,Trigger)</f>
        <v>63250</v>
      </c>
      <c r="R692" s="28">
        <f>_xll.qlInterestRateIndexValueDate(Index,Q692,Trigger)</f>
        <v>63254</v>
      </c>
      <c r="S692" s="28">
        <f>_xll.qlInterestRateIndexMaturity(Index,R692,Trigger)</f>
        <v>63285</v>
      </c>
      <c r="T692" s="30">
        <f>_xll.qlIndexFixing($M$6,Q692,,InterestRatesTrigger)</f>
        <v>1.3443183384813937E-2</v>
      </c>
      <c r="U692" s="30">
        <f>_xll.qlIndexFixing(Index,Q692,,InterestRatesTrigger)</f>
        <v>1.350397986403523E-2</v>
      </c>
      <c r="V692" s="30">
        <f t="shared" si="34"/>
        <v>6.0796479221292971E-5</v>
      </c>
      <c r="W692" s="29">
        <f>_xll.qlDayCounterYearFraction(DayCounter,SettlementDate,R692,,,Trigger)</f>
        <v>58.263888888888886</v>
      </c>
      <c r="X692" s="29">
        <f>_xll.qlDayCounterYearFraction(DayCounter,R692,S692)</f>
        <v>8.611111111111111E-2</v>
      </c>
      <c r="Y692" s="29">
        <f>_xll.qlYieldTSDiscount(Currency&amp;"ON",R692)/(1+U692*X692)</f>
        <v>0.45336384141043767</v>
      </c>
      <c r="Z692" s="30" t="e">
        <f>_xll.qlTenorBasisValue(TenorBasis6M,R692,InterestRatesTrigger)</f>
        <v>#VALUE!</v>
      </c>
      <c r="AA692" s="30" t="e">
        <f t="shared" si="35"/>
        <v>#VALUE!</v>
      </c>
    </row>
    <row r="693" spans="15:27" x14ac:dyDescent="0.2">
      <c r="O693" s="33">
        <v>1</v>
      </c>
      <c r="P693" s="27" t="str">
        <f>_xll.qlPeriodEquivalent(P692&amp;"+"&amp;O693&amp;"M")</f>
        <v>57Y6M</v>
      </c>
      <c r="Q693" s="28">
        <f>_xll.qlCalendarAdvance(Calendar,SettlementDate,P693,"f",,Trigger)</f>
        <v>63282</v>
      </c>
      <c r="R693" s="28">
        <f>_xll.qlInterestRateIndexValueDate(Index,Q693,Trigger)</f>
        <v>63284</v>
      </c>
      <c r="S693" s="28">
        <f>_xll.qlInterestRateIndexMaturity(Index,R693,Trigger)</f>
        <v>63314</v>
      </c>
      <c r="T693" s="30">
        <f>_xll.qlIndexFixing($M$6,Q693,,InterestRatesTrigger)</f>
        <v>1.3450168064936818E-2</v>
      </c>
      <c r="U693" s="30">
        <f>_xll.qlIndexFixing(Index,Q693,,InterestRatesTrigger)</f>
        <v>1.3513131836003112E-2</v>
      </c>
      <c r="V693" s="30">
        <f t="shared" si="34"/>
        <v>6.2963771066293361E-5</v>
      </c>
      <c r="W693" s="29">
        <f>_xll.qlDayCounterYearFraction(DayCounter,SettlementDate,R693,,,Trigger)</f>
        <v>58.347222222222221</v>
      </c>
      <c r="X693" s="29">
        <f>_xll.qlDayCounterYearFraction(DayCounter,R693,S693)</f>
        <v>8.3333333333333329E-2</v>
      </c>
      <c r="Y693" s="29">
        <f>_xll.qlYieldTSDiscount(Currency&amp;"ON",R693)/(1+U693*X693)</f>
        <v>0.45287315912716825</v>
      </c>
      <c r="Z693" s="30" t="e">
        <f>_xll.qlTenorBasisValue(TenorBasis6M,R693,InterestRatesTrigger)</f>
        <v>#VALUE!</v>
      </c>
      <c r="AA693" s="30" t="e">
        <f t="shared" si="35"/>
        <v>#VALUE!</v>
      </c>
    </row>
    <row r="694" spans="15:27" x14ac:dyDescent="0.2">
      <c r="O694" s="33">
        <v>1</v>
      </c>
      <c r="P694" s="27" t="str">
        <f>_xll.qlPeriodEquivalent(P693&amp;"+"&amp;O694&amp;"M")</f>
        <v>57Y7M</v>
      </c>
      <c r="Q694" s="28">
        <f>_xll.qlCalendarAdvance(Calendar,SettlementDate,P694,"f",,Trigger)</f>
        <v>63311</v>
      </c>
      <c r="R694" s="28">
        <f>_xll.qlInterestRateIndexValueDate(Index,Q694,Trigger)</f>
        <v>63313</v>
      </c>
      <c r="S694" s="28">
        <f>_xll.qlInterestRateIndexMaturity(Index,R694,Trigger)</f>
        <v>63345</v>
      </c>
      <c r="T694" s="30">
        <f>_xll.qlIndexFixing($M$6,Q694,,InterestRatesTrigger)</f>
        <v>1.3457807714118419E-2</v>
      </c>
      <c r="U694" s="30">
        <f>_xll.qlIndexFixing(Index,Q694,,InterestRatesTrigger)</f>
        <v>1.3522916304944677E-2</v>
      </c>
      <c r="V694" s="30">
        <f t="shared" si="34"/>
        <v>6.5108590826257196E-5</v>
      </c>
      <c r="W694" s="29">
        <f>_xll.qlDayCounterYearFraction(DayCounter,SettlementDate,R694,,,Trigger)</f>
        <v>58.427777777777777</v>
      </c>
      <c r="X694" s="29">
        <f>_xll.qlDayCounterYearFraction(DayCounter,R694,S694)</f>
        <v>8.8888888888888892E-2</v>
      </c>
      <c r="Y694" s="29">
        <f>_xll.qlYieldTSDiscount(Currency&amp;"ON",R694)/(1+U694*X694)</f>
        <v>0.45234870816404998</v>
      </c>
      <c r="Z694" s="30" t="e">
        <f>_xll.qlTenorBasisValue(TenorBasis6M,R694,InterestRatesTrigger)</f>
        <v>#VALUE!</v>
      </c>
      <c r="AA694" s="30" t="e">
        <f t="shared" si="35"/>
        <v>#VALUE!</v>
      </c>
    </row>
    <row r="695" spans="15:27" x14ac:dyDescent="0.2">
      <c r="O695" s="33">
        <v>1</v>
      </c>
      <c r="P695" s="27" t="str">
        <f>_xll.qlPeriodEquivalent(P694&amp;"+"&amp;O695&amp;"M")</f>
        <v>57Y8M</v>
      </c>
      <c r="Q695" s="28">
        <f>_xll.qlCalendarAdvance(Calendar,SettlementDate,P695,"f",,Trigger)</f>
        <v>63342</v>
      </c>
      <c r="R695" s="28">
        <f>_xll.qlInterestRateIndexValueDate(Index,Q695,Trigger)</f>
        <v>63346</v>
      </c>
      <c r="S695" s="28">
        <f>_xll.qlInterestRateIndexMaturity(Index,R695,Trigger)</f>
        <v>63376</v>
      </c>
      <c r="T695" s="30">
        <f>_xll.qlIndexFixing($M$6,Q695,,InterestRatesTrigger)</f>
        <v>1.346467440475152E-2</v>
      </c>
      <c r="U695" s="30">
        <f>_xll.qlIndexFixing(Index,Q695,,InterestRatesTrigger)</f>
        <v>1.3531987870291751E-2</v>
      </c>
      <c r="V695" s="30">
        <f t="shared" si="34"/>
        <v>6.7313465540230766E-5</v>
      </c>
      <c r="W695" s="29">
        <f>_xll.qlDayCounterYearFraction(DayCounter,SettlementDate,R695,,,Trigger)</f>
        <v>58.519444444444446</v>
      </c>
      <c r="X695" s="29">
        <f>_xll.qlDayCounterYearFraction(DayCounter,R695,S695)</f>
        <v>8.3333333333333329E-2</v>
      </c>
      <c r="Y695" s="29">
        <f>_xll.qlYieldTSDiscount(Currency&amp;"ON",R695)/(1+U695*X695)</f>
        <v>0.45182491097993199</v>
      </c>
      <c r="Z695" s="30" t="e">
        <f>_xll.qlTenorBasisValue(TenorBasis6M,R695,InterestRatesTrigger)</f>
        <v>#VALUE!</v>
      </c>
      <c r="AA695" s="30" t="e">
        <f t="shared" si="35"/>
        <v>#VALUE!</v>
      </c>
    </row>
    <row r="696" spans="15:27" x14ac:dyDescent="0.2">
      <c r="O696" s="33">
        <v>1</v>
      </c>
      <c r="P696" s="27" t="str">
        <f>_xll.qlPeriodEquivalent(P695&amp;"+"&amp;O696&amp;"M")</f>
        <v>57Y9M</v>
      </c>
      <c r="Q696" s="28">
        <f>_xll.qlCalendarAdvance(Calendar,SettlementDate,P696,"f",,Trigger)</f>
        <v>63373</v>
      </c>
      <c r="R696" s="28">
        <f>_xll.qlInterestRateIndexValueDate(Index,Q696,Trigger)</f>
        <v>63375</v>
      </c>
      <c r="S696" s="28">
        <f>_xll.qlInterestRateIndexMaturity(Index,R696,Trigger)</f>
        <v>63408</v>
      </c>
      <c r="T696" s="30">
        <f>_xll.qlIndexFixing($M$6,Q696,,InterestRatesTrigger)</f>
        <v>1.3472213658672804E-2</v>
      </c>
      <c r="U696" s="30">
        <f>_xll.qlIndexFixing(Index,Q696,,InterestRatesTrigger)</f>
        <v>1.3541568901852844E-2</v>
      </c>
      <c r="V696" s="30">
        <f t="shared" si="34"/>
        <v>6.9355243180040452E-5</v>
      </c>
      <c r="W696" s="29">
        <f>_xll.qlDayCounterYearFraction(DayCounter,SettlementDate,R696,,,Trigger)</f>
        <v>58.6</v>
      </c>
      <c r="X696" s="29">
        <f>_xll.qlDayCounterYearFraction(DayCounter,R696,S696)</f>
        <v>9.166666666666666E-2</v>
      </c>
      <c r="Y696" s="29">
        <f>_xll.qlYieldTSDiscount(Currency&amp;"ON",R696)/(1+U696*X696)</f>
        <v>0.4512841530081908</v>
      </c>
      <c r="Z696" s="30" t="e">
        <f>_xll.qlTenorBasisValue(TenorBasis6M,R696,InterestRatesTrigger)</f>
        <v>#VALUE!</v>
      </c>
      <c r="AA696" s="30" t="e">
        <f t="shared" si="35"/>
        <v>#VALUE!</v>
      </c>
    </row>
    <row r="697" spans="15:27" x14ac:dyDescent="0.2">
      <c r="O697" s="33">
        <v>1</v>
      </c>
      <c r="P697" s="27" t="str">
        <f>_xll.qlPeriodEquivalent(P696&amp;"+"&amp;O697&amp;"M")</f>
        <v>57Y10M</v>
      </c>
      <c r="Q697" s="28">
        <f>_xll.qlCalendarAdvance(Calendar,SettlementDate,P697,"f",,Trigger)</f>
        <v>63403</v>
      </c>
      <c r="R697" s="28">
        <f>_xll.qlInterestRateIndexValueDate(Index,Q697,Trigger)</f>
        <v>63405</v>
      </c>
      <c r="S697" s="28">
        <f>_xll.qlInterestRateIndexMaturity(Index,R697,Trigger)</f>
        <v>63436</v>
      </c>
      <c r="T697" s="30">
        <f>_xll.qlIndexFixing($M$6,Q697,,InterestRatesTrigger)</f>
        <v>1.3477946423272101E-2</v>
      </c>
      <c r="U697" s="30">
        <f>_xll.qlIndexFixing(Index,Q697,,InterestRatesTrigger)</f>
        <v>1.3549166541407988E-2</v>
      </c>
      <c r="V697" s="30">
        <f t="shared" si="34"/>
        <v>7.1220118135886801E-5</v>
      </c>
      <c r="W697" s="29">
        <f>_xll.qlDayCounterYearFraction(DayCounter,SettlementDate,R697,,,Trigger)</f>
        <v>58.68333333333333</v>
      </c>
      <c r="X697" s="29">
        <f>_xll.qlDayCounterYearFraction(DayCounter,R697,S697)</f>
        <v>8.611111111111111E-2</v>
      </c>
      <c r="Y697" s="29">
        <f>_xll.qlYieldTSDiscount(Currency&amp;"ON",R697)/(1+U697*X697)</f>
        <v>0.45081169043989033</v>
      </c>
      <c r="Z697" s="30" t="e">
        <f>_xll.qlTenorBasisValue(TenorBasis6M,R697,InterestRatesTrigger)</f>
        <v>#VALUE!</v>
      </c>
      <c r="AA697" s="30" t="e">
        <f t="shared" si="35"/>
        <v>#VALUE!</v>
      </c>
    </row>
    <row r="698" spans="15:27" x14ac:dyDescent="0.2">
      <c r="O698" s="33">
        <v>1</v>
      </c>
      <c r="P698" s="27" t="str">
        <f>_xll.qlPeriodEquivalent(P697&amp;"+"&amp;O698&amp;"M")</f>
        <v>57Y11M</v>
      </c>
      <c r="Q698" s="28">
        <f>_xll.qlCalendarAdvance(Calendar,SettlementDate,P698,"f",,Trigger)</f>
        <v>63436</v>
      </c>
      <c r="R698" s="28">
        <f>_xll.qlInterestRateIndexValueDate(Index,Q698,Trigger)</f>
        <v>63438</v>
      </c>
      <c r="S698" s="28">
        <f>_xll.qlInterestRateIndexMaturity(Index,R698,Trigger)</f>
        <v>63468</v>
      </c>
      <c r="T698" s="30">
        <f>_xll.qlIndexFixing($M$6,Q698,,InterestRatesTrigger)</f>
        <v>1.3484430137073566E-2</v>
      </c>
      <c r="U698" s="30">
        <f>_xll.qlIndexFixing(Index,Q698,,InterestRatesTrigger)</f>
        <v>1.3557667346146829E-2</v>
      </c>
      <c r="V698" s="30">
        <f t="shared" si="34"/>
        <v>7.3237209073262477E-5</v>
      </c>
      <c r="W698" s="29">
        <f>_xll.qlDayCounterYearFraction(DayCounter,SettlementDate,R698,,,Trigger)</f>
        <v>58.774999999999999</v>
      </c>
      <c r="X698" s="29">
        <f>_xll.qlDayCounterYearFraction(DayCounter,R698,S698)</f>
        <v>8.3333333333333329E-2</v>
      </c>
      <c r="Y698" s="29">
        <f>_xll.qlYieldTSDiscount(Currency&amp;"ON",R698)/(1+U698*X698)</f>
        <v>0.45027198849550598</v>
      </c>
      <c r="Z698" s="30" t="e">
        <f>_xll.qlTenorBasisValue(TenorBasis6M,R698,InterestRatesTrigger)</f>
        <v>#VALUE!</v>
      </c>
      <c r="AA698" s="30" t="e">
        <f t="shared" si="35"/>
        <v>#VALUE!</v>
      </c>
    </row>
    <row r="699" spans="15:27" x14ac:dyDescent="0.2">
      <c r="O699" s="33">
        <v>1</v>
      </c>
      <c r="P699" s="27" t="str">
        <f>_xll.qlPeriodEquivalent(P698&amp;"+"&amp;O699&amp;"M")</f>
        <v>58Y</v>
      </c>
      <c r="Q699" s="28">
        <f>_xll.qlCalendarAdvance(Calendar,SettlementDate,P699,"f",,Trigger)</f>
        <v>63464</v>
      </c>
      <c r="R699" s="28">
        <f>_xll.qlInterestRateIndexValueDate(Index,Q699,Trigger)</f>
        <v>63466</v>
      </c>
      <c r="S699" s="28">
        <f>_xll.qlInterestRateIndexMaturity(Index,R699,Trigger)</f>
        <v>63499</v>
      </c>
      <c r="T699" s="30">
        <f>_xll.qlIndexFixing($M$6,Q699,,InterestRatesTrigger)</f>
        <v>1.3491067258706706E-2</v>
      </c>
      <c r="U699" s="30">
        <f>_xll.qlIndexFixing(Index,Q699,,InterestRatesTrigger)</f>
        <v>1.3566075767308597E-2</v>
      </c>
      <c r="V699" s="30">
        <f t="shared" si="34"/>
        <v>7.5008508601891177E-5</v>
      </c>
      <c r="W699" s="29">
        <f>_xll.qlDayCounterYearFraction(DayCounter,SettlementDate,R699,,,Trigger)</f>
        <v>58.852777777777774</v>
      </c>
      <c r="X699" s="29">
        <f>_xll.qlDayCounterYearFraction(DayCounter,R699,S699)</f>
        <v>9.166666666666666E-2</v>
      </c>
      <c r="Y699" s="29">
        <f>_xll.qlYieldTSDiscount(Currency&amp;"ON",R699)/(1+U699*X699)</f>
        <v>0.44974916581562979</v>
      </c>
      <c r="Z699" s="30" t="e">
        <f>_xll.qlTenorBasisValue(TenorBasis6M,R699,InterestRatesTrigger)</f>
        <v>#VALUE!</v>
      </c>
      <c r="AA699" s="30" t="e">
        <f t="shared" si="35"/>
        <v>#VALUE!</v>
      </c>
    </row>
    <row r="700" spans="15:27" x14ac:dyDescent="0.2">
      <c r="O700" s="33">
        <v>1</v>
      </c>
      <c r="P700" s="27" t="str">
        <f>_xll.qlPeriodEquivalent(P699&amp;"+"&amp;O700&amp;"M")</f>
        <v>58Y1M</v>
      </c>
      <c r="Q700" s="28">
        <f>_xll.qlCalendarAdvance(Calendar,SettlementDate,P700,"f",,Trigger)</f>
        <v>63495</v>
      </c>
      <c r="R700" s="28">
        <f>_xll.qlInterestRateIndexValueDate(Index,Q700,Trigger)</f>
        <v>63499</v>
      </c>
      <c r="S700" s="28">
        <f>_xll.qlInterestRateIndexMaturity(Index,R700,Trigger)</f>
        <v>63529</v>
      </c>
      <c r="T700" s="30">
        <f>_xll.qlIndexFixing($M$6,Q700,,InterestRatesTrigger)</f>
        <v>1.349634526048149E-2</v>
      </c>
      <c r="U700" s="30">
        <f>_xll.qlIndexFixing(Index,Q700,,InterestRatesTrigger)</f>
        <v>1.3573155229138933E-2</v>
      </c>
      <c r="V700" s="30">
        <f t="shared" si="34"/>
        <v>7.6809968657443051E-5</v>
      </c>
      <c r="W700" s="29">
        <f>_xll.qlDayCounterYearFraction(DayCounter,SettlementDate,R700,,,Trigger)</f>
        <v>58.944444444444443</v>
      </c>
      <c r="X700" s="29">
        <f>_xll.qlDayCounterYearFraction(DayCounter,R700,S700)</f>
        <v>8.3333333333333329E-2</v>
      </c>
      <c r="Y700" s="29">
        <f>_xll.qlYieldTSDiscount(Currency&amp;"ON",R700)/(1+U700*X700)</f>
        <v>0.44924411602881603</v>
      </c>
      <c r="Z700" s="30" t="e">
        <f>_xll.qlTenorBasisValue(TenorBasis6M,R700,InterestRatesTrigger)</f>
        <v>#VALUE!</v>
      </c>
      <c r="AA700" s="30" t="e">
        <f t="shared" si="35"/>
        <v>#VALUE!</v>
      </c>
    </row>
    <row r="701" spans="15:27" x14ac:dyDescent="0.2">
      <c r="O701" s="33">
        <v>1</v>
      </c>
      <c r="P701" s="27" t="str">
        <f>_xll.qlPeriodEquivalent(P700&amp;"+"&amp;O701&amp;"M")</f>
        <v>58Y2M</v>
      </c>
      <c r="Q701" s="28">
        <f>_xll.qlCalendarAdvance(Calendar,SettlementDate,P701,"f",,Trigger)</f>
        <v>63527</v>
      </c>
      <c r="R701" s="28">
        <f>_xll.qlInterestRateIndexValueDate(Index,Q701,Trigger)</f>
        <v>63529</v>
      </c>
      <c r="S701" s="28">
        <f>_xll.qlInterestRateIndexMaturity(Index,R701,Trigger)</f>
        <v>63562</v>
      </c>
      <c r="T701" s="30">
        <f>_xll.qlIndexFixing($M$6,Q701,,InterestRatesTrigger)</f>
        <v>1.3502881083318612E-2</v>
      </c>
      <c r="U701" s="30">
        <f>_xll.qlIndexFixing(Index,Q701,,InterestRatesTrigger)</f>
        <v>1.3581431993451401E-2</v>
      </c>
      <c r="V701" s="30">
        <f t="shared" si="34"/>
        <v>7.8550910132788726E-5</v>
      </c>
      <c r="W701" s="29">
        <f>_xll.qlDayCounterYearFraction(DayCounter,SettlementDate,R701,,,Trigger)</f>
        <v>59.027777777777779</v>
      </c>
      <c r="X701" s="29">
        <f>_xll.qlDayCounterYearFraction(DayCounter,R701,S701)</f>
        <v>9.166666666666666E-2</v>
      </c>
      <c r="Y701" s="29">
        <f>_xll.qlYieldTSDiscount(Currency&amp;"ON",R701)/(1+U701*X701)</f>
        <v>0.44868838717569143</v>
      </c>
      <c r="Z701" s="30" t="e">
        <f>_xll.qlTenorBasisValue(TenorBasis6M,R701,InterestRatesTrigger)</f>
        <v>#VALUE!</v>
      </c>
      <c r="AA701" s="30" t="e">
        <f t="shared" si="35"/>
        <v>#VALUE!</v>
      </c>
    </row>
    <row r="702" spans="15:27" x14ac:dyDescent="0.2">
      <c r="O702" s="33">
        <v>1</v>
      </c>
      <c r="P702" s="27" t="str">
        <f>_xll.qlPeriodEquivalent(P701&amp;"+"&amp;O702&amp;"M")</f>
        <v>58Y3M</v>
      </c>
      <c r="Q702" s="28">
        <f>_xll.qlCalendarAdvance(Calendar,SettlementDate,P702,"f",,Trigger)</f>
        <v>63556</v>
      </c>
      <c r="R702" s="28">
        <f>_xll.qlInterestRateIndexValueDate(Index,Q702,Trigger)</f>
        <v>63558</v>
      </c>
      <c r="S702" s="28">
        <f>_xll.qlInterestRateIndexMaturity(Index,R702,Trigger)</f>
        <v>63590</v>
      </c>
      <c r="T702" s="30">
        <f>_xll.qlIndexFixing($M$6,Q702,,InterestRatesTrigger)</f>
        <v>1.3507635633001891E-2</v>
      </c>
      <c r="U702" s="30">
        <f>_xll.qlIndexFixing(Index,Q702,,InterestRatesTrigger)</f>
        <v>1.3587685155579954E-2</v>
      </c>
      <c r="V702" s="30">
        <f t="shared" si="34"/>
        <v>8.0049522578062859E-5</v>
      </c>
      <c r="W702" s="29">
        <f>_xll.qlDayCounterYearFraction(DayCounter,SettlementDate,R702,,,Trigger)</f>
        <v>59.108333333333334</v>
      </c>
      <c r="X702" s="29">
        <f>_xll.qlDayCounterYearFraction(DayCounter,R702,S702)</f>
        <v>8.8888888888888892E-2</v>
      </c>
      <c r="Y702" s="29">
        <f>_xll.qlYieldTSDiscount(Currency&amp;"ON",R702)/(1+U702*X702)</f>
        <v>0.44821755378244027</v>
      </c>
      <c r="Z702" s="30" t="e">
        <f>_xll.qlTenorBasisValue(TenorBasis6M,R702,InterestRatesTrigger)</f>
        <v>#VALUE!</v>
      </c>
      <c r="AA702" s="30" t="e">
        <f t="shared" si="35"/>
        <v>#VALUE!</v>
      </c>
    </row>
    <row r="703" spans="15:27" x14ac:dyDescent="0.2">
      <c r="O703" s="33">
        <v>1</v>
      </c>
      <c r="P703" s="27" t="str">
        <f>_xll.qlPeriodEquivalent(P702&amp;"+"&amp;O703&amp;"M")</f>
        <v>58Y4M</v>
      </c>
      <c r="Q703" s="28">
        <f>_xll.qlCalendarAdvance(Calendar,SettlementDate,P703,"f",,Trigger)</f>
        <v>63587</v>
      </c>
      <c r="R703" s="28">
        <f>_xll.qlInterestRateIndexValueDate(Index,Q703,Trigger)</f>
        <v>63591</v>
      </c>
      <c r="S703" s="28">
        <f>_xll.qlInterestRateIndexMaturity(Index,R703,Trigger)</f>
        <v>63619</v>
      </c>
      <c r="T703" s="30">
        <f>_xll.qlIndexFixing($M$6,Q703,,InterestRatesTrigger)</f>
        <v>1.3511829953904986E-2</v>
      </c>
      <c r="U703" s="30">
        <f>_xll.qlIndexFixing(Index,Q703,,InterestRatesTrigger)</f>
        <v>1.3593428918127679E-2</v>
      </c>
      <c r="V703" s="30">
        <f t="shared" si="34"/>
        <v>8.1598964222693443E-5</v>
      </c>
      <c r="W703" s="29">
        <f>_xll.qlDayCounterYearFraction(DayCounter,SettlementDate,R703,,,Trigger)</f>
        <v>59.2</v>
      </c>
      <c r="X703" s="29">
        <f>_xll.qlDayCounterYearFraction(DayCounter,R703,S703)</f>
        <v>7.7777777777777779E-2</v>
      </c>
      <c r="Y703" s="29">
        <f>_xll.qlYieldTSDiscount(Currency&amp;"ON",R703)/(1+U703*X703)</f>
        <v>0.44773055776978182</v>
      </c>
      <c r="Z703" s="30" t="e">
        <f>_xll.qlTenorBasisValue(TenorBasis6M,R703,InterestRatesTrigger)</f>
        <v>#VALUE!</v>
      </c>
      <c r="AA703" s="30" t="e">
        <f t="shared" si="35"/>
        <v>#VALUE!</v>
      </c>
    </row>
    <row r="704" spans="15:27" x14ac:dyDescent="0.2">
      <c r="O704" s="33">
        <v>1</v>
      </c>
      <c r="P704" s="27" t="str">
        <f>_xll.qlPeriodEquivalent(P703&amp;"+"&amp;O704&amp;"M")</f>
        <v>58Y5M</v>
      </c>
      <c r="Q704" s="28">
        <f>_xll.qlCalendarAdvance(Calendar,SettlementDate,P704,"f",,Trigger)</f>
        <v>63615</v>
      </c>
      <c r="R704" s="28">
        <f>_xll.qlInterestRateIndexValueDate(Index,Q704,Trigger)</f>
        <v>63619</v>
      </c>
      <c r="S704" s="28">
        <f>_xll.qlInterestRateIndexMaturity(Index,R704,Trigger)</f>
        <v>63650</v>
      </c>
      <c r="T704" s="30">
        <f>_xll.qlIndexFixing($M$6,Q704,,InterestRatesTrigger)</f>
        <v>1.351730795151535E-2</v>
      </c>
      <c r="U704" s="30">
        <f>_xll.qlIndexFixing(Index,Q704,,InterestRatesTrigger)</f>
        <v>1.3600330695026338E-2</v>
      </c>
      <c r="V704" s="30">
        <f t="shared" si="34"/>
        <v>8.3022743510987457E-5</v>
      </c>
      <c r="W704" s="29">
        <f>_xll.qlDayCounterYearFraction(DayCounter,SettlementDate,R704,,,Trigger)</f>
        <v>59.277777777777779</v>
      </c>
      <c r="X704" s="29">
        <f>_xll.qlDayCounterYearFraction(DayCounter,R704,S704)</f>
        <v>8.611111111111111E-2</v>
      </c>
      <c r="Y704" s="29">
        <f>_xll.qlYieldTSDiscount(Currency&amp;"ON",R704)/(1+U704*X704)</f>
        <v>0.44720965142045349</v>
      </c>
      <c r="Z704" s="30" t="e">
        <f>_xll.qlTenorBasisValue(TenorBasis6M,R704,InterestRatesTrigger)</f>
        <v>#VALUE!</v>
      </c>
      <c r="AA704" s="30" t="e">
        <f t="shared" si="35"/>
        <v>#VALUE!</v>
      </c>
    </row>
    <row r="705" spans="15:27" x14ac:dyDescent="0.2">
      <c r="O705" s="33">
        <v>1</v>
      </c>
      <c r="P705" s="27" t="str">
        <f>_xll.qlPeriodEquivalent(P704&amp;"+"&amp;O705&amp;"M")</f>
        <v>58Y6M</v>
      </c>
      <c r="Q705" s="28">
        <f>_xll.qlCalendarAdvance(Calendar,SettlementDate,P705,"f",,Trigger)</f>
        <v>63646</v>
      </c>
      <c r="R705" s="28">
        <f>_xll.qlInterestRateIndexValueDate(Index,Q705,Trigger)</f>
        <v>63648</v>
      </c>
      <c r="S705" s="28">
        <f>_xll.qlInterestRateIndexMaturity(Index,R705,Trigger)</f>
        <v>63678</v>
      </c>
      <c r="T705" s="30">
        <f>_xll.qlIndexFixing($M$6,Q705,,InterestRatesTrigger)</f>
        <v>1.3521396106015438E-2</v>
      </c>
      <c r="U705" s="30">
        <f>_xll.qlIndexFixing(Index,Q705,,InterestRatesTrigger)</f>
        <v>1.3605717637833692E-2</v>
      </c>
      <c r="V705" s="30">
        <f t="shared" si="34"/>
        <v>8.4321531818254414E-5</v>
      </c>
      <c r="W705" s="29">
        <f>_xll.qlDayCounterYearFraction(DayCounter,SettlementDate,R705,,,Trigger)</f>
        <v>59.358333333333334</v>
      </c>
      <c r="X705" s="29">
        <f>_xll.qlDayCounterYearFraction(DayCounter,R705,S705)</f>
        <v>8.3333333333333329E-2</v>
      </c>
      <c r="Y705" s="29">
        <f>_xll.qlYieldTSDiscount(Currency&amp;"ON",R705)/(1+U705*X705)</f>
        <v>0.4467398980788379</v>
      </c>
      <c r="Z705" s="30" t="e">
        <f>_xll.qlTenorBasisValue(TenorBasis6M,R705,InterestRatesTrigger)</f>
        <v>#VALUE!</v>
      </c>
      <c r="AA705" s="30" t="e">
        <f t="shared" si="35"/>
        <v>#VALUE!</v>
      </c>
    </row>
    <row r="706" spans="15:27" x14ac:dyDescent="0.2">
      <c r="O706" s="33">
        <v>1</v>
      </c>
      <c r="P706" s="27" t="str">
        <f>_xll.qlPeriodEquivalent(P705&amp;"+"&amp;O706&amp;"M")</f>
        <v>58Y7M</v>
      </c>
      <c r="Q706" s="28">
        <f>_xll.qlCalendarAdvance(Calendar,SettlementDate,P706,"f",,Trigger)</f>
        <v>63676</v>
      </c>
      <c r="R706" s="28">
        <f>_xll.qlInterestRateIndexValueDate(Index,Q706,Trigger)</f>
        <v>63678</v>
      </c>
      <c r="S706" s="28">
        <f>_xll.qlInterestRateIndexMaturity(Index,R706,Trigger)</f>
        <v>63709</v>
      </c>
      <c r="T706" s="30">
        <f>_xll.qlIndexFixing($M$6,Q706,,InterestRatesTrigger)</f>
        <v>1.3526056309470827E-2</v>
      </c>
      <c r="U706" s="30">
        <f>_xll.qlIndexFixing(Index,Q706,,InterestRatesTrigger)</f>
        <v>1.3611702285998428E-2</v>
      </c>
      <c r="V706" s="30">
        <f t="shared" si="34"/>
        <v>8.5645976527600615E-5</v>
      </c>
      <c r="W706" s="29">
        <f>_xll.qlDayCounterYearFraction(DayCounter,SettlementDate,R706,,,Trigger)</f>
        <v>59.44166666666667</v>
      </c>
      <c r="X706" s="29">
        <f>_xll.qlDayCounterYearFraction(DayCounter,R706,S706)</f>
        <v>8.611111111111111E-2</v>
      </c>
      <c r="Y706" s="29">
        <f>_xll.qlYieldTSDiscount(Currency&amp;"ON",R706)/(1+U706*X706)</f>
        <v>0.44622001082787643</v>
      </c>
      <c r="Z706" s="30" t="e">
        <f>_xll.qlTenorBasisValue(TenorBasis6M,R706,InterestRatesTrigger)</f>
        <v>#VALUE!</v>
      </c>
      <c r="AA706" s="30" t="e">
        <f t="shared" si="35"/>
        <v>#VALUE!</v>
      </c>
    </row>
    <row r="707" spans="15:27" x14ac:dyDescent="0.2">
      <c r="O707" s="33">
        <v>1</v>
      </c>
      <c r="P707" s="27" t="str">
        <f>_xll.qlPeriodEquivalent(P706&amp;"+"&amp;O707&amp;"M")</f>
        <v>58Y8M</v>
      </c>
      <c r="Q707" s="28">
        <f>_xll.qlCalendarAdvance(Calendar,SettlementDate,P707,"f",,Trigger)</f>
        <v>63709</v>
      </c>
      <c r="R707" s="28">
        <f>_xll.qlInterestRateIndexValueDate(Index,Q707,Trigger)</f>
        <v>63711</v>
      </c>
      <c r="S707" s="28">
        <f>_xll.qlInterestRateIndexMaturity(Index,R707,Trigger)</f>
        <v>63741</v>
      </c>
      <c r="T707" s="30">
        <f>_xll.qlIndexFixing($M$6,Q707,,InterestRatesTrigger)</f>
        <v>1.3530225323900247E-2</v>
      </c>
      <c r="U707" s="30">
        <f>_xll.qlIndexFixing(Index,Q707,,InterestRatesTrigger)</f>
        <v>1.3617194336699612E-2</v>
      </c>
      <c r="V707" s="30">
        <f t="shared" si="34"/>
        <v>8.6969012799364975E-5</v>
      </c>
      <c r="W707" s="29">
        <f>_xll.qlDayCounterYearFraction(DayCounter,SettlementDate,R707,,,Trigger)</f>
        <v>59.533333333333331</v>
      </c>
      <c r="X707" s="29">
        <f>_xll.qlDayCounterYearFraction(DayCounter,R707,S707)</f>
        <v>8.3333333333333329E-2</v>
      </c>
      <c r="Y707" s="29">
        <f>_xll.qlYieldTSDiscount(Currency&amp;"ON",R707)/(1+U707*X707)</f>
        <v>0.44568403448359573</v>
      </c>
      <c r="Z707" s="30" t="e">
        <f>_xll.qlTenorBasisValue(TenorBasis6M,R707,InterestRatesTrigger)</f>
        <v>#VALUE!</v>
      </c>
      <c r="AA707" s="30" t="e">
        <f t="shared" si="35"/>
        <v>#VALUE!</v>
      </c>
    </row>
    <row r="708" spans="15:27" x14ac:dyDescent="0.2">
      <c r="O708" s="33">
        <v>1</v>
      </c>
      <c r="P708" s="27" t="str">
        <f>_xll.qlPeriodEquivalent(P707&amp;"+"&amp;O708&amp;"M")</f>
        <v>58Y9M</v>
      </c>
      <c r="Q708" s="28">
        <f>_xll.qlCalendarAdvance(Calendar,SettlementDate,P708,"f",,Trigger)</f>
        <v>63737</v>
      </c>
      <c r="R708" s="28">
        <f>_xll.qlInterestRateIndexValueDate(Index,Q708,Trigger)</f>
        <v>63739</v>
      </c>
      <c r="S708" s="28">
        <f>_xll.qlInterestRateIndexMaturity(Index,R708,Trigger)</f>
        <v>63772</v>
      </c>
      <c r="T708" s="30">
        <f>_xll.qlIndexFixing($M$6,Q708,,InterestRatesTrigger)</f>
        <v>1.3534754416159539E-2</v>
      </c>
      <c r="U708" s="30">
        <f>_xll.qlIndexFixing(Index,Q708,,InterestRatesTrigger)</f>
        <v>1.362286269119182E-2</v>
      </c>
      <c r="V708" s="30">
        <f t="shared" si="34"/>
        <v>8.8108275032281608E-5</v>
      </c>
      <c r="W708" s="29">
        <f>_xll.qlDayCounterYearFraction(DayCounter,SettlementDate,R708,,,Trigger)</f>
        <v>59.611111111111114</v>
      </c>
      <c r="X708" s="29">
        <f>_xll.qlDayCounterYearFraction(DayCounter,R708,S708)</f>
        <v>9.166666666666666E-2</v>
      </c>
      <c r="Y708" s="29">
        <f>_xll.qlYieldTSDiscount(Currency&amp;"ON",R708)/(1+U708*X708)</f>
        <v>0.44516484406858187</v>
      </c>
      <c r="Z708" s="30" t="e">
        <f>_xll.qlTenorBasisValue(TenorBasis6M,R708,InterestRatesTrigger)</f>
        <v>#VALUE!</v>
      </c>
      <c r="AA708" s="30" t="e">
        <f t="shared" si="35"/>
        <v>#VALUE!</v>
      </c>
    </row>
    <row r="709" spans="15:27" x14ac:dyDescent="0.2">
      <c r="O709" s="33">
        <v>1</v>
      </c>
      <c r="P709" s="27" t="str">
        <f>_xll.qlPeriodEquivalent(P708&amp;"+"&amp;O709&amp;"M")</f>
        <v>58Y10M</v>
      </c>
      <c r="Q709" s="28">
        <f>_xll.qlCalendarAdvance(Calendar,SettlementDate,P709,"f",,Trigger)</f>
        <v>63768</v>
      </c>
      <c r="R709" s="28">
        <f>_xll.qlInterestRateIndexValueDate(Index,Q709,Trigger)</f>
        <v>63772</v>
      </c>
      <c r="S709" s="28">
        <f>_xll.qlInterestRateIndexMaturity(Index,R709,Trigger)</f>
        <v>63803</v>
      </c>
      <c r="T709" s="30">
        <f>_xll.qlIndexFixing($M$6,Q709,,InterestRatesTrigger)</f>
        <v>1.3538068800114315E-2</v>
      </c>
      <c r="U709" s="30">
        <f>_xll.qlIndexFixing(Index,Q709,,InterestRatesTrigger)</f>
        <v>1.3627316788907148E-2</v>
      </c>
      <c r="V709" s="30">
        <f t="shared" si="34"/>
        <v>8.9247988792832966E-5</v>
      </c>
      <c r="W709" s="29">
        <f>_xll.qlDayCounterYearFraction(DayCounter,SettlementDate,R709,,,Trigger)</f>
        <v>59.702777777777776</v>
      </c>
      <c r="X709" s="29">
        <f>_xll.qlDayCounterYearFraction(DayCounter,R709,S709)</f>
        <v>8.611111111111111E-2</v>
      </c>
      <c r="Y709" s="29">
        <f>_xll.qlYieldTSDiscount(Currency&amp;"ON",R709)/(1+U709*X709)</f>
        <v>0.44464665845284379</v>
      </c>
      <c r="Z709" s="30" t="e">
        <f>_xll.qlTenorBasisValue(TenorBasis6M,R709,InterestRatesTrigger)</f>
        <v>#VALUE!</v>
      </c>
      <c r="AA709" s="30" t="e">
        <f t="shared" si="35"/>
        <v>#VALUE!</v>
      </c>
    </row>
    <row r="710" spans="15:27" x14ac:dyDescent="0.2">
      <c r="O710" s="33">
        <v>1</v>
      </c>
      <c r="P710" s="27" t="str">
        <f>_xll.qlPeriodEquivalent(P709&amp;"+"&amp;O710&amp;"M")</f>
        <v>58Y11M</v>
      </c>
      <c r="Q710" s="28">
        <f>_xll.qlCalendarAdvance(Calendar,SettlementDate,P710,"f",,Trigger)</f>
        <v>63800</v>
      </c>
      <c r="R710" s="28">
        <f>_xll.qlInterestRateIndexValueDate(Index,Q710,Trigger)</f>
        <v>63802</v>
      </c>
      <c r="S710" s="28">
        <f>_xll.qlInterestRateIndexMaturity(Index,R710,Trigger)</f>
        <v>63832</v>
      </c>
      <c r="T710" s="30">
        <f>_xll.qlIndexFixing($M$6,Q710,,InterestRatesTrigger)</f>
        <v>1.3541091064543487E-2</v>
      </c>
      <c r="U710" s="30">
        <f>_xll.qlIndexFixing(Index,Q710,,InterestRatesTrigger)</f>
        <v>1.3631318232115497E-2</v>
      </c>
      <c r="V710" s="30">
        <f t="shared" si="34"/>
        <v>9.0227167572010103E-5</v>
      </c>
      <c r="W710" s="29">
        <f>_xll.qlDayCounterYearFraction(DayCounter,SettlementDate,R710,,,Trigger)</f>
        <v>59.786111111111111</v>
      </c>
      <c r="X710" s="29">
        <f>_xll.qlDayCounterYearFraction(DayCounter,R710,S710)</f>
        <v>8.3333333333333329E-2</v>
      </c>
      <c r="Y710" s="29">
        <f>_xll.qlYieldTSDiscount(Currency&amp;"ON",R710)/(1+U710*X710)</f>
        <v>0.44416224269669102</v>
      </c>
      <c r="Z710" s="30" t="e">
        <f>_xll.qlTenorBasisValue(TenorBasis6M,R710,InterestRatesTrigger)</f>
        <v>#VALUE!</v>
      </c>
      <c r="AA710" s="30" t="e">
        <f t="shared" si="35"/>
        <v>#VALUE!</v>
      </c>
    </row>
    <row r="711" spans="15:27" x14ac:dyDescent="0.2">
      <c r="O711" s="33">
        <v>1</v>
      </c>
      <c r="P711" s="27" t="str">
        <f>_xll.qlPeriodEquivalent(P710&amp;"+"&amp;O711&amp;"M")</f>
        <v>59Y</v>
      </c>
      <c r="Q711" s="28">
        <f>_xll.qlCalendarAdvance(Calendar,SettlementDate,P711,"f",,Trigger)</f>
        <v>63829</v>
      </c>
      <c r="R711" s="28">
        <f>_xll.qlInterestRateIndexValueDate(Index,Q711,Trigger)</f>
        <v>63831</v>
      </c>
      <c r="S711" s="28">
        <f>_xll.qlInterestRateIndexMaturity(Index,R711,Trigger)</f>
        <v>63863</v>
      </c>
      <c r="T711" s="30">
        <f>_xll.qlIndexFixing($M$6,Q711,,InterestRatesTrigger)</f>
        <v>1.3544686237920989E-2</v>
      </c>
      <c r="U711" s="30">
        <f>_xll.qlIndexFixing(Index,Q711,,InterestRatesTrigger)</f>
        <v>1.3635845576601135E-2</v>
      </c>
      <c r="V711" s="30">
        <f t="shared" si="34"/>
        <v>9.1159338680146806E-5</v>
      </c>
      <c r="W711" s="29">
        <f>_xll.qlDayCounterYearFraction(DayCounter,SettlementDate,R711,,,Trigger)</f>
        <v>59.866666666666667</v>
      </c>
      <c r="X711" s="29">
        <f>_xll.qlDayCounterYearFraction(DayCounter,R711,S711)</f>
        <v>8.8888888888888892E-2</v>
      </c>
      <c r="Y711" s="29">
        <f>_xll.qlYieldTSDiscount(Currency&amp;"ON",R711)/(1+U711*X711)</f>
        <v>0.44364454771179351</v>
      </c>
      <c r="Z711" s="30" t="e">
        <f>_xll.qlTenorBasisValue(TenorBasis6M,R711,InterestRatesTrigger)</f>
        <v>#VALUE!</v>
      </c>
      <c r="AA711" s="30" t="e">
        <f t="shared" si="35"/>
        <v>#VALUE!</v>
      </c>
    </row>
    <row r="712" spans="15:27" x14ac:dyDescent="0.2">
      <c r="O712" s="33">
        <v>1</v>
      </c>
      <c r="P712" s="27" t="str">
        <f>_xll.qlPeriodEquivalent(P711&amp;"+"&amp;O712&amp;"M")</f>
        <v>59Y1M</v>
      </c>
      <c r="Q712" s="28">
        <f>_xll.qlCalendarAdvance(Calendar,SettlementDate,P712,"f",,Trigger)</f>
        <v>63860</v>
      </c>
      <c r="R712" s="28">
        <f>_xll.qlInterestRateIndexValueDate(Index,Q712,Trigger)</f>
        <v>63864</v>
      </c>
      <c r="S712" s="28">
        <f>_xll.qlInterestRateIndexMaturity(Index,R712,Trigger)</f>
        <v>63894</v>
      </c>
      <c r="T712" s="30">
        <f>_xll.qlIndexFixing($M$6,Q712,,InterestRatesTrigger)</f>
        <v>1.3547198081907297E-2</v>
      </c>
      <c r="U712" s="30">
        <f>_xll.qlIndexFixing(Index,Q712,,InterestRatesTrigger)</f>
        <v>1.3639256480891149E-2</v>
      </c>
      <c r="V712" s="30">
        <f t="shared" si="34"/>
        <v>9.205839898385193E-5</v>
      </c>
      <c r="W712" s="29">
        <f>_xll.qlDayCounterYearFraction(DayCounter,SettlementDate,R712,,,Trigger)</f>
        <v>59.958333333333336</v>
      </c>
      <c r="X712" s="29">
        <f>_xll.qlDayCounterYearFraction(DayCounter,R712,S712)</f>
        <v>8.3333333333333329E-2</v>
      </c>
      <c r="Y712" s="29">
        <f>_xll.qlYieldTSDiscount(Currency&amp;"ON",R712)/(1+U712*X712)</f>
        <v>0.44312779363260751</v>
      </c>
      <c r="Z712" s="30" t="e">
        <f>_xll.qlTenorBasisValue(TenorBasis6M,R712,InterestRatesTrigger)</f>
        <v>#VALUE!</v>
      </c>
      <c r="AA712" s="30" t="e">
        <f t="shared" si="35"/>
        <v>#VALUE!</v>
      </c>
    </row>
    <row r="713" spans="15:27" x14ac:dyDescent="0.2">
      <c r="O713" s="33">
        <v>1</v>
      </c>
      <c r="P713" s="27" t="str">
        <f>_xll.qlPeriodEquivalent(P712&amp;"+"&amp;O713&amp;"M")</f>
        <v>59Y2M</v>
      </c>
      <c r="Q713" s="28">
        <f>_xll.qlCalendarAdvance(Calendar,SettlementDate,P713,"f",,Trigger)</f>
        <v>63891</v>
      </c>
      <c r="R713" s="28">
        <f>_xll.qlInterestRateIndexValueDate(Index,Q713,Trigger)</f>
        <v>63893</v>
      </c>
      <c r="S713" s="28">
        <f>_xll.qlInterestRateIndexMaturity(Index,R713,Trigger)</f>
        <v>63926</v>
      </c>
      <c r="T713" s="30">
        <f>_xll.qlIndexFixing($M$6,Q713,,InterestRatesTrigger)</f>
        <v>1.3550574794870844E-2</v>
      </c>
      <c r="U713" s="30">
        <f>_xll.qlIndexFixing(Index,Q713,,InterestRatesTrigger)</f>
        <v>1.3643426930589217E-2</v>
      </c>
      <c r="V713" s="30">
        <f t="shared" si="34"/>
        <v>9.285213571837321E-5</v>
      </c>
      <c r="W713" s="29">
        <f>_xll.qlDayCounterYearFraction(DayCounter,SettlementDate,R713,,,Trigger)</f>
        <v>60.038888888888891</v>
      </c>
      <c r="X713" s="29">
        <f>_xll.qlDayCounterYearFraction(DayCounter,R713,S713)</f>
        <v>9.166666666666666E-2</v>
      </c>
      <c r="Y713" s="29">
        <f>_xll.qlYieldTSDiscount(Currency&amp;"ON",R713)/(1+U713*X713)</f>
        <v>0.44259432779800645</v>
      </c>
      <c r="Z713" s="30" t="e">
        <f>_xll.qlTenorBasisValue(TenorBasis6M,R713,InterestRatesTrigger)</f>
        <v>#VALUE!</v>
      </c>
      <c r="AA713" s="30" t="e">
        <f t="shared" si="35"/>
        <v>#VALUE!</v>
      </c>
    </row>
    <row r="714" spans="15:27" x14ac:dyDescent="0.2">
      <c r="O714" s="33">
        <v>1</v>
      </c>
      <c r="P714" s="27" t="str">
        <f>_xll.qlPeriodEquivalent(P713&amp;"+"&amp;O714&amp;"M")</f>
        <v>59Y3M</v>
      </c>
      <c r="Q714" s="28">
        <f>_xll.qlCalendarAdvance(Calendar,SettlementDate,P714,"f",,Trigger)</f>
        <v>63921</v>
      </c>
      <c r="R714" s="28">
        <f>_xll.qlInterestRateIndexValueDate(Index,Q714,Trigger)</f>
        <v>63923</v>
      </c>
      <c r="S714" s="28">
        <f>_xll.qlInterestRateIndexMaturity(Index,R714,Trigger)</f>
        <v>63954</v>
      </c>
      <c r="T714" s="30">
        <f>_xll.qlIndexFixing($M$6,Q714,,InterestRatesTrigger)</f>
        <v>1.3552311695949955E-2</v>
      </c>
      <c r="U714" s="30">
        <f>_xll.qlIndexFixing(Index,Q714,,InterestRatesTrigger)</f>
        <v>1.364583052234378E-2</v>
      </c>
      <c r="V714" s="30">
        <f t="shared" si="34"/>
        <v>9.3518826393825666E-5</v>
      </c>
      <c r="W714" s="29">
        <f>_xll.qlDayCounterYearFraction(DayCounter,SettlementDate,R714,,,Trigger)</f>
        <v>60.12222222222222</v>
      </c>
      <c r="X714" s="29">
        <f>_xll.qlDayCounterYearFraction(DayCounter,R714,S714)</f>
        <v>8.611111111111111E-2</v>
      </c>
      <c r="Y714" s="29">
        <f>_xll.qlYieldTSDiscount(Currency&amp;"ON",R714)/(1+U714*X714)</f>
        <v>0.4421285188116858</v>
      </c>
      <c r="Z714" s="30" t="e">
        <f>_xll.qlTenorBasisValue(TenorBasis6M,R714,InterestRatesTrigger)</f>
        <v>#VALUE!</v>
      </c>
      <c r="AA714" s="30" t="e">
        <f t="shared" si="35"/>
        <v>#VALUE!</v>
      </c>
    </row>
    <row r="715" spans="15:27" x14ac:dyDescent="0.2">
      <c r="O715" s="33">
        <v>1</v>
      </c>
      <c r="P715" s="27" t="str">
        <f>_xll.qlPeriodEquivalent(P714&amp;"+"&amp;O715&amp;"M")</f>
        <v>59Y4M</v>
      </c>
      <c r="Q715" s="28">
        <f>_xll.qlCalendarAdvance(Calendar,SettlementDate,P715,"f",,Trigger)</f>
        <v>63954</v>
      </c>
      <c r="R715" s="28">
        <f>_xll.qlInterestRateIndexValueDate(Index,Q715,Trigger)</f>
        <v>63956</v>
      </c>
      <c r="S715" s="28">
        <f>_xll.qlInterestRateIndexMaturity(Index,R715,Trigger)</f>
        <v>63984</v>
      </c>
      <c r="T715" s="30">
        <f>_xll.qlIndexFixing($M$6,Q715,,InterestRatesTrigger)</f>
        <v>1.3553720250385164E-2</v>
      </c>
      <c r="U715" s="30">
        <f>_xll.qlIndexFixing(Index,Q715,,InterestRatesTrigger)</f>
        <v>1.3647880226210139E-2</v>
      </c>
      <c r="V715" s="30">
        <f t="shared" si="34"/>
        <v>9.4159975824974554E-5</v>
      </c>
      <c r="W715" s="29">
        <f>_xll.qlDayCounterYearFraction(DayCounter,SettlementDate,R715,,,Trigger)</f>
        <v>60.213888888888889</v>
      </c>
      <c r="X715" s="29">
        <f>_xll.qlDayCounterYearFraction(DayCounter,R715,S715)</f>
        <v>7.7777777777777779E-2</v>
      </c>
      <c r="Y715" s="29">
        <f>_xll.qlYieldTSDiscount(Currency&amp;"ON",R715)/(1+U715*X715)</f>
        <v>0.44163001343331076</v>
      </c>
      <c r="Z715" s="30" t="e">
        <f>_xll.qlTenorBasisValue(TenorBasis6M,R715,InterestRatesTrigger)</f>
        <v>#VALUE!</v>
      </c>
      <c r="AA715" s="30" t="e">
        <f t="shared" si="35"/>
        <v>#VALUE!</v>
      </c>
    </row>
    <row r="716" spans="15:27" x14ac:dyDescent="0.2">
      <c r="O716" s="33">
        <v>1</v>
      </c>
      <c r="P716" s="27" t="str">
        <f>_xll.qlPeriodEquivalent(P715&amp;"+"&amp;O716&amp;"M")</f>
        <v>59Y5M</v>
      </c>
      <c r="Q716" s="28">
        <f>_xll.qlCalendarAdvance(Calendar,SettlementDate,P716,"f",,Trigger)</f>
        <v>63982</v>
      </c>
      <c r="R716" s="28">
        <f>_xll.qlInterestRateIndexValueDate(Index,Q716,Trigger)</f>
        <v>63984</v>
      </c>
      <c r="S716" s="28">
        <f>_xll.qlInterestRateIndexMaturity(Index,R716,Trigger)</f>
        <v>64018</v>
      </c>
      <c r="T716" s="30">
        <f>_xll.qlIndexFixing($M$6,Q716,,InterestRatesTrigger)</f>
        <v>1.3557110542296743E-2</v>
      </c>
      <c r="U716" s="30">
        <f>_xll.qlIndexFixing(Index,Q716,,InterestRatesTrigger)</f>
        <v>1.3651849549441921E-2</v>
      </c>
      <c r="V716" s="30">
        <f t="shared" si="34"/>
        <v>9.473900714517848E-5</v>
      </c>
      <c r="W716" s="29">
        <f>_xll.qlDayCounterYearFraction(DayCounter,SettlementDate,R716,,,Trigger)</f>
        <v>60.291666666666664</v>
      </c>
      <c r="X716" s="29">
        <f>_xll.qlDayCounterYearFraction(DayCounter,R716,S716)</f>
        <v>9.4444444444444442E-2</v>
      </c>
      <c r="Y716" s="29">
        <f>_xll.qlYieldTSDiscount(Currency&amp;"ON",R716)/(1+U716*X716)</f>
        <v>0.44106456155286566</v>
      </c>
      <c r="Z716" s="30" t="e">
        <f>_xll.qlTenorBasisValue(TenorBasis6M,R716,InterestRatesTrigger)</f>
        <v>#VALUE!</v>
      </c>
      <c r="AA716" s="30" t="e">
        <f t="shared" si="35"/>
        <v>#VALUE!</v>
      </c>
    </row>
    <row r="717" spans="15:27" x14ac:dyDescent="0.2">
      <c r="O717" s="33">
        <v>1</v>
      </c>
      <c r="P717" s="27" t="str">
        <f>_xll.qlPeriodEquivalent(P716&amp;"+"&amp;O717&amp;"M")</f>
        <v>59Y6M</v>
      </c>
      <c r="Q717" s="28">
        <f>_xll.qlCalendarAdvance(Calendar,SettlementDate,P717,"f",,Trigger)</f>
        <v>64011</v>
      </c>
      <c r="R717" s="28">
        <f>_xll.qlInterestRateIndexValueDate(Index,Q717,Trigger)</f>
        <v>64013</v>
      </c>
      <c r="S717" s="28">
        <f>_xll.qlInterestRateIndexMaturity(Index,R717,Trigger)</f>
        <v>64045</v>
      </c>
      <c r="T717" s="30">
        <f>_xll.qlIndexFixing($M$6,Q717,,InterestRatesTrigger)</f>
        <v>1.355805122763093E-2</v>
      </c>
      <c r="U717" s="30">
        <f>_xll.qlIndexFixing(Index,Q717,,InterestRatesTrigger)</f>
        <v>1.3653218175100901E-2</v>
      </c>
      <c r="V717" s="30">
        <f t="shared" si="34"/>
        <v>9.516694746997123E-5</v>
      </c>
      <c r="W717" s="29">
        <f>_xll.qlDayCounterYearFraction(DayCounter,SettlementDate,R717,,,Trigger)</f>
        <v>60.37222222222222</v>
      </c>
      <c r="X717" s="29">
        <f>_xll.qlDayCounterYearFraction(DayCounter,R717,S717)</f>
        <v>8.8888888888888892E-2</v>
      </c>
      <c r="Y717" s="29">
        <f>_xll.qlYieldTSDiscount(Currency&amp;"ON",R717)/(1+U717*X717)</f>
        <v>0.44061677163733387</v>
      </c>
      <c r="Z717" s="30" t="e">
        <f>_xll.qlTenorBasisValue(TenorBasis6M,R717,InterestRatesTrigger)</f>
        <v>#VALUE!</v>
      </c>
      <c r="AA717" s="30" t="e">
        <f t="shared" si="35"/>
        <v>#VALUE!</v>
      </c>
    </row>
    <row r="718" spans="15:27" x14ac:dyDescent="0.2">
      <c r="O718" s="33">
        <v>1</v>
      </c>
      <c r="P718" s="27" t="str">
        <f>_xll.qlPeriodEquivalent(P717&amp;"+"&amp;O718&amp;"M")</f>
        <v>59Y7M</v>
      </c>
      <c r="Q718" s="28">
        <f>_xll.qlCalendarAdvance(Calendar,SettlementDate,P718,"f",,Trigger)</f>
        <v>64041</v>
      </c>
      <c r="R718" s="28">
        <f>_xll.qlInterestRateIndexValueDate(Index,Q718,Trigger)</f>
        <v>64045</v>
      </c>
      <c r="S718" s="28">
        <f>_xll.qlInterestRateIndexMaturity(Index,R718,Trigger)</f>
        <v>64076</v>
      </c>
      <c r="T718" s="30">
        <f>_xll.qlIndexFixing($M$6,Q718,,InterestRatesTrigger)</f>
        <v>1.3559160051656994E-2</v>
      </c>
      <c r="U718" s="30">
        <f>_xll.qlIndexFixing(Index,Q718,,InterestRatesTrigger)</f>
        <v>1.365473242112576E-2</v>
      </c>
      <c r="V718" s="30">
        <f t="shared" si="34"/>
        <v>9.557236946876671E-5</v>
      </c>
      <c r="W718" s="29">
        <f>_xll.qlDayCounterYearFraction(DayCounter,SettlementDate,R718,,,Trigger)</f>
        <v>60.461111111111109</v>
      </c>
      <c r="X718" s="29">
        <f>_xll.qlDayCounterYearFraction(DayCounter,R718,S718)</f>
        <v>8.611111111111111E-2</v>
      </c>
      <c r="Y718" s="29">
        <f>_xll.qlYieldTSDiscount(Currency&amp;"ON",R718)/(1+U718*X718)</f>
        <v>0.44010301069127467</v>
      </c>
      <c r="Z718" s="30" t="e">
        <f>_xll.qlTenorBasisValue(TenorBasis6M,R718,InterestRatesTrigger)</f>
        <v>#VALUE!</v>
      </c>
      <c r="AA718" s="30" t="e">
        <f t="shared" si="35"/>
        <v>#VALUE!</v>
      </c>
    </row>
    <row r="719" spans="15:27" x14ac:dyDescent="0.2">
      <c r="O719" s="33">
        <v>1</v>
      </c>
      <c r="P719" s="27" t="str">
        <f>_xll.qlPeriodEquivalent(P718&amp;"+"&amp;O719&amp;"M")</f>
        <v>59Y8M</v>
      </c>
      <c r="Q719" s="28">
        <f>_xll.qlCalendarAdvance(Calendar,SettlementDate,P719,"f",,Trigger)</f>
        <v>64073</v>
      </c>
      <c r="R719" s="28">
        <f>_xll.qlInterestRateIndexValueDate(Index,Q719,Trigger)</f>
        <v>64075</v>
      </c>
      <c r="S719" s="28">
        <f>_xll.qlInterestRateIndexMaturity(Index,R719,Trigger)</f>
        <v>64105</v>
      </c>
      <c r="T719" s="30">
        <f>_xll.qlIndexFixing($M$6,Q719,,InterestRatesTrigger)</f>
        <v>1.3559924164004755E-2</v>
      </c>
      <c r="U719" s="30">
        <f>_xll.qlIndexFixing(Index,Q719,,InterestRatesTrigger)</f>
        <v>1.3655798588031232E-2</v>
      </c>
      <c r="V719" s="30">
        <f t="shared" si="34"/>
        <v>9.587442402647639E-5</v>
      </c>
      <c r="W719" s="29">
        <f>_xll.qlDayCounterYearFraction(DayCounter,SettlementDate,R719,,,Trigger)</f>
        <v>60.544444444444444</v>
      </c>
      <c r="X719" s="29">
        <f>_xll.qlDayCounterYearFraction(DayCounter,R719,S719)</f>
        <v>8.3333333333333329E-2</v>
      </c>
      <c r="Y719" s="29">
        <f>_xll.qlYieldTSDiscount(Currency&amp;"ON",R719)/(1+U719*X719)</f>
        <v>0.43962291259979003</v>
      </c>
      <c r="Z719" s="30" t="e">
        <f>_xll.qlTenorBasisValue(TenorBasis6M,R719,InterestRatesTrigger)</f>
        <v>#VALUE!</v>
      </c>
      <c r="AA719" s="30" t="e">
        <f t="shared" si="35"/>
        <v>#VALUE!</v>
      </c>
    </row>
    <row r="720" spans="15:27" x14ac:dyDescent="0.2">
      <c r="O720" s="33">
        <v>1</v>
      </c>
      <c r="P720" s="27" t="str">
        <f>_xll.qlPeriodEquivalent(P719&amp;"+"&amp;O720&amp;"M")</f>
        <v>59Y9M</v>
      </c>
      <c r="Q720" s="28">
        <f>_xll.qlCalendarAdvance(Calendar,SettlementDate,P720,"f",,Trigger)</f>
        <v>64102</v>
      </c>
      <c r="R720" s="28">
        <f>_xll.qlInterestRateIndexValueDate(Index,Q720,Trigger)</f>
        <v>64104</v>
      </c>
      <c r="S720" s="28">
        <f>_xll.qlInterestRateIndexMaturity(Index,R720,Trigger)</f>
        <v>64136</v>
      </c>
      <c r="T720" s="30">
        <f>_xll.qlIndexFixing($M$6,Q720,,InterestRatesTrigger)</f>
        <v>1.3561211773545911E-2</v>
      </c>
      <c r="U720" s="30">
        <f>_xll.qlIndexFixing(Index,Q720,,InterestRatesTrigger)</f>
        <v>1.3657326444200812E-2</v>
      </c>
      <c r="V720" s="30">
        <f t="shared" si="34"/>
        <v>9.611467065490098E-5</v>
      </c>
      <c r="W720" s="29">
        <f>_xll.qlDayCounterYearFraction(DayCounter,SettlementDate,R720,,,Trigger)</f>
        <v>60.625</v>
      </c>
      <c r="X720" s="29">
        <f>_xll.qlDayCounterYearFraction(DayCounter,R720,S720)</f>
        <v>8.8888888888888892E-2</v>
      </c>
      <c r="Y720" s="29">
        <f>_xll.qlYieldTSDiscount(Currency&amp;"ON",R720)/(1+U720*X720)</f>
        <v>0.43910989901868525</v>
      </c>
      <c r="Z720" s="30" t="e">
        <f>_xll.qlTenorBasisValue(TenorBasis6M,R720,InterestRatesTrigger)</f>
        <v>#VALUE!</v>
      </c>
      <c r="AA720" s="30" t="e">
        <f t="shared" si="35"/>
        <v>#VALUE!</v>
      </c>
    </row>
    <row r="721" spans="15:27" x14ac:dyDescent="0.2">
      <c r="O721" s="33">
        <v>1</v>
      </c>
      <c r="P721" s="27" t="str">
        <f>_xll.qlPeriodEquivalent(P720&amp;"+"&amp;O721&amp;"M")</f>
        <v>59Y10M</v>
      </c>
      <c r="Q721" s="28">
        <f>_xll.qlCalendarAdvance(Calendar,SettlementDate,P721,"f",,Trigger)</f>
        <v>64133</v>
      </c>
      <c r="R721" s="28">
        <f>_xll.qlInterestRateIndexValueDate(Index,Q721,Trigger)</f>
        <v>64137</v>
      </c>
      <c r="S721" s="28">
        <f>_xll.qlInterestRateIndexMaturity(Index,R721,Trigger)</f>
        <v>64168</v>
      </c>
      <c r="T721" s="30">
        <f>_xll.qlIndexFixing($M$6,Q721,,InterestRatesTrigger)</f>
        <v>1.3561505975875748E-2</v>
      </c>
      <c r="U721" s="30">
        <f>_xll.qlIndexFixing(Index,Q721,,InterestRatesTrigger)</f>
        <v>1.3657781795615451E-2</v>
      </c>
      <c r="V721" s="30">
        <f t="shared" si="34"/>
        <v>9.6275819739703034E-5</v>
      </c>
      <c r="W721" s="29">
        <f>_xll.qlDayCounterYearFraction(DayCounter,SettlementDate,R721,,,Trigger)</f>
        <v>60.716666666666669</v>
      </c>
      <c r="X721" s="29">
        <f>_xll.qlDayCounterYearFraction(DayCounter,R721,S721)</f>
        <v>8.611111111111111E-2</v>
      </c>
      <c r="Y721" s="29">
        <f>_xll.qlYieldTSDiscount(Currency&amp;"ON",R721)/(1+U721*X721)</f>
        <v>0.43858130482683594</v>
      </c>
      <c r="Z721" s="30" t="e">
        <f>_xll.qlTenorBasisValue(TenorBasis6M,R721,InterestRatesTrigger)</f>
        <v>#VALUE!</v>
      </c>
      <c r="AA721" s="30" t="e">
        <f t="shared" si="35"/>
        <v>#VALUE!</v>
      </c>
    </row>
    <row r="722" spans="15:27" x14ac:dyDescent="0.2">
      <c r="O722" s="33">
        <v>1</v>
      </c>
      <c r="P722" s="27" t="str">
        <f>_xll.qlPeriodEquivalent(P721&amp;"+"&amp;O722&amp;"M")</f>
        <v>59Y11M</v>
      </c>
      <c r="Q722" s="31">
        <f>_xll.qlCalendarAdvance(Calendar,SettlementDate,P722,"f",,Trigger)</f>
        <v>64164</v>
      </c>
      <c r="R722" s="31">
        <f>_xll.qlInterestRateIndexValueDate(Index,Q722,Trigger)</f>
        <v>64166</v>
      </c>
      <c r="S722" s="31">
        <f>_xll.qlInterestRateIndexMaturity(Index,R722,Trigger)</f>
        <v>64196</v>
      </c>
      <c r="T722" s="32" t="e">
        <f>_xll.qlIndexFixing($M$6,Q722,,InterestRatesTrigger)</f>
        <v>#NUM!</v>
      </c>
      <c r="U722" s="32" t="e">
        <f>_xll.qlIndexFixing(Index,Q722,,InterestRatesTrigger)</f>
        <v>#NUM!</v>
      </c>
      <c r="V722" s="32" t="e">
        <f t="shared" si="34"/>
        <v>#NUM!</v>
      </c>
      <c r="W722" s="74">
        <f>_xll.qlDayCounterYearFraction(DayCounter,SettlementDate,R722,,,Trigger)</f>
        <v>60.797222222222224</v>
      </c>
      <c r="X722" s="74">
        <f>_xll.qlDayCounterYearFraction(DayCounter,R722,S722)</f>
        <v>8.3333333333333329E-2</v>
      </c>
      <c r="Y722" s="74" t="e">
        <f>_xll.qlYieldTSDiscount(Currency&amp;"ON",R722)/(1+U722*X722)</f>
        <v>#NUM!</v>
      </c>
      <c r="Z722" s="32" t="e">
        <f>_xll.qlTenorBasisValue(TenorBasis6M,R722,InterestRatesTrigger)</f>
        <v>#VALUE!</v>
      </c>
      <c r="AA722" s="32" t="e">
        <f t="shared" si="35"/>
        <v>#NUM!</v>
      </c>
    </row>
    <row r="723" spans="15:27" x14ac:dyDescent="0.2">
      <c r="P723" s="36"/>
      <c r="Q723" s="40"/>
      <c r="R723" s="40"/>
      <c r="S723" s="40"/>
      <c r="T723" s="41"/>
      <c r="U723" s="41"/>
      <c r="V723" s="41"/>
      <c r="W723" s="36"/>
      <c r="X723" s="36"/>
      <c r="Y723" s="36"/>
      <c r="Z723" s="36"/>
      <c r="AA723" s="36"/>
    </row>
    <row r="724" spans="15:27" x14ac:dyDescent="0.2">
      <c r="P724" s="36"/>
      <c r="Q724" s="40"/>
      <c r="R724" s="40"/>
      <c r="S724" s="40"/>
      <c r="T724" s="41"/>
      <c r="U724" s="41"/>
      <c r="V724" s="41"/>
      <c r="W724" s="36"/>
      <c r="X724" s="36"/>
      <c r="Y724" s="36"/>
      <c r="Z724" s="36"/>
      <c r="AA724" s="36"/>
    </row>
    <row r="725" spans="15:27" x14ac:dyDescent="0.2">
      <c r="P725" s="36"/>
      <c r="Q725" s="40"/>
      <c r="R725" s="40"/>
      <c r="S725" s="40"/>
      <c r="T725" s="41"/>
      <c r="U725" s="41"/>
      <c r="V725" s="41"/>
      <c r="W725" s="36"/>
      <c r="X725" s="36"/>
      <c r="Y725" s="36"/>
      <c r="Z725" s="36"/>
      <c r="AA725" s="36"/>
    </row>
    <row r="726" spans="15:27" x14ac:dyDescent="0.2">
      <c r="P726" s="36"/>
      <c r="Q726" s="40"/>
      <c r="R726" s="40"/>
      <c r="S726" s="40"/>
      <c r="T726" s="41"/>
      <c r="U726" s="41"/>
      <c r="V726" s="41"/>
      <c r="W726" s="36"/>
      <c r="X726" s="36"/>
      <c r="Y726" s="36"/>
      <c r="Z726" s="36"/>
      <c r="AA726" s="36"/>
    </row>
    <row r="727" spans="15:27" x14ac:dyDescent="0.2">
      <c r="P727" s="36"/>
      <c r="Q727" s="40"/>
      <c r="R727" s="40"/>
      <c r="S727" s="40"/>
      <c r="T727" s="41"/>
      <c r="U727" s="41"/>
      <c r="V727" s="41"/>
      <c r="W727" s="36"/>
      <c r="X727" s="36"/>
      <c r="Y727" s="36"/>
      <c r="Z727" s="36"/>
      <c r="AA727" s="36"/>
    </row>
    <row r="728" spans="15:27" x14ac:dyDescent="0.2">
      <c r="P728" s="36"/>
      <c r="Q728" s="40"/>
      <c r="R728" s="40"/>
      <c r="S728" s="40"/>
      <c r="T728" s="41"/>
      <c r="U728" s="41"/>
      <c r="V728" s="41"/>
      <c r="W728" s="36"/>
      <c r="X728" s="36"/>
      <c r="Y728" s="36"/>
      <c r="Z728" s="36"/>
      <c r="AA728" s="36"/>
    </row>
    <row r="729" spans="15:27" x14ac:dyDescent="0.2">
      <c r="P729" s="36"/>
      <c r="Q729" s="40"/>
      <c r="R729" s="40"/>
      <c r="S729" s="40"/>
      <c r="T729" s="41"/>
      <c r="U729" s="41"/>
      <c r="V729" s="41"/>
      <c r="W729" s="36"/>
      <c r="X729" s="36"/>
      <c r="Y729" s="36"/>
      <c r="Z729" s="36"/>
      <c r="AA729" s="36"/>
    </row>
    <row r="730" spans="15:27" x14ac:dyDescent="0.2">
      <c r="P730" s="36"/>
      <c r="Q730" s="40"/>
      <c r="R730" s="40"/>
      <c r="S730" s="40"/>
      <c r="T730" s="41"/>
      <c r="U730" s="41"/>
      <c r="V730" s="41"/>
      <c r="W730" s="36"/>
      <c r="X730" s="36"/>
      <c r="Y730" s="36"/>
      <c r="Z730" s="36"/>
      <c r="AA730" s="36"/>
    </row>
    <row r="731" spans="15:27" x14ac:dyDescent="0.2">
      <c r="P731" s="36"/>
      <c r="Q731" s="40"/>
      <c r="R731" s="40"/>
      <c r="S731" s="40"/>
      <c r="T731" s="41"/>
      <c r="U731" s="41"/>
      <c r="V731" s="41"/>
      <c r="W731" s="36"/>
      <c r="X731" s="36"/>
      <c r="Y731" s="36"/>
      <c r="Z731" s="36"/>
      <c r="AA731" s="36"/>
    </row>
    <row r="732" spans="15:27" x14ac:dyDescent="0.2">
      <c r="P732" s="36"/>
      <c r="Q732" s="40"/>
      <c r="R732" s="40"/>
      <c r="S732" s="40"/>
      <c r="T732" s="41"/>
      <c r="U732" s="41"/>
      <c r="V732" s="41"/>
      <c r="W732" s="36"/>
      <c r="X732" s="36"/>
      <c r="Y732" s="36"/>
      <c r="Z732" s="36"/>
      <c r="AA732" s="36"/>
    </row>
    <row r="733" spans="15:27" x14ac:dyDescent="0.2">
      <c r="P733" s="36"/>
      <c r="Q733" s="40"/>
      <c r="R733" s="40"/>
      <c r="S733" s="40"/>
      <c r="T733" s="41"/>
      <c r="U733" s="41"/>
      <c r="V733" s="41"/>
      <c r="W733" s="36"/>
      <c r="X733" s="36"/>
      <c r="Y733" s="36"/>
      <c r="Z733" s="36"/>
      <c r="AA733" s="36"/>
    </row>
    <row r="734" spans="15:27" x14ac:dyDescent="0.2">
      <c r="P734" s="36"/>
      <c r="Q734" s="40"/>
      <c r="R734" s="40"/>
      <c r="S734" s="40"/>
      <c r="T734" s="41"/>
      <c r="U734" s="41"/>
      <c r="V734" s="41"/>
      <c r="W734" s="36"/>
      <c r="X734" s="36"/>
      <c r="Y734" s="36"/>
      <c r="Z734" s="36"/>
      <c r="AA734" s="36"/>
    </row>
    <row r="735" spans="15:27" x14ac:dyDescent="0.2">
      <c r="P735" s="36"/>
      <c r="Q735" s="40"/>
      <c r="R735" s="40"/>
      <c r="S735" s="40"/>
      <c r="T735" s="41"/>
      <c r="U735" s="41"/>
      <c r="V735" s="41"/>
      <c r="W735" s="36"/>
      <c r="X735" s="36"/>
      <c r="Y735" s="36"/>
      <c r="Z735" s="36"/>
      <c r="AA735" s="36"/>
    </row>
    <row r="736" spans="15:27" x14ac:dyDescent="0.2">
      <c r="P736" s="36"/>
      <c r="Q736" s="40"/>
      <c r="R736" s="40"/>
      <c r="S736" s="40"/>
      <c r="T736" s="41"/>
      <c r="U736" s="41"/>
      <c r="V736" s="41"/>
      <c r="W736" s="36"/>
      <c r="X736" s="36"/>
      <c r="Y736" s="36"/>
      <c r="Z736" s="36"/>
      <c r="AA736" s="36"/>
    </row>
    <row r="737" spans="16:27" x14ac:dyDescent="0.2">
      <c r="P737" s="36"/>
      <c r="Q737" s="40"/>
      <c r="R737" s="40"/>
      <c r="S737" s="40"/>
      <c r="T737" s="41"/>
      <c r="U737" s="41"/>
      <c r="V737" s="41"/>
      <c r="W737" s="36"/>
      <c r="X737" s="36"/>
      <c r="Y737" s="36"/>
      <c r="Z737" s="36"/>
      <c r="AA737" s="36"/>
    </row>
    <row r="738" spans="16:27" x14ac:dyDescent="0.2">
      <c r="P738" s="36"/>
      <c r="Q738" s="40"/>
      <c r="R738" s="40"/>
      <c r="S738" s="40"/>
      <c r="T738" s="41"/>
      <c r="U738" s="41"/>
      <c r="V738" s="41"/>
      <c r="W738" s="36"/>
      <c r="X738" s="36"/>
      <c r="Y738" s="36"/>
      <c r="Z738" s="36"/>
      <c r="AA738" s="36"/>
    </row>
    <row r="739" spans="16:27" x14ac:dyDescent="0.2">
      <c r="P739" s="36"/>
      <c r="Q739" s="40"/>
      <c r="R739" s="40"/>
      <c r="S739" s="40"/>
      <c r="T739" s="41"/>
      <c r="U739" s="41"/>
      <c r="V739" s="41"/>
      <c r="W739" s="36"/>
      <c r="X739" s="36"/>
      <c r="Y739" s="36"/>
      <c r="Z739" s="36"/>
      <c r="AA739" s="36"/>
    </row>
    <row r="740" spans="16:27" x14ac:dyDescent="0.2">
      <c r="P740" s="36"/>
      <c r="Q740" s="40"/>
      <c r="R740" s="40"/>
      <c r="S740" s="40"/>
      <c r="T740" s="41"/>
      <c r="U740" s="41"/>
      <c r="V740" s="41"/>
      <c r="W740" s="36"/>
      <c r="X740" s="36"/>
      <c r="Y740" s="36"/>
      <c r="Z740" s="36"/>
      <c r="AA740" s="36"/>
    </row>
    <row r="741" spans="16:27" x14ac:dyDescent="0.2">
      <c r="P741" s="36"/>
      <c r="Q741" s="40"/>
      <c r="R741" s="40"/>
      <c r="S741" s="40"/>
      <c r="T741" s="41"/>
      <c r="U741" s="41"/>
      <c r="V741" s="41"/>
      <c r="W741" s="36"/>
      <c r="X741" s="36"/>
      <c r="Y741" s="36"/>
      <c r="Z741" s="36"/>
      <c r="AA741" s="36"/>
    </row>
    <row r="742" spans="16:27" x14ac:dyDescent="0.2">
      <c r="P742" s="36"/>
      <c r="Q742" s="40"/>
      <c r="R742" s="40"/>
      <c r="S742" s="40"/>
      <c r="T742" s="41"/>
      <c r="U742" s="41"/>
      <c r="V742" s="41"/>
      <c r="W742" s="36"/>
      <c r="X742" s="36"/>
      <c r="Y742" s="36"/>
      <c r="Z742" s="36"/>
      <c r="AA742" s="36"/>
    </row>
    <row r="743" spans="16:27" x14ac:dyDescent="0.2">
      <c r="P743" s="36"/>
      <c r="Q743" s="40"/>
      <c r="R743" s="40"/>
      <c r="S743" s="40"/>
      <c r="T743" s="41"/>
      <c r="U743" s="41"/>
      <c r="V743" s="41"/>
      <c r="W743" s="36"/>
      <c r="X743" s="36"/>
      <c r="Y743" s="36"/>
      <c r="Z743" s="36"/>
      <c r="AA743" s="36"/>
    </row>
    <row r="744" spans="16:27" x14ac:dyDescent="0.2">
      <c r="P744" s="36"/>
      <c r="Q744" s="40"/>
      <c r="R744" s="40"/>
      <c r="S744" s="40"/>
      <c r="T744" s="41"/>
      <c r="U744" s="41"/>
      <c r="V744" s="41"/>
      <c r="W744" s="36"/>
      <c r="X744" s="36"/>
      <c r="Y744" s="36"/>
      <c r="Z744" s="36"/>
      <c r="AA744" s="36"/>
    </row>
    <row r="745" spans="16:27" x14ac:dyDescent="0.2">
      <c r="P745" s="36"/>
      <c r="Q745" s="40"/>
      <c r="R745" s="40"/>
      <c r="S745" s="40"/>
      <c r="T745" s="41"/>
      <c r="U745" s="41"/>
      <c r="V745" s="41"/>
      <c r="W745" s="36"/>
      <c r="X745" s="36"/>
      <c r="Y745" s="36"/>
      <c r="Z745" s="36"/>
      <c r="AA745" s="36"/>
    </row>
    <row r="746" spans="16:27" x14ac:dyDescent="0.2">
      <c r="P746" s="36"/>
      <c r="Q746" s="40"/>
      <c r="R746" s="40"/>
      <c r="S746" s="40"/>
      <c r="T746" s="41"/>
      <c r="U746" s="41"/>
      <c r="V746" s="41"/>
      <c r="W746" s="36"/>
      <c r="X746" s="36"/>
      <c r="Y746" s="36"/>
      <c r="Z746" s="36"/>
      <c r="AA746" s="36"/>
    </row>
    <row r="747" spans="16:27" x14ac:dyDescent="0.2">
      <c r="P747" s="36"/>
      <c r="Q747" s="40"/>
      <c r="R747" s="40"/>
      <c r="S747" s="40"/>
      <c r="T747" s="41"/>
      <c r="U747" s="41"/>
      <c r="V747" s="41"/>
      <c r="W747" s="36"/>
      <c r="X747" s="36"/>
      <c r="Y747" s="36"/>
      <c r="Z747" s="36"/>
      <c r="AA747" s="36"/>
    </row>
    <row r="748" spans="16:27" x14ac:dyDescent="0.2">
      <c r="P748" s="36"/>
      <c r="Q748" s="40"/>
      <c r="R748" s="40"/>
      <c r="S748" s="40"/>
      <c r="T748" s="41"/>
      <c r="U748" s="41"/>
      <c r="V748" s="41"/>
      <c r="W748" s="36"/>
      <c r="X748" s="36"/>
      <c r="Y748" s="36"/>
      <c r="Z748" s="36"/>
      <c r="AA748" s="36"/>
    </row>
    <row r="749" spans="16:27" x14ac:dyDescent="0.2">
      <c r="P749" s="36"/>
      <c r="Q749" s="40"/>
      <c r="R749" s="40"/>
      <c r="S749" s="40"/>
      <c r="T749" s="41"/>
      <c r="U749" s="41"/>
      <c r="V749" s="41"/>
      <c r="W749" s="36"/>
      <c r="X749" s="36"/>
      <c r="Y749" s="36"/>
      <c r="Z749" s="36"/>
      <c r="AA749" s="36"/>
    </row>
    <row r="750" spans="16:27" x14ac:dyDescent="0.2">
      <c r="P750" s="36"/>
      <c r="Q750" s="40"/>
      <c r="R750" s="40"/>
      <c r="S750" s="40"/>
      <c r="T750" s="41"/>
      <c r="U750" s="41"/>
      <c r="V750" s="41"/>
      <c r="W750" s="36"/>
      <c r="X750" s="36"/>
      <c r="Y750" s="36"/>
      <c r="Z750" s="36"/>
      <c r="AA750" s="36"/>
    </row>
    <row r="751" spans="16:27" x14ac:dyDescent="0.2">
      <c r="P751" s="36"/>
      <c r="Q751" s="40"/>
      <c r="R751" s="40"/>
      <c r="S751" s="40"/>
      <c r="T751" s="41"/>
      <c r="U751" s="41"/>
      <c r="V751" s="41"/>
      <c r="W751" s="36"/>
      <c r="X751" s="36"/>
      <c r="Y751" s="36"/>
      <c r="Z751" s="36"/>
      <c r="AA751" s="36"/>
    </row>
    <row r="752" spans="16:27" x14ac:dyDescent="0.2">
      <c r="P752" s="36"/>
      <c r="Q752" s="40"/>
      <c r="R752" s="40"/>
      <c r="S752" s="40"/>
      <c r="T752" s="41"/>
      <c r="U752" s="41"/>
      <c r="V752" s="41"/>
      <c r="W752" s="36"/>
      <c r="X752" s="36"/>
      <c r="Y752" s="36"/>
      <c r="Z752" s="36"/>
      <c r="AA752" s="36"/>
    </row>
    <row r="753" spans="16:27" x14ac:dyDescent="0.2">
      <c r="P753" s="36"/>
      <c r="Q753" s="40"/>
      <c r="R753" s="40"/>
      <c r="S753" s="40"/>
      <c r="T753" s="41"/>
      <c r="U753" s="41"/>
      <c r="V753" s="41"/>
      <c r="W753" s="36"/>
      <c r="X753" s="36"/>
      <c r="Y753" s="36"/>
      <c r="Z753" s="36"/>
      <c r="AA753" s="36"/>
    </row>
    <row r="754" spans="16:27" x14ac:dyDescent="0.2">
      <c r="P754" s="36"/>
      <c r="Q754" s="40"/>
      <c r="R754" s="40"/>
      <c r="S754" s="40"/>
      <c r="T754" s="41"/>
      <c r="U754" s="41"/>
      <c r="V754" s="41"/>
      <c r="W754" s="36"/>
      <c r="X754" s="36"/>
      <c r="Y754" s="36"/>
      <c r="Z754" s="36"/>
      <c r="AA754" s="36"/>
    </row>
    <row r="755" spans="16:27" x14ac:dyDescent="0.2">
      <c r="P755" s="36"/>
      <c r="Q755" s="40"/>
      <c r="R755" s="40"/>
      <c r="S755" s="40"/>
      <c r="T755" s="41"/>
      <c r="U755" s="41"/>
      <c r="V755" s="41"/>
      <c r="W755" s="36"/>
      <c r="X755" s="36"/>
      <c r="Y755" s="36"/>
      <c r="Z755" s="36"/>
      <c r="AA755" s="36"/>
    </row>
    <row r="756" spans="16:27" x14ac:dyDescent="0.2">
      <c r="P756" s="36"/>
      <c r="Q756" s="40"/>
      <c r="R756" s="40"/>
      <c r="S756" s="40"/>
      <c r="T756" s="41"/>
      <c r="U756" s="41"/>
      <c r="V756" s="41"/>
      <c r="W756" s="36"/>
      <c r="X756" s="36"/>
      <c r="Y756" s="36"/>
      <c r="Z756" s="36"/>
      <c r="AA756" s="36"/>
    </row>
    <row r="757" spans="16:27" x14ac:dyDescent="0.2">
      <c r="P757" s="36"/>
      <c r="Q757" s="40"/>
      <c r="R757" s="40"/>
      <c r="S757" s="40"/>
      <c r="T757" s="41"/>
      <c r="U757" s="41"/>
      <c r="V757" s="41"/>
      <c r="W757" s="36"/>
      <c r="X757" s="36"/>
      <c r="Y757" s="36"/>
      <c r="Z757" s="36"/>
      <c r="AA757" s="36"/>
    </row>
    <row r="758" spans="16:27" x14ac:dyDescent="0.2">
      <c r="P758" s="36"/>
      <c r="Q758" s="40"/>
      <c r="R758" s="40"/>
      <c r="S758" s="40"/>
      <c r="T758" s="41"/>
      <c r="U758" s="41"/>
      <c r="V758" s="41"/>
      <c r="W758" s="36"/>
      <c r="X758" s="36"/>
      <c r="Y758" s="36"/>
      <c r="Z758" s="36"/>
      <c r="AA758" s="36"/>
    </row>
    <row r="759" spans="16:27" x14ac:dyDescent="0.2">
      <c r="P759" s="36"/>
      <c r="Q759" s="40"/>
      <c r="R759" s="40"/>
      <c r="S759" s="40"/>
      <c r="T759" s="41"/>
      <c r="U759" s="41"/>
      <c r="V759" s="41"/>
      <c r="W759" s="36"/>
      <c r="X759" s="36"/>
      <c r="Y759" s="36"/>
      <c r="Z759" s="36"/>
      <c r="AA759" s="36"/>
    </row>
    <row r="760" spans="16:27" x14ac:dyDescent="0.2">
      <c r="P760" s="36"/>
      <c r="Q760" s="40"/>
      <c r="R760" s="40"/>
      <c r="S760" s="40"/>
      <c r="T760" s="41"/>
      <c r="U760" s="41"/>
      <c r="V760" s="41"/>
      <c r="W760" s="36"/>
      <c r="X760" s="36"/>
      <c r="Y760" s="36"/>
      <c r="Z760" s="36"/>
      <c r="AA760" s="36"/>
    </row>
    <row r="761" spans="16:27" x14ac:dyDescent="0.2">
      <c r="P761" s="36"/>
      <c r="Q761" s="40"/>
      <c r="R761" s="40"/>
      <c r="S761" s="40"/>
      <c r="T761" s="41"/>
      <c r="U761" s="41"/>
      <c r="V761" s="41"/>
      <c r="W761" s="36"/>
      <c r="X761" s="36"/>
      <c r="Y761" s="36"/>
      <c r="Z761" s="36"/>
      <c r="AA761" s="36"/>
    </row>
    <row r="762" spans="16:27" x14ac:dyDescent="0.2">
      <c r="P762" s="36"/>
      <c r="Q762" s="40"/>
      <c r="R762" s="40"/>
      <c r="S762" s="40"/>
      <c r="T762" s="41"/>
      <c r="U762" s="41"/>
      <c r="V762" s="41"/>
      <c r="W762" s="36"/>
      <c r="X762" s="36"/>
      <c r="Y762" s="36"/>
      <c r="Z762" s="36"/>
      <c r="AA762" s="36"/>
    </row>
    <row r="763" spans="16:27" x14ac:dyDescent="0.2">
      <c r="P763" s="36"/>
      <c r="Q763" s="40"/>
      <c r="R763" s="40"/>
      <c r="S763" s="40"/>
      <c r="T763" s="41"/>
      <c r="U763" s="41"/>
      <c r="V763" s="41"/>
      <c r="W763" s="36"/>
      <c r="X763" s="36"/>
      <c r="Y763" s="36"/>
      <c r="Z763" s="36"/>
      <c r="AA763" s="36"/>
    </row>
    <row r="764" spans="16:27" x14ac:dyDescent="0.2">
      <c r="P764" s="36"/>
      <c r="Q764" s="40"/>
      <c r="R764" s="40"/>
      <c r="S764" s="40"/>
      <c r="T764" s="41"/>
      <c r="U764" s="41"/>
      <c r="V764" s="41"/>
      <c r="W764" s="36"/>
      <c r="X764" s="36"/>
      <c r="Y764" s="36"/>
      <c r="Z764" s="36"/>
      <c r="AA764" s="36"/>
    </row>
    <row r="765" spans="16:27" x14ac:dyDescent="0.2">
      <c r="P765" s="36"/>
      <c r="Q765" s="40"/>
      <c r="R765" s="40"/>
      <c r="S765" s="40"/>
      <c r="T765" s="41"/>
      <c r="U765" s="41"/>
      <c r="V765" s="41"/>
      <c r="W765" s="36"/>
      <c r="X765" s="36"/>
      <c r="Y765" s="36"/>
      <c r="Z765" s="36"/>
      <c r="AA765" s="36"/>
    </row>
    <row r="766" spans="16:27" x14ac:dyDescent="0.2">
      <c r="P766" s="36"/>
      <c r="Q766" s="40"/>
      <c r="R766" s="40"/>
      <c r="S766" s="40"/>
      <c r="T766" s="41"/>
      <c r="U766" s="41"/>
      <c r="V766" s="41"/>
      <c r="W766" s="36"/>
      <c r="X766" s="36"/>
      <c r="Y766" s="36"/>
      <c r="Z766" s="36"/>
      <c r="AA766" s="36"/>
    </row>
    <row r="767" spans="16:27" x14ac:dyDescent="0.2">
      <c r="P767" s="36"/>
      <c r="Q767" s="40"/>
      <c r="R767" s="40"/>
      <c r="S767" s="40"/>
      <c r="T767" s="41"/>
      <c r="U767" s="41"/>
      <c r="V767" s="41"/>
      <c r="W767" s="36"/>
      <c r="X767" s="36"/>
      <c r="Y767" s="36"/>
      <c r="Z767" s="36"/>
      <c r="AA767" s="36"/>
    </row>
    <row r="768" spans="16:27" x14ac:dyDescent="0.2">
      <c r="P768" s="36"/>
      <c r="Q768" s="40"/>
      <c r="R768" s="40"/>
      <c r="S768" s="40"/>
      <c r="T768" s="41"/>
      <c r="U768" s="41"/>
      <c r="V768" s="41"/>
      <c r="W768" s="36"/>
      <c r="X768" s="36"/>
      <c r="Y768" s="36"/>
      <c r="Z768" s="36"/>
      <c r="AA768" s="36"/>
    </row>
    <row r="769" spans="16:27" x14ac:dyDescent="0.2">
      <c r="P769" s="36"/>
      <c r="Q769" s="40"/>
      <c r="R769" s="40"/>
      <c r="S769" s="40"/>
      <c r="T769" s="41"/>
      <c r="U769" s="41"/>
      <c r="V769" s="41"/>
      <c r="W769" s="36"/>
      <c r="X769" s="36"/>
      <c r="Y769" s="36"/>
      <c r="Z769" s="36"/>
      <c r="AA769" s="36"/>
    </row>
    <row r="770" spans="16:27" x14ac:dyDescent="0.2">
      <c r="P770" s="36"/>
      <c r="Q770" s="40"/>
      <c r="R770" s="40"/>
      <c r="S770" s="40"/>
      <c r="T770" s="41"/>
      <c r="U770" s="41"/>
      <c r="V770" s="41"/>
      <c r="W770" s="36"/>
      <c r="X770" s="36"/>
      <c r="Y770" s="36"/>
      <c r="Z770" s="36"/>
      <c r="AA770" s="36"/>
    </row>
    <row r="771" spans="16:27" x14ac:dyDescent="0.2">
      <c r="P771" s="36"/>
      <c r="Q771" s="40"/>
      <c r="R771" s="40"/>
      <c r="S771" s="40"/>
      <c r="T771" s="41"/>
      <c r="U771" s="41"/>
      <c r="V771" s="41"/>
      <c r="W771" s="36"/>
      <c r="X771" s="36"/>
      <c r="Y771" s="36"/>
      <c r="Z771" s="36"/>
      <c r="AA771" s="36"/>
    </row>
    <row r="772" spans="16:27" x14ac:dyDescent="0.2">
      <c r="P772" s="36"/>
      <c r="Q772" s="40"/>
      <c r="R772" s="40"/>
      <c r="S772" s="40"/>
      <c r="T772" s="41"/>
      <c r="U772" s="41"/>
      <c r="V772" s="41"/>
      <c r="W772" s="36"/>
      <c r="X772" s="36"/>
      <c r="Y772" s="36"/>
      <c r="Z772" s="36"/>
      <c r="AA772" s="36"/>
    </row>
    <row r="773" spans="16:27" x14ac:dyDescent="0.2">
      <c r="P773" s="36"/>
      <c r="Q773" s="40"/>
      <c r="R773" s="40"/>
      <c r="S773" s="40"/>
      <c r="T773" s="41"/>
      <c r="U773" s="41"/>
      <c r="V773" s="41"/>
      <c r="W773" s="36"/>
      <c r="X773" s="36"/>
      <c r="Y773" s="36"/>
      <c r="Z773" s="36"/>
      <c r="AA773" s="36"/>
    </row>
    <row r="774" spans="16:27" x14ac:dyDescent="0.2">
      <c r="P774" s="36"/>
      <c r="Q774" s="40"/>
      <c r="R774" s="40"/>
      <c r="S774" s="40"/>
      <c r="T774" s="41"/>
      <c r="U774" s="41"/>
      <c r="V774" s="41"/>
      <c r="W774" s="36"/>
      <c r="X774" s="36"/>
      <c r="Y774" s="36"/>
      <c r="Z774" s="36"/>
      <c r="AA774" s="36"/>
    </row>
    <row r="775" spans="16:27" x14ac:dyDescent="0.2">
      <c r="P775" s="36"/>
      <c r="Q775" s="40"/>
      <c r="R775" s="40"/>
      <c r="S775" s="40"/>
      <c r="T775" s="41"/>
      <c r="U775" s="41"/>
      <c r="V775" s="41"/>
      <c r="W775" s="36"/>
      <c r="X775" s="36"/>
      <c r="Y775" s="36"/>
      <c r="Z775" s="36"/>
      <c r="AA775" s="36"/>
    </row>
    <row r="776" spans="16:27" x14ac:dyDescent="0.2">
      <c r="P776" s="36"/>
      <c r="Q776" s="40"/>
      <c r="R776" s="40"/>
      <c r="S776" s="40"/>
      <c r="T776" s="41"/>
      <c r="U776" s="41"/>
      <c r="V776" s="41"/>
      <c r="W776" s="36"/>
      <c r="X776" s="36"/>
      <c r="Y776" s="36"/>
      <c r="Z776" s="36"/>
      <c r="AA776" s="36"/>
    </row>
    <row r="777" spans="16:27" x14ac:dyDescent="0.2">
      <c r="P777" s="36"/>
      <c r="Q777" s="40"/>
      <c r="R777" s="40"/>
      <c r="S777" s="40"/>
      <c r="T777" s="41"/>
      <c r="U777" s="41"/>
      <c r="V777" s="41"/>
      <c r="W777" s="36"/>
      <c r="X777" s="36"/>
      <c r="Y777" s="36"/>
      <c r="Z777" s="36"/>
      <c r="AA777" s="36"/>
    </row>
    <row r="778" spans="16:27" x14ac:dyDescent="0.2">
      <c r="P778" s="36"/>
      <c r="Q778" s="40"/>
      <c r="R778" s="40"/>
      <c r="S778" s="40"/>
      <c r="T778" s="41"/>
      <c r="U778" s="41"/>
      <c r="V778" s="41"/>
      <c r="W778" s="36"/>
      <c r="X778" s="36"/>
      <c r="Y778" s="36"/>
      <c r="Z778" s="36"/>
      <c r="AA778" s="36"/>
    </row>
    <row r="779" spans="16:27" x14ac:dyDescent="0.2">
      <c r="P779" s="36"/>
      <c r="Q779" s="40"/>
      <c r="R779" s="40"/>
      <c r="S779" s="40"/>
      <c r="T779" s="41"/>
      <c r="U779" s="41"/>
      <c r="V779" s="41"/>
      <c r="W779" s="36"/>
      <c r="X779" s="36"/>
      <c r="Y779" s="36"/>
      <c r="Z779" s="36"/>
      <c r="AA779" s="36"/>
    </row>
    <row r="780" spans="16:27" x14ac:dyDescent="0.2">
      <c r="P780" s="36"/>
      <c r="Q780" s="40"/>
      <c r="R780" s="40"/>
      <c r="S780" s="40"/>
      <c r="T780" s="41"/>
      <c r="U780" s="41"/>
      <c r="V780" s="41"/>
      <c r="W780" s="36"/>
      <c r="X780" s="36"/>
      <c r="Y780" s="36"/>
      <c r="Z780" s="36"/>
      <c r="AA780" s="36"/>
    </row>
    <row r="781" spans="16:27" x14ac:dyDescent="0.2">
      <c r="P781" s="36"/>
      <c r="Q781" s="40"/>
      <c r="R781" s="40"/>
      <c r="S781" s="40"/>
      <c r="T781" s="41"/>
      <c r="U781" s="41"/>
      <c r="V781" s="41"/>
      <c r="W781" s="36"/>
      <c r="X781" s="36"/>
      <c r="Y781" s="36"/>
      <c r="Z781" s="36"/>
      <c r="AA781" s="36"/>
    </row>
    <row r="782" spans="16:27" x14ac:dyDescent="0.2">
      <c r="P782" s="36"/>
      <c r="Q782" s="40"/>
      <c r="R782" s="40"/>
      <c r="S782" s="40"/>
      <c r="T782" s="41"/>
      <c r="U782" s="41"/>
      <c r="V782" s="41"/>
      <c r="W782" s="36"/>
      <c r="X782" s="36"/>
      <c r="Y782" s="36"/>
      <c r="Z782" s="36"/>
      <c r="AA782" s="36"/>
    </row>
    <row r="783" spans="16:27" x14ac:dyDescent="0.2">
      <c r="P783" s="36"/>
      <c r="Q783" s="40"/>
      <c r="R783" s="40"/>
      <c r="S783" s="40"/>
      <c r="T783" s="41"/>
      <c r="U783" s="41"/>
      <c r="V783" s="41"/>
      <c r="W783" s="36"/>
      <c r="X783" s="36"/>
      <c r="Y783" s="36"/>
      <c r="Z783" s="36"/>
      <c r="AA783" s="36"/>
    </row>
    <row r="784" spans="16:27" x14ac:dyDescent="0.2">
      <c r="P784" s="36"/>
      <c r="Q784" s="40"/>
      <c r="R784" s="40"/>
      <c r="S784" s="40"/>
      <c r="T784" s="41"/>
      <c r="U784" s="41"/>
      <c r="V784" s="41"/>
      <c r="W784" s="36"/>
      <c r="X784" s="36"/>
      <c r="Y784" s="36"/>
      <c r="Z784" s="36"/>
      <c r="AA784" s="36"/>
    </row>
    <row r="785" spans="16:27" x14ac:dyDescent="0.2">
      <c r="P785" s="36"/>
      <c r="Q785" s="40"/>
      <c r="R785" s="40"/>
      <c r="S785" s="40"/>
      <c r="T785" s="41"/>
      <c r="U785" s="41"/>
      <c r="V785" s="41"/>
      <c r="W785" s="36"/>
      <c r="X785" s="36"/>
      <c r="Y785" s="36"/>
      <c r="Z785" s="36"/>
      <c r="AA785" s="36"/>
    </row>
    <row r="786" spans="16:27" x14ac:dyDescent="0.2">
      <c r="P786" s="36"/>
      <c r="Q786" s="40"/>
      <c r="R786" s="40"/>
      <c r="S786" s="40"/>
      <c r="T786" s="41"/>
      <c r="U786" s="41"/>
      <c r="V786" s="41"/>
      <c r="W786" s="36"/>
      <c r="X786" s="36"/>
      <c r="Y786" s="36"/>
      <c r="Z786" s="36"/>
      <c r="AA786" s="36"/>
    </row>
    <row r="787" spans="16:27" x14ac:dyDescent="0.2">
      <c r="P787" s="36"/>
      <c r="Q787" s="40"/>
      <c r="R787" s="40"/>
      <c r="S787" s="40"/>
      <c r="T787" s="41"/>
      <c r="U787" s="41"/>
      <c r="V787" s="41"/>
      <c r="W787" s="36"/>
      <c r="X787" s="36"/>
      <c r="Y787" s="36"/>
      <c r="Z787" s="36"/>
      <c r="AA787" s="36"/>
    </row>
    <row r="788" spans="16:27" x14ac:dyDescent="0.2">
      <c r="P788" s="36"/>
      <c r="Q788" s="40"/>
      <c r="R788" s="40"/>
      <c r="S788" s="40"/>
      <c r="T788" s="41"/>
      <c r="U788" s="41"/>
      <c r="V788" s="41"/>
      <c r="W788" s="36"/>
      <c r="X788" s="36"/>
      <c r="Y788" s="36"/>
      <c r="Z788" s="36"/>
      <c r="AA788" s="36"/>
    </row>
    <row r="789" spans="16:27" x14ac:dyDescent="0.2">
      <c r="P789" s="36"/>
      <c r="Q789" s="40"/>
      <c r="R789" s="40"/>
      <c r="S789" s="40"/>
      <c r="T789" s="41"/>
      <c r="U789" s="41"/>
      <c r="V789" s="41"/>
      <c r="W789" s="36"/>
      <c r="X789" s="36"/>
      <c r="Y789" s="36"/>
      <c r="Z789" s="36"/>
      <c r="AA789" s="36"/>
    </row>
    <row r="790" spans="16:27" x14ac:dyDescent="0.2">
      <c r="P790" s="36"/>
      <c r="Q790" s="40"/>
      <c r="R790" s="40"/>
      <c r="S790" s="40"/>
      <c r="T790" s="41"/>
      <c r="U790" s="41"/>
      <c r="V790" s="41"/>
      <c r="W790" s="36"/>
      <c r="X790" s="36"/>
      <c r="Y790" s="36"/>
      <c r="Z790" s="36"/>
      <c r="AA790" s="36"/>
    </row>
    <row r="791" spans="16:27" x14ac:dyDescent="0.2">
      <c r="P791" s="36"/>
      <c r="Q791" s="40"/>
      <c r="R791" s="40"/>
      <c r="S791" s="40"/>
      <c r="T791" s="41"/>
      <c r="U791" s="41"/>
      <c r="V791" s="41"/>
      <c r="W791" s="36"/>
      <c r="X791" s="36"/>
      <c r="Y791" s="36"/>
      <c r="Z791" s="36"/>
      <c r="AA791" s="36"/>
    </row>
    <row r="792" spans="16:27" x14ac:dyDescent="0.2">
      <c r="P792" s="36"/>
      <c r="Q792" s="40"/>
      <c r="R792" s="40"/>
      <c r="S792" s="40"/>
      <c r="T792" s="41"/>
      <c r="U792" s="41"/>
      <c r="V792" s="41"/>
      <c r="W792" s="36"/>
      <c r="X792" s="36"/>
      <c r="Y792" s="36"/>
      <c r="Z792" s="36"/>
      <c r="AA792" s="36"/>
    </row>
    <row r="793" spans="16:27" x14ac:dyDescent="0.2">
      <c r="P793" s="36"/>
      <c r="Q793" s="40"/>
      <c r="R793" s="40"/>
      <c r="S793" s="40"/>
      <c r="T793" s="41"/>
      <c r="U793" s="41"/>
      <c r="V793" s="41"/>
      <c r="W793" s="36"/>
      <c r="X793" s="36"/>
      <c r="Y793" s="36"/>
      <c r="Z793" s="36"/>
      <c r="AA793" s="36"/>
    </row>
    <row r="794" spans="16:27" x14ac:dyDescent="0.2">
      <c r="P794" s="36"/>
      <c r="Q794" s="40"/>
      <c r="R794" s="40"/>
      <c r="S794" s="40"/>
      <c r="T794" s="41"/>
      <c r="U794" s="41"/>
      <c r="V794" s="41"/>
      <c r="W794" s="36"/>
      <c r="X794" s="36"/>
      <c r="Y794" s="36"/>
      <c r="Z794" s="36"/>
      <c r="AA794" s="36"/>
    </row>
    <row r="795" spans="16:27" x14ac:dyDescent="0.2">
      <c r="P795" s="36"/>
      <c r="Q795" s="40"/>
      <c r="R795" s="40"/>
      <c r="S795" s="40"/>
      <c r="T795" s="41"/>
      <c r="U795" s="41"/>
      <c r="V795" s="41"/>
      <c r="W795" s="36"/>
      <c r="X795" s="36"/>
      <c r="Y795" s="36"/>
      <c r="Z795" s="36"/>
      <c r="AA795" s="36"/>
    </row>
    <row r="796" spans="16:27" x14ac:dyDescent="0.2">
      <c r="P796" s="36"/>
      <c r="Q796" s="40"/>
      <c r="R796" s="40"/>
      <c r="S796" s="40"/>
      <c r="T796" s="41"/>
      <c r="U796" s="41"/>
      <c r="V796" s="41"/>
      <c r="W796" s="36"/>
      <c r="X796" s="36"/>
      <c r="Y796" s="36"/>
      <c r="Z796" s="36"/>
      <c r="AA796" s="36"/>
    </row>
    <row r="797" spans="16:27" x14ac:dyDescent="0.2">
      <c r="P797" s="36"/>
      <c r="Q797" s="40"/>
      <c r="R797" s="40"/>
      <c r="S797" s="40"/>
      <c r="T797" s="41"/>
      <c r="U797" s="41"/>
      <c r="V797" s="41"/>
      <c r="W797" s="36"/>
      <c r="X797" s="36"/>
      <c r="Y797" s="36"/>
      <c r="Z797" s="36"/>
      <c r="AA797" s="36"/>
    </row>
    <row r="798" spans="16:27" x14ac:dyDescent="0.2">
      <c r="P798" s="36"/>
      <c r="Q798" s="40"/>
      <c r="R798" s="40"/>
      <c r="S798" s="40"/>
      <c r="T798" s="41"/>
      <c r="U798" s="41"/>
      <c r="V798" s="41"/>
      <c r="W798" s="36"/>
      <c r="X798" s="36"/>
      <c r="Y798" s="36"/>
      <c r="Z798" s="36"/>
      <c r="AA798" s="36"/>
    </row>
    <row r="799" spans="16:27" x14ac:dyDescent="0.2">
      <c r="P799" s="36"/>
      <c r="Q799" s="40"/>
      <c r="R799" s="40"/>
      <c r="S799" s="40"/>
      <c r="T799" s="41"/>
      <c r="U799" s="41"/>
      <c r="V799" s="41"/>
      <c r="W799" s="36"/>
      <c r="X799" s="36"/>
      <c r="Y799" s="36"/>
      <c r="Z799" s="36"/>
      <c r="AA799" s="36"/>
    </row>
    <row r="800" spans="16:27" x14ac:dyDescent="0.2">
      <c r="P800" s="36"/>
      <c r="Q800" s="40"/>
      <c r="R800" s="40"/>
      <c r="S800" s="40"/>
      <c r="T800" s="41"/>
      <c r="U800" s="41"/>
      <c r="V800" s="41"/>
      <c r="W800" s="36"/>
      <c r="X800" s="36"/>
      <c r="Y800" s="36"/>
      <c r="Z800" s="36"/>
      <c r="AA800" s="36"/>
    </row>
    <row r="801" spans="16:27" x14ac:dyDescent="0.2">
      <c r="P801" s="36"/>
      <c r="Q801" s="40"/>
      <c r="R801" s="40"/>
      <c r="S801" s="40"/>
      <c r="T801" s="41"/>
      <c r="U801" s="41"/>
      <c r="V801" s="41"/>
      <c r="W801" s="36"/>
      <c r="X801" s="36"/>
      <c r="Y801" s="36"/>
      <c r="Z801" s="36"/>
      <c r="AA801" s="36"/>
    </row>
    <row r="802" spans="16:27" x14ac:dyDescent="0.2">
      <c r="P802" s="36"/>
      <c r="Q802" s="40"/>
      <c r="R802" s="40"/>
      <c r="S802" s="40"/>
      <c r="T802" s="41"/>
      <c r="U802" s="41"/>
      <c r="V802" s="41"/>
      <c r="W802" s="36"/>
      <c r="X802" s="36"/>
      <c r="Y802" s="36"/>
      <c r="Z802" s="36"/>
      <c r="AA802" s="36"/>
    </row>
    <row r="803" spans="16:27" x14ac:dyDescent="0.2">
      <c r="P803" s="36"/>
      <c r="Q803" s="40"/>
      <c r="R803" s="40"/>
      <c r="S803" s="40"/>
      <c r="T803" s="41"/>
      <c r="U803" s="41"/>
      <c r="V803" s="41"/>
      <c r="W803" s="36"/>
      <c r="X803" s="36"/>
      <c r="Y803" s="36"/>
      <c r="Z803" s="36"/>
      <c r="AA803" s="36"/>
    </row>
    <row r="804" spans="16:27" x14ac:dyDescent="0.2">
      <c r="P804" s="36"/>
      <c r="Q804" s="40"/>
      <c r="R804" s="40"/>
      <c r="S804" s="40"/>
      <c r="T804" s="41"/>
      <c r="U804" s="41"/>
      <c r="V804" s="41"/>
      <c r="W804" s="36"/>
      <c r="X804" s="36"/>
      <c r="Y804" s="36"/>
      <c r="Z804" s="36"/>
      <c r="AA804" s="36"/>
    </row>
    <row r="805" spans="16:27" x14ac:dyDescent="0.2">
      <c r="P805" s="36"/>
      <c r="Q805" s="40"/>
      <c r="R805" s="40"/>
      <c r="S805" s="40"/>
      <c r="T805" s="41"/>
      <c r="U805" s="41"/>
      <c r="V805" s="41"/>
      <c r="W805" s="36"/>
      <c r="X805" s="36"/>
      <c r="Y805" s="36"/>
      <c r="Z805" s="36"/>
      <c r="AA805" s="36"/>
    </row>
    <row r="806" spans="16:27" x14ac:dyDescent="0.2">
      <c r="P806" s="36"/>
      <c r="Q806" s="40"/>
      <c r="R806" s="40"/>
      <c r="S806" s="40"/>
      <c r="T806" s="41"/>
      <c r="U806" s="41"/>
      <c r="V806" s="41"/>
      <c r="W806" s="36"/>
      <c r="X806" s="36"/>
      <c r="Y806" s="36"/>
      <c r="Z806" s="36"/>
      <c r="AA806" s="36"/>
    </row>
    <row r="807" spans="16:27" x14ac:dyDescent="0.2">
      <c r="P807" s="36"/>
      <c r="Q807" s="40"/>
      <c r="R807" s="40"/>
      <c r="S807" s="40"/>
      <c r="T807" s="41"/>
      <c r="U807" s="41"/>
      <c r="V807" s="41"/>
      <c r="W807" s="36"/>
      <c r="X807" s="36"/>
      <c r="Y807" s="36"/>
      <c r="Z807" s="36"/>
      <c r="AA807" s="36"/>
    </row>
    <row r="808" spans="16:27" x14ac:dyDescent="0.2">
      <c r="P808" s="36"/>
      <c r="Q808" s="40"/>
      <c r="R808" s="40"/>
      <c r="S808" s="40"/>
      <c r="T808" s="41"/>
      <c r="U808" s="41"/>
      <c r="V808" s="41"/>
      <c r="W808" s="36"/>
      <c r="X808" s="36"/>
      <c r="Y808" s="36"/>
      <c r="Z808" s="36"/>
      <c r="AA808" s="36"/>
    </row>
    <row r="809" spans="16:27" x14ac:dyDescent="0.2">
      <c r="P809" s="36"/>
      <c r="Q809" s="40"/>
      <c r="R809" s="40"/>
      <c r="S809" s="40"/>
      <c r="T809" s="41"/>
      <c r="U809" s="41"/>
      <c r="V809" s="41"/>
      <c r="W809" s="36"/>
      <c r="X809" s="36"/>
      <c r="Y809" s="36"/>
      <c r="Z809" s="36"/>
      <c r="AA809" s="36"/>
    </row>
    <row r="810" spans="16:27" x14ac:dyDescent="0.2">
      <c r="P810" s="36"/>
      <c r="Q810" s="40"/>
      <c r="R810" s="40"/>
      <c r="S810" s="40"/>
      <c r="T810" s="41"/>
      <c r="U810" s="41"/>
      <c r="V810" s="41"/>
      <c r="W810" s="36"/>
      <c r="X810" s="36"/>
      <c r="Y810" s="36"/>
      <c r="Z810" s="36"/>
      <c r="AA810" s="36"/>
    </row>
    <row r="811" spans="16:27" x14ac:dyDescent="0.2">
      <c r="P811" s="36"/>
      <c r="Q811" s="40"/>
      <c r="R811" s="40"/>
      <c r="S811" s="40"/>
      <c r="T811" s="41"/>
      <c r="U811" s="41"/>
      <c r="V811" s="41"/>
      <c r="W811" s="36"/>
      <c r="X811" s="36"/>
      <c r="Y811" s="36"/>
      <c r="Z811" s="36"/>
      <c r="AA811" s="36"/>
    </row>
    <row r="812" spans="16:27" x14ac:dyDescent="0.2">
      <c r="P812" s="36"/>
      <c r="Q812" s="40"/>
      <c r="R812" s="40"/>
      <c r="S812" s="40"/>
      <c r="T812" s="41"/>
      <c r="U812" s="41"/>
      <c r="V812" s="41"/>
      <c r="W812" s="36"/>
      <c r="X812" s="36"/>
      <c r="Y812" s="36"/>
      <c r="Z812" s="36"/>
      <c r="AA812" s="36"/>
    </row>
    <row r="813" spans="16:27" x14ac:dyDescent="0.2">
      <c r="P813" s="36"/>
      <c r="Q813" s="40"/>
      <c r="R813" s="40"/>
      <c r="S813" s="40"/>
      <c r="T813" s="41"/>
      <c r="U813" s="41"/>
      <c r="V813" s="41"/>
      <c r="W813" s="36"/>
      <c r="X813" s="36"/>
      <c r="Y813" s="36"/>
      <c r="Z813" s="36"/>
      <c r="AA813" s="36"/>
    </row>
    <row r="814" spans="16:27" x14ac:dyDescent="0.2">
      <c r="P814" s="36"/>
      <c r="Q814" s="40"/>
      <c r="R814" s="40"/>
      <c r="S814" s="40"/>
      <c r="T814" s="41"/>
      <c r="U814" s="41"/>
      <c r="V814" s="41"/>
      <c r="W814" s="36"/>
      <c r="X814" s="36"/>
      <c r="Y814" s="36"/>
      <c r="Z814" s="36"/>
      <c r="AA814" s="36"/>
    </row>
    <row r="815" spans="16:27" x14ac:dyDescent="0.2">
      <c r="P815" s="36"/>
      <c r="Q815" s="40"/>
      <c r="R815" s="40"/>
      <c r="S815" s="40"/>
      <c r="T815" s="41"/>
      <c r="U815" s="41"/>
      <c r="V815" s="41"/>
      <c r="W815" s="36"/>
      <c r="X815" s="36"/>
      <c r="Y815" s="36"/>
      <c r="Z815" s="36"/>
      <c r="AA815" s="36"/>
    </row>
    <row r="816" spans="16:27" x14ac:dyDescent="0.2">
      <c r="P816" s="36"/>
      <c r="Q816" s="40"/>
      <c r="R816" s="40"/>
      <c r="S816" s="40"/>
      <c r="T816" s="41"/>
      <c r="U816" s="41"/>
      <c r="V816" s="41"/>
      <c r="W816" s="36"/>
      <c r="X816" s="36"/>
      <c r="Y816" s="36"/>
      <c r="Z816" s="36"/>
      <c r="AA816" s="36"/>
    </row>
    <row r="817" spans="16:27" x14ac:dyDescent="0.2">
      <c r="P817" s="36"/>
      <c r="Q817" s="40"/>
      <c r="R817" s="40"/>
      <c r="S817" s="40"/>
      <c r="T817" s="41"/>
      <c r="U817" s="41"/>
      <c r="V817" s="41"/>
      <c r="W817" s="36"/>
      <c r="X817" s="36"/>
      <c r="Y817" s="36"/>
      <c r="Z817" s="36"/>
      <c r="AA817" s="36"/>
    </row>
    <row r="818" spans="16:27" x14ac:dyDescent="0.2">
      <c r="P818" s="36"/>
      <c r="Q818" s="40"/>
      <c r="R818" s="40"/>
      <c r="S818" s="40"/>
      <c r="T818" s="41"/>
      <c r="U818" s="41"/>
      <c r="V818" s="41"/>
      <c r="W818" s="36"/>
      <c r="X818" s="36"/>
      <c r="Y818" s="36"/>
      <c r="Z818" s="36"/>
      <c r="AA818" s="36"/>
    </row>
    <row r="819" spans="16:27" x14ac:dyDescent="0.2">
      <c r="P819" s="36"/>
      <c r="Q819" s="40"/>
      <c r="R819" s="40"/>
      <c r="S819" s="40"/>
      <c r="T819" s="41"/>
      <c r="U819" s="41"/>
      <c r="V819" s="41"/>
      <c r="W819" s="36"/>
      <c r="X819" s="36"/>
      <c r="Y819" s="36"/>
      <c r="Z819" s="36"/>
      <c r="AA819" s="36"/>
    </row>
    <row r="820" spans="16:27" x14ac:dyDescent="0.2">
      <c r="P820" s="36"/>
      <c r="Q820" s="40"/>
      <c r="R820" s="40"/>
      <c r="S820" s="40"/>
      <c r="T820" s="41"/>
      <c r="U820" s="41"/>
      <c r="V820" s="41"/>
      <c r="W820" s="36"/>
      <c r="X820" s="36"/>
      <c r="Y820" s="36"/>
      <c r="Z820" s="36"/>
      <c r="AA820" s="36"/>
    </row>
    <row r="821" spans="16:27" x14ac:dyDescent="0.2">
      <c r="P821" s="36"/>
      <c r="Q821" s="40"/>
      <c r="R821" s="40"/>
      <c r="S821" s="40"/>
      <c r="T821" s="41"/>
      <c r="U821" s="41"/>
      <c r="V821" s="41"/>
      <c r="W821" s="36"/>
      <c r="X821" s="36"/>
      <c r="Y821" s="36"/>
      <c r="Z821" s="36"/>
      <c r="AA821" s="36"/>
    </row>
    <row r="822" spans="16:27" x14ac:dyDescent="0.2">
      <c r="P822" s="36"/>
      <c r="Q822" s="40"/>
      <c r="R822" s="40"/>
      <c r="S822" s="40"/>
      <c r="T822" s="41"/>
      <c r="U822" s="41"/>
      <c r="V822" s="41"/>
      <c r="W822" s="36"/>
      <c r="X822" s="36"/>
      <c r="Y822" s="36"/>
      <c r="Z822" s="36"/>
      <c r="AA822" s="36"/>
    </row>
    <row r="823" spans="16:27" x14ac:dyDescent="0.2">
      <c r="P823" s="36"/>
      <c r="Q823" s="40"/>
      <c r="R823" s="40"/>
      <c r="S823" s="40"/>
      <c r="T823" s="41"/>
      <c r="U823" s="41"/>
      <c r="V823" s="41"/>
      <c r="W823" s="36"/>
      <c r="X823" s="36"/>
      <c r="Y823" s="36"/>
      <c r="Z823" s="36"/>
      <c r="AA823" s="36"/>
    </row>
    <row r="824" spans="16:27" x14ac:dyDescent="0.2">
      <c r="P824" s="36"/>
      <c r="Q824" s="40"/>
      <c r="R824" s="40"/>
      <c r="S824" s="40"/>
      <c r="T824" s="41"/>
      <c r="U824" s="41"/>
      <c r="V824" s="41"/>
      <c r="W824" s="36"/>
      <c r="X824" s="36"/>
      <c r="Y824" s="36"/>
      <c r="Z824" s="36"/>
      <c r="AA824" s="36"/>
    </row>
    <row r="825" spans="16:27" x14ac:dyDescent="0.2">
      <c r="P825" s="36"/>
      <c r="Q825" s="40"/>
      <c r="R825" s="40"/>
      <c r="S825" s="40"/>
      <c r="T825" s="41"/>
      <c r="U825" s="41"/>
      <c r="V825" s="41"/>
      <c r="W825" s="36"/>
      <c r="X825" s="36"/>
      <c r="Y825" s="36"/>
      <c r="Z825" s="36"/>
      <c r="AA825" s="36"/>
    </row>
    <row r="826" spans="16:27" x14ac:dyDescent="0.2">
      <c r="P826" s="36"/>
      <c r="Q826" s="40"/>
      <c r="R826" s="40"/>
      <c r="S826" s="40"/>
      <c r="T826" s="41"/>
      <c r="U826" s="41"/>
      <c r="V826" s="41"/>
      <c r="W826" s="36"/>
      <c r="X826" s="36"/>
      <c r="Y826" s="36"/>
      <c r="Z826" s="36"/>
      <c r="AA826" s="36"/>
    </row>
    <row r="827" spans="16:27" x14ac:dyDescent="0.2">
      <c r="P827" s="36"/>
      <c r="Q827" s="40"/>
      <c r="R827" s="40"/>
      <c r="S827" s="40"/>
      <c r="T827" s="41"/>
      <c r="U827" s="41"/>
      <c r="V827" s="41"/>
      <c r="W827" s="36"/>
      <c r="X827" s="36"/>
      <c r="Y827" s="36"/>
      <c r="Z827" s="36"/>
      <c r="AA827" s="36"/>
    </row>
    <row r="828" spans="16:27" x14ac:dyDescent="0.2">
      <c r="P828" s="36"/>
      <c r="Q828" s="40"/>
      <c r="R828" s="40"/>
      <c r="S828" s="40"/>
      <c r="T828" s="41"/>
      <c r="U828" s="41"/>
      <c r="V828" s="41"/>
      <c r="W828" s="36"/>
      <c r="X828" s="36"/>
      <c r="Y828" s="36"/>
      <c r="Z828" s="36"/>
      <c r="AA828" s="36"/>
    </row>
    <row r="829" spans="16:27" x14ac:dyDescent="0.2">
      <c r="P829" s="36"/>
      <c r="Q829" s="40"/>
      <c r="R829" s="40"/>
      <c r="S829" s="40"/>
      <c r="T829" s="41"/>
      <c r="U829" s="41"/>
      <c r="V829" s="41"/>
      <c r="W829" s="36"/>
      <c r="X829" s="36"/>
      <c r="Y829" s="36"/>
      <c r="Z829" s="36"/>
      <c r="AA829" s="36"/>
    </row>
    <row r="830" spans="16:27" x14ac:dyDescent="0.2">
      <c r="P830" s="36"/>
      <c r="Q830" s="40"/>
      <c r="R830" s="40"/>
      <c r="S830" s="40"/>
      <c r="T830" s="41"/>
      <c r="U830" s="41"/>
      <c r="V830" s="41"/>
      <c r="W830" s="36"/>
      <c r="X830" s="36"/>
      <c r="Y830" s="36"/>
      <c r="Z830" s="36"/>
      <c r="AA830" s="36"/>
    </row>
    <row r="831" spans="16:27" x14ac:dyDescent="0.2">
      <c r="P831" s="36"/>
      <c r="Q831" s="40"/>
      <c r="R831" s="40"/>
      <c r="S831" s="40"/>
      <c r="T831" s="41"/>
      <c r="U831" s="41"/>
      <c r="V831" s="41"/>
      <c r="W831" s="36"/>
      <c r="X831" s="36"/>
      <c r="Y831" s="36"/>
      <c r="Z831" s="36"/>
      <c r="AA831" s="36"/>
    </row>
    <row r="832" spans="16:27" x14ac:dyDescent="0.2">
      <c r="P832" s="36"/>
      <c r="Q832" s="40"/>
      <c r="R832" s="40"/>
      <c r="S832" s="40"/>
      <c r="T832" s="41"/>
      <c r="U832" s="41"/>
      <c r="V832" s="41"/>
      <c r="W832" s="36"/>
      <c r="X832" s="36"/>
      <c r="Y832" s="36"/>
      <c r="Z832" s="36"/>
      <c r="AA832" s="36"/>
    </row>
    <row r="833" spans="16:27" x14ac:dyDescent="0.2">
      <c r="P833" s="36"/>
      <c r="Q833" s="40"/>
      <c r="R833" s="40"/>
      <c r="S833" s="40"/>
      <c r="T833" s="41"/>
      <c r="U833" s="41"/>
      <c r="V833" s="41"/>
      <c r="W833" s="36"/>
      <c r="X833" s="36"/>
      <c r="Y833" s="36"/>
      <c r="Z833" s="36"/>
      <c r="AA833" s="36"/>
    </row>
    <row r="834" spans="16:27" x14ac:dyDescent="0.2">
      <c r="P834" s="36"/>
      <c r="Q834" s="40"/>
      <c r="R834" s="40"/>
      <c r="S834" s="40"/>
      <c r="T834" s="41"/>
      <c r="U834" s="41"/>
      <c r="V834" s="41"/>
      <c r="W834" s="36"/>
      <c r="X834" s="36"/>
      <c r="Y834" s="36"/>
      <c r="Z834" s="36"/>
      <c r="AA834" s="36"/>
    </row>
    <row r="835" spans="16:27" x14ac:dyDescent="0.2">
      <c r="P835" s="36"/>
      <c r="Q835" s="40"/>
      <c r="R835" s="40"/>
      <c r="S835" s="40"/>
      <c r="T835" s="41"/>
      <c r="U835" s="41"/>
      <c r="V835" s="41"/>
      <c r="W835" s="36"/>
      <c r="X835" s="36"/>
      <c r="Y835" s="36"/>
      <c r="Z835" s="36"/>
      <c r="AA835" s="36"/>
    </row>
    <row r="836" spans="16:27" x14ac:dyDescent="0.2">
      <c r="P836" s="36"/>
      <c r="Q836" s="40"/>
      <c r="R836" s="40"/>
      <c r="S836" s="40"/>
      <c r="T836" s="41"/>
      <c r="U836" s="41"/>
      <c r="V836" s="41"/>
      <c r="W836" s="36"/>
      <c r="X836" s="36"/>
      <c r="Y836" s="36"/>
      <c r="Z836" s="36"/>
      <c r="AA836" s="36"/>
    </row>
    <row r="837" spans="16:27" x14ac:dyDescent="0.2">
      <c r="P837" s="36"/>
      <c r="Q837" s="40"/>
      <c r="R837" s="40"/>
      <c r="S837" s="40"/>
      <c r="T837" s="41"/>
      <c r="U837" s="41"/>
      <c r="V837" s="41"/>
      <c r="W837" s="36"/>
      <c r="X837" s="36"/>
      <c r="Y837" s="36"/>
      <c r="Z837" s="36"/>
      <c r="AA837" s="36"/>
    </row>
    <row r="838" spans="16:27" x14ac:dyDescent="0.2">
      <c r="P838" s="36"/>
      <c r="Q838" s="40"/>
      <c r="R838" s="40"/>
      <c r="S838" s="40"/>
      <c r="T838" s="41"/>
      <c r="U838" s="41"/>
      <c r="V838" s="41"/>
      <c r="W838" s="36"/>
      <c r="X838" s="36"/>
      <c r="Y838" s="36"/>
      <c r="Z838" s="36"/>
      <c r="AA838" s="36"/>
    </row>
    <row r="839" spans="16:27" x14ac:dyDescent="0.2">
      <c r="P839" s="36"/>
      <c r="Q839" s="40"/>
      <c r="R839" s="40"/>
      <c r="S839" s="40"/>
      <c r="T839" s="41"/>
      <c r="U839" s="41"/>
      <c r="V839" s="41"/>
      <c r="W839" s="36"/>
      <c r="X839" s="36"/>
      <c r="Y839" s="36"/>
      <c r="Z839" s="36"/>
      <c r="AA839" s="36"/>
    </row>
    <row r="840" spans="16:27" x14ac:dyDescent="0.2">
      <c r="P840" s="36"/>
      <c r="Q840" s="40"/>
      <c r="R840" s="40"/>
      <c r="S840" s="40"/>
      <c r="T840" s="41"/>
      <c r="U840" s="41"/>
      <c r="V840" s="41"/>
      <c r="W840" s="36"/>
      <c r="X840" s="36"/>
      <c r="Y840" s="36"/>
      <c r="Z840" s="36"/>
      <c r="AA840" s="36"/>
    </row>
    <row r="841" spans="16:27" x14ac:dyDescent="0.2">
      <c r="P841" s="36"/>
      <c r="Q841" s="40"/>
      <c r="R841" s="40"/>
      <c r="S841" s="40"/>
      <c r="T841" s="41"/>
      <c r="U841" s="41"/>
      <c r="V841" s="41"/>
      <c r="W841" s="36"/>
      <c r="X841" s="36"/>
      <c r="Y841" s="36"/>
      <c r="Z841" s="36"/>
      <c r="AA841" s="36"/>
    </row>
    <row r="842" spans="16:27" x14ac:dyDescent="0.2">
      <c r="P842" s="36"/>
      <c r="Q842" s="40"/>
      <c r="R842" s="40"/>
      <c r="S842" s="40"/>
      <c r="T842" s="41"/>
      <c r="U842" s="41"/>
      <c r="V842" s="41"/>
      <c r="W842" s="36"/>
      <c r="X842" s="36"/>
      <c r="Y842" s="36"/>
      <c r="Z842" s="36"/>
      <c r="AA842" s="36"/>
    </row>
    <row r="843" spans="16:27" x14ac:dyDescent="0.2">
      <c r="P843" s="36"/>
      <c r="Q843" s="40"/>
      <c r="R843" s="40"/>
      <c r="S843" s="40"/>
      <c r="T843" s="41"/>
      <c r="U843" s="41"/>
      <c r="V843" s="41"/>
      <c r="W843" s="36"/>
      <c r="X843" s="36"/>
      <c r="Y843" s="36"/>
      <c r="Z843" s="36"/>
      <c r="AA843" s="36"/>
    </row>
    <row r="844" spans="16:27" x14ac:dyDescent="0.2">
      <c r="P844" s="36"/>
      <c r="Q844" s="40"/>
      <c r="R844" s="40"/>
      <c r="S844" s="40"/>
      <c r="T844" s="41"/>
      <c r="U844" s="41"/>
      <c r="V844" s="41"/>
      <c r="W844" s="36"/>
      <c r="X844" s="36"/>
      <c r="Y844" s="36"/>
      <c r="Z844" s="36"/>
      <c r="AA844" s="36"/>
    </row>
    <row r="845" spans="16:27" x14ac:dyDescent="0.2">
      <c r="P845" s="36"/>
      <c r="Q845" s="40"/>
      <c r="R845" s="40"/>
      <c r="S845" s="40"/>
      <c r="T845" s="41"/>
      <c r="U845" s="41"/>
      <c r="V845" s="41"/>
      <c r="W845" s="36"/>
      <c r="X845" s="36"/>
      <c r="Y845" s="36"/>
      <c r="Z845" s="36"/>
      <c r="AA845" s="36"/>
    </row>
    <row r="846" spans="16:27" x14ac:dyDescent="0.2">
      <c r="P846" s="36"/>
      <c r="Q846" s="40"/>
      <c r="R846" s="40"/>
      <c r="S846" s="40"/>
      <c r="T846" s="41"/>
      <c r="U846" s="41"/>
      <c r="V846" s="41"/>
      <c r="W846" s="36"/>
      <c r="X846" s="36"/>
      <c r="Y846" s="36"/>
      <c r="Z846" s="36"/>
      <c r="AA846" s="36"/>
    </row>
    <row r="847" spans="16:27" x14ac:dyDescent="0.2">
      <c r="P847" s="36"/>
      <c r="Q847" s="40"/>
      <c r="R847" s="40"/>
      <c r="S847" s="40"/>
      <c r="T847" s="41"/>
      <c r="U847" s="41"/>
      <c r="V847" s="41"/>
      <c r="W847" s="36"/>
      <c r="X847" s="36"/>
      <c r="Y847" s="36"/>
      <c r="Z847" s="36"/>
      <c r="AA847" s="36"/>
    </row>
    <row r="848" spans="16:27" x14ac:dyDescent="0.2">
      <c r="P848" s="36"/>
      <c r="Q848" s="40"/>
      <c r="R848" s="40"/>
      <c r="S848" s="40"/>
      <c r="T848" s="41"/>
      <c r="U848" s="41"/>
      <c r="V848" s="41"/>
      <c r="W848" s="36"/>
      <c r="X848" s="36"/>
      <c r="Y848" s="36"/>
      <c r="Z848" s="36"/>
      <c r="AA848" s="36"/>
    </row>
    <row r="849" spans="16:27" x14ac:dyDescent="0.2">
      <c r="P849" s="36"/>
      <c r="Q849" s="40"/>
      <c r="R849" s="40"/>
      <c r="S849" s="40"/>
      <c r="T849" s="41"/>
      <c r="U849" s="41"/>
      <c r="V849" s="41"/>
      <c r="W849" s="36"/>
      <c r="X849" s="36"/>
      <c r="Y849" s="36"/>
      <c r="Z849" s="36"/>
      <c r="AA849" s="36"/>
    </row>
    <row r="850" spans="16:27" x14ac:dyDescent="0.2">
      <c r="P850" s="36"/>
      <c r="Q850" s="40"/>
      <c r="R850" s="40"/>
      <c r="S850" s="40"/>
      <c r="T850" s="41"/>
      <c r="U850" s="41"/>
      <c r="V850" s="41"/>
      <c r="W850" s="36"/>
      <c r="X850" s="36"/>
      <c r="Y850" s="36"/>
      <c r="Z850" s="36"/>
      <c r="AA850" s="36"/>
    </row>
    <row r="851" spans="16:27" x14ac:dyDescent="0.2">
      <c r="P851" s="36"/>
      <c r="Q851" s="40"/>
      <c r="R851" s="40"/>
      <c r="S851" s="40"/>
      <c r="T851" s="41"/>
      <c r="U851" s="41"/>
      <c r="V851" s="41"/>
      <c r="W851" s="36"/>
      <c r="X851" s="36"/>
      <c r="Y851" s="36"/>
      <c r="Z851" s="36"/>
      <c r="AA851" s="36"/>
    </row>
    <row r="852" spans="16:27" x14ac:dyDescent="0.2">
      <c r="P852" s="36"/>
      <c r="Q852" s="40"/>
      <c r="R852" s="40"/>
      <c r="S852" s="40"/>
      <c r="T852" s="41"/>
      <c r="U852" s="41"/>
      <c r="V852" s="41"/>
      <c r="W852" s="36"/>
      <c r="X852" s="36"/>
      <c r="Y852" s="36"/>
      <c r="Z852" s="36"/>
      <c r="AA852" s="36"/>
    </row>
    <row r="853" spans="16:27" x14ac:dyDescent="0.2">
      <c r="P853" s="36"/>
      <c r="Q853" s="40"/>
      <c r="R853" s="40"/>
      <c r="S853" s="40"/>
      <c r="T853" s="41"/>
      <c r="U853" s="41"/>
      <c r="V853" s="41"/>
      <c r="W853" s="36"/>
      <c r="X853" s="36"/>
      <c r="Y853" s="36"/>
      <c r="Z853" s="36"/>
      <c r="AA853" s="36"/>
    </row>
    <row r="854" spans="16:27" x14ac:dyDescent="0.2">
      <c r="P854" s="36"/>
      <c r="Q854" s="40"/>
      <c r="R854" s="40"/>
      <c r="S854" s="40"/>
      <c r="T854" s="41"/>
      <c r="U854" s="41"/>
      <c r="V854" s="41"/>
      <c r="W854" s="36"/>
      <c r="X854" s="36"/>
      <c r="Y854" s="36"/>
      <c r="Z854" s="36"/>
      <c r="AA854" s="36"/>
    </row>
    <row r="855" spans="16:27" x14ac:dyDescent="0.2">
      <c r="P855" s="36"/>
      <c r="Q855" s="40"/>
      <c r="R855" s="40"/>
      <c r="S855" s="40"/>
      <c r="T855" s="41"/>
      <c r="U855" s="41"/>
      <c r="V855" s="41"/>
      <c r="W855" s="36"/>
      <c r="X855" s="36"/>
      <c r="Y855" s="36"/>
      <c r="Z855" s="36"/>
      <c r="AA855" s="36"/>
    </row>
    <row r="856" spans="16:27" x14ac:dyDescent="0.2">
      <c r="P856" s="36"/>
      <c r="Q856" s="40"/>
      <c r="R856" s="40"/>
      <c r="S856" s="40"/>
      <c r="T856" s="41"/>
      <c r="U856" s="41"/>
      <c r="V856" s="41"/>
      <c r="W856" s="36"/>
      <c r="X856" s="36"/>
      <c r="Y856" s="36"/>
      <c r="Z856" s="36"/>
      <c r="AA856" s="36"/>
    </row>
    <row r="857" spans="16:27" x14ac:dyDescent="0.2">
      <c r="P857" s="36"/>
      <c r="Q857" s="40"/>
      <c r="R857" s="40"/>
      <c r="S857" s="40"/>
      <c r="T857" s="41"/>
      <c r="U857" s="41"/>
      <c r="V857" s="41"/>
      <c r="W857" s="36"/>
      <c r="X857" s="36"/>
      <c r="Y857" s="36"/>
      <c r="Z857" s="36"/>
      <c r="AA857" s="36"/>
    </row>
    <row r="858" spans="16:27" x14ac:dyDescent="0.2">
      <c r="P858" s="36"/>
      <c r="Q858" s="40"/>
      <c r="R858" s="40"/>
      <c r="S858" s="40"/>
      <c r="T858" s="41"/>
      <c r="U858" s="41"/>
      <c r="V858" s="41"/>
      <c r="W858" s="36"/>
      <c r="X858" s="36"/>
      <c r="Y858" s="36"/>
      <c r="Z858" s="36"/>
      <c r="AA858" s="36"/>
    </row>
    <row r="859" spans="16:27" x14ac:dyDescent="0.2">
      <c r="P859" s="36"/>
      <c r="Q859" s="40"/>
      <c r="R859" s="40"/>
      <c r="S859" s="40"/>
      <c r="T859" s="41"/>
      <c r="U859" s="41"/>
      <c r="V859" s="41"/>
      <c r="W859" s="36"/>
      <c r="X859" s="36"/>
      <c r="Y859" s="36"/>
      <c r="Z859" s="36"/>
      <c r="AA859" s="36"/>
    </row>
    <row r="860" spans="16:27" x14ac:dyDescent="0.2">
      <c r="P860" s="36"/>
      <c r="Q860" s="40"/>
      <c r="R860" s="40"/>
      <c r="S860" s="40"/>
      <c r="T860" s="41"/>
      <c r="U860" s="41"/>
      <c r="V860" s="41"/>
      <c r="W860" s="36"/>
      <c r="X860" s="36"/>
      <c r="Y860" s="36"/>
      <c r="Z860" s="36"/>
      <c r="AA860" s="36"/>
    </row>
    <row r="861" spans="16:27" x14ac:dyDescent="0.2">
      <c r="P861" s="36"/>
      <c r="Q861" s="40"/>
      <c r="R861" s="40"/>
      <c r="S861" s="40"/>
      <c r="T861" s="41"/>
      <c r="U861" s="41"/>
      <c r="V861" s="41"/>
      <c r="W861" s="36"/>
      <c r="X861" s="36"/>
      <c r="Y861" s="36"/>
      <c r="Z861" s="36"/>
      <c r="AA861" s="36"/>
    </row>
    <row r="862" spans="16:27" x14ac:dyDescent="0.2">
      <c r="P862" s="36"/>
      <c r="Q862" s="40"/>
      <c r="R862" s="40"/>
      <c r="S862" s="40"/>
      <c r="T862" s="41"/>
      <c r="U862" s="41"/>
      <c r="V862" s="41"/>
      <c r="W862" s="36"/>
      <c r="X862" s="36"/>
      <c r="Y862" s="36"/>
      <c r="Z862" s="36"/>
      <c r="AA862" s="36"/>
    </row>
    <row r="863" spans="16:27" x14ac:dyDescent="0.2">
      <c r="P863" s="36"/>
      <c r="Q863" s="40"/>
      <c r="R863" s="40"/>
      <c r="S863" s="40"/>
      <c r="T863" s="41"/>
      <c r="U863" s="41"/>
      <c r="V863" s="41"/>
      <c r="W863" s="36"/>
      <c r="X863" s="36"/>
      <c r="Y863" s="36"/>
      <c r="Z863" s="36"/>
      <c r="AA863" s="36"/>
    </row>
    <row r="864" spans="16:27" x14ac:dyDescent="0.2">
      <c r="P864" s="36"/>
      <c r="Q864" s="40"/>
      <c r="R864" s="40"/>
      <c r="S864" s="40"/>
      <c r="T864" s="41"/>
      <c r="U864" s="41"/>
      <c r="V864" s="41"/>
      <c r="W864" s="36"/>
      <c r="X864" s="36"/>
      <c r="Y864" s="36"/>
      <c r="Z864" s="36"/>
      <c r="AA864" s="36"/>
    </row>
    <row r="865" spans="16:27" x14ac:dyDescent="0.2">
      <c r="P865" s="36"/>
      <c r="Q865" s="40"/>
      <c r="R865" s="40"/>
      <c r="S865" s="40"/>
      <c r="T865" s="41"/>
      <c r="U865" s="41"/>
      <c r="V865" s="41"/>
      <c r="W865" s="36"/>
      <c r="X865" s="36"/>
      <c r="Y865" s="36"/>
      <c r="Z865" s="36"/>
      <c r="AA865" s="36"/>
    </row>
    <row r="866" spans="16:27" x14ac:dyDescent="0.2">
      <c r="P866" s="36"/>
      <c r="Q866" s="40"/>
      <c r="R866" s="40"/>
      <c r="S866" s="40"/>
      <c r="T866" s="41"/>
      <c r="U866" s="41"/>
      <c r="V866" s="41"/>
      <c r="W866" s="36"/>
      <c r="X866" s="36"/>
      <c r="Y866" s="36"/>
      <c r="Z866" s="36"/>
      <c r="AA866" s="36"/>
    </row>
    <row r="867" spans="16:27" x14ac:dyDescent="0.2">
      <c r="P867" s="36"/>
      <c r="Q867" s="40"/>
      <c r="R867" s="40"/>
      <c r="S867" s="40"/>
      <c r="T867" s="41"/>
      <c r="U867" s="41"/>
      <c r="V867" s="41"/>
      <c r="W867" s="36"/>
      <c r="X867" s="36"/>
      <c r="Y867" s="36"/>
      <c r="Z867" s="36"/>
      <c r="AA867" s="36"/>
    </row>
    <row r="868" spans="16:27" x14ac:dyDescent="0.2">
      <c r="P868" s="36"/>
      <c r="Q868" s="40"/>
      <c r="R868" s="40"/>
      <c r="S868" s="40"/>
      <c r="T868" s="41"/>
      <c r="U868" s="41"/>
      <c r="V868" s="41"/>
      <c r="W868" s="36"/>
      <c r="X868" s="36"/>
      <c r="Y868" s="36"/>
      <c r="Z868" s="36"/>
      <c r="AA868" s="36"/>
    </row>
    <row r="869" spans="16:27" x14ac:dyDescent="0.2">
      <c r="P869" s="36"/>
      <c r="Q869" s="40"/>
      <c r="R869" s="40"/>
      <c r="S869" s="40"/>
      <c r="T869" s="41"/>
      <c r="U869" s="41"/>
      <c r="V869" s="41"/>
      <c r="W869" s="36"/>
      <c r="X869" s="36"/>
      <c r="Y869" s="36"/>
      <c r="Z869" s="36"/>
      <c r="AA869" s="36"/>
    </row>
    <row r="870" spans="16:27" x14ac:dyDescent="0.2">
      <c r="P870" s="36"/>
      <c r="Q870" s="40"/>
      <c r="R870" s="40"/>
      <c r="S870" s="40"/>
      <c r="T870" s="41"/>
      <c r="U870" s="41"/>
      <c r="V870" s="41"/>
      <c r="W870" s="36"/>
      <c r="X870" s="36"/>
      <c r="Y870" s="36"/>
      <c r="Z870" s="36"/>
      <c r="AA870" s="36"/>
    </row>
    <row r="871" spans="16:27" x14ac:dyDescent="0.2">
      <c r="P871" s="36"/>
      <c r="Q871" s="40"/>
      <c r="R871" s="40"/>
      <c r="S871" s="40"/>
      <c r="T871" s="41"/>
      <c r="U871" s="41"/>
      <c r="V871" s="41"/>
      <c r="W871" s="36"/>
      <c r="X871" s="36"/>
      <c r="Y871" s="36"/>
      <c r="Z871" s="36"/>
      <c r="AA871" s="36"/>
    </row>
    <row r="872" spans="16:27" x14ac:dyDescent="0.2">
      <c r="P872" s="36"/>
      <c r="Q872" s="40"/>
      <c r="R872" s="40"/>
      <c r="S872" s="40"/>
      <c r="T872" s="41"/>
      <c r="U872" s="41"/>
      <c r="V872" s="41"/>
      <c r="W872" s="36"/>
      <c r="X872" s="36"/>
      <c r="Y872" s="36"/>
      <c r="Z872" s="36"/>
      <c r="AA872" s="36"/>
    </row>
    <row r="873" spans="16:27" x14ac:dyDescent="0.2">
      <c r="P873" s="36"/>
      <c r="Q873" s="40"/>
      <c r="R873" s="40"/>
      <c r="S873" s="40"/>
      <c r="T873" s="41"/>
      <c r="U873" s="41"/>
      <c r="V873" s="41"/>
      <c r="W873" s="36"/>
      <c r="X873" s="36"/>
      <c r="Y873" s="36"/>
      <c r="Z873" s="36"/>
      <c r="AA873" s="36"/>
    </row>
    <row r="874" spans="16:27" x14ac:dyDescent="0.2">
      <c r="P874" s="36"/>
      <c r="Q874" s="40"/>
      <c r="R874" s="40"/>
      <c r="S874" s="40"/>
      <c r="T874" s="41"/>
      <c r="U874" s="41"/>
      <c r="V874" s="41"/>
      <c r="W874" s="36"/>
      <c r="X874" s="36"/>
      <c r="Y874" s="36"/>
      <c r="Z874" s="36"/>
      <c r="AA874" s="36"/>
    </row>
    <row r="875" spans="16:27" x14ac:dyDescent="0.2">
      <c r="P875" s="36"/>
      <c r="Q875" s="40"/>
      <c r="R875" s="40"/>
      <c r="S875" s="40"/>
      <c r="T875" s="41"/>
      <c r="U875" s="41"/>
      <c r="V875" s="41"/>
      <c r="W875" s="36"/>
      <c r="X875" s="36"/>
      <c r="Y875" s="36"/>
      <c r="Z875" s="36"/>
      <c r="AA875" s="36"/>
    </row>
    <row r="876" spans="16:27" x14ac:dyDescent="0.2">
      <c r="P876" s="36"/>
      <c r="Q876" s="40"/>
      <c r="R876" s="40"/>
      <c r="S876" s="40"/>
      <c r="T876" s="41"/>
      <c r="U876" s="41"/>
      <c r="V876" s="41"/>
      <c r="W876" s="36"/>
      <c r="X876" s="36"/>
      <c r="Y876" s="36"/>
      <c r="Z876" s="36"/>
      <c r="AA876" s="36"/>
    </row>
    <row r="877" spans="16:27" x14ac:dyDescent="0.2">
      <c r="P877" s="36"/>
      <c r="Q877" s="40"/>
      <c r="R877" s="40"/>
      <c r="S877" s="40"/>
      <c r="T877" s="41"/>
      <c r="U877" s="41"/>
      <c r="V877" s="41"/>
      <c r="W877" s="36"/>
      <c r="X877" s="36"/>
      <c r="Y877" s="36"/>
      <c r="Z877" s="36"/>
      <c r="AA877" s="36"/>
    </row>
    <row r="878" spans="16:27" x14ac:dyDescent="0.2">
      <c r="P878" s="36"/>
      <c r="Q878" s="40"/>
      <c r="R878" s="40"/>
      <c r="S878" s="40"/>
      <c r="T878" s="41"/>
      <c r="U878" s="41"/>
      <c r="V878" s="41"/>
      <c r="W878" s="36"/>
      <c r="X878" s="36"/>
      <c r="Y878" s="36"/>
      <c r="Z878" s="36"/>
      <c r="AA878" s="36"/>
    </row>
    <row r="879" spans="16:27" x14ac:dyDescent="0.2">
      <c r="P879" s="36"/>
      <c r="Q879" s="40"/>
      <c r="R879" s="40"/>
      <c r="S879" s="40"/>
      <c r="T879" s="41"/>
      <c r="U879" s="41"/>
      <c r="V879" s="41"/>
      <c r="W879" s="36"/>
      <c r="X879" s="36"/>
      <c r="Y879" s="36"/>
      <c r="Z879" s="36"/>
      <c r="AA879" s="36"/>
    </row>
    <row r="880" spans="16:27" x14ac:dyDescent="0.2">
      <c r="P880" s="36"/>
      <c r="Q880" s="40"/>
      <c r="R880" s="40"/>
      <c r="S880" s="40"/>
      <c r="T880" s="41"/>
      <c r="U880" s="41"/>
      <c r="V880" s="41"/>
      <c r="W880" s="36"/>
      <c r="X880" s="36"/>
      <c r="Y880" s="36"/>
      <c r="Z880" s="36"/>
      <c r="AA880" s="36"/>
    </row>
    <row r="881" spans="16:27" x14ac:dyDescent="0.2">
      <c r="P881" s="36"/>
      <c r="Q881" s="40"/>
      <c r="R881" s="40"/>
      <c r="S881" s="40"/>
      <c r="T881" s="41"/>
      <c r="U881" s="41"/>
      <c r="V881" s="41"/>
      <c r="W881" s="36"/>
      <c r="X881" s="36"/>
      <c r="Y881" s="36"/>
      <c r="Z881" s="36"/>
      <c r="AA881" s="36"/>
    </row>
    <row r="882" spans="16:27" x14ac:dyDescent="0.2">
      <c r="P882" s="36"/>
      <c r="Q882" s="40"/>
      <c r="R882" s="40"/>
      <c r="S882" s="40"/>
      <c r="T882" s="41"/>
      <c r="U882" s="41"/>
      <c r="V882" s="41"/>
      <c r="W882" s="36"/>
      <c r="X882" s="36"/>
      <c r="Y882" s="36"/>
      <c r="Z882" s="36"/>
      <c r="AA882" s="36"/>
    </row>
    <row r="883" spans="16:27" x14ac:dyDescent="0.2">
      <c r="P883" s="36"/>
      <c r="Q883" s="40"/>
      <c r="R883" s="40"/>
      <c r="S883" s="40"/>
      <c r="T883" s="41"/>
      <c r="U883" s="41"/>
      <c r="V883" s="41"/>
      <c r="W883" s="36"/>
      <c r="X883" s="36"/>
      <c r="Y883" s="36"/>
      <c r="Z883" s="36"/>
      <c r="AA883" s="36"/>
    </row>
    <row r="884" spans="16:27" x14ac:dyDescent="0.2">
      <c r="P884" s="36"/>
      <c r="Q884" s="40"/>
      <c r="R884" s="40"/>
      <c r="S884" s="40"/>
      <c r="T884" s="41"/>
      <c r="U884" s="41"/>
      <c r="V884" s="41"/>
      <c r="W884" s="36"/>
      <c r="X884" s="36"/>
      <c r="Y884" s="36"/>
      <c r="Z884" s="36"/>
      <c r="AA884" s="36"/>
    </row>
    <row r="885" spans="16:27" x14ac:dyDescent="0.2">
      <c r="P885" s="36"/>
      <c r="Q885" s="40"/>
      <c r="R885" s="40"/>
      <c r="S885" s="40"/>
      <c r="T885" s="41"/>
      <c r="U885" s="41"/>
      <c r="V885" s="41"/>
      <c r="W885" s="36"/>
      <c r="X885" s="36"/>
      <c r="Y885" s="36"/>
      <c r="Z885" s="36"/>
      <c r="AA885" s="36"/>
    </row>
    <row r="886" spans="16:27" x14ac:dyDescent="0.2">
      <c r="P886" s="36"/>
      <c r="Q886" s="40"/>
      <c r="R886" s="40"/>
      <c r="S886" s="40"/>
      <c r="T886" s="41"/>
      <c r="U886" s="41"/>
      <c r="V886" s="41"/>
      <c r="W886" s="36"/>
      <c r="X886" s="36"/>
      <c r="Y886" s="36"/>
      <c r="Z886" s="36"/>
      <c r="AA886" s="36"/>
    </row>
    <row r="887" spans="16:27" x14ac:dyDescent="0.2">
      <c r="P887" s="36"/>
      <c r="Q887" s="40"/>
      <c r="R887" s="40"/>
      <c r="S887" s="40"/>
      <c r="T887" s="41"/>
      <c r="U887" s="41"/>
      <c r="V887" s="41"/>
      <c r="W887" s="36"/>
      <c r="X887" s="36"/>
      <c r="Y887" s="36"/>
      <c r="Z887" s="36"/>
      <c r="AA887" s="36"/>
    </row>
    <row r="888" spans="16:27" x14ac:dyDescent="0.2">
      <c r="P888" s="36"/>
      <c r="Q888" s="40"/>
      <c r="R888" s="40"/>
      <c r="S888" s="40"/>
      <c r="T888" s="41"/>
      <c r="U888" s="41"/>
      <c r="V888" s="41"/>
      <c r="W888" s="36"/>
      <c r="X888" s="36"/>
      <c r="Y888" s="36"/>
      <c r="Z888" s="36"/>
      <c r="AA888" s="36"/>
    </row>
    <row r="889" spans="16:27" x14ac:dyDescent="0.2">
      <c r="P889" s="36"/>
      <c r="Q889" s="40"/>
      <c r="R889" s="40"/>
      <c r="S889" s="40"/>
      <c r="T889" s="41"/>
      <c r="U889" s="41"/>
      <c r="V889" s="41"/>
      <c r="W889" s="36"/>
      <c r="X889" s="36"/>
      <c r="Y889" s="36"/>
      <c r="Z889" s="36"/>
      <c r="AA889" s="36"/>
    </row>
    <row r="890" spans="16:27" x14ac:dyDescent="0.2">
      <c r="P890" s="36"/>
      <c r="Q890" s="40"/>
      <c r="R890" s="40"/>
      <c r="S890" s="40"/>
      <c r="T890" s="41"/>
      <c r="U890" s="41"/>
      <c r="V890" s="41"/>
      <c r="W890" s="36"/>
      <c r="X890" s="36"/>
      <c r="Y890" s="36"/>
      <c r="Z890" s="36"/>
      <c r="AA890" s="36"/>
    </row>
    <row r="891" spans="16:27" x14ac:dyDescent="0.2">
      <c r="P891" s="36"/>
      <c r="Q891" s="40"/>
      <c r="R891" s="40"/>
      <c r="S891" s="40"/>
      <c r="T891" s="41"/>
      <c r="U891" s="41"/>
      <c r="V891" s="41"/>
      <c r="W891" s="36"/>
      <c r="X891" s="36"/>
      <c r="Y891" s="36"/>
      <c r="Z891" s="36"/>
      <c r="AA891" s="36"/>
    </row>
    <row r="892" spans="16:27" x14ac:dyDescent="0.2">
      <c r="P892" s="36"/>
      <c r="Q892" s="40"/>
      <c r="R892" s="40"/>
      <c r="S892" s="40"/>
      <c r="T892" s="41"/>
      <c r="U892" s="41"/>
      <c r="V892" s="41"/>
      <c r="W892" s="36"/>
      <c r="X892" s="36"/>
      <c r="Y892" s="36"/>
      <c r="Z892" s="36"/>
      <c r="AA892" s="36"/>
    </row>
    <row r="893" spans="16:27" x14ac:dyDescent="0.2">
      <c r="P893" s="36"/>
      <c r="Q893" s="40"/>
      <c r="R893" s="40"/>
      <c r="S893" s="40"/>
      <c r="T893" s="41"/>
      <c r="U893" s="41"/>
      <c r="V893" s="41"/>
      <c r="W893" s="36"/>
      <c r="X893" s="36"/>
      <c r="Y893" s="36"/>
      <c r="Z893" s="36"/>
      <c r="AA893" s="36"/>
    </row>
    <row r="894" spans="16:27" x14ac:dyDescent="0.2">
      <c r="P894" s="36"/>
      <c r="Q894" s="40"/>
      <c r="R894" s="40"/>
      <c r="S894" s="40"/>
      <c r="T894" s="41"/>
      <c r="U894" s="41"/>
      <c r="V894" s="41"/>
      <c r="W894" s="36"/>
      <c r="X894" s="36"/>
      <c r="Y894" s="36"/>
      <c r="Z894" s="36"/>
      <c r="AA894" s="36"/>
    </row>
    <row r="895" spans="16:27" x14ac:dyDescent="0.2">
      <c r="P895" s="36"/>
      <c r="Q895" s="40"/>
      <c r="R895" s="40"/>
      <c r="S895" s="40"/>
      <c r="T895" s="41"/>
      <c r="U895" s="41"/>
      <c r="V895" s="41"/>
      <c r="W895" s="36"/>
      <c r="X895" s="36"/>
      <c r="Y895" s="36"/>
      <c r="Z895" s="36"/>
      <c r="AA895" s="36"/>
    </row>
    <row r="896" spans="16:27" x14ac:dyDescent="0.2">
      <c r="P896" s="36"/>
      <c r="Q896" s="40"/>
      <c r="R896" s="40"/>
      <c r="S896" s="40"/>
      <c r="T896" s="41"/>
      <c r="U896" s="41"/>
      <c r="V896" s="41"/>
      <c r="W896" s="36"/>
      <c r="X896" s="36"/>
      <c r="Y896" s="36"/>
      <c r="Z896" s="36"/>
      <c r="AA896" s="36"/>
    </row>
    <row r="897" spans="16:27" x14ac:dyDescent="0.2">
      <c r="P897" s="36"/>
      <c r="Q897" s="40"/>
      <c r="R897" s="40"/>
      <c r="S897" s="40"/>
      <c r="T897" s="41"/>
      <c r="U897" s="41"/>
      <c r="V897" s="41"/>
      <c r="W897" s="36"/>
      <c r="X897" s="36"/>
      <c r="Y897" s="36"/>
      <c r="Z897" s="36"/>
      <c r="AA897" s="36"/>
    </row>
    <row r="898" spans="16:27" x14ac:dyDescent="0.2">
      <c r="P898" s="36"/>
      <c r="Q898" s="40"/>
      <c r="R898" s="40"/>
      <c r="S898" s="40"/>
      <c r="T898" s="41"/>
      <c r="U898" s="41"/>
      <c r="V898" s="41"/>
      <c r="W898" s="36"/>
      <c r="X898" s="36"/>
      <c r="Y898" s="36"/>
      <c r="Z898" s="36"/>
      <c r="AA898" s="36"/>
    </row>
    <row r="899" spans="16:27" x14ac:dyDescent="0.2">
      <c r="P899" s="36"/>
      <c r="Q899" s="40"/>
      <c r="R899" s="40"/>
      <c r="S899" s="40"/>
      <c r="T899" s="41"/>
      <c r="U899" s="41"/>
      <c r="V899" s="41"/>
      <c r="W899" s="36"/>
      <c r="X899" s="36"/>
      <c r="Y899" s="36"/>
      <c r="Z899" s="36"/>
      <c r="AA899" s="36"/>
    </row>
    <row r="900" spans="16:27" x14ac:dyDescent="0.2">
      <c r="P900" s="36"/>
      <c r="Q900" s="40"/>
      <c r="R900" s="40"/>
      <c r="S900" s="40"/>
      <c r="T900" s="41"/>
      <c r="U900" s="41"/>
      <c r="V900" s="41"/>
      <c r="W900" s="36"/>
      <c r="X900" s="36"/>
      <c r="Y900" s="36"/>
      <c r="Z900" s="36"/>
      <c r="AA900" s="36"/>
    </row>
    <row r="901" spans="16:27" x14ac:dyDescent="0.2">
      <c r="P901" s="36"/>
      <c r="Q901" s="40"/>
      <c r="R901" s="40"/>
      <c r="S901" s="40"/>
      <c r="T901" s="41"/>
      <c r="U901" s="41"/>
      <c r="V901" s="41"/>
      <c r="W901" s="36"/>
      <c r="X901" s="36"/>
      <c r="Y901" s="36"/>
      <c r="Z901" s="36"/>
      <c r="AA901" s="36"/>
    </row>
    <row r="902" spans="16:27" x14ac:dyDescent="0.2">
      <c r="P902" s="36"/>
      <c r="Q902" s="40"/>
      <c r="R902" s="40"/>
      <c r="S902" s="40"/>
      <c r="T902" s="41"/>
      <c r="U902" s="41"/>
      <c r="V902" s="41"/>
      <c r="W902" s="36"/>
      <c r="X902" s="36"/>
      <c r="Y902" s="36"/>
      <c r="Z902" s="36"/>
      <c r="AA902" s="36"/>
    </row>
    <row r="903" spans="16:27" x14ac:dyDescent="0.2">
      <c r="P903" s="36"/>
      <c r="Q903" s="40"/>
      <c r="R903" s="40"/>
      <c r="S903" s="40"/>
      <c r="T903" s="41"/>
      <c r="U903" s="41"/>
      <c r="V903" s="41"/>
      <c r="W903" s="36"/>
      <c r="X903" s="36"/>
      <c r="Y903" s="36"/>
      <c r="Z903" s="36"/>
      <c r="AA903" s="36"/>
    </row>
    <row r="904" spans="16:27" x14ac:dyDescent="0.2">
      <c r="P904" s="36"/>
      <c r="Q904" s="40"/>
      <c r="R904" s="40"/>
      <c r="S904" s="40"/>
      <c r="T904" s="41"/>
      <c r="U904" s="41"/>
      <c r="V904" s="41"/>
      <c r="W904" s="36"/>
      <c r="X904" s="36"/>
      <c r="Y904" s="36"/>
      <c r="Z904" s="36"/>
      <c r="AA904" s="36"/>
    </row>
    <row r="905" spans="16:27" x14ac:dyDescent="0.2">
      <c r="P905" s="36"/>
      <c r="Q905" s="40"/>
      <c r="R905" s="40"/>
      <c r="S905" s="40"/>
      <c r="T905" s="41"/>
      <c r="U905" s="41"/>
      <c r="V905" s="41"/>
      <c r="W905" s="36"/>
      <c r="X905" s="36"/>
      <c r="Y905" s="36"/>
      <c r="Z905" s="36"/>
      <c r="AA905" s="36"/>
    </row>
    <row r="906" spans="16:27" x14ac:dyDescent="0.2">
      <c r="P906" s="36"/>
      <c r="Q906" s="40"/>
      <c r="R906" s="40"/>
      <c r="S906" s="40"/>
      <c r="T906" s="41"/>
      <c r="U906" s="41"/>
      <c r="V906" s="41"/>
      <c r="W906" s="36"/>
      <c r="X906" s="36"/>
      <c r="Y906" s="36"/>
      <c r="Z906" s="36"/>
      <c r="AA906" s="36"/>
    </row>
    <row r="907" spans="16:27" x14ac:dyDescent="0.2">
      <c r="P907" s="36"/>
      <c r="Q907" s="40"/>
      <c r="R907" s="40"/>
      <c r="S907" s="40"/>
      <c r="T907" s="41"/>
      <c r="U907" s="41"/>
      <c r="V907" s="41"/>
      <c r="W907" s="36"/>
      <c r="X907" s="36"/>
      <c r="Y907" s="36"/>
      <c r="Z907" s="36"/>
      <c r="AA907" s="36"/>
    </row>
    <row r="908" spans="16:27" x14ac:dyDescent="0.2">
      <c r="P908" s="36"/>
      <c r="Q908" s="40"/>
      <c r="R908" s="40"/>
      <c r="S908" s="40"/>
      <c r="T908" s="41"/>
      <c r="U908" s="41"/>
      <c r="V908" s="41"/>
      <c r="W908" s="36"/>
      <c r="X908" s="36"/>
      <c r="Y908" s="36"/>
      <c r="Z908" s="36"/>
      <c r="AA908" s="36"/>
    </row>
    <row r="909" spans="16:27" x14ac:dyDescent="0.2">
      <c r="P909" s="36"/>
      <c r="Q909" s="40"/>
      <c r="R909" s="40"/>
      <c r="S909" s="40"/>
      <c r="T909" s="41"/>
      <c r="U909" s="41"/>
      <c r="V909" s="41"/>
      <c r="W909" s="36"/>
      <c r="X909" s="36"/>
      <c r="Y909" s="36"/>
      <c r="Z909" s="36"/>
      <c r="AA909" s="36"/>
    </row>
    <row r="910" spans="16:27" x14ac:dyDescent="0.2">
      <c r="P910" s="36"/>
      <c r="Q910" s="40"/>
      <c r="R910" s="40"/>
      <c r="S910" s="40"/>
      <c r="T910" s="41"/>
      <c r="U910" s="41"/>
      <c r="V910" s="41"/>
      <c r="W910" s="36"/>
      <c r="X910" s="36"/>
      <c r="Y910" s="36"/>
      <c r="Z910" s="36"/>
      <c r="AA910" s="36"/>
    </row>
    <row r="911" spans="16:27" x14ac:dyDescent="0.2">
      <c r="P911" s="36"/>
      <c r="Q911" s="40"/>
      <c r="R911" s="40"/>
      <c r="S911" s="40"/>
      <c r="T911" s="41"/>
      <c r="U911" s="41"/>
      <c r="V911" s="41"/>
      <c r="W911" s="36"/>
      <c r="X911" s="36"/>
      <c r="Y911" s="36"/>
      <c r="Z911" s="36"/>
      <c r="AA911" s="36"/>
    </row>
    <row r="912" spans="16:27" x14ac:dyDescent="0.2">
      <c r="P912" s="36"/>
      <c r="Q912" s="40"/>
      <c r="R912" s="40"/>
      <c r="S912" s="40"/>
      <c r="T912" s="41"/>
      <c r="U912" s="41"/>
      <c r="V912" s="41"/>
      <c r="W912" s="36"/>
      <c r="X912" s="36"/>
      <c r="Y912" s="36"/>
      <c r="Z912" s="36"/>
      <c r="AA912" s="36"/>
    </row>
    <row r="913" spans="16:27" x14ac:dyDescent="0.2">
      <c r="P913" s="36"/>
      <c r="Q913" s="40"/>
      <c r="R913" s="40"/>
      <c r="S913" s="40"/>
      <c r="T913" s="41"/>
      <c r="U913" s="41"/>
      <c r="V913" s="41"/>
      <c r="W913" s="36"/>
      <c r="X913" s="36"/>
      <c r="Y913" s="36"/>
      <c r="Z913" s="36"/>
      <c r="AA913" s="36"/>
    </row>
    <row r="914" spans="16:27" x14ac:dyDescent="0.2">
      <c r="P914" s="36"/>
      <c r="Q914" s="40"/>
      <c r="R914" s="40"/>
      <c r="S914" s="40"/>
      <c r="T914" s="41"/>
      <c r="U914" s="41"/>
      <c r="V914" s="41"/>
      <c r="W914" s="36"/>
      <c r="X914" s="36"/>
      <c r="Y914" s="36"/>
      <c r="Z914" s="36"/>
      <c r="AA914" s="36"/>
    </row>
    <row r="915" spans="16:27" x14ac:dyDescent="0.2">
      <c r="P915" s="36"/>
      <c r="Q915" s="40"/>
      <c r="R915" s="40"/>
      <c r="S915" s="40"/>
      <c r="T915" s="41"/>
      <c r="U915" s="41"/>
      <c r="V915" s="41"/>
      <c r="W915" s="36"/>
      <c r="X915" s="36"/>
      <c r="Y915" s="36"/>
      <c r="Z915" s="36"/>
      <c r="AA915" s="36"/>
    </row>
    <row r="916" spans="16:27" x14ac:dyDescent="0.2">
      <c r="P916" s="36"/>
      <c r="Q916" s="40"/>
      <c r="R916" s="40"/>
      <c r="S916" s="40"/>
      <c r="T916" s="41"/>
      <c r="U916" s="41"/>
      <c r="V916" s="41"/>
      <c r="W916" s="36"/>
      <c r="X916" s="36"/>
      <c r="Y916" s="36"/>
      <c r="Z916" s="36"/>
      <c r="AA916" s="36"/>
    </row>
    <row r="917" spans="16:27" x14ac:dyDescent="0.2">
      <c r="P917" s="36"/>
      <c r="Q917" s="40"/>
      <c r="R917" s="40"/>
      <c r="S917" s="40"/>
      <c r="T917" s="41"/>
      <c r="U917" s="41"/>
      <c r="V917" s="41"/>
      <c r="W917" s="36"/>
      <c r="X917" s="36"/>
      <c r="Y917" s="36"/>
      <c r="Z917" s="36"/>
      <c r="AA917" s="36"/>
    </row>
    <row r="918" spans="16:27" x14ac:dyDescent="0.2">
      <c r="P918" s="36"/>
      <c r="Q918" s="40"/>
      <c r="R918" s="40"/>
      <c r="S918" s="40"/>
      <c r="T918" s="41"/>
      <c r="U918" s="41"/>
      <c r="V918" s="41"/>
      <c r="W918" s="36"/>
      <c r="X918" s="36"/>
      <c r="Y918" s="36"/>
      <c r="Z918" s="36"/>
      <c r="AA918" s="36"/>
    </row>
    <row r="919" spans="16:27" x14ac:dyDescent="0.2">
      <c r="P919" s="36"/>
      <c r="Q919" s="40"/>
      <c r="R919" s="40"/>
      <c r="S919" s="40"/>
      <c r="T919" s="41"/>
      <c r="U919" s="41"/>
      <c r="V919" s="41"/>
      <c r="W919" s="36"/>
      <c r="X919" s="36"/>
      <c r="Y919" s="36"/>
      <c r="Z919" s="36"/>
      <c r="AA919" s="36"/>
    </row>
    <row r="920" spans="16:27" x14ac:dyDescent="0.2">
      <c r="P920" s="36"/>
      <c r="Q920" s="40"/>
      <c r="R920" s="40"/>
      <c r="S920" s="40"/>
      <c r="T920" s="41"/>
      <c r="U920" s="41"/>
      <c r="V920" s="41"/>
      <c r="W920" s="36"/>
      <c r="X920" s="36"/>
      <c r="Y920" s="36"/>
      <c r="Z920" s="36"/>
      <c r="AA920" s="36"/>
    </row>
    <row r="921" spans="16:27" x14ac:dyDescent="0.2">
      <c r="P921" s="36"/>
      <c r="Q921" s="40"/>
      <c r="R921" s="40"/>
      <c r="S921" s="40"/>
      <c r="T921" s="41"/>
      <c r="U921" s="41"/>
      <c r="V921" s="41"/>
      <c r="W921" s="36"/>
      <c r="X921" s="36"/>
      <c r="Y921" s="36"/>
      <c r="Z921" s="36"/>
      <c r="AA921" s="36"/>
    </row>
    <row r="922" spans="16:27" x14ac:dyDescent="0.2">
      <c r="P922" s="36"/>
      <c r="Q922" s="40"/>
      <c r="R922" s="40"/>
      <c r="S922" s="40"/>
      <c r="T922" s="41"/>
      <c r="U922" s="41"/>
      <c r="V922" s="41"/>
      <c r="W922" s="36"/>
      <c r="X922" s="36"/>
      <c r="Y922" s="36"/>
      <c r="Z922" s="36"/>
      <c r="AA922" s="36"/>
    </row>
    <row r="923" spans="16:27" x14ac:dyDescent="0.2">
      <c r="P923" s="36"/>
      <c r="Q923" s="40"/>
      <c r="R923" s="40"/>
      <c r="S923" s="40"/>
      <c r="T923" s="41"/>
      <c r="U923" s="41"/>
      <c r="V923" s="41"/>
      <c r="W923" s="36"/>
      <c r="X923" s="36"/>
      <c r="Y923" s="36"/>
      <c r="Z923" s="36"/>
      <c r="AA923" s="36"/>
    </row>
    <row r="924" spans="16:27" x14ac:dyDescent="0.2">
      <c r="P924" s="36"/>
      <c r="Q924" s="40"/>
      <c r="R924" s="40"/>
      <c r="S924" s="40"/>
      <c r="T924" s="41"/>
      <c r="U924" s="41"/>
      <c r="V924" s="41"/>
      <c r="W924" s="36"/>
      <c r="X924" s="36"/>
      <c r="Y924" s="36"/>
      <c r="Z924" s="36"/>
      <c r="AA924" s="36"/>
    </row>
    <row r="925" spans="16:27" x14ac:dyDescent="0.2">
      <c r="P925" s="36"/>
      <c r="Q925" s="40"/>
      <c r="R925" s="40"/>
      <c r="S925" s="40"/>
      <c r="T925" s="41"/>
      <c r="U925" s="41"/>
      <c r="V925" s="41"/>
      <c r="W925" s="36"/>
      <c r="X925" s="36"/>
      <c r="Y925" s="36"/>
      <c r="Z925" s="36"/>
      <c r="AA925" s="36"/>
    </row>
    <row r="926" spans="16:27" x14ac:dyDescent="0.2">
      <c r="P926" s="36"/>
      <c r="Q926" s="40"/>
      <c r="R926" s="40"/>
      <c r="S926" s="40"/>
      <c r="T926" s="41"/>
      <c r="U926" s="41"/>
      <c r="V926" s="41"/>
      <c r="W926" s="36"/>
      <c r="X926" s="36"/>
      <c r="Y926" s="36"/>
      <c r="Z926" s="36"/>
      <c r="AA926" s="36"/>
    </row>
    <row r="927" spans="16:27" x14ac:dyDescent="0.2">
      <c r="P927" s="36"/>
      <c r="Q927" s="40"/>
      <c r="R927" s="40"/>
      <c r="S927" s="40"/>
      <c r="T927" s="41"/>
      <c r="U927" s="41"/>
      <c r="V927" s="41"/>
      <c r="W927" s="36"/>
      <c r="X927" s="36"/>
      <c r="Y927" s="36"/>
      <c r="Z927" s="36"/>
      <c r="AA927" s="36"/>
    </row>
    <row r="928" spans="16:27" x14ac:dyDescent="0.2">
      <c r="P928" s="36"/>
      <c r="Q928" s="40"/>
      <c r="R928" s="40"/>
      <c r="S928" s="40"/>
      <c r="T928" s="41"/>
      <c r="U928" s="41"/>
      <c r="V928" s="41"/>
      <c r="W928" s="36"/>
      <c r="X928" s="36"/>
      <c r="Y928" s="36"/>
      <c r="Z928" s="36"/>
      <c r="AA928" s="36"/>
    </row>
    <row r="929" spans="16:27" x14ac:dyDescent="0.2">
      <c r="P929" s="36"/>
      <c r="Q929" s="40"/>
      <c r="R929" s="40"/>
      <c r="S929" s="40"/>
      <c r="T929" s="41"/>
      <c r="U929" s="41"/>
      <c r="V929" s="41"/>
      <c r="W929" s="36"/>
      <c r="X929" s="36"/>
      <c r="Y929" s="36"/>
      <c r="Z929" s="36"/>
      <c r="AA929" s="36"/>
    </row>
    <row r="930" spans="16:27" x14ac:dyDescent="0.2">
      <c r="P930" s="36"/>
      <c r="Q930" s="40"/>
      <c r="R930" s="40"/>
      <c r="S930" s="40"/>
      <c r="T930" s="41"/>
      <c r="U930" s="41"/>
      <c r="V930" s="41"/>
      <c r="W930" s="36"/>
      <c r="X930" s="36"/>
      <c r="Y930" s="36"/>
      <c r="Z930" s="36"/>
      <c r="AA930" s="36"/>
    </row>
    <row r="931" spans="16:27" x14ac:dyDescent="0.2">
      <c r="P931" s="36"/>
      <c r="Q931" s="40"/>
      <c r="R931" s="40"/>
      <c r="S931" s="40"/>
      <c r="T931" s="41"/>
      <c r="U931" s="41"/>
      <c r="V931" s="41"/>
      <c r="W931" s="36"/>
      <c r="X931" s="36"/>
      <c r="Y931" s="36"/>
      <c r="Z931" s="36"/>
      <c r="AA931" s="36"/>
    </row>
    <row r="932" spans="16:27" x14ac:dyDescent="0.2">
      <c r="P932" s="36"/>
      <c r="Q932" s="40"/>
      <c r="R932" s="40"/>
      <c r="S932" s="40"/>
      <c r="T932" s="41"/>
      <c r="U932" s="41"/>
      <c r="V932" s="41"/>
      <c r="W932" s="36"/>
      <c r="X932" s="36"/>
      <c r="Y932" s="36"/>
      <c r="Z932" s="36"/>
      <c r="AA932" s="36"/>
    </row>
    <row r="933" spans="16:27" x14ac:dyDescent="0.2">
      <c r="P933" s="36"/>
      <c r="Q933" s="40"/>
      <c r="R933" s="40"/>
      <c r="S933" s="40"/>
      <c r="T933" s="41"/>
      <c r="U933" s="41"/>
      <c r="V933" s="41"/>
      <c r="W933" s="36"/>
      <c r="X933" s="36"/>
      <c r="Y933" s="36"/>
      <c r="Z933" s="36"/>
      <c r="AA933" s="36"/>
    </row>
    <row r="934" spans="16:27" x14ac:dyDescent="0.2">
      <c r="P934" s="36"/>
      <c r="Q934" s="40"/>
      <c r="R934" s="40"/>
      <c r="S934" s="40"/>
      <c r="T934" s="41"/>
      <c r="U934" s="41"/>
      <c r="V934" s="41"/>
      <c r="W934" s="36"/>
      <c r="X934" s="36"/>
      <c r="Y934" s="36"/>
      <c r="Z934" s="36"/>
      <c r="AA934" s="36"/>
    </row>
    <row r="935" spans="16:27" x14ac:dyDescent="0.2">
      <c r="P935" s="36"/>
      <c r="Q935" s="40"/>
      <c r="R935" s="40"/>
      <c r="S935" s="40"/>
      <c r="T935" s="41"/>
      <c r="U935" s="41"/>
      <c r="V935" s="41"/>
      <c r="W935" s="36"/>
      <c r="X935" s="36"/>
      <c r="Y935" s="36"/>
      <c r="Z935" s="36"/>
      <c r="AA935" s="36"/>
    </row>
    <row r="936" spans="16:27" x14ac:dyDescent="0.2">
      <c r="P936" s="36"/>
      <c r="Q936" s="40"/>
      <c r="R936" s="40"/>
      <c r="S936" s="40"/>
      <c r="T936" s="41"/>
      <c r="U936" s="41"/>
      <c r="V936" s="41"/>
      <c r="W936" s="36"/>
      <c r="X936" s="36"/>
      <c r="Y936" s="36"/>
      <c r="Z936" s="36"/>
      <c r="AA936" s="36"/>
    </row>
    <row r="937" spans="16:27" x14ac:dyDescent="0.2">
      <c r="P937" s="36"/>
      <c r="Q937" s="40"/>
      <c r="R937" s="40"/>
      <c r="S937" s="40"/>
      <c r="T937" s="41"/>
      <c r="U937" s="41"/>
      <c r="V937" s="41"/>
      <c r="W937" s="36"/>
      <c r="X937" s="36"/>
      <c r="Y937" s="36"/>
      <c r="Z937" s="36"/>
      <c r="AA937" s="36"/>
    </row>
    <row r="938" spans="16:27" x14ac:dyDescent="0.2">
      <c r="P938" s="36"/>
      <c r="Q938" s="40"/>
      <c r="R938" s="40"/>
      <c r="S938" s="40"/>
      <c r="T938" s="41"/>
      <c r="U938" s="41"/>
      <c r="V938" s="41"/>
      <c r="W938" s="36"/>
      <c r="X938" s="36"/>
      <c r="Y938" s="36"/>
      <c r="Z938" s="36"/>
      <c r="AA938" s="36"/>
    </row>
    <row r="939" spans="16:27" x14ac:dyDescent="0.2">
      <c r="P939" s="36"/>
      <c r="Q939" s="40"/>
      <c r="R939" s="40"/>
      <c r="S939" s="40"/>
      <c r="T939" s="41"/>
      <c r="U939" s="41"/>
      <c r="V939" s="41"/>
      <c r="W939" s="36"/>
      <c r="X939" s="36"/>
      <c r="Y939" s="36"/>
      <c r="Z939" s="36"/>
      <c r="AA939" s="36"/>
    </row>
    <row r="940" spans="16:27" x14ac:dyDescent="0.2">
      <c r="P940" s="36"/>
      <c r="Q940" s="40"/>
      <c r="R940" s="40"/>
      <c r="S940" s="40"/>
      <c r="T940" s="41"/>
      <c r="U940" s="41"/>
      <c r="V940" s="41"/>
      <c r="W940" s="36"/>
      <c r="X940" s="36"/>
      <c r="Y940" s="36"/>
      <c r="Z940" s="36"/>
      <c r="AA940" s="36"/>
    </row>
    <row r="941" spans="16:27" x14ac:dyDescent="0.2">
      <c r="P941" s="36"/>
      <c r="Q941" s="40"/>
      <c r="R941" s="40"/>
      <c r="S941" s="40"/>
      <c r="T941" s="41"/>
      <c r="U941" s="41"/>
      <c r="V941" s="41"/>
      <c r="W941" s="36"/>
      <c r="X941" s="36"/>
      <c r="Y941" s="36"/>
      <c r="Z941" s="36"/>
      <c r="AA941" s="36"/>
    </row>
    <row r="942" spans="16:27" x14ac:dyDescent="0.2">
      <c r="P942" s="36"/>
      <c r="Q942" s="40"/>
      <c r="R942" s="40"/>
      <c r="S942" s="40"/>
      <c r="T942" s="41"/>
      <c r="U942" s="41"/>
      <c r="V942" s="41"/>
      <c r="W942" s="36"/>
      <c r="X942" s="36"/>
      <c r="Y942" s="36"/>
      <c r="Z942" s="36"/>
      <c r="AA942" s="36"/>
    </row>
    <row r="943" spans="16:27" x14ac:dyDescent="0.2">
      <c r="P943" s="36"/>
      <c r="Q943" s="40"/>
      <c r="R943" s="40"/>
      <c r="S943" s="40"/>
      <c r="T943" s="41"/>
      <c r="U943" s="41"/>
      <c r="V943" s="41"/>
      <c r="W943" s="36"/>
      <c r="X943" s="36"/>
      <c r="Y943" s="36"/>
      <c r="Z943" s="36"/>
      <c r="AA943" s="36"/>
    </row>
    <row r="944" spans="16:27" x14ac:dyDescent="0.2">
      <c r="P944" s="36"/>
      <c r="Q944" s="40"/>
      <c r="R944" s="40"/>
      <c r="S944" s="40"/>
      <c r="T944" s="41"/>
      <c r="U944" s="41"/>
      <c r="V944" s="41"/>
      <c r="W944" s="36"/>
      <c r="X944" s="36"/>
      <c r="Y944" s="36"/>
      <c r="Z944" s="36"/>
      <c r="AA944" s="36"/>
    </row>
    <row r="945" spans="16:27" x14ac:dyDescent="0.2">
      <c r="P945" s="36"/>
      <c r="Q945" s="40"/>
      <c r="R945" s="40"/>
      <c r="S945" s="40"/>
      <c r="T945" s="41"/>
      <c r="U945" s="41"/>
      <c r="V945" s="41"/>
      <c r="W945" s="36"/>
      <c r="X945" s="36"/>
      <c r="Y945" s="36"/>
      <c r="Z945" s="36"/>
      <c r="AA945" s="36"/>
    </row>
    <row r="946" spans="16:27" x14ac:dyDescent="0.2">
      <c r="P946" s="36"/>
      <c r="Q946" s="40"/>
      <c r="R946" s="40"/>
      <c r="S946" s="40"/>
      <c r="T946" s="41"/>
      <c r="U946" s="41"/>
      <c r="V946" s="41"/>
      <c r="W946" s="36"/>
      <c r="X946" s="36"/>
      <c r="Y946" s="36"/>
      <c r="Z946" s="36"/>
      <c r="AA946" s="36"/>
    </row>
    <row r="947" spans="16:27" x14ac:dyDescent="0.2">
      <c r="P947" s="36"/>
      <c r="Q947" s="40"/>
      <c r="R947" s="40"/>
      <c r="S947" s="40"/>
      <c r="T947" s="41"/>
      <c r="U947" s="41"/>
      <c r="V947" s="41"/>
      <c r="W947" s="36"/>
      <c r="X947" s="36"/>
      <c r="Y947" s="36"/>
      <c r="Z947" s="36"/>
      <c r="AA947" s="36"/>
    </row>
    <row r="948" spans="16:27" x14ac:dyDescent="0.2">
      <c r="P948" s="36"/>
      <c r="Q948" s="40"/>
      <c r="R948" s="40"/>
      <c r="S948" s="40"/>
      <c r="T948" s="41"/>
      <c r="U948" s="41"/>
      <c r="V948" s="41"/>
      <c r="W948" s="36"/>
      <c r="X948" s="36"/>
      <c r="Y948" s="36"/>
      <c r="Z948" s="36"/>
      <c r="AA948" s="36"/>
    </row>
    <row r="949" spans="16:27" x14ac:dyDescent="0.2">
      <c r="P949" s="36"/>
      <c r="Q949" s="40"/>
      <c r="R949" s="40"/>
      <c r="S949" s="40"/>
      <c r="T949" s="41"/>
      <c r="U949" s="41"/>
      <c r="V949" s="41"/>
      <c r="W949" s="36"/>
      <c r="X949" s="36"/>
      <c r="Y949" s="36"/>
      <c r="Z949" s="36"/>
      <c r="AA949" s="36"/>
    </row>
    <row r="950" spans="16:27" x14ac:dyDescent="0.2">
      <c r="P950" s="36"/>
      <c r="Q950" s="40"/>
      <c r="R950" s="40"/>
      <c r="S950" s="40"/>
      <c r="T950" s="41"/>
      <c r="U950" s="41"/>
      <c r="V950" s="41"/>
      <c r="W950" s="36"/>
      <c r="X950" s="36"/>
      <c r="Y950" s="36"/>
      <c r="Z950" s="36"/>
      <c r="AA950" s="36"/>
    </row>
    <row r="951" spans="16:27" x14ac:dyDescent="0.2">
      <c r="P951" s="36"/>
      <c r="Q951" s="40"/>
      <c r="R951" s="40"/>
      <c r="S951" s="40"/>
      <c r="T951" s="41"/>
      <c r="U951" s="41"/>
      <c r="V951" s="41"/>
      <c r="W951" s="36"/>
      <c r="X951" s="36"/>
      <c r="Y951" s="36"/>
      <c r="Z951" s="36"/>
      <c r="AA951" s="36"/>
    </row>
    <row r="952" spans="16:27" x14ac:dyDescent="0.2">
      <c r="P952" s="36"/>
      <c r="Q952" s="40"/>
      <c r="R952" s="40"/>
      <c r="S952" s="40"/>
      <c r="T952" s="41"/>
      <c r="U952" s="41"/>
      <c r="V952" s="41"/>
      <c r="W952" s="36"/>
      <c r="X952" s="36"/>
      <c r="Y952" s="36"/>
      <c r="Z952" s="36"/>
      <c r="AA952" s="36"/>
    </row>
    <row r="953" spans="16:27" x14ac:dyDescent="0.2">
      <c r="P953" s="36"/>
      <c r="Q953" s="40"/>
      <c r="R953" s="40"/>
      <c r="S953" s="40"/>
      <c r="T953" s="41"/>
      <c r="U953" s="41"/>
      <c r="V953" s="41"/>
      <c r="W953" s="36"/>
      <c r="X953" s="36"/>
      <c r="Y953" s="36"/>
      <c r="Z953" s="36"/>
      <c r="AA953" s="36"/>
    </row>
    <row r="954" spans="16:27" x14ac:dyDescent="0.2">
      <c r="P954" s="36"/>
      <c r="Q954" s="40"/>
      <c r="R954" s="40"/>
      <c r="S954" s="40"/>
      <c r="T954" s="41"/>
      <c r="U954" s="41"/>
      <c r="V954" s="41"/>
      <c r="W954" s="36"/>
      <c r="X954" s="36"/>
      <c r="Y954" s="36"/>
      <c r="Z954" s="36"/>
      <c r="AA954" s="36"/>
    </row>
    <row r="955" spans="16:27" x14ac:dyDescent="0.2">
      <c r="P955" s="36"/>
      <c r="Q955" s="40"/>
      <c r="R955" s="40"/>
      <c r="S955" s="40"/>
      <c r="T955" s="41"/>
      <c r="U955" s="41"/>
      <c r="V955" s="41"/>
      <c r="W955" s="36"/>
      <c r="X955" s="36"/>
      <c r="Y955" s="36"/>
      <c r="Z955" s="36"/>
      <c r="AA955" s="36"/>
    </row>
    <row r="956" spans="16:27" x14ac:dyDescent="0.2">
      <c r="P956" s="36"/>
      <c r="Q956" s="40"/>
      <c r="R956" s="40"/>
      <c r="S956" s="40"/>
      <c r="T956" s="41"/>
      <c r="U956" s="41"/>
      <c r="V956" s="41"/>
      <c r="W956" s="36"/>
      <c r="X956" s="36"/>
      <c r="Y956" s="36"/>
      <c r="Z956" s="36"/>
      <c r="AA956" s="36"/>
    </row>
    <row r="957" spans="16:27" x14ac:dyDescent="0.2">
      <c r="P957" s="36"/>
      <c r="Q957" s="40"/>
      <c r="R957" s="40"/>
      <c r="S957" s="40"/>
      <c r="T957" s="41"/>
      <c r="U957" s="41"/>
      <c r="V957" s="41"/>
      <c r="W957" s="36"/>
      <c r="X957" s="36"/>
      <c r="Y957" s="36"/>
      <c r="Z957" s="36"/>
      <c r="AA957" s="36"/>
    </row>
    <row r="958" spans="16:27" x14ac:dyDescent="0.2">
      <c r="P958" s="36"/>
      <c r="Q958" s="40"/>
      <c r="R958" s="40"/>
      <c r="S958" s="40"/>
      <c r="T958" s="41"/>
      <c r="U958" s="41"/>
      <c r="V958" s="41"/>
      <c r="W958" s="36"/>
      <c r="X958" s="36"/>
      <c r="Y958" s="36"/>
      <c r="Z958" s="36"/>
      <c r="AA958" s="36"/>
    </row>
    <row r="959" spans="16:27" x14ac:dyDescent="0.2">
      <c r="P959" s="36"/>
      <c r="Q959" s="40"/>
      <c r="R959" s="40"/>
      <c r="S959" s="40"/>
      <c r="T959" s="41"/>
      <c r="U959" s="41"/>
      <c r="V959" s="41"/>
      <c r="W959" s="36"/>
      <c r="X959" s="36"/>
      <c r="Y959" s="36"/>
      <c r="Z959" s="36"/>
      <c r="AA959" s="36"/>
    </row>
    <row r="960" spans="16:27" x14ac:dyDescent="0.2">
      <c r="P960" s="36"/>
      <c r="Q960" s="40"/>
      <c r="R960" s="40"/>
      <c r="S960" s="40"/>
      <c r="T960" s="41"/>
      <c r="U960" s="41"/>
      <c r="V960" s="41"/>
      <c r="W960" s="36"/>
      <c r="X960" s="36"/>
      <c r="Y960" s="36"/>
      <c r="Z960" s="36"/>
      <c r="AA960" s="36"/>
    </row>
    <row r="961" spans="16:27" x14ac:dyDescent="0.2">
      <c r="P961" s="36"/>
      <c r="Q961" s="40"/>
      <c r="R961" s="40"/>
      <c r="S961" s="40"/>
      <c r="T961" s="41"/>
      <c r="U961" s="41"/>
      <c r="V961" s="41"/>
      <c r="W961" s="36"/>
      <c r="X961" s="36"/>
      <c r="Y961" s="36"/>
      <c r="Z961" s="36"/>
      <c r="AA961" s="36"/>
    </row>
    <row r="962" spans="16:27" x14ac:dyDescent="0.2">
      <c r="P962" s="36"/>
      <c r="Q962" s="40"/>
      <c r="R962" s="40"/>
      <c r="S962" s="40"/>
      <c r="T962" s="41"/>
      <c r="U962" s="41"/>
      <c r="V962" s="41"/>
      <c r="W962" s="36"/>
      <c r="X962" s="36"/>
      <c r="Y962" s="36"/>
      <c r="Z962" s="36"/>
      <c r="AA962" s="36"/>
    </row>
    <row r="963" spans="16:27" x14ac:dyDescent="0.2">
      <c r="P963" s="36"/>
      <c r="Q963" s="40"/>
      <c r="R963" s="40"/>
      <c r="S963" s="40"/>
      <c r="T963" s="41"/>
      <c r="U963" s="41"/>
      <c r="V963" s="41"/>
      <c r="W963" s="36"/>
      <c r="X963" s="36"/>
      <c r="Y963" s="36"/>
      <c r="Z963" s="36"/>
      <c r="AA963" s="36"/>
    </row>
    <row r="964" spans="16:27" x14ac:dyDescent="0.2">
      <c r="P964" s="36"/>
      <c r="Q964" s="40"/>
      <c r="R964" s="40"/>
      <c r="S964" s="40"/>
      <c r="T964" s="41"/>
      <c r="U964" s="41"/>
      <c r="V964" s="41"/>
      <c r="W964" s="36"/>
      <c r="X964" s="36"/>
      <c r="Y964" s="36"/>
      <c r="Z964" s="36"/>
      <c r="AA964" s="36"/>
    </row>
    <row r="965" spans="16:27" x14ac:dyDescent="0.2">
      <c r="P965" s="36"/>
      <c r="Q965" s="40"/>
      <c r="R965" s="40"/>
      <c r="S965" s="40"/>
      <c r="T965" s="41"/>
      <c r="U965" s="41"/>
      <c r="V965" s="41"/>
      <c r="W965" s="36"/>
      <c r="X965" s="36"/>
      <c r="Y965" s="36"/>
      <c r="Z965" s="36"/>
      <c r="AA965" s="36"/>
    </row>
    <row r="966" spans="16:27" x14ac:dyDescent="0.2">
      <c r="P966" s="36"/>
      <c r="Q966" s="40"/>
      <c r="R966" s="40"/>
      <c r="S966" s="40"/>
      <c r="T966" s="41"/>
      <c r="U966" s="41"/>
      <c r="V966" s="41"/>
      <c r="W966" s="36"/>
      <c r="X966" s="36"/>
      <c r="Y966" s="36"/>
      <c r="Z966" s="36"/>
      <c r="AA966" s="36"/>
    </row>
    <row r="967" spans="16:27" x14ac:dyDescent="0.2">
      <c r="P967" s="36"/>
      <c r="Q967" s="40"/>
      <c r="R967" s="40"/>
      <c r="S967" s="40"/>
      <c r="T967" s="41"/>
      <c r="U967" s="41"/>
      <c r="V967" s="41"/>
      <c r="W967" s="36"/>
      <c r="X967" s="36"/>
      <c r="Y967" s="36"/>
      <c r="Z967" s="36"/>
      <c r="AA967" s="36"/>
    </row>
    <row r="968" spans="16:27" x14ac:dyDescent="0.2">
      <c r="P968" s="36"/>
      <c r="Q968" s="40"/>
      <c r="R968" s="40"/>
      <c r="S968" s="40"/>
      <c r="T968" s="41"/>
      <c r="U968" s="41"/>
      <c r="V968" s="41"/>
      <c r="W968" s="36"/>
      <c r="X968" s="36"/>
      <c r="Y968" s="36"/>
      <c r="Z968" s="36"/>
      <c r="AA968" s="36"/>
    </row>
    <row r="969" spans="16:27" x14ac:dyDescent="0.2">
      <c r="P969" s="36"/>
      <c r="Q969" s="40"/>
      <c r="R969" s="40"/>
      <c r="S969" s="40"/>
      <c r="T969" s="41"/>
      <c r="U969" s="41"/>
      <c r="V969" s="41"/>
      <c r="W969" s="36"/>
      <c r="X969" s="36"/>
      <c r="Y969" s="36"/>
      <c r="Z969" s="36"/>
      <c r="AA969" s="36"/>
    </row>
    <row r="970" spans="16:27" x14ac:dyDescent="0.2">
      <c r="P970" s="36"/>
      <c r="Q970" s="40"/>
      <c r="R970" s="40"/>
      <c r="S970" s="40"/>
      <c r="T970" s="41"/>
      <c r="U970" s="41"/>
      <c r="V970" s="41"/>
      <c r="W970" s="36"/>
      <c r="X970" s="36"/>
      <c r="Y970" s="36"/>
      <c r="Z970" s="36"/>
      <c r="AA970" s="36"/>
    </row>
    <row r="971" spans="16:27" x14ac:dyDescent="0.2">
      <c r="P971" s="36"/>
      <c r="Q971" s="40"/>
      <c r="R971" s="40"/>
      <c r="S971" s="40"/>
      <c r="T971" s="41"/>
      <c r="U971" s="41"/>
      <c r="V971" s="41"/>
      <c r="W971" s="36"/>
      <c r="X971" s="36"/>
      <c r="Y971" s="36"/>
      <c r="Z971" s="36"/>
      <c r="AA971" s="36"/>
    </row>
    <row r="972" spans="16:27" x14ac:dyDescent="0.2">
      <c r="P972" s="36"/>
      <c r="Q972" s="40"/>
      <c r="R972" s="40"/>
      <c r="S972" s="40"/>
      <c r="T972" s="41"/>
      <c r="U972" s="41"/>
      <c r="V972" s="41"/>
      <c r="W972" s="36"/>
      <c r="X972" s="36"/>
      <c r="Y972" s="36"/>
      <c r="Z972" s="36"/>
      <c r="AA972" s="36"/>
    </row>
    <row r="973" spans="16:27" x14ac:dyDescent="0.2">
      <c r="P973" s="36"/>
      <c r="Q973" s="40"/>
      <c r="R973" s="40"/>
      <c r="S973" s="40"/>
      <c r="T973" s="41"/>
      <c r="U973" s="41"/>
      <c r="V973" s="41"/>
      <c r="W973" s="36"/>
      <c r="X973" s="36"/>
      <c r="Y973" s="36"/>
      <c r="Z973" s="36"/>
      <c r="AA973" s="36"/>
    </row>
    <row r="974" spans="16:27" x14ac:dyDescent="0.2">
      <c r="P974" s="36"/>
      <c r="Q974" s="40"/>
      <c r="R974" s="40"/>
      <c r="S974" s="40"/>
      <c r="T974" s="41"/>
      <c r="U974" s="41"/>
      <c r="V974" s="41"/>
      <c r="W974" s="36"/>
      <c r="X974" s="36"/>
      <c r="Y974" s="36"/>
      <c r="Z974" s="36"/>
      <c r="AA974" s="36"/>
    </row>
    <row r="975" spans="16:27" x14ac:dyDescent="0.2">
      <c r="P975" s="36"/>
      <c r="Q975" s="40"/>
      <c r="R975" s="40"/>
      <c r="S975" s="40"/>
      <c r="T975" s="41"/>
      <c r="U975" s="41"/>
      <c r="V975" s="41"/>
      <c r="W975" s="36"/>
      <c r="X975" s="36"/>
      <c r="Y975" s="36"/>
      <c r="Z975" s="36"/>
      <c r="AA975" s="36"/>
    </row>
    <row r="976" spans="16:27" x14ac:dyDescent="0.2">
      <c r="P976" s="36"/>
      <c r="Q976" s="40"/>
      <c r="R976" s="40"/>
      <c r="S976" s="40"/>
      <c r="T976" s="41"/>
      <c r="U976" s="41"/>
      <c r="V976" s="41"/>
      <c r="W976" s="36"/>
      <c r="X976" s="36"/>
      <c r="Y976" s="36"/>
      <c r="Z976" s="36"/>
      <c r="AA976" s="36"/>
    </row>
    <row r="977" spans="16:27" x14ac:dyDescent="0.2">
      <c r="P977" s="36"/>
      <c r="Q977" s="40"/>
      <c r="R977" s="40"/>
      <c r="S977" s="40"/>
      <c r="T977" s="41"/>
      <c r="U977" s="41"/>
      <c r="V977" s="41"/>
      <c r="W977" s="36"/>
      <c r="X977" s="36"/>
      <c r="Y977" s="36"/>
      <c r="Z977" s="36"/>
      <c r="AA977" s="36"/>
    </row>
    <row r="978" spans="16:27" x14ac:dyDescent="0.2">
      <c r="P978" s="36"/>
      <c r="Q978" s="40"/>
      <c r="R978" s="40"/>
      <c r="S978" s="40"/>
      <c r="T978" s="41"/>
      <c r="U978" s="41"/>
      <c r="V978" s="41"/>
      <c r="W978" s="36"/>
      <c r="X978" s="36"/>
      <c r="Y978" s="36"/>
      <c r="Z978" s="36"/>
      <c r="AA978" s="36"/>
    </row>
    <row r="979" spans="16:27" x14ac:dyDescent="0.2">
      <c r="P979" s="36"/>
      <c r="Q979" s="40"/>
      <c r="R979" s="40"/>
      <c r="S979" s="40"/>
      <c r="T979" s="41"/>
      <c r="U979" s="41"/>
      <c r="V979" s="41"/>
      <c r="W979" s="36"/>
      <c r="X979" s="36"/>
      <c r="Y979" s="36"/>
      <c r="Z979" s="36"/>
      <c r="AA979" s="36"/>
    </row>
    <row r="980" spans="16:27" x14ac:dyDescent="0.2">
      <c r="P980" s="36"/>
      <c r="Q980" s="40"/>
      <c r="R980" s="40"/>
      <c r="S980" s="40"/>
      <c r="T980" s="41"/>
      <c r="U980" s="41"/>
      <c r="V980" s="41"/>
      <c r="W980" s="36"/>
      <c r="X980" s="36"/>
      <c r="Y980" s="36"/>
      <c r="Z980" s="36"/>
      <c r="AA980" s="36"/>
    </row>
    <row r="981" spans="16:27" x14ac:dyDescent="0.2">
      <c r="P981" s="36"/>
      <c r="Q981" s="40"/>
      <c r="R981" s="40"/>
      <c r="S981" s="40"/>
      <c r="T981" s="41"/>
      <c r="U981" s="41"/>
      <c r="V981" s="41"/>
      <c r="W981" s="36"/>
      <c r="X981" s="36"/>
      <c r="Y981" s="36"/>
      <c r="Z981" s="36"/>
      <c r="AA981" s="36"/>
    </row>
    <row r="982" spans="16:27" x14ac:dyDescent="0.2">
      <c r="P982" s="36"/>
      <c r="Q982" s="40"/>
      <c r="R982" s="40"/>
      <c r="S982" s="40"/>
      <c r="T982" s="41"/>
      <c r="U982" s="41"/>
      <c r="V982" s="41"/>
      <c r="W982" s="36"/>
      <c r="X982" s="36"/>
      <c r="Y982" s="36"/>
      <c r="Z982" s="36"/>
      <c r="AA982" s="36"/>
    </row>
    <row r="983" spans="16:27" x14ac:dyDescent="0.2">
      <c r="P983" s="36"/>
      <c r="Q983" s="40"/>
      <c r="R983" s="40"/>
      <c r="S983" s="40"/>
      <c r="T983" s="41"/>
      <c r="U983" s="41"/>
      <c r="V983" s="41"/>
      <c r="W983" s="36"/>
      <c r="X983" s="36"/>
      <c r="Y983" s="36"/>
      <c r="Z983" s="36"/>
      <c r="AA983" s="36"/>
    </row>
    <row r="984" spans="16:27" x14ac:dyDescent="0.2">
      <c r="P984" s="36"/>
      <c r="Q984" s="40"/>
      <c r="R984" s="40"/>
      <c r="S984" s="40"/>
      <c r="T984" s="41"/>
      <c r="U984" s="41"/>
      <c r="V984" s="41"/>
      <c r="W984" s="36"/>
      <c r="X984" s="36"/>
      <c r="Y984" s="36"/>
      <c r="Z984" s="36"/>
      <c r="AA984" s="36"/>
    </row>
    <row r="985" spans="16:27" x14ac:dyDescent="0.2">
      <c r="P985" s="36"/>
      <c r="Q985" s="40"/>
      <c r="R985" s="40"/>
      <c r="S985" s="40"/>
      <c r="T985" s="41"/>
      <c r="U985" s="41"/>
      <c r="V985" s="41"/>
      <c r="W985" s="36"/>
      <c r="X985" s="36"/>
      <c r="Y985" s="36"/>
      <c r="Z985" s="36"/>
      <c r="AA985" s="36"/>
    </row>
    <row r="986" spans="16:27" x14ac:dyDescent="0.2">
      <c r="P986" s="36"/>
      <c r="Q986" s="40"/>
      <c r="R986" s="40"/>
      <c r="S986" s="40"/>
      <c r="T986" s="41"/>
      <c r="U986" s="41"/>
      <c r="V986" s="41"/>
      <c r="W986" s="36"/>
      <c r="X986" s="36"/>
      <c r="Y986" s="36"/>
      <c r="Z986" s="36"/>
      <c r="AA986" s="36"/>
    </row>
    <row r="987" spans="16:27" x14ac:dyDescent="0.2">
      <c r="P987" s="36"/>
      <c r="Q987" s="40"/>
      <c r="R987" s="40"/>
      <c r="S987" s="40"/>
      <c r="T987" s="41"/>
      <c r="U987" s="41"/>
      <c r="V987" s="41"/>
      <c r="W987" s="36"/>
      <c r="X987" s="36"/>
      <c r="Y987" s="36"/>
      <c r="Z987" s="36"/>
      <c r="AA987" s="36"/>
    </row>
    <row r="988" spans="16:27" x14ac:dyDescent="0.2">
      <c r="P988" s="36"/>
      <c r="Q988" s="40"/>
      <c r="R988" s="40"/>
      <c r="S988" s="40"/>
      <c r="T988" s="41"/>
      <c r="U988" s="41"/>
      <c r="V988" s="41"/>
      <c r="W988" s="36"/>
      <c r="X988" s="36"/>
      <c r="Y988" s="36"/>
      <c r="Z988" s="36"/>
      <c r="AA988" s="36"/>
    </row>
    <row r="989" spans="16:27" x14ac:dyDescent="0.2">
      <c r="P989" s="36"/>
      <c r="Q989" s="40"/>
      <c r="R989" s="40"/>
      <c r="S989" s="40"/>
      <c r="T989" s="41"/>
      <c r="U989" s="41"/>
      <c r="V989" s="41"/>
      <c r="W989" s="36"/>
      <c r="X989" s="36"/>
      <c r="Y989" s="36"/>
      <c r="Z989" s="36"/>
      <c r="AA989" s="36"/>
    </row>
    <row r="990" spans="16:27" x14ac:dyDescent="0.2">
      <c r="P990" s="36"/>
      <c r="Q990" s="40"/>
      <c r="R990" s="40"/>
      <c r="S990" s="40"/>
      <c r="T990" s="41"/>
      <c r="U990" s="41"/>
      <c r="V990" s="41"/>
      <c r="W990" s="36"/>
      <c r="X990" s="36"/>
      <c r="Y990" s="36"/>
      <c r="Z990" s="36"/>
      <c r="AA990" s="36"/>
    </row>
    <row r="991" spans="16:27" x14ac:dyDescent="0.2">
      <c r="P991" s="36"/>
      <c r="Q991" s="40"/>
      <c r="R991" s="40"/>
      <c r="S991" s="40"/>
      <c r="T991" s="41"/>
      <c r="U991" s="41"/>
      <c r="V991" s="41"/>
      <c r="W991" s="36"/>
      <c r="X991" s="36"/>
      <c r="Y991" s="36"/>
      <c r="Z991" s="36"/>
      <c r="AA991" s="36"/>
    </row>
    <row r="992" spans="16:27" x14ac:dyDescent="0.2">
      <c r="P992" s="36"/>
      <c r="Q992" s="40"/>
      <c r="R992" s="40"/>
      <c r="S992" s="40"/>
      <c r="T992" s="41"/>
      <c r="U992" s="41"/>
      <c r="V992" s="41"/>
      <c r="W992" s="36"/>
      <c r="X992" s="36"/>
      <c r="Y992" s="36"/>
      <c r="Z992" s="36"/>
      <c r="AA992" s="36"/>
    </row>
    <row r="993" spans="16:27" x14ac:dyDescent="0.2">
      <c r="P993" s="36"/>
      <c r="Q993" s="40"/>
      <c r="R993" s="40"/>
      <c r="S993" s="40"/>
      <c r="T993" s="41"/>
      <c r="U993" s="41"/>
      <c r="V993" s="41"/>
      <c r="W993" s="36"/>
      <c r="X993" s="36"/>
      <c r="Y993" s="36"/>
      <c r="Z993" s="36"/>
      <c r="AA993" s="36"/>
    </row>
    <row r="994" spans="16:27" x14ac:dyDescent="0.2">
      <c r="P994" s="36"/>
      <c r="Q994" s="40"/>
      <c r="R994" s="40"/>
      <c r="S994" s="40"/>
      <c r="T994" s="41"/>
      <c r="U994" s="41"/>
      <c r="V994" s="41"/>
      <c r="W994" s="36"/>
      <c r="X994" s="36"/>
      <c r="Y994" s="36"/>
      <c r="Z994" s="36"/>
      <c r="AA994" s="36"/>
    </row>
    <row r="995" spans="16:27" x14ac:dyDescent="0.2">
      <c r="P995" s="36"/>
      <c r="Q995" s="40"/>
      <c r="R995" s="40"/>
      <c r="S995" s="40"/>
      <c r="T995" s="41"/>
      <c r="U995" s="41"/>
      <c r="V995" s="41"/>
      <c r="W995" s="36"/>
      <c r="X995" s="36"/>
      <c r="Y995" s="36"/>
      <c r="Z995" s="36"/>
      <c r="AA995" s="36"/>
    </row>
    <row r="996" spans="16:27" x14ac:dyDescent="0.2">
      <c r="P996" s="36"/>
      <c r="Q996" s="40"/>
      <c r="R996" s="40"/>
      <c r="S996" s="40"/>
      <c r="T996" s="41"/>
      <c r="U996" s="41"/>
      <c r="V996" s="41"/>
      <c r="W996" s="36"/>
      <c r="X996" s="36"/>
      <c r="Y996" s="36"/>
      <c r="Z996" s="36"/>
      <c r="AA996" s="36"/>
    </row>
    <row r="997" spans="16:27" x14ac:dyDescent="0.2">
      <c r="P997" s="36"/>
      <c r="Q997" s="40"/>
      <c r="R997" s="40"/>
      <c r="S997" s="40"/>
      <c r="T997" s="41"/>
      <c r="U997" s="41"/>
      <c r="V997" s="41"/>
      <c r="W997" s="36"/>
      <c r="X997" s="36"/>
      <c r="Y997" s="36"/>
      <c r="Z997" s="36"/>
      <c r="AA997" s="36"/>
    </row>
    <row r="998" spans="16:27" x14ac:dyDescent="0.2">
      <c r="P998" s="36"/>
      <c r="Q998" s="40"/>
      <c r="R998" s="40"/>
      <c r="S998" s="40"/>
      <c r="T998" s="41"/>
      <c r="U998" s="41"/>
      <c r="V998" s="41"/>
      <c r="W998" s="36"/>
      <c r="X998" s="36"/>
      <c r="Y998" s="36"/>
      <c r="Z998" s="36"/>
      <c r="AA998" s="36"/>
    </row>
    <row r="999" spans="16:27" x14ac:dyDescent="0.2">
      <c r="P999" s="36"/>
      <c r="Q999" s="40"/>
      <c r="R999" s="40"/>
      <c r="S999" s="40"/>
      <c r="T999" s="41"/>
      <c r="U999" s="41"/>
      <c r="V999" s="41"/>
      <c r="W999" s="36"/>
      <c r="X999" s="36"/>
      <c r="Y999" s="36"/>
      <c r="Z999" s="36"/>
      <c r="AA999" s="36"/>
    </row>
    <row r="1000" spans="16:27" x14ac:dyDescent="0.2">
      <c r="P1000" s="36"/>
      <c r="Q1000" s="40"/>
      <c r="R1000" s="40"/>
      <c r="S1000" s="40"/>
      <c r="T1000" s="41"/>
      <c r="U1000" s="41"/>
      <c r="V1000" s="41"/>
      <c r="W1000" s="36"/>
      <c r="X1000" s="36"/>
      <c r="Y1000" s="36"/>
      <c r="Z1000" s="36"/>
      <c r="AA1000" s="36"/>
    </row>
    <row r="1001" spans="16:27" x14ac:dyDescent="0.2">
      <c r="P1001" s="36"/>
      <c r="Q1001" s="40"/>
      <c r="R1001" s="40"/>
      <c r="S1001" s="40"/>
      <c r="T1001" s="41"/>
      <c r="U1001" s="41"/>
      <c r="V1001" s="41"/>
      <c r="W1001" s="36"/>
      <c r="X1001" s="36"/>
      <c r="Y1001" s="36"/>
      <c r="Z1001" s="36"/>
      <c r="AA1001" s="36"/>
    </row>
    <row r="1002" spans="16:27" x14ac:dyDescent="0.2">
      <c r="P1002" s="36"/>
      <c r="Q1002" s="40"/>
      <c r="R1002" s="40"/>
      <c r="S1002" s="40"/>
      <c r="T1002" s="41"/>
      <c r="U1002" s="41"/>
      <c r="V1002" s="41"/>
      <c r="W1002" s="36"/>
      <c r="X1002" s="36"/>
      <c r="Y1002" s="36"/>
      <c r="Z1002" s="36"/>
      <c r="AA1002" s="36"/>
    </row>
    <row r="1003" spans="16:27" x14ac:dyDescent="0.2">
      <c r="P1003" s="36"/>
      <c r="Q1003" s="40"/>
      <c r="R1003" s="40"/>
      <c r="S1003" s="40"/>
      <c r="T1003" s="41"/>
      <c r="U1003" s="41"/>
      <c r="V1003" s="41"/>
      <c r="W1003" s="36"/>
      <c r="X1003" s="36"/>
      <c r="Y1003" s="36"/>
      <c r="Z1003" s="36"/>
      <c r="AA1003" s="36"/>
    </row>
    <row r="1004" spans="16:27" x14ac:dyDescent="0.2">
      <c r="P1004" s="36"/>
      <c r="Q1004" s="40"/>
      <c r="R1004" s="40"/>
      <c r="S1004" s="40"/>
      <c r="T1004" s="41"/>
      <c r="U1004" s="41"/>
      <c r="V1004" s="41"/>
      <c r="W1004" s="36"/>
      <c r="X1004" s="36"/>
      <c r="Y1004" s="36"/>
      <c r="Z1004" s="36"/>
      <c r="AA1004" s="36"/>
    </row>
    <row r="1005" spans="16:27" x14ac:dyDescent="0.2">
      <c r="P1005" s="36"/>
      <c r="Q1005" s="40"/>
      <c r="R1005" s="40"/>
      <c r="S1005" s="40"/>
      <c r="T1005" s="41"/>
      <c r="U1005" s="41"/>
      <c r="V1005" s="41"/>
      <c r="W1005" s="36"/>
      <c r="X1005" s="36"/>
      <c r="Y1005" s="36"/>
      <c r="Z1005" s="36"/>
      <c r="AA1005" s="36"/>
    </row>
    <row r="1006" spans="16:27" x14ac:dyDescent="0.2">
      <c r="P1006" s="36"/>
      <c r="Q1006" s="40"/>
      <c r="R1006" s="40"/>
      <c r="S1006" s="40"/>
      <c r="T1006" s="41"/>
      <c r="U1006" s="41"/>
      <c r="V1006" s="41"/>
      <c r="W1006" s="36"/>
      <c r="X1006" s="36"/>
      <c r="Y1006" s="36"/>
      <c r="Z1006" s="36"/>
      <c r="AA1006" s="36"/>
    </row>
    <row r="1007" spans="16:27" x14ac:dyDescent="0.2">
      <c r="P1007" s="36"/>
      <c r="Q1007" s="40"/>
      <c r="R1007" s="40"/>
      <c r="S1007" s="40"/>
      <c r="T1007" s="41"/>
      <c r="U1007" s="41"/>
      <c r="V1007" s="41"/>
      <c r="W1007" s="36"/>
      <c r="X1007" s="36"/>
      <c r="Y1007" s="36"/>
      <c r="Z1007" s="36"/>
      <c r="AA1007" s="36"/>
    </row>
    <row r="1008" spans="16:27" x14ac:dyDescent="0.2">
      <c r="P1008" s="36"/>
      <c r="Q1008" s="40"/>
      <c r="R1008" s="40"/>
      <c r="S1008" s="40"/>
      <c r="T1008" s="41"/>
      <c r="U1008" s="41"/>
      <c r="V1008" s="41"/>
      <c r="W1008" s="36"/>
      <c r="X1008" s="36"/>
      <c r="Y1008" s="36"/>
      <c r="Z1008" s="36"/>
      <c r="AA1008" s="36"/>
    </row>
    <row r="1009" spans="16:27" x14ac:dyDescent="0.2">
      <c r="P1009" s="36"/>
      <c r="Q1009" s="40"/>
      <c r="R1009" s="40"/>
      <c r="S1009" s="40"/>
      <c r="T1009" s="41"/>
      <c r="U1009" s="41"/>
      <c r="V1009" s="41"/>
      <c r="W1009" s="36"/>
      <c r="X1009" s="36"/>
      <c r="Y1009" s="36"/>
      <c r="Z1009" s="36"/>
      <c r="AA1009" s="36"/>
    </row>
    <row r="1010" spans="16:27" x14ac:dyDescent="0.2">
      <c r="P1010" s="36"/>
      <c r="Q1010" s="40"/>
      <c r="R1010" s="40"/>
      <c r="S1010" s="40"/>
      <c r="T1010" s="41"/>
      <c r="U1010" s="41"/>
      <c r="V1010" s="41"/>
      <c r="W1010" s="36"/>
      <c r="X1010" s="36"/>
      <c r="Y1010" s="36"/>
      <c r="Z1010" s="36"/>
      <c r="AA1010" s="36"/>
    </row>
    <row r="1011" spans="16:27" x14ac:dyDescent="0.2">
      <c r="P1011" s="36"/>
      <c r="Q1011" s="40"/>
      <c r="R1011" s="40"/>
      <c r="S1011" s="40"/>
      <c r="T1011" s="41"/>
      <c r="U1011" s="41"/>
      <c r="V1011" s="41"/>
      <c r="W1011" s="36"/>
      <c r="X1011" s="36"/>
      <c r="Y1011" s="36"/>
      <c r="Z1011" s="36"/>
      <c r="AA1011" s="36"/>
    </row>
    <row r="1012" spans="16:27" x14ac:dyDescent="0.2">
      <c r="P1012" s="36"/>
      <c r="Q1012" s="40"/>
      <c r="R1012" s="40"/>
      <c r="S1012" s="40"/>
      <c r="T1012" s="41"/>
      <c r="U1012" s="41"/>
      <c r="V1012" s="41"/>
      <c r="W1012" s="36"/>
      <c r="X1012" s="36"/>
      <c r="Y1012" s="36"/>
      <c r="Z1012" s="36"/>
      <c r="AA1012" s="36"/>
    </row>
    <row r="1013" spans="16:27" x14ac:dyDescent="0.2">
      <c r="P1013" s="36"/>
      <c r="Q1013" s="40"/>
      <c r="R1013" s="40"/>
      <c r="S1013" s="40"/>
      <c r="T1013" s="41"/>
      <c r="U1013" s="41"/>
      <c r="V1013" s="41"/>
      <c r="W1013" s="36"/>
      <c r="X1013" s="36"/>
      <c r="Y1013" s="36"/>
      <c r="Z1013" s="36"/>
      <c r="AA1013" s="36"/>
    </row>
    <row r="1014" spans="16:27" x14ac:dyDescent="0.2">
      <c r="P1014" s="36"/>
      <c r="Q1014" s="40"/>
      <c r="R1014" s="40"/>
      <c r="S1014" s="40"/>
      <c r="T1014" s="41"/>
      <c r="U1014" s="41"/>
      <c r="V1014" s="41"/>
      <c r="W1014" s="36"/>
      <c r="X1014" s="36"/>
      <c r="Y1014" s="36"/>
      <c r="Z1014" s="36"/>
      <c r="AA1014" s="36"/>
    </row>
    <row r="1015" spans="16:27" x14ac:dyDescent="0.2">
      <c r="P1015" s="36"/>
      <c r="Q1015" s="40"/>
      <c r="R1015" s="40"/>
      <c r="S1015" s="40"/>
      <c r="T1015" s="41"/>
      <c r="U1015" s="41"/>
      <c r="V1015" s="41"/>
      <c r="W1015" s="36"/>
      <c r="X1015" s="36"/>
      <c r="Y1015" s="36"/>
      <c r="Z1015" s="36"/>
      <c r="AA1015" s="36"/>
    </row>
    <row r="1016" spans="16:27" x14ac:dyDescent="0.2">
      <c r="P1016" s="36"/>
      <c r="Q1016" s="40"/>
      <c r="R1016" s="40"/>
      <c r="S1016" s="40"/>
      <c r="T1016" s="41"/>
      <c r="U1016" s="41"/>
      <c r="V1016" s="41"/>
      <c r="W1016" s="36"/>
      <c r="X1016" s="36"/>
      <c r="Y1016" s="36"/>
      <c r="Z1016" s="36"/>
      <c r="AA1016" s="36"/>
    </row>
    <row r="1017" spans="16:27" x14ac:dyDescent="0.2">
      <c r="P1017" s="36"/>
      <c r="Q1017" s="40"/>
      <c r="R1017" s="40"/>
      <c r="S1017" s="40"/>
      <c r="T1017" s="41"/>
      <c r="U1017" s="41"/>
      <c r="V1017" s="41"/>
      <c r="W1017" s="36"/>
      <c r="X1017" s="36"/>
      <c r="Y1017" s="36"/>
      <c r="Z1017" s="36"/>
      <c r="AA1017" s="36"/>
    </row>
    <row r="1018" spans="16:27" x14ac:dyDescent="0.2">
      <c r="P1018" s="36"/>
      <c r="Q1018" s="40"/>
      <c r="R1018" s="40"/>
      <c r="S1018" s="40"/>
      <c r="T1018" s="41"/>
      <c r="U1018" s="41"/>
      <c r="V1018" s="41"/>
      <c r="W1018" s="36"/>
      <c r="X1018" s="36"/>
      <c r="Y1018" s="36"/>
      <c r="Z1018" s="36"/>
      <c r="AA1018" s="36"/>
    </row>
    <row r="1019" spans="16:27" x14ac:dyDescent="0.2">
      <c r="P1019" s="36"/>
      <c r="Q1019" s="40"/>
      <c r="R1019" s="40"/>
      <c r="S1019" s="40"/>
      <c r="T1019" s="41"/>
      <c r="U1019" s="41"/>
      <c r="V1019" s="41"/>
      <c r="W1019" s="36"/>
      <c r="X1019" s="36"/>
      <c r="Y1019" s="36"/>
      <c r="Z1019" s="36"/>
      <c r="AA1019" s="36"/>
    </row>
    <row r="1020" spans="16:27" x14ac:dyDescent="0.2">
      <c r="P1020" s="36"/>
      <c r="Q1020" s="40"/>
      <c r="R1020" s="40"/>
      <c r="S1020" s="40"/>
      <c r="T1020" s="41"/>
      <c r="U1020" s="41"/>
      <c r="V1020" s="41"/>
      <c r="W1020" s="36"/>
      <c r="X1020" s="36"/>
      <c r="Y1020" s="36"/>
      <c r="Z1020" s="36"/>
      <c r="AA1020" s="36"/>
    </row>
    <row r="1021" spans="16:27" x14ac:dyDescent="0.2">
      <c r="P1021" s="36"/>
      <c r="Q1021" s="40"/>
      <c r="R1021" s="40"/>
      <c r="S1021" s="40"/>
      <c r="T1021" s="41"/>
      <c r="U1021" s="41"/>
      <c r="V1021" s="41"/>
      <c r="W1021" s="36"/>
      <c r="X1021" s="36"/>
      <c r="Y1021" s="36"/>
      <c r="Z1021" s="36"/>
      <c r="AA1021" s="36"/>
    </row>
    <row r="1022" spans="16:27" x14ac:dyDescent="0.2">
      <c r="P1022" s="36"/>
      <c r="Q1022" s="40"/>
      <c r="R1022" s="40"/>
      <c r="S1022" s="40"/>
      <c r="T1022" s="41"/>
      <c r="U1022" s="41"/>
      <c r="V1022" s="41"/>
      <c r="W1022" s="36"/>
      <c r="X1022" s="36"/>
      <c r="Y1022" s="36"/>
      <c r="Z1022" s="36"/>
      <c r="AA1022" s="36"/>
    </row>
    <row r="1023" spans="16:27" x14ac:dyDescent="0.2">
      <c r="P1023" s="36"/>
      <c r="Q1023" s="40"/>
      <c r="R1023" s="40"/>
      <c r="S1023" s="40"/>
      <c r="T1023" s="41"/>
      <c r="U1023" s="41"/>
      <c r="V1023" s="41"/>
      <c r="W1023" s="36"/>
      <c r="X1023" s="36"/>
      <c r="Y1023" s="36"/>
      <c r="Z1023" s="36"/>
      <c r="AA1023" s="36"/>
    </row>
    <row r="1024" spans="16:27" x14ac:dyDescent="0.2">
      <c r="P1024" s="36"/>
      <c r="Q1024" s="40"/>
      <c r="R1024" s="40"/>
      <c r="S1024" s="40"/>
      <c r="T1024" s="41"/>
      <c r="U1024" s="41"/>
      <c r="V1024" s="41"/>
      <c r="W1024" s="36"/>
      <c r="X1024" s="36"/>
      <c r="Y1024" s="36"/>
      <c r="Z1024" s="36"/>
      <c r="AA1024" s="36"/>
    </row>
    <row r="1025" spans="16:27" x14ac:dyDescent="0.2">
      <c r="P1025" s="36"/>
      <c r="Q1025" s="40"/>
      <c r="R1025" s="40"/>
      <c r="S1025" s="40"/>
      <c r="T1025" s="41"/>
      <c r="U1025" s="41"/>
      <c r="V1025" s="41"/>
      <c r="W1025" s="36"/>
      <c r="X1025" s="36"/>
      <c r="Y1025" s="36"/>
      <c r="Z1025" s="36"/>
      <c r="AA1025" s="36"/>
    </row>
    <row r="1026" spans="16:27" x14ac:dyDescent="0.2">
      <c r="P1026" s="36"/>
      <c r="Q1026" s="40"/>
      <c r="R1026" s="40"/>
      <c r="S1026" s="40"/>
      <c r="T1026" s="41"/>
      <c r="U1026" s="41"/>
      <c r="V1026" s="41"/>
      <c r="W1026" s="36"/>
      <c r="X1026" s="36"/>
      <c r="Y1026" s="36"/>
      <c r="Z1026" s="36"/>
      <c r="AA1026" s="36"/>
    </row>
    <row r="1027" spans="16:27" x14ac:dyDescent="0.2">
      <c r="P1027" s="36"/>
      <c r="Q1027" s="40"/>
      <c r="R1027" s="40"/>
      <c r="S1027" s="40"/>
      <c r="T1027" s="41"/>
      <c r="U1027" s="41"/>
      <c r="V1027" s="41"/>
      <c r="W1027" s="36"/>
      <c r="X1027" s="36"/>
      <c r="Y1027" s="36"/>
      <c r="Z1027" s="36"/>
      <c r="AA1027" s="36"/>
    </row>
    <row r="1028" spans="16:27" x14ac:dyDescent="0.2">
      <c r="P1028" s="36"/>
      <c r="Q1028" s="40"/>
      <c r="R1028" s="40"/>
      <c r="S1028" s="40"/>
      <c r="T1028" s="41"/>
      <c r="U1028" s="41"/>
      <c r="V1028" s="41"/>
      <c r="W1028" s="36"/>
      <c r="X1028" s="36"/>
      <c r="Y1028" s="36"/>
      <c r="Z1028" s="36"/>
      <c r="AA1028" s="36"/>
    </row>
    <row r="1029" spans="16:27" x14ac:dyDescent="0.2">
      <c r="P1029" s="36"/>
      <c r="Q1029" s="40"/>
      <c r="R1029" s="40"/>
      <c r="S1029" s="40"/>
      <c r="T1029" s="41"/>
      <c r="U1029" s="41"/>
      <c r="V1029" s="41"/>
      <c r="W1029" s="36"/>
      <c r="X1029" s="36"/>
      <c r="Y1029" s="36"/>
      <c r="Z1029" s="36"/>
      <c r="AA1029" s="36"/>
    </row>
    <row r="1030" spans="16:27" x14ac:dyDescent="0.2">
      <c r="P1030" s="36"/>
      <c r="Q1030" s="40"/>
      <c r="R1030" s="40"/>
      <c r="S1030" s="40"/>
      <c r="T1030" s="41"/>
      <c r="U1030" s="41"/>
      <c r="V1030" s="41"/>
      <c r="W1030" s="36"/>
      <c r="X1030" s="36"/>
      <c r="Y1030" s="36"/>
      <c r="Z1030" s="36"/>
      <c r="AA1030" s="36"/>
    </row>
    <row r="1031" spans="16:27" x14ac:dyDescent="0.2">
      <c r="P1031" s="36"/>
      <c r="Q1031" s="40"/>
      <c r="R1031" s="40"/>
      <c r="S1031" s="40"/>
      <c r="T1031" s="41"/>
      <c r="U1031" s="41"/>
      <c r="V1031" s="41"/>
      <c r="W1031" s="36"/>
      <c r="X1031" s="36"/>
      <c r="Y1031" s="36"/>
      <c r="Z1031" s="36"/>
      <c r="AA1031" s="36"/>
    </row>
    <row r="1032" spans="16:27" x14ac:dyDescent="0.2">
      <c r="P1032" s="36"/>
      <c r="Q1032" s="40"/>
      <c r="R1032" s="40"/>
      <c r="S1032" s="40"/>
      <c r="T1032" s="41"/>
      <c r="U1032" s="41"/>
      <c r="V1032" s="41"/>
      <c r="W1032" s="36"/>
      <c r="X1032" s="36"/>
      <c r="Y1032" s="36"/>
      <c r="Z1032" s="36"/>
      <c r="AA1032" s="36"/>
    </row>
    <row r="1033" spans="16:27" x14ac:dyDescent="0.2">
      <c r="P1033" s="36"/>
      <c r="Q1033" s="40"/>
      <c r="R1033" s="40"/>
      <c r="S1033" s="40"/>
      <c r="T1033" s="41"/>
      <c r="U1033" s="41"/>
      <c r="V1033" s="41"/>
      <c r="W1033" s="36"/>
      <c r="X1033" s="36"/>
      <c r="Y1033" s="36"/>
      <c r="Z1033" s="36"/>
      <c r="AA1033" s="36"/>
    </row>
    <row r="1034" spans="16:27" x14ac:dyDescent="0.2">
      <c r="P1034" s="36"/>
      <c r="Q1034" s="40"/>
      <c r="R1034" s="40"/>
      <c r="S1034" s="40"/>
      <c r="T1034" s="41"/>
      <c r="U1034" s="41"/>
      <c r="V1034" s="41"/>
      <c r="W1034" s="36"/>
      <c r="X1034" s="36"/>
      <c r="Y1034" s="36"/>
      <c r="Z1034" s="36"/>
      <c r="AA1034" s="36"/>
    </row>
    <row r="1035" spans="16:27" x14ac:dyDescent="0.2">
      <c r="P1035" s="36"/>
      <c r="Q1035" s="40"/>
      <c r="R1035" s="40"/>
      <c r="S1035" s="40"/>
      <c r="T1035" s="41"/>
      <c r="U1035" s="41"/>
      <c r="V1035" s="41"/>
      <c r="W1035" s="36"/>
      <c r="X1035" s="36"/>
      <c r="Y1035" s="36"/>
      <c r="Z1035" s="36"/>
      <c r="AA1035" s="36"/>
    </row>
    <row r="1036" spans="16:27" x14ac:dyDescent="0.2">
      <c r="P1036" s="36"/>
      <c r="Q1036" s="40"/>
      <c r="R1036" s="40"/>
      <c r="S1036" s="40"/>
      <c r="T1036" s="41"/>
      <c r="U1036" s="41"/>
      <c r="V1036" s="41"/>
      <c r="W1036" s="36"/>
      <c r="X1036" s="36"/>
      <c r="Y1036" s="36"/>
      <c r="Z1036" s="36"/>
      <c r="AA1036" s="36"/>
    </row>
    <row r="1037" spans="16:27" x14ac:dyDescent="0.2">
      <c r="P1037" s="36"/>
      <c r="Q1037" s="40"/>
      <c r="R1037" s="40"/>
      <c r="S1037" s="40"/>
      <c r="T1037" s="41"/>
      <c r="U1037" s="41"/>
      <c r="V1037" s="41"/>
      <c r="W1037" s="36"/>
      <c r="X1037" s="36"/>
      <c r="Y1037" s="36"/>
      <c r="Z1037" s="36"/>
      <c r="AA1037" s="36"/>
    </row>
    <row r="1038" spans="16:27" x14ac:dyDescent="0.2">
      <c r="P1038" s="36"/>
      <c r="Q1038" s="40"/>
      <c r="R1038" s="40"/>
      <c r="S1038" s="40"/>
      <c r="T1038" s="41"/>
      <c r="U1038" s="41"/>
      <c r="V1038" s="41"/>
      <c r="W1038" s="36"/>
      <c r="X1038" s="36"/>
      <c r="Y1038" s="36"/>
      <c r="Z1038" s="36"/>
      <c r="AA1038" s="36"/>
    </row>
    <row r="1039" spans="16:27" x14ac:dyDescent="0.2">
      <c r="P1039" s="36"/>
      <c r="Q1039" s="40"/>
      <c r="R1039" s="40"/>
      <c r="S1039" s="40"/>
      <c r="T1039" s="41"/>
      <c r="U1039" s="41"/>
      <c r="V1039" s="41"/>
      <c r="W1039" s="36"/>
      <c r="X1039" s="36"/>
      <c r="Y1039" s="36"/>
      <c r="Z1039" s="36"/>
      <c r="AA1039" s="36"/>
    </row>
    <row r="1040" spans="16:27" x14ac:dyDescent="0.2">
      <c r="P1040" s="36"/>
      <c r="Q1040" s="40"/>
      <c r="R1040" s="40"/>
      <c r="S1040" s="40"/>
      <c r="T1040" s="41"/>
      <c r="U1040" s="41"/>
      <c r="V1040" s="41"/>
      <c r="W1040" s="36"/>
      <c r="X1040" s="36"/>
      <c r="Y1040" s="36"/>
      <c r="Z1040" s="36"/>
      <c r="AA1040" s="36"/>
    </row>
    <row r="1041" spans="16:27" x14ac:dyDescent="0.2">
      <c r="P1041" s="36"/>
      <c r="Q1041" s="40"/>
      <c r="R1041" s="40"/>
      <c r="S1041" s="40"/>
      <c r="T1041" s="41"/>
      <c r="U1041" s="41"/>
      <c r="V1041" s="41"/>
      <c r="W1041" s="36"/>
      <c r="X1041" s="36"/>
      <c r="Y1041" s="36"/>
      <c r="Z1041" s="36"/>
      <c r="AA1041" s="36"/>
    </row>
    <row r="1042" spans="16:27" x14ac:dyDescent="0.2">
      <c r="P1042" s="36"/>
      <c r="Q1042" s="40"/>
      <c r="R1042" s="40"/>
      <c r="S1042" s="40"/>
      <c r="T1042" s="41"/>
      <c r="U1042" s="41"/>
      <c r="V1042" s="41"/>
      <c r="W1042" s="36"/>
      <c r="X1042" s="36"/>
      <c r="Y1042" s="36"/>
      <c r="Z1042" s="36"/>
      <c r="AA1042" s="36"/>
    </row>
    <row r="1043" spans="16:27" x14ac:dyDescent="0.2">
      <c r="P1043" s="36"/>
      <c r="Q1043" s="40"/>
      <c r="R1043" s="40"/>
      <c r="S1043" s="40"/>
      <c r="T1043" s="41"/>
      <c r="U1043" s="41"/>
      <c r="V1043" s="41"/>
      <c r="W1043" s="36"/>
      <c r="X1043" s="36"/>
      <c r="Y1043" s="36"/>
      <c r="Z1043" s="36"/>
      <c r="AA1043" s="36"/>
    </row>
    <row r="1044" spans="16:27" x14ac:dyDescent="0.2">
      <c r="P1044" s="36"/>
      <c r="Q1044" s="40"/>
      <c r="R1044" s="40"/>
      <c r="S1044" s="40"/>
      <c r="T1044" s="41"/>
      <c r="U1044" s="41"/>
      <c r="V1044" s="41"/>
      <c r="W1044" s="36"/>
      <c r="X1044" s="36"/>
      <c r="Y1044" s="36"/>
      <c r="Z1044" s="36"/>
      <c r="AA1044" s="36"/>
    </row>
    <row r="1045" spans="16:27" x14ac:dyDescent="0.2">
      <c r="P1045" s="36"/>
      <c r="Q1045" s="40"/>
      <c r="R1045" s="40"/>
      <c r="S1045" s="40"/>
      <c r="T1045" s="41"/>
      <c r="U1045" s="41"/>
      <c r="V1045" s="41"/>
      <c r="W1045" s="36"/>
      <c r="X1045" s="36"/>
      <c r="Y1045" s="36"/>
      <c r="Z1045" s="36"/>
      <c r="AA1045" s="36"/>
    </row>
    <row r="1046" spans="16:27" x14ac:dyDescent="0.2">
      <c r="P1046" s="36"/>
      <c r="Q1046" s="40"/>
      <c r="R1046" s="40"/>
      <c r="S1046" s="40"/>
      <c r="T1046" s="41"/>
      <c r="U1046" s="41"/>
      <c r="V1046" s="41"/>
      <c r="W1046" s="36"/>
      <c r="X1046" s="36"/>
      <c r="Y1046" s="36"/>
      <c r="Z1046" s="36"/>
      <c r="AA1046" s="36"/>
    </row>
    <row r="1047" spans="16:27" x14ac:dyDescent="0.2">
      <c r="P1047" s="36"/>
      <c r="Q1047" s="40"/>
      <c r="R1047" s="40"/>
      <c r="S1047" s="40"/>
      <c r="T1047" s="41"/>
      <c r="U1047" s="41"/>
      <c r="V1047" s="41"/>
      <c r="W1047" s="36"/>
      <c r="X1047" s="36"/>
      <c r="Y1047" s="36"/>
      <c r="Z1047" s="36"/>
      <c r="AA1047" s="36"/>
    </row>
    <row r="1048" spans="16:27" x14ac:dyDescent="0.2">
      <c r="P1048" s="36"/>
      <c r="Q1048" s="40"/>
      <c r="R1048" s="40"/>
      <c r="S1048" s="40"/>
      <c r="T1048" s="41"/>
      <c r="U1048" s="41"/>
      <c r="V1048" s="41"/>
      <c r="W1048" s="36"/>
      <c r="X1048" s="36"/>
      <c r="Y1048" s="36"/>
      <c r="Z1048" s="36"/>
      <c r="AA1048" s="36"/>
    </row>
    <row r="1049" spans="16:27" x14ac:dyDescent="0.2">
      <c r="P1049" s="36"/>
      <c r="Q1049" s="40"/>
      <c r="R1049" s="40"/>
      <c r="S1049" s="40"/>
      <c r="T1049" s="41"/>
      <c r="U1049" s="41"/>
      <c r="V1049" s="41"/>
      <c r="W1049" s="36"/>
      <c r="X1049" s="36"/>
      <c r="Y1049" s="36"/>
      <c r="Z1049" s="36"/>
      <c r="AA1049" s="36"/>
    </row>
    <row r="1050" spans="16:27" x14ac:dyDescent="0.2">
      <c r="P1050" s="36"/>
      <c r="Q1050" s="40"/>
      <c r="R1050" s="40"/>
      <c r="S1050" s="40"/>
      <c r="T1050" s="41"/>
      <c r="U1050" s="41"/>
      <c r="V1050" s="41"/>
      <c r="W1050" s="36"/>
      <c r="X1050" s="36"/>
      <c r="Y1050" s="36"/>
      <c r="Z1050" s="36"/>
      <c r="AA1050" s="36"/>
    </row>
    <row r="1051" spans="16:27" x14ac:dyDescent="0.2">
      <c r="P1051" s="36"/>
      <c r="Q1051" s="40"/>
      <c r="R1051" s="40"/>
      <c r="S1051" s="40"/>
      <c r="T1051" s="41"/>
      <c r="U1051" s="41"/>
      <c r="V1051" s="41"/>
      <c r="W1051" s="36"/>
      <c r="X1051" s="36"/>
      <c r="Y1051" s="36"/>
      <c r="Z1051" s="36"/>
      <c r="AA1051" s="36"/>
    </row>
    <row r="1052" spans="16:27" x14ac:dyDescent="0.2">
      <c r="P1052" s="36"/>
      <c r="Q1052" s="40"/>
      <c r="R1052" s="40"/>
      <c r="S1052" s="40"/>
      <c r="T1052" s="41"/>
      <c r="U1052" s="41"/>
      <c r="V1052" s="41"/>
      <c r="W1052" s="36"/>
      <c r="X1052" s="36"/>
      <c r="Y1052" s="36"/>
      <c r="Z1052" s="36"/>
      <c r="AA1052" s="36"/>
    </row>
    <row r="1053" spans="16:27" x14ac:dyDescent="0.2">
      <c r="P1053" s="36"/>
      <c r="Q1053" s="40"/>
      <c r="R1053" s="40"/>
      <c r="S1053" s="40"/>
      <c r="T1053" s="41"/>
      <c r="U1053" s="41"/>
      <c r="V1053" s="41"/>
      <c r="W1053" s="36"/>
      <c r="X1053" s="36"/>
      <c r="Y1053" s="36"/>
      <c r="Z1053" s="36"/>
      <c r="AA1053" s="36"/>
    </row>
    <row r="1054" spans="16:27" x14ac:dyDescent="0.2">
      <c r="P1054" s="36"/>
      <c r="Q1054" s="40"/>
      <c r="R1054" s="40"/>
      <c r="S1054" s="40"/>
      <c r="T1054" s="41"/>
      <c r="U1054" s="41"/>
      <c r="V1054" s="41"/>
      <c r="W1054" s="36"/>
      <c r="X1054" s="36"/>
      <c r="Y1054" s="36"/>
      <c r="Z1054" s="36"/>
      <c r="AA1054" s="36"/>
    </row>
    <row r="1055" spans="16:27" x14ac:dyDescent="0.2">
      <c r="P1055" s="36"/>
      <c r="Q1055" s="40"/>
      <c r="R1055" s="40"/>
      <c r="S1055" s="40"/>
      <c r="T1055" s="41"/>
      <c r="U1055" s="41"/>
      <c r="V1055" s="41"/>
      <c r="W1055" s="36"/>
      <c r="X1055" s="36"/>
      <c r="Y1055" s="36"/>
      <c r="Z1055" s="36"/>
      <c r="AA1055" s="36"/>
    </row>
    <row r="1056" spans="16:27" x14ac:dyDescent="0.2">
      <c r="P1056" s="36"/>
      <c r="Q1056" s="40"/>
      <c r="R1056" s="40"/>
      <c r="S1056" s="40"/>
      <c r="T1056" s="41"/>
      <c r="U1056" s="41"/>
      <c r="V1056" s="41"/>
      <c r="W1056" s="36"/>
      <c r="X1056" s="36"/>
      <c r="Y1056" s="36"/>
      <c r="Z1056" s="36"/>
      <c r="AA1056" s="36"/>
    </row>
    <row r="1057" spans="16:27" x14ac:dyDescent="0.2">
      <c r="P1057" s="36"/>
      <c r="Q1057" s="40"/>
      <c r="R1057" s="40"/>
      <c r="S1057" s="40"/>
      <c r="T1057" s="41"/>
      <c r="U1057" s="41"/>
      <c r="V1057" s="41"/>
      <c r="W1057" s="36"/>
      <c r="X1057" s="36"/>
      <c r="Y1057" s="36"/>
      <c r="Z1057" s="36"/>
      <c r="AA1057" s="36"/>
    </row>
    <row r="1058" spans="16:27" x14ac:dyDescent="0.2">
      <c r="P1058" s="36"/>
      <c r="Q1058" s="40"/>
      <c r="R1058" s="40"/>
      <c r="S1058" s="40"/>
      <c r="T1058" s="41"/>
      <c r="U1058" s="41"/>
      <c r="V1058" s="41"/>
      <c r="W1058" s="36"/>
      <c r="X1058" s="36"/>
      <c r="Y1058" s="36"/>
      <c r="Z1058" s="36"/>
      <c r="AA1058" s="36"/>
    </row>
    <row r="1059" spans="16:27" x14ac:dyDescent="0.2">
      <c r="P1059" s="36"/>
      <c r="Q1059" s="40"/>
      <c r="R1059" s="40"/>
      <c r="S1059" s="40"/>
      <c r="T1059" s="41"/>
      <c r="U1059" s="41"/>
      <c r="V1059" s="41"/>
      <c r="W1059" s="36"/>
      <c r="X1059" s="36"/>
      <c r="Y1059" s="36"/>
      <c r="Z1059" s="36"/>
      <c r="AA1059" s="36"/>
    </row>
    <row r="1060" spans="16:27" x14ac:dyDescent="0.2">
      <c r="P1060" s="36"/>
      <c r="Q1060" s="40"/>
      <c r="R1060" s="40"/>
      <c r="S1060" s="40"/>
      <c r="T1060" s="41"/>
      <c r="U1060" s="41"/>
      <c r="V1060" s="41"/>
      <c r="W1060" s="36"/>
      <c r="X1060" s="36"/>
      <c r="Y1060" s="36"/>
      <c r="Z1060" s="36"/>
      <c r="AA1060" s="36"/>
    </row>
    <row r="1061" spans="16:27" x14ac:dyDescent="0.2">
      <c r="P1061" s="36"/>
      <c r="Q1061" s="40"/>
      <c r="R1061" s="40"/>
      <c r="S1061" s="40"/>
      <c r="T1061" s="41"/>
      <c r="U1061" s="41"/>
      <c r="V1061" s="41"/>
      <c r="W1061" s="36"/>
      <c r="X1061" s="36"/>
      <c r="Y1061" s="36"/>
      <c r="Z1061" s="36"/>
      <c r="AA1061" s="36"/>
    </row>
    <row r="1062" spans="16:27" x14ac:dyDescent="0.2">
      <c r="P1062" s="36"/>
      <c r="Q1062" s="40"/>
      <c r="R1062" s="40"/>
      <c r="S1062" s="40"/>
      <c r="T1062" s="41"/>
      <c r="U1062" s="41"/>
      <c r="V1062" s="41"/>
      <c r="W1062" s="36"/>
      <c r="X1062" s="36"/>
      <c r="Y1062" s="36"/>
      <c r="Z1062" s="36"/>
      <c r="AA1062" s="36"/>
    </row>
    <row r="1063" spans="16:27" x14ac:dyDescent="0.2">
      <c r="P1063" s="36"/>
      <c r="Q1063" s="40"/>
      <c r="R1063" s="40"/>
      <c r="S1063" s="40"/>
      <c r="T1063" s="41"/>
      <c r="U1063" s="41"/>
      <c r="V1063" s="41"/>
      <c r="W1063" s="36"/>
      <c r="X1063" s="36"/>
      <c r="Y1063" s="36"/>
      <c r="Z1063" s="36"/>
      <c r="AA1063" s="36"/>
    </row>
    <row r="1064" spans="16:27" x14ac:dyDescent="0.2">
      <c r="P1064" s="36"/>
      <c r="Q1064" s="40"/>
      <c r="R1064" s="40"/>
      <c r="S1064" s="40"/>
      <c r="T1064" s="41"/>
      <c r="U1064" s="41"/>
      <c r="V1064" s="41"/>
      <c r="W1064" s="36"/>
      <c r="X1064" s="36"/>
      <c r="Y1064" s="36"/>
      <c r="Z1064" s="36"/>
      <c r="AA1064" s="36"/>
    </row>
    <row r="1065" spans="16:27" x14ac:dyDescent="0.2">
      <c r="P1065" s="36"/>
      <c r="Q1065" s="40"/>
      <c r="R1065" s="40"/>
      <c r="S1065" s="40"/>
      <c r="T1065" s="41"/>
      <c r="U1065" s="41"/>
      <c r="V1065" s="41"/>
      <c r="W1065" s="36"/>
      <c r="X1065" s="36"/>
      <c r="Y1065" s="36"/>
      <c r="Z1065" s="36"/>
      <c r="AA1065" s="36"/>
    </row>
    <row r="1066" spans="16:27" x14ac:dyDescent="0.2">
      <c r="P1066" s="36"/>
      <c r="Q1066" s="40"/>
      <c r="R1066" s="40"/>
      <c r="S1066" s="40"/>
      <c r="T1066" s="41"/>
      <c r="U1066" s="41"/>
      <c r="V1066" s="41"/>
      <c r="W1066" s="36"/>
      <c r="X1066" s="36"/>
      <c r="Y1066" s="36"/>
      <c r="Z1066" s="36"/>
      <c r="AA1066" s="36"/>
    </row>
    <row r="1067" spans="16:27" x14ac:dyDescent="0.2">
      <c r="P1067" s="36"/>
      <c r="Q1067" s="40"/>
      <c r="R1067" s="40"/>
      <c r="S1067" s="40"/>
      <c r="T1067" s="41"/>
      <c r="U1067" s="41"/>
      <c r="V1067" s="41"/>
      <c r="W1067" s="36"/>
      <c r="X1067" s="36"/>
      <c r="Y1067" s="36"/>
      <c r="Z1067" s="36"/>
      <c r="AA1067" s="36"/>
    </row>
    <row r="1068" spans="16:27" x14ac:dyDescent="0.2">
      <c r="P1068" s="36"/>
      <c r="Q1068" s="40"/>
      <c r="R1068" s="40"/>
      <c r="S1068" s="40"/>
      <c r="T1068" s="41"/>
      <c r="U1068" s="41"/>
      <c r="V1068" s="41"/>
      <c r="W1068" s="36"/>
      <c r="X1068" s="36"/>
      <c r="Y1068" s="36"/>
      <c r="Z1068" s="36"/>
      <c r="AA1068" s="36"/>
    </row>
    <row r="1069" spans="16:27" x14ac:dyDescent="0.2">
      <c r="P1069" s="36"/>
      <c r="Q1069" s="40"/>
      <c r="R1069" s="40"/>
      <c r="S1069" s="40"/>
      <c r="T1069" s="41"/>
      <c r="U1069" s="41"/>
      <c r="V1069" s="41"/>
      <c r="W1069" s="36"/>
      <c r="X1069" s="36"/>
      <c r="Y1069" s="36"/>
      <c r="Z1069" s="36"/>
      <c r="AA1069" s="36"/>
    </row>
    <row r="1070" spans="16:27" x14ac:dyDescent="0.2">
      <c r="P1070" s="36"/>
      <c r="Q1070" s="40"/>
      <c r="R1070" s="40"/>
      <c r="S1070" s="40"/>
      <c r="T1070" s="41"/>
      <c r="U1070" s="41"/>
      <c r="V1070" s="41"/>
      <c r="W1070" s="36"/>
      <c r="X1070" s="36"/>
      <c r="Y1070" s="36"/>
      <c r="Z1070" s="36"/>
      <c r="AA1070" s="36"/>
    </row>
    <row r="1071" spans="16:27" x14ac:dyDescent="0.2">
      <c r="P1071" s="36"/>
      <c r="Q1071" s="40"/>
      <c r="R1071" s="40"/>
      <c r="S1071" s="40"/>
      <c r="T1071" s="41"/>
      <c r="U1071" s="41"/>
      <c r="V1071" s="41"/>
      <c r="W1071" s="36"/>
      <c r="X1071" s="36"/>
      <c r="Y1071" s="36"/>
      <c r="Z1071" s="36"/>
      <c r="AA1071" s="36"/>
    </row>
    <row r="1072" spans="16:27" x14ac:dyDescent="0.2">
      <c r="P1072" s="36"/>
      <c r="Q1072" s="40"/>
      <c r="R1072" s="40"/>
      <c r="S1072" s="40"/>
      <c r="T1072" s="41"/>
      <c r="U1072" s="41"/>
      <c r="V1072" s="41"/>
      <c r="W1072" s="36"/>
      <c r="X1072" s="36"/>
      <c r="Y1072" s="36"/>
      <c r="Z1072" s="36"/>
      <c r="AA1072" s="36"/>
    </row>
    <row r="1073" spans="16:27" x14ac:dyDescent="0.2">
      <c r="P1073" s="36"/>
      <c r="Q1073" s="40"/>
      <c r="R1073" s="40"/>
      <c r="S1073" s="40"/>
      <c r="T1073" s="41"/>
      <c r="U1073" s="41"/>
      <c r="V1073" s="41"/>
      <c r="W1073" s="36"/>
      <c r="X1073" s="36"/>
      <c r="Y1073" s="36"/>
      <c r="Z1073" s="36"/>
      <c r="AA1073" s="36"/>
    </row>
    <row r="1074" spans="16:27" x14ac:dyDescent="0.2">
      <c r="P1074" s="36"/>
      <c r="Q1074" s="40"/>
      <c r="R1074" s="40"/>
      <c r="S1074" s="40"/>
      <c r="T1074" s="41"/>
      <c r="U1074" s="41"/>
      <c r="V1074" s="41"/>
      <c r="W1074" s="36"/>
      <c r="X1074" s="36"/>
      <c r="Y1074" s="36"/>
      <c r="Z1074" s="36"/>
      <c r="AA1074" s="36"/>
    </row>
    <row r="1075" spans="16:27" x14ac:dyDescent="0.2">
      <c r="P1075" s="36"/>
      <c r="Q1075" s="40"/>
      <c r="R1075" s="40"/>
      <c r="S1075" s="40"/>
      <c r="T1075" s="41"/>
      <c r="U1075" s="41"/>
      <c r="V1075" s="41"/>
      <c r="W1075" s="36"/>
      <c r="X1075" s="36"/>
      <c r="Y1075" s="36"/>
      <c r="Z1075" s="36"/>
      <c r="AA1075" s="36"/>
    </row>
    <row r="1076" spans="16:27" x14ac:dyDescent="0.2">
      <c r="P1076" s="36"/>
      <c r="Q1076" s="40"/>
      <c r="R1076" s="40"/>
      <c r="S1076" s="40"/>
      <c r="T1076" s="41"/>
      <c r="U1076" s="41"/>
      <c r="V1076" s="41"/>
      <c r="W1076" s="36"/>
      <c r="X1076" s="36"/>
      <c r="Y1076" s="36"/>
      <c r="Z1076" s="36"/>
      <c r="AA1076" s="36"/>
    </row>
    <row r="1077" spans="16:27" x14ac:dyDescent="0.2">
      <c r="P1077" s="36"/>
      <c r="Q1077" s="40"/>
      <c r="R1077" s="40"/>
      <c r="S1077" s="40"/>
      <c r="T1077" s="41"/>
      <c r="U1077" s="41"/>
      <c r="V1077" s="41"/>
      <c r="W1077" s="36"/>
      <c r="X1077" s="36"/>
      <c r="Y1077" s="36"/>
      <c r="Z1077" s="36"/>
      <c r="AA1077" s="36"/>
    </row>
    <row r="1078" spans="16:27" x14ac:dyDescent="0.2">
      <c r="P1078" s="36"/>
      <c r="Q1078" s="40"/>
      <c r="R1078" s="40"/>
      <c r="S1078" s="40"/>
      <c r="T1078" s="41"/>
      <c r="U1078" s="41"/>
      <c r="V1078" s="41"/>
      <c r="W1078" s="36"/>
      <c r="X1078" s="36"/>
      <c r="Y1078" s="36"/>
      <c r="Z1078" s="36"/>
      <c r="AA1078" s="36"/>
    </row>
    <row r="1079" spans="16:27" x14ac:dyDescent="0.2">
      <c r="P1079" s="36"/>
      <c r="Q1079" s="40"/>
      <c r="R1079" s="40"/>
      <c r="S1079" s="40"/>
      <c r="T1079" s="41"/>
      <c r="U1079" s="41"/>
      <c r="V1079" s="41"/>
      <c r="W1079" s="36"/>
      <c r="X1079" s="36"/>
      <c r="Y1079" s="36"/>
      <c r="Z1079" s="36"/>
      <c r="AA1079" s="36"/>
    </row>
    <row r="1080" spans="16:27" x14ac:dyDescent="0.2">
      <c r="P1080" s="36"/>
      <c r="Q1080" s="40"/>
      <c r="R1080" s="40"/>
      <c r="S1080" s="40"/>
      <c r="T1080" s="41"/>
      <c r="U1080" s="41"/>
      <c r="V1080" s="41"/>
      <c r="W1080" s="36"/>
      <c r="X1080" s="36"/>
      <c r="Y1080" s="36"/>
      <c r="Z1080" s="36"/>
      <c r="AA1080" s="36"/>
    </row>
    <row r="1081" spans="16:27" x14ac:dyDescent="0.2">
      <c r="P1081" s="36"/>
      <c r="Q1081" s="40"/>
      <c r="R1081" s="40"/>
      <c r="S1081" s="40"/>
      <c r="T1081" s="41"/>
      <c r="U1081" s="41"/>
      <c r="V1081" s="41"/>
      <c r="W1081" s="36"/>
      <c r="X1081" s="36"/>
      <c r="Y1081" s="36"/>
      <c r="Z1081" s="36"/>
      <c r="AA1081" s="36"/>
    </row>
    <row r="1082" spans="16:27" x14ac:dyDescent="0.2">
      <c r="P1082" s="36"/>
      <c r="Q1082" s="40"/>
      <c r="R1082" s="40"/>
      <c r="S1082" s="40"/>
      <c r="T1082" s="41"/>
      <c r="U1082" s="41"/>
      <c r="V1082" s="41"/>
      <c r="W1082" s="36"/>
      <c r="X1082" s="36"/>
      <c r="Y1082" s="36"/>
      <c r="Z1082" s="36"/>
      <c r="AA1082" s="36"/>
    </row>
    <row r="1083" spans="16:27" x14ac:dyDescent="0.2">
      <c r="P1083" s="36"/>
      <c r="Q1083" s="40"/>
      <c r="R1083" s="40"/>
      <c r="S1083" s="40"/>
      <c r="T1083" s="41"/>
      <c r="U1083" s="41"/>
      <c r="V1083" s="41"/>
      <c r="W1083" s="36"/>
      <c r="X1083" s="36"/>
      <c r="Y1083" s="36"/>
      <c r="Z1083" s="36"/>
      <c r="AA1083" s="36"/>
    </row>
    <row r="1084" spans="16:27" x14ac:dyDescent="0.2">
      <c r="P1084" s="36"/>
      <c r="Q1084" s="40"/>
      <c r="R1084" s="40"/>
      <c r="S1084" s="40"/>
      <c r="T1084" s="41"/>
      <c r="U1084" s="41"/>
      <c r="V1084" s="41"/>
      <c r="W1084" s="36"/>
      <c r="X1084" s="36"/>
      <c r="Y1084" s="36"/>
      <c r="Z1084" s="36"/>
      <c r="AA1084" s="36"/>
    </row>
    <row r="1085" spans="16:27" x14ac:dyDescent="0.2">
      <c r="P1085" s="36"/>
      <c r="Q1085" s="40"/>
      <c r="R1085" s="40"/>
      <c r="S1085" s="40"/>
      <c r="T1085" s="41"/>
      <c r="U1085" s="41"/>
      <c r="V1085" s="41"/>
      <c r="W1085" s="36"/>
      <c r="X1085" s="36"/>
      <c r="Y1085" s="36"/>
      <c r="Z1085" s="36"/>
      <c r="AA1085" s="36"/>
    </row>
    <row r="1086" spans="16:27" x14ac:dyDescent="0.2">
      <c r="P1086" s="36"/>
      <c r="Q1086" s="40"/>
      <c r="R1086" s="40"/>
      <c r="S1086" s="40"/>
      <c r="T1086" s="41"/>
      <c r="U1086" s="41"/>
      <c r="V1086" s="41"/>
      <c r="W1086" s="36"/>
      <c r="X1086" s="36"/>
      <c r="Y1086" s="36"/>
      <c r="Z1086" s="36"/>
      <c r="AA1086" s="36"/>
    </row>
    <row r="1087" spans="16:27" x14ac:dyDescent="0.2">
      <c r="P1087" s="36"/>
      <c r="Q1087" s="40"/>
      <c r="R1087" s="40"/>
      <c r="S1087" s="40"/>
      <c r="T1087" s="41"/>
      <c r="U1087" s="41"/>
      <c r="V1087" s="41"/>
      <c r="W1087" s="36"/>
      <c r="X1087" s="36"/>
      <c r="Y1087" s="36"/>
      <c r="Z1087" s="36"/>
      <c r="AA1087" s="36"/>
    </row>
    <row r="1088" spans="16:27" x14ac:dyDescent="0.2">
      <c r="P1088" s="36"/>
      <c r="Q1088" s="40"/>
      <c r="R1088" s="40"/>
      <c r="S1088" s="40"/>
      <c r="T1088" s="41"/>
      <c r="U1088" s="41"/>
      <c r="V1088" s="41"/>
      <c r="W1088" s="36"/>
      <c r="X1088" s="36"/>
      <c r="Y1088" s="36"/>
      <c r="Z1088" s="36"/>
      <c r="AA1088" s="36"/>
    </row>
    <row r="1089" spans="16:27" x14ac:dyDescent="0.2">
      <c r="P1089" s="36"/>
      <c r="Q1089" s="40"/>
      <c r="R1089" s="40"/>
      <c r="S1089" s="40"/>
      <c r="T1089" s="41"/>
      <c r="U1089" s="41"/>
      <c r="V1089" s="41"/>
      <c r="W1089" s="36"/>
      <c r="X1089" s="36"/>
      <c r="Y1089" s="36"/>
      <c r="Z1089" s="36"/>
      <c r="AA1089" s="36"/>
    </row>
    <row r="1090" spans="16:27" x14ac:dyDescent="0.2">
      <c r="P1090" s="36"/>
      <c r="Q1090" s="40"/>
      <c r="R1090" s="40"/>
      <c r="S1090" s="40"/>
      <c r="T1090" s="41"/>
      <c r="U1090" s="41"/>
      <c r="V1090" s="41"/>
      <c r="W1090" s="36"/>
      <c r="X1090" s="36"/>
      <c r="Y1090" s="36"/>
      <c r="Z1090" s="36"/>
      <c r="AA1090" s="36"/>
    </row>
    <row r="1091" spans="16:27" x14ac:dyDescent="0.2">
      <c r="P1091" s="36"/>
      <c r="Q1091" s="40"/>
      <c r="R1091" s="40"/>
      <c r="S1091" s="40"/>
      <c r="T1091" s="41"/>
      <c r="U1091" s="41"/>
      <c r="V1091" s="41"/>
      <c r="W1091" s="36"/>
      <c r="X1091" s="36"/>
      <c r="Y1091" s="36"/>
      <c r="Z1091" s="36"/>
      <c r="AA1091" s="36"/>
    </row>
    <row r="1092" spans="16:27" x14ac:dyDescent="0.2">
      <c r="P1092" s="36"/>
      <c r="Q1092" s="40"/>
      <c r="R1092" s="40"/>
      <c r="S1092" s="40"/>
      <c r="T1092" s="41"/>
      <c r="U1092" s="41"/>
      <c r="V1092" s="41"/>
      <c r="W1092" s="36"/>
      <c r="X1092" s="36"/>
      <c r="Y1092" s="36"/>
      <c r="Z1092" s="36"/>
      <c r="AA1092" s="36"/>
    </row>
    <row r="1093" spans="16:27" x14ac:dyDescent="0.2">
      <c r="P1093" s="36"/>
      <c r="Q1093" s="40"/>
      <c r="R1093" s="40"/>
      <c r="S1093" s="40"/>
      <c r="T1093" s="41"/>
      <c r="U1093" s="41"/>
      <c r="V1093" s="41"/>
      <c r="W1093" s="36"/>
      <c r="X1093" s="36"/>
      <c r="Y1093" s="36"/>
      <c r="Z1093" s="36"/>
      <c r="AA1093" s="36"/>
    </row>
    <row r="1094" spans="16:27" x14ac:dyDescent="0.2">
      <c r="P1094" s="36"/>
      <c r="Q1094" s="40"/>
      <c r="R1094" s="40"/>
      <c r="S1094" s="40"/>
      <c r="T1094" s="41"/>
      <c r="U1094" s="41"/>
      <c r="V1094" s="41"/>
      <c r="W1094" s="36"/>
      <c r="X1094" s="36"/>
      <c r="Y1094" s="36"/>
      <c r="Z1094" s="36"/>
      <c r="AA1094" s="36"/>
    </row>
    <row r="1095" spans="16:27" x14ac:dyDescent="0.2">
      <c r="P1095" s="36"/>
      <c r="Q1095" s="40"/>
      <c r="R1095" s="40"/>
      <c r="S1095" s="40"/>
      <c r="T1095" s="41"/>
      <c r="U1095" s="41"/>
      <c r="V1095" s="41"/>
      <c r="W1095" s="36"/>
      <c r="X1095" s="36"/>
      <c r="Y1095" s="36"/>
      <c r="Z1095" s="36"/>
      <c r="AA1095" s="36"/>
    </row>
    <row r="1096" spans="16:27" x14ac:dyDescent="0.2">
      <c r="P1096" s="36"/>
      <c r="Q1096" s="40"/>
      <c r="R1096" s="40"/>
      <c r="S1096" s="40"/>
      <c r="T1096" s="41"/>
      <c r="U1096" s="41"/>
      <c r="V1096" s="41"/>
      <c r="W1096" s="36"/>
      <c r="X1096" s="36"/>
      <c r="Y1096" s="36"/>
      <c r="Z1096" s="36"/>
      <c r="AA1096" s="36"/>
    </row>
    <row r="1097" spans="16:27" x14ac:dyDescent="0.2">
      <c r="P1097" s="36"/>
      <c r="Q1097" s="40"/>
      <c r="R1097" s="40"/>
      <c r="S1097" s="40"/>
      <c r="T1097" s="41"/>
      <c r="U1097" s="41"/>
      <c r="V1097" s="41"/>
      <c r="W1097" s="36"/>
      <c r="X1097" s="36"/>
      <c r="Y1097" s="36"/>
      <c r="Z1097" s="36"/>
      <c r="AA1097" s="36"/>
    </row>
    <row r="1098" spans="16:27" x14ac:dyDescent="0.2">
      <c r="P1098" s="36"/>
      <c r="Q1098" s="40"/>
      <c r="R1098" s="40"/>
      <c r="S1098" s="40"/>
      <c r="T1098" s="41"/>
      <c r="U1098" s="41"/>
      <c r="V1098" s="41"/>
      <c r="W1098" s="36"/>
      <c r="X1098" s="36"/>
      <c r="Y1098" s="36"/>
      <c r="Z1098" s="36"/>
      <c r="AA1098" s="36"/>
    </row>
    <row r="1099" spans="16:27" x14ac:dyDescent="0.2">
      <c r="P1099" s="36"/>
      <c r="Q1099" s="40"/>
      <c r="R1099" s="40"/>
      <c r="S1099" s="40"/>
      <c r="T1099" s="41"/>
      <c r="U1099" s="41"/>
      <c r="V1099" s="41"/>
      <c r="W1099" s="36"/>
      <c r="X1099" s="36"/>
      <c r="Y1099" s="36"/>
      <c r="Z1099" s="36"/>
      <c r="AA1099" s="36"/>
    </row>
    <row r="1100" spans="16:27" x14ac:dyDescent="0.2">
      <c r="P1100" s="36"/>
      <c r="Q1100" s="40"/>
      <c r="R1100" s="40"/>
      <c r="S1100" s="40"/>
      <c r="T1100" s="41"/>
      <c r="U1100" s="41"/>
      <c r="V1100" s="41"/>
      <c r="W1100" s="36"/>
      <c r="X1100" s="36"/>
      <c r="Y1100" s="36"/>
      <c r="Z1100" s="36"/>
      <c r="AA1100" s="36"/>
    </row>
    <row r="1101" spans="16:27" x14ac:dyDescent="0.2">
      <c r="P1101" s="36"/>
      <c r="Q1101" s="40"/>
      <c r="R1101" s="40"/>
      <c r="S1101" s="40"/>
      <c r="T1101" s="41"/>
      <c r="U1101" s="41"/>
      <c r="V1101" s="41"/>
      <c r="W1101" s="36"/>
      <c r="X1101" s="36"/>
      <c r="Y1101" s="36"/>
      <c r="Z1101" s="36"/>
      <c r="AA1101" s="36"/>
    </row>
    <row r="1102" spans="16:27" x14ac:dyDescent="0.2">
      <c r="P1102" s="36"/>
      <c r="Q1102" s="40"/>
      <c r="R1102" s="40"/>
      <c r="S1102" s="40"/>
      <c r="T1102" s="41"/>
      <c r="U1102" s="41"/>
      <c r="V1102" s="41"/>
      <c r="W1102" s="36"/>
      <c r="X1102" s="36"/>
      <c r="Y1102" s="36"/>
      <c r="Z1102" s="36"/>
      <c r="AA1102" s="36"/>
    </row>
    <row r="1103" spans="16:27" x14ac:dyDescent="0.2">
      <c r="P1103" s="36"/>
      <c r="Q1103" s="40"/>
      <c r="R1103" s="40"/>
      <c r="S1103" s="40"/>
      <c r="T1103" s="41"/>
      <c r="U1103" s="41"/>
      <c r="V1103" s="41"/>
      <c r="W1103" s="36"/>
      <c r="X1103" s="36"/>
      <c r="Y1103" s="36"/>
      <c r="Z1103" s="36"/>
      <c r="AA1103" s="36"/>
    </row>
    <row r="1104" spans="16:27" x14ac:dyDescent="0.2">
      <c r="P1104" s="36"/>
      <c r="Q1104" s="40"/>
      <c r="R1104" s="40"/>
      <c r="S1104" s="40"/>
      <c r="T1104" s="41"/>
      <c r="U1104" s="41"/>
      <c r="V1104" s="41"/>
      <c r="W1104" s="36"/>
      <c r="X1104" s="36"/>
      <c r="Y1104" s="36"/>
      <c r="Z1104" s="36"/>
      <c r="AA1104" s="36"/>
    </row>
    <row r="1105" spans="16:27" x14ac:dyDescent="0.2">
      <c r="P1105" s="36"/>
      <c r="Q1105" s="40"/>
      <c r="R1105" s="40"/>
      <c r="S1105" s="40"/>
      <c r="T1105" s="41"/>
      <c r="U1105" s="41"/>
      <c r="V1105" s="41"/>
      <c r="W1105" s="36"/>
      <c r="X1105" s="36"/>
      <c r="Y1105" s="36"/>
      <c r="Z1105" s="36"/>
      <c r="AA1105" s="36"/>
    </row>
    <row r="1106" spans="16:27" x14ac:dyDescent="0.2">
      <c r="P1106" s="36"/>
      <c r="Q1106" s="40"/>
      <c r="R1106" s="40"/>
      <c r="S1106" s="40"/>
      <c r="T1106" s="41"/>
      <c r="U1106" s="41"/>
      <c r="V1106" s="41"/>
      <c r="W1106" s="36"/>
      <c r="X1106" s="36"/>
      <c r="Y1106" s="36"/>
      <c r="Z1106" s="36"/>
      <c r="AA1106" s="36"/>
    </row>
    <row r="1107" spans="16:27" x14ac:dyDescent="0.2">
      <c r="P1107" s="36"/>
      <c r="Q1107" s="40"/>
      <c r="R1107" s="40"/>
      <c r="S1107" s="40"/>
      <c r="T1107" s="41"/>
      <c r="U1107" s="41"/>
      <c r="V1107" s="41"/>
      <c r="W1107" s="36"/>
      <c r="X1107" s="36"/>
      <c r="Y1107" s="36"/>
      <c r="Z1107" s="36"/>
      <c r="AA1107" s="36"/>
    </row>
    <row r="1108" spans="16:27" x14ac:dyDescent="0.2">
      <c r="P1108" s="36"/>
      <c r="Q1108" s="40"/>
      <c r="R1108" s="40"/>
      <c r="S1108" s="40"/>
      <c r="T1108" s="41"/>
      <c r="U1108" s="41"/>
      <c r="V1108" s="41"/>
      <c r="W1108" s="36"/>
      <c r="X1108" s="36"/>
      <c r="Y1108" s="36"/>
      <c r="Z1108" s="36"/>
      <c r="AA1108" s="36"/>
    </row>
    <row r="1109" spans="16:27" x14ac:dyDescent="0.2">
      <c r="P1109" s="36"/>
      <c r="Q1109" s="40"/>
      <c r="R1109" s="40"/>
      <c r="S1109" s="40"/>
      <c r="T1109" s="41"/>
      <c r="U1109" s="41"/>
      <c r="V1109" s="41"/>
      <c r="W1109" s="36"/>
      <c r="X1109" s="36"/>
      <c r="Y1109" s="36"/>
      <c r="Z1109" s="36"/>
      <c r="AA1109" s="36"/>
    </row>
    <row r="1110" spans="16:27" x14ac:dyDescent="0.2">
      <c r="P1110" s="36"/>
      <c r="Q1110" s="40"/>
      <c r="R1110" s="40"/>
      <c r="S1110" s="40"/>
      <c r="T1110" s="41"/>
      <c r="U1110" s="41"/>
      <c r="V1110" s="41"/>
      <c r="W1110" s="36"/>
      <c r="X1110" s="36"/>
      <c r="Y1110" s="36"/>
      <c r="Z1110" s="36"/>
      <c r="AA1110" s="36"/>
    </row>
    <row r="1111" spans="16:27" x14ac:dyDescent="0.2">
      <c r="P1111" s="36"/>
      <c r="Q1111" s="40"/>
      <c r="R1111" s="40"/>
      <c r="S1111" s="40"/>
      <c r="T1111" s="41"/>
      <c r="U1111" s="41"/>
      <c r="V1111" s="41"/>
      <c r="W1111" s="36"/>
      <c r="X1111" s="36"/>
      <c r="Y1111" s="36"/>
      <c r="Z1111" s="36"/>
      <c r="AA1111" s="36"/>
    </row>
    <row r="1112" spans="16:27" x14ac:dyDescent="0.2">
      <c r="P1112" s="36"/>
      <c r="Q1112" s="40"/>
      <c r="R1112" s="40"/>
      <c r="S1112" s="40"/>
      <c r="T1112" s="41"/>
      <c r="U1112" s="41"/>
      <c r="V1112" s="41"/>
      <c r="W1112" s="36"/>
      <c r="X1112" s="36"/>
      <c r="Y1112" s="36"/>
      <c r="Z1112" s="36"/>
      <c r="AA1112" s="36"/>
    </row>
    <row r="1113" spans="16:27" x14ac:dyDescent="0.2">
      <c r="P1113" s="36"/>
      <c r="Q1113" s="40"/>
      <c r="R1113" s="40"/>
      <c r="S1113" s="40"/>
      <c r="T1113" s="41"/>
      <c r="U1113" s="41"/>
      <c r="V1113" s="41"/>
      <c r="W1113" s="36"/>
      <c r="X1113" s="36"/>
      <c r="Y1113" s="36"/>
      <c r="Z1113" s="36"/>
      <c r="AA1113" s="36"/>
    </row>
    <row r="1114" spans="16:27" x14ac:dyDescent="0.2">
      <c r="P1114" s="36"/>
      <c r="Q1114" s="40"/>
      <c r="R1114" s="40"/>
      <c r="S1114" s="40"/>
      <c r="T1114" s="41"/>
      <c r="U1114" s="41"/>
      <c r="V1114" s="41"/>
      <c r="W1114" s="36"/>
      <c r="X1114" s="36"/>
      <c r="Y1114" s="36"/>
      <c r="Z1114" s="36"/>
      <c r="AA1114" s="36"/>
    </row>
    <row r="1115" spans="16:27" x14ac:dyDescent="0.2">
      <c r="P1115" s="36"/>
      <c r="Q1115" s="40"/>
      <c r="R1115" s="40"/>
      <c r="S1115" s="40"/>
      <c r="T1115" s="41"/>
      <c r="U1115" s="41"/>
      <c r="V1115" s="41"/>
      <c r="W1115" s="36"/>
      <c r="X1115" s="36"/>
      <c r="Y1115" s="36"/>
      <c r="Z1115" s="36"/>
      <c r="AA1115" s="36"/>
    </row>
    <row r="1116" spans="16:27" x14ac:dyDescent="0.2">
      <c r="P1116" s="36"/>
      <c r="Q1116" s="40"/>
      <c r="R1116" s="40"/>
      <c r="S1116" s="40"/>
      <c r="T1116" s="41"/>
      <c r="U1116" s="41"/>
      <c r="V1116" s="41"/>
      <c r="W1116" s="36"/>
      <c r="X1116" s="36"/>
      <c r="Y1116" s="36"/>
      <c r="Z1116" s="36"/>
      <c r="AA1116" s="36"/>
    </row>
    <row r="1117" spans="16:27" x14ac:dyDescent="0.2">
      <c r="P1117" s="36"/>
      <c r="Q1117" s="40"/>
      <c r="R1117" s="40"/>
      <c r="S1117" s="40"/>
      <c r="T1117" s="41"/>
      <c r="U1117" s="41"/>
      <c r="V1117" s="41"/>
      <c r="W1117" s="36"/>
      <c r="X1117" s="36"/>
      <c r="Y1117" s="36"/>
      <c r="Z1117" s="36"/>
      <c r="AA1117" s="36"/>
    </row>
    <row r="1118" spans="16:27" x14ac:dyDescent="0.2">
      <c r="P1118" s="36"/>
      <c r="Q1118" s="40"/>
      <c r="R1118" s="40"/>
      <c r="S1118" s="40"/>
      <c r="T1118" s="41"/>
      <c r="U1118" s="41"/>
      <c r="V1118" s="41"/>
      <c r="W1118" s="36"/>
      <c r="X1118" s="36"/>
      <c r="Y1118" s="36"/>
      <c r="Z1118" s="36"/>
      <c r="AA1118" s="36"/>
    </row>
    <row r="1119" spans="16:27" x14ac:dyDescent="0.2">
      <c r="P1119" s="36"/>
      <c r="Q1119" s="40"/>
      <c r="R1119" s="40"/>
      <c r="S1119" s="40"/>
      <c r="T1119" s="41"/>
      <c r="U1119" s="41"/>
      <c r="V1119" s="41"/>
      <c r="W1119" s="36"/>
      <c r="X1119" s="36"/>
      <c r="Y1119" s="36"/>
      <c r="Z1119" s="36"/>
      <c r="AA1119" s="36"/>
    </row>
    <row r="1120" spans="16:27" x14ac:dyDescent="0.2">
      <c r="P1120" s="36"/>
      <c r="Q1120" s="40"/>
      <c r="R1120" s="40"/>
      <c r="S1120" s="40"/>
      <c r="T1120" s="41"/>
      <c r="U1120" s="41"/>
      <c r="V1120" s="41"/>
      <c r="W1120" s="36"/>
      <c r="X1120" s="36"/>
      <c r="Y1120" s="36"/>
      <c r="Z1120" s="36"/>
      <c r="AA1120" s="36"/>
    </row>
    <row r="1121" spans="16:27" x14ac:dyDescent="0.2">
      <c r="P1121" s="36"/>
      <c r="Q1121" s="40"/>
      <c r="R1121" s="40"/>
      <c r="S1121" s="40"/>
      <c r="T1121" s="41"/>
      <c r="U1121" s="41"/>
      <c r="V1121" s="41"/>
      <c r="W1121" s="36"/>
      <c r="X1121" s="36"/>
      <c r="Y1121" s="36"/>
      <c r="Z1121" s="36"/>
      <c r="AA1121" s="36"/>
    </row>
    <row r="1122" spans="16:27" x14ac:dyDescent="0.2">
      <c r="P1122" s="36"/>
      <c r="Q1122" s="40"/>
      <c r="R1122" s="40"/>
      <c r="S1122" s="40"/>
      <c r="T1122" s="41"/>
      <c r="U1122" s="41"/>
      <c r="V1122" s="41"/>
      <c r="W1122" s="36"/>
      <c r="X1122" s="36"/>
      <c r="Y1122" s="36"/>
      <c r="Z1122" s="36"/>
      <c r="AA1122" s="36"/>
    </row>
    <row r="1123" spans="16:27" x14ac:dyDescent="0.2">
      <c r="P1123" s="36"/>
      <c r="Q1123" s="40"/>
      <c r="R1123" s="40"/>
      <c r="S1123" s="40"/>
      <c r="T1123" s="41"/>
      <c r="U1123" s="41"/>
      <c r="V1123" s="41"/>
      <c r="W1123" s="36"/>
      <c r="X1123" s="36"/>
      <c r="Y1123" s="36"/>
      <c r="Z1123" s="36"/>
      <c r="AA1123" s="36"/>
    </row>
    <row r="1124" spans="16:27" x14ac:dyDescent="0.2">
      <c r="P1124" s="36"/>
      <c r="Q1124" s="40"/>
      <c r="R1124" s="40"/>
      <c r="S1124" s="40"/>
      <c r="T1124" s="41"/>
      <c r="U1124" s="41"/>
      <c r="V1124" s="41"/>
      <c r="W1124" s="36"/>
      <c r="X1124" s="36"/>
      <c r="Y1124" s="36"/>
      <c r="Z1124" s="36"/>
      <c r="AA1124" s="36"/>
    </row>
    <row r="1125" spans="16:27" x14ac:dyDescent="0.2">
      <c r="P1125" s="36"/>
      <c r="Q1125" s="40"/>
      <c r="R1125" s="40"/>
      <c r="S1125" s="40"/>
      <c r="T1125" s="41"/>
      <c r="U1125" s="41"/>
      <c r="V1125" s="41"/>
      <c r="W1125" s="36"/>
      <c r="X1125" s="36"/>
      <c r="Y1125" s="36"/>
      <c r="Z1125" s="36"/>
      <c r="AA1125" s="36"/>
    </row>
    <row r="1126" spans="16:27" x14ac:dyDescent="0.2">
      <c r="P1126" s="36"/>
      <c r="Q1126" s="40"/>
      <c r="R1126" s="40"/>
      <c r="S1126" s="40"/>
      <c r="T1126" s="41"/>
      <c r="U1126" s="41"/>
      <c r="V1126" s="41"/>
      <c r="W1126" s="36"/>
      <c r="X1126" s="36"/>
      <c r="Y1126" s="36"/>
      <c r="Z1126" s="36"/>
      <c r="AA1126" s="36"/>
    </row>
    <row r="1127" spans="16:27" x14ac:dyDescent="0.2">
      <c r="P1127" s="36"/>
      <c r="Q1127" s="40"/>
      <c r="R1127" s="40"/>
      <c r="S1127" s="40"/>
      <c r="T1127" s="41"/>
      <c r="U1127" s="41"/>
      <c r="V1127" s="41"/>
      <c r="W1127" s="36"/>
      <c r="X1127" s="36"/>
      <c r="Y1127" s="36"/>
      <c r="Z1127" s="36"/>
      <c r="AA1127" s="36"/>
    </row>
    <row r="1128" spans="16:27" x14ac:dyDescent="0.2">
      <c r="P1128" s="36"/>
      <c r="Q1128" s="40"/>
      <c r="R1128" s="40"/>
      <c r="S1128" s="40"/>
      <c r="T1128" s="41"/>
      <c r="U1128" s="41"/>
      <c r="V1128" s="41"/>
      <c r="W1128" s="36"/>
      <c r="X1128" s="36"/>
      <c r="Y1128" s="36"/>
      <c r="Z1128" s="36"/>
      <c r="AA1128" s="36"/>
    </row>
    <row r="1129" spans="16:27" x14ac:dyDescent="0.2">
      <c r="P1129" s="36"/>
      <c r="Q1129" s="40"/>
      <c r="R1129" s="40"/>
      <c r="S1129" s="40"/>
      <c r="T1129" s="41"/>
      <c r="U1129" s="41"/>
      <c r="V1129" s="41"/>
      <c r="W1129" s="36"/>
      <c r="X1129" s="36"/>
      <c r="Y1129" s="36"/>
      <c r="Z1129" s="36"/>
      <c r="AA1129" s="36"/>
    </row>
    <row r="1130" spans="16:27" x14ac:dyDescent="0.2">
      <c r="P1130" s="36"/>
      <c r="Q1130" s="40"/>
      <c r="R1130" s="40"/>
      <c r="S1130" s="40"/>
      <c r="T1130" s="41"/>
      <c r="U1130" s="41"/>
      <c r="V1130" s="41"/>
      <c r="W1130" s="36"/>
      <c r="X1130" s="36"/>
      <c r="Y1130" s="36"/>
      <c r="Z1130" s="36"/>
      <c r="AA1130" s="36"/>
    </row>
    <row r="1131" spans="16:27" x14ac:dyDescent="0.2">
      <c r="P1131" s="36"/>
      <c r="Q1131" s="40"/>
      <c r="R1131" s="40"/>
      <c r="S1131" s="40"/>
      <c r="T1131" s="41"/>
      <c r="U1131" s="41"/>
      <c r="V1131" s="41"/>
      <c r="W1131" s="36"/>
      <c r="X1131" s="36"/>
      <c r="Y1131" s="36"/>
      <c r="Z1131" s="36"/>
      <c r="AA1131" s="36"/>
    </row>
    <row r="1132" spans="16:27" x14ac:dyDescent="0.2">
      <c r="P1132" s="36"/>
      <c r="Q1132" s="40"/>
      <c r="R1132" s="40"/>
      <c r="S1132" s="40"/>
      <c r="T1132" s="41"/>
      <c r="U1132" s="41"/>
      <c r="V1132" s="41"/>
      <c r="W1132" s="36"/>
      <c r="X1132" s="36"/>
      <c r="Y1132" s="36"/>
      <c r="Z1132" s="36"/>
      <c r="AA1132" s="36"/>
    </row>
    <row r="1133" spans="16:27" x14ac:dyDescent="0.2">
      <c r="P1133" s="36"/>
      <c r="Q1133" s="40"/>
      <c r="R1133" s="40"/>
      <c r="S1133" s="40"/>
      <c r="T1133" s="41"/>
      <c r="U1133" s="41"/>
      <c r="V1133" s="41"/>
      <c r="W1133" s="36"/>
      <c r="X1133" s="36"/>
      <c r="Y1133" s="36"/>
      <c r="Z1133" s="36"/>
      <c r="AA1133" s="36"/>
    </row>
    <row r="1134" spans="16:27" x14ac:dyDescent="0.2">
      <c r="P1134" s="36"/>
      <c r="Q1134" s="40"/>
      <c r="R1134" s="40"/>
      <c r="S1134" s="40"/>
      <c r="T1134" s="41"/>
      <c r="U1134" s="41"/>
      <c r="V1134" s="41"/>
      <c r="W1134" s="36"/>
      <c r="X1134" s="36"/>
      <c r="Y1134" s="36"/>
      <c r="Z1134" s="36"/>
      <c r="AA1134" s="36"/>
    </row>
    <row r="1135" spans="16:27" x14ac:dyDescent="0.2">
      <c r="P1135" s="36"/>
      <c r="Q1135" s="40"/>
      <c r="R1135" s="40"/>
      <c r="S1135" s="40"/>
      <c r="T1135" s="41"/>
      <c r="U1135" s="41"/>
      <c r="V1135" s="41"/>
      <c r="W1135" s="36"/>
      <c r="X1135" s="36"/>
      <c r="Y1135" s="36"/>
      <c r="Z1135" s="36"/>
      <c r="AA1135" s="36"/>
    </row>
    <row r="1136" spans="16:27" x14ac:dyDescent="0.2">
      <c r="P1136" s="36"/>
      <c r="Q1136" s="40"/>
      <c r="R1136" s="40"/>
      <c r="S1136" s="40"/>
      <c r="T1136" s="41"/>
      <c r="U1136" s="41"/>
      <c r="V1136" s="41"/>
      <c r="W1136" s="36"/>
      <c r="X1136" s="36"/>
      <c r="Y1136" s="36"/>
      <c r="Z1136" s="36"/>
      <c r="AA1136" s="36"/>
    </row>
    <row r="1137" spans="16:27" x14ac:dyDescent="0.2">
      <c r="P1137" s="36"/>
      <c r="Q1137" s="40"/>
      <c r="R1137" s="40"/>
      <c r="S1137" s="40"/>
      <c r="T1137" s="41"/>
      <c r="U1137" s="41"/>
      <c r="V1137" s="41"/>
      <c r="W1137" s="36"/>
      <c r="X1137" s="36"/>
      <c r="Y1137" s="36"/>
      <c r="Z1137" s="36"/>
      <c r="AA1137" s="36"/>
    </row>
    <row r="1138" spans="16:27" x14ac:dyDescent="0.2">
      <c r="P1138" s="36"/>
      <c r="Q1138" s="40"/>
      <c r="R1138" s="40"/>
      <c r="S1138" s="40"/>
      <c r="T1138" s="41"/>
      <c r="U1138" s="41"/>
      <c r="V1138" s="41"/>
      <c r="W1138" s="36"/>
      <c r="X1138" s="36"/>
      <c r="Y1138" s="36"/>
      <c r="Z1138" s="36"/>
      <c r="AA1138" s="36"/>
    </row>
    <row r="1139" spans="16:27" x14ac:dyDescent="0.2">
      <c r="P1139" s="36"/>
      <c r="Q1139" s="40"/>
      <c r="R1139" s="40"/>
      <c r="S1139" s="40"/>
      <c r="T1139" s="41"/>
      <c r="U1139" s="41"/>
      <c r="V1139" s="41"/>
      <c r="W1139" s="36"/>
      <c r="X1139" s="36"/>
      <c r="Y1139" s="36"/>
      <c r="Z1139" s="36"/>
      <c r="AA1139" s="36"/>
    </row>
    <row r="1140" spans="16:27" x14ac:dyDescent="0.2">
      <c r="P1140" s="36"/>
      <c r="Q1140" s="40"/>
      <c r="R1140" s="40"/>
      <c r="S1140" s="40"/>
      <c r="T1140" s="41"/>
      <c r="U1140" s="41"/>
      <c r="V1140" s="41"/>
      <c r="W1140" s="36"/>
      <c r="X1140" s="36"/>
      <c r="Y1140" s="36"/>
      <c r="Z1140" s="36"/>
      <c r="AA1140" s="36"/>
    </row>
    <row r="1141" spans="16:27" x14ac:dyDescent="0.2">
      <c r="P1141" s="36"/>
      <c r="Q1141" s="40"/>
      <c r="R1141" s="40"/>
      <c r="S1141" s="40"/>
      <c r="T1141" s="41"/>
      <c r="U1141" s="41"/>
      <c r="V1141" s="41"/>
      <c r="W1141" s="36"/>
      <c r="X1141" s="36"/>
      <c r="Y1141" s="36"/>
      <c r="Z1141" s="36"/>
      <c r="AA1141" s="36"/>
    </row>
    <row r="1142" spans="16:27" x14ac:dyDescent="0.2">
      <c r="P1142" s="36"/>
      <c r="Q1142" s="40"/>
      <c r="R1142" s="40"/>
      <c r="S1142" s="40"/>
      <c r="T1142" s="41"/>
      <c r="U1142" s="41"/>
      <c r="V1142" s="41"/>
      <c r="W1142" s="36"/>
      <c r="X1142" s="36"/>
      <c r="Y1142" s="36"/>
      <c r="Z1142" s="36"/>
      <c r="AA1142" s="36"/>
    </row>
    <row r="1143" spans="16:27" x14ac:dyDescent="0.2">
      <c r="P1143" s="36"/>
      <c r="Q1143" s="40"/>
      <c r="R1143" s="40"/>
      <c r="S1143" s="40"/>
      <c r="T1143" s="41"/>
      <c r="U1143" s="41"/>
      <c r="V1143" s="41"/>
      <c r="W1143" s="36"/>
      <c r="X1143" s="36"/>
      <c r="Y1143" s="36"/>
      <c r="Z1143" s="36"/>
      <c r="AA1143" s="36"/>
    </row>
    <row r="1144" spans="16:27" x14ac:dyDescent="0.2">
      <c r="P1144" s="36"/>
      <c r="Q1144" s="40"/>
      <c r="R1144" s="40"/>
      <c r="S1144" s="40"/>
      <c r="T1144" s="41"/>
      <c r="U1144" s="41"/>
      <c r="V1144" s="41"/>
      <c r="W1144" s="36"/>
      <c r="X1144" s="36"/>
      <c r="Y1144" s="36"/>
      <c r="Z1144" s="36"/>
      <c r="AA1144" s="36"/>
    </row>
    <row r="1145" spans="16:27" x14ac:dyDescent="0.2">
      <c r="P1145" s="36"/>
      <c r="Q1145" s="40"/>
      <c r="R1145" s="40"/>
      <c r="S1145" s="40"/>
      <c r="T1145" s="41"/>
      <c r="U1145" s="41"/>
      <c r="V1145" s="41"/>
      <c r="W1145" s="36"/>
      <c r="X1145" s="36"/>
      <c r="Y1145" s="36"/>
      <c r="Z1145" s="36"/>
      <c r="AA1145" s="36"/>
    </row>
    <row r="1146" spans="16:27" x14ac:dyDescent="0.2">
      <c r="P1146" s="36"/>
      <c r="Q1146" s="40"/>
      <c r="R1146" s="40"/>
      <c r="S1146" s="40"/>
      <c r="T1146" s="41"/>
      <c r="U1146" s="41"/>
      <c r="V1146" s="41"/>
      <c r="W1146" s="36"/>
      <c r="X1146" s="36"/>
      <c r="Y1146" s="36"/>
      <c r="Z1146" s="36"/>
      <c r="AA1146" s="36"/>
    </row>
    <row r="1147" spans="16:27" x14ac:dyDescent="0.2">
      <c r="P1147" s="36"/>
      <c r="Q1147" s="40"/>
      <c r="R1147" s="40"/>
      <c r="S1147" s="40"/>
      <c r="T1147" s="41"/>
      <c r="U1147" s="41"/>
      <c r="V1147" s="41"/>
      <c r="W1147" s="36"/>
      <c r="X1147" s="36"/>
      <c r="Y1147" s="36"/>
      <c r="Z1147" s="36"/>
      <c r="AA1147" s="36"/>
    </row>
    <row r="1148" spans="16:27" x14ac:dyDescent="0.2">
      <c r="P1148" s="36"/>
      <c r="Q1148" s="40"/>
      <c r="R1148" s="40"/>
      <c r="S1148" s="40"/>
      <c r="T1148" s="41"/>
      <c r="U1148" s="41"/>
      <c r="V1148" s="41"/>
      <c r="W1148" s="36"/>
      <c r="X1148" s="36"/>
      <c r="Y1148" s="36"/>
      <c r="Z1148" s="36"/>
      <c r="AA1148" s="36"/>
    </row>
    <row r="1149" spans="16:27" x14ac:dyDescent="0.2">
      <c r="P1149" s="36"/>
      <c r="Q1149" s="40"/>
      <c r="R1149" s="40"/>
      <c r="S1149" s="40"/>
      <c r="T1149" s="41"/>
      <c r="U1149" s="41"/>
      <c r="V1149" s="41"/>
      <c r="W1149" s="36"/>
      <c r="X1149" s="36"/>
      <c r="Y1149" s="36"/>
      <c r="Z1149" s="36"/>
      <c r="AA1149" s="36"/>
    </row>
    <row r="1150" spans="16:27" x14ac:dyDescent="0.2">
      <c r="P1150" s="36"/>
      <c r="Q1150" s="40"/>
      <c r="R1150" s="40"/>
      <c r="S1150" s="40"/>
      <c r="T1150" s="41"/>
      <c r="U1150" s="41"/>
      <c r="V1150" s="41"/>
      <c r="W1150" s="36"/>
      <c r="X1150" s="36"/>
      <c r="Y1150" s="36"/>
      <c r="Z1150" s="36"/>
      <c r="AA1150" s="36"/>
    </row>
    <row r="1151" spans="16:27" x14ac:dyDescent="0.2">
      <c r="P1151" s="36"/>
      <c r="Q1151" s="40"/>
      <c r="R1151" s="40"/>
      <c r="S1151" s="40"/>
      <c r="T1151" s="41"/>
      <c r="U1151" s="41"/>
      <c r="V1151" s="41"/>
      <c r="W1151" s="36"/>
      <c r="X1151" s="36"/>
      <c r="Y1151" s="36"/>
      <c r="Z1151" s="36"/>
      <c r="AA1151" s="36"/>
    </row>
    <row r="1152" spans="16:27" x14ac:dyDescent="0.2">
      <c r="P1152" s="36"/>
      <c r="Q1152" s="40"/>
      <c r="R1152" s="40"/>
      <c r="S1152" s="40"/>
      <c r="T1152" s="41"/>
      <c r="U1152" s="41"/>
      <c r="V1152" s="41"/>
      <c r="W1152" s="36"/>
      <c r="X1152" s="36"/>
      <c r="Y1152" s="36"/>
      <c r="Z1152" s="36"/>
      <c r="AA1152" s="36"/>
    </row>
    <row r="1153" spans="16:27" x14ac:dyDescent="0.2">
      <c r="P1153" s="36"/>
      <c r="Q1153" s="40"/>
      <c r="R1153" s="40"/>
      <c r="S1153" s="40"/>
      <c r="T1153" s="41"/>
      <c r="U1153" s="41"/>
      <c r="V1153" s="41"/>
      <c r="W1153" s="36"/>
      <c r="X1153" s="36"/>
      <c r="Y1153" s="36"/>
      <c r="Z1153" s="36"/>
      <c r="AA1153" s="36"/>
    </row>
    <row r="1154" spans="16:27" x14ac:dyDescent="0.2">
      <c r="P1154" s="36"/>
      <c r="Q1154" s="40"/>
      <c r="R1154" s="40"/>
      <c r="S1154" s="40"/>
      <c r="T1154" s="41"/>
      <c r="U1154" s="41"/>
      <c r="V1154" s="41"/>
      <c r="W1154" s="36"/>
      <c r="X1154" s="36"/>
      <c r="Y1154" s="36"/>
      <c r="Z1154" s="36"/>
      <c r="AA1154" s="36"/>
    </row>
    <row r="1155" spans="16:27" x14ac:dyDescent="0.2">
      <c r="P1155" s="36"/>
      <c r="Q1155" s="40"/>
      <c r="R1155" s="40"/>
      <c r="S1155" s="40"/>
      <c r="T1155" s="41"/>
      <c r="U1155" s="41"/>
      <c r="V1155" s="41"/>
      <c r="W1155" s="36"/>
      <c r="X1155" s="36"/>
      <c r="Y1155" s="36"/>
      <c r="Z1155" s="36"/>
      <c r="AA1155" s="36"/>
    </row>
    <row r="1156" spans="16:27" x14ac:dyDescent="0.2">
      <c r="P1156" s="36"/>
      <c r="Q1156" s="40"/>
      <c r="R1156" s="40"/>
      <c r="S1156" s="40"/>
      <c r="T1156" s="41"/>
      <c r="U1156" s="41"/>
      <c r="V1156" s="41"/>
      <c r="W1156" s="36"/>
      <c r="X1156" s="36"/>
      <c r="Y1156" s="36"/>
      <c r="Z1156" s="36"/>
      <c r="AA1156" s="36"/>
    </row>
    <row r="1157" spans="16:27" x14ac:dyDescent="0.2">
      <c r="P1157" s="36"/>
      <c r="Q1157" s="40"/>
      <c r="R1157" s="40"/>
      <c r="S1157" s="40"/>
      <c r="T1157" s="41"/>
      <c r="U1157" s="41"/>
      <c r="V1157" s="41"/>
      <c r="W1157" s="36"/>
      <c r="X1157" s="36"/>
      <c r="Y1157" s="36"/>
      <c r="Z1157" s="36"/>
      <c r="AA1157" s="36"/>
    </row>
    <row r="1158" spans="16:27" x14ac:dyDescent="0.2">
      <c r="P1158" s="36"/>
      <c r="Q1158" s="40"/>
      <c r="R1158" s="40"/>
      <c r="S1158" s="40"/>
      <c r="T1158" s="41"/>
      <c r="U1158" s="41"/>
      <c r="V1158" s="41"/>
      <c r="W1158" s="36"/>
      <c r="X1158" s="36"/>
      <c r="Y1158" s="36"/>
      <c r="Z1158" s="36"/>
      <c r="AA1158" s="36"/>
    </row>
    <row r="1159" spans="16:27" x14ac:dyDescent="0.2">
      <c r="P1159" s="36"/>
      <c r="Q1159" s="40"/>
      <c r="R1159" s="40"/>
      <c r="S1159" s="40"/>
      <c r="T1159" s="41"/>
      <c r="U1159" s="41"/>
      <c r="V1159" s="41"/>
      <c r="W1159" s="36"/>
      <c r="X1159" s="36"/>
      <c r="Y1159" s="36"/>
      <c r="Z1159" s="36"/>
      <c r="AA1159" s="36"/>
    </row>
    <row r="1160" spans="16:27" x14ac:dyDescent="0.2">
      <c r="P1160" s="36"/>
      <c r="Q1160" s="40"/>
      <c r="R1160" s="40"/>
      <c r="S1160" s="40"/>
      <c r="T1160" s="41"/>
      <c r="U1160" s="41"/>
      <c r="V1160" s="41"/>
      <c r="W1160" s="36"/>
      <c r="X1160" s="36"/>
      <c r="Y1160" s="36"/>
      <c r="Z1160" s="36"/>
      <c r="AA1160" s="36"/>
    </row>
    <row r="1161" spans="16:27" x14ac:dyDescent="0.2">
      <c r="P1161" s="36"/>
      <c r="Q1161" s="40"/>
      <c r="R1161" s="40"/>
      <c r="S1161" s="40"/>
      <c r="T1161" s="41"/>
      <c r="U1161" s="41"/>
      <c r="V1161" s="41"/>
      <c r="W1161" s="36"/>
      <c r="X1161" s="36"/>
      <c r="Y1161" s="36"/>
      <c r="Z1161" s="36"/>
      <c r="AA1161" s="36"/>
    </row>
    <row r="1162" spans="16:27" x14ac:dyDescent="0.2">
      <c r="P1162" s="36"/>
      <c r="Q1162" s="40"/>
      <c r="R1162" s="40"/>
      <c r="S1162" s="40"/>
      <c r="T1162" s="41"/>
      <c r="U1162" s="41"/>
      <c r="V1162" s="41"/>
      <c r="W1162" s="36"/>
      <c r="X1162" s="36"/>
      <c r="Y1162" s="36"/>
      <c r="Z1162" s="36"/>
      <c r="AA1162" s="36"/>
    </row>
    <row r="1163" spans="16:27" x14ac:dyDescent="0.2">
      <c r="P1163" s="36"/>
      <c r="Q1163" s="40"/>
      <c r="R1163" s="40"/>
      <c r="S1163" s="40"/>
      <c r="T1163" s="41"/>
      <c r="U1163" s="41"/>
      <c r="V1163" s="41"/>
      <c r="W1163" s="36"/>
      <c r="X1163" s="36"/>
      <c r="Y1163" s="36"/>
      <c r="Z1163" s="36"/>
      <c r="AA1163" s="36"/>
    </row>
    <row r="1164" spans="16:27" x14ac:dyDescent="0.2">
      <c r="P1164" s="36"/>
      <c r="Q1164" s="40"/>
      <c r="R1164" s="40"/>
      <c r="S1164" s="40"/>
      <c r="T1164" s="41"/>
      <c r="U1164" s="41"/>
      <c r="V1164" s="41"/>
      <c r="W1164" s="36"/>
      <c r="X1164" s="36"/>
      <c r="Y1164" s="36"/>
      <c r="Z1164" s="36"/>
      <c r="AA1164" s="36"/>
    </row>
    <row r="1165" spans="16:27" x14ac:dyDescent="0.2">
      <c r="P1165" s="36"/>
      <c r="Q1165" s="40"/>
      <c r="R1165" s="40"/>
      <c r="S1165" s="40"/>
      <c r="T1165" s="41"/>
      <c r="U1165" s="41"/>
      <c r="V1165" s="41"/>
      <c r="W1165" s="36"/>
      <c r="X1165" s="36"/>
      <c r="Y1165" s="36"/>
      <c r="Z1165" s="36"/>
      <c r="AA1165" s="36"/>
    </row>
    <row r="1166" spans="16:27" x14ac:dyDescent="0.2">
      <c r="P1166" s="36"/>
      <c r="Q1166" s="40"/>
      <c r="R1166" s="40"/>
      <c r="S1166" s="40"/>
      <c r="T1166" s="41"/>
      <c r="U1166" s="41"/>
      <c r="V1166" s="41"/>
      <c r="W1166" s="36"/>
      <c r="X1166" s="36"/>
      <c r="Y1166" s="36"/>
      <c r="Z1166" s="36"/>
      <c r="AA1166" s="36"/>
    </row>
    <row r="1167" spans="16:27" x14ac:dyDescent="0.2">
      <c r="P1167" s="36"/>
      <c r="Q1167" s="40"/>
      <c r="R1167" s="40"/>
      <c r="S1167" s="40"/>
      <c r="T1167" s="41"/>
      <c r="U1167" s="41"/>
      <c r="V1167" s="41"/>
      <c r="W1167" s="36"/>
      <c r="X1167" s="36"/>
      <c r="Y1167" s="36"/>
      <c r="Z1167" s="36"/>
      <c r="AA1167" s="36"/>
    </row>
    <row r="1168" spans="16:27" x14ac:dyDescent="0.2">
      <c r="P1168" s="36"/>
      <c r="Q1168" s="40"/>
      <c r="R1168" s="40"/>
      <c r="S1168" s="40"/>
      <c r="T1168" s="41"/>
      <c r="U1168" s="41"/>
      <c r="V1168" s="41"/>
      <c r="W1168" s="36"/>
      <c r="X1168" s="36"/>
      <c r="Y1168" s="36"/>
      <c r="Z1168" s="36"/>
      <c r="AA1168" s="36"/>
    </row>
    <row r="1169" spans="16:27" x14ac:dyDescent="0.2">
      <c r="P1169" s="36"/>
      <c r="Q1169" s="40"/>
      <c r="R1169" s="40"/>
      <c r="S1169" s="40"/>
      <c r="T1169" s="41"/>
      <c r="U1169" s="41"/>
      <c r="V1169" s="41"/>
      <c r="W1169" s="36"/>
      <c r="X1169" s="36"/>
      <c r="Y1169" s="36"/>
      <c r="Z1169" s="36"/>
      <c r="AA1169" s="36"/>
    </row>
    <row r="1170" spans="16:27" x14ac:dyDescent="0.2">
      <c r="P1170" s="36"/>
      <c r="Q1170" s="40"/>
      <c r="R1170" s="40"/>
      <c r="S1170" s="40"/>
      <c r="T1170" s="41"/>
      <c r="U1170" s="41"/>
      <c r="V1170" s="41"/>
      <c r="W1170" s="36"/>
      <c r="X1170" s="36"/>
      <c r="Y1170" s="36"/>
      <c r="Z1170" s="36"/>
      <c r="AA1170" s="36"/>
    </row>
    <row r="1171" spans="16:27" x14ac:dyDescent="0.2">
      <c r="P1171" s="36"/>
      <c r="Q1171" s="40"/>
      <c r="R1171" s="40"/>
      <c r="S1171" s="40"/>
      <c r="T1171" s="41"/>
      <c r="U1171" s="41"/>
      <c r="V1171" s="41"/>
      <c r="W1171" s="36"/>
      <c r="X1171" s="36"/>
      <c r="Y1171" s="36"/>
      <c r="Z1171" s="36"/>
      <c r="AA1171" s="36"/>
    </row>
    <row r="1172" spans="16:27" x14ac:dyDescent="0.2">
      <c r="P1172" s="36"/>
      <c r="Q1172" s="40"/>
      <c r="R1172" s="40"/>
      <c r="S1172" s="40"/>
      <c r="T1172" s="41"/>
      <c r="U1172" s="41"/>
      <c r="V1172" s="41"/>
      <c r="W1172" s="36"/>
      <c r="X1172" s="36"/>
      <c r="Y1172" s="36"/>
      <c r="Z1172" s="36"/>
      <c r="AA1172" s="36"/>
    </row>
    <row r="1173" spans="16:27" x14ac:dyDescent="0.2">
      <c r="P1173" s="36"/>
      <c r="Q1173" s="40"/>
      <c r="R1173" s="40"/>
      <c r="S1173" s="40"/>
      <c r="T1173" s="41"/>
      <c r="U1173" s="41"/>
      <c r="V1173" s="41"/>
      <c r="W1173" s="36"/>
      <c r="X1173" s="36"/>
      <c r="Y1173" s="36"/>
      <c r="Z1173" s="36"/>
      <c r="AA1173" s="36"/>
    </row>
    <row r="1174" spans="16:27" x14ac:dyDescent="0.2">
      <c r="P1174" s="36"/>
      <c r="Q1174" s="40"/>
      <c r="R1174" s="40"/>
      <c r="S1174" s="40"/>
      <c r="T1174" s="41"/>
      <c r="U1174" s="41"/>
      <c r="V1174" s="41"/>
      <c r="W1174" s="36"/>
      <c r="X1174" s="36"/>
      <c r="Y1174" s="36"/>
      <c r="Z1174" s="36"/>
      <c r="AA1174" s="36"/>
    </row>
    <row r="1175" spans="16:27" x14ac:dyDescent="0.2">
      <c r="P1175" s="36"/>
      <c r="Q1175" s="40"/>
      <c r="R1175" s="40"/>
      <c r="S1175" s="40"/>
      <c r="T1175" s="41"/>
      <c r="U1175" s="41"/>
      <c r="V1175" s="41"/>
      <c r="W1175" s="36"/>
      <c r="X1175" s="36"/>
      <c r="Y1175" s="36"/>
      <c r="Z1175" s="36"/>
      <c r="AA1175" s="36"/>
    </row>
    <row r="1176" spans="16:27" x14ac:dyDescent="0.2">
      <c r="P1176" s="36"/>
      <c r="Q1176" s="40"/>
      <c r="R1176" s="40"/>
      <c r="S1176" s="40"/>
      <c r="T1176" s="41"/>
      <c r="U1176" s="41"/>
      <c r="V1176" s="41"/>
      <c r="W1176" s="36"/>
      <c r="X1176" s="36"/>
      <c r="Y1176" s="36"/>
      <c r="Z1176" s="36"/>
      <c r="AA1176" s="36"/>
    </row>
    <row r="1177" spans="16:27" x14ac:dyDescent="0.2">
      <c r="P1177" s="36"/>
      <c r="Q1177" s="40"/>
      <c r="R1177" s="40"/>
      <c r="S1177" s="40"/>
      <c r="T1177" s="41"/>
      <c r="U1177" s="41"/>
      <c r="V1177" s="41"/>
      <c r="W1177" s="36"/>
      <c r="X1177" s="36"/>
      <c r="Y1177" s="36"/>
      <c r="Z1177" s="36"/>
      <c r="AA1177" s="36"/>
    </row>
    <row r="1178" spans="16:27" x14ac:dyDescent="0.2">
      <c r="P1178" s="36"/>
      <c r="Q1178" s="40"/>
      <c r="R1178" s="40"/>
      <c r="S1178" s="40"/>
      <c r="T1178" s="41"/>
      <c r="U1178" s="41"/>
      <c r="V1178" s="41"/>
      <c r="W1178" s="36"/>
      <c r="X1178" s="36"/>
      <c r="Y1178" s="36"/>
      <c r="Z1178" s="36"/>
      <c r="AA1178" s="36"/>
    </row>
    <row r="1179" spans="16:27" x14ac:dyDescent="0.2">
      <c r="P1179" s="36"/>
      <c r="Q1179" s="40"/>
      <c r="R1179" s="40"/>
      <c r="S1179" s="40"/>
      <c r="T1179" s="41"/>
      <c r="U1179" s="41"/>
      <c r="V1179" s="41"/>
      <c r="W1179" s="36"/>
      <c r="X1179" s="36"/>
      <c r="Y1179" s="36"/>
      <c r="Z1179" s="36"/>
      <c r="AA1179" s="36"/>
    </row>
    <row r="1180" spans="16:27" x14ac:dyDescent="0.2">
      <c r="P1180" s="36"/>
      <c r="Q1180" s="40"/>
      <c r="R1180" s="40"/>
      <c r="S1180" s="40"/>
      <c r="T1180" s="41"/>
      <c r="U1180" s="41"/>
      <c r="V1180" s="41"/>
      <c r="W1180" s="36"/>
      <c r="X1180" s="36"/>
      <c r="Y1180" s="36"/>
      <c r="Z1180" s="36"/>
      <c r="AA1180" s="36"/>
    </row>
    <row r="1181" spans="16:27" x14ac:dyDescent="0.2">
      <c r="P1181" s="36"/>
      <c r="Q1181" s="40"/>
      <c r="R1181" s="40"/>
      <c r="S1181" s="40"/>
      <c r="T1181" s="41"/>
      <c r="U1181" s="41"/>
      <c r="V1181" s="41"/>
      <c r="W1181" s="36"/>
      <c r="X1181" s="36"/>
      <c r="Y1181" s="36"/>
      <c r="Z1181" s="36"/>
      <c r="AA1181" s="36"/>
    </row>
    <row r="1182" spans="16:27" x14ac:dyDescent="0.2">
      <c r="P1182" s="36"/>
      <c r="Q1182" s="40"/>
      <c r="R1182" s="40"/>
      <c r="S1182" s="40"/>
      <c r="T1182" s="41"/>
      <c r="U1182" s="41"/>
      <c r="V1182" s="41"/>
      <c r="W1182" s="36"/>
      <c r="X1182" s="36"/>
      <c r="Y1182" s="36"/>
      <c r="Z1182" s="36"/>
      <c r="AA1182" s="36"/>
    </row>
    <row r="1183" spans="16:27" x14ac:dyDescent="0.2">
      <c r="P1183" s="36"/>
      <c r="Q1183" s="40"/>
      <c r="R1183" s="40"/>
      <c r="S1183" s="40"/>
      <c r="T1183" s="41"/>
      <c r="U1183" s="41"/>
      <c r="V1183" s="41"/>
      <c r="W1183" s="36"/>
      <c r="X1183" s="36"/>
      <c r="Y1183" s="36"/>
      <c r="Z1183" s="36"/>
      <c r="AA1183" s="36"/>
    </row>
    <row r="1184" spans="16:27" x14ac:dyDescent="0.2">
      <c r="P1184" s="36"/>
      <c r="Q1184" s="40"/>
      <c r="R1184" s="40"/>
      <c r="S1184" s="40"/>
      <c r="T1184" s="41"/>
      <c r="U1184" s="41"/>
      <c r="V1184" s="41"/>
      <c r="W1184" s="36"/>
      <c r="X1184" s="36"/>
      <c r="Y1184" s="36"/>
      <c r="Z1184" s="36"/>
      <c r="AA1184" s="36"/>
    </row>
    <row r="1185" spans="16:27" x14ac:dyDescent="0.2">
      <c r="P1185" s="36"/>
      <c r="Q1185" s="40"/>
      <c r="R1185" s="40"/>
      <c r="S1185" s="40"/>
      <c r="T1185" s="41"/>
      <c r="U1185" s="41"/>
      <c r="V1185" s="41"/>
      <c r="W1185" s="36"/>
      <c r="X1185" s="36"/>
      <c r="Y1185" s="36"/>
      <c r="Z1185" s="36"/>
      <c r="AA1185" s="36"/>
    </row>
    <row r="1186" spans="16:27" x14ac:dyDescent="0.2">
      <c r="P1186" s="36"/>
      <c r="Q1186" s="40"/>
      <c r="R1186" s="40"/>
      <c r="S1186" s="40"/>
      <c r="T1186" s="41"/>
      <c r="U1186" s="41"/>
      <c r="V1186" s="41"/>
      <c r="W1186" s="36"/>
      <c r="X1186" s="36"/>
      <c r="Y1186" s="36"/>
      <c r="Z1186" s="36"/>
      <c r="AA1186" s="36"/>
    </row>
    <row r="1187" spans="16:27" x14ac:dyDescent="0.2">
      <c r="P1187" s="36"/>
      <c r="Q1187" s="40"/>
      <c r="R1187" s="40"/>
      <c r="S1187" s="40"/>
      <c r="T1187" s="41"/>
      <c r="U1187" s="41"/>
      <c r="V1187" s="41"/>
      <c r="W1187" s="36"/>
      <c r="X1187" s="36"/>
      <c r="Y1187" s="36"/>
      <c r="Z1187" s="36"/>
      <c r="AA1187" s="36"/>
    </row>
    <row r="1188" spans="16:27" x14ac:dyDescent="0.2">
      <c r="P1188" s="36"/>
      <c r="Q1188" s="40"/>
      <c r="R1188" s="40"/>
      <c r="S1188" s="40"/>
      <c r="T1188" s="41"/>
      <c r="U1188" s="41"/>
      <c r="V1188" s="41"/>
      <c r="W1188" s="36"/>
      <c r="X1188" s="36"/>
      <c r="Y1188" s="36"/>
      <c r="Z1188" s="36"/>
      <c r="AA1188" s="36"/>
    </row>
    <row r="1189" spans="16:27" x14ac:dyDescent="0.2">
      <c r="P1189" s="36"/>
      <c r="Q1189" s="40"/>
      <c r="R1189" s="40"/>
      <c r="S1189" s="40"/>
      <c r="T1189" s="41"/>
      <c r="U1189" s="41"/>
      <c r="V1189" s="41"/>
      <c r="W1189" s="36"/>
      <c r="X1189" s="36"/>
      <c r="Y1189" s="36"/>
      <c r="Z1189" s="36"/>
      <c r="AA1189" s="36"/>
    </row>
    <row r="1190" spans="16:27" x14ac:dyDescent="0.2">
      <c r="P1190" s="36"/>
      <c r="Q1190" s="40"/>
      <c r="R1190" s="40"/>
      <c r="S1190" s="40"/>
      <c r="T1190" s="41"/>
      <c r="U1190" s="41"/>
      <c r="V1190" s="41"/>
      <c r="W1190" s="36"/>
      <c r="X1190" s="36"/>
      <c r="Y1190" s="36"/>
      <c r="Z1190" s="36"/>
      <c r="AA1190" s="36"/>
    </row>
    <row r="1191" spans="16:27" x14ac:dyDescent="0.2">
      <c r="P1191" s="36"/>
      <c r="Q1191" s="40"/>
      <c r="R1191" s="40"/>
      <c r="S1191" s="40"/>
      <c r="T1191" s="41"/>
      <c r="U1191" s="41"/>
      <c r="V1191" s="41"/>
      <c r="W1191" s="36"/>
      <c r="X1191" s="36"/>
      <c r="Y1191" s="36"/>
      <c r="Z1191" s="36"/>
      <c r="AA1191" s="36"/>
    </row>
    <row r="1192" spans="16:27" x14ac:dyDescent="0.2">
      <c r="P1192" s="36"/>
      <c r="Q1192" s="40"/>
      <c r="R1192" s="40"/>
      <c r="S1192" s="40"/>
      <c r="T1192" s="41"/>
      <c r="U1192" s="41"/>
      <c r="V1192" s="41"/>
      <c r="W1192" s="36"/>
      <c r="X1192" s="36"/>
      <c r="Y1192" s="36"/>
      <c r="Z1192" s="36"/>
      <c r="AA1192" s="36"/>
    </row>
    <row r="1193" spans="16:27" x14ac:dyDescent="0.2">
      <c r="P1193" s="36"/>
      <c r="Q1193" s="40"/>
      <c r="R1193" s="40"/>
      <c r="S1193" s="40"/>
      <c r="T1193" s="41"/>
      <c r="U1193" s="41"/>
      <c r="V1193" s="41"/>
      <c r="W1193" s="36"/>
      <c r="X1193" s="36"/>
      <c r="Y1193" s="36"/>
      <c r="Z1193" s="36"/>
      <c r="AA1193" s="36"/>
    </row>
    <row r="1194" spans="16:27" x14ac:dyDescent="0.2">
      <c r="P1194" s="36"/>
      <c r="Q1194" s="40"/>
      <c r="R1194" s="40"/>
      <c r="S1194" s="40"/>
      <c r="T1194" s="41"/>
      <c r="U1194" s="41"/>
      <c r="V1194" s="41"/>
      <c r="W1194" s="36"/>
      <c r="X1194" s="36"/>
      <c r="Y1194" s="36"/>
      <c r="Z1194" s="36"/>
      <c r="AA1194" s="36"/>
    </row>
    <row r="1195" spans="16:27" x14ac:dyDescent="0.2">
      <c r="P1195" s="36"/>
      <c r="Q1195" s="40"/>
      <c r="R1195" s="40"/>
      <c r="S1195" s="40"/>
      <c r="T1195" s="41"/>
      <c r="U1195" s="41"/>
      <c r="V1195" s="41"/>
      <c r="W1195" s="36"/>
      <c r="X1195" s="36"/>
      <c r="Y1195" s="36"/>
      <c r="Z1195" s="36"/>
      <c r="AA1195" s="36"/>
    </row>
    <row r="1196" spans="16:27" x14ac:dyDescent="0.2">
      <c r="P1196" s="36"/>
      <c r="Q1196" s="40"/>
      <c r="R1196" s="40"/>
      <c r="S1196" s="40"/>
      <c r="T1196" s="41"/>
      <c r="U1196" s="41"/>
      <c r="V1196" s="41"/>
      <c r="W1196" s="36"/>
      <c r="X1196" s="36"/>
      <c r="Y1196" s="36"/>
      <c r="Z1196" s="36"/>
      <c r="AA1196" s="36"/>
    </row>
    <row r="1197" spans="16:27" x14ac:dyDescent="0.2">
      <c r="P1197" s="36"/>
      <c r="Q1197" s="40"/>
      <c r="R1197" s="40"/>
      <c r="S1197" s="40"/>
      <c r="T1197" s="41"/>
      <c r="U1197" s="41"/>
      <c r="V1197" s="41"/>
      <c r="W1197" s="36"/>
      <c r="X1197" s="36"/>
      <c r="Y1197" s="36"/>
      <c r="Z1197" s="36"/>
      <c r="AA1197" s="36"/>
    </row>
    <row r="1198" spans="16:27" x14ac:dyDescent="0.2">
      <c r="P1198" s="36"/>
      <c r="Q1198" s="40"/>
      <c r="R1198" s="40"/>
      <c r="S1198" s="40"/>
      <c r="T1198" s="41"/>
      <c r="U1198" s="41"/>
      <c r="V1198" s="41"/>
      <c r="W1198" s="36"/>
      <c r="X1198" s="36"/>
      <c r="Y1198" s="36"/>
      <c r="Z1198" s="36"/>
      <c r="AA1198" s="36"/>
    </row>
    <row r="1199" spans="16:27" x14ac:dyDescent="0.2">
      <c r="P1199" s="36"/>
      <c r="Q1199" s="40"/>
      <c r="R1199" s="40"/>
      <c r="S1199" s="40"/>
      <c r="T1199" s="41"/>
      <c r="U1199" s="41"/>
      <c r="V1199" s="41"/>
      <c r="W1199" s="36"/>
      <c r="X1199" s="36"/>
      <c r="Y1199" s="36"/>
      <c r="Z1199" s="36"/>
      <c r="AA1199" s="36"/>
    </row>
    <row r="1200" spans="16:27" x14ac:dyDescent="0.2">
      <c r="P1200" s="36"/>
      <c r="Q1200" s="40"/>
      <c r="R1200" s="40"/>
      <c r="S1200" s="40"/>
      <c r="T1200" s="41"/>
      <c r="U1200" s="41"/>
      <c r="V1200" s="41"/>
      <c r="W1200" s="36"/>
      <c r="X1200" s="36"/>
      <c r="Y1200" s="36"/>
      <c r="Z1200" s="36"/>
      <c r="AA1200" s="36"/>
    </row>
    <row r="1201" spans="16:27" x14ac:dyDescent="0.2">
      <c r="P1201" s="36"/>
      <c r="Q1201" s="40"/>
      <c r="R1201" s="40"/>
      <c r="S1201" s="40"/>
      <c r="T1201" s="41"/>
      <c r="U1201" s="41"/>
      <c r="V1201" s="41"/>
      <c r="W1201" s="36"/>
      <c r="X1201" s="36"/>
      <c r="Y1201" s="36"/>
      <c r="Z1201" s="36"/>
      <c r="AA1201" s="36"/>
    </row>
    <row r="1202" spans="16:27" x14ac:dyDescent="0.2">
      <c r="P1202" s="36"/>
      <c r="Q1202" s="40"/>
      <c r="R1202" s="40"/>
      <c r="S1202" s="40"/>
      <c r="T1202" s="41"/>
      <c r="U1202" s="41"/>
      <c r="V1202" s="41"/>
      <c r="W1202" s="36"/>
      <c r="X1202" s="36"/>
      <c r="Y1202" s="36"/>
      <c r="Z1202" s="36"/>
      <c r="AA1202" s="36"/>
    </row>
    <row r="1203" spans="16:27" x14ac:dyDescent="0.2">
      <c r="P1203" s="36"/>
      <c r="Q1203" s="40"/>
      <c r="R1203" s="40"/>
      <c r="S1203" s="40"/>
      <c r="T1203" s="41"/>
      <c r="U1203" s="41"/>
      <c r="V1203" s="41"/>
      <c r="W1203" s="36"/>
      <c r="X1203" s="36"/>
      <c r="Y1203" s="36"/>
      <c r="Z1203" s="36"/>
      <c r="AA1203" s="36"/>
    </row>
    <row r="1204" spans="16:27" x14ac:dyDescent="0.2">
      <c r="P1204" s="36"/>
      <c r="Q1204" s="40"/>
      <c r="R1204" s="40"/>
      <c r="S1204" s="40"/>
      <c r="T1204" s="41"/>
      <c r="U1204" s="41"/>
      <c r="V1204" s="41"/>
      <c r="W1204" s="36"/>
      <c r="X1204" s="36"/>
      <c r="Y1204" s="36"/>
      <c r="Z1204" s="36"/>
      <c r="AA1204" s="36"/>
    </row>
    <row r="1205" spans="16:27" x14ac:dyDescent="0.2">
      <c r="P1205" s="36"/>
      <c r="Q1205" s="40"/>
      <c r="R1205" s="40"/>
      <c r="S1205" s="40"/>
      <c r="T1205" s="41"/>
      <c r="U1205" s="41"/>
      <c r="V1205" s="41"/>
      <c r="W1205" s="36"/>
      <c r="X1205" s="36"/>
      <c r="Y1205" s="36"/>
      <c r="Z1205" s="36"/>
      <c r="AA1205" s="36"/>
    </row>
    <row r="1206" spans="16:27" x14ac:dyDescent="0.2">
      <c r="P1206" s="36"/>
      <c r="Q1206" s="40"/>
      <c r="R1206" s="40"/>
      <c r="S1206" s="40"/>
      <c r="T1206" s="41"/>
      <c r="U1206" s="41"/>
      <c r="V1206" s="41"/>
      <c r="W1206" s="36"/>
      <c r="X1206" s="36"/>
      <c r="Y1206" s="36"/>
      <c r="Z1206" s="36"/>
      <c r="AA1206" s="36"/>
    </row>
    <row r="1207" spans="16:27" x14ac:dyDescent="0.2">
      <c r="P1207" s="36"/>
      <c r="Q1207" s="40"/>
      <c r="R1207" s="40"/>
      <c r="S1207" s="40"/>
      <c r="T1207" s="41"/>
      <c r="U1207" s="41"/>
      <c r="V1207" s="41"/>
      <c r="W1207" s="36"/>
      <c r="X1207" s="36"/>
      <c r="Y1207" s="36"/>
      <c r="Z1207" s="36"/>
      <c r="AA1207" s="36"/>
    </row>
    <row r="1208" spans="16:27" x14ac:dyDescent="0.2">
      <c r="P1208" s="36"/>
      <c r="Q1208" s="40"/>
      <c r="R1208" s="40"/>
      <c r="S1208" s="40"/>
      <c r="T1208" s="41"/>
      <c r="U1208" s="41"/>
      <c r="V1208" s="41"/>
      <c r="W1208" s="36"/>
      <c r="X1208" s="36"/>
      <c r="Y1208" s="36"/>
      <c r="Z1208" s="36"/>
      <c r="AA1208" s="36"/>
    </row>
    <row r="1209" spans="16:27" x14ac:dyDescent="0.2">
      <c r="P1209" s="36"/>
      <c r="Q1209" s="40"/>
      <c r="R1209" s="40"/>
      <c r="S1209" s="40"/>
      <c r="T1209" s="41"/>
      <c r="U1209" s="41"/>
      <c r="V1209" s="41"/>
      <c r="W1209" s="36"/>
      <c r="X1209" s="36"/>
      <c r="Y1209" s="36"/>
      <c r="Z1209" s="36"/>
      <c r="AA1209" s="36"/>
    </row>
    <row r="1210" spans="16:27" x14ac:dyDescent="0.2">
      <c r="P1210" s="36"/>
      <c r="Q1210" s="40"/>
      <c r="R1210" s="40"/>
      <c r="S1210" s="40"/>
      <c r="T1210" s="41"/>
      <c r="U1210" s="41"/>
      <c r="V1210" s="41"/>
      <c r="W1210" s="36"/>
      <c r="X1210" s="36"/>
      <c r="Y1210" s="36"/>
      <c r="Z1210" s="36"/>
      <c r="AA1210" s="36"/>
    </row>
    <row r="1211" spans="16:27" x14ac:dyDescent="0.2">
      <c r="P1211" s="36"/>
      <c r="Q1211" s="40"/>
      <c r="R1211" s="40"/>
      <c r="S1211" s="40"/>
      <c r="T1211" s="41"/>
      <c r="U1211" s="41"/>
      <c r="V1211" s="41"/>
      <c r="W1211" s="36"/>
      <c r="X1211" s="36"/>
      <c r="Y1211" s="36"/>
      <c r="Z1211" s="36"/>
      <c r="AA1211" s="36"/>
    </row>
    <row r="1212" spans="16:27" x14ac:dyDescent="0.2">
      <c r="P1212" s="36"/>
      <c r="Q1212" s="40"/>
      <c r="R1212" s="40"/>
      <c r="S1212" s="40"/>
      <c r="T1212" s="41"/>
      <c r="U1212" s="41"/>
      <c r="V1212" s="41"/>
      <c r="W1212" s="36"/>
      <c r="X1212" s="36"/>
      <c r="Y1212" s="36"/>
      <c r="Z1212" s="36"/>
      <c r="AA1212" s="36"/>
    </row>
    <row r="1213" spans="16:27" x14ac:dyDescent="0.2">
      <c r="P1213" s="36"/>
      <c r="Q1213" s="40"/>
      <c r="R1213" s="40"/>
      <c r="S1213" s="40"/>
      <c r="T1213" s="41"/>
      <c r="U1213" s="41"/>
      <c r="V1213" s="41"/>
      <c r="W1213" s="36"/>
      <c r="X1213" s="36"/>
      <c r="Y1213" s="36"/>
      <c r="Z1213" s="36"/>
      <c r="AA1213" s="36"/>
    </row>
    <row r="1214" spans="16:27" x14ac:dyDescent="0.2">
      <c r="P1214" s="36"/>
      <c r="Q1214" s="40"/>
      <c r="R1214" s="40"/>
      <c r="S1214" s="40"/>
      <c r="T1214" s="41"/>
      <c r="U1214" s="41"/>
      <c r="V1214" s="41"/>
      <c r="W1214" s="36"/>
      <c r="X1214" s="36"/>
      <c r="Y1214" s="36"/>
      <c r="Z1214" s="36"/>
      <c r="AA1214" s="36"/>
    </row>
    <row r="1215" spans="16:27" x14ac:dyDescent="0.2">
      <c r="P1215" s="36"/>
      <c r="Q1215" s="40"/>
      <c r="R1215" s="40"/>
      <c r="S1215" s="40"/>
      <c r="T1215" s="41"/>
      <c r="U1215" s="41"/>
      <c r="V1215" s="41"/>
      <c r="W1215" s="36"/>
      <c r="X1215" s="36"/>
      <c r="Y1215" s="36"/>
      <c r="Z1215" s="36"/>
      <c r="AA1215" s="36"/>
    </row>
    <row r="1216" spans="16:27" x14ac:dyDescent="0.2">
      <c r="P1216" s="36"/>
      <c r="Q1216" s="40"/>
      <c r="R1216" s="40"/>
      <c r="S1216" s="40"/>
      <c r="T1216" s="41"/>
      <c r="U1216" s="41"/>
      <c r="V1216" s="41"/>
      <c r="W1216" s="36"/>
      <c r="X1216" s="36"/>
      <c r="Y1216" s="36"/>
      <c r="Z1216" s="36"/>
      <c r="AA1216" s="36"/>
    </row>
    <row r="1217" spans="16:27" x14ac:dyDescent="0.2">
      <c r="P1217" s="36"/>
      <c r="Q1217" s="40"/>
      <c r="R1217" s="40"/>
      <c r="S1217" s="40"/>
      <c r="T1217" s="41"/>
      <c r="U1217" s="41"/>
      <c r="V1217" s="41"/>
      <c r="W1217" s="36"/>
      <c r="X1217" s="36"/>
      <c r="Y1217" s="36"/>
      <c r="Z1217" s="36"/>
      <c r="AA1217" s="36"/>
    </row>
    <row r="1218" spans="16:27" x14ac:dyDescent="0.2">
      <c r="P1218" s="36"/>
      <c r="Q1218" s="40"/>
      <c r="R1218" s="40"/>
      <c r="S1218" s="40"/>
      <c r="T1218" s="41"/>
      <c r="U1218" s="41"/>
      <c r="V1218" s="41"/>
      <c r="W1218" s="36"/>
      <c r="X1218" s="36"/>
      <c r="Y1218" s="36"/>
      <c r="Z1218" s="36"/>
      <c r="AA1218" s="36"/>
    </row>
    <row r="1219" spans="16:27" x14ac:dyDescent="0.2">
      <c r="P1219" s="36"/>
      <c r="Q1219" s="40"/>
      <c r="R1219" s="40"/>
      <c r="S1219" s="40"/>
      <c r="T1219" s="41"/>
      <c r="U1219" s="41"/>
      <c r="V1219" s="41"/>
      <c r="W1219" s="36"/>
      <c r="X1219" s="36"/>
      <c r="Y1219" s="36"/>
      <c r="Z1219" s="36"/>
      <c r="AA1219" s="36"/>
    </row>
    <row r="1220" spans="16:27" x14ac:dyDescent="0.2">
      <c r="P1220" s="36"/>
      <c r="Q1220" s="40"/>
      <c r="R1220" s="40"/>
      <c r="S1220" s="40"/>
      <c r="T1220" s="41"/>
      <c r="U1220" s="41"/>
      <c r="V1220" s="41"/>
      <c r="W1220" s="36"/>
      <c r="X1220" s="36"/>
      <c r="Y1220" s="36"/>
      <c r="Z1220" s="36"/>
      <c r="AA1220" s="36"/>
    </row>
    <row r="1221" spans="16:27" x14ac:dyDescent="0.2">
      <c r="P1221" s="36"/>
      <c r="Q1221" s="40"/>
      <c r="R1221" s="40"/>
      <c r="S1221" s="40"/>
      <c r="T1221" s="41"/>
      <c r="U1221" s="41"/>
      <c r="V1221" s="41"/>
      <c r="W1221" s="36"/>
      <c r="X1221" s="36"/>
      <c r="Y1221" s="36"/>
      <c r="Z1221" s="36"/>
      <c r="AA1221" s="36"/>
    </row>
    <row r="1222" spans="16:27" x14ac:dyDescent="0.2">
      <c r="P1222" s="36"/>
      <c r="Q1222" s="40"/>
      <c r="R1222" s="40"/>
      <c r="S1222" s="40"/>
      <c r="T1222" s="41"/>
      <c r="U1222" s="41"/>
      <c r="V1222" s="41"/>
      <c r="W1222" s="36"/>
      <c r="X1222" s="36"/>
      <c r="Y1222" s="36"/>
      <c r="Z1222" s="36"/>
      <c r="AA1222" s="36"/>
    </row>
    <row r="1223" spans="16:27" x14ac:dyDescent="0.2">
      <c r="P1223" s="36"/>
      <c r="Q1223" s="40"/>
      <c r="R1223" s="40"/>
      <c r="S1223" s="40"/>
      <c r="T1223" s="41"/>
      <c r="U1223" s="41"/>
      <c r="V1223" s="41"/>
      <c r="W1223" s="36"/>
      <c r="X1223" s="36"/>
      <c r="Y1223" s="36"/>
      <c r="Z1223" s="36"/>
      <c r="AA1223" s="36"/>
    </row>
    <row r="1224" spans="16:27" x14ac:dyDescent="0.2">
      <c r="P1224" s="36"/>
      <c r="Q1224" s="40"/>
      <c r="R1224" s="40"/>
      <c r="S1224" s="40"/>
      <c r="T1224" s="41"/>
      <c r="U1224" s="41"/>
      <c r="V1224" s="41"/>
      <c r="W1224" s="36"/>
      <c r="X1224" s="36"/>
      <c r="Y1224" s="36"/>
      <c r="Z1224" s="36"/>
      <c r="AA1224" s="36"/>
    </row>
    <row r="1225" spans="16:27" x14ac:dyDescent="0.2">
      <c r="P1225" s="36"/>
      <c r="Q1225" s="40"/>
      <c r="R1225" s="40"/>
      <c r="S1225" s="40"/>
      <c r="T1225" s="41"/>
      <c r="U1225" s="41"/>
      <c r="V1225" s="41"/>
      <c r="W1225" s="36"/>
      <c r="X1225" s="36"/>
      <c r="Y1225" s="36"/>
      <c r="Z1225" s="36"/>
      <c r="AA1225" s="36"/>
    </row>
    <row r="1226" spans="16:27" x14ac:dyDescent="0.2">
      <c r="P1226" s="36"/>
      <c r="Q1226" s="40"/>
      <c r="R1226" s="40"/>
      <c r="S1226" s="40"/>
      <c r="T1226" s="41"/>
      <c r="U1226" s="41"/>
      <c r="V1226" s="41"/>
      <c r="W1226" s="36"/>
      <c r="X1226" s="36"/>
      <c r="Y1226" s="36"/>
      <c r="Z1226" s="36"/>
      <c r="AA1226" s="36"/>
    </row>
    <row r="1227" spans="16:27" x14ac:dyDescent="0.2">
      <c r="P1227" s="36"/>
      <c r="Q1227" s="40"/>
      <c r="R1227" s="40"/>
      <c r="S1227" s="40"/>
      <c r="T1227" s="41"/>
      <c r="U1227" s="41"/>
      <c r="V1227" s="41"/>
      <c r="W1227" s="36"/>
      <c r="X1227" s="36"/>
      <c r="Y1227" s="36"/>
      <c r="Z1227" s="36"/>
      <c r="AA1227" s="36"/>
    </row>
    <row r="1228" spans="16:27" x14ac:dyDescent="0.2">
      <c r="P1228" s="36"/>
      <c r="Q1228" s="40"/>
      <c r="R1228" s="40"/>
      <c r="S1228" s="40"/>
      <c r="T1228" s="41"/>
      <c r="U1228" s="41"/>
      <c r="V1228" s="41"/>
      <c r="W1228" s="36"/>
      <c r="X1228" s="36"/>
      <c r="Y1228" s="36"/>
      <c r="Z1228" s="36"/>
      <c r="AA1228" s="36"/>
    </row>
    <row r="1229" spans="16:27" x14ac:dyDescent="0.2">
      <c r="P1229" s="36"/>
      <c r="Q1229" s="40"/>
      <c r="R1229" s="40"/>
      <c r="S1229" s="40"/>
      <c r="T1229" s="41"/>
      <c r="U1229" s="41"/>
      <c r="V1229" s="41"/>
      <c r="W1229" s="36"/>
      <c r="X1229" s="36"/>
      <c r="Y1229" s="36"/>
      <c r="Z1229" s="36"/>
      <c r="AA1229" s="36"/>
    </row>
    <row r="1230" spans="16:27" x14ac:dyDescent="0.2">
      <c r="P1230" s="36"/>
      <c r="Q1230" s="40"/>
      <c r="R1230" s="40"/>
      <c r="S1230" s="40"/>
      <c r="T1230" s="41"/>
      <c r="U1230" s="41"/>
      <c r="V1230" s="41"/>
      <c r="W1230" s="36"/>
      <c r="X1230" s="36"/>
      <c r="Y1230" s="36"/>
      <c r="Z1230" s="36"/>
      <c r="AA1230" s="36"/>
    </row>
    <row r="1231" spans="16:27" x14ac:dyDescent="0.2">
      <c r="P1231" s="36"/>
      <c r="Q1231" s="40"/>
      <c r="R1231" s="40"/>
      <c r="S1231" s="40"/>
      <c r="T1231" s="41"/>
      <c r="U1231" s="41"/>
      <c r="V1231" s="41"/>
      <c r="W1231" s="36"/>
      <c r="X1231" s="36"/>
      <c r="Y1231" s="36"/>
      <c r="Z1231" s="36"/>
      <c r="AA1231" s="36"/>
    </row>
    <row r="1232" spans="16:27" x14ac:dyDescent="0.2">
      <c r="P1232" s="36"/>
      <c r="Q1232" s="40"/>
      <c r="R1232" s="40"/>
      <c r="S1232" s="40"/>
      <c r="T1232" s="41"/>
      <c r="U1232" s="41"/>
      <c r="V1232" s="41"/>
      <c r="W1232" s="36"/>
      <c r="X1232" s="36"/>
      <c r="Y1232" s="36"/>
      <c r="Z1232" s="36"/>
      <c r="AA1232" s="36"/>
    </row>
    <row r="1233" spans="16:27" x14ac:dyDescent="0.2">
      <c r="P1233" s="36"/>
      <c r="Q1233" s="40"/>
      <c r="R1233" s="40"/>
      <c r="S1233" s="40"/>
      <c r="T1233" s="41"/>
      <c r="U1233" s="41"/>
      <c r="V1233" s="41"/>
      <c r="W1233" s="36"/>
      <c r="X1233" s="36"/>
      <c r="Y1233" s="36"/>
      <c r="Z1233" s="36"/>
      <c r="AA1233" s="36"/>
    </row>
    <row r="1234" spans="16:27" x14ac:dyDescent="0.2">
      <c r="P1234" s="36"/>
      <c r="Q1234" s="40"/>
      <c r="R1234" s="40"/>
      <c r="S1234" s="40"/>
      <c r="T1234" s="41"/>
      <c r="U1234" s="41"/>
      <c r="V1234" s="41"/>
      <c r="W1234" s="36"/>
      <c r="X1234" s="36"/>
      <c r="Y1234" s="36"/>
      <c r="Z1234" s="36"/>
      <c r="AA1234" s="36"/>
    </row>
    <row r="1235" spans="16:27" x14ac:dyDescent="0.2">
      <c r="P1235" s="36"/>
      <c r="Q1235" s="40"/>
      <c r="R1235" s="40"/>
      <c r="S1235" s="40"/>
      <c r="T1235" s="41"/>
      <c r="U1235" s="41"/>
      <c r="V1235" s="41"/>
      <c r="W1235" s="36"/>
      <c r="X1235" s="36"/>
      <c r="Y1235" s="36"/>
      <c r="Z1235" s="36"/>
      <c r="AA1235" s="36"/>
    </row>
    <row r="1236" spans="16:27" x14ac:dyDescent="0.2">
      <c r="P1236" s="36"/>
      <c r="Q1236" s="40"/>
      <c r="R1236" s="40"/>
      <c r="S1236" s="40"/>
      <c r="T1236" s="41"/>
      <c r="U1236" s="41"/>
      <c r="V1236" s="41"/>
      <c r="W1236" s="36"/>
      <c r="X1236" s="36"/>
      <c r="Y1236" s="36"/>
      <c r="Z1236" s="36"/>
      <c r="AA1236" s="36"/>
    </row>
    <row r="1237" spans="16:27" x14ac:dyDescent="0.2">
      <c r="P1237" s="36"/>
      <c r="Q1237" s="40"/>
      <c r="R1237" s="40"/>
      <c r="S1237" s="40"/>
      <c r="T1237" s="41"/>
      <c r="U1237" s="41"/>
      <c r="V1237" s="41"/>
      <c r="W1237" s="36"/>
      <c r="X1237" s="36"/>
      <c r="Y1237" s="36"/>
      <c r="Z1237" s="36"/>
      <c r="AA1237" s="36"/>
    </row>
    <row r="1238" spans="16:27" x14ac:dyDescent="0.2">
      <c r="P1238" s="36"/>
      <c r="Q1238" s="40"/>
      <c r="R1238" s="40"/>
      <c r="S1238" s="40"/>
      <c r="T1238" s="41"/>
      <c r="U1238" s="41"/>
      <c r="V1238" s="41"/>
      <c r="W1238" s="36"/>
      <c r="X1238" s="36"/>
      <c r="Y1238" s="36"/>
      <c r="Z1238" s="36"/>
      <c r="AA1238" s="36"/>
    </row>
    <row r="1239" spans="16:27" x14ac:dyDescent="0.2">
      <c r="P1239" s="36"/>
      <c r="Q1239" s="40"/>
      <c r="R1239" s="40"/>
      <c r="S1239" s="40"/>
      <c r="T1239" s="41"/>
      <c r="U1239" s="41"/>
      <c r="V1239" s="41"/>
      <c r="W1239" s="36"/>
      <c r="X1239" s="36"/>
      <c r="Y1239" s="36"/>
      <c r="Z1239" s="36"/>
      <c r="AA1239" s="36"/>
    </row>
    <row r="1240" spans="16:27" x14ac:dyDescent="0.2">
      <c r="P1240" s="36"/>
      <c r="Q1240" s="40"/>
      <c r="R1240" s="40"/>
      <c r="S1240" s="40"/>
      <c r="T1240" s="41"/>
      <c r="U1240" s="41"/>
      <c r="V1240" s="41"/>
      <c r="W1240" s="36"/>
      <c r="X1240" s="36"/>
      <c r="Y1240" s="36"/>
      <c r="Z1240" s="36"/>
      <c r="AA1240" s="36"/>
    </row>
    <row r="1241" spans="16:27" x14ac:dyDescent="0.2">
      <c r="P1241" s="36"/>
      <c r="Q1241" s="40"/>
      <c r="R1241" s="40"/>
      <c r="S1241" s="40"/>
      <c r="T1241" s="41"/>
      <c r="U1241" s="41"/>
      <c r="V1241" s="41"/>
      <c r="W1241" s="36"/>
      <c r="X1241" s="36"/>
      <c r="Y1241" s="36"/>
      <c r="Z1241" s="36"/>
      <c r="AA1241" s="36"/>
    </row>
    <row r="1242" spans="16:27" x14ac:dyDescent="0.2">
      <c r="P1242" s="36"/>
      <c r="Q1242" s="40"/>
      <c r="R1242" s="40"/>
      <c r="S1242" s="40"/>
      <c r="T1242" s="41"/>
      <c r="U1242" s="41"/>
      <c r="V1242" s="41"/>
      <c r="W1242" s="36"/>
      <c r="X1242" s="36"/>
      <c r="Y1242" s="36"/>
      <c r="Z1242" s="36"/>
      <c r="AA1242" s="36"/>
    </row>
    <row r="1243" spans="16:27" x14ac:dyDescent="0.2">
      <c r="P1243" s="36"/>
      <c r="Q1243" s="40"/>
      <c r="R1243" s="40"/>
      <c r="S1243" s="40"/>
      <c r="T1243" s="41"/>
      <c r="U1243" s="41"/>
      <c r="V1243" s="41"/>
      <c r="W1243" s="36"/>
      <c r="X1243" s="36"/>
      <c r="Y1243" s="36"/>
      <c r="Z1243" s="36"/>
      <c r="AA1243" s="36"/>
    </row>
    <row r="1244" spans="16:27" x14ac:dyDescent="0.2">
      <c r="P1244" s="36"/>
      <c r="Q1244" s="40"/>
      <c r="R1244" s="40"/>
      <c r="S1244" s="40"/>
      <c r="T1244" s="41"/>
      <c r="U1244" s="41"/>
      <c r="V1244" s="41"/>
      <c r="W1244" s="36"/>
      <c r="X1244" s="36"/>
      <c r="Y1244" s="36"/>
      <c r="Z1244" s="36"/>
      <c r="AA1244" s="36"/>
    </row>
    <row r="1245" spans="16:27" x14ac:dyDescent="0.2">
      <c r="P1245" s="36"/>
      <c r="Q1245" s="40"/>
      <c r="R1245" s="40"/>
      <c r="S1245" s="40"/>
      <c r="T1245" s="41"/>
      <c r="U1245" s="41"/>
      <c r="V1245" s="41"/>
      <c r="W1245" s="36"/>
      <c r="X1245" s="36"/>
      <c r="Y1245" s="36"/>
      <c r="Z1245" s="36"/>
      <c r="AA1245" s="36"/>
    </row>
    <row r="1246" spans="16:27" x14ac:dyDescent="0.2">
      <c r="P1246" s="36"/>
      <c r="Q1246" s="40"/>
      <c r="R1246" s="40"/>
      <c r="S1246" s="40"/>
      <c r="T1246" s="41"/>
      <c r="U1246" s="41"/>
      <c r="V1246" s="41"/>
      <c r="W1246" s="36"/>
      <c r="X1246" s="36"/>
      <c r="Y1246" s="36"/>
      <c r="Z1246" s="36"/>
      <c r="AA1246" s="36"/>
    </row>
    <row r="1247" spans="16:27" x14ac:dyDescent="0.2">
      <c r="P1247" s="36"/>
      <c r="Q1247" s="40"/>
      <c r="R1247" s="40"/>
      <c r="S1247" s="40"/>
      <c r="T1247" s="41"/>
      <c r="U1247" s="41"/>
      <c r="V1247" s="41"/>
      <c r="W1247" s="36"/>
      <c r="X1247" s="36"/>
      <c r="Y1247" s="36"/>
      <c r="Z1247" s="36"/>
      <c r="AA1247" s="36"/>
    </row>
    <row r="1248" spans="16:27" x14ac:dyDescent="0.2">
      <c r="P1248" s="36"/>
      <c r="Q1248" s="40"/>
      <c r="R1248" s="40"/>
      <c r="S1248" s="40"/>
      <c r="T1248" s="41"/>
      <c r="U1248" s="41"/>
      <c r="V1248" s="41"/>
      <c r="W1248" s="36"/>
      <c r="X1248" s="36"/>
      <c r="Y1248" s="36"/>
      <c r="Z1248" s="36"/>
      <c r="AA1248" s="36"/>
    </row>
    <row r="1249" spans="16:27" x14ac:dyDescent="0.2">
      <c r="P1249" s="36"/>
      <c r="Q1249" s="40"/>
      <c r="R1249" s="40"/>
      <c r="S1249" s="40"/>
      <c r="T1249" s="41"/>
      <c r="U1249" s="41"/>
      <c r="V1249" s="41"/>
      <c r="W1249" s="36"/>
      <c r="X1249" s="36"/>
      <c r="Y1249" s="36"/>
      <c r="Z1249" s="36"/>
      <c r="AA1249" s="36"/>
    </row>
    <row r="1250" spans="16:27" x14ac:dyDescent="0.2">
      <c r="P1250" s="36"/>
      <c r="Q1250" s="40"/>
      <c r="R1250" s="40"/>
      <c r="S1250" s="40"/>
      <c r="T1250" s="41"/>
      <c r="U1250" s="41"/>
      <c r="V1250" s="41"/>
      <c r="W1250" s="36"/>
      <c r="X1250" s="36"/>
      <c r="Y1250" s="36"/>
      <c r="Z1250" s="36"/>
      <c r="AA1250" s="36"/>
    </row>
    <row r="1251" spans="16:27" x14ac:dyDescent="0.2">
      <c r="P1251" s="36"/>
      <c r="Q1251" s="40"/>
      <c r="R1251" s="40"/>
      <c r="S1251" s="40"/>
      <c r="T1251" s="41"/>
      <c r="U1251" s="41"/>
      <c r="V1251" s="41"/>
      <c r="W1251" s="36"/>
      <c r="X1251" s="36"/>
      <c r="Y1251" s="36"/>
      <c r="Z1251" s="36"/>
      <c r="AA1251" s="36"/>
    </row>
    <row r="1252" spans="16:27" x14ac:dyDescent="0.2">
      <c r="P1252" s="36"/>
      <c r="Q1252" s="40"/>
      <c r="R1252" s="40"/>
      <c r="S1252" s="40"/>
      <c r="T1252" s="41"/>
      <c r="U1252" s="41"/>
      <c r="V1252" s="41"/>
      <c r="W1252" s="36"/>
      <c r="X1252" s="36"/>
      <c r="Y1252" s="36"/>
      <c r="Z1252" s="36"/>
      <c r="AA1252" s="36"/>
    </row>
    <row r="1253" spans="16:27" x14ac:dyDescent="0.2">
      <c r="P1253" s="36"/>
      <c r="Q1253" s="40"/>
      <c r="R1253" s="40"/>
      <c r="S1253" s="40"/>
      <c r="T1253" s="41"/>
      <c r="U1253" s="41"/>
      <c r="V1253" s="41"/>
      <c r="W1253" s="36"/>
      <c r="X1253" s="36"/>
      <c r="Y1253" s="36"/>
      <c r="Z1253" s="36"/>
      <c r="AA1253" s="36"/>
    </row>
    <row r="1254" spans="16:27" x14ac:dyDescent="0.2">
      <c r="P1254" s="36"/>
      <c r="Q1254" s="40"/>
      <c r="R1254" s="40"/>
      <c r="S1254" s="40"/>
      <c r="T1254" s="41"/>
      <c r="U1254" s="41"/>
      <c r="V1254" s="41"/>
      <c r="W1254" s="36"/>
      <c r="X1254" s="36"/>
      <c r="Y1254" s="36"/>
      <c r="Z1254" s="36"/>
      <c r="AA1254" s="36"/>
    </row>
    <row r="1255" spans="16:27" x14ac:dyDescent="0.2">
      <c r="P1255" s="36"/>
      <c r="Q1255" s="40"/>
      <c r="R1255" s="40"/>
      <c r="S1255" s="40"/>
      <c r="T1255" s="41"/>
      <c r="U1255" s="41"/>
      <c r="V1255" s="41"/>
      <c r="W1255" s="36"/>
      <c r="X1255" s="36"/>
      <c r="Y1255" s="36"/>
      <c r="Z1255" s="36"/>
      <c r="AA1255" s="36"/>
    </row>
    <row r="1256" spans="16:27" x14ac:dyDescent="0.2">
      <c r="P1256" s="36"/>
      <c r="Q1256" s="40"/>
      <c r="R1256" s="40"/>
      <c r="S1256" s="40"/>
      <c r="T1256" s="41"/>
      <c r="U1256" s="41"/>
      <c r="V1256" s="41"/>
      <c r="W1256" s="36"/>
      <c r="X1256" s="36"/>
      <c r="Y1256" s="36"/>
      <c r="Z1256" s="36"/>
      <c r="AA1256" s="36"/>
    </row>
    <row r="1257" spans="16:27" x14ac:dyDescent="0.2">
      <c r="P1257" s="36"/>
      <c r="Q1257" s="40"/>
      <c r="R1257" s="40"/>
      <c r="S1257" s="40"/>
      <c r="T1257" s="41"/>
      <c r="U1257" s="41"/>
      <c r="V1257" s="41"/>
      <c r="W1257" s="36"/>
      <c r="X1257" s="36"/>
      <c r="Y1257" s="36"/>
      <c r="Z1257" s="36"/>
      <c r="AA1257" s="36"/>
    </row>
    <row r="1258" spans="16:27" x14ac:dyDescent="0.2">
      <c r="P1258" s="36"/>
      <c r="Q1258" s="40"/>
      <c r="R1258" s="40"/>
      <c r="S1258" s="40"/>
      <c r="T1258" s="41"/>
      <c r="U1258" s="41"/>
      <c r="V1258" s="41"/>
      <c r="W1258" s="36"/>
      <c r="X1258" s="36"/>
      <c r="Y1258" s="36"/>
      <c r="Z1258" s="36"/>
      <c r="AA1258" s="36"/>
    </row>
    <row r="1259" spans="16:27" x14ac:dyDescent="0.2">
      <c r="P1259" s="36"/>
      <c r="Q1259" s="40"/>
      <c r="R1259" s="40"/>
      <c r="S1259" s="40"/>
      <c r="T1259" s="41"/>
      <c r="U1259" s="41"/>
      <c r="V1259" s="41"/>
      <c r="W1259" s="36"/>
      <c r="X1259" s="36"/>
      <c r="Y1259" s="36"/>
      <c r="Z1259" s="36"/>
      <c r="AA1259" s="36"/>
    </row>
    <row r="1260" spans="16:27" x14ac:dyDescent="0.2">
      <c r="P1260" s="36"/>
      <c r="Q1260" s="40"/>
      <c r="R1260" s="40"/>
      <c r="S1260" s="40"/>
      <c r="T1260" s="41"/>
      <c r="U1260" s="41"/>
      <c r="V1260" s="41"/>
      <c r="W1260" s="36"/>
      <c r="X1260" s="36"/>
      <c r="Y1260" s="36"/>
      <c r="Z1260" s="36"/>
      <c r="AA1260" s="36"/>
    </row>
    <row r="1261" spans="16:27" x14ac:dyDescent="0.2">
      <c r="P1261" s="36"/>
      <c r="Q1261" s="40"/>
      <c r="R1261" s="40"/>
      <c r="S1261" s="40"/>
      <c r="T1261" s="41"/>
      <c r="U1261" s="41"/>
      <c r="V1261" s="41"/>
      <c r="W1261" s="36"/>
      <c r="X1261" s="36"/>
      <c r="Y1261" s="36"/>
      <c r="Z1261" s="36"/>
      <c r="AA1261" s="36"/>
    </row>
    <row r="1262" spans="16:27" x14ac:dyDescent="0.2">
      <c r="P1262" s="36"/>
      <c r="Q1262" s="40"/>
      <c r="R1262" s="40"/>
      <c r="S1262" s="40"/>
      <c r="T1262" s="41"/>
      <c r="U1262" s="41"/>
      <c r="V1262" s="41"/>
      <c r="W1262" s="36"/>
      <c r="X1262" s="36"/>
      <c r="Y1262" s="36"/>
      <c r="Z1262" s="36"/>
      <c r="AA1262" s="36"/>
    </row>
    <row r="1263" spans="16:27" x14ac:dyDescent="0.2">
      <c r="P1263" s="36"/>
      <c r="Q1263" s="40"/>
      <c r="R1263" s="40"/>
      <c r="S1263" s="40"/>
      <c r="T1263" s="41"/>
      <c r="U1263" s="41"/>
      <c r="V1263" s="41"/>
      <c r="W1263" s="36"/>
      <c r="X1263" s="36"/>
      <c r="Y1263" s="36"/>
      <c r="Z1263" s="36"/>
      <c r="AA1263" s="36"/>
    </row>
    <row r="1264" spans="16:27" x14ac:dyDescent="0.2">
      <c r="P1264" s="36"/>
      <c r="Q1264" s="40"/>
      <c r="R1264" s="40"/>
      <c r="S1264" s="40"/>
      <c r="T1264" s="41"/>
      <c r="U1264" s="41"/>
      <c r="V1264" s="41"/>
      <c r="W1264" s="36"/>
      <c r="X1264" s="36"/>
      <c r="Y1264" s="36"/>
      <c r="Z1264" s="36"/>
      <c r="AA1264" s="36"/>
    </row>
    <row r="1265" spans="16:27" x14ac:dyDescent="0.2">
      <c r="P1265" s="36"/>
      <c r="Q1265" s="40"/>
      <c r="R1265" s="40"/>
      <c r="S1265" s="40"/>
      <c r="T1265" s="41"/>
      <c r="U1265" s="41"/>
      <c r="V1265" s="41"/>
      <c r="W1265" s="36"/>
      <c r="X1265" s="36"/>
      <c r="Y1265" s="36"/>
      <c r="Z1265" s="36"/>
      <c r="AA1265" s="36"/>
    </row>
    <row r="1266" spans="16:27" x14ac:dyDescent="0.2">
      <c r="P1266" s="36"/>
      <c r="Q1266" s="40"/>
      <c r="R1266" s="40"/>
      <c r="S1266" s="40"/>
      <c r="T1266" s="41"/>
      <c r="U1266" s="41"/>
      <c r="V1266" s="41"/>
      <c r="W1266" s="36"/>
      <c r="X1266" s="36"/>
      <c r="Y1266" s="36"/>
      <c r="Z1266" s="36"/>
      <c r="AA1266" s="36"/>
    </row>
    <row r="1267" spans="16:27" x14ac:dyDescent="0.2">
      <c r="P1267" s="36"/>
      <c r="Q1267" s="40"/>
      <c r="R1267" s="40"/>
      <c r="S1267" s="40"/>
      <c r="T1267" s="41"/>
      <c r="U1267" s="41"/>
      <c r="V1267" s="41"/>
      <c r="W1267" s="36"/>
      <c r="X1267" s="36"/>
      <c r="Y1267" s="36"/>
      <c r="Z1267" s="36"/>
      <c r="AA1267" s="36"/>
    </row>
    <row r="1268" spans="16:27" x14ac:dyDescent="0.2">
      <c r="P1268" s="36"/>
      <c r="Q1268" s="40"/>
      <c r="R1268" s="40"/>
      <c r="S1268" s="40"/>
      <c r="T1268" s="41"/>
      <c r="U1268" s="41"/>
      <c r="V1268" s="41"/>
      <c r="W1268" s="36"/>
      <c r="X1268" s="36"/>
      <c r="Y1268" s="36"/>
      <c r="Z1268" s="36"/>
      <c r="AA1268" s="36"/>
    </row>
    <row r="1269" spans="16:27" x14ac:dyDescent="0.2">
      <c r="P1269" s="36"/>
      <c r="Q1269" s="40"/>
      <c r="R1269" s="40"/>
      <c r="S1269" s="40"/>
      <c r="T1269" s="41"/>
      <c r="U1269" s="41"/>
      <c r="V1269" s="41"/>
      <c r="W1269" s="36"/>
      <c r="X1269" s="36"/>
      <c r="Y1269" s="36"/>
      <c r="Z1269" s="36"/>
      <c r="AA1269" s="36"/>
    </row>
    <row r="1270" spans="16:27" x14ac:dyDescent="0.2">
      <c r="P1270" s="36"/>
      <c r="Q1270" s="40"/>
      <c r="R1270" s="40"/>
      <c r="S1270" s="40"/>
      <c r="T1270" s="41"/>
      <c r="U1270" s="41"/>
      <c r="V1270" s="41"/>
      <c r="W1270" s="36"/>
      <c r="X1270" s="36"/>
      <c r="Y1270" s="36"/>
      <c r="Z1270" s="36"/>
      <c r="AA1270" s="36"/>
    </row>
    <row r="1271" spans="16:27" x14ac:dyDescent="0.2">
      <c r="P1271" s="36"/>
      <c r="Q1271" s="40"/>
      <c r="R1271" s="40"/>
      <c r="S1271" s="40"/>
      <c r="T1271" s="41"/>
      <c r="U1271" s="41"/>
      <c r="V1271" s="41"/>
      <c r="W1271" s="36"/>
      <c r="X1271" s="36"/>
      <c r="Y1271" s="36"/>
      <c r="Z1271" s="36"/>
      <c r="AA1271" s="36"/>
    </row>
    <row r="1272" spans="16:27" x14ac:dyDescent="0.2">
      <c r="P1272" s="36"/>
      <c r="Q1272" s="40"/>
      <c r="R1272" s="40"/>
      <c r="S1272" s="40"/>
      <c r="T1272" s="41"/>
      <c r="U1272" s="41"/>
      <c r="V1272" s="41"/>
      <c r="W1272" s="36"/>
      <c r="X1272" s="36"/>
      <c r="Y1272" s="36"/>
      <c r="Z1272" s="36"/>
      <c r="AA1272" s="36"/>
    </row>
    <row r="1273" spans="16:27" x14ac:dyDescent="0.2">
      <c r="P1273" s="36"/>
      <c r="Q1273" s="40"/>
      <c r="R1273" s="40"/>
      <c r="S1273" s="40"/>
      <c r="T1273" s="41"/>
      <c r="U1273" s="41"/>
      <c r="V1273" s="41"/>
      <c r="W1273" s="36"/>
      <c r="X1273" s="36"/>
      <c r="Y1273" s="36"/>
      <c r="Z1273" s="36"/>
      <c r="AA1273" s="36"/>
    </row>
    <row r="1274" spans="16:27" x14ac:dyDescent="0.2">
      <c r="P1274" s="36"/>
      <c r="Q1274" s="40"/>
      <c r="R1274" s="40"/>
      <c r="S1274" s="40"/>
      <c r="T1274" s="41"/>
      <c r="U1274" s="41"/>
      <c r="V1274" s="41"/>
      <c r="W1274" s="36"/>
      <c r="X1274" s="36"/>
      <c r="Y1274" s="36"/>
      <c r="Z1274" s="36"/>
      <c r="AA1274" s="36"/>
    </row>
    <row r="1275" spans="16:27" x14ac:dyDescent="0.2">
      <c r="P1275" s="36"/>
      <c r="Q1275" s="40"/>
      <c r="R1275" s="40"/>
      <c r="S1275" s="40"/>
      <c r="T1275" s="41"/>
      <c r="U1275" s="41"/>
      <c r="V1275" s="41"/>
      <c r="W1275" s="36"/>
      <c r="X1275" s="36"/>
      <c r="Y1275" s="36"/>
      <c r="Z1275" s="36"/>
      <c r="AA1275" s="36"/>
    </row>
    <row r="1276" spans="16:27" x14ac:dyDescent="0.2">
      <c r="P1276" s="36"/>
      <c r="Q1276" s="40"/>
      <c r="R1276" s="40"/>
      <c r="S1276" s="40"/>
      <c r="T1276" s="41"/>
      <c r="U1276" s="41"/>
      <c r="V1276" s="41"/>
      <c r="W1276" s="36"/>
      <c r="X1276" s="36"/>
      <c r="Y1276" s="36"/>
      <c r="Z1276" s="36"/>
      <c r="AA1276" s="36"/>
    </row>
    <row r="1277" spans="16:27" x14ac:dyDescent="0.2">
      <c r="P1277" s="36"/>
      <c r="Q1277" s="40"/>
      <c r="R1277" s="40"/>
      <c r="S1277" s="40"/>
      <c r="T1277" s="41"/>
      <c r="U1277" s="41"/>
      <c r="V1277" s="41"/>
      <c r="W1277" s="36"/>
      <c r="X1277" s="36"/>
      <c r="Y1277" s="36"/>
      <c r="Z1277" s="36"/>
      <c r="AA1277" s="36"/>
    </row>
    <row r="1278" spans="16:27" x14ac:dyDescent="0.2">
      <c r="P1278" s="36"/>
      <c r="Q1278" s="40"/>
      <c r="R1278" s="40"/>
      <c r="S1278" s="40"/>
      <c r="T1278" s="41"/>
      <c r="U1278" s="41"/>
      <c r="V1278" s="41"/>
      <c r="W1278" s="36"/>
      <c r="X1278" s="36"/>
      <c r="Y1278" s="36"/>
      <c r="Z1278" s="36"/>
      <c r="AA1278" s="36"/>
    </row>
    <row r="1279" spans="16:27" x14ac:dyDescent="0.2">
      <c r="P1279" s="36"/>
      <c r="Q1279" s="40"/>
      <c r="R1279" s="40"/>
      <c r="S1279" s="40"/>
      <c r="T1279" s="41"/>
      <c r="U1279" s="41"/>
      <c r="V1279" s="41"/>
      <c r="W1279" s="36"/>
      <c r="X1279" s="36"/>
      <c r="Y1279" s="36"/>
      <c r="Z1279" s="36"/>
      <c r="AA1279" s="36"/>
    </row>
    <row r="1280" spans="16:27" x14ac:dyDescent="0.2">
      <c r="P1280" s="36"/>
      <c r="Q1280" s="40"/>
      <c r="R1280" s="40"/>
      <c r="S1280" s="40"/>
      <c r="T1280" s="41"/>
      <c r="U1280" s="41"/>
      <c r="V1280" s="41"/>
      <c r="W1280" s="36"/>
      <c r="X1280" s="36"/>
      <c r="Y1280" s="36"/>
      <c r="Z1280" s="36"/>
      <c r="AA1280" s="36"/>
    </row>
    <row r="1281" spans="16:27" x14ac:dyDescent="0.2">
      <c r="P1281" s="36"/>
      <c r="Q1281" s="40"/>
      <c r="R1281" s="40"/>
      <c r="S1281" s="40"/>
      <c r="T1281" s="41"/>
      <c r="U1281" s="41"/>
      <c r="V1281" s="41"/>
      <c r="W1281" s="36"/>
      <c r="X1281" s="36"/>
      <c r="Y1281" s="36"/>
      <c r="Z1281" s="36"/>
      <c r="AA1281" s="36"/>
    </row>
    <row r="1282" spans="16:27" x14ac:dyDescent="0.2">
      <c r="P1282" s="36"/>
      <c r="Q1282" s="40"/>
      <c r="R1282" s="40"/>
      <c r="S1282" s="40"/>
      <c r="T1282" s="41"/>
      <c r="U1282" s="41"/>
      <c r="V1282" s="41"/>
      <c r="W1282" s="36"/>
      <c r="X1282" s="36"/>
      <c r="Y1282" s="36"/>
      <c r="Z1282" s="36"/>
      <c r="AA1282" s="36"/>
    </row>
    <row r="1283" spans="16:27" x14ac:dyDescent="0.2">
      <c r="P1283" s="36"/>
      <c r="Q1283" s="40"/>
      <c r="R1283" s="40"/>
      <c r="S1283" s="40"/>
      <c r="T1283" s="41"/>
      <c r="U1283" s="41"/>
      <c r="V1283" s="41"/>
      <c r="W1283" s="36"/>
      <c r="X1283" s="36"/>
      <c r="Y1283" s="36"/>
      <c r="Z1283" s="36"/>
      <c r="AA1283" s="36"/>
    </row>
    <row r="1284" spans="16:27" x14ac:dyDescent="0.2">
      <c r="P1284" s="36"/>
      <c r="Q1284" s="40"/>
      <c r="R1284" s="40"/>
      <c r="S1284" s="40"/>
      <c r="T1284" s="41"/>
      <c r="U1284" s="41"/>
      <c r="V1284" s="41"/>
      <c r="W1284" s="36"/>
      <c r="X1284" s="36"/>
      <c r="Y1284" s="36"/>
      <c r="Z1284" s="36"/>
      <c r="AA1284" s="36"/>
    </row>
    <row r="1285" spans="16:27" x14ac:dyDescent="0.2">
      <c r="P1285" s="36"/>
      <c r="Q1285" s="40"/>
      <c r="R1285" s="40"/>
      <c r="S1285" s="40"/>
      <c r="T1285" s="41"/>
      <c r="U1285" s="41"/>
      <c r="V1285" s="41"/>
      <c r="W1285" s="36"/>
      <c r="X1285" s="36"/>
      <c r="Y1285" s="36"/>
      <c r="Z1285" s="36"/>
      <c r="AA1285" s="36"/>
    </row>
    <row r="1286" spans="16:27" x14ac:dyDescent="0.2">
      <c r="P1286" s="36"/>
      <c r="Q1286" s="40"/>
      <c r="R1286" s="40"/>
      <c r="S1286" s="40"/>
      <c r="T1286" s="41"/>
      <c r="U1286" s="41"/>
      <c r="V1286" s="41"/>
      <c r="W1286" s="36"/>
      <c r="X1286" s="36"/>
      <c r="Y1286" s="36"/>
      <c r="Z1286" s="36"/>
      <c r="AA1286" s="36"/>
    </row>
    <row r="1287" spans="16:27" x14ac:dyDescent="0.2">
      <c r="P1287" s="36"/>
      <c r="Q1287" s="40"/>
      <c r="R1287" s="40"/>
      <c r="S1287" s="40"/>
      <c r="T1287" s="41"/>
      <c r="U1287" s="41"/>
      <c r="V1287" s="41"/>
      <c r="W1287" s="36"/>
      <c r="X1287" s="36"/>
      <c r="Y1287" s="36"/>
      <c r="Z1287" s="36"/>
      <c r="AA1287" s="36"/>
    </row>
    <row r="1288" spans="16:27" x14ac:dyDescent="0.2">
      <c r="P1288" s="36"/>
      <c r="Q1288" s="40"/>
      <c r="R1288" s="40"/>
      <c r="S1288" s="40"/>
      <c r="T1288" s="41"/>
      <c r="U1288" s="41"/>
      <c r="V1288" s="41"/>
      <c r="W1288" s="36"/>
      <c r="X1288" s="36"/>
      <c r="Y1288" s="36"/>
      <c r="Z1288" s="36"/>
      <c r="AA1288" s="36"/>
    </row>
    <row r="1289" spans="16:27" x14ac:dyDescent="0.2">
      <c r="P1289" s="36"/>
      <c r="Q1289" s="40"/>
      <c r="R1289" s="40"/>
      <c r="S1289" s="40"/>
      <c r="T1289" s="41"/>
      <c r="U1289" s="41"/>
      <c r="V1289" s="41"/>
      <c r="W1289" s="36"/>
      <c r="X1289" s="36"/>
      <c r="Y1289" s="36"/>
      <c r="Z1289" s="36"/>
      <c r="AA1289" s="36"/>
    </row>
    <row r="1290" spans="16:27" x14ac:dyDescent="0.2">
      <c r="P1290" s="36"/>
      <c r="Q1290" s="40"/>
      <c r="R1290" s="40"/>
      <c r="S1290" s="40"/>
      <c r="T1290" s="41"/>
      <c r="U1290" s="41"/>
      <c r="V1290" s="41"/>
      <c r="W1290" s="36"/>
      <c r="X1290" s="36"/>
      <c r="Y1290" s="36"/>
      <c r="Z1290" s="36"/>
      <c r="AA1290" s="36"/>
    </row>
    <row r="1291" spans="16:27" x14ac:dyDescent="0.2">
      <c r="P1291" s="36"/>
      <c r="Q1291" s="40"/>
      <c r="R1291" s="40"/>
      <c r="S1291" s="40"/>
      <c r="T1291" s="41"/>
      <c r="U1291" s="41"/>
      <c r="V1291" s="41"/>
      <c r="W1291" s="36"/>
      <c r="X1291" s="36"/>
      <c r="Y1291" s="36"/>
      <c r="Z1291" s="36"/>
      <c r="AA1291" s="36"/>
    </row>
    <row r="1292" spans="16:27" x14ac:dyDescent="0.2">
      <c r="P1292" s="36"/>
      <c r="Q1292" s="40"/>
      <c r="R1292" s="40"/>
      <c r="S1292" s="40"/>
      <c r="T1292" s="41"/>
      <c r="U1292" s="41"/>
      <c r="V1292" s="41"/>
      <c r="W1292" s="36"/>
      <c r="X1292" s="36"/>
      <c r="Y1292" s="36"/>
      <c r="Z1292" s="36"/>
      <c r="AA1292" s="36"/>
    </row>
    <row r="1293" spans="16:27" x14ac:dyDescent="0.2">
      <c r="P1293" s="36"/>
      <c r="Q1293" s="40"/>
      <c r="R1293" s="40"/>
      <c r="S1293" s="40"/>
      <c r="T1293" s="41"/>
      <c r="U1293" s="41"/>
      <c r="V1293" s="41"/>
      <c r="W1293" s="36"/>
      <c r="X1293" s="36"/>
      <c r="Y1293" s="36"/>
      <c r="Z1293" s="36"/>
      <c r="AA1293" s="36"/>
    </row>
    <row r="1294" spans="16:27" x14ac:dyDescent="0.2">
      <c r="P1294" s="36"/>
      <c r="Q1294" s="40"/>
      <c r="R1294" s="40"/>
      <c r="S1294" s="40"/>
      <c r="T1294" s="41"/>
      <c r="U1294" s="41"/>
      <c r="V1294" s="41"/>
      <c r="W1294" s="36"/>
      <c r="X1294" s="36"/>
      <c r="Y1294" s="36"/>
      <c r="Z1294" s="36"/>
      <c r="AA1294" s="36"/>
    </row>
    <row r="1295" spans="16:27" x14ac:dyDescent="0.2">
      <c r="P1295" s="36"/>
      <c r="Q1295" s="40"/>
      <c r="R1295" s="40"/>
      <c r="S1295" s="40"/>
      <c r="T1295" s="41"/>
      <c r="U1295" s="41"/>
      <c r="V1295" s="41"/>
      <c r="W1295" s="36"/>
      <c r="X1295" s="36"/>
      <c r="Y1295" s="36"/>
      <c r="Z1295" s="36"/>
      <c r="AA1295" s="36"/>
    </row>
    <row r="1296" spans="16:27" x14ac:dyDescent="0.2">
      <c r="P1296" s="36"/>
      <c r="Q1296" s="40"/>
      <c r="R1296" s="40"/>
      <c r="S1296" s="40"/>
      <c r="T1296" s="41"/>
      <c r="U1296" s="41"/>
      <c r="V1296" s="41"/>
      <c r="W1296" s="36"/>
      <c r="X1296" s="36"/>
      <c r="Y1296" s="36"/>
      <c r="Z1296" s="36"/>
      <c r="AA1296" s="36"/>
    </row>
    <row r="1297" spans="16:27" x14ac:dyDescent="0.2">
      <c r="P1297" s="36"/>
      <c r="Q1297" s="40"/>
      <c r="R1297" s="40"/>
      <c r="S1297" s="40"/>
      <c r="T1297" s="41"/>
      <c r="U1297" s="41"/>
      <c r="V1297" s="41"/>
      <c r="W1297" s="36"/>
      <c r="X1297" s="36"/>
      <c r="Y1297" s="36"/>
      <c r="Z1297" s="36"/>
      <c r="AA1297" s="36"/>
    </row>
    <row r="1298" spans="16:27" x14ac:dyDescent="0.2">
      <c r="P1298" s="36"/>
      <c r="Q1298" s="40"/>
      <c r="R1298" s="40"/>
      <c r="S1298" s="40"/>
      <c r="T1298" s="41"/>
      <c r="U1298" s="41"/>
      <c r="V1298" s="41"/>
      <c r="W1298" s="36"/>
      <c r="X1298" s="36"/>
      <c r="Y1298" s="36"/>
      <c r="Z1298" s="36"/>
      <c r="AA1298" s="36"/>
    </row>
    <row r="1299" spans="16:27" x14ac:dyDescent="0.2">
      <c r="P1299" s="36"/>
      <c r="Q1299" s="40"/>
      <c r="R1299" s="40"/>
      <c r="S1299" s="40"/>
      <c r="T1299" s="41"/>
      <c r="U1299" s="41"/>
      <c r="V1299" s="41"/>
      <c r="W1299" s="36"/>
      <c r="X1299" s="36"/>
      <c r="Y1299" s="36"/>
      <c r="Z1299" s="36"/>
      <c r="AA1299" s="36"/>
    </row>
    <row r="1300" spans="16:27" x14ac:dyDescent="0.2">
      <c r="P1300" s="36"/>
      <c r="Q1300" s="40"/>
      <c r="R1300" s="40"/>
      <c r="S1300" s="40"/>
      <c r="T1300" s="41"/>
      <c r="U1300" s="41"/>
      <c r="V1300" s="41"/>
      <c r="W1300" s="36"/>
      <c r="X1300" s="36"/>
      <c r="Y1300" s="36"/>
      <c r="Z1300" s="36"/>
      <c r="AA1300" s="36"/>
    </row>
    <row r="1301" spans="16:27" x14ac:dyDescent="0.2">
      <c r="P1301" s="36"/>
      <c r="Q1301" s="40"/>
      <c r="R1301" s="40"/>
      <c r="S1301" s="40"/>
      <c r="T1301" s="41"/>
      <c r="U1301" s="41"/>
      <c r="V1301" s="41"/>
      <c r="W1301" s="36"/>
      <c r="X1301" s="36"/>
      <c r="Y1301" s="36"/>
      <c r="Z1301" s="36"/>
      <c r="AA1301" s="36"/>
    </row>
    <row r="1302" spans="16:27" x14ac:dyDescent="0.2">
      <c r="P1302" s="36"/>
      <c r="Q1302" s="40"/>
      <c r="R1302" s="40"/>
      <c r="S1302" s="40"/>
      <c r="T1302" s="41"/>
      <c r="U1302" s="41"/>
      <c r="V1302" s="41"/>
      <c r="W1302" s="36"/>
      <c r="X1302" s="36"/>
      <c r="Y1302" s="36"/>
      <c r="Z1302" s="36"/>
      <c r="AA1302" s="36"/>
    </row>
    <row r="1303" spans="16:27" x14ac:dyDescent="0.2">
      <c r="P1303" s="36"/>
      <c r="Q1303" s="40"/>
      <c r="R1303" s="40"/>
      <c r="S1303" s="40"/>
      <c r="T1303" s="41"/>
      <c r="U1303" s="41"/>
      <c r="V1303" s="41"/>
      <c r="W1303" s="36"/>
      <c r="X1303" s="36"/>
      <c r="Y1303" s="36"/>
      <c r="Z1303" s="36"/>
      <c r="AA1303" s="36"/>
    </row>
    <row r="1304" spans="16:27" x14ac:dyDescent="0.2">
      <c r="P1304" s="36"/>
      <c r="Q1304" s="40"/>
      <c r="R1304" s="40"/>
      <c r="S1304" s="40"/>
      <c r="T1304" s="41"/>
      <c r="U1304" s="41"/>
      <c r="V1304" s="41"/>
      <c r="W1304" s="36"/>
      <c r="X1304" s="36"/>
      <c r="Y1304" s="36"/>
      <c r="Z1304" s="36"/>
      <c r="AA1304" s="36"/>
    </row>
    <row r="1305" spans="16:27" x14ac:dyDescent="0.2">
      <c r="P1305" s="36"/>
      <c r="Q1305" s="40"/>
      <c r="R1305" s="40"/>
      <c r="S1305" s="40"/>
      <c r="T1305" s="41"/>
      <c r="U1305" s="41"/>
      <c r="V1305" s="41"/>
      <c r="W1305" s="36"/>
      <c r="X1305" s="36"/>
      <c r="Y1305" s="36"/>
      <c r="Z1305" s="36"/>
      <c r="AA1305" s="36"/>
    </row>
    <row r="1306" spans="16:27" x14ac:dyDescent="0.2">
      <c r="P1306" s="36"/>
      <c r="Q1306" s="40"/>
      <c r="R1306" s="40"/>
      <c r="S1306" s="40"/>
      <c r="T1306" s="41"/>
      <c r="U1306" s="41"/>
      <c r="V1306" s="41"/>
      <c r="W1306" s="36"/>
      <c r="X1306" s="36"/>
      <c r="Y1306" s="36"/>
      <c r="Z1306" s="36"/>
      <c r="AA1306" s="36"/>
    </row>
    <row r="1307" spans="16:27" x14ac:dyDescent="0.2">
      <c r="P1307" s="36"/>
      <c r="Q1307" s="40"/>
      <c r="R1307" s="40"/>
      <c r="S1307" s="40"/>
      <c r="T1307" s="41"/>
      <c r="U1307" s="41"/>
      <c r="V1307" s="41"/>
      <c r="W1307" s="36"/>
      <c r="X1307" s="36"/>
      <c r="Y1307" s="36"/>
      <c r="Z1307" s="36"/>
      <c r="AA1307" s="36"/>
    </row>
    <row r="1308" spans="16:27" x14ac:dyDescent="0.2">
      <c r="P1308" s="36"/>
      <c r="Q1308" s="40"/>
      <c r="R1308" s="40"/>
      <c r="S1308" s="40"/>
      <c r="T1308" s="41"/>
      <c r="U1308" s="41"/>
      <c r="V1308" s="41"/>
      <c r="W1308" s="36"/>
      <c r="X1308" s="36"/>
      <c r="Y1308" s="36"/>
      <c r="Z1308" s="36"/>
      <c r="AA1308" s="36"/>
    </row>
    <row r="1309" spans="16:27" x14ac:dyDescent="0.2">
      <c r="P1309" s="36"/>
      <c r="Q1309" s="40"/>
      <c r="R1309" s="40"/>
      <c r="S1309" s="40"/>
      <c r="T1309" s="41"/>
      <c r="U1309" s="41"/>
      <c r="V1309" s="41"/>
      <c r="W1309" s="36"/>
      <c r="X1309" s="36"/>
      <c r="Y1309" s="36"/>
      <c r="Z1309" s="36"/>
      <c r="AA1309" s="36"/>
    </row>
    <row r="1310" spans="16:27" x14ac:dyDescent="0.2">
      <c r="P1310" s="36"/>
      <c r="Q1310" s="40"/>
      <c r="R1310" s="40"/>
      <c r="S1310" s="40"/>
      <c r="T1310" s="41"/>
      <c r="U1310" s="41"/>
      <c r="V1310" s="41"/>
      <c r="W1310" s="36"/>
      <c r="X1310" s="36"/>
      <c r="Y1310" s="36"/>
      <c r="Z1310" s="36"/>
      <c r="AA1310" s="36"/>
    </row>
    <row r="1311" spans="16:27" x14ac:dyDescent="0.2">
      <c r="P1311" s="36"/>
      <c r="Q1311" s="40"/>
      <c r="R1311" s="40"/>
      <c r="S1311" s="40"/>
      <c r="T1311" s="41"/>
      <c r="U1311" s="41"/>
      <c r="V1311" s="36"/>
      <c r="W1311" s="36"/>
      <c r="X1311" s="36"/>
      <c r="Y1311" s="36"/>
      <c r="Z1311" s="36"/>
      <c r="AA1311" s="36"/>
    </row>
    <row r="1312" spans="16:27" x14ac:dyDescent="0.2">
      <c r="P1312" s="36"/>
      <c r="Q1312" s="40"/>
      <c r="R1312" s="40"/>
      <c r="S1312" s="40"/>
      <c r="T1312" s="41"/>
      <c r="U1312" s="41"/>
      <c r="V1312" s="36"/>
      <c r="W1312" s="36"/>
      <c r="X1312" s="36"/>
      <c r="Y1312" s="36"/>
      <c r="Z1312" s="36"/>
      <c r="AA1312" s="36"/>
    </row>
    <row r="1313" spans="16:27" x14ac:dyDescent="0.2">
      <c r="P1313" s="36"/>
      <c r="Q1313" s="40"/>
      <c r="R1313" s="40"/>
      <c r="S1313" s="40"/>
      <c r="T1313" s="41"/>
      <c r="U1313" s="41"/>
      <c r="V1313" s="36"/>
      <c r="W1313" s="36"/>
      <c r="X1313" s="36"/>
      <c r="Y1313" s="36"/>
      <c r="Z1313" s="36"/>
      <c r="AA1313" s="36"/>
    </row>
    <row r="1314" spans="16:27" x14ac:dyDescent="0.2">
      <c r="P1314" s="36"/>
      <c r="Q1314" s="40"/>
      <c r="R1314" s="40"/>
      <c r="S1314" s="40"/>
      <c r="T1314" s="41"/>
      <c r="U1314" s="41"/>
      <c r="V1314" s="36"/>
      <c r="W1314" s="36"/>
      <c r="X1314" s="36"/>
      <c r="Y1314" s="36"/>
      <c r="Z1314" s="36"/>
      <c r="AA1314" s="36"/>
    </row>
    <row r="1315" spans="16:27" x14ac:dyDescent="0.2">
      <c r="P1315" s="36"/>
      <c r="Q1315" s="40"/>
      <c r="R1315" s="40"/>
      <c r="S1315" s="40"/>
      <c r="T1315" s="41"/>
      <c r="U1315" s="41"/>
      <c r="V1315" s="36"/>
      <c r="W1315" s="36"/>
      <c r="X1315" s="36"/>
      <c r="Y1315" s="36"/>
      <c r="Z1315" s="36"/>
      <c r="AA1315" s="36"/>
    </row>
    <row r="1316" spans="16:27" x14ac:dyDescent="0.2">
      <c r="P1316" s="36"/>
      <c r="Q1316" s="40"/>
      <c r="R1316" s="40"/>
      <c r="S1316" s="40"/>
      <c r="T1316" s="41"/>
      <c r="U1316" s="41"/>
      <c r="V1316" s="36"/>
      <c r="W1316" s="36"/>
      <c r="X1316" s="36"/>
      <c r="Y1316" s="36"/>
      <c r="Z1316" s="36"/>
      <c r="AA1316" s="36"/>
    </row>
    <row r="1317" spans="16:27" x14ac:dyDescent="0.2">
      <c r="P1317" s="36"/>
      <c r="Q1317" s="40"/>
      <c r="R1317" s="40"/>
      <c r="S1317" s="40"/>
      <c r="T1317" s="41"/>
      <c r="U1317" s="41"/>
      <c r="V1317" s="36"/>
      <c r="W1317" s="36"/>
      <c r="X1317" s="36"/>
      <c r="Y1317" s="36"/>
      <c r="Z1317" s="36"/>
      <c r="AA1317" s="36"/>
    </row>
    <row r="1318" spans="16:27" x14ac:dyDescent="0.2">
      <c r="P1318" s="36"/>
      <c r="Q1318" s="40"/>
      <c r="R1318" s="40"/>
      <c r="S1318" s="40"/>
      <c r="T1318" s="41"/>
      <c r="U1318" s="41"/>
      <c r="V1318" s="36"/>
      <c r="W1318" s="36"/>
      <c r="X1318" s="36"/>
      <c r="Y1318" s="36"/>
      <c r="Z1318" s="36"/>
      <c r="AA1318" s="36"/>
    </row>
    <row r="1319" spans="16:27" x14ac:dyDescent="0.2">
      <c r="P1319" s="36"/>
      <c r="Q1319" s="40"/>
      <c r="R1319" s="40"/>
      <c r="S1319" s="40"/>
      <c r="T1319" s="41"/>
      <c r="U1319" s="41"/>
      <c r="V1319" s="36"/>
      <c r="W1319" s="36"/>
      <c r="X1319" s="36"/>
      <c r="Y1319" s="36"/>
      <c r="Z1319" s="36"/>
      <c r="AA1319" s="36"/>
    </row>
    <row r="1320" spans="16:27" x14ac:dyDescent="0.2">
      <c r="P1320" s="36"/>
      <c r="Q1320" s="40"/>
      <c r="R1320" s="40"/>
      <c r="S1320" s="40"/>
      <c r="T1320" s="41"/>
      <c r="U1320" s="41"/>
      <c r="V1320" s="36"/>
      <c r="W1320" s="36"/>
      <c r="X1320" s="36"/>
      <c r="Y1320" s="36"/>
      <c r="Z1320" s="36"/>
      <c r="AA1320" s="36"/>
    </row>
    <row r="1321" spans="16:27" x14ac:dyDescent="0.2">
      <c r="P1321" s="36"/>
      <c r="Q1321" s="40"/>
      <c r="R1321" s="40"/>
      <c r="S1321" s="40"/>
      <c r="T1321" s="41"/>
      <c r="U1321" s="41"/>
      <c r="V1321" s="36"/>
      <c r="W1321" s="36"/>
      <c r="X1321" s="36"/>
      <c r="Y1321" s="36"/>
      <c r="Z1321" s="36"/>
      <c r="AA1321" s="36"/>
    </row>
    <row r="1322" spans="16:27" x14ac:dyDescent="0.2">
      <c r="P1322" s="36"/>
      <c r="Q1322" s="40"/>
      <c r="R1322" s="40"/>
      <c r="S1322" s="40"/>
      <c r="T1322" s="41"/>
      <c r="U1322" s="41"/>
      <c r="V1322" s="36"/>
      <c r="W1322" s="36"/>
      <c r="X1322" s="36"/>
      <c r="Y1322" s="36"/>
      <c r="Z1322" s="36"/>
      <c r="AA1322" s="36"/>
    </row>
    <row r="1323" spans="16:27" x14ac:dyDescent="0.2">
      <c r="P1323" s="36"/>
      <c r="Q1323" s="40"/>
      <c r="R1323" s="40"/>
      <c r="S1323" s="40"/>
      <c r="T1323" s="41"/>
      <c r="U1323" s="41"/>
      <c r="V1323" s="36"/>
      <c r="W1323" s="36"/>
      <c r="X1323" s="36"/>
      <c r="Y1323" s="36"/>
      <c r="Z1323" s="36"/>
      <c r="AA1323" s="36"/>
    </row>
    <row r="1324" spans="16:27" x14ac:dyDescent="0.2">
      <c r="P1324" s="36"/>
      <c r="Q1324" s="40"/>
      <c r="R1324" s="40"/>
      <c r="S1324" s="40"/>
      <c r="T1324" s="41"/>
      <c r="U1324" s="41"/>
      <c r="V1324" s="36"/>
      <c r="W1324" s="36"/>
      <c r="X1324" s="36"/>
      <c r="Y1324" s="36"/>
      <c r="Z1324" s="36"/>
      <c r="AA1324" s="36"/>
    </row>
    <row r="1325" spans="16:27" x14ac:dyDescent="0.2">
      <c r="P1325" s="36"/>
      <c r="Q1325" s="40"/>
      <c r="R1325" s="40"/>
      <c r="S1325" s="40"/>
      <c r="T1325" s="41"/>
      <c r="U1325" s="41"/>
      <c r="V1325" s="36"/>
      <c r="W1325" s="36"/>
      <c r="X1325" s="36"/>
      <c r="Y1325" s="36"/>
      <c r="Z1325" s="36"/>
      <c r="AA1325" s="36"/>
    </row>
    <row r="1326" spans="16:27" x14ac:dyDescent="0.2">
      <c r="P1326" s="36"/>
      <c r="Q1326" s="40"/>
      <c r="R1326" s="40"/>
      <c r="S1326" s="40"/>
      <c r="T1326" s="41"/>
      <c r="U1326" s="41"/>
      <c r="V1326" s="36"/>
      <c r="W1326" s="36"/>
      <c r="X1326" s="36"/>
      <c r="Y1326" s="36"/>
      <c r="Z1326" s="36"/>
      <c r="AA1326" s="36"/>
    </row>
    <row r="1327" spans="16:27" x14ac:dyDescent="0.2">
      <c r="P1327" s="36"/>
      <c r="Q1327" s="40"/>
      <c r="R1327" s="40"/>
      <c r="S1327" s="40"/>
      <c r="T1327" s="41"/>
      <c r="U1327" s="41"/>
      <c r="V1327" s="36"/>
      <c r="W1327" s="36"/>
      <c r="X1327" s="36"/>
      <c r="Y1327" s="36"/>
      <c r="Z1327" s="36"/>
      <c r="AA1327" s="36"/>
    </row>
    <row r="1328" spans="16:27" x14ac:dyDescent="0.2">
      <c r="P1328" s="36"/>
      <c r="Q1328" s="40"/>
      <c r="R1328" s="40"/>
      <c r="S1328" s="40"/>
      <c r="T1328" s="41"/>
      <c r="U1328" s="41"/>
      <c r="V1328" s="36"/>
      <c r="W1328" s="36"/>
      <c r="X1328" s="36"/>
      <c r="Y1328" s="36"/>
      <c r="Z1328" s="36"/>
      <c r="AA1328" s="36"/>
    </row>
    <row r="1329" spans="16:27" x14ac:dyDescent="0.2">
      <c r="P1329" s="36"/>
      <c r="Q1329" s="40"/>
      <c r="R1329" s="40"/>
      <c r="S1329" s="40"/>
      <c r="T1329" s="41"/>
      <c r="U1329" s="41"/>
      <c r="V1329" s="36"/>
      <c r="W1329" s="36"/>
      <c r="X1329" s="36"/>
      <c r="Y1329" s="36"/>
      <c r="Z1329" s="36"/>
      <c r="AA1329" s="36"/>
    </row>
    <row r="1330" spans="16:27" x14ac:dyDescent="0.2">
      <c r="P1330" s="36"/>
      <c r="Q1330" s="40"/>
      <c r="R1330" s="40"/>
      <c r="S1330" s="40"/>
      <c r="T1330" s="41"/>
      <c r="U1330" s="41"/>
      <c r="V1330" s="36"/>
      <c r="W1330" s="36"/>
      <c r="X1330" s="36"/>
      <c r="Y1330" s="36"/>
      <c r="Z1330" s="36"/>
      <c r="AA1330" s="36"/>
    </row>
    <row r="1331" spans="16:27" x14ac:dyDescent="0.2">
      <c r="P1331" s="36"/>
      <c r="Q1331" s="40"/>
      <c r="R1331" s="40"/>
      <c r="S1331" s="40"/>
      <c r="T1331" s="41"/>
      <c r="U1331" s="41"/>
      <c r="V1331" s="36"/>
      <c r="W1331" s="36"/>
      <c r="X1331" s="36"/>
      <c r="Y1331" s="36"/>
      <c r="Z1331" s="36"/>
      <c r="AA1331" s="36"/>
    </row>
    <row r="1332" spans="16:27" x14ac:dyDescent="0.2">
      <c r="P1332" s="36"/>
      <c r="Q1332" s="40"/>
      <c r="R1332" s="40"/>
      <c r="S1332" s="40"/>
      <c r="T1332" s="41"/>
      <c r="U1332" s="41"/>
      <c r="V1332" s="36"/>
      <c r="W1332" s="36"/>
      <c r="X1332" s="36"/>
      <c r="Y1332" s="36"/>
      <c r="Z1332" s="36"/>
      <c r="AA1332" s="36"/>
    </row>
    <row r="1333" spans="16:27" x14ac:dyDescent="0.2">
      <c r="P1333" s="36"/>
      <c r="Q1333" s="40"/>
      <c r="R1333" s="40"/>
      <c r="S1333" s="40"/>
      <c r="T1333" s="41"/>
      <c r="U1333" s="41"/>
      <c r="V1333" s="36"/>
      <c r="W1333" s="36"/>
      <c r="X1333" s="36"/>
      <c r="Y1333" s="36"/>
      <c r="Z1333" s="36"/>
      <c r="AA1333" s="36"/>
    </row>
    <row r="1334" spans="16:27" x14ac:dyDescent="0.2">
      <c r="P1334" s="36"/>
      <c r="Q1334" s="40"/>
      <c r="R1334" s="40"/>
      <c r="S1334" s="40"/>
      <c r="T1334" s="41"/>
      <c r="U1334" s="41"/>
      <c r="V1334" s="36"/>
      <c r="W1334" s="36"/>
      <c r="X1334" s="36"/>
      <c r="Y1334" s="36"/>
      <c r="Z1334" s="36"/>
      <c r="AA1334" s="36"/>
    </row>
    <row r="1335" spans="16:27" x14ac:dyDescent="0.2">
      <c r="P1335" s="36"/>
      <c r="Q1335" s="40"/>
      <c r="R1335" s="40"/>
      <c r="S1335" s="40"/>
      <c r="T1335" s="41"/>
      <c r="U1335" s="41"/>
      <c r="V1335" s="36"/>
      <c r="W1335" s="36"/>
      <c r="X1335" s="36"/>
      <c r="Y1335" s="36"/>
      <c r="Z1335" s="36"/>
      <c r="AA1335" s="36"/>
    </row>
    <row r="1336" spans="16:27" x14ac:dyDescent="0.2">
      <c r="P1336" s="36"/>
      <c r="Q1336" s="40"/>
      <c r="R1336" s="40"/>
      <c r="S1336" s="40"/>
      <c r="T1336" s="41"/>
      <c r="U1336" s="41"/>
      <c r="V1336" s="36"/>
      <c r="W1336" s="36"/>
      <c r="X1336" s="36"/>
      <c r="Y1336" s="36"/>
      <c r="Z1336" s="36"/>
      <c r="AA1336" s="36"/>
    </row>
    <row r="1337" spans="16:27" x14ac:dyDescent="0.2">
      <c r="P1337" s="36"/>
      <c r="Q1337" s="40"/>
      <c r="R1337" s="40"/>
      <c r="S1337" s="40"/>
      <c r="T1337" s="41"/>
      <c r="U1337" s="41"/>
      <c r="V1337" s="36"/>
      <c r="W1337" s="36"/>
      <c r="X1337" s="36"/>
      <c r="Y1337" s="36"/>
      <c r="Z1337" s="36"/>
      <c r="AA1337" s="36"/>
    </row>
    <row r="1338" spans="16:27" x14ac:dyDescent="0.2">
      <c r="P1338" s="36"/>
      <c r="Q1338" s="40"/>
      <c r="R1338" s="40"/>
      <c r="S1338" s="40"/>
      <c r="T1338" s="41"/>
      <c r="U1338" s="41"/>
      <c r="V1338" s="36"/>
      <c r="W1338" s="36"/>
      <c r="X1338" s="36"/>
      <c r="Y1338" s="36"/>
      <c r="Z1338" s="36"/>
      <c r="AA1338" s="36"/>
    </row>
    <row r="1339" spans="16:27" x14ac:dyDescent="0.2">
      <c r="P1339" s="36"/>
      <c r="Q1339" s="40"/>
      <c r="R1339" s="40"/>
      <c r="S1339" s="40"/>
      <c r="T1339" s="41"/>
      <c r="U1339" s="41"/>
      <c r="V1339" s="36"/>
      <c r="W1339" s="36"/>
      <c r="X1339" s="36"/>
      <c r="Y1339" s="36"/>
      <c r="Z1339" s="36"/>
      <c r="AA1339" s="36"/>
    </row>
    <row r="1340" spans="16:27" x14ac:dyDescent="0.2">
      <c r="P1340" s="36"/>
      <c r="Q1340" s="40"/>
      <c r="R1340" s="40"/>
      <c r="S1340" s="40"/>
      <c r="T1340" s="41"/>
      <c r="U1340" s="41"/>
      <c r="V1340" s="36"/>
      <c r="W1340" s="36"/>
      <c r="X1340" s="36"/>
      <c r="Y1340" s="36"/>
      <c r="Z1340" s="36"/>
      <c r="AA1340" s="36"/>
    </row>
    <row r="1341" spans="16:27" x14ac:dyDescent="0.2">
      <c r="P1341" s="36"/>
      <c r="Q1341" s="40"/>
      <c r="R1341" s="40"/>
      <c r="S1341" s="40"/>
      <c r="T1341" s="41"/>
      <c r="U1341" s="41"/>
      <c r="V1341" s="36"/>
      <c r="W1341" s="36"/>
      <c r="X1341" s="36"/>
      <c r="Y1341" s="36"/>
      <c r="Z1341" s="36"/>
      <c r="AA1341" s="36"/>
    </row>
    <row r="1342" spans="16:27" x14ac:dyDescent="0.2">
      <c r="P1342" s="36"/>
      <c r="Q1342" s="40"/>
      <c r="R1342" s="40"/>
      <c r="S1342" s="40"/>
      <c r="T1342" s="41"/>
      <c r="U1342" s="41"/>
      <c r="V1342" s="36"/>
      <c r="W1342" s="36"/>
      <c r="X1342" s="36"/>
      <c r="Y1342" s="36"/>
      <c r="Z1342" s="36"/>
      <c r="AA1342" s="36"/>
    </row>
    <row r="1343" spans="16:27" x14ac:dyDescent="0.2">
      <c r="P1343" s="36"/>
      <c r="Q1343" s="40"/>
      <c r="R1343" s="40"/>
      <c r="S1343" s="40"/>
      <c r="T1343" s="41"/>
      <c r="U1343" s="41"/>
      <c r="V1343" s="36"/>
      <c r="W1343" s="36"/>
      <c r="X1343" s="36"/>
      <c r="Y1343" s="36"/>
      <c r="Z1343" s="36"/>
      <c r="AA1343" s="36"/>
    </row>
    <row r="1344" spans="16:27" x14ac:dyDescent="0.2">
      <c r="P1344" s="36"/>
      <c r="Q1344" s="40"/>
      <c r="R1344" s="40"/>
      <c r="S1344" s="40"/>
      <c r="T1344" s="41"/>
      <c r="U1344" s="41"/>
      <c r="V1344" s="36"/>
      <c r="W1344" s="36"/>
      <c r="X1344" s="36"/>
      <c r="Y1344" s="36"/>
      <c r="Z1344" s="36"/>
      <c r="AA1344" s="36"/>
    </row>
    <row r="1345" spans="16:27" x14ac:dyDescent="0.2">
      <c r="P1345" s="36"/>
      <c r="Q1345" s="40"/>
      <c r="R1345" s="40"/>
      <c r="S1345" s="40"/>
      <c r="T1345" s="41"/>
      <c r="U1345" s="41"/>
      <c r="V1345" s="36"/>
      <c r="W1345" s="36"/>
      <c r="X1345" s="36"/>
      <c r="Y1345" s="36"/>
      <c r="Z1345" s="36"/>
      <c r="AA1345" s="36"/>
    </row>
    <row r="1346" spans="16:27" x14ac:dyDescent="0.2">
      <c r="P1346" s="36"/>
      <c r="Q1346" s="40"/>
      <c r="R1346" s="40"/>
      <c r="S1346" s="40"/>
      <c r="T1346" s="41"/>
      <c r="U1346" s="41"/>
      <c r="V1346" s="36"/>
      <c r="W1346" s="36"/>
      <c r="X1346" s="36"/>
      <c r="Y1346" s="36"/>
      <c r="Z1346" s="36"/>
      <c r="AA1346" s="36"/>
    </row>
    <row r="1347" spans="16:27" x14ac:dyDescent="0.2">
      <c r="P1347" s="36"/>
      <c r="Q1347" s="40"/>
      <c r="R1347" s="40"/>
      <c r="S1347" s="40"/>
      <c r="T1347" s="41"/>
      <c r="U1347" s="41"/>
      <c r="V1347" s="36"/>
      <c r="W1347" s="36"/>
      <c r="X1347" s="36"/>
      <c r="Y1347" s="36"/>
      <c r="Z1347" s="36"/>
      <c r="AA1347" s="36"/>
    </row>
    <row r="1348" spans="16:27" x14ac:dyDescent="0.2">
      <c r="P1348" s="36"/>
      <c r="Q1348" s="40"/>
      <c r="R1348" s="40"/>
      <c r="S1348" s="40"/>
      <c r="T1348" s="41"/>
      <c r="U1348" s="41"/>
      <c r="V1348" s="36"/>
      <c r="W1348" s="36"/>
      <c r="X1348" s="36"/>
      <c r="Y1348" s="36"/>
      <c r="Z1348" s="36"/>
      <c r="AA1348" s="36"/>
    </row>
    <row r="1349" spans="16:27" x14ac:dyDescent="0.2">
      <c r="P1349" s="36"/>
      <c r="Q1349" s="40"/>
      <c r="R1349" s="40"/>
      <c r="S1349" s="40"/>
      <c r="T1349" s="41"/>
      <c r="U1349" s="41"/>
      <c r="V1349" s="36"/>
      <c r="W1349" s="36"/>
      <c r="X1349" s="36"/>
      <c r="Y1349" s="36"/>
      <c r="Z1349" s="36"/>
      <c r="AA1349" s="36"/>
    </row>
    <row r="1350" spans="16:27" x14ac:dyDescent="0.2">
      <c r="P1350" s="36"/>
      <c r="Q1350" s="40"/>
      <c r="R1350" s="40"/>
      <c r="S1350" s="40"/>
      <c r="T1350" s="41"/>
      <c r="U1350" s="41"/>
      <c r="V1350" s="36"/>
      <c r="W1350" s="36"/>
      <c r="X1350" s="36"/>
      <c r="Y1350" s="36"/>
      <c r="Z1350" s="36"/>
      <c r="AA1350" s="36"/>
    </row>
    <row r="1351" spans="16:27" x14ac:dyDescent="0.2">
      <c r="P1351" s="36"/>
      <c r="Q1351" s="40"/>
      <c r="R1351" s="40"/>
      <c r="S1351" s="40"/>
      <c r="T1351" s="41"/>
      <c r="U1351" s="41"/>
      <c r="V1351" s="36"/>
      <c r="W1351" s="36"/>
      <c r="X1351" s="36"/>
      <c r="Y1351" s="36"/>
      <c r="Z1351" s="36"/>
      <c r="AA1351" s="36"/>
    </row>
    <row r="1352" spans="16:27" x14ac:dyDescent="0.2">
      <c r="P1352" s="36"/>
      <c r="Q1352" s="40"/>
      <c r="R1352" s="40"/>
      <c r="S1352" s="40"/>
      <c r="T1352" s="41"/>
      <c r="U1352" s="41"/>
      <c r="V1352" s="36"/>
      <c r="W1352" s="36"/>
      <c r="X1352" s="36"/>
      <c r="Y1352" s="36"/>
      <c r="Z1352" s="36"/>
      <c r="AA1352" s="36"/>
    </row>
    <row r="1353" spans="16:27" x14ac:dyDescent="0.2">
      <c r="P1353" s="36"/>
      <c r="Q1353" s="40"/>
      <c r="R1353" s="40"/>
      <c r="S1353" s="40"/>
      <c r="T1353" s="41"/>
      <c r="U1353" s="41"/>
      <c r="V1353" s="36"/>
      <c r="W1353" s="36"/>
      <c r="X1353" s="36"/>
      <c r="Y1353" s="36"/>
      <c r="Z1353" s="36"/>
      <c r="AA1353" s="36"/>
    </row>
    <row r="1354" spans="16:27" x14ac:dyDescent="0.2">
      <c r="P1354" s="36"/>
      <c r="Q1354" s="40"/>
      <c r="R1354" s="40"/>
      <c r="S1354" s="40"/>
      <c r="T1354" s="41"/>
      <c r="U1354" s="41"/>
      <c r="V1354" s="36"/>
      <c r="W1354" s="36"/>
      <c r="X1354" s="36"/>
      <c r="Y1354" s="36"/>
      <c r="Z1354" s="36"/>
      <c r="AA1354" s="36"/>
    </row>
    <row r="1355" spans="16:27" x14ac:dyDescent="0.2">
      <c r="P1355" s="36"/>
      <c r="Q1355" s="40"/>
      <c r="R1355" s="40"/>
      <c r="S1355" s="40"/>
      <c r="T1355" s="41"/>
      <c r="U1355" s="41"/>
      <c r="V1355" s="36"/>
      <c r="W1355" s="36"/>
      <c r="X1355" s="36"/>
      <c r="Y1355" s="36"/>
      <c r="Z1355" s="36"/>
      <c r="AA1355" s="36"/>
    </row>
    <row r="1356" spans="16:27" x14ac:dyDescent="0.2">
      <c r="P1356" s="36"/>
      <c r="Q1356" s="40"/>
      <c r="R1356" s="40"/>
      <c r="S1356" s="40"/>
      <c r="T1356" s="41"/>
      <c r="U1356" s="41"/>
      <c r="V1356" s="36"/>
      <c r="W1356" s="36"/>
      <c r="X1356" s="36"/>
      <c r="Y1356" s="36"/>
      <c r="Z1356" s="36"/>
      <c r="AA1356" s="36"/>
    </row>
    <row r="1357" spans="16:27" x14ac:dyDescent="0.2">
      <c r="P1357" s="36"/>
      <c r="Q1357" s="40"/>
      <c r="R1357" s="40"/>
      <c r="S1357" s="40"/>
      <c r="T1357" s="41"/>
      <c r="U1357" s="41"/>
      <c r="V1357" s="36"/>
      <c r="W1357" s="36"/>
      <c r="X1357" s="36"/>
      <c r="Y1357" s="36"/>
      <c r="Z1357" s="36"/>
      <c r="AA1357" s="36"/>
    </row>
    <row r="1358" spans="16:27" x14ac:dyDescent="0.2">
      <c r="P1358" s="36"/>
      <c r="Q1358" s="40"/>
      <c r="R1358" s="40"/>
      <c r="S1358" s="40"/>
      <c r="T1358" s="41"/>
      <c r="U1358" s="41"/>
      <c r="V1358" s="36"/>
      <c r="W1358" s="36"/>
      <c r="X1358" s="36"/>
      <c r="Y1358" s="36"/>
      <c r="Z1358" s="36"/>
      <c r="AA1358" s="36"/>
    </row>
    <row r="1359" spans="16:27" x14ac:dyDescent="0.2">
      <c r="P1359" s="36"/>
      <c r="Q1359" s="40"/>
      <c r="R1359" s="40"/>
      <c r="S1359" s="40"/>
      <c r="T1359" s="41"/>
      <c r="U1359" s="41"/>
      <c r="V1359" s="36"/>
      <c r="W1359" s="36"/>
      <c r="X1359" s="36"/>
      <c r="Y1359" s="36"/>
      <c r="Z1359" s="36"/>
      <c r="AA1359" s="36"/>
    </row>
    <row r="1360" spans="16:27" x14ac:dyDescent="0.2">
      <c r="P1360" s="36"/>
      <c r="Q1360" s="40"/>
      <c r="R1360" s="40"/>
      <c r="S1360" s="40"/>
      <c r="T1360" s="41"/>
      <c r="U1360" s="41"/>
      <c r="V1360" s="36"/>
      <c r="W1360" s="36"/>
      <c r="X1360" s="36"/>
      <c r="Y1360" s="36"/>
      <c r="Z1360" s="36"/>
      <c r="AA1360" s="36"/>
    </row>
    <row r="1361" spans="16:27" x14ac:dyDescent="0.2">
      <c r="P1361" s="36"/>
      <c r="Q1361" s="40"/>
      <c r="R1361" s="40"/>
      <c r="S1361" s="40"/>
      <c r="T1361" s="41"/>
      <c r="U1361" s="41"/>
      <c r="V1361" s="36"/>
      <c r="W1361" s="36"/>
      <c r="X1361" s="36"/>
      <c r="Y1361" s="36"/>
      <c r="Z1361" s="36"/>
      <c r="AA1361" s="36"/>
    </row>
    <row r="1362" spans="16:27" x14ac:dyDescent="0.2">
      <c r="P1362" s="36"/>
      <c r="Q1362" s="40"/>
      <c r="R1362" s="40"/>
      <c r="S1362" s="40"/>
      <c r="T1362" s="41"/>
      <c r="U1362" s="41"/>
      <c r="V1362" s="36"/>
      <c r="W1362" s="36"/>
      <c r="X1362" s="36"/>
      <c r="Y1362" s="36"/>
      <c r="Z1362" s="36"/>
      <c r="AA1362" s="36"/>
    </row>
    <row r="1363" spans="16:27" x14ac:dyDescent="0.2">
      <c r="P1363" s="36"/>
      <c r="Q1363" s="40"/>
      <c r="R1363" s="40"/>
      <c r="S1363" s="40"/>
      <c r="T1363" s="41"/>
      <c r="U1363" s="41"/>
      <c r="V1363" s="36"/>
      <c r="W1363" s="36"/>
      <c r="X1363" s="36"/>
      <c r="Y1363" s="36"/>
      <c r="Z1363" s="36"/>
      <c r="AA1363" s="36"/>
    </row>
    <row r="1364" spans="16:27" x14ac:dyDescent="0.2">
      <c r="P1364" s="36"/>
      <c r="Q1364" s="40"/>
      <c r="R1364" s="40"/>
      <c r="S1364" s="40"/>
      <c r="T1364" s="41"/>
      <c r="U1364" s="41"/>
      <c r="V1364" s="36"/>
      <c r="W1364" s="36"/>
      <c r="X1364" s="36"/>
      <c r="Y1364" s="36"/>
      <c r="Z1364" s="36"/>
      <c r="AA1364" s="36"/>
    </row>
    <row r="1365" spans="16:27" x14ac:dyDescent="0.2">
      <c r="P1365" s="36"/>
      <c r="Q1365" s="40"/>
      <c r="R1365" s="40"/>
      <c r="S1365" s="40"/>
      <c r="T1365" s="41"/>
      <c r="U1365" s="41"/>
      <c r="V1365" s="36"/>
      <c r="W1365" s="36"/>
      <c r="X1365" s="36"/>
      <c r="Y1365" s="36"/>
      <c r="Z1365" s="36"/>
      <c r="AA1365" s="36"/>
    </row>
    <row r="1366" spans="16:27" x14ac:dyDescent="0.2">
      <c r="P1366" s="36"/>
      <c r="Q1366" s="40"/>
      <c r="R1366" s="40"/>
      <c r="S1366" s="40"/>
      <c r="T1366" s="41"/>
      <c r="U1366" s="41"/>
      <c r="V1366" s="36"/>
      <c r="W1366" s="36"/>
      <c r="X1366" s="36"/>
      <c r="Y1366" s="36"/>
      <c r="Z1366" s="36"/>
      <c r="AA1366" s="36"/>
    </row>
    <row r="1367" spans="16:27" x14ac:dyDescent="0.2">
      <c r="P1367" s="36"/>
      <c r="Q1367" s="40"/>
      <c r="R1367" s="40"/>
      <c r="S1367" s="40"/>
      <c r="T1367" s="41"/>
      <c r="U1367" s="41"/>
      <c r="V1367" s="36"/>
      <c r="W1367" s="36"/>
      <c r="X1367" s="36"/>
      <c r="Y1367" s="36"/>
      <c r="Z1367" s="36"/>
      <c r="AA1367" s="36"/>
    </row>
    <row r="1368" spans="16:27" x14ac:dyDescent="0.2">
      <c r="P1368" s="36"/>
      <c r="Q1368" s="40"/>
      <c r="R1368" s="40"/>
      <c r="S1368" s="40"/>
      <c r="T1368" s="41"/>
      <c r="U1368" s="41"/>
      <c r="V1368" s="36"/>
      <c r="W1368" s="36"/>
      <c r="X1368" s="36"/>
      <c r="Y1368" s="36"/>
      <c r="Z1368" s="36"/>
      <c r="AA1368" s="36"/>
    </row>
    <row r="1369" spans="16:27" x14ac:dyDescent="0.2">
      <c r="P1369" s="36"/>
      <c r="Q1369" s="40"/>
      <c r="R1369" s="40"/>
      <c r="S1369" s="40"/>
      <c r="T1369" s="41"/>
      <c r="U1369" s="41"/>
      <c r="V1369" s="36"/>
      <c r="W1369" s="36"/>
      <c r="X1369" s="36"/>
      <c r="Y1369" s="36"/>
      <c r="Z1369" s="36"/>
      <c r="AA1369" s="36"/>
    </row>
    <row r="1370" spans="16:27" x14ac:dyDescent="0.2">
      <c r="P1370" s="36"/>
      <c r="Q1370" s="40"/>
      <c r="R1370" s="40"/>
      <c r="S1370" s="40"/>
      <c r="T1370" s="41"/>
      <c r="U1370" s="41"/>
      <c r="V1370" s="36"/>
      <c r="W1370" s="36"/>
      <c r="X1370" s="36"/>
      <c r="Y1370" s="36"/>
      <c r="Z1370" s="36"/>
      <c r="AA1370" s="36"/>
    </row>
    <row r="1371" spans="16:27" x14ac:dyDescent="0.2">
      <c r="P1371" s="36"/>
      <c r="Q1371" s="40"/>
      <c r="R1371" s="40"/>
      <c r="S1371" s="40"/>
      <c r="T1371" s="41"/>
      <c r="U1371" s="41"/>
      <c r="V1371" s="36"/>
      <c r="W1371" s="36"/>
      <c r="X1371" s="36"/>
      <c r="Y1371" s="36"/>
      <c r="Z1371" s="36"/>
      <c r="AA1371" s="36"/>
    </row>
    <row r="1372" spans="16:27" x14ac:dyDescent="0.2">
      <c r="P1372" s="36"/>
      <c r="Q1372" s="40"/>
      <c r="R1372" s="40"/>
      <c r="S1372" s="40"/>
      <c r="T1372" s="41"/>
      <c r="U1372" s="41"/>
      <c r="V1372" s="36"/>
      <c r="W1372" s="36"/>
      <c r="X1372" s="36"/>
      <c r="Y1372" s="36"/>
      <c r="Z1372" s="36"/>
      <c r="AA1372" s="36"/>
    </row>
    <row r="1373" spans="16:27" x14ac:dyDescent="0.2">
      <c r="P1373" s="36"/>
      <c r="Q1373" s="40"/>
      <c r="R1373" s="40"/>
      <c r="S1373" s="40"/>
      <c r="T1373" s="41"/>
      <c r="U1373" s="41"/>
      <c r="V1373" s="36"/>
      <c r="W1373" s="36"/>
      <c r="X1373" s="36"/>
      <c r="Y1373" s="36"/>
      <c r="Z1373" s="36"/>
      <c r="AA1373" s="36"/>
    </row>
    <row r="1374" spans="16:27" x14ac:dyDescent="0.2">
      <c r="P1374" s="36"/>
      <c r="Q1374" s="40"/>
      <c r="R1374" s="40"/>
      <c r="S1374" s="40"/>
      <c r="T1374" s="41"/>
      <c r="U1374" s="41"/>
      <c r="V1374" s="36"/>
      <c r="W1374" s="36"/>
      <c r="X1374" s="36"/>
      <c r="Y1374" s="36"/>
      <c r="Z1374" s="36"/>
      <c r="AA1374" s="36"/>
    </row>
    <row r="1375" spans="16:27" x14ac:dyDescent="0.2"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</row>
    <row r="1376" spans="16:27" x14ac:dyDescent="0.2"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</row>
    <row r="1377" spans="16:27" x14ac:dyDescent="0.2"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</row>
    <row r="1378" spans="16:27" x14ac:dyDescent="0.2"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</row>
    <row r="1379" spans="16:27" x14ac:dyDescent="0.2"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</row>
    <row r="1380" spans="16:27" x14ac:dyDescent="0.2"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</row>
    <row r="1381" spans="16:27" x14ac:dyDescent="0.2"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</row>
    <row r="1382" spans="16:27" x14ac:dyDescent="0.2"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</row>
    <row r="1383" spans="16:27" x14ac:dyDescent="0.2"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</row>
    <row r="1384" spans="16:27" x14ac:dyDescent="0.2"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</row>
    <row r="1385" spans="16:27" x14ac:dyDescent="0.2"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</row>
    <row r="1386" spans="16:27" x14ac:dyDescent="0.2"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</row>
    <row r="1387" spans="16:27" x14ac:dyDescent="0.2"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</row>
    <row r="1388" spans="16:27" x14ac:dyDescent="0.2"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</row>
    <row r="1389" spans="16:27" x14ac:dyDescent="0.2"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</row>
    <row r="1390" spans="16:27" x14ac:dyDescent="0.2"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</row>
    <row r="1391" spans="16:27" x14ac:dyDescent="0.2"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</row>
    <row r="1392" spans="16:27" x14ac:dyDescent="0.2"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</row>
    <row r="1393" spans="16:27" x14ac:dyDescent="0.2"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</row>
    <row r="1394" spans="16:27" x14ac:dyDescent="0.2"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</row>
    <row r="1395" spans="16:27" x14ac:dyDescent="0.2"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</row>
    <row r="1396" spans="16:27" x14ac:dyDescent="0.2"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</row>
    <row r="1397" spans="16:27" x14ac:dyDescent="0.2"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</row>
    <row r="1398" spans="16:27" x14ac:dyDescent="0.2"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</row>
    <row r="1399" spans="16:27" x14ac:dyDescent="0.2"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</row>
    <row r="1400" spans="16:27" x14ac:dyDescent="0.2"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</row>
    <row r="1401" spans="16:27" x14ac:dyDescent="0.2"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</row>
    <row r="1402" spans="16:27" x14ac:dyDescent="0.2"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</row>
    <row r="1403" spans="16:27" x14ac:dyDescent="0.2"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</row>
    <row r="1404" spans="16:27" x14ac:dyDescent="0.2"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</row>
    <row r="1405" spans="16:27" x14ac:dyDescent="0.2"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</row>
    <row r="1406" spans="16:27" x14ac:dyDescent="0.2"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</row>
    <row r="1407" spans="16:27" x14ac:dyDescent="0.2"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</row>
    <row r="1408" spans="16:27" x14ac:dyDescent="0.2"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</row>
    <row r="1409" spans="16:27" x14ac:dyDescent="0.2"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</row>
    <row r="1410" spans="16:27" x14ac:dyDescent="0.2"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</row>
    <row r="1411" spans="16:27" x14ac:dyDescent="0.2"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</row>
    <row r="1412" spans="16:27" x14ac:dyDescent="0.2"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</row>
    <row r="1413" spans="16:27" x14ac:dyDescent="0.2"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</row>
    <row r="1414" spans="16:27" x14ac:dyDescent="0.2"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</row>
    <row r="1415" spans="16:27" x14ac:dyDescent="0.2"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</row>
    <row r="1416" spans="16:27" x14ac:dyDescent="0.2"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</row>
    <row r="1417" spans="16:27" x14ac:dyDescent="0.2"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</row>
    <row r="1418" spans="16:27" x14ac:dyDescent="0.2"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</row>
    <row r="1419" spans="16:27" x14ac:dyDescent="0.2"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</row>
    <row r="1420" spans="16:27" x14ac:dyDescent="0.2"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</row>
    <row r="1421" spans="16:27" x14ac:dyDescent="0.2"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</row>
    <row r="1422" spans="16:27" x14ac:dyDescent="0.2"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</row>
    <row r="1423" spans="16:27" x14ac:dyDescent="0.2"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</row>
    <row r="1424" spans="16:27" x14ac:dyDescent="0.2"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</row>
    <row r="1425" spans="16:27" x14ac:dyDescent="0.2"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</row>
    <row r="1426" spans="16:27" x14ac:dyDescent="0.2"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</row>
    <row r="1427" spans="16:27" x14ac:dyDescent="0.2"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</row>
    <row r="1428" spans="16:27" x14ac:dyDescent="0.2"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</row>
    <row r="1429" spans="16:27" x14ac:dyDescent="0.2"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</row>
    <row r="1430" spans="16:27" x14ac:dyDescent="0.2"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</row>
    <row r="1431" spans="16:27" x14ac:dyDescent="0.2"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</row>
    <row r="1432" spans="16:27" x14ac:dyDescent="0.2"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</row>
    <row r="1433" spans="16:27" x14ac:dyDescent="0.2"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</row>
    <row r="1434" spans="16:27" x14ac:dyDescent="0.2"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</row>
    <row r="1435" spans="16:27" x14ac:dyDescent="0.2"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</row>
    <row r="1436" spans="16:27" x14ac:dyDescent="0.2"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</row>
    <row r="1437" spans="16:27" x14ac:dyDescent="0.2"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</row>
    <row r="1438" spans="16:27" x14ac:dyDescent="0.2"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</row>
    <row r="1439" spans="16:27" x14ac:dyDescent="0.2"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</row>
    <row r="1440" spans="16:27" x14ac:dyDescent="0.2"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</row>
    <row r="1441" spans="16:27" x14ac:dyDescent="0.2"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</row>
    <row r="1442" spans="16:27" x14ac:dyDescent="0.2"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</row>
    <row r="1443" spans="16:27" x14ac:dyDescent="0.2"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</row>
    <row r="1444" spans="16:27" x14ac:dyDescent="0.2"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</row>
    <row r="1445" spans="16:27" x14ac:dyDescent="0.2"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</row>
    <row r="1446" spans="16:27" x14ac:dyDescent="0.2"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</row>
    <row r="1447" spans="16:27" x14ac:dyDescent="0.2"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</row>
    <row r="1448" spans="16:27" x14ac:dyDescent="0.2"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</row>
    <row r="1449" spans="16:27" x14ac:dyDescent="0.2"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</row>
    <row r="1450" spans="16:27" x14ac:dyDescent="0.2"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</row>
    <row r="1451" spans="16:27" x14ac:dyDescent="0.2"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</row>
    <row r="1452" spans="16:27" x14ac:dyDescent="0.2"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</row>
    <row r="1453" spans="16:27" x14ac:dyDescent="0.2"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</row>
    <row r="1454" spans="16:27" x14ac:dyDescent="0.2"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</row>
    <row r="1455" spans="16:27" x14ac:dyDescent="0.2"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</row>
    <row r="1456" spans="16:27" x14ac:dyDescent="0.2"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</row>
    <row r="1457" spans="16:27" x14ac:dyDescent="0.2"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</row>
    <row r="1458" spans="16:27" x14ac:dyDescent="0.2"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</row>
    <row r="1459" spans="16:27" x14ac:dyDescent="0.2"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</row>
    <row r="1460" spans="16:27" x14ac:dyDescent="0.2"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</row>
    <row r="1461" spans="16:27" x14ac:dyDescent="0.2"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</row>
    <row r="1462" spans="16:27" x14ac:dyDescent="0.2"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</row>
    <row r="1463" spans="16:27" x14ac:dyDescent="0.2"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</row>
    <row r="1464" spans="16:27" x14ac:dyDescent="0.2"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</row>
    <row r="1465" spans="16:27" x14ac:dyDescent="0.2"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</row>
    <row r="1466" spans="16:27" x14ac:dyDescent="0.2"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</row>
    <row r="1467" spans="16:27" x14ac:dyDescent="0.2"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</row>
    <row r="1468" spans="16:27" x14ac:dyDescent="0.2"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</row>
    <row r="1469" spans="16:27" x14ac:dyDescent="0.2"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</row>
    <row r="1470" spans="16:27" x14ac:dyDescent="0.2"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</row>
    <row r="1471" spans="16:27" x14ac:dyDescent="0.2"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</row>
    <row r="1472" spans="16:27" x14ac:dyDescent="0.2"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</row>
    <row r="1473" spans="16:27" x14ac:dyDescent="0.2"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</row>
    <row r="1474" spans="16:27" x14ac:dyDescent="0.2"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</row>
    <row r="1475" spans="16:27" x14ac:dyDescent="0.2"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</row>
    <row r="1476" spans="16:27" x14ac:dyDescent="0.2"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</row>
    <row r="1477" spans="16:27" x14ac:dyDescent="0.2"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</row>
    <row r="1478" spans="16:27" x14ac:dyDescent="0.2"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</row>
    <row r="1479" spans="16:27" x14ac:dyDescent="0.2"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</row>
    <row r="1480" spans="16:27" x14ac:dyDescent="0.2"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</row>
    <row r="1481" spans="16:27" x14ac:dyDescent="0.2"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</row>
    <row r="1482" spans="16:27" x14ac:dyDescent="0.2"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</row>
    <row r="1483" spans="16:27" x14ac:dyDescent="0.2"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</row>
    <row r="1484" spans="16:27" x14ac:dyDescent="0.2"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</row>
    <row r="1485" spans="16:27" x14ac:dyDescent="0.2"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</row>
    <row r="1486" spans="16:27" x14ac:dyDescent="0.2"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</row>
    <row r="1487" spans="16:27" x14ac:dyDescent="0.2"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</row>
    <row r="1488" spans="16:27" x14ac:dyDescent="0.2"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</row>
    <row r="1489" spans="16:27" x14ac:dyDescent="0.2"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</row>
    <row r="1490" spans="16:27" x14ac:dyDescent="0.2"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</row>
    <row r="1491" spans="16:27" x14ac:dyDescent="0.2"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</row>
    <row r="1492" spans="16:27" x14ac:dyDescent="0.2"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</row>
    <row r="1493" spans="16:27" x14ac:dyDescent="0.2"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</row>
    <row r="1494" spans="16:27" x14ac:dyDescent="0.2"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</row>
    <row r="1495" spans="16:27" x14ac:dyDescent="0.2"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</row>
    <row r="1496" spans="16:27" x14ac:dyDescent="0.2"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</row>
    <row r="1497" spans="16:27" x14ac:dyDescent="0.2"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</row>
    <row r="1498" spans="16:27" x14ac:dyDescent="0.2"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</row>
    <row r="1499" spans="16:27" x14ac:dyDescent="0.2"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</row>
    <row r="1500" spans="16:27" x14ac:dyDescent="0.2"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</row>
    <row r="1501" spans="16:27" x14ac:dyDescent="0.2"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</row>
    <row r="1502" spans="16:27" x14ac:dyDescent="0.2"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</row>
    <row r="1503" spans="16:27" x14ac:dyDescent="0.2"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</row>
    <row r="1504" spans="16:27" x14ac:dyDescent="0.2"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</row>
    <row r="1505" spans="16:27" x14ac:dyDescent="0.2"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</row>
    <row r="1506" spans="16:27" x14ac:dyDescent="0.2"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</row>
    <row r="1507" spans="16:27" x14ac:dyDescent="0.2"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</row>
    <row r="1508" spans="16:27" x14ac:dyDescent="0.2"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</row>
    <row r="1509" spans="16:27" x14ac:dyDescent="0.2"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</row>
    <row r="1510" spans="16:27" x14ac:dyDescent="0.2"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</row>
    <row r="1511" spans="16:27" x14ac:dyDescent="0.2"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</row>
    <row r="1512" spans="16:27" x14ac:dyDescent="0.2"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</row>
    <row r="1513" spans="16:27" x14ac:dyDescent="0.2"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</row>
    <row r="1514" spans="16:27" x14ac:dyDescent="0.2"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</row>
    <row r="1515" spans="16:27" x14ac:dyDescent="0.2"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</row>
    <row r="1516" spans="16:27" x14ac:dyDescent="0.2"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</row>
    <row r="1517" spans="16:27" x14ac:dyDescent="0.2"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</row>
    <row r="1518" spans="16:27" x14ac:dyDescent="0.2"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</row>
    <row r="1519" spans="16:27" x14ac:dyDescent="0.2"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</row>
    <row r="1520" spans="16:27" x14ac:dyDescent="0.2"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</row>
    <row r="1521" spans="16:27" x14ac:dyDescent="0.2"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</row>
    <row r="1522" spans="16:27" x14ac:dyDescent="0.2"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</row>
    <row r="1523" spans="16:27" x14ac:dyDescent="0.2"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</row>
    <row r="1524" spans="16:27" x14ac:dyDescent="0.2"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</row>
    <row r="1525" spans="16:27" x14ac:dyDescent="0.2"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</row>
    <row r="1526" spans="16:27" x14ac:dyDescent="0.2"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</row>
    <row r="1527" spans="16:27" x14ac:dyDescent="0.2"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</row>
    <row r="1528" spans="16:27" x14ac:dyDescent="0.2"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</row>
    <row r="1529" spans="16:27" x14ac:dyDescent="0.2"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</row>
    <row r="1530" spans="16:27" x14ac:dyDescent="0.2"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</row>
    <row r="1531" spans="16:27" x14ac:dyDescent="0.2"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</row>
    <row r="1532" spans="16:27" x14ac:dyDescent="0.2"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</row>
    <row r="1533" spans="16:27" x14ac:dyDescent="0.2"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</row>
    <row r="1534" spans="16:27" x14ac:dyDescent="0.2"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</row>
    <row r="1535" spans="16:27" x14ac:dyDescent="0.2"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</row>
    <row r="1536" spans="16:27" x14ac:dyDescent="0.2"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</row>
    <row r="1537" spans="16:27" x14ac:dyDescent="0.2"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</row>
    <row r="1538" spans="16:27" x14ac:dyDescent="0.2"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</row>
    <row r="1539" spans="16:27" x14ac:dyDescent="0.2"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</row>
    <row r="1540" spans="16:27" x14ac:dyDescent="0.2"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</row>
    <row r="1541" spans="16:27" x14ac:dyDescent="0.2"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</row>
    <row r="1542" spans="16:27" x14ac:dyDescent="0.2"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</row>
    <row r="1543" spans="16:27" x14ac:dyDescent="0.2"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</row>
    <row r="1544" spans="16:27" x14ac:dyDescent="0.2"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</row>
    <row r="1545" spans="16:27" x14ac:dyDescent="0.2"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</row>
    <row r="1546" spans="16:27" x14ac:dyDescent="0.2"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</row>
    <row r="1547" spans="16:27" x14ac:dyDescent="0.2"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</row>
    <row r="1548" spans="16:27" x14ac:dyDescent="0.2"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</row>
    <row r="1549" spans="16:27" x14ac:dyDescent="0.2"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</row>
    <row r="1550" spans="16:27" x14ac:dyDescent="0.2"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</row>
    <row r="1551" spans="16:27" x14ac:dyDescent="0.2"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</row>
    <row r="1552" spans="16:27" x14ac:dyDescent="0.2"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</row>
    <row r="1553" spans="16:27" x14ac:dyDescent="0.2"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</row>
    <row r="1554" spans="16:27" x14ac:dyDescent="0.2"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</row>
    <row r="1555" spans="16:27" x14ac:dyDescent="0.2"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</row>
    <row r="1556" spans="16:27" x14ac:dyDescent="0.2"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</row>
    <row r="1557" spans="16:27" x14ac:dyDescent="0.2"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</row>
    <row r="1558" spans="16:27" x14ac:dyDescent="0.2"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</row>
    <row r="1559" spans="16:27" x14ac:dyDescent="0.2"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</row>
    <row r="1560" spans="16:27" x14ac:dyDescent="0.2"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</row>
    <row r="1561" spans="16:27" x14ac:dyDescent="0.2"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</row>
    <row r="1562" spans="16:27" x14ac:dyDescent="0.2"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</row>
    <row r="1563" spans="16:27" x14ac:dyDescent="0.2"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</row>
    <row r="1564" spans="16:27" x14ac:dyDescent="0.2"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</row>
    <row r="1565" spans="16:27" x14ac:dyDescent="0.2"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</row>
    <row r="1566" spans="16:27" x14ac:dyDescent="0.2"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</row>
    <row r="1567" spans="16:27" x14ac:dyDescent="0.2"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</row>
    <row r="1568" spans="16:27" x14ac:dyDescent="0.2"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</row>
    <row r="1569" spans="16:27" x14ac:dyDescent="0.2"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</row>
    <row r="1570" spans="16:27" x14ac:dyDescent="0.2"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</row>
    <row r="1571" spans="16:27" x14ac:dyDescent="0.2"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</row>
    <row r="1572" spans="16:27" x14ac:dyDescent="0.2"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</row>
    <row r="1573" spans="16:27" x14ac:dyDescent="0.2"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</row>
    <row r="1574" spans="16:27" x14ac:dyDescent="0.2"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</row>
    <row r="1575" spans="16:27" x14ac:dyDescent="0.2"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</row>
    <row r="1576" spans="16:27" x14ac:dyDescent="0.2"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</row>
    <row r="1577" spans="16:27" x14ac:dyDescent="0.2"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</row>
    <row r="1578" spans="16:27" x14ac:dyDescent="0.2"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</row>
    <row r="1579" spans="16:27" x14ac:dyDescent="0.2"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</row>
    <row r="1580" spans="16:27" x14ac:dyDescent="0.2"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</row>
    <row r="1581" spans="16:27" x14ac:dyDescent="0.2"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</row>
    <row r="1582" spans="16:27" x14ac:dyDescent="0.2"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</row>
    <row r="1583" spans="16:27" x14ac:dyDescent="0.2"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</row>
    <row r="1584" spans="16:27" x14ac:dyDescent="0.2"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</row>
    <row r="1585" spans="16:27" x14ac:dyDescent="0.2"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</row>
    <row r="1586" spans="16:27" x14ac:dyDescent="0.2"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</row>
    <row r="1587" spans="16:27" x14ac:dyDescent="0.2"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</row>
    <row r="1588" spans="16:27" x14ac:dyDescent="0.2">
      <c r="P1588" s="36"/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</row>
    <row r="1589" spans="16:27" x14ac:dyDescent="0.2">
      <c r="P1589" s="36"/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</row>
    <row r="1590" spans="16:27" x14ac:dyDescent="0.2">
      <c r="P1590" s="36"/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</row>
    <row r="1591" spans="16:27" x14ac:dyDescent="0.2">
      <c r="P1591" s="36"/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</row>
    <row r="1592" spans="16:27" x14ac:dyDescent="0.2">
      <c r="P1592" s="36"/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</row>
    <row r="1593" spans="16:27" x14ac:dyDescent="0.2">
      <c r="P1593" s="36"/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</row>
    <row r="1594" spans="16:27" x14ac:dyDescent="0.2">
      <c r="P1594" s="36"/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</row>
    <row r="1595" spans="16:27" x14ac:dyDescent="0.2">
      <c r="P1595" s="36"/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</row>
    <row r="1596" spans="16:27" x14ac:dyDescent="0.2">
      <c r="P1596" s="36"/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</row>
    <row r="1597" spans="16:27" x14ac:dyDescent="0.2">
      <c r="P1597" s="36"/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</row>
    <row r="1598" spans="16:27" x14ac:dyDescent="0.2">
      <c r="P1598" s="36"/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</row>
    <row r="1599" spans="16:27" x14ac:dyDescent="0.2"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</row>
    <row r="1600" spans="16:27" x14ac:dyDescent="0.2"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</row>
    <row r="1601" spans="16:27" x14ac:dyDescent="0.2"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</row>
    <row r="1602" spans="16:27" x14ac:dyDescent="0.2"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</row>
    <row r="1603" spans="16:27" x14ac:dyDescent="0.2"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</row>
    <row r="1604" spans="16:27" x14ac:dyDescent="0.2"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</row>
    <row r="1605" spans="16:27" x14ac:dyDescent="0.2"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</row>
    <row r="1606" spans="16:27" x14ac:dyDescent="0.2"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</row>
    <row r="1607" spans="16:27" x14ac:dyDescent="0.2"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</row>
    <row r="1608" spans="16:27" x14ac:dyDescent="0.2"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</row>
    <row r="1609" spans="16:27" x14ac:dyDescent="0.2"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</row>
    <row r="1610" spans="16:27" x14ac:dyDescent="0.2"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</row>
    <row r="1611" spans="16:27" x14ac:dyDescent="0.2"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</row>
    <row r="1612" spans="16:27" x14ac:dyDescent="0.2"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</row>
    <row r="1613" spans="16:27" x14ac:dyDescent="0.2"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</row>
    <row r="1614" spans="16:27" x14ac:dyDescent="0.2"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</row>
    <row r="1615" spans="16:27" x14ac:dyDescent="0.2"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</row>
    <row r="1616" spans="16:27" x14ac:dyDescent="0.2"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</row>
    <row r="1617" spans="16:27" x14ac:dyDescent="0.2"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</row>
    <row r="1618" spans="16:27" x14ac:dyDescent="0.2"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Length4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9</xdr:row>
                    <xdr:rowOff>123825</xdr:rowOff>
                  </from>
                  <to>
                    <xdr:col>29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Length1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</xdr:row>
                    <xdr:rowOff>276225</xdr:rowOff>
                  </from>
                  <to>
                    <xdr:col>29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Length7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18</xdr:row>
                    <xdr:rowOff>0</xdr:rowOff>
                  </from>
                  <to>
                    <xdr:col>29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Length2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4</xdr:row>
                    <xdr:rowOff>38100</xdr:rowOff>
                  </from>
                  <to>
                    <xdr:col>29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Length3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7</xdr:row>
                    <xdr:rowOff>0</xdr:rowOff>
                  </from>
                  <to>
                    <xdr:col>29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Length5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12</xdr:row>
                    <xdr:rowOff>66675</xdr:rowOff>
                  </from>
                  <to>
                    <xdr:col>29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Length6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15</xdr:row>
                    <xdr:rowOff>19050</xdr:rowOff>
                  </from>
                  <to>
                    <xdr:col>29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A1618"/>
  <sheetViews>
    <sheetView showGridLines="0" topLeftCell="K1" workbookViewId="0">
      <selection activeCell="M6" sqref="M6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6" style="33" bestFit="1" customWidth="1"/>
    <col min="15" max="15" width="3" style="33" bestFit="1" customWidth="1"/>
    <col min="16" max="16" width="6" style="33" bestFit="1" customWidth="1"/>
    <col min="17" max="18" width="17.28515625" style="33" bestFit="1" customWidth="1"/>
    <col min="19" max="19" width="17.28515625" style="33" customWidth="1"/>
    <col min="20" max="22" width="9.7109375" style="33" customWidth="1"/>
    <col min="23" max="25" width="9" style="33" hidden="1" customWidth="1" outlineLevel="1"/>
    <col min="26" max="26" width="12" style="33" customWidth="1" collapsed="1"/>
    <col min="27" max="27" width="12" style="33" customWidth="1"/>
    <col min="28" max="32" width="9.140625" style="33"/>
    <col min="33" max="33" width="15.140625" style="33" bestFit="1" customWidth="1"/>
    <col min="34" max="35" width="9.140625" style="33"/>
    <col min="36" max="36" width="13.140625" style="33" bestFit="1" customWidth="1"/>
    <col min="37" max="16384" width="9.140625" style="33"/>
  </cols>
  <sheetData>
    <row r="1" spans="1:27" x14ac:dyDescent="0.2">
      <c r="A1" s="14" t="s">
        <v>25</v>
      </c>
      <c r="B1" s="14"/>
      <c r="C1" s="14"/>
      <c r="D1" s="14"/>
      <c r="E1" s="14"/>
      <c r="F1" s="14" t="s">
        <v>26</v>
      </c>
      <c r="G1" s="14"/>
      <c r="H1" s="14"/>
      <c r="I1" s="14"/>
      <c r="J1" s="14"/>
      <c r="T1" s="42"/>
      <c r="U1" s="42"/>
      <c r="V1" s="34"/>
      <c r="W1" s="34"/>
      <c r="X1" s="34"/>
      <c r="Y1" s="34"/>
    </row>
    <row r="2" spans="1:27" ht="22.5" customHeight="1" x14ac:dyDescent="0.2">
      <c r="A2" s="15" t="s">
        <v>27</v>
      </c>
      <c r="B2" s="15" t="s">
        <v>28</v>
      </c>
      <c r="C2" s="15" t="s">
        <v>29</v>
      </c>
      <c r="D2" s="15" t="s">
        <v>30</v>
      </c>
      <c r="E2" s="15" t="s">
        <v>31</v>
      </c>
      <c r="F2" s="15" t="s">
        <v>28</v>
      </c>
      <c r="G2" s="15" t="s">
        <v>30</v>
      </c>
      <c r="H2" s="15" t="s">
        <v>31</v>
      </c>
      <c r="I2" s="15" t="s">
        <v>32</v>
      </c>
      <c r="J2" s="15" t="s">
        <v>33</v>
      </c>
      <c r="Q2" s="45" t="s">
        <v>22</v>
      </c>
      <c r="R2" s="45" t="s">
        <v>23</v>
      </c>
      <c r="S2" s="45" t="s">
        <v>55</v>
      </c>
      <c r="T2" s="45" t="s">
        <v>24</v>
      </c>
      <c r="U2" s="45" t="str">
        <f>"F "&amp;$M$3</f>
        <v>F 3M</v>
      </c>
      <c r="V2" s="45" t="s">
        <v>36</v>
      </c>
      <c r="W2" s="45" t="s">
        <v>37</v>
      </c>
      <c r="X2" s="45" t="s">
        <v>56</v>
      </c>
      <c r="Y2" s="45" t="s">
        <v>44</v>
      </c>
      <c r="Z2" s="45" t="s">
        <v>43</v>
      </c>
      <c r="AA2" s="45" t="s">
        <v>52</v>
      </c>
    </row>
    <row r="3" spans="1:27" x14ac:dyDescent="0.2">
      <c r="A3" s="18" t="str">
        <f>_xll.qlPeriodEquivalent(C3&amp;"M")</f>
        <v>1Y</v>
      </c>
      <c r="B3" s="10">
        <f>_xll.qlDateEndOfMonth(EDATE(_xll.qlSettingsEvaluationDate(Trigger),-1))</f>
        <v>42247</v>
      </c>
      <c r="C3" s="11">
        <v>12</v>
      </c>
      <c r="D3" s="10">
        <f>EDATE($Q$3,C3)</f>
        <v>42643</v>
      </c>
      <c r="E3" s="12">
        <f>IF(C3&lt;=12,1,IF(C3&lt;=24,3,IF(C3&lt;=120,6,IF(C3&lt;=240,12,IF(C3&lt;=360,36,60)))))</f>
        <v>1</v>
      </c>
      <c r="F3" s="16">
        <f>ROUNDDOWN(I3*10,2)/10</f>
        <v>1E-3</v>
      </c>
      <c r="G3" s="17">
        <f>IF(J3-I3&gt;1%,(QUOTIENT(J3*10000,50)+1)*0.5%,(QUOTIENT(J3*10000,10)+1)*0.1%)</f>
        <v>2E-3</v>
      </c>
      <c r="H3" s="12">
        <f>IF(G3-F3&lt;0.5%,0.025%,IF(G3-F3&lt;1%,0.1%,IF(G3-F3&lt;2%,0.25%,0.5%)))</f>
        <v>2.5000000000000001E-4</v>
      </c>
      <c r="I3" s="17">
        <f>MIN(_xll.ohPack($V$3:INDEX($V$3:$V$135,MATCH(D3+1,$R$3:$R$135,1),1)))</f>
        <v>1.0297659898387229E-3</v>
      </c>
      <c r="J3" s="17">
        <f>MAX(_xll.ohPack($V$3:INDEX($V$3:$V$135,MATCH(D3+1,$R$3:$R$135,1),1)))</f>
        <v>1.330583310633175E-3</v>
      </c>
      <c r="L3" s="46" t="s">
        <v>21</v>
      </c>
      <c r="M3" s="35" t="s">
        <v>0</v>
      </c>
      <c r="N3" s="36"/>
      <c r="O3" s="33">
        <v>0</v>
      </c>
      <c r="P3" s="26" t="str">
        <f>O3&amp;"M"</f>
        <v>0M</v>
      </c>
      <c r="Q3" s="28">
        <f>EvaluationDate</f>
        <v>42277</v>
      </c>
      <c r="R3" s="28">
        <f>_xll.qlInterestRateIndexValueDate(Index,Q3,Trigger)</f>
        <v>42279</v>
      </c>
      <c r="S3" s="28">
        <f>_xll.qlInterestRateIndexMaturity(Index,R3,Trigger)</f>
        <v>42373</v>
      </c>
      <c r="T3" s="30">
        <f>_xll.qlIndexFixing($M$6,Q3,,InterestRatesTrigger)</f>
        <v>-1.4297659898387229E-3</v>
      </c>
      <c r="U3" s="30">
        <f>_xll.qlIndexFixing(Index,Q3,,InterestRatesTrigger)</f>
        <v>-4.0000000000000002E-4</v>
      </c>
      <c r="V3" s="30">
        <f>U3-T3</f>
        <v>1.0297659898387229E-3</v>
      </c>
      <c r="W3" s="29">
        <f>_xll.qlDayCounterYearFraction(DayCounter,SettlementDate,R3,,,Trigger)</f>
        <v>0</v>
      </c>
      <c r="X3" s="29">
        <f>_xll.qlDayCounterYearFraction(DayCounter,R3,S3)</f>
        <v>0.26111111111111113</v>
      </c>
      <c r="Y3" s="29">
        <f>_xll.qlYieldTSDiscount(Currency&amp;"ON",R3)/(1+U3*X3)</f>
        <v>1.0001108449411047</v>
      </c>
      <c r="Z3" s="30">
        <f>_xll.qlTenorBasisValue(TenorBasis6M,R3,InterestRatesTrigger)</f>
        <v>1.0450844441487052E-3</v>
      </c>
      <c r="AA3" s="30">
        <f>V3-Z3</f>
        <v>-1.5318454309982271E-5</v>
      </c>
    </row>
    <row r="4" spans="1:27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42277</v>
      </c>
      <c r="C4" s="11">
        <v>24</v>
      </c>
      <c r="D4" s="10">
        <f t="shared" ref="D4:D9" si="0">EDATE($Q$3,C4)</f>
        <v>43008</v>
      </c>
      <c r="E4" s="12">
        <f t="shared" ref="E4:E9" si="1">IF(C4&lt;=12,1,IF(C4&lt;=24,3,IF(C4&lt;=120,6,IF(C4&lt;=240,12,IF(C4&lt;=360,36,60)))))</f>
        <v>3</v>
      </c>
      <c r="F4" s="16">
        <f t="shared" ref="F4:F9" si="2">ROUNDDOWN(I4*10,2)/10</f>
        <v>1E-3</v>
      </c>
      <c r="G4" s="17">
        <f t="shared" ref="G4:G9" si="3">IF(J4-I4&gt;1%,(QUOTIENT(J4*10000,50)+1)*0.5%,(QUOTIENT(J4*10000,10)+1)*0.1%)</f>
        <v>2E-3</v>
      </c>
      <c r="H4" s="12">
        <f t="shared" ref="H4:H9" si="4">IF(G4-F4&lt;0.5%,0.025%,IF(G4-F4&lt;1%,0.1%,IF(G4-F4&lt;2%,0.25%,0.5%)))</f>
        <v>2.5000000000000001E-4</v>
      </c>
      <c r="I4" s="17">
        <f>MIN(_xll.ohPack($V$3:INDEX($V$3:$V$135,MATCH(D4+1,$R$3:$R$135,1),1)))</f>
        <v>1.0297659898387229E-3</v>
      </c>
      <c r="J4" s="17">
        <f>MAX(_xll.ohPack($V$3:INDEX($V$3:$V$135,MATCH(D4+1,$R$3:$R$135,1),1)))</f>
        <v>1.5287792397281185E-3</v>
      </c>
      <c r="N4" s="36"/>
      <c r="O4" s="33">
        <v>1</v>
      </c>
      <c r="P4" s="26" t="str">
        <f>_xll.qlPeriodEquivalent(P3&amp;"+"&amp;O4&amp;"M")</f>
        <v>1M</v>
      </c>
      <c r="Q4" s="28">
        <f>_xll.qlCalendarAdvance(Calendar,SettlementDate,P4,"f",,Trigger)</f>
        <v>42310</v>
      </c>
      <c r="R4" s="28">
        <f>_xll.qlInterestRateIndexValueDate(Index,Q4,Trigger)</f>
        <v>42312</v>
      </c>
      <c r="S4" s="28">
        <f>_xll.qlInterestRateIndexMaturity(Index,R4,Trigger)</f>
        <v>42404</v>
      </c>
      <c r="T4" s="30">
        <f>_xll.qlIndexFixing($M$6,Q4,,InterestRatesTrigger)</f>
        <v>-1.524384543805295E-3</v>
      </c>
      <c r="U4" s="30">
        <f>_xll.qlIndexFixing(Index,Q4,,InterestRatesTrigger)</f>
        <v>-4.4018230525490746E-4</v>
      </c>
      <c r="V4" s="30">
        <f t="shared" ref="V4:V67" si="5">U4-T4</f>
        <v>1.0842022385503876E-3</v>
      </c>
      <c r="W4" s="29">
        <f>_xll.qlDayCounterYearFraction(DayCounter,SettlementDate,R4,,,Trigger)</f>
        <v>9.166666666666666E-2</v>
      </c>
      <c r="X4" s="29">
        <f>_xll.qlDayCounterYearFraction(DayCounter,R4,S4)</f>
        <v>0.25555555555555554</v>
      </c>
      <c r="Y4" s="29">
        <f>_xll.qlYieldTSDiscount(Currency&amp;"ON",R4)/(1+U4*X4)</f>
        <v>1.0002474119437783</v>
      </c>
      <c r="Z4" s="30">
        <f>_xll.qlTenorBasisValue(TenorBasis6M,R4,InterestRatesTrigger)</f>
        <v>1.0793342408209287E-3</v>
      </c>
      <c r="AA4" s="30">
        <f t="shared" ref="AA4:AA67" si="6">V4-Z4</f>
        <v>4.8679977294589262E-6</v>
      </c>
    </row>
    <row r="5" spans="1:27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5" s="11">
        <v>60</v>
      </c>
      <c r="D5" s="10">
        <f t="shared" si="0"/>
        <v>44104</v>
      </c>
      <c r="E5" s="12">
        <f t="shared" si="1"/>
        <v>6</v>
      </c>
      <c r="F5" s="16">
        <f t="shared" si="2"/>
        <v>1E-3</v>
      </c>
      <c r="G5" s="17">
        <f t="shared" si="3"/>
        <v>2E-3</v>
      </c>
      <c r="H5" s="12">
        <f t="shared" si="4"/>
        <v>2.5000000000000001E-4</v>
      </c>
      <c r="I5" s="17">
        <f>MIN(_xll.ohPack($V$3:INDEX($V$3:$V$135,MATCH(D5+1,$R$3:$R$135,1),1)))</f>
        <v>1.0297659898387229E-3</v>
      </c>
      <c r="J5" s="17">
        <f>MAX(_xll.ohPack($V$3:INDEX($V$3:$V$135,MATCH(D5+1,$R$3:$R$135,1),1)))</f>
        <v>1.8017210665713899E-3</v>
      </c>
      <c r="L5" s="46" t="s">
        <v>20</v>
      </c>
      <c r="M5" s="35" t="str">
        <f>PROPER(Currency)&amp;IborType&amp;M3</f>
        <v>Euribor3M</v>
      </c>
      <c r="O5" s="33">
        <v>1</v>
      </c>
      <c r="P5" s="27" t="str">
        <f>_xll.qlPeriodEquivalent(P4&amp;"+"&amp;O5&amp;"M")</f>
        <v>2M</v>
      </c>
      <c r="Q5" s="28">
        <f>_xll.qlCalendarAdvance(Calendar,SettlementDate,P5,"f",,Trigger)</f>
        <v>42340</v>
      </c>
      <c r="R5" s="28">
        <f>_xll.qlInterestRateIndexValueDate(Index,Q5,Trigger)</f>
        <v>42342</v>
      </c>
      <c r="S5" s="28">
        <f>_xll.qlInterestRateIndexMaturity(Index,R5,Trigger)</f>
        <v>42433</v>
      </c>
      <c r="T5" s="30">
        <f>_xll.qlIndexFixing($M$6,Q5,,InterestRatesTrigger)</f>
        <v>-1.580392016495822E-3</v>
      </c>
      <c r="U5" s="30">
        <f>_xll.qlIndexFixing(Index,Q5,,InterestRatesTrigger)</f>
        <v>-4.720126721928249E-4</v>
      </c>
      <c r="V5" s="30">
        <f t="shared" si="5"/>
        <v>1.1083793443029972E-3</v>
      </c>
      <c r="W5" s="29">
        <f>_xll.qlDayCounterYearFraction(DayCounter,SettlementDate,R5,,,Trigger)</f>
        <v>0.17499999999999999</v>
      </c>
      <c r="X5" s="29">
        <f>_xll.qlDayCounterYearFraction(DayCounter,R5,S5)</f>
        <v>0.25277777777777777</v>
      </c>
      <c r="Y5" s="29">
        <f>_xll.qlYieldTSDiscount(Currency&amp;"ON",R5)/(1+U5*X5)</f>
        <v>1.0003792204048605</v>
      </c>
      <c r="Z5" s="30">
        <f>_xll.qlTenorBasisValue(TenorBasis6M,R5,InterestRatesTrigger)</f>
        <v>1.1093814343496459E-3</v>
      </c>
      <c r="AA5" s="30">
        <f t="shared" si="6"/>
        <v>-1.0020900466486873E-6</v>
      </c>
    </row>
    <row r="6" spans="1:27" x14ac:dyDescent="0.2">
      <c r="A6" s="18" t="str">
        <f>_xll.qlPeriodEquivalent(C6&amp;"M")</f>
        <v>10Y</v>
      </c>
      <c r="B6" s="10">
        <f t="shared" ref="B6:B9" si="7">B5</f>
        <v>42185</v>
      </c>
      <c r="C6" s="11">
        <v>120</v>
      </c>
      <c r="D6" s="10">
        <f t="shared" si="0"/>
        <v>45930</v>
      </c>
      <c r="E6" s="12">
        <f t="shared" si="1"/>
        <v>6</v>
      </c>
      <c r="F6" s="16">
        <f t="shared" si="2"/>
        <v>1E-3</v>
      </c>
      <c r="G6" s="17">
        <f t="shared" si="3"/>
        <v>2E-3</v>
      </c>
      <c r="H6" s="12">
        <f t="shared" si="4"/>
        <v>2.5000000000000001E-4</v>
      </c>
      <c r="I6" s="17">
        <f>MIN(_xll.ohPack($V$3:INDEX($V$3:$V$135,MATCH(D6+1,$R$3:$R$135,1),1)))</f>
        <v>1.0297659898387229E-3</v>
      </c>
      <c r="J6" s="17">
        <f>MAX(_xll.ohPack($V$3:INDEX($V$3:$V$135,MATCH(D6+1,$R$3:$R$135,1),1)))</f>
        <v>1.8017210665713899E-3</v>
      </c>
      <c r="L6" s="46" t="str">
        <f>"ON Index "&amp;$M$3</f>
        <v>ON Index 3M</v>
      </c>
      <c r="M6" s="35" t="str">
        <f>_xll.qlIborIndex(,,M3,2,Currency,Calendar,"mf",TRUE,DayCounter,Currency&amp;"ON",,Trigger)</f>
        <v>obj_005f2#0007</v>
      </c>
      <c r="N6" s="34"/>
      <c r="O6" s="33">
        <v>1</v>
      </c>
      <c r="P6" s="27" t="str">
        <f>_xll.qlPeriodEquivalent(P5&amp;"+"&amp;O6&amp;"M")</f>
        <v>3M</v>
      </c>
      <c r="Q6" s="28">
        <f>_xll.qlCalendarAdvance(Calendar,SettlementDate,P6,"f",,Trigger)</f>
        <v>42373</v>
      </c>
      <c r="R6" s="28">
        <f>_xll.qlInterestRateIndexValueDate(Index,Q6,Trigger)</f>
        <v>42375</v>
      </c>
      <c r="S6" s="28">
        <f>_xll.qlInterestRateIndexMaturity(Index,R6,Trigger)</f>
        <v>42466</v>
      </c>
      <c r="T6" s="30">
        <f>_xll.qlIndexFixing($M$6,Q6,,InterestRatesTrigger)</f>
        <v>-1.6921787601338505E-3</v>
      </c>
      <c r="U6" s="30">
        <f>_xll.qlIndexFixing(Index,Q6,,InterestRatesTrigger)</f>
        <v>-5.7498186295091831E-4</v>
      </c>
      <c r="V6" s="30">
        <f t="shared" si="5"/>
        <v>1.1171968971829321E-3</v>
      </c>
      <c r="W6" s="29">
        <f>_xll.qlDayCounterYearFraction(DayCounter,SettlementDate,R6,,,Trigger)</f>
        <v>0.26666666666666666</v>
      </c>
      <c r="X6" s="29">
        <f>_xll.qlDayCounterYearFraction(DayCounter,R6,S6)</f>
        <v>0.25277777777777777</v>
      </c>
      <c r="Y6" s="29">
        <f>_xll.qlYieldTSDiscount(Currency&amp;"ON",R6)/(1+U6*X6)</f>
        <v>1.000534257856156</v>
      </c>
      <c r="Z6" s="30">
        <f>_xll.qlTenorBasisValue(TenorBasis6M,R6,InterestRatesTrigger)</f>
        <v>1.1412636307456261E-3</v>
      </c>
      <c r="AA6" s="30">
        <f t="shared" si="6"/>
        <v>-2.4066733562693983E-5</v>
      </c>
    </row>
    <row r="7" spans="1:27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0"/>
        <v>49582</v>
      </c>
      <c r="E7" s="13">
        <f t="shared" si="1"/>
        <v>12</v>
      </c>
      <c r="F7" s="16">
        <f t="shared" si="2"/>
        <v>0</v>
      </c>
      <c r="G7" s="17">
        <f t="shared" si="3"/>
        <v>2E-3</v>
      </c>
      <c r="H7" s="12">
        <f t="shared" si="4"/>
        <v>2.5000000000000001E-4</v>
      </c>
      <c r="I7" s="17">
        <f>MIN(_xll.ohPack($V$3:INDEX($V$3:$V$135,MATCH(D7+1,$R$3:$R$135,1),1)))</f>
        <v>5.1186913853268692E-4</v>
      </c>
      <c r="J7" s="17">
        <f>MAX(_xll.ohPack($V$3:INDEX($V$3:$V$135,MATCH(D7+1,$R$3:$R$135,1),1)))</f>
        <v>1.8017210665713899E-3</v>
      </c>
      <c r="O7" s="33">
        <v>1</v>
      </c>
      <c r="P7" s="27" t="str">
        <f>_xll.qlPeriodEquivalent(P6&amp;"+"&amp;O7&amp;"M")</f>
        <v>4M</v>
      </c>
      <c r="Q7" s="28">
        <f>_xll.qlCalendarAdvance(Calendar,SettlementDate,P7,"f",,Trigger)</f>
        <v>42402</v>
      </c>
      <c r="R7" s="28">
        <f>_xll.qlInterestRateIndexValueDate(Index,Q7,Trigger)</f>
        <v>42404</v>
      </c>
      <c r="S7" s="28">
        <f>_xll.qlInterestRateIndexMaturity(Index,R7,Trigger)</f>
        <v>42494</v>
      </c>
      <c r="T7" s="30">
        <f>_xll.qlIndexFixing($M$6,Q7,,InterestRatesTrigger)</f>
        <v>-1.7259370331883517E-3</v>
      </c>
      <c r="U7" s="30">
        <f>_xll.qlIndexFixing(Index,Q7,,InterestRatesTrigger)</f>
        <v>-6.0426455356221709E-4</v>
      </c>
      <c r="V7" s="30">
        <f t="shared" si="5"/>
        <v>1.1216724796261346E-3</v>
      </c>
      <c r="W7" s="29">
        <f>_xll.qlDayCounterYearFraction(DayCounter,SettlementDate,R7,,,Trigger)</f>
        <v>0.34722222222222221</v>
      </c>
      <c r="X7" s="29">
        <f>_xll.qlDayCounterYearFraction(DayCounter,R7,S7)</f>
        <v>0.25</v>
      </c>
      <c r="Y7" s="29">
        <f>_xll.qlYieldTSDiscount(Currency&amp;"ON",R7)/(1+U7*X7)</f>
        <v>1.000675830641155</v>
      </c>
      <c r="Z7" s="30">
        <f>_xll.qlTenorBasisValue(TenorBasis6M,R7,InterestRatesTrigger)</f>
        <v>1.1682925835717706E-3</v>
      </c>
      <c r="AA7" s="30">
        <f t="shared" si="6"/>
        <v>-4.6620103945635991E-5</v>
      </c>
    </row>
    <row r="8" spans="1:27" x14ac:dyDescent="0.2">
      <c r="A8" s="18" t="str">
        <f>_xll.qlPeriodEquivalent(C8&amp;"M")</f>
        <v>30Y</v>
      </c>
      <c r="B8" s="10">
        <f t="shared" si="7"/>
        <v>42004</v>
      </c>
      <c r="C8" s="11">
        <v>360</v>
      </c>
      <c r="D8" s="10">
        <f t="shared" si="0"/>
        <v>53235</v>
      </c>
      <c r="E8" s="13">
        <f t="shared" si="1"/>
        <v>36</v>
      </c>
      <c r="F8" s="16">
        <f t="shared" si="2"/>
        <v>0</v>
      </c>
      <c r="G8" s="17">
        <f t="shared" si="3"/>
        <v>2E-3</v>
      </c>
      <c r="H8" s="12">
        <f t="shared" si="4"/>
        <v>2.5000000000000001E-4</v>
      </c>
      <c r="I8" s="17">
        <f>MIN(_xll.ohPack($V$3:INDEX($V$3:$V$135,MATCH(D8+1,$R$3:$R$135,1),1)))</f>
        <v>3.7348402838682446E-4</v>
      </c>
      <c r="J8" s="17">
        <f>MAX(_xll.ohPack($V$3:INDEX($V$3:$V$135,MATCH(D8+1,$R$3:$R$135,1),1)))</f>
        <v>1.8017210665713899E-3</v>
      </c>
      <c r="L8" s="46" t="s">
        <v>39</v>
      </c>
      <c r="M8" s="43">
        <v>1.1162939349235233E-3</v>
      </c>
      <c r="N8" s="33" t="b">
        <v>0</v>
      </c>
      <c r="O8" s="33">
        <v>1</v>
      </c>
      <c r="P8" s="27" t="str">
        <f>_xll.qlPeriodEquivalent(P7&amp;"+"&amp;O8&amp;"M")</f>
        <v>5M</v>
      </c>
      <c r="Q8" s="28">
        <f>_xll.qlCalendarAdvance(Calendar,SettlementDate,P8,"f",,Trigger)</f>
        <v>42431</v>
      </c>
      <c r="R8" s="28">
        <f>_xll.qlInterestRateIndexValueDate(Index,Q8,Trigger)</f>
        <v>42433</v>
      </c>
      <c r="S8" s="28">
        <f>_xll.qlInterestRateIndexMaturity(Index,R8,Trigger)</f>
        <v>42527</v>
      </c>
      <c r="T8" s="30">
        <f>_xll.qlIndexFixing($M$6,Q8,,InterestRatesTrigger)</f>
        <v>-1.7832676354349254E-3</v>
      </c>
      <c r="U8" s="30">
        <f>_xll.qlIndexFixing(Index,Q8,,InterestRatesTrigger)</f>
        <v>-5.8389349263780125E-4</v>
      </c>
      <c r="V8" s="30">
        <f t="shared" si="5"/>
        <v>1.1993741427971242E-3</v>
      </c>
      <c r="W8" s="29">
        <f>_xll.qlDayCounterYearFraction(DayCounter,SettlementDate,R8,,,Trigger)</f>
        <v>0.42777777777777776</v>
      </c>
      <c r="X8" s="29">
        <f>_xll.qlDayCounterYearFraction(DayCounter,R8,S8)</f>
        <v>0.26111111111111113</v>
      </c>
      <c r="Y8" s="29">
        <f>_xll.qlYieldTSDiscount(Currency&amp;"ON",R8)/(1+U8*X8)</f>
        <v>1.0008121972403259</v>
      </c>
      <c r="Z8" s="30">
        <f>_xll.qlTenorBasisValue(TenorBasis6M,R8,InterestRatesTrigger)</f>
        <v>1.1944173554222194E-3</v>
      </c>
      <c r="AA8" s="30">
        <f t="shared" si="6"/>
        <v>4.9567873749048301E-6</v>
      </c>
    </row>
    <row r="9" spans="1:27" x14ac:dyDescent="0.2">
      <c r="A9" s="19" t="str">
        <f>_xll.qlPeriodEquivalent(C9&amp;"M")</f>
        <v>60Y</v>
      </c>
      <c r="B9" s="20">
        <f t="shared" si="7"/>
        <v>42004</v>
      </c>
      <c r="C9" s="21">
        <v>720</v>
      </c>
      <c r="D9" s="20">
        <f t="shared" si="0"/>
        <v>64192</v>
      </c>
      <c r="E9" s="22">
        <f t="shared" si="1"/>
        <v>60</v>
      </c>
      <c r="F9" s="23">
        <f t="shared" si="2"/>
        <v>0</v>
      </c>
      <c r="G9" s="24">
        <f t="shared" si="3"/>
        <v>2E-3</v>
      </c>
      <c r="H9" s="25">
        <f t="shared" si="4"/>
        <v>2.5000000000000001E-4</v>
      </c>
      <c r="I9" s="24">
        <f>MIN(_xll.ohPack($V$3:INDEX($V$3:$V$135,MATCH(D9+1,$R$3:$R$135,1),1)))</f>
        <v>3.7348402838682446E-4</v>
      </c>
      <c r="J9" s="24">
        <f>MAX(_xll.ohPack($V$3:INDEX($V$3:$V$135,MATCH(D9+1,$R$3:$R$135,1),1)))</f>
        <v>1.8017210665713899E-3</v>
      </c>
      <c r="L9" s="46" t="s">
        <v>40</v>
      </c>
      <c r="M9" s="44">
        <v>3.1623773038383791E-4</v>
      </c>
      <c r="N9" s="33" t="b">
        <v>0</v>
      </c>
      <c r="O9" s="33">
        <v>1</v>
      </c>
      <c r="P9" s="27" t="str">
        <f>_xll.qlPeriodEquivalent(P8&amp;"+"&amp;O9&amp;"M")</f>
        <v>6M</v>
      </c>
      <c r="Q9" s="28">
        <f>_xll.qlCalendarAdvance(Calendar,SettlementDate,P9,"f",,Trigger)</f>
        <v>42464</v>
      </c>
      <c r="R9" s="28">
        <f>_xll.qlInterestRateIndexValueDate(Index,Q9,Trigger)</f>
        <v>42466</v>
      </c>
      <c r="S9" s="28">
        <f>_xll.qlInterestRateIndexMaturity(Index,R9,Trigger)</f>
        <v>42557</v>
      </c>
      <c r="T9" s="30">
        <f>_xll.qlIndexFixing($M$6,Q9,,InterestRatesTrigger)</f>
        <v>-1.8479198545915912E-3</v>
      </c>
      <c r="U9" s="30">
        <f>_xll.qlIndexFixing(Index,Q9,,InterestRatesTrigger)</f>
        <v>-5.7439139254955346E-4</v>
      </c>
      <c r="V9" s="30">
        <f t="shared" si="5"/>
        <v>1.2735284620420378E-3</v>
      </c>
      <c r="W9" s="29">
        <f>_xll.qlDayCounterYearFraction(DayCounter,SettlementDate,R9,,,Trigger)</f>
        <v>0.51944444444444449</v>
      </c>
      <c r="X9" s="29">
        <f>_xll.qlDayCounterYearFraction(DayCounter,R9,S9)</f>
        <v>0.25277777777777777</v>
      </c>
      <c r="Y9" s="29">
        <f>_xll.qlYieldTSDiscount(Currency&amp;"ON",R9)/(1+U9*X9)</f>
        <v>1.0009622652878667</v>
      </c>
      <c r="Z9" s="30">
        <f>_xll.qlTenorBasisValue(TenorBasis6M,R9,InterestRatesTrigger)</f>
        <v>1.2230704491876221E-3</v>
      </c>
      <c r="AA9" s="30">
        <f t="shared" si="6"/>
        <v>5.0458012854415635E-5</v>
      </c>
    </row>
    <row r="10" spans="1:27" x14ac:dyDescent="0.2">
      <c r="A10" s="18" t="str">
        <f>_xll.qlPeriodEquivalent(C10&amp;"M")</f>
        <v>1Y</v>
      </c>
      <c r="B10" s="10">
        <f>_xll.qlDateEndOfMonth(EDATE(_xll.qlSettingsEvaluationDate(Trigger),-1))</f>
        <v>42247</v>
      </c>
      <c r="C10" s="11">
        <v>12</v>
      </c>
      <c r="D10" s="10">
        <f>EDATE($Q$3,C10)</f>
        <v>42643</v>
      </c>
      <c r="E10" s="12">
        <f>IF(C10&lt;=12,1,IF(C10&lt;=24,3,IF(C10&lt;=120,6,IF(C10&lt;=240,12,IF(C10&lt;=360,36,60)))))</f>
        <v>1</v>
      </c>
      <c r="F10" s="16">
        <f>ROUNDDOWN(I10*10,2)/10</f>
        <v>1E-3</v>
      </c>
      <c r="G10" s="17">
        <f>IF(J10-I10&gt;1%,(QUOTIENT(J10*10000,50)+1)*0.5%,(QUOTIENT(J10*10000,10)+1)*0.1%)</f>
        <v>2E-3</v>
      </c>
      <c r="H10" s="12">
        <f>IF(G10-F10&lt;0.5%,0.025%,IF(G10-F10&lt;1%,0.1%,IF(G10-F10&lt;2%,0.25%,0.5%)))</f>
        <v>2.5000000000000001E-4</v>
      </c>
      <c r="I10" s="17">
        <f>MIN(_xll.ohPack($V$3:INDEX($V$3:$V$135,MATCH(D10+1,$R$3:$R$135,1),1)))</f>
        <v>1.0297659898387229E-3</v>
      </c>
      <c r="J10" s="17">
        <f>MAX(_xll.ohPack($V$3:INDEX($V$3:$V$135,MATCH(D10+1,$R$3:$R$135,1),1)))</f>
        <v>1.330583310633175E-3</v>
      </c>
      <c r="L10" s="46" t="s">
        <v>41</v>
      </c>
      <c r="M10" s="44">
        <v>0.17</v>
      </c>
      <c r="N10" s="33" t="b">
        <v>0</v>
      </c>
      <c r="O10" s="33">
        <v>1</v>
      </c>
      <c r="P10" s="27" t="str">
        <f>_xll.qlPeriodEquivalent(P9&amp;"+"&amp;O10&amp;"M")</f>
        <v>7M</v>
      </c>
      <c r="Q10" s="28">
        <f>_xll.qlCalendarAdvance(Calendar,SettlementDate,P10,"f",,Trigger)</f>
        <v>42492</v>
      </c>
      <c r="R10" s="28">
        <f>_xll.qlInterestRateIndexValueDate(Index,Q10,Trigger)</f>
        <v>42494</v>
      </c>
      <c r="S10" s="28">
        <f>_xll.qlInterestRateIndexMaturity(Index,R10,Trigger)</f>
        <v>42586</v>
      </c>
      <c r="T10" s="30">
        <f>_xll.qlIndexFixing($M$6,Q10,,InterestRatesTrigger)</f>
        <v>-1.8938698539164905E-3</v>
      </c>
      <c r="U10" s="30">
        <f>_xll.qlIndexFixing(Index,Q10,,InterestRatesTrigger)</f>
        <v>-6.0628071576401582E-4</v>
      </c>
      <c r="V10" s="30">
        <f t="shared" si="5"/>
        <v>1.2875891381524747E-3</v>
      </c>
      <c r="W10" s="29">
        <f>_xll.qlDayCounterYearFraction(DayCounter,SettlementDate,R10,,,Trigger)</f>
        <v>0.59722222222222221</v>
      </c>
      <c r="X10" s="29">
        <f>_xll.qlDayCounterYearFraction(DayCounter,R10,S10)</f>
        <v>0.25555555555555554</v>
      </c>
      <c r="Y10" s="29">
        <f>_xll.qlYieldTSDiscount(Currency&amp;"ON",R10)/(1+U10*X10)</f>
        <v>1.0011116700517868</v>
      </c>
      <c r="Z10" s="30">
        <f>_xll.qlTenorBasisValue(TenorBasis6M,R10,InterestRatesTrigger)</f>
        <v>1.2465047295608699E-3</v>
      </c>
      <c r="AA10" s="30">
        <f t="shared" si="6"/>
        <v>4.108440859160482E-5</v>
      </c>
    </row>
    <row r="11" spans="1:27" x14ac:dyDescent="0.2">
      <c r="A11" s="18" t="str">
        <f>_xll.qlPeriodEquivalent(C11&amp;"M")</f>
        <v>2Y</v>
      </c>
      <c r="B11" s="10">
        <f>_xll.qlDateEndOfMonth(EDATE(_xll.qlIMMNextDate(_xll.qlSettingsEvaluationDate(Trigger)-1,TRUE),-3))</f>
        <v>42277</v>
      </c>
      <c r="C11" s="11">
        <v>24</v>
      </c>
      <c r="D11" s="10">
        <f t="shared" ref="D11:D16" si="8">EDATE($Q$3,C11)</f>
        <v>43008</v>
      </c>
      <c r="E11" s="12">
        <f t="shared" ref="E11:E16" si="9">IF(C11&lt;=12,1,IF(C11&lt;=24,3,IF(C11&lt;=120,6,IF(C11&lt;=240,12,IF(C11&lt;=360,36,60)))))</f>
        <v>3</v>
      </c>
      <c r="F11" s="16">
        <f t="shared" ref="F11:F16" si="10">ROUNDDOWN(I11*10,2)/10</f>
        <v>1E-3</v>
      </c>
      <c r="G11" s="17">
        <f t="shared" ref="G11:G16" si="11">IF(J11-I11&gt;1%,(QUOTIENT(J11*10000,50)+1)*0.5%,(QUOTIENT(J11*10000,10)+1)*0.1%)</f>
        <v>2E-3</v>
      </c>
      <c r="H11" s="12">
        <f t="shared" ref="H11:H16" si="12">IF(G11-F11&lt;0.5%,0.025%,IF(G11-F11&lt;1%,0.1%,IF(G11-F11&lt;2%,0.25%,0.5%)))</f>
        <v>2.5000000000000001E-4</v>
      </c>
      <c r="I11" s="17">
        <f>MIN(_xll.ohPack($V$3:INDEX($V$3:$V$135,MATCH(D11+1,$R$3:$R$135,1),1)))</f>
        <v>1.0297659898387229E-3</v>
      </c>
      <c r="J11" s="17">
        <f>MAX(_xll.ohPack($V$3:INDEX($V$3:$V$135,MATCH(D11+1,$R$3:$R$135,1),1)))</f>
        <v>1.5287792397281185E-3</v>
      </c>
      <c r="L11" s="46" t="s">
        <v>42</v>
      </c>
      <c r="M11" s="43">
        <v>1.2248388953469531E-4</v>
      </c>
      <c r="N11" s="33" t="b">
        <v>0</v>
      </c>
      <c r="O11" s="33">
        <v>1</v>
      </c>
      <c r="P11" s="27" t="str">
        <f>_xll.qlPeriodEquivalent(P10&amp;"+"&amp;O11&amp;"M")</f>
        <v>8M</v>
      </c>
      <c r="Q11" s="28">
        <f>_xll.qlCalendarAdvance(Calendar,SettlementDate,P11,"f",,Trigger)</f>
        <v>42523</v>
      </c>
      <c r="R11" s="28">
        <f>_xll.qlInterestRateIndexValueDate(Index,Q11,Trigger)</f>
        <v>42527</v>
      </c>
      <c r="S11" s="28">
        <f>_xll.qlInterestRateIndexMaturity(Index,R11,Trigger)</f>
        <v>42619</v>
      </c>
      <c r="T11" s="30">
        <f>_xll.qlIndexFixing($M$6,Q11,,InterestRatesTrigger)</f>
        <v>-1.9351879947943317E-3</v>
      </c>
      <c r="U11" s="30">
        <f>_xll.qlIndexFixing(Index,Q11,,InterestRatesTrigger)</f>
        <v>-6.6245426268106368E-4</v>
      </c>
      <c r="V11" s="30">
        <f t="shared" si="5"/>
        <v>1.2727337321132679E-3</v>
      </c>
      <c r="W11" s="29">
        <f>_xll.qlDayCounterYearFraction(DayCounter,SettlementDate,R11,,,Trigger)</f>
        <v>0.68888888888888888</v>
      </c>
      <c r="X11" s="29">
        <f>_xll.qlDayCounterYearFraction(DayCounter,R11,S11)</f>
        <v>0.25555555555555554</v>
      </c>
      <c r="Y11" s="29">
        <f>_xll.qlYieldTSDiscount(Currency&amp;"ON",R11)/(1+U11*X11)</f>
        <v>1.001295280669374</v>
      </c>
      <c r="Z11" s="30">
        <f>_xll.qlTenorBasisValue(TenorBasis6M,R11,InterestRatesTrigger)</f>
        <v>1.2731137816388732E-3</v>
      </c>
      <c r="AA11" s="30">
        <f t="shared" si="6"/>
        <v>-3.8004952560531657E-7</v>
      </c>
    </row>
    <row r="12" spans="1:27" x14ac:dyDescent="0.2">
      <c r="A12" s="18" t="str">
        <f>_xll.qlPeriodEquivalent(C12&amp;"M")</f>
        <v>5Y</v>
      </c>
      <c r="B12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12" s="11">
        <v>60</v>
      </c>
      <c r="D12" s="10">
        <f t="shared" si="8"/>
        <v>44104</v>
      </c>
      <c r="E12" s="12">
        <f t="shared" si="9"/>
        <v>6</v>
      </c>
      <c r="F12" s="16">
        <f t="shared" si="10"/>
        <v>1E-3</v>
      </c>
      <c r="G12" s="17">
        <f t="shared" si="11"/>
        <v>2E-3</v>
      </c>
      <c r="H12" s="12">
        <f t="shared" si="12"/>
        <v>2.5000000000000001E-4</v>
      </c>
      <c r="I12" s="17">
        <f>MIN(_xll.ohPack($V$3:INDEX($V$3:$V$135,MATCH(D12+1,$R$3:$R$135,1),1)))</f>
        <v>1.0297659898387229E-3</v>
      </c>
      <c r="J12" s="17">
        <f>MAX(_xll.ohPack($V$3:INDEX($V$3:$V$135,MATCH(D12+1,$R$3:$R$135,1),1)))</f>
        <v>1.8017210665713899E-3</v>
      </c>
      <c r="L12" s="46" t="s">
        <v>45</v>
      </c>
      <c r="M12" s="35" t="str">
        <f>_xll.qlAbcdCalibration2(,W3:W253,V3:V253,Y3:Y253,ContBasis,N8:N11,,,,Trigger)</f>
        <v>obj_005f8#0018</v>
      </c>
      <c r="N12" s="34"/>
      <c r="O12" s="33">
        <v>1</v>
      </c>
      <c r="P12" s="27" t="str">
        <f>_xll.qlPeriodEquivalent(P11&amp;"+"&amp;O12&amp;"M")</f>
        <v>9M</v>
      </c>
      <c r="Q12" s="28">
        <f>_xll.qlCalendarAdvance(Calendar,SettlementDate,P12,"f",,Trigger)</f>
        <v>42555</v>
      </c>
      <c r="R12" s="28">
        <f>_xll.qlInterestRateIndexValueDate(Index,Q12,Trigger)</f>
        <v>42557</v>
      </c>
      <c r="S12" s="28">
        <f>_xll.qlInterestRateIndexMaturity(Index,R12,Trigger)</f>
        <v>42649</v>
      </c>
      <c r="T12" s="30">
        <f>_xll.qlIndexFixing($M$6,Q12,,InterestRatesTrigger)</f>
        <v>-1.9623011923801093E-3</v>
      </c>
      <c r="U12" s="30">
        <f>_xll.qlIndexFixing(Index,Q12,,InterestRatesTrigger)</f>
        <v>-6.9010608644571735E-4</v>
      </c>
      <c r="V12" s="30">
        <f t="shared" si="5"/>
        <v>1.272195105934392E-3</v>
      </c>
      <c r="W12" s="29">
        <f>_xll.qlDayCounterYearFraction(DayCounter,SettlementDate,R12,,,Trigger)</f>
        <v>0.77222222222222225</v>
      </c>
      <c r="X12" s="29">
        <f>_xll.qlDayCounterYearFraction(DayCounter,R12,S12)</f>
        <v>0.25555555555555554</v>
      </c>
      <c r="Y12" s="29">
        <f>_xll.qlYieldTSDiscount(Currency&amp;"ON",R12)/(1+U12*X12)</f>
        <v>1.0014612634959177</v>
      </c>
      <c r="Z12" s="30">
        <f>_xll.qlTenorBasisValue(TenorBasis6M,R12,InterestRatesTrigger)</f>
        <v>1.2963771756143011E-3</v>
      </c>
      <c r="AA12" s="30">
        <f t="shared" si="6"/>
        <v>-2.4182069679909175E-5</v>
      </c>
    </row>
    <row r="13" spans="1:27" x14ac:dyDescent="0.2">
      <c r="A13" s="18" t="str">
        <f>_xll.qlPeriodEquivalent(C13&amp;"M")</f>
        <v>10Y</v>
      </c>
      <c r="B13" s="10">
        <f t="shared" ref="B13:B16" si="13">B12</f>
        <v>42185</v>
      </c>
      <c r="C13" s="11">
        <v>120</v>
      </c>
      <c r="D13" s="10">
        <f t="shared" si="8"/>
        <v>45930</v>
      </c>
      <c r="E13" s="12">
        <f t="shared" si="9"/>
        <v>6</v>
      </c>
      <c r="F13" s="16">
        <f t="shared" si="10"/>
        <v>1E-3</v>
      </c>
      <c r="G13" s="17">
        <f t="shared" si="11"/>
        <v>2E-3</v>
      </c>
      <c r="H13" s="12">
        <f t="shared" si="12"/>
        <v>2.5000000000000001E-4</v>
      </c>
      <c r="I13" s="17">
        <f>MIN(_xll.ohPack($V$3:INDEX($V$3:$V$135,MATCH(D13+1,$R$3:$R$135,1),1)))</f>
        <v>1.0297659898387229E-3</v>
      </c>
      <c r="J13" s="17">
        <f>MAX(_xll.ohPack($V$3:INDEX($V$3:$V$135,MATCH(D13+1,$R$3:$R$135,1),1)))</f>
        <v>1.8017210665713899E-3</v>
      </c>
      <c r="L13" s="46" t="s">
        <v>38</v>
      </c>
      <c r="M13" s="35" t="b">
        <f>_xll.qlAbcdCalibration2Compute(M12,AllTriggers)</f>
        <v>1</v>
      </c>
      <c r="O13" s="33">
        <v>1</v>
      </c>
      <c r="P13" s="27" t="str">
        <f>_xll.qlPeriodEquivalent(P12&amp;"+"&amp;O13&amp;"M")</f>
        <v>10M</v>
      </c>
      <c r="Q13" s="28">
        <f>_xll.qlCalendarAdvance(Calendar,SettlementDate,P13,"f",,Trigger)</f>
        <v>42584</v>
      </c>
      <c r="R13" s="28">
        <f>_xll.qlInterestRateIndexValueDate(Index,Q13,Trigger)</f>
        <v>42586</v>
      </c>
      <c r="S13" s="28">
        <f>_xll.qlInterestRateIndexMaturity(Index,R13,Trigger)</f>
        <v>42678</v>
      </c>
      <c r="T13" s="30">
        <f>_xll.qlIndexFixing($M$6,Q13,,InterestRatesTrigger)</f>
        <v>-1.9756637464307669E-3</v>
      </c>
      <c r="U13" s="30">
        <f>_xll.qlIndexFixing(Index,Q13,,InterestRatesTrigger)</f>
        <v>-6.8101442948973758E-4</v>
      </c>
      <c r="V13" s="30">
        <f t="shared" si="5"/>
        <v>1.2946493169410293E-3</v>
      </c>
      <c r="W13" s="29">
        <f>_xll.qlDayCounterYearFraction(DayCounter,SettlementDate,R13,,,Trigger)</f>
        <v>0.85277777777777775</v>
      </c>
      <c r="X13" s="29">
        <f>_xll.qlDayCounterYearFraction(DayCounter,R13,S13)</f>
        <v>0.25555555555555554</v>
      </c>
      <c r="Y13" s="29">
        <f>_xll.qlYieldTSDiscount(Currency&amp;"ON",R13)/(1+U13*X13)</f>
        <v>1.001615564104879</v>
      </c>
      <c r="Z13" s="30">
        <f>_xll.qlTenorBasisValue(TenorBasis6M,R13,InterestRatesTrigger)</f>
        <v>1.3180455838690975E-3</v>
      </c>
      <c r="AA13" s="30">
        <f t="shared" si="6"/>
        <v>-2.3396266928068154E-5</v>
      </c>
    </row>
    <row r="14" spans="1:27" x14ac:dyDescent="0.2">
      <c r="A14" s="18" t="str">
        <f>_xll.qlPeriodEquivalent(C14&amp;"M")</f>
        <v>20Y</v>
      </c>
      <c r="B14" s="10">
        <f>IF(AND(MONTH(B13)=12),B13,_xll.qlDateEndOfMonth(EDATE(B13,-6)))</f>
        <v>42004</v>
      </c>
      <c r="C14" s="11">
        <v>240</v>
      </c>
      <c r="D14" s="10">
        <f t="shared" si="8"/>
        <v>49582</v>
      </c>
      <c r="E14" s="13">
        <f t="shared" si="9"/>
        <v>12</v>
      </c>
      <c r="F14" s="16">
        <f t="shared" si="10"/>
        <v>0</v>
      </c>
      <c r="G14" s="17">
        <f t="shared" si="11"/>
        <v>2E-3</v>
      </c>
      <c r="H14" s="12">
        <f t="shared" si="12"/>
        <v>2.5000000000000001E-4</v>
      </c>
      <c r="I14" s="17">
        <f>MIN(_xll.ohPack($V$3:INDEX($V$3:$V$135,MATCH(D14+1,$R$3:$R$135,1),1)))</f>
        <v>5.1186913853268692E-4</v>
      </c>
      <c r="J14" s="17">
        <f>MAX(_xll.ohPack($V$3:INDEX($V$3:$V$135,MATCH(D14+1,$R$3:$R$135,1),1)))</f>
        <v>1.8017210665713899E-3</v>
      </c>
      <c r="L14" s="46" t="s">
        <v>35</v>
      </c>
      <c r="M14" s="43">
        <f>_xll.qlAbcdCalibration2Error(M12)</f>
        <v>2.0151806644019984E-4</v>
      </c>
      <c r="O14" s="33">
        <v>1</v>
      </c>
      <c r="P14" s="27" t="str">
        <f>_xll.qlPeriodEquivalent(P13&amp;"+"&amp;O14&amp;"M")</f>
        <v>11M</v>
      </c>
      <c r="Q14" s="28">
        <f>_xll.qlCalendarAdvance(Calendar,SettlementDate,P14,"f",,Trigger)</f>
        <v>42615</v>
      </c>
      <c r="R14" s="28">
        <f>_xll.qlInterestRateIndexValueDate(Index,Q14,Trigger)</f>
        <v>42619</v>
      </c>
      <c r="S14" s="28">
        <f>_xll.qlInterestRateIndexMaturity(Index,R14,Trigger)</f>
        <v>42710</v>
      </c>
      <c r="T14" s="30">
        <f>_xll.qlIndexFixing($M$6,Q14,,InterestRatesTrigger)</f>
        <v>-1.9749104841056148E-3</v>
      </c>
      <c r="U14" s="30">
        <f>_xll.qlIndexFixing(Index,Q14,,InterestRatesTrigger)</f>
        <v>-6.4432717347243985E-4</v>
      </c>
      <c r="V14" s="30">
        <f t="shared" si="5"/>
        <v>1.330583310633175E-3</v>
      </c>
      <c r="W14" s="29">
        <f>_xll.qlDayCounterYearFraction(DayCounter,SettlementDate,R14,,,Trigger)</f>
        <v>0.94444444444444442</v>
      </c>
      <c r="X14" s="29">
        <f>_xll.qlDayCounterYearFraction(DayCounter,R14,S14)</f>
        <v>0.25277777777777777</v>
      </c>
      <c r="Y14" s="29">
        <f>_xll.qlYieldTSDiscount(Currency&amp;"ON",R14)/(1+U14*X14)</f>
        <v>1.0017842794821752</v>
      </c>
      <c r="Z14" s="30">
        <f>_xll.qlTenorBasisValue(TenorBasis6M,R14,InterestRatesTrigger)</f>
        <v>1.3417454158161719E-3</v>
      </c>
      <c r="AA14" s="30">
        <f t="shared" si="6"/>
        <v>-1.1162105182996969E-5</v>
      </c>
    </row>
    <row r="15" spans="1:27" x14ac:dyDescent="0.2">
      <c r="A15" s="18" t="str">
        <f>_xll.qlPeriodEquivalent(C15&amp;"M")</f>
        <v>30Y</v>
      </c>
      <c r="B15" s="10">
        <f t="shared" si="13"/>
        <v>42004</v>
      </c>
      <c r="C15" s="11">
        <v>360</v>
      </c>
      <c r="D15" s="10">
        <f t="shared" si="8"/>
        <v>53235</v>
      </c>
      <c r="E15" s="13">
        <f t="shared" si="9"/>
        <v>36</v>
      </c>
      <c r="F15" s="16">
        <f t="shared" si="10"/>
        <v>0</v>
      </c>
      <c r="G15" s="17">
        <f t="shared" si="11"/>
        <v>2E-3</v>
      </c>
      <c r="H15" s="12">
        <f t="shared" si="12"/>
        <v>2.5000000000000001E-4</v>
      </c>
      <c r="I15" s="17">
        <f>MIN(_xll.ohPack($V$3:INDEX($V$3:$V$135,MATCH(D15+1,$R$3:$R$135,1),1)))</f>
        <v>3.7348402838682446E-4</v>
      </c>
      <c r="J15" s="17">
        <f>MAX(_xll.ohPack($V$3:INDEX($V$3:$V$135,MATCH(D15+1,$R$3:$R$135,1),1)))</f>
        <v>1.8017210665713899E-3</v>
      </c>
      <c r="L15" s="46" t="s">
        <v>57</v>
      </c>
      <c r="M15" s="43">
        <f>_xll.qlAbcdCalibration2MaxError(M12)</f>
        <v>8.4708155322481987E-4</v>
      </c>
      <c r="O15" s="33">
        <v>1</v>
      </c>
      <c r="P15" s="27" t="str">
        <f>_xll.qlPeriodEquivalent(P14&amp;"+"&amp;O15&amp;"M")</f>
        <v>1Y</v>
      </c>
      <c r="Q15" s="28">
        <f>_xll.qlCalendarAdvance(Calendar,SettlementDate,P15,"f",,Trigger)</f>
        <v>42646</v>
      </c>
      <c r="R15" s="28">
        <f>_xll.qlInterestRateIndexValueDate(Index,Q15,Trigger)</f>
        <v>42648</v>
      </c>
      <c r="S15" s="28">
        <f>_xll.qlInterestRateIndexMaturity(Index,R15,Trigger)</f>
        <v>42740</v>
      </c>
      <c r="T15" s="30">
        <f>_xll.qlIndexFixing($M$6,Q15,,InterestRatesTrigger)</f>
        <v>-1.9413754392802343E-3</v>
      </c>
      <c r="U15" s="30">
        <f>_xll.qlIndexFixing(Index,Q15,,InterestRatesTrigger)</f>
        <v>-5.8178977065557005E-4</v>
      </c>
      <c r="V15" s="30">
        <f t="shared" si="5"/>
        <v>1.3595856686246643E-3</v>
      </c>
      <c r="W15" s="29">
        <f>_xll.qlDayCounterYearFraction(DayCounter,SettlementDate,R15,,,Trigger)</f>
        <v>1.0249999999999999</v>
      </c>
      <c r="X15" s="29">
        <f>_xll.qlDayCounterYearFraction(DayCounter,R15,S15)</f>
        <v>0.25555555555555554</v>
      </c>
      <c r="Y15" s="29">
        <f>_xll.qlYieldTSDiscount(Currency&amp;"ON",R15)/(1+U15*X15)</f>
        <v>1.0019304328614076</v>
      </c>
      <c r="Z15" s="30">
        <f>_xll.qlTenorBasisValue(TenorBasis6M,R15,InterestRatesTrigger)</f>
        <v>1.3617505849185829E-3</v>
      </c>
      <c r="AA15" s="30">
        <f t="shared" si="6"/>
        <v>-2.1649162939185902E-6</v>
      </c>
    </row>
    <row r="16" spans="1:27" x14ac:dyDescent="0.2">
      <c r="A16" s="19" t="str">
        <f>_xll.qlPeriodEquivalent(C16&amp;"M")</f>
        <v>60Y</v>
      </c>
      <c r="B16" s="20">
        <f t="shared" si="13"/>
        <v>42004</v>
      </c>
      <c r="C16" s="21">
        <v>720</v>
      </c>
      <c r="D16" s="20">
        <f t="shared" si="8"/>
        <v>64192</v>
      </c>
      <c r="E16" s="22">
        <f t="shared" si="9"/>
        <v>60</v>
      </c>
      <c r="F16" s="23">
        <f t="shared" si="10"/>
        <v>0</v>
      </c>
      <c r="G16" s="24">
        <f t="shared" si="11"/>
        <v>2E-3</v>
      </c>
      <c r="H16" s="25">
        <f t="shared" si="12"/>
        <v>2.5000000000000001E-4</v>
      </c>
      <c r="I16" s="24">
        <f>MIN(_xll.ohPack($V$3:INDEX($V$3:$V$135,MATCH(D16+1,$R$3:$R$135,1),1)))</f>
        <v>3.7348402838682446E-4</v>
      </c>
      <c r="J16" s="24">
        <f>MAX(_xll.ohPack($V$3:INDEX($V$3:$V$135,MATCH(D16+1,$R$3:$R$135,1),1)))</f>
        <v>1.8017210665713899E-3</v>
      </c>
      <c r="O16" s="33">
        <v>1</v>
      </c>
      <c r="P16" s="27" t="str">
        <f>_xll.qlPeriodEquivalent(P15&amp;"+"&amp;O16&amp;"M")</f>
        <v>1Y1M</v>
      </c>
      <c r="Q16" s="28">
        <f>_xll.qlCalendarAdvance(Calendar,SettlementDate,P16,"f",,Trigger)</f>
        <v>42676</v>
      </c>
      <c r="R16" s="28">
        <f>_xll.qlInterestRateIndexValueDate(Index,Q16,Trigger)</f>
        <v>42678</v>
      </c>
      <c r="S16" s="28">
        <f>_xll.qlInterestRateIndexMaturity(Index,R16,Trigger)</f>
        <v>42772</v>
      </c>
      <c r="T16" s="30">
        <f>_xll.qlIndexFixing($M$6,Q16,,InterestRatesTrigger)</f>
        <v>-1.9129391683615563E-3</v>
      </c>
      <c r="U16" s="30">
        <f>_xll.qlIndexFixing(Index,Q16,,InterestRatesTrigger)</f>
        <v>-5.4713581223409197E-4</v>
      </c>
      <c r="V16" s="30">
        <f t="shared" si="5"/>
        <v>1.3658033561274644E-3</v>
      </c>
      <c r="W16" s="29">
        <f>_xll.qlDayCounterYearFraction(DayCounter,SettlementDate,R16,,,Trigger)</f>
        <v>1.1083333333333334</v>
      </c>
      <c r="X16" s="29">
        <f>_xll.qlDayCounterYearFraction(DayCounter,R16,S16)</f>
        <v>0.26111111111111113</v>
      </c>
      <c r="Y16" s="29">
        <f>_xll.qlYieldTSDiscount(Currency&amp;"ON",R16)/(1+U16*X16)</f>
        <v>1.0020902827122171</v>
      </c>
      <c r="Z16" s="30">
        <f>_xll.qlTenorBasisValue(TenorBasis6M,R16,InterestRatesTrigger)</f>
        <v>1.3816552920809281E-3</v>
      </c>
      <c r="AA16" s="30">
        <f t="shared" si="6"/>
        <v>-1.5851935953463707E-5</v>
      </c>
    </row>
    <row r="17" spans="12:27" x14ac:dyDescent="0.2">
      <c r="L17" s="72" t="s">
        <v>51</v>
      </c>
      <c r="M17" s="73"/>
      <c r="O17" s="33">
        <v>1</v>
      </c>
      <c r="P17" s="27" t="str">
        <f>_xll.qlPeriodEquivalent(P16&amp;"+"&amp;O17&amp;"M")</f>
        <v>1Y2M</v>
      </c>
      <c r="Q17" s="28">
        <f>_xll.qlCalendarAdvance(Calendar,SettlementDate,P17,"f",,Trigger)</f>
        <v>42706</v>
      </c>
      <c r="R17" s="28">
        <f>_xll.qlInterestRateIndexValueDate(Index,Q17,Trigger)</f>
        <v>42710</v>
      </c>
      <c r="S17" s="28">
        <f>_xll.qlInterestRateIndexMaturity(Index,R17,Trigger)</f>
        <v>42800</v>
      </c>
      <c r="T17" s="30">
        <f>_xll.qlIndexFixing($M$6,Q17,,InterestRatesTrigger)</f>
        <v>-1.8678091566997068E-3</v>
      </c>
      <c r="U17" s="30">
        <f>_xll.qlIndexFixing(Index,Q17,,InterestRatesTrigger)</f>
        <v>-5.040563192122427E-4</v>
      </c>
      <c r="V17" s="30">
        <f t="shared" si="5"/>
        <v>1.3637528374874641E-3</v>
      </c>
      <c r="W17" s="29">
        <f>_xll.qlDayCounterYearFraction(DayCounter,SettlementDate,R17,,,Trigger)</f>
        <v>1.1972222222222222</v>
      </c>
      <c r="X17" s="29">
        <f>_xll.qlDayCounterYearFraction(DayCounter,R17,S17)</f>
        <v>0.25</v>
      </c>
      <c r="Y17" s="29">
        <f>_xll.qlYieldTSDiscount(Currency&amp;"ON",R17)/(1+U17*X17)</f>
        <v>1.0022476871125614</v>
      </c>
      <c r="Z17" s="30">
        <f>_xll.qlTenorBasisValue(TenorBasis6M,R17,InterestRatesTrigger)</f>
        <v>1.4020216270998489E-3</v>
      </c>
      <c r="AA17" s="30">
        <f t="shared" si="6"/>
        <v>-3.8268789612384748E-5</v>
      </c>
    </row>
    <row r="18" spans="12:27" x14ac:dyDescent="0.2">
      <c r="L18" s="46" t="s">
        <v>46</v>
      </c>
      <c r="M18" s="43">
        <f>_xll.qlAbcdCalibration2A($M$12,M13)</f>
        <v>8.6680308013208486E-4</v>
      </c>
      <c r="O18" s="33">
        <v>1</v>
      </c>
      <c r="P18" s="27" t="str">
        <f>_xll.qlPeriodEquivalent(P17&amp;"+"&amp;O18&amp;"M")</f>
        <v>1Y3M</v>
      </c>
      <c r="Q18" s="28">
        <f>_xll.qlCalendarAdvance(Calendar,SettlementDate,P18,"f",,Trigger)</f>
        <v>42737</v>
      </c>
      <c r="R18" s="28">
        <f>_xll.qlInterestRateIndexValueDate(Index,Q18,Trigger)</f>
        <v>42739</v>
      </c>
      <c r="S18" s="28">
        <f>_xll.qlInterestRateIndexMaturity(Index,R18,Trigger)</f>
        <v>42829</v>
      </c>
      <c r="T18" s="30">
        <f>_xll.qlIndexFixing($M$6,Q18,,InterestRatesTrigger)</f>
        <v>-1.8272036952358128E-3</v>
      </c>
      <c r="U18" s="30">
        <f>_xll.qlIndexFixing(Index,Q18,,InterestRatesTrigger)</f>
        <v>-4.6771073904894322E-4</v>
      </c>
      <c r="V18" s="30">
        <f t="shared" si="5"/>
        <v>1.3594929561868696E-3</v>
      </c>
      <c r="W18" s="29">
        <f>_xll.qlDayCounterYearFraction(DayCounter,SettlementDate,R18,,,Trigger)</f>
        <v>1.2777777777777777</v>
      </c>
      <c r="X18" s="29">
        <f>_xll.qlDayCounterYearFraction(DayCounter,R18,S18)</f>
        <v>0.25</v>
      </c>
      <c r="Y18" s="29">
        <f>_xll.qlYieldTSDiscount(Currency&amp;"ON",R18)/(1+U18*X18)</f>
        <v>1.0023905151841206</v>
      </c>
      <c r="Z18" s="30">
        <f>_xll.qlTenorBasisValue(TenorBasis6M,R18,InterestRatesTrigger)</f>
        <v>1.4197249586746245E-3</v>
      </c>
      <c r="AA18" s="30">
        <f t="shared" si="6"/>
        <v>-6.0232002487754918E-5</v>
      </c>
    </row>
    <row r="19" spans="12:27" x14ac:dyDescent="0.2">
      <c r="L19" s="46" t="s">
        <v>47</v>
      </c>
      <c r="M19" s="44">
        <f>_xll.qlAbcdCalibration2B($M$12,M13)</f>
        <v>5.3400480728185479E-4</v>
      </c>
      <c r="O19" s="33">
        <v>1</v>
      </c>
      <c r="P19" s="27" t="str">
        <f>_xll.qlPeriodEquivalent(P18&amp;"+"&amp;O19&amp;"M")</f>
        <v>1Y4M</v>
      </c>
      <c r="Q19" s="28">
        <f>_xll.qlCalendarAdvance(Calendar,SettlementDate,P19,"f",,Trigger)</f>
        <v>42768</v>
      </c>
      <c r="R19" s="28">
        <f>_xll.qlInterestRateIndexValueDate(Index,Q19,Trigger)</f>
        <v>42772</v>
      </c>
      <c r="S19" s="28">
        <f>_xll.qlInterestRateIndexMaturity(Index,R19,Trigger)</f>
        <v>42863</v>
      </c>
      <c r="T19" s="30">
        <f>_xll.qlIndexFixing($M$6,Q19,,InterestRatesTrigger)</f>
        <v>-1.7541416032922316E-3</v>
      </c>
      <c r="U19" s="30">
        <f>_xll.qlIndexFixing(Index,Q19,,InterestRatesTrigger)</f>
        <v>-3.6284002778989475E-4</v>
      </c>
      <c r="V19" s="30">
        <f t="shared" si="5"/>
        <v>1.3913015755023369E-3</v>
      </c>
      <c r="W19" s="29">
        <f>_xll.qlDayCounterYearFraction(DayCounter,SettlementDate,R19,,,Trigger)</f>
        <v>1.3694444444444445</v>
      </c>
      <c r="X19" s="29">
        <f>_xll.qlDayCounterYearFraction(DayCounter,R19,S19)</f>
        <v>0.25277777777777777</v>
      </c>
      <c r="Y19" s="29">
        <f>_xll.qlYieldTSDiscount(Currency&amp;"ON",R19)/(1+U19*X19)</f>
        <v>1.0025397840264898</v>
      </c>
      <c r="Z19" s="30">
        <f>_xll.qlTenorBasisValue(TenorBasis6M,R19,InterestRatesTrigger)</f>
        <v>1.4390194340338767E-3</v>
      </c>
      <c r="AA19" s="30">
        <f t="shared" si="6"/>
        <v>-4.7717858531539769E-5</v>
      </c>
    </row>
    <row r="20" spans="12:27" x14ac:dyDescent="0.2">
      <c r="L20" s="46" t="s">
        <v>48</v>
      </c>
      <c r="M20" s="44">
        <f>_xll.qlAbcdCalibration2C($M$12,M13)</f>
        <v>0.1708951302634576</v>
      </c>
      <c r="O20" s="33">
        <v>1</v>
      </c>
      <c r="P20" s="27" t="str">
        <f>_xll.qlPeriodEquivalent(P19&amp;"+"&amp;O20&amp;"M")</f>
        <v>1Y5M</v>
      </c>
      <c r="Q20" s="28">
        <f>_xll.qlCalendarAdvance(Calendar,SettlementDate,P20,"f",,Trigger)</f>
        <v>42796</v>
      </c>
      <c r="R20" s="28">
        <f>_xll.qlInterestRateIndexValueDate(Index,Q20,Trigger)</f>
        <v>42800</v>
      </c>
      <c r="S20" s="28">
        <f>_xll.qlInterestRateIndexMaturity(Index,R20,Trigger)</f>
        <v>42892</v>
      </c>
      <c r="T20" s="30">
        <f>_xll.qlIndexFixing($M$6,Q20,,InterestRatesTrigger)</f>
        <v>-1.6980825069137905E-3</v>
      </c>
      <c r="U20" s="30">
        <f>_xll.qlIndexFixing(Index,Q20,,InterestRatesTrigger)</f>
        <v>-2.5862353636532789E-4</v>
      </c>
      <c r="V20" s="30">
        <f t="shared" si="5"/>
        <v>1.4394589705484626E-3</v>
      </c>
      <c r="W20" s="29">
        <f>_xll.qlDayCounterYearFraction(DayCounter,SettlementDate,R20,,,Trigger)</f>
        <v>1.4472222222222222</v>
      </c>
      <c r="X20" s="29">
        <f>_xll.qlDayCounterYearFraction(DayCounter,R20,S20)</f>
        <v>0.25555555555555554</v>
      </c>
      <c r="Y20" s="29">
        <f>_xll.qlYieldTSDiscount(Currency&amp;"ON",R20)/(1+U20*X20)</f>
        <v>1.002655819490355</v>
      </c>
      <c r="Z20" s="30">
        <f>_xll.qlTenorBasisValue(TenorBasis6M,R20,InterestRatesTrigger)</f>
        <v>1.454696778698066E-3</v>
      </c>
      <c r="AA20" s="30">
        <f t="shared" si="6"/>
        <v>-1.523780814960342E-5</v>
      </c>
    </row>
    <row r="21" spans="12:27" x14ac:dyDescent="0.2">
      <c r="L21" s="46" t="s">
        <v>49</v>
      </c>
      <c r="M21" s="43">
        <f>_xll.qlAbcdCalibration2D($M$12,M13)</f>
        <v>1.7828136401662034E-4</v>
      </c>
      <c r="O21" s="33">
        <v>1</v>
      </c>
      <c r="P21" s="27" t="str">
        <f>_xll.qlPeriodEquivalent(P20&amp;"+"&amp;O21&amp;"M")</f>
        <v>1Y6M</v>
      </c>
      <c r="Q21" s="28">
        <f>_xll.qlCalendarAdvance(Calendar,SettlementDate,P21,"f",,Trigger)</f>
        <v>42828</v>
      </c>
      <c r="R21" s="28">
        <f>_xll.qlInterestRateIndexValueDate(Index,Q21,Trigger)</f>
        <v>42830</v>
      </c>
      <c r="S21" s="28">
        <f>_xll.qlInterestRateIndexMaturity(Index,R21,Trigger)</f>
        <v>42921</v>
      </c>
      <c r="T21" s="30">
        <f>_xll.qlIndexFixing($M$6,Q21,,InterestRatesTrigger)</f>
        <v>-1.6362125938940153E-3</v>
      </c>
      <c r="U21" s="30">
        <f>_xll.qlIndexFixing(Index,Q21,,InterestRatesTrigger)</f>
        <v>-1.5001507622367053E-4</v>
      </c>
      <c r="V21" s="30">
        <f t="shared" si="5"/>
        <v>1.4861975176703448E-3</v>
      </c>
      <c r="W21" s="29">
        <f>_xll.qlDayCounterYearFraction(DayCounter,SettlementDate,R21,,,Trigger)</f>
        <v>1.5305555555555554</v>
      </c>
      <c r="X21" s="29">
        <f>_xll.qlDayCounterYearFraction(DayCounter,R21,S21)</f>
        <v>0.25277777777777777</v>
      </c>
      <c r="Y21" s="29">
        <f>_xll.qlYieldTSDiscount(Currency&amp;"ON",R21)/(1+U21*X21)</f>
        <v>1.0027742002658868</v>
      </c>
      <c r="Z21" s="30">
        <f>_xll.qlTenorBasisValue(TenorBasis6M,R21,InterestRatesTrigger)</f>
        <v>1.470803809730737E-3</v>
      </c>
      <c r="AA21" s="30">
        <f t="shared" si="6"/>
        <v>1.5393707939607808E-5</v>
      </c>
    </row>
    <row r="22" spans="12:27" x14ac:dyDescent="0.2">
      <c r="L22" s="46" t="s">
        <v>50</v>
      </c>
      <c r="M22" s="35" t="str">
        <f>_xll.qlAbcdTenorBasis(,Index,Currency&amp;"ON",SettlementDate,TRUE,M18:M21,,Trigger)</f>
        <v>obj_005f9#0027</v>
      </c>
      <c r="O22" s="33">
        <v>3</v>
      </c>
      <c r="P22" s="27" t="str">
        <f>_xll.qlPeriodEquivalent(P21&amp;"+"&amp;O22&amp;"M")</f>
        <v>1Y9M</v>
      </c>
      <c r="Q22" s="28">
        <f>_xll.qlCalendarAdvance(Calendar,SettlementDate,P22,"f",,Trigger)</f>
        <v>42919</v>
      </c>
      <c r="R22" s="28">
        <f>_xll.qlInterestRateIndexValueDate(Index,Q22,Trigger)</f>
        <v>42921</v>
      </c>
      <c r="S22" s="28">
        <f>_xll.qlInterestRateIndexMaturity(Index,R22,Trigger)</f>
        <v>43013</v>
      </c>
      <c r="T22" s="30">
        <f>_xll.qlIndexFixing($M$6,Q22,,InterestRatesTrigger)</f>
        <v>-1.3508062694209484E-3</v>
      </c>
      <c r="U22" s="30">
        <f>_xll.qlIndexFixing(Index,Q22,,InterestRatesTrigger)</f>
        <v>1.7797297030717004E-4</v>
      </c>
      <c r="V22" s="30">
        <f t="shared" si="5"/>
        <v>1.5287792397281185E-3</v>
      </c>
      <c r="W22" s="29">
        <f>_xll.qlDayCounterYearFraction(DayCounter,SettlementDate,R22,,,Trigger)</f>
        <v>1.7833333333333334</v>
      </c>
      <c r="X22" s="29">
        <f>_xll.qlDayCounterYearFraction(DayCounter,R22,S22)</f>
        <v>0.25555555555555554</v>
      </c>
      <c r="Y22" s="29">
        <f>_xll.qlYieldTSDiscount(Currency&amp;"ON",R22)/(1+U22*X22)</f>
        <v>1.0031054528286263</v>
      </c>
      <c r="Z22" s="30">
        <f>_xll.qlTenorBasisValue(TenorBasis6M,R22,InterestRatesTrigger)</f>
        <v>1.5154615194648302E-3</v>
      </c>
      <c r="AA22" s="30">
        <f t="shared" si="6"/>
        <v>1.3317720263288351E-5</v>
      </c>
    </row>
    <row r="23" spans="12:27" x14ac:dyDescent="0.2">
      <c r="M23" s="42">
        <f>1/M20-M18/M19</f>
        <v>4.2283296817926663</v>
      </c>
      <c r="O23" s="33">
        <v>3</v>
      </c>
      <c r="P23" s="27" t="str">
        <f>_xll.qlPeriodEquivalent(P22&amp;"+"&amp;O23&amp;"M")</f>
        <v>2Y</v>
      </c>
      <c r="Q23" s="28">
        <f>_xll.qlCalendarAdvance(Calendar,SettlementDate,P23,"f",,Trigger)</f>
        <v>43010</v>
      </c>
      <c r="R23" s="28">
        <f>_xll.qlInterestRateIndexValueDate(Index,Q23,Trigger)</f>
        <v>43012</v>
      </c>
      <c r="S23" s="28">
        <f>_xll.qlInterestRateIndexMaturity(Index,R23,Trigger)</f>
        <v>43104</v>
      </c>
      <c r="T23" s="30">
        <f>_xll.qlIndexFixing($M$6,Q23,,InterestRatesTrigger)</f>
        <v>-9.2897345750561037E-4</v>
      </c>
      <c r="U23" s="30">
        <f>_xll.qlIndexFixing(Index,Q23,,InterestRatesTrigger)</f>
        <v>6.0764806092502525E-4</v>
      </c>
      <c r="V23" s="30">
        <f t="shared" si="5"/>
        <v>1.5366215184306356E-3</v>
      </c>
      <c r="W23" s="29">
        <f>_xll.qlDayCounterYearFraction(DayCounter,SettlementDate,R23,,,Trigger)</f>
        <v>2.036111111111111</v>
      </c>
      <c r="X23" s="29">
        <f>_xll.qlDayCounterYearFraction(DayCounter,R23,S23)</f>
        <v>0.25555555555555554</v>
      </c>
      <c r="Y23" s="29">
        <f>_xll.qlYieldTSDiscount(Currency&amp;"ON",R23)/(1+U23*X23)</f>
        <v>1.003338451775236</v>
      </c>
      <c r="Z23" s="30">
        <f>_xll.qlTenorBasisValue(TenorBasis6M,R23,InterestRatesTrigger)</f>
        <v>1.5541448919878127E-3</v>
      </c>
      <c r="AA23" s="30">
        <f t="shared" si="6"/>
        <v>-1.7523373557177136E-5</v>
      </c>
    </row>
    <row r="24" spans="12:27" x14ac:dyDescent="0.2">
      <c r="O24" s="33">
        <v>3</v>
      </c>
      <c r="P24" s="27" t="str">
        <f>_xll.qlPeriodEquivalent(P23&amp;"+"&amp;O24&amp;"M")</f>
        <v>2Y3M</v>
      </c>
      <c r="Q24" s="28">
        <f>_xll.qlCalendarAdvance(Calendar,SettlementDate,P24,"f",,Trigger)</f>
        <v>43102</v>
      </c>
      <c r="R24" s="28">
        <f>_xll.qlInterestRateIndexValueDate(Index,Q24,Trigger)</f>
        <v>43104</v>
      </c>
      <c r="S24" s="28">
        <f>_xll.qlInterestRateIndexMaturity(Index,R24,Trigger)</f>
        <v>43194</v>
      </c>
      <c r="T24" s="30">
        <f>_xll.qlIndexFixing($M$6,Q24,,InterestRatesTrigger)</f>
        <v>-4.2066790435324464E-4</v>
      </c>
      <c r="U24" s="30">
        <f>_xll.qlIndexFixing(Index,Q24,,InterestRatesTrigger)</f>
        <v>1.2243514069867345E-3</v>
      </c>
      <c r="V24" s="30">
        <f t="shared" si="5"/>
        <v>1.6450193113399791E-3</v>
      </c>
      <c r="W24" s="29">
        <f>_xll.qlDayCounterYearFraction(DayCounter,SettlementDate,R24,,,Trigger)</f>
        <v>2.2916666666666665</v>
      </c>
      <c r="X24" s="29">
        <f>_xll.qlDayCounterYearFraction(DayCounter,R24,S24)</f>
        <v>0.25</v>
      </c>
      <c r="Y24" s="29">
        <f>_xll.qlYieldTSDiscount(Currency&amp;"ON",R24)/(1+U24*X24)</f>
        <v>1.0034254121563848</v>
      </c>
      <c r="Z24" s="30">
        <f>_xll.qlTenorBasisValue(TenorBasis6M,R24,InterestRatesTrigger)</f>
        <v>1.5876093391610847E-3</v>
      </c>
      <c r="AA24" s="30">
        <f t="shared" si="6"/>
        <v>5.7409972178894481E-5</v>
      </c>
    </row>
    <row r="25" spans="12:27" x14ac:dyDescent="0.2">
      <c r="L25" s="72" t="s">
        <v>54</v>
      </c>
      <c r="M25" s="73"/>
      <c r="O25" s="33">
        <v>3</v>
      </c>
      <c r="P25" s="27" t="str">
        <f>_xll.qlPeriodEquivalent(P24&amp;"+"&amp;O25&amp;"M")</f>
        <v>2Y6M</v>
      </c>
      <c r="Q25" s="28">
        <f>_xll.qlCalendarAdvance(Calendar,SettlementDate,P25,"f",,Trigger)</f>
        <v>43193</v>
      </c>
      <c r="R25" s="28">
        <f>_xll.qlInterestRateIndexValueDate(Index,Q25,Trigger)</f>
        <v>43195</v>
      </c>
      <c r="S25" s="28">
        <f>_xll.qlInterestRateIndexMaturity(Index,R25,Trigger)</f>
        <v>43286</v>
      </c>
      <c r="T25" s="30">
        <f>_xll.qlIndexFixing($M$6,Q25,,InterestRatesTrigger)</f>
        <v>1.5348839041597382E-4</v>
      </c>
      <c r="U25" s="30">
        <f>_xll.qlIndexFixing(Index,Q25,,InterestRatesTrigger)</f>
        <v>1.8979228307639748E-3</v>
      </c>
      <c r="V25" s="30">
        <f t="shared" si="5"/>
        <v>1.7444344403480009E-3</v>
      </c>
      <c r="W25" s="29">
        <f>_xll.qlDayCounterYearFraction(DayCounter,SettlementDate,R25,,,Trigger)</f>
        <v>2.5444444444444443</v>
      </c>
      <c r="X25" s="29">
        <f>_xll.qlDayCounterYearFraction(DayCounter,R25,S25)</f>
        <v>0.25277777777777777</v>
      </c>
      <c r="Y25" s="29">
        <f>_xll.qlYieldTSDiscount(Currency&amp;"ON",R25)/(1+U25*X25)</f>
        <v>1.0033571586385976</v>
      </c>
      <c r="Z25" s="30">
        <f>_xll.qlTenorBasisValue(TenorBasis6M,R25,InterestRatesTrigger)</f>
        <v>1.6155268758053934E-3</v>
      </c>
      <c r="AA25" s="30">
        <f t="shared" si="6"/>
        <v>1.2890756454260748E-4</v>
      </c>
    </row>
    <row r="26" spans="12:27" x14ac:dyDescent="0.2">
      <c r="L26" s="46" t="s">
        <v>46</v>
      </c>
      <c r="M26" s="43">
        <f t="array" ref="M26:M29">_xll.qlTenorInstCoefficients(M22)</f>
        <v>8.1553220152968259E-4</v>
      </c>
      <c r="O26" s="33">
        <v>3</v>
      </c>
      <c r="P26" s="27" t="str">
        <f>_xll.qlPeriodEquivalent(P25&amp;"+"&amp;O26&amp;"M")</f>
        <v>2Y9M</v>
      </c>
      <c r="Q26" s="28">
        <f>_xll.qlCalendarAdvance(Calendar,SettlementDate,P26,"f",,Trigger)</f>
        <v>43283</v>
      </c>
      <c r="R26" s="28">
        <f>_xll.qlInterestRateIndexValueDate(Index,Q26,Trigger)</f>
        <v>43285</v>
      </c>
      <c r="S26" s="28">
        <f>_xll.qlInterestRateIndexMaturity(Index,R26,Trigger)</f>
        <v>43377</v>
      </c>
      <c r="T26" s="30">
        <f>_xll.qlIndexFixing($M$6,Q26,,InterestRatesTrigger)</f>
        <v>7.6992612879884896E-4</v>
      </c>
      <c r="U26" s="30">
        <f>_xll.qlIndexFixing(Index,Q26,,InterestRatesTrigger)</f>
        <v>2.5609768094937281E-3</v>
      </c>
      <c r="V26" s="30">
        <f t="shared" si="5"/>
        <v>1.7910506806948791E-3</v>
      </c>
      <c r="W26" s="29">
        <f>_xll.qlDayCounterYearFraction(DayCounter,SettlementDate,R26,,,Trigger)</f>
        <v>2.7944444444444443</v>
      </c>
      <c r="X26" s="29">
        <f>_xll.qlDayCounterYearFraction(DayCounter,R26,S26)</f>
        <v>0.25555555555555554</v>
      </c>
      <c r="Y26" s="29">
        <f>_xll.qlYieldTSDiscount(Currency&amp;"ON",R26)/(1+U26*X26)</f>
        <v>1.0031443095116281</v>
      </c>
      <c r="Z26" s="30">
        <f>_xll.qlTenorBasisValue(TenorBasis6M,R26,InterestRatesTrigger)</f>
        <v>1.6384338263306694E-3</v>
      </c>
      <c r="AA26" s="30">
        <f t="shared" si="6"/>
        <v>1.5261685436420975E-4</v>
      </c>
    </row>
    <row r="27" spans="12:27" x14ac:dyDescent="0.2">
      <c r="L27" s="46" t="s">
        <v>47</v>
      </c>
      <c r="M27" s="44">
        <v>5.4600775864743756E-4</v>
      </c>
      <c r="O27" s="33">
        <v>3</v>
      </c>
      <c r="P27" s="27" t="str">
        <f>_xll.qlPeriodEquivalent(P26&amp;"+"&amp;O27&amp;"M")</f>
        <v>3Y</v>
      </c>
      <c r="Q27" s="28">
        <f>_xll.qlCalendarAdvance(Calendar,SettlementDate,P27,"f",,Trigger)</f>
        <v>43375</v>
      </c>
      <c r="R27" s="28">
        <f>_xll.qlInterestRateIndexValueDate(Index,Q27,Trigger)</f>
        <v>43377</v>
      </c>
      <c r="S27" s="28">
        <f>_xll.qlInterestRateIndexMaturity(Index,R27,Trigger)</f>
        <v>43469</v>
      </c>
      <c r="T27" s="30">
        <f>_xll.qlIndexFixing($M$6,Q27,,InterestRatesTrigger)</f>
        <v>1.4316119638279686E-3</v>
      </c>
      <c r="U27" s="30">
        <f>_xll.qlIndexFixing(Index,Q27,,InterestRatesTrigger)</f>
        <v>3.2129069392661733E-3</v>
      </c>
      <c r="V27" s="30">
        <f t="shared" si="5"/>
        <v>1.7812949754382047E-3</v>
      </c>
      <c r="W27" s="29">
        <f>_xll.qlDayCounterYearFraction(DayCounter,SettlementDate,R27,,,Trigger)</f>
        <v>3.05</v>
      </c>
      <c r="X27" s="29">
        <f>_xll.qlDayCounterYearFraction(DayCounter,R27,S27)</f>
        <v>0.25555555555555554</v>
      </c>
      <c r="Y27" s="29">
        <f>_xll.qlYieldTSDiscount(Currency&amp;"ON",R27)/(1+U27*X27)</f>
        <v>1.002780012510081</v>
      </c>
      <c r="Z27" s="30">
        <f>_xll.qlTenorBasisValue(TenorBasis6M,R27,InterestRatesTrigger)</f>
        <v>1.657369113081897E-3</v>
      </c>
      <c r="AA27" s="30">
        <f t="shared" si="6"/>
        <v>1.2392586235630766E-4</v>
      </c>
    </row>
    <row r="28" spans="12:27" x14ac:dyDescent="0.2">
      <c r="L28" s="46" t="s">
        <v>48</v>
      </c>
      <c r="M28" s="44">
        <v>0.1708951302634576</v>
      </c>
      <c r="O28" s="33">
        <v>3</v>
      </c>
      <c r="P28" s="27" t="str">
        <f>_xll.qlPeriodEquivalent(P27&amp;"+"&amp;O28&amp;"M")</f>
        <v>3Y3M</v>
      </c>
      <c r="Q28" s="28">
        <f>_xll.qlCalendarAdvance(Calendar,SettlementDate,P28,"f",,Trigger)</f>
        <v>43467</v>
      </c>
      <c r="R28" s="28">
        <f>_xll.qlInterestRateIndexValueDate(Index,Q28,Trigger)</f>
        <v>43469</v>
      </c>
      <c r="S28" s="28">
        <f>_xll.qlInterestRateIndexMaturity(Index,R28,Trigger)</f>
        <v>43559</v>
      </c>
      <c r="T28" s="30">
        <f>_xll.qlIndexFixing($M$6,Q28,,InterestRatesTrigger)</f>
        <v>2.1043050778493111E-3</v>
      </c>
      <c r="U28" s="30">
        <f>_xll.qlIndexFixing(Index,Q28,,InterestRatesTrigger)</f>
        <v>3.8679561036758514E-3</v>
      </c>
      <c r="V28" s="30">
        <f t="shared" si="5"/>
        <v>1.7636510258265403E-3</v>
      </c>
      <c r="W28" s="29">
        <f>_xll.qlDayCounterYearFraction(DayCounter,SettlementDate,R28,,,Trigger)</f>
        <v>3.3055555555555554</v>
      </c>
      <c r="X28" s="29">
        <f>_xll.qlDayCounterYearFraction(DayCounter,R28,S28)</f>
        <v>0.25</v>
      </c>
      <c r="Y28" s="29">
        <f>_xll.qlYieldTSDiscount(Currency&amp;"ON",R28)/(1+U28*X28)</f>
        <v>1.0022671495722744</v>
      </c>
      <c r="Z28" s="30">
        <f>_xll.qlTenorBasisValue(TenorBasis6M,R28,InterestRatesTrigger)</f>
        <v>1.672112342863816E-3</v>
      </c>
      <c r="AA28" s="30">
        <f t="shared" si="6"/>
        <v>9.1538682962724301E-5</v>
      </c>
    </row>
    <row r="29" spans="12:27" x14ac:dyDescent="0.2">
      <c r="L29" s="46" t="s">
        <v>49</v>
      </c>
      <c r="M29" s="43">
        <v>1.7828136401662034E-4</v>
      </c>
      <c r="O29" s="33">
        <v>3</v>
      </c>
      <c r="P29" s="27" t="str">
        <f>_xll.qlPeriodEquivalent(P28&amp;"+"&amp;O29&amp;"M")</f>
        <v>3Y6M</v>
      </c>
      <c r="Q29" s="28">
        <f>_xll.qlCalendarAdvance(Calendar,SettlementDate,P29,"f",,Trigger)</f>
        <v>43557</v>
      </c>
      <c r="R29" s="28">
        <f>_xll.qlInterestRateIndexValueDate(Index,Q29,Trigger)</f>
        <v>43559</v>
      </c>
      <c r="S29" s="28">
        <f>_xll.qlInterestRateIndexMaturity(Index,R29,Trigger)</f>
        <v>43650</v>
      </c>
      <c r="T29" s="30">
        <f>_xll.qlIndexFixing($M$6,Q29,,InterestRatesTrigger)</f>
        <v>2.7761980796873896E-3</v>
      </c>
      <c r="U29" s="30">
        <f>_xll.qlIndexFixing(Index,Q29,,InterestRatesTrigger)</f>
        <v>4.5332894694123192E-3</v>
      </c>
      <c r="V29" s="30">
        <f t="shared" si="5"/>
        <v>1.7570913897249295E-3</v>
      </c>
      <c r="W29" s="29">
        <f>_xll.qlDayCounterYearFraction(DayCounter,SettlementDate,R29,,,Trigger)</f>
        <v>3.5555555555555554</v>
      </c>
      <c r="X29" s="29">
        <f>_xll.qlDayCounterYearFraction(DayCounter,R29,S29)</f>
        <v>0.25277777777777777</v>
      </c>
      <c r="Y29" s="29">
        <f>_xll.qlYieldTSDiscount(Currency&amp;"ON",R29)/(1+U29*X29)</f>
        <v>1.0015611258311685</v>
      </c>
      <c r="Z29" s="30">
        <f>_xll.qlTenorBasisValue(TenorBasis6M,R29,InterestRatesTrigger)</f>
        <v>1.6827860449028249E-3</v>
      </c>
      <c r="AA29" s="30">
        <f t="shared" si="6"/>
        <v>7.4305344822104668E-5</v>
      </c>
    </row>
    <row r="30" spans="12:27" x14ac:dyDescent="0.2">
      <c r="M30" s="42">
        <f>1/M28-M26/M27</f>
        <v>4.3579143144694283</v>
      </c>
      <c r="O30" s="33">
        <v>3</v>
      </c>
      <c r="P30" s="27" t="str">
        <f>_xll.qlPeriodEquivalent(P29&amp;"+"&amp;O30&amp;"M")</f>
        <v>3Y9M</v>
      </c>
      <c r="Q30" s="28">
        <f>_xll.qlCalendarAdvance(Calendar,SettlementDate,P30,"f",,Trigger)</f>
        <v>43648</v>
      </c>
      <c r="R30" s="28">
        <f>_xll.qlInterestRateIndexValueDate(Index,Q30,Trigger)</f>
        <v>43650</v>
      </c>
      <c r="S30" s="28">
        <f>_xll.qlInterestRateIndexMaturity(Index,R30,Trigger)</f>
        <v>43742</v>
      </c>
      <c r="T30" s="30">
        <f>_xll.qlIndexFixing($M$6,Q30,,InterestRatesTrigger)</f>
        <v>3.4436078909631496E-3</v>
      </c>
      <c r="U30" s="30">
        <f>_xll.qlIndexFixing(Index,Q30,,InterestRatesTrigger)</f>
        <v>5.2122165450166468E-3</v>
      </c>
      <c r="V30" s="30">
        <f t="shared" si="5"/>
        <v>1.7686086540534972E-3</v>
      </c>
      <c r="W30" s="29">
        <f>_xll.qlDayCounterYearFraction(DayCounter,SettlementDate,R30,,,Trigger)</f>
        <v>3.8083333333333331</v>
      </c>
      <c r="X30" s="29">
        <f>_xll.qlDayCounterYearFraction(DayCounter,R30,S30)</f>
        <v>0.25555555555555554</v>
      </c>
      <c r="Y30" s="29">
        <f>_xll.qlYieldTSDiscount(Currency&amp;"ON",R30)/(1+U30*X30)</f>
        <v>1.0006727538999383</v>
      </c>
      <c r="Z30" s="30">
        <f>_xll.qlTenorBasisValue(TenorBasis6M,R30,InterestRatesTrigger)</f>
        <v>1.6900977587368641E-3</v>
      </c>
      <c r="AA30" s="30">
        <f t="shared" si="6"/>
        <v>7.8510895316633066E-5</v>
      </c>
    </row>
    <row r="31" spans="12:27" x14ac:dyDescent="0.2">
      <c r="O31" s="33">
        <v>3</v>
      </c>
      <c r="P31" s="27" t="str">
        <f>_xll.qlPeriodEquivalent(P30&amp;"+"&amp;O31&amp;"M")</f>
        <v>4Y</v>
      </c>
      <c r="Q31" s="28">
        <f>_xll.qlCalendarAdvance(Calendar,SettlementDate,P31,"f",,Trigger)</f>
        <v>43740</v>
      </c>
      <c r="R31" s="28">
        <f>_xll.qlInterestRateIndexValueDate(Index,Q31,Trigger)</f>
        <v>43742</v>
      </c>
      <c r="S31" s="28">
        <f>_xll.qlInterestRateIndexMaturity(Index,R31,Trigger)</f>
        <v>43836</v>
      </c>
      <c r="T31" s="30">
        <f>_xll.qlIndexFixing($M$6,Q31,,InterestRatesTrigger)</f>
        <v>4.1133865799199525E-3</v>
      </c>
      <c r="U31" s="30">
        <f>_xll.qlIndexFixing(Index,Q31,,InterestRatesTrigger)</f>
        <v>5.9090914902155157E-3</v>
      </c>
      <c r="V31" s="30">
        <f t="shared" si="5"/>
        <v>1.7957049102955633E-3</v>
      </c>
      <c r="W31" s="29">
        <f>_xll.qlDayCounterYearFraction(DayCounter,SettlementDate,R31,,,Trigger)</f>
        <v>4.0638888888888891</v>
      </c>
      <c r="X31" s="29">
        <f>_xll.qlDayCounterYearFraction(DayCounter,R31,S31)</f>
        <v>0.26111111111111113</v>
      </c>
      <c r="Y31" s="29">
        <f>_xll.qlYieldTSDiscount(Currency&amp;"ON",R31)/(1+U31*X31)</f>
        <v>0.99958235301901355</v>
      </c>
      <c r="Z31" s="30">
        <f>_xll.qlTenorBasisValue(TenorBasis6M,R31,InterestRatesTrigger)</f>
        <v>1.6942097726222285E-3</v>
      </c>
      <c r="AA31" s="30">
        <f t="shared" si="6"/>
        <v>1.0149513767333481E-4</v>
      </c>
    </row>
    <row r="32" spans="12:27" x14ac:dyDescent="0.2">
      <c r="O32" s="33">
        <v>3</v>
      </c>
      <c r="P32" s="27" t="str">
        <f>_xll.qlPeriodEquivalent(P31&amp;"+"&amp;O32&amp;"M")</f>
        <v>4Y3M</v>
      </c>
      <c r="Q32" s="28">
        <f>_xll.qlCalendarAdvance(Calendar,SettlementDate,P32,"f",,Trigger)</f>
        <v>43832</v>
      </c>
      <c r="R32" s="28">
        <f>_xll.qlInterestRateIndexValueDate(Index,Q32,Trigger)</f>
        <v>43836</v>
      </c>
      <c r="S32" s="28">
        <f>_xll.qlInterestRateIndexMaturity(Index,R32,Trigger)</f>
        <v>43927</v>
      </c>
      <c r="T32" s="30">
        <f>_xll.qlIndexFixing($M$6,Q32,,InterestRatesTrigger)</f>
        <v>4.8329368729431426E-3</v>
      </c>
      <c r="U32" s="30">
        <f>_xll.qlIndexFixing(Index,Q32,,InterestRatesTrigger)</f>
        <v>6.6346579395145325E-3</v>
      </c>
      <c r="V32" s="30">
        <f t="shared" si="5"/>
        <v>1.8017210665713899E-3</v>
      </c>
      <c r="W32" s="29">
        <f>_xll.qlDayCounterYearFraction(DayCounter,SettlementDate,R32,,,Trigger)</f>
        <v>4.3250000000000002</v>
      </c>
      <c r="X32" s="29">
        <f>_xll.qlDayCounterYearFraction(DayCounter,R32,S32)</f>
        <v>0.25277777777777777</v>
      </c>
      <c r="Y32" s="29">
        <f>_xll.qlYieldTSDiscount(Currency&amp;"ON",R32)/(1+U32*X32)</f>
        <v>0.99837616208739099</v>
      </c>
      <c r="Z32" s="30">
        <f>_xll.qlTenorBasisValue(TenorBasis6M,R32,InterestRatesTrigger)</f>
        <v>1.6952794366272672E-3</v>
      </c>
      <c r="AA32" s="30">
        <f t="shared" si="6"/>
        <v>1.0644162994412278E-4</v>
      </c>
    </row>
    <row r="33" spans="15:27" x14ac:dyDescent="0.2">
      <c r="O33" s="33">
        <v>3</v>
      </c>
      <c r="P33" s="27" t="str">
        <f>_xll.qlPeriodEquivalent(P32&amp;"+"&amp;O33&amp;"M")</f>
        <v>4Y6M</v>
      </c>
      <c r="Q33" s="28">
        <f>_xll.qlCalendarAdvance(Calendar,SettlementDate,P33,"f",,Trigger)</f>
        <v>43923</v>
      </c>
      <c r="R33" s="28">
        <f>_xll.qlInterestRateIndexValueDate(Index,Q33,Trigger)</f>
        <v>43927</v>
      </c>
      <c r="S33" s="28">
        <f>_xll.qlInterestRateIndexMaturity(Index,R33,Trigger)</f>
        <v>44018</v>
      </c>
      <c r="T33" s="30">
        <f>_xll.qlIndexFixing($M$6,Q33,,InterestRatesTrigger)</f>
        <v>5.616135946614708E-3</v>
      </c>
      <c r="U33" s="30">
        <f>_xll.qlIndexFixing(Index,Q33,,InterestRatesTrigger)</f>
        <v>7.3894154051099342E-3</v>
      </c>
      <c r="V33" s="30">
        <f t="shared" si="5"/>
        <v>1.7732794584952262E-3</v>
      </c>
      <c r="W33" s="29">
        <f>_xll.qlDayCounterYearFraction(DayCounter,SettlementDate,R33,,,Trigger)</f>
        <v>4.5777777777777775</v>
      </c>
      <c r="X33" s="29">
        <f>_xll.qlDayCounterYearFraction(DayCounter,R33,S33)</f>
        <v>0.25277777777777777</v>
      </c>
      <c r="Y33" s="29">
        <f>_xll.qlYieldTSDiscount(Currency&amp;"ON",R33)/(1+U33*X33)</f>
        <v>0.99696808602331144</v>
      </c>
      <c r="Z33" s="30">
        <f>_xll.qlTenorBasisValue(TenorBasis6M,R33,InterestRatesTrigger)</f>
        <v>1.6935473896636721E-3</v>
      </c>
      <c r="AA33" s="30">
        <f t="shared" si="6"/>
        <v>7.9732068831554065E-5</v>
      </c>
    </row>
    <row r="34" spans="15:27" x14ac:dyDescent="0.2">
      <c r="O34" s="33">
        <v>3</v>
      </c>
      <c r="P34" s="27" t="str">
        <f>_xll.qlPeriodEquivalent(P33&amp;"+"&amp;O34&amp;"M")</f>
        <v>4Y9M</v>
      </c>
      <c r="Q34" s="28">
        <f>_xll.qlCalendarAdvance(Calendar,SettlementDate,P34,"f",,Trigger)</f>
        <v>44014</v>
      </c>
      <c r="R34" s="28">
        <f>_xll.qlInterestRateIndexValueDate(Index,Q34,Trigger)</f>
        <v>44018</v>
      </c>
      <c r="S34" s="28">
        <f>_xll.qlInterestRateIndexMaturity(Index,R34,Trigger)</f>
        <v>44110</v>
      </c>
      <c r="T34" s="30">
        <f>_xll.qlIndexFixing($M$6,Q34,,InterestRatesTrigger)</f>
        <v>6.487828965107907E-3</v>
      </c>
      <c r="U34" s="30">
        <f>_xll.qlIndexFixing(Index,Q34,,InterestRatesTrigger)</f>
        <v>8.1918688938028041E-3</v>
      </c>
      <c r="V34" s="30">
        <f t="shared" si="5"/>
        <v>1.7040399286948971E-3</v>
      </c>
      <c r="W34" s="29">
        <f>_xll.qlDayCounterYearFraction(DayCounter,SettlementDate,R34,,,Trigger)</f>
        <v>4.8305555555555557</v>
      </c>
      <c r="X34" s="29">
        <f>_xll.qlDayCounterYearFraction(DayCounter,R34,S34)</f>
        <v>0.25555555555555554</v>
      </c>
      <c r="Y34" s="29">
        <f>_xll.qlYieldTSDiscount(Currency&amp;"ON",R34)/(1+U34*X34)</f>
        <v>0.99533063670706889</v>
      </c>
      <c r="Z34" s="30">
        <f>_xll.qlTenorBasisValue(TenorBasis6M,R34,InterestRatesTrigger)</f>
        <v>1.6893204480448328E-3</v>
      </c>
      <c r="AA34" s="30">
        <f t="shared" si="6"/>
        <v>1.4719480650064298E-5</v>
      </c>
    </row>
    <row r="35" spans="15:27" x14ac:dyDescent="0.2">
      <c r="O35" s="33">
        <v>3</v>
      </c>
      <c r="P35" s="27" t="str">
        <f>_xll.qlPeriodEquivalent(P34&amp;"+"&amp;O35&amp;"M")</f>
        <v>5Y</v>
      </c>
      <c r="Q35" s="28">
        <f>_xll.qlCalendarAdvance(Calendar,SettlementDate,P35,"f",,Trigger)</f>
        <v>44106</v>
      </c>
      <c r="R35" s="28">
        <f>_xll.qlInterestRateIndexValueDate(Index,Q35,Trigger)</f>
        <v>44110</v>
      </c>
      <c r="S35" s="28">
        <f>_xll.qlInterestRateIndexMaturity(Index,R35,Trigger)</f>
        <v>44202</v>
      </c>
      <c r="T35" s="30">
        <f>_xll.qlIndexFixing($M$6,Q35,,InterestRatesTrigger)</f>
        <v>7.432606265275441E-3</v>
      </c>
      <c r="U35" s="30">
        <f>_xll.qlIndexFixing(Index,Q35,,InterestRatesTrigger)</f>
        <v>9.0336967291659853E-3</v>
      </c>
      <c r="V35" s="30">
        <f t="shared" si="5"/>
        <v>1.6010904638905444E-3</v>
      </c>
      <c r="W35" s="29">
        <f>_xll.qlDayCounterYearFraction(DayCounter,SettlementDate,R35,,,Trigger)</f>
        <v>5.0861111111111112</v>
      </c>
      <c r="X35" s="29">
        <f>_xll.qlDayCounterYearFraction(DayCounter,R35,S35)</f>
        <v>0.25555555555555554</v>
      </c>
      <c r="Y35" s="29">
        <f>_xll.qlYieldTSDiscount(Currency&amp;"ON",R35)/(1+U35*X35)</f>
        <v>0.99346982696346064</v>
      </c>
      <c r="Z35" s="30">
        <f>_xll.qlTenorBasisValue(TenorBasis6M,R35,InterestRatesTrigger)</f>
        <v>1.6827262751149567E-3</v>
      </c>
      <c r="AA35" s="30">
        <f t="shared" si="6"/>
        <v>-8.1635811224412339E-5</v>
      </c>
    </row>
    <row r="36" spans="15:27" x14ac:dyDescent="0.2">
      <c r="O36" s="33">
        <v>3</v>
      </c>
      <c r="P36" s="27" t="str">
        <f>_xll.qlPeriodEquivalent(P35&amp;"+"&amp;O36&amp;"M")</f>
        <v>5Y3M</v>
      </c>
      <c r="Q36" s="28">
        <f>_xll.qlCalendarAdvance(Calendar,SettlementDate,P36,"f",,Trigger)</f>
        <v>44200</v>
      </c>
      <c r="R36" s="28">
        <f>_xll.qlInterestRateIndexValueDate(Index,Q36,Trigger)</f>
        <v>44202</v>
      </c>
      <c r="S36" s="28">
        <f>_xll.qlInterestRateIndexMaturity(Index,R36,Trigger)</f>
        <v>44292</v>
      </c>
      <c r="T36" s="30">
        <f>_xll.qlIndexFixing($M$6,Q36,,InterestRatesTrigger)</f>
        <v>8.3462071764230927E-3</v>
      </c>
      <c r="U36" s="30">
        <f>_xll.qlIndexFixing(Index,Q36,,InterestRatesTrigger)</f>
        <v>9.8597032996181611E-3</v>
      </c>
      <c r="V36" s="30">
        <f t="shared" si="5"/>
        <v>1.5134961231950683E-3</v>
      </c>
      <c r="W36" s="29">
        <f>_xll.qlDayCounterYearFraction(DayCounter,SettlementDate,R36,,,Trigger)</f>
        <v>5.3416666666666668</v>
      </c>
      <c r="X36" s="29">
        <f>_xll.qlDayCounterYearFraction(DayCounter,R36,S36)</f>
        <v>0.25</v>
      </c>
      <c r="Y36" s="29">
        <f>_xll.qlYieldTSDiscount(Currency&amp;"ON",R36)/(1+U36*X36)</f>
        <v>0.99143174622476793</v>
      </c>
      <c r="Z36" s="30">
        <f>_xll.qlTenorBasisValue(TenorBasis6M,R36,InterestRatesTrigger)</f>
        <v>1.6740022582851701E-3</v>
      </c>
      <c r="AA36" s="30">
        <f t="shared" si="6"/>
        <v>-1.605061350901018E-4</v>
      </c>
    </row>
    <row r="37" spans="15:27" x14ac:dyDescent="0.2">
      <c r="O37" s="33">
        <v>3</v>
      </c>
      <c r="P37" s="27" t="str">
        <f>_xll.qlPeriodEquivalent(P36&amp;"+"&amp;O37&amp;"M")</f>
        <v>5Y6M</v>
      </c>
      <c r="Q37" s="28">
        <f>_xll.qlCalendarAdvance(Calendar,SettlementDate,P37,"f",,Trigger)</f>
        <v>44292</v>
      </c>
      <c r="R37" s="28">
        <f>_xll.qlInterestRateIndexValueDate(Index,Q37,Trigger)</f>
        <v>44294</v>
      </c>
      <c r="S37" s="28">
        <f>_xll.qlInterestRateIndexMaturity(Index,R37,Trigger)</f>
        <v>44385</v>
      </c>
      <c r="T37" s="30">
        <f>_xll.qlIndexFixing($M$6,Q37,,InterestRatesTrigger)</f>
        <v>9.2189876534799486E-3</v>
      </c>
      <c r="U37" s="30">
        <f>_xll.qlIndexFixing(Index,Q37,,InterestRatesTrigger)</f>
        <v>1.067605885382527E-2</v>
      </c>
      <c r="V37" s="30">
        <f t="shared" si="5"/>
        <v>1.4570712003453209E-3</v>
      </c>
      <c r="W37" s="29">
        <f>_xll.qlDayCounterYearFraction(DayCounter,SettlementDate,R37,,,Trigger)</f>
        <v>5.5972222222222223</v>
      </c>
      <c r="X37" s="29">
        <f>_xll.qlDayCounterYearFraction(DayCounter,R37,S37)</f>
        <v>0.25277777777777777</v>
      </c>
      <c r="Y37" s="29">
        <f>_xll.qlYieldTSDiscount(Currency&amp;"ON",R37)/(1+U37*X37)</f>
        <v>0.98908848950943673</v>
      </c>
      <c r="Z37" s="30">
        <f>_xll.qlTenorBasisValue(TenorBasis6M,R37,InterestRatesTrigger)</f>
        <v>1.6633397087877212E-3</v>
      </c>
      <c r="AA37" s="30">
        <f t="shared" si="6"/>
        <v>-2.0626850844240028E-4</v>
      </c>
    </row>
    <row r="38" spans="15:27" x14ac:dyDescent="0.2">
      <c r="O38" s="33">
        <v>3</v>
      </c>
      <c r="P38" s="27" t="str">
        <f>_xll.qlPeriodEquivalent(P37&amp;"+"&amp;O38&amp;"M")</f>
        <v>5Y9M</v>
      </c>
      <c r="Q38" s="28">
        <f>_xll.qlCalendarAdvance(Calendar,SettlementDate,P38,"f",,Trigger)</f>
        <v>44379</v>
      </c>
      <c r="R38" s="28">
        <f>_xll.qlInterestRateIndexValueDate(Index,Q38,Trigger)</f>
        <v>44383</v>
      </c>
      <c r="S38" s="28">
        <f>_xll.qlInterestRateIndexMaturity(Index,R38,Trigger)</f>
        <v>44475</v>
      </c>
      <c r="T38" s="30">
        <f>_xll.qlIndexFixing($M$6,Q38,,InterestRatesTrigger)</f>
        <v>9.9937168764328305E-3</v>
      </c>
      <c r="U38" s="30">
        <f>_xll.qlIndexFixing(Index,Q38,,InterestRatesTrigger)</f>
        <v>1.143482019631234E-2</v>
      </c>
      <c r="V38" s="30">
        <f t="shared" si="5"/>
        <v>1.4411033198795092E-3</v>
      </c>
      <c r="W38" s="29">
        <f>_xll.qlDayCounterYearFraction(DayCounter,SettlementDate,R38,,,Trigger)</f>
        <v>5.8444444444444441</v>
      </c>
      <c r="X38" s="29">
        <f>_xll.qlDayCounterYearFraction(DayCounter,R38,S38)</f>
        <v>0.25555555555555554</v>
      </c>
      <c r="Y38" s="29">
        <f>_xll.qlYieldTSDiscount(Currency&amp;"ON",R38)/(1+U38*X38)</f>
        <v>0.98662160343166094</v>
      </c>
      <c r="Z38" s="30">
        <f>_xll.qlTenorBasisValue(TenorBasis6M,R38,InterestRatesTrigger)</f>
        <v>1.65134865351985E-3</v>
      </c>
      <c r="AA38" s="30">
        <f t="shared" si="6"/>
        <v>-2.102453336403408E-4</v>
      </c>
    </row>
    <row r="39" spans="15:27" x14ac:dyDescent="0.2">
      <c r="O39" s="33">
        <v>3</v>
      </c>
      <c r="P39" s="27" t="str">
        <f>_xll.qlPeriodEquivalent(P38&amp;"+"&amp;O39&amp;"M")</f>
        <v>6Y</v>
      </c>
      <c r="Q39" s="28">
        <f>_xll.qlCalendarAdvance(Calendar,SettlementDate,P39,"f",,Trigger)</f>
        <v>44473</v>
      </c>
      <c r="R39" s="28">
        <f>_xll.qlInterestRateIndexValueDate(Index,Q39,Trigger)</f>
        <v>44475</v>
      </c>
      <c r="S39" s="28">
        <f>_xll.qlInterestRateIndexMaturity(Index,R39,Trigger)</f>
        <v>44567</v>
      </c>
      <c r="T39" s="30">
        <f>_xll.qlIndexFixing($M$6,Q39,,InterestRatesTrigger)</f>
        <v>1.0715958923754394E-2</v>
      </c>
      <c r="U39" s="30">
        <f>_xll.qlIndexFixing(Index,Q39,,InterestRatesTrigger)</f>
        <v>1.217712472510655E-2</v>
      </c>
      <c r="V39" s="30">
        <f t="shared" si="5"/>
        <v>1.4611658013521569E-3</v>
      </c>
      <c r="W39" s="29">
        <f>_xll.qlDayCounterYearFraction(DayCounter,SettlementDate,R39,,,Trigger)</f>
        <v>6.1</v>
      </c>
      <c r="X39" s="29">
        <f>_xll.qlDayCounterYearFraction(DayCounter,R39,S39)</f>
        <v>0.25555555555555554</v>
      </c>
      <c r="Y39" s="29">
        <f>_xll.qlYieldTSDiscount(Currency&amp;"ON",R39)/(1+U39*X39)</f>
        <v>0.98392213409198503</v>
      </c>
      <c r="Z39" s="30">
        <f>_xll.qlTenorBasisValue(TenorBasis6M,R39,InterestRatesTrigger)</f>
        <v>1.6373836877375794E-3</v>
      </c>
      <c r="AA39" s="30">
        <f t="shared" si="6"/>
        <v>-1.7621788638542252E-4</v>
      </c>
    </row>
    <row r="40" spans="15:27" x14ac:dyDescent="0.2">
      <c r="O40" s="33">
        <v>3</v>
      </c>
      <c r="P40" s="27" t="str">
        <f>_xll.qlPeriodEquivalent(P39&amp;"+"&amp;O40&amp;"M")</f>
        <v>6Y3M</v>
      </c>
      <c r="Q40" s="28">
        <f>_xll.qlCalendarAdvance(Calendar,SettlementDate,P40,"f",,Trigger)</f>
        <v>44564</v>
      </c>
      <c r="R40" s="28">
        <f>_xll.qlInterestRateIndexValueDate(Index,Q40,Trigger)</f>
        <v>44566</v>
      </c>
      <c r="S40" s="28">
        <f>_xll.qlInterestRateIndexMaturity(Index,R40,Trigger)</f>
        <v>44656</v>
      </c>
      <c r="T40" s="30">
        <f>_xll.qlIndexFixing($M$6,Q40,,InterestRatesTrigger)</f>
        <v>1.1387760641277112E-2</v>
      </c>
      <c r="U40" s="30">
        <f>_xll.qlIndexFixing(Index,Q40,,InterestRatesTrigger)</f>
        <v>1.2869953206512186E-2</v>
      </c>
      <c r="V40" s="30">
        <f t="shared" si="5"/>
        <v>1.4821925652350743E-3</v>
      </c>
      <c r="W40" s="29">
        <f>_xll.qlDayCounterYearFraction(DayCounter,SettlementDate,R40,,,Trigger)</f>
        <v>6.3527777777777779</v>
      </c>
      <c r="X40" s="29">
        <f>_xll.qlDayCounterYearFraction(DayCounter,R40,S40)</f>
        <v>0.25</v>
      </c>
      <c r="Y40" s="29">
        <f>_xll.qlYieldTSDiscount(Currency&amp;"ON",R40)/(1+U40*X40)</f>
        <v>0.98116185665527467</v>
      </c>
      <c r="Z40" s="30">
        <f>_xll.qlTenorBasisValue(TenorBasis6M,R40,InterestRatesTrigger)</f>
        <v>1.6221525532525516E-3</v>
      </c>
      <c r="AA40" s="30">
        <f t="shared" si="6"/>
        <v>-1.3995998801747734E-4</v>
      </c>
    </row>
    <row r="41" spans="15:27" x14ac:dyDescent="0.2">
      <c r="O41" s="33">
        <v>3</v>
      </c>
      <c r="P41" s="27" t="str">
        <f>_xll.qlPeriodEquivalent(P40&amp;"+"&amp;O41&amp;"M")</f>
        <v>6Y6M</v>
      </c>
      <c r="Q41" s="28">
        <f>_xll.qlCalendarAdvance(Calendar,SettlementDate,P41,"f",,Trigger)</f>
        <v>44655</v>
      </c>
      <c r="R41" s="28">
        <f>_xll.qlInterestRateIndexValueDate(Index,Q41,Trigger)</f>
        <v>44657</v>
      </c>
      <c r="S41" s="28">
        <f>_xll.qlInterestRateIndexMaturity(Index,R41,Trigger)</f>
        <v>44748</v>
      </c>
      <c r="T41" s="30">
        <f>_xll.qlIndexFixing($M$6,Q41,,InterestRatesTrigger)</f>
        <v>1.2043334471917215E-2</v>
      </c>
      <c r="U41" s="30">
        <f>_xll.qlIndexFixing(Index,Q41,,InterestRatesTrigger)</f>
        <v>1.3538136759651074E-2</v>
      </c>
      <c r="V41" s="30">
        <f t="shared" si="5"/>
        <v>1.4948022877338592E-3</v>
      </c>
      <c r="W41" s="29">
        <f>_xll.qlDayCounterYearFraction(DayCounter,SettlementDate,R41,,,Trigger)</f>
        <v>6.6055555555555552</v>
      </c>
      <c r="X41" s="29">
        <f>_xll.qlDayCounterYearFraction(DayCounter,R41,S41)</f>
        <v>0.25277777777777777</v>
      </c>
      <c r="Y41" s="29">
        <f>_xll.qlYieldTSDiscount(Currency&amp;"ON",R41)/(1+U41*X41)</f>
        <v>0.97814513932257563</v>
      </c>
      <c r="Z41" s="30">
        <f>_xll.qlTenorBasisValue(TenorBasis6M,R41,InterestRatesTrigger)</f>
        <v>1.6056533985210203E-3</v>
      </c>
      <c r="AA41" s="30">
        <f t="shared" si="6"/>
        <v>-1.1085111078716105E-4</v>
      </c>
    </row>
    <row r="42" spans="15:27" x14ac:dyDescent="0.2">
      <c r="O42" s="33">
        <v>3</v>
      </c>
      <c r="P42" s="27" t="str">
        <f>_xll.qlPeriodEquivalent(P41&amp;"+"&amp;O42&amp;"M")</f>
        <v>6Y9M</v>
      </c>
      <c r="Q42" s="28">
        <f>_xll.qlCalendarAdvance(Calendar,SettlementDate,P42,"f",,Trigger)</f>
        <v>44746</v>
      </c>
      <c r="R42" s="28">
        <f>_xll.qlInterestRateIndexValueDate(Index,Q42,Trigger)</f>
        <v>44748</v>
      </c>
      <c r="S42" s="28">
        <f>_xll.qlInterestRateIndexMaturity(Index,R42,Trigger)</f>
        <v>44840</v>
      </c>
      <c r="T42" s="30">
        <f>_xll.qlIndexFixing($M$6,Q42,,InterestRatesTrigger)</f>
        <v>1.2666707214027359E-2</v>
      </c>
      <c r="U42" s="30">
        <f>_xll.qlIndexFixing(Index,Q42,,InterestRatesTrigger)</f>
        <v>1.4163341125905478E-2</v>
      </c>
      <c r="V42" s="30">
        <f t="shared" si="5"/>
        <v>1.4966339118781188E-3</v>
      </c>
      <c r="W42" s="29">
        <f>_xll.qlDayCounterYearFraction(DayCounter,SettlementDate,R42,,,Trigger)</f>
        <v>6.8583333333333334</v>
      </c>
      <c r="X42" s="29">
        <f>_xll.qlDayCounterYearFraction(DayCounter,R42,S42)</f>
        <v>0.25555555555555554</v>
      </c>
      <c r="Y42" s="29">
        <f>_xll.qlYieldTSDiscount(Currency&amp;"ON",R42)/(1+U42*X42)</f>
        <v>0.9749846355792896</v>
      </c>
      <c r="Z42" s="30">
        <f>_xll.qlTenorBasisValue(TenorBasis6M,R42,InterestRatesTrigger)</f>
        <v>1.5880185066883422E-3</v>
      </c>
      <c r="AA42" s="30">
        <f t="shared" si="6"/>
        <v>-9.1384594810223338E-5</v>
      </c>
    </row>
    <row r="43" spans="15:27" x14ac:dyDescent="0.2">
      <c r="O43" s="33">
        <v>3</v>
      </c>
      <c r="P43" s="27" t="str">
        <f>_xll.qlPeriodEquivalent(P42&amp;"+"&amp;O43&amp;"M")</f>
        <v>7Y</v>
      </c>
      <c r="Q43" s="28">
        <f>_xll.qlCalendarAdvance(Calendar,SettlementDate,P43,"f",,Trigger)</f>
        <v>44837</v>
      </c>
      <c r="R43" s="28">
        <f>_xll.qlInterestRateIndexValueDate(Index,Q43,Trigger)</f>
        <v>44839</v>
      </c>
      <c r="S43" s="28">
        <f>_xll.qlInterestRateIndexMaturity(Index,R43,Trigger)</f>
        <v>44931</v>
      </c>
      <c r="T43" s="30">
        <f>_xll.qlIndexFixing($M$6,Q43,,InterestRatesTrigger)</f>
        <v>1.3254242514132963E-2</v>
      </c>
      <c r="U43" s="30">
        <f>_xll.qlIndexFixing(Index,Q43,,InterestRatesTrigger)</f>
        <v>1.4742439510770729E-2</v>
      </c>
      <c r="V43" s="30">
        <f t="shared" si="5"/>
        <v>1.488196996637766E-3</v>
      </c>
      <c r="W43" s="29">
        <f>_xll.qlDayCounterYearFraction(DayCounter,SettlementDate,R43,,,Trigger)</f>
        <v>7.1111111111111107</v>
      </c>
      <c r="X43" s="29">
        <f>_xll.qlDayCounterYearFraction(DayCounter,R43,S43)</f>
        <v>0.25555555555555554</v>
      </c>
      <c r="Y43" s="29">
        <f>_xll.qlYieldTSDiscount(Currency&amp;"ON",R43)/(1+U43*X43)</f>
        <v>0.97173040031534763</v>
      </c>
      <c r="Z43" s="30">
        <f>_xll.qlTenorBasisValue(TenorBasis6M,R43,InterestRatesTrigger)</f>
        <v>1.5693713315564236E-3</v>
      </c>
      <c r="AA43" s="30">
        <f t="shared" si="6"/>
        <v>-8.1174334918657524E-5</v>
      </c>
    </row>
    <row r="44" spans="15:27" x14ac:dyDescent="0.2">
      <c r="O44" s="33">
        <v>3</v>
      </c>
      <c r="P44" s="27" t="str">
        <f>_xll.qlPeriodEquivalent(P43&amp;"+"&amp;O44&amp;"M")</f>
        <v>7Y3M</v>
      </c>
      <c r="Q44" s="28">
        <f>_xll.qlCalendarAdvance(Calendar,SettlementDate,P44,"f",,Trigger)</f>
        <v>44928</v>
      </c>
      <c r="R44" s="28">
        <f>_xll.qlInterestRateIndexValueDate(Index,Q44,Trigger)</f>
        <v>44930</v>
      </c>
      <c r="S44" s="28">
        <f>_xll.qlInterestRateIndexMaturity(Index,R44,Trigger)</f>
        <v>45020</v>
      </c>
      <c r="T44" s="30">
        <f>_xll.qlIndexFixing($M$6,Q44,,InterestRatesTrigger)</f>
        <v>1.3813893941484245E-2</v>
      </c>
      <c r="U44" s="30">
        <f>_xll.qlIndexFixing(Index,Q44,,InterestRatesTrigger)</f>
        <v>1.5290641050903275E-2</v>
      </c>
      <c r="V44" s="30">
        <f t="shared" si="5"/>
        <v>1.4767471094190299E-3</v>
      </c>
      <c r="W44" s="29">
        <f>_xll.qlDayCounterYearFraction(DayCounter,SettlementDate,R44,,,Trigger)</f>
        <v>7.3638888888888889</v>
      </c>
      <c r="X44" s="29">
        <f>_xll.qlDayCounterYearFraction(DayCounter,R44,S44)</f>
        <v>0.25</v>
      </c>
      <c r="Y44" s="29">
        <f>_xll.qlYieldTSDiscount(Currency&amp;"ON",R44)/(1+U44*X44)</f>
        <v>0.96843322786435126</v>
      </c>
      <c r="Z44" s="30">
        <f>_xll.qlTenorBasisValue(TenorBasis6M,R44,InterestRatesTrigger)</f>
        <v>1.5498270040034247E-3</v>
      </c>
      <c r="AA44" s="30">
        <f t="shared" si="6"/>
        <v>-7.3079894584394825E-5</v>
      </c>
    </row>
    <row r="45" spans="15:27" x14ac:dyDescent="0.2">
      <c r="O45" s="33">
        <v>3</v>
      </c>
      <c r="P45" s="27" t="str">
        <f>_xll.qlPeriodEquivalent(P44&amp;"+"&amp;O45&amp;"M")</f>
        <v>7Y6M</v>
      </c>
      <c r="Q45" s="28">
        <f>_xll.qlCalendarAdvance(Calendar,SettlementDate,P45,"f",,Trigger)</f>
        <v>45019</v>
      </c>
      <c r="R45" s="28">
        <f>_xll.qlInterestRateIndexValueDate(Index,Q45,Trigger)</f>
        <v>45021</v>
      </c>
      <c r="S45" s="28">
        <f>_xll.qlInterestRateIndexMaturity(Index,R45,Trigger)</f>
        <v>45112</v>
      </c>
      <c r="T45" s="30">
        <f>_xll.qlIndexFixing($M$6,Q45,,InterestRatesTrigger)</f>
        <v>1.4364114063197979E-2</v>
      </c>
      <c r="U45" s="30">
        <f>_xll.qlIndexFixing(Index,Q45,,InterestRatesTrigger)</f>
        <v>1.582810583849421E-2</v>
      </c>
      <c r="V45" s="30">
        <f t="shared" si="5"/>
        <v>1.4639917752962313E-3</v>
      </c>
      <c r="W45" s="29">
        <f>_xll.qlDayCounterYearFraction(DayCounter,SettlementDate,R45,,,Trigger)</f>
        <v>7.6166666666666663</v>
      </c>
      <c r="X45" s="29">
        <f>_xll.qlDayCounterYearFraction(DayCounter,R45,S45)</f>
        <v>0.25277777777777777</v>
      </c>
      <c r="Y45" s="29">
        <f>_xll.qlYieldTSDiscount(Currency&amp;"ON",R45)/(1+U45*X45)</f>
        <v>0.96489115505870071</v>
      </c>
      <c r="Z45" s="30">
        <f>_xll.qlTenorBasisValue(TenorBasis6M,R45,InterestRatesTrigger)</f>
        <v>1.5294928115180489E-3</v>
      </c>
      <c r="AA45" s="30">
        <f t="shared" si="6"/>
        <v>-6.5501036221817573E-5</v>
      </c>
    </row>
    <row r="46" spans="15:27" x14ac:dyDescent="0.2">
      <c r="O46" s="33">
        <v>3</v>
      </c>
      <c r="P46" s="27" t="str">
        <f>_xll.qlPeriodEquivalent(P45&amp;"+"&amp;O46&amp;"M")</f>
        <v>7Y9M</v>
      </c>
      <c r="Q46" s="28">
        <f>_xll.qlCalendarAdvance(Calendar,SettlementDate,P46,"f",,Trigger)</f>
        <v>45110</v>
      </c>
      <c r="R46" s="28">
        <f>_xll.qlInterestRateIndexValueDate(Index,Q46,Trigger)</f>
        <v>45112</v>
      </c>
      <c r="S46" s="28">
        <f>_xll.qlInterestRateIndexMaturity(Index,R46,Trigger)</f>
        <v>45204</v>
      </c>
      <c r="T46" s="30">
        <f>_xll.qlIndexFixing($M$6,Q46,,InterestRatesTrigger)</f>
        <v>1.4893520114540787E-2</v>
      </c>
      <c r="U46" s="30">
        <f>_xll.qlIndexFixing(Index,Q46,,InterestRatesTrigger)</f>
        <v>1.634339538200686E-2</v>
      </c>
      <c r="V46" s="30">
        <f t="shared" si="5"/>
        <v>1.4498752674660734E-3</v>
      </c>
      <c r="W46" s="29">
        <f>_xll.qlDayCounterYearFraction(DayCounter,SettlementDate,R46,,,Trigger)</f>
        <v>7.8694444444444445</v>
      </c>
      <c r="X46" s="29">
        <f>_xll.qlDayCounterYearFraction(DayCounter,R46,S46)</f>
        <v>0.25555555555555554</v>
      </c>
      <c r="Y46" s="29">
        <f>_xll.qlYieldTSDiscount(Currency&amp;"ON",R46)/(1+U46*X46)</f>
        <v>0.96123220912567131</v>
      </c>
      <c r="Z46" s="30">
        <f>_xll.qlTenorBasisValue(TenorBasis6M,R46,InterestRatesTrigger)</f>
        <v>1.5084686522101921E-3</v>
      </c>
      <c r="AA46" s="30">
        <f t="shared" si="6"/>
        <v>-5.8593384744118739E-5</v>
      </c>
    </row>
    <row r="47" spans="15:27" x14ac:dyDescent="0.2">
      <c r="O47" s="33">
        <v>3</v>
      </c>
      <c r="P47" s="27" t="str">
        <f>_xll.qlPeriodEquivalent(P46&amp;"+"&amp;O47&amp;"M")</f>
        <v>8Y</v>
      </c>
      <c r="Q47" s="28">
        <f>_xll.qlCalendarAdvance(Calendar,SettlementDate,P47,"f",,Trigger)</f>
        <v>45201</v>
      </c>
      <c r="R47" s="28">
        <f>_xll.qlInterestRateIndexValueDate(Index,Q47,Trigger)</f>
        <v>45203</v>
      </c>
      <c r="S47" s="28">
        <f>_xll.qlInterestRateIndexMaturity(Index,R47,Trigger)</f>
        <v>45295</v>
      </c>
      <c r="T47" s="30">
        <f>_xll.qlIndexFixing($M$6,Q47,,InterestRatesTrigger)</f>
        <v>1.5391997487569125E-2</v>
      </c>
      <c r="U47" s="30">
        <f>_xll.qlIndexFixing(Index,Q47,,InterestRatesTrigger)</f>
        <v>1.6828559307869622E-2</v>
      </c>
      <c r="V47" s="30">
        <f t="shared" si="5"/>
        <v>1.4365618203004971E-3</v>
      </c>
      <c r="W47" s="29">
        <f>_xll.qlDayCounterYearFraction(DayCounter,SettlementDate,R47,,,Trigger)</f>
        <v>8.1222222222222218</v>
      </c>
      <c r="X47" s="29">
        <f>_xll.qlDayCounterYearFraction(DayCounter,R47,S47)</f>
        <v>0.25555555555555554</v>
      </c>
      <c r="Y47" s="29">
        <f>_xll.qlYieldTSDiscount(Currency&amp;"ON",R47)/(1+U47*X47)</f>
        <v>0.95750951014183716</v>
      </c>
      <c r="Z47" s="30">
        <f>_xll.qlTenorBasisValue(TenorBasis6M,R47,InterestRatesTrigger)</f>
        <v>1.4868474645928983E-3</v>
      </c>
      <c r="AA47" s="30">
        <f t="shared" si="6"/>
        <v>-5.0285644292401288E-5</v>
      </c>
    </row>
    <row r="48" spans="15:27" x14ac:dyDescent="0.2">
      <c r="O48" s="33">
        <v>3</v>
      </c>
      <c r="P48" s="27" t="str">
        <f>_xll.qlPeriodEquivalent(P47&amp;"+"&amp;O48&amp;"M")</f>
        <v>8Y3M</v>
      </c>
      <c r="Q48" s="28">
        <f>_xll.qlCalendarAdvance(Calendar,SettlementDate,P48,"f",,Trigger)</f>
        <v>45293</v>
      </c>
      <c r="R48" s="28">
        <f>_xll.qlInterestRateIndexValueDate(Index,Q48,Trigger)</f>
        <v>45295</v>
      </c>
      <c r="S48" s="28">
        <f>_xll.qlInterestRateIndexMaturity(Index,R48,Trigger)</f>
        <v>45386</v>
      </c>
      <c r="T48" s="30">
        <f>_xll.qlIndexFixing($M$6,Q48,,InterestRatesTrigger)</f>
        <v>1.5840695997138193E-2</v>
      </c>
      <c r="U48" s="30">
        <f>_xll.qlIndexFixing(Index,Q48,,InterestRatesTrigger)</f>
        <v>1.7273162324850114E-2</v>
      </c>
      <c r="V48" s="30">
        <f t="shared" si="5"/>
        <v>1.4324663277119204E-3</v>
      </c>
      <c r="W48" s="29">
        <f>_xll.qlDayCounterYearFraction(DayCounter,SettlementDate,R48,,,Trigger)</f>
        <v>8.3777777777777782</v>
      </c>
      <c r="X48" s="29">
        <f>_xll.qlDayCounterYearFraction(DayCounter,R48,S48)</f>
        <v>0.25277777777777777</v>
      </c>
      <c r="Y48" s="29">
        <f>_xll.qlYieldTSDiscount(Currency&amp;"ON",R48)/(1+U48*X48)</f>
        <v>0.95369556119900334</v>
      </c>
      <c r="Z48" s="30">
        <f>_xll.qlTenorBasisValue(TenorBasis6M,R48,InterestRatesTrigger)</f>
        <v>1.4644698950529976E-3</v>
      </c>
      <c r="AA48" s="30">
        <f t="shared" si="6"/>
        <v>-3.2003567341077179E-5</v>
      </c>
    </row>
    <row r="49" spans="15:27" x14ac:dyDescent="0.2">
      <c r="O49" s="33">
        <v>3</v>
      </c>
      <c r="P49" s="27" t="str">
        <f>_xll.qlPeriodEquivalent(P48&amp;"+"&amp;O49&amp;"M")</f>
        <v>8Y6M</v>
      </c>
      <c r="Q49" s="28">
        <f>_xll.qlCalendarAdvance(Calendar,SettlementDate,P49,"f",,Trigger)</f>
        <v>45384</v>
      </c>
      <c r="R49" s="28">
        <f>_xll.qlInterestRateIndexValueDate(Index,Q49,Trigger)</f>
        <v>45386</v>
      </c>
      <c r="S49" s="28">
        <f>_xll.qlInterestRateIndexMaturity(Index,R49,Trigger)</f>
        <v>45477</v>
      </c>
      <c r="T49" s="30">
        <f>_xll.qlIndexFixing($M$6,Q49,,InterestRatesTrigger)</f>
        <v>1.6225451213360855E-2</v>
      </c>
      <c r="U49" s="30">
        <f>_xll.qlIndexFixing(Index,Q49,,InterestRatesTrigger)</f>
        <v>1.7666399300201661E-2</v>
      </c>
      <c r="V49" s="30">
        <f t="shared" si="5"/>
        <v>1.4409480868408063E-3</v>
      </c>
      <c r="W49" s="29">
        <f>_xll.qlDayCounterYearFraction(DayCounter,SettlementDate,R49,,,Trigger)</f>
        <v>8.6305555555555564</v>
      </c>
      <c r="X49" s="29">
        <f>_xll.qlDayCounterYearFraction(DayCounter,R49,S49)</f>
        <v>0.25277777777777777</v>
      </c>
      <c r="Y49" s="29">
        <f>_xll.qlYieldTSDiscount(Currency&amp;"ON",R49)/(1+U49*X49)</f>
        <v>0.94979802542834757</v>
      </c>
      <c r="Z49" s="30">
        <f>_xll.qlTenorBasisValue(TenorBasis6M,R49,InterestRatesTrigger)</f>
        <v>1.441903333788669E-3</v>
      </c>
      <c r="AA49" s="30">
        <f t="shared" si="6"/>
        <v>-9.5524694786273262E-7</v>
      </c>
    </row>
    <row r="50" spans="15:27" x14ac:dyDescent="0.2">
      <c r="O50" s="33">
        <v>3</v>
      </c>
      <c r="P50" s="27" t="str">
        <f>_xll.qlPeriodEquivalent(P49&amp;"+"&amp;O50&amp;"M")</f>
        <v>8Y9M</v>
      </c>
      <c r="Q50" s="28">
        <f>_xll.qlCalendarAdvance(Calendar,SettlementDate,P50,"f",,Trigger)</f>
        <v>45475</v>
      </c>
      <c r="R50" s="28">
        <f>_xll.qlInterestRateIndexValueDate(Index,Q50,Trigger)</f>
        <v>45477</v>
      </c>
      <c r="S50" s="28">
        <f>_xll.qlInterestRateIndexMaturity(Index,R50,Trigger)</f>
        <v>45569</v>
      </c>
      <c r="T50" s="30">
        <f>_xll.qlIndexFixing($M$6,Q50,,InterestRatesTrigger)</f>
        <v>1.6545356350430598E-2</v>
      </c>
      <c r="U50" s="30">
        <f>_xll.qlIndexFixing(Index,Q50,,InterestRatesTrigger)</f>
        <v>1.8008884448115214E-2</v>
      </c>
      <c r="V50" s="30">
        <f t="shared" si="5"/>
        <v>1.463528097684616E-3</v>
      </c>
      <c r="W50" s="29">
        <f>_xll.qlDayCounterYearFraction(DayCounter,SettlementDate,R50,,,Trigger)</f>
        <v>8.8833333333333329</v>
      </c>
      <c r="X50" s="29">
        <f>_xll.qlDayCounterYearFraction(DayCounter,R50,S50)</f>
        <v>0.25555555555555554</v>
      </c>
      <c r="Y50" s="29">
        <f>_xll.qlYieldTSDiscount(Currency&amp;"ON",R50)/(1+U50*X50)</f>
        <v>0.94578978601865571</v>
      </c>
      <c r="Z50" s="30">
        <f>_xll.qlTenorBasisValue(TenorBasis6M,R50,InterestRatesTrigger)</f>
        <v>1.4189815487998668E-3</v>
      </c>
      <c r="AA50" s="30">
        <f t="shared" si="6"/>
        <v>4.4546548884749192E-5</v>
      </c>
    </row>
    <row r="51" spans="15:27" x14ac:dyDescent="0.2">
      <c r="O51" s="33">
        <v>3</v>
      </c>
      <c r="P51" s="27" t="str">
        <f>_xll.qlPeriodEquivalent(P50&amp;"+"&amp;O51&amp;"M")</f>
        <v>9Y</v>
      </c>
      <c r="Q51" s="28">
        <f>_xll.qlCalendarAdvance(Calendar,SettlementDate,P51,"f",,Trigger)</f>
        <v>45567</v>
      </c>
      <c r="R51" s="28">
        <f>_xll.qlInterestRateIndexValueDate(Index,Q51,Trigger)</f>
        <v>45569</v>
      </c>
      <c r="S51" s="28">
        <f>_xll.qlInterestRateIndexMaturity(Index,R51,Trigger)</f>
        <v>45663</v>
      </c>
      <c r="T51" s="30">
        <f>_xll.qlIndexFixing($M$6,Q51,,InterestRatesTrigger)</f>
        <v>1.6815725651435017E-2</v>
      </c>
      <c r="U51" s="30">
        <f>_xll.qlIndexFixing(Index,Q51,,InterestRatesTrigger)</f>
        <v>1.8309223452231745E-2</v>
      </c>
      <c r="V51" s="30">
        <f t="shared" si="5"/>
        <v>1.4934978007967274E-3</v>
      </c>
      <c r="W51" s="29">
        <f>_xll.qlDayCounterYearFraction(DayCounter,SettlementDate,R51,,,Trigger)</f>
        <v>9.1388888888888893</v>
      </c>
      <c r="X51" s="29">
        <f>_xll.qlDayCounterYearFraction(DayCounter,R51,S51)</f>
        <v>0.26111111111111113</v>
      </c>
      <c r="Y51" s="29">
        <f>_xll.qlYieldTSDiscount(Currency&amp;"ON",R51)/(1+U51*X51)</f>
        <v>0.94164029504349578</v>
      </c>
      <c r="Z51" s="30">
        <f>_xll.qlTenorBasisValue(TenorBasis6M,R51,InterestRatesTrigger)</f>
        <v>1.3955170544451901E-3</v>
      </c>
      <c r="AA51" s="30">
        <f t="shared" si="6"/>
        <v>9.7980746351537329E-5</v>
      </c>
    </row>
    <row r="52" spans="15:27" x14ac:dyDescent="0.2">
      <c r="O52" s="33">
        <v>3</v>
      </c>
      <c r="P52" s="27" t="str">
        <f>_xll.qlPeriodEquivalent(P51&amp;"+"&amp;O52&amp;"M")</f>
        <v>9Y3M</v>
      </c>
      <c r="Q52" s="28">
        <f>_xll.qlCalendarAdvance(Calendar,SettlementDate,P52,"f",,Trigger)</f>
        <v>45659</v>
      </c>
      <c r="R52" s="28">
        <f>_xll.qlInterestRateIndexValueDate(Index,Q52,Trigger)</f>
        <v>45663</v>
      </c>
      <c r="S52" s="28">
        <f>_xll.qlInterestRateIndexMaturity(Index,R52,Trigger)</f>
        <v>45754</v>
      </c>
      <c r="T52" s="30">
        <f>_xll.qlIndexFixing($M$6,Q52,,InterestRatesTrigger)</f>
        <v>1.7096385820357871E-2</v>
      </c>
      <c r="U52" s="30">
        <f>_xll.qlIndexFixing(Index,Q52,,InterestRatesTrigger)</f>
        <v>1.859374131088553E-2</v>
      </c>
      <c r="V52" s="30">
        <f t="shared" si="5"/>
        <v>1.497355490527659E-3</v>
      </c>
      <c r="W52" s="29">
        <f>_xll.qlDayCounterYearFraction(DayCounter,SettlementDate,R52,,,Trigger)</f>
        <v>9.4</v>
      </c>
      <c r="X52" s="29">
        <f>_xll.qlDayCounterYearFraction(DayCounter,R52,S52)</f>
        <v>0.25277777777777777</v>
      </c>
      <c r="Y52" s="29">
        <f>_xll.qlYieldTSDiscount(Currency&amp;"ON",R52)/(1+U52*X52)</f>
        <v>0.93759910503339583</v>
      </c>
      <c r="Z52" s="30">
        <f>_xll.qlTenorBasisValue(TenorBasis6M,R52,InterestRatesTrigger)</f>
        <v>1.3713086791139731E-3</v>
      </c>
      <c r="AA52" s="30">
        <f t="shared" si="6"/>
        <v>1.2604681141368591E-4</v>
      </c>
    </row>
    <row r="53" spans="15:27" x14ac:dyDescent="0.2">
      <c r="O53" s="33">
        <v>3</v>
      </c>
      <c r="P53" s="27" t="str">
        <f>_xll.qlPeriodEquivalent(P52&amp;"+"&amp;O53&amp;"M")</f>
        <v>9Y6M</v>
      </c>
      <c r="Q53" s="28">
        <f>_xll.qlCalendarAdvance(Calendar,SettlementDate,P53,"f",,Trigger)</f>
        <v>45749</v>
      </c>
      <c r="R53" s="28">
        <f>_xll.qlInterestRateIndexValueDate(Index,Q53,Trigger)</f>
        <v>45751</v>
      </c>
      <c r="S53" s="28">
        <f>_xll.qlInterestRateIndexMaturity(Index,R53,Trigger)</f>
        <v>45842</v>
      </c>
      <c r="T53" s="30">
        <f>_xll.qlIndexFixing($M$6,Q53,,InterestRatesTrigger)</f>
        <v>1.7397261912910869E-2</v>
      </c>
      <c r="U53" s="30">
        <f>_xll.qlIndexFixing(Index,Q53,,InterestRatesTrigger)</f>
        <v>1.8864563699019354E-2</v>
      </c>
      <c r="V53" s="30">
        <f t="shared" si="5"/>
        <v>1.4673017861084846E-3</v>
      </c>
      <c r="W53" s="29">
        <f>_xll.qlDayCounterYearFraction(DayCounter,SettlementDate,R53,,,Trigger)</f>
        <v>9.6444444444444439</v>
      </c>
      <c r="X53" s="29">
        <f>_xll.qlDayCounterYearFraction(DayCounter,R53,S53)</f>
        <v>0.25277777777777777</v>
      </c>
      <c r="Y53" s="29">
        <f>_xll.qlYieldTSDiscount(Currency&amp;"ON",R53)/(1+U53*X53)</f>
        <v>0.9336348568881464</v>
      </c>
      <c r="Z53" s="30">
        <f>_xll.qlTenorBasisValue(TenorBasis6M,R53,InterestRatesTrigger)</f>
        <v>1.3484885021914023E-3</v>
      </c>
      <c r="AA53" s="30">
        <f t="shared" si="6"/>
        <v>1.1881328391708228E-4</v>
      </c>
    </row>
    <row r="54" spans="15:27" x14ac:dyDescent="0.2">
      <c r="O54" s="33">
        <v>3</v>
      </c>
      <c r="P54" s="27" t="str">
        <f>_xll.qlPeriodEquivalent(P53&amp;"+"&amp;O54&amp;"M")</f>
        <v>9Y9M</v>
      </c>
      <c r="Q54" s="28">
        <f>_xll.qlCalendarAdvance(Calendar,SettlementDate,P54,"f",,Trigger)</f>
        <v>45840</v>
      </c>
      <c r="R54" s="28">
        <f>_xll.qlInterestRateIndexValueDate(Index,Q54,Trigger)</f>
        <v>45842</v>
      </c>
      <c r="S54" s="28">
        <f>_xll.qlInterestRateIndexMaturity(Index,R54,Trigger)</f>
        <v>45936</v>
      </c>
      <c r="T54" s="30">
        <f>_xll.qlIndexFixing($M$6,Q54,,InterestRatesTrigger)</f>
        <v>1.7755260779683577E-2</v>
      </c>
      <c r="U54" s="30">
        <f>_xll.qlIndexFixing(Index,Q54,,InterestRatesTrigger)</f>
        <v>1.9151807070800254E-2</v>
      </c>
      <c r="V54" s="30">
        <f t="shared" si="5"/>
        <v>1.3965462911166779E-3</v>
      </c>
      <c r="W54" s="29">
        <f>_xll.qlDayCounterYearFraction(DayCounter,SettlementDate,R54,,,Trigger)</f>
        <v>9.8972222222222221</v>
      </c>
      <c r="X54" s="29">
        <f>_xll.qlDayCounterYearFraction(DayCounter,R54,S54)</f>
        <v>0.26111111111111113</v>
      </c>
      <c r="Y54" s="29">
        <f>_xll.qlYieldTSDiscount(Currency&amp;"ON",R54)/(1+U54*X54)</f>
        <v>0.92933226908527777</v>
      </c>
      <c r="Z54" s="30">
        <f>_xll.qlTenorBasisValue(TenorBasis6M,R54,InterestRatesTrigger)</f>
        <v>1.3247841067422729E-3</v>
      </c>
      <c r="AA54" s="30">
        <f t="shared" si="6"/>
        <v>7.1762184374405021E-5</v>
      </c>
    </row>
    <row r="55" spans="15:27" x14ac:dyDescent="0.2">
      <c r="O55" s="33">
        <v>3</v>
      </c>
      <c r="P55" s="27" t="str">
        <f>_xll.qlPeriodEquivalent(P54&amp;"+"&amp;O55&amp;"M")</f>
        <v>10Y</v>
      </c>
      <c r="Q55" s="28">
        <f>_xll.qlCalendarAdvance(Calendar,SettlementDate,P55,"f",,Trigger)</f>
        <v>45932</v>
      </c>
      <c r="R55" s="28">
        <f>_xll.qlInterestRateIndexValueDate(Index,Q55,Trigger)</f>
        <v>45936</v>
      </c>
      <c r="S55" s="28">
        <f>_xll.qlInterestRateIndexMaturity(Index,R55,Trigger)</f>
        <v>46028</v>
      </c>
      <c r="T55" s="30">
        <f>_xll.qlIndexFixing($M$6,Q55,,InterestRatesTrigger)</f>
        <v>1.8139302878493024E-2</v>
      </c>
      <c r="U55" s="30">
        <f>_xll.qlIndexFixing(Index,Q55,,InterestRatesTrigger)</f>
        <v>1.9436527592806372E-2</v>
      </c>
      <c r="V55" s="30">
        <f t="shared" si="5"/>
        <v>1.2972247143133477E-3</v>
      </c>
      <c r="W55" s="29">
        <f>_xll.qlDayCounterYearFraction(DayCounter,SettlementDate,R55,,,Trigger)</f>
        <v>10.158333333333333</v>
      </c>
      <c r="X55" s="29">
        <f>_xll.qlDayCounterYearFraction(DayCounter,R55,S55)</f>
        <v>0.25555555555555554</v>
      </c>
      <c r="Y55" s="29">
        <f>_xll.qlYieldTSDiscount(Currency&amp;"ON",R55)/(1+U55*X55)</f>
        <v>0.92507463982889204</v>
      </c>
      <c r="Z55" s="30">
        <f>_xll.qlTenorBasisValue(TenorBasis6M,R55,InterestRatesTrigger)</f>
        <v>1.3002373573209444E-3</v>
      </c>
      <c r="AA55" s="30">
        <f t="shared" si="6"/>
        <v>-3.0126430075967572E-6</v>
      </c>
    </row>
    <row r="56" spans="15:27" x14ac:dyDescent="0.2">
      <c r="O56" s="33">
        <v>3</v>
      </c>
      <c r="P56" s="27" t="str">
        <f>_xll.qlPeriodEquivalent(P55&amp;"+"&amp;O56&amp;"M")</f>
        <v>10Y3M</v>
      </c>
      <c r="Q56" s="28">
        <f>_xll.qlCalendarAdvance(Calendar,SettlementDate,P56,"f",,Trigger)</f>
        <v>46024</v>
      </c>
      <c r="R56" s="28">
        <f>_xll.qlInterestRateIndexValueDate(Index,Q56,Trigger)</f>
        <v>46028</v>
      </c>
      <c r="S56" s="28">
        <f>_xll.qlInterestRateIndexMaturity(Index,R56,Trigger)</f>
        <v>46119</v>
      </c>
      <c r="T56" s="30">
        <f>_xll.qlIndexFixing($M$6,Q56,,InterestRatesTrigger)</f>
        <v>1.8471126898795553E-2</v>
      </c>
      <c r="U56" s="30">
        <f>_xll.qlIndexFixing(Index,Q56,,InterestRatesTrigger)</f>
        <v>1.9699732773259416E-2</v>
      </c>
      <c r="V56" s="30">
        <f t="shared" si="5"/>
        <v>1.2286058744638631E-3</v>
      </c>
      <c r="W56" s="29">
        <f>_xll.qlDayCounterYearFraction(DayCounter,SettlementDate,R56,,,Trigger)</f>
        <v>10.41388888888889</v>
      </c>
      <c r="X56" s="29">
        <f>_xll.qlDayCounterYearFraction(DayCounter,R56,S56)</f>
        <v>0.25277777777777777</v>
      </c>
      <c r="Y56" s="29">
        <f>_xll.qlYieldTSDiscount(Currency&amp;"ON",R56)/(1+U56*X56)</f>
        <v>0.92079465959268159</v>
      </c>
      <c r="Z56" s="30">
        <f>_xll.qlTenorBasisValue(TenorBasis6M,R56,InterestRatesTrigger)</f>
        <v>1.2762012389702507E-3</v>
      </c>
      <c r="AA56" s="30">
        <f t="shared" si="6"/>
        <v>-4.7595364506387633E-5</v>
      </c>
    </row>
    <row r="57" spans="15:27" x14ac:dyDescent="0.2">
      <c r="O57" s="33">
        <v>3</v>
      </c>
      <c r="P57" s="27" t="str">
        <f>_xll.qlPeriodEquivalent(P56&amp;"+"&amp;O57&amp;"M")</f>
        <v>10Y6M</v>
      </c>
      <c r="Q57" s="28">
        <f>_xll.qlCalendarAdvance(Calendar,SettlementDate,P57,"f",,Trigger)</f>
        <v>46114</v>
      </c>
      <c r="R57" s="28">
        <f>_xll.qlInterestRateIndexValueDate(Index,Q57,Trigger)</f>
        <v>46120</v>
      </c>
      <c r="S57" s="28">
        <f>_xll.qlInterestRateIndexMaturity(Index,R57,Trigger)</f>
        <v>46211</v>
      </c>
      <c r="T57" s="30">
        <f>_xll.qlIndexFixing($M$6,Q57,,InterestRatesTrigger)</f>
        <v>1.8737762458321608E-2</v>
      </c>
      <c r="U57" s="30">
        <f>_xll.qlIndexFixing(Index,Q57,,InterestRatesTrigger)</f>
        <v>1.9943541754580702E-2</v>
      </c>
      <c r="V57" s="30">
        <f t="shared" si="5"/>
        <v>1.2057792962590942E-3</v>
      </c>
      <c r="W57" s="29">
        <f>_xll.qlDayCounterYearFraction(DayCounter,SettlementDate,R57,,,Trigger)</f>
        <v>10.669444444444444</v>
      </c>
      <c r="X57" s="29">
        <f>_xll.qlDayCounterYearFraction(DayCounter,R57,S57)</f>
        <v>0.25277777777777777</v>
      </c>
      <c r="Y57" s="29">
        <f>_xll.qlYieldTSDiscount(Currency&amp;"ON",R57)/(1+U57*X57)</f>
        <v>0.91641188653706451</v>
      </c>
      <c r="Z57" s="30">
        <f>_xll.qlTenorBasisValue(TenorBasis6M,R57,InterestRatesTrigger)</f>
        <v>1.2521975897797142E-3</v>
      </c>
      <c r="AA57" s="30">
        <f t="shared" si="6"/>
        <v>-4.6418293520620029E-5</v>
      </c>
    </row>
    <row r="58" spans="15:27" x14ac:dyDescent="0.2">
      <c r="O58" s="33">
        <v>3</v>
      </c>
      <c r="P58" s="27" t="str">
        <f>_xll.qlPeriodEquivalent(P57&amp;"+"&amp;O58&amp;"M")</f>
        <v>10Y9M</v>
      </c>
      <c r="Q58" s="28">
        <f>_xll.qlCalendarAdvance(Calendar,SettlementDate,P58,"f",,Trigger)</f>
        <v>46205</v>
      </c>
      <c r="R58" s="28">
        <f>_xll.qlInterestRateIndexValueDate(Index,Q58,Trigger)</f>
        <v>46209</v>
      </c>
      <c r="S58" s="28">
        <f>_xll.qlInterestRateIndexMaturity(Index,R58,Trigger)</f>
        <v>46301</v>
      </c>
      <c r="T58" s="30">
        <f>_xll.qlIndexFixing($M$6,Q58,,InterestRatesTrigger)</f>
        <v>1.8928010344177581E-2</v>
      </c>
      <c r="U58" s="30">
        <f>_xll.qlIndexFixing(Index,Q58,,InterestRatesTrigger)</f>
        <v>2.0160502662974034E-2</v>
      </c>
      <c r="V58" s="30">
        <f t="shared" si="5"/>
        <v>1.2324923187964527E-3</v>
      </c>
      <c r="W58" s="29">
        <f>_xll.qlDayCounterYearFraction(DayCounter,SettlementDate,R58,,,Trigger)</f>
        <v>10.916666666666666</v>
      </c>
      <c r="X58" s="29">
        <f>_xll.qlDayCounterYearFraction(DayCounter,R58,S58)</f>
        <v>0.25555555555555554</v>
      </c>
      <c r="Y58" s="29">
        <f>_xll.qlYieldTSDiscount(Currency&amp;"ON",R58)/(1+U58*X58)</f>
        <v>0.91208644502395853</v>
      </c>
      <c r="Z58" s="30">
        <f>_xll.qlTenorBasisValue(TenorBasis6M,R58,InterestRatesTrigger)</f>
        <v>1.2290452313443822E-3</v>
      </c>
      <c r="AA58" s="30">
        <f t="shared" si="6"/>
        <v>3.4470874520704971E-6</v>
      </c>
    </row>
    <row r="59" spans="15:27" x14ac:dyDescent="0.2">
      <c r="O59" s="33">
        <v>3</v>
      </c>
      <c r="P59" s="27" t="str">
        <f>_xll.qlPeriodEquivalent(P58&amp;"+"&amp;O59&amp;"M")</f>
        <v>11Y</v>
      </c>
      <c r="Q59" s="28">
        <f>_xll.qlCalendarAdvance(Calendar,SettlementDate,P59,"f",,Trigger)</f>
        <v>46297</v>
      </c>
      <c r="R59" s="28">
        <f>_xll.qlInterestRateIndexValueDate(Index,Q59,Trigger)</f>
        <v>46301</v>
      </c>
      <c r="S59" s="28">
        <f>_xll.qlInterestRateIndexMaturity(Index,R59,Trigger)</f>
        <v>46393</v>
      </c>
      <c r="T59" s="30">
        <f>_xll.qlIndexFixing($M$6,Q59,,InterestRatesTrigger)</f>
        <v>1.9063734759113202E-2</v>
      </c>
      <c r="U59" s="30">
        <f>_xll.qlIndexFixing(Index,Q59,,InterestRatesTrigger)</f>
        <v>2.0361391786037474E-2</v>
      </c>
      <c r="V59" s="30">
        <f t="shared" si="5"/>
        <v>1.2976570269242725E-3</v>
      </c>
      <c r="W59" s="29">
        <f>_xll.qlDayCounterYearFraction(DayCounter,SettlementDate,R59,,,Trigger)</f>
        <v>11.172222222222222</v>
      </c>
      <c r="X59" s="29">
        <f>_xll.qlDayCounterYearFraction(DayCounter,R59,S59)</f>
        <v>0.25555555555555554</v>
      </c>
      <c r="Y59" s="29">
        <f>_xll.qlYieldTSDiscount(Currency&amp;"ON",R59)/(1+U59*X59)</f>
        <v>0.90764941859175219</v>
      </c>
      <c r="Z59" s="30">
        <f>_xll.qlTenorBasisValue(TenorBasis6M,R59,InterestRatesTrigger)</f>
        <v>1.2052189525235497E-3</v>
      </c>
      <c r="AA59" s="30">
        <f t="shared" si="6"/>
        <v>9.2438074400722804E-5</v>
      </c>
    </row>
    <row r="60" spans="15:27" x14ac:dyDescent="0.2">
      <c r="O60" s="33">
        <v>3</v>
      </c>
      <c r="P60" s="27" t="str">
        <f>_xll.qlPeriodEquivalent(P59&amp;"+"&amp;O60&amp;"M")</f>
        <v>11Y3M</v>
      </c>
      <c r="Q60" s="28">
        <f>_xll.qlCalendarAdvance(Calendar,SettlementDate,P60,"f",,Trigger)</f>
        <v>46391</v>
      </c>
      <c r="R60" s="28">
        <f>_xll.qlInterestRateIndexValueDate(Index,Q60,Trigger)</f>
        <v>46393</v>
      </c>
      <c r="S60" s="28">
        <f>_xll.qlInterestRateIndexMaturity(Index,R60,Trigger)</f>
        <v>46483</v>
      </c>
      <c r="T60" s="30">
        <f>_xll.qlIndexFixing($M$6,Q60,,InterestRatesTrigger)</f>
        <v>1.9193959627338053E-2</v>
      </c>
      <c r="U60" s="30">
        <f>_xll.qlIndexFixing(Index,Q60,,InterestRatesTrigger)</f>
        <v>2.0537204914531593E-2</v>
      </c>
      <c r="V60" s="30">
        <f t="shared" si="5"/>
        <v>1.3432452871935396E-3</v>
      </c>
      <c r="W60" s="29">
        <f>_xll.qlDayCounterYearFraction(DayCounter,SettlementDate,R60,,,Trigger)</f>
        <v>11.427777777777777</v>
      </c>
      <c r="X60" s="29">
        <f>_xll.qlDayCounterYearFraction(DayCounter,R60,S60)</f>
        <v>0.25</v>
      </c>
      <c r="Y60" s="29">
        <f>_xll.qlYieldTSDiscount(Currency&amp;"ON",R60)/(1+U60*X60)</f>
        <v>0.90331108591156251</v>
      </c>
      <c r="Z60" s="30">
        <f>_xll.qlTenorBasisValue(TenorBasis6M,R60,InterestRatesTrigger)</f>
        <v>1.1815339929271934E-3</v>
      </c>
      <c r="AA60" s="30">
        <f t="shared" si="6"/>
        <v>1.6171129426634625E-4</v>
      </c>
    </row>
    <row r="61" spans="15:27" x14ac:dyDescent="0.2">
      <c r="O61" s="33">
        <v>3</v>
      </c>
      <c r="P61" s="27" t="str">
        <f>_xll.qlPeriodEquivalent(P60&amp;"+"&amp;O61&amp;"M")</f>
        <v>11Y6M</v>
      </c>
      <c r="Q61" s="28">
        <f>_xll.qlCalendarAdvance(Calendar,SettlementDate,P61,"f",,Trigger)</f>
        <v>46479</v>
      </c>
      <c r="R61" s="28">
        <f>_xll.qlInterestRateIndexValueDate(Index,Q61,Trigger)</f>
        <v>46483</v>
      </c>
      <c r="S61" s="28">
        <f>_xll.qlInterestRateIndexMaturity(Index,R61,Trigger)</f>
        <v>46574</v>
      </c>
      <c r="T61" s="30">
        <f>_xll.qlIndexFixing($M$6,Q61,,InterestRatesTrigger)</f>
        <v>1.9337203006654615E-2</v>
      </c>
      <c r="U61" s="30">
        <f>_xll.qlIndexFixing(Index,Q61,,InterestRatesTrigger)</f>
        <v>2.0692032735925039E-2</v>
      </c>
      <c r="V61" s="30">
        <f t="shared" si="5"/>
        <v>1.3548297292704237E-3</v>
      </c>
      <c r="W61" s="29">
        <f>_xll.qlDayCounterYearFraction(DayCounter,SettlementDate,R61,,,Trigger)</f>
        <v>11.677777777777777</v>
      </c>
      <c r="X61" s="29">
        <f>_xll.qlDayCounterYearFraction(DayCounter,R61,S61)</f>
        <v>0.25277777777777777</v>
      </c>
      <c r="Y61" s="29">
        <f>_xll.qlYieldTSDiscount(Currency&amp;"ON",R61)/(1+U61*X61)</f>
        <v>0.8989112366825347</v>
      </c>
      <c r="Z61" s="30">
        <f>_xll.qlTenorBasisValue(TenorBasis6M,R61,InterestRatesTrigger)</f>
        <v>1.1585299194163162E-3</v>
      </c>
      <c r="AA61" s="30">
        <f t="shared" si="6"/>
        <v>1.9629980985410743E-4</v>
      </c>
    </row>
    <row r="62" spans="15:27" x14ac:dyDescent="0.2">
      <c r="O62" s="33">
        <v>3</v>
      </c>
      <c r="P62" s="27" t="str">
        <f>_xll.qlPeriodEquivalent(P61&amp;"+"&amp;O62&amp;"M")</f>
        <v>11Y9M</v>
      </c>
      <c r="Q62" s="28">
        <f>_xll.qlCalendarAdvance(Calendar,SettlementDate,P62,"f",,Trigger)</f>
        <v>46570</v>
      </c>
      <c r="R62" s="28">
        <f>_xll.qlInterestRateIndexValueDate(Index,Q62,Trigger)</f>
        <v>46574</v>
      </c>
      <c r="S62" s="28">
        <f>_xll.qlInterestRateIndexMaturity(Index,R62,Trigger)</f>
        <v>46666</v>
      </c>
      <c r="T62" s="30">
        <f>_xll.qlIndexFixing($M$6,Q62,,InterestRatesTrigger)</f>
        <v>1.9497374931722492E-2</v>
      </c>
      <c r="U62" s="30">
        <f>_xll.qlIndexFixing(Index,Q62,,InterestRatesTrigger)</f>
        <v>2.0826347550205786E-2</v>
      </c>
      <c r="V62" s="30">
        <f t="shared" si="5"/>
        <v>1.3289726184832935E-3</v>
      </c>
      <c r="W62" s="29">
        <f>_xll.qlDayCounterYearFraction(DayCounter,SettlementDate,R62,,,Trigger)</f>
        <v>11.930555555555555</v>
      </c>
      <c r="X62" s="29">
        <f>_xll.qlDayCounterYearFraction(DayCounter,R62,S62)</f>
        <v>0.25555555555555554</v>
      </c>
      <c r="Y62" s="29">
        <f>_xll.qlYieldTSDiscount(Currency&amp;"ON",R62)/(1+U62*X62)</f>
        <v>0.89445703145894551</v>
      </c>
      <c r="Z62" s="30">
        <f>_xll.qlTenorBasisValue(TenorBasis6M,R62,InterestRatesTrigger)</f>
        <v>1.135463777918152E-3</v>
      </c>
      <c r="AA62" s="30">
        <f t="shared" si="6"/>
        <v>1.9350884056514158E-4</v>
      </c>
    </row>
    <row r="63" spans="15:27" x14ac:dyDescent="0.2">
      <c r="O63" s="33">
        <v>3</v>
      </c>
      <c r="P63" s="27" t="str">
        <f>_xll.qlPeriodEquivalent(P62&amp;"+"&amp;O63&amp;"M")</f>
        <v>12Y</v>
      </c>
      <c r="Q63" s="28">
        <f>_xll.qlCalendarAdvance(Calendar,SettlementDate,P63,"f",,Trigger)</f>
        <v>46664</v>
      </c>
      <c r="R63" s="28">
        <f>_xll.qlInterestRateIndexValueDate(Index,Q63,Trigger)</f>
        <v>46666</v>
      </c>
      <c r="S63" s="28">
        <f>_xll.qlInterestRateIndexMaturity(Index,R63,Trigger)</f>
        <v>46758</v>
      </c>
      <c r="T63" s="30">
        <f>_xll.qlIndexFixing($M$6,Q63,,InterestRatesTrigger)</f>
        <v>1.9669395829831942E-2</v>
      </c>
      <c r="U63" s="30">
        <f>_xll.qlIndexFixing(Index,Q63,,InterestRatesTrigger)</f>
        <v>2.0939112449512711E-2</v>
      </c>
      <c r="V63" s="30">
        <f t="shared" si="5"/>
        <v>1.2697166196807691E-3</v>
      </c>
      <c r="W63" s="29">
        <f>_xll.qlDayCounterYearFraction(DayCounter,SettlementDate,R63,,,Trigger)</f>
        <v>12.186111111111112</v>
      </c>
      <c r="X63" s="29">
        <f>_xll.qlDayCounterYearFraction(DayCounter,R63,S63)</f>
        <v>0.25555555555555554</v>
      </c>
      <c r="Y63" s="29">
        <f>_xll.qlYieldTSDiscount(Currency&amp;"ON",R63)/(1+U63*X63)</f>
        <v>0.88999683860736112</v>
      </c>
      <c r="Z63" s="30">
        <f>_xll.qlTenorBasisValue(TenorBasis6M,R63,InterestRatesTrigger)</f>
        <v>1.1123666155483521E-3</v>
      </c>
      <c r="AA63" s="30">
        <f t="shared" si="6"/>
        <v>1.5735000413241696E-4</v>
      </c>
    </row>
    <row r="64" spans="15:27" x14ac:dyDescent="0.2">
      <c r="O64" s="33">
        <v>3</v>
      </c>
      <c r="P64" s="27" t="str">
        <f>_xll.qlPeriodEquivalent(P63&amp;"+"&amp;O64&amp;"M")</f>
        <v>12Y3M</v>
      </c>
      <c r="Q64" s="28">
        <f>_xll.qlCalendarAdvance(Calendar,SettlementDate,P64,"f",,Trigger)</f>
        <v>46755</v>
      </c>
      <c r="R64" s="28">
        <f>_xll.qlInterestRateIndexValueDate(Index,Q64,Trigger)</f>
        <v>46757</v>
      </c>
      <c r="S64" s="28">
        <f>_xll.qlInterestRateIndexMaturity(Index,R64,Trigger)</f>
        <v>46848</v>
      </c>
      <c r="T64" s="30">
        <f>_xll.qlIndexFixing($M$6,Q64,,InterestRatesTrigger)</f>
        <v>1.9825469326641268E-2</v>
      </c>
      <c r="U64" s="30">
        <f>_xll.qlIndexFixing(Index,Q64,,InterestRatesTrigger)</f>
        <v>2.1032044110714007E-2</v>
      </c>
      <c r="V64" s="30">
        <f t="shared" si="5"/>
        <v>1.2065747840727392E-3</v>
      </c>
      <c r="W64" s="29">
        <f>_xll.qlDayCounterYearFraction(DayCounter,SettlementDate,R64,,,Trigger)</f>
        <v>12.438888888888888</v>
      </c>
      <c r="X64" s="29">
        <f>_xll.qlDayCounterYearFraction(DayCounter,R64,S64)</f>
        <v>0.25277777777777777</v>
      </c>
      <c r="Y64" s="29">
        <f>_xll.qlYieldTSDiscount(Currency&amp;"ON",R64)/(1+U64*X64)</f>
        <v>0.88562454280240932</v>
      </c>
      <c r="Z64" s="30">
        <f>_xll.qlTenorBasisValue(TenorBasis6M,R64,InterestRatesTrigger)</f>
        <v>1.0897626161366534E-3</v>
      </c>
      <c r="AA64" s="30">
        <f t="shared" si="6"/>
        <v>1.1681216793608582E-4</v>
      </c>
    </row>
    <row r="65" spans="15:27" x14ac:dyDescent="0.2">
      <c r="O65" s="33">
        <v>3</v>
      </c>
      <c r="P65" s="27" t="str">
        <f>_xll.qlPeriodEquivalent(P64&amp;"+"&amp;O65&amp;"M")</f>
        <v>12Y6M</v>
      </c>
      <c r="Q65" s="28">
        <f>_xll.qlCalendarAdvance(Calendar,SettlementDate,P65,"f",,Trigger)</f>
        <v>46846</v>
      </c>
      <c r="R65" s="28">
        <f>_xll.qlInterestRateIndexValueDate(Index,Q65,Trigger)</f>
        <v>46848</v>
      </c>
      <c r="S65" s="28">
        <f>_xll.qlInterestRateIndexMaturity(Index,R65,Trigger)</f>
        <v>46939</v>
      </c>
      <c r="T65" s="30">
        <f>_xll.qlIndexFixing($M$6,Q65,,InterestRatesTrigger)</f>
        <v>1.9964266225563118E-2</v>
      </c>
      <c r="U65" s="30">
        <f>_xll.qlIndexFixing(Index,Q65,,InterestRatesTrigger)</f>
        <v>2.1109823635587509E-2</v>
      </c>
      <c r="V65" s="30">
        <f t="shared" si="5"/>
        <v>1.1455574100243913E-3</v>
      </c>
      <c r="W65" s="29">
        <f>_xll.qlDayCounterYearFraction(DayCounter,SettlementDate,R65,,,Trigger)</f>
        <v>12.691666666666666</v>
      </c>
      <c r="X65" s="29">
        <f>_xll.qlDayCounterYearFraction(DayCounter,R65,S65)</f>
        <v>0.25277777777777777</v>
      </c>
      <c r="Y65" s="29">
        <f>_xll.qlYieldTSDiscount(Currency&amp;"ON",R65)/(1+U65*X65)</f>
        <v>0.88119118794063234</v>
      </c>
      <c r="Z65" s="30">
        <f>_xll.qlTenorBasisValue(TenorBasis6M,R65,InterestRatesTrigger)</f>
        <v>1.0674191322204546E-3</v>
      </c>
      <c r="AA65" s="30">
        <f t="shared" si="6"/>
        <v>7.8138277803936704E-5</v>
      </c>
    </row>
    <row r="66" spans="15:27" x14ac:dyDescent="0.2">
      <c r="O66" s="33">
        <v>3</v>
      </c>
      <c r="P66" s="27" t="str">
        <f>_xll.qlPeriodEquivalent(P65&amp;"+"&amp;O66&amp;"M")</f>
        <v>12Y9M</v>
      </c>
      <c r="Q66" s="28">
        <f>_xll.qlCalendarAdvance(Calendar,SettlementDate,P66,"f",,Trigger)</f>
        <v>46937</v>
      </c>
      <c r="R66" s="28">
        <f>_xll.qlInterestRateIndexValueDate(Index,Q66,Trigger)</f>
        <v>46939</v>
      </c>
      <c r="S66" s="28">
        <f>_xll.qlInterestRateIndexMaturity(Index,R66,Trigger)</f>
        <v>47031</v>
      </c>
      <c r="T66" s="30">
        <f>_xll.qlIndexFixing($M$6,Q66,,InterestRatesTrigger)</f>
        <v>2.0085299854220705E-2</v>
      </c>
      <c r="U66" s="30">
        <f>_xll.qlIndexFixing(Index,Q66,,InterestRatesTrigger)</f>
        <v>2.1172445547296862E-2</v>
      </c>
      <c r="V66" s="30">
        <f t="shared" si="5"/>
        <v>1.0871456930761567E-3</v>
      </c>
      <c r="W66" s="29">
        <f>_xll.qlDayCounterYearFraction(DayCounter,SettlementDate,R66,,,Trigger)</f>
        <v>12.944444444444445</v>
      </c>
      <c r="X66" s="29">
        <f>_xll.qlDayCounterYearFraction(DayCounter,R66,S66)</f>
        <v>0.25555555555555554</v>
      </c>
      <c r="Y66" s="29">
        <f>_xll.qlYieldTSDiscount(Currency&amp;"ON",R66)/(1+U66*X66)</f>
        <v>0.87670147421025102</v>
      </c>
      <c r="Z66" s="30">
        <f>_xll.qlTenorBasisValue(TenorBasis6M,R66,InterestRatesTrigger)</f>
        <v>1.0453537588020572E-3</v>
      </c>
      <c r="AA66" s="30">
        <f t="shared" si="6"/>
        <v>4.1791934274099498E-5</v>
      </c>
    </row>
    <row r="67" spans="15:27" x14ac:dyDescent="0.2">
      <c r="O67" s="33">
        <v>3</v>
      </c>
      <c r="P67" s="27" t="str">
        <f>_xll.qlPeriodEquivalent(P66&amp;"+"&amp;O67&amp;"M")</f>
        <v>13Y</v>
      </c>
      <c r="Q67" s="28">
        <f>_xll.qlCalendarAdvance(Calendar,SettlementDate,P67,"f",,Trigger)</f>
        <v>47028</v>
      </c>
      <c r="R67" s="28">
        <f>_xll.qlInterestRateIndexValueDate(Index,Q67,Trigger)</f>
        <v>47030</v>
      </c>
      <c r="S67" s="28">
        <f>_xll.qlInterestRateIndexMaturity(Index,R67,Trigger)</f>
        <v>47122</v>
      </c>
      <c r="T67" s="30">
        <f>_xll.qlIndexFixing($M$6,Q67,,InterestRatesTrigger)</f>
        <v>2.0185975712449875E-2</v>
      </c>
      <c r="U67" s="30">
        <f>_xll.qlIndexFixing(Index,Q67,,InterestRatesTrigger)</f>
        <v>2.1218269505600396E-2</v>
      </c>
      <c r="V67" s="30">
        <f t="shared" si="5"/>
        <v>1.0322937931505211E-3</v>
      </c>
      <c r="W67" s="29">
        <f>_xll.qlDayCounterYearFraction(DayCounter,SettlementDate,R67,,,Trigger)</f>
        <v>13.197222222222223</v>
      </c>
      <c r="X67" s="29">
        <f>_xll.qlDayCounterYearFraction(DayCounter,R67,S67)</f>
        <v>0.25555555555555554</v>
      </c>
      <c r="Y67" s="29">
        <f>_xll.qlYieldTSDiscount(Currency&amp;"ON",R67)/(1+U67*X67)</f>
        <v>0.87226293461808169</v>
      </c>
      <c r="Z67" s="30">
        <f>_xll.qlTenorBasisValue(TenorBasis6M,R67,InterestRatesTrigger)</f>
        <v>1.0235821697800356E-3</v>
      </c>
      <c r="AA67" s="30">
        <f t="shared" si="6"/>
        <v>8.7116233704854443E-6</v>
      </c>
    </row>
    <row r="68" spans="15:27" x14ac:dyDescent="0.2">
      <c r="O68" s="33">
        <v>3</v>
      </c>
      <c r="P68" s="27" t="str">
        <f>_xll.qlPeriodEquivalent(P67&amp;"+"&amp;O68&amp;"M")</f>
        <v>13Y3M</v>
      </c>
      <c r="Q68" s="28">
        <f>_xll.qlCalendarAdvance(Calendar,SettlementDate,P68,"f",,Trigger)</f>
        <v>47120</v>
      </c>
      <c r="R68" s="28">
        <f>_xll.qlInterestRateIndexValueDate(Index,Q68,Trigger)</f>
        <v>47122</v>
      </c>
      <c r="S68" s="28">
        <f>_xll.qlInterestRateIndexMaturity(Index,R68,Trigger)</f>
        <v>47212</v>
      </c>
      <c r="T68" s="30">
        <f>_xll.qlIndexFixing($M$6,Q68,,InterestRatesTrigger)</f>
        <v>2.0266237890048444E-2</v>
      </c>
      <c r="U68" s="30">
        <f>_xll.qlIndexFixing(Index,Q68,,InterestRatesTrigger)</f>
        <v>2.1247304947047851E-2</v>
      </c>
      <c r="V68" s="30">
        <f t="shared" ref="V68:V131" si="14">U68-T68</f>
        <v>9.8106705699940733E-4</v>
      </c>
      <c r="W68" s="29">
        <f>_xll.qlDayCounterYearFraction(DayCounter,SettlementDate,R68,,,Trigger)</f>
        <v>13.452777777777778</v>
      </c>
      <c r="X68" s="29">
        <f>_xll.qlDayCounterYearFraction(DayCounter,R68,S68)</f>
        <v>0.25</v>
      </c>
      <c r="Y68" s="29">
        <f>_xll.qlYieldTSDiscount(Currency&amp;"ON",R68)/(1+U68*X68)</f>
        <v>0.86788182649924239</v>
      </c>
      <c r="Z68" s="30">
        <f>_xll.qlTenorBasisValue(TenorBasis6M,R68,InterestRatesTrigger)</f>
        <v>1.0018841363275326E-3</v>
      </c>
      <c r="AA68" s="30">
        <f t="shared" ref="AA68:AA131" si="15">V68-Z68</f>
        <v>-2.0817079328125246E-5</v>
      </c>
    </row>
    <row r="69" spans="15:27" x14ac:dyDescent="0.2">
      <c r="O69" s="33">
        <v>3</v>
      </c>
      <c r="P69" s="27" t="str">
        <f>_xll.qlPeriodEquivalent(P68&amp;"+"&amp;O69&amp;"M")</f>
        <v>13Y6M</v>
      </c>
      <c r="Q69" s="28">
        <f>_xll.qlCalendarAdvance(Calendar,SettlementDate,P69,"f",,Trigger)</f>
        <v>47211</v>
      </c>
      <c r="R69" s="28">
        <f>_xll.qlInterestRateIndexValueDate(Index,Q69,Trigger)</f>
        <v>47213</v>
      </c>
      <c r="S69" s="28">
        <f>_xll.qlInterestRateIndexMaturity(Index,R69,Trigger)</f>
        <v>47304</v>
      </c>
      <c r="T69" s="30">
        <f>_xll.qlIndexFixing($M$6,Q69,,InterestRatesTrigger)</f>
        <v>2.0328928773743881E-2</v>
      </c>
      <c r="U69" s="30">
        <f>_xll.qlIndexFixing(Index,Q69,,InterestRatesTrigger)</f>
        <v>2.1262898170823906E-2</v>
      </c>
      <c r="V69" s="30">
        <f t="shared" si="14"/>
        <v>9.3396939708002488E-4</v>
      </c>
      <c r="W69" s="29">
        <f>_xll.qlDayCounterYearFraction(DayCounter,SettlementDate,R69,,,Trigger)</f>
        <v>13.705555555555556</v>
      </c>
      <c r="X69" s="29">
        <f>_xll.qlDayCounterYearFraction(DayCounter,R69,S69)</f>
        <v>0.25277777777777777</v>
      </c>
      <c r="Y69" s="29">
        <f>_xll.qlYieldTSDiscount(Currency&amp;"ON",R69)/(1+U69*X69)</f>
        <v>0.86340417483860632</v>
      </c>
      <c r="Z69" s="30">
        <f>_xll.qlTenorBasisValue(TenorBasis6M,R69,InterestRatesTrigger)</f>
        <v>9.8074367128572022E-4</v>
      </c>
      <c r="AA69" s="30">
        <f t="shared" si="15"/>
        <v>-4.6774274205695337E-5</v>
      </c>
    </row>
    <row r="70" spans="15:27" x14ac:dyDescent="0.2">
      <c r="O70" s="33">
        <v>3</v>
      </c>
      <c r="P70" s="27" t="str">
        <f>_xll.qlPeriodEquivalent(P69&amp;"+"&amp;O70&amp;"M")</f>
        <v>13Y9M</v>
      </c>
      <c r="Q70" s="28">
        <f>_xll.qlCalendarAdvance(Calendar,SettlementDate,P70,"f",,Trigger)</f>
        <v>47301</v>
      </c>
      <c r="R70" s="28">
        <f>_xll.qlInterestRateIndexValueDate(Index,Q70,Trigger)</f>
        <v>47303</v>
      </c>
      <c r="S70" s="28">
        <f>_xll.qlInterestRateIndexMaturity(Index,R70,Trigger)</f>
        <v>47395</v>
      </c>
      <c r="T70" s="30">
        <f>_xll.qlIndexFixing($M$6,Q70,,InterestRatesTrigger)</f>
        <v>2.0371348336912547E-2</v>
      </c>
      <c r="U70" s="30">
        <f>_xll.qlIndexFixing(Index,Q70,,InterestRatesTrigger)</f>
        <v>2.1263343649118017E-2</v>
      </c>
      <c r="V70" s="30">
        <f t="shared" si="14"/>
        <v>8.919953122054694E-4</v>
      </c>
      <c r="W70" s="29">
        <f>_xll.qlDayCounterYearFraction(DayCounter,SettlementDate,R70,,,Trigger)</f>
        <v>13.955555555555556</v>
      </c>
      <c r="X70" s="29">
        <f>_xll.qlDayCounterYearFraction(DayCounter,R70,S70)</f>
        <v>0.25555555555555554</v>
      </c>
      <c r="Y70" s="29">
        <f>_xll.qlYieldTSDiscount(Currency&amp;"ON",R70)/(1+U70*X70)</f>
        <v>0.8589879611760769</v>
      </c>
      <c r="Z70" s="30">
        <f>_xll.qlTenorBasisValue(TenorBasis6M,R70,InterestRatesTrigger)</f>
        <v>9.601607023040715E-4</v>
      </c>
      <c r="AA70" s="30">
        <f t="shared" si="15"/>
        <v>-6.8165390098602098E-5</v>
      </c>
    </row>
    <row r="71" spans="15:27" x14ac:dyDescent="0.2">
      <c r="O71" s="33">
        <v>3</v>
      </c>
      <c r="P71" s="27" t="str">
        <f>_xll.qlPeriodEquivalent(P70&amp;"+"&amp;O71&amp;"M")</f>
        <v>14Y</v>
      </c>
      <c r="Q71" s="28">
        <f>_xll.qlCalendarAdvance(Calendar,SettlementDate,P71,"f",,Trigger)</f>
        <v>47393</v>
      </c>
      <c r="R71" s="28">
        <f>_xll.qlInterestRateIndexValueDate(Index,Q71,Trigger)</f>
        <v>47395</v>
      </c>
      <c r="S71" s="28">
        <f>_xll.qlInterestRateIndexMaturity(Index,R71,Trigger)</f>
        <v>47487</v>
      </c>
      <c r="T71" s="30">
        <f>_xll.qlIndexFixing($M$6,Q71,,InterestRatesTrigger)</f>
        <v>2.039372764406085E-2</v>
      </c>
      <c r="U71" s="30">
        <f>_xll.qlIndexFixing(Index,Q71,,InterestRatesTrigger)</f>
        <v>2.1248149352775164E-2</v>
      </c>
      <c r="V71" s="30">
        <f t="shared" si="14"/>
        <v>8.5442170871431397E-4</v>
      </c>
      <c r="W71" s="29">
        <f>_xll.qlDayCounterYearFraction(DayCounter,SettlementDate,R71,,,Trigger)</f>
        <v>14.21111111111111</v>
      </c>
      <c r="X71" s="29">
        <f>_xll.qlDayCounterYearFraction(DayCounter,R71,S71)</f>
        <v>0.25555555555555554</v>
      </c>
      <c r="Y71" s="29">
        <f>_xll.qlYieldTSDiscount(Currency&amp;"ON",R71)/(1+U71*X71)</f>
        <v>0.85454252063225233</v>
      </c>
      <c r="Z71" s="30">
        <f>_xll.qlTenorBasisValue(TenorBasis6M,R71,InterestRatesTrigger)</f>
        <v>9.3946388292764742E-4</v>
      </c>
      <c r="AA71" s="30">
        <f t="shared" si="15"/>
        <v>-8.5042174213333446E-5</v>
      </c>
    </row>
    <row r="72" spans="15:27" x14ac:dyDescent="0.2">
      <c r="O72" s="33">
        <v>3</v>
      </c>
      <c r="P72" s="27" t="str">
        <f>_xll.qlPeriodEquivalent(P71&amp;"+"&amp;O72&amp;"M")</f>
        <v>14Y3M</v>
      </c>
      <c r="Q72" s="28">
        <f>_xll.qlCalendarAdvance(Calendar,SettlementDate,P72,"f",,Trigger)</f>
        <v>47485</v>
      </c>
      <c r="R72" s="28">
        <f>_xll.qlInterestRateIndexValueDate(Index,Q72,Trigger)</f>
        <v>47487</v>
      </c>
      <c r="S72" s="28">
        <f>_xll.qlInterestRateIndexMaturity(Index,R72,Trigger)</f>
        <v>47577</v>
      </c>
      <c r="T72" s="30">
        <f>_xll.qlIndexFixing($M$6,Q72,,InterestRatesTrigger)</f>
        <v>2.0394533993997932E-2</v>
      </c>
      <c r="U72" s="30">
        <f>_xll.qlIndexFixing(Index,Q72,,InterestRatesTrigger)</f>
        <v>2.1217246600828688E-2</v>
      </c>
      <c r="V72" s="30">
        <f t="shared" si="14"/>
        <v>8.2271260683075553E-4</v>
      </c>
      <c r="W72" s="29">
        <f>_xll.qlDayCounterYearFraction(DayCounter,SettlementDate,R72,,,Trigger)</f>
        <v>14.466666666666667</v>
      </c>
      <c r="X72" s="29">
        <f>_xll.qlDayCounterYearFraction(DayCounter,R72,S72)</f>
        <v>0.25</v>
      </c>
      <c r="Y72" s="29">
        <f>_xll.qlYieldTSDiscount(Currency&amp;"ON",R72)/(1+U72*X72)</f>
        <v>0.85021832151458487</v>
      </c>
      <c r="Z72" s="30">
        <f>_xll.qlTenorBasisValue(TenorBasis6M,R72,InterestRatesTrigger)</f>
        <v>9.1912244616056203E-4</v>
      </c>
      <c r="AA72" s="30">
        <f t="shared" si="15"/>
        <v>-9.6409839329806494E-5</v>
      </c>
    </row>
    <row r="73" spans="15:27" x14ac:dyDescent="0.2">
      <c r="O73" s="33">
        <v>3</v>
      </c>
      <c r="P73" s="27" t="str">
        <f>_xll.qlPeriodEquivalent(P72&amp;"+"&amp;O73&amp;"M")</f>
        <v>14Y6M</v>
      </c>
      <c r="Q73" s="28">
        <f>_xll.qlCalendarAdvance(Calendar,SettlementDate,P73,"f",,Trigger)</f>
        <v>47575</v>
      </c>
      <c r="R73" s="28">
        <f>_xll.qlInterestRateIndexValueDate(Index,Q73,Trigger)</f>
        <v>47577</v>
      </c>
      <c r="S73" s="28">
        <f>_xll.qlInterestRateIndexMaturity(Index,R73,Trigger)</f>
        <v>47668</v>
      </c>
      <c r="T73" s="30">
        <f>_xll.qlIndexFixing($M$6,Q73,,InterestRatesTrigger)</f>
        <v>2.0376872150889111E-2</v>
      </c>
      <c r="U73" s="30">
        <f>_xll.qlIndexFixing(Index,Q73,,InterestRatesTrigger)</f>
        <v>2.1174137560408871E-2</v>
      </c>
      <c r="V73" s="30">
        <f t="shared" si="14"/>
        <v>7.9726540951976024E-4</v>
      </c>
      <c r="W73" s="29">
        <f>_xll.qlDayCounterYearFraction(DayCounter,SettlementDate,R73,,,Trigger)</f>
        <v>14.716666666666667</v>
      </c>
      <c r="X73" s="29">
        <f>_xll.qlDayCounterYearFraction(DayCounter,R73,S73)</f>
        <v>0.25277777777777777</v>
      </c>
      <c r="Y73" s="29">
        <f>_xll.qlYieldTSDiscount(Currency&amp;"ON",R73)/(1+U73*X73)</f>
        <v>0.84586493934039397</v>
      </c>
      <c r="Z73" s="30">
        <f>_xll.qlTenorBasisValue(TenorBasis6M,R73,InterestRatesTrigger)</f>
        <v>8.9957365269124553E-4</v>
      </c>
      <c r="AA73" s="30">
        <f t="shared" si="15"/>
        <v>-1.0230824317148529E-4</v>
      </c>
    </row>
    <row r="74" spans="15:27" x14ac:dyDescent="0.2">
      <c r="O74" s="33">
        <v>3</v>
      </c>
      <c r="P74" s="27" t="str">
        <f>_xll.qlPeriodEquivalent(P73&amp;"+"&amp;O74&amp;"M")</f>
        <v>14Y9M</v>
      </c>
      <c r="Q74" s="28">
        <f>_xll.qlCalendarAdvance(Calendar,SettlementDate,P74,"f",,Trigger)</f>
        <v>47666</v>
      </c>
      <c r="R74" s="28">
        <f>_xll.qlInterestRateIndexValueDate(Index,Q74,Trigger)</f>
        <v>47668</v>
      </c>
      <c r="S74" s="28">
        <f>_xll.qlInterestRateIndexMaturity(Index,R74,Trigger)</f>
        <v>47760</v>
      </c>
      <c r="T74" s="30">
        <f>_xll.qlIndexFixing($M$6,Q74,,InterestRatesTrigger)</f>
        <v>2.0338396677545341E-2</v>
      </c>
      <c r="U74" s="30">
        <f>_xll.qlIndexFixing(Index,Q74,,InterestRatesTrigger)</f>
        <v>2.1116388962142265E-2</v>
      </c>
      <c r="V74" s="30">
        <f t="shared" si="14"/>
        <v>7.7799228459692407E-4</v>
      </c>
      <c r="W74" s="29">
        <f>_xll.qlDayCounterYearFraction(DayCounter,SettlementDate,R74,,,Trigger)</f>
        <v>14.969444444444445</v>
      </c>
      <c r="X74" s="29">
        <f>_xll.qlDayCounterYearFraction(DayCounter,R74,S74)</f>
        <v>0.25555555555555554</v>
      </c>
      <c r="Y74" s="29">
        <f>_xll.qlYieldTSDiscount(Currency&amp;"ON",R74)/(1+U74*X74)</f>
        <v>0.84149348946601488</v>
      </c>
      <c r="Z74" s="30">
        <f>_xll.qlTenorBasisValue(TenorBasis6M,R74,InterestRatesTrigger)</f>
        <v>8.801654548449548E-4</v>
      </c>
      <c r="AA74" s="30">
        <f t="shared" si="15"/>
        <v>-1.0217317024803073E-4</v>
      </c>
    </row>
    <row r="75" spans="15:27" x14ac:dyDescent="0.2">
      <c r="O75" s="33">
        <v>3</v>
      </c>
      <c r="P75" s="27" t="str">
        <f>_xll.qlPeriodEquivalent(P74&amp;"+"&amp;O75&amp;"M")</f>
        <v>15Y</v>
      </c>
      <c r="Q75" s="28">
        <f>_xll.qlCalendarAdvance(Calendar,SettlementDate,P75,"f",,Trigger)</f>
        <v>47758</v>
      </c>
      <c r="R75" s="28">
        <f>_xll.qlInterestRateIndexValueDate(Index,Q75,Trigger)</f>
        <v>47760</v>
      </c>
      <c r="S75" s="28">
        <f>_xll.qlInterestRateIndexMaturity(Index,R75,Trigger)</f>
        <v>47854</v>
      </c>
      <c r="T75" s="30">
        <f>_xll.qlIndexFixing($M$6,Q75,,InterestRatesTrigger)</f>
        <v>2.0280327480766275E-2</v>
      </c>
      <c r="U75" s="30">
        <f>_xll.qlIndexFixing(Index,Q75,,InterestRatesTrigger)</f>
        <v>2.1044544481783809E-2</v>
      </c>
      <c r="V75" s="30">
        <f t="shared" si="14"/>
        <v>7.6421700101753434E-4</v>
      </c>
      <c r="W75" s="29">
        <f>_xll.qlDayCounterYearFraction(DayCounter,SettlementDate,R75,,,Trigger)</f>
        <v>15.225</v>
      </c>
      <c r="X75" s="29">
        <f>_xll.qlDayCounterYearFraction(DayCounter,R75,S75)</f>
        <v>0.26111111111111113</v>
      </c>
      <c r="Y75" s="29">
        <f>_xll.qlYieldTSDiscount(Currency&amp;"ON",R75)/(1+U75*X75)</f>
        <v>0.8370603137028807</v>
      </c>
      <c r="Z75" s="30">
        <f>_xll.qlTenorBasisValue(TenorBasis6M,R75,InterestRatesTrigger)</f>
        <v>8.6091416138204819E-4</v>
      </c>
      <c r="AA75" s="30">
        <f t="shared" si="15"/>
        <v>-9.669716036451385E-5</v>
      </c>
    </row>
    <row r="76" spans="15:27" x14ac:dyDescent="0.2">
      <c r="O76" s="33">
        <v>3</v>
      </c>
      <c r="P76" s="27" t="str">
        <f>_xll.qlPeriodEquivalent(P75&amp;"+"&amp;O76&amp;"M")</f>
        <v>15Y3M</v>
      </c>
      <c r="Q76" s="28">
        <f>_xll.qlCalendarAdvance(Calendar,SettlementDate,P76,"f",,Trigger)</f>
        <v>47850</v>
      </c>
      <c r="R76" s="28">
        <f>_xll.qlInterestRateIndexValueDate(Index,Q76,Trigger)</f>
        <v>47854</v>
      </c>
      <c r="S76" s="28">
        <f>_xll.qlInterestRateIndexMaturity(Index,R76,Trigger)</f>
        <v>47945</v>
      </c>
      <c r="T76" s="30">
        <f>_xll.qlIndexFixing($M$6,Q76,,InterestRatesTrigger)</f>
        <v>2.0207369267045073E-2</v>
      </c>
      <c r="U76" s="30">
        <f>_xll.qlIndexFixing(Index,Q76,,InterestRatesTrigger)</f>
        <v>2.0958816212539783E-2</v>
      </c>
      <c r="V76" s="30">
        <f t="shared" si="14"/>
        <v>7.5144694549470967E-4</v>
      </c>
      <c r="W76" s="29">
        <f>_xll.qlDayCounterYearFraction(DayCounter,SettlementDate,R76,,,Trigger)</f>
        <v>15.486111111111111</v>
      </c>
      <c r="X76" s="29">
        <f>_xll.qlDayCounterYearFraction(DayCounter,R76,S76)</f>
        <v>0.25277777777777777</v>
      </c>
      <c r="Y76" s="29">
        <f>_xll.qlYieldTSDiscount(Currency&amp;"ON",R76)/(1+U76*X76)</f>
        <v>0.8328142796044522</v>
      </c>
      <c r="Z76" s="30">
        <f>_xll.qlTenorBasisValue(TenorBasis6M,R76,InterestRatesTrigger)</f>
        <v>8.4163240780136519E-4</v>
      </c>
      <c r="AA76" s="30">
        <f t="shared" si="15"/>
        <v>-9.0185462306655527E-5</v>
      </c>
    </row>
    <row r="77" spans="15:27" x14ac:dyDescent="0.2">
      <c r="O77" s="33">
        <v>3</v>
      </c>
      <c r="P77" s="27" t="str">
        <f>_xll.qlPeriodEquivalent(P76&amp;"+"&amp;O77&amp;"M")</f>
        <v>15Y6M</v>
      </c>
      <c r="Q77" s="28">
        <f>_xll.qlCalendarAdvance(Calendar,SettlementDate,P77,"f",,Trigger)</f>
        <v>47940</v>
      </c>
      <c r="R77" s="28">
        <f>_xll.qlInterestRateIndexValueDate(Index,Q77,Trigger)</f>
        <v>47942</v>
      </c>
      <c r="S77" s="28">
        <f>_xll.qlInterestRateIndexMaturity(Index,R77,Trigger)</f>
        <v>48033</v>
      </c>
      <c r="T77" s="30">
        <f>_xll.qlIndexFixing($M$6,Q77,,InterestRatesTrigger)</f>
        <v>2.0129983072243379E-2</v>
      </c>
      <c r="U77" s="30">
        <f>_xll.qlIndexFixing(Index,Q77,,InterestRatesTrigger)</f>
        <v>2.0869435274052762E-2</v>
      </c>
      <c r="V77" s="30">
        <f t="shared" si="14"/>
        <v>7.3945220180938326E-4</v>
      </c>
      <c r="W77" s="29">
        <f>_xll.qlDayCounterYearFraction(DayCounter,SettlementDate,R77,,,Trigger)</f>
        <v>15.730555555555556</v>
      </c>
      <c r="X77" s="29">
        <f>_xll.qlDayCounterYearFraction(DayCounter,R77,S77)</f>
        <v>0.25277777777777777</v>
      </c>
      <c r="Y77" s="29">
        <f>_xll.qlYieldTSDiscount(Currency&amp;"ON",R77)/(1+U77*X77)</f>
        <v>0.8287394604646724</v>
      </c>
      <c r="Z77" s="30">
        <f>_xll.qlTenorBasisValue(TenorBasis6M,R77,InterestRatesTrigger)</f>
        <v>8.2393925598852388E-4</v>
      </c>
      <c r="AA77" s="30">
        <f t="shared" si="15"/>
        <v>-8.4487054179140618E-5</v>
      </c>
    </row>
    <row r="78" spans="15:27" x14ac:dyDescent="0.2">
      <c r="O78" s="33">
        <v>3</v>
      </c>
      <c r="P78" s="27" t="str">
        <f>_xll.qlPeriodEquivalent(P77&amp;"+"&amp;O78&amp;"M")</f>
        <v>15Y9M</v>
      </c>
      <c r="Q78" s="28">
        <f>_xll.qlCalendarAdvance(Calendar,SettlementDate,P78,"f",,Trigger)</f>
        <v>48031</v>
      </c>
      <c r="R78" s="28">
        <f>_xll.qlInterestRateIndexValueDate(Index,Q78,Trigger)</f>
        <v>48033</v>
      </c>
      <c r="S78" s="28">
        <f>_xll.qlInterestRateIndexMaturity(Index,R78,Trigger)</f>
        <v>48127</v>
      </c>
      <c r="T78" s="30">
        <f>_xll.qlIndexFixing($M$6,Q78,,InterestRatesTrigger)</f>
        <v>2.0040694693156603E-2</v>
      </c>
      <c r="U78" s="30">
        <f>_xll.qlIndexFixing(Index,Q78,,InterestRatesTrigger)</f>
        <v>2.0767671274612418E-2</v>
      </c>
      <c r="V78" s="30">
        <f t="shared" si="14"/>
        <v>7.2697658145581476E-4</v>
      </c>
      <c r="W78" s="29">
        <f>_xll.qlDayCounterYearFraction(DayCounter,SettlementDate,R78,,,Trigger)</f>
        <v>15.983333333333333</v>
      </c>
      <c r="X78" s="29">
        <f>_xll.qlDayCounterYearFraction(DayCounter,R78,S78)</f>
        <v>0.26111111111111113</v>
      </c>
      <c r="Y78" s="29">
        <f>_xll.qlYieldTSDiscount(Currency&amp;"ON",R78)/(1+U78*X78)</f>
        <v>0.82442300811145419</v>
      </c>
      <c r="Z78" s="30">
        <f>_xll.qlTenorBasisValue(TenorBasis6M,R78,InterestRatesTrigger)</f>
        <v>8.0600846514591201E-4</v>
      </c>
      <c r="AA78" s="30">
        <f t="shared" si="15"/>
        <v>-7.9031883690097249E-5</v>
      </c>
    </row>
    <row r="79" spans="15:27" x14ac:dyDescent="0.2">
      <c r="O79" s="33">
        <v>3</v>
      </c>
      <c r="P79" s="27" t="str">
        <f>_xll.qlPeriodEquivalent(P78&amp;"+"&amp;O79&amp;"M")</f>
        <v>16Y</v>
      </c>
      <c r="Q79" s="28">
        <f>_xll.qlCalendarAdvance(Calendar,SettlementDate,P79,"f",,Trigger)</f>
        <v>48123</v>
      </c>
      <c r="R79" s="28">
        <f>_xll.qlInterestRateIndexValueDate(Index,Q79,Trigger)</f>
        <v>48127</v>
      </c>
      <c r="S79" s="28">
        <f>_xll.qlInterestRateIndexMaturity(Index,R79,Trigger)</f>
        <v>48219</v>
      </c>
      <c r="T79" s="30">
        <f>_xll.qlIndexFixing($M$6,Q79,,InterestRatesTrigger)</f>
        <v>1.9938751911573606E-2</v>
      </c>
      <c r="U79" s="30">
        <f>_xll.qlIndexFixing(Index,Q79,,InterestRatesTrigger)</f>
        <v>2.0652965906574859E-2</v>
      </c>
      <c r="V79" s="30">
        <f t="shared" si="14"/>
        <v>7.1421399500125327E-4</v>
      </c>
      <c r="W79" s="29">
        <f>_xll.qlDayCounterYearFraction(DayCounter,SettlementDate,R79,,,Trigger)</f>
        <v>16.244444444444444</v>
      </c>
      <c r="X79" s="29">
        <f>_xll.qlDayCounterYearFraction(DayCounter,R79,S79)</f>
        <v>0.25555555555555554</v>
      </c>
      <c r="Y79" s="29">
        <f>_xll.qlYieldTSDiscount(Currency&amp;"ON",R79)/(1+U79*X79)</f>
        <v>0.82024942660173406</v>
      </c>
      <c r="Z79" s="30">
        <f>_xll.qlTenorBasisValue(TenorBasis6M,R79,InterestRatesTrigger)</f>
        <v>7.8787766199463996E-4</v>
      </c>
      <c r="AA79" s="30">
        <f t="shared" si="15"/>
        <v>-7.3663666993386699E-5</v>
      </c>
    </row>
    <row r="80" spans="15:27" x14ac:dyDescent="0.2">
      <c r="O80" s="33">
        <v>3</v>
      </c>
      <c r="P80" s="27" t="str">
        <f>_xll.qlPeriodEquivalent(P79&amp;"+"&amp;O80&amp;"M")</f>
        <v>16Y3M</v>
      </c>
      <c r="Q80" s="28">
        <f>_xll.qlCalendarAdvance(Calendar,SettlementDate,P80,"f",,Trigger)</f>
        <v>48215</v>
      </c>
      <c r="R80" s="28">
        <f>_xll.qlInterestRateIndexValueDate(Index,Q80,Trigger)</f>
        <v>48219</v>
      </c>
      <c r="S80" s="28">
        <f>_xll.qlInterestRateIndexMaturity(Index,R80,Trigger)</f>
        <v>48310</v>
      </c>
      <c r="T80" s="30">
        <f>_xll.qlIndexFixing($M$6,Q80,,InterestRatesTrigger)</f>
        <v>1.9830269030841948E-2</v>
      </c>
      <c r="U80" s="30">
        <f>_xll.qlIndexFixing(Index,Q80,,InterestRatesTrigger)</f>
        <v>2.0531933791922339E-2</v>
      </c>
      <c r="V80" s="30">
        <f t="shared" si="14"/>
        <v>7.0166476108039083E-4</v>
      </c>
      <c r="W80" s="29">
        <f>_xll.qlDayCounterYearFraction(DayCounter,SettlementDate,R80,,,Trigger)</f>
        <v>16.5</v>
      </c>
      <c r="X80" s="29">
        <f>_xll.qlDayCounterYearFraction(DayCounter,R80,S80)</f>
        <v>0.25277777777777777</v>
      </c>
      <c r="Y80" s="29">
        <f>_xll.qlYieldTSDiscount(Currency&amp;"ON",R80)/(1+U80*X80)</f>
        <v>0.81616248381155121</v>
      </c>
      <c r="Z80" s="30">
        <f>_xll.qlTenorBasisValue(TenorBasis6M,R80,InterestRatesTrigger)</f>
        <v>7.7051759635042994E-4</v>
      </c>
      <c r="AA80" s="30">
        <f t="shared" si="15"/>
        <v>-6.8852835270039113E-5</v>
      </c>
    </row>
    <row r="81" spans="15:27" x14ac:dyDescent="0.2">
      <c r="O81" s="33">
        <v>3</v>
      </c>
      <c r="P81" s="27" t="str">
        <f>_xll.qlPeriodEquivalent(P80&amp;"+"&amp;O81&amp;"M")</f>
        <v>16Y6M</v>
      </c>
      <c r="Q81" s="28">
        <f>_xll.qlCalendarAdvance(Calendar,SettlementDate,P81,"f",,Trigger)</f>
        <v>48306</v>
      </c>
      <c r="R81" s="28">
        <f>_xll.qlInterestRateIndexValueDate(Index,Q81,Trigger)</f>
        <v>48310</v>
      </c>
      <c r="S81" s="28">
        <f>_xll.qlInterestRateIndexMaturity(Index,R81,Trigger)</f>
        <v>48401</v>
      </c>
      <c r="T81" s="30">
        <f>_xll.qlIndexFixing($M$6,Q81,,InterestRatesTrigger)</f>
        <v>1.9714814300186942E-2</v>
      </c>
      <c r="U81" s="30">
        <f>_xll.qlIndexFixing(Index,Q81,,InterestRatesTrigger)</f>
        <v>2.0403983314473996E-2</v>
      </c>
      <c r="V81" s="30">
        <f t="shared" si="14"/>
        <v>6.8916901428705407E-4</v>
      </c>
      <c r="W81" s="29">
        <f>_xll.qlDayCounterYearFraction(DayCounter,SettlementDate,R81,,,Trigger)</f>
        <v>16.752777777777776</v>
      </c>
      <c r="X81" s="29">
        <f>_xll.qlDayCounterYearFraction(DayCounter,R81,S81)</f>
        <v>0.25277777777777777</v>
      </c>
      <c r="Y81" s="29">
        <f>_xll.qlYieldTSDiscount(Currency&amp;"ON",R81)/(1+U81*X81)</f>
        <v>0.81211788174900335</v>
      </c>
      <c r="Z81" s="30">
        <f>_xll.qlTenorBasisValue(TenorBasis6M,R81,InterestRatesTrigger)</f>
        <v>7.5372031121967486E-4</v>
      </c>
      <c r="AA81" s="30">
        <f t="shared" si="15"/>
        <v>-6.4551296932620784E-5</v>
      </c>
    </row>
    <row r="82" spans="15:27" x14ac:dyDescent="0.2">
      <c r="O82" s="33">
        <v>3</v>
      </c>
      <c r="P82" s="27" t="str">
        <f>_xll.qlPeriodEquivalent(P81&amp;"+"&amp;O82&amp;"M")</f>
        <v>16Y9M</v>
      </c>
      <c r="Q82" s="28">
        <f>_xll.qlCalendarAdvance(Calendar,SettlementDate,P82,"f",,Trigger)</f>
        <v>48397</v>
      </c>
      <c r="R82" s="28">
        <f>_xll.qlInterestRateIndexValueDate(Index,Q82,Trigger)</f>
        <v>48401</v>
      </c>
      <c r="S82" s="28">
        <f>_xll.qlInterestRateIndexMaturity(Index,R82,Trigger)</f>
        <v>48493</v>
      </c>
      <c r="T82" s="30">
        <f>_xll.qlIndexFixing($M$6,Q82,,InterestRatesTrigger)</f>
        <v>1.9591579636872185E-2</v>
      </c>
      <c r="U82" s="30">
        <f>_xll.qlIndexFixing(Index,Q82,,InterestRatesTrigger)</f>
        <v>2.0268144795719572E-2</v>
      </c>
      <c r="V82" s="30">
        <f t="shared" si="14"/>
        <v>6.7656515884738713E-4</v>
      </c>
      <c r="W82" s="29">
        <f>_xll.qlDayCounterYearFraction(DayCounter,SettlementDate,R82,,,Trigger)</f>
        <v>17.005555555555556</v>
      </c>
      <c r="X82" s="29">
        <f>_xll.qlDayCounterYearFraction(DayCounter,R82,S82)</f>
        <v>0.25555555555555554</v>
      </c>
      <c r="Y82" s="29">
        <f>_xll.qlYieldTSDiscount(Currency&amp;"ON",R82)/(1+U82*X82)</f>
        <v>0.80807313101650091</v>
      </c>
      <c r="Z82" s="30">
        <f>_xll.qlTenorBasisValue(TenorBasis6M,R82,InterestRatesTrigger)</f>
        <v>7.3729389920678843E-4</v>
      </c>
      <c r="AA82" s="30">
        <f t="shared" si="15"/>
        <v>-6.07287403594013E-5</v>
      </c>
    </row>
    <row r="83" spans="15:27" x14ac:dyDescent="0.2">
      <c r="O83" s="33">
        <v>3</v>
      </c>
      <c r="P83" s="27" t="str">
        <f>_xll.qlPeriodEquivalent(P82&amp;"+"&amp;O83&amp;"M")</f>
        <v>17Y</v>
      </c>
      <c r="Q83" s="28">
        <f>_xll.qlCalendarAdvance(Calendar,SettlementDate,P83,"f",,Trigger)</f>
        <v>48491</v>
      </c>
      <c r="R83" s="28">
        <f>_xll.qlInterestRateIndexValueDate(Index,Q83,Trigger)</f>
        <v>48493</v>
      </c>
      <c r="S83" s="28">
        <f>_xll.qlInterestRateIndexMaturity(Index,R83,Trigger)</f>
        <v>48585</v>
      </c>
      <c r="T83" s="30">
        <f>_xll.qlIndexFixing($M$6,Q83,,InterestRatesTrigger)</f>
        <v>1.9459865469786012E-2</v>
      </c>
      <c r="U83" s="30">
        <f>_xll.qlIndexFixing(Index,Q83,,InterestRatesTrigger)</f>
        <v>2.0123620188977381E-2</v>
      </c>
      <c r="V83" s="30">
        <f t="shared" si="14"/>
        <v>6.6375471919136869E-4</v>
      </c>
      <c r="W83" s="29">
        <f>_xll.qlDayCounterYearFraction(DayCounter,SettlementDate,R83,,,Trigger)</f>
        <v>17.261111111111113</v>
      </c>
      <c r="X83" s="29">
        <f>_xll.qlDayCounterYearFraction(DayCounter,R83,S83)</f>
        <v>0.25555555555555554</v>
      </c>
      <c r="Y83" s="29">
        <f>_xll.qlYieldTSDiscount(Currency&amp;"ON",R83)/(1+U83*X83)</f>
        <v>0.80407702155274074</v>
      </c>
      <c r="Z83" s="30">
        <f>_xll.qlTenorBasisValue(TenorBasis6M,R83,InterestRatesTrigger)</f>
        <v>7.210622354021179E-4</v>
      </c>
      <c r="AA83" s="30">
        <f t="shared" si="15"/>
        <v>-5.7307516210749207E-5</v>
      </c>
    </row>
    <row r="84" spans="15:27" x14ac:dyDescent="0.2">
      <c r="O84" s="33">
        <v>3</v>
      </c>
      <c r="P84" s="27" t="str">
        <f>_xll.qlPeriodEquivalent(P83&amp;"+"&amp;O84&amp;"M")</f>
        <v>17Y3M</v>
      </c>
      <c r="Q84" s="28">
        <f>_xll.qlCalendarAdvance(Calendar,SettlementDate,P84,"f",,Trigger)</f>
        <v>48582</v>
      </c>
      <c r="R84" s="28">
        <f>_xll.qlInterestRateIndexValueDate(Index,Q84,Trigger)</f>
        <v>48584</v>
      </c>
      <c r="S84" s="28">
        <f>_xll.qlInterestRateIndexMaturity(Index,R84,Trigger)</f>
        <v>48674</v>
      </c>
      <c r="T84" s="30">
        <f>_xll.qlIndexFixing($M$6,Q84,,InterestRatesTrigger)</f>
        <v>1.9323403750003187E-2</v>
      </c>
      <c r="U84" s="30">
        <f>_xll.qlIndexFixing(Index,Q84,,InterestRatesTrigger)</f>
        <v>1.9974438585643739E-2</v>
      </c>
      <c r="V84" s="30">
        <f t="shared" si="14"/>
        <v>6.5103483564055153E-4</v>
      </c>
      <c r="W84" s="29">
        <f>_xll.qlDayCounterYearFraction(DayCounter,SettlementDate,R84,,,Trigger)</f>
        <v>17.513888888888889</v>
      </c>
      <c r="X84" s="29">
        <f>_xll.qlDayCounterYearFraction(DayCounter,R84,S84)</f>
        <v>0.25</v>
      </c>
      <c r="Y84" s="29">
        <f>_xll.qlYieldTSDiscount(Currency&amp;"ON",R84)/(1+U84*X84)</f>
        <v>0.80025976968668322</v>
      </c>
      <c r="Z84" s="30">
        <f>_xll.qlTenorBasisValue(TenorBasis6M,R84,InterestRatesTrigger)</f>
        <v>7.053759424652681E-4</v>
      </c>
      <c r="AA84" s="30">
        <f t="shared" si="15"/>
        <v>-5.4341106824716567E-5</v>
      </c>
    </row>
    <row r="85" spans="15:27" x14ac:dyDescent="0.2">
      <c r="O85" s="33">
        <v>3</v>
      </c>
      <c r="P85" s="27" t="str">
        <f>_xll.qlPeriodEquivalent(P84&amp;"+"&amp;O85&amp;"M")</f>
        <v>17Y6M</v>
      </c>
      <c r="Q85" s="28">
        <f>_xll.qlCalendarAdvance(Calendar,SettlementDate,P85,"f",,Trigger)</f>
        <v>48673</v>
      </c>
      <c r="R85" s="28">
        <f>_xll.qlInterestRateIndexValueDate(Index,Q85,Trigger)</f>
        <v>48675</v>
      </c>
      <c r="S85" s="28">
        <f>_xll.qlInterestRateIndexMaturity(Index,R85,Trigger)</f>
        <v>48766</v>
      </c>
      <c r="T85" s="30">
        <f>_xll.qlIndexFixing($M$6,Q85,,InterestRatesTrigger)</f>
        <v>1.9180025127435382E-2</v>
      </c>
      <c r="U85" s="30">
        <f>_xll.qlIndexFixing(Index,Q85,,InterestRatesTrigger)</f>
        <v>1.9818096022462185E-2</v>
      </c>
      <c r="V85" s="30">
        <f t="shared" si="14"/>
        <v>6.3807089502680367E-4</v>
      </c>
      <c r="W85" s="29">
        <f>_xll.qlDayCounterYearFraction(DayCounter,SettlementDate,R85,,,Trigger)</f>
        <v>17.766666666666666</v>
      </c>
      <c r="X85" s="29">
        <f>_xll.qlDayCounterYearFraction(DayCounter,R85,S85)</f>
        <v>0.25277777777777777</v>
      </c>
      <c r="Y85" s="29">
        <f>_xll.qlYieldTSDiscount(Currency&amp;"ON",R85)/(1+U85*X85)</f>
        <v>0.79635728068757794</v>
      </c>
      <c r="Z85" s="30">
        <f>_xll.qlTenorBasisValue(TenorBasis6M,R85,InterestRatesTrigger)</f>
        <v>6.9005388582374892E-4</v>
      </c>
      <c r="AA85" s="30">
        <f t="shared" si="15"/>
        <v>-5.1982990796945253E-5</v>
      </c>
    </row>
    <row r="86" spans="15:27" x14ac:dyDescent="0.2">
      <c r="O86" s="33">
        <v>3</v>
      </c>
      <c r="P86" s="27" t="str">
        <f>_xll.qlPeriodEquivalent(P85&amp;"+"&amp;O86&amp;"M")</f>
        <v>17Y9M</v>
      </c>
      <c r="Q86" s="28">
        <f>_xll.qlCalendarAdvance(Calendar,SettlementDate,P86,"f",,Trigger)</f>
        <v>48764</v>
      </c>
      <c r="R86" s="28">
        <f>_xll.qlInterestRateIndexValueDate(Index,Q86,Trigger)</f>
        <v>48766</v>
      </c>
      <c r="S86" s="28">
        <f>_xll.qlInterestRateIndexMaturity(Index,R86,Trigger)</f>
        <v>48858</v>
      </c>
      <c r="T86" s="30">
        <f>_xll.qlIndexFixing($M$6,Q86,,InterestRatesTrigger)</f>
        <v>1.9030855337367966E-2</v>
      </c>
      <c r="U86" s="30">
        <f>_xll.qlIndexFixing(Index,Q86,,InterestRatesTrigger)</f>
        <v>1.9655797552895291E-2</v>
      </c>
      <c r="V86" s="30">
        <f t="shared" si="14"/>
        <v>6.2494221552732501E-4</v>
      </c>
      <c r="W86" s="29">
        <f>_xll.qlDayCounterYearFraction(DayCounter,SettlementDate,R86,,,Trigger)</f>
        <v>18.019444444444446</v>
      </c>
      <c r="X86" s="29">
        <f>_xll.qlDayCounterYearFraction(DayCounter,R86,S86)</f>
        <v>0.25555555555555554</v>
      </c>
      <c r="Y86" s="29">
        <f>_xll.qlYieldTSDiscount(Currency&amp;"ON",R86)/(1+U86*X86)</f>
        <v>0.79250423924282021</v>
      </c>
      <c r="Z86" s="30">
        <f>_xll.qlTenorBasisValue(TenorBasis6M,R86,InterestRatesTrigger)</f>
        <v>6.7509297176293441E-4</v>
      </c>
      <c r="AA86" s="30">
        <f t="shared" si="15"/>
        <v>-5.0150756235609398E-5</v>
      </c>
    </row>
    <row r="87" spans="15:27" x14ac:dyDescent="0.2">
      <c r="O87" s="33">
        <v>3</v>
      </c>
      <c r="P87" s="27" t="str">
        <f>_xll.qlPeriodEquivalent(P86&amp;"+"&amp;O87&amp;"M")</f>
        <v>18Y</v>
      </c>
      <c r="Q87" s="28">
        <f>_xll.qlCalendarAdvance(Calendar,SettlementDate,P87,"f",,Trigger)</f>
        <v>48855</v>
      </c>
      <c r="R87" s="28">
        <f>_xll.qlInterestRateIndexValueDate(Index,Q87,Trigger)</f>
        <v>48857</v>
      </c>
      <c r="S87" s="28">
        <f>_xll.qlInterestRateIndexMaturity(Index,R87,Trigger)</f>
        <v>48949</v>
      </c>
      <c r="T87" s="30">
        <f>_xll.qlIndexFixing($M$6,Q87,,InterestRatesTrigger)</f>
        <v>1.8876744829606728E-2</v>
      </c>
      <c r="U87" s="30">
        <f>_xll.qlIndexFixing(Index,Q87,,InterestRatesTrigger)</f>
        <v>1.9488413233768334E-2</v>
      </c>
      <c r="V87" s="30">
        <f t="shared" si="14"/>
        <v>6.116684041616062E-4</v>
      </c>
      <c r="W87" s="29">
        <f>_xll.qlDayCounterYearFraction(DayCounter,SettlementDate,R87,,,Trigger)</f>
        <v>18.272222222222222</v>
      </c>
      <c r="X87" s="29">
        <f>_xll.qlDayCounterYearFraction(DayCounter,R87,S87)</f>
        <v>0.25555555555555554</v>
      </c>
      <c r="Y87" s="29">
        <f>_xll.qlYieldTSDiscount(Currency&amp;"ON",R87)/(1+U87*X87)</f>
        <v>0.78874359250729653</v>
      </c>
      <c r="Z87" s="30">
        <f>_xll.qlTenorBasisValue(TenorBasis6M,R87,InterestRatesTrigger)</f>
        <v>6.6048973093119502E-4</v>
      </c>
      <c r="AA87" s="30">
        <f t="shared" si="15"/>
        <v>-4.8821326769588817E-5</v>
      </c>
    </row>
    <row r="88" spans="15:27" x14ac:dyDescent="0.2">
      <c r="O88" s="33">
        <v>3</v>
      </c>
      <c r="P88" s="27" t="str">
        <f>_xll.qlPeriodEquivalent(P87&amp;"+"&amp;O88&amp;"M")</f>
        <v>18Y3M</v>
      </c>
      <c r="Q88" s="28">
        <f>_xll.qlCalendarAdvance(Calendar,SettlementDate,P88,"f",,Trigger)</f>
        <v>48946</v>
      </c>
      <c r="R88" s="28">
        <f>_xll.qlInterestRateIndexValueDate(Index,Q88,Trigger)</f>
        <v>48948</v>
      </c>
      <c r="S88" s="28">
        <f>_xll.qlInterestRateIndexMaturity(Index,R88,Trigger)</f>
        <v>49038</v>
      </c>
      <c r="T88" s="30">
        <f>_xll.qlIndexFixing($M$6,Q88,,InterestRatesTrigger)</f>
        <v>1.8718674517185008E-2</v>
      </c>
      <c r="U88" s="30">
        <f>_xll.qlIndexFixing(Index,Q88,,InterestRatesTrigger)</f>
        <v>1.9316952294333056E-2</v>
      </c>
      <c r="V88" s="30">
        <f t="shared" si="14"/>
        <v>5.9827777714804853E-4</v>
      </c>
      <c r="W88" s="29">
        <f>_xll.qlDayCounterYearFraction(DayCounter,SettlementDate,R88,,,Trigger)</f>
        <v>18.524999999999999</v>
      </c>
      <c r="X88" s="29">
        <f>_xll.qlDayCounterYearFraction(DayCounter,R88,S88)</f>
        <v>0.25</v>
      </c>
      <c r="Y88" s="29">
        <f>_xll.qlYieldTSDiscount(Currency&amp;"ON",R88)/(1+U88*X88)</f>
        <v>0.7851158763250945</v>
      </c>
      <c r="Z88" s="30">
        <f>_xll.qlTenorBasisValue(TenorBasis6M,R88,InterestRatesTrigger)</f>
        <v>6.4624035505957936E-4</v>
      </c>
      <c r="AA88" s="30">
        <f t="shared" si="15"/>
        <v>-4.7962577911530831E-5</v>
      </c>
    </row>
    <row r="89" spans="15:27" x14ac:dyDescent="0.2">
      <c r="O89" s="33">
        <v>3</v>
      </c>
      <c r="P89" s="27" t="str">
        <f>_xll.qlPeriodEquivalent(P88&amp;"+"&amp;O89&amp;"M")</f>
        <v>18Y6M</v>
      </c>
      <c r="Q89" s="28">
        <f>_xll.qlCalendarAdvance(Calendar,SettlementDate,P89,"f",,Trigger)</f>
        <v>49037</v>
      </c>
      <c r="R89" s="28">
        <f>_xll.qlInterestRateIndexValueDate(Index,Q89,Trigger)</f>
        <v>49039</v>
      </c>
      <c r="S89" s="28">
        <f>_xll.qlInterestRateIndexMaturity(Index,R89,Trigger)</f>
        <v>49130</v>
      </c>
      <c r="T89" s="30">
        <f>_xll.qlIndexFixing($M$6,Q89,,InterestRatesTrigger)</f>
        <v>1.8555131903326114E-2</v>
      </c>
      <c r="U89" s="30">
        <f>_xll.qlIndexFixing(Index,Q89,,InterestRatesTrigger)</f>
        <v>1.9139666796602509E-2</v>
      </c>
      <c r="V89" s="30">
        <f t="shared" si="14"/>
        <v>5.8453489327639496E-4</v>
      </c>
      <c r="W89" s="29">
        <f>_xll.qlDayCounterYearFraction(DayCounter,SettlementDate,R89,,,Trigger)</f>
        <v>18.777777777777779</v>
      </c>
      <c r="X89" s="29">
        <f>_xll.qlDayCounterYearFraction(DayCounter,R89,S89)</f>
        <v>0.25277777777777777</v>
      </c>
      <c r="Y89" s="29">
        <f>_xll.qlYieldTSDiscount(Currency&amp;"ON",R89)/(1+U89*X89)</f>
        <v>0.78141166730321254</v>
      </c>
      <c r="Z89" s="30">
        <f>_xll.qlTenorBasisValue(TenorBasis6M,R89,InterestRatesTrigger)</f>
        <v>6.3234073127177339E-4</v>
      </c>
      <c r="AA89" s="30">
        <f t="shared" si="15"/>
        <v>-4.7805837995378432E-5</v>
      </c>
    </row>
    <row r="90" spans="15:27" x14ac:dyDescent="0.2">
      <c r="O90" s="33">
        <v>3</v>
      </c>
      <c r="P90" s="27" t="str">
        <f>_xll.qlPeriodEquivalent(P89&amp;"+"&amp;O90&amp;"M")</f>
        <v>18Y9M</v>
      </c>
      <c r="Q90" s="28">
        <f>_xll.qlCalendarAdvance(Calendar,SettlementDate,P90,"f",,Trigger)</f>
        <v>49128</v>
      </c>
      <c r="R90" s="28">
        <f>_xll.qlInterestRateIndexValueDate(Index,Q90,Trigger)</f>
        <v>49130</v>
      </c>
      <c r="S90" s="28">
        <f>_xll.qlInterestRateIndexMaturity(Index,R90,Trigger)</f>
        <v>49222</v>
      </c>
      <c r="T90" s="30">
        <f>_xll.qlIndexFixing($M$6,Q90,,InterestRatesTrigger)</f>
        <v>1.8387707399920187E-2</v>
      </c>
      <c r="U90" s="30">
        <f>_xll.qlIndexFixing(Index,Q90,,InterestRatesTrigger)</f>
        <v>1.8958248969439588E-2</v>
      </c>
      <c r="V90" s="30">
        <f t="shared" si="14"/>
        <v>5.7054156951940119E-4</v>
      </c>
      <c r="W90" s="29">
        <f>_xll.qlDayCounterYearFraction(DayCounter,SettlementDate,R90,,,Trigger)</f>
        <v>19.030555555555555</v>
      </c>
      <c r="X90" s="29">
        <f>_xll.qlDayCounterYearFraction(DayCounter,R90,S90)</f>
        <v>0.25555555555555554</v>
      </c>
      <c r="Y90" s="29">
        <f>_xll.qlYieldTSDiscount(Currency&amp;"ON",R90)/(1+U90*X90)</f>
        <v>0.77775843682658785</v>
      </c>
      <c r="Z90" s="30">
        <f>_xll.qlTenorBasisValue(TenorBasis6M,R90,InterestRatesTrigger)</f>
        <v>6.1878647412146981E-4</v>
      </c>
      <c r="AA90" s="30">
        <f t="shared" si="15"/>
        <v>-4.8244904602068621E-5</v>
      </c>
    </row>
    <row r="91" spans="15:27" x14ac:dyDescent="0.2">
      <c r="O91" s="33">
        <v>3</v>
      </c>
      <c r="P91" s="27" t="str">
        <f>_xll.qlPeriodEquivalent(P90&amp;"+"&amp;O91&amp;"M")</f>
        <v>19Y</v>
      </c>
      <c r="Q91" s="28">
        <f>_xll.qlCalendarAdvance(Calendar,SettlementDate,P91,"f",,Trigger)</f>
        <v>49219</v>
      </c>
      <c r="R91" s="28">
        <f>_xll.qlInterestRateIndexValueDate(Index,Q91,Trigger)</f>
        <v>49221</v>
      </c>
      <c r="S91" s="28">
        <f>_xll.qlInterestRateIndexMaturity(Index,R91,Trigger)</f>
        <v>49313</v>
      </c>
      <c r="T91" s="30">
        <f>_xll.qlIndexFixing($M$6,Q91,,InterestRatesTrigger)</f>
        <v>1.8217367671935589E-2</v>
      </c>
      <c r="U91" s="30">
        <f>_xll.qlIndexFixing(Index,Q91,,InterestRatesTrigger)</f>
        <v>1.8773694566576089E-2</v>
      </c>
      <c r="V91" s="30">
        <f t="shared" si="14"/>
        <v>5.5632689464049992E-4</v>
      </c>
      <c r="W91" s="29">
        <f>_xll.qlDayCounterYearFraction(DayCounter,SettlementDate,R91,,,Trigger)</f>
        <v>19.283333333333335</v>
      </c>
      <c r="X91" s="29">
        <f>_xll.qlDayCounterYearFraction(DayCounter,R91,S91)</f>
        <v>0.25555555555555554</v>
      </c>
      <c r="Y91" s="29">
        <f>_xll.qlYieldTSDiscount(Currency&amp;"ON",R91)/(1+U91*X91)</f>
        <v>0.77419638576741334</v>
      </c>
      <c r="Z91" s="30">
        <f>_xll.qlTenorBasisValue(TenorBasis6M,R91,InterestRatesTrigger)</f>
        <v>6.0557295548704199E-4</v>
      </c>
      <c r="AA91" s="30">
        <f t="shared" si="15"/>
        <v>-4.9246060846542075E-5</v>
      </c>
    </row>
    <row r="92" spans="15:27" x14ac:dyDescent="0.2">
      <c r="O92" s="33">
        <v>3</v>
      </c>
      <c r="P92" s="27" t="str">
        <f>_xll.qlPeriodEquivalent(P91&amp;"+"&amp;O92&amp;"M")</f>
        <v>19Y3M</v>
      </c>
      <c r="Q92" s="28">
        <f>_xll.qlCalendarAdvance(Calendar,SettlementDate,P92,"f",,Trigger)</f>
        <v>49311</v>
      </c>
      <c r="R92" s="28">
        <f>_xll.qlInterestRateIndexValueDate(Index,Q92,Trigger)</f>
        <v>49313</v>
      </c>
      <c r="S92" s="28">
        <f>_xll.qlInterestRateIndexMaturity(Index,R92,Trigger)</f>
        <v>49403</v>
      </c>
      <c r="T92" s="30">
        <f>_xll.qlIndexFixing($M$6,Q92,,InterestRatesTrigger)</f>
        <v>1.8043252918542585E-2</v>
      </c>
      <c r="U92" s="30">
        <f>_xll.qlIndexFixing(Index,Q92,,InterestRatesTrigger)</f>
        <v>1.8585022541398821E-2</v>
      </c>
      <c r="V92" s="30">
        <f t="shared" si="14"/>
        <v>5.4176962285623631E-4</v>
      </c>
      <c r="W92" s="29">
        <f>_xll.qlDayCounterYearFraction(DayCounter,SettlementDate,R92,,,Trigger)</f>
        <v>19.538888888888888</v>
      </c>
      <c r="X92" s="29">
        <f>_xll.qlDayCounterYearFraction(DayCounter,R92,S92)</f>
        <v>0.25</v>
      </c>
      <c r="Y92" s="29">
        <f>_xll.qlYieldTSDiscount(Currency&amp;"ON",R92)/(1+U92*X92)</f>
        <v>0.77072495990072487</v>
      </c>
      <c r="Z92" s="30">
        <f>_xll.qlTenorBasisValue(TenorBasis6M,R92,InterestRatesTrigger)</f>
        <v>5.9255566739059703E-4</v>
      </c>
      <c r="AA92" s="30">
        <f t="shared" si="15"/>
        <v>-5.0786044534360721E-5</v>
      </c>
    </row>
    <row r="93" spans="15:27" x14ac:dyDescent="0.2">
      <c r="O93" s="33">
        <v>3</v>
      </c>
      <c r="P93" s="27" t="str">
        <f>_xll.qlPeriodEquivalent(P92&amp;"+"&amp;O93&amp;"M")</f>
        <v>19Y6M</v>
      </c>
      <c r="Q93" s="28">
        <f>_xll.qlCalendarAdvance(Calendar,SettlementDate,P93,"f",,Trigger)</f>
        <v>49401</v>
      </c>
      <c r="R93" s="28">
        <f>_xll.qlInterestRateIndexValueDate(Index,Q93,Trigger)</f>
        <v>49403</v>
      </c>
      <c r="S93" s="28">
        <f>_xll.qlInterestRateIndexMaturity(Index,R93,Trigger)</f>
        <v>49494</v>
      </c>
      <c r="T93" s="30">
        <f>_xll.qlIndexFixing($M$6,Q93,,InterestRatesTrigger)</f>
        <v>1.78690607282216E-2</v>
      </c>
      <c r="U93" s="30">
        <f>_xll.qlIndexFixing(Index,Q93,,InterestRatesTrigger)</f>
        <v>1.8396128677744907E-2</v>
      </c>
      <c r="V93" s="30">
        <f t="shared" si="14"/>
        <v>5.2706794952330632E-4</v>
      </c>
      <c r="W93" s="29">
        <f>_xll.qlDayCounterYearFraction(DayCounter,SettlementDate,R93,,,Trigger)</f>
        <v>19.788888888888888</v>
      </c>
      <c r="X93" s="29">
        <f>_xll.qlDayCounterYearFraction(DayCounter,R93,S93)</f>
        <v>0.25277777777777777</v>
      </c>
      <c r="Y93" s="29">
        <f>_xll.qlYieldTSDiscount(Currency&amp;"ON",R93)/(1+U93*X93)</f>
        <v>0.7672610145788763</v>
      </c>
      <c r="Z93" s="30">
        <f>_xll.qlTenorBasisValue(TenorBasis6M,R93,InterestRatesTrigger)</f>
        <v>5.8014857324944753E-4</v>
      </c>
      <c r="AA93" s="30">
        <f t="shared" si="15"/>
        <v>-5.3080623726141211E-5</v>
      </c>
    </row>
    <row r="94" spans="15:27" x14ac:dyDescent="0.2">
      <c r="O94" s="33">
        <v>3</v>
      </c>
      <c r="P94" s="27" t="str">
        <f>_xll.qlPeriodEquivalent(P93&amp;"+"&amp;O94&amp;"M")</f>
        <v>19Y9M</v>
      </c>
      <c r="Q94" s="28">
        <f>_xll.qlCalendarAdvance(Calendar,SettlementDate,P94,"f",,Trigger)</f>
        <v>49492</v>
      </c>
      <c r="R94" s="28">
        <f>_xll.qlInterestRateIndexValueDate(Index,Q94,Trigger)</f>
        <v>49494</v>
      </c>
      <c r="S94" s="28">
        <f>_xll.qlInterestRateIndexMaturity(Index,R94,Trigger)</f>
        <v>49586</v>
      </c>
      <c r="T94" s="30">
        <f>_xll.qlIndexFixing($M$6,Q94,,InterestRatesTrigger)</f>
        <v>1.769097857853141E-2</v>
      </c>
      <c r="U94" s="30">
        <f>_xll.qlIndexFixing(Index,Q94,,InterestRatesTrigger)</f>
        <v>1.8202847717064097E-2</v>
      </c>
      <c r="V94" s="30">
        <f t="shared" si="14"/>
        <v>5.1186913853268692E-4</v>
      </c>
      <c r="W94" s="29">
        <f>_xll.qlDayCounterYearFraction(DayCounter,SettlementDate,R94,,,Trigger)</f>
        <v>20.041666666666668</v>
      </c>
      <c r="X94" s="29">
        <f>_xll.qlDayCounterYearFraction(DayCounter,R94,S94)</f>
        <v>0.25555555555555554</v>
      </c>
      <c r="Y94" s="29">
        <f>_xll.qlYieldTSDiscount(Currency&amp;"ON",R94)/(1+U94*X94)</f>
        <v>0.76380965847426574</v>
      </c>
      <c r="Z94" s="30">
        <f>_xll.qlTenorBasisValue(TenorBasis6M,R94,InterestRatesTrigger)</f>
        <v>5.6792748149557776E-4</v>
      </c>
      <c r="AA94" s="30">
        <f t="shared" si="15"/>
        <v>-5.6058342962890832E-5</v>
      </c>
    </row>
    <row r="95" spans="15:27" x14ac:dyDescent="0.2">
      <c r="O95" s="33">
        <v>3</v>
      </c>
      <c r="P95" s="27" t="str">
        <f>_xll.qlPeriodEquivalent(P94&amp;"+"&amp;O95&amp;"M")</f>
        <v>20Y</v>
      </c>
      <c r="Q95" s="28">
        <f>_xll.qlCalendarAdvance(Calendar,SettlementDate,P95,"f",,Trigger)</f>
        <v>49584</v>
      </c>
      <c r="R95" s="28">
        <f>_xll.qlInterestRateIndexValueDate(Index,Q95,Trigger)</f>
        <v>49586</v>
      </c>
      <c r="S95" s="28">
        <f>_xll.qlInterestRateIndexMaturity(Index,R95,Trigger)</f>
        <v>49678</v>
      </c>
      <c r="T95" s="30">
        <f>_xll.qlIndexFixing($M$6,Q95,,InterestRatesTrigger)</f>
        <v>1.7510358051923088E-2</v>
      </c>
      <c r="U95" s="30">
        <f>_xll.qlIndexFixing(Index,Q95,,InterestRatesTrigger)</f>
        <v>1.8006762436473162E-2</v>
      </c>
      <c r="V95" s="30">
        <f t="shared" si="14"/>
        <v>4.9640438455007471E-4</v>
      </c>
      <c r="W95" s="29">
        <f>_xll.qlDayCounterYearFraction(DayCounter,SettlementDate,R95,,,Trigger)</f>
        <v>20.297222222222221</v>
      </c>
      <c r="X95" s="29">
        <f>_xll.qlDayCounterYearFraction(DayCounter,R95,S95)</f>
        <v>0.25555555555555554</v>
      </c>
      <c r="Y95" s="29">
        <f>_xll.qlYieldTSDiscount(Currency&amp;"ON",R95)/(1+U95*X95)</f>
        <v>0.76040992372395178</v>
      </c>
      <c r="Z95" s="30">
        <f>_xll.qlTenorBasisValue(TenorBasis6M,R95,InterestRatesTrigger)</f>
        <v>5.558977001717851E-4</v>
      </c>
      <c r="AA95" s="30">
        <f t="shared" si="15"/>
        <v>-5.9493315621710389E-5</v>
      </c>
    </row>
    <row r="96" spans="15:27" x14ac:dyDescent="0.2">
      <c r="O96" s="33">
        <v>3</v>
      </c>
      <c r="P96" s="27" t="str">
        <f>_xll.qlPeriodEquivalent(P95&amp;"+"&amp;O96&amp;"M")</f>
        <v>20Y3M</v>
      </c>
      <c r="Q96" s="28">
        <f>_xll.qlCalendarAdvance(Calendar,SettlementDate,P96,"f",,Trigger)</f>
        <v>49676</v>
      </c>
      <c r="R96" s="28">
        <f>_xll.qlInterestRateIndexValueDate(Index,Q96,Trigger)</f>
        <v>49678</v>
      </c>
      <c r="S96" s="28">
        <f>_xll.qlInterestRateIndexMaturity(Index,R96,Trigger)</f>
        <v>49769</v>
      </c>
      <c r="T96" s="30">
        <f>_xll.qlIndexFixing($M$6,Q96,,InterestRatesTrigger)</f>
        <v>1.7331059080638835E-2</v>
      </c>
      <c r="U96" s="30">
        <f>_xll.qlIndexFixing(Index,Q96,,InterestRatesTrigger)</f>
        <v>1.781265016257438E-2</v>
      </c>
      <c r="V96" s="30">
        <f t="shared" si="14"/>
        <v>4.8159108193554512E-4</v>
      </c>
      <c r="W96" s="29">
        <f>_xll.qlDayCounterYearFraction(DayCounter,SettlementDate,R96,,,Trigger)</f>
        <v>20.552777777777777</v>
      </c>
      <c r="X96" s="29">
        <f>_xll.qlDayCounterYearFraction(DayCounter,R96,S96)</f>
        <v>0.25277777777777777</v>
      </c>
      <c r="Y96" s="29">
        <f>_xll.qlYieldTSDiscount(Currency&amp;"ON",R96)/(1+U96*X96)</f>
        <v>0.75709702180230021</v>
      </c>
      <c r="Z96" s="30">
        <f>_xll.qlTenorBasisValue(TenorBasis6M,R96,InterestRatesTrigger)</f>
        <v>5.4418968400724466E-4</v>
      </c>
      <c r="AA96" s="30">
        <f t="shared" si="15"/>
        <v>-6.2598602071699543E-5</v>
      </c>
    </row>
    <row r="97" spans="15:27" x14ac:dyDescent="0.2">
      <c r="O97" s="33">
        <v>3</v>
      </c>
      <c r="P97" s="27" t="str">
        <f>_xll.qlPeriodEquivalent(P96&amp;"+"&amp;O97&amp;"M")</f>
        <v>20Y6M</v>
      </c>
      <c r="Q97" s="28">
        <f>_xll.qlCalendarAdvance(Calendar,SettlementDate,P97,"f",,Trigger)</f>
        <v>49767</v>
      </c>
      <c r="R97" s="28">
        <f>_xll.qlInterestRateIndexValueDate(Index,Q97,Trigger)</f>
        <v>49769</v>
      </c>
      <c r="S97" s="28">
        <f>_xll.qlInterestRateIndexMaturity(Index,R97,Trigger)</f>
        <v>49860</v>
      </c>
      <c r="T97" s="30">
        <f>_xll.qlIndexFixing($M$6,Q97,,InterestRatesTrigger)</f>
        <v>1.7154796398969122E-2</v>
      </c>
      <c r="U97" s="30">
        <f>_xll.qlIndexFixing(Index,Q97,,InterestRatesTrigger)</f>
        <v>1.7622468884579072E-2</v>
      </c>
      <c r="V97" s="30">
        <f t="shared" si="14"/>
        <v>4.6767248560995039E-4</v>
      </c>
      <c r="W97" s="29">
        <f>_xll.qlDayCounterYearFraction(DayCounter,SettlementDate,R97,,,Trigger)</f>
        <v>20.805555555555557</v>
      </c>
      <c r="X97" s="29">
        <f>_xll.qlDayCounterYearFraction(DayCounter,R97,S97)</f>
        <v>0.25277777777777777</v>
      </c>
      <c r="Y97" s="29">
        <f>_xll.qlYieldTSDiscount(Currency&amp;"ON",R97)/(1+U97*X97)</f>
        <v>0.75383079446768686</v>
      </c>
      <c r="Z97" s="30">
        <f>_xll.qlTenorBasisValue(TenorBasis6M,R97,InterestRatesTrigger)</f>
        <v>5.3291983243187405E-4</v>
      </c>
      <c r="AA97" s="30">
        <f t="shared" si="15"/>
        <v>-6.5247346821923659E-5</v>
      </c>
    </row>
    <row r="98" spans="15:27" x14ac:dyDescent="0.2">
      <c r="O98" s="33">
        <v>3</v>
      </c>
      <c r="P98" s="27" t="str">
        <f>_xll.qlPeriodEquivalent(P97&amp;"+"&amp;O98&amp;"M")</f>
        <v>20Y9M</v>
      </c>
      <c r="Q98" s="28">
        <f>_xll.qlCalendarAdvance(Calendar,SettlementDate,P98,"f",,Trigger)</f>
        <v>49858</v>
      </c>
      <c r="R98" s="28">
        <f>_xll.qlInterestRateIndexValueDate(Index,Q98,Trigger)</f>
        <v>49860</v>
      </c>
      <c r="S98" s="28">
        <f>_xll.qlInterestRateIndexMaturity(Index,R98,Trigger)</f>
        <v>49954</v>
      </c>
      <c r="T98" s="30">
        <f>_xll.qlIndexFixing($M$6,Q98,,InterestRatesTrigger)</f>
        <v>1.6979092962889908E-2</v>
      </c>
      <c r="U98" s="30">
        <f>_xll.qlIndexFixing(Index,Q98,,InterestRatesTrigger)</f>
        <v>1.7433525377572825E-2</v>
      </c>
      <c r="V98" s="30">
        <f t="shared" si="14"/>
        <v>4.5443241468291762E-4</v>
      </c>
      <c r="W98" s="29">
        <f>_xll.qlDayCounterYearFraction(DayCounter,SettlementDate,R98,,,Trigger)</f>
        <v>21.058333333333334</v>
      </c>
      <c r="X98" s="29">
        <f>_xll.qlDayCounterYearFraction(DayCounter,R98,S98)</f>
        <v>0.26111111111111113</v>
      </c>
      <c r="Y98" s="29">
        <f>_xll.qlYieldTSDiscount(Currency&amp;"ON",R98)/(1+U98*X98)</f>
        <v>0.7505031696150477</v>
      </c>
      <c r="Z98" s="30">
        <f>_xll.qlTenorBasisValue(TenorBasis6M,R98,InterestRatesTrigger)</f>
        <v>5.2195351782670168E-4</v>
      </c>
      <c r="AA98" s="30">
        <f t="shared" si="15"/>
        <v>-6.7521103143784061E-5</v>
      </c>
    </row>
    <row r="99" spans="15:27" x14ac:dyDescent="0.2">
      <c r="O99" s="33">
        <v>3</v>
      </c>
      <c r="P99" s="27" t="str">
        <f>_xll.qlPeriodEquivalent(P98&amp;"+"&amp;O99&amp;"M")</f>
        <v>21Y</v>
      </c>
      <c r="Q99" s="28">
        <f>_xll.qlCalendarAdvance(Calendar,SettlementDate,P99,"f",,Trigger)</f>
        <v>49950</v>
      </c>
      <c r="R99" s="28">
        <f>_xll.qlInterestRateIndexValueDate(Index,Q99,Trigger)</f>
        <v>49954</v>
      </c>
      <c r="S99" s="28">
        <f>_xll.qlInterestRateIndexMaturity(Index,R99,Trigger)</f>
        <v>50046</v>
      </c>
      <c r="T99" s="30">
        <f>_xll.qlIndexFixing($M$6,Q99,,InterestRatesTrigger)</f>
        <v>1.6803309867101851E-2</v>
      </c>
      <c r="U99" s="30">
        <f>_xll.qlIndexFixing(Index,Q99,,InterestRatesTrigger)</f>
        <v>1.7245206621239184E-2</v>
      </c>
      <c r="V99" s="30">
        <f t="shared" si="14"/>
        <v>4.4189675413733309E-4</v>
      </c>
      <c r="W99" s="29">
        <f>_xll.qlDayCounterYearFraction(DayCounter,SettlementDate,R99,,,Trigger)</f>
        <v>21.319444444444443</v>
      </c>
      <c r="X99" s="29">
        <f>_xll.qlDayCounterYearFraction(DayCounter,R99,S99)</f>
        <v>0.25555555555555554</v>
      </c>
      <c r="Y99" s="29">
        <f>_xll.qlYieldTSDiscount(Currency&amp;"ON",R99)/(1+U99*X99)</f>
        <v>0.74729840422426852</v>
      </c>
      <c r="Z99" s="30">
        <f>_xll.qlTenorBasisValue(TenorBasis6M,R99,InterestRatesTrigger)</f>
        <v>5.1093832226507937E-4</v>
      </c>
      <c r="AA99" s="30">
        <f t="shared" si="15"/>
        <v>-6.9041568127746283E-5</v>
      </c>
    </row>
    <row r="100" spans="15:27" x14ac:dyDescent="0.2">
      <c r="O100" s="33">
        <v>3</v>
      </c>
      <c r="P100" s="27" t="str">
        <f>_xll.qlPeriodEquivalent(P99&amp;"+"&amp;O100&amp;"M")</f>
        <v>21Y3M</v>
      </c>
      <c r="Q100" s="28">
        <f>_xll.qlCalendarAdvance(Calendar,SettlementDate,P100,"f",,Trigger)</f>
        <v>50042</v>
      </c>
      <c r="R100" s="28">
        <f>_xll.qlInterestRateIndexValueDate(Index,Q100,Trigger)</f>
        <v>50046</v>
      </c>
      <c r="S100" s="28">
        <f>_xll.qlInterestRateIndexMaturity(Index,R100,Trigger)</f>
        <v>50137</v>
      </c>
      <c r="T100" s="30">
        <f>_xll.qlIndexFixing($M$6,Q100,,InterestRatesTrigger)</f>
        <v>1.6634190495395586E-2</v>
      </c>
      <c r="U100" s="30">
        <f>_xll.qlIndexFixing(Index,Q100,,InterestRatesTrigger)</f>
        <v>1.7064681920535955E-2</v>
      </c>
      <c r="V100" s="30">
        <f t="shared" si="14"/>
        <v>4.3049142514036895E-4</v>
      </c>
      <c r="W100" s="29">
        <f>_xll.qlDayCounterYearFraction(DayCounter,SettlementDate,R100,,,Trigger)</f>
        <v>21.574999999999999</v>
      </c>
      <c r="X100" s="29">
        <f>_xll.qlDayCounterYearFraction(DayCounter,R100,S100)</f>
        <v>0.25277777777777777</v>
      </c>
      <c r="Y100" s="29">
        <f>_xll.qlYieldTSDiscount(Currency&amp;"ON",R100)/(1+U100*X100)</f>
        <v>0.74417239369005883</v>
      </c>
      <c r="Z100" s="30">
        <f>_xll.qlTenorBasisValue(TenorBasis6M,R100,InterestRatesTrigger)</f>
        <v>5.0045909542918644E-4</v>
      </c>
      <c r="AA100" s="30">
        <f t="shared" si="15"/>
        <v>-6.9967670288817495E-5</v>
      </c>
    </row>
    <row r="101" spans="15:27" x14ac:dyDescent="0.2">
      <c r="O101" s="33">
        <v>3</v>
      </c>
      <c r="P101" s="27" t="str">
        <f>_xll.qlPeriodEquivalent(P100&amp;"+"&amp;O101&amp;"M")</f>
        <v>21Y6M</v>
      </c>
      <c r="Q101" s="28">
        <f>_xll.qlCalendarAdvance(Calendar,SettlementDate,P101,"f",,Trigger)</f>
        <v>50132</v>
      </c>
      <c r="R101" s="28">
        <f>_xll.qlInterestRateIndexValueDate(Index,Q101,Trigger)</f>
        <v>50138</v>
      </c>
      <c r="S101" s="28">
        <f>_xll.qlInterestRateIndexMaturity(Index,R101,Trigger)</f>
        <v>50229</v>
      </c>
      <c r="T101" s="30">
        <f>_xll.qlIndexFixing($M$6,Q101,,InterestRatesTrigger)</f>
        <v>1.6468556312546269E-2</v>
      </c>
      <c r="U101" s="30">
        <f>_xll.qlIndexFixing(Index,Q101,,InterestRatesTrigger)</f>
        <v>1.6888541077413406E-2</v>
      </c>
      <c r="V101" s="30">
        <f t="shared" si="14"/>
        <v>4.1998476486713662E-4</v>
      </c>
      <c r="W101" s="29">
        <f>_xll.qlDayCounterYearFraction(DayCounter,SettlementDate,R101,,,Trigger)</f>
        <v>21.830555555555556</v>
      </c>
      <c r="X101" s="29">
        <f>_xll.qlDayCounterYearFraction(DayCounter,R101,S101)</f>
        <v>0.25277777777777777</v>
      </c>
      <c r="Y101" s="29">
        <f>_xll.qlYieldTSDiscount(Currency&amp;"ON",R101)/(1+U101*X101)</f>
        <v>0.74105528977828794</v>
      </c>
      <c r="Z101" s="30">
        <f>_xll.qlTenorBasisValue(TenorBasis6M,R101,InterestRatesTrigger)</f>
        <v>4.9027218793321645E-4</v>
      </c>
      <c r="AA101" s="30">
        <f t="shared" si="15"/>
        <v>-7.0287423066079822E-5</v>
      </c>
    </row>
    <row r="102" spans="15:27" x14ac:dyDescent="0.2">
      <c r="O102" s="33">
        <v>3</v>
      </c>
      <c r="P102" s="27" t="str">
        <f>_xll.qlPeriodEquivalent(P101&amp;"+"&amp;O102&amp;"M")</f>
        <v>21Y9M</v>
      </c>
      <c r="Q102" s="28">
        <f>_xll.qlCalendarAdvance(Calendar,SettlementDate,P102,"f",,Trigger)</f>
        <v>50223</v>
      </c>
      <c r="R102" s="28">
        <f>_xll.qlInterestRateIndexValueDate(Index,Q102,Trigger)</f>
        <v>50227</v>
      </c>
      <c r="S102" s="28">
        <f>_xll.qlInterestRateIndexMaturity(Index,R102,Trigger)</f>
        <v>50319</v>
      </c>
      <c r="T102" s="30">
        <f>_xll.qlIndexFixing($M$6,Q102,,InterestRatesTrigger)</f>
        <v>1.6312216811283389E-2</v>
      </c>
      <c r="U102" s="30">
        <f>_xll.qlIndexFixing(Index,Q102,,InterestRatesTrigger)</f>
        <v>1.6722936506213381E-2</v>
      </c>
      <c r="V102" s="30">
        <f t="shared" si="14"/>
        <v>4.1071969492999238E-4</v>
      </c>
      <c r="W102" s="29">
        <f>_xll.qlDayCounterYearFraction(DayCounter,SettlementDate,R102,,,Trigger)</f>
        <v>22.077777777777779</v>
      </c>
      <c r="X102" s="29">
        <f>_xll.qlDayCounterYearFraction(DayCounter,R102,S102)</f>
        <v>0.25555555555555554</v>
      </c>
      <c r="Y102" s="29">
        <f>_xll.qlYieldTSDiscount(Currency&amp;"ON",R102)/(1+U102*X102)</f>
        <v>0.7380468375617526</v>
      </c>
      <c r="Z102" s="30">
        <f>_xll.qlTenorBasisValue(TenorBasis6M,R102,InterestRatesTrigger)</f>
        <v>4.80689970684996E-4</v>
      </c>
      <c r="AA102" s="30">
        <f t="shared" si="15"/>
        <v>-6.9970275755003612E-5</v>
      </c>
    </row>
    <row r="103" spans="15:27" x14ac:dyDescent="0.2">
      <c r="O103" s="33">
        <v>3</v>
      </c>
      <c r="P103" s="27" t="str">
        <f>_xll.qlPeriodEquivalent(P102&amp;"+"&amp;O103&amp;"M")</f>
        <v>22Y</v>
      </c>
      <c r="Q103" s="28">
        <f>_xll.qlCalendarAdvance(Calendar,SettlementDate,P103,"f",,Trigger)</f>
        <v>50315</v>
      </c>
      <c r="R103" s="28">
        <f>_xll.qlInterestRateIndexValueDate(Index,Q103,Trigger)</f>
        <v>50319</v>
      </c>
      <c r="S103" s="28">
        <f>_xll.qlInterestRateIndexMaturity(Index,R103,Trigger)</f>
        <v>50411</v>
      </c>
      <c r="T103" s="30">
        <f>_xll.qlIndexFixing($M$6,Q103,,InterestRatesTrigger)</f>
        <v>1.6156238853562266E-2</v>
      </c>
      <c r="U103" s="30">
        <f>_xll.qlIndexFixing(Index,Q103,,InterestRatesTrigger)</f>
        <v>1.6558410013002338E-2</v>
      </c>
      <c r="V103" s="30">
        <f t="shared" si="14"/>
        <v>4.0217115944007203E-4</v>
      </c>
      <c r="W103" s="29">
        <f>_xll.qlDayCounterYearFraction(DayCounter,SettlementDate,R103,,,Trigger)</f>
        <v>22.333333333333332</v>
      </c>
      <c r="X103" s="29">
        <f>_xll.qlDayCounterYearFraction(DayCounter,R103,S103)</f>
        <v>0.25555555555555554</v>
      </c>
      <c r="Y103" s="29">
        <f>_xll.qlYieldTSDiscount(Currency&amp;"ON",R103)/(1+U103*X103)</f>
        <v>0.73501370328531246</v>
      </c>
      <c r="Z103" s="30">
        <f>_xll.qlTenorBasisValue(TenorBasis6M,R103,InterestRatesTrigger)</f>
        <v>4.7106058083478829E-4</v>
      </c>
      <c r="AA103" s="30">
        <f t="shared" si="15"/>
        <v>-6.8889421394716251E-5</v>
      </c>
    </row>
    <row r="104" spans="15:27" x14ac:dyDescent="0.2">
      <c r="O104" s="33">
        <v>3</v>
      </c>
      <c r="P104" s="27" t="str">
        <f>_xll.qlPeriodEquivalent(P103&amp;"+"&amp;O104&amp;"M")</f>
        <v>22Y3M</v>
      </c>
      <c r="Q104" s="28">
        <f>_xll.qlCalendarAdvance(Calendar,SettlementDate,P104,"f",,Trigger)</f>
        <v>50409</v>
      </c>
      <c r="R104" s="28">
        <f>_xll.qlInterestRateIndexValueDate(Index,Q104,Trigger)</f>
        <v>50411</v>
      </c>
      <c r="S104" s="28">
        <f>_xll.qlInterestRateIndexMaturity(Index,R104,Trigger)</f>
        <v>50501</v>
      </c>
      <c r="T104" s="30">
        <f>_xll.qlIndexFixing($M$6,Q104,,InterestRatesTrigger)</f>
        <v>1.6006911846401017E-2</v>
      </c>
      <c r="U104" s="30">
        <f>_xll.qlIndexFixing(Index,Q104,,InterestRatesTrigger)</f>
        <v>1.6401616906568606E-2</v>
      </c>
      <c r="V104" s="30">
        <f t="shared" si="14"/>
        <v>3.9470506016758833E-4</v>
      </c>
      <c r="W104" s="29">
        <f>_xll.qlDayCounterYearFraction(DayCounter,SettlementDate,R104,,,Trigger)</f>
        <v>22.588888888888889</v>
      </c>
      <c r="X104" s="29">
        <f>_xll.qlDayCounterYearFraction(DayCounter,R104,S104)</f>
        <v>0.25</v>
      </c>
      <c r="Y104" s="29">
        <f>_xll.qlYieldTSDiscount(Currency&amp;"ON",R104)/(1+U104*X104)</f>
        <v>0.73208708225790553</v>
      </c>
      <c r="Z104" s="30">
        <f>_xll.qlTenorBasisValue(TenorBasis6M,R104,InterestRatesTrigger)</f>
        <v>4.6170561780626901E-4</v>
      </c>
      <c r="AA104" s="30">
        <f t="shared" si="15"/>
        <v>-6.7000557638680677E-5</v>
      </c>
    </row>
    <row r="105" spans="15:27" x14ac:dyDescent="0.2">
      <c r="O105" s="33">
        <v>3</v>
      </c>
      <c r="P105" s="27" t="str">
        <f>_xll.qlPeriodEquivalent(P104&amp;"+"&amp;O105&amp;"M")</f>
        <v>22Y6M</v>
      </c>
      <c r="Q105" s="28">
        <f>_xll.qlCalendarAdvance(Calendar,SettlementDate,P105,"f",,Trigger)</f>
        <v>50497</v>
      </c>
      <c r="R105" s="28">
        <f>_xll.qlInterestRateIndexValueDate(Index,Q105,Trigger)</f>
        <v>50501</v>
      </c>
      <c r="S105" s="28">
        <f>_xll.qlInterestRateIndexMaturity(Index,R105,Trigger)</f>
        <v>50592</v>
      </c>
      <c r="T105" s="30">
        <f>_xll.qlIndexFixing($M$6,Q105,,InterestRatesTrigger)</f>
        <v>1.5865656757984563E-2</v>
      </c>
      <c r="U105" s="30">
        <f>_xll.qlIndexFixing(Index,Q105,,InterestRatesTrigger)</f>
        <v>1.6254038989489624E-2</v>
      </c>
      <c r="V105" s="30">
        <f t="shared" si="14"/>
        <v>3.8838223150506127E-4</v>
      </c>
      <c r="W105" s="29">
        <f>_xll.qlDayCounterYearFraction(DayCounter,SettlementDate,R105,,,Trigger)</f>
        <v>22.838888888888889</v>
      </c>
      <c r="X105" s="29">
        <f>_xll.qlDayCounterYearFraction(DayCounter,R105,S105)</f>
        <v>0.25277777777777777</v>
      </c>
      <c r="Y105" s="29">
        <f>_xll.qlYieldTSDiscount(Currency&amp;"ON",R105)/(1+U105*X105)</f>
        <v>0.72916315058075709</v>
      </c>
      <c r="Z105" s="30">
        <f>_xll.qlTenorBasisValue(TenorBasis6M,R105,InterestRatesTrigger)</f>
        <v>4.5281377998988446E-4</v>
      </c>
      <c r="AA105" s="30">
        <f t="shared" si="15"/>
        <v>-6.44315484848232E-5</v>
      </c>
    </row>
    <row r="106" spans="15:27" x14ac:dyDescent="0.2">
      <c r="O106" s="33">
        <v>3</v>
      </c>
      <c r="P106" s="27" t="str">
        <f>_xll.qlPeriodEquivalent(P105&amp;"+"&amp;O106&amp;"M")</f>
        <v>22Y9M</v>
      </c>
      <c r="Q106" s="28">
        <f>_xll.qlCalendarAdvance(Calendar,SettlementDate,P106,"f",,Trigger)</f>
        <v>50588</v>
      </c>
      <c r="R106" s="28">
        <f>_xll.qlInterestRateIndexValueDate(Index,Q106,Trigger)</f>
        <v>50592</v>
      </c>
      <c r="S106" s="28">
        <f>_xll.qlInterestRateIndexMaturity(Index,R106,Trigger)</f>
        <v>50684</v>
      </c>
      <c r="T106" s="30">
        <f>_xll.qlIndexFixing($M$6,Q106,,InterestRatesTrigger)</f>
        <v>1.5729650081382617E-2</v>
      </c>
      <c r="U106" s="30">
        <f>_xll.qlIndexFixing(Index,Q106,,InterestRatesTrigger)</f>
        <v>1.6112732489596913E-2</v>
      </c>
      <c r="V106" s="30">
        <f t="shared" si="14"/>
        <v>3.8308240821429557E-4</v>
      </c>
      <c r="W106" s="29">
        <f>_xll.qlDayCounterYearFraction(DayCounter,SettlementDate,R106,,,Trigger)</f>
        <v>23.091666666666665</v>
      </c>
      <c r="X106" s="29">
        <f>_xll.qlDayCounterYearFraction(DayCounter,R106,S106)</f>
        <v>0.25555555555555554</v>
      </c>
      <c r="Y106" s="29">
        <f>_xll.qlYieldTSDiscount(Currency&amp;"ON",R106)/(1+U106*X106)</f>
        <v>0.72624399611893076</v>
      </c>
      <c r="Z106" s="30">
        <f>_xll.qlTenorBasisValue(TenorBasis6M,R106,InterestRatesTrigger)</f>
        <v>4.4407856520690102E-4</v>
      </c>
      <c r="AA106" s="30">
        <f t="shared" si="15"/>
        <v>-6.0996156992605449E-5</v>
      </c>
    </row>
    <row r="107" spans="15:27" x14ac:dyDescent="0.2">
      <c r="O107" s="33">
        <v>3</v>
      </c>
      <c r="P107" s="27" t="str">
        <f>_xll.qlPeriodEquivalent(P106&amp;"+"&amp;O107&amp;"M")</f>
        <v>23Y</v>
      </c>
      <c r="Q107" s="28">
        <f>_xll.qlCalendarAdvance(Calendar,SettlementDate,P107,"f",,Trigger)</f>
        <v>50682</v>
      </c>
      <c r="R107" s="28">
        <f>_xll.qlInterestRateIndexValueDate(Index,Q107,Trigger)</f>
        <v>50684</v>
      </c>
      <c r="S107" s="28">
        <f>_xll.qlInterestRateIndexMaturity(Index,R107,Trigger)</f>
        <v>50776</v>
      </c>
      <c r="T107" s="30">
        <f>_xll.qlIndexFixing($M$6,Q107,,InterestRatesTrigger)</f>
        <v>1.5600044296468775E-2</v>
      </c>
      <c r="U107" s="30">
        <f>_xll.qlIndexFixing(Index,Q107,,InterestRatesTrigger)</f>
        <v>1.5978922509015815E-2</v>
      </c>
      <c r="V107" s="30">
        <f t="shared" si="14"/>
        <v>3.7887821254703989E-4</v>
      </c>
      <c r="W107" s="29">
        <f>_xll.qlDayCounterYearFraction(DayCounter,SettlementDate,R107,,,Trigger)</f>
        <v>23.347222222222221</v>
      </c>
      <c r="X107" s="29">
        <f>_xll.qlDayCounterYearFraction(DayCounter,R107,S107)</f>
        <v>0.25555555555555554</v>
      </c>
      <c r="Y107" s="29">
        <f>_xll.qlYieldTSDiscount(Currency&amp;"ON",R107)/(1+U107*X107)</f>
        <v>0.72336096365989189</v>
      </c>
      <c r="Z107" s="30">
        <f>_xll.qlTenorBasisValue(TenorBasis6M,R107,InterestRatesTrigger)</f>
        <v>4.3550256238615191E-4</v>
      </c>
      <c r="AA107" s="30">
        <f t="shared" si="15"/>
        <v>-5.6624349839112017E-5</v>
      </c>
    </row>
    <row r="108" spans="15:27" x14ac:dyDescent="0.2">
      <c r="O108" s="33">
        <v>3</v>
      </c>
      <c r="P108" s="27" t="str">
        <f>_xll.qlPeriodEquivalent(P107&amp;"+"&amp;O108&amp;"M")</f>
        <v>23Y3M</v>
      </c>
      <c r="Q108" s="28">
        <f>_xll.qlCalendarAdvance(Calendar,SettlementDate,P108,"f",,Trigger)</f>
        <v>50773</v>
      </c>
      <c r="R108" s="28">
        <f>_xll.qlInterestRateIndexValueDate(Index,Q108,Trigger)</f>
        <v>50775</v>
      </c>
      <c r="S108" s="28">
        <f>_xll.qlInterestRateIndexMaturity(Index,R108,Trigger)</f>
        <v>50865</v>
      </c>
      <c r="T108" s="30">
        <f>_xll.qlIndexFixing($M$6,Q108,,InterestRatesTrigger)</f>
        <v>1.5480418497575421E-2</v>
      </c>
      <c r="U108" s="30">
        <f>_xll.qlIndexFixing(Index,Q108,,InterestRatesTrigger)</f>
        <v>1.5856291054026528E-2</v>
      </c>
      <c r="V108" s="30">
        <f t="shared" si="14"/>
        <v>3.7587255645110673E-4</v>
      </c>
      <c r="W108" s="29">
        <f>_xll.qlDayCounterYearFraction(DayCounter,SettlementDate,R108,,,Trigger)</f>
        <v>23.6</v>
      </c>
      <c r="X108" s="29">
        <f>_xll.qlDayCounterYearFraction(DayCounter,R108,S108)</f>
        <v>0.25</v>
      </c>
      <c r="Y108" s="29">
        <f>_xll.qlYieldTSDiscount(Currency&amp;"ON",R108)/(1+U108*X108)</f>
        <v>0.720605356522935</v>
      </c>
      <c r="Z108" s="30">
        <f>_xll.qlTenorBasisValue(TenorBasis6M,R108,InterestRatesTrigger)</f>
        <v>4.2726640677885391E-4</v>
      </c>
      <c r="AA108" s="30">
        <f t="shared" si="15"/>
        <v>-5.1393850327747181E-5</v>
      </c>
    </row>
    <row r="109" spans="15:27" x14ac:dyDescent="0.2">
      <c r="O109" s="33">
        <v>3</v>
      </c>
      <c r="P109" s="27" t="str">
        <f>_xll.qlPeriodEquivalent(P108&amp;"+"&amp;O109&amp;"M")</f>
        <v>23Y6M</v>
      </c>
      <c r="Q109" s="28">
        <f>_xll.qlCalendarAdvance(Calendar,SettlementDate,P109,"f",,Trigger)</f>
        <v>50864</v>
      </c>
      <c r="R109" s="28">
        <f>_xll.qlInterestRateIndexValueDate(Index,Q109,Trigger)</f>
        <v>50866</v>
      </c>
      <c r="S109" s="28">
        <f>_xll.qlInterestRateIndexMaturity(Index,R109,Trigger)</f>
        <v>50957</v>
      </c>
      <c r="T109" s="30">
        <f>_xll.qlIndexFixing($M$6,Q109,,InterestRatesTrigger)</f>
        <v>1.5368359072835373E-2</v>
      </c>
      <c r="U109" s="30">
        <f>_xll.qlIndexFixing(Index,Q109,,InterestRatesTrigger)</f>
        <v>1.5742420131942134E-2</v>
      </c>
      <c r="V109" s="30">
        <f t="shared" si="14"/>
        <v>3.7406105910676134E-4</v>
      </c>
      <c r="W109" s="29">
        <f>_xll.qlDayCounterYearFraction(DayCounter,SettlementDate,R109,,,Trigger)</f>
        <v>23.852777777777778</v>
      </c>
      <c r="X109" s="29">
        <f>_xll.qlDayCounterYearFraction(DayCounter,R109,S109)</f>
        <v>0.25277777777777777</v>
      </c>
      <c r="Y109" s="29">
        <f>_xll.qlYieldTSDiscount(Currency&amp;"ON",R109)/(1+U109*X109)</f>
        <v>0.71778568553484967</v>
      </c>
      <c r="Z109" s="30">
        <f>_xll.qlTenorBasisValue(TenorBasis6M,R109,InterestRatesTrigger)</f>
        <v>4.1926980828529205E-4</v>
      </c>
      <c r="AA109" s="30">
        <f t="shared" si="15"/>
        <v>-4.5208749178530714E-5</v>
      </c>
    </row>
    <row r="110" spans="15:27" x14ac:dyDescent="0.2">
      <c r="O110" s="33">
        <v>3</v>
      </c>
      <c r="P110" s="27" t="str">
        <f>_xll.qlPeriodEquivalent(P109&amp;"+"&amp;O110&amp;"M")</f>
        <v>23Y9M</v>
      </c>
      <c r="Q110" s="28">
        <f>_xll.qlCalendarAdvance(Calendar,SettlementDate,P110,"f",,Trigger)</f>
        <v>50955</v>
      </c>
      <c r="R110" s="28">
        <f>_xll.qlInterestRateIndexValueDate(Index,Q110,Trigger)</f>
        <v>50957</v>
      </c>
      <c r="S110" s="28">
        <f>_xll.qlInterestRateIndexMaturity(Index,R110,Trigger)</f>
        <v>51049</v>
      </c>
      <c r="T110" s="30">
        <f>_xll.qlIndexFixing($M$6,Q110,,InterestRatesTrigger)</f>
        <v>1.5265461570199798E-2</v>
      </c>
      <c r="U110" s="30">
        <f>_xll.qlIndexFixing(Index,Q110,,InterestRatesTrigger)</f>
        <v>1.5638945598586623E-2</v>
      </c>
      <c r="V110" s="30">
        <f t="shared" si="14"/>
        <v>3.7348402838682446E-4</v>
      </c>
      <c r="W110" s="29">
        <f>_xll.qlDayCounterYearFraction(DayCounter,SettlementDate,R110,,,Trigger)</f>
        <v>24.105555555555554</v>
      </c>
      <c r="X110" s="29">
        <f>_xll.qlDayCounterYearFraction(DayCounter,R110,S110)</f>
        <v>0.25555555555555554</v>
      </c>
      <c r="Y110" s="29">
        <f>_xll.qlYieldTSDiscount(Currency&amp;"ON",R110)/(1+U110*X110)</f>
        <v>0.71499572682119394</v>
      </c>
      <c r="Z110" s="30">
        <f>_xll.qlTenorBasisValue(TenorBasis6M,R110,InterestRatesTrigger)</f>
        <v>4.1150711206774059E-4</v>
      </c>
      <c r="AA110" s="30">
        <f t="shared" si="15"/>
        <v>-3.8023083680916131E-5</v>
      </c>
    </row>
    <row r="111" spans="15:27" x14ac:dyDescent="0.2">
      <c r="O111" s="33">
        <v>3</v>
      </c>
      <c r="P111" s="27" t="str">
        <f>_xll.qlPeriodEquivalent(P110&amp;"+"&amp;O111&amp;"M")</f>
        <v>24Y</v>
      </c>
      <c r="Q111" s="28">
        <f>_xll.qlCalendarAdvance(Calendar,SettlementDate,P111,"f",,Trigger)</f>
        <v>51046</v>
      </c>
      <c r="R111" s="28">
        <f>_xll.qlInterestRateIndexValueDate(Index,Q111,Trigger)</f>
        <v>51048</v>
      </c>
      <c r="S111" s="28">
        <f>_xll.qlInterestRateIndexMaturity(Index,R111,Trigger)</f>
        <v>51140</v>
      </c>
      <c r="T111" s="30">
        <f>_xll.qlIndexFixing($M$6,Q111,,InterestRatesTrigger)</f>
        <v>1.5172460916385265E-2</v>
      </c>
      <c r="U111" s="30">
        <f>_xll.qlIndexFixing(Index,Q111,,InterestRatesTrigger)</f>
        <v>1.5546612122649383E-2</v>
      </c>
      <c r="V111" s="30">
        <f t="shared" si="14"/>
        <v>3.7415120626411828E-4</v>
      </c>
      <c r="W111" s="29">
        <f>_xll.qlDayCounterYearFraction(DayCounter,SettlementDate,R111,,,Trigger)</f>
        <v>24.358333333333334</v>
      </c>
      <c r="X111" s="29">
        <f>_xll.qlDayCounterYearFraction(DayCounter,R111,S111)</f>
        <v>0.25555555555555554</v>
      </c>
      <c r="Y111" s="29">
        <f>_xll.qlYieldTSDiscount(Currency&amp;"ON",R111)/(1+U111*X111)</f>
        <v>0.7122640315534563</v>
      </c>
      <c r="Z111" s="30">
        <f>_xll.qlTenorBasisValue(TenorBasis6M,R111,InterestRatesTrigger)</f>
        <v>4.039727182359726E-4</v>
      </c>
      <c r="AA111" s="30">
        <f t="shared" si="15"/>
        <v>-2.9821511971854313E-5</v>
      </c>
    </row>
    <row r="112" spans="15:27" x14ac:dyDescent="0.2">
      <c r="O112" s="33">
        <v>3</v>
      </c>
      <c r="P112" s="27" t="str">
        <f>_xll.qlPeriodEquivalent(P111&amp;"+"&amp;O112&amp;"M")</f>
        <v>24Y3M</v>
      </c>
      <c r="Q112" s="28">
        <f>_xll.qlCalendarAdvance(Calendar,SettlementDate,P112,"f",,Trigger)</f>
        <v>51137</v>
      </c>
      <c r="R112" s="28">
        <f>_xll.qlInterestRateIndexValueDate(Index,Q112,Trigger)</f>
        <v>51139</v>
      </c>
      <c r="S112" s="28">
        <f>_xll.qlInterestRateIndexMaturity(Index,R112,Trigger)</f>
        <v>51230</v>
      </c>
      <c r="T112" s="30">
        <f>_xll.qlIndexFixing($M$6,Q112,,InterestRatesTrigger)</f>
        <v>1.5089773375875866E-2</v>
      </c>
      <c r="U112" s="30">
        <f>_xll.qlIndexFixing(Index,Q112,,InterestRatesTrigger)</f>
        <v>1.5465848458091796E-2</v>
      </c>
      <c r="V112" s="30">
        <f t="shared" si="14"/>
        <v>3.7607508221593026E-4</v>
      </c>
      <c r="W112" s="29">
        <f>_xll.qlDayCounterYearFraction(DayCounter,SettlementDate,R112,,,Trigger)</f>
        <v>24.611111111111111</v>
      </c>
      <c r="X112" s="29">
        <f>_xll.qlDayCounterYearFraction(DayCounter,R112,S112)</f>
        <v>0.25277777777777777</v>
      </c>
      <c r="Y112" s="29">
        <f>_xll.qlYieldTSDiscount(Currency&amp;"ON",R112)/(1+U112*X112)</f>
        <v>0.70958767366785935</v>
      </c>
      <c r="Z112" s="30">
        <f>_xll.qlTenorBasisValue(TenorBasis6M,R112,InterestRatesTrigger)</f>
        <v>3.9666108710205569E-4</v>
      </c>
      <c r="AA112" s="30">
        <f t="shared" si="15"/>
        <v>-2.0586004886125422E-5</v>
      </c>
    </row>
    <row r="113" spans="15:27" x14ac:dyDescent="0.2">
      <c r="O113" s="33">
        <v>3</v>
      </c>
      <c r="P113" s="27" t="str">
        <f>_xll.qlPeriodEquivalent(P112&amp;"+"&amp;O113&amp;"M")</f>
        <v>24Y6M</v>
      </c>
      <c r="Q113" s="28">
        <f>_xll.qlCalendarAdvance(Calendar,SettlementDate,P113,"f",,Trigger)</f>
        <v>51229</v>
      </c>
      <c r="R113" s="28">
        <f>_xll.qlInterestRateIndexValueDate(Index,Q113,Trigger)</f>
        <v>51231</v>
      </c>
      <c r="S113" s="28">
        <f>_xll.qlInterestRateIndexMaturity(Index,R113,Trigger)</f>
        <v>51322</v>
      </c>
      <c r="T113" s="30">
        <f>_xll.qlIndexFixing($M$6,Q113,,InterestRatesTrigger)</f>
        <v>1.5016980131992227E-2</v>
      </c>
      <c r="U113" s="30">
        <f>_xll.qlIndexFixing(Index,Q113,,InterestRatesTrigger)</f>
        <v>1.5396368028529922E-2</v>
      </c>
      <c r="V113" s="30">
        <f t="shared" si="14"/>
        <v>3.793878965376949E-4</v>
      </c>
      <c r="W113" s="29">
        <f>_xll.qlDayCounterYearFraction(DayCounter,SettlementDate,R113,,,Trigger)</f>
        <v>24.866666666666667</v>
      </c>
      <c r="X113" s="29">
        <f>_xll.qlDayCounterYearFraction(DayCounter,R113,S113)</f>
        <v>0.25277777777777777</v>
      </c>
      <c r="Y113" s="29">
        <f>_xll.qlYieldTSDiscount(Currency&amp;"ON",R113)/(1+U113*X113)</f>
        <v>0.70687420439397808</v>
      </c>
      <c r="Z113" s="30">
        <f>_xll.qlTenorBasisValue(TenorBasis6M,R113,InterestRatesTrigger)</f>
        <v>3.8948997090097455E-4</v>
      </c>
      <c r="AA113" s="30">
        <f t="shared" si="15"/>
        <v>-1.0102074363279646E-5</v>
      </c>
    </row>
    <row r="114" spans="15:27" x14ac:dyDescent="0.2">
      <c r="O114" s="33">
        <v>3</v>
      </c>
      <c r="P114" s="27" t="str">
        <f>_xll.qlPeriodEquivalent(P113&amp;"+"&amp;O114&amp;"M")</f>
        <v>24Y9M</v>
      </c>
      <c r="Q114" s="28">
        <f>_xll.qlCalendarAdvance(Calendar,SettlementDate,P114,"f",,Trigger)</f>
        <v>51319</v>
      </c>
      <c r="R114" s="28">
        <f>_xll.qlInterestRateIndexValueDate(Index,Q114,Trigger)</f>
        <v>51321</v>
      </c>
      <c r="S114" s="28">
        <f>_xll.qlInterestRateIndexMaturity(Index,R114,Trigger)</f>
        <v>51413</v>
      </c>
      <c r="T114" s="30">
        <f>_xll.qlIndexFixing($M$6,Q114,,InterestRatesTrigger)</f>
        <v>1.4957015620876172E-2</v>
      </c>
      <c r="U114" s="30">
        <f>_xll.qlIndexFixing(Index,Q114,,InterestRatesTrigger)</f>
        <v>1.5341030813735642E-2</v>
      </c>
      <c r="V114" s="30">
        <f t="shared" si="14"/>
        <v>3.8401519285946942E-4</v>
      </c>
      <c r="W114" s="29">
        <f>_xll.qlDayCounterYearFraction(DayCounter,SettlementDate,R114,,,Trigger)</f>
        <v>25.116666666666667</v>
      </c>
      <c r="X114" s="29">
        <f>_xll.qlDayCounterYearFraction(DayCounter,R114,S114)</f>
        <v>0.25555555555555554</v>
      </c>
      <c r="Y114" s="29">
        <f>_xll.qlYieldTSDiscount(Currency&amp;"ON",R114)/(1+U114*X114)</f>
        <v>0.70421026325429115</v>
      </c>
      <c r="Z114" s="30">
        <f>_xll.qlTenorBasisValue(TenorBasis6M,R114,InterestRatesTrigger)</f>
        <v>3.8268428301386104E-4</v>
      </c>
      <c r="AA114" s="30">
        <f t="shared" si="15"/>
        <v>1.3309098456083758E-6</v>
      </c>
    </row>
    <row r="115" spans="15:27" x14ac:dyDescent="0.2">
      <c r="O115" s="33">
        <v>3</v>
      </c>
      <c r="P115" s="27" t="str">
        <f>_xll.qlPeriodEquivalent(P114&amp;"+"&amp;O115&amp;"M")</f>
        <v>25Y</v>
      </c>
      <c r="Q115" s="28">
        <f>_xll.qlCalendarAdvance(Calendar,SettlementDate,P115,"f",,Trigger)</f>
        <v>51411</v>
      </c>
      <c r="R115" s="28">
        <f>_xll.qlInterestRateIndexValueDate(Index,Q115,Trigger)</f>
        <v>51413</v>
      </c>
      <c r="S115" s="28">
        <f>_xll.qlInterestRateIndexMaturity(Index,R115,Trigger)</f>
        <v>51505</v>
      </c>
      <c r="T115" s="30">
        <f>_xll.qlIndexFixing($M$6,Q115,,InterestRatesTrigger)</f>
        <v>1.4906122013221015E-2</v>
      </c>
      <c r="U115" s="30">
        <f>_xll.qlIndexFixing(Index,Q115,,InterestRatesTrigger)</f>
        <v>1.5295919764363997E-2</v>
      </c>
      <c r="V115" s="30">
        <f t="shared" si="14"/>
        <v>3.897977511429819E-4</v>
      </c>
      <c r="W115" s="29">
        <f>_xll.qlDayCounterYearFraction(DayCounter,SettlementDate,R115,,,Trigger)</f>
        <v>25.372222222222224</v>
      </c>
      <c r="X115" s="29">
        <f>_xll.qlDayCounterYearFraction(DayCounter,R115,S115)</f>
        <v>0.25555555555555554</v>
      </c>
      <c r="Y115" s="29">
        <f>_xll.qlYieldTSDiscount(Currency&amp;"ON",R115)/(1+U115*X115)</f>
        <v>0.70153683183410631</v>
      </c>
      <c r="Z115" s="30">
        <f>_xll.qlTenorBasisValue(TenorBasis6M,R115,InterestRatesTrigger)</f>
        <v>3.7593613777477304E-4</v>
      </c>
      <c r="AA115" s="30">
        <f t="shared" si="15"/>
        <v>1.3861613368208866E-5</v>
      </c>
    </row>
    <row r="116" spans="15:27" x14ac:dyDescent="0.2">
      <c r="O116" s="33">
        <v>3</v>
      </c>
      <c r="P116" s="27" t="str">
        <f>_xll.qlPeriodEquivalent(P115&amp;"+"&amp;O116&amp;"M")</f>
        <v>25Y3M</v>
      </c>
      <c r="Q116" s="28">
        <f>_xll.qlCalendarAdvance(Calendar,SettlementDate,P116,"f",,Trigger)</f>
        <v>51503</v>
      </c>
      <c r="R116" s="28">
        <f>_xll.qlInterestRateIndexValueDate(Index,Q116,Trigger)</f>
        <v>51505</v>
      </c>
      <c r="S116" s="28">
        <f>_xll.qlInterestRateIndexMaturity(Index,R116,Trigger)</f>
        <v>51595</v>
      </c>
      <c r="T116" s="30">
        <f>_xll.qlIndexFixing($M$6,Q116,,InterestRatesTrigger)</f>
        <v>1.485968661678605E-2</v>
      </c>
      <c r="U116" s="30">
        <f>_xll.qlIndexFixing(Index,Q116,,InterestRatesTrigger)</f>
        <v>1.5255124586868618E-2</v>
      </c>
      <c r="V116" s="30">
        <f t="shared" si="14"/>
        <v>3.9543797008256831E-4</v>
      </c>
      <c r="W116" s="29">
        <f>_xll.qlDayCounterYearFraction(DayCounter,SettlementDate,R116,,,Trigger)</f>
        <v>25.627777777777776</v>
      </c>
      <c r="X116" s="29">
        <f>_xll.qlDayCounterYearFraction(DayCounter,R116,S116)</f>
        <v>0.25</v>
      </c>
      <c r="Y116" s="29">
        <f>_xll.qlYieldTSDiscount(Currency&amp;"ON",R116)/(1+U116*X116)</f>
        <v>0.69894084280298985</v>
      </c>
      <c r="Z116" s="30">
        <f>_xll.qlTenorBasisValue(TenorBasis6M,R116,InterestRatesTrigger)</f>
        <v>3.6939367552623269E-4</v>
      </c>
      <c r="AA116" s="30">
        <f t="shared" si="15"/>
        <v>2.6044294556335618E-5</v>
      </c>
    </row>
    <row r="117" spans="15:27" x14ac:dyDescent="0.2">
      <c r="O117" s="33">
        <v>3</v>
      </c>
      <c r="P117" s="27" t="str">
        <f>_xll.qlPeriodEquivalent(P116&amp;"+"&amp;O117&amp;"M")</f>
        <v>25Y6M</v>
      </c>
      <c r="Q117" s="28">
        <f>_xll.qlCalendarAdvance(Calendar,SettlementDate,P117,"f",,Trigger)</f>
        <v>51593</v>
      </c>
      <c r="R117" s="28">
        <f>_xll.qlInterestRateIndexValueDate(Index,Q117,Trigger)</f>
        <v>51595</v>
      </c>
      <c r="S117" s="28">
        <f>_xll.qlInterestRateIndexMaturity(Index,R117,Trigger)</f>
        <v>51686</v>
      </c>
      <c r="T117" s="30">
        <f>_xll.qlIndexFixing($M$6,Q117,,InterestRatesTrigger)</f>
        <v>1.4817671472751379E-2</v>
      </c>
      <c r="U117" s="30">
        <f>_xll.qlIndexFixing(Index,Q117,,InterestRatesTrigger)</f>
        <v>1.5218424988836058E-2</v>
      </c>
      <c r="V117" s="30">
        <f t="shared" si="14"/>
        <v>4.0075351608467868E-4</v>
      </c>
      <c r="W117" s="29">
        <f>_xll.qlDayCounterYearFraction(DayCounter,SettlementDate,R117,,,Trigger)</f>
        <v>25.877777777777776</v>
      </c>
      <c r="X117" s="29">
        <f>_xll.qlDayCounterYearFraction(DayCounter,R117,S117)</f>
        <v>0.25277777777777777</v>
      </c>
      <c r="Y117" s="29">
        <f>_xll.qlYieldTSDiscount(Currency&amp;"ON",R117)/(1+U117*X117)</f>
        <v>0.69633098251408931</v>
      </c>
      <c r="Z117" s="30">
        <f>_xll.qlTenorBasisValue(TenorBasis6M,R117,InterestRatesTrigger)</f>
        <v>3.6318732692842059E-4</v>
      </c>
      <c r="AA117" s="30">
        <f t="shared" si="15"/>
        <v>3.7566189156258093E-5</v>
      </c>
    </row>
    <row r="118" spans="15:27" x14ac:dyDescent="0.2">
      <c r="O118" s="33">
        <v>3</v>
      </c>
      <c r="P118" s="27" t="str">
        <f>_xll.qlPeriodEquivalent(P117&amp;"+"&amp;O118&amp;"M")</f>
        <v>25Y9M</v>
      </c>
      <c r="Q118" s="28">
        <f>_xll.qlCalendarAdvance(Calendar,SettlementDate,P118,"f",,Trigger)</f>
        <v>51684</v>
      </c>
      <c r="R118" s="28">
        <f>_xll.qlInterestRateIndexValueDate(Index,Q118,Trigger)</f>
        <v>51686</v>
      </c>
      <c r="S118" s="28">
        <f>_xll.qlInterestRateIndexMaturity(Index,R118,Trigger)</f>
        <v>51778</v>
      </c>
      <c r="T118" s="30">
        <f>_xll.qlIndexFixing($M$6,Q118,,InterestRatesTrigger)</f>
        <v>1.4778672583749205E-2</v>
      </c>
      <c r="U118" s="30">
        <f>_xll.qlIndexFixing(Index,Q118,,InterestRatesTrigger)</f>
        <v>1.5184419357831042E-2</v>
      </c>
      <c r="V118" s="30">
        <f t="shared" si="14"/>
        <v>4.0574677408183706E-4</v>
      </c>
      <c r="W118" s="29">
        <f>_xll.qlDayCounterYearFraction(DayCounter,SettlementDate,R118,,,Trigger)</f>
        <v>26.130555555555556</v>
      </c>
      <c r="X118" s="29">
        <f>_xll.qlDayCounterYearFraction(DayCounter,R118,S118)</f>
        <v>0.25555555555555554</v>
      </c>
      <c r="Y118" s="29">
        <f>_xll.qlYieldTSDiscount(Currency&amp;"ON",R118)/(1+U118*X118)</f>
        <v>0.69370934546315555</v>
      </c>
      <c r="Z118" s="30">
        <f>_xll.qlTenorBasisValue(TenorBasis6M,R118,InterestRatesTrigger)</f>
        <v>3.5710191572905955E-4</v>
      </c>
      <c r="AA118" s="30">
        <f t="shared" si="15"/>
        <v>4.8644858352777504E-5</v>
      </c>
    </row>
    <row r="119" spans="15:27" x14ac:dyDescent="0.2">
      <c r="O119" s="33">
        <v>3</v>
      </c>
      <c r="P119" s="27" t="str">
        <f>_xll.qlPeriodEquivalent(P118&amp;"+"&amp;O119&amp;"M")</f>
        <v>26Y</v>
      </c>
      <c r="Q119" s="28">
        <f>_xll.qlCalendarAdvance(Calendar,SettlementDate,P119,"f",,Trigger)</f>
        <v>51776</v>
      </c>
      <c r="R119" s="28">
        <f>_xll.qlInterestRateIndexValueDate(Index,Q119,Trigger)</f>
        <v>51778</v>
      </c>
      <c r="S119" s="28">
        <f>_xll.qlInterestRateIndexMaturity(Index,R119,Trigger)</f>
        <v>51872</v>
      </c>
      <c r="T119" s="30">
        <f>_xll.qlIndexFixing($M$6,Q119,,InterestRatesTrigger)</f>
        <v>1.4743135497247505E-2</v>
      </c>
      <c r="U119" s="30">
        <f>_xll.qlIndexFixing(Index,Q119,,InterestRatesTrigger)</f>
        <v>1.5153545483224637E-2</v>
      </c>
      <c r="V119" s="30">
        <f t="shared" si="14"/>
        <v>4.1040998597713201E-4</v>
      </c>
      <c r="W119" s="29">
        <f>_xll.qlDayCounterYearFraction(DayCounter,SettlementDate,R119,,,Trigger)</f>
        <v>26.386111111111113</v>
      </c>
      <c r="X119" s="29">
        <f>_xll.qlDayCounterYearFraction(DayCounter,R119,S119)</f>
        <v>0.26111111111111113</v>
      </c>
      <c r="Y119" s="29">
        <f>_xll.qlYieldTSDiscount(Currency&amp;"ON",R119)/(1+U119*X119)</f>
        <v>0.69104670080268826</v>
      </c>
      <c r="Z119" s="30">
        <f>_xll.qlTenorBasisValue(TenorBasis6M,R119,InterestRatesTrigger)</f>
        <v>3.5113864358154989E-4</v>
      </c>
      <c r="AA119" s="30">
        <f t="shared" si="15"/>
        <v>5.9271342395582111E-5</v>
      </c>
    </row>
    <row r="120" spans="15:27" x14ac:dyDescent="0.2">
      <c r="O120" s="33">
        <v>3</v>
      </c>
      <c r="P120" s="27" t="str">
        <f>_xll.qlPeriodEquivalent(P119&amp;"+"&amp;O120&amp;"M")</f>
        <v>26Y3M</v>
      </c>
      <c r="Q120" s="28">
        <f>_xll.qlCalendarAdvance(Calendar,SettlementDate,P120,"f",,Trigger)</f>
        <v>51868</v>
      </c>
      <c r="R120" s="28">
        <f>_xll.qlInterestRateIndexValueDate(Index,Q120,Trigger)</f>
        <v>51872</v>
      </c>
      <c r="S120" s="28">
        <f>_xll.qlInterestRateIndexMaturity(Index,R120,Trigger)</f>
        <v>51964</v>
      </c>
      <c r="T120" s="30">
        <f>_xll.qlIndexFixing($M$6,Q120,,InterestRatesTrigger)</f>
        <v>1.4710427022057812E-2</v>
      </c>
      <c r="U120" s="30">
        <f>_xll.qlIndexFixing(Index,Q120,,InterestRatesTrigger)</f>
        <v>1.5124965523662165E-2</v>
      </c>
      <c r="V120" s="30">
        <f t="shared" si="14"/>
        <v>4.1453850160435256E-4</v>
      </c>
      <c r="W120" s="29">
        <f>_xll.qlDayCounterYearFraction(DayCounter,SettlementDate,R120,,,Trigger)</f>
        <v>26.647222222222222</v>
      </c>
      <c r="X120" s="29">
        <f>_xll.qlDayCounterYearFraction(DayCounter,R120,S120)</f>
        <v>0.25555555555555554</v>
      </c>
      <c r="Y120" s="29">
        <f>_xll.qlYieldTSDiscount(Currency&amp;"ON",R120)/(1+U120*X120)</f>
        <v>0.68845939046570359</v>
      </c>
      <c r="Z120" s="30">
        <f>_xll.qlTenorBasisValue(TenorBasis6M,R120,InterestRatesTrigger)</f>
        <v>3.4523674749539811E-4</v>
      </c>
      <c r="AA120" s="30">
        <f t="shared" si="15"/>
        <v>6.9301754108954446E-5</v>
      </c>
    </row>
    <row r="121" spans="15:27" x14ac:dyDescent="0.2">
      <c r="O121" s="33">
        <v>3</v>
      </c>
      <c r="P121" s="27" t="str">
        <f>_xll.qlPeriodEquivalent(P120&amp;"+"&amp;O121&amp;"M")</f>
        <v>26Y6M</v>
      </c>
      <c r="Q121" s="28">
        <f>_xll.qlCalendarAdvance(Calendar,SettlementDate,P121,"f",,Trigger)</f>
        <v>51958</v>
      </c>
      <c r="R121" s="28">
        <f>_xll.qlInterestRateIndexValueDate(Index,Q121,Trigger)</f>
        <v>51964</v>
      </c>
      <c r="S121" s="28">
        <f>_xll.qlInterestRateIndexMaturity(Index,R121,Trigger)</f>
        <v>52055</v>
      </c>
      <c r="T121" s="30">
        <f>_xll.qlIndexFixing($M$6,Q121,,InterestRatesTrigger)</f>
        <v>1.4682704491908035E-2</v>
      </c>
      <c r="U121" s="30">
        <f>_xll.qlIndexFixing(Index,Q121,,InterestRatesTrigger)</f>
        <v>1.5100828187338591E-2</v>
      </c>
      <c r="V121" s="30">
        <f t="shared" si="14"/>
        <v>4.181236954305563E-4</v>
      </c>
      <c r="W121" s="29">
        <f>_xll.qlDayCounterYearFraction(DayCounter,SettlementDate,R121,,,Trigger)</f>
        <v>26.902777777777779</v>
      </c>
      <c r="X121" s="29">
        <f>_xll.qlDayCounterYearFraction(DayCounter,R121,S121)</f>
        <v>0.25277777777777777</v>
      </c>
      <c r="Y121" s="29">
        <f>_xll.qlYieldTSDiscount(Currency&amp;"ON",R121)/(1+U121*X121)</f>
        <v>0.6859138125473293</v>
      </c>
      <c r="Z121" s="30">
        <f>_xll.qlTenorBasisValue(TenorBasis6M,R121,InterestRatesTrigger)</f>
        <v>3.3964228459130844E-4</v>
      </c>
      <c r="AA121" s="30">
        <f t="shared" si="15"/>
        <v>7.8481410839247858E-5</v>
      </c>
    </row>
    <row r="122" spans="15:27" x14ac:dyDescent="0.2">
      <c r="O122" s="33">
        <v>3</v>
      </c>
      <c r="P122" s="27" t="str">
        <f>_xll.qlPeriodEquivalent(P121&amp;"+"&amp;O122&amp;"M")</f>
        <v>26Y9M</v>
      </c>
      <c r="Q122" s="28">
        <f>_xll.qlCalendarAdvance(Calendar,SettlementDate,P122,"f",,Trigger)</f>
        <v>52049</v>
      </c>
      <c r="R122" s="28">
        <f>_xll.qlInterestRateIndexValueDate(Index,Q122,Trigger)</f>
        <v>52051</v>
      </c>
      <c r="S122" s="28">
        <f>_xll.qlInterestRateIndexMaturity(Index,R122,Trigger)</f>
        <v>52145</v>
      </c>
      <c r="T122" s="30">
        <f>_xll.qlIndexFixing($M$6,Q122,,InterestRatesTrigger)</f>
        <v>1.4661212391578056E-2</v>
      </c>
      <c r="U122" s="30">
        <f>_xll.qlIndexFixing(Index,Q122,,InterestRatesTrigger)</f>
        <v>1.5082372669468875E-2</v>
      </c>
      <c r="V122" s="30">
        <f t="shared" si="14"/>
        <v>4.2116027789081828E-4</v>
      </c>
      <c r="W122" s="29">
        <f>_xll.qlDayCounterYearFraction(DayCounter,SettlementDate,R122,,,Trigger)</f>
        <v>27.144444444444446</v>
      </c>
      <c r="X122" s="29">
        <f>_xll.qlDayCounterYearFraction(DayCounter,R122,S122)</f>
        <v>0.26111111111111113</v>
      </c>
      <c r="Y122" s="29">
        <f>_xll.qlYieldTSDiscount(Currency&amp;"ON",R122)/(1+U122*X122)</f>
        <v>0.68340629225284055</v>
      </c>
      <c r="Z122" s="30">
        <f>_xll.qlTenorBasisValue(TenorBasis6M,R122,InterestRatesTrigger)</f>
        <v>3.3451291050292113E-4</v>
      </c>
      <c r="AA122" s="30">
        <f t="shared" si="15"/>
        <v>8.6647367387897149E-5</v>
      </c>
    </row>
    <row r="123" spans="15:27" x14ac:dyDescent="0.2">
      <c r="O123" s="33">
        <v>3</v>
      </c>
      <c r="P123" s="27" t="str">
        <f>_xll.qlPeriodEquivalent(P122&amp;"+"&amp;O123&amp;"M")</f>
        <v>27Y</v>
      </c>
      <c r="Q123" s="28">
        <f>_xll.qlCalendarAdvance(Calendar,SettlementDate,P123,"f",,Trigger)</f>
        <v>52141</v>
      </c>
      <c r="R123" s="28">
        <f>_xll.qlInterestRateIndexValueDate(Index,Q123,Trigger)</f>
        <v>52145</v>
      </c>
      <c r="S123" s="28">
        <f>_xll.qlInterestRateIndexMaturity(Index,R123,Trigger)</f>
        <v>52237</v>
      </c>
      <c r="T123" s="30">
        <f>_xll.qlIndexFixing($M$6,Q123,,InterestRatesTrigger)</f>
        <v>1.4641641176283731E-2</v>
      </c>
      <c r="U123" s="30">
        <f>_xll.qlIndexFixing(Index,Q123,,InterestRatesTrigger)</f>
        <v>1.5065343303486413E-2</v>
      </c>
      <c r="V123" s="30">
        <f t="shared" si="14"/>
        <v>4.2370212720268217E-4</v>
      </c>
      <c r="W123" s="29">
        <f>_xll.qlDayCounterYearFraction(DayCounter,SettlementDate,R123,,,Trigger)</f>
        <v>27.405555555555555</v>
      </c>
      <c r="X123" s="29">
        <f>_xll.qlDayCounterYearFraction(DayCounter,R123,S123)</f>
        <v>0.25555555555555554</v>
      </c>
      <c r="Y123" s="29">
        <f>_xll.qlYieldTSDiscount(Currency&amp;"ON",R123)/(1+U123*X123)</f>
        <v>0.68085982733748129</v>
      </c>
      <c r="Z123" s="30">
        <f>_xll.qlTenorBasisValue(TenorBasis6M,R123,InterestRatesTrigger)</f>
        <v>3.2914198849957947E-4</v>
      </c>
      <c r="AA123" s="30">
        <f t="shared" si="15"/>
        <v>9.4560138703102703E-5</v>
      </c>
    </row>
    <row r="124" spans="15:27" x14ac:dyDescent="0.2">
      <c r="O124" s="33">
        <v>3</v>
      </c>
      <c r="P124" s="27" t="str">
        <f>_xll.qlPeriodEquivalent(P123&amp;"+"&amp;O124&amp;"M")</f>
        <v>27Y3M</v>
      </c>
      <c r="Q124" s="28">
        <f>_xll.qlCalendarAdvance(Calendar,SettlementDate,P124,"f",,Trigger)</f>
        <v>52233</v>
      </c>
      <c r="R124" s="28">
        <f>_xll.qlInterestRateIndexValueDate(Index,Q124,Trigger)</f>
        <v>52237</v>
      </c>
      <c r="S124" s="28">
        <f>_xll.qlInterestRateIndexMaturity(Index,R124,Trigger)</f>
        <v>52327</v>
      </c>
      <c r="T124" s="30">
        <f>_xll.qlIndexFixing($M$6,Q124,,InterestRatesTrigger)</f>
        <v>1.462721942846823E-2</v>
      </c>
      <c r="U124" s="30">
        <f>_xll.qlIndexFixing(Index,Q124,,InterestRatesTrigger)</f>
        <v>1.5052815356875193E-2</v>
      </c>
      <c r="V124" s="30">
        <f t="shared" si="14"/>
        <v>4.2559592840696325E-4</v>
      </c>
      <c r="W124" s="29">
        <f>_xll.qlDayCounterYearFraction(DayCounter,SettlementDate,R124,,,Trigger)</f>
        <v>27.661111111111111</v>
      </c>
      <c r="X124" s="29">
        <f>_xll.qlDayCounterYearFraction(DayCounter,R124,S124)</f>
        <v>0.25</v>
      </c>
      <c r="Y124" s="29">
        <f>_xll.qlYieldTSDiscount(Currency&amp;"ON",R124)/(1+U124*X124)</f>
        <v>0.67838039193248922</v>
      </c>
      <c r="Z124" s="30">
        <f>_xll.qlTenorBasisValue(TenorBasis6M,R124,InterestRatesTrigger)</f>
        <v>3.240527707208409E-4</v>
      </c>
      <c r="AA124" s="30">
        <f t="shared" si="15"/>
        <v>1.0154315768612235E-4</v>
      </c>
    </row>
    <row r="125" spans="15:27" x14ac:dyDescent="0.2">
      <c r="O125" s="33">
        <v>3</v>
      </c>
      <c r="P125" s="27" t="str">
        <f>_xll.qlPeriodEquivalent(P124&amp;"+"&amp;O125&amp;"M")</f>
        <v>27Y6M</v>
      </c>
      <c r="Q125" s="28">
        <f>_xll.qlCalendarAdvance(Calendar,SettlementDate,P125,"f",,Trigger)</f>
        <v>52323</v>
      </c>
      <c r="R125" s="28">
        <f>_xll.qlInterestRateIndexValueDate(Index,Q125,Trigger)</f>
        <v>52327</v>
      </c>
      <c r="S125" s="28">
        <f>_xll.qlInterestRateIndexMaturity(Index,R125,Trigger)</f>
        <v>52418</v>
      </c>
      <c r="T125" s="30">
        <f>_xll.qlIndexFixing($M$6,Q125,,InterestRatesTrigger)</f>
        <v>1.4618628498967464E-2</v>
      </c>
      <c r="U125" s="30">
        <f>_xll.qlIndexFixing(Index,Q125,,InterestRatesTrigger)</f>
        <v>1.5045543064043432E-2</v>
      </c>
      <c r="V125" s="30">
        <f t="shared" si="14"/>
        <v>4.2691456507596738E-4</v>
      </c>
      <c r="W125" s="29">
        <f>_xll.qlDayCounterYearFraction(DayCounter,SettlementDate,R125,,,Trigger)</f>
        <v>27.911111111111111</v>
      </c>
      <c r="X125" s="29">
        <f>_xll.qlDayCounterYearFraction(DayCounter,R125,S125)</f>
        <v>0.25277777777777777</v>
      </c>
      <c r="Y125" s="29">
        <f>_xll.qlYieldTSDiscount(Currency&amp;"ON",R125)/(1+U125*X125)</f>
        <v>0.67588180847217505</v>
      </c>
      <c r="Z125" s="30">
        <f>_xll.qlTenorBasisValue(TenorBasis6M,R125,InterestRatesTrigger)</f>
        <v>3.1922998124796979E-4</v>
      </c>
      <c r="AA125" s="30">
        <f t="shared" si="15"/>
        <v>1.0768458382799759E-4</v>
      </c>
    </row>
    <row r="126" spans="15:27" x14ac:dyDescent="0.2">
      <c r="O126" s="33">
        <v>3</v>
      </c>
      <c r="P126" s="27" t="str">
        <f>_xll.qlPeriodEquivalent(P125&amp;"+"&amp;O126&amp;"M")</f>
        <v>27Y9M</v>
      </c>
      <c r="Q126" s="28">
        <f>_xll.qlCalendarAdvance(Calendar,SettlementDate,P126,"f",,Trigger)</f>
        <v>52414</v>
      </c>
      <c r="R126" s="28">
        <f>_xll.qlInterestRateIndexValueDate(Index,Q126,Trigger)</f>
        <v>52418</v>
      </c>
      <c r="S126" s="28">
        <f>_xll.qlInterestRateIndexMaturity(Index,R126,Trigger)</f>
        <v>52510</v>
      </c>
      <c r="T126" s="30">
        <f>_xll.qlIndexFixing($M$6,Q126,,InterestRatesTrigger)</f>
        <v>1.4615060208407388E-2</v>
      </c>
      <c r="U126" s="30">
        <f>_xll.qlIndexFixing(Index,Q126,,InterestRatesTrigger)</f>
        <v>1.50426494283647E-2</v>
      </c>
      <c r="V126" s="30">
        <f t="shared" si="14"/>
        <v>4.2758921995731183E-4</v>
      </c>
      <c r="W126" s="29">
        <f>_xll.qlDayCounterYearFraction(DayCounter,SettlementDate,R126,,,Trigger)</f>
        <v>28.163888888888888</v>
      </c>
      <c r="X126" s="29">
        <f>_xll.qlDayCounterYearFraction(DayCounter,R126,S126)</f>
        <v>0.25555555555555554</v>
      </c>
      <c r="Y126" s="29">
        <f>_xll.qlYieldTSDiscount(Currency&amp;"ON",R126)/(1+U126*X126)</f>
        <v>0.67336590222447434</v>
      </c>
      <c r="Z126" s="30">
        <f>_xll.qlTenorBasisValue(TenorBasis6M,R126,InterestRatesTrigger)</f>
        <v>3.145059054990287E-4</v>
      </c>
      <c r="AA126" s="30">
        <f t="shared" si="15"/>
        <v>1.1308331445828313E-4</v>
      </c>
    </row>
    <row r="127" spans="15:27" x14ac:dyDescent="0.2">
      <c r="O127" s="33">
        <v>3</v>
      </c>
      <c r="P127" s="27" t="str">
        <f>_xll.qlPeriodEquivalent(P126&amp;"+"&amp;O127&amp;"M")</f>
        <v>28Y</v>
      </c>
      <c r="Q127" s="28">
        <f>_xll.qlCalendarAdvance(Calendar,SettlementDate,P127,"f",,Trigger)</f>
        <v>52506</v>
      </c>
      <c r="R127" s="28">
        <f>_xll.qlInterestRateIndexValueDate(Index,Q127,Trigger)</f>
        <v>52510</v>
      </c>
      <c r="S127" s="28">
        <f>_xll.qlInterestRateIndexMaturity(Index,R127,Trigger)</f>
        <v>52602</v>
      </c>
      <c r="T127" s="30">
        <f>_xll.qlIndexFixing($M$6,Q127,,InterestRatesTrigger)</f>
        <v>1.4616568010120439E-2</v>
      </c>
      <c r="U127" s="30">
        <f>_xll.qlIndexFixing(Index,Q127,,InterestRatesTrigger)</f>
        <v>1.5044116005256802E-2</v>
      </c>
      <c r="V127" s="30">
        <f t="shared" si="14"/>
        <v>4.2754799513636255E-4</v>
      </c>
      <c r="W127" s="29">
        <f>_xll.qlDayCounterYearFraction(DayCounter,SettlementDate,R127,,,Trigger)</f>
        <v>28.419444444444444</v>
      </c>
      <c r="X127" s="29">
        <f>_xll.qlDayCounterYearFraction(DayCounter,R127,S127)</f>
        <v>0.25555555555555554</v>
      </c>
      <c r="Y127" s="29">
        <f>_xll.qlYieldTSDiscount(Currency&amp;"ON",R127)/(1+U127*X127)</f>
        <v>0.6708600156084159</v>
      </c>
      <c r="Z127" s="30">
        <f>_xll.qlTenorBasisValue(TenorBasis6M,R127,InterestRatesTrigger)</f>
        <v>3.0988123042986602E-4</v>
      </c>
      <c r="AA127" s="30">
        <f t="shared" si="15"/>
        <v>1.1766676470649652E-4</v>
      </c>
    </row>
    <row r="128" spans="15:27" x14ac:dyDescent="0.2">
      <c r="O128" s="33">
        <v>3</v>
      </c>
      <c r="P128" s="27" t="str">
        <f>_xll.qlPeriodEquivalent(P127&amp;"+"&amp;O128&amp;"M")</f>
        <v>28Y3M</v>
      </c>
      <c r="Q128" s="28">
        <f>_xll.qlCalendarAdvance(Calendar,SettlementDate,P128,"f",,Trigger)</f>
        <v>52600</v>
      </c>
      <c r="R128" s="28">
        <f>_xll.qlInterestRateIndexValueDate(Index,Q128,Trigger)</f>
        <v>52602</v>
      </c>
      <c r="S128" s="28">
        <f>_xll.qlInterestRateIndexMaturity(Index,R128,Trigger)</f>
        <v>52693</v>
      </c>
      <c r="T128" s="30">
        <f>_xll.qlIndexFixing($M$6,Q128,,InterestRatesTrigger)</f>
        <v>1.4623341173065459E-2</v>
      </c>
      <c r="U128" s="30">
        <f>_xll.qlIndexFixing(Index,Q128,,InterestRatesTrigger)</f>
        <v>1.5050097584405165E-2</v>
      </c>
      <c r="V128" s="30">
        <f t="shared" si="14"/>
        <v>4.2675641133970571E-4</v>
      </c>
      <c r="W128" s="29">
        <f>_xll.qlDayCounterYearFraction(DayCounter,SettlementDate,R128,,,Trigger)</f>
        <v>28.675000000000001</v>
      </c>
      <c r="X128" s="29">
        <f>_xll.qlDayCounterYearFraction(DayCounter,R128,S128)</f>
        <v>0.25277777777777777</v>
      </c>
      <c r="Y128" s="29">
        <f>_xll.qlYieldTSDiscount(Currency&amp;"ON",R128)/(1+U128*X128)</f>
        <v>0.66839026522623468</v>
      </c>
      <c r="Z128" s="30">
        <f>_xll.qlTenorBasisValue(TenorBasis6M,R128,InterestRatesTrigger)</f>
        <v>3.0540437265324757E-4</v>
      </c>
      <c r="AA128" s="30">
        <f t="shared" si="15"/>
        <v>1.2135203868645814E-4</v>
      </c>
    </row>
    <row r="129" spans="15:27" x14ac:dyDescent="0.2">
      <c r="O129" s="33">
        <v>3</v>
      </c>
      <c r="P129" s="27" t="str">
        <f>_xll.qlPeriodEquivalent(P128&amp;"+"&amp;O129&amp;"M")</f>
        <v>28Y6M</v>
      </c>
      <c r="Q129" s="28">
        <f>_xll.qlCalendarAdvance(Calendar,SettlementDate,P129,"f",,Trigger)</f>
        <v>52691</v>
      </c>
      <c r="R129" s="28">
        <f>_xll.qlInterestRateIndexValueDate(Index,Q129,Trigger)</f>
        <v>52693</v>
      </c>
      <c r="S129" s="28">
        <f>_xll.qlInterestRateIndexMaturity(Index,R129,Trigger)</f>
        <v>52784</v>
      </c>
      <c r="T129" s="30">
        <f>_xll.qlIndexFixing($M$6,Q129,,InterestRatesTrigger)</f>
        <v>1.4636095446282802E-2</v>
      </c>
      <c r="U129" s="30">
        <f>_xll.qlIndexFixing(Index,Q129,,InterestRatesTrigger)</f>
        <v>1.5061321119566639E-2</v>
      </c>
      <c r="V129" s="30">
        <f t="shared" si="14"/>
        <v>4.2522567328383623E-4</v>
      </c>
      <c r="W129" s="29">
        <f>_xll.qlDayCounterYearFraction(DayCounter,SettlementDate,R129,,,Trigger)</f>
        <v>28.927777777777777</v>
      </c>
      <c r="X129" s="29">
        <f>_xll.qlDayCounterYearFraction(DayCounter,R129,S129)</f>
        <v>0.25277777777777777</v>
      </c>
      <c r="Y129" s="29">
        <f>_xll.qlYieldTSDiscount(Currency&amp;"ON",R129)/(1+U129*X129)</f>
        <v>0.66592680722214914</v>
      </c>
      <c r="Z129" s="30">
        <f>_xll.qlTenorBasisValue(TenorBasis6M,R129,InterestRatesTrigger)</f>
        <v>3.011174324306855E-4</v>
      </c>
      <c r="AA129" s="30">
        <f t="shared" si="15"/>
        <v>1.2410824085315074E-4</v>
      </c>
    </row>
    <row r="130" spans="15:27" x14ac:dyDescent="0.2">
      <c r="O130" s="33">
        <v>3</v>
      </c>
      <c r="P130" s="27" t="str">
        <f>_xll.qlPeriodEquivalent(P129&amp;"+"&amp;O130&amp;"M")</f>
        <v>28Y9M</v>
      </c>
      <c r="Q130" s="28">
        <f>_xll.qlCalendarAdvance(Calendar,SettlementDate,P130,"f",,Trigger)</f>
        <v>52782</v>
      </c>
      <c r="R130" s="28">
        <f>_xll.qlInterestRateIndexValueDate(Index,Q130,Trigger)</f>
        <v>52784</v>
      </c>
      <c r="S130" s="28">
        <f>_xll.qlInterestRateIndexMaturity(Index,R130,Trigger)</f>
        <v>52876</v>
      </c>
      <c r="T130" s="30">
        <f>_xll.qlIndexFixing($M$6,Q130,,InterestRatesTrigger)</f>
        <v>1.4655177696795189E-2</v>
      </c>
      <c r="U130" s="30">
        <f>_xll.qlIndexFixing(Index,Q130,,InterestRatesTrigger)</f>
        <v>1.5078081695117495E-2</v>
      </c>
      <c r="V130" s="30">
        <f t="shared" si="14"/>
        <v>4.2290399832230555E-4</v>
      </c>
      <c r="W130" s="29">
        <f>_xll.qlDayCounterYearFraction(DayCounter,SettlementDate,R130,,,Trigger)</f>
        <v>29.180555555555557</v>
      </c>
      <c r="X130" s="29">
        <f>_xll.qlDayCounterYearFraction(DayCounter,R130,S130)</f>
        <v>0.25555555555555554</v>
      </c>
      <c r="Y130" s="29">
        <f>_xll.qlYieldTSDiscount(Currency&amp;"ON",R130)/(1+U130*X130)</f>
        <v>0.66344169065119474</v>
      </c>
      <c r="Z130" s="30">
        <f>_xll.qlTenorBasisValue(TenorBasis6M,R130,InterestRatesTrigger)</f>
        <v>2.9696694610520369E-4</v>
      </c>
      <c r="AA130" s="30">
        <f t="shared" si="15"/>
        <v>1.2593705221710186E-4</v>
      </c>
    </row>
    <row r="131" spans="15:27" x14ac:dyDescent="0.2">
      <c r="O131" s="33">
        <v>3</v>
      </c>
      <c r="P131" s="27" t="str">
        <f>_xll.qlPeriodEquivalent(P130&amp;"+"&amp;O131&amp;"M")</f>
        <v>29Y</v>
      </c>
      <c r="Q131" s="28">
        <f>_xll.qlCalendarAdvance(Calendar,SettlementDate,P131,"f",,Trigger)</f>
        <v>52873</v>
      </c>
      <c r="R131" s="28">
        <f>_xll.qlInterestRateIndexValueDate(Index,Q131,Trigger)</f>
        <v>52875</v>
      </c>
      <c r="S131" s="28">
        <f>_xll.qlInterestRateIndexMaturity(Index,R131,Trigger)</f>
        <v>52967</v>
      </c>
      <c r="T131" s="30">
        <f>_xll.qlIndexFixing($M$6,Q131,,InterestRatesTrigger)</f>
        <v>1.4679979918577639E-2</v>
      </c>
      <c r="U131" s="30">
        <f>_xll.qlIndexFixing(Index,Q131,,InterestRatesTrigger)</f>
        <v>1.5099728914810795E-2</v>
      </c>
      <c r="V131" s="30">
        <f t="shared" si="14"/>
        <v>4.1974899623315604E-4</v>
      </c>
      <c r="W131" s="29">
        <f>_xll.qlDayCounterYearFraction(DayCounter,SettlementDate,R131,,,Trigger)</f>
        <v>29.433333333333334</v>
      </c>
      <c r="X131" s="29">
        <f>_xll.qlDayCounterYearFraction(DayCounter,R131,S131)</f>
        <v>0.25555555555555554</v>
      </c>
      <c r="Y131" s="29">
        <f>_xll.qlYieldTSDiscount(Currency&amp;"ON",R131)/(1+U131*X131)</f>
        <v>0.66098946755945676</v>
      </c>
      <c r="Z131" s="30">
        <f>_xll.qlTenorBasisValue(TenorBasis6M,R131,InterestRatesTrigger)</f>
        <v>2.9294898894003578E-4</v>
      </c>
      <c r="AA131" s="30">
        <f t="shared" si="15"/>
        <v>1.2680000729312026E-4</v>
      </c>
    </row>
    <row r="132" spans="15:27" x14ac:dyDescent="0.2">
      <c r="O132" s="33">
        <v>3</v>
      </c>
      <c r="P132" s="27" t="str">
        <f>_xll.qlPeriodEquivalent(P131&amp;"+"&amp;O132&amp;"M")</f>
        <v>29Y3M</v>
      </c>
      <c r="Q132" s="28">
        <f>_xll.qlCalendarAdvance(Calendar,SettlementDate,P132,"f",,Trigger)</f>
        <v>52964</v>
      </c>
      <c r="R132" s="28">
        <f>_xll.qlInterestRateIndexValueDate(Index,Q132,Trigger)</f>
        <v>52966</v>
      </c>
      <c r="S132" s="28">
        <f>_xll.qlInterestRateIndexMaturity(Index,R132,Trigger)</f>
        <v>53056</v>
      </c>
      <c r="T132" s="30">
        <f>_xll.qlIndexFixing($M$6,Q132,,InterestRatesTrigger)</f>
        <v>1.471010394921457E-2</v>
      </c>
      <c r="U132" s="30">
        <f>_xll.qlIndexFixing(Index,Q132,,InterestRatesTrigger)</f>
        <v>1.5125852686523444E-2</v>
      </c>
      <c r="V132" s="30">
        <f t="shared" ref="V132:V135" si="16">U132-T132</f>
        <v>4.1574873730887418E-4</v>
      </c>
      <c r="W132" s="29">
        <f>_xll.qlDayCounterYearFraction(DayCounter,SettlementDate,R132,,,Trigger)</f>
        <v>29.68611111111111</v>
      </c>
      <c r="X132" s="29">
        <f>_xll.qlDayCounterYearFraction(DayCounter,R132,S132)</f>
        <v>0.25</v>
      </c>
      <c r="Y132" s="29">
        <f>_xll.qlYieldTSDiscount(Currency&amp;"ON",R132)/(1+U132*X132)</f>
        <v>0.65859658077197525</v>
      </c>
      <c r="Z132" s="30">
        <f>_xll.qlTenorBasisValue(TenorBasis6M,R132,InterestRatesTrigger)</f>
        <v>2.8905972620139468E-4</v>
      </c>
      <c r="AA132" s="30">
        <f t="shared" ref="AA132:AA135" si="17">V132-Z132</f>
        <v>1.266890111074795E-4</v>
      </c>
    </row>
    <row r="133" spans="15:27" x14ac:dyDescent="0.2">
      <c r="O133" s="33">
        <v>3</v>
      </c>
      <c r="P133" s="27" t="str">
        <f>_xll.qlPeriodEquivalent(P132&amp;"+"&amp;O133&amp;"M")</f>
        <v>29Y6M</v>
      </c>
      <c r="Q133" s="28">
        <f>_xll.qlCalendarAdvance(Calendar,SettlementDate,P133,"f",,Trigger)</f>
        <v>53055</v>
      </c>
      <c r="R133" s="28">
        <f>_xll.qlInterestRateIndexValueDate(Index,Q133,Trigger)</f>
        <v>53057</v>
      </c>
      <c r="S133" s="28">
        <f>_xll.qlInterestRateIndexMaturity(Index,R133,Trigger)</f>
        <v>53148</v>
      </c>
      <c r="T133" s="30">
        <f>_xll.qlIndexFixing($M$6,Q133,,InterestRatesTrigger)</f>
        <v>1.4748186878730838E-2</v>
      </c>
      <c r="U133" s="30">
        <f>_xll.qlIndexFixing(Index,Q133,,InterestRatesTrigger)</f>
        <v>1.5159020525113451E-2</v>
      </c>
      <c r="V133" s="30">
        <f t="shared" si="16"/>
        <v>4.1083364638261344E-4</v>
      </c>
      <c r="W133" s="29">
        <f>_xll.qlDayCounterYearFraction(DayCounter,SettlementDate,R133,,,Trigger)</f>
        <v>29.93888888888889</v>
      </c>
      <c r="X133" s="29">
        <f>_xll.qlDayCounterYearFraction(DayCounter,R133,S133)</f>
        <v>0.25277777777777777</v>
      </c>
      <c r="Y133" s="29">
        <f>_xll.qlYieldTSDiscount(Currency&amp;"ON",R133)/(1+U133*X133)</f>
        <v>0.65612370984620605</v>
      </c>
      <c r="Z133" s="30">
        <f>_xll.qlTenorBasisValue(TenorBasis6M,R133,InterestRatesTrigger)</f>
        <v>2.8529541247865185E-4</v>
      </c>
      <c r="AA133" s="30">
        <f t="shared" si="17"/>
        <v>1.2553823390396159E-4</v>
      </c>
    </row>
    <row r="134" spans="15:27" x14ac:dyDescent="0.2">
      <c r="O134" s="33">
        <v>3</v>
      </c>
      <c r="P134" s="27" t="str">
        <f>_xll.qlPeriodEquivalent(P133&amp;"+"&amp;O134&amp;"M")</f>
        <v>29Y9M</v>
      </c>
      <c r="Q134" s="28">
        <f>_xll.qlCalendarAdvance(Calendar,SettlementDate,P134,"f",,Trigger)</f>
        <v>53146</v>
      </c>
      <c r="R134" s="28">
        <f>_xll.qlInterestRateIndexValueDate(Index,Q134,Trigger)</f>
        <v>53148</v>
      </c>
      <c r="S134" s="28">
        <f>_xll.qlInterestRateIndexMaturity(Index,R134,Trigger)</f>
        <v>53240</v>
      </c>
      <c r="T134" s="30">
        <f>_xll.qlIndexFixing($M$6,Q134,,InterestRatesTrigger)</f>
        <v>1.4793061768764885E-2</v>
      </c>
      <c r="U134" s="30">
        <f>_xll.qlIndexFixing(Index,Q134,,InterestRatesTrigger)</f>
        <v>1.5198022878642591E-2</v>
      </c>
      <c r="V134" s="30">
        <f t="shared" si="16"/>
        <v>4.0496110987770645E-4</v>
      </c>
      <c r="W134" s="29">
        <f>_xll.qlDayCounterYearFraction(DayCounter,SettlementDate,R134,,,Trigger)</f>
        <v>30.191666666666666</v>
      </c>
      <c r="X134" s="29">
        <f>_xll.qlDayCounterYearFraction(DayCounter,R134,S134)</f>
        <v>0.25555555555555554</v>
      </c>
      <c r="Y134" s="29">
        <f>_xll.qlYieldTSDiscount(Currency&amp;"ON",R134)/(1+U134*X134)</f>
        <v>0.65365284706207938</v>
      </c>
      <c r="Z134" s="30">
        <f>_xll.qlTenorBasisValue(TenorBasis6M,R134,InterestRatesTrigger)</f>
        <v>2.8165239090463469E-4</v>
      </c>
      <c r="AA134" s="30">
        <f t="shared" si="17"/>
        <v>1.2330871897307176E-4</v>
      </c>
    </row>
    <row r="135" spans="15:27" x14ac:dyDescent="0.2">
      <c r="O135" s="33">
        <v>3</v>
      </c>
      <c r="P135" s="27" t="str">
        <f>_xll.qlPeriodEquivalent(P134&amp;"+"&amp;O135&amp;"M")</f>
        <v>30Y</v>
      </c>
      <c r="Q135" s="28">
        <f>_xll.qlCalendarAdvance(Calendar,SettlementDate,P135,"f",,Trigger)</f>
        <v>53237</v>
      </c>
      <c r="R135" s="28">
        <f>_xll.qlInterestRateIndexValueDate(Index,Q135,Trigger)</f>
        <v>53239</v>
      </c>
      <c r="S135" s="28">
        <f>_xll.qlInterestRateIndexMaturity(Index,R135,Trigger)</f>
        <v>53331</v>
      </c>
      <c r="T135" s="30">
        <f>_xll.qlIndexFixing($M$6,Q135,,InterestRatesTrigger)</f>
        <v>1.4842550693741172E-2</v>
      </c>
      <c r="U135" s="30">
        <f>_xll.qlIndexFixing(Index,Q135,,InterestRatesTrigger)</f>
        <v>1.5224635234069753E-2</v>
      </c>
      <c r="V135" s="30">
        <f t="shared" si="16"/>
        <v>3.8208454032858177E-4</v>
      </c>
      <c r="W135" s="29">
        <f>_xll.qlDayCounterYearFraction(DayCounter,SettlementDate,R135,,,Trigger)</f>
        <v>30.444444444444443</v>
      </c>
      <c r="X135" s="29">
        <f>_xll.qlDayCounterYearFraction(DayCounter,R135,S135)</f>
        <v>0.25555555555555554</v>
      </c>
      <c r="Y135" s="29">
        <f>_xll.qlYieldTSDiscount(Currency&amp;"ON",R135)/(1+U135*X135)</f>
        <v>0.6512133934910862</v>
      </c>
      <c r="Z135" s="30">
        <f>_xll.qlTenorBasisValue(TenorBasis6M,R135,InterestRatesTrigger)</f>
        <v>2.7812709228555889E-4</v>
      </c>
      <c r="AA135" s="30">
        <f t="shared" si="17"/>
        <v>1.0395744804302288E-4</v>
      </c>
    </row>
    <row r="136" spans="15:27" x14ac:dyDescent="0.2">
      <c r="O136" s="33">
        <v>3</v>
      </c>
      <c r="P136" s="27" t="str">
        <f>_xll.qlPeriodEquivalent(P135&amp;"+"&amp;O136&amp;"M")</f>
        <v>30Y3M</v>
      </c>
      <c r="Q136" s="28">
        <f>_xll.qlCalendarAdvance(Calendar,SettlementDate,P136,"f",,Trigger)</f>
        <v>53329</v>
      </c>
      <c r="R136" s="28">
        <f>_xll.qlInterestRateIndexValueDate(Index,Q136,Trigger)</f>
        <v>53331</v>
      </c>
      <c r="S136" s="28">
        <f>_xll.qlInterestRateIndexMaturity(Index,R136,Trigger)</f>
        <v>53421</v>
      </c>
      <c r="T136" s="30">
        <f>_xll.qlIndexFixing($M$6,Q136,,InterestRatesTrigger)</f>
        <v>1.4890193874913749E-2</v>
      </c>
      <c r="U136" s="30">
        <f>_xll.qlIndexFixing(Index,Q136,,InterestRatesTrigger)</f>
        <v>1.523577657114128E-2</v>
      </c>
      <c r="V136" s="30">
        <f t="shared" ref="V136:V158" si="18">U136-T136</f>
        <v>3.4558269622753102E-4</v>
      </c>
      <c r="W136" s="29">
        <f>_xll.qlDayCounterYearFraction(DayCounter,SettlementDate,R136,,,Trigger)</f>
        <v>30.7</v>
      </c>
      <c r="X136" s="29">
        <f>_xll.qlDayCounterYearFraction(DayCounter,R136,S136)</f>
        <v>0.25</v>
      </c>
      <c r="Y136" s="29">
        <f>_xll.qlYieldTSDiscount(Currency&amp;"ON",R136)/(1+U136*X136)</f>
        <v>0.64880547635992791</v>
      </c>
      <c r="Z136" s="30">
        <f>_xll.qlTenorBasisValue(TenorBasis6M,R136,InterestRatesTrigger)</f>
        <v>2.7467917186030767E-4</v>
      </c>
      <c r="AA136" s="30">
        <f t="shared" ref="AA136:AA158" si="19">V136-Z136</f>
        <v>7.0903524367223344E-5</v>
      </c>
    </row>
    <row r="137" spans="15:27" x14ac:dyDescent="0.2">
      <c r="O137" s="33">
        <v>3</v>
      </c>
      <c r="P137" s="27" t="str">
        <f>_xll.qlPeriodEquivalent(P136&amp;"+"&amp;O137&amp;"M")</f>
        <v>30Y6M</v>
      </c>
      <c r="Q137" s="28">
        <f>_xll.qlCalendarAdvance(Calendar,SettlementDate,P137,"f",,Trigger)</f>
        <v>53419</v>
      </c>
      <c r="R137" s="28">
        <f>_xll.qlInterestRateIndexValueDate(Index,Q137,Trigger)</f>
        <v>53421</v>
      </c>
      <c r="S137" s="28">
        <f>_xll.qlInterestRateIndexMaturity(Index,R137,Trigger)</f>
        <v>53512</v>
      </c>
      <c r="T137" s="30">
        <f>_xll.qlIndexFixing($M$6,Q137,,InterestRatesTrigger)</f>
        <v>1.4935675393877405E-2</v>
      </c>
      <c r="U137" s="30">
        <f>_xll.qlIndexFixing(Index,Q137,,InterestRatesTrigger)</f>
        <v>1.5246728399504418E-2</v>
      </c>
      <c r="V137" s="30">
        <f t="shared" si="18"/>
        <v>3.1105300562701312E-4</v>
      </c>
      <c r="W137" s="29">
        <f>_xll.qlDayCounterYearFraction(DayCounter,SettlementDate,R137,,,Trigger)</f>
        <v>30.95</v>
      </c>
      <c r="X137" s="29">
        <f>_xll.qlDayCounterYearFraction(DayCounter,R137,S137)</f>
        <v>0.25277777777777777</v>
      </c>
      <c r="Y137" s="29">
        <f>_xll.qlYieldTSDiscount(Currency&amp;"ON",R137)/(1+U137*X137)</f>
        <v>0.64637018968930116</v>
      </c>
      <c r="Z137" s="30">
        <f>_xll.qlTenorBasisValue(TenorBasis6M,R137,InterestRatesTrigger)</f>
        <v>2.7141581972164809E-4</v>
      </c>
      <c r="AA137" s="30">
        <f t="shared" si="19"/>
        <v>3.9637185905365023E-5</v>
      </c>
    </row>
    <row r="138" spans="15:27" x14ac:dyDescent="0.2">
      <c r="O138" s="33">
        <v>3</v>
      </c>
      <c r="P138" s="27" t="str">
        <f>_xll.qlPeriodEquivalent(P137&amp;"+"&amp;O138&amp;"M")</f>
        <v>30Y9M</v>
      </c>
      <c r="Q138" s="28">
        <f>_xll.qlCalendarAdvance(Calendar,SettlementDate,P138,"f",,Trigger)</f>
        <v>53510</v>
      </c>
      <c r="R138" s="28">
        <f>_xll.qlInterestRateIndexValueDate(Index,Q138,Trigger)</f>
        <v>53512</v>
      </c>
      <c r="S138" s="28">
        <f>_xll.qlInterestRateIndexMaturity(Index,R138,Trigger)</f>
        <v>53604</v>
      </c>
      <c r="T138" s="30">
        <f>_xll.qlIndexFixing($M$6,Q138,,InterestRatesTrigger)</f>
        <v>1.4978691416931617E-2</v>
      </c>
      <c r="U138" s="30">
        <f>_xll.qlIndexFixing(Index,Q138,,InterestRatesTrigger)</f>
        <v>1.5256654986269874E-2</v>
      </c>
      <c r="V138" s="30">
        <f t="shared" si="18"/>
        <v>2.7796356933825796E-4</v>
      </c>
      <c r="W138" s="29">
        <f>_xll.qlDayCounterYearFraction(DayCounter,SettlementDate,R138,,,Trigger)</f>
        <v>31.202777777777779</v>
      </c>
      <c r="X138" s="29">
        <f>_xll.qlDayCounterYearFraction(DayCounter,R138,S138)</f>
        <v>0.25555555555555554</v>
      </c>
      <c r="Y138" s="29">
        <f>_xll.qlYieldTSDiscount(Currency&amp;"ON",R138)/(1+U138*X138)</f>
        <v>0.64391026436909793</v>
      </c>
      <c r="Z138" s="30">
        <f>_xll.qlTenorBasisValue(TenorBasis6M,R138,InterestRatesTrigger)</f>
        <v>2.6822313683430202E-4</v>
      </c>
      <c r="AA138" s="30">
        <f t="shared" si="19"/>
        <v>9.7404325039559332E-6</v>
      </c>
    </row>
    <row r="139" spans="15:27" x14ac:dyDescent="0.2">
      <c r="O139" s="33">
        <v>3</v>
      </c>
      <c r="P139" s="27" t="str">
        <f>_xll.qlPeriodEquivalent(P138&amp;"+"&amp;O139&amp;"M")</f>
        <v>31Y</v>
      </c>
      <c r="Q139" s="28">
        <f>_xll.qlCalendarAdvance(Calendar,SettlementDate,P139,"f",,Trigger)</f>
        <v>53602</v>
      </c>
      <c r="R139" s="28">
        <f>_xll.qlInterestRateIndexValueDate(Index,Q139,Trigger)</f>
        <v>53604</v>
      </c>
      <c r="S139" s="28">
        <f>_xll.qlInterestRateIndexMaturity(Index,R139,Trigger)</f>
        <v>53696</v>
      </c>
      <c r="T139" s="30">
        <f>_xll.qlIndexFixing($M$6,Q139,,InterestRatesTrigger)</f>
        <v>1.5018503373310161E-2</v>
      </c>
      <c r="U139" s="30">
        <f>_xll.qlIndexFixing(Index,Q139,,InterestRatesTrigger)</f>
        <v>1.5265111528975967E-2</v>
      </c>
      <c r="V139" s="30">
        <f t="shared" si="18"/>
        <v>2.4660815566580549E-4</v>
      </c>
      <c r="W139" s="29">
        <f>_xll.qlDayCounterYearFraction(DayCounter,SettlementDate,R139,,,Trigger)</f>
        <v>31.458333333333332</v>
      </c>
      <c r="X139" s="29">
        <f>_xll.qlDayCounterYearFraction(DayCounter,R139,S139)</f>
        <v>0.25555555555555554</v>
      </c>
      <c r="Y139" s="29">
        <f>_xll.qlYieldTSDiscount(Currency&amp;"ON",R139)/(1+U139*X139)</f>
        <v>0.64145346630938349</v>
      </c>
      <c r="Z139" s="30">
        <f>_xll.qlTenorBasisValue(TenorBasis6M,R139,InterestRatesTrigger)</f>
        <v>2.6510138613515934E-4</v>
      </c>
      <c r="AA139" s="30">
        <f t="shared" si="19"/>
        <v>-1.8493230469353848E-5</v>
      </c>
    </row>
    <row r="140" spans="15:27" x14ac:dyDescent="0.2">
      <c r="O140" s="33">
        <v>3</v>
      </c>
      <c r="P140" s="27" t="str">
        <f>_xll.qlPeriodEquivalent(P139&amp;"+"&amp;O140&amp;"M")</f>
        <v>31Y3M</v>
      </c>
      <c r="Q140" s="28">
        <f>_xll.qlCalendarAdvance(Calendar,SettlementDate,P140,"f",,Trigger)</f>
        <v>53694</v>
      </c>
      <c r="R140" s="28">
        <f>_xll.qlInterestRateIndexValueDate(Index,Q140,Trigger)</f>
        <v>53696</v>
      </c>
      <c r="S140" s="28">
        <f>_xll.qlInterestRateIndexMaturity(Index,R140,Trigger)</f>
        <v>53786</v>
      </c>
      <c r="T140" s="30">
        <f>_xll.qlIndexFixing($M$6,Q140,,InterestRatesTrigger)</f>
        <v>1.5054051375961386E-2</v>
      </c>
      <c r="U140" s="30">
        <f>_xll.qlIndexFixing(Index,Q140,,InterestRatesTrigger)</f>
        <v>1.5271605227984431E-2</v>
      </c>
      <c r="V140" s="30">
        <f t="shared" si="18"/>
        <v>2.1755385202304467E-4</v>
      </c>
      <c r="W140" s="29">
        <f>_xll.qlDayCounterYearFraction(DayCounter,SettlementDate,R140,,,Trigger)</f>
        <v>31.713888888888889</v>
      </c>
      <c r="X140" s="29">
        <f>_xll.qlDayCounterYearFraction(DayCounter,R140,S140)</f>
        <v>0.25</v>
      </c>
      <c r="Y140" s="29">
        <f>_xll.qlYieldTSDiscount(Currency&amp;"ON",R140)/(1+U140*X140)</f>
        <v>0.6390538927879974</v>
      </c>
      <c r="Z140" s="30">
        <f>_xll.qlTenorBasisValue(TenorBasis6M,R140,InterestRatesTrigger)</f>
        <v>2.6208299252475538E-4</v>
      </c>
      <c r="AA140" s="30">
        <f t="shared" si="19"/>
        <v>-4.4529140501710709E-5</v>
      </c>
    </row>
    <row r="141" spans="15:27" x14ac:dyDescent="0.2">
      <c r="O141" s="33">
        <v>3</v>
      </c>
      <c r="P141" s="27" t="str">
        <f>_xll.qlPeriodEquivalent(P140&amp;"+"&amp;O141&amp;"M")</f>
        <v>31Y6M</v>
      </c>
      <c r="Q141" s="28">
        <f>_xll.qlCalendarAdvance(Calendar,SettlementDate,P141,"f",,Trigger)</f>
        <v>53784</v>
      </c>
      <c r="R141" s="28">
        <f>_xll.qlInterestRateIndexValueDate(Index,Q141,Trigger)</f>
        <v>53786</v>
      </c>
      <c r="S141" s="28">
        <f>_xll.qlInterestRateIndexMaturity(Index,R141,Trigger)</f>
        <v>53877</v>
      </c>
      <c r="T141" s="30">
        <f>_xll.qlIndexFixing($M$6,Q141,,InterestRatesTrigger)</f>
        <v>1.5087050459065159E-2</v>
      </c>
      <c r="U141" s="30">
        <f>_xll.qlIndexFixing(Index,Q141,,InterestRatesTrigger)</f>
        <v>1.5277776462575275E-2</v>
      </c>
      <c r="V141" s="30">
        <f t="shared" si="18"/>
        <v>1.9072600351011625E-4</v>
      </c>
      <c r="W141" s="29">
        <f>_xll.qlDayCounterYearFraction(DayCounter,SettlementDate,R141,,,Trigger)</f>
        <v>31.963888888888889</v>
      </c>
      <c r="X141" s="29">
        <f>_xll.qlDayCounterYearFraction(DayCounter,R141,S141)</f>
        <v>0.25277777777777777</v>
      </c>
      <c r="Y141" s="29">
        <f>_xll.qlYieldTSDiscount(Currency&amp;"ON",R141)/(1+U141*X141)</f>
        <v>0.6366299297179977</v>
      </c>
      <c r="Z141" s="30">
        <f>_xll.qlTenorBasisValue(TenorBasis6M,R141,InterestRatesTrigger)</f>
        <v>2.5922718535897139E-4</v>
      </c>
      <c r="AA141" s="30">
        <f t="shared" si="19"/>
        <v>-6.8501181848855148E-5</v>
      </c>
    </row>
    <row r="142" spans="15:27" x14ac:dyDescent="0.2">
      <c r="O142" s="33">
        <v>3</v>
      </c>
      <c r="P142" s="27" t="str">
        <f>_xll.qlPeriodEquivalent(P141&amp;"+"&amp;O142&amp;"M")</f>
        <v>31Y9M</v>
      </c>
      <c r="Q142" s="28">
        <f>_xll.qlCalendarAdvance(Calendar,SettlementDate,P142,"f",,Trigger)</f>
        <v>53875</v>
      </c>
      <c r="R142" s="28">
        <f>_xll.qlInterestRateIndexValueDate(Index,Q142,Trigger)</f>
        <v>53877</v>
      </c>
      <c r="S142" s="28">
        <f>_xll.qlInterestRateIndexMaturity(Index,R142,Trigger)</f>
        <v>53969</v>
      </c>
      <c r="T142" s="30">
        <f>_xll.qlIndexFixing($M$6,Q142,,InterestRatesTrigger)</f>
        <v>1.5116965252395835E-2</v>
      </c>
      <c r="U142" s="30">
        <f>_xll.qlIndexFixing(Index,Q142,,InterestRatesTrigger)</f>
        <v>1.5282704185870716E-2</v>
      </c>
      <c r="V142" s="30">
        <f t="shared" si="18"/>
        <v>1.6573893347488107E-4</v>
      </c>
      <c r="W142" s="29">
        <f>_xll.qlDayCounterYearFraction(DayCounter,SettlementDate,R142,,,Trigger)</f>
        <v>32.216666666666669</v>
      </c>
      <c r="X142" s="29">
        <f>_xll.qlDayCounterYearFraction(DayCounter,R142,S142)</f>
        <v>0.25555555555555554</v>
      </c>
      <c r="Y142" s="29">
        <f>_xll.qlYieldTSDiscount(Currency&amp;"ON",R142)/(1+U142*X142)</f>
        <v>0.6341836509071298</v>
      </c>
      <c r="Z142" s="30">
        <f>_xll.qlTenorBasisValue(TenorBasis6M,R142,InterestRatesTrigger)</f>
        <v>2.5643418669259681E-4</v>
      </c>
      <c r="AA142" s="30">
        <f t="shared" si="19"/>
        <v>-9.0695253217715742E-5</v>
      </c>
    </row>
    <row r="143" spans="15:27" x14ac:dyDescent="0.2">
      <c r="O143" s="33">
        <v>3</v>
      </c>
      <c r="P143" s="27" t="str">
        <f>_xll.qlPeriodEquivalent(P142&amp;"+"&amp;O143&amp;"M")</f>
        <v>32Y</v>
      </c>
      <c r="Q143" s="28">
        <f>_xll.qlCalendarAdvance(Calendar,SettlementDate,P143,"f",,Trigger)</f>
        <v>53967</v>
      </c>
      <c r="R143" s="28">
        <f>_xll.qlInterestRateIndexValueDate(Index,Q143,Trigger)</f>
        <v>53969</v>
      </c>
      <c r="S143" s="28">
        <f>_xll.qlInterestRateIndexMaturity(Index,R143,Trigger)</f>
        <v>54063</v>
      </c>
      <c r="T143" s="30">
        <f>_xll.qlIndexFixing($M$6,Q143,,InterestRatesTrigger)</f>
        <v>1.5144005291128748E-2</v>
      </c>
      <c r="U143" s="30">
        <f>_xll.qlIndexFixing(Index,Q143,,InterestRatesTrigger)</f>
        <v>1.5286639496293112E-2</v>
      </c>
      <c r="V143" s="30">
        <f t="shared" si="18"/>
        <v>1.4263420516436379E-4</v>
      </c>
      <c r="W143" s="29">
        <f>_xll.qlDayCounterYearFraction(DayCounter,SettlementDate,R143,,,Trigger)</f>
        <v>32.472222222222221</v>
      </c>
      <c r="X143" s="29">
        <f>_xll.qlDayCounterYearFraction(DayCounter,R143,S143)</f>
        <v>0.26111111111111113</v>
      </c>
      <c r="Y143" s="29">
        <f>_xll.qlYieldTSDiscount(Currency&amp;"ON",R143)/(1+U143*X143)</f>
        <v>0.63168901478573625</v>
      </c>
      <c r="Z143" s="30">
        <f>_xll.qlTenorBasisValue(TenorBasis6M,R143,InterestRatesTrigger)</f>
        <v>2.537041763496063E-4</v>
      </c>
      <c r="AA143" s="30">
        <f t="shared" si="19"/>
        <v>-1.1106997118524251E-4</v>
      </c>
    </row>
    <row r="144" spans="15:27" x14ac:dyDescent="0.2">
      <c r="O144" s="33">
        <v>3</v>
      </c>
      <c r="P144" s="27" t="str">
        <f>_xll.qlPeriodEquivalent(P143&amp;"+"&amp;O144&amp;"M")</f>
        <v>32Y3M</v>
      </c>
      <c r="Q144" s="28">
        <f>_xll.qlCalendarAdvance(Calendar,SettlementDate,P144,"f",,Trigger)</f>
        <v>54059</v>
      </c>
      <c r="R144" s="28">
        <f>_xll.qlInterestRateIndexValueDate(Index,Q144,Trigger)</f>
        <v>54063</v>
      </c>
      <c r="S144" s="28">
        <f>_xll.qlInterestRateIndexMaturity(Index,R144,Trigger)</f>
        <v>54155</v>
      </c>
      <c r="T144" s="30">
        <f>_xll.qlIndexFixing($M$6,Q144,,InterestRatesTrigger)</f>
        <v>1.5165953705855719E-2</v>
      </c>
      <c r="U144" s="30">
        <f>_xll.qlIndexFixing(Index,Q144,,InterestRatesTrigger)</f>
        <v>1.528783779374864E-2</v>
      </c>
      <c r="V144" s="30">
        <f t="shared" si="18"/>
        <v>1.2188408789292129E-4</v>
      </c>
      <c r="W144" s="29">
        <f>_xll.qlDayCounterYearFraction(DayCounter,SettlementDate,R144,,,Trigger)</f>
        <v>32.733333333333334</v>
      </c>
      <c r="X144" s="29">
        <f>_xll.qlDayCounterYearFraction(DayCounter,R144,S144)</f>
        <v>0.25555555555555554</v>
      </c>
      <c r="Y144" s="29">
        <f>_xll.qlYieldTSDiscount(Currency&amp;"ON",R144)/(1+U144*X144)</f>
        <v>0.62925402092926708</v>
      </c>
      <c r="Z144" s="30">
        <f>_xll.qlTenorBasisValue(TenorBasis6M,R144,InterestRatesTrigger)</f>
        <v>2.5100907469608011E-4</v>
      </c>
      <c r="AA144" s="30">
        <f t="shared" si="19"/>
        <v>-1.2912498680315882E-4</v>
      </c>
    </row>
    <row r="145" spans="15:27" x14ac:dyDescent="0.2">
      <c r="O145" s="33">
        <v>3</v>
      </c>
      <c r="P145" s="27" t="str">
        <f>_xll.qlPeriodEquivalent(P144&amp;"+"&amp;O145&amp;"M")</f>
        <v>32Y6M</v>
      </c>
      <c r="Q145" s="28">
        <f>_xll.qlCalendarAdvance(Calendar,SettlementDate,P145,"f",,Trigger)</f>
        <v>54150</v>
      </c>
      <c r="R145" s="28">
        <f>_xll.qlInterestRateIndexValueDate(Index,Q145,Trigger)</f>
        <v>54156</v>
      </c>
      <c r="S145" s="28">
        <f>_xll.qlInterestRateIndexMaturity(Index,R145,Trigger)</f>
        <v>54247</v>
      </c>
      <c r="T145" s="30">
        <f>_xll.qlIndexFixing($M$6,Q145,,InterestRatesTrigger)</f>
        <v>1.5184166044248489E-2</v>
      </c>
      <c r="U145" s="30">
        <f>_xll.qlIndexFixing(Index,Q145,,InterestRatesTrigger)</f>
        <v>1.5287871647060556E-2</v>
      </c>
      <c r="V145" s="30">
        <f t="shared" si="18"/>
        <v>1.037056028120667E-4</v>
      </c>
      <c r="W145" s="29">
        <f>_xll.qlDayCounterYearFraction(DayCounter,SettlementDate,R145,,,Trigger)</f>
        <v>32.991666666666667</v>
      </c>
      <c r="X145" s="29">
        <f>_xll.qlDayCounterYearFraction(DayCounter,R145,S145)</f>
        <v>0.25277777777777777</v>
      </c>
      <c r="Y145" s="29">
        <f>_xll.qlYieldTSDiscount(Currency&amp;"ON",R145)/(1+U145*X145)</f>
        <v>0.62682474696830237</v>
      </c>
      <c r="Z145" s="30">
        <f>_xll.qlTenorBasisValue(TenorBasis6M,R145,InterestRatesTrigger)</f>
        <v>2.484334470401563E-4</v>
      </c>
      <c r="AA145" s="30">
        <f t="shared" si="19"/>
        <v>-1.447278442280896E-4</v>
      </c>
    </row>
    <row r="146" spans="15:27" x14ac:dyDescent="0.2">
      <c r="O146" s="33">
        <v>3</v>
      </c>
      <c r="P146" s="27" t="str">
        <f>_xll.qlPeriodEquivalent(P145&amp;"+"&amp;O146&amp;"M")</f>
        <v>32Y9M</v>
      </c>
      <c r="Q146" s="28">
        <f>_xll.qlCalendarAdvance(Calendar,SettlementDate,P146,"f",,Trigger)</f>
        <v>54241</v>
      </c>
      <c r="R146" s="28">
        <f>_xll.qlInterestRateIndexValueDate(Index,Q146,Trigger)</f>
        <v>54245</v>
      </c>
      <c r="S146" s="28">
        <f>_xll.qlInterestRateIndexMaturity(Index,R146,Trigger)</f>
        <v>54337</v>
      </c>
      <c r="T146" s="30">
        <f>_xll.qlIndexFixing($M$6,Q146,,InterestRatesTrigger)</f>
        <v>1.5198563342533625E-2</v>
      </c>
      <c r="U146" s="30">
        <f>_xll.qlIndexFixing(Index,Q146,,InterestRatesTrigger)</f>
        <v>1.5287096646045431E-2</v>
      </c>
      <c r="V146" s="30">
        <f t="shared" si="18"/>
        <v>8.853330351180598E-5</v>
      </c>
      <c r="W146" s="29">
        <f>_xll.qlDayCounterYearFraction(DayCounter,SettlementDate,R146,,,Trigger)</f>
        <v>33.238888888888887</v>
      </c>
      <c r="X146" s="29">
        <f>_xll.qlDayCounterYearFraction(DayCounter,R146,S146)</f>
        <v>0.25555555555555554</v>
      </c>
      <c r="Y146" s="29">
        <f>_xll.qlYieldTSDiscount(Currency&amp;"ON",R146)/(1+U146*X146)</f>
        <v>0.62445436424812795</v>
      </c>
      <c r="Z146" s="30">
        <f>_xll.qlTenorBasisValue(TenorBasis6M,R146,InterestRatesTrigger)</f>
        <v>2.4605052648929632E-4</v>
      </c>
      <c r="AA146" s="30">
        <f t="shared" si="19"/>
        <v>-1.5751722297749034E-4</v>
      </c>
    </row>
    <row r="147" spans="15:27" x14ac:dyDescent="0.2">
      <c r="O147" s="33">
        <v>3</v>
      </c>
      <c r="P147" s="27" t="str">
        <f>_xll.qlPeriodEquivalent(P146&amp;"+"&amp;O147&amp;"M")</f>
        <v>33Y</v>
      </c>
      <c r="Q147" s="28">
        <f>_xll.qlCalendarAdvance(Calendar,SettlementDate,P147,"f",,Trigger)</f>
        <v>54333</v>
      </c>
      <c r="R147" s="28">
        <f>_xll.qlInterestRateIndexValueDate(Index,Q147,Trigger)</f>
        <v>54337</v>
      </c>
      <c r="S147" s="28">
        <f>_xll.qlInterestRateIndexMaturity(Index,R147,Trigger)</f>
        <v>54429</v>
      </c>
      <c r="T147" s="30">
        <f>_xll.qlIndexFixing($M$6,Q147,,InterestRatesTrigger)</f>
        <v>1.5208974292947562E-2</v>
      </c>
      <c r="U147" s="30">
        <f>_xll.qlIndexFixing(Index,Q147,,InterestRatesTrigger)</f>
        <v>1.5284447527761563E-2</v>
      </c>
      <c r="V147" s="30">
        <f t="shared" si="18"/>
        <v>7.5473234814001089E-5</v>
      </c>
      <c r="W147" s="29">
        <f>_xll.qlDayCounterYearFraction(DayCounter,SettlementDate,R147,,,Trigger)</f>
        <v>33.494444444444447</v>
      </c>
      <c r="X147" s="29">
        <f>_xll.qlDayCounterYearFraction(DayCounter,R147,S147)</f>
        <v>0.25555555555555554</v>
      </c>
      <c r="Y147" s="29">
        <f>_xll.qlYieldTSDiscount(Currency&amp;"ON",R147)/(1+U147*X147)</f>
        <v>0.62203873881263028</v>
      </c>
      <c r="Z147" s="30">
        <f>_xll.qlTenorBasisValue(TenorBasis6M,R147,InterestRatesTrigger)</f>
        <v>2.4366887996775925E-4</v>
      </c>
      <c r="AA147" s="30">
        <f t="shared" si="19"/>
        <v>-1.6819564515375816E-4</v>
      </c>
    </row>
    <row r="148" spans="15:27" x14ac:dyDescent="0.2">
      <c r="O148" s="33">
        <v>3</v>
      </c>
      <c r="P148" s="27" t="str">
        <f>_xll.qlPeriodEquivalent(P147&amp;"+"&amp;O148&amp;"M")</f>
        <v>33Y3M</v>
      </c>
      <c r="Q148" s="28">
        <f>_xll.qlCalendarAdvance(Calendar,SettlementDate,P148,"f",,Trigger)</f>
        <v>54427</v>
      </c>
      <c r="R148" s="28">
        <f>_xll.qlInterestRateIndexValueDate(Index,Q148,Trigger)</f>
        <v>54429</v>
      </c>
      <c r="S148" s="28">
        <f>_xll.qlInterestRateIndexMaturity(Index,R148,Trigger)</f>
        <v>54519</v>
      </c>
      <c r="T148" s="30">
        <f>_xll.qlIndexFixing($M$6,Q148,,InterestRatesTrigger)</f>
        <v>1.5214465840744928E-2</v>
      </c>
      <c r="U148" s="30">
        <f>_xll.qlIndexFixing(Index,Q148,,InterestRatesTrigger)</f>
        <v>1.5279624838131944E-2</v>
      </c>
      <c r="V148" s="30">
        <f t="shared" si="18"/>
        <v>6.5158997387015916E-5</v>
      </c>
      <c r="W148" s="29">
        <f>_xll.qlDayCounterYearFraction(DayCounter,SettlementDate,R148,,,Trigger)</f>
        <v>33.75</v>
      </c>
      <c r="X148" s="29">
        <f>_xll.qlDayCounterYearFraction(DayCounter,R148,S148)</f>
        <v>0.25</v>
      </c>
      <c r="Y148" s="29">
        <f>_xll.qlYieldTSDiscount(Currency&amp;"ON",R148)/(1+U148*X148)</f>
        <v>0.61968355693158272</v>
      </c>
      <c r="Z148" s="30">
        <f>_xll.qlTenorBasisValue(TenorBasis6M,R148,InterestRatesTrigger)</f>
        <v>2.4136759615479549E-4</v>
      </c>
      <c r="AA148" s="30">
        <f t="shared" si="19"/>
        <v>-1.7620859876777957E-4</v>
      </c>
    </row>
    <row r="149" spans="15:27" x14ac:dyDescent="0.2">
      <c r="O149" s="33">
        <v>3</v>
      </c>
      <c r="P149" s="27" t="str">
        <f>_xll.qlPeriodEquivalent(P148&amp;"+"&amp;O149&amp;"M")</f>
        <v>33Y6M</v>
      </c>
      <c r="Q149" s="28">
        <f>_xll.qlCalendarAdvance(Calendar,SettlementDate,P149,"f",,Trigger)</f>
        <v>54515</v>
      </c>
      <c r="R149" s="28">
        <f>_xll.qlInterestRateIndexValueDate(Index,Q149,Trigger)</f>
        <v>54519</v>
      </c>
      <c r="S149" s="28">
        <f>_xll.qlInterestRateIndexMaturity(Index,R149,Trigger)</f>
        <v>54610</v>
      </c>
      <c r="T149" s="30">
        <f>_xll.qlIndexFixing($M$6,Q149,,InterestRatesTrigger)</f>
        <v>1.5216642298633129E-2</v>
      </c>
      <c r="U149" s="30">
        <f>_xll.qlIndexFixing(Index,Q149,,InterestRatesTrigger)</f>
        <v>1.5274215635223614E-2</v>
      </c>
      <c r="V149" s="30">
        <f t="shared" si="18"/>
        <v>5.757333659048465E-5</v>
      </c>
      <c r="W149" s="29">
        <f>_xll.qlDayCounterYearFraction(DayCounter,SettlementDate,R149,,,Trigger)</f>
        <v>34</v>
      </c>
      <c r="X149" s="29">
        <f>_xll.qlDayCounterYearFraction(DayCounter,R149,S149)</f>
        <v>0.25277777777777777</v>
      </c>
      <c r="Y149" s="29">
        <f>_xll.qlYieldTSDiscount(Currency&amp;"ON",R149)/(1+U149*X149)</f>
        <v>0.61731018946509364</v>
      </c>
      <c r="Z149" s="30">
        <f>_xll.qlTenorBasisValue(TenorBasis6M,R149,InterestRatesTrigger)</f>
        <v>2.3919165832613241E-4</v>
      </c>
      <c r="AA149" s="30">
        <f t="shared" si="19"/>
        <v>-1.8161832173564776E-4</v>
      </c>
    </row>
    <row r="150" spans="15:27" x14ac:dyDescent="0.2">
      <c r="O150" s="33">
        <v>3</v>
      </c>
      <c r="P150" s="27" t="str">
        <f>_xll.qlPeriodEquivalent(P149&amp;"+"&amp;O150&amp;"M")</f>
        <v>33Y9M</v>
      </c>
      <c r="Q150" s="28">
        <f>_xll.qlCalendarAdvance(Calendar,SettlementDate,P150,"f",,Trigger)</f>
        <v>54606</v>
      </c>
      <c r="R150" s="28">
        <f>_xll.qlInterestRateIndexValueDate(Index,Q150,Trigger)</f>
        <v>54610</v>
      </c>
      <c r="S150" s="28">
        <f>_xll.qlInterestRateIndexMaturity(Index,R150,Trigger)</f>
        <v>54702</v>
      </c>
      <c r="T150" s="30">
        <f>_xll.qlIndexFixing($M$6,Q150,,InterestRatesTrigger)</f>
        <v>1.5214428045425013E-2</v>
      </c>
      <c r="U150" s="30">
        <f>_xll.qlIndexFixing(Index,Q150,,InterestRatesTrigger)</f>
        <v>1.5267102629295369E-2</v>
      </c>
      <c r="V150" s="30">
        <f t="shared" si="18"/>
        <v>5.267458387035566E-5</v>
      </c>
      <c r="W150" s="29">
        <f>_xll.qlDayCounterYearFraction(DayCounter,SettlementDate,R150,,,Trigger)</f>
        <v>34.25277777777778</v>
      </c>
      <c r="X150" s="29">
        <f>_xll.qlDayCounterYearFraction(DayCounter,R150,S150)</f>
        <v>0.25555555555555554</v>
      </c>
      <c r="Y150" s="29">
        <f>_xll.qlYieldTSDiscount(Currency&amp;"ON",R150)/(1+U150*X150)</f>
        <v>0.61491997152602063</v>
      </c>
      <c r="Z150" s="30">
        <f>_xll.qlTenorBasisValue(TenorBasis6M,R150,InterestRatesTrigger)</f>
        <v>2.3706490055074768E-4</v>
      </c>
      <c r="AA150" s="30">
        <f t="shared" si="19"/>
        <v>-1.8439031668039202E-4</v>
      </c>
    </row>
    <row r="151" spans="15:27" x14ac:dyDescent="0.2">
      <c r="O151" s="33">
        <v>3</v>
      </c>
      <c r="P151" s="27" t="str">
        <f>_xll.qlPeriodEquivalent(P150&amp;"+"&amp;O151&amp;"M")</f>
        <v>34Y</v>
      </c>
      <c r="Q151" s="28">
        <f>_xll.qlCalendarAdvance(Calendar,SettlementDate,P151,"f",,Trigger)</f>
        <v>54700</v>
      </c>
      <c r="R151" s="28">
        <f>_xll.qlInterestRateIndexValueDate(Index,Q151,Trigger)</f>
        <v>54702</v>
      </c>
      <c r="S151" s="28">
        <f>_xll.qlInterestRateIndexMaturity(Index,R151,Trigger)</f>
        <v>54794</v>
      </c>
      <c r="T151" s="30">
        <f>_xll.qlIndexFixing($M$6,Q151,,InterestRatesTrigger)</f>
        <v>1.5207289385215097E-2</v>
      </c>
      <c r="U151" s="30">
        <f>_xll.qlIndexFixing(Index,Q151,,InterestRatesTrigger)</f>
        <v>1.525792258234146E-2</v>
      </c>
      <c r="V151" s="30">
        <f t="shared" si="18"/>
        <v>5.0633197126363425E-5</v>
      </c>
      <c r="W151" s="29">
        <f>_xll.qlDayCounterYearFraction(DayCounter,SettlementDate,R151,,,Trigger)</f>
        <v>34.508333333333333</v>
      </c>
      <c r="X151" s="29">
        <f>_xll.qlDayCounterYearFraction(DayCounter,R151,S151)</f>
        <v>0.25555555555555554</v>
      </c>
      <c r="Y151" s="29">
        <f>_xll.qlYieldTSDiscount(Currency&amp;"ON",R151)/(1+U151*X151)</f>
        <v>0.6125397732765655</v>
      </c>
      <c r="Z151" s="30">
        <f>_xll.qlTenorBasisValue(TenorBasis6M,R151,InterestRatesTrigger)</f>
        <v>2.3498739084417615E-4</v>
      </c>
      <c r="AA151" s="30">
        <f t="shared" si="19"/>
        <v>-1.8435419371781272E-4</v>
      </c>
    </row>
    <row r="152" spans="15:27" x14ac:dyDescent="0.2">
      <c r="O152" s="33">
        <v>3</v>
      </c>
      <c r="P152" s="27" t="str">
        <f>_xll.qlPeriodEquivalent(P151&amp;"+"&amp;O152&amp;"M")</f>
        <v>34Y3M</v>
      </c>
      <c r="Q152" s="28">
        <f>_xll.qlCalendarAdvance(Calendar,SettlementDate,P152,"f",,Trigger)</f>
        <v>54791</v>
      </c>
      <c r="R152" s="28">
        <f>_xll.qlInterestRateIndexValueDate(Index,Q152,Trigger)</f>
        <v>54793</v>
      </c>
      <c r="S152" s="28">
        <f>_xll.qlInterestRateIndexMaturity(Index,R152,Trigger)</f>
        <v>54883</v>
      </c>
      <c r="T152" s="30">
        <f>_xll.qlIndexFixing($M$6,Q152,,InterestRatesTrigger)</f>
        <v>1.5195099429103465E-2</v>
      </c>
      <c r="U152" s="30">
        <f>_xll.qlIndexFixing(Index,Q152,,InterestRatesTrigger)</f>
        <v>1.5246606254571304E-2</v>
      </c>
      <c r="V152" s="30">
        <f t="shared" si="18"/>
        <v>5.150682546783969E-5</v>
      </c>
      <c r="W152" s="29">
        <f>_xll.qlDayCounterYearFraction(DayCounter,SettlementDate,R152,,,Trigger)</f>
        <v>34.761111111111113</v>
      </c>
      <c r="X152" s="29">
        <f>_xll.qlDayCounterYearFraction(DayCounter,R152,S152)</f>
        <v>0.25</v>
      </c>
      <c r="Y152" s="29">
        <f>_xll.qlYieldTSDiscount(Currency&amp;"ON",R152)/(1+U152*X152)</f>
        <v>0.61024743534396941</v>
      </c>
      <c r="Z152" s="30">
        <f>_xll.qlTenorBasisValue(TenorBasis6M,R152,InterestRatesTrigger)</f>
        <v>2.3300201212759518E-4</v>
      </c>
      <c r="AA152" s="30">
        <f t="shared" si="19"/>
        <v>-1.8149518665975549E-4</v>
      </c>
    </row>
    <row r="153" spans="15:27" x14ac:dyDescent="0.2">
      <c r="O153" s="33">
        <v>3</v>
      </c>
      <c r="P153" s="27" t="str">
        <f>_xll.qlPeriodEquivalent(P152&amp;"+"&amp;O153&amp;"M")</f>
        <v>34Y6M</v>
      </c>
      <c r="Q153" s="28">
        <f>_xll.qlCalendarAdvance(Calendar,SettlementDate,P153,"f",,Trigger)</f>
        <v>54882</v>
      </c>
      <c r="R153" s="28">
        <f>_xll.qlInterestRateIndexValueDate(Index,Q153,Trigger)</f>
        <v>54884</v>
      </c>
      <c r="S153" s="28">
        <f>_xll.qlInterestRateIndexMaturity(Index,R153,Trigger)</f>
        <v>54975</v>
      </c>
      <c r="T153" s="30">
        <f>_xll.qlIndexFixing($M$6,Q153,,InterestRatesTrigger)</f>
        <v>1.5178908041833486E-2</v>
      </c>
      <c r="U153" s="30">
        <f>_xll.qlIndexFixing(Index,Q153,,InterestRatesTrigger)</f>
        <v>1.523431642427571E-2</v>
      </c>
      <c r="V153" s="30">
        <f t="shared" si="18"/>
        <v>5.5408382442223569E-5</v>
      </c>
      <c r="W153" s="29">
        <f>_xll.qlDayCounterYearFraction(DayCounter,SettlementDate,R153,,,Trigger)</f>
        <v>35.013888888888886</v>
      </c>
      <c r="X153" s="29">
        <f>_xll.qlDayCounterYearFraction(DayCounter,R153,S153)</f>
        <v>0.25277777777777777</v>
      </c>
      <c r="Y153" s="29">
        <f>_xll.qlYieldTSDiscount(Currency&amp;"ON",R153)/(1+U153*X153)</f>
        <v>0.60788865103413336</v>
      </c>
      <c r="Z153" s="30">
        <f>_xll.qlTenorBasisValue(TenorBasis6M,R153,InterestRatesTrigger)</f>
        <v>2.3108359947998381E-4</v>
      </c>
      <c r="AA153" s="30">
        <f t="shared" si="19"/>
        <v>-1.7567521703776024E-4</v>
      </c>
    </row>
    <row r="154" spans="15:27" x14ac:dyDescent="0.2">
      <c r="O154" s="33">
        <v>3</v>
      </c>
      <c r="P154" s="27" t="str">
        <f>_xll.qlPeriodEquivalent(P153&amp;"+"&amp;O154&amp;"M")</f>
        <v>34Y9M</v>
      </c>
      <c r="Q154" s="28">
        <f>_xll.qlCalendarAdvance(Calendar,SettlementDate,P154,"f",,Trigger)</f>
        <v>54973</v>
      </c>
      <c r="R154" s="28">
        <f>_xll.qlInterestRateIndexValueDate(Index,Q154,Trigger)</f>
        <v>54975</v>
      </c>
      <c r="S154" s="28">
        <f>_xll.qlInterestRateIndexMaturity(Index,R154,Trigger)</f>
        <v>55067</v>
      </c>
      <c r="T154" s="30">
        <f>_xll.qlIndexFixing($M$6,Q154,,InterestRatesTrigger)</f>
        <v>1.5157798116066127E-2</v>
      </c>
      <c r="U154" s="30">
        <f>_xll.qlIndexFixing(Index,Q154,,InterestRatesTrigger)</f>
        <v>1.5220210837234766E-2</v>
      </c>
      <c r="V154" s="30">
        <f t="shared" si="18"/>
        <v>6.2412721168638233E-5</v>
      </c>
      <c r="W154" s="29">
        <f>_xll.qlDayCounterYearFraction(DayCounter,SettlementDate,R154,,,Trigger)</f>
        <v>35.266666666666666</v>
      </c>
      <c r="X154" s="29">
        <f>_xll.qlDayCounterYearFraction(DayCounter,R154,S154)</f>
        <v>0.25555555555555554</v>
      </c>
      <c r="Y154" s="29">
        <f>_xll.qlYieldTSDiscount(Currency&amp;"ON",R154)/(1+U154*X154)</f>
        <v>0.60554181144074737</v>
      </c>
      <c r="Z154" s="30">
        <f>_xll.qlTenorBasisValue(TenorBasis6M,R154,InterestRatesTrigger)</f>
        <v>2.2923002066071955E-4</v>
      </c>
      <c r="AA154" s="30">
        <f t="shared" si="19"/>
        <v>-1.6681729949208132E-4</v>
      </c>
    </row>
    <row r="155" spans="15:27" x14ac:dyDescent="0.2">
      <c r="O155" s="33">
        <v>3</v>
      </c>
      <c r="P155" s="27" t="str">
        <f>_xll.qlPeriodEquivalent(P154&amp;"+"&amp;O155&amp;"M")</f>
        <v>35Y</v>
      </c>
      <c r="Q155" s="28">
        <f>_xll.qlCalendarAdvance(Calendar,SettlementDate,P155,"f",,Trigger)</f>
        <v>55064</v>
      </c>
      <c r="R155" s="28">
        <f>_xll.qlInterestRateIndexValueDate(Index,Q155,Trigger)</f>
        <v>55066</v>
      </c>
      <c r="S155" s="28">
        <f>_xll.qlInterestRateIndexMaturity(Index,R155,Trigger)</f>
        <v>55158</v>
      </c>
      <c r="T155" s="30">
        <f>_xll.qlIndexFixing($M$6,Q155,,InterestRatesTrigger)</f>
        <v>1.5131493931228012E-2</v>
      </c>
      <c r="U155" s="30">
        <f>_xll.qlIndexFixing(Index,Q155,,InterestRatesTrigger)</f>
        <v>1.5204022888774805E-2</v>
      </c>
      <c r="V155" s="30">
        <f t="shared" si="18"/>
        <v>7.252895754679238E-5</v>
      </c>
      <c r="W155" s="29">
        <f>_xll.qlDayCounterYearFraction(DayCounter,SettlementDate,R155,,,Trigger)</f>
        <v>35.519444444444446</v>
      </c>
      <c r="X155" s="29">
        <f>_xll.qlDayCounterYearFraction(DayCounter,R155,S155)</f>
        <v>0.25555555555555554</v>
      </c>
      <c r="Y155" s="29">
        <f>_xll.qlYieldTSDiscount(Currency&amp;"ON",R155)/(1+U155*X155)</f>
        <v>0.60323301461123746</v>
      </c>
      <c r="Z155" s="30">
        <f>_xll.qlTenorBasisValue(TenorBasis6M,R155,InterestRatesTrigger)</f>
        <v>2.274392047958043E-4</v>
      </c>
      <c r="AA155" s="30">
        <f t="shared" si="19"/>
        <v>-1.5491024724901192E-4</v>
      </c>
    </row>
    <row r="156" spans="15:27" x14ac:dyDescent="0.2">
      <c r="O156" s="33">
        <v>3</v>
      </c>
      <c r="P156" s="27" t="str">
        <f>_xll.qlPeriodEquivalent(P155&amp;"+"&amp;O156&amp;"M")</f>
        <v>35Y3M</v>
      </c>
      <c r="Q156" s="28">
        <f>_xll.qlCalendarAdvance(Calendar,SettlementDate,P156,"f",,Trigger)</f>
        <v>55155</v>
      </c>
      <c r="R156" s="28">
        <f>_xll.qlInterestRateIndexValueDate(Index,Q156,Trigger)</f>
        <v>55157</v>
      </c>
      <c r="S156" s="28">
        <f>_xll.qlInterestRateIndexMaturity(Index,R156,Trigger)</f>
        <v>55247</v>
      </c>
      <c r="T156" s="30">
        <f>_xll.qlIndexFixing($M$6,Q156,,InterestRatesTrigger)</f>
        <v>1.5099838481160255E-2</v>
      </c>
      <c r="U156" s="30">
        <f>_xll.qlIndexFixing(Index,Q156,,InterestRatesTrigger)</f>
        <v>1.5185530715236872E-2</v>
      </c>
      <c r="V156" s="30">
        <f t="shared" si="18"/>
        <v>8.5692234076617524E-5</v>
      </c>
      <c r="W156" s="29">
        <f>_xll.qlDayCounterYearFraction(DayCounter,SettlementDate,R156,,,Trigger)</f>
        <v>35.772222222222226</v>
      </c>
      <c r="X156" s="29">
        <f>_xll.qlDayCounterYearFraction(DayCounter,R156,S156)</f>
        <v>0.25</v>
      </c>
      <c r="Y156" s="29">
        <f>_xll.qlYieldTSDiscount(Currency&amp;"ON",R156)/(1+U156*X156)</f>
        <v>0.60098785506792907</v>
      </c>
      <c r="Z156" s="30">
        <f>_xll.qlTenorBasisValue(TenorBasis6M,R156,InterestRatesTrigger)</f>
        <v>2.2570914096827036E-4</v>
      </c>
      <c r="AA156" s="30">
        <f t="shared" si="19"/>
        <v>-1.4001690689165283E-4</v>
      </c>
    </row>
    <row r="157" spans="15:27" x14ac:dyDescent="0.2">
      <c r="O157" s="33">
        <v>3</v>
      </c>
      <c r="P157" s="27" t="str">
        <f>_xll.qlPeriodEquivalent(P156&amp;"+"&amp;O157&amp;"M")</f>
        <v>35Y6M</v>
      </c>
      <c r="Q157" s="28">
        <f>_xll.qlCalendarAdvance(Calendar,SettlementDate,P157,"f",,Trigger)</f>
        <v>55247</v>
      </c>
      <c r="R157" s="28">
        <f>_xll.qlInterestRateIndexValueDate(Index,Q157,Trigger)</f>
        <v>55249</v>
      </c>
      <c r="S157" s="28">
        <f>_xll.qlInterestRateIndexMaturity(Index,R157,Trigger)</f>
        <v>55340</v>
      </c>
      <c r="T157" s="30">
        <f>_xll.qlIndexFixing($M$6,Q157,,InterestRatesTrigger)</f>
        <v>1.5062936546484147E-2</v>
      </c>
      <c r="U157" s="30">
        <f>_xll.qlIndexFixing(Index,Q157,,InterestRatesTrigger)</f>
        <v>1.5165543217189582E-2</v>
      </c>
      <c r="V157" s="30">
        <f t="shared" si="18"/>
        <v>1.0260667070543551E-4</v>
      </c>
      <c r="W157" s="29">
        <f>_xll.qlDayCounterYearFraction(DayCounter,SettlementDate,R157,,,Trigger)</f>
        <v>36.027777777777779</v>
      </c>
      <c r="X157" s="29">
        <f>_xll.qlDayCounterYearFraction(DayCounter,R157,S157)</f>
        <v>0.25277777777777777</v>
      </c>
      <c r="Y157" s="29">
        <f>_xll.qlYieldTSDiscount(Currency&amp;"ON",R157)/(1+U157*X157)</f>
        <v>0.59865546739588249</v>
      </c>
      <c r="Z157" s="30">
        <f>_xll.qlTenorBasisValue(TenorBasis6M,R157,InterestRatesTrigger)</f>
        <v>2.2401983079594972E-4</v>
      </c>
      <c r="AA157" s="30">
        <f t="shared" si="19"/>
        <v>-1.2141316009051421E-4</v>
      </c>
    </row>
    <row r="158" spans="15:27" x14ac:dyDescent="0.2">
      <c r="O158" s="33">
        <v>3</v>
      </c>
      <c r="P158" s="27" t="str">
        <f>_xll.qlPeriodEquivalent(P157&amp;"+"&amp;O158&amp;"M")</f>
        <v>35Y9M</v>
      </c>
      <c r="Q158" s="28">
        <f>_xll.qlCalendarAdvance(Calendar,SettlementDate,P158,"f",,Trigger)</f>
        <v>55337</v>
      </c>
      <c r="R158" s="28">
        <f>_xll.qlInterestRateIndexValueDate(Index,Q158,Trigger)</f>
        <v>55339</v>
      </c>
      <c r="S158" s="28">
        <f>_xll.qlInterestRateIndexMaturity(Index,R158,Trigger)</f>
        <v>55431</v>
      </c>
      <c r="T158" s="30">
        <f>_xll.qlIndexFixing($M$6,Q158,,InterestRatesTrigger)</f>
        <v>1.5021497264274E-2</v>
      </c>
      <c r="U158" s="30">
        <f>_xll.qlIndexFixing(Index,Q158,,InterestRatesTrigger)</f>
        <v>1.5144034521416912E-2</v>
      </c>
      <c r="V158" s="30">
        <f t="shared" si="18"/>
        <v>1.2253725714291182E-4</v>
      </c>
      <c r="W158" s="29">
        <f>_xll.qlDayCounterYearFraction(DayCounter,SettlementDate,R158,,,Trigger)</f>
        <v>36.277777777777779</v>
      </c>
      <c r="X158" s="29">
        <f>_xll.qlDayCounterYearFraction(DayCounter,R158,S158)</f>
        <v>0.25555555555555554</v>
      </c>
      <c r="Y158" s="29">
        <f>_xll.qlYieldTSDiscount(Currency&amp;"ON",R158)/(1+U158*X158)</f>
        <v>0.59638779940056208</v>
      </c>
      <c r="Z158" s="30">
        <f>_xll.qlTenorBasisValue(TenorBasis6M,R158,InterestRatesTrigger)</f>
        <v>2.2242351716238366E-4</v>
      </c>
      <c r="AA158" s="30">
        <f t="shared" si="19"/>
        <v>-9.9886260019471841E-5</v>
      </c>
    </row>
    <row r="159" spans="15:27" x14ac:dyDescent="0.2">
      <c r="O159" s="33">
        <v>3</v>
      </c>
      <c r="P159" s="27" t="str">
        <f>_xll.qlPeriodEquivalent(P158&amp;"+"&amp;O159&amp;"M")</f>
        <v>36Y</v>
      </c>
      <c r="Q159" s="28">
        <f>_xll.qlCalendarAdvance(Calendar,SettlementDate,P159,"f",,Trigger)</f>
        <v>55428</v>
      </c>
      <c r="R159" s="28">
        <f>_xll.qlInterestRateIndexValueDate(Index,Q159,Trigger)</f>
        <v>55430</v>
      </c>
      <c r="S159" s="28">
        <f>_xll.qlInterestRateIndexMaturity(Index,R159,Trigger)</f>
        <v>55522</v>
      </c>
      <c r="T159" s="30">
        <f>_xll.qlIndexFixing($M$6,Q159,,InterestRatesTrigger)</f>
        <v>1.4974074586674388E-2</v>
      </c>
      <c r="U159" s="30">
        <f>_xll.qlIndexFixing(Index,Q159,,InterestRatesTrigger)</f>
        <v>1.5120093957323144E-2</v>
      </c>
      <c r="V159" s="30">
        <f t="shared" ref="V159:V222" si="20">U159-T159</f>
        <v>1.4601937064875545E-4</v>
      </c>
      <c r="W159" s="29">
        <f>_xll.qlDayCounterYearFraction(DayCounter,SettlementDate,R159,,,Trigger)</f>
        <v>36.530555555555559</v>
      </c>
      <c r="X159" s="29">
        <f>_xll.qlDayCounterYearFraction(DayCounter,R159,S159)</f>
        <v>0.25555555555555554</v>
      </c>
      <c r="Y159" s="29">
        <f>_xll.qlYieldTSDiscount(Currency&amp;"ON",R159)/(1+U159*X159)</f>
        <v>0.59413545140666602</v>
      </c>
      <c r="Z159" s="30">
        <f>_xll.qlTenorBasisValue(TenorBasis6M,R159,InterestRatesTrigger)</f>
        <v>2.2086422260958504E-4</v>
      </c>
      <c r="AA159" s="30">
        <f t="shared" ref="AA159:AA222" si="21">V159-Z159</f>
        <v>-7.4844851960829593E-5</v>
      </c>
    </row>
    <row r="160" spans="15:27" x14ac:dyDescent="0.2">
      <c r="O160" s="33">
        <v>3</v>
      </c>
      <c r="P160" s="27" t="str">
        <f>_xll.qlPeriodEquivalent(P159&amp;"+"&amp;O160&amp;"M")</f>
        <v>36Y3M</v>
      </c>
      <c r="Q160" s="28">
        <f>_xll.qlCalendarAdvance(Calendar,SettlementDate,P160,"f",,Trigger)</f>
        <v>55520</v>
      </c>
      <c r="R160" s="28">
        <f>_xll.qlInterestRateIndexValueDate(Index,Q160,Trigger)</f>
        <v>55522</v>
      </c>
      <c r="S160" s="28">
        <f>_xll.qlInterestRateIndexMaturity(Index,R160,Trigger)</f>
        <v>55613</v>
      </c>
      <c r="T160" s="30">
        <f>_xll.qlIndexFixing($M$6,Q160,,InterestRatesTrigger)</f>
        <v>1.4920465147261783E-2</v>
      </c>
      <c r="U160" s="30">
        <f>_xll.qlIndexFixing(Index,Q160,,InterestRatesTrigger)</f>
        <v>1.5093650484007553E-2</v>
      </c>
      <c r="V160" s="30">
        <f t="shared" si="20"/>
        <v>1.7318533674576947E-4</v>
      </c>
      <c r="W160" s="29">
        <f>_xll.qlDayCounterYearFraction(DayCounter,SettlementDate,R160,,,Trigger)</f>
        <v>36.786111111111111</v>
      </c>
      <c r="X160" s="29">
        <f>_xll.qlDayCounterYearFraction(DayCounter,R160,S160)</f>
        <v>0.25277777777777777</v>
      </c>
      <c r="Y160" s="29">
        <f>_xll.qlYieldTSDiscount(Currency&amp;"ON",R160)/(1+U160*X160)</f>
        <v>0.5918992411717231</v>
      </c>
      <c r="Z160" s="30">
        <f>_xll.qlTenorBasisValue(TenorBasis6M,R160,InterestRatesTrigger)</f>
        <v>2.1934194807461311E-4</v>
      </c>
      <c r="AA160" s="30">
        <f t="shared" si="21"/>
        <v>-4.6156611328843636E-5</v>
      </c>
    </row>
    <row r="161" spans="15:27" x14ac:dyDescent="0.2">
      <c r="O161" s="33">
        <v>3</v>
      </c>
      <c r="P161" s="27" t="str">
        <f>_xll.qlPeriodEquivalent(P160&amp;"+"&amp;O161&amp;"M")</f>
        <v>36Y6M</v>
      </c>
      <c r="Q161" s="28">
        <f>_xll.qlCalendarAdvance(Calendar,SettlementDate,P161,"f",,Trigger)</f>
        <v>55611</v>
      </c>
      <c r="R161" s="28">
        <f>_xll.qlInterestRateIndexValueDate(Index,Q161,Trigger)</f>
        <v>55613</v>
      </c>
      <c r="S161" s="28">
        <f>_xll.qlInterestRateIndexMaturity(Index,R161,Trigger)</f>
        <v>55704</v>
      </c>
      <c r="T161" s="30">
        <f>_xll.qlIndexFixing($M$6,Q161,,InterestRatesTrigger)</f>
        <v>1.4861742004562513E-2</v>
      </c>
      <c r="U161" s="30">
        <f>_xll.qlIndexFixing(Index,Q161,,InterestRatesTrigger)</f>
        <v>1.5065578024739614E-2</v>
      </c>
      <c r="V161" s="30">
        <f t="shared" si="20"/>
        <v>2.0383602017710195E-4</v>
      </c>
      <c r="W161" s="29">
        <f>_xll.qlDayCounterYearFraction(DayCounter,SettlementDate,R161,,,Trigger)</f>
        <v>37.038888888888891</v>
      </c>
      <c r="X161" s="29">
        <f>_xll.qlDayCounterYearFraction(DayCounter,R161,S161)</f>
        <v>0.25277777777777777</v>
      </c>
      <c r="Y161" s="29">
        <f>_xll.qlYieldTSDiscount(Currency&amp;"ON",R161)/(1+U161*X161)</f>
        <v>0.58967941292995452</v>
      </c>
      <c r="Z161" s="30">
        <f>_xll.qlTenorBasisValue(TenorBasis6M,R161,InterestRatesTrigger)</f>
        <v>2.1788803903144091E-4</v>
      </c>
      <c r="AA161" s="30">
        <f t="shared" si="21"/>
        <v>-1.4052018854338955E-5</v>
      </c>
    </row>
    <row r="162" spans="15:27" x14ac:dyDescent="0.2">
      <c r="O162" s="33">
        <v>3</v>
      </c>
      <c r="P162" s="27" t="str">
        <f>_xll.qlPeriodEquivalent(P161&amp;"+"&amp;O162&amp;"M")</f>
        <v>36Y9M</v>
      </c>
      <c r="Q162" s="28">
        <f>_xll.qlCalendarAdvance(Calendar,SettlementDate,P162,"f",,Trigger)</f>
        <v>55702</v>
      </c>
      <c r="R162" s="28">
        <f>_xll.qlInterestRateIndexValueDate(Index,Q162,Trigger)</f>
        <v>55704</v>
      </c>
      <c r="S162" s="28">
        <f>_xll.qlInterestRateIndexMaturity(Index,R162,Trigger)</f>
        <v>55796</v>
      </c>
      <c r="T162" s="30">
        <f>_xll.qlIndexFixing($M$6,Q162,,InterestRatesTrigger)</f>
        <v>1.4797132192808794E-2</v>
      </c>
      <c r="U162" s="30">
        <f>_xll.qlIndexFixing(Index,Q162,,InterestRatesTrigger)</f>
        <v>1.5035523091437178E-2</v>
      </c>
      <c r="V162" s="30">
        <f t="shared" si="20"/>
        <v>2.3839089862838329E-4</v>
      </c>
      <c r="W162" s="29">
        <f>_xll.qlDayCounterYearFraction(DayCounter,SettlementDate,R162,,,Trigger)</f>
        <v>37.291666666666664</v>
      </c>
      <c r="X162" s="29">
        <f>_xll.qlDayCounterYearFraction(DayCounter,R162,S162)</f>
        <v>0.25555555555555554</v>
      </c>
      <c r="Y162" s="29">
        <f>_xll.qlYieldTSDiscount(Currency&amp;"ON",R162)/(1+U162*X162)</f>
        <v>0.5874524485560797</v>
      </c>
      <c r="Z162" s="30">
        <f>_xll.qlTenorBasisValue(TenorBasis6M,R162,InterestRatesTrigger)</f>
        <v>2.1648398005156695E-4</v>
      </c>
      <c r="AA162" s="30">
        <f t="shared" si="21"/>
        <v>2.190691857681634E-5</v>
      </c>
    </row>
    <row r="163" spans="15:27" x14ac:dyDescent="0.2">
      <c r="O163" s="33">
        <v>3</v>
      </c>
      <c r="P163" s="27" t="str">
        <f>_xll.qlPeriodEquivalent(P162&amp;"+"&amp;O163&amp;"M")</f>
        <v>37Y</v>
      </c>
      <c r="Q163" s="28">
        <f>_xll.qlCalendarAdvance(Calendar,SettlementDate,P163,"f",,Trigger)</f>
        <v>55794</v>
      </c>
      <c r="R163" s="28">
        <f>_xll.qlInterestRateIndexValueDate(Index,Q163,Trigger)</f>
        <v>55796</v>
      </c>
      <c r="S163" s="28">
        <f>_xll.qlInterestRateIndexMaturity(Index,R163,Trigger)</f>
        <v>55890</v>
      </c>
      <c r="T163" s="30">
        <f>_xll.qlIndexFixing($M$6,Q163,,InterestRatesTrigger)</f>
        <v>1.4725599580420792E-2</v>
      </c>
      <c r="U163" s="30">
        <f>_xll.qlIndexFixing(Index,Q163,,InterestRatesTrigger)</f>
        <v>1.5003036193929087E-2</v>
      </c>
      <c r="V163" s="30">
        <f t="shared" si="20"/>
        <v>2.7743661350829521E-4</v>
      </c>
      <c r="W163" s="29">
        <f>_xll.qlDayCounterYearFraction(DayCounter,SettlementDate,R163,,,Trigger)</f>
        <v>37.547222222222224</v>
      </c>
      <c r="X163" s="29">
        <f>_xll.qlDayCounterYearFraction(DayCounter,R163,S163)</f>
        <v>0.26111111111111113</v>
      </c>
      <c r="Y163" s="29">
        <f>_xll.qlYieldTSDiscount(Currency&amp;"ON",R163)/(1+U163*X163)</f>
        <v>0.58519562245681589</v>
      </c>
      <c r="Z163" s="30">
        <f>_xll.qlTenorBasisValue(TenorBasis6M,R163,InterestRatesTrigger)</f>
        <v>2.1511350469897273E-4</v>
      </c>
      <c r="AA163" s="30">
        <f t="shared" si="21"/>
        <v>6.232310880932248E-5</v>
      </c>
    </row>
    <row r="164" spans="15:27" x14ac:dyDescent="0.2">
      <c r="O164" s="33">
        <v>3</v>
      </c>
      <c r="P164" s="27" t="str">
        <f>_xll.qlPeriodEquivalent(P163&amp;"+"&amp;O164&amp;"M")</f>
        <v>37Y3M</v>
      </c>
      <c r="Q164" s="28">
        <f>_xll.qlCalendarAdvance(Calendar,SettlementDate,P164,"f",,Trigger)</f>
        <v>55886</v>
      </c>
      <c r="R164" s="28">
        <f>_xll.qlInterestRateIndexValueDate(Index,Q164,Trigger)</f>
        <v>55890</v>
      </c>
      <c r="S164" s="28">
        <f>_xll.qlInterestRateIndexMaturity(Index,R164,Trigger)</f>
        <v>55982</v>
      </c>
      <c r="T164" s="30">
        <f>_xll.qlIndexFixing($M$6,Q164,,InterestRatesTrigger)</f>
        <v>1.4646562819305552E-2</v>
      </c>
      <c r="U164" s="30">
        <f>_xll.qlIndexFixing(Index,Q164,,InterestRatesTrigger)</f>
        <v>1.4967005578881349E-2</v>
      </c>
      <c r="V164" s="30">
        <f t="shared" si="20"/>
        <v>3.20442759575797E-4</v>
      </c>
      <c r="W164" s="29">
        <f>_xll.qlDayCounterYearFraction(DayCounter,SettlementDate,R164,,,Trigger)</f>
        <v>37.80833333333333</v>
      </c>
      <c r="X164" s="29">
        <f>_xll.qlDayCounterYearFraction(DayCounter,R164,S164)</f>
        <v>0.25555555555555554</v>
      </c>
      <c r="Y164" s="29">
        <f>_xll.qlYieldTSDiscount(Currency&amp;"ON",R164)/(1+U164*X164)</f>
        <v>0.58300790492799603</v>
      </c>
      <c r="Z164" s="30">
        <f>_xll.qlTenorBasisValue(TenorBasis6M,R164,InterestRatesTrigger)</f>
        <v>2.1376244414043192E-4</v>
      </c>
      <c r="AA164" s="30">
        <f t="shared" si="21"/>
        <v>1.0668031543536509E-4</v>
      </c>
    </row>
    <row r="165" spans="15:27" x14ac:dyDescent="0.2">
      <c r="O165" s="33">
        <v>3</v>
      </c>
      <c r="P165" s="27" t="str">
        <f>_xll.qlPeriodEquivalent(P164&amp;"+"&amp;O165&amp;"M")</f>
        <v>37Y6M</v>
      </c>
      <c r="Q165" s="28">
        <f>_xll.qlCalendarAdvance(Calendar,SettlementDate,P165,"f",,Trigger)</f>
        <v>55976</v>
      </c>
      <c r="R165" s="28">
        <f>_xll.qlInterestRateIndexValueDate(Index,Q165,Trigger)</f>
        <v>55982</v>
      </c>
      <c r="S165" s="28">
        <f>_xll.qlInterestRateIndexMaturity(Index,R165,Trigger)</f>
        <v>56073</v>
      </c>
      <c r="T165" s="30">
        <f>_xll.qlIndexFixing($M$6,Q165,,InterestRatesTrigger)</f>
        <v>1.4562798831121316E-2</v>
      </c>
      <c r="U165" s="30">
        <f>_xll.qlIndexFixing(Index,Q165,,InterestRatesTrigger)</f>
        <v>1.4929569275564891E-2</v>
      </c>
      <c r="V165" s="30">
        <f t="shared" si="20"/>
        <v>3.6677044444357459E-4</v>
      </c>
      <c r="W165" s="29">
        <f>_xll.qlDayCounterYearFraction(DayCounter,SettlementDate,R165,,,Trigger)</f>
        <v>38.06388888888889</v>
      </c>
      <c r="X165" s="29">
        <f>_xll.qlDayCounterYearFraction(DayCounter,R165,S165)</f>
        <v>0.25277777777777777</v>
      </c>
      <c r="Y165" s="29">
        <f>_xll.qlYieldTSDiscount(Currency&amp;"ON",R165)/(1+U165*X165)</f>
        <v>0.58086337096572283</v>
      </c>
      <c r="Z165" s="30">
        <f>_xll.qlTenorBasisValue(TenorBasis6M,R165,InterestRatesTrigger)</f>
        <v>2.1248667982624089E-4</v>
      </c>
      <c r="AA165" s="30">
        <f t="shared" si="21"/>
        <v>1.5428376461733371E-4</v>
      </c>
    </row>
    <row r="166" spans="15:27" x14ac:dyDescent="0.2">
      <c r="O166" s="33">
        <v>3</v>
      </c>
      <c r="P166" s="27" t="str">
        <f>_xll.qlPeriodEquivalent(P165&amp;"+"&amp;O166&amp;"M")</f>
        <v>37Y9M</v>
      </c>
      <c r="Q166" s="28">
        <f>_xll.qlCalendarAdvance(Calendar,SettlementDate,P166,"f",,Trigger)</f>
        <v>56067</v>
      </c>
      <c r="R166" s="28">
        <f>_xll.qlInterestRateIndexValueDate(Index,Q166,Trigger)</f>
        <v>56069</v>
      </c>
      <c r="S166" s="28">
        <f>_xll.qlInterestRateIndexMaturity(Index,R166,Trigger)</f>
        <v>56163</v>
      </c>
      <c r="T166" s="30">
        <f>_xll.qlIndexFixing($M$6,Q166,,InterestRatesTrigger)</f>
        <v>1.4476864545637258E-2</v>
      </c>
      <c r="U166" s="30">
        <f>_xll.qlIndexFixing(Index,Q166,,InterestRatesTrigger)</f>
        <v>1.4892375164000635E-2</v>
      </c>
      <c r="V166" s="30">
        <f t="shared" si="20"/>
        <v>4.1551061836337701E-4</v>
      </c>
      <c r="W166" s="29">
        <f>_xll.qlDayCounterYearFraction(DayCounter,SettlementDate,R166,,,Trigger)</f>
        <v>38.305555555555557</v>
      </c>
      <c r="X166" s="29">
        <f>_xll.qlDayCounterYearFraction(DayCounter,R166,S166)</f>
        <v>0.26111111111111113</v>
      </c>
      <c r="Y166" s="29">
        <f>_xll.qlYieldTSDiscount(Currency&amp;"ON",R166)/(1+U166*X166)</f>
        <v>0.57876004494976907</v>
      </c>
      <c r="Z166" s="30">
        <f>_xll.qlTenorBasisValue(TenorBasis6M,R166,InterestRatesTrigger)</f>
        <v>2.113212188920743E-4</v>
      </c>
      <c r="AA166" s="30">
        <f t="shared" si="21"/>
        <v>2.0418939947130271E-4</v>
      </c>
    </row>
    <row r="167" spans="15:27" x14ac:dyDescent="0.2">
      <c r="O167" s="33">
        <v>3</v>
      </c>
      <c r="P167" s="27" t="str">
        <f>_xll.qlPeriodEquivalent(P166&amp;"+"&amp;O167&amp;"M")</f>
        <v>38Y</v>
      </c>
      <c r="Q167" s="28">
        <f>_xll.qlCalendarAdvance(Calendar,SettlementDate,P167,"f",,Trigger)</f>
        <v>56159</v>
      </c>
      <c r="R167" s="28">
        <f>_xll.qlInterestRateIndexValueDate(Index,Q167,Trigger)</f>
        <v>56163</v>
      </c>
      <c r="S167" s="28">
        <f>_xll.qlInterestRateIndexMaturity(Index,R167,Trigger)</f>
        <v>56255</v>
      </c>
      <c r="T167" s="30">
        <f>_xll.qlIndexFixing($M$6,Q167,,InterestRatesTrigger)</f>
        <v>1.4378554967667968E-2</v>
      </c>
      <c r="U167" s="30">
        <f>_xll.qlIndexFixing(Index,Q167,,InterestRatesTrigger)</f>
        <v>1.4849341308287495E-2</v>
      </c>
      <c r="V167" s="30">
        <f t="shared" si="20"/>
        <v>4.7078634061952646E-4</v>
      </c>
      <c r="W167" s="29">
        <f>_xll.qlDayCounterYearFraction(DayCounter,SettlementDate,R167,,,Trigger)</f>
        <v>38.56666666666667</v>
      </c>
      <c r="X167" s="29">
        <f>_xll.qlDayCounterYearFraction(DayCounter,R167,S167)</f>
        <v>0.25555555555555554</v>
      </c>
      <c r="Y167" s="29">
        <f>_xll.qlYieldTSDiscount(Currency&amp;"ON",R167)/(1+U167*X167)</f>
        <v>0.57663437036173837</v>
      </c>
      <c r="Z167" s="30">
        <f>_xll.qlTenorBasisValue(TenorBasis6M,R167,InterestRatesTrigger)</f>
        <v>2.1010526705707742E-4</v>
      </c>
      <c r="AA167" s="30">
        <f t="shared" si="21"/>
        <v>2.6068107356244901E-4</v>
      </c>
    </row>
    <row r="168" spans="15:27" x14ac:dyDescent="0.2">
      <c r="O168" s="33">
        <v>3</v>
      </c>
      <c r="P168" s="27" t="str">
        <f>_xll.qlPeriodEquivalent(P167&amp;"+"&amp;O168&amp;"M")</f>
        <v>38Y3M</v>
      </c>
      <c r="Q168" s="28">
        <f>_xll.qlCalendarAdvance(Calendar,SettlementDate,P168,"f",,Trigger)</f>
        <v>56251</v>
      </c>
      <c r="R168" s="28">
        <f>_xll.qlInterestRateIndexValueDate(Index,Q168,Trigger)</f>
        <v>56255</v>
      </c>
      <c r="S168" s="28">
        <f>_xll.qlInterestRateIndexMaturity(Index,R168,Trigger)</f>
        <v>56345</v>
      </c>
      <c r="T168" s="30">
        <f>_xll.qlIndexFixing($M$6,Q168,,InterestRatesTrigger)</f>
        <v>1.4275761568590006E-2</v>
      </c>
      <c r="U168" s="30">
        <f>_xll.qlIndexFixing(Index,Q168,,InterestRatesTrigger)</f>
        <v>1.4804831839674293E-2</v>
      </c>
      <c r="V168" s="30">
        <f t="shared" si="20"/>
        <v>5.290702710842865E-4</v>
      </c>
      <c r="W168" s="29">
        <f>_xll.qlDayCounterYearFraction(DayCounter,SettlementDate,R168,,,Trigger)</f>
        <v>38.822222222222223</v>
      </c>
      <c r="X168" s="29">
        <f>_xll.qlDayCounterYearFraction(DayCounter,R168,S168)</f>
        <v>0.25</v>
      </c>
      <c r="Y168" s="29">
        <f>_xll.qlYieldTSDiscount(Currency&amp;"ON",R168)/(1+U168*X168)</f>
        <v>0.57457686398049335</v>
      </c>
      <c r="Z168" s="30">
        <f>_xll.qlTenorBasisValue(TenorBasis6M,R168,InterestRatesTrigger)</f>
        <v>2.089572774843723E-4</v>
      </c>
      <c r="AA168" s="30">
        <f t="shared" si="21"/>
        <v>3.2011299359991421E-4</v>
      </c>
    </row>
    <row r="169" spans="15:27" x14ac:dyDescent="0.2">
      <c r="O169" s="33">
        <v>3</v>
      </c>
      <c r="P169" s="27" t="str">
        <f>_xll.qlPeriodEquivalent(P168&amp;"+"&amp;O169&amp;"M")</f>
        <v>38Y6M</v>
      </c>
      <c r="Q169" s="28">
        <f>_xll.qlCalendarAdvance(Calendar,SettlementDate,P169,"f",,Trigger)</f>
        <v>56341</v>
      </c>
      <c r="R169" s="28">
        <f>_xll.qlInterestRateIndexValueDate(Index,Q169,Trigger)</f>
        <v>56345</v>
      </c>
      <c r="S169" s="28">
        <f>_xll.qlInterestRateIndexMaturity(Index,R169,Trigger)</f>
        <v>56436</v>
      </c>
      <c r="T169" s="30">
        <f>_xll.qlIndexFixing($M$6,Q169,,InterestRatesTrigger)</f>
        <v>1.4167769792095169E-2</v>
      </c>
      <c r="U169" s="30">
        <f>_xll.qlIndexFixing(Index,Q169,,InterestRatesTrigger)</f>
        <v>1.475908076249602E-2</v>
      </c>
      <c r="V169" s="30">
        <f t="shared" si="20"/>
        <v>5.9131097040085109E-4</v>
      </c>
      <c r="W169" s="29">
        <f>_xll.qlDayCounterYearFraction(DayCounter,SettlementDate,R169,,,Trigger)</f>
        <v>39.072222222222223</v>
      </c>
      <c r="X169" s="29">
        <f>_xll.qlDayCounterYearFraction(DayCounter,R169,S169)</f>
        <v>0.25277777777777777</v>
      </c>
      <c r="Y169" s="29">
        <f>_xll.qlYieldTSDiscount(Currency&amp;"ON",R169)/(1+U169*X169)</f>
        <v>0.57251666495208542</v>
      </c>
      <c r="Z169" s="30">
        <f>_xll.qlTenorBasisValue(TenorBasis6M,R169,InterestRatesTrigger)</f>
        <v>2.0787318377890257E-4</v>
      </c>
      <c r="AA169" s="30">
        <f t="shared" si="21"/>
        <v>3.834377866219485E-4</v>
      </c>
    </row>
    <row r="170" spans="15:27" x14ac:dyDescent="0.2">
      <c r="O170" s="33">
        <v>3</v>
      </c>
      <c r="P170" s="27" t="str">
        <f>_xll.qlPeriodEquivalent(P169&amp;"+"&amp;O170&amp;"M")</f>
        <v>38Y9M</v>
      </c>
      <c r="Q170" s="28">
        <f>_xll.qlCalendarAdvance(Calendar,SettlementDate,P170,"f",,Trigger)</f>
        <v>56432</v>
      </c>
      <c r="R170" s="28">
        <f>_xll.qlInterestRateIndexValueDate(Index,Q170,Trigger)</f>
        <v>56436</v>
      </c>
      <c r="S170" s="28">
        <f>_xll.qlInterestRateIndexMaturity(Index,R170,Trigger)</f>
        <v>56528</v>
      </c>
      <c r="T170" s="30">
        <f>_xll.qlIndexFixing($M$6,Q170,,InterestRatesTrigger)</f>
        <v>1.4051768202122927E-2</v>
      </c>
      <c r="U170" s="30">
        <f>_xll.qlIndexFixing(Index,Q170,,InterestRatesTrigger)</f>
        <v>1.4710352489483786E-2</v>
      </c>
      <c r="V170" s="30">
        <f t="shared" si="20"/>
        <v>6.5858428736085932E-4</v>
      </c>
      <c r="W170" s="29">
        <f>_xll.qlDayCounterYearFraction(DayCounter,SettlementDate,R170,,,Trigger)</f>
        <v>39.325000000000003</v>
      </c>
      <c r="X170" s="29">
        <f>_xll.qlDayCounterYearFraction(DayCounter,R170,S170)</f>
        <v>0.25555555555555554</v>
      </c>
      <c r="Y170" s="29">
        <f>_xll.qlYieldTSDiscount(Currency&amp;"ON",R170)/(1+U170*X170)</f>
        <v>0.57045740625563135</v>
      </c>
      <c r="Z170" s="30">
        <f>_xll.qlTenorBasisValue(TenorBasis6M,R170,InterestRatesTrigger)</f>
        <v>2.0681489884424853E-4</v>
      </c>
      <c r="AA170" s="30">
        <f t="shared" si="21"/>
        <v>4.5176938851661079E-4</v>
      </c>
    </row>
    <row r="171" spans="15:27" x14ac:dyDescent="0.2">
      <c r="O171" s="33">
        <v>3</v>
      </c>
      <c r="P171" s="27" t="str">
        <f>_xll.qlPeriodEquivalent(P170&amp;"+"&amp;O171&amp;"M")</f>
        <v>39Y</v>
      </c>
      <c r="Q171" s="28">
        <f>_xll.qlCalendarAdvance(Calendar,SettlementDate,P171,"f",,Trigger)</f>
        <v>56524</v>
      </c>
      <c r="R171" s="28">
        <f>_xll.qlInterestRateIndexValueDate(Index,Q171,Trigger)</f>
        <v>56528</v>
      </c>
      <c r="S171" s="28">
        <f>_xll.qlInterestRateIndexMaturity(Index,R171,Trigger)</f>
        <v>56620</v>
      </c>
      <c r="T171" s="30">
        <f>_xll.qlIndexFixing($M$6,Q171,,InterestRatesTrigger)</f>
        <v>1.392783986180875E-2</v>
      </c>
      <c r="U171" s="30">
        <f>_xll.qlIndexFixing(Index,Q171,,InterestRatesTrigger)</f>
        <v>1.4658516309456303E-2</v>
      </c>
      <c r="V171" s="30">
        <f t="shared" si="20"/>
        <v>7.3067644764755225E-4</v>
      </c>
      <c r="W171" s="29">
        <f>_xll.qlDayCounterYearFraction(DayCounter,SettlementDate,R171,,,Trigger)</f>
        <v>39.580555555555556</v>
      </c>
      <c r="X171" s="29">
        <f>_xll.qlDayCounterYearFraction(DayCounter,R171,S171)</f>
        <v>0.25555555555555554</v>
      </c>
      <c r="Y171" s="29">
        <f>_xll.qlYieldTSDiscount(Currency&amp;"ON",R171)/(1+U171*X171)</f>
        <v>0.56842372111003725</v>
      </c>
      <c r="Z171" s="30">
        <f>_xll.qlTenorBasisValue(TenorBasis6M,R171,InterestRatesTrigger)</f>
        <v>2.0578238849417252E-4</v>
      </c>
      <c r="AA171" s="30">
        <f t="shared" si="21"/>
        <v>5.2489405915337971E-4</v>
      </c>
    </row>
    <row r="172" spans="15:27" x14ac:dyDescent="0.2">
      <c r="O172" s="33">
        <v>3</v>
      </c>
      <c r="P172" s="27" t="str">
        <f>_xll.qlPeriodEquivalent(P171&amp;"+"&amp;O172&amp;"M")</f>
        <v>39Y3M</v>
      </c>
      <c r="Q172" s="28">
        <f>_xll.qlCalendarAdvance(Calendar,SettlementDate,P172,"f",,Trigger)</f>
        <v>56618</v>
      </c>
      <c r="R172" s="28">
        <f>_xll.qlInterestRateIndexValueDate(Index,Q172,Trigger)</f>
        <v>56620</v>
      </c>
      <c r="S172" s="28">
        <f>_xll.qlInterestRateIndexMaturity(Index,R172,Trigger)</f>
        <v>56710</v>
      </c>
      <c r="T172" s="30">
        <f>_xll.qlIndexFixing($M$6,Q172,,InterestRatesTrigger)</f>
        <v>1.3797699963252974E-2</v>
      </c>
      <c r="U172" s="30">
        <f>_xll.qlIndexFixing(Index,Q172,,InterestRatesTrigger)</f>
        <v>1.4604109660663944E-2</v>
      </c>
      <c r="V172" s="30">
        <f t="shared" si="20"/>
        <v>8.0640969741097024E-4</v>
      </c>
      <c r="W172" s="29">
        <f>_xll.qlDayCounterYearFraction(DayCounter,SettlementDate,R172,,,Trigger)</f>
        <v>39.836111111111109</v>
      </c>
      <c r="X172" s="29">
        <f>_xll.qlDayCounterYearFraction(DayCounter,R172,S172)</f>
        <v>0.25</v>
      </c>
      <c r="Y172" s="29">
        <f>_xll.qlYieldTSDiscount(Currency&amp;"ON",R172)/(1+U172*X172)</f>
        <v>0.5664613197174021</v>
      </c>
      <c r="Z172" s="30">
        <f>_xll.qlTenorBasisValue(TenorBasis6M,R172,InterestRatesTrigger)</f>
        <v>2.0478622190718017E-4</v>
      </c>
      <c r="AA172" s="30">
        <f t="shared" si="21"/>
        <v>6.0162347550379012E-4</v>
      </c>
    </row>
    <row r="173" spans="15:27" x14ac:dyDescent="0.2">
      <c r="O173" s="33">
        <v>3</v>
      </c>
      <c r="P173" s="27" t="str">
        <f>_xll.qlPeriodEquivalent(P172&amp;"+"&amp;O173&amp;"M")</f>
        <v>39Y6M</v>
      </c>
      <c r="Q173" s="28">
        <f>_xll.qlCalendarAdvance(Calendar,SettlementDate,P173,"f",,Trigger)</f>
        <v>56706</v>
      </c>
      <c r="R173" s="28">
        <f>_xll.qlInterestRateIndexValueDate(Index,Q173,Trigger)</f>
        <v>56710</v>
      </c>
      <c r="S173" s="28">
        <f>_xll.qlInterestRateIndexMaturity(Index,R173,Trigger)</f>
        <v>56801</v>
      </c>
      <c r="T173" s="30">
        <f>_xll.qlIndexFixing($M$6,Q173,,InterestRatesTrigger)</f>
        <v>1.366198567551674E-2</v>
      </c>
      <c r="U173" s="30">
        <f>_xll.qlIndexFixing(Index,Q173,,InterestRatesTrigger)</f>
        <v>1.4548328911920011E-2</v>
      </c>
      <c r="V173" s="30">
        <f t="shared" si="20"/>
        <v>8.8634323640327146E-4</v>
      </c>
      <c r="W173" s="29">
        <f>_xll.qlDayCounterYearFraction(DayCounter,SettlementDate,R173,,,Trigger)</f>
        <v>40.086111111111109</v>
      </c>
      <c r="X173" s="29">
        <f>_xll.qlDayCounterYearFraction(DayCounter,R173,S173)</f>
        <v>0.25277777777777777</v>
      </c>
      <c r="Y173" s="29">
        <f>_xll.qlYieldTSDiscount(Currency&amp;"ON",R173)/(1+U173*X173)</f>
        <v>0.56449918461555382</v>
      </c>
      <c r="Z173" s="30">
        <f>_xll.qlTenorBasisValue(TenorBasis6M,R173,InterestRatesTrigger)</f>
        <v>2.0384569730282716E-4</v>
      </c>
      <c r="AA173" s="30">
        <f t="shared" si="21"/>
        <v>6.8249753910044431E-4</v>
      </c>
    </row>
    <row r="174" spans="15:27" x14ac:dyDescent="0.2">
      <c r="O174" s="33">
        <v>3</v>
      </c>
      <c r="P174" s="27" t="str">
        <f>_xll.qlPeriodEquivalent(P173&amp;"+"&amp;O174&amp;"M")</f>
        <v>39Y9M</v>
      </c>
      <c r="Q174" s="28">
        <f>_xll.qlCalendarAdvance(Calendar,SettlementDate,P174,"f",,Trigger)</f>
        <v>56797</v>
      </c>
      <c r="R174" s="28">
        <f>_xll.qlInterestRateIndexValueDate(Index,Q174,Trigger)</f>
        <v>56801</v>
      </c>
      <c r="S174" s="28">
        <f>_xll.qlInterestRateIndexMaturity(Index,R174,Trigger)</f>
        <v>56893</v>
      </c>
      <c r="T174" s="30">
        <f>_xll.qlIndexFixing($M$6,Q174,,InterestRatesTrigger)</f>
        <v>1.3517472470833463E-2</v>
      </c>
      <c r="U174" s="30">
        <f>_xll.qlIndexFixing(Index,Q174,,InterestRatesTrigger)</f>
        <v>1.4489254903030706E-2</v>
      </c>
      <c r="V174" s="30">
        <f t="shared" si="20"/>
        <v>9.7178243219724243E-4</v>
      </c>
      <c r="W174" s="29">
        <f>_xll.qlDayCounterYearFraction(DayCounter,SettlementDate,R174,,,Trigger)</f>
        <v>40.338888888888889</v>
      </c>
      <c r="X174" s="29">
        <f>_xll.qlDayCounterYearFraction(DayCounter,R174,S174)</f>
        <v>0.25555555555555554</v>
      </c>
      <c r="Y174" s="29">
        <f>_xll.qlYieldTSDiscount(Currency&amp;"ON",R174)/(1+U174*X174)</f>
        <v>0.56254223739729148</v>
      </c>
      <c r="Z174" s="30">
        <f>_xll.qlTenorBasisValue(TenorBasis6M,R174,InterestRatesTrigger)</f>
        <v>2.0292775144472249E-4</v>
      </c>
      <c r="AA174" s="30">
        <f t="shared" si="21"/>
        <v>7.6885468075251991E-4</v>
      </c>
    </row>
    <row r="175" spans="15:27" x14ac:dyDescent="0.2">
      <c r="O175" s="33">
        <v>3</v>
      </c>
      <c r="P175" s="27" t="str">
        <f>_xll.qlPeriodEquivalent(P174&amp;"+"&amp;O175&amp;"M")</f>
        <v>40Y</v>
      </c>
      <c r="Q175" s="28">
        <f>_xll.qlCalendarAdvance(Calendar,SettlementDate,P175,"f",,Trigger)</f>
        <v>56891</v>
      </c>
      <c r="R175" s="28">
        <f>_xll.qlInterestRateIndexValueDate(Index,Q175,Trigger)</f>
        <v>56893</v>
      </c>
      <c r="S175" s="28">
        <f>_xll.qlInterestRateIndexMaturity(Index,R175,Trigger)</f>
        <v>56985</v>
      </c>
      <c r="T175" s="30">
        <f>_xll.qlIndexFixing($M$6,Q175,,InterestRatesTrigger)</f>
        <v>1.3356357759412551E-2</v>
      </c>
      <c r="U175" s="30">
        <f>_xll.qlIndexFixing(Index,Q175,,InterestRatesTrigger)</f>
        <v>1.4339970791478245E-2</v>
      </c>
      <c r="V175" s="30">
        <f t="shared" si="20"/>
        <v>9.8361303206569335E-4</v>
      </c>
      <c r="W175" s="29">
        <f>_xll.qlDayCounterYearFraction(DayCounter,SettlementDate,R175,,,Trigger)</f>
        <v>40.594444444444441</v>
      </c>
      <c r="X175" s="29">
        <f>_xll.qlDayCounterYearFraction(DayCounter,R175,S175)</f>
        <v>0.25555555555555554</v>
      </c>
      <c r="Y175" s="29">
        <f>_xll.qlYieldTSDiscount(Currency&amp;"ON",R175)/(1+U175*X175)</f>
        <v>0.56062695394358608</v>
      </c>
      <c r="Z175" s="30">
        <f>_xll.qlTenorBasisValue(TenorBasis6M,R175,InterestRatesTrigger)</f>
        <v>2.0203234488293508E-4</v>
      </c>
      <c r="AA175" s="30">
        <f t="shared" si="21"/>
        <v>7.8158068718275821E-4</v>
      </c>
    </row>
    <row r="176" spans="15:27" x14ac:dyDescent="0.2">
      <c r="O176" s="33">
        <v>3</v>
      </c>
      <c r="P176" s="27" t="str">
        <f>_xll.qlPeriodEquivalent(P175&amp;"+"&amp;O176&amp;"M")</f>
        <v>40Y3M</v>
      </c>
      <c r="Q176" s="28">
        <f>_xll.qlCalendarAdvance(Calendar,SettlementDate,P176,"f",,Trigger)</f>
        <v>56982</v>
      </c>
      <c r="R176" s="28">
        <f>_xll.qlInterestRateIndexValueDate(Index,Q176,Trigger)</f>
        <v>56984</v>
      </c>
      <c r="S176" s="28">
        <f>_xll.qlInterestRateIndexMaturity(Index,R176,Trigger)</f>
        <v>57075</v>
      </c>
      <c r="T176" s="30">
        <f>_xll.qlIndexFixing($M$6,Q176,,InterestRatesTrigger)</f>
        <v>1.3190992406982543E-2</v>
      </c>
      <c r="U176" s="30">
        <f>_xll.qlIndexFixing(Index,Q176,,InterestRatesTrigger)</f>
        <v>1.4116999987494777E-2</v>
      </c>
      <c r="V176" s="30">
        <f t="shared" si="20"/>
        <v>9.2600758051223329E-4</v>
      </c>
      <c r="W176" s="29">
        <f>_xll.qlDayCounterYearFraction(DayCounter,SettlementDate,R176,,,Trigger)</f>
        <v>40.847222222222221</v>
      </c>
      <c r="X176" s="29">
        <f>_xll.qlDayCounterYearFraction(DayCounter,R176,S176)</f>
        <v>0.25277777777777777</v>
      </c>
      <c r="Y176" s="29">
        <f>_xll.qlYieldTSDiscount(Currency&amp;"ON",R176)/(1+U176*X176)</f>
        <v>0.55879400184307249</v>
      </c>
      <c r="Z176" s="30">
        <f>_xll.qlTenorBasisValue(TenorBasis6M,R176,InterestRatesTrigger)</f>
        <v>2.0117785249561216E-4</v>
      </c>
      <c r="AA176" s="30">
        <f t="shared" si="21"/>
        <v>7.2482972801662113E-4</v>
      </c>
    </row>
    <row r="177" spans="15:27" x14ac:dyDescent="0.2">
      <c r="O177" s="33">
        <v>3</v>
      </c>
      <c r="P177" s="27" t="str">
        <f>_xll.qlPeriodEquivalent(P176&amp;"+"&amp;O177&amp;"M")</f>
        <v>40Y6M</v>
      </c>
      <c r="Q177" s="28">
        <f>_xll.qlCalendarAdvance(Calendar,SettlementDate,P177,"f",,Trigger)</f>
        <v>57074</v>
      </c>
      <c r="R177" s="28">
        <f>_xll.qlInterestRateIndexValueDate(Index,Q177,Trigger)</f>
        <v>57076</v>
      </c>
      <c r="S177" s="28">
        <f>_xll.qlInterestRateIndexMaturity(Index,R177,Trigger)</f>
        <v>57167</v>
      </c>
      <c r="T177" s="30">
        <f>_xll.qlIndexFixing($M$6,Q177,,InterestRatesTrigger)</f>
        <v>1.3027814704446455E-2</v>
      </c>
      <c r="U177" s="30">
        <f>_xll.qlIndexFixing(Index,Q177,,InterestRatesTrigger)</f>
        <v>1.3896014732559258E-2</v>
      </c>
      <c r="V177" s="30">
        <f t="shared" si="20"/>
        <v>8.6820002811280328E-4</v>
      </c>
      <c r="W177" s="29">
        <f>_xll.qlDayCounterYearFraction(DayCounter,SettlementDate,R177,,,Trigger)</f>
        <v>41.102777777777774</v>
      </c>
      <c r="X177" s="29">
        <f>_xll.qlDayCounterYearFraction(DayCounter,R177,S177)</f>
        <v>0.25277777777777777</v>
      </c>
      <c r="Y177" s="29">
        <f>_xll.qlYieldTSDiscount(Currency&amp;"ON",R177)/(1+U177*X177)</f>
        <v>0.55694771178838753</v>
      </c>
      <c r="Z177" s="30">
        <f>_xll.qlTenorBasisValue(TenorBasis6M,R177,InterestRatesTrigger)</f>
        <v>2.0034442305990821E-4</v>
      </c>
      <c r="AA177" s="30">
        <f t="shared" si="21"/>
        <v>6.6785560505289512E-4</v>
      </c>
    </row>
    <row r="178" spans="15:27" x14ac:dyDescent="0.2">
      <c r="O178" s="33">
        <v>3</v>
      </c>
      <c r="P178" s="27" t="str">
        <f>_xll.qlPeriodEquivalent(P177&amp;"+"&amp;O178&amp;"M")</f>
        <v>40Y9M</v>
      </c>
      <c r="Q178" s="28">
        <f>_xll.qlCalendarAdvance(Calendar,SettlementDate,P178,"f",,Trigger)</f>
        <v>57164</v>
      </c>
      <c r="R178" s="28">
        <f>_xll.qlInterestRateIndexValueDate(Index,Q178,Trigger)</f>
        <v>57166</v>
      </c>
      <c r="S178" s="28">
        <f>_xll.qlInterestRateIndexMaturity(Index,R178,Trigger)</f>
        <v>57258</v>
      </c>
      <c r="T178" s="30">
        <f>_xll.qlIndexFixing($M$6,Q178,,InterestRatesTrigger)</f>
        <v>1.2872310226793728E-2</v>
      </c>
      <c r="U178" s="30">
        <f>_xll.qlIndexFixing(Index,Q178,,InterestRatesTrigger)</f>
        <v>1.3684421832531216E-2</v>
      </c>
      <c r="V178" s="30">
        <f t="shared" si="20"/>
        <v>8.1211160573748872E-4</v>
      </c>
      <c r="W178" s="29">
        <f>_xll.qlDayCounterYearFraction(DayCounter,SettlementDate,R178,,,Trigger)</f>
        <v>41.352777777777774</v>
      </c>
      <c r="X178" s="29">
        <f>_xll.qlDayCounterYearFraction(DayCounter,R178,S178)</f>
        <v>0.25555555555555554</v>
      </c>
      <c r="Y178" s="29">
        <f>_xll.qlYieldTSDiscount(Currency&amp;"ON",R178)/(1+U178*X178)</f>
        <v>0.55514812010766801</v>
      </c>
      <c r="Z178" s="30">
        <f>_xll.qlTenorBasisValue(TenorBasis6M,R178,InterestRatesTrigger)</f>
        <v>1.995577382842377E-4</v>
      </c>
      <c r="AA178" s="30">
        <f t="shared" si="21"/>
        <v>6.12553867453251E-4</v>
      </c>
    </row>
    <row r="179" spans="15:27" x14ac:dyDescent="0.2">
      <c r="O179" s="33">
        <v>3</v>
      </c>
      <c r="P179" s="27" t="str">
        <f>_xll.qlPeriodEquivalent(P178&amp;"+"&amp;O179&amp;"M")</f>
        <v>41Y</v>
      </c>
      <c r="Q179" s="28">
        <f>_xll.qlCalendarAdvance(Calendar,SettlementDate,P179,"f",,Trigger)</f>
        <v>57255</v>
      </c>
      <c r="R179" s="28">
        <f>_xll.qlInterestRateIndexValueDate(Index,Q179,Trigger)</f>
        <v>57257</v>
      </c>
      <c r="S179" s="28">
        <f>_xll.qlInterestRateIndexMaturity(Index,R179,Trigger)</f>
        <v>57349</v>
      </c>
      <c r="T179" s="30">
        <f>_xll.qlIndexFixing($M$6,Q179,,InterestRatesTrigger)</f>
        <v>1.2720665969923824E-2</v>
      </c>
      <c r="U179" s="30">
        <f>_xll.qlIndexFixing(Index,Q179,,InterestRatesTrigger)</f>
        <v>1.347713610404591E-2</v>
      </c>
      <c r="V179" s="30">
        <f t="shared" si="20"/>
        <v>7.5647013412208537E-4</v>
      </c>
      <c r="W179" s="29">
        <f>_xll.qlDayCounterYearFraction(DayCounter,SettlementDate,R179,,,Trigger)</f>
        <v>41.605555555555554</v>
      </c>
      <c r="X179" s="29">
        <f>_xll.qlDayCounterYearFraction(DayCounter,R179,S179)</f>
        <v>0.25555555555555554</v>
      </c>
      <c r="Y179" s="29">
        <f>_xll.qlYieldTSDiscount(Currency&amp;"ON",R179)/(1+U179*X179)</f>
        <v>0.55337674529186076</v>
      </c>
      <c r="Z179" s="30">
        <f>_xll.qlTenorBasisValue(TenorBasis6M,R179,InterestRatesTrigger)</f>
        <v>1.9879012331164707E-4</v>
      </c>
      <c r="AA179" s="30">
        <f t="shared" si="21"/>
        <v>5.5768001081043833E-4</v>
      </c>
    </row>
    <row r="180" spans="15:27" x14ac:dyDescent="0.2">
      <c r="O180" s="33">
        <v>3</v>
      </c>
      <c r="P180" s="27" t="str">
        <f>_xll.qlPeriodEquivalent(P179&amp;"+"&amp;O180&amp;"M")</f>
        <v>41Y3M</v>
      </c>
      <c r="Q180" s="28">
        <f>_xll.qlCalendarAdvance(Calendar,SettlementDate,P180,"f",,Trigger)</f>
        <v>57347</v>
      </c>
      <c r="R180" s="28">
        <f>_xll.qlInterestRateIndexValueDate(Index,Q180,Trigger)</f>
        <v>57349</v>
      </c>
      <c r="S180" s="28">
        <f>_xll.qlInterestRateIndexMaturity(Index,R180,Trigger)</f>
        <v>57439</v>
      </c>
      <c r="T180" s="30">
        <f>_xll.qlIndexFixing($M$6,Q180,,InterestRatesTrigger)</f>
        <v>1.2573729273968048E-2</v>
      </c>
      <c r="U180" s="30">
        <f>_xll.qlIndexFixing(Index,Q180,,InterestRatesTrigger)</f>
        <v>1.327534227848215E-2</v>
      </c>
      <c r="V180" s="30">
        <f t="shared" si="20"/>
        <v>7.0161300451410114E-4</v>
      </c>
      <c r="W180" s="29">
        <f>_xll.qlDayCounterYearFraction(DayCounter,SettlementDate,R180,,,Trigger)</f>
        <v>41.861111111111114</v>
      </c>
      <c r="X180" s="29">
        <f>_xll.qlDayCounterYearFraction(DayCounter,R180,S180)</f>
        <v>0.25</v>
      </c>
      <c r="Y180" s="29">
        <f>_xll.qlYieldTSDiscount(Currency&amp;"ON",R180)/(1+U180*X180)</f>
        <v>0.55165253347058085</v>
      </c>
      <c r="Z180" s="30">
        <f>_xll.qlTenorBasisValue(TenorBasis6M,R180,InterestRatesTrigger)</f>
        <v>1.9804153554527543E-4</v>
      </c>
      <c r="AA180" s="30">
        <f t="shared" si="21"/>
        <v>5.0357146896882576E-4</v>
      </c>
    </row>
    <row r="181" spans="15:27" x14ac:dyDescent="0.2">
      <c r="O181" s="33">
        <v>3</v>
      </c>
      <c r="P181" s="27" t="str">
        <f>_xll.qlPeriodEquivalent(P180&amp;"+"&amp;O181&amp;"M")</f>
        <v>41Y6M</v>
      </c>
      <c r="Q181" s="28">
        <f>_xll.qlCalendarAdvance(Calendar,SettlementDate,P181,"f",,Trigger)</f>
        <v>57437</v>
      </c>
      <c r="R181" s="28">
        <f>_xll.qlInterestRateIndexValueDate(Index,Q181,Trigger)</f>
        <v>57439</v>
      </c>
      <c r="S181" s="28">
        <f>_xll.qlInterestRateIndexMaturity(Index,R181,Trigger)</f>
        <v>57530</v>
      </c>
      <c r="T181" s="30">
        <f>_xll.qlIndexFixing($M$6,Q181,,InterestRatesTrigger)</f>
        <v>1.2433568783415821E-2</v>
      </c>
      <c r="U181" s="30">
        <f>_xll.qlIndexFixing(Index,Q181,,InterestRatesTrigger)</f>
        <v>1.3081578764292353E-2</v>
      </c>
      <c r="V181" s="30">
        <f t="shared" si="20"/>
        <v>6.4800998087653251E-4</v>
      </c>
      <c r="W181" s="29">
        <f>_xll.qlDayCounterYearFraction(DayCounter,SettlementDate,R181,,,Trigger)</f>
        <v>42.111111111111114</v>
      </c>
      <c r="X181" s="29">
        <f>_xll.qlDayCounterYearFraction(DayCounter,R181,S181)</f>
        <v>0.25277777777777777</v>
      </c>
      <c r="Y181" s="29">
        <f>_xll.qlYieldTSDiscount(Currency&amp;"ON",R181)/(1+U181*X181)</f>
        <v>0.5499305188380611</v>
      </c>
      <c r="Z181" s="30">
        <f>_xll.qlTenorBasisValue(TenorBasis6M,R181,InterestRatesTrigger)</f>
        <v>1.9733503185107541E-4</v>
      </c>
      <c r="AA181" s="30">
        <f t="shared" si="21"/>
        <v>4.506749490254571E-4</v>
      </c>
    </row>
    <row r="182" spans="15:27" x14ac:dyDescent="0.2">
      <c r="O182" s="33">
        <v>3</v>
      </c>
      <c r="P182" s="27" t="str">
        <f>_xll.qlPeriodEquivalent(P181&amp;"+"&amp;O182&amp;"M")</f>
        <v>41Y9M</v>
      </c>
      <c r="Q182" s="28">
        <f>_xll.qlCalendarAdvance(Calendar,SettlementDate,P182,"f",,Trigger)</f>
        <v>57528</v>
      </c>
      <c r="R182" s="28">
        <f>_xll.qlInterestRateIndexValueDate(Index,Q182,Trigger)</f>
        <v>57530</v>
      </c>
      <c r="S182" s="28">
        <f>_xll.qlInterestRateIndexMaturity(Index,R182,Trigger)</f>
        <v>57622</v>
      </c>
      <c r="T182" s="30">
        <f>_xll.qlIndexFixing($M$6,Q182,,InterestRatesTrigger)</f>
        <v>1.229739799107493E-2</v>
      </c>
      <c r="U182" s="30">
        <f>_xll.qlIndexFixing(Index,Q182,,InterestRatesTrigger)</f>
        <v>1.2892137267462132E-2</v>
      </c>
      <c r="V182" s="30">
        <f t="shared" si="20"/>
        <v>5.947392763872017E-4</v>
      </c>
      <c r="W182" s="29">
        <f>_xll.qlDayCounterYearFraction(DayCounter,SettlementDate,R182,,,Trigger)</f>
        <v>42.363888888888887</v>
      </c>
      <c r="X182" s="29">
        <f>_xll.qlDayCounterYearFraction(DayCounter,R182,S182)</f>
        <v>0.25555555555555554</v>
      </c>
      <c r="Y182" s="29">
        <f>_xll.qlYieldTSDiscount(Currency&amp;"ON",R182)/(1+U182*X182)</f>
        <v>0.54821413890075321</v>
      </c>
      <c r="Z182" s="30">
        <f>_xll.qlTenorBasisValue(TenorBasis6M,R182,InterestRatesTrigger)</f>
        <v>1.9664574804092051E-4</v>
      </c>
      <c r="AA182" s="30">
        <f t="shared" si="21"/>
        <v>3.9809352834628119E-4</v>
      </c>
    </row>
    <row r="183" spans="15:27" x14ac:dyDescent="0.2">
      <c r="O183" s="33">
        <v>3</v>
      </c>
      <c r="P183" s="27" t="str">
        <f>_xll.qlPeriodEquivalent(P182&amp;"+"&amp;O183&amp;"M")</f>
        <v>42Y</v>
      </c>
      <c r="Q183" s="28">
        <f>_xll.qlCalendarAdvance(Calendar,SettlementDate,P183,"f",,Trigger)</f>
        <v>57620</v>
      </c>
      <c r="R183" s="28">
        <f>_xll.qlInterestRateIndexValueDate(Index,Q183,Trigger)</f>
        <v>57622</v>
      </c>
      <c r="S183" s="28">
        <f>_xll.qlInterestRateIndexMaturity(Index,R183,Trigger)</f>
        <v>57714</v>
      </c>
      <c r="T183" s="30">
        <f>_xll.qlIndexFixing($M$6,Q183,,InterestRatesTrigger)</f>
        <v>1.2166075284680448E-2</v>
      </c>
      <c r="U183" s="30">
        <f>_xll.qlIndexFixing(Index,Q183,,InterestRatesTrigger)</f>
        <v>1.2708215936018265E-2</v>
      </c>
      <c r="V183" s="30">
        <f t="shared" si="20"/>
        <v>5.42140651337817E-4</v>
      </c>
      <c r="W183" s="29">
        <f>_xll.qlDayCounterYearFraction(DayCounter,SettlementDate,R183,,,Trigger)</f>
        <v>42.619444444444447</v>
      </c>
      <c r="X183" s="29">
        <f>_xll.qlDayCounterYearFraction(DayCounter,R183,S183)</f>
        <v>0.25555555555555554</v>
      </c>
      <c r="Y183" s="29">
        <f>_xll.qlYieldTSDiscount(Currency&amp;"ON",R183)/(1+U183*X183)</f>
        <v>0.54652228441451478</v>
      </c>
      <c r="Z183" s="30">
        <f>_xll.qlTenorBasisValue(TenorBasis6M,R183,InterestRatesTrigger)</f>
        <v>1.9597364097538142E-4</v>
      </c>
      <c r="AA183" s="30">
        <f t="shared" si="21"/>
        <v>3.4616701036243561E-4</v>
      </c>
    </row>
    <row r="184" spans="15:27" x14ac:dyDescent="0.2">
      <c r="O184" s="33">
        <v>3</v>
      </c>
      <c r="P184" s="27" t="str">
        <f>_xll.qlPeriodEquivalent(P183&amp;"+"&amp;O184&amp;"M")</f>
        <v>42Y3M</v>
      </c>
      <c r="Q184" s="28">
        <f>_xll.qlCalendarAdvance(Calendar,SettlementDate,P184,"f",,Trigger)</f>
        <v>57712</v>
      </c>
      <c r="R184" s="28">
        <f>_xll.qlInterestRateIndexValueDate(Index,Q184,Trigger)</f>
        <v>57714</v>
      </c>
      <c r="S184" s="28">
        <f>_xll.qlInterestRateIndexMaturity(Index,R184,Trigger)</f>
        <v>57804</v>
      </c>
      <c r="T184" s="30">
        <f>_xll.qlIndexFixing($M$6,Q184,,InterestRatesTrigger)</f>
        <v>1.2041684743826053E-2</v>
      </c>
      <c r="U184" s="30">
        <f>_xll.qlIndexFixing(Index,Q184,,InterestRatesTrigger)</f>
        <v>1.253278126366375E-2</v>
      </c>
      <c r="V184" s="30">
        <f t="shared" si="20"/>
        <v>4.9109651983769709E-4</v>
      </c>
      <c r="W184" s="29">
        <f>_xll.qlDayCounterYearFraction(DayCounter,SettlementDate,R184,,,Trigger)</f>
        <v>42.875</v>
      </c>
      <c r="X184" s="29">
        <f>_xll.qlDayCounterYearFraction(DayCounter,R184,S184)</f>
        <v>0.25</v>
      </c>
      <c r="Y184" s="29">
        <f>_xll.qlYieldTSDiscount(Currency&amp;"ON",R184)/(1+U184*X184)</f>
        <v>0.54489052035259333</v>
      </c>
      <c r="Z184" s="30">
        <f>_xll.qlTenorBasisValue(TenorBasis6M,R184,InterestRatesTrigger)</f>
        <v>1.9532556383703201E-4</v>
      </c>
      <c r="AA184" s="30">
        <f t="shared" si="21"/>
        <v>2.9577095600066507E-4</v>
      </c>
    </row>
    <row r="185" spans="15:27" x14ac:dyDescent="0.2">
      <c r="O185" s="33">
        <v>3</v>
      </c>
      <c r="P185" s="27" t="str">
        <f>_xll.qlPeriodEquivalent(P184&amp;"+"&amp;O185&amp;"M")</f>
        <v>42Y6M</v>
      </c>
      <c r="Q185" s="28">
        <f>_xll.qlCalendarAdvance(Calendar,SettlementDate,P185,"f",,Trigger)</f>
        <v>57802</v>
      </c>
      <c r="R185" s="28">
        <f>_xll.qlInterestRateIndexValueDate(Index,Q185,Trigger)</f>
        <v>57804</v>
      </c>
      <c r="S185" s="28">
        <f>_xll.qlInterestRateIndexMaturity(Index,R185,Trigger)</f>
        <v>57895</v>
      </c>
      <c r="T185" s="30">
        <f>_xll.qlIndexFixing($M$6,Q185,,InterestRatesTrigger)</f>
        <v>1.1924617784062034E-2</v>
      </c>
      <c r="U185" s="30">
        <f>_xll.qlIndexFixing(Index,Q185,,InterestRatesTrigger)</f>
        <v>1.2366053346161717E-2</v>
      </c>
      <c r="V185" s="30">
        <f t="shared" si="20"/>
        <v>4.4143556209968321E-4</v>
      </c>
      <c r="W185" s="29">
        <f>_xll.qlDayCounterYearFraction(DayCounter,SettlementDate,R185,,,Trigger)</f>
        <v>43.125</v>
      </c>
      <c r="X185" s="29">
        <f>_xll.qlDayCounterYearFraction(DayCounter,R185,S185)</f>
        <v>0.25277777777777777</v>
      </c>
      <c r="Y185" s="29">
        <f>_xll.qlYieldTSDiscount(Currency&amp;"ON",R185)/(1+U185*X185)</f>
        <v>0.54325906435206595</v>
      </c>
      <c r="Z185" s="30">
        <f>_xll.qlTenorBasisValue(TenorBasis6M,R185,InterestRatesTrigger)</f>
        <v>1.947140284060466E-4</v>
      </c>
      <c r="AA185" s="30">
        <f t="shared" si="21"/>
        <v>2.4672153369363658E-4</v>
      </c>
    </row>
    <row r="186" spans="15:27" x14ac:dyDescent="0.2">
      <c r="O186" s="33">
        <v>3</v>
      </c>
      <c r="P186" s="27" t="str">
        <f>_xll.qlPeriodEquivalent(P185&amp;"+"&amp;O186&amp;"M")</f>
        <v>42Y9M</v>
      </c>
      <c r="Q186" s="28">
        <f>_xll.qlCalendarAdvance(Calendar,SettlementDate,P186,"f",,Trigger)</f>
        <v>57893</v>
      </c>
      <c r="R186" s="28">
        <f>_xll.qlInterestRateIndexValueDate(Index,Q186,Trigger)</f>
        <v>57895</v>
      </c>
      <c r="S186" s="28">
        <f>_xll.qlInterestRateIndexMaturity(Index,R186,Trigger)</f>
        <v>57987</v>
      </c>
      <c r="T186" s="30">
        <f>_xll.qlIndexFixing($M$6,Q186,,InterestRatesTrigger)</f>
        <v>1.1812532394222362E-2</v>
      </c>
      <c r="U186" s="30">
        <f>_xll.qlIndexFixing(Index,Q186,,InterestRatesTrigger)</f>
        <v>1.22048611062914E-2</v>
      </c>
      <c r="V186" s="30">
        <f t="shared" si="20"/>
        <v>3.9232871206903823E-4</v>
      </c>
      <c r="W186" s="29">
        <f>_xll.qlDayCounterYearFraction(DayCounter,SettlementDate,R186,,,Trigger)</f>
        <v>43.37777777777778</v>
      </c>
      <c r="X186" s="29">
        <f>_xll.qlDayCounterYearFraction(DayCounter,R186,S186)</f>
        <v>0.25555555555555554</v>
      </c>
      <c r="Y186" s="29">
        <f>_xll.qlYieldTSDiscount(Currency&amp;"ON",R186)/(1+U186*X186)</f>
        <v>0.54163014650173191</v>
      </c>
      <c r="Z186" s="30">
        <f>_xll.qlTenorBasisValue(TenorBasis6M,R186,InterestRatesTrigger)</f>
        <v>1.9411750166486451E-4</v>
      </c>
      <c r="AA186" s="30">
        <f t="shared" si="21"/>
        <v>1.9821121040417372E-4</v>
      </c>
    </row>
    <row r="187" spans="15:27" x14ac:dyDescent="0.2">
      <c r="O187" s="33">
        <v>3</v>
      </c>
      <c r="P187" s="27" t="str">
        <f>_xll.qlPeriodEquivalent(P186&amp;"+"&amp;O187&amp;"M")</f>
        <v>43Y</v>
      </c>
      <c r="Q187" s="28">
        <f>_xll.qlCalendarAdvance(Calendar,SettlementDate,P187,"f",,Trigger)</f>
        <v>57985</v>
      </c>
      <c r="R187" s="28">
        <f>_xll.qlInterestRateIndexValueDate(Index,Q187,Trigger)</f>
        <v>57987</v>
      </c>
      <c r="S187" s="28">
        <f>_xll.qlInterestRateIndexMaturity(Index,R187,Trigger)</f>
        <v>58081</v>
      </c>
      <c r="T187" s="30">
        <f>_xll.qlIndexFixing($M$6,Q187,,InterestRatesTrigger)</f>
        <v>1.1705461466658606E-2</v>
      </c>
      <c r="U187" s="30">
        <f>_xll.qlIndexFixing(Index,Q187,,InterestRatesTrigger)</f>
        <v>1.2049073208356851E-2</v>
      </c>
      <c r="V187" s="30">
        <f t="shared" si="20"/>
        <v>3.436117416982451E-4</v>
      </c>
      <c r="W187" s="29">
        <f>_xll.qlDayCounterYearFraction(DayCounter,SettlementDate,R187,,,Trigger)</f>
        <v>43.633333333333333</v>
      </c>
      <c r="X187" s="29">
        <f>_xll.qlDayCounterYearFraction(DayCounter,R187,S187)</f>
        <v>0.26111111111111113</v>
      </c>
      <c r="Y187" s="29">
        <f>_xll.qlYieldTSDiscount(Currency&amp;"ON",R187)/(1+U187*X187)</f>
        <v>0.53998541443166204</v>
      </c>
      <c r="Z187" s="30">
        <f>_xll.qlTenorBasisValue(TenorBasis6M,R187,InterestRatesTrigger)</f>
        <v>1.93535940879297E-4</v>
      </c>
      <c r="AA187" s="30">
        <f t="shared" si="21"/>
        <v>1.500758008189481E-4</v>
      </c>
    </row>
    <row r="188" spans="15:27" x14ac:dyDescent="0.2">
      <c r="O188" s="33">
        <v>3</v>
      </c>
      <c r="P188" s="27" t="str">
        <f>_xll.qlPeriodEquivalent(P187&amp;"+"&amp;O188&amp;"M")</f>
        <v>43Y3M</v>
      </c>
      <c r="Q188" s="28">
        <f>_xll.qlCalendarAdvance(Calendar,SettlementDate,P188,"f",,Trigger)</f>
        <v>58077</v>
      </c>
      <c r="R188" s="28">
        <f>_xll.qlInterestRateIndexValueDate(Index,Q188,Trigger)</f>
        <v>58081</v>
      </c>
      <c r="S188" s="28">
        <f>_xll.qlInterestRateIndexMaturity(Index,R188,Trigger)</f>
        <v>58172</v>
      </c>
      <c r="T188" s="30">
        <f>_xll.qlIndexFixing($M$6,Q188,,InterestRatesTrigger)</f>
        <v>1.1604847280433315E-2</v>
      </c>
      <c r="U188" s="30">
        <f>_xll.qlIndexFixing(Index,Q188,,InterestRatesTrigger)</f>
        <v>1.1901176027125572E-2</v>
      </c>
      <c r="V188" s="30">
        <f t="shared" si="20"/>
        <v>2.9632874669225685E-4</v>
      </c>
      <c r="W188" s="29">
        <f>_xll.qlDayCounterYearFraction(DayCounter,SettlementDate,R188,,,Trigger)</f>
        <v>43.894444444444446</v>
      </c>
      <c r="X188" s="29">
        <f>_xll.qlDayCounterYearFraction(DayCounter,R188,S188)</f>
        <v>0.25277777777777777</v>
      </c>
      <c r="Y188" s="29">
        <f>_xll.qlYieldTSDiscount(Currency&amp;"ON",R188)/(1+U188*X188)</f>
        <v>0.53841397554570547</v>
      </c>
      <c r="Z188" s="30">
        <f>_xll.qlTenorBasisValue(TenorBasis6M,R188,InterestRatesTrigger)</f>
        <v>1.9296330702271488E-4</v>
      </c>
      <c r="AA188" s="30">
        <f t="shared" si="21"/>
        <v>1.0336543966954197E-4</v>
      </c>
    </row>
    <row r="189" spans="15:27" x14ac:dyDescent="0.2">
      <c r="O189" s="33">
        <v>3</v>
      </c>
      <c r="P189" s="27" t="str">
        <f>_xll.qlPeriodEquivalent(P188&amp;"+"&amp;O189&amp;"M")</f>
        <v>43Y6M</v>
      </c>
      <c r="Q189" s="28">
        <f>_xll.qlCalendarAdvance(Calendar,SettlementDate,P189,"f",,Trigger)</f>
        <v>58167</v>
      </c>
      <c r="R189" s="28">
        <f>_xll.qlInterestRateIndexValueDate(Index,Q189,Trigger)</f>
        <v>58169</v>
      </c>
      <c r="S189" s="28">
        <f>_xll.qlInterestRateIndexMaturity(Index,R189,Trigger)</f>
        <v>58260</v>
      </c>
      <c r="T189" s="30">
        <f>_xll.qlIndexFixing($M$6,Q189,,InterestRatesTrigger)</f>
        <v>1.1516210637354017E-2</v>
      </c>
      <c r="U189" s="30">
        <f>_xll.qlIndexFixing(Index,Q189,,InterestRatesTrigger)</f>
        <v>1.1768775146875781E-2</v>
      </c>
      <c r="V189" s="30">
        <f t="shared" si="20"/>
        <v>2.5256450952176358E-4</v>
      </c>
      <c r="W189" s="29">
        <f>_xll.qlDayCounterYearFraction(DayCounter,SettlementDate,R189,,,Trigger)</f>
        <v>44.138888888888886</v>
      </c>
      <c r="X189" s="29">
        <f>_xll.qlDayCounterYearFraction(DayCounter,R189,S189)</f>
        <v>0.25277777777777777</v>
      </c>
      <c r="Y189" s="29">
        <f>_xll.qlYieldTSDiscount(Currency&amp;"ON",R189)/(1+U189*X189)</f>
        <v>0.53690874140613354</v>
      </c>
      <c r="Z189" s="30">
        <f>_xll.qlTenorBasisValue(TenorBasis6M,R189,InterestRatesTrigger)</f>
        <v>1.9244629932757754E-4</v>
      </c>
      <c r="AA189" s="30">
        <f t="shared" si="21"/>
        <v>6.0118210194186041E-5</v>
      </c>
    </row>
    <row r="190" spans="15:27" x14ac:dyDescent="0.2">
      <c r="O190" s="33">
        <v>3</v>
      </c>
      <c r="P190" s="27" t="str">
        <f>_xll.qlPeriodEquivalent(P189&amp;"+"&amp;O190&amp;"M")</f>
        <v>43Y9M</v>
      </c>
      <c r="Q190" s="28">
        <f>_xll.qlCalendarAdvance(Calendar,SettlementDate,P190,"f",,Trigger)</f>
        <v>58258</v>
      </c>
      <c r="R190" s="28">
        <f>_xll.qlInterestRateIndexValueDate(Index,Q190,Trigger)</f>
        <v>58260</v>
      </c>
      <c r="S190" s="28">
        <f>_xll.qlInterestRateIndexMaturity(Index,R190,Trigger)</f>
        <v>58354</v>
      </c>
      <c r="T190" s="30">
        <f>_xll.qlIndexFixing($M$6,Q190,,InterestRatesTrigger)</f>
        <v>1.1430645170211513E-2</v>
      </c>
      <c r="U190" s="30">
        <f>_xll.qlIndexFixing(Index,Q190,,InterestRatesTrigger)</f>
        <v>1.163851900545791E-2</v>
      </c>
      <c r="V190" s="30">
        <f t="shared" si="20"/>
        <v>2.0787383524639713E-4</v>
      </c>
      <c r="W190" s="29">
        <f>_xll.qlDayCounterYearFraction(DayCounter,SettlementDate,R190,,,Trigger)</f>
        <v>44.391666666666666</v>
      </c>
      <c r="X190" s="29">
        <f>_xll.qlDayCounterYearFraction(DayCounter,R190,S190)</f>
        <v>0.26111111111111113</v>
      </c>
      <c r="Y190" s="29">
        <f>_xll.qlYieldTSDiscount(Currency&amp;"ON",R190)/(1+U190*X190)</f>
        <v>0.53531612248721094</v>
      </c>
      <c r="Z190" s="30">
        <f>_xll.qlTenorBasisValue(TenorBasis6M,R190,InterestRatesTrigger)</f>
        <v>1.919303968819181E-4</v>
      </c>
      <c r="AA190" s="30">
        <f t="shared" si="21"/>
        <v>1.5943438364479027E-5</v>
      </c>
    </row>
    <row r="191" spans="15:27" x14ac:dyDescent="0.2">
      <c r="O191" s="33">
        <v>3</v>
      </c>
      <c r="P191" s="27" t="str">
        <f>_xll.qlPeriodEquivalent(P190&amp;"+"&amp;O191&amp;"M")</f>
        <v>44Y</v>
      </c>
      <c r="Q191" s="28">
        <f>_xll.qlCalendarAdvance(Calendar,SettlementDate,P191,"f",,Trigger)</f>
        <v>58350</v>
      </c>
      <c r="R191" s="28">
        <f>_xll.qlInterestRateIndexValueDate(Index,Q191,Trigger)</f>
        <v>58354</v>
      </c>
      <c r="S191" s="28">
        <f>_xll.qlInterestRateIndexMaturity(Index,R191,Trigger)</f>
        <v>58446</v>
      </c>
      <c r="T191" s="30">
        <f>_xll.qlIndexFixing($M$6,Q191,,InterestRatesTrigger)</f>
        <v>1.1351136094174891E-2</v>
      </c>
      <c r="U191" s="30">
        <f>_xll.qlIndexFixing(Index,Q191,,InterestRatesTrigger)</f>
        <v>1.1515413342283986E-2</v>
      </c>
      <c r="V191" s="30">
        <f t="shared" si="20"/>
        <v>1.642772481090949E-4</v>
      </c>
      <c r="W191" s="29">
        <f>_xll.qlDayCounterYearFraction(DayCounter,SettlementDate,R191,,,Trigger)</f>
        <v>44.652777777777779</v>
      </c>
      <c r="X191" s="29">
        <f>_xll.qlDayCounterYearFraction(DayCounter,R191,S191)</f>
        <v>0.25555555555555554</v>
      </c>
      <c r="Y191" s="29">
        <f>_xll.qlYieldTSDiscount(Currency&amp;"ON",R191)/(1+U191*X191)</f>
        <v>0.53377428616414746</v>
      </c>
      <c r="Z191" s="30">
        <f>_xll.qlTenorBasisValue(TenorBasis6M,R191,InterestRatesTrigger)</f>
        <v>1.9141679203626342E-4</v>
      </c>
      <c r="AA191" s="30">
        <f t="shared" si="21"/>
        <v>-2.7139543927168523E-5</v>
      </c>
    </row>
    <row r="192" spans="15:27" x14ac:dyDescent="0.2">
      <c r="O192" s="33">
        <v>3</v>
      </c>
      <c r="P192" s="27" t="str">
        <f>_xll.qlPeriodEquivalent(P191&amp;"+"&amp;O192&amp;"M")</f>
        <v>44Y3M</v>
      </c>
      <c r="Q192" s="28">
        <f>_xll.qlCalendarAdvance(Calendar,SettlementDate,P192,"f",,Trigger)</f>
        <v>58442</v>
      </c>
      <c r="R192" s="28">
        <f>_xll.qlInterestRateIndexValueDate(Index,Q192,Trigger)</f>
        <v>58446</v>
      </c>
      <c r="S192" s="28">
        <f>_xll.qlInterestRateIndexMaturity(Index,R192,Trigger)</f>
        <v>58537</v>
      </c>
      <c r="T192" s="30">
        <f>_xll.qlIndexFixing($M$6,Q192,,InterestRatesTrigger)</f>
        <v>1.1280588710782915E-2</v>
      </c>
      <c r="U192" s="30">
        <f>_xll.qlIndexFixing(Index,Q192,,InterestRatesTrigger)</f>
        <v>1.1403375531967368E-2</v>
      </c>
      <c r="V192" s="30">
        <f t="shared" si="20"/>
        <v>1.227868211844535E-4</v>
      </c>
      <c r="W192" s="29">
        <f>_xll.qlDayCounterYearFraction(DayCounter,SettlementDate,R192,,,Trigger)</f>
        <v>44.908333333333331</v>
      </c>
      <c r="X192" s="29">
        <f>_xll.qlDayCounterYearFraction(DayCounter,R192,S192)</f>
        <v>0.25277777777777777</v>
      </c>
      <c r="Y192" s="29">
        <f>_xll.qlYieldTSDiscount(Currency&amp;"ON",R192)/(1+U192*X192)</f>
        <v>0.53226237334288218</v>
      </c>
      <c r="Z192" s="30">
        <f>_xll.qlTenorBasisValue(TenorBasis6M,R192,InterestRatesTrigger)</f>
        <v>1.9093244452364285E-4</v>
      </c>
      <c r="AA192" s="30">
        <f t="shared" si="21"/>
        <v>-6.8145623339189353E-5</v>
      </c>
    </row>
    <row r="193" spans="15:27" x14ac:dyDescent="0.2">
      <c r="O193" s="33">
        <v>3</v>
      </c>
      <c r="P193" s="27" t="str">
        <f>_xll.qlPeriodEquivalent(P192&amp;"+"&amp;O193&amp;"M")</f>
        <v>44Y6M</v>
      </c>
      <c r="Q193" s="28">
        <f>_xll.qlCalendarAdvance(Calendar,SettlementDate,P193,"f",,Trigger)</f>
        <v>58533</v>
      </c>
      <c r="R193" s="28">
        <f>_xll.qlInterestRateIndexValueDate(Index,Q193,Trigger)</f>
        <v>58537</v>
      </c>
      <c r="S193" s="28">
        <f>_xll.qlInterestRateIndexMaturity(Index,R193,Trigger)</f>
        <v>58628</v>
      </c>
      <c r="T193" s="30">
        <f>_xll.qlIndexFixing($M$6,Q193,,InterestRatesTrigger)</f>
        <v>1.1218166709816057E-2</v>
      </c>
      <c r="U193" s="30">
        <f>_xll.qlIndexFixing(Index,Q193,,InterestRatesTrigger)</f>
        <v>1.1301110702163013E-2</v>
      </c>
      <c r="V193" s="30">
        <f t="shared" si="20"/>
        <v>8.2943992346956597E-5</v>
      </c>
      <c r="W193" s="29">
        <f>_xll.qlDayCounterYearFraction(DayCounter,SettlementDate,R193,,,Trigger)</f>
        <v>45.161111111111111</v>
      </c>
      <c r="X193" s="29">
        <f>_xll.qlDayCounterYearFraction(DayCounter,R193,S193)</f>
        <v>0.25277777777777777</v>
      </c>
      <c r="Y193" s="29">
        <f>_xll.qlYieldTSDiscount(Currency&amp;"ON",R193)/(1+U193*X193)</f>
        <v>0.53076263310679062</v>
      </c>
      <c r="Z193" s="30">
        <f>_xll.qlTenorBasisValue(TenorBasis6M,R193,InterestRatesTrigger)</f>
        <v>1.9047057205391393E-4</v>
      </c>
      <c r="AA193" s="30">
        <f t="shared" si="21"/>
        <v>-1.0752657970695734E-4</v>
      </c>
    </row>
    <row r="194" spans="15:27" x14ac:dyDescent="0.2">
      <c r="O194" s="33">
        <v>3</v>
      </c>
      <c r="P194" s="27" t="str">
        <f>_xll.qlPeriodEquivalent(P193&amp;"+"&amp;O194&amp;"M")</f>
        <v>44Y9M</v>
      </c>
      <c r="Q194" s="28">
        <f>_xll.qlCalendarAdvance(Calendar,SettlementDate,P194,"f",,Trigger)</f>
        <v>58624</v>
      </c>
      <c r="R194" s="28">
        <f>_xll.qlInterestRateIndexValueDate(Index,Q194,Trigger)</f>
        <v>58628</v>
      </c>
      <c r="S194" s="28">
        <f>_xll.qlInterestRateIndexMaturity(Index,R194,Trigger)</f>
        <v>58720</v>
      </c>
      <c r="T194" s="30">
        <f>_xll.qlIndexFixing($M$6,Q194,,InterestRatesTrigger)</f>
        <v>1.1163363249303705E-2</v>
      </c>
      <c r="U194" s="30">
        <f>_xll.qlIndexFixing(Index,Q194,,InterestRatesTrigger)</f>
        <v>1.1207714975463218E-2</v>
      </c>
      <c r="V194" s="30">
        <f t="shared" si="20"/>
        <v>4.4351726159512495E-5</v>
      </c>
      <c r="W194" s="29">
        <f>_xll.qlDayCounterYearFraction(DayCounter,SettlementDate,R194,,,Trigger)</f>
        <v>45.413888888888891</v>
      </c>
      <c r="X194" s="29">
        <f>_xll.qlDayCounterYearFraction(DayCounter,R194,S194)</f>
        <v>0.25555555555555554</v>
      </c>
      <c r="Y194" s="29">
        <f>_xll.qlYieldTSDiscount(Currency&amp;"ON",R194)/(1+U194*X194)</f>
        <v>0.52925783280280914</v>
      </c>
      <c r="Z194" s="30">
        <f>_xll.qlTenorBasisValue(TenorBasis6M,R194,InterestRatesTrigger)</f>
        <v>1.9002521935651093E-4</v>
      </c>
      <c r="AA194" s="30">
        <f t="shared" si="21"/>
        <v>-1.4567349319699843E-4</v>
      </c>
    </row>
    <row r="195" spans="15:27" x14ac:dyDescent="0.2">
      <c r="O195" s="33">
        <v>3</v>
      </c>
      <c r="P195" s="27" t="str">
        <f>_xll.qlPeriodEquivalent(P194&amp;"+"&amp;O195&amp;"M")</f>
        <v>45Y</v>
      </c>
      <c r="Q195" s="28">
        <f>_xll.qlCalendarAdvance(Calendar,SettlementDate,P195,"f",,Trigger)</f>
        <v>58718</v>
      </c>
      <c r="R195" s="28">
        <f>_xll.qlInterestRateIndexValueDate(Index,Q195,Trigger)</f>
        <v>58720</v>
      </c>
      <c r="S195" s="28">
        <f>_xll.qlInterestRateIndexMaturity(Index,R195,Trigger)</f>
        <v>58812</v>
      </c>
      <c r="T195" s="30">
        <f>_xll.qlIndexFixing($M$6,Q195,,InterestRatesTrigger)</f>
        <v>1.1116131438632442E-2</v>
      </c>
      <c r="U195" s="30">
        <f>_xll.qlIndexFixing(Index,Q195,,InterestRatesTrigger)</f>
        <v>1.1123204031653249E-2</v>
      </c>
      <c r="V195" s="30">
        <f t="shared" si="20"/>
        <v>7.0725930208064003E-6</v>
      </c>
      <c r="W195" s="29">
        <f>_xll.qlDayCounterYearFraction(DayCounter,SettlementDate,R195,,,Trigger)</f>
        <v>45.669444444444444</v>
      </c>
      <c r="X195" s="29">
        <f>_xll.qlDayCounterYearFraction(DayCounter,R195,S195)</f>
        <v>0.25555555555555554</v>
      </c>
      <c r="Y195" s="29">
        <f>_xll.qlYieldTSDiscount(Currency&amp;"ON",R195)/(1+U195*X195)</f>
        <v>0.5277635955259633</v>
      </c>
      <c r="Z195" s="30">
        <f>_xll.qlTenorBasisValue(TenorBasis6M,R195,InterestRatesTrigger)</f>
        <v>1.8959117961803965E-4</v>
      </c>
      <c r="AA195" s="30">
        <f t="shared" si="21"/>
        <v>-1.8251858659723325E-4</v>
      </c>
    </row>
    <row r="196" spans="15:27" x14ac:dyDescent="0.2">
      <c r="O196" s="33">
        <v>3</v>
      </c>
      <c r="P196" s="27" t="str">
        <f>_xll.qlPeriodEquivalent(P195&amp;"+"&amp;O196&amp;"M")</f>
        <v>45Y3M</v>
      </c>
      <c r="Q196" s="28">
        <f>_xll.qlCalendarAdvance(Calendar,SettlementDate,P196,"f",,Trigger)</f>
        <v>58809</v>
      </c>
      <c r="R196" s="28">
        <f>_xll.qlInterestRateIndexValueDate(Index,Q196,Trigger)</f>
        <v>58811</v>
      </c>
      <c r="S196" s="28">
        <f>_xll.qlInterestRateIndexMaturity(Index,R196,Trigger)</f>
        <v>58901</v>
      </c>
      <c r="T196" s="30">
        <f>_xll.qlIndexFixing($M$6,Q196,,InterestRatesTrigger)</f>
        <v>1.1077565759544328E-2</v>
      </c>
      <c r="U196" s="30">
        <f>_xll.qlIndexFixing(Index,Q196,,InterestRatesTrigger)</f>
        <v>1.1049694568852964E-2</v>
      </c>
      <c r="V196" s="30">
        <f t="shared" si="20"/>
        <v>-2.7871190691364234E-5</v>
      </c>
      <c r="W196" s="29">
        <f>_xll.qlDayCounterYearFraction(DayCounter,SettlementDate,R196,,,Trigger)</f>
        <v>45.922222222222224</v>
      </c>
      <c r="X196" s="29">
        <f>_xll.qlDayCounterYearFraction(DayCounter,R196,S196)</f>
        <v>0.25</v>
      </c>
      <c r="Y196" s="29">
        <f>_xll.qlYieldTSDiscount(Currency&amp;"ON",R196)/(1+U196*X196)</f>
        <v>0.52632685231089027</v>
      </c>
      <c r="Z196" s="30">
        <f>_xll.qlTenorBasisValue(TenorBasis6M,R196,InterestRatesTrigger)</f>
        <v>1.8917732814122229E-4</v>
      </c>
      <c r="AA196" s="30">
        <f t="shared" si="21"/>
        <v>-2.1704851883258653E-4</v>
      </c>
    </row>
    <row r="197" spans="15:27" x14ac:dyDescent="0.2">
      <c r="O197" s="33">
        <v>3</v>
      </c>
      <c r="P197" s="27" t="str">
        <f>_xll.qlPeriodEquivalent(P196&amp;"+"&amp;O197&amp;"M")</f>
        <v>45Y6M</v>
      </c>
      <c r="Q197" s="28">
        <f>_xll.qlCalendarAdvance(Calendar,SettlementDate,P197,"f",,Trigger)</f>
        <v>58900</v>
      </c>
      <c r="R197" s="28">
        <f>_xll.qlInterestRateIndexValueDate(Index,Q197,Trigger)</f>
        <v>58902</v>
      </c>
      <c r="S197" s="28">
        <f>_xll.qlInterestRateIndexMaturity(Index,R197,Trigger)</f>
        <v>58993</v>
      </c>
      <c r="T197" s="30">
        <f>_xll.qlIndexFixing($M$6,Q197,,InterestRatesTrigger)</f>
        <v>1.1047186735784711E-2</v>
      </c>
      <c r="U197" s="30">
        <f>_xll.qlIndexFixing(Index,Q197,,InterestRatesTrigger)</f>
        <v>1.0985383669215212E-2</v>
      </c>
      <c r="V197" s="30">
        <f t="shared" si="20"/>
        <v>-6.1803066569499077E-5</v>
      </c>
      <c r="W197" s="29">
        <f>_xll.qlDayCounterYearFraction(DayCounter,SettlementDate,R197,,,Trigger)</f>
        <v>46.174999999999997</v>
      </c>
      <c r="X197" s="29">
        <f>_xll.qlDayCounterYearFraction(DayCounter,R197,S197)</f>
        <v>0.25277777777777777</v>
      </c>
      <c r="Y197" s="29">
        <f>_xll.qlYieldTSDiscount(Currency&amp;"ON",R197)/(1+U197*X197)</f>
        <v>0.52484961207094449</v>
      </c>
      <c r="Z197" s="30">
        <f>_xll.qlTenorBasisValue(TenorBasis6M,R197,InterestRatesTrigger)</f>
        <v>1.8877832398521335E-4</v>
      </c>
      <c r="AA197" s="30">
        <f t="shared" si="21"/>
        <v>-2.5058139055471242E-4</v>
      </c>
    </row>
    <row r="198" spans="15:27" x14ac:dyDescent="0.2">
      <c r="O198" s="33">
        <v>3</v>
      </c>
      <c r="P198" s="27" t="str">
        <f>_xll.qlPeriodEquivalent(P197&amp;"+"&amp;O198&amp;"M")</f>
        <v>45Y9M</v>
      </c>
      <c r="Q198" s="28">
        <f>_xll.qlCalendarAdvance(Calendar,SettlementDate,P198,"f",,Trigger)</f>
        <v>58991</v>
      </c>
      <c r="R198" s="28">
        <f>_xll.qlInterestRateIndexValueDate(Index,Q198,Trigger)</f>
        <v>58993</v>
      </c>
      <c r="S198" s="28">
        <f>_xll.qlInterestRateIndexMaturity(Index,R198,Trigger)</f>
        <v>59085</v>
      </c>
      <c r="T198" s="30">
        <f>_xll.qlIndexFixing($M$6,Q198,,InterestRatesTrigger)</f>
        <v>1.1025348449347314E-2</v>
      </c>
      <c r="U198" s="30">
        <f>_xll.qlIndexFixing(Index,Q198,,InterestRatesTrigger)</f>
        <v>1.0931260705301035E-2</v>
      </c>
      <c r="V198" s="30">
        <f t="shared" si="20"/>
        <v>-9.4087744046279093E-5</v>
      </c>
      <c r="W198" s="29">
        <f>_xll.qlDayCounterYearFraction(DayCounter,SettlementDate,R198,,,Trigger)</f>
        <v>46.427777777777777</v>
      </c>
      <c r="X198" s="29">
        <f>_xll.qlDayCounterYearFraction(DayCounter,R198,S198)</f>
        <v>0.25555555555555554</v>
      </c>
      <c r="Y198" s="29">
        <f>_xll.qlYieldTSDiscount(Currency&amp;"ON",R198)/(1+U198*X198)</f>
        <v>0.52337935201224961</v>
      </c>
      <c r="Z198" s="30">
        <f>_xll.qlTenorBasisValue(TenorBasis6M,R198,InterestRatesTrigger)</f>
        <v>1.8839364858268457E-4</v>
      </c>
      <c r="AA198" s="30">
        <f t="shared" si="21"/>
        <v>-2.8248139262896364E-4</v>
      </c>
    </row>
    <row r="199" spans="15:27" x14ac:dyDescent="0.2">
      <c r="O199" s="33">
        <v>3</v>
      </c>
      <c r="P199" s="27" t="str">
        <f>_xll.qlPeriodEquivalent(P198&amp;"+"&amp;O199&amp;"M")</f>
        <v>46Y</v>
      </c>
      <c r="Q199" s="28">
        <f>_xll.qlCalendarAdvance(Calendar,SettlementDate,P199,"f",,Trigger)</f>
        <v>59082</v>
      </c>
      <c r="R199" s="28">
        <f>_xll.qlInterestRateIndexValueDate(Index,Q199,Trigger)</f>
        <v>59084</v>
      </c>
      <c r="S199" s="28">
        <f>_xll.qlInterestRateIndexMaturity(Index,R199,Trigger)</f>
        <v>59176</v>
      </c>
      <c r="T199" s="30">
        <f>_xll.qlIndexFixing($M$6,Q199,,InterestRatesTrigger)</f>
        <v>1.1012109315782226E-2</v>
      </c>
      <c r="U199" s="30">
        <f>_xll.qlIndexFixing(Index,Q199,,InterestRatesTrigger)</f>
        <v>1.0887593689378727E-2</v>
      </c>
      <c r="V199" s="30">
        <f t="shared" si="20"/>
        <v>-1.2451562640349891E-4</v>
      </c>
      <c r="W199" s="29">
        <f>_xll.qlDayCounterYearFraction(DayCounter,SettlementDate,R199,,,Trigger)</f>
        <v>46.680555555555557</v>
      </c>
      <c r="X199" s="29">
        <f>_xll.qlDayCounterYearFraction(DayCounter,R199,S199)</f>
        <v>0.25555555555555554</v>
      </c>
      <c r="Y199" s="29">
        <f>_xll.qlYieldTSDiscount(Currency&amp;"ON",R199)/(1+U199*X199)</f>
        <v>0.52193058564342265</v>
      </c>
      <c r="Z199" s="30">
        <f>_xll.qlTenorBasisValue(TenorBasis6M,R199,InterestRatesTrigger)</f>
        <v>1.8802280079458587E-4</v>
      </c>
      <c r="AA199" s="30">
        <f t="shared" si="21"/>
        <v>-3.1253842719808475E-4</v>
      </c>
    </row>
    <row r="200" spans="15:27" x14ac:dyDescent="0.2">
      <c r="O200" s="33">
        <v>3</v>
      </c>
      <c r="P200" s="27" t="str">
        <f>_xll.qlPeriodEquivalent(P199&amp;"+"&amp;O200&amp;"M")</f>
        <v>46Y3M</v>
      </c>
      <c r="Q200" s="28">
        <f>_xll.qlCalendarAdvance(Calendar,SettlementDate,P200,"f",,Trigger)</f>
        <v>59173</v>
      </c>
      <c r="R200" s="28">
        <f>_xll.qlInterestRateIndexValueDate(Index,Q200,Trigger)</f>
        <v>59175</v>
      </c>
      <c r="S200" s="28">
        <f>_xll.qlInterestRateIndexMaturity(Index,R200,Trigger)</f>
        <v>59265</v>
      </c>
      <c r="T200" s="30">
        <f>_xll.qlIndexFixing($M$6,Q200,,InterestRatesTrigger)</f>
        <v>1.1007332656203239E-2</v>
      </c>
      <c r="U200" s="30">
        <f>_xll.qlIndexFixing(Index,Q200,,InterestRatesTrigger)</f>
        <v>1.0854420685364907E-2</v>
      </c>
      <c r="V200" s="30">
        <f t="shared" si="20"/>
        <v>-1.5291197083833197E-4</v>
      </c>
      <c r="W200" s="29">
        <f>_xll.qlDayCounterYearFraction(DayCounter,SettlementDate,R200,,,Trigger)</f>
        <v>46.93333333333333</v>
      </c>
      <c r="X200" s="29">
        <f>_xll.qlDayCounterYearFraction(DayCounter,R200,S200)</f>
        <v>0.25</v>
      </c>
      <c r="Y200" s="29">
        <f>_xll.qlYieldTSDiscount(Currency&amp;"ON",R200)/(1+U200*X200)</f>
        <v>0.52051748253696017</v>
      </c>
      <c r="Z200" s="30">
        <f>_xll.qlTenorBasisValue(TenorBasis6M,R200,InterestRatesTrigger)</f>
        <v>1.8766529635845779E-4</v>
      </c>
      <c r="AA200" s="30">
        <f t="shared" si="21"/>
        <v>-3.4057726719678976E-4</v>
      </c>
    </row>
    <row r="201" spans="15:27" x14ac:dyDescent="0.2">
      <c r="O201" s="33">
        <v>3</v>
      </c>
      <c r="P201" s="27" t="str">
        <f>_xll.qlPeriodEquivalent(P200&amp;"+"&amp;O201&amp;"M")</f>
        <v>46Y6M</v>
      </c>
      <c r="Q201" s="28">
        <f>_xll.qlCalendarAdvance(Calendar,SettlementDate,P201,"f",,Trigger)</f>
        <v>59264</v>
      </c>
      <c r="R201" s="28">
        <f>_xll.qlInterestRateIndexValueDate(Index,Q201,Trigger)</f>
        <v>59266</v>
      </c>
      <c r="S201" s="28">
        <f>_xll.qlInterestRateIndexMaturity(Index,R201,Trigger)</f>
        <v>59357</v>
      </c>
      <c r="T201" s="30">
        <f>_xll.qlIndexFixing($M$6,Q201,,InterestRatesTrigger)</f>
        <v>1.1012032357760732E-2</v>
      </c>
      <c r="U201" s="30">
        <f>_xll.qlIndexFixing(Index,Q201,,InterestRatesTrigger)</f>
        <v>1.0832010533706395E-2</v>
      </c>
      <c r="V201" s="30">
        <f t="shared" si="20"/>
        <v>-1.8002182405433761E-4</v>
      </c>
      <c r="W201" s="29">
        <f>_xll.qlDayCounterYearFraction(DayCounter,SettlementDate,R201,,,Trigger)</f>
        <v>47.18611111111111</v>
      </c>
      <c r="X201" s="29">
        <f>_xll.qlDayCounterYearFraction(DayCounter,R201,S201)</f>
        <v>0.25277777777777777</v>
      </c>
      <c r="Y201" s="29">
        <f>_xll.qlYieldTSDiscount(Currency&amp;"ON",R201)/(1+U201*X201)</f>
        <v>0.51906050995824216</v>
      </c>
      <c r="Z201" s="30">
        <f>_xll.qlTenorBasisValue(TenorBasis6M,R201,InterestRatesTrigger)</f>
        <v>1.8732066735244467E-4</v>
      </c>
      <c r="AA201" s="30">
        <f t="shared" si="21"/>
        <v>-3.6734249140678228E-4</v>
      </c>
    </row>
    <row r="202" spans="15:27" x14ac:dyDescent="0.2">
      <c r="O202" s="33">
        <v>3</v>
      </c>
      <c r="P202" s="27" t="str">
        <f>_xll.qlPeriodEquivalent(P201&amp;"+"&amp;O202&amp;"M")</f>
        <v>46Y9M</v>
      </c>
      <c r="Q202" s="28">
        <f>_xll.qlCalendarAdvance(Calendar,SettlementDate,P202,"f",,Trigger)</f>
        <v>59355</v>
      </c>
      <c r="R202" s="28">
        <f>_xll.qlInterestRateIndexValueDate(Index,Q202,Trigger)</f>
        <v>59357</v>
      </c>
      <c r="S202" s="28">
        <f>_xll.qlInterestRateIndexMaturity(Index,R202,Trigger)</f>
        <v>59449</v>
      </c>
      <c r="T202" s="30">
        <f>_xll.qlIndexFixing($M$6,Q202,,InterestRatesTrigger)</f>
        <v>1.1026013363907248E-2</v>
      </c>
      <c r="U202" s="30">
        <f>_xll.qlIndexFixing(Index,Q202,,InterestRatesTrigger)</f>
        <v>1.0820707502908419E-2</v>
      </c>
      <c r="V202" s="30">
        <f t="shared" si="20"/>
        <v>-2.053058609988289E-4</v>
      </c>
      <c r="W202" s="29">
        <f>_xll.qlDayCounterYearFraction(DayCounter,SettlementDate,R202,,,Trigger)</f>
        <v>47.43888888888889</v>
      </c>
      <c r="X202" s="29">
        <f>_xll.qlDayCounterYearFraction(DayCounter,R202,S202)</f>
        <v>0.25555555555555554</v>
      </c>
      <c r="Y202" s="29">
        <f>_xll.qlYieldTSDiscount(Currency&amp;"ON",R202)/(1+U202*X202)</f>
        <v>0.51760562475740068</v>
      </c>
      <c r="Z202" s="30">
        <f>_xll.qlTenorBasisValue(TenorBasis6M,R202,InterestRatesTrigger)</f>
        <v>1.8698846167465856E-4</v>
      </c>
      <c r="AA202" s="30">
        <f t="shared" si="21"/>
        <v>-3.9229432267348749E-4</v>
      </c>
    </row>
    <row r="203" spans="15:27" x14ac:dyDescent="0.2">
      <c r="O203" s="33">
        <v>3</v>
      </c>
      <c r="P203" s="27" t="str">
        <f>_xll.qlPeriodEquivalent(P202&amp;"+"&amp;O203&amp;"M")</f>
        <v>47Y</v>
      </c>
      <c r="Q203" s="28">
        <f>_xll.qlCalendarAdvance(Calendar,SettlementDate,P203,"f",,Trigger)</f>
        <v>59446</v>
      </c>
      <c r="R203" s="28">
        <f>_xll.qlInterestRateIndexValueDate(Index,Q203,Trigger)</f>
        <v>59448</v>
      </c>
      <c r="S203" s="28">
        <f>_xll.qlInterestRateIndexMaturity(Index,R203,Trigger)</f>
        <v>59540</v>
      </c>
      <c r="T203" s="30">
        <f>_xll.qlIndexFixing($M$6,Q203,,InterestRatesTrigger)</f>
        <v>1.1049130797476405E-2</v>
      </c>
      <c r="U203" s="30">
        <f>_xll.qlIndexFixing(Index,Q203,,InterestRatesTrigger)</f>
        <v>1.0820539627964037E-2</v>
      </c>
      <c r="V203" s="30">
        <f t="shared" si="20"/>
        <v>-2.2859116951236789E-4</v>
      </c>
      <c r="W203" s="29">
        <f>_xll.qlDayCounterYearFraction(DayCounter,SettlementDate,R203,,,Trigger)</f>
        <v>47.69166666666667</v>
      </c>
      <c r="X203" s="29">
        <f>_xll.qlDayCounterYearFraction(DayCounter,R203,S203)</f>
        <v>0.25555555555555554</v>
      </c>
      <c r="Y203" s="29">
        <f>_xll.qlYieldTSDiscount(Currency&amp;"ON",R203)/(1+U203*X203)</f>
        <v>0.51616705792413597</v>
      </c>
      <c r="Z203" s="30">
        <f>_xll.qlTenorBasisValue(TenorBasis6M,R203,InterestRatesTrigger)</f>
        <v>1.8666824253754582E-4</v>
      </c>
      <c r="AA203" s="30">
        <f t="shared" si="21"/>
        <v>-4.1525941204991368E-4</v>
      </c>
    </row>
    <row r="204" spans="15:27" x14ac:dyDescent="0.2">
      <c r="O204" s="33">
        <v>3</v>
      </c>
      <c r="P204" s="27" t="str">
        <f>_xll.qlPeriodEquivalent(P203&amp;"+"&amp;O204&amp;"M")</f>
        <v>47Y3M</v>
      </c>
      <c r="Q204" s="28">
        <f>_xll.qlCalendarAdvance(Calendar,SettlementDate,P204,"f",,Trigger)</f>
        <v>59538</v>
      </c>
      <c r="R204" s="28">
        <f>_xll.qlInterestRateIndexValueDate(Index,Q204,Trigger)</f>
        <v>59540</v>
      </c>
      <c r="S204" s="28">
        <f>_xll.qlInterestRateIndexMaturity(Index,R204,Trigger)</f>
        <v>59630</v>
      </c>
      <c r="T204" s="30">
        <f>_xll.qlIndexFixing($M$6,Q204,,InterestRatesTrigger)</f>
        <v>1.1081435624927138E-2</v>
      </c>
      <c r="U204" s="30">
        <f>_xll.qlIndexFixing(Index,Q204,,InterestRatesTrigger)</f>
        <v>1.0831466712538429E-2</v>
      </c>
      <c r="V204" s="30">
        <f t="shared" si="20"/>
        <v>-2.4996891238870944E-4</v>
      </c>
      <c r="W204" s="29">
        <f>_xll.qlDayCounterYearFraction(DayCounter,SettlementDate,R204,,,Trigger)</f>
        <v>47.947222222222223</v>
      </c>
      <c r="X204" s="29">
        <f>_xll.qlDayCounterYearFraction(DayCounter,R204,S204)</f>
        <v>0.25</v>
      </c>
      <c r="Y204" s="29">
        <f>_xll.qlYieldTSDiscount(Currency&amp;"ON",R204)/(1+U204*X204)</f>
        <v>0.51474313373297598</v>
      </c>
      <c r="Z204" s="30">
        <f>_xll.qlTenorBasisValue(TenorBasis6M,R204,InterestRatesTrigger)</f>
        <v>1.8635625887768531E-4</v>
      </c>
      <c r="AA204" s="30">
        <f t="shared" si="21"/>
        <v>-4.3632517126639472E-4</v>
      </c>
    </row>
    <row r="205" spans="15:27" x14ac:dyDescent="0.2">
      <c r="O205" s="33">
        <v>3</v>
      </c>
      <c r="P205" s="27" t="str">
        <f>_xll.qlPeriodEquivalent(P204&amp;"+"&amp;O205&amp;"M")</f>
        <v>47Y6M</v>
      </c>
      <c r="Q205" s="28">
        <f>_xll.qlCalendarAdvance(Calendar,SettlementDate,P205,"f",,Trigger)</f>
        <v>59628</v>
      </c>
      <c r="R205" s="28">
        <f>_xll.qlInterestRateIndexValueDate(Index,Q205,Trigger)</f>
        <v>59630</v>
      </c>
      <c r="S205" s="28">
        <f>_xll.qlInterestRateIndexMaturity(Index,R205,Trigger)</f>
        <v>59721</v>
      </c>
      <c r="T205" s="30">
        <f>_xll.qlIndexFixing($M$6,Q205,,InterestRatesTrigger)</f>
        <v>1.1123745923820039E-2</v>
      </c>
      <c r="U205" s="30">
        <f>_xll.qlIndexFixing(Index,Q205,,InterestRatesTrigger)</f>
        <v>1.0854423938623932E-2</v>
      </c>
      <c r="V205" s="30">
        <f t="shared" si="20"/>
        <v>-2.6932198519610644E-4</v>
      </c>
      <c r="W205" s="29">
        <f>_xll.qlDayCounterYearFraction(DayCounter,SettlementDate,R205,,,Trigger)</f>
        <v>48.197222222222223</v>
      </c>
      <c r="X205" s="29">
        <f>_xll.qlDayCounterYearFraction(DayCounter,R205,S205)</f>
        <v>0.25277777777777777</v>
      </c>
      <c r="Y205" s="29">
        <f>_xll.qlYieldTSDiscount(Currency&amp;"ON",R205)/(1+U205*X205)</f>
        <v>0.51330267725968026</v>
      </c>
      <c r="Z205" s="30">
        <f>_xll.qlTenorBasisValue(TenorBasis6M,R205,InterestRatesTrigger)</f>
        <v>1.8606209037525415E-4</v>
      </c>
      <c r="AA205" s="30">
        <f t="shared" si="21"/>
        <v>-4.5538407557136056E-4</v>
      </c>
    </row>
    <row r="206" spans="15:27" x14ac:dyDescent="0.2">
      <c r="O206" s="33">
        <v>3</v>
      </c>
      <c r="P206" s="27" t="str">
        <f>_xll.qlPeriodEquivalent(P205&amp;"+"&amp;O206&amp;"M")</f>
        <v>47Y9M</v>
      </c>
      <c r="Q206" s="28">
        <f>_xll.qlCalendarAdvance(Calendar,SettlementDate,P206,"f",,Trigger)</f>
        <v>59719</v>
      </c>
      <c r="R206" s="28">
        <f>_xll.qlInterestRateIndexValueDate(Index,Q206,Trigger)</f>
        <v>59721</v>
      </c>
      <c r="S206" s="28">
        <f>_xll.qlInterestRateIndexMaturity(Index,R206,Trigger)</f>
        <v>59813</v>
      </c>
      <c r="T206" s="30">
        <f>_xll.qlIndexFixing($M$6,Q206,,InterestRatesTrigger)</f>
        <v>1.1176490801655828E-2</v>
      </c>
      <c r="U206" s="30">
        <f>_xll.qlIndexFixing(Index,Q206,,InterestRatesTrigger)</f>
        <v>1.0889595930339582E-2</v>
      </c>
      <c r="V206" s="30">
        <f t="shared" si="20"/>
        <v>-2.8689487131624593E-4</v>
      </c>
      <c r="W206" s="29">
        <f>_xll.qlDayCounterYearFraction(DayCounter,SettlementDate,R206,,,Trigger)</f>
        <v>48.45</v>
      </c>
      <c r="X206" s="29">
        <f>_xll.qlDayCounterYearFraction(DayCounter,R206,S206)</f>
        <v>0.25555555555555554</v>
      </c>
      <c r="Y206" s="29">
        <f>_xll.qlYieldTSDiscount(Currency&amp;"ON",R206)/(1+U206*X206)</f>
        <v>0.51184342291742624</v>
      </c>
      <c r="Z206" s="30">
        <f>_xll.qlTenorBasisValue(TenorBasis6M,R206,InterestRatesTrigger)</f>
        <v>1.8577535599908303E-4</v>
      </c>
      <c r="AA206" s="30">
        <f t="shared" si="21"/>
        <v>-4.7267022731532895E-4</v>
      </c>
    </row>
    <row r="207" spans="15:27" x14ac:dyDescent="0.2">
      <c r="O207" s="33">
        <v>3</v>
      </c>
      <c r="P207" s="27" t="str">
        <f>_xll.qlPeriodEquivalent(P206&amp;"+"&amp;O207&amp;"M")</f>
        <v>48Y</v>
      </c>
      <c r="Q207" s="28">
        <f>_xll.qlCalendarAdvance(Calendar,SettlementDate,P207,"f",,Trigger)</f>
        <v>59811</v>
      </c>
      <c r="R207" s="28">
        <f>_xll.qlInterestRateIndexValueDate(Index,Q207,Trigger)</f>
        <v>59813</v>
      </c>
      <c r="S207" s="28">
        <f>_xll.qlInterestRateIndexMaturity(Index,R207,Trigger)</f>
        <v>59905</v>
      </c>
      <c r="T207" s="30">
        <f>_xll.qlIndexFixing($M$6,Q207,,InterestRatesTrigger)</f>
        <v>1.1239632404777522E-2</v>
      </c>
      <c r="U207" s="30">
        <f>_xll.qlIndexFixing(Index,Q207,,InterestRatesTrigger)</f>
        <v>1.0937142813524141E-2</v>
      </c>
      <c r="V207" s="30">
        <f t="shared" si="20"/>
        <v>-3.0248959125338086E-4</v>
      </c>
      <c r="W207" s="29">
        <f>_xll.qlDayCounterYearFraction(DayCounter,SettlementDate,R207,,,Trigger)</f>
        <v>48.705555555555556</v>
      </c>
      <c r="X207" s="29">
        <f>_xll.qlDayCounterYearFraction(DayCounter,R207,S207)</f>
        <v>0.25555555555555554</v>
      </c>
      <c r="Y207" s="29">
        <f>_xll.qlYieldTSDiscount(Currency&amp;"ON",R207)/(1+U207*X207)</f>
        <v>0.51037946776694887</v>
      </c>
      <c r="Z207" s="30">
        <f>_xll.qlTenorBasisValue(TenorBasis6M,R207,InterestRatesTrigger)</f>
        <v>1.8549602401730307E-4</v>
      </c>
      <c r="AA207" s="30">
        <f t="shared" si="21"/>
        <v>-4.8798561527068393E-4</v>
      </c>
    </row>
    <row r="208" spans="15:27" x14ac:dyDescent="0.2">
      <c r="O208" s="33">
        <v>3</v>
      </c>
      <c r="P208" s="27" t="str">
        <f>_xll.qlPeriodEquivalent(P207&amp;"+"&amp;O208&amp;"M")</f>
        <v>48Y3M</v>
      </c>
      <c r="Q208" s="28">
        <f>_xll.qlCalendarAdvance(Calendar,SettlementDate,P208,"f",,Trigger)</f>
        <v>59903</v>
      </c>
      <c r="R208" s="28">
        <f>_xll.qlInterestRateIndexValueDate(Index,Q208,Trigger)</f>
        <v>59905</v>
      </c>
      <c r="S208" s="28">
        <f>_xll.qlInterestRateIndexMaturity(Index,R208,Trigger)</f>
        <v>60000</v>
      </c>
      <c r="T208" s="30">
        <f>_xll.qlIndexFixing($M$6,Q208,,InterestRatesTrigger)</f>
        <v>1.1315132635550097E-2</v>
      </c>
      <c r="U208" s="30">
        <f>_xll.qlIndexFixing(Index,Q208,,InterestRatesTrigger)</f>
        <v>1.0998942109625662E-2</v>
      </c>
      <c r="V208" s="30">
        <f t="shared" si="20"/>
        <v>-3.1619052592443513E-4</v>
      </c>
      <c r="W208" s="29">
        <f>_xll.qlDayCounterYearFraction(DayCounter,SettlementDate,R208,,,Trigger)</f>
        <v>48.961111111111109</v>
      </c>
      <c r="X208" s="29">
        <f>_xll.qlDayCounterYearFraction(DayCounter,R208,S208)</f>
        <v>0.2638888888888889</v>
      </c>
      <c r="Y208" s="29">
        <f>_xll.qlYieldTSDiscount(Currency&amp;"ON",R208)/(1+U208*X208)</f>
        <v>0.50886315236329482</v>
      </c>
      <c r="Z208" s="30">
        <f>_xll.qlTenorBasisValue(TenorBasis6M,R208,InterestRatesTrigger)</f>
        <v>1.8522692496669645E-4</v>
      </c>
      <c r="AA208" s="30">
        <f t="shared" si="21"/>
        <v>-5.014174508911316E-4</v>
      </c>
    </row>
    <row r="209" spans="15:27" x14ac:dyDescent="0.2">
      <c r="O209" s="33">
        <v>3</v>
      </c>
      <c r="P209" s="27" t="str">
        <f>_xll.qlPeriodEquivalent(P208&amp;"+"&amp;O209&amp;"M")</f>
        <v>48Y6M</v>
      </c>
      <c r="Q209" s="28">
        <f>_xll.qlCalendarAdvance(Calendar,SettlementDate,P209,"f",,Trigger)</f>
        <v>59994</v>
      </c>
      <c r="R209" s="28">
        <f>_xll.qlInterestRateIndexValueDate(Index,Q209,Trigger)</f>
        <v>60000</v>
      </c>
      <c r="S209" s="28">
        <f>_xll.qlInterestRateIndexMaturity(Index,R209,Trigger)</f>
        <v>60091</v>
      </c>
      <c r="T209" s="30">
        <f>_xll.qlIndexFixing($M$6,Q209,,InterestRatesTrigger)</f>
        <v>1.1399879660295225E-2</v>
      </c>
      <c r="U209" s="30">
        <f>_xll.qlIndexFixing(Index,Q209,,InterestRatesTrigger)</f>
        <v>1.1072335069045824E-2</v>
      </c>
      <c r="V209" s="30">
        <f t="shared" si="20"/>
        <v>-3.2754459124940093E-4</v>
      </c>
      <c r="W209" s="29">
        <f>_xll.qlDayCounterYearFraction(DayCounter,SettlementDate,R209,,,Trigger)</f>
        <v>49.225000000000001</v>
      </c>
      <c r="X209" s="29">
        <f>_xll.qlDayCounterYearFraction(DayCounter,R209,S209)</f>
        <v>0.25277777777777777</v>
      </c>
      <c r="Y209" s="29">
        <f>_xll.qlYieldTSDiscount(Currency&amp;"ON",R209)/(1+U209*X209)</f>
        <v>0.5074006861836412</v>
      </c>
      <c r="Z209" s="30">
        <f>_xll.qlTenorBasisValue(TenorBasis6M,R209,InterestRatesTrigger)</f>
        <v>1.8495940132428278E-4</v>
      </c>
      <c r="AA209" s="30">
        <f t="shared" si="21"/>
        <v>-5.1250399257368371E-4</v>
      </c>
    </row>
    <row r="210" spans="15:27" x14ac:dyDescent="0.2">
      <c r="O210" s="33">
        <v>3</v>
      </c>
      <c r="P210" s="27" t="str">
        <f>_xll.qlPeriodEquivalent(P209&amp;"+"&amp;O210&amp;"M")</f>
        <v>48Y9M</v>
      </c>
      <c r="Q210" s="28">
        <f>_xll.qlCalendarAdvance(Calendar,SettlementDate,P210,"f",,Trigger)</f>
        <v>60085</v>
      </c>
      <c r="R210" s="28">
        <f>_xll.qlInterestRateIndexValueDate(Index,Q210,Trigger)</f>
        <v>60087</v>
      </c>
      <c r="S210" s="28">
        <f>_xll.qlInterestRateIndexMaturity(Index,R210,Trigger)</f>
        <v>60181</v>
      </c>
      <c r="T210" s="30">
        <f>_xll.qlIndexFixing($M$6,Q210,,InterestRatesTrigger)</f>
        <v>1.1492150680763365E-2</v>
      </c>
      <c r="U210" s="30">
        <f>_xll.qlIndexFixing(Index,Q210,,InterestRatesTrigger)</f>
        <v>1.1155844257914545E-2</v>
      </c>
      <c r="V210" s="30">
        <f t="shared" si="20"/>
        <v>-3.3630642284881995E-4</v>
      </c>
      <c r="W210" s="29">
        <f>_xll.qlDayCounterYearFraction(DayCounter,SettlementDate,R210,,,Trigger)</f>
        <v>49.466666666666669</v>
      </c>
      <c r="X210" s="29">
        <f>_xll.qlDayCounterYearFraction(DayCounter,R210,S210)</f>
        <v>0.26111111111111113</v>
      </c>
      <c r="Y210" s="29">
        <f>_xll.qlYieldTSDiscount(Currency&amp;"ON",R210)/(1+U210*X210)</f>
        <v>0.5059494286547348</v>
      </c>
      <c r="Z210" s="30">
        <f>_xll.qlTenorBasisValue(TenorBasis6M,R210,InterestRatesTrigger)</f>
        <v>1.8472330295944101E-4</v>
      </c>
      <c r="AA210" s="30">
        <f t="shared" si="21"/>
        <v>-5.2102972580826093E-4</v>
      </c>
    </row>
    <row r="211" spans="15:27" x14ac:dyDescent="0.2">
      <c r="O211" s="33">
        <v>3</v>
      </c>
      <c r="P211" s="27" t="str">
        <f>_xll.qlPeriodEquivalent(P210&amp;"+"&amp;O211&amp;"M")</f>
        <v>49Y</v>
      </c>
      <c r="Q211" s="28">
        <f>_xll.qlCalendarAdvance(Calendar,SettlementDate,P211,"f",,Trigger)</f>
        <v>60177</v>
      </c>
      <c r="R211" s="28">
        <f>_xll.qlInterestRateIndexValueDate(Index,Q211,Trigger)</f>
        <v>60181</v>
      </c>
      <c r="S211" s="28">
        <f>_xll.qlInterestRateIndexMaturity(Index,R211,Trigger)</f>
        <v>60273</v>
      </c>
      <c r="T211" s="30">
        <f>_xll.qlIndexFixing($M$6,Q211,,InterestRatesTrigger)</f>
        <v>1.1599165360533297E-2</v>
      </c>
      <c r="U211" s="30">
        <f>_xll.qlIndexFixing(Index,Q211,,InterestRatesTrigger)</f>
        <v>1.1255945339038322E-2</v>
      </c>
      <c r="V211" s="30">
        <f t="shared" si="20"/>
        <v>-3.4322002149497592E-4</v>
      </c>
      <c r="W211" s="29">
        <f>_xll.qlDayCounterYearFraction(DayCounter,SettlementDate,R211,,,Trigger)</f>
        <v>49.727777777777774</v>
      </c>
      <c r="X211" s="29">
        <f>_xll.qlDayCounterYearFraction(DayCounter,R211,S211)</f>
        <v>0.25555555555555554</v>
      </c>
      <c r="Y211" s="29">
        <f>_xll.qlYieldTSDiscount(Currency&amp;"ON",R211)/(1+U211*X211)</f>
        <v>0.50445406059071818</v>
      </c>
      <c r="Z211" s="30">
        <f>_xll.qlTenorBasisValue(TenorBasis6M,R211,InterestRatesTrigger)</f>
        <v>1.8447742512033388E-4</v>
      </c>
      <c r="AA211" s="30">
        <f t="shared" si="21"/>
        <v>-5.2769744661530977E-4</v>
      </c>
    </row>
    <row r="212" spans="15:27" x14ac:dyDescent="0.2">
      <c r="O212" s="33">
        <v>3</v>
      </c>
      <c r="P212" s="27" t="str">
        <f>_xll.qlPeriodEquivalent(P211&amp;"+"&amp;O212&amp;"M")</f>
        <v>49Y3M</v>
      </c>
      <c r="Q212" s="28">
        <f>_xll.qlCalendarAdvance(Calendar,SettlementDate,P212,"f",,Trigger)</f>
        <v>60269</v>
      </c>
      <c r="R212" s="28">
        <f>_xll.qlInterestRateIndexValueDate(Index,Q212,Trigger)</f>
        <v>60273</v>
      </c>
      <c r="S212" s="28">
        <f>_xll.qlInterestRateIndexMaturity(Index,R212,Trigger)</f>
        <v>60363</v>
      </c>
      <c r="T212" s="30">
        <f>_xll.qlIndexFixing($M$6,Q212,,InterestRatesTrigger)</f>
        <v>1.1714997179187669E-2</v>
      </c>
      <c r="U212" s="30">
        <f>_xll.qlIndexFixing(Index,Q212,,InterestRatesTrigger)</f>
        <v>1.1367290687208431E-2</v>
      </c>
      <c r="V212" s="30">
        <f t="shared" si="20"/>
        <v>-3.4770649197923831E-4</v>
      </c>
      <c r="W212" s="29">
        <f>_xll.qlDayCounterYearFraction(DayCounter,SettlementDate,R212,,,Trigger)</f>
        <v>49.983333333333334</v>
      </c>
      <c r="X212" s="29">
        <f>_xll.qlDayCounterYearFraction(DayCounter,R212,S212)</f>
        <v>0.25</v>
      </c>
      <c r="Y212" s="29">
        <f>_xll.qlYieldTSDiscount(Currency&amp;"ON",R212)/(1+U212*X212)</f>
        <v>0.5029805632268477</v>
      </c>
      <c r="Z212" s="30">
        <f>_xll.qlTenorBasisValue(TenorBasis6M,R212,InterestRatesTrigger)</f>
        <v>1.8424571935038062E-4</v>
      </c>
      <c r="AA212" s="30">
        <f t="shared" si="21"/>
        <v>-5.3195221132961898E-4</v>
      </c>
    </row>
    <row r="213" spans="15:27" x14ac:dyDescent="0.2">
      <c r="O213" s="33">
        <v>3</v>
      </c>
      <c r="P213" s="27" t="str">
        <f>_xll.qlPeriodEquivalent(P212&amp;"+"&amp;O213&amp;"M")</f>
        <v>49Y6M</v>
      </c>
      <c r="Q213" s="28">
        <f>_xll.qlCalendarAdvance(Calendar,SettlementDate,P213,"f",,Trigger)</f>
        <v>60359</v>
      </c>
      <c r="R213" s="28">
        <f>_xll.qlInterestRateIndexValueDate(Index,Q213,Trigger)</f>
        <v>60363</v>
      </c>
      <c r="S213" s="28">
        <f>_xll.qlInterestRateIndexMaturity(Index,R213,Trigger)</f>
        <v>60454</v>
      </c>
      <c r="T213" s="30">
        <f>_xll.qlIndexFixing($M$6,Q213,,InterestRatesTrigger)</f>
        <v>1.1841900910318563E-2</v>
      </c>
      <c r="U213" s="30">
        <f>_xll.qlIndexFixing(Index,Q213,,InterestRatesTrigger)</f>
        <v>1.1491983833944891E-2</v>
      </c>
      <c r="V213" s="30">
        <f t="shared" si="20"/>
        <v>-3.4991707637367121E-4</v>
      </c>
      <c r="W213" s="29">
        <f>_xll.qlDayCounterYearFraction(DayCounter,SettlementDate,R213,,,Trigger)</f>
        <v>50.233333333333334</v>
      </c>
      <c r="X213" s="29">
        <f>_xll.qlDayCounterYearFraction(DayCounter,R213,S213)</f>
        <v>0.25277777777777777</v>
      </c>
      <c r="Y213" s="29">
        <f>_xll.qlYieldTSDiscount(Currency&amp;"ON",R213)/(1+U213*X213)</f>
        <v>0.50148020954760986</v>
      </c>
      <c r="Z213" s="30">
        <f>_xll.qlTenorBasisValue(TenorBasis6M,R213,InterestRatesTrigger)</f>
        <v>1.8402730100952958E-4</v>
      </c>
      <c r="AA213" s="30">
        <f t="shared" si="21"/>
        <v>-5.3394437738320082E-4</v>
      </c>
    </row>
    <row r="214" spans="15:27" x14ac:dyDescent="0.2">
      <c r="O214" s="33">
        <v>3</v>
      </c>
      <c r="P214" s="27" t="str">
        <f>_xll.qlPeriodEquivalent(P213&amp;"+"&amp;O214&amp;"M")</f>
        <v>49Y9M</v>
      </c>
      <c r="Q214" s="28">
        <f>_xll.qlCalendarAdvance(Calendar,SettlementDate,P214,"f",,Trigger)</f>
        <v>60450</v>
      </c>
      <c r="R214" s="28">
        <f>_xll.qlInterestRateIndexValueDate(Index,Q214,Trigger)</f>
        <v>60454</v>
      </c>
      <c r="S214" s="28">
        <f>_xll.qlInterestRateIndexMaturity(Index,R214,Trigger)</f>
        <v>60546</v>
      </c>
      <c r="T214" s="30">
        <f>_xll.qlIndexFixing($M$6,Q214,,InterestRatesTrigger)</f>
        <v>1.1981583772261103E-2</v>
      </c>
      <c r="U214" s="30">
        <f>_xll.qlIndexFixing(Index,Q214,,InterestRatesTrigger)</f>
        <v>1.1631816707793148E-2</v>
      </c>
      <c r="V214" s="30">
        <f t="shared" si="20"/>
        <v>-3.4976706446795437E-4</v>
      </c>
      <c r="W214" s="29">
        <f>_xll.qlDayCounterYearFraction(DayCounter,SettlementDate,R214,,,Trigger)</f>
        <v>50.486111111111114</v>
      </c>
      <c r="X214" s="29">
        <f>_xll.qlDayCounterYearFraction(DayCounter,R214,S214)</f>
        <v>0.25555555555555554</v>
      </c>
      <c r="Y214" s="29">
        <f>_xll.qlYieldTSDiscount(Currency&amp;"ON",R214)/(1+U214*X214)</f>
        <v>0.49994984676385734</v>
      </c>
      <c r="Z214" s="30">
        <f>_xll.qlTenorBasisValue(TenorBasis6M,R214,InterestRatesTrigger)</f>
        <v>1.838144564662774E-4</v>
      </c>
      <c r="AA214" s="30">
        <f t="shared" si="21"/>
        <v>-5.3358152093423172E-4</v>
      </c>
    </row>
    <row r="215" spans="15:27" x14ac:dyDescent="0.2">
      <c r="O215" s="33">
        <v>3</v>
      </c>
      <c r="P215" s="27" t="str">
        <f>_xll.qlPeriodEquivalent(P214&amp;"+"&amp;O215&amp;"M")</f>
        <v>50Y</v>
      </c>
      <c r="Q215" s="28">
        <f>_xll.qlCalendarAdvance(Calendar,SettlementDate,P215,"f",,Trigger)</f>
        <v>60542</v>
      </c>
      <c r="R215" s="28">
        <f>_xll.qlInterestRateIndexValueDate(Index,Q215,Trigger)</f>
        <v>60546</v>
      </c>
      <c r="S215" s="28">
        <f>_xll.qlInterestRateIndexMaturity(Index,R215,Trigger)</f>
        <v>60638</v>
      </c>
      <c r="T215" s="30">
        <f>_xll.qlIndexFixing($M$6,Q215,,InterestRatesTrigger)</f>
        <v>1.2084838746806438E-2</v>
      </c>
      <c r="U215" s="30">
        <f>_xll.qlIndexFixing(Index,Q215,,InterestRatesTrigger)</f>
        <v>1.1754812693251395E-2</v>
      </c>
      <c r="V215" s="30">
        <f t="shared" si="20"/>
        <v>-3.3002605355504297E-4</v>
      </c>
      <c r="W215" s="29">
        <f>_xll.qlDayCounterYearFraction(DayCounter,SettlementDate,R215,,,Trigger)</f>
        <v>50.741666666666667</v>
      </c>
      <c r="X215" s="29">
        <f>_xll.qlDayCounterYearFraction(DayCounter,R215,S215)</f>
        <v>0.25555555555555554</v>
      </c>
      <c r="Y215" s="29">
        <f>_xll.qlYieldTSDiscount(Currency&amp;"ON",R215)/(1+U215*X215)</f>
        <v>0.49840807351892169</v>
      </c>
      <c r="Z215" s="30">
        <f>_xll.qlTenorBasisValue(TenorBasis6M,R215,InterestRatesTrigger)</f>
        <v>1.8360715934577404E-4</v>
      </c>
      <c r="AA215" s="30">
        <f t="shared" si="21"/>
        <v>-5.1363321290081698E-4</v>
      </c>
    </row>
    <row r="216" spans="15:27" x14ac:dyDescent="0.2">
      <c r="O216" s="33">
        <v>3</v>
      </c>
      <c r="P216" s="27" t="str">
        <f>_xll.qlPeriodEquivalent(P215&amp;"+"&amp;O216&amp;"M")</f>
        <v>50Y3M</v>
      </c>
      <c r="Q216" s="28">
        <f>_xll.qlCalendarAdvance(Calendar,SettlementDate,P216,"f",,Trigger)</f>
        <v>60636</v>
      </c>
      <c r="R216" s="28">
        <f>_xll.qlInterestRateIndexValueDate(Index,Q216,Trigger)</f>
        <v>60638</v>
      </c>
      <c r="S216" s="28">
        <f>_xll.qlInterestRateIndexMaturity(Index,R216,Trigger)</f>
        <v>60728</v>
      </c>
      <c r="T216" s="30">
        <f>_xll.qlIndexFixing($M$6,Q216,,InterestRatesTrigger)</f>
        <v>1.2148823013960808E-2</v>
      </c>
      <c r="U216" s="30">
        <f>_xll.qlIndexFixing(Index,Q216,,InterestRatesTrigger)</f>
        <v>1.1853095188921081E-2</v>
      </c>
      <c r="V216" s="30">
        <f t="shared" si="20"/>
        <v>-2.9572782503972661E-4</v>
      </c>
      <c r="W216" s="29">
        <f>_xll.qlDayCounterYearFraction(DayCounter,SettlementDate,R216,,,Trigger)</f>
        <v>50.99722222222222</v>
      </c>
      <c r="X216" s="29">
        <f>_xll.qlDayCounterYearFraction(DayCounter,R216,S216)</f>
        <v>0.25</v>
      </c>
      <c r="Y216" s="29">
        <f>_xll.qlYieldTSDiscount(Currency&amp;"ON",R216)/(1+U216*X216)</f>
        <v>0.49689373502251499</v>
      </c>
      <c r="Z216" s="30">
        <f>_xll.qlTenorBasisValue(TenorBasis6M,R216,InterestRatesTrigger)</f>
        <v>1.834075066167068E-4</v>
      </c>
      <c r="AA216" s="30">
        <f t="shared" si="21"/>
        <v>-4.7913533165643344E-4</v>
      </c>
    </row>
    <row r="217" spans="15:27" x14ac:dyDescent="0.2">
      <c r="O217" s="33">
        <v>3</v>
      </c>
      <c r="P217" s="27" t="str">
        <f>_xll.qlPeriodEquivalent(P216&amp;"+"&amp;O217&amp;"M")</f>
        <v>50Y6M</v>
      </c>
      <c r="Q217" s="28">
        <f>_xll.qlCalendarAdvance(Calendar,SettlementDate,P217,"f",,Trigger)</f>
        <v>60724</v>
      </c>
      <c r="R217" s="28">
        <f>_xll.qlInterestRateIndexValueDate(Index,Q217,Trigger)</f>
        <v>60728</v>
      </c>
      <c r="S217" s="28">
        <f>_xll.qlInterestRateIndexMaturity(Index,R217,Trigger)</f>
        <v>60819</v>
      </c>
      <c r="T217" s="30">
        <f>_xll.qlIndexFixing($M$6,Q217,,InterestRatesTrigger)</f>
        <v>1.2212195384278687E-2</v>
      </c>
      <c r="U217" s="30">
        <f>_xll.qlIndexFixing(Index,Q217,,InterestRatesTrigger)</f>
        <v>1.1950071479707317E-2</v>
      </c>
      <c r="V217" s="30">
        <f t="shared" si="20"/>
        <v>-2.6212390457137046E-4</v>
      </c>
      <c r="W217" s="29">
        <f>_xll.qlDayCounterYearFraction(DayCounter,SettlementDate,R217,,,Trigger)</f>
        <v>51.24722222222222</v>
      </c>
      <c r="X217" s="29">
        <f>_xll.qlDayCounterYearFraction(DayCounter,R217,S217)</f>
        <v>0.25277777777777777</v>
      </c>
      <c r="Y217" s="29">
        <f>_xll.qlYieldTSDiscount(Currency&amp;"ON",R217)/(1+U217*X217)</f>
        <v>0.49536076746586255</v>
      </c>
      <c r="Z217" s="30">
        <f>_xll.qlTenorBasisValue(TenorBasis6M,R217,InterestRatesTrigger)</f>
        <v>1.8321932580119785E-4</v>
      </c>
      <c r="AA217" s="30">
        <f t="shared" si="21"/>
        <v>-4.4534323037256831E-4</v>
      </c>
    </row>
    <row r="218" spans="15:27" x14ac:dyDescent="0.2">
      <c r="O218" s="33">
        <v>3</v>
      </c>
      <c r="P218" s="27" t="str">
        <f>_xll.qlPeriodEquivalent(P217&amp;"+"&amp;O218&amp;"M")</f>
        <v>50Y9M</v>
      </c>
      <c r="Q218" s="28">
        <f>_xll.qlCalendarAdvance(Calendar,SettlementDate,P218,"f",,Trigger)</f>
        <v>60815</v>
      </c>
      <c r="R218" s="28">
        <f>_xll.qlInterestRateIndexValueDate(Index,Q218,Trigger)</f>
        <v>60819</v>
      </c>
      <c r="S218" s="28">
        <f>_xll.qlInterestRateIndexMaturity(Index,R218,Trigger)</f>
        <v>60911</v>
      </c>
      <c r="T218" s="30">
        <f>_xll.qlIndexFixing($M$6,Q218,,InterestRatesTrigger)</f>
        <v>1.2275349214189785E-2</v>
      </c>
      <c r="U218" s="30">
        <f>_xll.qlIndexFixing(Index,Q218,,InterestRatesTrigger)</f>
        <v>1.2046699738348956E-2</v>
      </c>
      <c r="V218" s="30">
        <f t="shared" si="20"/>
        <v>-2.2864947584082945E-4</v>
      </c>
      <c r="W218" s="29">
        <f>_xll.qlDayCounterYearFraction(DayCounter,SettlementDate,R218,,,Trigger)</f>
        <v>51.5</v>
      </c>
      <c r="X218" s="29">
        <f>_xll.qlDayCounterYearFraction(DayCounter,R218,S218)</f>
        <v>0.25555555555555554</v>
      </c>
      <c r="Y218" s="29">
        <f>_xll.qlYieldTSDiscount(Currency&amp;"ON",R218)/(1+U218*X218)</f>
        <v>0.49380780908074035</v>
      </c>
      <c r="Z218" s="30">
        <f>_xll.qlTenorBasisValue(TenorBasis6M,R218,InterestRatesTrigger)</f>
        <v>1.830359688143569E-4</v>
      </c>
      <c r="AA218" s="30">
        <f t="shared" si="21"/>
        <v>-4.1168544465518633E-4</v>
      </c>
    </row>
    <row r="219" spans="15:27" x14ac:dyDescent="0.2">
      <c r="O219" s="33">
        <v>3</v>
      </c>
      <c r="P219" s="27" t="str">
        <f>_xll.qlPeriodEquivalent(P218&amp;"+"&amp;O219&amp;"M")</f>
        <v>51Y</v>
      </c>
      <c r="Q219" s="28">
        <f>_xll.qlCalendarAdvance(Calendar,SettlementDate,P219,"f",,Trigger)</f>
        <v>60909</v>
      </c>
      <c r="R219" s="28">
        <f>_xll.qlInterestRateIndexValueDate(Index,Q219,Trigger)</f>
        <v>60911</v>
      </c>
      <c r="S219" s="28">
        <f>_xll.qlInterestRateIndexMaturity(Index,R219,Trigger)</f>
        <v>61003</v>
      </c>
      <c r="T219" s="30">
        <f>_xll.qlIndexFixing($M$6,Q219,,InterestRatesTrigger)</f>
        <v>1.2337666037291545E-2</v>
      </c>
      <c r="U219" s="30">
        <f>_xll.qlIndexFixing(Index,Q219,,InterestRatesTrigger)</f>
        <v>1.2142150523583851E-2</v>
      </c>
      <c r="V219" s="30">
        <f t="shared" si="20"/>
        <v>-1.9551551370769471E-4</v>
      </c>
      <c r="W219" s="29">
        <f>_xll.qlDayCounterYearFraction(DayCounter,SettlementDate,R219,,,Trigger)</f>
        <v>51.755555555555553</v>
      </c>
      <c r="X219" s="29">
        <f>_xll.qlDayCounterYearFraction(DayCounter,R219,S219)</f>
        <v>0.25555555555555554</v>
      </c>
      <c r="Y219" s="29">
        <f>_xll.qlYieldTSDiscount(Currency&amp;"ON",R219)/(1+U219*X219)</f>
        <v>0.49225159107460481</v>
      </c>
      <c r="Z219" s="30">
        <f>_xll.qlTenorBasisValue(TenorBasis6M,R219,InterestRatesTrigger)</f>
        <v>1.8285741180394392E-4</v>
      </c>
      <c r="AA219" s="30">
        <f t="shared" si="21"/>
        <v>-3.7837292551163866E-4</v>
      </c>
    </row>
    <row r="220" spans="15:27" x14ac:dyDescent="0.2">
      <c r="O220" s="33">
        <v>3</v>
      </c>
      <c r="P220" s="27" t="str">
        <f>_xll.qlPeriodEquivalent(P219&amp;"+"&amp;O220&amp;"M")</f>
        <v>51Y3M</v>
      </c>
      <c r="Q220" s="28">
        <f>_xll.qlCalendarAdvance(Calendar,SettlementDate,P220,"f",,Trigger)</f>
        <v>61000</v>
      </c>
      <c r="R220" s="28">
        <f>_xll.qlInterestRateIndexValueDate(Index,Q220,Trigger)</f>
        <v>61002</v>
      </c>
      <c r="S220" s="28">
        <f>_xll.qlInterestRateIndexMaturity(Index,R220,Trigger)</f>
        <v>61092</v>
      </c>
      <c r="T220" s="30">
        <f>_xll.qlIndexFixing($M$6,Q220,,InterestRatesTrigger)</f>
        <v>1.2397217458003595E-2</v>
      </c>
      <c r="U220" s="30">
        <f>_xll.qlIndexFixing(Index,Q220,,InterestRatesTrigger)</f>
        <v>1.2233588934997819E-2</v>
      </c>
      <c r="V220" s="30">
        <f t="shared" si="20"/>
        <v>-1.6362852300577657E-4</v>
      </c>
      <c r="W220" s="29">
        <f>_xll.qlDayCounterYearFraction(DayCounter,SettlementDate,R220,,,Trigger)</f>
        <v>52.008333333333333</v>
      </c>
      <c r="X220" s="29">
        <f>_xll.qlDayCounterYearFraction(DayCounter,R220,S220)</f>
        <v>0.25</v>
      </c>
      <c r="Y220" s="29">
        <f>_xll.qlYieldTSDiscount(Currency&amp;"ON",R220)/(1+U220*X220)</f>
        <v>0.49074307030899394</v>
      </c>
      <c r="Z220" s="30">
        <f>_xll.qlTenorBasisValue(TenorBasis6M,R220,InterestRatesTrigger)</f>
        <v>1.8268729395946786E-4</v>
      </c>
      <c r="AA220" s="30">
        <f t="shared" si="21"/>
        <v>-3.463158169652444E-4</v>
      </c>
    </row>
    <row r="221" spans="15:27" x14ac:dyDescent="0.2">
      <c r="O221" s="33">
        <v>3</v>
      </c>
      <c r="P221" s="27" t="str">
        <f>_xll.qlPeriodEquivalent(P220&amp;"+"&amp;O221&amp;"M")</f>
        <v>51Y6M</v>
      </c>
      <c r="Q221" s="28">
        <f>_xll.qlCalendarAdvance(Calendar,SettlementDate,P221,"f",,Trigger)</f>
        <v>61092</v>
      </c>
      <c r="R221" s="28">
        <f>_xll.qlInterestRateIndexValueDate(Index,Q221,Trigger)</f>
        <v>61094</v>
      </c>
      <c r="S221" s="28">
        <f>_xll.qlInterestRateIndexMaturity(Index,R221,Trigger)</f>
        <v>61185</v>
      </c>
      <c r="T221" s="30">
        <f>_xll.qlIndexFixing($M$6,Q221,,InterestRatesTrigger)</f>
        <v>1.2458011862140845E-2</v>
      </c>
      <c r="U221" s="30">
        <f>_xll.qlIndexFixing(Index,Q221,,InterestRatesTrigger)</f>
        <v>1.2326558181349262E-2</v>
      </c>
      <c r="V221" s="30">
        <f t="shared" si="20"/>
        <v>-1.3145368079158296E-4</v>
      </c>
      <c r="W221" s="29">
        <f>_xll.qlDayCounterYearFraction(DayCounter,SettlementDate,R221,,,Trigger)</f>
        <v>52.263888888888886</v>
      </c>
      <c r="X221" s="29">
        <f>_xll.qlDayCounterYearFraction(DayCounter,R221,S221)</f>
        <v>0.25277777777777777</v>
      </c>
      <c r="Y221" s="29">
        <f>_xll.qlYieldTSDiscount(Currency&amp;"ON",R221)/(1+U221*X221)</f>
        <v>0.48916505113839276</v>
      </c>
      <c r="Z221" s="30">
        <f>_xll.qlTenorBasisValue(TenorBasis6M,R221,InterestRatesTrigger)</f>
        <v>1.8252163901215338E-4</v>
      </c>
      <c r="AA221" s="30">
        <f t="shared" si="21"/>
        <v>-3.1397531980373631E-4</v>
      </c>
    </row>
    <row r="222" spans="15:27" x14ac:dyDescent="0.2">
      <c r="O222" s="33">
        <v>3</v>
      </c>
      <c r="P222" s="27" t="str">
        <f>_xll.qlPeriodEquivalent(P221&amp;"+"&amp;O222&amp;"M")</f>
        <v>51Y9M</v>
      </c>
      <c r="Q222" s="28">
        <f>_xll.qlCalendarAdvance(Calendar,SettlementDate,P222,"f",,Trigger)</f>
        <v>61182</v>
      </c>
      <c r="R222" s="28">
        <f>_xll.qlInterestRateIndexValueDate(Index,Q222,Trigger)</f>
        <v>61184</v>
      </c>
      <c r="S222" s="28">
        <f>_xll.qlInterestRateIndexMaturity(Index,R222,Trigger)</f>
        <v>61276</v>
      </c>
      <c r="T222" s="30">
        <f>_xll.qlIndexFixing($M$6,Q222,,InterestRatesTrigger)</f>
        <v>1.2516422056753799E-2</v>
      </c>
      <c r="U222" s="30">
        <f>_xll.qlIndexFixing(Index,Q222,,InterestRatesTrigger)</f>
        <v>1.241586000281497E-2</v>
      </c>
      <c r="V222" s="30">
        <f t="shared" si="20"/>
        <v>-1.0056205393882932E-4</v>
      </c>
      <c r="W222" s="29">
        <f>_xll.qlDayCounterYearFraction(DayCounter,SettlementDate,R222,,,Trigger)</f>
        <v>52.513888888888886</v>
      </c>
      <c r="X222" s="29">
        <f>_xll.qlDayCounterYearFraction(DayCounter,R222,S222)</f>
        <v>0.25555555555555554</v>
      </c>
      <c r="Y222" s="29">
        <f>_xll.qlYieldTSDiscount(Currency&amp;"ON",R222)/(1+U222*X222)</f>
        <v>0.48761860278361235</v>
      </c>
      <c r="Z222" s="30">
        <f>_xll.qlTenorBasisValue(TenorBasis6M,R222,InterestRatesTrigger)</f>
        <v>1.823655248006894E-4</v>
      </c>
      <c r="AA222" s="30">
        <f t="shared" si="21"/>
        <v>-2.8292757873951875E-4</v>
      </c>
    </row>
    <row r="223" spans="15:27" x14ac:dyDescent="0.2">
      <c r="O223" s="33">
        <v>3</v>
      </c>
      <c r="P223" s="27" t="str">
        <f>_xll.qlPeriodEquivalent(P222&amp;"+"&amp;O223&amp;"M")</f>
        <v>52Y</v>
      </c>
      <c r="Q223" s="28">
        <f>_xll.qlCalendarAdvance(Calendar,SettlementDate,P223,"f",,Trigger)</f>
        <v>61273</v>
      </c>
      <c r="R223" s="28">
        <f>_xll.qlInterestRateIndexValueDate(Index,Q223,Trigger)</f>
        <v>61275</v>
      </c>
      <c r="S223" s="28">
        <f>_xll.qlInterestRateIndexMaturity(Index,R223,Trigger)</f>
        <v>61367</v>
      </c>
      <c r="T223" s="30">
        <f>_xll.qlIndexFixing($M$6,Q223,,InterestRatesTrigger)</f>
        <v>1.2573823385059144E-2</v>
      </c>
      <c r="U223" s="30">
        <f>_xll.qlIndexFixing(Index,Q223,,InterestRatesTrigger)</f>
        <v>1.2503718562794424E-2</v>
      </c>
      <c r="V223" s="30">
        <f t="shared" ref="V223:V253" si="22">U223-T223</f>
        <v>-7.0104822264719507E-5</v>
      </c>
      <c r="W223" s="29">
        <f>_xll.qlDayCounterYearFraction(DayCounter,SettlementDate,R223,,,Trigger)</f>
        <v>52.766666666666666</v>
      </c>
      <c r="X223" s="29">
        <f>_xll.qlDayCounterYearFraction(DayCounter,R223,S223)</f>
        <v>0.25555555555555554</v>
      </c>
      <c r="Y223" s="29">
        <f>_xll.qlYieldTSDiscount(Currency&amp;"ON",R223)/(1+U223*X223)</f>
        <v>0.48606989141721574</v>
      </c>
      <c r="Z223" s="30">
        <f>_xll.qlTenorBasisValue(TenorBasis6M,R223,InterestRatesTrigger)</f>
        <v>1.8221343380666989E-4</v>
      </c>
      <c r="AA223" s="30">
        <f t="shared" ref="AA223:AA253" si="23">V223-Z223</f>
        <v>-2.5231825607138943E-4</v>
      </c>
    </row>
    <row r="224" spans="15:27" x14ac:dyDescent="0.2">
      <c r="O224" s="33">
        <v>3</v>
      </c>
      <c r="P224" s="27" t="str">
        <f>_xll.qlPeriodEquivalent(P223&amp;"+"&amp;O224&amp;"M")</f>
        <v>52Y3M</v>
      </c>
      <c r="Q224" s="28">
        <f>_xll.qlCalendarAdvance(Calendar,SettlementDate,P224,"f",,Trigger)</f>
        <v>61364</v>
      </c>
      <c r="R224" s="28">
        <f>_xll.qlInterestRateIndexValueDate(Index,Q224,Trigger)</f>
        <v>61366</v>
      </c>
      <c r="S224" s="28">
        <f>_xll.qlInterestRateIndexMaturity(Index,R224,Trigger)</f>
        <v>61457</v>
      </c>
      <c r="T224" s="30">
        <f>_xll.qlIndexFixing($M$6,Q224,,InterestRatesTrigger)</f>
        <v>1.2629539120896104E-2</v>
      </c>
      <c r="U224" s="30">
        <f>_xll.qlIndexFixing(Index,Q224,,InterestRatesTrigger)</f>
        <v>1.2589097404342046E-2</v>
      </c>
      <c r="V224" s="30">
        <f t="shared" si="22"/>
        <v>-4.0441716554057844E-5</v>
      </c>
      <c r="W224" s="29">
        <f>_xll.qlDayCounterYearFraction(DayCounter,SettlementDate,R224,,,Trigger)</f>
        <v>53.019444444444446</v>
      </c>
      <c r="X224" s="29">
        <f>_xll.qlDayCounterYearFraction(DayCounter,R224,S224)</f>
        <v>0.25277777777777777</v>
      </c>
      <c r="Y224" s="29">
        <f>_xll.qlYieldTSDiscount(Currency&amp;"ON",R224)/(1+U224*X224)</f>
        <v>0.48453628630811657</v>
      </c>
      <c r="Z224" s="30">
        <f>_xll.qlTenorBasisValue(TenorBasis6M,R224,InterestRatesTrigger)</f>
        <v>1.8206692486398267E-4</v>
      </c>
      <c r="AA224" s="30">
        <f t="shared" si="23"/>
        <v>-2.2250864141804051E-4</v>
      </c>
    </row>
    <row r="225" spans="15:27" x14ac:dyDescent="0.2">
      <c r="O225" s="33">
        <v>3</v>
      </c>
      <c r="P225" s="27" t="str">
        <f>_xll.qlPeriodEquivalent(P224&amp;"+"&amp;O225&amp;"M")</f>
        <v>52Y6M</v>
      </c>
      <c r="Q225" s="28">
        <f>_xll.qlCalendarAdvance(Calendar,SettlementDate,P225,"f",,Trigger)</f>
        <v>61455</v>
      </c>
      <c r="R225" s="28">
        <f>_xll.qlInterestRateIndexValueDate(Index,Q225,Trigger)</f>
        <v>61457</v>
      </c>
      <c r="S225" s="28">
        <f>_xll.qlInterestRateIndexMaturity(Index,R225,Trigger)</f>
        <v>61548</v>
      </c>
      <c r="T225" s="30">
        <f>_xll.qlIndexFixing($M$6,Q225,,InterestRatesTrigger)</f>
        <v>1.2684585455767504E-2</v>
      </c>
      <c r="U225" s="30">
        <f>_xll.qlIndexFixing(Index,Q225,,InterestRatesTrigger)</f>
        <v>1.2673313272164271E-2</v>
      </c>
      <c r="V225" s="30">
        <f t="shared" si="22"/>
        <v>-1.1272183603232983E-5</v>
      </c>
      <c r="W225" s="29">
        <f>_xll.qlDayCounterYearFraction(DayCounter,SettlementDate,R225,,,Trigger)</f>
        <v>53.272222222222226</v>
      </c>
      <c r="X225" s="29">
        <f>_xll.qlDayCounterYearFraction(DayCounter,R225,S225)</f>
        <v>0.25277777777777777</v>
      </c>
      <c r="Y225" s="29">
        <f>_xll.qlYieldTSDiscount(Currency&amp;"ON",R225)/(1+U225*X225)</f>
        <v>0.48298409378584917</v>
      </c>
      <c r="Z225" s="30">
        <f>_xll.qlTenorBasisValue(TenorBasis6M,R225,InterestRatesTrigger)</f>
        <v>1.8192579691704482E-4</v>
      </c>
      <c r="AA225" s="30">
        <f t="shared" si="23"/>
        <v>-1.9319798052027781E-4</v>
      </c>
    </row>
    <row r="226" spans="15:27" x14ac:dyDescent="0.2">
      <c r="O226" s="33">
        <v>3</v>
      </c>
      <c r="P226" s="27" t="str">
        <f>_xll.qlPeriodEquivalent(P225&amp;"+"&amp;O226&amp;"M")</f>
        <v>52Y9M</v>
      </c>
      <c r="Q226" s="28">
        <f>_xll.qlCalendarAdvance(Calendar,SettlementDate,P226,"f",,Trigger)</f>
        <v>61546</v>
      </c>
      <c r="R226" s="28">
        <f>_xll.qlInterestRateIndexValueDate(Index,Q226,Trigger)</f>
        <v>61548</v>
      </c>
      <c r="S226" s="28">
        <f>_xll.qlInterestRateIndexMaturity(Index,R226,Trigger)</f>
        <v>61640</v>
      </c>
      <c r="T226" s="30">
        <f>_xll.qlIndexFixing($M$6,Q226,,InterestRatesTrigger)</f>
        <v>1.2738907388542916E-2</v>
      </c>
      <c r="U226" s="30">
        <f>_xll.qlIndexFixing(Index,Q226,,InterestRatesTrigger)</f>
        <v>1.2756280896030349E-2</v>
      </c>
      <c r="V226" s="30">
        <f t="shared" si="22"/>
        <v>1.7373507487433368E-5</v>
      </c>
      <c r="W226" s="29">
        <f>_xll.qlDayCounterYearFraction(DayCounter,SettlementDate,R226,,,Trigger)</f>
        <v>53.524999999999999</v>
      </c>
      <c r="X226" s="29">
        <f>_xll.qlDayCounterYearFraction(DayCounter,R226,S226)</f>
        <v>0.25555555555555554</v>
      </c>
      <c r="Y226" s="29">
        <f>_xll.qlYieldTSDiscount(Currency&amp;"ON",R226)/(1+U226*X226)</f>
        <v>0.48141334411857251</v>
      </c>
      <c r="Z226" s="30">
        <f>_xll.qlTenorBasisValue(TenorBasis6M,R226,InterestRatesTrigger)</f>
        <v>1.8178985597098538E-4</v>
      </c>
      <c r="AA226" s="30">
        <f t="shared" si="23"/>
        <v>-1.6441634848355201E-4</v>
      </c>
    </row>
    <row r="227" spans="15:27" x14ac:dyDescent="0.2">
      <c r="O227" s="33">
        <v>3</v>
      </c>
      <c r="P227" s="27" t="str">
        <f>_xll.qlPeriodEquivalent(P226&amp;"+"&amp;O227&amp;"M")</f>
        <v>53Y</v>
      </c>
      <c r="Q227" s="28">
        <f>_xll.qlCalendarAdvance(Calendar,SettlementDate,P227,"f",,Trigger)</f>
        <v>61638</v>
      </c>
      <c r="R227" s="28">
        <f>_xll.qlInterestRateIndexValueDate(Index,Q227,Trigger)</f>
        <v>61640</v>
      </c>
      <c r="S227" s="28">
        <f>_xll.qlInterestRateIndexMaturity(Index,R227,Trigger)</f>
        <v>61732</v>
      </c>
      <c r="T227" s="30">
        <f>_xll.qlIndexFixing($M$6,Q227,,InterestRatesTrigger)</f>
        <v>1.2791996696662129E-2</v>
      </c>
      <c r="U227" s="30">
        <f>_xll.qlIndexFixing(Index,Q227,,InterestRatesTrigger)</f>
        <v>1.2837459037650439E-2</v>
      </c>
      <c r="V227" s="30">
        <f t="shared" si="22"/>
        <v>4.546234098831009E-5</v>
      </c>
      <c r="W227" s="29">
        <f>_xll.qlDayCounterYearFraction(DayCounter,SettlementDate,R227,,,Trigger)</f>
        <v>53.780555555555559</v>
      </c>
      <c r="X227" s="29">
        <f>_xll.qlDayCounterYearFraction(DayCounter,R227,S227)</f>
        <v>0.25555555555555554</v>
      </c>
      <c r="Y227" s="29">
        <f>_xll.qlYieldTSDiscount(Currency&amp;"ON",R227)/(1+U227*X227)</f>
        <v>0.47984126705214014</v>
      </c>
      <c r="Z227" s="30">
        <f>_xll.qlTenorBasisValue(TenorBasis6M,R227,InterestRatesTrigger)</f>
        <v>1.8165750303413838E-4</v>
      </c>
      <c r="AA227" s="30">
        <f t="shared" si="23"/>
        <v>-1.3619516204582829E-4</v>
      </c>
    </row>
    <row r="228" spans="15:27" x14ac:dyDescent="0.2">
      <c r="O228" s="33">
        <v>3</v>
      </c>
      <c r="P228" s="27" t="str">
        <f>_xll.qlPeriodEquivalent(P227&amp;"+"&amp;O228&amp;"M")</f>
        <v>53Y3M</v>
      </c>
      <c r="Q228" s="28">
        <f>_xll.qlCalendarAdvance(Calendar,SettlementDate,P228,"f",,Trigger)</f>
        <v>61730</v>
      </c>
      <c r="R228" s="28">
        <f>_xll.qlInterestRateIndexValueDate(Index,Q228,Trigger)</f>
        <v>61732</v>
      </c>
      <c r="S228" s="28">
        <f>_xll.qlInterestRateIndexMaturity(Index,R228,Trigger)</f>
        <v>61822</v>
      </c>
      <c r="T228" s="30">
        <f>_xll.qlIndexFixing($M$6,Q228,,InterestRatesTrigger)</f>
        <v>1.284272430664668E-2</v>
      </c>
      <c r="U228" s="30">
        <f>_xll.qlIndexFixing(Index,Q228,,InterestRatesTrigger)</f>
        <v>1.2915239117855748E-2</v>
      </c>
      <c r="V228" s="30">
        <f t="shared" si="22"/>
        <v>7.2514811209067886E-5</v>
      </c>
      <c r="W228" s="29">
        <f>_xll.qlDayCounterYearFraction(DayCounter,SettlementDate,R228,,,Trigger)</f>
        <v>54.036111111111111</v>
      </c>
      <c r="X228" s="29">
        <f>_xll.qlDayCounterYearFraction(DayCounter,R228,S228)</f>
        <v>0.25</v>
      </c>
      <c r="Y228" s="29">
        <f>_xll.qlYieldTSDiscount(Currency&amp;"ON",R228)/(1+U228*X228)</f>
        <v>0.47830247604435794</v>
      </c>
      <c r="Z228" s="30">
        <f>_xll.qlTenorBasisValue(TenorBasis6M,R228,InterestRatesTrigger)</f>
        <v>1.8153007386102218E-4</v>
      </c>
      <c r="AA228" s="30">
        <f t="shared" si="23"/>
        <v>-1.0901526265195429E-4</v>
      </c>
    </row>
    <row r="229" spans="15:27" x14ac:dyDescent="0.2">
      <c r="O229" s="33">
        <v>3</v>
      </c>
      <c r="P229" s="27" t="str">
        <f>_xll.qlPeriodEquivalent(P228&amp;"+"&amp;O229&amp;"M")</f>
        <v>53Y6M</v>
      </c>
      <c r="Q229" s="28">
        <f>_xll.qlCalendarAdvance(Calendar,SettlementDate,P229,"f",,Trigger)</f>
        <v>61820</v>
      </c>
      <c r="R229" s="28">
        <f>_xll.qlInterestRateIndexValueDate(Index,Q229,Trigger)</f>
        <v>61822</v>
      </c>
      <c r="S229" s="28">
        <f>_xll.qlInterestRateIndexMaturity(Index,R229,Trigger)</f>
        <v>61913</v>
      </c>
      <c r="T229" s="30">
        <f>_xll.qlIndexFixing($M$6,Q229,,InterestRatesTrigger)</f>
        <v>1.2892500100101258E-2</v>
      </c>
      <c r="U229" s="30">
        <f>_xll.qlIndexFixing(Index,Q229,,InterestRatesTrigger)</f>
        <v>1.2991184078170924E-2</v>
      </c>
      <c r="V229" s="30">
        <f t="shared" si="22"/>
        <v>9.868397806966564E-5</v>
      </c>
      <c r="W229" s="29">
        <f>_xll.qlDayCounterYearFraction(DayCounter,SettlementDate,R229,,,Trigger)</f>
        <v>54.286111111111111</v>
      </c>
      <c r="X229" s="29">
        <f>_xll.qlDayCounterYearFraction(DayCounter,R229,S229)</f>
        <v>0.25277777777777777</v>
      </c>
      <c r="Y229" s="29">
        <f>_xll.qlYieldTSDiscount(Currency&amp;"ON",R229)/(1+U229*X229)</f>
        <v>0.47674554288414822</v>
      </c>
      <c r="Z229" s="30">
        <f>_xll.qlTenorBasisValue(TenorBasis6M,R229,InterestRatesTrigger)</f>
        <v>1.8141000639073957E-4</v>
      </c>
      <c r="AA229" s="30">
        <f t="shared" si="23"/>
        <v>-8.2726028321073927E-5</v>
      </c>
    </row>
    <row r="230" spans="15:27" x14ac:dyDescent="0.2">
      <c r="O230" s="33">
        <v>3</v>
      </c>
      <c r="P230" s="27" t="str">
        <f>_xll.qlPeriodEquivalent(P229&amp;"+"&amp;O230&amp;"M")</f>
        <v>53Y9M</v>
      </c>
      <c r="Q230" s="28">
        <f>_xll.qlCalendarAdvance(Calendar,SettlementDate,P230,"f",,Trigger)</f>
        <v>61911</v>
      </c>
      <c r="R230" s="28">
        <f>_xll.qlInterestRateIndexValueDate(Index,Q230,Trigger)</f>
        <v>61913</v>
      </c>
      <c r="S230" s="28">
        <f>_xll.qlInterestRateIndexMaturity(Index,R230,Trigger)</f>
        <v>62005</v>
      </c>
      <c r="T230" s="30">
        <f>_xll.qlIndexFixing($M$6,Q230,,InterestRatesTrigger)</f>
        <v>1.2941415730936282E-2</v>
      </c>
      <c r="U230" s="30">
        <f>_xll.qlIndexFixing(Index,Q230,,InterestRatesTrigger)</f>
        <v>1.3065787830354702E-2</v>
      </c>
      <c r="V230" s="30">
        <f t="shared" si="22"/>
        <v>1.2437209941842074E-4</v>
      </c>
      <c r="W230" s="29">
        <f>_xll.qlDayCounterYearFraction(DayCounter,SettlementDate,R230,,,Trigger)</f>
        <v>54.538888888888891</v>
      </c>
      <c r="X230" s="29">
        <f>_xll.qlDayCounterYearFraction(DayCounter,R230,S230)</f>
        <v>0.25555555555555554</v>
      </c>
      <c r="Y230" s="29">
        <f>_xll.qlYieldTSDiscount(Currency&amp;"ON",R230)/(1+U230*X230)</f>
        <v>0.47517078500218246</v>
      </c>
      <c r="Z230" s="30">
        <f>_xll.qlTenorBasisValue(TenorBasis6M,R230,InterestRatesTrigger)</f>
        <v>1.8129305478666019E-4</v>
      </c>
      <c r="AA230" s="30">
        <f t="shared" si="23"/>
        <v>-5.6920955368239452E-5</v>
      </c>
    </row>
    <row r="231" spans="15:27" x14ac:dyDescent="0.2">
      <c r="O231" s="33">
        <v>3</v>
      </c>
      <c r="P231" s="27" t="str">
        <f>_xll.qlPeriodEquivalent(P230&amp;"+"&amp;O231&amp;"M")</f>
        <v>54Y</v>
      </c>
      <c r="Q231" s="28">
        <f>_xll.qlCalendarAdvance(Calendar,SettlementDate,P231,"f",,Trigger)</f>
        <v>62003</v>
      </c>
      <c r="R231" s="28">
        <f>_xll.qlInterestRateIndexValueDate(Index,Q231,Trigger)</f>
        <v>62005</v>
      </c>
      <c r="S231" s="28">
        <f>_xll.qlInterestRateIndexMaturity(Index,R231,Trigger)</f>
        <v>62099</v>
      </c>
      <c r="T231" s="30">
        <f>_xll.qlIndexFixing($M$6,Q231,,InterestRatesTrigger)</f>
        <v>1.2989869265645741E-2</v>
      </c>
      <c r="U231" s="30">
        <f>_xll.qlIndexFixing(Index,Q231,,InterestRatesTrigger)</f>
        <v>1.3139538319363153E-2</v>
      </c>
      <c r="V231" s="30">
        <f t="shared" si="22"/>
        <v>1.4966905371741231E-4</v>
      </c>
      <c r="W231" s="29">
        <f>_xll.qlDayCounterYearFraction(DayCounter,SettlementDate,R231,,,Trigger)</f>
        <v>54.794444444444444</v>
      </c>
      <c r="X231" s="29">
        <f>_xll.qlDayCounterYearFraction(DayCounter,R231,S231)</f>
        <v>0.26111111111111113</v>
      </c>
      <c r="Y231" s="29">
        <f>_xll.qlYieldTSDiscount(Currency&amp;"ON",R231)/(1+U231*X231)</f>
        <v>0.47356110696696774</v>
      </c>
      <c r="Z231" s="30">
        <f>_xll.qlTenorBasisValue(TenorBasis6M,R231,InterestRatesTrigger)</f>
        <v>1.8117920184694924E-4</v>
      </c>
      <c r="AA231" s="30">
        <f t="shared" si="23"/>
        <v>-3.1510148129536931E-5</v>
      </c>
    </row>
    <row r="232" spans="15:27" x14ac:dyDescent="0.2">
      <c r="O232" s="33">
        <v>3</v>
      </c>
      <c r="P232" s="27" t="str">
        <f>_xll.qlPeriodEquivalent(P231&amp;"+"&amp;O232&amp;"M")</f>
        <v>54Y3M</v>
      </c>
      <c r="Q232" s="28">
        <f>_xll.qlCalendarAdvance(Calendar,SettlementDate,P232,"f",,Trigger)</f>
        <v>62095</v>
      </c>
      <c r="R232" s="28">
        <f>_xll.qlInterestRateIndexValueDate(Index,Q232,Trigger)</f>
        <v>62099</v>
      </c>
      <c r="S232" s="28">
        <f>_xll.qlInterestRateIndexMaturity(Index,R232,Trigger)</f>
        <v>62190</v>
      </c>
      <c r="T232" s="30">
        <f>_xll.qlIndexFixing($M$6,Q232,,InterestRatesTrigger)</f>
        <v>1.3035360696624823E-2</v>
      </c>
      <c r="U232" s="30">
        <f>_xll.qlIndexFixing(Index,Q232,,InterestRatesTrigger)</f>
        <v>1.3209324402722863E-2</v>
      </c>
      <c r="V232" s="30">
        <f t="shared" si="22"/>
        <v>1.7396370609804035E-4</v>
      </c>
      <c r="W232" s="29">
        <f>_xll.qlDayCounterYearFraction(DayCounter,SettlementDate,R232,,,Trigger)</f>
        <v>55.055555555555557</v>
      </c>
      <c r="X232" s="29">
        <f>_xll.qlDayCounterYearFraction(DayCounter,R232,S232)</f>
        <v>0.25277777777777777</v>
      </c>
      <c r="Y232" s="29">
        <f>_xll.qlYieldTSDiscount(Currency&amp;"ON",R232)/(1+U232*X232)</f>
        <v>0.47200352036922849</v>
      </c>
      <c r="Z232" s="30">
        <f>_xll.qlTenorBasisValue(TenorBasis6M,R232,InterestRatesTrigger)</f>
        <v>1.8106725904949624E-4</v>
      </c>
      <c r="AA232" s="30">
        <f t="shared" si="23"/>
        <v>-7.1035529514558936E-6</v>
      </c>
    </row>
    <row r="233" spans="15:27" x14ac:dyDescent="0.2">
      <c r="O233" s="33">
        <v>3</v>
      </c>
      <c r="P233" s="27" t="str">
        <f>_xll.qlPeriodEquivalent(P232&amp;"+"&amp;O233&amp;"M")</f>
        <v>54Y6M</v>
      </c>
      <c r="Q233" s="28">
        <f>_xll.qlCalendarAdvance(Calendar,SettlementDate,P233,"f",,Trigger)</f>
        <v>62185</v>
      </c>
      <c r="R233" s="28">
        <f>_xll.qlInterestRateIndexValueDate(Index,Q233,Trigger)</f>
        <v>62187</v>
      </c>
      <c r="S233" s="28">
        <f>_xll.qlInterestRateIndexMaturity(Index,R233,Trigger)</f>
        <v>62278</v>
      </c>
      <c r="T233" s="30">
        <f>_xll.qlIndexFixing($M$6,Q233,,InterestRatesTrigger)</f>
        <v>1.3077839584239295E-2</v>
      </c>
      <c r="U233" s="30">
        <f>_xll.qlIndexFixing(Index,Q233,,InterestRatesTrigger)</f>
        <v>1.3274128403843767E-2</v>
      </c>
      <c r="V233" s="30">
        <f t="shared" si="22"/>
        <v>1.9628881960447216E-4</v>
      </c>
      <c r="W233" s="29">
        <f>_xll.qlDayCounterYearFraction(DayCounter,SettlementDate,R233,,,Trigger)</f>
        <v>55.3</v>
      </c>
      <c r="X233" s="29">
        <f>_xll.qlDayCounterYearFraction(DayCounter,R233,S233)</f>
        <v>0.25277777777777777</v>
      </c>
      <c r="Y233" s="29">
        <f>_xll.qlYieldTSDiscount(Currency&amp;"ON",R233)/(1+U233*X233)</f>
        <v>0.47049677884048358</v>
      </c>
      <c r="Z233" s="30">
        <f>_xll.qlTenorBasisValue(TenorBasis6M,R233,InterestRatesTrigger)</f>
        <v>1.809663322802154E-4</v>
      </c>
      <c r="AA233" s="30">
        <f t="shared" si="23"/>
        <v>1.5322487324256754E-5</v>
      </c>
    </row>
    <row r="234" spans="15:27" x14ac:dyDescent="0.2">
      <c r="O234" s="33">
        <v>3</v>
      </c>
      <c r="P234" s="27" t="str">
        <f>_xll.qlPeriodEquivalent(P233&amp;"+"&amp;O234&amp;"M")</f>
        <v>54Y9M</v>
      </c>
      <c r="Q234" s="28">
        <f>_xll.qlCalendarAdvance(Calendar,SettlementDate,P234,"f",,Trigger)</f>
        <v>62276</v>
      </c>
      <c r="R234" s="28">
        <f>_xll.qlInterestRateIndexValueDate(Index,Q234,Trigger)</f>
        <v>62278</v>
      </c>
      <c r="S234" s="28">
        <f>_xll.qlInterestRateIndexMaturity(Index,R234,Trigger)</f>
        <v>62372</v>
      </c>
      <c r="T234" s="30">
        <f>_xll.qlIndexFixing($M$6,Q234,,InterestRatesTrigger)</f>
        <v>1.3121623428247894E-2</v>
      </c>
      <c r="U234" s="30">
        <f>_xll.qlIndexFixing(Index,Q234,,InterestRatesTrigger)</f>
        <v>1.334053626897252E-2</v>
      </c>
      <c r="V234" s="30">
        <f t="shared" si="22"/>
        <v>2.1891284072462526E-4</v>
      </c>
      <c r="W234" s="29">
        <f>_xll.qlDayCounterYearFraction(DayCounter,SettlementDate,R234,,,Trigger)</f>
        <v>55.552777777777777</v>
      </c>
      <c r="X234" s="29">
        <f>_xll.qlDayCounterYearFraction(DayCounter,R234,S234)</f>
        <v>0.26111111111111113</v>
      </c>
      <c r="Y234" s="29">
        <f>_xll.qlYieldTSDiscount(Currency&amp;"ON",R234)/(1+U234*X234)</f>
        <v>0.4688867443888165</v>
      </c>
      <c r="Z234" s="30">
        <f>_xll.qlTenorBasisValue(TenorBasis6M,R234,InterestRatesTrigger)</f>
        <v>1.8086575859799201E-4</v>
      </c>
      <c r="AA234" s="30">
        <f t="shared" si="23"/>
        <v>3.804708212663325E-5</v>
      </c>
    </row>
    <row r="235" spans="15:27" x14ac:dyDescent="0.2">
      <c r="O235" s="33">
        <v>3</v>
      </c>
      <c r="P235" s="27" t="str">
        <f>_xll.qlPeriodEquivalent(P234&amp;"+"&amp;O235&amp;"M")</f>
        <v>55Y</v>
      </c>
      <c r="Q235" s="28">
        <f>_xll.qlCalendarAdvance(Calendar,SettlementDate,P235,"f",,Trigger)</f>
        <v>62368</v>
      </c>
      <c r="R235" s="28">
        <f>_xll.qlInterestRateIndexValueDate(Index,Q235,Trigger)</f>
        <v>62372</v>
      </c>
      <c r="S235" s="28">
        <f>_xll.qlInterestRateIndexMaturity(Index,R235,Trigger)</f>
        <v>62464</v>
      </c>
      <c r="T235" s="30">
        <f>_xll.qlIndexFixing($M$6,Q235,,InterestRatesTrigger)</f>
        <v>1.3162780605938916E-2</v>
      </c>
      <c r="U235" s="30">
        <f>_xll.qlIndexFixing(Index,Q235,,InterestRatesTrigger)</f>
        <v>1.3403488072802798E-2</v>
      </c>
      <c r="V235" s="30">
        <f t="shared" si="22"/>
        <v>2.4070746686388235E-4</v>
      </c>
      <c r="W235" s="29">
        <f>_xll.qlDayCounterYearFraction(DayCounter,SettlementDate,R235,,,Trigger)</f>
        <v>55.81388888888889</v>
      </c>
      <c r="X235" s="29">
        <f>_xll.qlDayCounterYearFraction(DayCounter,R235,S235)</f>
        <v>0.25555555555555554</v>
      </c>
      <c r="Y235" s="29">
        <f>_xll.qlYieldTSDiscount(Currency&amp;"ON",R235)/(1+U235*X235)</f>
        <v>0.46731275159291885</v>
      </c>
      <c r="Z235" s="30">
        <f>_xll.qlTenorBasisValue(TenorBasis6M,R235,InterestRatesTrigger)</f>
        <v>1.8076577234990801E-4</v>
      </c>
      <c r="AA235" s="30">
        <f t="shared" si="23"/>
        <v>5.994169451397434E-5</v>
      </c>
    </row>
    <row r="236" spans="15:27" x14ac:dyDescent="0.2">
      <c r="O236" s="33">
        <v>3</v>
      </c>
      <c r="P236" s="27" t="str">
        <f>_xll.qlPeriodEquivalent(P235&amp;"+"&amp;O236&amp;"M")</f>
        <v>55Y3M</v>
      </c>
      <c r="Q236" s="28">
        <f>_xll.qlCalendarAdvance(Calendar,SettlementDate,P236,"f",,Trigger)</f>
        <v>62460</v>
      </c>
      <c r="R236" s="28">
        <f>_xll.qlInterestRateIndexValueDate(Index,Q236,Trigger)</f>
        <v>62464</v>
      </c>
      <c r="S236" s="28">
        <f>_xll.qlInterestRateIndexMaturity(Index,R236,Trigger)</f>
        <v>62554</v>
      </c>
      <c r="T236" s="30">
        <f>_xll.qlIndexFixing($M$6,Q236,,InterestRatesTrigger)</f>
        <v>1.3201370150426328E-2</v>
      </c>
      <c r="U236" s="30">
        <f>_xll.qlIndexFixing(Index,Q236,,InterestRatesTrigger)</f>
        <v>1.3462487829943193E-2</v>
      </c>
      <c r="V236" s="30">
        <f t="shared" si="22"/>
        <v>2.611176795168646E-4</v>
      </c>
      <c r="W236" s="29">
        <f>_xll.qlDayCounterYearFraction(DayCounter,SettlementDate,R236,,,Trigger)</f>
        <v>56.069444444444443</v>
      </c>
      <c r="X236" s="29">
        <f>_xll.qlDayCounterYearFraction(DayCounter,R236,S236)</f>
        <v>0.25</v>
      </c>
      <c r="Y236" s="29">
        <f>_xll.qlYieldTSDiscount(Currency&amp;"ON",R236)/(1+U236*X236)</f>
        <v>0.46577378308552231</v>
      </c>
      <c r="Z236" s="30">
        <f>_xll.qlTenorBasisValue(TenorBasis6M,R236,InterestRatesTrigger)</f>
        <v>1.8067161244057843E-4</v>
      </c>
      <c r="AA236" s="30">
        <f t="shared" si="23"/>
        <v>8.0446067076286171E-5</v>
      </c>
    </row>
    <row r="237" spans="15:27" x14ac:dyDescent="0.2">
      <c r="O237" s="33">
        <v>3</v>
      </c>
      <c r="P237" s="27" t="str">
        <f>_xll.qlPeriodEquivalent(P236&amp;"+"&amp;O237&amp;"M")</f>
        <v>55Y6M</v>
      </c>
      <c r="Q237" s="28">
        <f>_xll.qlCalendarAdvance(Calendar,SettlementDate,P237,"f",,Trigger)</f>
        <v>62550</v>
      </c>
      <c r="R237" s="28">
        <f>_xll.qlInterestRateIndexValueDate(Index,Q237,Trigger)</f>
        <v>62554</v>
      </c>
      <c r="S237" s="28">
        <f>_xll.qlInterestRateIndexMaturity(Index,R237,Trigger)</f>
        <v>62645</v>
      </c>
      <c r="T237" s="30">
        <f>_xll.qlIndexFixing($M$6,Q237,,InterestRatesTrigger)</f>
        <v>1.3238789105939062E-2</v>
      </c>
      <c r="U237" s="30">
        <f>_xll.qlIndexFixing(Index,Q237,,InterestRatesTrigger)</f>
        <v>1.3519313380929857E-2</v>
      </c>
      <c r="V237" s="30">
        <f t="shared" si="22"/>
        <v>2.8052427499079477E-4</v>
      </c>
      <c r="W237" s="29">
        <f>_xll.qlDayCounterYearFraction(DayCounter,SettlementDate,R237,,,Trigger)</f>
        <v>56.319444444444443</v>
      </c>
      <c r="X237" s="29">
        <f>_xll.qlDayCounterYearFraction(DayCounter,R237,S237)</f>
        <v>0.25277777777777777</v>
      </c>
      <c r="Y237" s="29">
        <f>_xll.qlYieldTSDiscount(Currency&amp;"ON",R237)/(1+U237*X237)</f>
        <v>0.46421767937104402</v>
      </c>
      <c r="Z237" s="30">
        <f>_xll.qlTenorBasisValue(TenorBasis6M,R237,InterestRatesTrigger)</f>
        <v>1.8058290994143054E-4</v>
      </c>
      <c r="AA237" s="30">
        <f t="shared" si="23"/>
        <v>9.9941365049364229E-5</v>
      </c>
    </row>
    <row r="238" spans="15:27" x14ac:dyDescent="0.2">
      <c r="O238" s="33">
        <v>3</v>
      </c>
      <c r="P238" s="27" t="str">
        <f>_xll.qlPeriodEquivalent(P237&amp;"+"&amp;O238&amp;"M")</f>
        <v>55Y9M</v>
      </c>
      <c r="Q238" s="28">
        <f>_xll.qlCalendarAdvance(Calendar,SettlementDate,P238,"f",,Trigger)</f>
        <v>62641</v>
      </c>
      <c r="R238" s="28">
        <f>_xll.qlInterestRateIndexValueDate(Index,Q238,Trigger)</f>
        <v>62645</v>
      </c>
      <c r="S238" s="28">
        <f>_xll.qlInterestRateIndexMaturity(Index,R238,Trigger)</f>
        <v>62737</v>
      </c>
      <c r="T238" s="30">
        <f>_xll.qlIndexFixing($M$6,Q238,,InterestRatesTrigger)</f>
        <v>1.3274882229539306E-2</v>
      </c>
      <c r="U238" s="30">
        <f>_xll.qlIndexFixing(Index,Q238,,InterestRatesTrigger)</f>
        <v>1.3574076762519496E-2</v>
      </c>
      <c r="V238" s="30">
        <f t="shared" si="22"/>
        <v>2.9919453298019039E-4</v>
      </c>
      <c r="W238" s="29">
        <f>_xll.qlDayCounterYearFraction(DayCounter,SettlementDate,R238,,,Trigger)</f>
        <v>56.572222222222223</v>
      </c>
      <c r="X238" s="29">
        <f>_xll.qlDayCounterYearFraction(DayCounter,R238,S238)</f>
        <v>0.25555555555555554</v>
      </c>
      <c r="Y238" s="29">
        <f>_xll.qlYieldTSDiscount(Currency&amp;"ON",R238)/(1+U238*X238)</f>
        <v>0.46264560185161757</v>
      </c>
      <c r="Z238" s="30">
        <f>_xll.qlTenorBasisValue(TenorBasis6M,R238,InterestRatesTrigger)</f>
        <v>1.8049652633060859E-4</v>
      </c>
      <c r="AA238" s="30">
        <f t="shared" si="23"/>
        <v>1.186980066495818E-4</v>
      </c>
    </row>
    <row r="239" spans="15:27" x14ac:dyDescent="0.2">
      <c r="O239" s="33">
        <v>3</v>
      </c>
      <c r="P239" s="27" t="str">
        <f>_xll.qlPeriodEquivalent(P238&amp;"+"&amp;O239&amp;"M")</f>
        <v>56Y</v>
      </c>
      <c r="Q239" s="28">
        <f>_xll.qlCalendarAdvance(Calendar,SettlementDate,P239,"f",,Trigger)</f>
        <v>62733</v>
      </c>
      <c r="R239" s="28">
        <f>_xll.qlInterestRateIndexValueDate(Index,Q239,Trigger)</f>
        <v>62737</v>
      </c>
      <c r="S239" s="28">
        <f>_xll.qlInterestRateIndexMaturity(Index,R239,Trigger)</f>
        <v>62829</v>
      </c>
      <c r="T239" s="30">
        <f>_xll.qlIndexFixing($M$6,Q239,,InterestRatesTrigger)</f>
        <v>1.3309124972610808E-2</v>
      </c>
      <c r="U239" s="30">
        <f>_xll.qlIndexFixing(Index,Q239,,InterestRatesTrigger)</f>
        <v>1.3626094185957694E-2</v>
      </c>
      <c r="V239" s="30">
        <f t="shared" si="22"/>
        <v>3.1696921334688558E-4</v>
      </c>
      <c r="W239" s="29">
        <f>_xll.qlDayCounterYearFraction(DayCounter,SettlementDate,R239,,,Trigger)</f>
        <v>56.827777777777776</v>
      </c>
      <c r="X239" s="29">
        <f>_xll.qlDayCounterYearFraction(DayCounter,R239,S239)</f>
        <v>0.25555555555555554</v>
      </c>
      <c r="Y239" s="29">
        <f>_xll.qlYieldTSDiscount(Currency&amp;"ON",R239)/(1+U239*X239)</f>
        <v>0.46107528904619377</v>
      </c>
      <c r="Z239" s="30">
        <f>_xll.qlTenorBasisValue(TenorBasis6M,R239,InterestRatesTrigger)</f>
        <v>1.804124480154006E-4</v>
      </c>
      <c r="AA239" s="30">
        <f t="shared" si="23"/>
        <v>1.3655676533148498E-4</v>
      </c>
    </row>
    <row r="240" spans="15:27" x14ac:dyDescent="0.2">
      <c r="O240" s="33">
        <v>3</v>
      </c>
      <c r="P240" s="27" t="str">
        <f>_xll.qlPeriodEquivalent(P239&amp;"+"&amp;O240&amp;"M")</f>
        <v>56Y3M</v>
      </c>
      <c r="Q240" s="28">
        <f>_xll.qlCalendarAdvance(Calendar,SettlementDate,P240,"f",,Trigger)</f>
        <v>62827</v>
      </c>
      <c r="R240" s="28">
        <f>_xll.qlInterestRateIndexValueDate(Index,Q240,Trigger)</f>
        <v>62829</v>
      </c>
      <c r="S240" s="28">
        <f>_xll.qlInterestRateIndexMaturity(Index,R240,Trigger)</f>
        <v>62920</v>
      </c>
      <c r="T240" s="30">
        <f>_xll.qlIndexFixing($M$6,Q240,,InterestRatesTrigger)</f>
        <v>1.3341100041319037E-2</v>
      </c>
      <c r="U240" s="30">
        <f>_xll.qlIndexFixing(Index,Q240,,InterestRatesTrigger)</f>
        <v>1.3674730392723594E-2</v>
      </c>
      <c r="V240" s="30">
        <f t="shared" si="22"/>
        <v>3.3363035140455792E-4</v>
      </c>
      <c r="W240" s="29">
        <f>_xll.qlDayCounterYearFraction(DayCounter,SettlementDate,R240,,,Trigger)</f>
        <v>57.083333333333336</v>
      </c>
      <c r="X240" s="29">
        <f>_xll.qlDayCounterYearFraction(DayCounter,R240,S240)</f>
        <v>0.25277777777777777</v>
      </c>
      <c r="Y240" s="29">
        <f>_xll.qlYieldTSDiscount(Currency&amp;"ON",R240)/(1+U240*X240)</f>
        <v>0.45952408884490875</v>
      </c>
      <c r="Z240" s="30">
        <f>_xll.qlTenorBasisValue(TenorBasis6M,R240,InterestRatesTrigger)</f>
        <v>1.8033152180165136E-4</v>
      </c>
      <c r="AA240" s="30">
        <f t="shared" si="23"/>
        <v>1.5329882960290656E-4</v>
      </c>
    </row>
    <row r="241" spans="15:27" x14ac:dyDescent="0.2">
      <c r="O241" s="33">
        <v>3</v>
      </c>
      <c r="P241" s="27" t="str">
        <f>_xll.qlPeriodEquivalent(P240&amp;"+"&amp;O241&amp;"M")</f>
        <v>56Y6M</v>
      </c>
      <c r="Q241" s="28">
        <f>_xll.qlCalendarAdvance(Calendar,SettlementDate,P241,"f",,Trigger)</f>
        <v>62918</v>
      </c>
      <c r="R241" s="28">
        <f>_xll.qlInterestRateIndexValueDate(Index,Q241,Trigger)</f>
        <v>62920</v>
      </c>
      <c r="S241" s="28">
        <f>_xll.qlInterestRateIndexMaturity(Index,R241,Trigger)</f>
        <v>63011</v>
      </c>
      <c r="T241" s="30">
        <f>_xll.qlIndexFixing($M$6,Q241,,InterestRatesTrigger)</f>
        <v>1.3371285913858177E-2</v>
      </c>
      <c r="U241" s="30">
        <f>_xll.qlIndexFixing(Index,Q241,,InterestRatesTrigger)</f>
        <v>1.3720480380938127E-2</v>
      </c>
      <c r="V241" s="30">
        <f t="shared" si="22"/>
        <v>3.4919446707994996E-4</v>
      </c>
      <c r="W241" s="29">
        <f>_xll.qlDayCounterYearFraction(DayCounter,SettlementDate,R241,,,Trigger)</f>
        <v>57.336111111111109</v>
      </c>
      <c r="X241" s="29">
        <f>_xll.qlDayCounterYearFraction(DayCounter,R241,S241)</f>
        <v>0.25277777777777777</v>
      </c>
      <c r="Y241" s="29">
        <f>_xll.qlYieldTSDiscount(Currency&amp;"ON",R241)/(1+U241*X241)</f>
        <v>0.45797435070814635</v>
      </c>
      <c r="Z241" s="30">
        <f>_xll.qlTenorBasisValue(TenorBasis6M,R241,InterestRatesTrigger)</f>
        <v>1.8025446207012627E-4</v>
      </c>
      <c r="AA241" s="30">
        <f t="shared" si="23"/>
        <v>1.6894000500982368E-4</v>
      </c>
    </row>
    <row r="242" spans="15:27" x14ac:dyDescent="0.2">
      <c r="O242" s="33">
        <v>3</v>
      </c>
      <c r="P242" s="27" t="str">
        <f>_xll.qlPeriodEquivalent(P241&amp;"+"&amp;O242&amp;"M")</f>
        <v>56Y9M</v>
      </c>
      <c r="Q242" s="28">
        <f>_xll.qlCalendarAdvance(Calendar,SettlementDate,P242,"f",,Trigger)</f>
        <v>63009</v>
      </c>
      <c r="R242" s="28">
        <f>_xll.qlInterestRateIndexValueDate(Index,Q242,Trigger)</f>
        <v>63011</v>
      </c>
      <c r="S242" s="28">
        <f>_xll.qlInterestRateIndexMaturity(Index,R242,Trigger)</f>
        <v>63103</v>
      </c>
      <c r="T242" s="30">
        <f>_xll.qlIndexFixing($M$6,Q242,,InterestRatesTrigger)</f>
        <v>1.339997650308692E-2</v>
      </c>
      <c r="U242" s="30">
        <f>_xll.qlIndexFixing(Index,Q242,,InterestRatesTrigger)</f>
        <v>1.3763788377714097E-2</v>
      </c>
      <c r="V242" s="30">
        <f t="shared" si="22"/>
        <v>3.6381187462717658E-4</v>
      </c>
      <c r="W242" s="29">
        <f>_xll.qlDayCounterYearFraction(DayCounter,SettlementDate,R242,,,Trigger)</f>
        <v>57.588888888888889</v>
      </c>
      <c r="X242" s="29">
        <f>_xll.qlDayCounterYearFraction(DayCounter,R242,S242)</f>
        <v>0.25555555555555554</v>
      </c>
      <c r="Y242" s="29">
        <f>_xll.qlYieldTSDiscount(Currency&amp;"ON",R242)/(1+U242*X242)</f>
        <v>0.45640925961573559</v>
      </c>
      <c r="Z242" s="30">
        <f>_xll.qlTenorBasisValue(TenorBasis6M,R242,InterestRatesTrigger)</f>
        <v>1.8018026392173955E-4</v>
      </c>
      <c r="AA242" s="30">
        <f t="shared" si="23"/>
        <v>1.8363161070543703E-4</v>
      </c>
    </row>
    <row r="243" spans="15:27" x14ac:dyDescent="0.2">
      <c r="O243" s="33">
        <v>3</v>
      </c>
      <c r="P243" s="27" t="str">
        <f>_xll.qlPeriodEquivalent(P242&amp;"+"&amp;O243&amp;"M")</f>
        <v>57Y</v>
      </c>
      <c r="Q243" s="28">
        <f>_xll.qlCalendarAdvance(Calendar,SettlementDate,P243,"f",,Trigger)</f>
        <v>63100</v>
      </c>
      <c r="R243" s="28">
        <f>_xll.qlInterestRateIndexValueDate(Index,Q243,Trigger)</f>
        <v>63102</v>
      </c>
      <c r="S243" s="28">
        <f>_xll.qlInterestRateIndexMaturity(Index,R243,Trigger)</f>
        <v>63194</v>
      </c>
      <c r="T243" s="30">
        <f>_xll.qlIndexFixing($M$6,Q243,,InterestRatesTrigger)</f>
        <v>1.3426326504257503E-2</v>
      </c>
      <c r="U243" s="30">
        <f>_xll.qlIndexFixing(Index,Q243,,InterestRatesTrigger)</f>
        <v>1.3803602175613491E-2</v>
      </c>
      <c r="V243" s="30">
        <f t="shared" si="22"/>
        <v>3.77275671355988E-4</v>
      </c>
      <c r="W243" s="29">
        <f>_xll.qlDayCounterYearFraction(DayCounter,SettlementDate,R243,,,Trigger)</f>
        <v>57.841666666666669</v>
      </c>
      <c r="X243" s="29">
        <f>_xll.qlDayCounterYearFraction(DayCounter,R243,S243)</f>
        <v>0.25555555555555554</v>
      </c>
      <c r="Y243" s="29">
        <f>_xll.qlYieldTSDiscount(Currency&amp;"ON",R243)/(1+U243*X243)</f>
        <v>0.45486395524657652</v>
      </c>
      <c r="Z243" s="30">
        <f>_xll.qlTenorBasisValue(TenorBasis6M,R243,InterestRatesTrigger)</f>
        <v>1.8010882270718087E-4</v>
      </c>
      <c r="AA243" s="30">
        <f t="shared" si="23"/>
        <v>1.9716684864880713E-4</v>
      </c>
    </row>
    <row r="244" spans="15:27" x14ac:dyDescent="0.2">
      <c r="O244" s="33">
        <v>3</v>
      </c>
      <c r="P244" s="27" t="str">
        <f>_xll.qlPeriodEquivalent(P243&amp;"+"&amp;O244&amp;"M")</f>
        <v>57Y3M</v>
      </c>
      <c r="Q244" s="28">
        <f>_xll.qlCalendarAdvance(Calendar,SettlementDate,P244,"f",,Trigger)</f>
        <v>63191</v>
      </c>
      <c r="R244" s="28">
        <f>_xll.qlInterestRateIndexValueDate(Index,Q244,Trigger)</f>
        <v>63193</v>
      </c>
      <c r="S244" s="28">
        <f>_xll.qlInterestRateIndexMaturity(Index,R244,Trigger)</f>
        <v>63283</v>
      </c>
      <c r="T244" s="30">
        <f>_xll.qlIndexFixing($M$6,Q244,,InterestRatesTrigger)</f>
        <v>1.3449947068390422E-2</v>
      </c>
      <c r="U244" s="30">
        <f>_xll.qlIndexFixing(Index,Q244,,InterestRatesTrigger)</f>
        <v>1.3839447936605964E-2</v>
      </c>
      <c r="V244" s="30">
        <f t="shared" si="22"/>
        <v>3.8950086821554208E-4</v>
      </c>
      <c r="W244" s="29">
        <f>_xll.qlDayCounterYearFraction(DayCounter,SettlementDate,R244,,,Trigger)</f>
        <v>58.094444444444441</v>
      </c>
      <c r="X244" s="29">
        <f>_xll.qlDayCounterYearFraction(DayCounter,R244,S244)</f>
        <v>0.25</v>
      </c>
      <c r="Y244" s="29">
        <f>_xll.qlYieldTSDiscount(Currency&amp;"ON",R244)/(1+U244*X244)</f>
        <v>0.4533560645179146</v>
      </c>
      <c r="Z244" s="30">
        <f>_xll.qlTenorBasisValue(TenorBasis6M,R244,InterestRatesTrigger)</f>
        <v>1.8004003752856667E-4</v>
      </c>
      <c r="AA244" s="30">
        <f t="shared" si="23"/>
        <v>2.0946083068697541E-4</v>
      </c>
    </row>
    <row r="245" spans="15:27" x14ac:dyDescent="0.2">
      <c r="O245" s="33">
        <v>3</v>
      </c>
      <c r="P245" s="27" t="str">
        <f>_xll.qlPeriodEquivalent(P244&amp;"+"&amp;O245&amp;"M")</f>
        <v>57Y6M</v>
      </c>
      <c r="Q245" s="28">
        <f>_xll.qlCalendarAdvance(Calendar,SettlementDate,P245,"f",,Trigger)</f>
        <v>63282</v>
      </c>
      <c r="R245" s="28">
        <f>_xll.qlInterestRateIndexValueDate(Index,Q245,Trigger)</f>
        <v>63284</v>
      </c>
      <c r="S245" s="28">
        <f>_xll.qlInterestRateIndexMaturity(Index,R245,Trigger)</f>
        <v>63375</v>
      </c>
      <c r="T245" s="30">
        <f>_xll.qlIndexFixing($M$6,Q245,,InterestRatesTrigger)</f>
        <v>1.3472696186901353E-2</v>
      </c>
      <c r="U245" s="30">
        <f>_xll.qlIndexFixing(Index,Q245,,InterestRatesTrigger)</f>
        <v>1.3873561045349054E-2</v>
      </c>
      <c r="V245" s="30">
        <f t="shared" si="22"/>
        <v>4.0086485844770085E-4</v>
      </c>
      <c r="W245" s="29">
        <f>_xll.qlDayCounterYearFraction(DayCounter,SettlementDate,R245,,,Trigger)</f>
        <v>58.347222222222221</v>
      </c>
      <c r="X245" s="29">
        <f>_xll.qlDayCounterYearFraction(DayCounter,R245,S245)</f>
        <v>0.25277777777777777</v>
      </c>
      <c r="Y245" s="29">
        <f>_xll.qlYieldTSDiscount(Currency&amp;"ON",R245)/(1+U245*X245)</f>
        <v>0.45179871149868811</v>
      </c>
      <c r="Z245" s="30">
        <f>_xll.qlTenorBasisValue(TenorBasis6M,R245,InterestRatesTrigger)</f>
        <v>1.7997381110855941E-4</v>
      </c>
      <c r="AA245" s="30">
        <f t="shared" si="23"/>
        <v>2.2089104733914145E-4</v>
      </c>
    </row>
    <row r="246" spans="15:27" x14ac:dyDescent="0.2">
      <c r="O246" s="33">
        <v>3</v>
      </c>
      <c r="P246" s="27" t="str">
        <f>_xll.qlPeriodEquivalent(P245&amp;"+"&amp;O246&amp;"M")</f>
        <v>57Y9M</v>
      </c>
      <c r="Q246" s="28">
        <f>_xll.qlCalendarAdvance(Calendar,SettlementDate,P246,"f",,Trigger)</f>
        <v>63373</v>
      </c>
      <c r="R246" s="28">
        <f>_xll.qlInterestRateIndexValueDate(Index,Q246,Trigger)</f>
        <v>63375</v>
      </c>
      <c r="S246" s="28">
        <f>_xll.qlInterestRateIndexMaturity(Index,R246,Trigger)</f>
        <v>63467</v>
      </c>
      <c r="T246" s="30">
        <f>_xll.qlIndexFixing($M$6,Q246,,InterestRatesTrigger)</f>
        <v>1.3493369166318556E-2</v>
      </c>
      <c r="U246" s="30">
        <f>_xll.qlIndexFixing(Index,Q246,,InterestRatesTrigger)</f>
        <v>1.3904461083120134E-2</v>
      </c>
      <c r="V246" s="30">
        <f t="shared" si="22"/>
        <v>4.1109191680157794E-4</v>
      </c>
      <c r="W246" s="29">
        <f>_xll.qlDayCounterYearFraction(DayCounter,SettlementDate,R246,,,Trigger)</f>
        <v>58.6</v>
      </c>
      <c r="X246" s="29">
        <f>_xll.qlDayCounterYearFraction(DayCounter,R246,S246)</f>
        <v>0.25555555555555554</v>
      </c>
      <c r="Y246" s="29">
        <f>_xll.qlYieldTSDiscount(Currency&amp;"ON",R246)/(1+U246*X246)</f>
        <v>0.45024445509590766</v>
      </c>
      <c r="Z246" s="30">
        <f>_xll.qlTenorBasisValue(TenorBasis6M,R246,InterestRatesTrigger)</f>
        <v>1.7991004966387805E-4</v>
      </c>
      <c r="AA246" s="30">
        <f t="shared" si="23"/>
        <v>2.311818671376999E-4</v>
      </c>
    </row>
    <row r="247" spans="15:27" x14ac:dyDescent="0.2">
      <c r="O247" s="33">
        <v>3</v>
      </c>
      <c r="P247" s="27" t="str">
        <f>_xll.qlPeriodEquivalent(P246&amp;"+"&amp;O247&amp;"M")</f>
        <v>58Y</v>
      </c>
      <c r="Q247" s="28">
        <f>_xll.qlCalendarAdvance(Calendar,SettlementDate,P247,"f",,Trigger)</f>
        <v>63464</v>
      </c>
      <c r="R247" s="28">
        <f>_xll.qlInterestRateIndexValueDate(Index,Q247,Trigger)</f>
        <v>63466</v>
      </c>
      <c r="S247" s="28">
        <f>_xll.qlInterestRateIndexMaturity(Index,R247,Trigger)</f>
        <v>63558</v>
      </c>
      <c r="T247" s="30">
        <f>_xll.qlIndexFixing($M$6,Q247,,InterestRatesTrigger)</f>
        <v>1.3511579067025889E-2</v>
      </c>
      <c r="U247" s="30">
        <f>_xll.qlIndexFixing(Index,Q247,,InterestRatesTrigger)</f>
        <v>1.3931677191439324E-2</v>
      </c>
      <c r="V247" s="30">
        <f t="shared" si="22"/>
        <v>4.2009812441343511E-4</v>
      </c>
      <c r="W247" s="29">
        <f>_xll.qlDayCounterYearFraction(DayCounter,SettlementDate,R247,,,Trigger)</f>
        <v>58.852777777777774</v>
      </c>
      <c r="X247" s="29">
        <f>_xll.qlDayCounterYearFraction(DayCounter,R247,S247)</f>
        <v>0.25555555555555554</v>
      </c>
      <c r="Y247" s="29">
        <f>_xll.qlYieldTSDiscount(Currency&amp;"ON",R247)/(1+U247*X247)</f>
        <v>0.44871090123830992</v>
      </c>
      <c r="Z247" s="30">
        <f>_xll.qlTenorBasisValue(TenorBasis6M,R247,InterestRatesTrigger)</f>
        <v>1.7984866278306186E-4</v>
      </c>
      <c r="AA247" s="30">
        <f t="shared" si="23"/>
        <v>2.4024946163037325E-4</v>
      </c>
    </row>
    <row r="248" spans="15:27" x14ac:dyDescent="0.2">
      <c r="O248" s="33">
        <v>3</v>
      </c>
      <c r="P248" s="27" t="str">
        <f>_xll.qlPeriodEquivalent(P247&amp;"+"&amp;O248&amp;"M")</f>
        <v>58Y3M</v>
      </c>
      <c r="Q248" s="28">
        <f>_xll.qlCalendarAdvance(Calendar,SettlementDate,P248,"f",,Trigger)</f>
        <v>63556</v>
      </c>
      <c r="R248" s="28">
        <f>_xll.qlInterestRateIndexValueDate(Index,Q248,Trigger)</f>
        <v>63558</v>
      </c>
      <c r="S248" s="28">
        <f>_xll.qlInterestRateIndexMaturity(Index,R248,Trigger)</f>
        <v>63648</v>
      </c>
      <c r="T248" s="30">
        <f>_xll.qlIndexFixing($M$6,Q248,,InterestRatesTrigger)</f>
        <v>1.3527148802313427E-2</v>
      </c>
      <c r="U248" s="30">
        <f>_xll.qlIndexFixing(Index,Q248,,InterestRatesTrigger)</f>
        <v>1.3955052698604753E-2</v>
      </c>
      <c r="V248" s="30">
        <f t="shared" si="22"/>
        <v>4.2790389629132619E-4</v>
      </c>
      <c r="W248" s="29">
        <f>_xll.qlDayCounterYearFraction(DayCounter,SettlementDate,R248,,,Trigger)</f>
        <v>59.108333333333334</v>
      </c>
      <c r="X248" s="29">
        <f>_xll.qlDayCounterYearFraction(DayCounter,R248,S248)</f>
        <v>0.25</v>
      </c>
      <c r="Y248" s="29">
        <f>_xll.qlYieldTSDiscount(Currency&amp;"ON",R248)/(1+U248*X248)</f>
        <v>0.44719873787195769</v>
      </c>
      <c r="Z248" s="30">
        <f>_xll.qlTenorBasisValue(TenorBasis6M,R248,InterestRatesTrigger)</f>
        <v>1.797889262541729E-4</v>
      </c>
      <c r="AA248" s="30">
        <f t="shared" si="23"/>
        <v>2.4811497003715327E-4</v>
      </c>
    </row>
    <row r="249" spans="15:27" x14ac:dyDescent="0.2">
      <c r="O249" s="33">
        <v>3</v>
      </c>
      <c r="P249" s="27" t="str">
        <f>_xll.qlPeriodEquivalent(P248&amp;"+"&amp;O249&amp;"M")</f>
        <v>58Y6M</v>
      </c>
      <c r="Q249" s="28">
        <f>_xll.qlCalendarAdvance(Calendar,SettlementDate,P249,"f",,Trigger)</f>
        <v>63646</v>
      </c>
      <c r="R249" s="28">
        <f>_xll.qlInterestRateIndexValueDate(Index,Q249,Trigger)</f>
        <v>63648</v>
      </c>
      <c r="S249" s="28">
        <f>_xll.qlInterestRateIndexMaturity(Index,R249,Trigger)</f>
        <v>63739</v>
      </c>
      <c r="T249" s="30">
        <f>_xll.qlIndexFixing($M$6,Q249,,InterestRatesTrigger)</f>
        <v>1.3541226365287897E-2</v>
      </c>
      <c r="U249" s="30">
        <f>_xll.qlIndexFixing(Index,Q249,,InterestRatesTrigger)</f>
        <v>1.3975755975575415E-2</v>
      </c>
      <c r="V249" s="30">
        <f t="shared" si="22"/>
        <v>4.3452961028751791E-4</v>
      </c>
      <c r="W249" s="29">
        <f>_xll.qlDayCounterYearFraction(DayCounter,SettlementDate,R249,,,Trigger)</f>
        <v>59.358333333333334</v>
      </c>
      <c r="X249" s="29">
        <f>_xll.qlDayCounterYearFraction(DayCounter,R249,S249)</f>
        <v>0.25277777777777777</v>
      </c>
      <c r="Y249" s="29">
        <f>_xll.qlYieldTSDiscount(Currency&amp;"ON",R249)/(1+U249*X249)</f>
        <v>0.44567196382791446</v>
      </c>
      <c r="Z249" s="30">
        <f>_xll.qlTenorBasisValue(TenorBasis6M,R249,InterestRatesTrigger)</f>
        <v>1.7973266722156052E-4</v>
      </c>
      <c r="AA249" s="30">
        <f t="shared" si="23"/>
        <v>2.5479694306595742E-4</v>
      </c>
    </row>
    <row r="250" spans="15:27" x14ac:dyDescent="0.2">
      <c r="O250" s="33">
        <v>3</v>
      </c>
      <c r="P250" s="27" t="str">
        <f>_xll.qlPeriodEquivalent(P249&amp;"+"&amp;O250&amp;"M")</f>
        <v>58Y9M</v>
      </c>
      <c r="Q250" s="28">
        <f>_xll.qlCalendarAdvance(Calendar,SettlementDate,P250,"f",,Trigger)</f>
        <v>63737</v>
      </c>
      <c r="R250" s="28">
        <f>_xll.qlInterestRateIndexValueDate(Index,Q250,Trigger)</f>
        <v>63739</v>
      </c>
      <c r="S250" s="28">
        <f>_xll.qlInterestRateIndexMaturity(Index,R250,Trigger)</f>
        <v>63831</v>
      </c>
      <c r="T250" s="30">
        <f>_xll.qlIndexFixing($M$6,Q250,,InterestRatesTrigger)</f>
        <v>1.3553228012681648E-2</v>
      </c>
      <c r="U250" s="30">
        <f>_xll.qlIndexFixing(Index,Q250,,InterestRatesTrigger)</f>
        <v>1.3993235766791279E-2</v>
      </c>
      <c r="V250" s="30">
        <f t="shared" si="22"/>
        <v>4.4000775410963158E-4</v>
      </c>
      <c r="W250" s="29">
        <f>_xll.qlDayCounterYearFraction(DayCounter,SettlementDate,R250,,,Trigger)</f>
        <v>59.611111111111114</v>
      </c>
      <c r="X250" s="29">
        <f>_xll.qlDayCounterYearFraction(DayCounter,R250,S250)</f>
        <v>0.25555555555555554</v>
      </c>
      <c r="Y250" s="29">
        <f>_xll.qlYieldTSDiscount(Currency&amp;"ON",R250)/(1+U250*X250)</f>
        <v>0.44413250951472882</v>
      </c>
      <c r="Z250" s="30">
        <f>_xll.qlTenorBasisValue(TenorBasis6M,R250,InterestRatesTrigger)</f>
        <v>1.796778935338E-4</v>
      </c>
      <c r="AA250" s="30">
        <f t="shared" si="23"/>
        <v>2.6032986057583158E-4</v>
      </c>
    </row>
    <row r="251" spans="15:27" x14ac:dyDescent="0.2">
      <c r="O251" s="33">
        <v>3</v>
      </c>
      <c r="P251" s="27" t="str">
        <f>_xll.qlPeriodEquivalent(P250&amp;"+"&amp;O251&amp;"M")</f>
        <v>59Y</v>
      </c>
      <c r="Q251" s="28">
        <f>_xll.qlCalendarAdvance(Calendar,SettlementDate,P251,"f",,Trigger)</f>
        <v>63829</v>
      </c>
      <c r="R251" s="28">
        <f>_xll.qlInterestRateIndexValueDate(Index,Q251,Trigger)</f>
        <v>63831</v>
      </c>
      <c r="S251" s="28">
        <f>_xll.qlInterestRateIndexMaturity(Index,R251,Trigger)</f>
        <v>63923</v>
      </c>
      <c r="T251" s="30">
        <f>_xll.qlIndexFixing($M$6,Q251,,InterestRatesTrigger)</f>
        <v>1.3562739737193151E-2</v>
      </c>
      <c r="U251" s="30">
        <f>_xll.qlIndexFixing(Index,Q251,,InterestRatesTrigger)</f>
        <v>1.4006979383305694E-2</v>
      </c>
      <c r="V251" s="30">
        <f t="shared" si="22"/>
        <v>4.4423964611254273E-4</v>
      </c>
      <c r="W251" s="29">
        <f>_xll.qlDayCounterYearFraction(DayCounter,SettlementDate,R251,,,Trigger)</f>
        <v>59.866666666666667</v>
      </c>
      <c r="X251" s="29">
        <f>_xll.qlDayCounterYearFraction(DayCounter,R251,S251)</f>
        <v>0.25555555555555554</v>
      </c>
      <c r="Y251" s="29">
        <f>_xll.qlYieldTSDiscount(Currency&amp;"ON",R251)/(1+U251*X251)</f>
        <v>0.44259797163491549</v>
      </c>
      <c r="Z251" s="30">
        <f>_xll.qlTenorBasisValue(TenorBasis6M,R251,InterestRatesTrigger)</f>
        <v>1.7962459580879496E-4</v>
      </c>
      <c r="AA251" s="30">
        <f t="shared" si="23"/>
        <v>2.6461505030374777E-4</v>
      </c>
    </row>
    <row r="252" spans="15:27" x14ac:dyDescent="0.2">
      <c r="O252" s="33">
        <v>3</v>
      </c>
      <c r="P252" s="27" t="str">
        <f>_xll.qlPeriodEquivalent(P251&amp;"+"&amp;O252&amp;"M")</f>
        <v>59Y3M</v>
      </c>
      <c r="Q252" s="28">
        <f>_xll.qlCalendarAdvance(Calendar,SettlementDate,P252,"f",,Trigger)</f>
        <v>63921</v>
      </c>
      <c r="R252" s="28">
        <f>_xll.qlInterestRateIndexValueDate(Index,Q252,Trigger)</f>
        <v>63923</v>
      </c>
      <c r="S252" s="28">
        <f>_xll.qlInterestRateIndexMaturity(Index,R252,Trigger)</f>
        <v>64013</v>
      </c>
      <c r="T252" s="30">
        <f>_xll.qlIndexFixing($M$6,Q252,,InterestRatesTrigger)</f>
        <v>1.3569329909700834E-2</v>
      </c>
      <c r="U252" s="30">
        <f>_xll.qlIndexFixing(Index,Q252,,InterestRatesTrigger)</f>
        <v>1.4016457581159436E-2</v>
      </c>
      <c r="V252" s="30">
        <f t="shared" si="22"/>
        <v>4.4712767145860255E-4</v>
      </c>
      <c r="W252" s="29">
        <f>_xll.qlDayCounterYearFraction(DayCounter,SettlementDate,R252,,,Trigger)</f>
        <v>60.12222222222222</v>
      </c>
      <c r="X252" s="29">
        <f>_xll.qlDayCounterYearFraction(DayCounter,R252,S252)</f>
        <v>0.25</v>
      </c>
      <c r="Y252" s="29">
        <f>_xll.qlYieldTSDiscount(Currency&amp;"ON",R252)/(1+U252*X252)</f>
        <v>0.44110237212843845</v>
      </c>
      <c r="Z252" s="30">
        <f>_xll.qlTenorBasisValue(TenorBasis6M,R252,InterestRatesTrigger)</f>
        <v>1.795733098604314E-4</v>
      </c>
      <c r="AA252" s="30">
        <f t="shared" si="23"/>
        <v>2.6755436159817114E-4</v>
      </c>
    </row>
    <row r="253" spans="15:27" x14ac:dyDescent="0.2">
      <c r="O253" s="33">
        <v>3</v>
      </c>
      <c r="P253" s="27" t="str">
        <f>_xll.qlPeriodEquivalent(P252&amp;"+"&amp;O253&amp;"M")</f>
        <v>59Y6M</v>
      </c>
      <c r="Q253" s="31">
        <f>_xll.qlCalendarAdvance(Calendar,SettlementDate,P253,"f",,Trigger)</f>
        <v>64011</v>
      </c>
      <c r="R253" s="31">
        <f>_xll.qlInterestRateIndexValueDate(Index,Q253,Trigger)</f>
        <v>64013</v>
      </c>
      <c r="S253" s="31">
        <f>_xll.qlInterestRateIndexMaturity(Index,R253,Trigger)</f>
        <v>64104</v>
      </c>
      <c r="T253" s="32">
        <f>_xll.qlIndexFixing($M$6,Q253,,InterestRatesTrigger)</f>
        <v>1.3574320589395405E-2</v>
      </c>
      <c r="U253" s="32">
        <f>_xll.qlIndexFixing(Index,Q253,,InterestRatesTrigger)</f>
        <v>1.4023097176875636E-2</v>
      </c>
      <c r="V253" s="32">
        <f t="shared" si="22"/>
        <v>4.4877658748023082E-4</v>
      </c>
      <c r="W253" s="74">
        <f>_xll.qlDayCounterYearFraction(DayCounter,SettlementDate,R253,,,Trigger)</f>
        <v>60.37222222222222</v>
      </c>
      <c r="X253" s="74">
        <f>_xll.qlDayCounterYearFraction(DayCounter,R253,S253)</f>
        <v>0.25277777777777777</v>
      </c>
      <c r="Y253" s="74">
        <f>_xll.qlYieldTSDiscount(Currency&amp;"ON",R253)/(1+U253*X253)</f>
        <v>0.43959327439733897</v>
      </c>
      <c r="Z253" s="32">
        <f>_xll.qlTenorBasisValue(TenorBasis6M,R253,InterestRatesTrigger)</f>
        <v>1.7952501351202804E-4</v>
      </c>
      <c r="AA253" s="32">
        <f t="shared" si="23"/>
        <v>2.692515739682028E-4</v>
      </c>
    </row>
    <row r="254" spans="15:27" x14ac:dyDescent="0.2">
      <c r="P254" s="36"/>
      <c r="Q254" s="40"/>
      <c r="R254" s="40"/>
      <c r="S254" s="40"/>
      <c r="T254" s="41"/>
      <c r="U254" s="41"/>
      <c r="V254" s="41"/>
      <c r="W254" s="36"/>
      <c r="X254" s="36"/>
      <c r="Y254" s="36"/>
      <c r="Z254" s="36"/>
      <c r="AA254" s="36"/>
    </row>
    <row r="255" spans="15:27" x14ac:dyDescent="0.2">
      <c r="P255" s="36"/>
      <c r="Q255" s="40"/>
      <c r="R255" s="40"/>
      <c r="S255" s="40"/>
      <c r="T255" s="41"/>
      <c r="U255" s="41"/>
      <c r="V255" s="41"/>
      <c r="W255" s="36"/>
      <c r="X255" s="36"/>
      <c r="Y255" s="36"/>
      <c r="Z255" s="36"/>
      <c r="AA255" s="36"/>
    </row>
    <row r="256" spans="15:27" x14ac:dyDescent="0.2">
      <c r="P256" s="36"/>
      <c r="Q256" s="40"/>
      <c r="R256" s="40"/>
      <c r="S256" s="40"/>
      <c r="T256" s="41"/>
      <c r="U256" s="41"/>
      <c r="V256" s="41"/>
      <c r="W256" s="36"/>
      <c r="X256" s="36"/>
      <c r="Y256" s="36"/>
      <c r="Z256" s="36"/>
      <c r="AA256" s="36"/>
    </row>
    <row r="257" spans="16:27" x14ac:dyDescent="0.2">
      <c r="P257" s="36"/>
      <c r="Q257" s="40"/>
      <c r="R257" s="40"/>
      <c r="S257" s="40"/>
      <c r="T257" s="41"/>
      <c r="U257" s="41"/>
      <c r="V257" s="41"/>
      <c r="W257" s="36"/>
      <c r="X257" s="36"/>
      <c r="Y257" s="36"/>
      <c r="Z257" s="36"/>
      <c r="AA257" s="36"/>
    </row>
    <row r="258" spans="16:27" x14ac:dyDescent="0.2">
      <c r="P258" s="36"/>
      <c r="Q258" s="40"/>
      <c r="R258" s="40"/>
      <c r="S258" s="40"/>
      <c r="T258" s="41"/>
      <c r="U258" s="41"/>
      <c r="V258" s="41"/>
      <c r="W258" s="36"/>
      <c r="X258" s="36"/>
      <c r="Y258" s="36"/>
      <c r="Z258" s="36"/>
      <c r="AA258" s="36"/>
    </row>
    <row r="259" spans="16:27" x14ac:dyDescent="0.2">
      <c r="P259" s="36"/>
      <c r="Q259" s="40"/>
      <c r="R259" s="40"/>
      <c r="S259" s="40"/>
      <c r="T259" s="41"/>
      <c r="U259" s="41"/>
      <c r="V259" s="41"/>
      <c r="W259" s="36"/>
      <c r="X259" s="36"/>
      <c r="Y259" s="36"/>
      <c r="Z259" s="36"/>
      <c r="AA259" s="36"/>
    </row>
    <row r="260" spans="16:27" x14ac:dyDescent="0.2">
      <c r="P260" s="36"/>
      <c r="Q260" s="40"/>
      <c r="R260" s="40"/>
      <c r="S260" s="40"/>
      <c r="T260" s="41"/>
      <c r="U260" s="41"/>
      <c r="V260" s="41"/>
      <c r="W260" s="36"/>
      <c r="X260" s="36"/>
      <c r="Y260" s="36"/>
      <c r="Z260" s="36"/>
      <c r="AA260" s="36"/>
    </row>
    <row r="261" spans="16:27" x14ac:dyDescent="0.2">
      <c r="P261" s="36"/>
      <c r="Q261" s="40"/>
      <c r="R261" s="40"/>
      <c r="S261" s="40"/>
      <c r="T261" s="41"/>
      <c r="U261" s="41"/>
      <c r="V261" s="41"/>
      <c r="W261" s="36"/>
      <c r="X261" s="36"/>
      <c r="Y261" s="36"/>
      <c r="Z261" s="36"/>
      <c r="AA261" s="36"/>
    </row>
    <row r="262" spans="16:27" x14ac:dyDescent="0.2">
      <c r="P262" s="36"/>
      <c r="Q262" s="40"/>
      <c r="R262" s="40"/>
      <c r="S262" s="40"/>
      <c r="T262" s="41"/>
      <c r="U262" s="41"/>
      <c r="V262" s="41"/>
      <c r="W262" s="36"/>
      <c r="X262" s="36"/>
      <c r="Y262" s="36"/>
      <c r="Z262" s="36"/>
      <c r="AA262" s="36"/>
    </row>
    <row r="263" spans="16:27" x14ac:dyDescent="0.2">
      <c r="P263" s="36"/>
      <c r="Q263" s="40"/>
      <c r="R263" s="40"/>
      <c r="S263" s="40"/>
      <c r="T263" s="41"/>
      <c r="U263" s="41"/>
      <c r="V263" s="41"/>
      <c r="W263" s="36"/>
      <c r="X263" s="36"/>
      <c r="Y263" s="36"/>
      <c r="Z263" s="36"/>
      <c r="AA263" s="36"/>
    </row>
    <row r="264" spans="16:27" x14ac:dyDescent="0.2">
      <c r="P264" s="36"/>
      <c r="Q264" s="40"/>
      <c r="R264" s="40"/>
      <c r="S264" s="40"/>
      <c r="T264" s="41"/>
      <c r="U264" s="41"/>
      <c r="V264" s="41"/>
      <c r="W264" s="36"/>
      <c r="X264" s="36"/>
      <c r="Y264" s="36"/>
      <c r="Z264" s="36"/>
      <c r="AA264" s="36"/>
    </row>
    <row r="265" spans="16:27" x14ac:dyDescent="0.2">
      <c r="P265" s="36"/>
      <c r="Q265" s="40"/>
      <c r="R265" s="40"/>
      <c r="S265" s="40"/>
      <c r="T265" s="41"/>
      <c r="U265" s="41"/>
      <c r="V265" s="41"/>
      <c r="W265" s="36"/>
      <c r="X265" s="36"/>
      <c r="Y265" s="36"/>
      <c r="Z265" s="36"/>
      <c r="AA265" s="36"/>
    </row>
    <row r="266" spans="16:27" x14ac:dyDescent="0.2">
      <c r="P266" s="36"/>
      <c r="Q266" s="40"/>
      <c r="R266" s="40"/>
      <c r="S266" s="40"/>
      <c r="T266" s="41"/>
      <c r="U266" s="41"/>
      <c r="V266" s="41"/>
      <c r="W266" s="36"/>
      <c r="X266" s="36"/>
      <c r="Y266" s="36"/>
      <c r="Z266" s="36"/>
      <c r="AA266" s="36"/>
    </row>
    <row r="267" spans="16:27" x14ac:dyDescent="0.2">
      <c r="P267" s="36"/>
      <c r="Q267" s="40"/>
      <c r="R267" s="40"/>
      <c r="S267" s="40"/>
      <c r="T267" s="41"/>
      <c r="U267" s="41"/>
      <c r="V267" s="41"/>
      <c r="W267" s="36"/>
      <c r="X267" s="36"/>
      <c r="Y267" s="36"/>
      <c r="Z267" s="36"/>
      <c r="AA267" s="36"/>
    </row>
    <row r="268" spans="16:27" x14ac:dyDescent="0.2">
      <c r="P268" s="36"/>
      <c r="Q268" s="40"/>
      <c r="R268" s="40"/>
      <c r="S268" s="40"/>
      <c r="T268" s="41"/>
      <c r="U268" s="41"/>
      <c r="V268" s="41"/>
      <c r="W268" s="36"/>
      <c r="X268" s="36"/>
      <c r="Y268" s="36"/>
      <c r="Z268" s="36"/>
      <c r="AA268" s="36"/>
    </row>
    <row r="269" spans="16:27" x14ac:dyDescent="0.2">
      <c r="P269" s="36"/>
      <c r="Q269" s="40"/>
      <c r="R269" s="40"/>
      <c r="S269" s="40"/>
      <c r="T269" s="41"/>
      <c r="U269" s="41"/>
      <c r="V269" s="41"/>
      <c r="W269" s="36"/>
      <c r="X269" s="36"/>
      <c r="Y269" s="36"/>
      <c r="Z269" s="36"/>
      <c r="AA269" s="36"/>
    </row>
    <row r="270" spans="16:27" x14ac:dyDescent="0.2">
      <c r="P270" s="36"/>
      <c r="Q270" s="40"/>
      <c r="R270" s="40"/>
      <c r="S270" s="40"/>
      <c r="T270" s="41"/>
      <c r="U270" s="41"/>
      <c r="V270" s="41"/>
      <c r="W270" s="36"/>
      <c r="X270" s="36"/>
      <c r="Y270" s="36"/>
      <c r="Z270" s="36"/>
      <c r="AA270" s="36"/>
    </row>
    <row r="271" spans="16:27" x14ac:dyDescent="0.2">
      <c r="P271" s="36"/>
      <c r="Q271" s="40"/>
      <c r="R271" s="40"/>
      <c r="S271" s="40"/>
      <c r="T271" s="41"/>
      <c r="U271" s="41"/>
      <c r="V271" s="41"/>
      <c r="W271" s="36"/>
      <c r="X271" s="36"/>
      <c r="Y271" s="36"/>
      <c r="Z271" s="36"/>
      <c r="AA271" s="36"/>
    </row>
    <row r="272" spans="16:27" x14ac:dyDescent="0.2">
      <c r="P272" s="36"/>
      <c r="Q272" s="40"/>
      <c r="R272" s="40"/>
      <c r="S272" s="40"/>
      <c r="T272" s="41"/>
      <c r="U272" s="41"/>
      <c r="V272" s="41"/>
      <c r="W272" s="36"/>
      <c r="X272" s="36"/>
      <c r="Y272" s="36"/>
      <c r="Z272" s="36"/>
      <c r="AA272" s="36"/>
    </row>
    <row r="273" spans="16:27" x14ac:dyDescent="0.2">
      <c r="P273" s="36"/>
      <c r="Q273" s="40"/>
      <c r="R273" s="40"/>
      <c r="S273" s="40"/>
      <c r="T273" s="41"/>
      <c r="U273" s="41"/>
      <c r="V273" s="41"/>
      <c r="W273" s="36"/>
      <c r="X273" s="36"/>
      <c r="Y273" s="36"/>
      <c r="Z273" s="36"/>
      <c r="AA273" s="36"/>
    </row>
    <row r="274" spans="16:27" x14ac:dyDescent="0.2">
      <c r="P274" s="36"/>
      <c r="Q274" s="40"/>
      <c r="R274" s="40"/>
      <c r="S274" s="40"/>
      <c r="T274" s="41"/>
      <c r="U274" s="41"/>
      <c r="V274" s="41"/>
      <c r="W274" s="36"/>
      <c r="X274" s="36"/>
      <c r="Y274" s="36"/>
      <c r="Z274" s="36"/>
      <c r="AA274" s="36"/>
    </row>
    <row r="275" spans="16:27" x14ac:dyDescent="0.2">
      <c r="P275" s="36"/>
      <c r="Q275" s="40"/>
      <c r="R275" s="40"/>
      <c r="S275" s="40"/>
      <c r="T275" s="41"/>
      <c r="U275" s="41"/>
      <c r="V275" s="41"/>
      <c r="W275" s="36"/>
      <c r="X275" s="36"/>
      <c r="Y275" s="36"/>
      <c r="Z275" s="36"/>
      <c r="AA275" s="36"/>
    </row>
    <row r="276" spans="16:27" x14ac:dyDescent="0.2">
      <c r="P276" s="36"/>
      <c r="Q276" s="40"/>
      <c r="R276" s="40"/>
      <c r="S276" s="40"/>
      <c r="T276" s="41"/>
      <c r="U276" s="41"/>
      <c r="V276" s="41"/>
      <c r="W276" s="36"/>
      <c r="X276" s="36"/>
      <c r="Y276" s="36"/>
      <c r="Z276" s="36"/>
      <c r="AA276" s="36"/>
    </row>
    <row r="277" spans="16:27" x14ac:dyDescent="0.2">
      <c r="P277" s="36"/>
      <c r="Q277" s="40"/>
      <c r="R277" s="40"/>
      <c r="S277" s="40"/>
      <c r="T277" s="41"/>
      <c r="U277" s="41"/>
      <c r="V277" s="41"/>
      <c r="W277" s="36"/>
      <c r="X277" s="36"/>
      <c r="Y277" s="36"/>
      <c r="Z277" s="36"/>
      <c r="AA277" s="36"/>
    </row>
    <row r="278" spans="16:27" x14ac:dyDescent="0.2">
      <c r="P278" s="36"/>
      <c r="Q278" s="40"/>
      <c r="R278" s="40"/>
      <c r="S278" s="40"/>
      <c r="T278" s="41"/>
      <c r="U278" s="41"/>
      <c r="V278" s="41"/>
      <c r="W278" s="36"/>
      <c r="X278" s="36"/>
      <c r="Y278" s="36"/>
      <c r="Z278" s="36"/>
      <c r="AA278" s="36"/>
    </row>
    <row r="279" spans="16:27" x14ac:dyDescent="0.2">
      <c r="P279" s="36"/>
      <c r="Q279" s="40"/>
      <c r="R279" s="40"/>
      <c r="S279" s="40"/>
      <c r="T279" s="41"/>
      <c r="U279" s="41"/>
      <c r="V279" s="41"/>
      <c r="W279" s="36"/>
      <c r="X279" s="36"/>
      <c r="Y279" s="36"/>
      <c r="Z279" s="36"/>
      <c r="AA279" s="36"/>
    </row>
    <row r="280" spans="16:27" x14ac:dyDescent="0.2">
      <c r="P280" s="36"/>
      <c r="Q280" s="40"/>
      <c r="R280" s="40"/>
      <c r="S280" s="40"/>
      <c r="T280" s="41"/>
      <c r="U280" s="41"/>
      <c r="V280" s="41"/>
      <c r="W280" s="36"/>
      <c r="X280" s="36"/>
      <c r="Y280" s="36"/>
      <c r="Z280" s="36"/>
      <c r="AA280" s="36"/>
    </row>
    <row r="281" spans="16:27" x14ac:dyDescent="0.2">
      <c r="P281" s="36"/>
      <c r="Q281" s="40"/>
      <c r="R281" s="40"/>
      <c r="S281" s="40"/>
      <c r="T281" s="41"/>
      <c r="U281" s="41"/>
      <c r="V281" s="41"/>
      <c r="W281" s="36"/>
      <c r="X281" s="36"/>
      <c r="Y281" s="36"/>
      <c r="Z281" s="36"/>
      <c r="AA281" s="36"/>
    </row>
    <row r="282" spans="16:27" x14ac:dyDescent="0.2">
      <c r="P282" s="36"/>
      <c r="Q282" s="40"/>
      <c r="R282" s="40"/>
      <c r="S282" s="40"/>
      <c r="T282" s="41"/>
      <c r="U282" s="41"/>
      <c r="V282" s="41"/>
      <c r="W282" s="36"/>
      <c r="X282" s="36"/>
      <c r="Y282" s="36"/>
      <c r="Z282" s="36"/>
      <c r="AA282" s="36"/>
    </row>
    <row r="283" spans="16:27" x14ac:dyDescent="0.2">
      <c r="P283" s="36"/>
      <c r="Q283" s="40"/>
      <c r="R283" s="40"/>
      <c r="S283" s="40"/>
      <c r="T283" s="41"/>
      <c r="U283" s="41"/>
      <c r="V283" s="41"/>
      <c r="W283" s="36"/>
      <c r="X283" s="36"/>
      <c r="Y283" s="36"/>
      <c r="Z283" s="36"/>
      <c r="AA283" s="36"/>
    </row>
    <row r="284" spans="16:27" x14ac:dyDescent="0.2">
      <c r="P284" s="36"/>
      <c r="Q284" s="40"/>
      <c r="R284" s="40"/>
      <c r="S284" s="40"/>
      <c r="T284" s="41"/>
      <c r="U284" s="41"/>
      <c r="V284" s="41"/>
      <c r="W284" s="36"/>
      <c r="X284" s="36"/>
      <c r="Y284" s="36"/>
      <c r="Z284" s="36"/>
      <c r="AA284" s="36"/>
    </row>
    <row r="285" spans="16:27" x14ac:dyDescent="0.2">
      <c r="P285" s="36"/>
      <c r="Q285" s="40"/>
      <c r="R285" s="40"/>
      <c r="S285" s="40"/>
      <c r="T285" s="41"/>
      <c r="U285" s="41"/>
      <c r="V285" s="41"/>
      <c r="W285" s="36"/>
      <c r="X285" s="36"/>
      <c r="Y285" s="36"/>
      <c r="Z285" s="36"/>
      <c r="AA285" s="36"/>
    </row>
    <row r="286" spans="16:27" x14ac:dyDescent="0.2">
      <c r="P286" s="36"/>
      <c r="Q286" s="40"/>
      <c r="R286" s="40"/>
      <c r="S286" s="40"/>
      <c r="T286" s="41"/>
      <c r="U286" s="41"/>
      <c r="V286" s="41"/>
      <c r="W286" s="36"/>
      <c r="X286" s="36"/>
      <c r="Y286" s="36"/>
      <c r="Z286" s="36"/>
      <c r="AA286" s="36"/>
    </row>
    <row r="287" spans="16:27" x14ac:dyDescent="0.2">
      <c r="P287" s="36"/>
      <c r="Q287" s="40"/>
      <c r="R287" s="40"/>
      <c r="S287" s="40"/>
      <c r="T287" s="41"/>
      <c r="U287" s="41"/>
      <c r="V287" s="41"/>
      <c r="W287" s="36"/>
      <c r="X287" s="36"/>
      <c r="Y287" s="36"/>
      <c r="Z287" s="36"/>
      <c r="AA287" s="36"/>
    </row>
    <row r="288" spans="16:27" x14ac:dyDescent="0.2">
      <c r="P288" s="36"/>
      <c r="Q288" s="40"/>
      <c r="R288" s="40"/>
      <c r="S288" s="40"/>
      <c r="T288" s="41"/>
      <c r="U288" s="41"/>
      <c r="V288" s="41"/>
      <c r="W288" s="36"/>
      <c r="X288" s="36"/>
      <c r="Y288" s="36"/>
      <c r="Z288" s="36"/>
      <c r="AA288" s="36"/>
    </row>
    <row r="289" spans="16:27" x14ac:dyDescent="0.2">
      <c r="P289" s="36"/>
      <c r="Q289" s="40"/>
      <c r="R289" s="40"/>
      <c r="S289" s="40"/>
      <c r="T289" s="41"/>
      <c r="U289" s="41"/>
      <c r="V289" s="41"/>
      <c r="W289" s="36"/>
      <c r="X289" s="36"/>
      <c r="Y289" s="36"/>
      <c r="Z289" s="36"/>
      <c r="AA289" s="36"/>
    </row>
    <row r="290" spans="16:27" x14ac:dyDescent="0.2">
      <c r="P290" s="36"/>
      <c r="Q290" s="40"/>
      <c r="R290" s="40"/>
      <c r="S290" s="40"/>
      <c r="T290" s="41"/>
      <c r="U290" s="41"/>
      <c r="V290" s="41"/>
      <c r="W290" s="36"/>
      <c r="X290" s="36"/>
      <c r="Y290" s="36"/>
      <c r="Z290" s="36"/>
      <c r="AA290" s="36"/>
    </row>
    <row r="291" spans="16:27" x14ac:dyDescent="0.2">
      <c r="P291" s="36"/>
      <c r="Q291" s="40"/>
      <c r="R291" s="40"/>
      <c r="S291" s="40"/>
      <c r="T291" s="41"/>
      <c r="U291" s="41"/>
      <c r="V291" s="41"/>
      <c r="W291" s="36"/>
      <c r="X291" s="36"/>
      <c r="Y291" s="36"/>
      <c r="Z291" s="36"/>
      <c r="AA291" s="36"/>
    </row>
    <row r="292" spans="16:27" x14ac:dyDescent="0.2">
      <c r="P292" s="36"/>
      <c r="Q292" s="40"/>
      <c r="R292" s="40"/>
      <c r="S292" s="40"/>
      <c r="T292" s="41"/>
      <c r="U292" s="41"/>
      <c r="V292" s="41"/>
      <c r="W292" s="36"/>
      <c r="X292" s="36"/>
      <c r="Y292" s="36"/>
      <c r="Z292" s="36"/>
      <c r="AA292" s="36"/>
    </row>
    <row r="293" spans="16:27" x14ac:dyDescent="0.2">
      <c r="P293" s="36"/>
      <c r="Q293" s="40"/>
      <c r="R293" s="40"/>
      <c r="S293" s="40"/>
      <c r="T293" s="41"/>
      <c r="U293" s="41"/>
      <c r="V293" s="41"/>
      <c r="W293" s="36"/>
      <c r="X293" s="36"/>
      <c r="Y293" s="36"/>
      <c r="Z293" s="36"/>
      <c r="AA293" s="36"/>
    </row>
    <row r="294" spans="16:27" x14ac:dyDescent="0.2">
      <c r="P294" s="36"/>
      <c r="Q294" s="40"/>
      <c r="R294" s="40"/>
      <c r="S294" s="40"/>
      <c r="T294" s="41"/>
      <c r="U294" s="41"/>
      <c r="V294" s="41"/>
      <c r="W294" s="36"/>
      <c r="X294" s="36"/>
      <c r="Y294" s="36"/>
      <c r="Z294" s="36"/>
      <c r="AA294" s="36"/>
    </row>
    <row r="295" spans="16:27" x14ac:dyDescent="0.2">
      <c r="P295" s="36"/>
      <c r="Q295" s="40"/>
      <c r="R295" s="40"/>
      <c r="S295" s="40"/>
      <c r="T295" s="41"/>
      <c r="U295" s="41"/>
      <c r="V295" s="41"/>
      <c r="W295" s="36"/>
      <c r="X295" s="36"/>
      <c r="Y295" s="36"/>
      <c r="Z295" s="36"/>
      <c r="AA295" s="36"/>
    </row>
    <row r="296" spans="16:27" x14ac:dyDescent="0.2">
      <c r="P296" s="36"/>
      <c r="Q296" s="40"/>
      <c r="R296" s="40"/>
      <c r="S296" s="40"/>
      <c r="T296" s="41"/>
      <c r="U296" s="41"/>
      <c r="V296" s="41"/>
      <c r="W296" s="36"/>
      <c r="X296" s="36"/>
      <c r="Y296" s="36"/>
      <c r="Z296" s="36"/>
      <c r="AA296" s="36"/>
    </row>
    <row r="297" spans="16:27" x14ac:dyDescent="0.2">
      <c r="P297" s="36"/>
      <c r="Q297" s="40"/>
      <c r="R297" s="40"/>
      <c r="S297" s="40"/>
      <c r="T297" s="41"/>
      <c r="U297" s="41"/>
      <c r="V297" s="41"/>
      <c r="W297" s="36"/>
      <c r="X297" s="36"/>
      <c r="Y297" s="36"/>
      <c r="Z297" s="36"/>
      <c r="AA297" s="36"/>
    </row>
    <row r="298" spans="16:27" x14ac:dyDescent="0.2">
      <c r="P298" s="36"/>
      <c r="Q298" s="40"/>
      <c r="R298" s="40"/>
      <c r="S298" s="40"/>
      <c r="T298" s="41"/>
      <c r="U298" s="41"/>
      <c r="V298" s="41"/>
      <c r="W298" s="36"/>
      <c r="X298" s="36"/>
      <c r="Y298" s="36"/>
      <c r="Z298" s="36"/>
      <c r="AA298" s="36"/>
    </row>
    <row r="299" spans="16:27" x14ac:dyDescent="0.2">
      <c r="P299" s="36"/>
      <c r="Q299" s="40"/>
      <c r="R299" s="40"/>
      <c r="S299" s="40"/>
      <c r="T299" s="41"/>
      <c r="U299" s="41"/>
      <c r="V299" s="41"/>
      <c r="W299" s="36"/>
      <c r="X299" s="36"/>
      <c r="Y299" s="36"/>
      <c r="Z299" s="36"/>
      <c r="AA299" s="36"/>
    </row>
    <row r="300" spans="16:27" x14ac:dyDescent="0.2">
      <c r="P300" s="36"/>
      <c r="Q300" s="40"/>
      <c r="R300" s="40"/>
      <c r="S300" s="40"/>
      <c r="T300" s="41"/>
      <c r="U300" s="41"/>
      <c r="V300" s="41"/>
      <c r="W300" s="36"/>
      <c r="X300" s="36"/>
      <c r="Y300" s="36"/>
      <c r="Z300" s="36"/>
      <c r="AA300" s="36"/>
    </row>
    <row r="301" spans="16:27" x14ac:dyDescent="0.2">
      <c r="P301" s="36"/>
      <c r="Q301" s="40"/>
      <c r="R301" s="40"/>
      <c r="S301" s="40"/>
      <c r="T301" s="41"/>
      <c r="U301" s="41"/>
      <c r="V301" s="41"/>
      <c r="W301" s="36"/>
      <c r="X301" s="36"/>
      <c r="Y301" s="36"/>
      <c r="Z301" s="36"/>
      <c r="AA301" s="36"/>
    </row>
    <row r="302" spans="16:27" x14ac:dyDescent="0.2">
      <c r="P302" s="36"/>
      <c r="Q302" s="40"/>
      <c r="R302" s="40"/>
      <c r="S302" s="40"/>
      <c r="T302" s="41"/>
      <c r="U302" s="41"/>
      <c r="V302" s="41"/>
      <c r="W302" s="36"/>
      <c r="X302" s="36"/>
      <c r="Y302" s="36"/>
      <c r="Z302" s="36"/>
      <c r="AA302" s="36"/>
    </row>
    <row r="303" spans="16:27" x14ac:dyDescent="0.2">
      <c r="P303" s="36"/>
      <c r="Q303" s="40"/>
      <c r="R303" s="40"/>
      <c r="S303" s="40"/>
      <c r="T303" s="41"/>
      <c r="U303" s="41"/>
      <c r="V303" s="41"/>
      <c r="W303" s="36"/>
      <c r="X303" s="36"/>
      <c r="Y303" s="36"/>
      <c r="Z303" s="36"/>
      <c r="AA303" s="36"/>
    </row>
    <row r="304" spans="16:27" x14ac:dyDescent="0.2">
      <c r="P304" s="36"/>
      <c r="Q304" s="40"/>
      <c r="R304" s="40"/>
      <c r="S304" s="40"/>
      <c r="T304" s="41"/>
      <c r="U304" s="41"/>
      <c r="V304" s="41"/>
      <c r="W304" s="36"/>
      <c r="X304" s="36"/>
      <c r="Y304" s="36"/>
      <c r="Z304" s="36"/>
      <c r="AA304" s="36"/>
    </row>
    <row r="305" spans="16:27" x14ac:dyDescent="0.2">
      <c r="P305" s="36"/>
      <c r="Q305" s="40"/>
      <c r="R305" s="40"/>
      <c r="S305" s="40"/>
      <c r="T305" s="41"/>
      <c r="U305" s="41"/>
      <c r="V305" s="41"/>
      <c r="W305" s="36"/>
      <c r="X305" s="36"/>
      <c r="Y305" s="36"/>
      <c r="Z305" s="36"/>
      <c r="AA305" s="36"/>
    </row>
    <row r="306" spans="16:27" x14ac:dyDescent="0.2">
      <c r="P306" s="36"/>
      <c r="Q306" s="40"/>
      <c r="R306" s="40"/>
      <c r="S306" s="40"/>
      <c r="T306" s="41"/>
      <c r="U306" s="41"/>
      <c r="V306" s="41"/>
      <c r="W306" s="36"/>
      <c r="X306" s="36"/>
      <c r="Y306" s="36"/>
      <c r="Z306" s="36"/>
      <c r="AA306" s="36"/>
    </row>
    <row r="307" spans="16:27" x14ac:dyDescent="0.2">
      <c r="P307" s="36"/>
      <c r="Q307" s="40"/>
      <c r="R307" s="40"/>
      <c r="S307" s="40"/>
      <c r="T307" s="41"/>
      <c r="U307" s="41"/>
      <c r="V307" s="41"/>
      <c r="W307" s="36"/>
      <c r="X307" s="36"/>
      <c r="Y307" s="36"/>
      <c r="Z307" s="36"/>
      <c r="AA307" s="36"/>
    </row>
    <row r="308" spans="16:27" x14ac:dyDescent="0.2">
      <c r="P308" s="36"/>
      <c r="Q308" s="40"/>
      <c r="R308" s="40"/>
      <c r="S308" s="40"/>
      <c r="T308" s="41"/>
      <c r="U308" s="41"/>
      <c r="V308" s="41"/>
      <c r="W308" s="36"/>
      <c r="X308" s="36"/>
      <c r="Y308" s="36"/>
      <c r="Z308" s="36"/>
      <c r="AA308" s="36"/>
    </row>
    <row r="309" spans="16:27" x14ac:dyDescent="0.2">
      <c r="P309" s="36"/>
      <c r="Q309" s="40"/>
      <c r="R309" s="40"/>
      <c r="S309" s="40"/>
      <c r="T309" s="41"/>
      <c r="U309" s="41"/>
      <c r="V309" s="41"/>
      <c r="W309" s="36"/>
      <c r="X309" s="36"/>
      <c r="Y309" s="36"/>
      <c r="Z309" s="36"/>
      <c r="AA309" s="36"/>
    </row>
    <row r="310" spans="16:27" x14ac:dyDescent="0.2">
      <c r="P310" s="36"/>
      <c r="Q310" s="40"/>
      <c r="R310" s="40"/>
      <c r="S310" s="40"/>
      <c r="T310" s="41"/>
      <c r="U310" s="41"/>
      <c r="V310" s="41"/>
      <c r="W310" s="36"/>
      <c r="X310" s="36"/>
      <c r="Y310" s="36"/>
      <c r="Z310" s="36"/>
      <c r="AA310" s="36"/>
    </row>
    <row r="311" spans="16:27" x14ac:dyDescent="0.2">
      <c r="P311" s="36"/>
      <c r="Q311" s="40"/>
      <c r="R311" s="40"/>
      <c r="S311" s="40"/>
      <c r="T311" s="41"/>
      <c r="U311" s="41"/>
      <c r="V311" s="41"/>
      <c r="W311" s="36"/>
      <c r="X311" s="36"/>
      <c r="Y311" s="36"/>
      <c r="Z311" s="36"/>
      <c r="AA311" s="36"/>
    </row>
    <row r="312" spans="16:27" x14ac:dyDescent="0.2">
      <c r="P312" s="36"/>
      <c r="Q312" s="40"/>
      <c r="R312" s="40"/>
      <c r="S312" s="40"/>
      <c r="T312" s="41"/>
      <c r="U312" s="41"/>
      <c r="V312" s="41"/>
      <c r="W312" s="36"/>
      <c r="X312" s="36"/>
      <c r="Y312" s="36"/>
      <c r="Z312" s="36"/>
      <c r="AA312" s="36"/>
    </row>
    <row r="313" spans="16:27" x14ac:dyDescent="0.2">
      <c r="P313" s="36"/>
      <c r="Q313" s="40"/>
      <c r="R313" s="40"/>
      <c r="S313" s="40"/>
      <c r="T313" s="41"/>
      <c r="U313" s="41"/>
      <c r="V313" s="41"/>
      <c r="W313" s="36"/>
      <c r="X313" s="36"/>
      <c r="Y313" s="36"/>
      <c r="Z313" s="36"/>
      <c r="AA313" s="36"/>
    </row>
    <row r="314" spans="16:27" x14ac:dyDescent="0.2">
      <c r="P314" s="36"/>
      <c r="Q314" s="40"/>
      <c r="R314" s="40"/>
      <c r="S314" s="40"/>
      <c r="T314" s="41"/>
      <c r="U314" s="41"/>
      <c r="V314" s="41"/>
      <c r="W314" s="36"/>
      <c r="X314" s="36"/>
      <c r="Y314" s="36"/>
      <c r="Z314" s="36"/>
      <c r="AA314" s="36"/>
    </row>
    <row r="315" spans="16:27" x14ac:dyDescent="0.2">
      <c r="P315" s="36"/>
      <c r="Q315" s="40"/>
      <c r="R315" s="40"/>
      <c r="S315" s="40"/>
      <c r="T315" s="41"/>
      <c r="U315" s="41"/>
      <c r="V315" s="41"/>
      <c r="W315" s="36"/>
      <c r="X315" s="36"/>
      <c r="Y315" s="36"/>
      <c r="Z315" s="36"/>
      <c r="AA315" s="36"/>
    </row>
    <row r="316" spans="16:27" x14ac:dyDescent="0.2">
      <c r="P316" s="36"/>
      <c r="Q316" s="40"/>
      <c r="R316" s="40"/>
      <c r="S316" s="40"/>
      <c r="T316" s="41"/>
      <c r="U316" s="41"/>
      <c r="V316" s="41"/>
      <c r="W316" s="36"/>
      <c r="X316" s="36"/>
      <c r="Y316" s="36"/>
      <c r="Z316" s="36"/>
      <c r="AA316" s="36"/>
    </row>
    <row r="317" spans="16:27" x14ac:dyDescent="0.2">
      <c r="P317" s="36"/>
      <c r="Q317" s="40"/>
      <c r="R317" s="40"/>
      <c r="S317" s="40"/>
      <c r="T317" s="41"/>
      <c r="U317" s="41"/>
      <c r="V317" s="41"/>
      <c r="W317" s="36"/>
      <c r="X317" s="36"/>
      <c r="Y317" s="36"/>
      <c r="Z317" s="36"/>
      <c r="AA317" s="36"/>
    </row>
    <row r="318" spans="16:27" x14ac:dyDescent="0.2">
      <c r="P318" s="36"/>
      <c r="Q318" s="40"/>
      <c r="R318" s="40"/>
      <c r="S318" s="40"/>
      <c r="T318" s="41"/>
      <c r="U318" s="41"/>
      <c r="V318" s="41"/>
      <c r="W318" s="36"/>
      <c r="X318" s="36"/>
      <c r="Y318" s="36"/>
      <c r="Z318" s="36"/>
      <c r="AA318" s="36"/>
    </row>
    <row r="319" spans="16:27" x14ac:dyDescent="0.2">
      <c r="P319" s="36"/>
      <c r="Q319" s="40"/>
      <c r="R319" s="40"/>
      <c r="S319" s="40"/>
      <c r="T319" s="41"/>
      <c r="U319" s="41"/>
      <c r="V319" s="41"/>
      <c r="W319" s="36"/>
      <c r="X319" s="36"/>
      <c r="Y319" s="36"/>
      <c r="Z319" s="36"/>
      <c r="AA319" s="36"/>
    </row>
    <row r="320" spans="16:27" x14ac:dyDescent="0.2">
      <c r="P320" s="36"/>
      <c r="Q320" s="40"/>
      <c r="R320" s="40"/>
      <c r="S320" s="40"/>
      <c r="T320" s="41"/>
      <c r="U320" s="41"/>
      <c r="V320" s="41"/>
      <c r="W320" s="36"/>
      <c r="X320" s="36"/>
      <c r="Y320" s="36"/>
      <c r="Z320" s="36"/>
      <c r="AA320" s="36"/>
    </row>
    <row r="321" spans="16:27" x14ac:dyDescent="0.2">
      <c r="P321" s="36"/>
      <c r="Q321" s="40"/>
      <c r="R321" s="40"/>
      <c r="S321" s="40"/>
      <c r="T321" s="41"/>
      <c r="U321" s="41"/>
      <c r="V321" s="41"/>
      <c r="W321" s="36"/>
      <c r="X321" s="36"/>
      <c r="Y321" s="36"/>
      <c r="Z321" s="36"/>
      <c r="AA321" s="36"/>
    </row>
    <row r="322" spans="16:27" x14ac:dyDescent="0.2">
      <c r="P322" s="36"/>
      <c r="Q322" s="40"/>
      <c r="R322" s="40"/>
      <c r="S322" s="40"/>
      <c r="T322" s="41"/>
      <c r="U322" s="41"/>
      <c r="V322" s="41"/>
      <c r="W322" s="36"/>
      <c r="X322" s="36"/>
      <c r="Y322" s="36"/>
      <c r="Z322" s="36"/>
      <c r="AA322" s="36"/>
    </row>
    <row r="323" spans="16:27" x14ac:dyDescent="0.2">
      <c r="P323" s="36"/>
      <c r="Q323" s="40"/>
      <c r="R323" s="40"/>
      <c r="S323" s="40"/>
      <c r="T323" s="41"/>
      <c r="U323" s="41"/>
      <c r="V323" s="41"/>
      <c r="W323" s="36"/>
      <c r="X323" s="36"/>
      <c r="Y323" s="36"/>
      <c r="Z323" s="36"/>
      <c r="AA323" s="36"/>
    </row>
    <row r="324" spans="16:27" x14ac:dyDescent="0.2">
      <c r="P324" s="36"/>
      <c r="Q324" s="40"/>
      <c r="R324" s="40"/>
      <c r="S324" s="40"/>
      <c r="T324" s="41"/>
      <c r="U324" s="41"/>
      <c r="V324" s="41"/>
      <c r="W324" s="36"/>
      <c r="X324" s="36"/>
      <c r="Y324" s="36"/>
      <c r="Z324" s="36"/>
      <c r="AA324" s="36"/>
    </row>
    <row r="325" spans="16:27" x14ac:dyDescent="0.2">
      <c r="P325" s="36"/>
      <c r="Q325" s="40"/>
      <c r="R325" s="40"/>
      <c r="S325" s="40"/>
      <c r="T325" s="41"/>
      <c r="U325" s="41"/>
      <c r="V325" s="41"/>
      <c r="W325" s="36"/>
      <c r="X325" s="36"/>
      <c r="Y325" s="36"/>
      <c r="Z325" s="36"/>
      <c r="AA325" s="36"/>
    </row>
    <row r="326" spans="16:27" x14ac:dyDescent="0.2">
      <c r="P326" s="36"/>
      <c r="Q326" s="40"/>
      <c r="R326" s="40"/>
      <c r="S326" s="40"/>
      <c r="T326" s="41"/>
      <c r="U326" s="41"/>
      <c r="V326" s="41"/>
      <c r="W326" s="36"/>
      <c r="X326" s="36"/>
      <c r="Y326" s="36"/>
      <c r="Z326" s="36"/>
      <c r="AA326" s="36"/>
    </row>
    <row r="327" spans="16:27" x14ac:dyDescent="0.2">
      <c r="P327" s="36"/>
      <c r="Q327" s="40"/>
      <c r="R327" s="40"/>
      <c r="S327" s="40"/>
      <c r="T327" s="41"/>
      <c r="U327" s="41"/>
      <c r="V327" s="41"/>
      <c r="W327" s="36"/>
      <c r="X327" s="36"/>
      <c r="Y327" s="36"/>
      <c r="Z327" s="36"/>
      <c r="AA327" s="36"/>
    </row>
    <row r="328" spans="16:27" x14ac:dyDescent="0.2">
      <c r="P328" s="36"/>
      <c r="Q328" s="40"/>
      <c r="R328" s="40"/>
      <c r="S328" s="40"/>
      <c r="T328" s="41"/>
      <c r="U328" s="41"/>
      <c r="V328" s="41"/>
      <c r="W328" s="36"/>
      <c r="X328" s="36"/>
      <c r="Y328" s="36"/>
      <c r="Z328" s="36"/>
      <c r="AA328" s="36"/>
    </row>
    <row r="329" spans="16:27" x14ac:dyDescent="0.2">
      <c r="P329" s="36"/>
      <c r="Q329" s="40"/>
      <c r="R329" s="40"/>
      <c r="S329" s="40"/>
      <c r="T329" s="41"/>
      <c r="U329" s="41"/>
      <c r="V329" s="41"/>
      <c r="W329" s="36"/>
      <c r="X329" s="36"/>
      <c r="Y329" s="36"/>
      <c r="Z329" s="36"/>
      <c r="AA329" s="36"/>
    </row>
    <row r="330" spans="16:27" x14ac:dyDescent="0.2">
      <c r="P330" s="36"/>
      <c r="Q330" s="40"/>
      <c r="R330" s="40"/>
      <c r="S330" s="40"/>
      <c r="T330" s="41"/>
      <c r="U330" s="41"/>
      <c r="V330" s="41"/>
      <c r="W330" s="36"/>
      <c r="X330" s="36"/>
      <c r="Y330" s="36"/>
      <c r="Z330" s="36"/>
      <c r="AA330" s="36"/>
    </row>
    <row r="331" spans="16:27" x14ac:dyDescent="0.2">
      <c r="P331" s="36"/>
      <c r="Q331" s="40"/>
      <c r="R331" s="40"/>
      <c r="S331" s="40"/>
      <c r="T331" s="41"/>
      <c r="U331" s="41"/>
      <c r="V331" s="41"/>
      <c r="W331" s="36"/>
      <c r="X331" s="36"/>
      <c r="Y331" s="36"/>
      <c r="Z331" s="36"/>
      <c r="AA331" s="36"/>
    </row>
    <row r="332" spans="16:27" x14ac:dyDescent="0.2">
      <c r="P332" s="36"/>
      <c r="Q332" s="40"/>
      <c r="R332" s="40"/>
      <c r="S332" s="40"/>
      <c r="T332" s="41"/>
      <c r="U332" s="41"/>
      <c r="V332" s="41"/>
      <c r="W332" s="36"/>
      <c r="X332" s="36"/>
      <c r="Y332" s="36"/>
      <c r="Z332" s="36"/>
      <c r="AA332" s="36"/>
    </row>
    <row r="333" spans="16:27" x14ac:dyDescent="0.2">
      <c r="P333" s="36"/>
      <c r="Q333" s="40"/>
      <c r="R333" s="40"/>
      <c r="S333" s="40"/>
      <c r="T333" s="41"/>
      <c r="U333" s="41"/>
      <c r="V333" s="41"/>
      <c r="W333" s="36"/>
      <c r="X333" s="36"/>
      <c r="Y333" s="36"/>
      <c r="Z333" s="36"/>
      <c r="AA333" s="36"/>
    </row>
    <row r="334" spans="16:27" x14ac:dyDescent="0.2">
      <c r="P334" s="36"/>
      <c r="Q334" s="40"/>
      <c r="R334" s="40"/>
      <c r="S334" s="40"/>
      <c r="T334" s="41"/>
      <c r="U334" s="41"/>
      <c r="V334" s="41"/>
      <c r="W334" s="36"/>
      <c r="X334" s="36"/>
      <c r="Y334" s="36"/>
      <c r="Z334" s="36"/>
      <c r="AA334" s="36"/>
    </row>
    <row r="335" spans="16:27" x14ac:dyDescent="0.2">
      <c r="P335" s="36"/>
      <c r="Q335" s="40"/>
      <c r="R335" s="40"/>
      <c r="S335" s="40"/>
      <c r="T335" s="41"/>
      <c r="U335" s="41"/>
      <c r="V335" s="41"/>
      <c r="W335" s="36"/>
      <c r="X335" s="36"/>
      <c r="Y335" s="36"/>
      <c r="Z335" s="36"/>
      <c r="AA335" s="36"/>
    </row>
    <row r="336" spans="16:27" x14ac:dyDescent="0.2">
      <c r="P336" s="36"/>
      <c r="Q336" s="40"/>
      <c r="R336" s="40"/>
      <c r="S336" s="40"/>
      <c r="T336" s="41"/>
      <c r="U336" s="41"/>
      <c r="V336" s="41"/>
      <c r="W336" s="36"/>
      <c r="X336" s="36"/>
      <c r="Y336" s="36"/>
      <c r="Z336" s="36"/>
      <c r="AA336" s="36"/>
    </row>
    <row r="337" spans="16:27" x14ac:dyDescent="0.2">
      <c r="P337" s="36"/>
      <c r="Q337" s="40"/>
      <c r="R337" s="40"/>
      <c r="S337" s="40"/>
      <c r="T337" s="41"/>
      <c r="U337" s="41"/>
      <c r="V337" s="41"/>
      <c r="W337" s="36"/>
      <c r="X337" s="36"/>
      <c r="Y337" s="36"/>
      <c r="Z337" s="36"/>
      <c r="AA337" s="36"/>
    </row>
    <row r="338" spans="16:27" x14ac:dyDescent="0.2">
      <c r="P338" s="36"/>
      <c r="Q338" s="40"/>
      <c r="R338" s="40"/>
      <c r="S338" s="40"/>
      <c r="T338" s="41"/>
      <c r="U338" s="41"/>
      <c r="V338" s="41"/>
      <c r="W338" s="36"/>
      <c r="X338" s="36"/>
      <c r="Y338" s="36"/>
      <c r="Z338" s="36"/>
      <c r="AA338" s="36"/>
    </row>
    <row r="339" spans="16:27" x14ac:dyDescent="0.2">
      <c r="P339" s="36"/>
      <c r="Q339" s="40"/>
      <c r="R339" s="40"/>
      <c r="S339" s="40"/>
      <c r="T339" s="41"/>
      <c r="U339" s="41"/>
      <c r="V339" s="41"/>
      <c r="W339" s="36"/>
      <c r="X339" s="36"/>
      <c r="Y339" s="36"/>
      <c r="Z339" s="36"/>
      <c r="AA339" s="36"/>
    </row>
    <row r="340" spans="16:27" x14ac:dyDescent="0.2">
      <c r="P340" s="36"/>
      <c r="Q340" s="40"/>
      <c r="R340" s="40"/>
      <c r="S340" s="40"/>
      <c r="T340" s="41"/>
      <c r="U340" s="41"/>
      <c r="V340" s="41"/>
      <c r="W340" s="36"/>
      <c r="X340" s="36"/>
      <c r="Y340" s="36"/>
      <c r="Z340" s="36"/>
      <c r="AA340" s="36"/>
    </row>
    <row r="341" spans="16:27" x14ac:dyDescent="0.2">
      <c r="P341" s="36"/>
      <c r="Q341" s="40"/>
      <c r="R341" s="40"/>
      <c r="S341" s="40"/>
      <c r="T341" s="41"/>
      <c r="U341" s="41"/>
      <c r="V341" s="41"/>
      <c r="W341" s="36"/>
      <c r="X341" s="36"/>
      <c r="Y341" s="36"/>
      <c r="Z341" s="36"/>
      <c r="AA341" s="36"/>
    </row>
    <row r="342" spans="16:27" x14ac:dyDescent="0.2">
      <c r="P342" s="36"/>
      <c r="Q342" s="40"/>
      <c r="R342" s="40"/>
      <c r="S342" s="40"/>
      <c r="T342" s="41"/>
      <c r="U342" s="41"/>
      <c r="V342" s="41"/>
      <c r="W342" s="36"/>
      <c r="X342" s="36"/>
      <c r="Y342" s="36"/>
      <c r="Z342" s="36"/>
      <c r="AA342" s="36"/>
    </row>
    <row r="343" spans="16:27" x14ac:dyDescent="0.2">
      <c r="P343" s="36"/>
      <c r="Q343" s="40"/>
      <c r="R343" s="40"/>
      <c r="S343" s="40"/>
      <c r="T343" s="41"/>
      <c r="U343" s="41"/>
      <c r="V343" s="41"/>
      <c r="W343" s="36"/>
      <c r="X343" s="36"/>
      <c r="Y343" s="36"/>
      <c r="Z343" s="36"/>
      <c r="AA343" s="36"/>
    </row>
    <row r="344" spans="16:27" x14ac:dyDescent="0.2">
      <c r="P344" s="36"/>
      <c r="Q344" s="40"/>
      <c r="R344" s="40"/>
      <c r="S344" s="40"/>
      <c r="T344" s="41"/>
      <c r="U344" s="41"/>
      <c r="V344" s="41"/>
      <c r="W344" s="36"/>
      <c r="X344" s="36"/>
      <c r="Y344" s="36"/>
      <c r="Z344" s="36"/>
      <c r="AA344" s="36"/>
    </row>
    <row r="345" spans="16:27" x14ac:dyDescent="0.2">
      <c r="P345" s="36"/>
      <c r="Q345" s="40"/>
      <c r="R345" s="40"/>
      <c r="S345" s="40"/>
      <c r="T345" s="41"/>
      <c r="U345" s="41"/>
      <c r="V345" s="41"/>
      <c r="W345" s="36"/>
      <c r="X345" s="36"/>
      <c r="Y345" s="36"/>
      <c r="Z345" s="36"/>
      <c r="AA345" s="36"/>
    </row>
    <row r="346" spans="16:27" x14ac:dyDescent="0.2">
      <c r="P346" s="36"/>
      <c r="Q346" s="40"/>
      <c r="R346" s="40"/>
      <c r="S346" s="40"/>
      <c r="T346" s="41"/>
      <c r="U346" s="41"/>
      <c r="V346" s="41"/>
      <c r="W346" s="36"/>
      <c r="X346" s="36"/>
      <c r="Y346" s="36"/>
      <c r="Z346" s="36"/>
      <c r="AA346" s="36"/>
    </row>
    <row r="347" spans="16:27" x14ac:dyDescent="0.2">
      <c r="P347" s="36"/>
      <c r="Q347" s="40"/>
      <c r="R347" s="40"/>
      <c r="S347" s="40"/>
      <c r="T347" s="41"/>
      <c r="U347" s="41"/>
      <c r="V347" s="41"/>
      <c r="W347" s="36"/>
      <c r="X347" s="36"/>
      <c r="Y347" s="36"/>
      <c r="Z347" s="36"/>
      <c r="AA347" s="36"/>
    </row>
    <row r="348" spans="16:27" x14ac:dyDescent="0.2">
      <c r="P348" s="36"/>
      <c r="Q348" s="40"/>
      <c r="R348" s="40"/>
      <c r="S348" s="40"/>
      <c r="T348" s="41"/>
      <c r="U348" s="41"/>
      <c r="V348" s="41"/>
      <c r="W348" s="36"/>
      <c r="X348" s="36"/>
      <c r="Y348" s="36"/>
      <c r="Z348" s="36"/>
      <c r="AA348" s="36"/>
    </row>
    <row r="349" spans="16:27" x14ac:dyDescent="0.2">
      <c r="P349" s="36"/>
      <c r="Q349" s="40"/>
      <c r="R349" s="40"/>
      <c r="S349" s="40"/>
      <c r="T349" s="41"/>
      <c r="U349" s="41"/>
      <c r="V349" s="41"/>
      <c r="W349" s="36"/>
      <c r="X349" s="36"/>
      <c r="Y349" s="36"/>
      <c r="Z349" s="36"/>
      <c r="AA349" s="36"/>
    </row>
    <row r="350" spans="16:27" x14ac:dyDescent="0.2">
      <c r="P350" s="36"/>
      <c r="Q350" s="40"/>
      <c r="R350" s="40"/>
      <c r="S350" s="40"/>
      <c r="T350" s="41"/>
      <c r="U350" s="41"/>
      <c r="V350" s="41"/>
      <c r="W350" s="36"/>
      <c r="X350" s="36"/>
      <c r="Y350" s="36"/>
      <c r="Z350" s="36"/>
      <c r="AA350" s="36"/>
    </row>
    <row r="351" spans="16:27" x14ac:dyDescent="0.2">
      <c r="P351" s="36"/>
      <c r="Q351" s="40"/>
      <c r="R351" s="40"/>
      <c r="S351" s="40"/>
      <c r="T351" s="41"/>
      <c r="U351" s="41"/>
      <c r="V351" s="41"/>
      <c r="W351" s="36"/>
      <c r="X351" s="36"/>
      <c r="Y351" s="36"/>
      <c r="Z351" s="36"/>
      <c r="AA351" s="36"/>
    </row>
    <row r="352" spans="16:27" x14ac:dyDescent="0.2">
      <c r="P352" s="36"/>
      <c r="Q352" s="40"/>
      <c r="R352" s="40"/>
      <c r="S352" s="40"/>
      <c r="T352" s="41"/>
      <c r="U352" s="41"/>
      <c r="V352" s="41"/>
      <c r="W352" s="36"/>
      <c r="X352" s="36"/>
      <c r="Y352" s="36"/>
      <c r="Z352" s="36"/>
      <c r="AA352" s="36"/>
    </row>
    <row r="353" spans="16:27" x14ac:dyDescent="0.2">
      <c r="P353" s="36"/>
      <c r="Q353" s="40"/>
      <c r="R353" s="40"/>
      <c r="S353" s="40"/>
      <c r="T353" s="41"/>
      <c r="U353" s="41"/>
      <c r="V353" s="41"/>
      <c r="W353" s="36"/>
      <c r="X353" s="36"/>
      <c r="Y353" s="36"/>
      <c r="Z353" s="36"/>
      <c r="AA353" s="36"/>
    </row>
    <row r="354" spans="16:27" x14ac:dyDescent="0.2">
      <c r="P354" s="36"/>
      <c r="Q354" s="40"/>
      <c r="R354" s="40"/>
      <c r="S354" s="40"/>
      <c r="T354" s="41"/>
      <c r="U354" s="41"/>
      <c r="V354" s="41"/>
      <c r="W354" s="36"/>
      <c r="X354" s="36"/>
      <c r="Y354" s="36"/>
      <c r="Z354" s="36"/>
      <c r="AA354" s="36"/>
    </row>
    <row r="355" spans="16:27" x14ac:dyDescent="0.2">
      <c r="P355" s="36"/>
      <c r="Q355" s="40"/>
      <c r="R355" s="40"/>
      <c r="S355" s="40"/>
      <c r="T355" s="41"/>
      <c r="U355" s="41"/>
      <c r="V355" s="41"/>
      <c r="W355" s="36"/>
      <c r="X355" s="36"/>
      <c r="Y355" s="36"/>
      <c r="Z355" s="36"/>
      <c r="AA355" s="36"/>
    </row>
    <row r="356" spans="16:27" x14ac:dyDescent="0.2">
      <c r="P356" s="36"/>
      <c r="Q356" s="40"/>
      <c r="R356" s="40"/>
      <c r="S356" s="40"/>
      <c r="T356" s="41"/>
      <c r="U356" s="41"/>
      <c r="V356" s="41"/>
      <c r="W356" s="36"/>
      <c r="X356" s="36"/>
      <c r="Y356" s="36"/>
      <c r="Z356" s="36"/>
      <c r="AA356" s="36"/>
    </row>
    <row r="357" spans="16:27" x14ac:dyDescent="0.2">
      <c r="P357" s="36"/>
      <c r="Q357" s="40"/>
      <c r="R357" s="40"/>
      <c r="S357" s="40"/>
      <c r="T357" s="41"/>
      <c r="U357" s="41"/>
      <c r="V357" s="41"/>
      <c r="W357" s="36"/>
      <c r="X357" s="36"/>
      <c r="Y357" s="36"/>
      <c r="Z357" s="36"/>
      <c r="AA357" s="36"/>
    </row>
    <row r="358" spans="16:27" x14ac:dyDescent="0.2">
      <c r="P358" s="36"/>
      <c r="Q358" s="40"/>
      <c r="R358" s="40"/>
      <c r="S358" s="40"/>
      <c r="T358" s="41"/>
      <c r="U358" s="41"/>
      <c r="V358" s="41"/>
      <c r="W358" s="36"/>
      <c r="X358" s="36"/>
      <c r="Y358" s="36"/>
      <c r="Z358" s="36"/>
      <c r="AA358" s="36"/>
    </row>
    <row r="359" spans="16:27" x14ac:dyDescent="0.2">
      <c r="P359" s="36"/>
      <c r="Q359" s="40"/>
      <c r="R359" s="40"/>
      <c r="S359" s="40"/>
      <c r="T359" s="41"/>
      <c r="U359" s="41"/>
      <c r="V359" s="41"/>
      <c r="W359" s="36"/>
      <c r="X359" s="36"/>
      <c r="Y359" s="36"/>
      <c r="Z359" s="36"/>
      <c r="AA359" s="36"/>
    </row>
    <row r="360" spans="16:27" x14ac:dyDescent="0.2">
      <c r="P360" s="36"/>
      <c r="Q360" s="40"/>
      <c r="R360" s="40"/>
      <c r="S360" s="40"/>
      <c r="T360" s="41"/>
      <c r="U360" s="41"/>
      <c r="V360" s="41"/>
      <c r="W360" s="36"/>
      <c r="X360" s="36"/>
      <c r="Y360" s="36"/>
      <c r="Z360" s="36"/>
      <c r="AA360" s="36"/>
    </row>
    <row r="361" spans="16:27" x14ac:dyDescent="0.2">
      <c r="P361" s="36"/>
      <c r="Q361" s="40"/>
      <c r="R361" s="40"/>
      <c r="S361" s="40"/>
      <c r="T361" s="41"/>
      <c r="U361" s="41"/>
      <c r="V361" s="41"/>
      <c r="W361" s="36"/>
      <c r="X361" s="36"/>
      <c r="Y361" s="36"/>
      <c r="Z361" s="36"/>
      <c r="AA361" s="36"/>
    </row>
    <row r="362" spans="16:27" x14ac:dyDescent="0.2">
      <c r="P362" s="36"/>
      <c r="Q362" s="40"/>
      <c r="R362" s="40"/>
      <c r="S362" s="40"/>
      <c r="T362" s="41"/>
      <c r="U362" s="41"/>
      <c r="V362" s="41"/>
      <c r="W362" s="36"/>
      <c r="X362" s="36"/>
      <c r="Y362" s="36"/>
      <c r="Z362" s="36"/>
      <c r="AA362" s="36"/>
    </row>
    <row r="363" spans="16:27" x14ac:dyDescent="0.2">
      <c r="P363" s="36"/>
      <c r="Q363" s="40"/>
      <c r="R363" s="40"/>
      <c r="S363" s="40"/>
      <c r="T363" s="41"/>
      <c r="U363" s="41"/>
      <c r="V363" s="41"/>
      <c r="W363" s="36"/>
      <c r="X363" s="36"/>
      <c r="Y363" s="36"/>
      <c r="Z363" s="36"/>
      <c r="AA363" s="36"/>
    </row>
    <row r="364" spans="16:27" x14ac:dyDescent="0.2">
      <c r="P364" s="36"/>
      <c r="Q364" s="40"/>
      <c r="R364" s="40"/>
      <c r="S364" s="40"/>
      <c r="T364" s="41"/>
      <c r="U364" s="41"/>
      <c r="V364" s="41"/>
      <c r="W364" s="36"/>
      <c r="X364" s="36"/>
      <c r="Y364" s="36"/>
      <c r="Z364" s="36"/>
      <c r="AA364" s="36"/>
    </row>
    <row r="365" spans="16:27" x14ac:dyDescent="0.2">
      <c r="P365" s="36"/>
      <c r="Q365" s="40"/>
      <c r="R365" s="40"/>
      <c r="S365" s="40"/>
      <c r="T365" s="41"/>
      <c r="U365" s="41"/>
      <c r="V365" s="41"/>
      <c r="W365" s="36"/>
      <c r="X365" s="36"/>
      <c r="Y365" s="36"/>
      <c r="Z365" s="36"/>
      <c r="AA365" s="36"/>
    </row>
    <row r="366" spans="16:27" x14ac:dyDescent="0.2">
      <c r="P366" s="36"/>
      <c r="Q366" s="40"/>
      <c r="R366" s="40"/>
      <c r="S366" s="40"/>
      <c r="T366" s="41"/>
      <c r="U366" s="41"/>
      <c r="V366" s="41"/>
      <c r="W366" s="36"/>
      <c r="X366" s="36"/>
      <c r="Y366" s="36"/>
      <c r="Z366" s="36"/>
      <c r="AA366" s="36"/>
    </row>
    <row r="367" spans="16:27" x14ac:dyDescent="0.2">
      <c r="P367" s="36"/>
      <c r="Q367" s="40"/>
      <c r="R367" s="40"/>
      <c r="S367" s="40"/>
      <c r="T367" s="41"/>
      <c r="U367" s="41"/>
      <c r="V367" s="41"/>
      <c r="W367" s="36"/>
      <c r="X367" s="36"/>
      <c r="Y367" s="36"/>
      <c r="Z367" s="36"/>
      <c r="AA367" s="36"/>
    </row>
    <row r="368" spans="16:27" x14ac:dyDescent="0.2">
      <c r="P368" s="36"/>
      <c r="Q368" s="40"/>
      <c r="R368" s="40"/>
      <c r="S368" s="40"/>
      <c r="T368" s="41"/>
      <c r="U368" s="41"/>
      <c r="V368" s="41"/>
      <c r="W368" s="36"/>
      <c r="X368" s="36"/>
      <c r="Y368" s="36"/>
      <c r="Z368" s="36"/>
      <c r="AA368" s="36"/>
    </row>
    <row r="369" spans="16:27" x14ac:dyDescent="0.2">
      <c r="P369" s="36"/>
      <c r="Q369" s="40"/>
      <c r="R369" s="40"/>
      <c r="S369" s="40"/>
      <c r="T369" s="41"/>
      <c r="U369" s="41"/>
      <c r="V369" s="41"/>
      <c r="W369" s="36"/>
      <c r="X369" s="36"/>
      <c r="Y369" s="36"/>
      <c r="Z369" s="36"/>
      <c r="AA369" s="36"/>
    </row>
    <row r="370" spans="16:27" x14ac:dyDescent="0.2">
      <c r="P370" s="36"/>
      <c r="Q370" s="40"/>
      <c r="R370" s="40"/>
      <c r="S370" s="40"/>
      <c r="T370" s="41"/>
      <c r="U370" s="41"/>
      <c r="V370" s="41"/>
      <c r="W370" s="36"/>
      <c r="X370" s="36"/>
      <c r="Y370" s="36"/>
      <c r="Z370" s="36"/>
      <c r="AA370" s="36"/>
    </row>
    <row r="371" spans="16:27" x14ac:dyDescent="0.2">
      <c r="P371" s="36"/>
      <c r="Q371" s="40"/>
      <c r="R371" s="40"/>
      <c r="S371" s="40"/>
      <c r="T371" s="41"/>
      <c r="U371" s="41"/>
      <c r="V371" s="41"/>
      <c r="W371" s="36"/>
      <c r="X371" s="36"/>
      <c r="Y371" s="36"/>
      <c r="Z371" s="36"/>
      <c r="AA371" s="36"/>
    </row>
    <row r="372" spans="16:27" x14ac:dyDescent="0.2">
      <c r="P372" s="36"/>
      <c r="Q372" s="40"/>
      <c r="R372" s="40"/>
      <c r="S372" s="40"/>
      <c r="T372" s="41"/>
      <c r="U372" s="41"/>
      <c r="V372" s="41"/>
      <c r="W372" s="36"/>
      <c r="X372" s="36"/>
      <c r="Y372" s="36"/>
      <c r="Z372" s="36"/>
      <c r="AA372" s="36"/>
    </row>
    <row r="373" spans="16:27" x14ac:dyDescent="0.2">
      <c r="P373" s="36"/>
      <c r="Q373" s="40"/>
      <c r="R373" s="40"/>
      <c r="S373" s="40"/>
      <c r="T373" s="41"/>
      <c r="U373" s="41"/>
      <c r="V373" s="41"/>
      <c r="W373" s="36"/>
      <c r="X373" s="36"/>
      <c r="Y373" s="36"/>
      <c r="Z373" s="36"/>
      <c r="AA373" s="36"/>
    </row>
    <row r="374" spans="16:27" x14ac:dyDescent="0.2">
      <c r="P374" s="36"/>
      <c r="Q374" s="40"/>
      <c r="R374" s="40"/>
      <c r="S374" s="40"/>
      <c r="T374" s="41"/>
      <c r="U374" s="41"/>
      <c r="V374" s="41"/>
      <c r="W374" s="36"/>
      <c r="X374" s="36"/>
      <c r="Y374" s="36"/>
      <c r="Z374" s="36"/>
      <c r="AA374" s="36"/>
    </row>
    <row r="375" spans="16:27" x14ac:dyDescent="0.2">
      <c r="P375" s="36"/>
      <c r="Q375" s="40"/>
      <c r="R375" s="40"/>
      <c r="S375" s="40"/>
      <c r="T375" s="41"/>
      <c r="U375" s="41"/>
      <c r="V375" s="41"/>
      <c r="W375" s="36"/>
      <c r="X375" s="36"/>
      <c r="Y375" s="36"/>
      <c r="Z375" s="36"/>
      <c r="AA375" s="36"/>
    </row>
    <row r="376" spans="16:27" x14ac:dyDescent="0.2">
      <c r="P376" s="36"/>
      <c r="Q376" s="40"/>
      <c r="R376" s="40"/>
      <c r="S376" s="40"/>
      <c r="T376" s="41"/>
      <c r="U376" s="41"/>
      <c r="V376" s="41"/>
      <c r="W376" s="36"/>
      <c r="X376" s="36"/>
      <c r="Y376" s="36"/>
      <c r="Z376" s="36"/>
      <c r="AA376" s="36"/>
    </row>
    <row r="377" spans="16:27" x14ac:dyDescent="0.2">
      <c r="P377" s="36"/>
      <c r="Q377" s="40"/>
      <c r="R377" s="40"/>
      <c r="S377" s="40"/>
      <c r="T377" s="41"/>
      <c r="U377" s="41"/>
      <c r="V377" s="41"/>
      <c r="W377" s="36"/>
      <c r="X377" s="36"/>
      <c r="Y377" s="36"/>
      <c r="Z377" s="36"/>
      <c r="AA377" s="36"/>
    </row>
    <row r="378" spans="16:27" x14ac:dyDescent="0.2">
      <c r="P378" s="36"/>
      <c r="Q378" s="40"/>
      <c r="R378" s="40"/>
      <c r="S378" s="40"/>
      <c r="T378" s="41"/>
      <c r="U378" s="41"/>
      <c r="V378" s="41"/>
      <c r="W378" s="36"/>
      <c r="X378" s="36"/>
      <c r="Y378" s="36"/>
      <c r="Z378" s="36"/>
      <c r="AA378" s="36"/>
    </row>
    <row r="379" spans="16:27" x14ac:dyDescent="0.2">
      <c r="P379" s="36"/>
      <c r="Q379" s="40"/>
      <c r="R379" s="40"/>
      <c r="S379" s="40"/>
      <c r="T379" s="41"/>
      <c r="U379" s="41"/>
      <c r="V379" s="41"/>
      <c r="W379" s="36"/>
      <c r="X379" s="36"/>
      <c r="Y379" s="36"/>
      <c r="Z379" s="36"/>
      <c r="AA379" s="36"/>
    </row>
    <row r="380" spans="16:27" x14ac:dyDescent="0.2">
      <c r="P380" s="36"/>
      <c r="Q380" s="40"/>
      <c r="R380" s="40"/>
      <c r="S380" s="40"/>
      <c r="T380" s="41"/>
      <c r="U380" s="41"/>
      <c r="V380" s="41"/>
      <c r="W380" s="36"/>
      <c r="X380" s="36"/>
      <c r="Y380" s="36"/>
      <c r="Z380" s="36"/>
      <c r="AA380" s="36"/>
    </row>
    <row r="381" spans="16:27" x14ac:dyDescent="0.2">
      <c r="P381" s="36"/>
      <c r="Q381" s="40"/>
      <c r="R381" s="40"/>
      <c r="S381" s="40"/>
      <c r="T381" s="41"/>
      <c r="U381" s="41"/>
      <c r="V381" s="41"/>
      <c r="W381" s="36"/>
      <c r="X381" s="36"/>
      <c r="Y381" s="36"/>
      <c r="Z381" s="36"/>
      <c r="AA381" s="36"/>
    </row>
    <row r="382" spans="16:27" x14ac:dyDescent="0.2">
      <c r="P382" s="36"/>
      <c r="Q382" s="40"/>
      <c r="R382" s="40"/>
      <c r="S382" s="40"/>
      <c r="T382" s="41"/>
      <c r="U382" s="41"/>
      <c r="V382" s="41"/>
      <c r="W382" s="36"/>
      <c r="X382" s="36"/>
      <c r="Y382" s="36"/>
      <c r="Z382" s="36"/>
      <c r="AA382" s="36"/>
    </row>
    <row r="383" spans="16:27" x14ac:dyDescent="0.2">
      <c r="P383" s="36"/>
      <c r="Q383" s="40"/>
      <c r="R383" s="40"/>
      <c r="S383" s="40"/>
      <c r="T383" s="41"/>
      <c r="U383" s="41"/>
      <c r="V383" s="41"/>
      <c r="W383" s="36"/>
      <c r="X383" s="36"/>
      <c r="Y383" s="36"/>
      <c r="Z383" s="36"/>
      <c r="AA383" s="36"/>
    </row>
    <row r="384" spans="16:27" x14ac:dyDescent="0.2">
      <c r="P384" s="36"/>
      <c r="Q384" s="40"/>
      <c r="R384" s="40"/>
      <c r="S384" s="40"/>
      <c r="T384" s="41"/>
      <c r="U384" s="41"/>
      <c r="V384" s="41"/>
      <c r="W384" s="36"/>
      <c r="X384" s="36"/>
      <c r="Y384" s="36"/>
      <c r="Z384" s="36"/>
      <c r="AA384" s="36"/>
    </row>
    <row r="385" spans="16:27" x14ac:dyDescent="0.2">
      <c r="P385" s="36"/>
      <c r="Q385" s="40"/>
      <c r="R385" s="40"/>
      <c r="S385" s="40"/>
      <c r="T385" s="41"/>
      <c r="U385" s="41"/>
      <c r="V385" s="41"/>
      <c r="W385" s="36"/>
      <c r="X385" s="36"/>
      <c r="Y385" s="36"/>
      <c r="Z385" s="36"/>
      <c r="AA385" s="36"/>
    </row>
    <row r="386" spans="16:27" x14ac:dyDescent="0.2">
      <c r="P386" s="36"/>
      <c r="Q386" s="40"/>
      <c r="R386" s="40"/>
      <c r="S386" s="40"/>
      <c r="T386" s="41"/>
      <c r="U386" s="41"/>
      <c r="V386" s="41"/>
      <c r="W386" s="36"/>
      <c r="X386" s="36"/>
      <c r="Y386" s="36"/>
      <c r="Z386" s="36"/>
      <c r="AA386" s="36"/>
    </row>
    <row r="387" spans="16:27" x14ac:dyDescent="0.2">
      <c r="P387" s="36"/>
      <c r="Q387" s="40"/>
      <c r="R387" s="40"/>
      <c r="S387" s="40"/>
      <c r="T387" s="41"/>
      <c r="U387" s="41"/>
      <c r="V387" s="41"/>
      <c r="W387" s="36"/>
      <c r="X387" s="36"/>
      <c r="Y387" s="36"/>
      <c r="Z387" s="36"/>
      <c r="AA387" s="36"/>
    </row>
    <row r="388" spans="16:27" x14ac:dyDescent="0.2">
      <c r="P388" s="36"/>
      <c r="Q388" s="40"/>
      <c r="R388" s="40"/>
      <c r="S388" s="40"/>
      <c r="T388" s="41"/>
      <c r="U388" s="41"/>
      <c r="V388" s="41"/>
      <c r="W388" s="36"/>
      <c r="X388" s="36"/>
      <c r="Y388" s="36"/>
      <c r="Z388" s="36"/>
      <c r="AA388" s="36"/>
    </row>
    <row r="389" spans="16:27" x14ac:dyDescent="0.2">
      <c r="P389" s="36"/>
      <c r="Q389" s="40"/>
      <c r="R389" s="40"/>
      <c r="S389" s="40"/>
      <c r="T389" s="41"/>
      <c r="U389" s="41"/>
      <c r="V389" s="41"/>
      <c r="W389" s="36"/>
      <c r="X389" s="36"/>
      <c r="Y389" s="36"/>
      <c r="Z389" s="36"/>
      <c r="AA389" s="36"/>
    </row>
    <row r="390" spans="16:27" x14ac:dyDescent="0.2">
      <c r="P390" s="36"/>
      <c r="Q390" s="40"/>
      <c r="R390" s="40"/>
      <c r="S390" s="40"/>
      <c r="T390" s="41"/>
      <c r="U390" s="41"/>
      <c r="V390" s="41"/>
      <c r="W390" s="36"/>
      <c r="X390" s="36"/>
      <c r="Y390" s="36"/>
      <c r="Z390" s="36"/>
      <c r="AA390" s="36"/>
    </row>
    <row r="391" spans="16:27" x14ac:dyDescent="0.2">
      <c r="P391" s="36"/>
      <c r="Q391" s="40"/>
      <c r="R391" s="40"/>
      <c r="S391" s="40"/>
      <c r="T391" s="41"/>
      <c r="U391" s="41"/>
      <c r="V391" s="41"/>
      <c r="W391" s="36"/>
      <c r="X391" s="36"/>
      <c r="Y391" s="36"/>
      <c r="Z391" s="36"/>
      <c r="AA391" s="36"/>
    </row>
    <row r="392" spans="16:27" x14ac:dyDescent="0.2">
      <c r="P392" s="36"/>
      <c r="Q392" s="40"/>
      <c r="R392" s="40"/>
      <c r="S392" s="40"/>
      <c r="T392" s="41"/>
      <c r="U392" s="41"/>
      <c r="V392" s="41"/>
      <c r="W392" s="36"/>
      <c r="X392" s="36"/>
      <c r="Y392" s="36"/>
      <c r="Z392" s="36"/>
      <c r="AA392" s="36"/>
    </row>
    <row r="393" spans="16:27" x14ac:dyDescent="0.2">
      <c r="P393" s="36"/>
      <c r="Q393" s="40"/>
      <c r="R393" s="40"/>
      <c r="S393" s="40"/>
      <c r="T393" s="41"/>
      <c r="U393" s="41"/>
      <c r="V393" s="41"/>
      <c r="W393" s="36"/>
      <c r="X393" s="36"/>
      <c r="Y393" s="36"/>
      <c r="Z393" s="36"/>
      <c r="AA393" s="36"/>
    </row>
    <row r="394" spans="16:27" x14ac:dyDescent="0.2">
      <c r="P394" s="36"/>
      <c r="Q394" s="40"/>
      <c r="R394" s="40"/>
      <c r="S394" s="40"/>
      <c r="T394" s="41"/>
      <c r="U394" s="41"/>
      <c r="V394" s="41"/>
      <c r="W394" s="36"/>
      <c r="X394" s="36"/>
      <c r="Y394" s="36"/>
      <c r="Z394" s="36"/>
      <c r="AA394" s="36"/>
    </row>
    <row r="395" spans="16:27" x14ac:dyDescent="0.2">
      <c r="P395" s="36"/>
      <c r="Q395" s="40"/>
      <c r="R395" s="40"/>
      <c r="S395" s="40"/>
      <c r="T395" s="41"/>
      <c r="U395" s="41"/>
      <c r="V395" s="41"/>
      <c r="W395" s="36"/>
      <c r="X395" s="36"/>
      <c r="Y395" s="36"/>
      <c r="Z395" s="36"/>
      <c r="AA395" s="36"/>
    </row>
    <row r="396" spans="16:27" x14ac:dyDescent="0.2">
      <c r="P396" s="36"/>
      <c r="Q396" s="40"/>
      <c r="R396" s="40"/>
      <c r="S396" s="40"/>
      <c r="T396" s="41"/>
      <c r="U396" s="41"/>
      <c r="V396" s="41"/>
      <c r="W396" s="36"/>
      <c r="X396" s="36"/>
      <c r="Y396" s="36"/>
      <c r="Z396" s="36"/>
      <c r="AA396" s="36"/>
    </row>
    <row r="397" spans="16:27" x14ac:dyDescent="0.2">
      <c r="P397" s="36"/>
      <c r="Q397" s="40"/>
      <c r="R397" s="40"/>
      <c r="S397" s="40"/>
      <c r="T397" s="41"/>
      <c r="U397" s="41"/>
      <c r="V397" s="41"/>
      <c r="W397" s="36"/>
      <c r="X397" s="36"/>
      <c r="Y397" s="36"/>
      <c r="Z397" s="36"/>
      <c r="AA397" s="36"/>
    </row>
    <row r="398" spans="16:27" x14ac:dyDescent="0.2">
      <c r="P398" s="36"/>
      <c r="Q398" s="40"/>
      <c r="R398" s="40"/>
      <c r="S398" s="40"/>
      <c r="T398" s="41"/>
      <c r="U398" s="41"/>
      <c r="V398" s="41"/>
      <c r="W398" s="36"/>
      <c r="X398" s="36"/>
      <c r="Y398" s="36"/>
      <c r="Z398" s="36"/>
      <c r="AA398" s="36"/>
    </row>
    <row r="399" spans="16:27" x14ac:dyDescent="0.2">
      <c r="P399" s="36"/>
      <c r="Q399" s="40"/>
      <c r="R399" s="40"/>
      <c r="S399" s="40"/>
      <c r="T399" s="41"/>
      <c r="U399" s="41"/>
      <c r="V399" s="41"/>
      <c r="W399" s="36"/>
      <c r="X399" s="36"/>
      <c r="Y399" s="36"/>
      <c r="Z399" s="36"/>
      <c r="AA399" s="36"/>
    </row>
    <row r="400" spans="16:27" x14ac:dyDescent="0.2">
      <c r="P400" s="36"/>
      <c r="Q400" s="40"/>
      <c r="R400" s="40"/>
      <c r="S400" s="40"/>
      <c r="T400" s="41"/>
      <c r="U400" s="41"/>
      <c r="V400" s="41"/>
      <c r="W400" s="36"/>
      <c r="X400" s="36"/>
      <c r="Y400" s="36"/>
      <c r="Z400" s="36"/>
      <c r="AA400" s="36"/>
    </row>
    <row r="401" spans="16:27" x14ac:dyDescent="0.2">
      <c r="P401" s="36"/>
      <c r="Q401" s="40"/>
      <c r="R401" s="40"/>
      <c r="S401" s="40"/>
      <c r="T401" s="41"/>
      <c r="U401" s="41"/>
      <c r="V401" s="41"/>
      <c r="W401" s="36"/>
      <c r="X401" s="36"/>
      <c r="Y401" s="36"/>
      <c r="Z401" s="36"/>
      <c r="AA401" s="36"/>
    </row>
    <row r="402" spans="16:27" x14ac:dyDescent="0.2">
      <c r="P402" s="36"/>
      <c r="Q402" s="40"/>
      <c r="R402" s="40"/>
      <c r="S402" s="40"/>
      <c r="T402" s="41"/>
      <c r="U402" s="41"/>
      <c r="V402" s="41"/>
      <c r="W402" s="36"/>
      <c r="X402" s="36"/>
      <c r="Y402" s="36"/>
      <c r="Z402" s="36"/>
      <c r="AA402" s="36"/>
    </row>
    <row r="403" spans="16:27" x14ac:dyDescent="0.2">
      <c r="P403" s="36"/>
      <c r="Q403" s="40"/>
      <c r="R403" s="40"/>
      <c r="S403" s="40"/>
      <c r="T403" s="41"/>
      <c r="U403" s="41"/>
      <c r="V403" s="41"/>
      <c r="W403" s="36"/>
      <c r="X403" s="36"/>
      <c r="Y403" s="36"/>
      <c r="Z403" s="36"/>
      <c r="AA403" s="36"/>
    </row>
    <row r="404" spans="16:27" x14ac:dyDescent="0.2">
      <c r="P404" s="36"/>
      <c r="Q404" s="40"/>
      <c r="R404" s="40"/>
      <c r="S404" s="40"/>
      <c r="T404" s="41"/>
      <c r="U404" s="41"/>
      <c r="V404" s="41"/>
      <c r="W404" s="36"/>
      <c r="X404" s="36"/>
      <c r="Y404" s="36"/>
      <c r="Z404" s="36"/>
      <c r="AA404" s="36"/>
    </row>
    <row r="405" spans="16:27" x14ac:dyDescent="0.2">
      <c r="P405" s="36"/>
      <c r="Q405" s="40"/>
      <c r="R405" s="40"/>
      <c r="S405" s="40"/>
      <c r="T405" s="41"/>
      <c r="U405" s="41"/>
      <c r="V405" s="41"/>
      <c r="W405" s="36"/>
      <c r="X405" s="36"/>
      <c r="Y405" s="36"/>
      <c r="Z405" s="36"/>
      <c r="AA405" s="36"/>
    </row>
    <row r="406" spans="16:27" x14ac:dyDescent="0.2">
      <c r="P406" s="36"/>
      <c r="Q406" s="40"/>
      <c r="R406" s="40"/>
      <c r="S406" s="40"/>
      <c r="T406" s="41"/>
      <c r="U406" s="41"/>
      <c r="V406" s="41"/>
      <c r="W406" s="36"/>
      <c r="X406" s="36"/>
      <c r="Y406" s="36"/>
      <c r="Z406" s="36"/>
      <c r="AA406" s="36"/>
    </row>
    <row r="407" spans="16:27" x14ac:dyDescent="0.2">
      <c r="P407" s="36"/>
      <c r="Q407" s="40"/>
      <c r="R407" s="40"/>
      <c r="S407" s="40"/>
      <c r="T407" s="41"/>
      <c r="U407" s="41"/>
      <c r="V407" s="41"/>
      <c r="W407" s="36"/>
      <c r="X407" s="36"/>
      <c r="Y407" s="36"/>
      <c r="Z407" s="36"/>
      <c r="AA407" s="36"/>
    </row>
    <row r="408" spans="16:27" x14ac:dyDescent="0.2">
      <c r="P408" s="36"/>
      <c r="Q408" s="40"/>
      <c r="R408" s="40"/>
      <c r="S408" s="40"/>
      <c r="T408" s="41"/>
      <c r="U408" s="41"/>
      <c r="V408" s="41"/>
      <c r="W408" s="36"/>
      <c r="X408" s="36"/>
      <c r="Y408" s="36"/>
      <c r="Z408" s="36"/>
      <c r="AA408" s="36"/>
    </row>
    <row r="409" spans="16:27" x14ac:dyDescent="0.2">
      <c r="P409" s="36"/>
      <c r="Q409" s="40"/>
      <c r="R409" s="40"/>
      <c r="S409" s="40"/>
      <c r="T409" s="41"/>
      <c r="U409" s="41"/>
      <c r="V409" s="41"/>
      <c r="W409" s="36"/>
      <c r="X409" s="36"/>
      <c r="Y409" s="36"/>
      <c r="Z409" s="36"/>
      <c r="AA409" s="36"/>
    </row>
    <row r="410" spans="16:27" x14ac:dyDescent="0.2">
      <c r="P410" s="36"/>
      <c r="Q410" s="40"/>
      <c r="R410" s="40"/>
      <c r="S410" s="40"/>
      <c r="T410" s="41"/>
      <c r="U410" s="41"/>
      <c r="V410" s="41"/>
      <c r="W410" s="36"/>
      <c r="X410" s="36"/>
      <c r="Y410" s="36"/>
      <c r="Z410" s="36"/>
      <c r="AA410" s="36"/>
    </row>
    <row r="411" spans="16:27" x14ac:dyDescent="0.2">
      <c r="P411" s="36"/>
      <c r="Q411" s="40"/>
      <c r="R411" s="40"/>
      <c r="S411" s="40"/>
      <c r="T411" s="41"/>
      <c r="U411" s="41"/>
      <c r="V411" s="41"/>
      <c r="W411" s="36"/>
      <c r="X411" s="36"/>
      <c r="Y411" s="36"/>
      <c r="Z411" s="36"/>
      <c r="AA411" s="36"/>
    </row>
    <row r="412" spans="16:27" x14ac:dyDescent="0.2">
      <c r="P412" s="36"/>
      <c r="Q412" s="40"/>
      <c r="R412" s="40"/>
      <c r="S412" s="40"/>
      <c r="T412" s="41"/>
      <c r="U412" s="41"/>
      <c r="V412" s="41"/>
      <c r="W412" s="36"/>
      <c r="X412" s="36"/>
      <c r="Y412" s="36"/>
      <c r="Z412" s="36"/>
      <c r="AA412" s="36"/>
    </row>
    <row r="413" spans="16:27" x14ac:dyDescent="0.2">
      <c r="P413" s="36"/>
      <c r="Q413" s="40"/>
      <c r="R413" s="40"/>
      <c r="S413" s="40"/>
      <c r="T413" s="41"/>
      <c r="U413" s="41"/>
      <c r="V413" s="41"/>
      <c r="W413" s="36"/>
      <c r="X413" s="36"/>
      <c r="Y413" s="36"/>
      <c r="Z413" s="36"/>
      <c r="AA413" s="36"/>
    </row>
    <row r="414" spans="16:27" x14ac:dyDescent="0.2">
      <c r="P414" s="36"/>
      <c r="Q414" s="40"/>
      <c r="R414" s="40"/>
      <c r="S414" s="40"/>
      <c r="T414" s="41"/>
      <c r="U414" s="41"/>
      <c r="V414" s="41"/>
      <c r="W414" s="36"/>
      <c r="X414" s="36"/>
      <c r="Y414" s="36"/>
      <c r="Z414" s="36"/>
      <c r="AA414" s="36"/>
    </row>
    <row r="415" spans="16:27" x14ac:dyDescent="0.2">
      <c r="P415" s="36"/>
      <c r="Q415" s="40"/>
      <c r="R415" s="40"/>
      <c r="S415" s="40"/>
      <c r="T415" s="41"/>
      <c r="U415" s="41"/>
      <c r="V415" s="41"/>
      <c r="W415" s="36"/>
      <c r="X415" s="36"/>
      <c r="Y415" s="36"/>
      <c r="Z415" s="36"/>
      <c r="AA415" s="36"/>
    </row>
    <row r="416" spans="16:27" x14ac:dyDescent="0.2">
      <c r="P416" s="36"/>
      <c r="Q416" s="40"/>
      <c r="R416" s="40"/>
      <c r="S416" s="40"/>
      <c r="T416" s="41"/>
      <c r="U416" s="41"/>
      <c r="V416" s="41"/>
      <c r="W416" s="36"/>
      <c r="X416" s="36"/>
      <c r="Y416" s="36"/>
      <c r="Z416" s="36"/>
      <c r="AA416" s="36"/>
    </row>
    <row r="417" spans="16:27" x14ac:dyDescent="0.2">
      <c r="P417" s="36"/>
      <c r="Q417" s="40"/>
      <c r="R417" s="40"/>
      <c r="S417" s="40"/>
      <c r="T417" s="41"/>
      <c r="U417" s="41"/>
      <c r="V417" s="41"/>
      <c r="W417" s="36"/>
      <c r="X417" s="36"/>
      <c r="Y417" s="36"/>
      <c r="Z417" s="36"/>
      <c r="AA417" s="36"/>
    </row>
    <row r="418" spans="16:27" x14ac:dyDescent="0.2">
      <c r="P418" s="36"/>
      <c r="Q418" s="40"/>
      <c r="R418" s="40"/>
      <c r="S418" s="40"/>
      <c r="T418" s="41"/>
      <c r="U418" s="41"/>
      <c r="V418" s="41"/>
      <c r="W418" s="36"/>
      <c r="X418" s="36"/>
      <c r="Y418" s="36"/>
      <c r="Z418" s="36"/>
      <c r="AA418" s="36"/>
    </row>
    <row r="419" spans="16:27" x14ac:dyDescent="0.2">
      <c r="P419" s="36"/>
      <c r="Q419" s="40"/>
      <c r="R419" s="40"/>
      <c r="S419" s="40"/>
      <c r="T419" s="41"/>
      <c r="U419" s="41"/>
      <c r="V419" s="41"/>
      <c r="W419" s="36"/>
      <c r="X419" s="36"/>
      <c r="Y419" s="36"/>
      <c r="Z419" s="36"/>
      <c r="AA419" s="36"/>
    </row>
    <row r="420" spans="16:27" x14ac:dyDescent="0.2">
      <c r="P420" s="36"/>
      <c r="Q420" s="40"/>
      <c r="R420" s="40"/>
      <c r="S420" s="40"/>
      <c r="T420" s="41"/>
      <c r="U420" s="41"/>
      <c r="V420" s="41"/>
      <c r="W420" s="36"/>
      <c r="X420" s="36"/>
      <c r="Y420" s="36"/>
      <c r="Z420" s="36"/>
      <c r="AA420" s="36"/>
    </row>
    <row r="421" spans="16:27" x14ac:dyDescent="0.2">
      <c r="P421" s="36"/>
      <c r="Q421" s="40"/>
      <c r="R421" s="40"/>
      <c r="S421" s="40"/>
      <c r="T421" s="41"/>
      <c r="U421" s="41"/>
      <c r="V421" s="41"/>
      <c r="W421" s="36"/>
      <c r="X421" s="36"/>
      <c r="Y421" s="36"/>
      <c r="Z421" s="36"/>
      <c r="AA421" s="36"/>
    </row>
    <row r="422" spans="16:27" x14ac:dyDescent="0.2">
      <c r="P422" s="36"/>
      <c r="Q422" s="40"/>
      <c r="R422" s="40"/>
      <c r="S422" s="40"/>
      <c r="T422" s="41"/>
      <c r="U422" s="41"/>
      <c r="V422" s="41"/>
      <c r="W422" s="36"/>
      <c r="X422" s="36"/>
      <c r="Y422" s="36"/>
      <c r="Z422" s="36"/>
      <c r="AA422" s="36"/>
    </row>
    <row r="423" spans="16:27" x14ac:dyDescent="0.2">
      <c r="P423" s="36"/>
      <c r="Q423" s="40"/>
      <c r="R423" s="40"/>
      <c r="S423" s="40"/>
      <c r="T423" s="41"/>
      <c r="U423" s="41"/>
      <c r="V423" s="41"/>
      <c r="W423" s="36"/>
      <c r="X423" s="36"/>
      <c r="Y423" s="36"/>
      <c r="Z423" s="36"/>
      <c r="AA423" s="36"/>
    </row>
    <row r="424" spans="16:27" x14ac:dyDescent="0.2">
      <c r="P424" s="36"/>
      <c r="Q424" s="40"/>
      <c r="R424" s="40"/>
      <c r="S424" s="40"/>
      <c r="T424" s="41"/>
      <c r="U424" s="41"/>
      <c r="V424" s="41"/>
      <c r="W424" s="36"/>
      <c r="X424" s="36"/>
      <c r="Y424" s="36"/>
      <c r="Z424" s="36"/>
      <c r="AA424" s="36"/>
    </row>
    <row r="425" spans="16:27" x14ac:dyDescent="0.2">
      <c r="P425" s="36"/>
      <c r="Q425" s="40"/>
      <c r="R425" s="40"/>
      <c r="S425" s="40"/>
      <c r="T425" s="41"/>
      <c r="U425" s="41"/>
      <c r="V425" s="41"/>
      <c r="W425" s="36"/>
      <c r="X425" s="36"/>
      <c r="Y425" s="36"/>
      <c r="Z425" s="36"/>
      <c r="AA425" s="36"/>
    </row>
    <row r="426" spans="16:27" x14ac:dyDescent="0.2">
      <c r="P426" s="36"/>
      <c r="Q426" s="40"/>
      <c r="R426" s="40"/>
      <c r="S426" s="40"/>
      <c r="T426" s="41"/>
      <c r="U426" s="41"/>
      <c r="V426" s="41"/>
      <c r="W426" s="36"/>
      <c r="X426" s="36"/>
      <c r="Y426" s="36"/>
      <c r="Z426" s="36"/>
      <c r="AA426" s="36"/>
    </row>
    <row r="427" spans="16:27" x14ac:dyDescent="0.2">
      <c r="P427" s="36"/>
      <c r="Q427" s="40"/>
      <c r="R427" s="40"/>
      <c r="S427" s="40"/>
      <c r="T427" s="41"/>
      <c r="U427" s="41"/>
      <c r="V427" s="41"/>
      <c r="W427" s="36"/>
      <c r="X427" s="36"/>
      <c r="Y427" s="36"/>
      <c r="Z427" s="36"/>
      <c r="AA427" s="36"/>
    </row>
    <row r="428" spans="16:27" x14ac:dyDescent="0.2">
      <c r="P428" s="36"/>
      <c r="Q428" s="40"/>
      <c r="R428" s="40"/>
      <c r="S428" s="40"/>
      <c r="T428" s="41"/>
      <c r="U428" s="41"/>
      <c r="V428" s="41"/>
      <c r="W428" s="36"/>
      <c r="X428" s="36"/>
      <c r="Y428" s="36"/>
      <c r="Z428" s="36"/>
      <c r="AA428" s="36"/>
    </row>
    <row r="429" spans="16:27" x14ac:dyDescent="0.2">
      <c r="P429" s="36"/>
      <c r="Q429" s="40"/>
      <c r="R429" s="40"/>
      <c r="S429" s="40"/>
      <c r="T429" s="41"/>
      <c r="U429" s="41"/>
      <c r="V429" s="41"/>
      <c r="W429" s="36"/>
      <c r="X429" s="36"/>
      <c r="Y429" s="36"/>
      <c r="Z429" s="36"/>
      <c r="AA429" s="36"/>
    </row>
    <row r="430" spans="16:27" x14ac:dyDescent="0.2">
      <c r="P430" s="36"/>
      <c r="Q430" s="40"/>
      <c r="R430" s="40"/>
      <c r="S430" s="40"/>
      <c r="T430" s="41"/>
      <c r="U430" s="41"/>
      <c r="V430" s="41"/>
      <c r="W430" s="36"/>
      <c r="X430" s="36"/>
      <c r="Y430" s="36"/>
      <c r="Z430" s="36"/>
      <c r="AA430" s="36"/>
    </row>
    <row r="431" spans="16:27" x14ac:dyDescent="0.2">
      <c r="P431" s="36"/>
      <c r="Q431" s="40"/>
      <c r="R431" s="40"/>
      <c r="S431" s="40"/>
      <c r="T431" s="41"/>
      <c r="U431" s="41"/>
      <c r="V431" s="41"/>
      <c r="W431" s="36"/>
      <c r="X431" s="36"/>
      <c r="Y431" s="36"/>
      <c r="Z431" s="36"/>
      <c r="AA431" s="36"/>
    </row>
    <row r="432" spans="16:27" x14ac:dyDescent="0.2">
      <c r="P432" s="36"/>
      <c r="Q432" s="40"/>
      <c r="R432" s="40"/>
      <c r="S432" s="40"/>
      <c r="T432" s="41"/>
      <c r="U432" s="41"/>
      <c r="V432" s="41"/>
      <c r="W432" s="36"/>
      <c r="X432" s="36"/>
      <c r="Y432" s="36"/>
      <c r="Z432" s="36"/>
      <c r="AA432" s="36"/>
    </row>
    <row r="433" spans="16:27" x14ac:dyDescent="0.2">
      <c r="P433" s="36"/>
      <c r="Q433" s="40"/>
      <c r="R433" s="40"/>
      <c r="S433" s="40"/>
      <c r="T433" s="41"/>
      <c r="U433" s="41"/>
      <c r="V433" s="41"/>
      <c r="W433" s="36"/>
      <c r="X433" s="36"/>
      <c r="Y433" s="36"/>
      <c r="Z433" s="36"/>
      <c r="AA433" s="36"/>
    </row>
    <row r="434" spans="16:27" x14ac:dyDescent="0.2">
      <c r="P434" s="36"/>
      <c r="Q434" s="40"/>
      <c r="R434" s="40"/>
      <c r="S434" s="40"/>
      <c r="T434" s="41"/>
      <c r="U434" s="41"/>
      <c r="V434" s="41"/>
      <c r="W434" s="36"/>
      <c r="X434" s="36"/>
      <c r="Y434" s="36"/>
      <c r="Z434" s="36"/>
      <c r="AA434" s="36"/>
    </row>
    <row r="435" spans="16:27" x14ac:dyDescent="0.2">
      <c r="P435" s="36"/>
      <c r="Q435" s="40"/>
      <c r="R435" s="40"/>
      <c r="S435" s="40"/>
      <c r="T435" s="41"/>
      <c r="U435" s="41"/>
      <c r="V435" s="41"/>
      <c r="W435" s="36"/>
      <c r="X435" s="36"/>
      <c r="Y435" s="36"/>
      <c r="Z435" s="36"/>
      <c r="AA435" s="36"/>
    </row>
    <row r="436" spans="16:27" x14ac:dyDescent="0.2">
      <c r="P436" s="36"/>
      <c r="Q436" s="40"/>
      <c r="R436" s="40"/>
      <c r="S436" s="40"/>
      <c r="T436" s="41"/>
      <c r="U436" s="41"/>
      <c r="V436" s="41"/>
      <c r="W436" s="36"/>
      <c r="X436" s="36"/>
      <c r="Y436" s="36"/>
      <c r="Z436" s="36"/>
      <c r="AA436" s="36"/>
    </row>
    <row r="437" spans="16:27" x14ac:dyDescent="0.2">
      <c r="P437" s="36"/>
      <c r="Q437" s="40"/>
      <c r="R437" s="40"/>
      <c r="S437" s="40"/>
      <c r="T437" s="41"/>
      <c r="U437" s="41"/>
      <c r="V437" s="41"/>
      <c r="W437" s="36"/>
      <c r="X437" s="36"/>
      <c r="Y437" s="36"/>
      <c r="Z437" s="36"/>
      <c r="AA437" s="36"/>
    </row>
    <row r="438" spans="16:27" x14ac:dyDescent="0.2">
      <c r="P438" s="36"/>
      <c r="Q438" s="40"/>
      <c r="R438" s="40"/>
      <c r="S438" s="40"/>
      <c r="T438" s="41"/>
      <c r="U438" s="41"/>
      <c r="V438" s="41"/>
      <c r="W438" s="36"/>
      <c r="X438" s="36"/>
      <c r="Y438" s="36"/>
      <c r="Z438" s="36"/>
      <c r="AA438" s="36"/>
    </row>
    <row r="439" spans="16:27" x14ac:dyDescent="0.2">
      <c r="P439" s="36"/>
      <c r="Q439" s="40"/>
      <c r="R439" s="40"/>
      <c r="S439" s="40"/>
      <c r="T439" s="41"/>
      <c r="U439" s="41"/>
      <c r="V439" s="41"/>
      <c r="W439" s="36"/>
      <c r="X439" s="36"/>
      <c r="Y439" s="36"/>
      <c r="Z439" s="36"/>
      <c r="AA439" s="36"/>
    </row>
    <row r="440" spans="16:27" x14ac:dyDescent="0.2">
      <c r="P440" s="36"/>
      <c r="Q440" s="40"/>
      <c r="R440" s="40"/>
      <c r="S440" s="40"/>
      <c r="T440" s="41"/>
      <c r="U440" s="41"/>
      <c r="V440" s="41"/>
      <c r="W440" s="36"/>
      <c r="X440" s="36"/>
      <c r="Y440" s="36"/>
      <c r="Z440" s="36"/>
      <c r="AA440" s="36"/>
    </row>
    <row r="441" spans="16:27" x14ac:dyDescent="0.2">
      <c r="P441" s="36"/>
      <c r="Q441" s="40"/>
      <c r="R441" s="40"/>
      <c r="S441" s="40"/>
      <c r="T441" s="41"/>
      <c r="U441" s="41"/>
      <c r="V441" s="41"/>
      <c r="W441" s="36"/>
      <c r="X441" s="36"/>
      <c r="Y441" s="36"/>
      <c r="Z441" s="36"/>
      <c r="AA441" s="36"/>
    </row>
    <row r="442" spans="16:27" x14ac:dyDescent="0.2">
      <c r="P442" s="36"/>
      <c r="Q442" s="40"/>
      <c r="R442" s="40"/>
      <c r="S442" s="40"/>
      <c r="T442" s="41"/>
      <c r="U442" s="41"/>
      <c r="V442" s="41"/>
      <c r="W442" s="36"/>
      <c r="X442" s="36"/>
      <c r="Y442" s="36"/>
      <c r="Z442" s="36"/>
      <c r="AA442" s="36"/>
    </row>
    <row r="443" spans="16:27" x14ac:dyDescent="0.2">
      <c r="P443" s="36"/>
      <c r="Q443" s="40"/>
      <c r="R443" s="40"/>
      <c r="S443" s="40"/>
      <c r="T443" s="41"/>
      <c r="U443" s="41"/>
      <c r="V443" s="41"/>
      <c r="W443" s="36"/>
      <c r="X443" s="36"/>
      <c r="Y443" s="36"/>
      <c r="Z443" s="36"/>
      <c r="AA443" s="36"/>
    </row>
    <row r="444" spans="16:27" x14ac:dyDescent="0.2">
      <c r="P444" s="36"/>
      <c r="Q444" s="40"/>
      <c r="R444" s="40"/>
      <c r="S444" s="40"/>
      <c r="T444" s="41"/>
      <c r="U444" s="41"/>
      <c r="V444" s="41"/>
      <c r="W444" s="36"/>
      <c r="X444" s="36"/>
      <c r="Y444" s="36"/>
      <c r="Z444" s="36"/>
      <c r="AA444" s="36"/>
    </row>
    <row r="445" spans="16:27" x14ac:dyDescent="0.2">
      <c r="P445" s="36"/>
      <c r="Q445" s="40"/>
      <c r="R445" s="40"/>
      <c r="S445" s="40"/>
      <c r="T445" s="41"/>
      <c r="U445" s="41"/>
      <c r="V445" s="41"/>
      <c r="W445" s="36"/>
      <c r="X445" s="36"/>
      <c r="Y445" s="36"/>
      <c r="Z445" s="36"/>
      <c r="AA445" s="36"/>
    </row>
    <row r="446" spans="16:27" x14ac:dyDescent="0.2">
      <c r="P446" s="36"/>
      <c r="Q446" s="40"/>
      <c r="R446" s="40"/>
      <c r="S446" s="40"/>
      <c r="T446" s="41"/>
      <c r="U446" s="41"/>
      <c r="V446" s="41"/>
      <c r="W446" s="36"/>
      <c r="X446" s="36"/>
      <c r="Y446" s="36"/>
      <c r="Z446" s="36"/>
      <c r="AA446" s="36"/>
    </row>
    <row r="447" spans="16:27" x14ac:dyDescent="0.2">
      <c r="P447" s="36"/>
      <c r="Q447" s="40"/>
      <c r="R447" s="40"/>
      <c r="S447" s="40"/>
      <c r="T447" s="41"/>
      <c r="U447" s="41"/>
      <c r="V447" s="41"/>
      <c r="W447" s="36"/>
      <c r="X447" s="36"/>
      <c r="Y447" s="36"/>
      <c r="Z447" s="36"/>
      <c r="AA447" s="36"/>
    </row>
    <row r="448" spans="16:27" x14ac:dyDescent="0.2">
      <c r="P448" s="36"/>
      <c r="Q448" s="40"/>
      <c r="R448" s="40"/>
      <c r="S448" s="40"/>
      <c r="T448" s="41"/>
      <c r="U448" s="41"/>
      <c r="V448" s="41"/>
      <c r="W448" s="36"/>
      <c r="X448" s="36"/>
      <c r="Y448" s="36"/>
      <c r="Z448" s="36"/>
      <c r="AA448" s="36"/>
    </row>
    <row r="449" spans="16:27" x14ac:dyDescent="0.2">
      <c r="P449" s="36"/>
      <c r="Q449" s="40"/>
      <c r="R449" s="40"/>
      <c r="S449" s="40"/>
      <c r="T449" s="41"/>
      <c r="U449" s="41"/>
      <c r="V449" s="41"/>
      <c r="W449" s="36"/>
      <c r="X449" s="36"/>
      <c r="Y449" s="36"/>
      <c r="Z449" s="36"/>
      <c r="AA449" s="36"/>
    </row>
    <row r="450" spans="16:27" x14ac:dyDescent="0.2">
      <c r="P450" s="36"/>
      <c r="Q450" s="40"/>
      <c r="R450" s="40"/>
      <c r="S450" s="40"/>
      <c r="T450" s="41"/>
      <c r="U450" s="41"/>
      <c r="V450" s="41"/>
      <c r="W450" s="36"/>
      <c r="X450" s="36"/>
      <c r="Y450" s="36"/>
      <c r="Z450" s="36"/>
      <c r="AA450" s="36"/>
    </row>
    <row r="451" spans="16:27" x14ac:dyDescent="0.2">
      <c r="P451" s="36"/>
      <c r="Q451" s="40"/>
      <c r="R451" s="40"/>
      <c r="S451" s="40"/>
      <c r="T451" s="41"/>
      <c r="U451" s="41"/>
      <c r="V451" s="41"/>
      <c r="W451" s="36"/>
      <c r="X451" s="36"/>
      <c r="Y451" s="36"/>
      <c r="Z451" s="36"/>
      <c r="AA451" s="36"/>
    </row>
    <row r="452" spans="16:27" x14ac:dyDescent="0.2">
      <c r="P452" s="36"/>
      <c r="Q452" s="40"/>
      <c r="R452" s="40"/>
      <c r="S452" s="40"/>
      <c r="T452" s="41"/>
      <c r="U452" s="41"/>
      <c r="V452" s="41"/>
      <c r="W452" s="36"/>
      <c r="X452" s="36"/>
      <c r="Y452" s="36"/>
      <c r="Z452" s="36"/>
      <c r="AA452" s="36"/>
    </row>
    <row r="453" spans="16:27" x14ac:dyDescent="0.2">
      <c r="P453" s="36"/>
      <c r="Q453" s="40"/>
      <c r="R453" s="40"/>
      <c r="S453" s="40"/>
      <c r="T453" s="41"/>
      <c r="U453" s="41"/>
      <c r="V453" s="41"/>
      <c r="W453" s="36"/>
      <c r="X453" s="36"/>
      <c r="Y453" s="36"/>
      <c r="Z453" s="36"/>
      <c r="AA453" s="36"/>
    </row>
    <row r="454" spans="16:27" x14ac:dyDescent="0.2">
      <c r="P454" s="36"/>
      <c r="Q454" s="40"/>
      <c r="R454" s="40"/>
      <c r="S454" s="40"/>
      <c r="T454" s="41"/>
      <c r="U454" s="41"/>
      <c r="V454" s="41"/>
      <c r="W454" s="36"/>
      <c r="X454" s="36"/>
      <c r="Y454" s="36"/>
      <c r="Z454" s="36"/>
      <c r="AA454" s="36"/>
    </row>
    <row r="455" spans="16:27" x14ac:dyDescent="0.2">
      <c r="P455" s="36"/>
      <c r="Q455" s="40"/>
      <c r="R455" s="40"/>
      <c r="S455" s="40"/>
      <c r="T455" s="41"/>
      <c r="U455" s="41"/>
      <c r="V455" s="41"/>
      <c r="W455" s="36"/>
      <c r="X455" s="36"/>
      <c r="Y455" s="36"/>
      <c r="Z455" s="36"/>
      <c r="AA455" s="36"/>
    </row>
    <row r="456" spans="16:27" x14ac:dyDescent="0.2">
      <c r="P456" s="36"/>
      <c r="Q456" s="40"/>
      <c r="R456" s="40"/>
      <c r="S456" s="40"/>
      <c r="T456" s="41"/>
      <c r="U456" s="41"/>
      <c r="V456" s="41"/>
      <c r="W456" s="36"/>
      <c r="X456" s="36"/>
      <c r="Y456" s="36"/>
      <c r="Z456" s="36"/>
      <c r="AA456" s="36"/>
    </row>
    <row r="457" spans="16:27" x14ac:dyDescent="0.2">
      <c r="P457" s="36"/>
      <c r="Q457" s="40"/>
      <c r="R457" s="40"/>
      <c r="S457" s="40"/>
      <c r="T457" s="41"/>
      <c r="U457" s="41"/>
      <c r="V457" s="41"/>
      <c r="W457" s="36"/>
      <c r="X457" s="36"/>
      <c r="Y457" s="36"/>
      <c r="Z457" s="36"/>
      <c r="AA457" s="36"/>
    </row>
    <row r="458" spans="16:27" x14ac:dyDescent="0.2">
      <c r="P458" s="36"/>
      <c r="Q458" s="40"/>
      <c r="R458" s="40"/>
      <c r="S458" s="40"/>
      <c r="T458" s="41"/>
      <c r="U458" s="41"/>
      <c r="V458" s="41"/>
      <c r="W458" s="36"/>
      <c r="X458" s="36"/>
      <c r="Y458" s="36"/>
      <c r="Z458" s="36"/>
      <c r="AA458" s="36"/>
    </row>
    <row r="459" spans="16:27" x14ac:dyDescent="0.2">
      <c r="P459" s="36"/>
      <c r="Q459" s="40"/>
      <c r="R459" s="40"/>
      <c r="S459" s="40"/>
      <c r="T459" s="41"/>
      <c r="U459" s="41"/>
      <c r="V459" s="41"/>
      <c r="W459" s="36"/>
      <c r="X459" s="36"/>
      <c r="Y459" s="36"/>
      <c r="Z459" s="36"/>
      <c r="AA459" s="36"/>
    </row>
    <row r="460" spans="16:27" x14ac:dyDescent="0.2">
      <c r="P460" s="36"/>
      <c r="Q460" s="40"/>
      <c r="R460" s="40"/>
      <c r="S460" s="40"/>
      <c r="T460" s="41"/>
      <c r="U460" s="41"/>
      <c r="V460" s="41"/>
      <c r="W460" s="36"/>
      <c r="X460" s="36"/>
      <c r="Y460" s="36"/>
      <c r="Z460" s="36"/>
      <c r="AA460" s="36"/>
    </row>
    <row r="461" spans="16:27" x14ac:dyDescent="0.2">
      <c r="P461" s="36"/>
      <c r="Q461" s="40"/>
      <c r="R461" s="40"/>
      <c r="S461" s="40"/>
      <c r="T461" s="41"/>
      <c r="U461" s="41"/>
      <c r="V461" s="41"/>
      <c r="W461" s="36"/>
      <c r="X461" s="36"/>
      <c r="Y461" s="36"/>
      <c r="Z461" s="36"/>
      <c r="AA461" s="36"/>
    </row>
    <row r="462" spans="16:27" x14ac:dyDescent="0.2">
      <c r="P462" s="36"/>
      <c r="Q462" s="40"/>
      <c r="R462" s="40"/>
      <c r="S462" s="40"/>
      <c r="T462" s="41"/>
      <c r="U462" s="41"/>
      <c r="V462" s="41"/>
      <c r="W462" s="36"/>
      <c r="X462" s="36"/>
      <c r="Y462" s="36"/>
      <c r="Z462" s="36"/>
      <c r="AA462" s="36"/>
    </row>
    <row r="463" spans="16:27" x14ac:dyDescent="0.2">
      <c r="P463" s="36"/>
      <c r="Q463" s="40"/>
      <c r="R463" s="40"/>
      <c r="S463" s="40"/>
      <c r="T463" s="41"/>
      <c r="U463" s="41"/>
      <c r="V463" s="41"/>
      <c r="W463" s="36"/>
      <c r="X463" s="36"/>
      <c r="Y463" s="36"/>
      <c r="Z463" s="36"/>
      <c r="AA463" s="36"/>
    </row>
    <row r="464" spans="16:27" x14ac:dyDescent="0.2">
      <c r="P464" s="36"/>
      <c r="Q464" s="40"/>
      <c r="R464" s="40"/>
      <c r="S464" s="40"/>
      <c r="T464" s="41"/>
      <c r="U464" s="41"/>
      <c r="V464" s="41"/>
      <c r="W464" s="36"/>
      <c r="X464" s="36"/>
      <c r="Y464" s="36"/>
      <c r="Z464" s="36"/>
      <c r="AA464" s="36"/>
    </row>
    <row r="465" spans="16:27" x14ac:dyDescent="0.2">
      <c r="P465" s="36"/>
      <c r="Q465" s="40"/>
      <c r="R465" s="40"/>
      <c r="S465" s="40"/>
      <c r="T465" s="41"/>
      <c r="U465" s="41"/>
      <c r="V465" s="41"/>
      <c r="W465" s="36"/>
      <c r="X465" s="36"/>
      <c r="Y465" s="36"/>
      <c r="Z465" s="36"/>
      <c r="AA465" s="36"/>
    </row>
    <row r="466" spans="16:27" x14ac:dyDescent="0.2">
      <c r="P466" s="36"/>
      <c r="Q466" s="40"/>
      <c r="R466" s="40"/>
      <c r="S466" s="40"/>
      <c r="T466" s="41"/>
      <c r="U466" s="41"/>
      <c r="V466" s="41"/>
      <c r="W466" s="36"/>
      <c r="X466" s="36"/>
      <c r="Y466" s="36"/>
      <c r="Z466" s="36"/>
      <c r="AA466" s="36"/>
    </row>
    <row r="467" spans="16:27" x14ac:dyDescent="0.2">
      <c r="P467" s="36"/>
      <c r="Q467" s="40"/>
      <c r="R467" s="40"/>
      <c r="S467" s="40"/>
      <c r="T467" s="41"/>
      <c r="U467" s="41"/>
      <c r="V467" s="41"/>
      <c r="W467" s="36"/>
      <c r="X467" s="36"/>
      <c r="Y467" s="36"/>
      <c r="Z467" s="36"/>
      <c r="AA467" s="36"/>
    </row>
    <row r="468" spans="16:27" x14ac:dyDescent="0.2">
      <c r="P468" s="36"/>
      <c r="Q468" s="40"/>
      <c r="R468" s="40"/>
      <c r="S468" s="40"/>
      <c r="T468" s="41"/>
      <c r="U468" s="41"/>
      <c r="V468" s="41"/>
      <c r="W468" s="36"/>
      <c r="X468" s="36"/>
      <c r="Y468" s="36"/>
      <c r="Z468" s="36"/>
      <c r="AA468" s="36"/>
    </row>
    <row r="469" spans="16:27" x14ac:dyDescent="0.2">
      <c r="P469" s="36"/>
      <c r="Q469" s="40"/>
      <c r="R469" s="40"/>
      <c r="S469" s="40"/>
      <c r="T469" s="41"/>
      <c r="U469" s="41"/>
      <c r="V469" s="41"/>
      <c r="W469" s="36"/>
      <c r="X469" s="36"/>
      <c r="Y469" s="36"/>
      <c r="Z469" s="36"/>
      <c r="AA469" s="36"/>
    </row>
    <row r="470" spans="16:27" x14ac:dyDescent="0.2">
      <c r="P470" s="36"/>
      <c r="Q470" s="40"/>
      <c r="R470" s="40"/>
      <c r="S470" s="40"/>
      <c r="T470" s="41"/>
      <c r="U470" s="41"/>
      <c r="V470" s="41"/>
      <c r="W470" s="36"/>
      <c r="X470" s="36"/>
      <c r="Y470" s="36"/>
      <c r="Z470" s="36"/>
      <c r="AA470" s="36"/>
    </row>
    <row r="471" spans="16:27" x14ac:dyDescent="0.2">
      <c r="P471" s="36"/>
      <c r="Q471" s="40"/>
      <c r="R471" s="40"/>
      <c r="S471" s="40"/>
      <c r="T471" s="41"/>
      <c r="U471" s="41"/>
      <c r="V471" s="41"/>
      <c r="W471" s="36"/>
      <c r="X471" s="36"/>
      <c r="Y471" s="36"/>
      <c r="Z471" s="36"/>
      <c r="AA471" s="36"/>
    </row>
    <row r="472" spans="16:27" x14ac:dyDescent="0.2">
      <c r="P472" s="36"/>
      <c r="Q472" s="40"/>
      <c r="R472" s="40"/>
      <c r="S472" s="40"/>
      <c r="T472" s="41"/>
      <c r="U472" s="41"/>
      <c r="V472" s="41"/>
      <c r="W472" s="36"/>
      <c r="X472" s="36"/>
      <c r="Y472" s="36"/>
      <c r="Z472" s="36"/>
      <c r="AA472" s="36"/>
    </row>
    <row r="473" spans="16:27" x14ac:dyDescent="0.2">
      <c r="P473" s="36"/>
      <c r="Q473" s="40"/>
      <c r="R473" s="40"/>
      <c r="S473" s="40"/>
      <c r="T473" s="41"/>
      <c r="U473" s="41"/>
      <c r="V473" s="41"/>
      <c r="W473" s="36"/>
      <c r="X473" s="36"/>
      <c r="Y473" s="36"/>
      <c r="Z473" s="36"/>
      <c r="AA473" s="36"/>
    </row>
    <row r="474" spans="16:27" x14ac:dyDescent="0.2">
      <c r="P474" s="36"/>
      <c r="Q474" s="40"/>
      <c r="R474" s="40"/>
      <c r="S474" s="40"/>
      <c r="T474" s="41"/>
      <c r="U474" s="41"/>
      <c r="V474" s="41"/>
      <c r="W474" s="36"/>
      <c r="X474" s="36"/>
      <c r="Y474" s="36"/>
      <c r="Z474" s="36"/>
      <c r="AA474" s="36"/>
    </row>
    <row r="475" spans="16:27" x14ac:dyDescent="0.2">
      <c r="P475" s="36"/>
      <c r="Q475" s="40"/>
      <c r="R475" s="40"/>
      <c r="S475" s="40"/>
      <c r="T475" s="41"/>
      <c r="U475" s="41"/>
      <c r="V475" s="41"/>
      <c r="W475" s="36"/>
      <c r="X475" s="36"/>
      <c r="Y475" s="36"/>
      <c r="Z475" s="36"/>
      <c r="AA475" s="36"/>
    </row>
    <row r="476" spans="16:27" x14ac:dyDescent="0.2">
      <c r="P476" s="36"/>
      <c r="Q476" s="40"/>
      <c r="R476" s="40"/>
      <c r="S476" s="40"/>
      <c r="T476" s="41"/>
      <c r="U476" s="41"/>
      <c r="V476" s="41"/>
      <c r="W476" s="36"/>
      <c r="X476" s="36"/>
      <c r="Y476" s="36"/>
      <c r="Z476" s="36"/>
      <c r="AA476" s="36"/>
    </row>
    <row r="477" spans="16:27" x14ac:dyDescent="0.2">
      <c r="P477" s="36"/>
      <c r="Q477" s="40"/>
      <c r="R477" s="40"/>
      <c r="S477" s="40"/>
      <c r="T477" s="41"/>
      <c r="U477" s="41"/>
      <c r="V477" s="41"/>
      <c r="W477" s="36"/>
      <c r="X477" s="36"/>
      <c r="Y477" s="36"/>
      <c r="Z477" s="36"/>
      <c r="AA477" s="36"/>
    </row>
    <row r="478" spans="16:27" x14ac:dyDescent="0.2">
      <c r="P478" s="36"/>
      <c r="Q478" s="40"/>
      <c r="R478" s="40"/>
      <c r="S478" s="40"/>
      <c r="T478" s="41"/>
      <c r="U478" s="41"/>
      <c r="V478" s="41"/>
      <c r="W478" s="36"/>
      <c r="X478" s="36"/>
      <c r="Y478" s="36"/>
      <c r="Z478" s="36"/>
      <c r="AA478" s="36"/>
    </row>
    <row r="479" spans="16:27" x14ac:dyDescent="0.2">
      <c r="P479" s="36"/>
      <c r="Q479" s="40"/>
      <c r="R479" s="40"/>
      <c r="S479" s="40"/>
      <c r="T479" s="41"/>
      <c r="U479" s="41"/>
      <c r="V479" s="41"/>
      <c r="W479" s="36"/>
      <c r="X479" s="36"/>
      <c r="Y479" s="36"/>
      <c r="Z479" s="36"/>
      <c r="AA479" s="36"/>
    </row>
    <row r="480" spans="16:27" x14ac:dyDescent="0.2">
      <c r="P480" s="36"/>
      <c r="Q480" s="40"/>
      <c r="R480" s="40"/>
      <c r="S480" s="40"/>
      <c r="T480" s="41"/>
      <c r="U480" s="41"/>
      <c r="V480" s="41"/>
      <c r="W480" s="36"/>
      <c r="X480" s="36"/>
      <c r="Y480" s="36"/>
      <c r="Z480" s="36"/>
      <c r="AA480" s="36"/>
    </row>
    <row r="481" spans="16:27" x14ac:dyDescent="0.2">
      <c r="P481" s="36"/>
      <c r="Q481" s="40"/>
      <c r="R481" s="40"/>
      <c r="S481" s="40"/>
      <c r="T481" s="41"/>
      <c r="U481" s="41"/>
      <c r="V481" s="41"/>
      <c r="W481" s="36"/>
      <c r="X481" s="36"/>
      <c r="Y481" s="36"/>
      <c r="Z481" s="36"/>
      <c r="AA481" s="36"/>
    </row>
    <row r="482" spans="16:27" x14ac:dyDescent="0.2">
      <c r="P482" s="36"/>
      <c r="Q482" s="40"/>
      <c r="R482" s="40"/>
      <c r="S482" s="40"/>
      <c r="T482" s="41"/>
      <c r="U482" s="41"/>
      <c r="V482" s="41"/>
      <c r="W482" s="36"/>
      <c r="X482" s="36"/>
      <c r="Y482" s="36"/>
      <c r="Z482" s="36"/>
      <c r="AA482" s="36"/>
    </row>
    <row r="483" spans="16:27" x14ac:dyDescent="0.2">
      <c r="P483" s="36"/>
      <c r="Q483" s="40"/>
      <c r="R483" s="40"/>
      <c r="S483" s="40"/>
      <c r="T483" s="41"/>
      <c r="U483" s="41"/>
      <c r="V483" s="41"/>
      <c r="W483" s="36"/>
      <c r="X483" s="36"/>
      <c r="Y483" s="36"/>
      <c r="Z483" s="36"/>
      <c r="AA483" s="36"/>
    </row>
    <row r="484" spans="16:27" x14ac:dyDescent="0.2">
      <c r="P484" s="36"/>
      <c r="Q484" s="40"/>
      <c r="R484" s="40"/>
      <c r="S484" s="40"/>
      <c r="T484" s="41"/>
      <c r="U484" s="41"/>
      <c r="V484" s="41"/>
      <c r="W484" s="36"/>
      <c r="X484" s="36"/>
      <c r="Y484" s="36"/>
      <c r="Z484" s="36"/>
      <c r="AA484" s="36"/>
    </row>
    <row r="485" spans="16:27" x14ac:dyDescent="0.2">
      <c r="P485" s="36"/>
      <c r="Q485" s="40"/>
      <c r="R485" s="40"/>
      <c r="S485" s="40"/>
      <c r="T485" s="41"/>
      <c r="U485" s="41"/>
      <c r="V485" s="41"/>
      <c r="W485" s="36"/>
      <c r="X485" s="36"/>
      <c r="Y485" s="36"/>
      <c r="Z485" s="36"/>
      <c r="AA485" s="36"/>
    </row>
    <row r="486" spans="16:27" x14ac:dyDescent="0.2">
      <c r="P486" s="36"/>
      <c r="Q486" s="40"/>
      <c r="R486" s="40"/>
      <c r="S486" s="40"/>
      <c r="T486" s="41"/>
      <c r="U486" s="41"/>
      <c r="V486" s="41"/>
      <c r="W486" s="36"/>
      <c r="X486" s="36"/>
      <c r="Y486" s="36"/>
      <c r="Z486" s="36"/>
      <c r="AA486" s="36"/>
    </row>
    <row r="487" spans="16:27" x14ac:dyDescent="0.2">
      <c r="P487" s="36"/>
      <c r="Q487" s="40"/>
      <c r="R487" s="40"/>
      <c r="S487" s="40"/>
      <c r="T487" s="41"/>
      <c r="U487" s="41"/>
      <c r="V487" s="41"/>
      <c r="W487" s="36"/>
      <c r="X487" s="36"/>
      <c r="Y487" s="36"/>
      <c r="Z487" s="36"/>
      <c r="AA487" s="36"/>
    </row>
    <row r="488" spans="16:27" x14ac:dyDescent="0.2">
      <c r="P488" s="36"/>
      <c r="Q488" s="40"/>
      <c r="R488" s="40"/>
      <c r="S488" s="40"/>
      <c r="T488" s="41"/>
      <c r="U488" s="41"/>
      <c r="V488" s="41"/>
      <c r="W488" s="36"/>
      <c r="X488" s="36"/>
      <c r="Y488" s="36"/>
      <c r="Z488" s="36"/>
      <c r="AA488" s="36"/>
    </row>
    <row r="489" spans="16:27" x14ac:dyDescent="0.2">
      <c r="P489" s="36"/>
      <c r="Q489" s="40"/>
      <c r="R489" s="40"/>
      <c r="S489" s="40"/>
      <c r="T489" s="41"/>
      <c r="U489" s="41"/>
      <c r="V489" s="41"/>
      <c r="W489" s="36"/>
      <c r="X489" s="36"/>
      <c r="Y489" s="36"/>
      <c r="Z489" s="36"/>
      <c r="AA489" s="36"/>
    </row>
    <row r="490" spans="16:27" x14ac:dyDescent="0.2">
      <c r="P490" s="36"/>
      <c r="Q490" s="40"/>
      <c r="R490" s="40"/>
      <c r="S490" s="40"/>
      <c r="T490" s="41"/>
      <c r="U490" s="41"/>
      <c r="V490" s="41"/>
      <c r="W490" s="36"/>
      <c r="X490" s="36"/>
      <c r="Y490" s="36"/>
      <c r="Z490" s="36"/>
      <c r="AA490" s="36"/>
    </row>
    <row r="491" spans="16:27" x14ac:dyDescent="0.2">
      <c r="P491" s="36"/>
      <c r="Q491" s="40"/>
      <c r="R491" s="40"/>
      <c r="S491" s="40"/>
      <c r="T491" s="41"/>
      <c r="U491" s="41"/>
      <c r="V491" s="41"/>
      <c r="W491" s="36"/>
      <c r="X491" s="36"/>
      <c r="Y491" s="36"/>
      <c r="Z491" s="36"/>
      <c r="AA491" s="36"/>
    </row>
    <row r="492" spans="16:27" x14ac:dyDescent="0.2">
      <c r="P492" s="36"/>
      <c r="Q492" s="40"/>
      <c r="R492" s="40"/>
      <c r="S492" s="40"/>
      <c r="T492" s="41"/>
      <c r="U492" s="41"/>
      <c r="V492" s="41"/>
      <c r="W492" s="36"/>
      <c r="X492" s="36"/>
      <c r="Y492" s="36"/>
      <c r="Z492" s="36"/>
      <c r="AA492" s="36"/>
    </row>
    <row r="493" spans="16:27" x14ac:dyDescent="0.2">
      <c r="P493" s="36"/>
      <c r="Q493" s="40"/>
      <c r="R493" s="40"/>
      <c r="S493" s="40"/>
      <c r="T493" s="41"/>
      <c r="U493" s="41"/>
      <c r="V493" s="41"/>
      <c r="W493" s="36"/>
      <c r="X493" s="36"/>
      <c r="Y493" s="36"/>
      <c r="Z493" s="36"/>
      <c r="AA493" s="36"/>
    </row>
    <row r="494" spans="16:27" x14ac:dyDescent="0.2">
      <c r="P494" s="36"/>
      <c r="Q494" s="40"/>
      <c r="R494" s="40"/>
      <c r="S494" s="40"/>
      <c r="T494" s="41"/>
      <c r="U494" s="41"/>
      <c r="V494" s="41"/>
      <c r="W494" s="36"/>
      <c r="X494" s="36"/>
      <c r="Y494" s="36"/>
      <c r="Z494" s="36"/>
      <c r="AA494" s="36"/>
    </row>
    <row r="495" spans="16:27" x14ac:dyDescent="0.2">
      <c r="P495" s="36"/>
      <c r="Q495" s="40"/>
      <c r="R495" s="40"/>
      <c r="S495" s="40"/>
      <c r="T495" s="41"/>
      <c r="U495" s="41"/>
      <c r="V495" s="41"/>
      <c r="W495" s="36"/>
      <c r="X495" s="36"/>
      <c r="Y495" s="36"/>
      <c r="Z495" s="36"/>
      <c r="AA495" s="36"/>
    </row>
    <row r="496" spans="16:27" x14ac:dyDescent="0.2">
      <c r="P496" s="36"/>
      <c r="Q496" s="40"/>
      <c r="R496" s="40"/>
      <c r="S496" s="40"/>
      <c r="T496" s="41"/>
      <c r="U496" s="41"/>
      <c r="V496" s="41"/>
      <c r="W496" s="36"/>
      <c r="X496" s="36"/>
      <c r="Y496" s="36"/>
      <c r="Z496" s="36"/>
      <c r="AA496" s="36"/>
    </row>
    <row r="497" spans="16:27" x14ac:dyDescent="0.2">
      <c r="P497" s="36"/>
      <c r="Q497" s="40"/>
      <c r="R497" s="40"/>
      <c r="S497" s="40"/>
      <c r="T497" s="41"/>
      <c r="U497" s="41"/>
      <c r="V497" s="41"/>
      <c r="W497" s="36"/>
      <c r="X497" s="36"/>
      <c r="Y497" s="36"/>
      <c r="Z497" s="36"/>
      <c r="AA497" s="36"/>
    </row>
    <row r="498" spans="16:27" x14ac:dyDescent="0.2">
      <c r="P498" s="36"/>
      <c r="Q498" s="40"/>
      <c r="R498" s="40"/>
      <c r="S498" s="40"/>
      <c r="T498" s="41"/>
      <c r="U498" s="41"/>
      <c r="V498" s="41"/>
      <c r="W498" s="36"/>
      <c r="X498" s="36"/>
      <c r="Y498" s="36"/>
      <c r="Z498" s="36"/>
      <c r="AA498" s="36"/>
    </row>
    <row r="499" spans="16:27" x14ac:dyDescent="0.2">
      <c r="P499" s="36"/>
      <c r="Q499" s="40"/>
      <c r="R499" s="40"/>
      <c r="S499" s="40"/>
      <c r="T499" s="41"/>
      <c r="U499" s="41"/>
      <c r="V499" s="41"/>
      <c r="W499" s="36"/>
      <c r="X499" s="36"/>
      <c r="Y499" s="36"/>
      <c r="Z499" s="36"/>
      <c r="AA499" s="36"/>
    </row>
    <row r="500" spans="16:27" x14ac:dyDescent="0.2">
      <c r="P500" s="36"/>
      <c r="Q500" s="40"/>
      <c r="R500" s="40"/>
      <c r="S500" s="40"/>
      <c r="T500" s="41"/>
      <c r="U500" s="41"/>
      <c r="V500" s="41"/>
      <c r="W500" s="36"/>
      <c r="X500" s="36"/>
      <c r="Y500" s="36"/>
      <c r="Z500" s="36"/>
      <c r="AA500" s="36"/>
    </row>
    <row r="501" spans="16:27" x14ac:dyDescent="0.2">
      <c r="P501" s="36"/>
      <c r="Q501" s="40"/>
      <c r="R501" s="40"/>
      <c r="S501" s="40"/>
      <c r="T501" s="41"/>
      <c r="U501" s="41"/>
      <c r="V501" s="41"/>
      <c r="W501" s="36"/>
      <c r="X501" s="36"/>
      <c r="Y501" s="36"/>
      <c r="Z501" s="36"/>
      <c r="AA501" s="36"/>
    </row>
    <row r="502" spans="16:27" x14ac:dyDescent="0.2">
      <c r="P502" s="36"/>
      <c r="Q502" s="40"/>
      <c r="R502" s="40"/>
      <c r="S502" s="40"/>
      <c r="T502" s="41"/>
      <c r="U502" s="41"/>
      <c r="V502" s="41"/>
      <c r="W502" s="36"/>
      <c r="X502" s="36"/>
      <c r="Y502" s="36"/>
      <c r="Z502" s="36"/>
      <c r="AA502" s="36"/>
    </row>
    <row r="503" spans="16:27" x14ac:dyDescent="0.2">
      <c r="P503" s="36"/>
      <c r="Q503" s="40"/>
      <c r="R503" s="40"/>
      <c r="S503" s="40"/>
      <c r="T503" s="41"/>
      <c r="U503" s="41"/>
      <c r="V503" s="41"/>
      <c r="W503" s="36"/>
      <c r="X503" s="36"/>
      <c r="Y503" s="36"/>
      <c r="Z503" s="36"/>
      <c r="AA503" s="36"/>
    </row>
    <row r="504" spans="16:27" x14ac:dyDescent="0.2">
      <c r="P504" s="36"/>
      <c r="Q504" s="40"/>
      <c r="R504" s="40"/>
      <c r="S504" s="40"/>
      <c r="T504" s="41"/>
      <c r="U504" s="41"/>
      <c r="V504" s="41"/>
      <c r="W504" s="36"/>
      <c r="X504" s="36"/>
      <c r="Y504" s="36"/>
      <c r="Z504" s="36"/>
      <c r="AA504" s="36"/>
    </row>
    <row r="505" spans="16:27" x14ac:dyDescent="0.2">
      <c r="P505" s="36"/>
      <c r="Q505" s="40"/>
      <c r="R505" s="40"/>
      <c r="S505" s="40"/>
      <c r="T505" s="41"/>
      <c r="U505" s="41"/>
      <c r="V505" s="41"/>
      <c r="W505" s="36"/>
      <c r="X505" s="36"/>
      <c r="Y505" s="36"/>
      <c r="Z505" s="36"/>
      <c r="AA505" s="36"/>
    </row>
    <row r="506" spans="16:27" x14ac:dyDescent="0.2">
      <c r="P506" s="36"/>
      <c r="Q506" s="40"/>
      <c r="R506" s="40"/>
      <c r="S506" s="40"/>
      <c r="T506" s="41"/>
      <c r="U506" s="41"/>
      <c r="V506" s="41"/>
      <c r="W506" s="36"/>
      <c r="X506" s="36"/>
      <c r="Y506" s="36"/>
      <c r="Z506" s="36"/>
      <c r="AA506" s="36"/>
    </row>
    <row r="507" spans="16:27" x14ac:dyDescent="0.2">
      <c r="P507" s="36"/>
      <c r="Q507" s="40"/>
      <c r="R507" s="40"/>
      <c r="S507" s="40"/>
      <c r="T507" s="41"/>
      <c r="U507" s="41"/>
      <c r="V507" s="41"/>
      <c r="W507" s="36"/>
      <c r="X507" s="36"/>
      <c r="Y507" s="36"/>
      <c r="Z507" s="36"/>
      <c r="AA507" s="36"/>
    </row>
    <row r="508" spans="16:27" x14ac:dyDescent="0.2">
      <c r="P508" s="36"/>
      <c r="Q508" s="40"/>
      <c r="R508" s="40"/>
      <c r="S508" s="40"/>
      <c r="T508" s="41"/>
      <c r="U508" s="41"/>
      <c r="V508" s="41"/>
      <c r="W508" s="36"/>
      <c r="X508" s="36"/>
      <c r="Y508" s="36"/>
      <c r="Z508" s="36"/>
      <c r="AA508" s="36"/>
    </row>
    <row r="509" spans="16:27" x14ac:dyDescent="0.2">
      <c r="P509" s="36"/>
      <c r="Q509" s="40"/>
      <c r="R509" s="40"/>
      <c r="S509" s="40"/>
      <c r="T509" s="41"/>
      <c r="U509" s="41"/>
      <c r="V509" s="41"/>
      <c r="W509" s="36"/>
      <c r="X509" s="36"/>
      <c r="Y509" s="36"/>
      <c r="Z509" s="36"/>
      <c r="AA509" s="36"/>
    </row>
    <row r="510" spans="16:27" x14ac:dyDescent="0.2">
      <c r="P510" s="36"/>
      <c r="Q510" s="40"/>
      <c r="R510" s="40"/>
      <c r="S510" s="40"/>
      <c r="T510" s="41"/>
      <c r="U510" s="41"/>
      <c r="V510" s="41"/>
      <c r="W510" s="36"/>
      <c r="X510" s="36"/>
      <c r="Y510" s="36"/>
      <c r="Z510" s="36"/>
      <c r="AA510" s="36"/>
    </row>
    <row r="511" spans="16:27" x14ac:dyDescent="0.2">
      <c r="P511" s="36"/>
      <c r="Q511" s="40"/>
      <c r="R511" s="40"/>
      <c r="S511" s="40"/>
      <c r="T511" s="41"/>
      <c r="U511" s="41"/>
      <c r="V511" s="41"/>
      <c r="W511" s="36"/>
      <c r="X511" s="36"/>
      <c r="Y511" s="36"/>
      <c r="Z511" s="36"/>
      <c r="AA511" s="36"/>
    </row>
    <row r="512" spans="16:27" x14ac:dyDescent="0.2">
      <c r="P512" s="36"/>
      <c r="Q512" s="40"/>
      <c r="R512" s="40"/>
      <c r="S512" s="40"/>
      <c r="T512" s="41"/>
      <c r="U512" s="41"/>
      <c r="V512" s="41"/>
      <c r="W512" s="36"/>
      <c r="X512" s="36"/>
      <c r="Y512" s="36"/>
      <c r="Z512" s="36"/>
      <c r="AA512" s="36"/>
    </row>
    <row r="513" spans="16:27" x14ac:dyDescent="0.2">
      <c r="P513" s="36"/>
      <c r="Q513" s="40"/>
      <c r="R513" s="40"/>
      <c r="S513" s="40"/>
      <c r="T513" s="41"/>
      <c r="U513" s="41"/>
      <c r="V513" s="41"/>
      <c r="W513" s="36"/>
      <c r="X513" s="36"/>
      <c r="Y513" s="36"/>
      <c r="Z513" s="36"/>
      <c r="AA513" s="36"/>
    </row>
    <row r="514" spans="16:27" x14ac:dyDescent="0.2">
      <c r="P514" s="36"/>
      <c r="Q514" s="40"/>
      <c r="R514" s="40"/>
      <c r="S514" s="40"/>
      <c r="T514" s="41"/>
      <c r="U514" s="41"/>
      <c r="V514" s="41"/>
      <c r="W514" s="36"/>
      <c r="X514" s="36"/>
      <c r="Y514" s="36"/>
      <c r="Z514" s="36"/>
      <c r="AA514" s="36"/>
    </row>
    <row r="515" spans="16:27" x14ac:dyDescent="0.2">
      <c r="P515" s="36"/>
      <c r="Q515" s="40"/>
      <c r="R515" s="40"/>
      <c r="S515" s="40"/>
      <c r="T515" s="41"/>
      <c r="U515" s="41"/>
      <c r="V515" s="41"/>
      <c r="W515" s="36"/>
      <c r="X515" s="36"/>
      <c r="Y515" s="36"/>
      <c r="Z515" s="36"/>
      <c r="AA515" s="36"/>
    </row>
    <row r="516" spans="16:27" x14ac:dyDescent="0.2">
      <c r="P516" s="36"/>
      <c r="Q516" s="40"/>
      <c r="R516" s="40"/>
      <c r="S516" s="40"/>
      <c r="T516" s="41"/>
      <c r="U516" s="41"/>
      <c r="V516" s="41"/>
      <c r="W516" s="36"/>
      <c r="X516" s="36"/>
      <c r="Y516" s="36"/>
      <c r="Z516" s="36"/>
      <c r="AA516" s="36"/>
    </row>
    <row r="517" spans="16:27" x14ac:dyDescent="0.2">
      <c r="P517" s="36"/>
      <c r="Q517" s="40"/>
      <c r="R517" s="40"/>
      <c r="S517" s="40"/>
      <c r="T517" s="41"/>
      <c r="U517" s="41"/>
      <c r="V517" s="41"/>
      <c r="W517" s="36"/>
      <c r="X517" s="36"/>
      <c r="Y517" s="36"/>
      <c r="Z517" s="36"/>
      <c r="AA517" s="36"/>
    </row>
    <row r="518" spans="16:27" x14ac:dyDescent="0.2">
      <c r="P518" s="36"/>
      <c r="Q518" s="40"/>
      <c r="R518" s="40"/>
      <c r="S518" s="40"/>
      <c r="T518" s="41"/>
      <c r="U518" s="41"/>
      <c r="V518" s="41"/>
      <c r="W518" s="36"/>
      <c r="X518" s="36"/>
      <c r="Y518" s="36"/>
      <c r="Z518" s="36"/>
      <c r="AA518" s="36"/>
    </row>
    <row r="519" spans="16:27" x14ac:dyDescent="0.2">
      <c r="P519" s="36"/>
      <c r="Q519" s="40"/>
      <c r="R519" s="40"/>
      <c r="S519" s="40"/>
      <c r="T519" s="41"/>
      <c r="U519" s="41"/>
      <c r="V519" s="41"/>
      <c r="W519" s="36"/>
      <c r="X519" s="36"/>
      <c r="Y519" s="36"/>
      <c r="Z519" s="36"/>
      <c r="AA519" s="36"/>
    </row>
    <row r="520" spans="16:27" x14ac:dyDescent="0.2">
      <c r="P520" s="36"/>
      <c r="Q520" s="40"/>
      <c r="R520" s="40"/>
      <c r="S520" s="40"/>
      <c r="T520" s="41"/>
      <c r="U520" s="41"/>
      <c r="V520" s="41"/>
      <c r="W520" s="36"/>
      <c r="X520" s="36"/>
      <c r="Y520" s="36"/>
      <c r="Z520" s="36"/>
      <c r="AA520" s="36"/>
    </row>
    <row r="521" spans="16:27" x14ac:dyDescent="0.2">
      <c r="P521" s="36"/>
      <c r="Q521" s="40"/>
      <c r="R521" s="40"/>
      <c r="S521" s="40"/>
      <c r="T521" s="41"/>
      <c r="U521" s="41"/>
      <c r="V521" s="41"/>
      <c r="W521" s="36"/>
      <c r="X521" s="36"/>
      <c r="Y521" s="36"/>
      <c r="Z521" s="36"/>
      <c r="AA521" s="36"/>
    </row>
    <row r="522" spans="16:27" x14ac:dyDescent="0.2">
      <c r="P522" s="36"/>
      <c r="Q522" s="40"/>
      <c r="R522" s="40"/>
      <c r="S522" s="40"/>
      <c r="T522" s="41"/>
      <c r="U522" s="41"/>
      <c r="V522" s="41"/>
      <c r="W522" s="36"/>
      <c r="X522" s="36"/>
      <c r="Y522" s="36"/>
      <c r="Z522" s="36"/>
      <c r="AA522" s="36"/>
    </row>
    <row r="523" spans="16:27" x14ac:dyDescent="0.2">
      <c r="P523" s="36"/>
      <c r="Q523" s="40"/>
      <c r="R523" s="40"/>
      <c r="S523" s="40"/>
      <c r="T523" s="41"/>
      <c r="U523" s="41"/>
      <c r="V523" s="41"/>
      <c r="W523" s="36"/>
      <c r="X523" s="36"/>
      <c r="Y523" s="36"/>
      <c r="Z523" s="36"/>
      <c r="AA523" s="36"/>
    </row>
    <row r="524" spans="16:27" x14ac:dyDescent="0.2">
      <c r="P524" s="36"/>
      <c r="Q524" s="40"/>
      <c r="R524" s="40"/>
      <c r="S524" s="40"/>
      <c r="T524" s="41"/>
      <c r="U524" s="41"/>
      <c r="V524" s="41"/>
      <c r="W524" s="36"/>
      <c r="X524" s="36"/>
      <c r="Y524" s="36"/>
      <c r="Z524" s="36"/>
      <c r="AA524" s="36"/>
    </row>
    <row r="525" spans="16:27" x14ac:dyDescent="0.2">
      <c r="P525" s="36"/>
      <c r="Q525" s="40"/>
      <c r="R525" s="40"/>
      <c r="S525" s="40"/>
      <c r="T525" s="41"/>
      <c r="U525" s="41"/>
      <c r="V525" s="41"/>
      <c r="W525" s="36"/>
      <c r="X525" s="36"/>
      <c r="Y525" s="36"/>
      <c r="Z525" s="36"/>
      <c r="AA525" s="36"/>
    </row>
    <row r="526" spans="16:27" x14ac:dyDescent="0.2">
      <c r="P526" s="36"/>
      <c r="Q526" s="40"/>
      <c r="R526" s="40"/>
      <c r="S526" s="40"/>
      <c r="T526" s="41"/>
      <c r="U526" s="41"/>
      <c r="V526" s="41"/>
      <c r="W526" s="36"/>
      <c r="X526" s="36"/>
      <c r="Y526" s="36"/>
      <c r="Z526" s="36"/>
      <c r="AA526" s="36"/>
    </row>
    <row r="527" spans="16:27" x14ac:dyDescent="0.2">
      <c r="P527" s="36"/>
      <c r="Q527" s="40"/>
      <c r="R527" s="40"/>
      <c r="S527" s="40"/>
      <c r="T527" s="41"/>
      <c r="U527" s="41"/>
      <c r="V527" s="41"/>
      <c r="W527" s="36"/>
      <c r="X527" s="36"/>
      <c r="Y527" s="36"/>
      <c r="Z527" s="36"/>
      <c r="AA527" s="36"/>
    </row>
    <row r="528" spans="16:27" x14ac:dyDescent="0.2">
      <c r="P528" s="36"/>
      <c r="Q528" s="40"/>
      <c r="R528" s="40"/>
      <c r="S528" s="40"/>
      <c r="T528" s="41"/>
      <c r="U528" s="41"/>
      <c r="V528" s="41"/>
      <c r="W528" s="36"/>
      <c r="X528" s="36"/>
      <c r="Y528" s="36"/>
      <c r="Z528" s="36"/>
      <c r="AA528" s="36"/>
    </row>
    <row r="529" spans="16:27" x14ac:dyDescent="0.2">
      <c r="P529" s="36"/>
      <c r="Q529" s="40"/>
      <c r="R529" s="40"/>
      <c r="S529" s="40"/>
      <c r="T529" s="41"/>
      <c r="U529" s="41"/>
      <c r="V529" s="41"/>
      <c r="W529" s="36"/>
      <c r="X529" s="36"/>
      <c r="Y529" s="36"/>
      <c r="Z529" s="36"/>
      <c r="AA529" s="36"/>
    </row>
    <row r="530" spans="16:27" x14ac:dyDescent="0.2">
      <c r="P530" s="36"/>
      <c r="Q530" s="40"/>
      <c r="R530" s="40"/>
      <c r="S530" s="40"/>
      <c r="T530" s="41"/>
      <c r="U530" s="41"/>
      <c r="V530" s="41"/>
      <c r="W530" s="36"/>
      <c r="X530" s="36"/>
      <c r="Y530" s="36"/>
      <c r="Z530" s="36"/>
      <c r="AA530" s="36"/>
    </row>
    <row r="531" spans="16:27" x14ac:dyDescent="0.2">
      <c r="P531" s="36"/>
      <c r="Q531" s="40"/>
      <c r="R531" s="40"/>
      <c r="S531" s="40"/>
      <c r="T531" s="41"/>
      <c r="U531" s="41"/>
      <c r="V531" s="41"/>
      <c r="W531" s="36"/>
      <c r="X531" s="36"/>
      <c r="Y531" s="36"/>
      <c r="Z531" s="36"/>
      <c r="AA531" s="36"/>
    </row>
    <row r="532" spans="16:27" x14ac:dyDescent="0.2">
      <c r="P532" s="36"/>
      <c r="Q532" s="40"/>
      <c r="R532" s="40"/>
      <c r="S532" s="40"/>
      <c r="T532" s="41"/>
      <c r="U532" s="41"/>
      <c r="V532" s="41"/>
      <c r="W532" s="36"/>
      <c r="X532" s="36"/>
      <c r="Y532" s="36"/>
      <c r="Z532" s="36"/>
      <c r="AA532" s="36"/>
    </row>
    <row r="533" spans="16:27" x14ac:dyDescent="0.2">
      <c r="P533" s="36"/>
      <c r="Q533" s="40"/>
      <c r="R533" s="40"/>
      <c r="S533" s="40"/>
      <c r="T533" s="41"/>
      <c r="U533" s="41"/>
      <c r="V533" s="41"/>
      <c r="W533" s="36"/>
      <c r="X533" s="36"/>
      <c r="Y533" s="36"/>
      <c r="Z533" s="36"/>
      <c r="AA533" s="36"/>
    </row>
    <row r="534" spans="16:27" x14ac:dyDescent="0.2">
      <c r="P534" s="36"/>
      <c r="Q534" s="40"/>
      <c r="R534" s="40"/>
      <c r="S534" s="40"/>
      <c r="T534" s="41"/>
      <c r="U534" s="41"/>
      <c r="V534" s="41"/>
      <c r="W534" s="36"/>
      <c r="X534" s="36"/>
      <c r="Y534" s="36"/>
      <c r="Z534" s="36"/>
      <c r="AA534" s="36"/>
    </row>
    <row r="535" spans="16:27" x14ac:dyDescent="0.2">
      <c r="P535" s="36"/>
      <c r="Q535" s="40"/>
      <c r="R535" s="40"/>
      <c r="S535" s="40"/>
      <c r="T535" s="41"/>
      <c r="U535" s="41"/>
      <c r="V535" s="41"/>
      <c r="W535" s="36"/>
      <c r="X535" s="36"/>
      <c r="Y535" s="36"/>
      <c r="Z535" s="36"/>
      <c r="AA535" s="36"/>
    </row>
    <row r="536" spans="16:27" x14ac:dyDescent="0.2">
      <c r="P536" s="36"/>
      <c r="Q536" s="40"/>
      <c r="R536" s="40"/>
      <c r="S536" s="40"/>
      <c r="T536" s="41"/>
      <c r="U536" s="41"/>
      <c r="V536" s="41"/>
      <c r="W536" s="36"/>
      <c r="X536" s="36"/>
      <c r="Y536" s="36"/>
      <c r="Z536" s="36"/>
      <c r="AA536" s="36"/>
    </row>
    <row r="537" spans="16:27" x14ac:dyDescent="0.2">
      <c r="P537" s="36"/>
      <c r="Q537" s="40"/>
      <c r="R537" s="40"/>
      <c r="S537" s="40"/>
      <c r="T537" s="41"/>
      <c r="U537" s="41"/>
      <c r="V537" s="41"/>
      <c r="W537" s="36"/>
      <c r="X537" s="36"/>
      <c r="Y537" s="36"/>
      <c r="Z537" s="36"/>
      <c r="AA537" s="36"/>
    </row>
    <row r="538" spans="16:27" x14ac:dyDescent="0.2">
      <c r="P538" s="36"/>
      <c r="Q538" s="40"/>
      <c r="R538" s="40"/>
      <c r="S538" s="40"/>
      <c r="T538" s="41"/>
      <c r="U538" s="41"/>
      <c r="V538" s="41"/>
      <c r="W538" s="36"/>
      <c r="X538" s="36"/>
      <c r="Y538" s="36"/>
      <c r="Z538" s="36"/>
      <c r="AA538" s="36"/>
    </row>
    <row r="539" spans="16:27" x14ac:dyDescent="0.2">
      <c r="P539" s="36"/>
      <c r="Q539" s="40"/>
      <c r="R539" s="40"/>
      <c r="S539" s="40"/>
      <c r="T539" s="41"/>
      <c r="U539" s="41"/>
      <c r="V539" s="41"/>
      <c r="W539" s="36"/>
      <c r="X539" s="36"/>
      <c r="Y539" s="36"/>
      <c r="Z539" s="36"/>
      <c r="AA539" s="36"/>
    </row>
    <row r="540" spans="16:27" x14ac:dyDescent="0.2">
      <c r="P540" s="36"/>
      <c r="Q540" s="40"/>
      <c r="R540" s="40"/>
      <c r="S540" s="40"/>
      <c r="T540" s="41"/>
      <c r="U540" s="41"/>
      <c r="V540" s="41"/>
      <c r="W540" s="36"/>
      <c r="X540" s="36"/>
      <c r="Y540" s="36"/>
      <c r="Z540" s="36"/>
      <c r="AA540" s="36"/>
    </row>
    <row r="541" spans="16:27" x14ac:dyDescent="0.2">
      <c r="P541" s="36"/>
      <c r="Q541" s="40"/>
      <c r="R541" s="40"/>
      <c r="S541" s="40"/>
      <c r="T541" s="41"/>
      <c r="U541" s="41"/>
      <c r="V541" s="41"/>
      <c r="W541" s="36"/>
      <c r="X541" s="36"/>
      <c r="Y541" s="36"/>
      <c r="Z541" s="36"/>
      <c r="AA541" s="36"/>
    </row>
    <row r="542" spans="16:27" x14ac:dyDescent="0.2">
      <c r="P542" s="36"/>
      <c r="Q542" s="40"/>
      <c r="R542" s="40"/>
      <c r="S542" s="40"/>
      <c r="T542" s="41"/>
      <c r="U542" s="41"/>
      <c r="V542" s="41"/>
      <c r="W542" s="36"/>
      <c r="X542" s="36"/>
      <c r="Y542" s="36"/>
      <c r="Z542" s="36"/>
      <c r="AA542" s="36"/>
    </row>
    <row r="543" spans="16:27" x14ac:dyDescent="0.2">
      <c r="P543" s="36"/>
      <c r="Q543" s="40"/>
      <c r="R543" s="40"/>
      <c r="S543" s="40"/>
      <c r="T543" s="41"/>
      <c r="U543" s="41"/>
      <c r="V543" s="41"/>
      <c r="W543" s="36"/>
      <c r="X543" s="36"/>
      <c r="Y543" s="36"/>
      <c r="Z543" s="36"/>
      <c r="AA543" s="36"/>
    </row>
    <row r="544" spans="16:27" x14ac:dyDescent="0.2">
      <c r="P544" s="36"/>
      <c r="Q544" s="40"/>
      <c r="R544" s="40"/>
      <c r="S544" s="40"/>
      <c r="T544" s="41"/>
      <c r="U544" s="41"/>
      <c r="V544" s="41"/>
      <c r="W544" s="36"/>
      <c r="X544" s="36"/>
      <c r="Y544" s="36"/>
      <c r="Z544" s="36"/>
      <c r="AA544" s="36"/>
    </row>
    <row r="545" spans="16:27" x14ac:dyDescent="0.2">
      <c r="P545" s="36"/>
      <c r="Q545" s="40"/>
      <c r="R545" s="40"/>
      <c r="S545" s="40"/>
      <c r="T545" s="41"/>
      <c r="U545" s="41"/>
      <c r="V545" s="41"/>
      <c r="W545" s="36"/>
      <c r="X545" s="36"/>
      <c r="Y545" s="36"/>
      <c r="Z545" s="36"/>
      <c r="AA545" s="36"/>
    </row>
    <row r="546" spans="16:27" x14ac:dyDescent="0.2">
      <c r="P546" s="36"/>
      <c r="Q546" s="40"/>
      <c r="R546" s="40"/>
      <c r="S546" s="40"/>
      <c r="T546" s="41"/>
      <c r="U546" s="41"/>
      <c r="V546" s="41"/>
      <c r="W546" s="36"/>
      <c r="X546" s="36"/>
      <c r="Y546" s="36"/>
      <c r="Z546" s="36"/>
      <c r="AA546" s="36"/>
    </row>
    <row r="547" spans="16:27" x14ac:dyDescent="0.2">
      <c r="P547" s="36"/>
      <c r="Q547" s="40"/>
      <c r="R547" s="40"/>
      <c r="S547" s="40"/>
      <c r="T547" s="41"/>
      <c r="U547" s="41"/>
      <c r="V547" s="41"/>
      <c r="W547" s="36"/>
      <c r="X547" s="36"/>
      <c r="Y547" s="36"/>
      <c r="Z547" s="36"/>
      <c r="AA547" s="36"/>
    </row>
    <row r="548" spans="16:27" x14ac:dyDescent="0.2">
      <c r="P548" s="36"/>
      <c r="Q548" s="40"/>
      <c r="R548" s="40"/>
      <c r="S548" s="40"/>
      <c r="T548" s="41"/>
      <c r="U548" s="41"/>
      <c r="V548" s="41"/>
      <c r="W548" s="36"/>
      <c r="X548" s="36"/>
      <c r="Y548" s="36"/>
      <c r="Z548" s="36"/>
      <c r="AA548" s="36"/>
    </row>
    <row r="549" spans="16:27" x14ac:dyDescent="0.2">
      <c r="P549" s="36"/>
      <c r="Q549" s="40"/>
      <c r="R549" s="40"/>
      <c r="S549" s="40"/>
      <c r="T549" s="41"/>
      <c r="U549" s="41"/>
      <c r="V549" s="41"/>
      <c r="W549" s="36"/>
      <c r="X549" s="36"/>
      <c r="Y549" s="36"/>
      <c r="Z549" s="36"/>
      <c r="AA549" s="36"/>
    </row>
    <row r="550" spans="16:27" x14ac:dyDescent="0.2">
      <c r="P550" s="36"/>
      <c r="Q550" s="40"/>
      <c r="R550" s="40"/>
      <c r="S550" s="40"/>
      <c r="T550" s="41"/>
      <c r="U550" s="41"/>
      <c r="V550" s="41"/>
      <c r="W550" s="36"/>
      <c r="X550" s="36"/>
      <c r="Y550" s="36"/>
      <c r="Z550" s="36"/>
      <c r="AA550" s="36"/>
    </row>
    <row r="551" spans="16:27" x14ac:dyDescent="0.2">
      <c r="P551" s="36"/>
      <c r="Q551" s="40"/>
      <c r="R551" s="40"/>
      <c r="S551" s="40"/>
      <c r="T551" s="41"/>
      <c r="U551" s="41"/>
      <c r="V551" s="41"/>
      <c r="W551" s="36"/>
      <c r="X551" s="36"/>
      <c r="Y551" s="36"/>
      <c r="Z551" s="36"/>
      <c r="AA551" s="36"/>
    </row>
    <row r="552" spans="16:27" x14ac:dyDescent="0.2">
      <c r="P552" s="36"/>
      <c r="Q552" s="40"/>
      <c r="R552" s="40"/>
      <c r="S552" s="40"/>
      <c r="T552" s="41"/>
      <c r="U552" s="41"/>
      <c r="V552" s="41"/>
      <c r="W552" s="36"/>
      <c r="X552" s="36"/>
      <c r="Y552" s="36"/>
      <c r="Z552" s="36"/>
      <c r="AA552" s="36"/>
    </row>
    <row r="553" spans="16:27" x14ac:dyDescent="0.2">
      <c r="P553" s="36"/>
      <c r="Q553" s="40"/>
      <c r="R553" s="40"/>
      <c r="S553" s="40"/>
      <c r="T553" s="41"/>
      <c r="U553" s="41"/>
      <c r="V553" s="41"/>
      <c r="W553" s="36"/>
      <c r="X553" s="36"/>
      <c r="Y553" s="36"/>
      <c r="Z553" s="36"/>
      <c r="AA553" s="36"/>
    </row>
    <row r="554" spans="16:27" x14ac:dyDescent="0.2">
      <c r="P554" s="36"/>
      <c r="Q554" s="40"/>
      <c r="R554" s="40"/>
      <c r="S554" s="40"/>
      <c r="T554" s="41"/>
      <c r="U554" s="41"/>
      <c r="V554" s="41"/>
      <c r="W554" s="36"/>
      <c r="X554" s="36"/>
      <c r="Y554" s="36"/>
      <c r="Z554" s="36"/>
      <c r="AA554" s="36"/>
    </row>
    <row r="555" spans="16:27" x14ac:dyDescent="0.2">
      <c r="P555" s="36"/>
      <c r="Q555" s="40"/>
      <c r="R555" s="40"/>
      <c r="S555" s="40"/>
      <c r="T555" s="41"/>
      <c r="U555" s="41"/>
      <c r="V555" s="41"/>
      <c r="W555" s="36"/>
      <c r="X555" s="36"/>
      <c r="Y555" s="36"/>
      <c r="Z555" s="36"/>
      <c r="AA555" s="36"/>
    </row>
    <row r="556" spans="16:27" x14ac:dyDescent="0.2">
      <c r="P556" s="36"/>
      <c r="Q556" s="40"/>
      <c r="R556" s="40"/>
      <c r="S556" s="40"/>
      <c r="T556" s="41"/>
      <c r="U556" s="41"/>
      <c r="V556" s="41"/>
      <c r="W556" s="36"/>
      <c r="X556" s="36"/>
      <c r="Y556" s="36"/>
      <c r="Z556" s="36"/>
      <c r="AA556" s="36"/>
    </row>
    <row r="557" spans="16:27" x14ac:dyDescent="0.2">
      <c r="P557" s="36"/>
      <c r="Q557" s="40"/>
      <c r="R557" s="40"/>
      <c r="S557" s="40"/>
      <c r="T557" s="41"/>
      <c r="U557" s="41"/>
      <c r="V557" s="41"/>
      <c r="W557" s="36"/>
      <c r="X557" s="36"/>
      <c r="Y557" s="36"/>
      <c r="Z557" s="36"/>
      <c r="AA557" s="36"/>
    </row>
    <row r="558" spans="16:27" x14ac:dyDescent="0.2">
      <c r="P558" s="36"/>
      <c r="Q558" s="40"/>
      <c r="R558" s="40"/>
      <c r="S558" s="40"/>
      <c r="T558" s="41"/>
      <c r="U558" s="41"/>
      <c r="V558" s="41"/>
      <c r="W558" s="36"/>
      <c r="X558" s="36"/>
      <c r="Y558" s="36"/>
      <c r="Z558" s="36"/>
      <c r="AA558" s="36"/>
    </row>
    <row r="559" spans="16:27" x14ac:dyDescent="0.2">
      <c r="P559" s="36"/>
      <c r="Q559" s="40"/>
      <c r="R559" s="40"/>
      <c r="S559" s="40"/>
      <c r="T559" s="41"/>
      <c r="U559" s="41"/>
      <c r="V559" s="41"/>
      <c r="W559" s="36"/>
      <c r="X559" s="36"/>
      <c r="Y559" s="36"/>
      <c r="Z559" s="36"/>
      <c r="AA559" s="36"/>
    </row>
    <row r="560" spans="16:27" x14ac:dyDescent="0.2">
      <c r="P560" s="36"/>
      <c r="Q560" s="40"/>
      <c r="R560" s="40"/>
      <c r="S560" s="40"/>
      <c r="T560" s="41"/>
      <c r="U560" s="41"/>
      <c r="V560" s="41"/>
      <c r="W560" s="36"/>
      <c r="X560" s="36"/>
      <c r="Y560" s="36"/>
      <c r="Z560" s="36"/>
      <c r="AA560" s="36"/>
    </row>
    <row r="561" spans="16:27" x14ac:dyDescent="0.2">
      <c r="P561" s="36"/>
      <c r="Q561" s="40"/>
      <c r="R561" s="40"/>
      <c r="S561" s="40"/>
      <c r="T561" s="41"/>
      <c r="U561" s="41"/>
      <c r="V561" s="41"/>
      <c r="W561" s="36"/>
      <c r="X561" s="36"/>
      <c r="Y561" s="36"/>
      <c r="Z561" s="36"/>
      <c r="AA561" s="36"/>
    </row>
    <row r="562" spans="16:27" x14ac:dyDescent="0.2">
      <c r="P562" s="36"/>
      <c r="Q562" s="40"/>
      <c r="R562" s="40"/>
      <c r="S562" s="40"/>
      <c r="T562" s="41"/>
      <c r="U562" s="41"/>
      <c r="V562" s="41"/>
      <c r="W562" s="36"/>
      <c r="X562" s="36"/>
      <c r="Y562" s="36"/>
      <c r="Z562" s="36"/>
      <c r="AA562" s="36"/>
    </row>
    <row r="563" spans="16:27" x14ac:dyDescent="0.2">
      <c r="P563" s="36"/>
      <c r="Q563" s="40"/>
      <c r="R563" s="40"/>
      <c r="S563" s="40"/>
      <c r="T563" s="41"/>
      <c r="U563" s="41"/>
      <c r="V563" s="41"/>
      <c r="W563" s="36"/>
      <c r="X563" s="36"/>
      <c r="Y563" s="36"/>
      <c r="Z563" s="36"/>
      <c r="AA563" s="36"/>
    </row>
    <row r="564" spans="16:27" x14ac:dyDescent="0.2">
      <c r="P564" s="36"/>
      <c r="Q564" s="40"/>
      <c r="R564" s="40"/>
      <c r="S564" s="40"/>
      <c r="T564" s="41"/>
      <c r="U564" s="41"/>
      <c r="V564" s="41"/>
      <c r="W564" s="36"/>
      <c r="X564" s="36"/>
      <c r="Y564" s="36"/>
      <c r="Z564" s="36"/>
      <c r="AA564" s="36"/>
    </row>
    <row r="565" spans="16:27" x14ac:dyDescent="0.2">
      <c r="P565" s="36"/>
      <c r="Q565" s="40"/>
      <c r="R565" s="40"/>
      <c r="S565" s="40"/>
      <c r="T565" s="41"/>
      <c r="U565" s="41"/>
      <c r="V565" s="41"/>
      <c r="W565" s="36"/>
      <c r="X565" s="36"/>
      <c r="Y565" s="36"/>
      <c r="Z565" s="36"/>
      <c r="AA565" s="36"/>
    </row>
    <row r="566" spans="16:27" x14ac:dyDescent="0.2">
      <c r="P566" s="36"/>
      <c r="Q566" s="40"/>
      <c r="R566" s="40"/>
      <c r="S566" s="40"/>
      <c r="T566" s="41"/>
      <c r="U566" s="41"/>
      <c r="V566" s="41"/>
      <c r="W566" s="36"/>
      <c r="X566" s="36"/>
      <c r="Y566" s="36"/>
      <c r="Z566" s="36"/>
      <c r="AA566" s="36"/>
    </row>
    <row r="567" spans="16:27" x14ac:dyDescent="0.2">
      <c r="P567" s="36"/>
      <c r="Q567" s="40"/>
      <c r="R567" s="40"/>
      <c r="S567" s="40"/>
      <c r="T567" s="41"/>
      <c r="U567" s="41"/>
      <c r="V567" s="41"/>
      <c r="W567" s="36"/>
      <c r="X567" s="36"/>
      <c r="Y567" s="36"/>
      <c r="Z567" s="36"/>
      <c r="AA567" s="36"/>
    </row>
    <row r="568" spans="16:27" x14ac:dyDescent="0.2">
      <c r="P568" s="36"/>
      <c r="Q568" s="40"/>
      <c r="R568" s="40"/>
      <c r="S568" s="40"/>
      <c r="T568" s="41"/>
      <c r="U568" s="41"/>
      <c r="V568" s="41"/>
      <c r="W568" s="36"/>
      <c r="X568" s="36"/>
      <c r="Y568" s="36"/>
      <c r="Z568" s="36"/>
      <c r="AA568" s="36"/>
    </row>
    <row r="569" spans="16:27" x14ac:dyDescent="0.2">
      <c r="P569" s="36"/>
      <c r="Q569" s="40"/>
      <c r="R569" s="40"/>
      <c r="S569" s="40"/>
      <c r="T569" s="41"/>
      <c r="U569" s="41"/>
      <c r="V569" s="41"/>
      <c r="W569" s="36"/>
      <c r="X569" s="36"/>
      <c r="Y569" s="36"/>
      <c r="Z569" s="36"/>
      <c r="AA569" s="36"/>
    </row>
    <row r="570" spans="16:27" x14ac:dyDescent="0.2">
      <c r="P570" s="36"/>
      <c r="Q570" s="40"/>
      <c r="R570" s="40"/>
      <c r="S570" s="40"/>
      <c r="T570" s="41"/>
      <c r="U570" s="41"/>
      <c r="V570" s="41"/>
      <c r="W570" s="36"/>
      <c r="X570" s="36"/>
      <c r="Y570" s="36"/>
      <c r="Z570" s="36"/>
      <c r="AA570" s="36"/>
    </row>
    <row r="571" spans="16:27" x14ac:dyDescent="0.2">
      <c r="P571" s="36"/>
      <c r="Q571" s="40"/>
      <c r="R571" s="40"/>
      <c r="S571" s="40"/>
      <c r="T571" s="41"/>
      <c r="U571" s="41"/>
      <c r="V571" s="41"/>
      <c r="W571" s="36"/>
      <c r="X571" s="36"/>
      <c r="Y571" s="36"/>
      <c r="Z571" s="36"/>
      <c r="AA571" s="36"/>
    </row>
    <row r="572" spans="16:27" x14ac:dyDescent="0.2">
      <c r="P572" s="36"/>
      <c r="Q572" s="40"/>
      <c r="R572" s="40"/>
      <c r="S572" s="40"/>
      <c r="T572" s="41"/>
      <c r="U572" s="41"/>
      <c r="V572" s="41"/>
      <c r="W572" s="36"/>
      <c r="X572" s="36"/>
      <c r="Y572" s="36"/>
      <c r="Z572" s="36"/>
      <c r="AA572" s="36"/>
    </row>
    <row r="573" spans="16:27" x14ac:dyDescent="0.2">
      <c r="P573" s="36"/>
      <c r="Q573" s="40"/>
      <c r="R573" s="40"/>
      <c r="S573" s="40"/>
      <c r="T573" s="41"/>
      <c r="U573" s="41"/>
      <c r="V573" s="41"/>
      <c r="W573" s="36"/>
      <c r="X573" s="36"/>
      <c r="Y573" s="36"/>
      <c r="Z573" s="36"/>
      <c r="AA573" s="36"/>
    </row>
    <row r="574" spans="16:27" x14ac:dyDescent="0.2">
      <c r="P574" s="36"/>
      <c r="Q574" s="40"/>
      <c r="R574" s="40"/>
      <c r="S574" s="40"/>
      <c r="T574" s="41"/>
      <c r="U574" s="41"/>
      <c r="V574" s="41"/>
      <c r="W574" s="36"/>
      <c r="X574" s="36"/>
      <c r="Y574" s="36"/>
      <c r="Z574" s="36"/>
      <c r="AA574" s="36"/>
    </row>
    <row r="575" spans="16:27" x14ac:dyDescent="0.2">
      <c r="P575" s="36"/>
      <c r="Q575" s="40"/>
      <c r="R575" s="40"/>
      <c r="S575" s="40"/>
      <c r="T575" s="41"/>
      <c r="U575" s="41"/>
      <c r="V575" s="41"/>
      <c r="W575" s="36"/>
      <c r="X575" s="36"/>
      <c r="Y575" s="36"/>
      <c r="Z575" s="36"/>
      <c r="AA575" s="36"/>
    </row>
    <row r="576" spans="16:27" x14ac:dyDescent="0.2">
      <c r="P576" s="36"/>
      <c r="Q576" s="40"/>
      <c r="R576" s="40"/>
      <c r="S576" s="40"/>
      <c r="T576" s="41"/>
      <c r="U576" s="41"/>
      <c r="V576" s="41"/>
      <c r="W576" s="36"/>
      <c r="X576" s="36"/>
      <c r="Y576" s="36"/>
      <c r="Z576" s="36"/>
      <c r="AA576" s="36"/>
    </row>
    <row r="577" spans="16:27" x14ac:dyDescent="0.2">
      <c r="P577" s="36"/>
      <c r="Q577" s="40"/>
      <c r="R577" s="40"/>
      <c r="S577" s="40"/>
      <c r="T577" s="41"/>
      <c r="U577" s="41"/>
      <c r="V577" s="41"/>
      <c r="W577" s="36"/>
      <c r="X577" s="36"/>
      <c r="Y577" s="36"/>
      <c r="Z577" s="36"/>
      <c r="AA577" s="36"/>
    </row>
    <row r="578" spans="16:27" x14ac:dyDescent="0.2">
      <c r="P578" s="36"/>
      <c r="Q578" s="40"/>
      <c r="R578" s="40"/>
      <c r="S578" s="40"/>
      <c r="T578" s="41"/>
      <c r="U578" s="41"/>
      <c r="V578" s="41"/>
      <c r="W578" s="36"/>
      <c r="X578" s="36"/>
      <c r="Y578" s="36"/>
      <c r="Z578" s="36"/>
      <c r="AA578" s="36"/>
    </row>
    <row r="579" spans="16:27" x14ac:dyDescent="0.2">
      <c r="P579" s="36"/>
      <c r="Q579" s="40"/>
      <c r="R579" s="40"/>
      <c r="S579" s="40"/>
      <c r="T579" s="41"/>
      <c r="U579" s="41"/>
      <c r="V579" s="41"/>
      <c r="W579" s="36"/>
      <c r="X579" s="36"/>
      <c r="Y579" s="36"/>
      <c r="Z579" s="36"/>
      <c r="AA579" s="36"/>
    </row>
    <row r="580" spans="16:27" x14ac:dyDescent="0.2">
      <c r="P580" s="36"/>
      <c r="Q580" s="40"/>
      <c r="R580" s="40"/>
      <c r="S580" s="40"/>
      <c r="T580" s="41"/>
      <c r="U580" s="41"/>
      <c r="V580" s="41"/>
      <c r="W580" s="36"/>
      <c r="X580" s="36"/>
      <c r="Y580" s="36"/>
      <c r="Z580" s="36"/>
      <c r="AA580" s="36"/>
    </row>
    <row r="581" spans="16:27" x14ac:dyDescent="0.2">
      <c r="P581" s="36"/>
      <c r="Q581" s="40"/>
      <c r="R581" s="40"/>
      <c r="S581" s="40"/>
      <c r="T581" s="41"/>
      <c r="U581" s="41"/>
      <c r="V581" s="41"/>
      <c r="W581" s="36"/>
      <c r="X581" s="36"/>
      <c r="Y581" s="36"/>
      <c r="Z581" s="36"/>
      <c r="AA581" s="36"/>
    </row>
    <row r="582" spans="16:27" x14ac:dyDescent="0.2">
      <c r="P582" s="36"/>
      <c r="Q582" s="40"/>
      <c r="R582" s="40"/>
      <c r="S582" s="40"/>
      <c r="T582" s="41"/>
      <c r="U582" s="41"/>
      <c r="V582" s="41"/>
      <c r="W582" s="36"/>
      <c r="X582" s="36"/>
      <c r="Y582" s="36"/>
      <c r="Z582" s="36"/>
      <c r="AA582" s="36"/>
    </row>
    <row r="583" spans="16:27" x14ac:dyDescent="0.2">
      <c r="P583" s="36"/>
      <c r="Q583" s="40"/>
      <c r="R583" s="40"/>
      <c r="S583" s="40"/>
      <c r="T583" s="41"/>
      <c r="U583" s="41"/>
      <c r="V583" s="41"/>
      <c r="W583" s="36"/>
      <c r="X583" s="36"/>
      <c r="Y583" s="36"/>
      <c r="Z583" s="36"/>
      <c r="AA583" s="36"/>
    </row>
    <row r="584" spans="16:27" x14ac:dyDescent="0.2">
      <c r="P584" s="36"/>
      <c r="Q584" s="40"/>
      <c r="R584" s="40"/>
      <c r="S584" s="40"/>
      <c r="T584" s="41"/>
      <c r="U584" s="41"/>
      <c r="V584" s="41"/>
      <c r="W584" s="36"/>
      <c r="X584" s="36"/>
      <c r="Y584" s="36"/>
      <c r="Z584" s="36"/>
      <c r="AA584" s="36"/>
    </row>
    <row r="585" spans="16:27" x14ac:dyDescent="0.2">
      <c r="P585" s="36"/>
      <c r="Q585" s="40"/>
      <c r="R585" s="40"/>
      <c r="S585" s="40"/>
      <c r="T585" s="41"/>
      <c r="U585" s="41"/>
      <c r="V585" s="41"/>
      <c r="W585" s="36"/>
      <c r="X585" s="36"/>
      <c r="Y585" s="36"/>
      <c r="Z585" s="36"/>
      <c r="AA585" s="36"/>
    </row>
    <row r="586" spans="16:27" x14ac:dyDescent="0.2">
      <c r="P586" s="36"/>
      <c r="Q586" s="40"/>
      <c r="R586" s="40"/>
      <c r="S586" s="40"/>
      <c r="T586" s="41"/>
      <c r="U586" s="41"/>
      <c r="V586" s="41"/>
      <c r="W586" s="36"/>
      <c r="X586" s="36"/>
      <c r="Y586" s="36"/>
      <c r="Z586" s="36"/>
      <c r="AA586" s="36"/>
    </row>
    <row r="587" spans="16:27" x14ac:dyDescent="0.2">
      <c r="P587" s="36"/>
      <c r="Q587" s="40"/>
      <c r="R587" s="40"/>
      <c r="S587" s="40"/>
      <c r="T587" s="41"/>
      <c r="U587" s="41"/>
      <c r="V587" s="41"/>
      <c r="W587" s="36"/>
      <c r="X587" s="36"/>
      <c r="Y587" s="36"/>
      <c r="Z587" s="36"/>
      <c r="AA587" s="36"/>
    </row>
    <row r="588" spans="16:27" x14ac:dyDescent="0.2">
      <c r="P588" s="36"/>
      <c r="Q588" s="40"/>
      <c r="R588" s="40"/>
      <c r="S588" s="40"/>
      <c r="T588" s="41"/>
      <c r="U588" s="41"/>
      <c r="V588" s="41"/>
      <c r="W588" s="36"/>
      <c r="X588" s="36"/>
      <c r="Y588" s="36"/>
      <c r="Z588" s="36"/>
      <c r="AA588" s="36"/>
    </row>
    <row r="589" spans="16:27" x14ac:dyDescent="0.2">
      <c r="P589" s="36"/>
      <c r="Q589" s="40"/>
      <c r="R589" s="40"/>
      <c r="S589" s="40"/>
      <c r="T589" s="41"/>
      <c r="U589" s="41"/>
      <c r="V589" s="41"/>
      <c r="W589" s="36"/>
      <c r="X589" s="36"/>
      <c r="Y589" s="36"/>
      <c r="Z589" s="36"/>
      <c r="AA589" s="36"/>
    </row>
    <row r="590" spans="16:27" x14ac:dyDescent="0.2">
      <c r="P590" s="36"/>
      <c r="Q590" s="40"/>
      <c r="R590" s="40"/>
      <c r="S590" s="40"/>
      <c r="T590" s="41"/>
      <c r="U590" s="41"/>
      <c r="V590" s="41"/>
      <c r="W590" s="36"/>
      <c r="X590" s="36"/>
      <c r="Y590" s="36"/>
      <c r="Z590" s="36"/>
      <c r="AA590" s="36"/>
    </row>
    <row r="591" spans="16:27" x14ac:dyDescent="0.2">
      <c r="P591" s="36"/>
      <c r="Q591" s="40"/>
      <c r="R591" s="40"/>
      <c r="S591" s="40"/>
      <c r="T591" s="41"/>
      <c r="U591" s="41"/>
      <c r="V591" s="41"/>
      <c r="W591" s="36"/>
      <c r="X591" s="36"/>
      <c r="Y591" s="36"/>
      <c r="Z591" s="36"/>
      <c r="AA591" s="36"/>
    </row>
    <row r="592" spans="16:27" x14ac:dyDescent="0.2">
      <c r="P592" s="36"/>
      <c r="Q592" s="40"/>
      <c r="R592" s="40"/>
      <c r="S592" s="40"/>
      <c r="T592" s="41"/>
      <c r="U592" s="41"/>
      <c r="V592" s="41"/>
      <c r="W592" s="36"/>
      <c r="X592" s="36"/>
      <c r="Y592" s="36"/>
      <c r="Z592" s="36"/>
      <c r="AA592" s="36"/>
    </row>
    <row r="593" spans="16:27" x14ac:dyDescent="0.2">
      <c r="P593" s="36"/>
      <c r="Q593" s="40"/>
      <c r="R593" s="40"/>
      <c r="S593" s="40"/>
      <c r="T593" s="41"/>
      <c r="U593" s="41"/>
      <c r="V593" s="41"/>
      <c r="W593" s="36"/>
      <c r="X593" s="36"/>
      <c r="Y593" s="36"/>
      <c r="Z593" s="36"/>
      <c r="AA593" s="36"/>
    </row>
    <row r="594" spans="16:27" x14ac:dyDescent="0.2">
      <c r="P594" s="36"/>
      <c r="Q594" s="40"/>
      <c r="R594" s="40"/>
      <c r="S594" s="40"/>
      <c r="T594" s="41"/>
      <c r="U594" s="41"/>
      <c r="V594" s="41"/>
      <c r="W594" s="36"/>
      <c r="X594" s="36"/>
      <c r="Y594" s="36"/>
      <c r="Z594" s="36"/>
      <c r="AA594" s="36"/>
    </row>
    <row r="595" spans="16:27" x14ac:dyDescent="0.2">
      <c r="P595" s="36"/>
      <c r="Q595" s="40"/>
      <c r="R595" s="40"/>
      <c r="S595" s="40"/>
      <c r="T595" s="41"/>
      <c r="U595" s="41"/>
      <c r="V595" s="41"/>
      <c r="W595" s="36"/>
      <c r="X595" s="36"/>
      <c r="Y595" s="36"/>
      <c r="Z595" s="36"/>
      <c r="AA595" s="36"/>
    </row>
    <row r="596" spans="16:27" x14ac:dyDescent="0.2">
      <c r="P596" s="36"/>
      <c r="Q596" s="40"/>
      <c r="R596" s="40"/>
      <c r="S596" s="40"/>
      <c r="T596" s="41"/>
      <c r="U596" s="41"/>
      <c r="V596" s="41"/>
      <c r="W596" s="36"/>
      <c r="X596" s="36"/>
      <c r="Y596" s="36"/>
      <c r="Z596" s="36"/>
      <c r="AA596" s="36"/>
    </row>
    <row r="597" spans="16:27" x14ac:dyDescent="0.2">
      <c r="P597" s="36"/>
      <c r="Q597" s="40"/>
      <c r="R597" s="40"/>
      <c r="S597" s="40"/>
      <c r="T597" s="41"/>
      <c r="U597" s="41"/>
      <c r="V597" s="41"/>
      <c r="W597" s="36"/>
      <c r="X597" s="36"/>
      <c r="Y597" s="36"/>
      <c r="Z597" s="36"/>
      <c r="AA597" s="36"/>
    </row>
    <row r="598" spans="16:27" x14ac:dyDescent="0.2">
      <c r="P598" s="36"/>
      <c r="Q598" s="40"/>
      <c r="R598" s="40"/>
      <c r="S598" s="40"/>
      <c r="T598" s="41"/>
      <c r="U598" s="41"/>
      <c r="V598" s="41"/>
      <c r="W598" s="36"/>
      <c r="X598" s="36"/>
      <c r="Y598" s="36"/>
      <c r="Z598" s="36"/>
      <c r="AA598" s="36"/>
    </row>
    <row r="599" spans="16:27" x14ac:dyDescent="0.2">
      <c r="P599" s="36"/>
      <c r="Q599" s="40"/>
      <c r="R599" s="40"/>
      <c r="S599" s="40"/>
      <c r="T599" s="41"/>
      <c r="U599" s="41"/>
      <c r="V599" s="41"/>
      <c r="W599" s="36"/>
      <c r="X599" s="36"/>
      <c r="Y599" s="36"/>
      <c r="Z599" s="36"/>
      <c r="AA599" s="36"/>
    </row>
    <row r="600" spans="16:27" x14ac:dyDescent="0.2">
      <c r="P600" s="36"/>
      <c r="Q600" s="40"/>
      <c r="R600" s="40"/>
      <c r="S600" s="40"/>
      <c r="T600" s="41"/>
      <c r="U600" s="41"/>
      <c r="V600" s="41"/>
      <c r="W600" s="36"/>
      <c r="X600" s="36"/>
      <c r="Y600" s="36"/>
      <c r="Z600" s="36"/>
      <c r="AA600" s="36"/>
    </row>
    <row r="601" spans="16:27" x14ac:dyDescent="0.2">
      <c r="P601" s="36"/>
      <c r="Q601" s="40"/>
      <c r="R601" s="40"/>
      <c r="S601" s="40"/>
      <c r="T601" s="41"/>
      <c r="U601" s="41"/>
      <c r="V601" s="41"/>
      <c r="W601" s="36"/>
      <c r="X601" s="36"/>
      <c r="Y601" s="36"/>
      <c r="Z601" s="36"/>
      <c r="AA601" s="36"/>
    </row>
    <row r="602" spans="16:27" x14ac:dyDescent="0.2">
      <c r="P602" s="36"/>
      <c r="Q602" s="40"/>
      <c r="R602" s="40"/>
      <c r="S602" s="40"/>
      <c r="T602" s="41"/>
      <c r="U602" s="41"/>
      <c r="V602" s="41"/>
      <c r="W602" s="36"/>
      <c r="X602" s="36"/>
      <c r="Y602" s="36"/>
      <c r="Z602" s="36"/>
      <c r="AA602" s="36"/>
    </row>
    <row r="603" spans="16:27" x14ac:dyDescent="0.2">
      <c r="P603" s="36"/>
      <c r="Q603" s="40"/>
      <c r="R603" s="40"/>
      <c r="S603" s="40"/>
      <c r="T603" s="41"/>
      <c r="U603" s="41"/>
      <c r="V603" s="41"/>
      <c r="W603" s="36"/>
      <c r="X603" s="36"/>
      <c r="Y603" s="36"/>
      <c r="Z603" s="36"/>
      <c r="AA603" s="36"/>
    </row>
    <row r="604" spans="16:27" x14ac:dyDescent="0.2">
      <c r="P604" s="36"/>
      <c r="Q604" s="40"/>
      <c r="R604" s="40"/>
      <c r="S604" s="40"/>
      <c r="T604" s="41"/>
      <c r="U604" s="41"/>
      <c r="V604" s="41"/>
      <c r="W604" s="36"/>
      <c r="X604" s="36"/>
      <c r="Y604" s="36"/>
      <c r="Z604" s="36"/>
      <c r="AA604" s="36"/>
    </row>
    <row r="605" spans="16:27" x14ac:dyDescent="0.2">
      <c r="P605" s="36"/>
      <c r="Q605" s="40"/>
      <c r="R605" s="40"/>
      <c r="S605" s="40"/>
      <c r="T605" s="41"/>
      <c r="U605" s="41"/>
      <c r="V605" s="41"/>
      <c r="W605" s="36"/>
      <c r="X605" s="36"/>
      <c r="Y605" s="36"/>
      <c r="Z605" s="36"/>
      <c r="AA605" s="36"/>
    </row>
    <row r="606" spans="16:27" x14ac:dyDescent="0.2">
      <c r="P606" s="36"/>
      <c r="Q606" s="40"/>
      <c r="R606" s="40"/>
      <c r="S606" s="40"/>
      <c r="T606" s="41"/>
      <c r="U606" s="41"/>
      <c r="V606" s="41"/>
      <c r="W606" s="36"/>
      <c r="X606" s="36"/>
      <c r="Y606" s="36"/>
      <c r="Z606" s="36"/>
      <c r="AA606" s="36"/>
    </row>
    <row r="607" spans="16:27" x14ac:dyDescent="0.2">
      <c r="P607" s="36"/>
      <c r="Q607" s="40"/>
      <c r="R607" s="40"/>
      <c r="S607" s="40"/>
      <c r="T607" s="41"/>
      <c r="U607" s="41"/>
      <c r="V607" s="41"/>
      <c r="W607" s="36"/>
      <c r="X607" s="36"/>
      <c r="Y607" s="36"/>
      <c r="Z607" s="36"/>
      <c r="AA607" s="36"/>
    </row>
    <row r="608" spans="16:27" x14ac:dyDescent="0.2">
      <c r="P608" s="36"/>
      <c r="Q608" s="40"/>
      <c r="R608" s="40"/>
      <c r="S608" s="40"/>
      <c r="T608" s="41"/>
      <c r="U608" s="41"/>
      <c r="V608" s="41"/>
      <c r="W608" s="36"/>
      <c r="X608" s="36"/>
      <c r="Y608" s="36"/>
      <c r="Z608" s="36"/>
      <c r="AA608" s="36"/>
    </row>
    <row r="609" spans="16:27" x14ac:dyDescent="0.2">
      <c r="P609" s="36"/>
      <c r="Q609" s="40"/>
      <c r="R609" s="40"/>
      <c r="S609" s="40"/>
      <c r="T609" s="41"/>
      <c r="U609" s="41"/>
      <c r="V609" s="41"/>
      <c r="W609" s="36"/>
      <c r="X609" s="36"/>
      <c r="Y609" s="36"/>
      <c r="Z609" s="36"/>
      <c r="AA609" s="36"/>
    </row>
    <row r="610" spans="16:27" x14ac:dyDescent="0.2">
      <c r="P610" s="36"/>
      <c r="Q610" s="40"/>
      <c r="R610" s="40"/>
      <c r="S610" s="40"/>
      <c r="T610" s="41"/>
      <c r="U610" s="41"/>
      <c r="V610" s="41"/>
      <c r="W610" s="36"/>
      <c r="X610" s="36"/>
      <c r="Y610" s="36"/>
      <c r="Z610" s="36"/>
      <c r="AA610" s="36"/>
    </row>
    <row r="611" spans="16:27" x14ac:dyDescent="0.2">
      <c r="P611" s="36"/>
      <c r="Q611" s="40"/>
      <c r="R611" s="40"/>
      <c r="S611" s="40"/>
      <c r="T611" s="41"/>
      <c r="U611" s="41"/>
      <c r="V611" s="41"/>
      <c r="W611" s="36"/>
      <c r="X611" s="36"/>
      <c r="Y611" s="36"/>
      <c r="Z611" s="36"/>
      <c r="AA611" s="36"/>
    </row>
    <row r="612" spans="16:27" x14ac:dyDescent="0.2">
      <c r="P612" s="36"/>
      <c r="Q612" s="40"/>
      <c r="R612" s="40"/>
      <c r="S612" s="40"/>
      <c r="T612" s="41"/>
      <c r="U612" s="41"/>
      <c r="V612" s="41"/>
      <c r="W612" s="36"/>
      <c r="X612" s="36"/>
      <c r="Y612" s="36"/>
      <c r="Z612" s="36"/>
      <c r="AA612" s="36"/>
    </row>
    <row r="613" spans="16:27" x14ac:dyDescent="0.2">
      <c r="P613" s="36"/>
      <c r="Q613" s="40"/>
      <c r="R613" s="40"/>
      <c r="S613" s="40"/>
      <c r="T613" s="41"/>
      <c r="U613" s="41"/>
      <c r="V613" s="41"/>
      <c r="W613" s="36"/>
      <c r="X613" s="36"/>
      <c r="Y613" s="36"/>
      <c r="Z613" s="36"/>
      <c r="AA613" s="36"/>
    </row>
    <row r="614" spans="16:27" x14ac:dyDescent="0.2">
      <c r="P614" s="36"/>
      <c r="Q614" s="40"/>
      <c r="R614" s="40"/>
      <c r="S614" s="40"/>
      <c r="T614" s="41"/>
      <c r="U614" s="41"/>
      <c r="V614" s="41"/>
      <c r="W614" s="36"/>
      <c r="X614" s="36"/>
      <c r="Y614" s="36"/>
      <c r="Z614" s="36"/>
      <c r="AA614" s="36"/>
    </row>
    <row r="615" spans="16:27" x14ac:dyDescent="0.2">
      <c r="P615" s="36"/>
      <c r="Q615" s="40"/>
      <c r="R615" s="40"/>
      <c r="S615" s="40"/>
      <c r="T615" s="41"/>
      <c r="U615" s="41"/>
      <c r="V615" s="41"/>
      <c r="W615" s="36"/>
      <c r="X615" s="36"/>
      <c r="Y615" s="36"/>
      <c r="Z615" s="36"/>
      <c r="AA615" s="36"/>
    </row>
    <row r="616" spans="16:27" x14ac:dyDescent="0.2">
      <c r="P616" s="36"/>
      <c r="Q616" s="40"/>
      <c r="R616" s="40"/>
      <c r="S616" s="40"/>
      <c r="T616" s="41"/>
      <c r="U616" s="41"/>
      <c r="V616" s="41"/>
      <c r="W616" s="36"/>
      <c r="X616" s="36"/>
      <c r="Y616" s="36"/>
      <c r="Z616" s="36"/>
      <c r="AA616" s="36"/>
    </row>
    <row r="617" spans="16:27" x14ac:dyDescent="0.2">
      <c r="P617" s="36"/>
      <c r="Q617" s="40"/>
      <c r="R617" s="40"/>
      <c r="S617" s="40"/>
      <c r="T617" s="41"/>
      <c r="U617" s="41"/>
      <c r="V617" s="41"/>
      <c r="W617" s="36"/>
      <c r="X617" s="36"/>
      <c r="Y617" s="36"/>
      <c r="Z617" s="36"/>
      <c r="AA617" s="36"/>
    </row>
    <row r="618" spans="16:27" x14ac:dyDescent="0.2">
      <c r="P618" s="36"/>
      <c r="Q618" s="40"/>
      <c r="R618" s="40"/>
      <c r="S618" s="40"/>
      <c r="T618" s="41"/>
      <c r="U618" s="41"/>
      <c r="V618" s="41"/>
      <c r="W618" s="36"/>
      <c r="X618" s="36"/>
      <c r="Y618" s="36"/>
      <c r="Z618" s="36"/>
      <c r="AA618" s="36"/>
    </row>
    <row r="619" spans="16:27" x14ac:dyDescent="0.2">
      <c r="P619" s="36"/>
      <c r="Q619" s="40"/>
      <c r="R619" s="40"/>
      <c r="S619" s="40"/>
      <c r="T619" s="41"/>
      <c r="U619" s="41"/>
      <c r="V619" s="41"/>
      <c r="W619" s="36"/>
      <c r="X619" s="36"/>
      <c r="Y619" s="36"/>
      <c r="Z619" s="36"/>
      <c r="AA619" s="36"/>
    </row>
    <row r="620" spans="16:27" x14ac:dyDescent="0.2">
      <c r="P620" s="36"/>
      <c r="Q620" s="40"/>
      <c r="R620" s="40"/>
      <c r="S620" s="40"/>
      <c r="T620" s="41"/>
      <c r="U620" s="41"/>
      <c r="V620" s="41"/>
      <c r="W620" s="36"/>
      <c r="X620" s="36"/>
      <c r="Y620" s="36"/>
      <c r="Z620" s="36"/>
      <c r="AA620" s="36"/>
    </row>
    <row r="621" spans="16:27" x14ac:dyDescent="0.2">
      <c r="P621" s="36"/>
      <c r="Q621" s="40"/>
      <c r="R621" s="40"/>
      <c r="S621" s="40"/>
      <c r="T621" s="41"/>
      <c r="U621" s="41"/>
      <c r="V621" s="41"/>
      <c r="W621" s="36"/>
      <c r="X621" s="36"/>
      <c r="Y621" s="36"/>
      <c r="Z621" s="36"/>
      <c r="AA621" s="36"/>
    </row>
    <row r="622" spans="16:27" x14ac:dyDescent="0.2">
      <c r="P622" s="36"/>
      <c r="Q622" s="40"/>
      <c r="R622" s="40"/>
      <c r="S622" s="40"/>
      <c r="T622" s="41"/>
      <c r="U622" s="41"/>
      <c r="V622" s="41"/>
      <c r="W622" s="36"/>
      <c r="X622" s="36"/>
      <c r="Y622" s="36"/>
      <c r="Z622" s="36"/>
      <c r="AA622" s="36"/>
    </row>
    <row r="623" spans="16:27" x14ac:dyDescent="0.2">
      <c r="P623" s="36"/>
      <c r="Q623" s="40"/>
      <c r="R623" s="40"/>
      <c r="S623" s="40"/>
      <c r="T623" s="41"/>
      <c r="U623" s="41"/>
      <c r="V623" s="41"/>
      <c r="W623" s="36"/>
      <c r="X623" s="36"/>
      <c r="Y623" s="36"/>
      <c r="Z623" s="36"/>
      <c r="AA623" s="36"/>
    </row>
    <row r="624" spans="16:27" x14ac:dyDescent="0.2">
      <c r="P624" s="36"/>
      <c r="Q624" s="40"/>
      <c r="R624" s="40"/>
      <c r="S624" s="40"/>
      <c r="T624" s="41"/>
      <c r="U624" s="41"/>
      <c r="V624" s="41"/>
      <c r="W624" s="36"/>
      <c r="X624" s="36"/>
      <c r="Y624" s="36"/>
      <c r="Z624" s="36"/>
      <c r="AA624" s="36"/>
    </row>
    <row r="625" spans="16:27" x14ac:dyDescent="0.2">
      <c r="P625" s="36"/>
      <c r="Q625" s="40"/>
      <c r="R625" s="40"/>
      <c r="S625" s="40"/>
      <c r="T625" s="41"/>
      <c r="U625" s="41"/>
      <c r="V625" s="41"/>
      <c r="W625" s="36"/>
      <c r="X625" s="36"/>
      <c r="Y625" s="36"/>
      <c r="Z625" s="36"/>
      <c r="AA625" s="36"/>
    </row>
    <row r="626" spans="16:27" x14ac:dyDescent="0.2">
      <c r="P626" s="36"/>
      <c r="Q626" s="40"/>
      <c r="R626" s="40"/>
      <c r="S626" s="40"/>
      <c r="T626" s="41"/>
      <c r="U626" s="41"/>
      <c r="V626" s="41"/>
      <c r="W626" s="36"/>
      <c r="X626" s="36"/>
      <c r="Y626" s="36"/>
      <c r="Z626" s="36"/>
      <c r="AA626" s="36"/>
    </row>
    <row r="627" spans="16:27" x14ac:dyDescent="0.2">
      <c r="P627" s="36"/>
      <c r="Q627" s="40"/>
      <c r="R627" s="40"/>
      <c r="S627" s="40"/>
      <c r="T627" s="41"/>
      <c r="U627" s="41"/>
      <c r="V627" s="41"/>
      <c r="W627" s="36"/>
      <c r="X627" s="36"/>
      <c r="Y627" s="36"/>
      <c r="Z627" s="36"/>
      <c r="AA627" s="36"/>
    </row>
    <row r="628" spans="16:27" x14ac:dyDescent="0.2">
      <c r="P628" s="36"/>
      <c r="Q628" s="40"/>
      <c r="R628" s="40"/>
      <c r="S628" s="40"/>
      <c r="T628" s="41"/>
      <c r="U628" s="41"/>
      <c r="V628" s="41"/>
      <c r="W628" s="36"/>
      <c r="X628" s="36"/>
      <c r="Y628" s="36"/>
      <c r="Z628" s="36"/>
      <c r="AA628" s="36"/>
    </row>
    <row r="629" spans="16:27" x14ac:dyDescent="0.2">
      <c r="P629" s="36"/>
      <c r="Q629" s="40"/>
      <c r="R629" s="40"/>
      <c r="S629" s="40"/>
      <c r="T629" s="41"/>
      <c r="U629" s="41"/>
      <c r="V629" s="41"/>
      <c r="W629" s="36"/>
      <c r="X629" s="36"/>
      <c r="Y629" s="36"/>
      <c r="Z629" s="36"/>
      <c r="AA629" s="36"/>
    </row>
    <row r="630" spans="16:27" x14ac:dyDescent="0.2">
      <c r="P630" s="36"/>
      <c r="Q630" s="40"/>
      <c r="R630" s="40"/>
      <c r="S630" s="40"/>
      <c r="T630" s="41"/>
      <c r="U630" s="41"/>
      <c r="V630" s="41"/>
      <c r="W630" s="36"/>
      <c r="X630" s="36"/>
      <c r="Y630" s="36"/>
      <c r="Z630" s="36"/>
      <c r="AA630" s="36"/>
    </row>
    <row r="631" spans="16:27" x14ac:dyDescent="0.2">
      <c r="P631" s="36"/>
      <c r="Q631" s="40"/>
      <c r="R631" s="40"/>
      <c r="S631" s="40"/>
      <c r="T631" s="41"/>
      <c r="U631" s="41"/>
      <c r="V631" s="41"/>
      <c r="W631" s="36"/>
      <c r="X631" s="36"/>
      <c r="Y631" s="36"/>
      <c r="Z631" s="36"/>
      <c r="AA631" s="36"/>
    </row>
    <row r="632" spans="16:27" x14ac:dyDescent="0.2">
      <c r="P632" s="36"/>
      <c r="Q632" s="40"/>
      <c r="R632" s="40"/>
      <c r="S632" s="40"/>
      <c r="T632" s="41"/>
      <c r="U632" s="41"/>
      <c r="V632" s="41"/>
      <c r="W632" s="36"/>
      <c r="X632" s="36"/>
      <c r="Y632" s="36"/>
      <c r="Z632" s="36"/>
      <c r="AA632" s="36"/>
    </row>
    <row r="633" spans="16:27" x14ac:dyDescent="0.2">
      <c r="P633" s="36"/>
      <c r="Q633" s="40"/>
      <c r="R633" s="40"/>
      <c r="S633" s="40"/>
      <c r="T633" s="41"/>
      <c r="U633" s="41"/>
      <c r="V633" s="41"/>
      <c r="W633" s="36"/>
      <c r="X633" s="36"/>
      <c r="Y633" s="36"/>
      <c r="Z633" s="36"/>
      <c r="AA633" s="36"/>
    </row>
    <row r="634" spans="16:27" x14ac:dyDescent="0.2">
      <c r="P634" s="36"/>
      <c r="Q634" s="40"/>
      <c r="R634" s="40"/>
      <c r="S634" s="40"/>
      <c r="T634" s="41"/>
      <c r="U634" s="41"/>
      <c r="V634" s="41"/>
      <c r="W634" s="36"/>
      <c r="X634" s="36"/>
      <c r="Y634" s="36"/>
      <c r="Z634" s="36"/>
      <c r="AA634" s="36"/>
    </row>
    <row r="635" spans="16:27" x14ac:dyDescent="0.2">
      <c r="P635" s="36"/>
      <c r="Q635" s="40"/>
      <c r="R635" s="40"/>
      <c r="S635" s="40"/>
      <c r="T635" s="41"/>
      <c r="U635" s="41"/>
      <c r="V635" s="41"/>
      <c r="W635" s="36"/>
      <c r="X635" s="36"/>
      <c r="Y635" s="36"/>
      <c r="Z635" s="36"/>
      <c r="AA635" s="36"/>
    </row>
    <row r="636" spans="16:27" x14ac:dyDescent="0.2">
      <c r="P636" s="36"/>
      <c r="Q636" s="40"/>
      <c r="R636" s="40"/>
      <c r="S636" s="40"/>
      <c r="T636" s="41"/>
      <c r="U636" s="41"/>
      <c r="V636" s="41"/>
      <c r="W636" s="36"/>
      <c r="X636" s="36"/>
      <c r="Y636" s="36"/>
      <c r="Z636" s="36"/>
      <c r="AA636" s="36"/>
    </row>
    <row r="637" spans="16:27" x14ac:dyDescent="0.2">
      <c r="P637" s="36"/>
      <c r="Q637" s="40"/>
      <c r="R637" s="40"/>
      <c r="S637" s="40"/>
      <c r="T637" s="41"/>
      <c r="U637" s="41"/>
      <c r="V637" s="41"/>
      <c r="W637" s="36"/>
      <c r="X637" s="36"/>
      <c r="Y637" s="36"/>
      <c r="Z637" s="36"/>
      <c r="AA637" s="36"/>
    </row>
    <row r="638" spans="16:27" x14ac:dyDescent="0.2">
      <c r="P638" s="36"/>
      <c r="Q638" s="40"/>
      <c r="R638" s="40"/>
      <c r="S638" s="40"/>
      <c r="T638" s="41"/>
      <c r="U638" s="41"/>
      <c r="V638" s="41"/>
      <c r="W638" s="36"/>
      <c r="X638" s="36"/>
      <c r="Y638" s="36"/>
      <c r="Z638" s="36"/>
      <c r="AA638" s="36"/>
    </row>
    <row r="639" spans="16:27" x14ac:dyDescent="0.2">
      <c r="P639" s="36"/>
      <c r="Q639" s="40"/>
      <c r="R639" s="40"/>
      <c r="S639" s="40"/>
      <c r="T639" s="41"/>
      <c r="U639" s="41"/>
      <c r="V639" s="41"/>
      <c r="W639" s="36"/>
      <c r="X639" s="36"/>
      <c r="Y639" s="36"/>
      <c r="Z639" s="36"/>
      <c r="AA639" s="36"/>
    </row>
    <row r="640" spans="16:27" x14ac:dyDescent="0.2">
      <c r="P640" s="36"/>
      <c r="Q640" s="40"/>
      <c r="R640" s="40"/>
      <c r="S640" s="40"/>
      <c r="T640" s="41"/>
      <c r="U640" s="41"/>
      <c r="V640" s="41"/>
      <c r="W640" s="36"/>
      <c r="X640" s="36"/>
      <c r="Y640" s="36"/>
      <c r="Z640" s="36"/>
      <c r="AA640" s="36"/>
    </row>
    <row r="641" spans="16:27" x14ac:dyDescent="0.2">
      <c r="P641" s="36"/>
      <c r="Q641" s="40"/>
      <c r="R641" s="40"/>
      <c r="S641" s="40"/>
      <c r="T641" s="41"/>
      <c r="U641" s="41"/>
      <c r="V641" s="41"/>
      <c r="W641" s="36"/>
      <c r="X641" s="36"/>
      <c r="Y641" s="36"/>
      <c r="Z641" s="36"/>
      <c r="AA641" s="36"/>
    </row>
    <row r="642" spans="16:27" x14ac:dyDescent="0.2">
      <c r="P642" s="36"/>
      <c r="Q642" s="40"/>
      <c r="R642" s="40"/>
      <c r="S642" s="40"/>
      <c r="T642" s="41"/>
      <c r="U642" s="41"/>
      <c r="V642" s="41"/>
      <c r="W642" s="36"/>
      <c r="X642" s="36"/>
      <c r="Y642" s="36"/>
      <c r="Z642" s="36"/>
      <c r="AA642" s="36"/>
    </row>
    <row r="643" spans="16:27" x14ac:dyDescent="0.2">
      <c r="P643" s="36"/>
      <c r="Q643" s="40"/>
      <c r="R643" s="40"/>
      <c r="S643" s="40"/>
      <c r="T643" s="41"/>
      <c r="U643" s="41"/>
      <c r="V643" s="41"/>
      <c r="W643" s="36"/>
      <c r="X643" s="36"/>
      <c r="Y643" s="36"/>
      <c r="Z643" s="36"/>
      <c r="AA643" s="36"/>
    </row>
    <row r="644" spans="16:27" x14ac:dyDescent="0.2">
      <c r="P644" s="36"/>
      <c r="Q644" s="40"/>
      <c r="R644" s="40"/>
      <c r="S644" s="40"/>
      <c r="T644" s="41"/>
      <c r="U644" s="41"/>
      <c r="V644" s="41"/>
      <c r="W644" s="36"/>
      <c r="X644" s="36"/>
      <c r="Y644" s="36"/>
      <c r="Z644" s="36"/>
      <c r="AA644" s="36"/>
    </row>
    <row r="645" spans="16:27" x14ac:dyDescent="0.2">
      <c r="P645" s="36"/>
      <c r="Q645" s="40"/>
      <c r="R645" s="40"/>
      <c r="S645" s="40"/>
      <c r="T645" s="41"/>
      <c r="U645" s="41"/>
      <c r="V645" s="41"/>
      <c r="W645" s="36"/>
      <c r="X645" s="36"/>
      <c r="Y645" s="36"/>
      <c r="Z645" s="36"/>
      <c r="AA645" s="36"/>
    </row>
    <row r="646" spans="16:27" x14ac:dyDescent="0.2">
      <c r="P646" s="36"/>
      <c r="Q646" s="40"/>
      <c r="R646" s="40"/>
      <c r="S646" s="40"/>
      <c r="T646" s="41"/>
      <c r="U646" s="41"/>
      <c r="V646" s="41"/>
      <c r="W646" s="36"/>
      <c r="X646" s="36"/>
      <c r="Y646" s="36"/>
      <c r="Z646" s="36"/>
      <c r="AA646" s="36"/>
    </row>
    <row r="647" spans="16:27" x14ac:dyDescent="0.2">
      <c r="P647" s="36"/>
      <c r="Q647" s="40"/>
      <c r="R647" s="40"/>
      <c r="S647" s="40"/>
      <c r="T647" s="41"/>
      <c r="U647" s="41"/>
      <c r="V647" s="41"/>
      <c r="W647" s="36"/>
      <c r="X647" s="36"/>
      <c r="Y647" s="36"/>
      <c r="Z647" s="36"/>
      <c r="AA647" s="36"/>
    </row>
    <row r="648" spans="16:27" x14ac:dyDescent="0.2">
      <c r="P648" s="36"/>
      <c r="Q648" s="40"/>
      <c r="R648" s="40"/>
      <c r="S648" s="40"/>
      <c r="T648" s="41"/>
      <c r="U648" s="41"/>
      <c r="V648" s="41"/>
      <c r="W648" s="36"/>
      <c r="X648" s="36"/>
      <c r="Y648" s="36"/>
      <c r="Z648" s="36"/>
      <c r="AA648" s="36"/>
    </row>
    <row r="649" spans="16:27" x14ac:dyDescent="0.2">
      <c r="P649" s="36"/>
      <c r="Q649" s="40"/>
      <c r="R649" s="40"/>
      <c r="S649" s="40"/>
      <c r="T649" s="41"/>
      <c r="U649" s="41"/>
      <c r="V649" s="41"/>
      <c r="W649" s="36"/>
      <c r="X649" s="36"/>
      <c r="Y649" s="36"/>
      <c r="Z649" s="36"/>
      <c r="AA649" s="36"/>
    </row>
    <row r="650" spans="16:27" x14ac:dyDescent="0.2">
      <c r="P650" s="36"/>
      <c r="Q650" s="40"/>
      <c r="R650" s="40"/>
      <c r="S650" s="40"/>
      <c r="T650" s="41"/>
      <c r="U650" s="41"/>
      <c r="V650" s="41"/>
      <c r="W650" s="36"/>
      <c r="X650" s="36"/>
      <c r="Y650" s="36"/>
      <c r="Z650" s="36"/>
      <c r="AA650" s="36"/>
    </row>
    <row r="651" spans="16:27" x14ac:dyDescent="0.2">
      <c r="P651" s="36"/>
      <c r="Q651" s="40"/>
      <c r="R651" s="40"/>
      <c r="S651" s="40"/>
      <c r="T651" s="41"/>
      <c r="U651" s="41"/>
      <c r="V651" s="41"/>
      <c r="W651" s="36"/>
      <c r="X651" s="36"/>
      <c r="Y651" s="36"/>
      <c r="Z651" s="36"/>
      <c r="AA651" s="36"/>
    </row>
    <row r="652" spans="16:27" x14ac:dyDescent="0.2">
      <c r="P652" s="36"/>
      <c r="Q652" s="40"/>
      <c r="R652" s="40"/>
      <c r="S652" s="40"/>
      <c r="T652" s="41"/>
      <c r="U652" s="41"/>
      <c r="V652" s="41"/>
      <c r="W652" s="36"/>
      <c r="X652" s="36"/>
      <c r="Y652" s="36"/>
      <c r="Z652" s="36"/>
      <c r="AA652" s="36"/>
    </row>
    <row r="653" spans="16:27" x14ac:dyDescent="0.2">
      <c r="P653" s="36"/>
      <c r="Q653" s="40"/>
      <c r="R653" s="40"/>
      <c r="S653" s="40"/>
      <c r="T653" s="41"/>
      <c r="U653" s="41"/>
      <c r="V653" s="41"/>
      <c r="W653" s="36"/>
      <c r="X653" s="36"/>
      <c r="Y653" s="36"/>
      <c r="Z653" s="36"/>
      <c r="AA653" s="36"/>
    </row>
    <row r="654" spans="16:27" x14ac:dyDescent="0.2">
      <c r="P654" s="36"/>
      <c r="Q654" s="40"/>
      <c r="R654" s="40"/>
      <c r="S654" s="40"/>
      <c r="T654" s="41"/>
      <c r="U654" s="41"/>
      <c r="V654" s="41"/>
      <c r="W654" s="36"/>
      <c r="X654" s="36"/>
      <c r="Y654" s="36"/>
      <c r="Z654" s="36"/>
      <c r="AA654" s="36"/>
    </row>
    <row r="655" spans="16:27" x14ac:dyDescent="0.2">
      <c r="P655" s="36"/>
      <c r="Q655" s="40"/>
      <c r="R655" s="40"/>
      <c r="S655" s="40"/>
      <c r="T655" s="41"/>
      <c r="U655" s="41"/>
      <c r="V655" s="41"/>
      <c r="W655" s="36"/>
      <c r="X655" s="36"/>
      <c r="Y655" s="36"/>
      <c r="Z655" s="36"/>
      <c r="AA655" s="36"/>
    </row>
    <row r="656" spans="16:27" x14ac:dyDescent="0.2">
      <c r="P656" s="36"/>
      <c r="Q656" s="40"/>
      <c r="R656" s="40"/>
      <c r="S656" s="40"/>
      <c r="T656" s="41"/>
      <c r="U656" s="41"/>
      <c r="V656" s="41"/>
      <c r="W656" s="36"/>
      <c r="X656" s="36"/>
      <c r="Y656" s="36"/>
      <c r="Z656" s="36"/>
      <c r="AA656" s="36"/>
    </row>
    <row r="657" spans="16:27" x14ac:dyDescent="0.2">
      <c r="P657" s="36"/>
      <c r="Q657" s="40"/>
      <c r="R657" s="40"/>
      <c r="S657" s="40"/>
      <c r="T657" s="41"/>
      <c r="U657" s="41"/>
      <c r="V657" s="41"/>
      <c r="W657" s="36"/>
      <c r="X657" s="36"/>
      <c r="Y657" s="36"/>
      <c r="Z657" s="36"/>
      <c r="AA657" s="36"/>
    </row>
    <row r="658" spans="16:27" x14ac:dyDescent="0.2">
      <c r="P658" s="36"/>
      <c r="Q658" s="40"/>
      <c r="R658" s="40"/>
      <c r="S658" s="40"/>
      <c r="T658" s="41"/>
      <c r="U658" s="41"/>
      <c r="V658" s="41"/>
      <c r="W658" s="36"/>
      <c r="X658" s="36"/>
      <c r="Y658" s="36"/>
      <c r="Z658" s="36"/>
      <c r="AA658" s="36"/>
    </row>
    <row r="659" spans="16:27" x14ac:dyDescent="0.2">
      <c r="P659" s="36"/>
      <c r="Q659" s="40"/>
      <c r="R659" s="40"/>
      <c r="S659" s="40"/>
      <c r="T659" s="41"/>
      <c r="U659" s="41"/>
      <c r="V659" s="41"/>
      <c r="W659" s="36"/>
      <c r="X659" s="36"/>
      <c r="Y659" s="36"/>
      <c r="Z659" s="36"/>
      <c r="AA659" s="36"/>
    </row>
    <row r="660" spans="16:27" x14ac:dyDescent="0.2">
      <c r="P660" s="36"/>
      <c r="Q660" s="40"/>
      <c r="R660" s="40"/>
      <c r="S660" s="40"/>
      <c r="T660" s="41"/>
      <c r="U660" s="41"/>
      <c r="V660" s="41"/>
      <c r="W660" s="36"/>
      <c r="X660" s="36"/>
      <c r="Y660" s="36"/>
      <c r="Z660" s="36"/>
      <c r="AA660" s="36"/>
    </row>
    <row r="661" spans="16:27" x14ac:dyDescent="0.2">
      <c r="P661" s="36"/>
      <c r="Q661" s="40"/>
      <c r="R661" s="40"/>
      <c r="S661" s="40"/>
      <c r="T661" s="41"/>
      <c r="U661" s="41"/>
      <c r="V661" s="41"/>
      <c r="W661" s="36"/>
      <c r="X661" s="36"/>
      <c r="Y661" s="36"/>
      <c r="Z661" s="36"/>
      <c r="AA661" s="36"/>
    </row>
    <row r="662" spans="16:27" x14ac:dyDescent="0.2">
      <c r="P662" s="36"/>
      <c r="Q662" s="40"/>
      <c r="R662" s="40"/>
      <c r="S662" s="40"/>
      <c r="T662" s="41"/>
      <c r="U662" s="41"/>
      <c r="V662" s="41"/>
      <c r="W662" s="36"/>
      <c r="X662" s="36"/>
      <c r="Y662" s="36"/>
      <c r="Z662" s="36"/>
      <c r="AA662" s="36"/>
    </row>
    <row r="663" spans="16:27" x14ac:dyDescent="0.2">
      <c r="P663" s="36"/>
      <c r="Q663" s="40"/>
      <c r="R663" s="40"/>
      <c r="S663" s="40"/>
      <c r="T663" s="41"/>
      <c r="U663" s="41"/>
      <c r="V663" s="41"/>
      <c r="W663" s="36"/>
      <c r="X663" s="36"/>
      <c r="Y663" s="36"/>
      <c r="Z663" s="36"/>
      <c r="AA663" s="36"/>
    </row>
    <row r="664" spans="16:27" x14ac:dyDescent="0.2">
      <c r="P664" s="36"/>
      <c r="Q664" s="40"/>
      <c r="R664" s="40"/>
      <c r="S664" s="40"/>
      <c r="T664" s="41"/>
      <c r="U664" s="41"/>
      <c r="V664" s="41"/>
      <c r="W664" s="36"/>
      <c r="X664" s="36"/>
      <c r="Y664" s="36"/>
      <c r="Z664" s="36"/>
      <c r="AA664" s="36"/>
    </row>
    <row r="665" spans="16:27" x14ac:dyDescent="0.2">
      <c r="P665" s="36"/>
      <c r="Q665" s="40"/>
      <c r="R665" s="40"/>
      <c r="S665" s="40"/>
      <c r="T665" s="41"/>
      <c r="U665" s="41"/>
      <c r="V665" s="41"/>
      <c r="W665" s="36"/>
      <c r="X665" s="36"/>
      <c r="Y665" s="36"/>
      <c r="Z665" s="36"/>
      <c r="AA665" s="36"/>
    </row>
    <row r="666" spans="16:27" x14ac:dyDescent="0.2">
      <c r="P666" s="36"/>
      <c r="Q666" s="40"/>
      <c r="R666" s="40"/>
      <c r="S666" s="40"/>
      <c r="T666" s="41"/>
      <c r="U666" s="41"/>
      <c r="V666" s="41"/>
      <c r="W666" s="36"/>
      <c r="X666" s="36"/>
      <c r="Y666" s="36"/>
      <c r="Z666" s="36"/>
      <c r="AA666" s="36"/>
    </row>
    <row r="667" spans="16:27" x14ac:dyDescent="0.2">
      <c r="P667" s="36"/>
      <c r="Q667" s="40"/>
      <c r="R667" s="40"/>
      <c r="S667" s="40"/>
      <c r="T667" s="41"/>
      <c r="U667" s="41"/>
      <c r="V667" s="41"/>
      <c r="W667" s="36"/>
      <c r="X667" s="36"/>
      <c r="Y667" s="36"/>
      <c r="Z667" s="36"/>
      <c r="AA667" s="36"/>
    </row>
    <row r="668" spans="16:27" x14ac:dyDescent="0.2">
      <c r="P668" s="36"/>
      <c r="Q668" s="40"/>
      <c r="R668" s="40"/>
      <c r="S668" s="40"/>
      <c r="T668" s="41"/>
      <c r="U668" s="41"/>
      <c r="V668" s="41"/>
      <c r="W668" s="36"/>
      <c r="X668" s="36"/>
      <c r="Y668" s="36"/>
      <c r="Z668" s="36"/>
      <c r="AA668" s="36"/>
    </row>
    <row r="669" spans="16:27" x14ac:dyDescent="0.2">
      <c r="P669" s="36"/>
      <c r="Q669" s="40"/>
      <c r="R669" s="40"/>
      <c r="S669" s="40"/>
      <c r="T669" s="41"/>
      <c r="U669" s="41"/>
      <c r="V669" s="41"/>
      <c r="W669" s="36"/>
      <c r="X669" s="36"/>
      <c r="Y669" s="36"/>
      <c r="Z669" s="36"/>
      <c r="AA669" s="36"/>
    </row>
    <row r="670" spans="16:27" x14ac:dyDescent="0.2">
      <c r="P670" s="36"/>
      <c r="Q670" s="40"/>
      <c r="R670" s="40"/>
      <c r="S670" s="40"/>
      <c r="T670" s="41"/>
      <c r="U670" s="41"/>
      <c r="V670" s="41"/>
      <c r="W670" s="36"/>
      <c r="X670" s="36"/>
      <c r="Y670" s="36"/>
      <c r="Z670" s="36"/>
      <c r="AA670" s="36"/>
    </row>
    <row r="671" spans="16:27" x14ac:dyDescent="0.2">
      <c r="P671" s="36"/>
      <c r="Q671" s="40"/>
      <c r="R671" s="40"/>
      <c r="S671" s="40"/>
      <c r="T671" s="41"/>
      <c r="U671" s="41"/>
      <c r="V671" s="41"/>
      <c r="W671" s="36"/>
      <c r="X671" s="36"/>
      <c r="Y671" s="36"/>
      <c r="Z671" s="36"/>
      <c r="AA671" s="36"/>
    </row>
    <row r="672" spans="16:27" x14ac:dyDescent="0.2">
      <c r="P672" s="36"/>
      <c r="Q672" s="40"/>
      <c r="R672" s="40"/>
      <c r="S672" s="40"/>
      <c r="T672" s="41"/>
      <c r="U672" s="41"/>
      <c r="V672" s="41"/>
      <c r="W672" s="36"/>
      <c r="X672" s="36"/>
      <c r="Y672" s="36"/>
      <c r="Z672" s="36"/>
      <c r="AA672" s="36"/>
    </row>
    <row r="673" spans="16:27" x14ac:dyDescent="0.2">
      <c r="P673" s="36"/>
      <c r="Q673" s="40"/>
      <c r="R673" s="40"/>
      <c r="S673" s="40"/>
      <c r="T673" s="41"/>
      <c r="U673" s="41"/>
      <c r="V673" s="41"/>
      <c r="W673" s="36"/>
      <c r="X673" s="36"/>
      <c r="Y673" s="36"/>
      <c r="Z673" s="36"/>
      <c r="AA673" s="36"/>
    </row>
    <row r="674" spans="16:27" x14ac:dyDescent="0.2">
      <c r="P674" s="36"/>
      <c r="Q674" s="40"/>
      <c r="R674" s="40"/>
      <c r="S674" s="40"/>
      <c r="T674" s="41"/>
      <c r="U674" s="41"/>
      <c r="V674" s="41"/>
      <c r="W674" s="36"/>
      <c r="X674" s="36"/>
      <c r="Y674" s="36"/>
      <c r="Z674" s="36"/>
      <c r="AA674" s="36"/>
    </row>
    <row r="675" spans="16:27" x14ac:dyDescent="0.2">
      <c r="P675" s="36"/>
      <c r="Q675" s="40"/>
      <c r="R675" s="40"/>
      <c r="S675" s="40"/>
      <c r="T675" s="41"/>
      <c r="U675" s="41"/>
      <c r="V675" s="41"/>
      <c r="W675" s="36"/>
      <c r="X675" s="36"/>
      <c r="Y675" s="36"/>
      <c r="Z675" s="36"/>
      <c r="AA675" s="36"/>
    </row>
    <row r="676" spans="16:27" x14ac:dyDescent="0.2">
      <c r="P676" s="36"/>
      <c r="Q676" s="40"/>
      <c r="R676" s="40"/>
      <c r="S676" s="40"/>
      <c r="T676" s="41"/>
      <c r="U676" s="41"/>
      <c r="V676" s="41"/>
      <c r="W676" s="36"/>
      <c r="X676" s="36"/>
      <c r="Y676" s="36"/>
      <c r="Z676" s="36"/>
      <c r="AA676" s="36"/>
    </row>
    <row r="677" spans="16:27" x14ac:dyDescent="0.2">
      <c r="P677" s="36"/>
      <c r="Q677" s="40"/>
      <c r="R677" s="40"/>
      <c r="S677" s="40"/>
      <c r="T677" s="41"/>
      <c r="U677" s="41"/>
      <c r="V677" s="41"/>
      <c r="W677" s="36"/>
      <c r="X677" s="36"/>
      <c r="Y677" s="36"/>
      <c r="Z677" s="36"/>
      <c r="AA677" s="36"/>
    </row>
    <row r="678" spans="16:27" x14ac:dyDescent="0.2">
      <c r="P678" s="36"/>
      <c r="Q678" s="40"/>
      <c r="R678" s="40"/>
      <c r="S678" s="40"/>
      <c r="T678" s="41"/>
      <c r="U678" s="41"/>
      <c r="V678" s="41"/>
      <c r="W678" s="36"/>
      <c r="X678" s="36"/>
      <c r="Y678" s="36"/>
      <c r="Z678" s="36"/>
      <c r="AA678" s="36"/>
    </row>
    <row r="679" spans="16:27" x14ac:dyDescent="0.2">
      <c r="P679" s="36"/>
      <c r="Q679" s="40"/>
      <c r="R679" s="40"/>
      <c r="S679" s="40"/>
      <c r="T679" s="41"/>
      <c r="U679" s="41"/>
      <c r="V679" s="41"/>
      <c r="W679" s="36"/>
      <c r="X679" s="36"/>
      <c r="Y679" s="36"/>
      <c r="Z679" s="36"/>
      <c r="AA679" s="36"/>
    </row>
    <row r="680" spans="16:27" x14ac:dyDescent="0.2">
      <c r="P680" s="36"/>
      <c r="Q680" s="40"/>
      <c r="R680" s="40"/>
      <c r="S680" s="40"/>
      <c r="T680" s="41"/>
      <c r="U680" s="41"/>
      <c r="V680" s="41"/>
      <c r="W680" s="36"/>
      <c r="X680" s="36"/>
      <c r="Y680" s="36"/>
      <c r="Z680" s="36"/>
      <c r="AA680" s="36"/>
    </row>
    <row r="681" spans="16:27" x14ac:dyDescent="0.2">
      <c r="P681" s="36"/>
      <c r="Q681" s="40"/>
      <c r="R681" s="40"/>
      <c r="S681" s="40"/>
      <c r="T681" s="41"/>
      <c r="U681" s="41"/>
      <c r="V681" s="41"/>
      <c r="W681" s="36"/>
      <c r="X681" s="36"/>
      <c r="Y681" s="36"/>
      <c r="Z681" s="36"/>
      <c r="AA681" s="36"/>
    </row>
    <row r="682" spans="16:27" x14ac:dyDescent="0.2">
      <c r="P682" s="36"/>
      <c r="Q682" s="40"/>
      <c r="R682" s="40"/>
      <c r="S682" s="40"/>
      <c r="T682" s="41"/>
      <c r="U682" s="41"/>
      <c r="V682" s="41"/>
      <c r="W682" s="36"/>
      <c r="X682" s="36"/>
      <c r="Y682" s="36"/>
      <c r="Z682" s="36"/>
      <c r="AA682" s="36"/>
    </row>
    <row r="683" spans="16:27" x14ac:dyDescent="0.2">
      <c r="P683" s="36"/>
      <c r="Q683" s="40"/>
      <c r="R683" s="40"/>
      <c r="S683" s="40"/>
      <c r="T683" s="41"/>
      <c r="U683" s="41"/>
      <c r="V683" s="41"/>
      <c r="W683" s="36"/>
      <c r="X683" s="36"/>
      <c r="Y683" s="36"/>
      <c r="Z683" s="36"/>
      <c r="AA683" s="36"/>
    </row>
    <row r="684" spans="16:27" x14ac:dyDescent="0.2">
      <c r="P684" s="36"/>
      <c r="Q684" s="40"/>
      <c r="R684" s="40"/>
      <c r="S684" s="40"/>
      <c r="T684" s="41"/>
      <c r="U684" s="41"/>
      <c r="V684" s="41"/>
      <c r="W684" s="36"/>
      <c r="X684" s="36"/>
      <c r="Y684" s="36"/>
      <c r="Z684" s="36"/>
      <c r="AA684" s="36"/>
    </row>
    <row r="685" spans="16:27" x14ac:dyDescent="0.2">
      <c r="P685" s="36"/>
      <c r="Q685" s="40"/>
      <c r="R685" s="40"/>
      <c r="S685" s="40"/>
      <c r="T685" s="41"/>
      <c r="U685" s="41"/>
      <c r="V685" s="41"/>
      <c r="W685" s="36"/>
      <c r="X685" s="36"/>
      <c r="Y685" s="36"/>
      <c r="Z685" s="36"/>
      <c r="AA685" s="36"/>
    </row>
    <row r="686" spans="16:27" x14ac:dyDescent="0.2">
      <c r="P686" s="36"/>
      <c r="Q686" s="40"/>
      <c r="R686" s="40"/>
      <c r="S686" s="40"/>
      <c r="T686" s="41"/>
      <c r="U686" s="41"/>
      <c r="V686" s="41"/>
      <c r="W686" s="36"/>
      <c r="X686" s="36"/>
      <c r="Y686" s="36"/>
      <c r="Z686" s="36"/>
      <c r="AA686" s="36"/>
    </row>
    <row r="687" spans="16:27" x14ac:dyDescent="0.2">
      <c r="P687" s="36"/>
      <c r="Q687" s="40"/>
      <c r="R687" s="40"/>
      <c r="S687" s="40"/>
      <c r="T687" s="41"/>
      <c r="U687" s="41"/>
      <c r="V687" s="41"/>
      <c r="W687" s="36"/>
      <c r="X687" s="36"/>
      <c r="Y687" s="36"/>
      <c r="Z687" s="36"/>
      <c r="AA687" s="36"/>
    </row>
    <row r="688" spans="16:27" x14ac:dyDescent="0.2">
      <c r="P688" s="36"/>
      <c r="Q688" s="40"/>
      <c r="R688" s="40"/>
      <c r="S688" s="40"/>
      <c r="T688" s="41"/>
      <c r="U688" s="41"/>
      <c r="V688" s="41"/>
      <c r="W688" s="36"/>
      <c r="X688" s="36"/>
      <c r="Y688" s="36"/>
      <c r="Z688" s="36"/>
      <c r="AA688" s="36"/>
    </row>
    <row r="689" spans="16:27" x14ac:dyDescent="0.2">
      <c r="P689" s="36"/>
      <c r="Q689" s="40"/>
      <c r="R689" s="40"/>
      <c r="S689" s="40"/>
      <c r="T689" s="41"/>
      <c r="U689" s="41"/>
      <c r="V689" s="41"/>
      <c r="W689" s="36"/>
      <c r="X689" s="36"/>
      <c r="Y689" s="36"/>
      <c r="Z689" s="36"/>
      <c r="AA689" s="36"/>
    </row>
    <row r="690" spans="16:27" x14ac:dyDescent="0.2">
      <c r="P690" s="36"/>
      <c r="Q690" s="40"/>
      <c r="R690" s="40"/>
      <c r="S690" s="40"/>
      <c r="T690" s="41"/>
      <c r="U690" s="41"/>
      <c r="V690" s="41"/>
      <c r="W690" s="36"/>
      <c r="X690" s="36"/>
      <c r="Y690" s="36"/>
      <c r="Z690" s="36"/>
      <c r="AA690" s="36"/>
    </row>
    <row r="691" spans="16:27" x14ac:dyDescent="0.2">
      <c r="P691" s="36"/>
      <c r="Q691" s="40"/>
      <c r="R691" s="40"/>
      <c r="S691" s="40"/>
      <c r="T691" s="41"/>
      <c r="U691" s="41"/>
      <c r="V691" s="41"/>
      <c r="W691" s="36"/>
      <c r="X691" s="36"/>
      <c r="Y691" s="36"/>
      <c r="Z691" s="36"/>
      <c r="AA691" s="36"/>
    </row>
    <row r="692" spans="16:27" x14ac:dyDescent="0.2">
      <c r="P692" s="36"/>
      <c r="Q692" s="40"/>
      <c r="R692" s="40"/>
      <c r="S692" s="40"/>
      <c r="T692" s="41"/>
      <c r="U692" s="41"/>
      <c r="V692" s="41"/>
      <c r="W692" s="36"/>
      <c r="X692" s="36"/>
      <c r="Y692" s="36"/>
      <c r="Z692" s="36"/>
      <c r="AA692" s="36"/>
    </row>
    <row r="693" spans="16:27" x14ac:dyDescent="0.2">
      <c r="P693" s="36"/>
      <c r="Q693" s="40"/>
      <c r="R693" s="40"/>
      <c r="S693" s="40"/>
      <c r="T693" s="41"/>
      <c r="U693" s="41"/>
      <c r="V693" s="41"/>
      <c r="W693" s="36"/>
      <c r="X693" s="36"/>
      <c r="Y693" s="36"/>
      <c r="Z693" s="36"/>
      <c r="AA693" s="36"/>
    </row>
    <row r="694" spans="16:27" x14ac:dyDescent="0.2">
      <c r="P694" s="36"/>
      <c r="Q694" s="40"/>
      <c r="R694" s="40"/>
      <c r="S694" s="40"/>
      <c r="T694" s="41"/>
      <c r="U694" s="41"/>
      <c r="V694" s="41"/>
      <c r="W694" s="36"/>
      <c r="X694" s="36"/>
      <c r="Y694" s="36"/>
      <c r="Z694" s="36"/>
      <c r="AA694" s="36"/>
    </row>
    <row r="695" spans="16:27" x14ac:dyDescent="0.2">
      <c r="P695" s="36"/>
      <c r="Q695" s="40"/>
      <c r="R695" s="40"/>
      <c r="S695" s="40"/>
      <c r="T695" s="41"/>
      <c r="U695" s="41"/>
      <c r="V695" s="41"/>
      <c r="W695" s="36"/>
      <c r="X695" s="36"/>
      <c r="Y695" s="36"/>
      <c r="Z695" s="36"/>
      <c r="AA695" s="36"/>
    </row>
    <row r="696" spans="16:27" x14ac:dyDescent="0.2">
      <c r="P696" s="36"/>
      <c r="Q696" s="40"/>
      <c r="R696" s="40"/>
      <c r="S696" s="40"/>
      <c r="T696" s="41"/>
      <c r="U696" s="41"/>
      <c r="V696" s="41"/>
      <c r="W696" s="36"/>
      <c r="X696" s="36"/>
      <c r="Y696" s="36"/>
      <c r="Z696" s="36"/>
      <c r="AA696" s="36"/>
    </row>
    <row r="697" spans="16:27" x14ac:dyDescent="0.2">
      <c r="P697" s="36"/>
      <c r="Q697" s="40"/>
      <c r="R697" s="40"/>
      <c r="S697" s="40"/>
      <c r="T697" s="41"/>
      <c r="U697" s="41"/>
      <c r="V697" s="41"/>
      <c r="W697" s="36"/>
      <c r="X697" s="36"/>
      <c r="Y697" s="36"/>
      <c r="Z697" s="36"/>
      <c r="AA697" s="36"/>
    </row>
    <row r="698" spans="16:27" x14ac:dyDescent="0.2">
      <c r="P698" s="36"/>
      <c r="Q698" s="40"/>
      <c r="R698" s="40"/>
      <c r="S698" s="40"/>
      <c r="T698" s="41"/>
      <c r="U698" s="41"/>
      <c r="V698" s="41"/>
      <c r="W698" s="36"/>
      <c r="X698" s="36"/>
      <c r="Y698" s="36"/>
      <c r="Z698" s="36"/>
      <c r="AA698" s="36"/>
    </row>
    <row r="699" spans="16:27" x14ac:dyDescent="0.2">
      <c r="P699" s="36"/>
      <c r="Q699" s="40"/>
      <c r="R699" s="40"/>
      <c r="S699" s="40"/>
      <c r="T699" s="41"/>
      <c r="U699" s="41"/>
      <c r="V699" s="41"/>
      <c r="W699" s="36"/>
      <c r="X699" s="36"/>
      <c r="Y699" s="36"/>
      <c r="Z699" s="36"/>
      <c r="AA699" s="36"/>
    </row>
    <row r="700" spans="16:27" x14ac:dyDescent="0.2">
      <c r="P700" s="36"/>
      <c r="Q700" s="40"/>
      <c r="R700" s="40"/>
      <c r="S700" s="40"/>
      <c r="T700" s="41"/>
      <c r="U700" s="41"/>
      <c r="V700" s="41"/>
      <c r="W700" s="36"/>
      <c r="X700" s="36"/>
      <c r="Y700" s="36"/>
      <c r="Z700" s="36"/>
      <c r="AA700" s="36"/>
    </row>
    <row r="701" spans="16:27" x14ac:dyDescent="0.2">
      <c r="P701" s="36"/>
      <c r="Q701" s="40"/>
      <c r="R701" s="40"/>
      <c r="S701" s="40"/>
      <c r="T701" s="41"/>
      <c r="U701" s="41"/>
      <c r="V701" s="41"/>
      <c r="W701" s="36"/>
      <c r="X701" s="36"/>
      <c r="Y701" s="36"/>
      <c r="Z701" s="36"/>
      <c r="AA701" s="36"/>
    </row>
    <row r="702" spans="16:27" x14ac:dyDescent="0.2">
      <c r="P702" s="36"/>
      <c r="Q702" s="40"/>
      <c r="R702" s="40"/>
      <c r="S702" s="40"/>
      <c r="T702" s="41"/>
      <c r="U702" s="41"/>
      <c r="V702" s="41"/>
      <c r="W702" s="36"/>
      <c r="X702" s="36"/>
      <c r="Y702" s="36"/>
      <c r="Z702" s="36"/>
      <c r="AA702" s="36"/>
    </row>
    <row r="703" spans="16:27" x14ac:dyDescent="0.2">
      <c r="P703" s="36"/>
      <c r="Q703" s="40"/>
      <c r="R703" s="40"/>
      <c r="S703" s="40"/>
      <c r="T703" s="41"/>
      <c r="U703" s="41"/>
      <c r="V703" s="41"/>
      <c r="W703" s="36"/>
      <c r="X703" s="36"/>
      <c r="Y703" s="36"/>
      <c r="Z703" s="36"/>
      <c r="AA703" s="36"/>
    </row>
    <row r="704" spans="16:27" x14ac:dyDescent="0.2">
      <c r="P704" s="36"/>
      <c r="Q704" s="40"/>
      <c r="R704" s="40"/>
      <c r="S704" s="40"/>
      <c r="T704" s="41"/>
      <c r="U704" s="41"/>
      <c r="V704" s="41"/>
      <c r="W704" s="36"/>
      <c r="X704" s="36"/>
      <c r="Y704" s="36"/>
      <c r="Z704" s="36"/>
      <c r="AA704" s="36"/>
    </row>
    <row r="705" spans="16:27" x14ac:dyDescent="0.2">
      <c r="P705" s="36"/>
      <c r="Q705" s="40"/>
      <c r="R705" s="40"/>
      <c r="S705" s="40"/>
      <c r="T705" s="41"/>
      <c r="U705" s="41"/>
      <c r="V705" s="41"/>
      <c r="W705" s="36"/>
      <c r="X705" s="36"/>
      <c r="Y705" s="36"/>
      <c r="Z705" s="36"/>
      <c r="AA705" s="36"/>
    </row>
    <row r="706" spans="16:27" x14ac:dyDescent="0.2">
      <c r="P706" s="36"/>
      <c r="Q706" s="40"/>
      <c r="R706" s="40"/>
      <c r="S706" s="40"/>
      <c r="T706" s="41"/>
      <c r="U706" s="41"/>
      <c r="V706" s="41"/>
      <c r="W706" s="36"/>
      <c r="X706" s="36"/>
      <c r="Y706" s="36"/>
      <c r="Z706" s="36"/>
      <c r="AA706" s="36"/>
    </row>
    <row r="707" spans="16:27" x14ac:dyDescent="0.2">
      <c r="P707" s="36"/>
      <c r="Q707" s="40"/>
      <c r="R707" s="40"/>
      <c r="S707" s="40"/>
      <c r="T707" s="41"/>
      <c r="U707" s="41"/>
      <c r="V707" s="41"/>
      <c r="W707" s="36"/>
      <c r="X707" s="36"/>
      <c r="Y707" s="36"/>
      <c r="Z707" s="36"/>
      <c r="AA707" s="36"/>
    </row>
    <row r="708" spans="16:27" x14ac:dyDescent="0.2">
      <c r="P708" s="36"/>
      <c r="Q708" s="40"/>
      <c r="R708" s="40"/>
      <c r="S708" s="40"/>
      <c r="T708" s="41"/>
      <c r="U708" s="41"/>
      <c r="V708" s="41"/>
      <c r="W708" s="36"/>
      <c r="X708" s="36"/>
      <c r="Y708" s="36"/>
      <c r="Z708" s="36"/>
      <c r="AA708" s="36"/>
    </row>
    <row r="709" spans="16:27" x14ac:dyDescent="0.2">
      <c r="P709" s="36"/>
      <c r="Q709" s="40"/>
      <c r="R709" s="40"/>
      <c r="S709" s="40"/>
      <c r="T709" s="41"/>
      <c r="U709" s="41"/>
      <c r="V709" s="41"/>
      <c r="W709" s="36"/>
      <c r="X709" s="36"/>
      <c r="Y709" s="36"/>
      <c r="Z709" s="36"/>
      <c r="AA709" s="36"/>
    </row>
    <row r="710" spans="16:27" x14ac:dyDescent="0.2">
      <c r="P710" s="36"/>
      <c r="Q710" s="40"/>
      <c r="R710" s="40"/>
      <c r="S710" s="40"/>
      <c r="T710" s="41"/>
      <c r="U710" s="41"/>
      <c r="V710" s="41"/>
      <c r="W710" s="36"/>
      <c r="X710" s="36"/>
      <c r="Y710" s="36"/>
      <c r="Z710" s="36"/>
      <c r="AA710" s="36"/>
    </row>
    <row r="711" spans="16:27" x14ac:dyDescent="0.2">
      <c r="P711" s="36"/>
      <c r="Q711" s="40"/>
      <c r="R711" s="40"/>
      <c r="S711" s="40"/>
      <c r="T711" s="41"/>
      <c r="U711" s="41"/>
      <c r="V711" s="41"/>
      <c r="W711" s="36"/>
      <c r="X711" s="36"/>
      <c r="Y711" s="36"/>
      <c r="Z711" s="36"/>
      <c r="AA711" s="36"/>
    </row>
    <row r="712" spans="16:27" x14ac:dyDescent="0.2">
      <c r="P712" s="36"/>
      <c r="Q712" s="40"/>
      <c r="R712" s="40"/>
      <c r="S712" s="40"/>
      <c r="T712" s="41"/>
      <c r="U712" s="41"/>
      <c r="V712" s="41"/>
      <c r="W712" s="36"/>
      <c r="X712" s="36"/>
      <c r="Y712" s="36"/>
      <c r="Z712" s="36"/>
      <c r="AA712" s="36"/>
    </row>
    <row r="713" spans="16:27" x14ac:dyDescent="0.2">
      <c r="P713" s="36"/>
      <c r="Q713" s="40"/>
      <c r="R713" s="40"/>
      <c r="S713" s="40"/>
      <c r="T713" s="41"/>
      <c r="U713" s="41"/>
      <c r="V713" s="41"/>
      <c r="W713" s="36"/>
      <c r="X713" s="36"/>
      <c r="Y713" s="36"/>
      <c r="Z713" s="36"/>
      <c r="AA713" s="36"/>
    </row>
    <row r="714" spans="16:27" x14ac:dyDescent="0.2">
      <c r="P714" s="36"/>
      <c r="Q714" s="40"/>
      <c r="R714" s="40"/>
      <c r="S714" s="40"/>
      <c r="T714" s="41"/>
      <c r="U714" s="41"/>
      <c r="V714" s="41"/>
      <c r="W714" s="36"/>
      <c r="X714" s="36"/>
      <c r="Y714" s="36"/>
      <c r="Z714" s="36"/>
      <c r="AA714" s="36"/>
    </row>
    <row r="715" spans="16:27" x14ac:dyDescent="0.2">
      <c r="P715" s="36"/>
      <c r="Q715" s="40"/>
      <c r="R715" s="40"/>
      <c r="S715" s="40"/>
      <c r="T715" s="41"/>
      <c r="U715" s="41"/>
      <c r="V715" s="41"/>
      <c r="W715" s="36"/>
      <c r="X715" s="36"/>
      <c r="Y715" s="36"/>
      <c r="Z715" s="36"/>
      <c r="AA715" s="36"/>
    </row>
    <row r="716" spans="16:27" x14ac:dyDescent="0.2">
      <c r="P716" s="36"/>
      <c r="Q716" s="40"/>
      <c r="R716" s="40"/>
      <c r="S716" s="40"/>
      <c r="T716" s="41"/>
      <c r="U716" s="41"/>
      <c r="V716" s="41"/>
      <c r="W716" s="36"/>
      <c r="X716" s="36"/>
      <c r="Y716" s="36"/>
      <c r="Z716" s="36"/>
      <c r="AA716" s="36"/>
    </row>
    <row r="717" spans="16:27" x14ac:dyDescent="0.2">
      <c r="P717" s="36"/>
      <c r="Q717" s="40"/>
      <c r="R717" s="40"/>
      <c r="S717" s="40"/>
      <c r="T717" s="41"/>
      <c r="U717" s="41"/>
      <c r="V717" s="41"/>
      <c r="W717" s="36"/>
      <c r="X717" s="36"/>
      <c r="Y717" s="36"/>
      <c r="Z717" s="36"/>
      <c r="AA717" s="36"/>
    </row>
    <row r="718" spans="16:27" x14ac:dyDescent="0.2">
      <c r="P718" s="36"/>
      <c r="Q718" s="40"/>
      <c r="R718" s="40"/>
      <c r="S718" s="40"/>
      <c r="T718" s="41"/>
      <c r="U718" s="41"/>
      <c r="V718" s="41"/>
      <c r="W718" s="36"/>
      <c r="X718" s="36"/>
      <c r="Y718" s="36"/>
      <c r="Z718" s="36"/>
      <c r="AA718" s="36"/>
    </row>
    <row r="719" spans="16:27" x14ac:dyDescent="0.2">
      <c r="P719" s="36"/>
      <c r="Q719" s="40"/>
      <c r="R719" s="40"/>
      <c r="S719" s="40"/>
      <c r="T719" s="41"/>
      <c r="U719" s="41"/>
      <c r="V719" s="41"/>
      <c r="W719" s="36"/>
      <c r="X719" s="36"/>
      <c r="Y719" s="36"/>
      <c r="Z719" s="36"/>
      <c r="AA719" s="36"/>
    </row>
    <row r="720" spans="16:27" x14ac:dyDescent="0.2">
      <c r="P720" s="36"/>
      <c r="Q720" s="40"/>
      <c r="R720" s="40"/>
      <c r="S720" s="40"/>
      <c r="T720" s="41"/>
      <c r="U720" s="41"/>
      <c r="V720" s="41"/>
      <c r="W720" s="36"/>
      <c r="X720" s="36"/>
      <c r="Y720" s="36"/>
      <c r="Z720" s="36"/>
      <c r="AA720" s="36"/>
    </row>
    <row r="721" spans="16:27" x14ac:dyDescent="0.2">
      <c r="P721" s="36"/>
      <c r="Q721" s="40"/>
      <c r="R721" s="40"/>
      <c r="S721" s="40"/>
      <c r="T721" s="41"/>
      <c r="U721" s="41"/>
      <c r="V721" s="41"/>
      <c r="W721" s="36"/>
      <c r="X721" s="36"/>
      <c r="Y721" s="36"/>
      <c r="Z721" s="36"/>
      <c r="AA721" s="36"/>
    </row>
    <row r="722" spans="16:27" x14ac:dyDescent="0.2">
      <c r="P722" s="36"/>
      <c r="Q722" s="40"/>
      <c r="R722" s="40"/>
      <c r="S722" s="40"/>
      <c r="T722" s="41"/>
      <c r="U722" s="41"/>
      <c r="V722" s="41"/>
      <c r="W722" s="36"/>
      <c r="X722" s="36"/>
      <c r="Y722" s="36"/>
      <c r="Z722" s="36"/>
      <c r="AA722" s="36"/>
    </row>
    <row r="723" spans="16:27" x14ac:dyDescent="0.2">
      <c r="P723" s="36"/>
      <c r="Q723" s="40"/>
      <c r="R723" s="40"/>
      <c r="S723" s="40"/>
      <c r="T723" s="41"/>
      <c r="U723" s="41"/>
      <c r="V723" s="41"/>
      <c r="W723" s="36"/>
      <c r="X723" s="36"/>
      <c r="Y723" s="36"/>
      <c r="Z723" s="36"/>
      <c r="AA723" s="36"/>
    </row>
    <row r="724" spans="16:27" x14ac:dyDescent="0.2">
      <c r="P724" s="36"/>
      <c r="Q724" s="40"/>
      <c r="R724" s="40"/>
      <c r="S724" s="40"/>
      <c r="T724" s="41"/>
      <c r="U724" s="41"/>
      <c r="V724" s="41"/>
      <c r="W724" s="36"/>
      <c r="X724" s="36"/>
      <c r="Y724" s="36"/>
      <c r="Z724" s="36"/>
      <c r="AA724" s="36"/>
    </row>
    <row r="725" spans="16:27" x14ac:dyDescent="0.2">
      <c r="P725" s="36"/>
      <c r="Q725" s="40"/>
      <c r="R725" s="40"/>
      <c r="S725" s="40"/>
      <c r="T725" s="41"/>
      <c r="U725" s="41"/>
      <c r="V725" s="41"/>
      <c r="W725" s="36"/>
      <c r="X725" s="36"/>
      <c r="Y725" s="36"/>
      <c r="Z725" s="36"/>
      <c r="AA725" s="36"/>
    </row>
    <row r="726" spans="16:27" x14ac:dyDescent="0.2">
      <c r="P726" s="36"/>
      <c r="Q726" s="40"/>
      <c r="R726" s="40"/>
      <c r="S726" s="40"/>
      <c r="T726" s="41"/>
      <c r="U726" s="41"/>
      <c r="V726" s="41"/>
      <c r="W726" s="36"/>
      <c r="X726" s="36"/>
      <c r="Y726" s="36"/>
      <c r="Z726" s="36"/>
      <c r="AA726" s="36"/>
    </row>
    <row r="727" spans="16:27" x14ac:dyDescent="0.2">
      <c r="P727" s="36"/>
      <c r="Q727" s="40"/>
      <c r="R727" s="40"/>
      <c r="S727" s="40"/>
      <c r="T727" s="41"/>
      <c r="U727" s="41"/>
      <c r="V727" s="41"/>
      <c r="W727" s="36"/>
      <c r="X727" s="36"/>
      <c r="Y727" s="36"/>
      <c r="Z727" s="36"/>
      <c r="AA727" s="36"/>
    </row>
    <row r="728" spans="16:27" x14ac:dyDescent="0.2">
      <c r="P728" s="36"/>
      <c r="Q728" s="40"/>
      <c r="R728" s="40"/>
      <c r="S728" s="40"/>
      <c r="T728" s="41"/>
      <c r="U728" s="41"/>
      <c r="V728" s="41"/>
      <c r="W728" s="36"/>
      <c r="X728" s="36"/>
      <c r="Y728" s="36"/>
      <c r="Z728" s="36"/>
      <c r="AA728" s="36"/>
    </row>
    <row r="729" spans="16:27" x14ac:dyDescent="0.2">
      <c r="P729" s="36"/>
      <c r="Q729" s="40"/>
      <c r="R729" s="40"/>
      <c r="S729" s="40"/>
      <c r="T729" s="41"/>
      <c r="U729" s="41"/>
      <c r="V729" s="41"/>
      <c r="W729" s="36"/>
      <c r="X729" s="36"/>
      <c r="Y729" s="36"/>
      <c r="Z729" s="36"/>
      <c r="AA729" s="36"/>
    </row>
    <row r="730" spans="16:27" x14ac:dyDescent="0.2">
      <c r="P730" s="36"/>
      <c r="Q730" s="40"/>
      <c r="R730" s="40"/>
      <c r="S730" s="40"/>
      <c r="T730" s="41"/>
      <c r="U730" s="41"/>
      <c r="V730" s="41"/>
      <c r="W730" s="36"/>
      <c r="X730" s="36"/>
      <c r="Y730" s="36"/>
      <c r="Z730" s="36"/>
      <c r="AA730" s="36"/>
    </row>
    <row r="731" spans="16:27" x14ac:dyDescent="0.2">
      <c r="P731" s="36"/>
      <c r="Q731" s="40"/>
      <c r="R731" s="40"/>
      <c r="S731" s="40"/>
      <c r="T731" s="41"/>
      <c r="U731" s="41"/>
      <c r="V731" s="41"/>
      <c r="W731" s="36"/>
      <c r="X731" s="36"/>
      <c r="Y731" s="36"/>
      <c r="Z731" s="36"/>
      <c r="AA731" s="36"/>
    </row>
    <row r="732" spans="16:27" x14ac:dyDescent="0.2">
      <c r="P732" s="36"/>
      <c r="Q732" s="40"/>
      <c r="R732" s="40"/>
      <c r="S732" s="40"/>
      <c r="T732" s="41"/>
      <c r="U732" s="41"/>
      <c r="V732" s="41"/>
      <c r="W732" s="36"/>
      <c r="X732" s="36"/>
      <c r="Y732" s="36"/>
      <c r="Z732" s="36"/>
      <c r="AA732" s="36"/>
    </row>
    <row r="733" spans="16:27" x14ac:dyDescent="0.2">
      <c r="P733" s="36"/>
      <c r="Q733" s="40"/>
      <c r="R733" s="40"/>
      <c r="S733" s="40"/>
      <c r="T733" s="41"/>
      <c r="U733" s="41"/>
      <c r="V733" s="41"/>
      <c r="W733" s="36"/>
      <c r="X733" s="36"/>
      <c r="Y733" s="36"/>
      <c r="Z733" s="36"/>
      <c r="AA733" s="36"/>
    </row>
    <row r="734" spans="16:27" x14ac:dyDescent="0.2">
      <c r="P734" s="36"/>
      <c r="Q734" s="40"/>
      <c r="R734" s="40"/>
      <c r="S734" s="40"/>
      <c r="T734" s="41"/>
      <c r="U734" s="41"/>
      <c r="V734" s="41"/>
      <c r="W734" s="36"/>
      <c r="X734" s="36"/>
      <c r="Y734" s="36"/>
      <c r="Z734" s="36"/>
      <c r="AA734" s="36"/>
    </row>
    <row r="735" spans="16:27" x14ac:dyDescent="0.2">
      <c r="P735" s="36"/>
      <c r="Q735" s="40"/>
      <c r="R735" s="40"/>
      <c r="S735" s="40"/>
      <c r="T735" s="41"/>
      <c r="U735" s="41"/>
      <c r="V735" s="41"/>
      <c r="W735" s="36"/>
      <c r="X735" s="36"/>
      <c r="Y735" s="36"/>
      <c r="Z735" s="36"/>
      <c r="AA735" s="36"/>
    </row>
    <row r="736" spans="16:27" x14ac:dyDescent="0.2">
      <c r="P736" s="36"/>
      <c r="Q736" s="40"/>
      <c r="R736" s="40"/>
      <c r="S736" s="40"/>
      <c r="T736" s="41"/>
      <c r="U736" s="41"/>
      <c r="V736" s="41"/>
      <c r="W736" s="36"/>
      <c r="X736" s="36"/>
      <c r="Y736" s="36"/>
      <c r="Z736" s="36"/>
      <c r="AA736" s="36"/>
    </row>
    <row r="737" spans="16:27" x14ac:dyDescent="0.2">
      <c r="P737" s="36"/>
      <c r="Q737" s="40"/>
      <c r="R737" s="40"/>
      <c r="S737" s="40"/>
      <c r="T737" s="41"/>
      <c r="U737" s="41"/>
      <c r="V737" s="41"/>
      <c r="W737" s="36"/>
      <c r="X737" s="36"/>
      <c r="Y737" s="36"/>
      <c r="Z737" s="36"/>
      <c r="AA737" s="36"/>
    </row>
    <row r="738" spans="16:27" x14ac:dyDescent="0.2">
      <c r="P738" s="36"/>
      <c r="Q738" s="40"/>
      <c r="R738" s="40"/>
      <c r="S738" s="40"/>
      <c r="T738" s="41"/>
      <c r="U738" s="41"/>
      <c r="V738" s="41"/>
      <c r="W738" s="36"/>
      <c r="X738" s="36"/>
      <c r="Y738" s="36"/>
      <c r="Z738" s="36"/>
      <c r="AA738" s="36"/>
    </row>
    <row r="739" spans="16:27" x14ac:dyDescent="0.2">
      <c r="P739" s="36"/>
      <c r="Q739" s="40"/>
      <c r="R739" s="40"/>
      <c r="S739" s="40"/>
      <c r="T739" s="41"/>
      <c r="U739" s="41"/>
      <c r="V739" s="41"/>
      <c r="W739" s="36"/>
      <c r="X739" s="36"/>
      <c r="Y739" s="36"/>
      <c r="Z739" s="36"/>
      <c r="AA739" s="36"/>
    </row>
    <row r="740" spans="16:27" x14ac:dyDescent="0.2">
      <c r="P740" s="36"/>
      <c r="Q740" s="40"/>
      <c r="R740" s="40"/>
      <c r="S740" s="40"/>
      <c r="T740" s="41"/>
      <c r="U740" s="41"/>
      <c r="V740" s="41"/>
      <c r="W740" s="36"/>
      <c r="X740" s="36"/>
      <c r="Y740" s="36"/>
      <c r="Z740" s="36"/>
      <c r="AA740" s="36"/>
    </row>
    <row r="741" spans="16:27" x14ac:dyDescent="0.2">
      <c r="P741" s="36"/>
      <c r="Q741" s="40"/>
      <c r="R741" s="40"/>
      <c r="S741" s="40"/>
      <c r="T741" s="41"/>
      <c r="U741" s="41"/>
      <c r="V741" s="41"/>
      <c r="W741" s="36"/>
      <c r="X741" s="36"/>
      <c r="Y741" s="36"/>
      <c r="Z741" s="36"/>
      <c r="AA741" s="36"/>
    </row>
    <row r="742" spans="16:27" x14ac:dyDescent="0.2">
      <c r="P742" s="36"/>
      <c r="Q742" s="40"/>
      <c r="R742" s="40"/>
      <c r="S742" s="40"/>
      <c r="T742" s="41"/>
      <c r="U742" s="41"/>
      <c r="V742" s="41"/>
      <c r="W742" s="36"/>
      <c r="X742" s="36"/>
      <c r="Y742" s="36"/>
      <c r="Z742" s="36"/>
      <c r="AA742" s="36"/>
    </row>
    <row r="743" spans="16:27" x14ac:dyDescent="0.2">
      <c r="P743" s="36"/>
      <c r="Q743" s="40"/>
      <c r="R743" s="40"/>
      <c r="S743" s="40"/>
      <c r="T743" s="41"/>
      <c r="U743" s="41"/>
      <c r="V743" s="41"/>
      <c r="W743" s="36"/>
      <c r="X743" s="36"/>
      <c r="Y743" s="36"/>
      <c r="Z743" s="36"/>
      <c r="AA743" s="36"/>
    </row>
    <row r="744" spans="16:27" x14ac:dyDescent="0.2">
      <c r="P744" s="36"/>
      <c r="Q744" s="40"/>
      <c r="R744" s="40"/>
      <c r="S744" s="40"/>
      <c r="T744" s="41"/>
      <c r="U744" s="41"/>
      <c r="V744" s="41"/>
      <c r="W744" s="36"/>
      <c r="X744" s="36"/>
      <c r="Y744" s="36"/>
      <c r="Z744" s="36"/>
      <c r="AA744" s="36"/>
    </row>
    <row r="745" spans="16:27" x14ac:dyDescent="0.2">
      <c r="P745" s="36"/>
      <c r="Q745" s="40"/>
      <c r="R745" s="40"/>
      <c r="S745" s="40"/>
      <c r="T745" s="41"/>
      <c r="U745" s="41"/>
      <c r="V745" s="41"/>
      <c r="W745" s="36"/>
      <c r="X745" s="36"/>
      <c r="Y745" s="36"/>
      <c r="Z745" s="36"/>
      <c r="AA745" s="36"/>
    </row>
    <row r="746" spans="16:27" x14ac:dyDescent="0.2">
      <c r="P746" s="36"/>
      <c r="Q746" s="40"/>
      <c r="R746" s="40"/>
      <c r="S746" s="40"/>
      <c r="T746" s="41"/>
      <c r="U746" s="41"/>
      <c r="V746" s="41"/>
      <c r="W746" s="36"/>
      <c r="X746" s="36"/>
      <c r="Y746" s="36"/>
      <c r="Z746" s="36"/>
      <c r="AA746" s="36"/>
    </row>
    <row r="747" spans="16:27" x14ac:dyDescent="0.2">
      <c r="P747" s="36"/>
      <c r="Q747" s="40"/>
      <c r="R747" s="40"/>
      <c r="S747" s="40"/>
      <c r="T747" s="41"/>
      <c r="U747" s="41"/>
      <c r="V747" s="41"/>
      <c r="W747" s="36"/>
      <c r="X747" s="36"/>
      <c r="Y747" s="36"/>
      <c r="Z747" s="36"/>
      <c r="AA747" s="36"/>
    </row>
    <row r="748" spans="16:27" x14ac:dyDescent="0.2">
      <c r="P748" s="36"/>
      <c r="Q748" s="40"/>
      <c r="R748" s="40"/>
      <c r="S748" s="40"/>
      <c r="T748" s="41"/>
      <c r="U748" s="41"/>
      <c r="V748" s="41"/>
      <c r="W748" s="36"/>
      <c r="X748" s="36"/>
      <c r="Y748" s="36"/>
      <c r="Z748" s="36"/>
      <c r="AA748" s="36"/>
    </row>
    <row r="749" spans="16:27" x14ac:dyDescent="0.2">
      <c r="P749" s="36"/>
      <c r="Q749" s="40"/>
      <c r="R749" s="40"/>
      <c r="S749" s="40"/>
      <c r="T749" s="41"/>
      <c r="U749" s="41"/>
      <c r="V749" s="41"/>
      <c r="W749" s="36"/>
      <c r="X749" s="36"/>
      <c r="Y749" s="36"/>
      <c r="Z749" s="36"/>
      <c r="AA749" s="36"/>
    </row>
    <row r="750" spans="16:27" x14ac:dyDescent="0.2">
      <c r="P750" s="36"/>
      <c r="Q750" s="40"/>
      <c r="R750" s="40"/>
      <c r="S750" s="40"/>
      <c r="T750" s="41"/>
      <c r="U750" s="41"/>
      <c r="V750" s="41"/>
      <c r="W750" s="36"/>
      <c r="X750" s="36"/>
      <c r="Y750" s="36"/>
      <c r="Z750" s="36"/>
      <c r="AA750" s="36"/>
    </row>
    <row r="751" spans="16:27" x14ac:dyDescent="0.2">
      <c r="P751" s="36"/>
      <c r="Q751" s="40"/>
      <c r="R751" s="40"/>
      <c r="S751" s="40"/>
      <c r="T751" s="41"/>
      <c r="U751" s="41"/>
      <c r="V751" s="41"/>
      <c r="W751" s="36"/>
      <c r="X751" s="36"/>
      <c r="Y751" s="36"/>
      <c r="Z751" s="36"/>
      <c r="AA751" s="36"/>
    </row>
    <row r="752" spans="16:27" x14ac:dyDescent="0.2">
      <c r="P752" s="36"/>
      <c r="Q752" s="40"/>
      <c r="R752" s="40"/>
      <c r="S752" s="40"/>
      <c r="T752" s="41"/>
      <c r="U752" s="41"/>
      <c r="V752" s="41"/>
      <c r="W752" s="36"/>
      <c r="X752" s="36"/>
      <c r="Y752" s="36"/>
      <c r="Z752" s="36"/>
      <c r="AA752" s="36"/>
    </row>
    <row r="753" spans="16:27" x14ac:dyDescent="0.2">
      <c r="P753" s="36"/>
      <c r="Q753" s="40"/>
      <c r="R753" s="40"/>
      <c r="S753" s="40"/>
      <c r="T753" s="41"/>
      <c r="U753" s="41"/>
      <c r="V753" s="41"/>
      <c r="W753" s="36"/>
      <c r="X753" s="36"/>
      <c r="Y753" s="36"/>
      <c r="Z753" s="36"/>
      <c r="AA753" s="36"/>
    </row>
    <row r="754" spans="16:27" x14ac:dyDescent="0.2">
      <c r="P754" s="36"/>
      <c r="Q754" s="40"/>
      <c r="R754" s="40"/>
      <c r="S754" s="40"/>
      <c r="T754" s="41"/>
      <c r="U754" s="41"/>
      <c r="V754" s="41"/>
      <c r="W754" s="36"/>
      <c r="X754" s="36"/>
      <c r="Y754" s="36"/>
      <c r="Z754" s="36"/>
      <c r="AA754" s="36"/>
    </row>
    <row r="755" spans="16:27" x14ac:dyDescent="0.2">
      <c r="P755" s="36"/>
      <c r="Q755" s="40"/>
      <c r="R755" s="40"/>
      <c r="S755" s="40"/>
      <c r="T755" s="41"/>
      <c r="U755" s="41"/>
      <c r="V755" s="41"/>
      <c r="W755" s="36"/>
      <c r="X755" s="36"/>
      <c r="Y755" s="36"/>
      <c r="Z755" s="36"/>
      <c r="AA755" s="36"/>
    </row>
    <row r="756" spans="16:27" x14ac:dyDescent="0.2">
      <c r="P756" s="36"/>
      <c r="Q756" s="40"/>
      <c r="R756" s="40"/>
      <c r="S756" s="40"/>
      <c r="T756" s="41"/>
      <c r="U756" s="41"/>
      <c r="V756" s="41"/>
      <c r="W756" s="36"/>
      <c r="X756" s="36"/>
      <c r="Y756" s="36"/>
      <c r="Z756" s="36"/>
      <c r="AA756" s="36"/>
    </row>
    <row r="757" spans="16:27" x14ac:dyDescent="0.2">
      <c r="P757" s="36"/>
      <c r="Q757" s="40"/>
      <c r="R757" s="40"/>
      <c r="S757" s="40"/>
      <c r="T757" s="41"/>
      <c r="U757" s="41"/>
      <c r="V757" s="41"/>
      <c r="W757" s="36"/>
      <c r="X757" s="36"/>
      <c r="Y757" s="36"/>
      <c r="Z757" s="36"/>
      <c r="AA757" s="36"/>
    </row>
    <row r="758" spans="16:27" x14ac:dyDescent="0.2">
      <c r="P758" s="36"/>
      <c r="Q758" s="40"/>
      <c r="R758" s="40"/>
      <c r="S758" s="40"/>
      <c r="T758" s="41"/>
      <c r="U758" s="41"/>
      <c r="V758" s="41"/>
      <c r="W758" s="36"/>
      <c r="X758" s="36"/>
      <c r="Y758" s="36"/>
      <c r="Z758" s="36"/>
      <c r="AA758" s="36"/>
    </row>
    <row r="759" spans="16:27" x14ac:dyDescent="0.2">
      <c r="P759" s="36"/>
      <c r="Q759" s="40"/>
      <c r="R759" s="40"/>
      <c r="S759" s="40"/>
      <c r="T759" s="41"/>
      <c r="U759" s="41"/>
      <c r="V759" s="41"/>
      <c r="W759" s="36"/>
      <c r="X759" s="36"/>
      <c r="Y759" s="36"/>
      <c r="Z759" s="36"/>
      <c r="AA759" s="36"/>
    </row>
    <row r="760" spans="16:27" x14ac:dyDescent="0.2">
      <c r="P760" s="36"/>
      <c r="Q760" s="40"/>
      <c r="R760" s="40"/>
      <c r="S760" s="40"/>
      <c r="T760" s="41"/>
      <c r="U760" s="41"/>
      <c r="V760" s="41"/>
      <c r="W760" s="36"/>
      <c r="X760" s="36"/>
      <c r="Y760" s="36"/>
      <c r="Z760" s="36"/>
      <c r="AA760" s="36"/>
    </row>
    <row r="761" spans="16:27" x14ac:dyDescent="0.2">
      <c r="P761" s="36"/>
      <c r="Q761" s="40"/>
      <c r="R761" s="40"/>
      <c r="S761" s="40"/>
      <c r="T761" s="41"/>
      <c r="U761" s="41"/>
      <c r="V761" s="41"/>
      <c r="W761" s="36"/>
      <c r="X761" s="36"/>
      <c r="Y761" s="36"/>
      <c r="Z761" s="36"/>
      <c r="AA761" s="36"/>
    </row>
    <row r="762" spans="16:27" x14ac:dyDescent="0.2">
      <c r="P762" s="36"/>
      <c r="Q762" s="40"/>
      <c r="R762" s="40"/>
      <c r="S762" s="40"/>
      <c r="T762" s="41"/>
      <c r="U762" s="41"/>
      <c r="V762" s="41"/>
      <c r="W762" s="36"/>
      <c r="X762" s="36"/>
      <c r="Y762" s="36"/>
      <c r="Z762" s="36"/>
      <c r="AA762" s="36"/>
    </row>
    <row r="763" spans="16:27" x14ac:dyDescent="0.2">
      <c r="P763" s="36"/>
      <c r="Q763" s="40"/>
      <c r="R763" s="40"/>
      <c r="S763" s="40"/>
      <c r="T763" s="41"/>
      <c r="U763" s="41"/>
      <c r="V763" s="41"/>
      <c r="W763" s="36"/>
      <c r="X763" s="36"/>
      <c r="Y763" s="36"/>
      <c r="Z763" s="36"/>
      <c r="AA763" s="36"/>
    </row>
    <row r="764" spans="16:27" x14ac:dyDescent="0.2">
      <c r="P764" s="36"/>
      <c r="Q764" s="40"/>
      <c r="R764" s="40"/>
      <c r="S764" s="40"/>
      <c r="T764" s="41"/>
      <c r="U764" s="41"/>
      <c r="V764" s="41"/>
      <c r="W764" s="36"/>
      <c r="X764" s="36"/>
      <c r="Y764" s="36"/>
      <c r="Z764" s="36"/>
      <c r="AA764" s="36"/>
    </row>
    <row r="765" spans="16:27" x14ac:dyDescent="0.2">
      <c r="P765" s="36"/>
      <c r="Q765" s="40"/>
      <c r="R765" s="40"/>
      <c r="S765" s="40"/>
      <c r="T765" s="41"/>
      <c r="U765" s="41"/>
      <c r="V765" s="41"/>
      <c r="W765" s="36"/>
      <c r="X765" s="36"/>
      <c r="Y765" s="36"/>
      <c r="Z765" s="36"/>
      <c r="AA765" s="36"/>
    </row>
    <row r="766" spans="16:27" x14ac:dyDescent="0.2">
      <c r="P766" s="36"/>
      <c r="Q766" s="40"/>
      <c r="R766" s="40"/>
      <c r="S766" s="40"/>
      <c r="T766" s="41"/>
      <c r="U766" s="41"/>
      <c r="V766" s="41"/>
      <c r="W766" s="36"/>
      <c r="X766" s="36"/>
      <c r="Y766" s="36"/>
      <c r="Z766" s="36"/>
      <c r="AA766" s="36"/>
    </row>
    <row r="767" spans="16:27" x14ac:dyDescent="0.2">
      <c r="P767" s="36"/>
      <c r="Q767" s="40"/>
      <c r="R767" s="40"/>
      <c r="S767" s="40"/>
      <c r="T767" s="41"/>
      <c r="U767" s="41"/>
      <c r="V767" s="41"/>
      <c r="W767" s="36"/>
      <c r="X767" s="36"/>
      <c r="Y767" s="36"/>
      <c r="Z767" s="36"/>
      <c r="AA767" s="36"/>
    </row>
    <row r="768" spans="16:27" x14ac:dyDescent="0.2">
      <c r="P768" s="36"/>
      <c r="Q768" s="40"/>
      <c r="R768" s="40"/>
      <c r="S768" s="40"/>
      <c r="T768" s="41"/>
      <c r="U768" s="41"/>
      <c r="V768" s="41"/>
      <c r="W768" s="36"/>
      <c r="X768" s="36"/>
      <c r="Y768" s="36"/>
      <c r="Z768" s="36"/>
      <c r="AA768" s="36"/>
    </row>
    <row r="769" spans="16:27" x14ac:dyDescent="0.2">
      <c r="P769" s="36"/>
      <c r="Q769" s="40"/>
      <c r="R769" s="40"/>
      <c r="S769" s="40"/>
      <c r="T769" s="41"/>
      <c r="U769" s="41"/>
      <c r="V769" s="41"/>
      <c r="W769" s="36"/>
      <c r="X769" s="36"/>
      <c r="Y769" s="36"/>
      <c r="Z769" s="36"/>
      <c r="AA769" s="36"/>
    </row>
    <row r="770" spans="16:27" x14ac:dyDescent="0.2">
      <c r="P770" s="36"/>
      <c r="Q770" s="40"/>
      <c r="R770" s="40"/>
      <c r="S770" s="40"/>
      <c r="T770" s="41"/>
      <c r="U770" s="41"/>
      <c r="V770" s="41"/>
      <c r="W770" s="36"/>
      <c r="X770" s="36"/>
      <c r="Y770" s="36"/>
      <c r="Z770" s="36"/>
      <c r="AA770" s="36"/>
    </row>
    <row r="771" spans="16:27" x14ac:dyDescent="0.2">
      <c r="P771" s="36"/>
      <c r="Q771" s="40"/>
      <c r="R771" s="40"/>
      <c r="S771" s="40"/>
      <c r="T771" s="41"/>
      <c r="U771" s="41"/>
      <c r="V771" s="41"/>
      <c r="W771" s="36"/>
      <c r="X771" s="36"/>
      <c r="Y771" s="36"/>
      <c r="Z771" s="36"/>
      <c r="AA771" s="36"/>
    </row>
    <row r="772" spans="16:27" x14ac:dyDescent="0.2">
      <c r="P772" s="36"/>
      <c r="Q772" s="40"/>
      <c r="R772" s="40"/>
      <c r="S772" s="40"/>
      <c r="T772" s="41"/>
      <c r="U772" s="41"/>
      <c r="V772" s="41"/>
      <c r="W772" s="36"/>
      <c r="X772" s="36"/>
      <c r="Y772" s="36"/>
      <c r="Z772" s="36"/>
      <c r="AA772" s="36"/>
    </row>
    <row r="773" spans="16:27" x14ac:dyDescent="0.2">
      <c r="P773" s="36"/>
      <c r="Q773" s="40"/>
      <c r="R773" s="40"/>
      <c r="S773" s="40"/>
      <c r="T773" s="41"/>
      <c r="U773" s="41"/>
      <c r="V773" s="41"/>
      <c r="W773" s="36"/>
      <c r="X773" s="36"/>
      <c r="Y773" s="36"/>
      <c r="Z773" s="36"/>
      <c r="AA773" s="36"/>
    </row>
    <row r="774" spans="16:27" x14ac:dyDescent="0.2">
      <c r="P774" s="36"/>
      <c r="Q774" s="40"/>
      <c r="R774" s="40"/>
      <c r="S774" s="40"/>
      <c r="T774" s="41"/>
      <c r="U774" s="41"/>
      <c r="V774" s="41"/>
      <c r="W774" s="36"/>
      <c r="X774" s="36"/>
      <c r="Y774" s="36"/>
      <c r="Z774" s="36"/>
      <c r="AA774" s="36"/>
    </row>
    <row r="775" spans="16:27" x14ac:dyDescent="0.2">
      <c r="P775" s="36"/>
      <c r="Q775" s="40"/>
      <c r="R775" s="40"/>
      <c r="S775" s="40"/>
      <c r="T775" s="41"/>
      <c r="U775" s="41"/>
      <c r="V775" s="41"/>
      <c r="W775" s="36"/>
      <c r="X775" s="36"/>
      <c r="Y775" s="36"/>
      <c r="Z775" s="36"/>
      <c r="AA775" s="36"/>
    </row>
    <row r="776" spans="16:27" x14ac:dyDescent="0.2">
      <c r="P776" s="36"/>
      <c r="Q776" s="40"/>
      <c r="R776" s="40"/>
      <c r="S776" s="40"/>
      <c r="T776" s="41"/>
      <c r="U776" s="41"/>
      <c r="V776" s="41"/>
      <c r="W776" s="36"/>
      <c r="X776" s="36"/>
      <c r="Y776" s="36"/>
      <c r="Z776" s="36"/>
      <c r="AA776" s="36"/>
    </row>
    <row r="777" spans="16:27" x14ac:dyDescent="0.2">
      <c r="P777" s="36"/>
      <c r="Q777" s="40"/>
      <c r="R777" s="40"/>
      <c r="S777" s="40"/>
      <c r="T777" s="41"/>
      <c r="U777" s="41"/>
      <c r="V777" s="41"/>
      <c r="W777" s="36"/>
      <c r="X777" s="36"/>
      <c r="Y777" s="36"/>
      <c r="Z777" s="36"/>
      <c r="AA777" s="36"/>
    </row>
    <row r="778" spans="16:27" x14ac:dyDescent="0.2">
      <c r="P778" s="36"/>
      <c r="Q778" s="40"/>
      <c r="R778" s="40"/>
      <c r="S778" s="40"/>
      <c r="T778" s="41"/>
      <c r="U778" s="41"/>
      <c r="V778" s="41"/>
      <c r="W778" s="36"/>
      <c r="X778" s="36"/>
      <c r="Y778" s="36"/>
      <c r="Z778" s="36"/>
      <c r="AA778" s="36"/>
    </row>
    <row r="779" spans="16:27" x14ac:dyDescent="0.2">
      <c r="P779" s="36"/>
      <c r="Q779" s="40"/>
      <c r="R779" s="40"/>
      <c r="S779" s="40"/>
      <c r="T779" s="41"/>
      <c r="U779" s="41"/>
      <c r="V779" s="41"/>
      <c r="W779" s="36"/>
      <c r="X779" s="36"/>
      <c r="Y779" s="36"/>
      <c r="Z779" s="36"/>
      <c r="AA779" s="36"/>
    </row>
    <row r="780" spans="16:27" x14ac:dyDescent="0.2">
      <c r="P780" s="36"/>
      <c r="Q780" s="40"/>
      <c r="R780" s="40"/>
      <c r="S780" s="40"/>
      <c r="T780" s="41"/>
      <c r="U780" s="41"/>
      <c r="V780" s="41"/>
      <c r="W780" s="36"/>
      <c r="X780" s="36"/>
      <c r="Y780" s="36"/>
      <c r="Z780" s="36"/>
      <c r="AA780" s="36"/>
    </row>
    <row r="781" spans="16:27" x14ac:dyDescent="0.2">
      <c r="P781" s="36"/>
      <c r="Q781" s="40"/>
      <c r="R781" s="40"/>
      <c r="S781" s="40"/>
      <c r="T781" s="41"/>
      <c r="U781" s="41"/>
      <c r="V781" s="41"/>
      <c r="W781" s="36"/>
      <c r="X781" s="36"/>
      <c r="Y781" s="36"/>
      <c r="Z781" s="36"/>
      <c r="AA781" s="36"/>
    </row>
    <row r="782" spans="16:27" x14ac:dyDescent="0.2">
      <c r="P782" s="36"/>
      <c r="Q782" s="40"/>
      <c r="R782" s="40"/>
      <c r="S782" s="40"/>
      <c r="T782" s="41"/>
      <c r="U782" s="41"/>
      <c r="V782" s="41"/>
      <c r="W782" s="36"/>
      <c r="X782" s="36"/>
      <c r="Y782" s="36"/>
      <c r="Z782" s="36"/>
      <c r="AA782" s="36"/>
    </row>
    <row r="783" spans="16:27" x14ac:dyDescent="0.2">
      <c r="P783" s="36"/>
      <c r="Q783" s="40"/>
      <c r="R783" s="40"/>
      <c r="S783" s="40"/>
      <c r="T783" s="41"/>
      <c r="U783" s="41"/>
      <c r="V783" s="41"/>
      <c r="W783" s="36"/>
      <c r="X783" s="36"/>
      <c r="Y783" s="36"/>
      <c r="Z783" s="36"/>
      <c r="AA783" s="36"/>
    </row>
    <row r="784" spans="16:27" x14ac:dyDescent="0.2">
      <c r="P784" s="36"/>
      <c r="Q784" s="40"/>
      <c r="R784" s="40"/>
      <c r="S784" s="40"/>
      <c r="T784" s="41"/>
      <c r="U784" s="41"/>
      <c r="V784" s="41"/>
      <c r="W784" s="36"/>
      <c r="X784" s="36"/>
      <c r="Y784" s="36"/>
      <c r="Z784" s="36"/>
      <c r="AA784" s="36"/>
    </row>
    <row r="785" spans="16:27" x14ac:dyDescent="0.2">
      <c r="P785" s="36"/>
      <c r="Q785" s="40"/>
      <c r="R785" s="40"/>
      <c r="S785" s="40"/>
      <c r="T785" s="41"/>
      <c r="U785" s="41"/>
      <c r="V785" s="41"/>
      <c r="W785" s="36"/>
      <c r="X785" s="36"/>
      <c r="Y785" s="36"/>
      <c r="Z785" s="36"/>
      <c r="AA785" s="36"/>
    </row>
    <row r="786" spans="16:27" x14ac:dyDescent="0.2">
      <c r="P786" s="36"/>
      <c r="Q786" s="40"/>
      <c r="R786" s="40"/>
      <c r="S786" s="40"/>
      <c r="T786" s="41"/>
      <c r="U786" s="41"/>
      <c r="V786" s="41"/>
      <c r="W786" s="36"/>
      <c r="X786" s="36"/>
      <c r="Y786" s="36"/>
      <c r="Z786" s="36"/>
      <c r="AA786" s="36"/>
    </row>
    <row r="787" spans="16:27" x14ac:dyDescent="0.2">
      <c r="P787" s="36"/>
      <c r="Q787" s="40"/>
      <c r="R787" s="40"/>
      <c r="S787" s="40"/>
      <c r="T787" s="41"/>
      <c r="U787" s="41"/>
      <c r="V787" s="41"/>
      <c r="W787" s="36"/>
      <c r="X787" s="36"/>
      <c r="Y787" s="36"/>
      <c r="Z787" s="36"/>
      <c r="AA787" s="36"/>
    </row>
    <row r="788" spans="16:27" x14ac:dyDescent="0.2">
      <c r="P788" s="36"/>
      <c r="Q788" s="40"/>
      <c r="R788" s="40"/>
      <c r="S788" s="40"/>
      <c r="T788" s="41"/>
      <c r="U788" s="41"/>
      <c r="V788" s="41"/>
      <c r="W788" s="36"/>
      <c r="X788" s="36"/>
      <c r="Y788" s="36"/>
      <c r="Z788" s="36"/>
      <c r="AA788" s="36"/>
    </row>
    <row r="789" spans="16:27" x14ac:dyDescent="0.2">
      <c r="P789" s="36"/>
      <c r="Q789" s="40"/>
      <c r="R789" s="40"/>
      <c r="S789" s="40"/>
      <c r="T789" s="41"/>
      <c r="U789" s="41"/>
      <c r="V789" s="41"/>
      <c r="W789" s="36"/>
      <c r="X789" s="36"/>
      <c r="Y789" s="36"/>
      <c r="Z789" s="36"/>
      <c r="AA789" s="36"/>
    </row>
    <row r="790" spans="16:27" x14ac:dyDescent="0.2">
      <c r="P790" s="36"/>
      <c r="Q790" s="40"/>
      <c r="R790" s="40"/>
      <c r="S790" s="40"/>
      <c r="T790" s="41"/>
      <c r="U790" s="41"/>
      <c r="V790" s="41"/>
      <c r="W790" s="36"/>
      <c r="X790" s="36"/>
      <c r="Y790" s="36"/>
      <c r="Z790" s="36"/>
      <c r="AA790" s="36"/>
    </row>
    <row r="791" spans="16:27" x14ac:dyDescent="0.2">
      <c r="P791" s="36"/>
      <c r="Q791" s="40"/>
      <c r="R791" s="40"/>
      <c r="S791" s="40"/>
      <c r="T791" s="41"/>
      <c r="U791" s="41"/>
      <c r="V791" s="41"/>
      <c r="W791" s="36"/>
      <c r="X791" s="36"/>
      <c r="Y791" s="36"/>
      <c r="Z791" s="36"/>
      <c r="AA791" s="36"/>
    </row>
    <row r="792" spans="16:27" x14ac:dyDescent="0.2">
      <c r="P792" s="36"/>
      <c r="Q792" s="40"/>
      <c r="R792" s="40"/>
      <c r="S792" s="40"/>
      <c r="T792" s="41"/>
      <c r="U792" s="41"/>
      <c r="V792" s="41"/>
      <c r="W792" s="36"/>
      <c r="X792" s="36"/>
      <c r="Y792" s="36"/>
      <c r="Z792" s="36"/>
      <c r="AA792" s="36"/>
    </row>
    <row r="793" spans="16:27" x14ac:dyDescent="0.2">
      <c r="P793" s="36"/>
      <c r="Q793" s="40"/>
      <c r="R793" s="40"/>
      <c r="S793" s="40"/>
      <c r="T793" s="41"/>
      <c r="U793" s="41"/>
      <c r="V793" s="41"/>
      <c r="W793" s="36"/>
      <c r="X793" s="36"/>
      <c r="Y793" s="36"/>
      <c r="Z793" s="36"/>
      <c r="AA793" s="36"/>
    </row>
    <row r="794" spans="16:27" x14ac:dyDescent="0.2">
      <c r="P794" s="36"/>
      <c r="Q794" s="40"/>
      <c r="R794" s="40"/>
      <c r="S794" s="40"/>
      <c r="T794" s="41"/>
      <c r="U794" s="41"/>
      <c r="V794" s="41"/>
      <c r="W794" s="36"/>
      <c r="X794" s="36"/>
      <c r="Y794" s="36"/>
      <c r="Z794" s="36"/>
      <c r="AA794" s="36"/>
    </row>
    <row r="795" spans="16:27" x14ac:dyDescent="0.2">
      <c r="P795" s="36"/>
      <c r="Q795" s="40"/>
      <c r="R795" s="40"/>
      <c r="S795" s="40"/>
      <c r="T795" s="41"/>
      <c r="U795" s="41"/>
      <c r="V795" s="41"/>
      <c r="W795" s="36"/>
      <c r="X795" s="36"/>
      <c r="Y795" s="36"/>
      <c r="Z795" s="36"/>
      <c r="AA795" s="36"/>
    </row>
    <row r="796" spans="16:27" x14ac:dyDescent="0.2">
      <c r="P796" s="36"/>
      <c r="Q796" s="40"/>
      <c r="R796" s="40"/>
      <c r="S796" s="40"/>
      <c r="T796" s="41"/>
      <c r="U796" s="41"/>
      <c r="V796" s="41"/>
      <c r="W796" s="36"/>
      <c r="X796" s="36"/>
      <c r="Y796" s="36"/>
      <c r="Z796" s="36"/>
      <c r="AA796" s="36"/>
    </row>
    <row r="797" spans="16:27" x14ac:dyDescent="0.2">
      <c r="P797" s="36"/>
      <c r="Q797" s="40"/>
      <c r="R797" s="40"/>
      <c r="S797" s="40"/>
      <c r="T797" s="41"/>
      <c r="U797" s="41"/>
      <c r="V797" s="41"/>
      <c r="W797" s="36"/>
      <c r="X797" s="36"/>
      <c r="Y797" s="36"/>
      <c r="Z797" s="36"/>
      <c r="AA797" s="36"/>
    </row>
    <row r="798" spans="16:27" x14ac:dyDescent="0.2">
      <c r="P798" s="36"/>
      <c r="Q798" s="40"/>
      <c r="R798" s="40"/>
      <c r="S798" s="40"/>
      <c r="T798" s="41"/>
      <c r="U798" s="41"/>
      <c r="V798" s="41"/>
      <c r="W798" s="36"/>
      <c r="X798" s="36"/>
      <c r="Y798" s="36"/>
      <c r="Z798" s="36"/>
      <c r="AA798" s="36"/>
    </row>
    <row r="799" spans="16:27" x14ac:dyDescent="0.2">
      <c r="P799" s="36"/>
      <c r="Q799" s="40"/>
      <c r="R799" s="40"/>
      <c r="S799" s="40"/>
      <c r="T799" s="41"/>
      <c r="U799" s="41"/>
      <c r="V799" s="41"/>
      <c r="W799" s="36"/>
      <c r="X799" s="36"/>
      <c r="Y799" s="36"/>
      <c r="Z799" s="36"/>
      <c r="AA799" s="36"/>
    </row>
    <row r="800" spans="16:27" x14ac:dyDescent="0.2">
      <c r="P800" s="36"/>
      <c r="Q800" s="40"/>
      <c r="R800" s="40"/>
      <c r="S800" s="40"/>
      <c r="T800" s="41"/>
      <c r="U800" s="41"/>
      <c r="V800" s="41"/>
      <c r="W800" s="36"/>
      <c r="X800" s="36"/>
      <c r="Y800" s="36"/>
      <c r="Z800" s="36"/>
      <c r="AA800" s="36"/>
    </row>
    <row r="801" spans="16:27" x14ac:dyDescent="0.2">
      <c r="P801" s="36"/>
      <c r="Q801" s="40"/>
      <c r="R801" s="40"/>
      <c r="S801" s="40"/>
      <c r="T801" s="41"/>
      <c r="U801" s="41"/>
      <c r="V801" s="41"/>
      <c r="W801" s="36"/>
      <c r="X801" s="36"/>
      <c r="Y801" s="36"/>
      <c r="Z801" s="36"/>
      <c r="AA801" s="36"/>
    </row>
    <row r="802" spans="16:27" x14ac:dyDescent="0.2">
      <c r="P802" s="36"/>
      <c r="Q802" s="40"/>
      <c r="R802" s="40"/>
      <c r="S802" s="40"/>
      <c r="T802" s="41"/>
      <c r="U802" s="41"/>
      <c r="V802" s="41"/>
      <c r="W802" s="36"/>
      <c r="X802" s="36"/>
      <c r="Y802" s="36"/>
      <c r="Z802" s="36"/>
      <c r="AA802" s="36"/>
    </row>
    <row r="803" spans="16:27" x14ac:dyDescent="0.2">
      <c r="P803" s="36"/>
      <c r="Q803" s="40"/>
      <c r="R803" s="40"/>
      <c r="S803" s="40"/>
      <c r="T803" s="41"/>
      <c r="U803" s="41"/>
      <c r="V803" s="41"/>
      <c r="W803" s="36"/>
      <c r="X803" s="36"/>
      <c r="Y803" s="36"/>
      <c r="Z803" s="36"/>
      <c r="AA803" s="36"/>
    </row>
    <row r="804" spans="16:27" x14ac:dyDescent="0.2">
      <c r="P804" s="36"/>
      <c r="Q804" s="40"/>
      <c r="R804" s="40"/>
      <c r="S804" s="40"/>
      <c r="T804" s="41"/>
      <c r="U804" s="41"/>
      <c r="V804" s="41"/>
      <c r="W804" s="36"/>
      <c r="X804" s="36"/>
      <c r="Y804" s="36"/>
      <c r="Z804" s="36"/>
      <c r="AA804" s="36"/>
    </row>
    <row r="805" spans="16:27" x14ac:dyDescent="0.2">
      <c r="P805" s="36"/>
      <c r="Q805" s="40"/>
      <c r="R805" s="40"/>
      <c r="S805" s="40"/>
      <c r="T805" s="41"/>
      <c r="U805" s="41"/>
      <c r="V805" s="41"/>
      <c r="W805" s="36"/>
      <c r="X805" s="36"/>
      <c r="Y805" s="36"/>
      <c r="Z805" s="36"/>
      <c r="AA805" s="36"/>
    </row>
    <row r="806" spans="16:27" x14ac:dyDescent="0.2">
      <c r="P806" s="36"/>
      <c r="Q806" s="40"/>
      <c r="R806" s="40"/>
      <c r="S806" s="40"/>
      <c r="T806" s="41"/>
      <c r="U806" s="41"/>
      <c r="V806" s="41"/>
      <c r="W806" s="36"/>
      <c r="X806" s="36"/>
      <c r="Y806" s="36"/>
      <c r="Z806" s="36"/>
      <c r="AA806" s="36"/>
    </row>
    <row r="807" spans="16:27" x14ac:dyDescent="0.2">
      <c r="P807" s="36"/>
      <c r="Q807" s="40"/>
      <c r="R807" s="40"/>
      <c r="S807" s="40"/>
      <c r="T807" s="41"/>
      <c r="U807" s="41"/>
      <c r="V807" s="41"/>
      <c r="W807" s="36"/>
      <c r="X807" s="36"/>
      <c r="Y807" s="36"/>
      <c r="Z807" s="36"/>
      <c r="AA807" s="36"/>
    </row>
    <row r="808" spans="16:27" x14ac:dyDescent="0.2">
      <c r="P808" s="36"/>
      <c r="Q808" s="40"/>
      <c r="R808" s="40"/>
      <c r="S808" s="40"/>
      <c r="T808" s="41"/>
      <c r="U808" s="41"/>
      <c r="V808" s="41"/>
      <c r="W808" s="36"/>
      <c r="X808" s="36"/>
      <c r="Y808" s="36"/>
      <c r="Z808" s="36"/>
      <c r="AA808" s="36"/>
    </row>
    <row r="809" spans="16:27" x14ac:dyDescent="0.2">
      <c r="P809" s="36"/>
      <c r="Q809" s="40"/>
      <c r="R809" s="40"/>
      <c r="S809" s="40"/>
      <c r="T809" s="41"/>
      <c r="U809" s="41"/>
      <c r="V809" s="41"/>
      <c r="W809" s="36"/>
      <c r="X809" s="36"/>
      <c r="Y809" s="36"/>
      <c r="Z809" s="36"/>
      <c r="AA809" s="36"/>
    </row>
    <row r="810" spans="16:27" x14ac:dyDescent="0.2">
      <c r="P810" s="36"/>
      <c r="Q810" s="40"/>
      <c r="R810" s="40"/>
      <c r="S810" s="40"/>
      <c r="T810" s="41"/>
      <c r="U810" s="41"/>
      <c r="V810" s="41"/>
      <c r="W810" s="36"/>
      <c r="X810" s="36"/>
      <c r="Y810" s="36"/>
      <c r="Z810" s="36"/>
      <c r="AA810" s="36"/>
    </row>
    <row r="811" spans="16:27" x14ac:dyDescent="0.2">
      <c r="P811" s="36"/>
      <c r="Q811" s="40"/>
      <c r="R811" s="40"/>
      <c r="S811" s="40"/>
      <c r="T811" s="41"/>
      <c r="U811" s="41"/>
      <c r="V811" s="41"/>
      <c r="W811" s="36"/>
      <c r="X811" s="36"/>
      <c r="Y811" s="36"/>
      <c r="Z811" s="36"/>
      <c r="AA811" s="36"/>
    </row>
    <row r="812" spans="16:27" x14ac:dyDescent="0.2">
      <c r="P812" s="36"/>
      <c r="Q812" s="40"/>
      <c r="R812" s="40"/>
      <c r="S812" s="40"/>
      <c r="T812" s="41"/>
      <c r="U812" s="41"/>
      <c r="V812" s="41"/>
      <c r="W812" s="36"/>
      <c r="X812" s="36"/>
      <c r="Y812" s="36"/>
      <c r="Z812" s="36"/>
      <c r="AA812" s="36"/>
    </row>
    <row r="813" spans="16:27" x14ac:dyDescent="0.2">
      <c r="P813" s="36"/>
      <c r="Q813" s="40"/>
      <c r="R813" s="40"/>
      <c r="S813" s="40"/>
      <c r="T813" s="41"/>
      <c r="U813" s="41"/>
      <c r="V813" s="41"/>
      <c r="W813" s="36"/>
      <c r="X813" s="36"/>
      <c r="Y813" s="36"/>
      <c r="Z813" s="36"/>
      <c r="AA813" s="36"/>
    </row>
    <row r="814" spans="16:27" x14ac:dyDescent="0.2">
      <c r="P814" s="36"/>
      <c r="Q814" s="40"/>
      <c r="R814" s="40"/>
      <c r="S814" s="40"/>
      <c r="T814" s="41"/>
      <c r="U814" s="41"/>
      <c r="V814" s="41"/>
      <c r="W814" s="36"/>
      <c r="X814" s="36"/>
      <c r="Y814" s="36"/>
      <c r="Z814" s="36"/>
      <c r="AA814" s="36"/>
    </row>
    <row r="815" spans="16:27" x14ac:dyDescent="0.2">
      <c r="P815" s="36"/>
      <c r="Q815" s="40"/>
      <c r="R815" s="40"/>
      <c r="S815" s="40"/>
      <c r="T815" s="41"/>
      <c r="U815" s="41"/>
      <c r="V815" s="41"/>
      <c r="W815" s="36"/>
      <c r="X815" s="36"/>
      <c r="Y815" s="36"/>
      <c r="Z815" s="36"/>
      <c r="AA815" s="36"/>
    </row>
    <row r="816" spans="16:27" x14ac:dyDescent="0.2">
      <c r="P816" s="36"/>
      <c r="Q816" s="40"/>
      <c r="R816" s="40"/>
      <c r="S816" s="40"/>
      <c r="T816" s="41"/>
      <c r="U816" s="41"/>
      <c r="V816" s="41"/>
      <c r="W816" s="36"/>
      <c r="X816" s="36"/>
      <c r="Y816" s="36"/>
      <c r="Z816" s="36"/>
      <c r="AA816" s="36"/>
    </row>
    <row r="817" spans="16:27" x14ac:dyDescent="0.2">
      <c r="P817" s="36"/>
      <c r="Q817" s="40"/>
      <c r="R817" s="40"/>
      <c r="S817" s="40"/>
      <c r="T817" s="41"/>
      <c r="U817" s="41"/>
      <c r="V817" s="41"/>
      <c r="W817" s="36"/>
      <c r="X817" s="36"/>
      <c r="Y817" s="36"/>
      <c r="Z817" s="36"/>
      <c r="AA817" s="36"/>
    </row>
    <row r="818" spans="16:27" x14ac:dyDescent="0.2">
      <c r="P818" s="36"/>
      <c r="Q818" s="40"/>
      <c r="R818" s="40"/>
      <c r="S818" s="40"/>
      <c r="T818" s="41"/>
      <c r="U818" s="41"/>
      <c r="V818" s="41"/>
      <c r="W818" s="36"/>
      <c r="X818" s="36"/>
      <c r="Y818" s="36"/>
      <c r="Z818" s="36"/>
      <c r="AA818" s="36"/>
    </row>
    <row r="819" spans="16:27" x14ac:dyDescent="0.2">
      <c r="P819" s="36"/>
      <c r="Q819" s="40"/>
      <c r="R819" s="40"/>
      <c r="S819" s="40"/>
      <c r="T819" s="41"/>
      <c r="U819" s="41"/>
      <c r="V819" s="41"/>
      <c r="W819" s="36"/>
      <c r="X819" s="36"/>
      <c r="Y819" s="36"/>
      <c r="Z819" s="36"/>
      <c r="AA819" s="36"/>
    </row>
    <row r="820" spans="16:27" x14ac:dyDescent="0.2">
      <c r="P820" s="36"/>
      <c r="Q820" s="40"/>
      <c r="R820" s="40"/>
      <c r="S820" s="40"/>
      <c r="T820" s="41"/>
      <c r="U820" s="41"/>
      <c r="V820" s="41"/>
      <c r="W820" s="36"/>
      <c r="X820" s="36"/>
      <c r="Y820" s="36"/>
      <c r="Z820" s="36"/>
      <c r="AA820" s="36"/>
    </row>
    <row r="821" spans="16:27" x14ac:dyDescent="0.2">
      <c r="P821" s="36"/>
      <c r="Q821" s="40"/>
      <c r="R821" s="40"/>
      <c r="S821" s="40"/>
      <c r="T821" s="41"/>
      <c r="U821" s="41"/>
      <c r="V821" s="41"/>
      <c r="W821" s="36"/>
      <c r="X821" s="36"/>
      <c r="Y821" s="36"/>
      <c r="Z821" s="36"/>
      <c r="AA821" s="36"/>
    </row>
    <row r="822" spans="16:27" x14ac:dyDescent="0.2">
      <c r="P822" s="36"/>
      <c r="Q822" s="40"/>
      <c r="R822" s="40"/>
      <c r="S822" s="40"/>
      <c r="T822" s="41"/>
      <c r="U822" s="41"/>
      <c r="V822" s="41"/>
      <c r="W822" s="36"/>
      <c r="X822" s="36"/>
      <c r="Y822" s="36"/>
      <c r="Z822" s="36"/>
      <c r="AA822" s="36"/>
    </row>
    <row r="823" spans="16:27" x14ac:dyDescent="0.2">
      <c r="P823" s="36"/>
      <c r="Q823" s="40"/>
      <c r="R823" s="40"/>
      <c r="S823" s="40"/>
      <c r="T823" s="41"/>
      <c r="U823" s="41"/>
      <c r="V823" s="41"/>
      <c r="W823" s="36"/>
      <c r="X823" s="36"/>
      <c r="Y823" s="36"/>
      <c r="Z823" s="36"/>
      <c r="AA823" s="36"/>
    </row>
    <row r="824" spans="16:27" x14ac:dyDescent="0.2">
      <c r="P824" s="36"/>
      <c r="Q824" s="40"/>
      <c r="R824" s="40"/>
      <c r="S824" s="40"/>
      <c r="T824" s="41"/>
      <c r="U824" s="41"/>
      <c r="V824" s="41"/>
      <c r="W824" s="36"/>
      <c r="X824" s="36"/>
      <c r="Y824" s="36"/>
      <c r="Z824" s="36"/>
      <c r="AA824" s="36"/>
    </row>
    <row r="825" spans="16:27" x14ac:dyDescent="0.2">
      <c r="P825" s="36"/>
      <c r="Q825" s="40"/>
      <c r="R825" s="40"/>
      <c r="S825" s="40"/>
      <c r="T825" s="41"/>
      <c r="U825" s="41"/>
      <c r="V825" s="41"/>
      <c r="W825" s="36"/>
      <c r="X825" s="36"/>
      <c r="Y825" s="36"/>
      <c r="Z825" s="36"/>
      <c r="AA825" s="36"/>
    </row>
    <row r="826" spans="16:27" x14ac:dyDescent="0.2">
      <c r="P826" s="36"/>
      <c r="Q826" s="40"/>
      <c r="R826" s="40"/>
      <c r="S826" s="40"/>
      <c r="T826" s="41"/>
      <c r="U826" s="41"/>
      <c r="V826" s="41"/>
      <c r="W826" s="36"/>
      <c r="X826" s="36"/>
      <c r="Y826" s="36"/>
      <c r="Z826" s="36"/>
      <c r="AA826" s="36"/>
    </row>
    <row r="827" spans="16:27" x14ac:dyDescent="0.2">
      <c r="P827" s="36"/>
      <c r="Q827" s="40"/>
      <c r="R827" s="40"/>
      <c r="S827" s="40"/>
      <c r="T827" s="41"/>
      <c r="U827" s="41"/>
      <c r="V827" s="41"/>
      <c r="W827" s="36"/>
      <c r="X827" s="36"/>
      <c r="Y827" s="36"/>
      <c r="Z827" s="36"/>
      <c r="AA827" s="36"/>
    </row>
    <row r="828" spans="16:27" x14ac:dyDescent="0.2">
      <c r="P828" s="36"/>
      <c r="Q828" s="40"/>
      <c r="R828" s="40"/>
      <c r="S828" s="40"/>
      <c r="T828" s="41"/>
      <c r="U828" s="41"/>
      <c r="V828" s="41"/>
      <c r="W828" s="36"/>
      <c r="X828" s="36"/>
      <c r="Y828" s="36"/>
      <c r="Z828" s="36"/>
      <c r="AA828" s="36"/>
    </row>
    <row r="829" spans="16:27" x14ac:dyDescent="0.2">
      <c r="P829" s="36"/>
      <c r="Q829" s="40"/>
      <c r="R829" s="40"/>
      <c r="S829" s="40"/>
      <c r="T829" s="41"/>
      <c r="U829" s="41"/>
      <c r="V829" s="41"/>
      <c r="W829" s="36"/>
      <c r="X829" s="36"/>
      <c r="Y829" s="36"/>
      <c r="Z829" s="36"/>
      <c r="AA829" s="36"/>
    </row>
    <row r="830" spans="16:27" x14ac:dyDescent="0.2">
      <c r="P830" s="36"/>
      <c r="Q830" s="40"/>
      <c r="R830" s="40"/>
      <c r="S830" s="40"/>
      <c r="T830" s="41"/>
      <c r="U830" s="41"/>
      <c r="V830" s="41"/>
      <c r="W830" s="36"/>
      <c r="X830" s="36"/>
      <c r="Y830" s="36"/>
      <c r="Z830" s="36"/>
      <c r="AA830" s="36"/>
    </row>
    <row r="831" spans="16:27" x14ac:dyDescent="0.2">
      <c r="P831" s="36"/>
      <c r="Q831" s="40"/>
      <c r="R831" s="40"/>
      <c r="S831" s="40"/>
      <c r="T831" s="41"/>
      <c r="U831" s="41"/>
      <c r="V831" s="41"/>
      <c r="W831" s="36"/>
      <c r="X831" s="36"/>
      <c r="Y831" s="36"/>
      <c r="Z831" s="36"/>
      <c r="AA831" s="36"/>
    </row>
    <row r="832" spans="16:27" x14ac:dyDescent="0.2">
      <c r="P832" s="36"/>
      <c r="Q832" s="40"/>
      <c r="R832" s="40"/>
      <c r="S832" s="40"/>
      <c r="T832" s="41"/>
      <c r="U832" s="41"/>
      <c r="V832" s="41"/>
      <c r="W832" s="36"/>
      <c r="X832" s="36"/>
      <c r="Y832" s="36"/>
      <c r="Z832" s="36"/>
      <c r="AA832" s="36"/>
    </row>
    <row r="833" spans="16:27" x14ac:dyDescent="0.2">
      <c r="P833" s="36"/>
      <c r="Q833" s="40"/>
      <c r="R833" s="40"/>
      <c r="S833" s="40"/>
      <c r="T833" s="41"/>
      <c r="U833" s="41"/>
      <c r="V833" s="41"/>
      <c r="W833" s="36"/>
      <c r="X833" s="36"/>
      <c r="Y833" s="36"/>
      <c r="Z833" s="36"/>
      <c r="AA833" s="36"/>
    </row>
    <row r="834" spans="16:27" x14ac:dyDescent="0.2">
      <c r="P834" s="36"/>
      <c r="Q834" s="40"/>
      <c r="R834" s="40"/>
      <c r="S834" s="40"/>
      <c r="T834" s="41"/>
      <c r="U834" s="41"/>
      <c r="V834" s="41"/>
      <c r="W834" s="36"/>
      <c r="X834" s="36"/>
      <c r="Y834" s="36"/>
      <c r="Z834" s="36"/>
      <c r="AA834" s="36"/>
    </row>
    <row r="835" spans="16:27" x14ac:dyDescent="0.2">
      <c r="P835" s="36"/>
      <c r="Q835" s="40"/>
      <c r="R835" s="40"/>
      <c r="S835" s="40"/>
      <c r="T835" s="41"/>
      <c r="U835" s="41"/>
      <c r="V835" s="41"/>
      <c r="W835" s="36"/>
      <c r="X835" s="36"/>
      <c r="Y835" s="36"/>
      <c r="Z835" s="36"/>
      <c r="AA835" s="36"/>
    </row>
    <row r="836" spans="16:27" x14ac:dyDescent="0.2">
      <c r="P836" s="36"/>
      <c r="Q836" s="40"/>
      <c r="R836" s="40"/>
      <c r="S836" s="40"/>
      <c r="T836" s="41"/>
      <c r="U836" s="41"/>
      <c r="V836" s="41"/>
      <c r="W836" s="36"/>
      <c r="X836" s="36"/>
      <c r="Y836" s="36"/>
      <c r="Z836" s="36"/>
      <c r="AA836" s="36"/>
    </row>
    <row r="837" spans="16:27" x14ac:dyDescent="0.2">
      <c r="P837" s="36"/>
      <c r="Q837" s="40"/>
      <c r="R837" s="40"/>
      <c r="S837" s="40"/>
      <c r="T837" s="41"/>
      <c r="U837" s="41"/>
      <c r="V837" s="41"/>
      <c r="W837" s="36"/>
      <c r="X837" s="36"/>
      <c r="Y837" s="36"/>
      <c r="Z837" s="36"/>
      <c r="AA837" s="36"/>
    </row>
    <row r="838" spans="16:27" x14ac:dyDescent="0.2">
      <c r="P838" s="36"/>
      <c r="Q838" s="40"/>
      <c r="R838" s="40"/>
      <c r="S838" s="40"/>
      <c r="T838" s="41"/>
      <c r="U838" s="41"/>
      <c r="V838" s="41"/>
      <c r="W838" s="36"/>
      <c r="X838" s="36"/>
      <c r="Y838" s="36"/>
      <c r="Z838" s="36"/>
      <c r="AA838" s="36"/>
    </row>
    <row r="839" spans="16:27" x14ac:dyDescent="0.2">
      <c r="P839" s="36"/>
      <c r="Q839" s="40"/>
      <c r="R839" s="40"/>
      <c r="S839" s="40"/>
      <c r="T839" s="41"/>
      <c r="U839" s="41"/>
      <c r="V839" s="41"/>
      <c r="W839" s="36"/>
      <c r="X839" s="36"/>
      <c r="Y839" s="36"/>
      <c r="Z839" s="36"/>
      <c r="AA839" s="36"/>
    </row>
    <row r="840" spans="16:27" x14ac:dyDescent="0.2">
      <c r="P840" s="36"/>
      <c r="Q840" s="40"/>
      <c r="R840" s="40"/>
      <c r="S840" s="40"/>
      <c r="T840" s="41"/>
      <c r="U840" s="41"/>
      <c r="V840" s="41"/>
      <c r="W840" s="36"/>
      <c r="X840" s="36"/>
      <c r="Y840" s="36"/>
      <c r="Z840" s="36"/>
      <c r="AA840" s="36"/>
    </row>
    <row r="841" spans="16:27" x14ac:dyDescent="0.2">
      <c r="P841" s="36"/>
      <c r="Q841" s="40"/>
      <c r="R841" s="40"/>
      <c r="S841" s="40"/>
      <c r="T841" s="41"/>
      <c r="U841" s="41"/>
      <c r="V841" s="41"/>
      <c r="W841" s="36"/>
      <c r="X841" s="36"/>
      <c r="Y841" s="36"/>
      <c r="Z841" s="36"/>
      <c r="AA841" s="36"/>
    </row>
    <row r="842" spans="16:27" x14ac:dyDescent="0.2">
      <c r="P842" s="36"/>
      <c r="Q842" s="40"/>
      <c r="R842" s="40"/>
      <c r="S842" s="40"/>
      <c r="T842" s="41"/>
      <c r="U842" s="41"/>
      <c r="V842" s="41"/>
      <c r="W842" s="36"/>
      <c r="X842" s="36"/>
      <c r="Y842" s="36"/>
      <c r="Z842" s="36"/>
      <c r="AA842" s="36"/>
    </row>
    <row r="843" spans="16:27" x14ac:dyDescent="0.2">
      <c r="P843" s="36"/>
      <c r="Q843" s="40"/>
      <c r="R843" s="40"/>
      <c r="S843" s="40"/>
      <c r="T843" s="41"/>
      <c r="U843" s="41"/>
      <c r="V843" s="41"/>
      <c r="W843" s="36"/>
      <c r="X843" s="36"/>
      <c r="Y843" s="36"/>
      <c r="Z843" s="36"/>
      <c r="AA843" s="36"/>
    </row>
    <row r="844" spans="16:27" x14ac:dyDescent="0.2">
      <c r="P844" s="36"/>
      <c r="Q844" s="40"/>
      <c r="R844" s="40"/>
      <c r="S844" s="40"/>
      <c r="T844" s="41"/>
      <c r="U844" s="41"/>
      <c r="V844" s="41"/>
      <c r="W844" s="36"/>
      <c r="X844" s="36"/>
      <c r="Y844" s="36"/>
      <c r="Z844" s="36"/>
      <c r="AA844" s="36"/>
    </row>
    <row r="845" spans="16:27" x14ac:dyDescent="0.2">
      <c r="P845" s="36"/>
      <c r="Q845" s="40"/>
      <c r="R845" s="40"/>
      <c r="S845" s="40"/>
      <c r="T845" s="41"/>
      <c r="U845" s="41"/>
      <c r="V845" s="41"/>
      <c r="W845" s="36"/>
      <c r="X845" s="36"/>
      <c r="Y845" s="36"/>
      <c r="Z845" s="36"/>
      <c r="AA845" s="36"/>
    </row>
    <row r="846" spans="16:27" x14ac:dyDescent="0.2">
      <c r="P846" s="36"/>
      <c r="Q846" s="40"/>
      <c r="R846" s="40"/>
      <c r="S846" s="40"/>
      <c r="T846" s="41"/>
      <c r="U846" s="41"/>
      <c r="V846" s="41"/>
      <c r="W846" s="36"/>
      <c r="X846" s="36"/>
      <c r="Y846" s="36"/>
      <c r="Z846" s="36"/>
      <c r="AA846" s="36"/>
    </row>
    <row r="847" spans="16:27" x14ac:dyDescent="0.2">
      <c r="P847" s="36"/>
      <c r="Q847" s="40"/>
      <c r="R847" s="40"/>
      <c r="S847" s="40"/>
      <c r="T847" s="41"/>
      <c r="U847" s="41"/>
      <c r="V847" s="41"/>
      <c r="W847" s="36"/>
      <c r="X847" s="36"/>
      <c r="Y847" s="36"/>
      <c r="Z847" s="36"/>
      <c r="AA847" s="36"/>
    </row>
    <row r="848" spans="16:27" x14ac:dyDescent="0.2">
      <c r="P848" s="36"/>
      <c r="Q848" s="40"/>
      <c r="R848" s="40"/>
      <c r="S848" s="40"/>
      <c r="T848" s="41"/>
      <c r="U848" s="41"/>
      <c r="V848" s="41"/>
      <c r="W848" s="36"/>
      <c r="X848" s="36"/>
      <c r="Y848" s="36"/>
      <c r="Z848" s="36"/>
      <c r="AA848" s="36"/>
    </row>
    <row r="849" spans="16:27" x14ac:dyDescent="0.2">
      <c r="P849" s="36"/>
      <c r="Q849" s="40"/>
      <c r="R849" s="40"/>
      <c r="S849" s="40"/>
      <c r="T849" s="41"/>
      <c r="U849" s="41"/>
      <c r="V849" s="41"/>
      <c r="W849" s="36"/>
      <c r="X849" s="36"/>
      <c r="Y849" s="36"/>
      <c r="Z849" s="36"/>
      <c r="AA849" s="36"/>
    </row>
    <row r="850" spans="16:27" x14ac:dyDescent="0.2">
      <c r="P850" s="36"/>
      <c r="Q850" s="40"/>
      <c r="R850" s="40"/>
      <c r="S850" s="40"/>
      <c r="T850" s="41"/>
      <c r="U850" s="41"/>
      <c r="V850" s="41"/>
      <c r="W850" s="36"/>
      <c r="X850" s="36"/>
      <c r="Y850" s="36"/>
      <c r="Z850" s="36"/>
      <c r="AA850" s="36"/>
    </row>
    <row r="851" spans="16:27" x14ac:dyDescent="0.2">
      <c r="P851" s="36"/>
      <c r="Q851" s="40"/>
      <c r="R851" s="40"/>
      <c r="S851" s="40"/>
      <c r="T851" s="41"/>
      <c r="U851" s="41"/>
      <c r="V851" s="41"/>
      <c r="W851" s="36"/>
      <c r="X851" s="36"/>
      <c r="Y851" s="36"/>
      <c r="Z851" s="36"/>
      <c r="AA851" s="36"/>
    </row>
    <row r="852" spans="16:27" x14ac:dyDescent="0.2">
      <c r="P852" s="36"/>
      <c r="Q852" s="40"/>
      <c r="R852" s="40"/>
      <c r="S852" s="40"/>
      <c r="T852" s="41"/>
      <c r="U852" s="41"/>
      <c r="V852" s="41"/>
      <c r="W852" s="36"/>
      <c r="X852" s="36"/>
      <c r="Y852" s="36"/>
      <c r="Z852" s="36"/>
      <c r="AA852" s="36"/>
    </row>
    <row r="853" spans="16:27" x14ac:dyDescent="0.2">
      <c r="P853" s="36"/>
      <c r="Q853" s="40"/>
      <c r="R853" s="40"/>
      <c r="S853" s="40"/>
      <c r="T853" s="41"/>
      <c r="U853" s="41"/>
      <c r="V853" s="41"/>
      <c r="W853" s="36"/>
      <c r="X853" s="36"/>
      <c r="Y853" s="36"/>
      <c r="Z853" s="36"/>
      <c r="AA853" s="36"/>
    </row>
    <row r="854" spans="16:27" x14ac:dyDescent="0.2">
      <c r="P854" s="36"/>
      <c r="Q854" s="40"/>
      <c r="R854" s="40"/>
      <c r="S854" s="40"/>
      <c r="T854" s="41"/>
      <c r="U854" s="41"/>
      <c r="V854" s="41"/>
      <c r="W854" s="36"/>
      <c r="X854" s="36"/>
      <c r="Y854" s="36"/>
      <c r="Z854" s="36"/>
      <c r="AA854" s="36"/>
    </row>
    <row r="855" spans="16:27" x14ac:dyDescent="0.2">
      <c r="P855" s="36"/>
      <c r="Q855" s="40"/>
      <c r="R855" s="40"/>
      <c r="S855" s="40"/>
      <c r="T855" s="41"/>
      <c r="U855" s="41"/>
      <c r="V855" s="41"/>
      <c r="W855" s="36"/>
      <c r="X855" s="36"/>
      <c r="Y855" s="36"/>
      <c r="Z855" s="36"/>
      <c r="AA855" s="36"/>
    </row>
    <row r="856" spans="16:27" x14ac:dyDescent="0.2">
      <c r="P856" s="36"/>
      <c r="Q856" s="40"/>
      <c r="R856" s="40"/>
      <c r="S856" s="40"/>
      <c r="T856" s="41"/>
      <c r="U856" s="41"/>
      <c r="V856" s="41"/>
      <c r="W856" s="36"/>
      <c r="X856" s="36"/>
      <c r="Y856" s="36"/>
      <c r="Z856" s="36"/>
      <c r="AA856" s="36"/>
    </row>
    <row r="857" spans="16:27" x14ac:dyDescent="0.2">
      <c r="P857" s="36"/>
      <c r="Q857" s="40"/>
      <c r="R857" s="40"/>
      <c r="S857" s="40"/>
      <c r="T857" s="41"/>
      <c r="U857" s="41"/>
      <c r="V857" s="41"/>
      <c r="W857" s="36"/>
      <c r="X857" s="36"/>
      <c r="Y857" s="36"/>
      <c r="Z857" s="36"/>
      <c r="AA857" s="36"/>
    </row>
    <row r="858" spans="16:27" x14ac:dyDescent="0.2">
      <c r="P858" s="36"/>
      <c r="Q858" s="40"/>
      <c r="R858" s="40"/>
      <c r="S858" s="40"/>
      <c r="T858" s="41"/>
      <c r="U858" s="41"/>
      <c r="V858" s="41"/>
      <c r="W858" s="36"/>
      <c r="X858" s="36"/>
      <c r="Y858" s="36"/>
      <c r="Z858" s="36"/>
      <c r="AA858" s="36"/>
    </row>
    <row r="859" spans="16:27" x14ac:dyDescent="0.2">
      <c r="P859" s="36"/>
      <c r="Q859" s="40"/>
      <c r="R859" s="40"/>
      <c r="S859" s="40"/>
      <c r="T859" s="41"/>
      <c r="U859" s="41"/>
      <c r="V859" s="41"/>
      <c r="W859" s="36"/>
      <c r="X859" s="36"/>
      <c r="Y859" s="36"/>
      <c r="Z859" s="36"/>
      <c r="AA859" s="36"/>
    </row>
    <row r="860" spans="16:27" x14ac:dyDescent="0.2">
      <c r="P860" s="36"/>
      <c r="Q860" s="40"/>
      <c r="R860" s="40"/>
      <c r="S860" s="40"/>
      <c r="T860" s="41"/>
      <c r="U860" s="41"/>
      <c r="V860" s="41"/>
      <c r="W860" s="36"/>
      <c r="X860" s="36"/>
      <c r="Y860" s="36"/>
      <c r="Z860" s="36"/>
      <c r="AA860" s="36"/>
    </row>
    <row r="861" spans="16:27" x14ac:dyDescent="0.2">
      <c r="P861" s="36"/>
      <c r="Q861" s="40"/>
      <c r="R861" s="40"/>
      <c r="S861" s="40"/>
      <c r="T861" s="41"/>
      <c r="U861" s="41"/>
      <c r="V861" s="41"/>
      <c r="W861" s="36"/>
      <c r="X861" s="36"/>
      <c r="Y861" s="36"/>
      <c r="Z861" s="36"/>
      <c r="AA861" s="36"/>
    </row>
    <row r="862" spans="16:27" x14ac:dyDescent="0.2">
      <c r="P862" s="36"/>
      <c r="Q862" s="40"/>
      <c r="R862" s="40"/>
      <c r="S862" s="40"/>
      <c r="T862" s="41"/>
      <c r="U862" s="41"/>
      <c r="V862" s="41"/>
      <c r="W862" s="36"/>
      <c r="X862" s="36"/>
      <c r="Y862" s="36"/>
      <c r="Z862" s="36"/>
      <c r="AA862" s="36"/>
    </row>
    <row r="863" spans="16:27" x14ac:dyDescent="0.2">
      <c r="P863" s="36"/>
      <c r="Q863" s="40"/>
      <c r="R863" s="40"/>
      <c r="S863" s="40"/>
      <c r="T863" s="41"/>
      <c r="U863" s="41"/>
      <c r="V863" s="41"/>
      <c r="W863" s="36"/>
      <c r="X863" s="36"/>
      <c r="Y863" s="36"/>
      <c r="Z863" s="36"/>
      <c r="AA863" s="36"/>
    </row>
    <row r="864" spans="16:27" x14ac:dyDescent="0.2">
      <c r="P864" s="36"/>
      <c r="Q864" s="40"/>
      <c r="R864" s="40"/>
      <c r="S864" s="40"/>
      <c r="T864" s="41"/>
      <c r="U864" s="41"/>
      <c r="V864" s="41"/>
      <c r="W864" s="36"/>
      <c r="X864" s="36"/>
      <c r="Y864" s="36"/>
      <c r="Z864" s="36"/>
      <c r="AA864" s="36"/>
    </row>
    <row r="865" spans="16:27" x14ac:dyDescent="0.2">
      <c r="P865" s="36"/>
      <c r="Q865" s="40"/>
      <c r="R865" s="40"/>
      <c r="S865" s="40"/>
      <c r="T865" s="41"/>
      <c r="U865" s="41"/>
      <c r="V865" s="41"/>
      <c r="W865" s="36"/>
      <c r="X865" s="36"/>
      <c r="Y865" s="36"/>
      <c r="Z865" s="36"/>
      <c r="AA865" s="36"/>
    </row>
    <row r="866" spans="16:27" x14ac:dyDescent="0.2">
      <c r="P866" s="36"/>
      <c r="Q866" s="40"/>
      <c r="R866" s="40"/>
      <c r="S866" s="40"/>
      <c r="T866" s="41"/>
      <c r="U866" s="41"/>
      <c r="V866" s="41"/>
      <c r="W866" s="36"/>
      <c r="X866" s="36"/>
      <c r="Y866" s="36"/>
      <c r="Z866" s="36"/>
      <c r="AA866" s="36"/>
    </row>
    <row r="867" spans="16:27" x14ac:dyDescent="0.2">
      <c r="P867" s="36"/>
      <c r="Q867" s="40"/>
      <c r="R867" s="40"/>
      <c r="S867" s="40"/>
      <c r="T867" s="41"/>
      <c r="U867" s="41"/>
      <c r="V867" s="41"/>
      <c r="W867" s="36"/>
      <c r="X867" s="36"/>
      <c r="Y867" s="36"/>
      <c r="Z867" s="36"/>
      <c r="AA867" s="36"/>
    </row>
    <row r="868" spans="16:27" x14ac:dyDescent="0.2">
      <c r="P868" s="36"/>
      <c r="Q868" s="40"/>
      <c r="R868" s="40"/>
      <c r="S868" s="40"/>
      <c r="T868" s="41"/>
      <c r="U868" s="41"/>
      <c r="V868" s="41"/>
      <c r="W868" s="36"/>
      <c r="X868" s="36"/>
      <c r="Y868" s="36"/>
      <c r="Z868" s="36"/>
      <c r="AA868" s="36"/>
    </row>
    <row r="869" spans="16:27" x14ac:dyDescent="0.2">
      <c r="P869" s="36"/>
      <c r="Q869" s="40"/>
      <c r="R869" s="40"/>
      <c r="S869" s="40"/>
      <c r="T869" s="41"/>
      <c r="U869" s="41"/>
      <c r="V869" s="41"/>
      <c r="W869" s="36"/>
      <c r="X869" s="36"/>
      <c r="Y869" s="36"/>
      <c r="Z869" s="36"/>
      <c r="AA869" s="36"/>
    </row>
    <row r="870" spans="16:27" x14ac:dyDescent="0.2">
      <c r="P870" s="36"/>
      <c r="Q870" s="40"/>
      <c r="R870" s="40"/>
      <c r="S870" s="40"/>
      <c r="T870" s="41"/>
      <c r="U870" s="41"/>
      <c r="V870" s="41"/>
      <c r="W870" s="36"/>
      <c r="X870" s="36"/>
      <c r="Y870" s="36"/>
      <c r="Z870" s="36"/>
      <c r="AA870" s="36"/>
    </row>
    <row r="871" spans="16:27" x14ac:dyDescent="0.2">
      <c r="P871" s="36"/>
      <c r="Q871" s="40"/>
      <c r="R871" s="40"/>
      <c r="S871" s="40"/>
      <c r="T871" s="41"/>
      <c r="U871" s="41"/>
      <c r="V871" s="41"/>
      <c r="W871" s="36"/>
      <c r="X871" s="36"/>
      <c r="Y871" s="36"/>
      <c r="Z871" s="36"/>
      <c r="AA871" s="36"/>
    </row>
    <row r="872" spans="16:27" x14ac:dyDescent="0.2">
      <c r="P872" s="36"/>
      <c r="Q872" s="40"/>
      <c r="R872" s="40"/>
      <c r="S872" s="40"/>
      <c r="T872" s="41"/>
      <c r="U872" s="41"/>
      <c r="V872" s="41"/>
      <c r="W872" s="36"/>
      <c r="X872" s="36"/>
      <c r="Y872" s="36"/>
      <c r="Z872" s="36"/>
      <c r="AA872" s="36"/>
    </row>
    <row r="873" spans="16:27" x14ac:dyDescent="0.2">
      <c r="P873" s="36"/>
      <c r="Q873" s="40"/>
      <c r="R873" s="40"/>
      <c r="S873" s="40"/>
      <c r="T873" s="41"/>
      <c r="U873" s="41"/>
      <c r="V873" s="41"/>
      <c r="W873" s="36"/>
      <c r="X873" s="36"/>
      <c r="Y873" s="36"/>
      <c r="Z873" s="36"/>
      <c r="AA873" s="36"/>
    </row>
    <row r="874" spans="16:27" x14ac:dyDescent="0.2">
      <c r="P874" s="36"/>
      <c r="Q874" s="40"/>
      <c r="R874" s="40"/>
      <c r="S874" s="40"/>
      <c r="T874" s="41"/>
      <c r="U874" s="41"/>
      <c r="V874" s="41"/>
      <c r="W874" s="36"/>
      <c r="X874" s="36"/>
      <c r="Y874" s="36"/>
      <c r="Z874" s="36"/>
      <c r="AA874" s="36"/>
    </row>
    <row r="875" spans="16:27" x14ac:dyDescent="0.2">
      <c r="P875" s="36"/>
      <c r="Q875" s="40"/>
      <c r="R875" s="40"/>
      <c r="S875" s="40"/>
      <c r="T875" s="41"/>
      <c r="U875" s="41"/>
      <c r="V875" s="41"/>
      <c r="W875" s="36"/>
      <c r="X875" s="36"/>
      <c r="Y875" s="36"/>
      <c r="Z875" s="36"/>
      <c r="AA875" s="36"/>
    </row>
    <row r="876" spans="16:27" x14ac:dyDescent="0.2">
      <c r="P876" s="36"/>
      <c r="Q876" s="40"/>
      <c r="R876" s="40"/>
      <c r="S876" s="40"/>
      <c r="T876" s="41"/>
      <c r="U876" s="41"/>
      <c r="V876" s="41"/>
      <c r="W876" s="36"/>
      <c r="X876" s="36"/>
      <c r="Y876" s="36"/>
      <c r="Z876" s="36"/>
      <c r="AA876" s="36"/>
    </row>
    <row r="877" spans="16:27" x14ac:dyDescent="0.2">
      <c r="P877" s="36"/>
      <c r="Q877" s="40"/>
      <c r="R877" s="40"/>
      <c r="S877" s="40"/>
      <c r="T877" s="41"/>
      <c r="U877" s="41"/>
      <c r="V877" s="41"/>
      <c r="W877" s="36"/>
      <c r="X877" s="36"/>
      <c r="Y877" s="36"/>
      <c r="Z877" s="36"/>
      <c r="AA877" s="36"/>
    </row>
    <row r="878" spans="16:27" x14ac:dyDescent="0.2">
      <c r="P878" s="36"/>
      <c r="Q878" s="40"/>
      <c r="R878" s="40"/>
      <c r="S878" s="40"/>
      <c r="T878" s="41"/>
      <c r="U878" s="41"/>
      <c r="V878" s="41"/>
      <c r="W878" s="36"/>
      <c r="X878" s="36"/>
      <c r="Y878" s="36"/>
      <c r="Z878" s="36"/>
      <c r="AA878" s="36"/>
    </row>
    <row r="879" spans="16:27" x14ac:dyDescent="0.2">
      <c r="P879" s="36"/>
      <c r="Q879" s="40"/>
      <c r="R879" s="40"/>
      <c r="S879" s="40"/>
      <c r="T879" s="41"/>
      <c r="U879" s="41"/>
      <c r="V879" s="41"/>
      <c r="W879" s="36"/>
      <c r="X879" s="36"/>
      <c r="Y879" s="36"/>
      <c r="Z879" s="36"/>
      <c r="AA879" s="36"/>
    </row>
    <row r="880" spans="16:27" x14ac:dyDescent="0.2">
      <c r="P880" s="36"/>
      <c r="Q880" s="40"/>
      <c r="R880" s="40"/>
      <c r="S880" s="40"/>
      <c r="T880" s="41"/>
      <c r="U880" s="41"/>
      <c r="V880" s="41"/>
      <c r="W880" s="36"/>
      <c r="X880" s="36"/>
      <c r="Y880" s="36"/>
      <c r="Z880" s="36"/>
      <c r="AA880" s="36"/>
    </row>
    <row r="881" spans="16:27" x14ac:dyDescent="0.2">
      <c r="P881" s="36"/>
      <c r="Q881" s="40"/>
      <c r="R881" s="40"/>
      <c r="S881" s="40"/>
      <c r="T881" s="41"/>
      <c r="U881" s="41"/>
      <c r="V881" s="41"/>
      <c r="W881" s="36"/>
      <c r="X881" s="36"/>
      <c r="Y881" s="36"/>
      <c r="Z881" s="36"/>
      <c r="AA881" s="36"/>
    </row>
    <row r="882" spans="16:27" x14ac:dyDescent="0.2">
      <c r="P882" s="36"/>
      <c r="Q882" s="40"/>
      <c r="R882" s="40"/>
      <c r="S882" s="40"/>
      <c r="T882" s="41"/>
      <c r="U882" s="41"/>
      <c r="V882" s="41"/>
      <c r="W882" s="36"/>
      <c r="X882" s="36"/>
      <c r="Y882" s="36"/>
      <c r="Z882" s="36"/>
      <c r="AA882" s="36"/>
    </row>
    <row r="883" spans="16:27" x14ac:dyDescent="0.2">
      <c r="P883" s="36"/>
      <c r="Q883" s="40"/>
      <c r="R883" s="40"/>
      <c r="S883" s="40"/>
      <c r="T883" s="41"/>
      <c r="U883" s="41"/>
      <c r="V883" s="41"/>
      <c r="W883" s="36"/>
      <c r="X883" s="36"/>
      <c r="Y883" s="36"/>
      <c r="Z883" s="36"/>
      <c r="AA883" s="36"/>
    </row>
    <row r="884" spans="16:27" x14ac:dyDescent="0.2">
      <c r="P884" s="36"/>
      <c r="Q884" s="40"/>
      <c r="R884" s="40"/>
      <c r="S884" s="40"/>
      <c r="T884" s="41"/>
      <c r="U884" s="41"/>
      <c r="V884" s="41"/>
      <c r="W884" s="36"/>
      <c r="X884" s="36"/>
      <c r="Y884" s="36"/>
      <c r="Z884" s="36"/>
      <c r="AA884" s="36"/>
    </row>
    <row r="885" spans="16:27" x14ac:dyDescent="0.2">
      <c r="P885" s="36"/>
      <c r="Q885" s="40"/>
      <c r="R885" s="40"/>
      <c r="S885" s="40"/>
      <c r="T885" s="41"/>
      <c r="U885" s="41"/>
      <c r="V885" s="41"/>
      <c r="W885" s="36"/>
      <c r="X885" s="36"/>
      <c r="Y885" s="36"/>
      <c r="Z885" s="36"/>
      <c r="AA885" s="36"/>
    </row>
    <row r="886" spans="16:27" x14ac:dyDescent="0.2">
      <c r="P886" s="36"/>
      <c r="Q886" s="40"/>
      <c r="R886" s="40"/>
      <c r="S886" s="40"/>
      <c r="T886" s="41"/>
      <c r="U886" s="41"/>
      <c r="V886" s="41"/>
      <c r="W886" s="36"/>
      <c r="X886" s="36"/>
      <c r="Y886" s="36"/>
      <c r="Z886" s="36"/>
      <c r="AA886" s="36"/>
    </row>
    <row r="887" spans="16:27" x14ac:dyDescent="0.2">
      <c r="P887" s="36"/>
      <c r="Q887" s="40"/>
      <c r="R887" s="40"/>
      <c r="S887" s="40"/>
      <c r="T887" s="41"/>
      <c r="U887" s="41"/>
      <c r="V887" s="41"/>
      <c r="W887" s="36"/>
      <c r="X887" s="36"/>
      <c r="Y887" s="36"/>
      <c r="Z887" s="36"/>
      <c r="AA887" s="36"/>
    </row>
    <row r="888" spans="16:27" x14ac:dyDescent="0.2">
      <c r="P888" s="36"/>
      <c r="Q888" s="40"/>
      <c r="R888" s="40"/>
      <c r="S888" s="40"/>
      <c r="T888" s="41"/>
      <c r="U888" s="41"/>
      <c r="V888" s="41"/>
      <c r="W888" s="36"/>
      <c r="X888" s="36"/>
      <c r="Y888" s="36"/>
      <c r="Z888" s="36"/>
      <c r="AA888" s="36"/>
    </row>
    <row r="889" spans="16:27" x14ac:dyDescent="0.2">
      <c r="P889" s="36"/>
      <c r="Q889" s="40"/>
      <c r="R889" s="40"/>
      <c r="S889" s="40"/>
      <c r="T889" s="41"/>
      <c r="U889" s="41"/>
      <c r="V889" s="41"/>
      <c r="W889" s="36"/>
      <c r="X889" s="36"/>
      <c r="Y889" s="36"/>
      <c r="Z889" s="36"/>
      <c r="AA889" s="36"/>
    </row>
    <row r="890" spans="16:27" x14ac:dyDescent="0.2">
      <c r="P890" s="36"/>
      <c r="Q890" s="40"/>
      <c r="R890" s="40"/>
      <c r="S890" s="40"/>
      <c r="T890" s="41"/>
      <c r="U890" s="41"/>
      <c r="V890" s="41"/>
      <c r="W890" s="36"/>
      <c r="X890" s="36"/>
      <c r="Y890" s="36"/>
      <c r="Z890" s="36"/>
      <c r="AA890" s="36"/>
    </row>
    <row r="891" spans="16:27" x14ac:dyDescent="0.2">
      <c r="P891" s="36"/>
      <c r="Q891" s="40"/>
      <c r="R891" s="40"/>
      <c r="S891" s="40"/>
      <c r="T891" s="41"/>
      <c r="U891" s="41"/>
      <c r="V891" s="41"/>
      <c r="W891" s="36"/>
      <c r="X891" s="36"/>
      <c r="Y891" s="36"/>
      <c r="Z891" s="36"/>
      <c r="AA891" s="36"/>
    </row>
    <row r="892" spans="16:27" x14ac:dyDescent="0.2">
      <c r="P892" s="36"/>
      <c r="Q892" s="40"/>
      <c r="R892" s="40"/>
      <c r="S892" s="40"/>
      <c r="T892" s="41"/>
      <c r="U892" s="41"/>
      <c r="V892" s="41"/>
      <c r="W892" s="36"/>
      <c r="X892" s="36"/>
      <c r="Y892" s="36"/>
      <c r="Z892" s="36"/>
      <c r="AA892" s="36"/>
    </row>
    <row r="893" spans="16:27" x14ac:dyDescent="0.2">
      <c r="P893" s="36"/>
      <c r="Q893" s="40"/>
      <c r="R893" s="40"/>
      <c r="S893" s="40"/>
      <c r="T893" s="41"/>
      <c r="U893" s="41"/>
      <c r="V893" s="41"/>
      <c r="W893" s="36"/>
      <c r="X893" s="36"/>
      <c r="Y893" s="36"/>
      <c r="Z893" s="36"/>
      <c r="AA893" s="36"/>
    </row>
    <row r="894" spans="16:27" x14ac:dyDescent="0.2">
      <c r="P894" s="36"/>
      <c r="Q894" s="40"/>
      <c r="R894" s="40"/>
      <c r="S894" s="40"/>
      <c r="T894" s="41"/>
      <c r="U894" s="41"/>
      <c r="V894" s="41"/>
      <c r="W894" s="36"/>
      <c r="X894" s="36"/>
      <c r="Y894" s="36"/>
      <c r="Z894" s="36"/>
      <c r="AA894" s="36"/>
    </row>
    <row r="895" spans="16:27" x14ac:dyDescent="0.2">
      <c r="P895" s="36"/>
      <c r="Q895" s="40"/>
      <c r="R895" s="40"/>
      <c r="S895" s="40"/>
      <c r="T895" s="41"/>
      <c r="U895" s="41"/>
      <c r="V895" s="41"/>
      <c r="W895" s="36"/>
      <c r="X895" s="36"/>
      <c r="Y895" s="36"/>
      <c r="Z895" s="36"/>
      <c r="AA895" s="36"/>
    </row>
    <row r="896" spans="16:27" x14ac:dyDescent="0.2">
      <c r="P896" s="36"/>
      <c r="Q896" s="40"/>
      <c r="R896" s="40"/>
      <c r="S896" s="40"/>
      <c r="T896" s="41"/>
      <c r="U896" s="41"/>
      <c r="V896" s="41"/>
      <c r="W896" s="36"/>
      <c r="X896" s="36"/>
      <c r="Y896" s="36"/>
      <c r="Z896" s="36"/>
      <c r="AA896" s="36"/>
    </row>
    <row r="897" spans="16:27" x14ac:dyDescent="0.2">
      <c r="P897" s="36"/>
      <c r="Q897" s="40"/>
      <c r="R897" s="40"/>
      <c r="S897" s="40"/>
      <c r="T897" s="41"/>
      <c r="U897" s="41"/>
      <c r="V897" s="41"/>
      <c r="W897" s="36"/>
      <c r="X897" s="36"/>
      <c r="Y897" s="36"/>
      <c r="Z897" s="36"/>
      <c r="AA897" s="36"/>
    </row>
    <row r="898" spans="16:27" x14ac:dyDescent="0.2">
      <c r="P898" s="36"/>
      <c r="Q898" s="40"/>
      <c r="R898" s="40"/>
      <c r="S898" s="40"/>
      <c r="T898" s="41"/>
      <c r="U898" s="41"/>
      <c r="V898" s="41"/>
      <c r="W898" s="36"/>
      <c r="X898" s="36"/>
      <c r="Y898" s="36"/>
      <c r="Z898" s="36"/>
      <c r="AA898" s="36"/>
    </row>
    <row r="899" spans="16:27" x14ac:dyDescent="0.2">
      <c r="P899" s="36"/>
      <c r="Q899" s="40"/>
      <c r="R899" s="40"/>
      <c r="S899" s="40"/>
      <c r="T899" s="41"/>
      <c r="U899" s="41"/>
      <c r="V899" s="41"/>
      <c r="W899" s="36"/>
      <c r="X899" s="36"/>
      <c r="Y899" s="36"/>
      <c r="Z899" s="36"/>
      <c r="AA899" s="36"/>
    </row>
    <row r="900" spans="16:27" x14ac:dyDescent="0.2">
      <c r="P900" s="36"/>
      <c r="Q900" s="40"/>
      <c r="R900" s="40"/>
      <c r="S900" s="40"/>
      <c r="T900" s="41"/>
      <c r="U900" s="41"/>
      <c r="V900" s="41"/>
      <c r="W900" s="36"/>
      <c r="X900" s="36"/>
      <c r="Y900" s="36"/>
      <c r="Z900" s="36"/>
      <c r="AA900" s="36"/>
    </row>
    <row r="901" spans="16:27" x14ac:dyDescent="0.2">
      <c r="P901" s="36"/>
      <c r="Q901" s="40"/>
      <c r="R901" s="40"/>
      <c r="S901" s="40"/>
      <c r="T901" s="41"/>
      <c r="U901" s="41"/>
      <c r="V901" s="41"/>
      <c r="W901" s="36"/>
      <c r="X901" s="36"/>
      <c r="Y901" s="36"/>
      <c r="Z901" s="36"/>
      <c r="AA901" s="36"/>
    </row>
    <row r="902" spans="16:27" x14ac:dyDescent="0.2">
      <c r="P902" s="36"/>
      <c r="Q902" s="40"/>
      <c r="R902" s="40"/>
      <c r="S902" s="40"/>
      <c r="T902" s="41"/>
      <c r="U902" s="41"/>
      <c r="V902" s="41"/>
      <c r="W902" s="36"/>
      <c r="X902" s="36"/>
      <c r="Y902" s="36"/>
      <c r="Z902" s="36"/>
      <c r="AA902" s="36"/>
    </row>
    <row r="903" spans="16:27" x14ac:dyDescent="0.2">
      <c r="P903" s="36"/>
      <c r="Q903" s="40"/>
      <c r="R903" s="40"/>
      <c r="S903" s="40"/>
      <c r="T903" s="41"/>
      <c r="U903" s="41"/>
      <c r="V903" s="41"/>
      <c r="W903" s="36"/>
      <c r="X903" s="36"/>
      <c r="Y903" s="36"/>
      <c r="Z903" s="36"/>
      <c r="AA903" s="36"/>
    </row>
    <row r="904" spans="16:27" x14ac:dyDescent="0.2">
      <c r="P904" s="36"/>
      <c r="Q904" s="40"/>
      <c r="R904" s="40"/>
      <c r="S904" s="40"/>
      <c r="T904" s="41"/>
      <c r="U904" s="41"/>
      <c r="V904" s="41"/>
      <c r="W904" s="36"/>
      <c r="X904" s="36"/>
      <c r="Y904" s="36"/>
      <c r="Z904" s="36"/>
      <c r="AA904" s="36"/>
    </row>
    <row r="905" spans="16:27" x14ac:dyDescent="0.2">
      <c r="P905" s="36"/>
      <c r="Q905" s="40"/>
      <c r="R905" s="40"/>
      <c r="S905" s="40"/>
      <c r="T905" s="41"/>
      <c r="U905" s="41"/>
      <c r="V905" s="41"/>
      <c r="W905" s="36"/>
      <c r="X905" s="36"/>
      <c r="Y905" s="36"/>
      <c r="Z905" s="36"/>
      <c r="AA905" s="36"/>
    </row>
    <row r="906" spans="16:27" x14ac:dyDescent="0.2">
      <c r="P906" s="36"/>
      <c r="Q906" s="40"/>
      <c r="R906" s="40"/>
      <c r="S906" s="40"/>
      <c r="T906" s="41"/>
      <c r="U906" s="41"/>
      <c r="V906" s="41"/>
      <c r="W906" s="36"/>
      <c r="X906" s="36"/>
      <c r="Y906" s="36"/>
      <c r="Z906" s="36"/>
      <c r="AA906" s="36"/>
    </row>
    <row r="907" spans="16:27" x14ac:dyDescent="0.2">
      <c r="P907" s="36"/>
      <c r="Q907" s="40"/>
      <c r="R907" s="40"/>
      <c r="S907" s="40"/>
      <c r="T907" s="41"/>
      <c r="U907" s="41"/>
      <c r="V907" s="41"/>
      <c r="W907" s="36"/>
      <c r="X907" s="36"/>
      <c r="Y907" s="36"/>
      <c r="Z907" s="36"/>
      <c r="AA907" s="36"/>
    </row>
    <row r="908" spans="16:27" x14ac:dyDescent="0.2">
      <c r="P908" s="36"/>
      <c r="Q908" s="40"/>
      <c r="R908" s="40"/>
      <c r="S908" s="40"/>
      <c r="T908" s="41"/>
      <c r="U908" s="41"/>
      <c r="V908" s="41"/>
      <c r="W908" s="36"/>
      <c r="X908" s="36"/>
      <c r="Y908" s="36"/>
      <c r="Z908" s="36"/>
      <c r="AA908" s="36"/>
    </row>
    <row r="909" spans="16:27" x14ac:dyDescent="0.2">
      <c r="P909" s="36"/>
      <c r="Q909" s="40"/>
      <c r="R909" s="40"/>
      <c r="S909" s="40"/>
      <c r="T909" s="41"/>
      <c r="U909" s="41"/>
      <c r="V909" s="41"/>
      <c r="W909" s="36"/>
      <c r="X909" s="36"/>
      <c r="Y909" s="36"/>
      <c r="Z909" s="36"/>
      <c r="AA909" s="36"/>
    </row>
    <row r="910" spans="16:27" x14ac:dyDescent="0.2">
      <c r="P910" s="36"/>
      <c r="Q910" s="40"/>
      <c r="R910" s="40"/>
      <c r="S910" s="40"/>
      <c r="T910" s="41"/>
      <c r="U910" s="41"/>
      <c r="V910" s="41"/>
      <c r="W910" s="36"/>
      <c r="X910" s="36"/>
      <c r="Y910" s="36"/>
      <c r="Z910" s="36"/>
      <c r="AA910" s="36"/>
    </row>
    <row r="911" spans="16:27" x14ac:dyDescent="0.2">
      <c r="P911" s="36"/>
      <c r="Q911" s="40"/>
      <c r="R911" s="40"/>
      <c r="S911" s="40"/>
      <c r="T911" s="41"/>
      <c r="U911" s="41"/>
      <c r="V911" s="41"/>
      <c r="W911" s="36"/>
      <c r="X911" s="36"/>
      <c r="Y911" s="36"/>
      <c r="Z911" s="36"/>
      <c r="AA911" s="36"/>
    </row>
    <row r="912" spans="16:27" x14ac:dyDescent="0.2">
      <c r="P912" s="36"/>
      <c r="Q912" s="40"/>
      <c r="R912" s="40"/>
      <c r="S912" s="40"/>
      <c r="T912" s="41"/>
      <c r="U912" s="41"/>
      <c r="V912" s="41"/>
      <c r="W912" s="36"/>
      <c r="X912" s="36"/>
      <c r="Y912" s="36"/>
      <c r="Z912" s="36"/>
      <c r="AA912" s="36"/>
    </row>
    <row r="913" spans="16:27" x14ac:dyDescent="0.2">
      <c r="P913" s="36"/>
      <c r="Q913" s="40"/>
      <c r="R913" s="40"/>
      <c r="S913" s="40"/>
      <c r="T913" s="41"/>
      <c r="U913" s="41"/>
      <c r="V913" s="41"/>
      <c r="W913" s="36"/>
      <c r="X913" s="36"/>
      <c r="Y913" s="36"/>
      <c r="Z913" s="36"/>
      <c r="AA913" s="36"/>
    </row>
    <row r="914" spans="16:27" x14ac:dyDescent="0.2">
      <c r="P914" s="36"/>
      <c r="Q914" s="40"/>
      <c r="R914" s="40"/>
      <c r="S914" s="40"/>
      <c r="T914" s="41"/>
      <c r="U914" s="41"/>
      <c r="V914" s="41"/>
      <c r="W914" s="36"/>
      <c r="X914" s="36"/>
      <c r="Y914" s="36"/>
      <c r="Z914" s="36"/>
      <c r="AA914" s="36"/>
    </row>
    <row r="915" spans="16:27" x14ac:dyDescent="0.2">
      <c r="P915" s="36"/>
      <c r="Q915" s="40"/>
      <c r="R915" s="40"/>
      <c r="S915" s="40"/>
      <c r="T915" s="41"/>
      <c r="U915" s="41"/>
      <c r="V915" s="41"/>
      <c r="W915" s="36"/>
      <c r="X915" s="36"/>
      <c r="Y915" s="36"/>
      <c r="Z915" s="36"/>
      <c r="AA915" s="36"/>
    </row>
    <row r="916" spans="16:27" x14ac:dyDescent="0.2">
      <c r="P916" s="36"/>
      <c r="Q916" s="40"/>
      <c r="R916" s="40"/>
      <c r="S916" s="40"/>
      <c r="T916" s="41"/>
      <c r="U916" s="41"/>
      <c r="V916" s="41"/>
      <c r="W916" s="36"/>
      <c r="X916" s="36"/>
      <c r="Y916" s="36"/>
      <c r="Z916" s="36"/>
      <c r="AA916" s="36"/>
    </row>
    <row r="917" spans="16:27" x14ac:dyDescent="0.2">
      <c r="P917" s="36"/>
      <c r="Q917" s="40"/>
      <c r="R917" s="40"/>
      <c r="S917" s="40"/>
      <c r="T917" s="41"/>
      <c r="U917" s="41"/>
      <c r="V917" s="41"/>
      <c r="W917" s="36"/>
      <c r="X917" s="36"/>
      <c r="Y917" s="36"/>
      <c r="Z917" s="36"/>
      <c r="AA917" s="36"/>
    </row>
    <row r="918" spans="16:27" x14ac:dyDescent="0.2">
      <c r="P918" s="36"/>
      <c r="Q918" s="40"/>
      <c r="R918" s="40"/>
      <c r="S918" s="40"/>
      <c r="T918" s="41"/>
      <c r="U918" s="41"/>
      <c r="V918" s="41"/>
      <c r="W918" s="36"/>
      <c r="X918" s="36"/>
      <c r="Y918" s="36"/>
      <c r="Z918" s="36"/>
      <c r="AA918" s="36"/>
    </row>
    <row r="919" spans="16:27" x14ac:dyDescent="0.2">
      <c r="P919" s="36"/>
      <c r="Q919" s="40"/>
      <c r="R919" s="40"/>
      <c r="S919" s="40"/>
      <c r="T919" s="41"/>
      <c r="U919" s="41"/>
      <c r="V919" s="41"/>
      <c r="W919" s="36"/>
      <c r="X919" s="36"/>
      <c r="Y919" s="36"/>
      <c r="Z919" s="36"/>
      <c r="AA919" s="36"/>
    </row>
    <row r="920" spans="16:27" x14ac:dyDescent="0.2">
      <c r="P920" s="36"/>
      <c r="Q920" s="40"/>
      <c r="R920" s="40"/>
      <c r="S920" s="40"/>
      <c r="T920" s="41"/>
      <c r="U920" s="41"/>
      <c r="V920" s="41"/>
      <c r="W920" s="36"/>
      <c r="X920" s="36"/>
      <c r="Y920" s="36"/>
      <c r="Z920" s="36"/>
      <c r="AA920" s="36"/>
    </row>
    <row r="921" spans="16:27" x14ac:dyDescent="0.2">
      <c r="P921" s="36"/>
      <c r="Q921" s="40"/>
      <c r="R921" s="40"/>
      <c r="S921" s="40"/>
      <c r="T921" s="41"/>
      <c r="U921" s="41"/>
      <c r="V921" s="41"/>
      <c r="W921" s="36"/>
      <c r="X921" s="36"/>
      <c r="Y921" s="36"/>
      <c r="Z921" s="36"/>
      <c r="AA921" s="36"/>
    </row>
    <row r="922" spans="16:27" x14ac:dyDescent="0.2">
      <c r="P922" s="36"/>
      <c r="Q922" s="40"/>
      <c r="R922" s="40"/>
      <c r="S922" s="40"/>
      <c r="T922" s="41"/>
      <c r="U922" s="41"/>
      <c r="V922" s="41"/>
      <c r="W922" s="36"/>
      <c r="X922" s="36"/>
      <c r="Y922" s="36"/>
      <c r="Z922" s="36"/>
      <c r="AA922" s="36"/>
    </row>
    <row r="923" spans="16:27" x14ac:dyDescent="0.2">
      <c r="P923" s="36"/>
      <c r="Q923" s="40"/>
      <c r="R923" s="40"/>
      <c r="S923" s="40"/>
      <c r="T923" s="41"/>
      <c r="U923" s="41"/>
      <c r="V923" s="41"/>
      <c r="W923" s="36"/>
      <c r="X923" s="36"/>
      <c r="Y923" s="36"/>
      <c r="Z923" s="36"/>
      <c r="AA923" s="36"/>
    </row>
    <row r="924" spans="16:27" x14ac:dyDescent="0.2">
      <c r="P924" s="36"/>
      <c r="Q924" s="40"/>
      <c r="R924" s="40"/>
      <c r="S924" s="40"/>
      <c r="T924" s="41"/>
      <c r="U924" s="41"/>
      <c r="V924" s="41"/>
      <c r="W924" s="36"/>
      <c r="X924" s="36"/>
      <c r="Y924" s="36"/>
      <c r="Z924" s="36"/>
      <c r="AA924" s="36"/>
    </row>
    <row r="925" spans="16:27" x14ac:dyDescent="0.2">
      <c r="P925" s="36"/>
      <c r="Q925" s="40"/>
      <c r="R925" s="40"/>
      <c r="S925" s="40"/>
      <c r="T925" s="41"/>
      <c r="U925" s="41"/>
      <c r="V925" s="41"/>
      <c r="W925" s="36"/>
      <c r="X925" s="36"/>
      <c r="Y925" s="36"/>
      <c r="Z925" s="36"/>
      <c r="AA925" s="36"/>
    </row>
    <row r="926" spans="16:27" x14ac:dyDescent="0.2">
      <c r="P926" s="36"/>
      <c r="Q926" s="40"/>
      <c r="R926" s="40"/>
      <c r="S926" s="40"/>
      <c r="T926" s="41"/>
      <c r="U926" s="41"/>
      <c r="V926" s="41"/>
      <c r="W926" s="36"/>
      <c r="X926" s="36"/>
      <c r="Y926" s="36"/>
      <c r="Z926" s="36"/>
      <c r="AA926" s="36"/>
    </row>
    <row r="927" spans="16:27" x14ac:dyDescent="0.2">
      <c r="P927" s="36"/>
      <c r="Q927" s="40"/>
      <c r="R927" s="40"/>
      <c r="S927" s="40"/>
      <c r="T927" s="41"/>
      <c r="U927" s="41"/>
      <c r="V927" s="41"/>
      <c r="W927" s="36"/>
      <c r="X927" s="36"/>
      <c r="Y927" s="36"/>
      <c r="Z927" s="36"/>
      <c r="AA927" s="36"/>
    </row>
    <row r="928" spans="16:27" x14ac:dyDescent="0.2">
      <c r="P928" s="36"/>
      <c r="Q928" s="40"/>
      <c r="R928" s="40"/>
      <c r="S928" s="40"/>
      <c r="T928" s="41"/>
      <c r="U928" s="41"/>
      <c r="V928" s="41"/>
      <c r="W928" s="36"/>
      <c r="X928" s="36"/>
      <c r="Y928" s="36"/>
      <c r="Z928" s="36"/>
      <c r="AA928" s="36"/>
    </row>
    <row r="929" spans="16:27" x14ac:dyDescent="0.2">
      <c r="P929" s="36"/>
      <c r="Q929" s="40"/>
      <c r="R929" s="40"/>
      <c r="S929" s="40"/>
      <c r="T929" s="41"/>
      <c r="U929" s="41"/>
      <c r="V929" s="41"/>
      <c r="W929" s="36"/>
      <c r="X929" s="36"/>
      <c r="Y929" s="36"/>
      <c r="Z929" s="36"/>
      <c r="AA929" s="36"/>
    </row>
    <row r="930" spans="16:27" x14ac:dyDescent="0.2">
      <c r="P930" s="36"/>
      <c r="Q930" s="40"/>
      <c r="R930" s="40"/>
      <c r="S930" s="40"/>
      <c r="T930" s="41"/>
      <c r="U930" s="41"/>
      <c r="V930" s="41"/>
      <c r="W930" s="36"/>
      <c r="X930" s="36"/>
      <c r="Y930" s="36"/>
      <c r="Z930" s="36"/>
      <c r="AA930" s="36"/>
    </row>
    <row r="931" spans="16:27" x14ac:dyDescent="0.2">
      <c r="P931" s="36"/>
      <c r="Q931" s="40"/>
      <c r="R931" s="40"/>
      <c r="S931" s="40"/>
      <c r="T931" s="41"/>
      <c r="U931" s="41"/>
      <c r="V931" s="41"/>
      <c r="W931" s="36"/>
      <c r="X931" s="36"/>
      <c r="Y931" s="36"/>
      <c r="Z931" s="36"/>
      <c r="AA931" s="36"/>
    </row>
    <row r="932" spans="16:27" x14ac:dyDescent="0.2">
      <c r="P932" s="36"/>
      <c r="Q932" s="40"/>
      <c r="R932" s="40"/>
      <c r="S932" s="40"/>
      <c r="T932" s="41"/>
      <c r="U932" s="41"/>
      <c r="V932" s="41"/>
      <c r="W932" s="36"/>
      <c r="X932" s="36"/>
      <c r="Y932" s="36"/>
      <c r="Z932" s="36"/>
      <c r="AA932" s="36"/>
    </row>
    <row r="933" spans="16:27" x14ac:dyDescent="0.2">
      <c r="P933" s="36"/>
      <c r="Q933" s="40"/>
      <c r="R933" s="40"/>
      <c r="S933" s="40"/>
      <c r="T933" s="41"/>
      <c r="U933" s="41"/>
      <c r="V933" s="41"/>
      <c r="W933" s="36"/>
      <c r="X933" s="36"/>
      <c r="Y933" s="36"/>
      <c r="Z933" s="36"/>
      <c r="AA933" s="36"/>
    </row>
    <row r="934" spans="16:27" x14ac:dyDescent="0.2">
      <c r="P934" s="36"/>
      <c r="Q934" s="40"/>
      <c r="R934" s="40"/>
      <c r="S934" s="40"/>
      <c r="T934" s="41"/>
      <c r="U934" s="41"/>
      <c r="V934" s="41"/>
      <c r="W934" s="36"/>
      <c r="X934" s="36"/>
      <c r="Y934" s="36"/>
      <c r="Z934" s="36"/>
      <c r="AA934" s="36"/>
    </row>
    <row r="935" spans="16:27" x14ac:dyDescent="0.2">
      <c r="P935" s="36"/>
      <c r="Q935" s="40"/>
      <c r="R935" s="40"/>
      <c r="S935" s="40"/>
      <c r="T935" s="41"/>
      <c r="U935" s="41"/>
      <c r="V935" s="41"/>
      <c r="W935" s="36"/>
      <c r="X935" s="36"/>
      <c r="Y935" s="36"/>
      <c r="Z935" s="36"/>
      <c r="AA935" s="36"/>
    </row>
    <row r="936" spans="16:27" x14ac:dyDescent="0.2">
      <c r="P936" s="36"/>
      <c r="Q936" s="40"/>
      <c r="R936" s="40"/>
      <c r="S936" s="40"/>
      <c r="T936" s="41"/>
      <c r="U936" s="41"/>
      <c r="V936" s="41"/>
      <c r="W936" s="36"/>
      <c r="X936" s="36"/>
      <c r="Y936" s="36"/>
      <c r="Z936" s="36"/>
      <c r="AA936" s="36"/>
    </row>
    <row r="937" spans="16:27" x14ac:dyDescent="0.2">
      <c r="P937" s="36"/>
      <c r="Q937" s="40"/>
      <c r="R937" s="40"/>
      <c r="S937" s="40"/>
      <c r="T937" s="41"/>
      <c r="U937" s="41"/>
      <c r="V937" s="41"/>
      <c r="W937" s="36"/>
      <c r="X937" s="36"/>
      <c r="Y937" s="36"/>
      <c r="Z937" s="36"/>
      <c r="AA937" s="36"/>
    </row>
    <row r="938" spans="16:27" x14ac:dyDescent="0.2">
      <c r="P938" s="36"/>
      <c r="Q938" s="40"/>
      <c r="R938" s="40"/>
      <c r="S938" s="40"/>
      <c r="T938" s="41"/>
      <c r="U938" s="41"/>
      <c r="V938" s="41"/>
      <c r="W938" s="36"/>
      <c r="X938" s="36"/>
      <c r="Y938" s="36"/>
      <c r="Z938" s="36"/>
      <c r="AA938" s="36"/>
    </row>
    <row r="939" spans="16:27" x14ac:dyDescent="0.2">
      <c r="P939" s="36"/>
      <c r="Q939" s="40"/>
      <c r="R939" s="40"/>
      <c r="S939" s="40"/>
      <c r="T939" s="41"/>
      <c r="U939" s="41"/>
      <c r="V939" s="41"/>
      <c r="W939" s="36"/>
      <c r="X939" s="36"/>
      <c r="Y939" s="36"/>
      <c r="Z939" s="36"/>
      <c r="AA939" s="36"/>
    </row>
    <row r="940" spans="16:27" x14ac:dyDescent="0.2">
      <c r="P940" s="36"/>
      <c r="Q940" s="40"/>
      <c r="R940" s="40"/>
      <c r="S940" s="40"/>
      <c r="T940" s="41"/>
      <c r="U940" s="41"/>
      <c r="V940" s="41"/>
      <c r="W940" s="36"/>
      <c r="X940" s="36"/>
      <c r="Y940" s="36"/>
      <c r="Z940" s="36"/>
      <c r="AA940" s="36"/>
    </row>
    <row r="941" spans="16:27" x14ac:dyDescent="0.2">
      <c r="P941" s="36"/>
      <c r="Q941" s="40"/>
      <c r="R941" s="40"/>
      <c r="S941" s="40"/>
      <c r="T941" s="41"/>
      <c r="U941" s="41"/>
      <c r="V941" s="41"/>
      <c r="W941" s="36"/>
      <c r="X941" s="36"/>
      <c r="Y941" s="36"/>
      <c r="Z941" s="36"/>
      <c r="AA941" s="36"/>
    </row>
    <row r="942" spans="16:27" x14ac:dyDescent="0.2">
      <c r="P942" s="36"/>
      <c r="Q942" s="40"/>
      <c r="R942" s="40"/>
      <c r="S942" s="40"/>
      <c r="T942" s="41"/>
      <c r="U942" s="41"/>
      <c r="V942" s="41"/>
      <c r="W942" s="36"/>
      <c r="X942" s="36"/>
      <c r="Y942" s="36"/>
      <c r="Z942" s="36"/>
      <c r="AA942" s="36"/>
    </row>
    <row r="943" spans="16:27" x14ac:dyDescent="0.2">
      <c r="P943" s="36"/>
      <c r="Q943" s="40"/>
      <c r="R943" s="40"/>
      <c r="S943" s="40"/>
      <c r="T943" s="41"/>
      <c r="U943" s="41"/>
      <c r="V943" s="41"/>
      <c r="W943" s="36"/>
      <c r="X943" s="36"/>
      <c r="Y943" s="36"/>
      <c r="Z943" s="36"/>
      <c r="AA943" s="36"/>
    </row>
    <row r="944" spans="16:27" x14ac:dyDescent="0.2">
      <c r="P944" s="36"/>
      <c r="Q944" s="40"/>
      <c r="R944" s="40"/>
      <c r="S944" s="40"/>
      <c r="T944" s="41"/>
      <c r="U944" s="41"/>
      <c r="V944" s="41"/>
      <c r="W944" s="36"/>
      <c r="X944" s="36"/>
      <c r="Y944" s="36"/>
      <c r="Z944" s="36"/>
      <c r="AA944" s="36"/>
    </row>
    <row r="945" spans="16:27" x14ac:dyDescent="0.2">
      <c r="P945" s="36"/>
      <c r="Q945" s="40"/>
      <c r="R945" s="40"/>
      <c r="S945" s="40"/>
      <c r="T945" s="41"/>
      <c r="U945" s="41"/>
      <c r="V945" s="41"/>
      <c r="W945" s="36"/>
      <c r="X945" s="36"/>
      <c r="Y945" s="36"/>
      <c r="Z945" s="36"/>
      <c r="AA945" s="36"/>
    </row>
    <row r="946" spans="16:27" x14ac:dyDescent="0.2">
      <c r="P946" s="36"/>
      <c r="Q946" s="40"/>
      <c r="R946" s="40"/>
      <c r="S946" s="40"/>
      <c r="T946" s="41"/>
      <c r="U946" s="41"/>
      <c r="V946" s="41"/>
      <c r="W946" s="36"/>
      <c r="X946" s="36"/>
      <c r="Y946" s="36"/>
      <c r="Z946" s="36"/>
      <c r="AA946" s="36"/>
    </row>
    <row r="947" spans="16:27" x14ac:dyDescent="0.2">
      <c r="P947" s="36"/>
      <c r="Q947" s="40"/>
      <c r="R947" s="40"/>
      <c r="S947" s="40"/>
      <c r="T947" s="41"/>
      <c r="U947" s="41"/>
      <c r="V947" s="41"/>
      <c r="W947" s="36"/>
      <c r="X947" s="36"/>
      <c r="Y947" s="36"/>
      <c r="Z947" s="36"/>
      <c r="AA947" s="36"/>
    </row>
    <row r="948" spans="16:27" x14ac:dyDescent="0.2">
      <c r="P948" s="36"/>
      <c r="Q948" s="40"/>
      <c r="R948" s="40"/>
      <c r="S948" s="40"/>
      <c r="T948" s="41"/>
      <c r="U948" s="41"/>
      <c r="V948" s="41"/>
      <c r="W948" s="36"/>
      <c r="X948" s="36"/>
      <c r="Y948" s="36"/>
      <c r="Z948" s="36"/>
      <c r="AA948" s="36"/>
    </row>
    <row r="949" spans="16:27" x14ac:dyDescent="0.2">
      <c r="P949" s="36"/>
      <c r="Q949" s="40"/>
      <c r="R949" s="40"/>
      <c r="S949" s="40"/>
      <c r="T949" s="41"/>
      <c r="U949" s="41"/>
      <c r="V949" s="41"/>
      <c r="W949" s="36"/>
      <c r="X949" s="36"/>
      <c r="Y949" s="36"/>
      <c r="Z949" s="36"/>
      <c r="AA949" s="36"/>
    </row>
    <row r="950" spans="16:27" x14ac:dyDescent="0.2">
      <c r="P950" s="36"/>
      <c r="Q950" s="40"/>
      <c r="R950" s="40"/>
      <c r="S950" s="40"/>
      <c r="T950" s="41"/>
      <c r="U950" s="41"/>
      <c r="V950" s="41"/>
      <c r="W950" s="36"/>
      <c r="X950" s="36"/>
      <c r="Y950" s="36"/>
      <c r="Z950" s="36"/>
      <c r="AA950" s="36"/>
    </row>
    <row r="951" spans="16:27" x14ac:dyDescent="0.2">
      <c r="P951" s="36"/>
      <c r="Q951" s="40"/>
      <c r="R951" s="40"/>
      <c r="S951" s="40"/>
      <c r="T951" s="41"/>
      <c r="U951" s="41"/>
      <c r="V951" s="41"/>
      <c r="W951" s="36"/>
      <c r="X951" s="36"/>
      <c r="Y951" s="36"/>
      <c r="Z951" s="36"/>
      <c r="AA951" s="36"/>
    </row>
    <row r="952" spans="16:27" x14ac:dyDescent="0.2">
      <c r="P952" s="36"/>
      <c r="Q952" s="40"/>
      <c r="R952" s="40"/>
      <c r="S952" s="40"/>
      <c r="T952" s="41"/>
      <c r="U952" s="41"/>
      <c r="V952" s="41"/>
      <c r="W952" s="36"/>
      <c r="X952" s="36"/>
      <c r="Y952" s="36"/>
      <c r="Z952" s="36"/>
      <c r="AA952" s="36"/>
    </row>
    <row r="953" spans="16:27" x14ac:dyDescent="0.2">
      <c r="P953" s="36"/>
      <c r="Q953" s="40"/>
      <c r="R953" s="40"/>
      <c r="S953" s="40"/>
      <c r="T953" s="41"/>
      <c r="U953" s="41"/>
      <c r="V953" s="41"/>
      <c r="W953" s="36"/>
      <c r="X953" s="36"/>
      <c r="Y953" s="36"/>
      <c r="Z953" s="36"/>
      <c r="AA953" s="36"/>
    </row>
    <row r="954" spans="16:27" x14ac:dyDescent="0.2">
      <c r="P954" s="36"/>
      <c r="Q954" s="40"/>
      <c r="R954" s="40"/>
      <c r="S954" s="40"/>
      <c r="T954" s="41"/>
      <c r="U954" s="41"/>
      <c r="V954" s="41"/>
      <c r="W954" s="36"/>
      <c r="X954" s="36"/>
      <c r="Y954" s="36"/>
      <c r="Z954" s="36"/>
      <c r="AA954" s="36"/>
    </row>
    <row r="955" spans="16:27" x14ac:dyDescent="0.2">
      <c r="P955" s="36"/>
      <c r="Q955" s="40"/>
      <c r="R955" s="40"/>
      <c r="S955" s="40"/>
      <c r="T955" s="41"/>
      <c r="U955" s="41"/>
      <c r="V955" s="41"/>
      <c r="W955" s="36"/>
      <c r="X955" s="36"/>
      <c r="Y955" s="36"/>
      <c r="Z955" s="36"/>
      <c r="AA955" s="36"/>
    </row>
    <row r="956" spans="16:27" x14ac:dyDescent="0.2">
      <c r="P956" s="36"/>
      <c r="Q956" s="40"/>
      <c r="R956" s="40"/>
      <c r="S956" s="40"/>
      <c r="T956" s="41"/>
      <c r="U956" s="41"/>
      <c r="V956" s="41"/>
      <c r="W956" s="36"/>
      <c r="X956" s="36"/>
      <c r="Y956" s="36"/>
      <c r="Z956" s="36"/>
      <c r="AA956" s="36"/>
    </row>
    <row r="957" spans="16:27" x14ac:dyDescent="0.2">
      <c r="P957" s="36"/>
      <c r="Q957" s="40"/>
      <c r="R957" s="40"/>
      <c r="S957" s="40"/>
      <c r="T957" s="41"/>
      <c r="U957" s="41"/>
      <c r="V957" s="41"/>
      <c r="W957" s="36"/>
      <c r="X957" s="36"/>
      <c r="Y957" s="36"/>
      <c r="Z957" s="36"/>
      <c r="AA957" s="36"/>
    </row>
    <row r="958" spans="16:27" x14ac:dyDescent="0.2">
      <c r="P958" s="36"/>
      <c r="Q958" s="40"/>
      <c r="R958" s="40"/>
      <c r="S958" s="40"/>
      <c r="T958" s="41"/>
      <c r="U958" s="41"/>
      <c r="V958" s="41"/>
      <c r="W958" s="36"/>
      <c r="X958" s="36"/>
      <c r="Y958" s="36"/>
      <c r="Z958" s="36"/>
      <c r="AA958" s="36"/>
    </row>
    <row r="959" spans="16:27" x14ac:dyDescent="0.2">
      <c r="P959" s="36"/>
      <c r="Q959" s="40"/>
      <c r="R959" s="40"/>
      <c r="S959" s="40"/>
      <c r="T959" s="41"/>
      <c r="U959" s="41"/>
      <c r="V959" s="41"/>
      <c r="W959" s="36"/>
      <c r="X959" s="36"/>
      <c r="Y959" s="36"/>
      <c r="Z959" s="36"/>
      <c r="AA959" s="36"/>
    </row>
    <row r="960" spans="16:27" x14ac:dyDescent="0.2">
      <c r="P960" s="36"/>
      <c r="Q960" s="40"/>
      <c r="R960" s="40"/>
      <c r="S960" s="40"/>
      <c r="T960" s="41"/>
      <c r="U960" s="41"/>
      <c r="V960" s="41"/>
      <c r="W960" s="36"/>
      <c r="X960" s="36"/>
      <c r="Y960" s="36"/>
      <c r="Z960" s="36"/>
      <c r="AA960" s="36"/>
    </row>
    <row r="961" spans="16:27" x14ac:dyDescent="0.2">
      <c r="P961" s="36"/>
      <c r="Q961" s="40"/>
      <c r="R961" s="40"/>
      <c r="S961" s="40"/>
      <c r="T961" s="41"/>
      <c r="U961" s="41"/>
      <c r="V961" s="41"/>
      <c r="W961" s="36"/>
      <c r="X961" s="36"/>
      <c r="Y961" s="36"/>
      <c r="Z961" s="36"/>
      <c r="AA961" s="36"/>
    </row>
    <row r="962" spans="16:27" x14ac:dyDescent="0.2">
      <c r="P962" s="36"/>
      <c r="Q962" s="40"/>
      <c r="R962" s="40"/>
      <c r="S962" s="40"/>
      <c r="T962" s="41"/>
      <c r="U962" s="41"/>
      <c r="V962" s="41"/>
      <c r="W962" s="36"/>
      <c r="X962" s="36"/>
      <c r="Y962" s="36"/>
      <c r="Z962" s="36"/>
      <c r="AA962" s="36"/>
    </row>
    <row r="963" spans="16:27" x14ac:dyDescent="0.2">
      <c r="P963" s="36"/>
      <c r="Q963" s="40"/>
      <c r="R963" s="40"/>
      <c r="S963" s="40"/>
      <c r="T963" s="41"/>
      <c r="U963" s="41"/>
      <c r="V963" s="41"/>
      <c r="W963" s="36"/>
      <c r="X963" s="36"/>
      <c r="Y963" s="36"/>
      <c r="Z963" s="36"/>
      <c r="AA963" s="36"/>
    </row>
    <row r="964" spans="16:27" x14ac:dyDescent="0.2">
      <c r="P964" s="36"/>
      <c r="Q964" s="40"/>
      <c r="R964" s="40"/>
      <c r="S964" s="40"/>
      <c r="T964" s="41"/>
      <c r="U964" s="41"/>
      <c r="V964" s="41"/>
      <c r="W964" s="36"/>
      <c r="X964" s="36"/>
      <c r="Y964" s="36"/>
      <c r="Z964" s="36"/>
      <c r="AA964" s="36"/>
    </row>
    <row r="965" spans="16:27" x14ac:dyDescent="0.2">
      <c r="P965" s="36"/>
      <c r="Q965" s="40"/>
      <c r="R965" s="40"/>
      <c r="S965" s="40"/>
      <c r="T965" s="41"/>
      <c r="U965" s="41"/>
      <c r="V965" s="41"/>
      <c r="W965" s="36"/>
      <c r="X965" s="36"/>
      <c r="Y965" s="36"/>
      <c r="Z965" s="36"/>
      <c r="AA965" s="36"/>
    </row>
    <row r="966" spans="16:27" x14ac:dyDescent="0.2">
      <c r="P966" s="36"/>
      <c r="Q966" s="40"/>
      <c r="R966" s="40"/>
      <c r="S966" s="40"/>
      <c r="T966" s="41"/>
      <c r="U966" s="41"/>
      <c r="V966" s="41"/>
      <c r="W966" s="36"/>
      <c r="X966" s="36"/>
      <c r="Y966" s="36"/>
      <c r="Z966" s="36"/>
      <c r="AA966" s="36"/>
    </row>
    <row r="967" spans="16:27" x14ac:dyDescent="0.2">
      <c r="P967" s="36"/>
      <c r="Q967" s="40"/>
      <c r="R967" s="40"/>
      <c r="S967" s="40"/>
      <c r="T967" s="41"/>
      <c r="U967" s="41"/>
      <c r="V967" s="41"/>
      <c r="W967" s="36"/>
      <c r="X967" s="36"/>
      <c r="Y967" s="36"/>
      <c r="Z967" s="36"/>
      <c r="AA967" s="36"/>
    </row>
    <row r="968" spans="16:27" x14ac:dyDescent="0.2">
      <c r="P968" s="36"/>
      <c r="Q968" s="40"/>
      <c r="R968" s="40"/>
      <c r="S968" s="40"/>
      <c r="T968" s="41"/>
      <c r="U968" s="41"/>
      <c r="V968" s="41"/>
      <c r="W968" s="36"/>
      <c r="X968" s="36"/>
      <c r="Y968" s="36"/>
      <c r="Z968" s="36"/>
      <c r="AA968" s="36"/>
    </row>
    <row r="969" spans="16:27" x14ac:dyDescent="0.2">
      <c r="P969" s="36"/>
      <c r="Q969" s="40"/>
      <c r="R969" s="40"/>
      <c r="S969" s="40"/>
      <c r="T969" s="41"/>
      <c r="U969" s="41"/>
      <c r="V969" s="41"/>
      <c r="W969" s="36"/>
      <c r="X969" s="36"/>
      <c r="Y969" s="36"/>
      <c r="Z969" s="36"/>
      <c r="AA969" s="36"/>
    </row>
    <row r="970" spans="16:27" x14ac:dyDescent="0.2">
      <c r="P970" s="36"/>
      <c r="Q970" s="40"/>
      <c r="R970" s="40"/>
      <c r="S970" s="40"/>
      <c r="T970" s="41"/>
      <c r="U970" s="41"/>
      <c r="V970" s="41"/>
      <c r="W970" s="36"/>
      <c r="X970" s="36"/>
      <c r="Y970" s="36"/>
      <c r="Z970" s="36"/>
      <c r="AA970" s="36"/>
    </row>
    <row r="971" spans="16:27" x14ac:dyDescent="0.2">
      <c r="P971" s="36"/>
      <c r="Q971" s="40"/>
      <c r="R971" s="40"/>
      <c r="S971" s="40"/>
      <c r="T971" s="41"/>
      <c r="U971" s="41"/>
      <c r="V971" s="41"/>
      <c r="W971" s="36"/>
      <c r="X971" s="36"/>
      <c r="Y971" s="36"/>
      <c r="Z971" s="36"/>
      <c r="AA971" s="36"/>
    </row>
    <row r="972" spans="16:27" x14ac:dyDescent="0.2">
      <c r="P972" s="36"/>
      <c r="Q972" s="40"/>
      <c r="R972" s="40"/>
      <c r="S972" s="40"/>
      <c r="T972" s="41"/>
      <c r="U972" s="41"/>
      <c r="V972" s="41"/>
      <c r="W972" s="36"/>
      <c r="X972" s="36"/>
      <c r="Y972" s="36"/>
      <c r="Z972" s="36"/>
      <c r="AA972" s="36"/>
    </row>
    <row r="973" spans="16:27" x14ac:dyDescent="0.2">
      <c r="P973" s="36"/>
      <c r="Q973" s="40"/>
      <c r="R973" s="40"/>
      <c r="S973" s="40"/>
      <c r="T973" s="41"/>
      <c r="U973" s="41"/>
      <c r="V973" s="41"/>
      <c r="W973" s="36"/>
      <c r="X973" s="36"/>
      <c r="Y973" s="36"/>
      <c r="Z973" s="36"/>
      <c r="AA973" s="36"/>
    </row>
    <row r="974" spans="16:27" x14ac:dyDescent="0.2">
      <c r="P974" s="36"/>
      <c r="Q974" s="40"/>
      <c r="R974" s="40"/>
      <c r="S974" s="40"/>
      <c r="T974" s="41"/>
      <c r="U974" s="41"/>
      <c r="V974" s="41"/>
      <c r="W974" s="36"/>
      <c r="X974" s="36"/>
      <c r="Y974" s="36"/>
      <c r="Z974" s="36"/>
      <c r="AA974" s="36"/>
    </row>
    <row r="975" spans="16:27" x14ac:dyDescent="0.2">
      <c r="P975" s="36"/>
      <c r="Q975" s="40"/>
      <c r="R975" s="40"/>
      <c r="S975" s="40"/>
      <c r="T975" s="41"/>
      <c r="U975" s="41"/>
      <c r="V975" s="41"/>
      <c r="W975" s="36"/>
      <c r="X975" s="36"/>
      <c r="Y975" s="36"/>
      <c r="Z975" s="36"/>
      <c r="AA975" s="36"/>
    </row>
    <row r="976" spans="16:27" x14ac:dyDescent="0.2">
      <c r="P976" s="36"/>
      <c r="Q976" s="40"/>
      <c r="R976" s="40"/>
      <c r="S976" s="40"/>
      <c r="T976" s="41"/>
      <c r="U976" s="41"/>
      <c r="V976" s="41"/>
      <c r="W976" s="36"/>
      <c r="X976" s="36"/>
      <c r="Y976" s="36"/>
      <c r="Z976" s="36"/>
      <c r="AA976" s="36"/>
    </row>
    <row r="977" spans="16:27" x14ac:dyDescent="0.2">
      <c r="P977" s="36"/>
      <c r="Q977" s="40"/>
      <c r="R977" s="40"/>
      <c r="S977" s="40"/>
      <c r="T977" s="41"/>
      <c r="U977" s="41"/>
      <c r="V977" s="41"/>
      <c r="W977" s="36"/>
      <c r="X977" s="36"/>
      <c r="Y977" s="36"/>
      <c r="Z977" s="36"/>
      <c r="AA977" s="36"/>
    </row>
    <row r="978" spans="16:27" x14ac:dyDescent="0.2">
      <c r="P978" s="36"/>
      <c r="Q978" s="40"/>
      <c r="R978" s="40"/>
      <c r="S978" s="40"/>
      <c r="T978" s="41"/>
      <c r="U978" s="41"/>
      <c r="V978" s="41"/>
      <c r="W978" s="36"/>
      <c r="X978" s="36"/>
      <c r="Y978" s="36"/>
      <c r="Z978" s="36"/>
      <c r="AA978" s="36"/>
    </row>
    <row r="979" spans="16:27" x14ac:dyDescent="0.2">
      <c r="P979" s="36"/>
      <c r="Q979" s="40"/>
      <c r="R979" s="40"/>
      <c r="S979" s="40"/>
      <c r="T979" s="41"/>
      <c r="U979" s="41"/>
      <c r="V979" s="41"/>
      <c r="W979" s="36"/>
      <c r="X979" s="36"/>
      <c r="Y979" s="36"/>
      <c r="Z979" s="36"/>
      <c r="AA979" s="36"/>
    </row>
    <row r="980" spans="16:27" x14ac:dyDescent="0.2">
      <c r="P980" s="36"/>
      <c r="Q980" s="40"/>
      <c r="R980" s="40"/>
      <c r="S980" s="40"/>
      <c r="T980" s="41"/>
      <c r="U980" s="41"/>
      <c r="V980" s="41"/>
      <c r="W980" s="36"/>
      <c r="X980" s="36"/>
      <c r="Y980" s="36"/>
      <c r="Z980" s="36"/>
      <c r="AA980" s="36"/>
    </row>
    <row r="981" spans="16:27" x14ac:dyDescent="0.2">
      <c r="P981" s="36"/>
      <c r="Q981" s="40"/>
      <c r="R981" s="40"/>
      <c r="S981" s="40"/>
      <c r="T981" s="41"/>
      <c r="U981" s="41"/>
      <c r="V981" s="41"/>
      <c r="W981" s="36"/>
      <c r="X981" s="36"/>
      <c r="Y981" s="36"/>
      <c r="Z981" s="36"/>
      <c r="AA981" s="36"/>
    </row>
    <row r="982" spans="16:27" x14ac:dyDescent="0.2">
      <c r="P982" s="36"/>
      <c r="Q982" s="40"/>
      <c r="R982" s="40"/>
      <c r="S982" s="40"/>
      <c r="T982" s="41"/>
      <c r="U982" s="41"/>
      <c r="V982" s="41"/>
      <c r="W982" s="36"/>
      <c r="X982" s="36"/>
      <c r="Y982" s="36"/>
      <c r="Z982" s="36"/>
      <c r="AA982" s="36"/>
    </row>
    <row r="983" spans="16:27" x14ac:dyDescent="0.2">
      <c r="P983" s="36"/>
      <c r="Q983" s="40"/>
      <c r="R983" s="40"/>
      <c r="S983" s="40"/>
      <c r="T983" s="41"/>
      <c r="U983" s="41"/>
      <c r="V983" s="41"/>
      <c r="W983" s="36"/>
      <c r="X983" s="36"/>
      <c r="Y983" s="36"/>
      <c r="Z983" s="36"/>
      <c r="AA983" s="36"/>
    </row>
    <row r="984" spans="16:27" x14ac:dyDescent="0.2">
      <c r="P984" s="36"/>
      <c r="Q984" s="40"/>
      <c r="R984" s="40"/>
      <c r="S984" s="40"/>
      <c r="T984" s="41"/>
      <c r="U984" s="41"/>
      <c r="V984" s="41"/>
      <c r="W984" s="36"/>
      <c r="X984" s="36"/>
      <c r="Y984" s="36"/>
      <c r="Z984" s="36"/>
      <c r="AA984" s="36"/>
    </row>
    <row r="985" spans="16:27" x14ac:dyDescent="0.2">
      <c r="P985" s="36"/>
      <c r="Q985" s="40"/>
      <c r="R985" s="40"/>
      <c r="S985" s="40"/>
      <c r="T985" s="41"/>
      <c r="U985" s="41"/>
      <c r="V985" s="41"/>
      <c r="W985" s="36"/>
      <c r="X985" s="36"/>
      <c r="Y985" s="36"/>
      <c r="Z985" s="36"/>
      <c r="AA985" s="36"/>
    </row>
    <row r="986" spans="16:27" x14ac:dyDescent="0.2">
      <c r="P986" s="36"/>
      <c r="Q986" s="40"/>
      <c r="R986" s="40"/>
      <c r="S986" s="40"/>
      <c r="T986" s="41"/>
      <c r="U986" s="41"/>
      <c r="V986" s="41"/>
      <c r="W986" s="36"/>
      <c r="X986" s="36"/>
      <c r="Y986" s="36"/>
      <c r="Z986" s="36"/>
      <c r="AA986" s="36"/>
    </row>
    <row r="987" spans="16:27" x14ac:dyDescent="0.2">
      <c r="P987" s="36"/>
      <c r="Q987" s="40"/>
      <c r="R987" s="40"/>
      <c r="S987" s="40"/>
      <c r="T987" s="41"/>
      <c r="U987" s="41"/>
      <c r="V987" s="41"/>
      <c r="W987" s="36"/>
      <c r="X987" s="36"/>
      <c r="Y987" s="36"/>
      <c r="Z987" s="36"/>
      <c r="AA987" s="36"/>
    </row>
    <row r="988" spans="16:27" x14ac:dyDescent="0.2">
      <c r="P988" s="36"/>
      <c r="Q988" s="40"/>
      <c r="R988" s="40"/>
      <c r="S988" s="40"/>
      <c r="T988" s="41"/>
      <c r="U988" s="41"/>
      <c r="V988" s="41"/>
      <c r="W988" s="36"/>
      <c r="X988" s="36"/>
      <c r="Y988" s="36"/>
      <c r="Z988" s="36"/>
      <c r="AA988" s="36"/>
    </row>
    <row r="989" spans="16:27" x14ac:dyDescent="0.2">
      <c r="P989" s="36"/>
      <c r="Q989" s="40"/>
      <c r="R989" s="40"/>
      <c r="S989" s="40"/>
      <c r="T989" s="41"/>
      <c r="U989" s="41"/>
      <c r="V989" s="41"/>
      <c r="W989" s="36"/>
      <c r="X989" s="36"/>
      <c r="Y989" s="36"/>
      <c r="Z989" s="36"/>
      <c r="AA989" s="36"/>
    </row>
    <row r="990" spans="16:27" x14ac:dyDescent="0.2">
      <c r="P990" s="36"/>
      <c r="Q990" s="40"/>
      <c r="R990" s="40"/>
      <c r="S990" s="40"/>
      <c r="T990" s="41"/>
      <c r="U990" s="41"/>
      <c r="V990" s="41"/>
      <c r="W990" s="36"/>
      <c r="X990" s="36"/>
      <c r="Y990" s="36"/>
      <c r="Z990" s="36"/>
      <c r="AA990" s="36"/>
    </row>
    <row r="991" spans="16:27" x14ac:dyDescent="0.2">
      <c r="P991" s="36"/>
      <c r="Q991" s="40"/>
      <c r="R991" s="40"/>
      <c r="S991" s="40"/>
      <c r="T991" s="41"/>
      <c r="U991" s="41"/>
      <c r="V991" s="41"/>
      <c r="W991" s="36"/>
      <c r="X991" s="36"/>
      <c r="Y991" s="36"/>
      <c r="Z991" s="36"/>
      <c r="AA991" s="36"/>
    </row>
    <row r="992" spans="16:27" x14ac:dyDescent="0.2">
      <c r="P992" s="36"/>
      <c r="Q992" s="40"/>
      <c r="R992" s="40"/>
      <c r="S992" s="40"/>
      <c r="T992" s="41"/>
      <c r="U992" s="41"/>
      <c r="V992" s="41"/>
      <c r="W992" s="36"/>
      <c r="X992" s="36"/>
      <c r="Y992" s="36"/>
      <c r="Z992" s="36"/>
      <c r="AA992" s="36"/>
    </row>
    <row r="993" spans="16:27" x14ac:dyDescent="0.2">
      <c r="P993" s="36"/>
      <c r="Q993" s="40"/>
      <c r="R993" s="40"/>
      <c r="S993" s="40"/>
      <c r="T993" s="41"/>
      <c r="U993" s="41"/>
      <c r="V993" s="41"/>
      <c r="W993" s="36"/>
      <c r="X993" s="36"/>
      <c r="Y993" s="36"/>
      <c r="Z993" s="36"/>
      <c r="AA993" s="36"/>
    </row>
    <row r="994" spans="16:27" x14ac:dyDescent="0.2">
      <c r="P994" s="36"/>
      <c r="Q994" s="40"/>
      <c r="R994" s="40"/>
      <c r="S994" s="40"/>
      <c r="T994" s="41"/>
      <c r="U994" s="41"/>
      <c r="V994" s="41"/>
      <c r="W994" s="36"/>
      <c r="X994" s="36"/>
      <c r="Y994" s="36"/>
      <c r="Z994" s="36"/>
      <c r="AA994" s="36"/>
    </row>
    <row r="995" spans="16:27" x14ac:dyDescent="0.2">
      <c r="P995" s="36"/>
      <c r="Q995" s="40"/>
      <c r="R995" s="40"/>
      <c r="S995" s="40"/>
      <c r="T995" s="41"/>
      <c r="U995" s="41"/>
      <c r="V995" s="41"/>
      <c r="W995" s="36"/>
      <c r="X995" s="36"/>
      <c r="Y995" s="36"/>
      <c r="Z995" s="36"/>
      <c r="AA995" s="36"/>
    </row>
    <row r="996" spans="16:27" x14ac:dyDescent="0.2">
      <c r="P996" s="36"/>
      <c r="Q996" s="40"/>
      <c r="R996" s="40"/>
      <c r="S996" s="40"/>
      <c r="T996" s="41"/>
      <c r="U996" s="41"/>
      <c r="V996" s="41"/>
      <c r="W996" s="36"/>
      <c r="X996" s="36"/>
      <c r="Y996" s="36"/>
      <c r="Z996" s="36"/>
      <c r="AA996" s="36"/>
    </row>
    <row r="997" spans="16:27" x14ac:dyDescent="0.2">
      <c r="P997" s="36"/>
      <c r="Q997" s="40"/>
      <c r="R997" s="40"/>
      <c r="S997" s="40"/>
      <c r="T997" s="41"/>
      <c r="U997" s="41"/>
      <c r="V997" s="41"/>
      <c r="W997" s="36"/>
      <c r="X997" s="36"/>
      <c r="Y997" s="36"/>
      <c r="Z997" s="36"/>
      <c r="AA997" s="36"/>
    </row>
    <row r="998" spans="16:27" x14ac:dyDescent="0.2">
      <c r="P998" s="36"/>
      <c r="Q998" s="40"/>
      <c r="R998" s="40"/>
      <c r="S998" s="40"/>
      <c r="T998" s="41"/>
      <c r="U998" s="41"/>
      <c r="V998" s="41"/>
      <c r="W998" s="36"/>
      <c r="X998" s="36"/>
      <c r="Y998" s="36"/>
      <c r="Z998" s="36"/>
      <c r="AA998" s="36"/>
    </row>
    <row r="999" spans="16:27" x14ac:dyDescent="0.2">
      <c r="P999" s="36"/>
      <c r="Q999" s="40"/>
      <c r="R999" s="40"/>
      <c r="S999" s="40"/>
      <c r="T999" s="41"/>
      <c r="U999" s="41"/>
      <c r="V999" s="41"/>
      <c r="W999" s="36"/>
      <c r="X999" s="36"/>
      <c r="Y999" s="36"/>
      <c r="Z999" s="36"/>
      <c r="AA999" s="36"/>
    </row>
    <row r="1000" spans="16:27" x14ac:dyDescent="0.2">
      <c r="P1000" s="36"/>
      <c r="Q1000" s="40"/>
      <c r="R1000" s="40"/>
      <c r="S1000" s="40"/>
      <c r="T1000" s="41"/>
      <c r="U1000" s="41"/>
      <c r="V1000" s="41"/>
      <c r="W1000" s="36"/>
      <c r="X1000" s="36"/>
      <c r="Y1000" s="36"/>
      <c r="Z1000" s="36"/>
      <c r="AA1000" s="36"/>
    </row>
    <row r="1001" spans="16:27" x14ac:dyDescent="0.2">
      <c r="P1001" s="36"/>
      <c r="Q1001" s="40"/>
      <c r="R1001" s="40"/>
      <c r="S1001" s="40"/>
      <c r="T1001" s="41"/>
      <c r="U1001" s="41"/>
      <c r="V1001" s="41"/>
      <c r="W1001" s="36"/>
      <c r="X1001" s="36"/>
      <c r="Y1001" s="36"/>
      <c r="Z1001" s="36"/>
      <c r="AA1001" s="36"/>
    </row>
    <row r="1002" spans="16:27" x14ac:dyDescent="0.2">
      <c r="P1002" s="36"/>
      <c r="Q1002" s="40"/>
      <c r="R1002" s="40"/>
      <c r="S1002" s="40"/>
      <c r="T1002" s="41"/>
      <c r="U1002" s="41"/>
      <c r="V1002" s="41"/>
      <c r="W1002" s="36"/>
      <c r="X1002" s="36"/>
      <c r="Y1002" s="36"/>
      <c r="Z1002" s="36"/>
      <c r="AA1002" s="36"/>
    </row>
    <row r="1003" spans="16:27" x14ac:dyDescent="0.2">
      <c r="P1003" s="36"/>
      <c r="Q1003" s="40"/>
      <c r="R1003" s="40"/>
      <c r="S1003" s="40"/>
      <c r="T1003" s="41"/>
      <c r="U1003" s="41"/>
      <c r="V1003" s="41"/>
      <c r="W1003" s="36"/>
      <c r="X1003" s="36"/>
      <c r="Y1003" s="36"/>
      <c r="Z1003" s="36"/>
      <c r="AA1003" s="36"/>
    </row>
    <row r="1004" spans="16:27" x14ac:dyDescent="0.2">
      <c r="P1004" s="36"/>
      <c r="Q1004" s="40"/>
      <c r="R1004" s="40"/>
      <c r="S1004" s="40"/>
      <c r="T1004" s="41"/>
      <c r="U1004" s="41"/>
      <c r="V1004" s="41"/>
      <c r="W1004" s="36"/>
      <c r="X1004" s="36"/>
      <c r="Y1004" s="36"/>
      <c r="Z1004" s="36"/>
      <c r="AA1004" s="36"/>
    </row>
    <row r="1005" spans="16:27" x14ac:dyDescent="0.2">
      <c r="P1005" s="36"/>
      <c r="Q1005" s="40"/>
      <c r="R1005" s="40"/>
      <c r="S1005" s="40"/>
      <c r="T1005" s="41"/>
      <c r="U1005" s="41"/>
      <c r="V1005" s="41"/>
      <c r="W1005" s="36"/>
      <c r="X1005" s="36"/>
      <c r="Y1005" s="36"/>
      <c r="Z1005" s="36"/>
      <c r="AA1005" s="36"/>
    </row>
    <row r="1006" spans="16:27" x14ac:dyDescent="0.2">
      <c r="P1006" s="36"/>
      <c r="Q1006" s="40"/>
      <c r="R1006" s="40"/>
      <c r="S1006" s="40"/>
      <c r="T1006" s="41"/>
      <c r="U1006" s="41"/>
      <c r="V1006" s="41"/>
      <c r="W1006" s="36"/>
      <c r="X1006" s="36"/>
      <c r="Y1006" s="36"/>
      <c r="Z1006" s="36"/>
      <c r="AA1006" s="36"/>
    </row>
    <row r="1007" spans="16:27" x14ac:dyDescent="0.2">
      <c r="P1007" s="36"/>
      <c r="Q1007" s="40"/>
      <c r="R1007" s="40"/>
      <c r="S1007" s="40"/>
      <c r="T1007" s="41"/>
      <c r="U1007" s="41"/>
      <c r="V1007" s="41"/>
      <c r="W1007" s="36"/>
      <c r="X1007" s="36"/>
      <c r="Y1007" s="36"/>
      <c r="Z1007" s="36"/>
      <c r="AA1007" s="36"/>
    </row>
    <row r="1008" spans="16:27" x14ac:dyDescent="0.2">
      <c r="P1008" s="36"/>
      <c r="Q1008" s="40"/>
      <c r="R1008" s="40"/>
      <c r="S1008" s="40"/>
      <c r="T1008" s="41"/>
      <c r="U1008" s="41"/>
      <c r="V1008" s="41"/>
      <c r="W1008" s="36"/>
      <c r="X1008" s="36"/>
      <c r="Y1008" s="36"/>
      <c r="Z1008" s="36"/>
      <c r="AA1008" s="36"/>
    </row>
    <row r="1009" spans="16:27" x14ac:dyDescent="0.2">
      <c r="P1009" s="36"/>
      <c r="Q1009" s="40"/>
      <c r="R1009" s="40"/>
      <c r="S1009" s="40"/>
      <c r="T1009" s="41"/>
      <c r="U1009" s="41"/>
      <c r="V1009" s="41"/>
      <c r="W1009" s="36"/>
      <c r="X1009" s="36"/>
      <c r="Y1009" s="36"/>
      <c r="Z1009" s="36"/>
      <c r="AA1009" s="36"/>
    </row>
    <row r="1010" spans="16:27" x14ac:dyDescent="0.2">
      <c r="P1010" s="36"/>
      <c r="Q1010" s="40"/>
      <c r="R1010" s="40"/>
      <c r="S1010" s="40"/>
      <c r="T1010" s="41"/>
      <c r="U1010" s="41"/>
      <c r="V1010" s="41"/>
      <c r="W1010" s="36"/>
      <c r="X1010" s="36"/>
      <c r="Y1010" s="36"/>
      <c r="Z1010" s="36"/>
      <c r="AA1010" s="36"/>
    </row>
    <row r="1011" spans="16:27" x14ac:dyDescent="0.2">
      <c r="P1011" s="36"/>
      <c r="Q1011" s="40"/>
      <c r="R1011" s="40"/>
      <c r="S1011" s="40"/>
      <c r="T1011" s="41"/>
      <c r="U1011" s="41"/>
      <c r="V1011" s="41"/>
      <c r="W1011" s="36"/>
      <c r="X1011" s="36"/>
      <c r="Y1011" s="36"/>
      <c r="Z1011" s="36"/>
      <c r="AA1011" s="36"/>
    </row>
    <row r="1012" spans="16:27" x14ac:dyDescent="0.2">
      <c r="P1012" s="36"/>
      <c r="Q1012" s="40"/>
      <c r="R1012" s="40"/>
      <c r="S1012" s="40"/>
      <c r="T1012" s="41"/>
      <c r="U1012" s="41"/>
      <c r="V1012" s="41"/>
      <c r="W1012" s="36"/>
      <c r="X1012" s="36"/>
      <c r="Y1012" s="36"/>
      <c r="Z1012" s="36"/>
      <c r="AA1012" s="36"/>
    </row>
    <row r="1013" spans="16:27" x14ac:dyDescent="0.2">
      <c r="P1013" s="36"/>
      <c r="Q1013" s="40"/>
      <c r="R1013" s="40"/>
      <c r="S1013" s="40"/>
      <c r="T1013" s="41"/>
      <c r="U1013" s="41"/>
      <c r="V1013" s="41"/>
      <c r="W1013" s="36"/>
      <c r="X1013" s="36"/>
      <c r="Y1013" s="36"/>
      <c r="Z1013" s="36"/>
      <c r="AA1013" s="36"/>
    </row>
    <row r="1014" spans="16:27" x14ac:dyDescent="0.2">
      <c r="P1014" s="36"/>
      <c r="Q1014" s="40"/>
      <c r="R1014" s="40"/>
      <c r="S1014" s="40"/>
      <c r="T1014" s="41"/>
      <c r="U1014" s="41"/>
      <c r="V1014" s="41"/>
      <c r="W1014" s="36"/>
      <c r="X1014" s="36"/>
      <c r="Y1014" s="36"/>
      <c r="Z1014" s="36"/>
      <c r="AA1014" s="36"/>
    </row>
    <row r="1015" spans="16:27" x14ac:dyDescent="0.2">
      <c r="P1015" s="36"/>
      <c r="Q1015" s="40"/>
      <c r="R1015" s="40"/>
      <c r="S1015" s="40"/>
      <c r="T1015" s="41"/>
      <c r="U1015" s="41"/>
      <c r="V1015" s="41"/>
      <c r="W1015" s="36"/>
      <c r="X1015" s="36"/>
      <c r="Y1015" s="36"/>
      <c r="Z1015" s="36"/>
      <c r="AA1015" s="36"/>
    </row>
    <row r="1016" spans="16:27" x14ac:dyDescent="0.2">
      <c r="P1016" s="36"/>
      <c r="Q1016" s="40"/>
      <c r="R1016" s="40"/>
      <c r="S1016" s="40"/>
      <c r="T1016" s="41"/>
      <c r="U1016" s="41"/>
      <c r="V1016" s="41"/>
      <c r="W1016" s="36"/>
      <c r="X1016" s="36"/>
      <c r="Y1016" s="36"/>
      <c r="Z1016" s="36"/>
      <c r="AA1016" s="36"/>
    </row>
    <row r="1017" spans="16:27" x14ac:dyDescent="0.2">
      <c r="P1017" s="36"/>
      <c r="Q1017" s="40"/>
      <c r="R1017" s="40"/>
      <c r="S1017" s="40"/>
      <c r="T1017" s="41"/>
      <c r="U1017" s="41"/>
      <c r="V1017" s="41"/>
      <c r="W1017" s="36"/>
      <c r="X1017" s="36"/>
      <c r="Y1017" s="36"/>
      <c r="Z1017" s="36"/>
      <c r="AA1017" s="36"/>
    </row>
    <row r="1018" spans="16:27" x14ac:dyDescent="0.2">
      <c r="P1018" s="36"/>
      <c r="Q1018" s="40"/>
      <c r="R1018" s="40"/>
      <c r="S1018" s="40"/>
      <c r="T1018" s="41"/>
      <c r="U1018" s="41"/>
      <c r="V1018" s="41"/>
      <c r="W1018" s="36"/>
      <c r="X1018" s="36"/>
      <c r="Y1018" s="36"/>
      <c r="Z1018" s="36"/>
      <c r="AA1018" s="36"/>
    </row>
    <row r="1019" spans="16:27" x14ac:dyDescent="0.2">
      <c r="P1019" s="36"/>
      <c r="Q1019" s="40"/>
      <c r="R1019" s="40"/>
      <c r="S1019" s="40"/>
      <c r="T1019" s="41"/>
      <c r="U1019" s="41"/>
      <c r="V1019" s="41"/>
      <c r="W1019" s="36"/>
      <c r="X1019" s="36"/>
      <c r="Y1019" s="36"/>
      <c r="Z1019" s="36"/>
      <c r="AA1019" s="36"/>
    </row>
    <row r="1020" spans="16:27" x14ac:dyDescent="0.2">
      <c r="P1020" s="36"/>
      <c r="Q1020" s="40"/>
      <c r="R1020" s="40"/>
      <c r="S1020" s="40"/>
      <c r="T1020" s="41"/>
      <c r="U1020" s="41"/>
      <c r="V1020" s="41"/>
      <c r="W1020" s="36"/>
      <c r="X1020" s="36"/>
      <c r="Y1020" s="36"/>
      <c r="Z1020" s="36"/>
      <c r="AA1020" s="36"/>
    </row>
    <row r="1021" spans="16:27" x14ac:dyDescent="0.2">
      <c r="P1021" s="36"/>
      <c r="Q1021" s="40"/>
      <c r="R1021" s="40"/>
      <c r="S1021" s="40"/>
      <c r="T1021" s="41"/>
      <c r="U1021" s="41"/>
      <c r="V1021" s="41"/>
      <c r="W1021" s="36"/>
      <c r="X1021" s="36"/>
      <c r="Y1021" s="36"/>
      <c r="Z1021" s="36"/>
      <c r="AA1021" s="36"/>
    </row>
    <row r="1022" spans="16:27" x14ac:dyDescent="0.2">
      <c r="P1022" s="36"/>
      <c r="Q1022" s="40"/>
      <c r="R1022" s="40"/>
      <c r="S1022" s="40"/>
      <c r="T1022" s="41"/>
      <c r="U1022" s="41"/>
      <c r="V1022" s="41"/>
      <c r="W1022" s="36"/>
      <c r="X1022" s="36"/>
      <c r="Y1022" s="36"/>
      <c r="Z1022" s="36"/>
      <c r="AA1022" s="36"/>
    </row>
    <row r="1023" spans="16:27" x14ac:dyDescent="0.2">
      <c r="P1023" s="36"/>
      <c r="Q1023" s="40"/>
      <c r="R1023" s="40"/>
      <c r="S1023" s="40"/>
      <c r="T1023" s="41"/>
      <c r="U1023" s="41"/>
      <c r="V1023" s="41"/>
      <c r="W1023" s="36"/>
      <c r="X1023" s="36"/>
      <c r="Y1023" s="36"/>
      <c r="Z1023" s="36"/>
      <c r="AA1023" s="36"/>
    </row>
    <row r="1024" spans="16:27" x14ac:dyDescent="0.2">
      <c r="P1024" s="36"/>
      <c r="Q1024" s="40"/>
      <c r="R1024" s="40"/>
      <c r="S1024" s="40"/>
      <c r="T1024" s="41"/>
      <c r="U1024" s="41"/>
      <c r="V1024" s="41"/>
      <c r="W1024" s="36"/>
      <c r="X1024" s="36"/>
      <c r="Y1024" s="36"/>
      <c r="Z1024" s="36"/>
      <c r="AA1024" s="36"/>
    </row>
    <row r="1025" spans="16:27" x14ac:dyDescent="0.2">
      <c r="P1025" s="36"/>
      <c r="Q1025" s="40"/>
      <c r="R1025" s="40"/>
      <c r="S1025" s="40"/>
      <c r="T1025" s="41"/>
      <c r="U1025" s="41"/>
      <c r="V1025" s="41"/>
      <c r="W1025" s="36"/>
      <c r="X1025" s="36"/>
      <c r="Y1025" s="36"/>
      <c r="Z1025" s="36"/>
      <c r="AA1025" s="36"/>
    </row>
    <row r="1026" spans="16:27" x14ac:dyDescent="0.2">
      <c r="P1026" s="36"/>
      <c r="Q1026" s="40"/>
      <c r="R1026" s="40"/>
      <c r="S1026" s="40"/>
      <c r="T1026" s="41"/>
      <c r="U1026" s="41"/>
      <c r="V1026" s="41"/>
      <c r="W1026" s="36"/>
      <c r="X1026" s="36"/>
      <c r="Y1026" s="36"/>
      <c r="Z1026" s="36"/>
      <c r="AA1026" s="36"/>
    </row>
    <row r="1027" spans="16:27" x14ac:dyDescent="0.2">
      <c r="P1027" s="36"/>
      <c r="Q1027" s="40"/>
      <c r="R1027" s="40"/>
      <c r="S1027" s="40"/>
      <c r="T1027" s="41"/>
      <c r="U1027" s="41"/>
      <c r="V1027" s="41"/>
      <c r="W1027" s="36"/>
      <c r="X1027" s="36"/>
      <c r="Y1027" s="36"/>
      <c r="Z1027" s="36"/>
      <c r="AA1027" s="36"/>
    </row>
    <row r="1028" spans="16:27" x14ac:dyDescent="0.2">
      <c r="P1028" s="36"/>
      <c r="Q1028" s="40"/>
      <c r="R1028" s="40"/>
      <c r="S1028" s="40"/>
      <c r="T1028" s="41"/>
      <c r="U1028" s="41"/>
      <c r="V1028" s="41"/>
      <c r="W1028" s="36"/>
      <c r="X1028" s="36"/>
      <c r="Y1028" s="36"/>
      <c r="Z1028" s="36"/>
      <c r="AA1028" s="36"/>
    </row>
    <row r="1029" spans="16:27" x14ac:dyDescent="0.2">
      <c r="P1029" s="36"/>
      <c r="Q1029" s="40"/>
      <c r="R1029" s="40"/>
      <c r="S1029" s="40"/>
      <c r="T1029" s="41"/>
      <c r="U1029" s="41"/>
      <c r="V1029" s="41"/>
      <c r="W1029" s="36"/>
      <c r="X1029" s="36"/>
      <c r="Y1029" s="36"/>
      <c r="Z1029" s="36"/>
      <c r="AA1029" s="36"/>
    </row>
    <row r="1030" spans="16:27" x14ac:dyDescent="0.2">
      <c r="P1030" s="36"/>
      <c r="Q1030" s="40"/>
      <c r="R1030" s="40"/>
      <c r="S1030" s="40"/>
      <c r="T1030" s="41"/>
      <c r="U1030" s="41"/>
      <c r="V1030" s="41"/>
      <c r="W1030" s="36"/>
      <c r="X1030" s="36"/>
      <c r="Y1030" s="36"/>
      <c r="Z1030" s="36"/>
      <c r="AA1030" s="36"/>
    </row>
    <row r="1031" spans="16:27" x14ac:dyDescent="0.2">
      <c r="P1031" s="36"/>
      <c r="Q1031" s="40"/>
      <c r="R1031" s="40"/>
      <c r="S1031" s="40"/>
      <c r="T1031" s="41"/>
      <c r="U1031" s="41"/>
      <c r="V1031" s="41"/>
      <c r="W1031" s="36"/>
      <c r="X1031" s="36"/>
      <c r="Y1031" s="36"/>
      <c r="Z1031" s="36"/>
      <c r="AA1031" s="36"/>
    </row>
    <row r="1032" spans="16:27" x14ac:dyDescent="0.2">
      <c r="P1032" s="36"/>
      <c r="Q1032" s="40"/>
      <c r="R1032" s="40"/>
      <c r="S1032" s="40"/>
      <c r="T1032" s="41"/>
      <c r="U1032" s="41"/>
      <c r="V1032" s="41"/>
      <c r="W1032" s="36"/>
      <c r="X1032" s="36"/>
      <c r="Y1032" s="36"/>
      <c r="Z1032" s="36"/>
      <c r="AA1032" s="36"/>
    </row>
    <row r="1033" spans="16:27" x14ac:dyDescent="0.2">
      <c r="P1033" s="36"/>
      <c r="Q1033" s="40"/>
      <c r="R1033" s="40"/>
      <c r="S1033" s="40"/>
      <c r="T1033" s="41"/>
      <c r="U1033" s="41"/>
      <c r="V1033" s="41"/>
      <c r="W1033" s="36"/>
      <c r="X1033" s="36"/>
      <c r="Y1033" s="36"/>
      <c r="Z1033" s="36"/>
      <c r="AA1033" s="36"/>
    </row>
    <row r="1034" spans="16:27" x14ac:dyDescent="0.2">
      <c r="P1034" s="36"/>
      <c r="Q1034" s="40"/>
      <c r="R1034" s="40"/>
      <c r="S1034" s="40"/>
      <c r="T1034" s="41"/>
      <c r="U1034" s="41"/>
      <c r="V1034" s="41"/>
      <c r="W1034" s="36"/>
      <c r="X1034" s="36"/>
      <c r="Y1034" s="36"/>
      <c r="Z1034" s="36"/>
      <c r="AA1034" s="36"/>
    </row>
    <row r="1035" spans="16:27" x14ac:dyDescent="0.2">
      <c r="P1035" s="36"/>
      <c r="Q1035" s="40"/>
      <c r="R1035" s="40"/>
      <c r="S1035" s="40"/>
      <c r="T1035" s="41"/>
      <c r="U1035" s="41"/>
      <c r="V1035" s="41"/>
      <c r="W1035" s="36"/>
      <c r="X1035" s="36"/>
      <c r="Y1035" s="36"/>
      <c r="Z1035" s="36"/>
      <c r="AA1035" s="36"/>
    </row>
    <row r="1036" spans="16:27" x14ac:dyDescent="0.2">
      <c r="P1036" s="36"/>
      <c r="Q1036" s="40"/>
      <c r="R1036" s="40"/>
      <c r="S1036" s="40"/>
      <c r="T1036" s="41"/>
      <c r="U1036" s="41"/>
      <c r="V1036" s="41"/>
      <c r="W1036" s="36"/>
      <c r="X1036" s="36"/>
      <c r="Y1036" s="36"/>
      <c r="Z1036" s="36"/>
      <c r="AA1036" s="36"/>
    </row>
    <row r="1037" spans="16:27" x14ac:dyDescent="0.2">
      <c r="P1037" s="36"/>
      <c r="Q1037" s="40"/>
      <c r="R1037" s="40"/>
      <c r="S1037" s="40"/>
      <c r="T1037" s="41"/>
      <c r="U1037" s="41"/>
      <c r="V1037" s="41"/>
      <c r="W1037" s="36"/>
      <c r="X1037" s="36"/>
      <c r="Y1037" s="36"/>
      <c r="Z1037" s="36"/>
      <c r="AA1037" s="36"/>
    </row>
    <row r="1038" spans="16:27" x14ac:dyDescent="0.2">
      <c r="P1038" s="36"/>
      <c r="Q1038" s="40"/>
      <c r="R1038" s="40"/>
      <c r="S1038" s="40"/>
      <c r="T1038" s="41"/>
      <c r="U1038" s="41"/>
      <c r="V1038" s="41"/>
      <c r="W1038" s="36"/>
      <c r="X1038" s="36"/>
      <c r="Y1038" s="36"/>
      <c r="Z1038" s="36"/>
      <c r="AA1038" s="36"/>
    </row>
    <row r="1039" spans="16:27" x14ac:dyDescent="0.2">
      <c r="P1039" s="36"/>
      <c r="Q1039" s="40"/>
      <c r="R1039" s="40"/>
      <c r="S1039" s="40"/>
      <c r="T1039" s="41"/>
      <c r="U1039" s="41"/>
      <c r="V1039" s="41"/>
      <c r="W1039" s="36"/>
      <c r="X1039" s="36"/>
      <c r="Y1039" s="36"/>
      <c r="Z1039" s="36"/>
      <c r="AA1039" s="36"/>
    </row>
    <row r="1040" spans="16:27" x14ac:dyDescent="0.2">
      <c r="P1040" s="36"/>
      <c r="Q1040" s="40"/>
      <c r="R1040" s="40"/>
      <c r="S1040" s="40"/>
      <c r="T1040" s="41"/>
      <c r="U1040" s="41"/>
      <c r="V1040" s="41"/>
      <c r="W1040" s="36"/>
      <c r="X1040" s="36"/>
      <c r="Y1040" s="36"/>
      <c r="Z1040" s="36"/>
      <c r="AA1040" s="36"/>
    </row>
    <row r="1041" spans="16:27" x14ac:dyDescent="0.2">
      <c r="P1041" s="36"/>
      <c r="Q1041" s="40"/>
      <c r="R1041" s="40"/>
      <c r="S1041" s="40"/>
      <c r="T1041" s="41"/>
      <c r="U1041" s="41"/>
      <c r="V1041" s="41"/>
      <c r="W1041" s="36"/>
      <c r="X1041" s="36"/>
      <c r="Y1041" s="36"/>
      <c r="Z1041" s="36"/>
      <c r="AA1041" s="36"/>
    </row>
    <row r="1042" spans="16:27" x14ac:dyDescent="0.2">
      <c r="P1042" s="36"/>
      <c r="Q1042" s="40"/>
      <c r="R1042" s="40"/>
      <c r="S1042" s="40"/>
      <c r="T1042" s="41"/>
      <c r="U1042" s="41"/>
      <c r="V1042" s="41"/>
      <c r="W1042" s="36"/>
      <c r="X1042" s="36"/>
      <c r="Y1042" s="36"/>
      <c r="Z1042" s="36"/>
      <c r="AA1042" s="36"/>
    </row>
    <row r="1043" spans="16:27" x14ac:dyDescent="0.2">
      <c r="P1043" s="36"/>
      <c r="Q1043" s="40"/>
      <c r="R1043" s="40"/>
      <c r="S1043" s="40"/>
      <c r="T1043" s="41"/>
      <c r="U1043" s="41"/>
      <c r="V1043" s="41"/>
      <c r="W1043" s="36"/>
      <c r="X1043" s="36"/>
      <c r="Y1043" s="36"/>
      <c r="Z1043" s="36"/>
      <c r="AA1043" s="36"/>
    </row>
    <row r="1044" spans="16:27" x14ac:dyDescent="0.2">
      <c r="P1044" s="36"/>
      <c r="Q1044" s="40"/>
      <c r="R1044" s="40"/>
      <c r="S1044" s="40"/>
      <c r="T1044" s="41"/>
      <c r="U1044" s="41"/>
      <c r="V1044" s="41"/>
      <c r="W1044" s="36"/>
      <c r="X1044" s="36"/>
      <c r="Y1044" s="36"/>
      <c r="Z1044" s="36"/>
      <c r="AA1044" s="36"/>
    </row>
    <row r="1045" spans="16:27" x14ac:dyDescent="0.2">
      <c r="P1045" s="36"/>
      <c r="Q1045" s="40"/>
      <c r="R1045" s="40"/>
      <c r="S1045" s="40"/>
      <c r="T1045" s="41"/>
      <c r="U1045" s="41"/>
      <c r="V1045" s="41"/>
      <c r="W1045" s="36"/>
      <c r="X1045" s="36"/>
      <c r="Y1045" s="36"/>
      <c r="Z1045" s="36"/>
      <c r="AA1045" s="36"/>
    </row>
    <row r="1046" spans="16:27" x14ac:dyDescent="0.2">
      <c r="P1046" s="36"/>
      <c r="Q1046" s="40"/>
      <c r="R1046" s="40"/>
      <c r="S1046" s="40"/>
      <c r="T1046" s="41"/>
      <c r="U1046" s="41"/>
      <c r="V1046" s="41"/>
      <c r="W1046" s="36"/>
      <c r="X1046" s="36"/>
      <c r="Y1046" s="36"/>
      <c r="Z1046" s="36"/>
      <c r="AA1046" s="36"/>
    </row>
    <row r="1047" spans="16:27" x14ac:dyDescent="0.2">
      <c r="P1047" s="36"/>
      <c r="Q1047" s="40"/>
      <c r="R1047" s="40"/>
      <c r="S1047" s="40"/>
      <c r="T1047" s="41"/>
      <c r="U1047" s="41"/>
      <c r="V1047" s="41"/>
      <c r="W1047" s="36"/>
      <c r="X1047" s="36"/>
      <c r="Y1047" s="36"/>
      <c r="Z1047" s="36"/>
      <c r="AA1047" s="36"/>
    </row>
    <row r="1048" spans="16:27" x14ac:dyDescent="0.2">
      <c r="P1048" s="36"/>
      <c r="Q1048" s="40"/>
      <c r="R1048" s="40"/>
      <c r="S1048" s="40"/>
      <c r="T1048" s="41"/>
      <c r="U1048" s="41"/>
      <c r="V1048" s="41"/>
      <c r="W1048" s="36"/>
      <c r="X1048" s="36"/>
      <c r="Y1048" s="36"/>
      <c r="Z1048" s="36"/>
      <c r="AA1048" s="36"/>
    </row>
    <row r="1049" spans="16:27" x14ac:dyDescent="0.2">
      <c r="P1049" s="36"/>
      <c r="Q1049" s="40"/>
      <c r="R1049" s="40"/>
      <c r="S1049" s="40"/>
      <c r="T1049" s="41"/>
      <c r="U1049" s="41"/>
      <c r="V1049" s="41"/>
      <c r="W1049" s="36"/>
      <c r="X1049" s="36"/>
      <c r="Y1049" s="36"/>
      <c r="Z1049" s="36"/>
      <c r="AA1049" s="36"/>
    </row>
    <row r="1050" spans="16:27" x14ac:dyDescent="0.2">
      <c r="P1050" s="36"/>
      <c r="Q1050" s="40"/>
      <c r="R1050" s="40"/>
      <c r="S1050" s="40"/>
      <c r="T1050" s="41"/>
      <c r="U1050" s="41"/>
      <c r="V1050" s="41"/>
      <c r="W1050" s="36"/>
      <c r="X1050" s="36"/>
      <c r="Y1050" s="36"/>
      <c r="Z1050" s="36"/>
      <c r="AA1050" s="36"/>
    </row>
    <row r="1051" spans="16:27" x14ac:dyDescent="0.2">
      <c r="P1051" s="36"/>
      <c r="Q1051" s="40"/>
      <c r="R1051" s="40"/>
      <c r="S1051" s="40"/>
      <c r="T1051" s="41"/>
      <c r="U1051" s="41"/>
      <c r="V1051" s="41"/>
      <c r="W1051" s="36"/>
      <c r="X1051" s="36"/>
      <c r="Y1051" s="36"/>
      <c r="Z1051" s="36"/>
      <c r="AA1051" s="36"/>
    </row>
    <row r="1052" spans="16:27" x14ac:dyDescent="0.2">
      <c r="P1052" s="36"/>
      <c r="Q1052" s="40"/>
      <c r="R1052" s="40"/>
      <c r="S1052" s="40"/>
      <c r="T1052" s="41"/>
      <c r="U1052" s="41"/>
      <c r="V1052" s="41"/>
      <c r="W1052" s="36"/>
      <c r="X1052" s="36"/>
      <c r="Y1052" s="36"/>
      <c r="Z1052" s="36"/>
      <c r="AA1052" s="36"/>
    </row>
    <row r="1053" spans="16:27" x14ac:dyDescent="0.2">
      <c r="P1053" s="36"/>
      <c r="Q1053" s="40"/>
      <c r="R1053" s="40"/>
      <c r="S1053" s="40"/>
      <c r="T1053" s="41"/>
      <c r="U1053" s="41"/>
      <c r="V1053" s="41"/>
      <c r="W1053" s="36"/>
      <c r="X1053" s="36"/>
      <c r="Y1053" s="36"/>
      <c r="Z1053" s="36"/>
      <c r="AA1053" s="36"/>
    </row>
    <row r="1054" spans="16:27" x14ac:dyDescent="0.2">
      <c r="P1054" s="36"/>
      <c r="Q1054" s="40"/>
      <c r="R1054" s="40"/>
      <c r="S1054" s="40"/>
      <c r="T1054" s="41"/>
      <c r="U1054" s="41"/>
      <c r="V1054" s="41"/>
      <c r="W1054" s="36"/>
      <c r="X1054" s="36"/>
      <c r="Y1054" s="36"/>
      <c r="Z1054" s="36"/>
      <c r="AA1054" s="36"/>
    </row>
    <row r="1055" spans="16:27" x14ac:dyDescent="0.2">
      <c r="P1055" s="36"/>
      <c r="Q1055" s="40"/>
      <c r="R1055" s="40"/>
      <c r="S1055" s="40"/>
      <c r="T1055" s="41"/>
      <c r="U1055" s="41"/>
      <c r="V1055" s="41"/>
      <c r="W1055" s="36"/>
      <c r="X1055" s="36"/>
      <c r="Y1055" s="36"/>
      <c r="Z1055" s="36"/>
      <c r="AA1055" s="36"/>
    </row>
    <row r="1056" spans="16:27" x14ac:dyDescent="0.2">
      <c r="P1056" s="36"/>
      <c r="Q1056" s="40"/>
      <c r="R1056" s="40"/>
      <c r="S1056" s="40"/>
      <c r="T1056" s="41"/>
      <c r="U1056" s="41"/>
      <c r="V1056" s="41"/>
      <c r="W1056" s="36"/>
      <c r="X1056" s="36"/>
      <c r="Y1056" s="36"/>
      <c r="Z1056" s="36"/>
      <c r="AA1056" s="36"/>
    </row>
    <row r="1057" spans="16:27" x14ac:dyDescent="0.2">
      <c r="P1057" s="36"/>
      <c r="Q1057" s="40"/>
      <c r="R1057" s="40"/>
      <c r="S1057" s="40"/>
      <c r="T1057" s="41"/>
      <c r="U1057" s="41"/>
      <c r="V1057" s="41"/>
      <c r="W1057" s="36"/>
      <c r="X1057" s="36"/>
      <c r="Y1057" s="36"/>
      <c r="Z1057" s="36"/>
      <c r="AA1057" s="36"/>
    </row>
    <row r="1058" spans="16:27" x14ac:dyDescent="0.2">
      <c r="P1058" s="36"/>
      <c r="Q1058" s="40"/>
      <c r="R1058" s="40"/>
      <c r="S1058" s="40"/>
      <c r="T1058" s="41"/>
      <c r="U1058" s="41"/>
      <c r="V1058" s="41"/>
      <c r="W1058" s="36"/>
      <c r="X1058" s="36"/>
      <c r="Y1058" s="36"/>
      <c r="Z1058" s="36"/>
      <c r="AA1058" s="36"/>
    </row>
    <row r="1059" spans="16:27" x14ac:dyDescent="0.2">
      <c r="P1059" s="36"/>
      <c r="Q1059" s="40"/>
      <c r="R1059" s="40"/>
      <c r="S1059" s="40"/>
      <c r="T1059" s="41"/>
      <c r="U1059" s="41"/>
      <c r="V1059" s="41"/>
      <c r="W1059" s="36"/>
      <c r="X1059" s="36"/>
      <c r="Y1059" s="36"/>
      <c r="Z1059" s="36"/>
      <c r="AA1059" s="36"/>
    </row>
    <row r="1060" spans="16:27" x14ac:dyDescent="0.2">
      <c r="P1060" s="36"/>
      <c r="Q1060" s="40"/>
      <c r="R1060" s="40"/>
      <c r="S1060" s="40"/>
      <c r="T1060" s="41"/>
      <c r="U1060" s="41"/>
      <c r="V1060" s="41"/>
      <c r="W1060" s="36"/>
      <c r="X1060" s="36"/>
      <c r="Y1060" s="36"/>
      <c r="Z1060" s="36"/>
      <c r="AA1060" s="36"/>
    </row>
    <row r="1061" spans="16:27" x14ac:dyDescent="0.2">
      <c r="P1061" s="36"/>
      <c r="Q1061" s="40"/>
      <c r="R1061" s="40"/>
      <c r="S1061" s="40"/>
      <c r="T1061" s="41"/>
      <c r="U1061" s="41"/>
      <c r="V1061" s="41"/>
      <c r="W1061" s="36"/>
      <c r="X1061" s="36"/>
      <c r="Y1061" s="36"/>
      <c r="Z1061" s="36"/>
      <c r="AA1061" s="36"/>
    </row>
    <row r="1062" spans="16:27" x14ac:dyDescent="0.2">
      <c r="P1062" s="36"/>
      <c r="Q1062" s="40"/>
      <c r="R1062" s="40"/>
      <c r="S1062" s="40"/>
      <c r="T1062" s="41"/>
      <c r="U1062" s="41"/>
      <c r="V1062" s="41"/>
      <c r="W1062" s="36"/>
      <c r="X1062" s="36"/>
      <c r="Y1062" s="36"/>
      <c r="Z1062" s="36"/>
      <c r="AA1062" s="36"/>
    </row>
    <row r="1063" spans="16:27" x14ac:dyDescent="0.2">
      <c r="P1063" s="36"/>
      <c r="Q1063" s="40"/>
      <c r="R1063" s="40"/>
      <c r="S1063" s="40"/>
      <c r="T1063" s="41"/>
      <c r="U1063" s="41"/>
      <c r="V1063" s="41"/>
      <c r="W1063" s="36"/>
      <c r="X1063" s="36"/>
      <c r="Y1063" s="36"/>
      <c r="Z1063" s="36"/>
      <c r="AA1063" s="36"/>
    </row>
    <row r="1064" spans="16:27" x14ac:dyDescent="0.2">
      <c r="P1064" s="36"/>
      <c r="Q1064" s="40"/>
      <c r="R1064" s="40"/>
      <c r="S1064" s="40"/>
      <c r="T1064" s="41"/>
      <c r="U1064" s="41"/>
      <c r="V1064" s="41"/>
      <c r="W1064" s="36"/>
      <c r="X1064" s="36"/>
      <c r="Y1064" s="36"/>
      <c r="Z1064" s="36"/>
      <c r="AA1064" s="36"/>
    </row>
    <row r="1065" spans="16:27" x14ac:dyDescent="0.2">
      <c r="P1065" s="36"/>
      <c r="Q1065" s="40"/>
      <c r="R1065" s="40"/>
      <c r="S1065" s="40"/>
      <c r="T1065" s="41"/>
      <c r="U1065" s="41"/>
      <c r="V1065" s="41"/>
      <c r="W1065" s="36"/>
      <c r="X1065" s="36"/>
      <c r="Y1065" s="36"/>
      <c r="Z1065" s="36"/>
      <c r="AA1065" s="36"/>
    </row>
    <row r="1066" spans="16:27" x14ac:dyDescent="0.2">
      <c r="P1066" s="36"/>
      <c r="Q1066" s="40"/>
      <c r="R1066" s="40"/>
      <c r="S1066" s="40"/>
      <c r="T1066" s="41"/>
      <c r="U1066" s="41"/>
      <c r="V1066" s="41"/>
      <c r="W1066" s="36"/>
      <c r="X1066" s="36"/>
      <c r="Y1066" s="36"/>
      <c r="Z1066" s="36"/>
      <c r="AA1066" s="36"/>
    </row>
    <row r="1067" spans="16:27" x14ac:dyDescent="0.2">
      <c r="P1067" s="36"/>
      <c r="Q1067" s="40"/>
      <c r="R1067" s="40"/>
      <c r="S1067" s="40"/>
      <c r="T1067" s="41"/>
      <c r="U1067" s="41"/>
      <c r="V1067" s="41"/>
      <c r="W1067" s="36"/>
      <c r="X1067" s="36"/>
      <c r="Y1067" s="36"/>
      <c r="Z1067" s="36"/>
      <c r="AA1067" s="36"/>
    </row>
    <row r="1068" spans="16:27" x14ac:dyDescent="0.2">
      <c r="P1068" s="36"/>
      <c r="Q1068" s="40"/>
      <c r="R1068" s="40"/>
      <c r="S1068" s="40"/>
      <c r="T1068" s="41"/>
      <c r="U1068" s="41"/>
      <c r="V1068" s="41"/>
      <c r="W1068" s="36"/>
      <c r="X1068" s="36"/>
      <c r="Y1068" s="36"/>
      <c r="Z1068" s="36"/>
      <c r="AA1068" s="36"/>
    </row>
    <row r="1069" spans="16:27" x14ac:dyDescent="0.2">
      <c r="P1069" s="36"/>
      <c r="Q1069" s="40"/>
      <c r="R1069" s="40"/>
      <c r="S1069" s="40"/>
      <c r="T1069" s="41"/>
      <c r="U1069" s="41"/>
      <c r="V1069" s="41"/>
      <c r="W1069" s="36"/>
      <c r="X1069" s="36"/>
      <c r="Y1069" s="36"/>
      <c r="Z1069" s="36"/>
      <c r="AA1069" s="36"/>
    </row>
    <row r="1070" spans="16:27" x14ac:dyDescent="0.2">
      <c r="P1070" s="36"/>
      <c r="Q1070" s="40"/>
      <c r="R1070" s="40"/>
      <c r="S1070" s="40"/>
      <c r="T1070" s="41"/>
      <c r="U1070" s="41"/>
      <c r="V1070" s="41"/>
      <c r="W1070" s="36"/>
      <c r="X1070" s="36"/>
      <c r="Y1070" s="36"/>
      <c r="Z1070" s="36"/>
      <c r="AA1070" s="36"/>
    </row>
    <row r="1071" spans="16:27" x14ac:dyDescent="0.2">
      <c r="P1071" s="36"/>
      <c r="Q1071" s="40"/>
      <c r="R1071" s="40"/>
      <c r="S1071" s="40"/>
      <c r="T1071" s="41"/>
      <c r="U1071" s="41"/>
      <c r="V1071" s="41"/>
      <c r="W1071" s="36"/>
      <c r="X1071" s="36"/>
      <c r="Y1071" s="36"/>
      <c r="Z1071" s="36"/>
      <c r="AA1071" s="36"/>
    </row>
    <row r="1072" spans="16:27" x14ac:dyDescent="0.2">
      <c r="P1072" s="36"/>
      <c r="Q1072" s="40"/>
      <c r="R1072" s="40"/>
      <c r="S1072" s="40"/>
      <c r="T1072" s="41"/>
      <c r="U1072" s="41"/>
      <c r="V1072" s="41"/>
      <c r="W1072" s="36"/>
      <c r="X1072" s="36"/>
      <c r="Y1072" s="36"/>
      <c r="Z1072" s="36"/>
      <c r="AA1072" s="36"/>
    </row>
    <row r="1073" spans="16:27" x14ac:dyDescent="0.2">
      <c r="P1073" s="36"/>
      <c r="Q1073" s="40"/>
      <c r="R1073" s="40"/>
      <c r="S1073" s="40"/>
      <c r="T1073" s="41"/>
      <c r="U1073" s="41"/>
      <c r="V1073" s="41"/>
      <c r="W1073" s="36"/>
      <c r="X1073" s="36"/>
      <c r="Y1073" s="36"/>
      <c r="Z1073" s="36"/>
      <c r="AA1073" s="36"/>
    </row>
    <row r="1074" spans="16:27" x14ac:dyDescent="0.2">
      <c r="P1074" s="36"/>
      <c r="Q1074" s="40"/>
      <c r="R1074" s="40"/>
      <c r="S1074" s="40"/>
      <c r="T1074" s="41"/>
      <c r="U1074" s="41"/>
      <c r="V1074" s="41"/>
      <c r="W1074" s="36"/>
      <c r="X1074" s="36"/>
      <c r="Y1074" s="36"/>
      <c r="Z1074" s="36"/>
      <c r="AA1074" s="36"/>
    </row>
    <row r="1075" spans="16:27" x14ac:dyDescent="0.2">
      <c r="P1075" s="36"/>
      <c r="Q1075" s="40"/>
      <c r="R1075" s="40"/>
      <c r="S1075" s="40"/>
      <c r="T1075" s="41"/>
      <c r="U1075" s="41"/>
      <c r="V1075" s="41"/>
      <c r="W1075" s="36"/>
      <c r="X1075" s="36"/>
      <c r="Y1075" s="36"/>
      <c r="Z1075" s="36"/>
      <c r="AA1075" s="36"/>
    </row>
    <row r="1076" spans="16:27" x14ac:dyDescent="0.2">
      <c r="P1076" s="36"/>
      <c r="Q1076" s="40"/>
      <c r="R1076" s="40"/>
      <c r="S1076" s="40"/>
      <c r="T1076" s="41"/>
      <c r="U1076" s="41"/>
      <c r="V1076" s="41"/>
      <c r="W1076" s="36"/>
      <c r="X1076" s="36"/>
      <c r="Y1076" s="36"/>
      <c r="Z1076" s="36"/>
      <c r="AA1076" s="36"/>
    </row>
    <row r="1077" spans="16:27" x14ac:dyDescent="0.2">
      <c r="P1077" s="36"/>
      <c r="Q1077" s="40"/>
      <c r="R1077" s="40"/>
      <c r="S1077" s="40"/>
      <c r="T1077" s="41"/>
      <c r="U1077" s="41"/>
      <c r="V1077" s="41"/>
      <c r="W1077" s="36"/>
      <c r="X1077" s="36"/>
      <c r="Y1077" s="36"/>
      <c r="Z1077" s="36"/>
      <c r="AA1077" s="36"/>
    </row>
    <row r="1078" spans="16:27" x14ac:dyDescent="0.2">
      <c r="P1078" s="36"/>
      <c r="Q1078" s="40"/>
      <c r="R1078" s="40"/>
      <c r="S1078" s="40"/>
      <c r="T1078" s="41"/>
      <c r="U1078" s="41"/>
      <c r="V1078" s="41"/>
      <c r="W1078" s="36"/>
      <c r="X1078" s="36"/>
      <c r="Y1078" s="36"/>
      <c r="Z1078" s="36"/>
      <c r="AA1078" s="36"/>
    </row>
    <row r="1079" spans="16:27" x14ac:dyDescent="0.2">
      <c r="P1079" s="36"/>
      <c r="Q1079" s="40"/>
      <c r="R1079" s="40"/>
      <c r="S1079" s="40"/>
      <c r="T1079" s="41"/>
      <c r="U1079" s="41"/>
      <c r="V1079" s="41"/>
      <c r="W1079" s="36"/>
      <c r="X1079" s="36"/>
      <c r="Y1079" s="36"/>
      <c r="Z1079" s="36"/>
      <c r="AA1079" s="36"/>
    </row>
    <row r="1080" spans="16:27" x14ac:dyDescent="0.2">
      <c r="P1080" s="36"/>
      <c r="Q1080" s="40"/>
      <c r="R1080" s="40"/>
      <c r="S1080" s="40"/>
      <c r="T1080" s="41"/>
      <c r="U1080" s="41"/>
      <c r="V1080" s="41"/>
      <c r="W1080" s="36"/>
      <c r="X1080" s="36"/>
      <c r="Y1080" s="36"/>
      <c r="Z1080" s="36"/>
      <c r="AA1080" s="36"/>
    </row>
    <row r="1081" spans="16:27" x14ac:dyDescent="0.2">
      <c r="P1081" s="36"/>
      <c r="Q1081" s="40"/>
      <c r="R1081" s="40"/>
      <c r="S1081" s="40"/>
      <c r="T1081" s="41"/>
      <c r="U1081" s="41"/>
      <c r="V1081" s="41"/>
      <c r="W1081" s="36"/>
      <c r="X1081" s="36"/>
      <c r="Y1081" s="36"/>
      <c r="Z1081" s="36"/>
      <c r="AA1081" s="36"/>
    </row>
    <row r="1082" spans="16:27" x14ac:dyDescent="0.2">
      <c r="P1082" s="36"/>
      <c r="Q1082" s="40"/>
      <c r="R1082" s="40"/>
      <c r="S1082" s="40"/>
      <c r="T1082" s="41"/>
      <c r="U1082" s="41"/>
      <c r="V1082" s="41"/>
      <c r="W1082" s="36"/>
      <c r="X1082" s="36"/>
      <c r="Y1082" s="36"/>
      <c r="Z1082" s="36"/>
      <c r="AA1082" s="36"/>
    </row>
    <row r="1083" spans="16:27" x14ac:dyDescent="0.2">
      <c r="P1083" s="36"/>
      <c r="Q1083" s="40"/>
      <c r="R1083" s="40"/>
      <c r="S1083" s="40"/>
      <c r="T1083" s="41"/>
      <c r="U1083" s="41"/>
      <c r="V1083" s="41"/>
      <c r="W1083" s="36"/>
      <c r="X1083" s="36"/>
      <c r="Y1083" s="36"/>
      <c r="Z1083" s="36"/>
      <c r="AA1083" s="36"/>
    </row>
    <row r="1084" spans="16:27" x14ac:dyDescent="0.2">
      <c r="P1084" s="36"/>
      <c r="Q1084" s="40"/>
      <c r="R1084" s="40"/>
      <c r="S1084" s="40"/>
      <c r="T1084" s="41"/>
      <c r="U1084" s="41"/>
      <c r="V1084" s="41"/>
      <c r="W1084" s="36"/>
      <c r="X1084" s="36"/>
      <c r="Y1084" s="36"/>
      <c r="Z1084" s="36"/>
      <c r="AA1084" s="36"/>
    </row>
    <row r="1085" spans="16:27" x14ac:dyDescent="0.2">
      <c r="P1085" s="36"/>
      <c r="Q1085" s="40"/>
      <c r="R1085" s="40"/>
      <c r="S1085" s="40"/>
      <c r="T1085" s="41"/>
      <c r="U1085" s="41"/>
      <c r="V1085" s="41"/>
      <c r="W1085" s="36"/>
      <c r="X1085" s="36"/>
      <c r="Y1085" s="36"/>
      <c r="Z1085" s="36"/>
      <c r="AA1085" s="36"/>
    </row>
    <row r="1086" spans="16:27" x14ac:dyDescent="0.2">
      <c r="P1086" s="36"/>
      <c r="Q1086" s="40"/>
      <c r="R1086" s="40"/>
      <c r="S1086" s="40"/>
      <c r="T1086" s="41"/>
      <c r="U1086" s="41"/>
      <c r="V1086" s="41"/>
      <c r="W1086" s="36"/>
      <c r="X1086" s="36"/>
      <c r="Y1086" s="36"/>
      <c r="Z1086" s="36"/>
      <c r="AA1086" s="36"/>
    </row>
    <row r="1087" spans="16:27" x14ac:dyDescent="0.2">
      <c r="P1087" s="36"/>
      <c r="Q1087" s="40"/>
      <c r="R1087" s="40"/>
      <c r="S1087" s="40"/>
      <c r="T1087" s="41"/>
      <c r="U1087" s="41"/>
      <c r="V1087" s="41"/>
      <c r="W1087" s="36"/>
      <c r="X1087" s="36"/>
      <c r="Y1087" s="36"/>
      <c r="Z1087" s="36"/>
      <c r="AA1087" s="36"/>
    </row>
    <row r="1088" spans="16:27" x14ac:dyDescent="0.2">
      <c r="P1088" s="36"/>
      <c r="Q1088" s="40"/>
      <c r="R1088" s="40"/>
      <c r="S1088" s="40"/>
      <c r="T1088" s="41"/>
      <c r="U1088" s="41"/>
      <c r="V1088" s="41"/>
      <c r="W1088" s="36"/>
      <c r="X1088" s="36"/>
      <c r="Y1088" s="36"/>
      <c r="Z1088" s="36"/>
      <c r="AA1088" s="36"/>
    </row>
    <row r="1089" spans="16:27" x14ac:dyDescent="0.2">
      <c r="P1089" s="36"/>
      <c r="Q1089" s="40"/>
      <c r="R1089" s="40"/>
      <c r="S1089" s="40"/>
      <c r="T1089" s="41"/>
      <c r="U1089" s="41"/>
      <c r="V1089" s="41"/>
      <c r="W1089" s="36"/>
      <c r="X1089" s="36"/>
      <c r="Y1089" s="36"/>
      <c r="Z1089" s="36"/>
      <c r="AA1089" s="36"/>
    </row>
    <row r="1090" spans="16:27" x14ac:dyDescent="0.2">
      <c r="P1090" s="36"/>
      <c r="Q1090" s="40"/>
      <c r="R1090" s="40"/>
      <c r="S1090" s="40"/>
      <c r="T1090" s="41"/>
      <c r="U1090" s="41"/>
      <c r="V1090" s="41"/>
      <c r="W1090" s="36"/>
      <c r="X1090" s="36"/>
      <c r="Y1090" s="36"/>
      <c r="Z1090" s="36"/>
      <c r="AA1090" s="36"/>
    </row>
    <row r="1091" spans="16:27" x14ac:dyDescent="0.2">
      <c r="P1091" s="36"/>
      <c r="Q1091" s="40"/>
      <c r="R1091" s="40"/>
      <c r="S1091" s="40"/>
      <c r="T1091" s="41"/>
      <c r="U1091" s="41"/>
      <c r="V1091" s="41"/>
      <c r="W1091" s="36"/>
      <c r="X1091" s="36"/>
      <c r="Y1091" s="36"/>
      <c r="Z1091" s="36"/>
      <c r="AA1091" s="36"/>
    </row>
    <row r="1092" spans="16:27" x14ac:dyDescent="0.2">
      <c r="P1092" s="36"/>
      <c r="Q1092" s="40"/>
      <c r="R1092" s="40"/>
      <c r="S1092" s="40"/>
      <c r="T1092" s="41"/>
      <c r="U1092" s="41"/>
      <c r="V1092" s="41"/>
      <c r="W1092" s="36"/>
      <c r="X1092" s="36"/>
      <c r="Y1092" s="36"/>
      <c r="Z1092" s="36"/>
      <c r="AA1092" s="36"/>
    </row>
    <row r="1093" spans="16:27" x14ac:dyDescent="0.2">
      <c r="P1093" s="36"/>
      <c r="Q1093" s="40"/>
      <c r="R1093" s="40"/>
      <c r="S1093" s="40"/>
      <c r="T1093" s="41"/>
      <c r="U1093" s="41"/>
      <c r="V1093" s="41"/>
      <c r="W1093" s="36"/>
      <c r="X1093" s="36"/>
      <c r="Y1093" s="36"/>
      <c r="Z1093" s="36"/>
      <c r="AA1093" s="36"/>
    </row>
    <row r="1094" spans="16:27" x14ac:dyDescent="0.2">
      <c r="P1094" s="36"/>
      <c r="Q1094" s="40"/>
      <c r="R1094" s="40"/>
      <c r="S1094" s="40"/>
      <c r="T1094" s="41"/>
      <c r="U1094" s="41"/>
      <c r="V1094" s="41"/>
      <c r="W1094" s="36"/>
      <c r="X1094" s="36"/>
      <c r="Y1094" s="36"/>
      <c r="Z1094" s="36"/>
      <c r="AA1094" s="36"/>
    </row>
    <row r="1095" spans="16:27" x14ac:dyDescent="0.2">
      <c r="P1095" s="36"/>
      <c r="Q1095" s="40"/>
      <c r="R1095" s="40"/>
      <c r="S1095" s="40"/>
      <c r="T1095" s="41"/>
      <c r="U1095" s="41"/>
      <c r="V1095" s="41"/>
      <c r="W1095" s="36"/>
      <c r="X1095" s="36"/>
      <c r="Y1095" s="36"/>
      <c r="Z1095" s="36"/>
      <c r="AA1095" s="36"/>
    </row>
    <row r="1096" spans="16:27" x14ac:dyDescent="0.2">
      <c r="P1096" s="36"/>
      <c r="Q1096" s="40"/>
      <c r="R1096" s="40"/>
      <c r="S1096" s="40"/>
      <c r="T1096" s="41"/>
      <c r="U1096" s="41"/>
      <c r="V1096" s="41"/>
      <c r="W1096" s="36"/>
      <c r="X1096" s="36"/>
      <c r="Y1096" s="36"/>
      <c r="Z1096" s="36"/>
      <c r="AA1096" s="36"/>
    </row>
    <row r="1097" spans="16:27" x14ac:dyDescent="0.2">
      <c r="P1097" s="36"/>
      <c r="Q1097" s="40"/>
      <c r="R1097" s="40"/>
      <c r="S1097" s="40"/>
      <c r="T1097" s="41"/>
      <c r="U1097" s="41"/>
      <c r="V1097" s="41"/>
      <c r="W1097" s="36"/>
      <c r="X1097" s="36"/>
      <c r="Y1097" s="36"/>
      <c r="Z1097" s="36"/>
      <c r="AA1097" s="36"/>
    </row>
    <row r="1098" spans="16:27" x14ac:dyDescent="0.2">
      <c r="P1098" s="36"/>
      <c r="Q1098" s="40"/>
      <c r="R1098" s="40"/>
      <c r="S1098" s="40"/>
      <c r="T1098" s="41"/>
      <c r="U1098" s="41"/>
      <c r="V1098" s="41"/>
      <c r="W1098" s="36"/>
      <c r="X1098" s="36"/>
      <c r="Y1098" s="36"/>
      <c r="Z1098" s="36"/>
      <c r="AA1098" s="36"/>
    </row>
    <row r="1099" spans="16:27" x14ac:dyDescent="0.2">
      <c r="P1099" s="36"/>
      <c r="Q1099" s="40"/>
      <c r="R1099" s="40"/>
      <c r="S1099" s="40"/>
      <c r="T1099" s="41"/>
      <c r="U1099" s="41"/>
      <c r="V1099" s="41"/>
      <c r="W1099" s="36"/>
      <c r="X1099" s="36"/>
      <c r="Y1099" s="36"/>
      <c r="Z1099" s="36"/>
      <c r="AA1099" s="36"/>
    </row>
    <row r="1100" spans="16:27" x14ac:dyDescent="0.2">
      <c r="P1100" s="36"/>
      <c r="Q1100" s="40"/>
      <c r="R1100" s="40"/>
      <c r="S1100" s="40"/>
      <c r="T1100" s="41"/>
      <c r="U1100" s="41"/>
      <c r="V1100" s="41"/>
      <c r="W1100" s="36"/>
      <c r="X1100" s="36"/>
      <c r="Y1100" s="36"/>
      <c r="Z1100" s="36"/>
      <c r="AA1100" s="36"/>
    </row>
    <row r="1101" spans="16:27" x14ac:dyDescent="0.2">
      <c r="P1101" s="36"/>
      <c r="Q1101" s="40"/>
      <c r="R1101" s="40"/>
      <c r="S1101" s="40"/>
      <c r="T1101" s="41"/>
      <c r="U1101" s="41"/>
      <c r="V1101" s="41"/>
      <c r="W1101" s="36"/>
      <c r="X1101" s="36"/>
      <c r="Y1101" s="36"/>
      <c r="Z1101" s="36"/>
      <c r="AA1101" s="36"/>
    </row>
    <row r="1102" spans="16:27" x14ac:dyDescent="0.2">
      <c r="P1102" s="36"/>
      <c r="Q1102" s="40"/>
      <c r="R1102" s="40"/>
      <c r="S1102" s="40"/>
      <c r="T1102" s="41"/>
      <c r="U1102" s="41"/>
      <c r="V1102" s="41"/>
      <c r="W1102" s="36"/>
      <c r="X1102" s="36"/>
      <c r="Y1102" s="36"/>
      <c r="Z1102" s="36"/>
      <c r="AA1102" s="36"/>
    </row>
    <row r="1103" spans="16:27" x14ac:dyDescent="0.2">
      <c r="P1103" s="36"/>
      <c r="Q1103" s="40"/>
      <c r="R1103" s="40"/>
      <c r="S1103" s="40"/>
      <c r="T1103" s="41"/>
      <c r="U1103" s="41"/>
      <c r="V1103" s="41"/>
      <c r="W1103" s="36"/>
      <c r="X1103" s="36"/>
      <c r="Y1103" s="36"/>
      <c r="Z1103" s="36"/>
      <c r="AA1103" s="36"/>
    </row>
    <row r="1104" spans="16:27" x14ac:dyDescent="0.2">
      <c r="P1104" s="36"/>
      <c r="Q1104" s="40"/>
      <c r="R1104" s="40"/>
      <c r="S1104" s="40"/>
      <c r="T1104" s="41"/>
      <c r="U1104" s="41"/>
      <c r="V1104" s="41"/>
      <c r="W1104" s="36"/>
      <c r="X1104" s="36"/>
      <c r="Y1104" s="36"/>
      <c r="Z1104" s="36"/>
      <c r="AA1104" s="36"/>
    </row>
    <row r="1105" spans="16:27" x14ac:dyDescent="0.2">
      <c r="P1105" s="36"/>
      <c r="Q1105" s="40"/>
      <c r="R1105" s="40"/>
      <c r="S1105" s="40"/>
      <c r="T1105" s="41"/>
      <c r="U1105" s="41"/>
      <c r="V1105" s="41"/>
      <c r="W1105" s="36"/>
      <c r="X1105" s="36"/>
      <c r="Y1105" s="36"/>
      <c r="Z1105" s="36"/>
      <c r="AA1105" s="36"/>
    </row>
    <row r="1106" spans="16:27" x14ac:dyDescent="0.2">
      <c r="P1106" s="36"/>
      <c r="Q1106" s="40"/>
      <c r="R1106" s="40"/>
      <c r="S1106" s="40"/>
      <c r="T1106" s="41"/>
      <c r="U1106" s="41"/>
      <c r="V1106" s="41"/>
      <c r="W1106" s="36"/>
      <c r="X1106" s="36"/>
      <c r="Y1106" s="36"/>
      <c r="Z1106" s="36"/>
      <c r="AA1106" s="36"/>
    </row>
    <row r="1107" spans="16:27" x14ac:dyDescent="0.2">
      <c r="P1107" s="36"/>
      <c r="Q1107" s="40"/>
      <c r="R1107" s="40"/>
      <c r="S1107" s="40"/>
      <c r="T1107" s="41"/>
      <c r="U1107" s="41"/>
      <c r="V1107" s="41"/>
      <c r="W1107" s="36"/>
      <c r="X1107" s="36"/>
      <c r="Y1107" s="36"/>
      <c r="Z1107" s="36"/>
      <c r="AA1107" s="36"/>
    </row>
    <row r="1108" spans="16:27" x14ac:dyDescent="0.2">
      <c r="P1108" s="36"/>
      <c r="Q1108" s="40"/>
      <c r="R1108" s="40"/>
      <c r="S1108" s="40"/>
      <c r="T1108" s="41"/>
      <c r="U1108" s="41"/>
      <c r="V1108" s="41"/>
      <c r="W1108" s="36"/>
      <c r="X1108" s="36"/>
      <c r="Y1108" s="36"/>
      <c r="Z1108" s="36"/>
      <c r="AA1108" s="36"/>
    </row>
    <row r="1109" spans="16:27" x14ac:dyDescent="0.2">
      <c r="P1109" s="36"/>
      <c r="Q1109" s="40"/>
      <c r="R1109" s="40"/>
      <c r="S1109" s="40"/>
      <c r="T1109" s="41"/>
      <c r="U1109" s="41"/>
      <c r="V1109" s="41"/>
      <c r="W1109" s="36"/>
      <c r="X1109" s="36"/>
      <c r="Y1109" s="36"/>
      <c r="Z1109" s="36"/>
      <c r="AA1109" s="36"/>
    </row>
    <row r="1110" spans="16:27" x14ac:dyDescent="0.2">
      <c r="P1110" s="36"/>
      <c r="Q1110" s="40"/>
      <c r="R1110" s="40"/>
      <c r="S1110" s="40"/>
      <c r="T1110" s="41"/>
      <c r="U1110" s="41"/>
      <c r="V1110" s="41"/>
      <c r="W1110" s="36"/>
      <c r="X1110" s="36"/>
      <c r="Y1110" s="36"/>
      <c r="Z1110" s="36"/>
      <c r="AA1110" s="36"/>
    </row>
    <row r="1111" spans="16:27" x14ac:dyDescent="0.2">
      <c r="P1111" s="36"/>
      <c r="Q1111" s="40"/>
      <c r="R1111" s="40"/>
      <c r="S1111" s="40"/>
      <c r="T1111" s="41"/>
      <c r="U1111" s="41"/>
      <c r="V1111" s="41"/>
      <c r="W1111" s="36"/>
      <c r="X1111" s="36"/>
      <c r="Y1111" s="36"/>
      <c r="Z1111" s="36"/>
      <c r="AA1111" s="36"/>
    </row>
    <row r="1112" spans="16:27" x14ac:dyDescent="0.2">
      <c r="P1112" s="36"/>
      <c r="Q1112" s="40"/>
      <c r="R1112" s="40"/>
      <c r="S1112" s="40"/>
      <c r="T1112" s="41"/>
      <c r="U1112" s="41"/>
      <c r="V1112" s="41"/>
      <c r="W1112" s="36"/>
      <c r="X1112" s="36"/>
      <c r="Y1112" s="36"/>
      <c r="Z1112" s="36"/>
      <c r="AA1112" s="36"/>
    </row>
    <row r="1113" spans="16:27" x14ac:dyDescent="0.2">
      <c r="P1113" s="36"/>
      <c r="Q1113" s="40"/>
      <c r="R1113" s="40"/>
      <c r="S1113" s="40"/>
      <c r="T1113" s="41"/>
      <c r="U1113" s="41"/>
      <c r="V1113" s="41"/>
      <c r="W1113" s="36"/>
      <c r="X1113" s="36"/>
      <c r="Y1113" s="36"/>
      <c r="Z1113" s="36"/>
      <c r="AA1113" s="36"/>
    </row>
    <row r="1114" spans="16:27" x14ac:dyDescent="0.2">
      <c r="P1114" s="36"/>
      <c r="Q1114" s="40"/>
      <c r="R1114" s="40"/>
      <c r="S1114" s="40"/>
      <c r="T1114" s="41"/>
      <c r="U1114" s="41"/>
      <c r="V1114" s="41"/>
      <c r="W1114" s="36"/>
      <c r="X1114" s="36"/>
      <c r="Y1114" s="36"/>
      <c r="Z1114" s="36"/>
      <c r="AA1114" s="36"/>
    </row>
    <row r="1115" spans="16:27" x14ac:dyDescent="0.2">
      <c r="P1115" s="36"/>
      <c r="Q1115" s="40"/>
      <c r="R1115" s="40"/>
      <c r="S1115" s="40"/>
      <c r="T1115" s="41"/>
      <c r="U1115" s="41"/>
      <c r="V1115" s="41"/>
      <c r="W1115" s="36"/>
      <c r="X1115" s="36"/>
      <c r="Y1115" s="36"/>
      <c r="Z1115" s="36"/>
      <c r="AA1115" s="36"/>
    </row>
    <row r="1116" spans="16:27" x14ac:dyDescent="0.2">
      <c r="P1116" s="36"/>
      <c r="Q1116" s="40"/>
      <c r="R1116" s="40"/>
      <c r="S1116" s="40"/>
      <c r="T1116" s="41"/>
      <c r="U1116" s="41"/>
      <c r="V1116" s="41"/>
      <c r="W1116" s="36"/>
      <c r="X1116" s="36"/>
      <c r="Y1116" s="36"/>
      <c r="Z1116" s="36"/>
      <c r="AA1116" s="36"/>
    </row>
    <row r="1117" spans="16:27" x14ac:dyDescent="0.2">
      <c r="P1117" s="36"/>
      <c r="Q1117" s="40"/>
      <c r="R1117" s="40"/>
      <c r="S1117" s="40"/>
      <c r="T1117" s="41"/>
      <c r="U1117" s="41"/>
      <c r="V1117" s="41"/>
      <c r="W1117" s="36"/>
      <c r="X1117" s="36"/>
      <c r="Y1117" s="36"/>
      <c r="Z1117" s="36"/>
      <c r="AA1117" s="36"/>
    </row>
    <row r="1118" spans="16:27" x14ac:dyDescent="0.2">
      <c r="P1118" s="36"/>
      <c r="Q1118" s="40"/>
      <c r="R1118" s="40"/>
      <c r="S1118" s="40"/>
      <c r="T1118" s="41"/>
      <c r="U1118" s="41"/>
      <c r="V1118" s="41"/>
      <c r="W1118" s="36"/>
      <c r="X1118" s="36"/>
      <c r="Y1118" s="36"/>
      <c r="Z1118" s="36"/>
      <c r="AA1118" s="36"/>
    </row>
    <row r="1119" spans="16:27" x14ac:dyDescent="0.2">
      <c r="P1119" s="36"/>
      <c r="Q1119" s="40"/>
      <c r="R1119" s="40"/>
      <c r="S1119" s="40"/>
      <c r="T1119" s="41"/>
      <c r="U1119" s="41"/>
      <c r="V1119" s="41"/>
      <c r="W1119" s="36"/>
      <c r="X1119" s="36"/>
      <c r="Y1119" s="36"/>
      <c r="Z1119" s="36"/>
      <c r="AA1119" s="36"/>
    </row>
    <row r="1120" spans="16:27" x14ac:dyDescent="0.2">
      <c r="P1120" s="36"/>
      <c r="Q1120" s="40"/>
      <c r="R1120" s="40"/>
      <c r="S1120" s="40"/>
      <c r="T1120" s="41"/>
      <c r="U1120" s="41"/>
      <c r="V1120" s="41"/>
      <c r="W1120" s="36"/>
      <c r="X1120" s="36"/>
      <c r="Y1120" s="36"/>
      <c r="Z1120" s="36"/>
      <c r="AA1120" s="36"/>
    </row>
    <row r="1121" spans="16:27" x14ac:dyDescent="0.2">
      <c r="P1121" s="36"/>
      <c r="Q1121" s="40"/>
      <c r="R1121" s="40"/>
      <c r="S1121" s="40"/>
      <c r="T1121" s="41"/>
      <c r="U1121" s="41"/>
      <c r="V1121" s="41"/>
      <c r="W1121" s="36"/>
      <c r="X1121" s="36"/>
      <c r="Y1121" s="36"/>
      <c r="Z1121" s="36"/>
      <c r="AA1121" s="36"/>
    </row>
    <row r="1122" spans="16:27" x14ac:dyDescent="0.2">
      <c r="P1122" s="36"/>
      <c r="Q1122" s="40"/>
      <c r="R1122" s="40"/>
      <c r="S1122" s="40"/>
      <c r="T1122" s="41"/>
      <c r="U1122" s="41"/>
      <c r="V1122" s="41"/>
      <c r="W1122" s="36"/>
      <c r="X1122" s="36"/>
      <c r="Y1122" s="36"/>
      <c r="Z1122" s="36"/>
      <c r="AA1122" s="36"/>
    </row>
    <row r="1123" spans="16:27" x14ac:dyDescent="0.2">
      <c r="P1123" s="36"/>
      <c r="Q1123" s="40"/>
      <c r="R1123" s="40"/>
      <c r="S1123" s="40"/>
      <c r="T1123" s="41"/>
      <c r="U1123" s="41"/>
      <c r="V1123" s="41"/>
      <c r="W1123" s="36"/>
      <c r="X1123" s="36"/>
      <c r="Y1123" s="36"/>
      <c r="Z1123" s="36"/>
      <c r="AA1123" s="36"/>
    </row>
    <row r="1124" spans="16:27" x14ac:dyDescent="0.2">
      <c r="P1124" s="36"/>
      <c r="Q1124" s="40"/>
      <c r="R1124" s="40"/>
      <c r="S1124" s="40"/>
      <c r="T1124" s="41"/>
      <c r="U1124" s="41"/>
      <c r="V1124" s="41"/>
      <c r="W1124" s="36"/>
      <c r="X1124" s="36"/>
      <c r="Y1124" s="36"/>
      <c r="Z1124" s="36"/>
      <c r="AA1124" s="36"/>
    </row>
    <row r="1125" spans="16:27" x14ac:dyDescent="0.2">
      <c r="P1125" s="36"/>
      <c r="Q1125" s="40"/>
      <c r="R1125" s="40"/>
      <c r="S1125" s="40"/>
      <c r="T1125" s="41"/>
      <c r="U1125" s="41"/>
      <c r="V1125" s="41"/>
      <c r="W1125" s="36"/>
      <c r="X1125" s="36"/>
      <c r="Y1125" s="36"/>
      <c r="Z1125" s="36"/>
      <c r="AA1125" s="36"/>
    </row>
    <row r="1126" spans="16:27" x14ac:dyDescent="0.2">
      <c r="P1126" s="36"/>
      <c r="Q1126" s="40"/>
      <c r="R1126" s="40"/>
      <c r="S1126" s="40"/>
      <c r="T1126" s="41"/>
      <c r="U1126" s="41"/>
      <c r="V1126" s="41"/>
      <c r="W1126" s="36"/>
      <c r="X1126" s="36"/>
      <c r="Y1126" s="36"/>
      <c r="Z1126" s="36"/>
      <c r="AA1126" s="36"/>
    </row>
    <row r="1127" spans="16:27" x14ac:dyDescent="0.2">
      <c r="P1127" s="36"/>
      <c r="Q1127" s="40"/>
      <c r="R1127" s="40"/>
      <c r="S1127" s="40"/>
      <c r="T1127" s="41"/>
      <c r="U1127" s="41"/>
      <c r="V1127" s="41"/>
      <c r="W1127" s="36"/>
      <c r="X1127" s="36"/>
      <c r="Y1127" s="36"/>
      <c r="Z1127" s="36"/>
      <c r="AA1127" s="36"/>
    </row>
    <row r="1128" spans="16:27" x14ac:dyDescent="0.2">
      <c r="P1128" s="36"/>
      <c r="Q1128" s="40"/>
      <c r="R1128" s="40"/>
      <c r="S1128" s="40"/>
      <c r="T1128" s="41"/>
      <c r="U1128" s="41"/>
      <c r="V1128" s="41"/>
      <c r="W1128" s="36"/>
      <c r="X1128" s="36"/>
      <c r="Y1128" s="36"/>
      <c r="Z1128" s="36"/>
      <c r="AA1128" s="36"/>
    </row>
    <row r="1129" spans="16:27" x14ac:dyDescent="0.2">
      <c r="P1129" s="36"/>
      <c r="Q1129" s="40"/>
      <c r="R1129" s="40"/>
      <c r="S1129" s="40"/>
      <c r="T1129" s="41"/>
      <c r="U1129" s="41"/>
      <c r="V1129" s="41"/>
      <c r="W1129" s="36"/>
      <c r="X1129" s="36"/>
      <c r="Y1129" s="36"/>
      <c r="Z1129" s="36"/>
      <c r="AA1129" s="36"/>
    </row>
    <row r="1130" spans="16:27" x14ac:dyDescent="0.2">
      <c r="P1130" s="36"/>
      <c r="Q1130" s="40"/>
      <c r="R1130" s="40"/>
      <c r="S1130" s="40"/>
      <c r="T1130" s="41"/>
      <c r="U1130" s="41"/>
      <c r="V1130" s="41"/>
      <c r="W1130" s="36"/>
      <c r="X1130" s="36"/>
      <c r="Y1130" s="36"/>
      <c r="Z1130" s="36"/>
      <c r="AA1130" s="36"/>
    </row>
    <row r="1131" spans="16:27" x14ac:dyDescent="0.2">
      <c r="P1131" s="36"/>
      <c r="Q1131" s="40"/>
      <c r="R1131" s="40"/>
      <c r="S1131" s="40"/>
      <c r="T1131" s="41"/>
      <c r="U1131" s="41"/>
      <c r="V1131" s="41"/>
      <c r="W1131" s="36"/>
      <c r="X1131" s="36"/>
      <c r="Y1131" s="36"/>
      <c r="Z1131" s="36"/>
      <c r="AA1131" s="36"/>
    </row>
    <row r="1132" spans="16:27" x14ac:dyDescent="0.2">
      <c r="P1132" s="36"/>
      <c r="Q1132" s="40"/>
      <c r="R1132" s="40"/>
      <c r="S1132" s="40"/>
      <c r="T1132" s="41"/>
      <c r="U1132" s="41"/>
      <c r="V1132" s="41"/>
      <c r="W1132" s="36"/>
      <c r="X1132" s="36"/>
      <c r="Y1132" s="36"/>
      <c r="Z1132" s="36"/>
      <c r="AA1132" s="36"/>
    </row>
    <row r="1133" spans="16:27" x14ac:dyDescent="0.2">
      <c r="P1133" s="36"/>
      <c r="Q1133" s="40"/>
      <c r="R1133" s="40"/>
      <c r="S1133" s="40"/>
      <c r="T1133" s="41"/>
      <c r="U1133" s="41"/>
      <c r="V1133" s="41"/>
      <c r="W1133" s="36"/>
      <c r="X1133" s="36"/>
      <c r="Y1133" s="36"/>
      <c r="Z1133" s="36"/>
      <c r="AA1133" s="36"/>
    </row>
    <row r="1134" spans="16:27" x14ac:dyDescent="0.2">
      <c r="P1134" s="36"/>
      <c r="Q1134" s="40"/>
      <c r="R1134" s="40"/>
      <c r="S1134" s="40"/>
      <c r="T1134" s="41"/>
      <c r="U1134" s="41"/>
      <c r="V1134" s="41"/>
      <c r="W1134" s="36"/>
      <c r="X1134" s="36"/>
      <c r="Y1134" s="36"/>
      <c r="Z1134" s="36"/>
      <c r="AA1134" s="36"/>
    </row>
    <row r="1135" spans="16:27" x14ac:dyDescent="0.2">
      <c r="P1135" s="36"/>
      <c r="Q1135" s="40"/>
      <c r="R1135" s="40"/>
      <c r="S1135" s="40"/>
      <c r="T1135" s="41"/>
      <c r="U1135" s="41"/>
      <c r="V1135" s="41"/>
      <c r="W1135" s="36"/>
      <c r="X1135" s="36"/>
      <c r="Y1135" s="36"/>
      <c r="Z1135" s="36"/>
      <c r="AA1135" s="36"/>
    </row>
    <row r="1136" spans="16:27" x14ac:dyDescent="0.2">
      <c r="P1136" s="36"/>
      <c r="Q1136" s="40"/>
      <c r="R1136" s="40"/>
      <c r="S1136" s="40"/>
      <c r="T1136" s="41"/>
      <c r="U1136" s="41"/>
      <c r="V1136" s="41"/>
      <c r="W1136" s="36"/>
      <c r="X1136" s="36"/>
      <c r="Y1136" s="36"/>
      <c r="Z1136" s="36"/>
      <c r="AA1136" s="36"/>
    </row>
    <row r="1137" spans="16:27" x14ac:dyDescent="0.2">
      <c r="P1137" s="36"/>
      <c r="Q1137" s="40"/>
      <c r="R1137" s="40"/>
      <c r="S1137" s="40"/>
      <c r="T1137" s="41"/>
      <c r="U1137" s="41"/>
      <c r="V1137" s="41"/>
      <c r="W1137" s="36"/>
      <c r="X1137" s="36"/>
      <c r="Y1137" s="36"/>
      <c r="Z1137" s="36"/>
      <c r="AA1137" s="36"/>
    </row>
    <row r="1138" spans="16:27" x14ac:dyDescent="0.2">
      <c r="P1138" s="36"/>
      <c r="Q1138" s="40"/>
      <c r="R1138" s="40"/>
      <c r="S1138" s="40"/>
      <c r="T1138" s="41"/>
      <c r="U1138" s="41"/>
      <c r="V1138" s="41"/>
      <c r="W1138" s="36"/>
      <c r="X1138" s="36"/>
      <c r="Y1138" s="36"/>
      <c r="Z1138" s="36"/>
      <c r="AA1138" s="36"/>
    </row>
    <row r="1139" spans="16:27" x14ac:dyDescent="0.2">
      <c r="P1139" s="36"/>
      <c r="Q1139" s="40"/>
      <c r="R1139" s="40"/>
      <c r="S1139" s="40"/>
      <c r="T1139" s="41"/>
      <c r="U1139" s="41"/>
      <c r="V1139" s="41"/>
      <c r="W1139" s="36"/>
      <c r="X1139" s="36"/>
      <c r="Y1139" s="36"/>
      <c r="Z1139" s="36"/>
      <c r="AA1139" s="36"/>
    </row>
    <row r="1140" spans="16:27" x14ac:dyDescent="0.2">
      <c r="P1140" s="36"/>
      <c r="Q1140" s="40"/>
      <c r="R1140" s="40"/>
      <c r="S1140" s="40"/>
      <c r="T1140" s="41"/>
      <c r="U1140" s="41"/>
      <c r="V1140" s="41"/>
      <c r="W1140" s="36"/>
      <c r="X1140" s="36"/>
      <c r="Y1140" s="36"/>
      <c r="Z1140" s="36"/>
      <c r="AA1140" s="36"/>
    </row>
    <row r="1141" spans="16:27" x14ac:dyDescent="0.2">
      <c r="P1141" s="36"/>
      <c r="Q1141" s="40"/>
      <c r="R1141" s="40"/>
      <c r="S1141" s="40"/>
      <c r="T1141" s="41"/>
      <c r="U1141" s="41"/>
      <c r="V1141" s="41"/>
      <c r="W1141" s="36"/>
      <c r="X1141" s="36"/>
      <c r="Y1141" s="36"/>
      <c r="Z1141" s="36"/>
      <c r="AA1141" s="36"/>
    </row>
    <row r="1142" spans="16:27" x14ac:dyDescent="0.2">
      <c r="P1142" s="36"/>
      <c r="Q1142" s="40"/>
      <c r="R1142" s="40"/>
      <c r="S1142" s="40"/>
      <c r="T1142" s="41"/>
      <c r="U1142" s="41"/>
      <c r="V1142" s="41"/>
      <c r="W1142" s="36"/>
      <c r="X1142" s="36"/>
      <c r="Y1142" s="36"/>
      <c r="Z1142" s="36"/>
      <c r="AA1142" s="36"/>
    </row>
    <row r="1143" spans="16:27" x14ac:dyDescent="0.2">
      <c r="P1143" s="36"/>
      <c r="Q1143" s="40"/>
      <c r="R1143" s="40"/>
      <c r="S1143" s="40"/>
      <c r="T1143" s="41"/>
      <c r="U1143" s="41"/>
      <c r="V1143" s="41"/>
      <c r="W1143" s="36"/>
      <c r="X1143" s="36"/>
      <c r="Y1143" s="36"/>
      <c r="Z1143" s="36"/>
      <c r="AA1143" s="36"/>
    </row>
    <row r="1144" spans="16:27" x14ac:dyDescent="0.2">
      <c r="P1144" s="36"/>
      <c r="Q1144" s="40"/>
      <c r="R1144" s="40"/>
      <c r="S1144" s="40"/>
      <c r="T1144" s="41"/>
      <c r="U1144" s="41"/>
      <c r="V1144" s="41"/>
      <c r="W1144" s="36"/>
      <c r="X1144" s="36"/>
      <c r="Y1144" s="36"/>
      <c r="Z1144" s="36"/>
      <c r="AA1144" s="36"/>
    </row>
    <row r="1145" spans="16:27" x14ac:dyDescent="0.2">
      <c r="P1145" s="36"/>
      <c r="Q1145" s="40"/>
      <c r="R1145" s="40"/>
      <c r="S1145" s="40"/>
      <c r="T1145" s="41"/>
      <c r="U1145" s="41"/>
      <c r="V1145" s="41"/>
      <c r="W1145" s="36"/>
      <c r="X1145" s="36"/>
      <c r="Y1145" s="36"/>
      <c r="Z1145" s="36"/>
      <c r="AA1145" s="36"/>
    </row>
    <row r="1146" spans="16:27" x14ac:dyDescent="0.2">
      <c r="P1146" s="36"/>
      <c r="Q1146" s="40"/>
      <c r="R1146" s="40"/>
      <c r="S1146" s="40"/>
      <c r="T1146" s="41"/>
      <c r="U1146" s="41"/>
      <c r="V1146" s="41"/>
      <c r="W1146" s="36"/>
      <c r="X1146" s="36"/>
      <c r="Y1146" s="36"/>
      <c r="Z1146" s="36"/>
      <c r="AA1146" s="36"/>
    </row>
    <row r="1147" spans="16:27" x14ac:dyDescent="0.2">
      <c r="P1147" s="36"/>
      <c r="Q1147" s="40"/>
      <c r="R1147" s="40"/>
      <c r="S1147" s="40"/>
      <c r="T1147" s="41"/>
      <c r="U1147" s="41"/>
      <c r="V1147" s="41"/>
      <c r="W1147" s="36"/>
      <c r="X1147" s="36"/>
      <c r="Y1147" s="36"/>
      <c r="Z1147" s="36"/>
      <c r="AA1147" s="36"/>
    </row>
    <row r="1148" spans="16:27" x14ac:dyDescent="0.2">
      <c r="P1148" s="36"/>
      <c r="Q1148" s="40"/>
      <c r="R1148" s="40"/>
      <c r="S1148" s="40"/>
      <c r="T1148" s="41"/>
      <c r="U1148" s="41"/>
      <c r="V1148" s="41"/>
      <c r="W1148" s="36"/>
      <c r="X1148" s="36"/>
      <c r="Y1148" s="36"/>
      <c r="Z1148" s="36"/>
      <c r="AA1148" s="36"/>
    </row>
    <row r="1149" spans="16:27" x14ac:dyDescent="0.2">
      <c r="P1149" s="36"/>
      <c r="Q1149" s="40"/>
      <c r="R1149" s="40"/>
      <c r="S1149" s="40"/>
      <c r="T1149" s="41"/>
      <c r="U1149" s="41"/>
      <c r="V1149" s="41"/>
      <c r="W1149" s="36"/>
      <c r="X1149" s="36"/>
      <c r="Y1149" s="36"/>
      <c r="Z1149" s="36"/>
      <c r="AA1149" s="36"/>
    </row>
    <row r="1150" spans="16:27" x14ac:dyDescent="0.2">
      <c r="P1150" s="36"/>
      <c r="Q1150" s="40"/>
      <c r="R1150" s="40"/>
      <c r="S1150" s="40"/>
      <c r="T1150" s="41"/>
      <c r="U1150" s="41"/>
      <c r="V1150" s="41"/>
      <c r="W1150" s="36"/>
      <c r="X1150" s="36"/>
      <c r="Y1150" s="36"/>
      <c r="Z1150" s="36"/>
      <c r="AA1150" s="36"/>
    </row>
    <row r="1151" spans="16:27" x14ac:dyDescent="0.2">
      <c r="P1151" s="36"/>
      <c r="Q1151" s="40"/>
      <c r="R1151" s="40"/>
      <c r="S1151" s="40"/>
      <c r="T1151" s="41"/>
      <c r="U1151" s="41"/>
      <c r="V1151" s="41"/>
      <c r="W1151" s="36"/>
      <c r="X1151" s="36"/>
      <c r="Y1151" s="36"/>
      <c r="Z1151" s="36"/>
      <c r="AA1151" s="36"/>
    </row>
    <row r="1152" spans="16:27" x14ac:dyDescent="0.2">
      <c r="P1152" s="36"/>
      <c r="Q1152" s="40"/>
      <c r="R1152" s="40"/>
      <c r="S1152" s="40"/>
      <c r="T1152" s="41"/>
      <c r="U1152" s="41"/>
      <c r="V1152" s="41"/>
      <c r="W1152" s="36"/>
      <c r="X1152" s="36"/>
      <c r="Y1152" s="36"/>
      <c r="Z1152" s="36"/>
      <c r="AA1152" s="36"/>
    </row>
    <row r="1153" spans="16:27" x14ac:dyDescent="0.2">
      <c r="P1153" s="36"/>
      <c r="Q1153" s="40"/>
      <c r="R1153" s="40"/>
      <c r="S1153" s="40"/>
      <c r="T1153" s="41"/>
      <c r="U1153" s="41"/>
      <c r="V1153" s="41"/>
      <c r="W1153" s="36"/>
      <c r="X1153" s="36"/>
      <c r="Y1153" s="36"/>
      <c r="Z1153" s="36"/>
      <c r="AA1153" s="36"/>
    </row>
    <row r="1154" spans="16:27" x14ac:dyDescent="0.2">
      <c r="P1154" s="36"/>
      <c r="Q1154" s="40"/>
      <c r="R1154" s="40"/>
      <c r="S1154" s="40"/>
      <c r="T1154" s="41"/>
      <c r="U1154" s="41"/>
      <c r="V1154" s="41"/>
      <c r="W1154" s="36"/>
      <c r="X1154" s="36"/>
      <c r="Y1154" s="36"/>
      <c r="Z1154" s="36"/>
      <c r="AA1154" s="36"/>
    </row>
    <row r="1155" spans="16:27" x14ac:dyDescent="0.2">
      <c r="P1155" s="36"/>
      <c r="Q1155" s="40"/>
      <c r="R1155" s="40"/>
      <c r="S1155" s="40"/>
      <c r="T1155" s="41"/>
      <c r="U1155" s="41"/>
      <c r="V1155" s="41"/>
      <c r="W1155" s="36"/>
      <c r="X1155" s="36"/>
      <c r="Y1155" s="36"/>
      <c r="Z1155" s="36"/>
      <c r="AA1155" s="36"/>
    </row>
    <row r="1156" spans="16:27" x14ac:dyDescent="0.2">
      <c r="P1156" s="36"/>
      <c r="Q1156" s="40"/>
      <c r="R1156" s="40"/>
      <c r="S1156" s="40"/>
      <c r="T1156" s="41"/>
      <c r="U1156" s="41"/>
      <c r="V1156" s="41"/>
      <c r="W1156" s="36"/>
      <c r="X1156" s="36"/>
      <c r="Y1156" s="36"/>
      <c r="Z1156" s="36"/>
      <c r="AA1156" s="36"/>
    </row>
    <row r="1157" spans="16:27" x14ac:dyDescent="0.2">
      <c r="P1157" s="36"/>
      <c r="Q1157" s="40"/>
      <c r="R1157" s="40"/>
      <c r="S1157" s="40"/>
      <c r="T1157" s="41"/>
      <c r="U1157" s="41"/>
      <c r="V1157" s="41"/>
      <c r="W1157" s="36"/>
      <c r="X1157" s="36"/>
      <c r="Y1157" s="36"/>
      <c r="Z1157" s="36"/>
      <c r="AA1157" s="36"/>
    </row>
    <row r="1158" spans="16:27" x14ac:dyDescent="0.2">
      <c r="P1158" s="36"/>
      <c r="Q1158" s="40"/>
      <c r="R1158" s="40"/>
      <c r="S1158" s="40"/>
      <c r="T1158" s="41"/>
      <c r="U1158" s="41"/>
      <c r="V1158" s="41"/>
      <c r="W1158" s="36"/>
      <c r="X1158" s="36"/>
      <c r="Y1158" s="36"/>
      <c r="Z1158" s="36"/>
      <c r="AA1158" s="36"/>
    </row>
    <row r="1159" spans="16:27" x14ac:dyDescent="0.2">
      <c r="P1159" s="36"/>
      <c r="Q1159" s="40"/>
      <c r="R1159" s="40"/>
      <c r="S1159" s="40"/>
      <c r="T1159" s="41"/>
      <c r="U1159" s="41"/>
      <c r="V1159" s="41"/>
      <c r="W1159" s="36"/>
      <c r="X1159" s="36"/>
      <c r="Y1159" s="36"/>
      <c r="Z1159" s="36"/>
      <c r="AA1159" s="36"/>
    </row>
    <row r="1160" spans="16:27" x14ac:dyDescent="0.2">
      <c r="P1160" s="36"/>
      <c r="Q1160" s="40"/>
      <c r="R1160" s="40"/>
      <c r="S1160" s="40"/>
      <c r="T1160" s="41"/>
      <c r="U1160" s="41"/>
      <c r="V1160" s="41"/>
      <c r="W1160" s="36"/>
      <c r="X1160" s="36"/>
      <c r="Y1160" s="36"/>
      <c r="Z1160" s="36"/>
      <c r="AA1160" s="36"/>
    </row>
    <row r="1161" spans="16:27" x14ac:dyDescent="0.2">
      <c r="P1161" s="36"/>
      <c r="Q1161" s="40"/>
      <c r="R1161" s="40"/>
      <c r="S1161" s="40"/>
      <c r="T1161" s="41"/>
      <c r="U1161" s="41"/>
      <c r="V1161" s="41"/>
      <c r="W1161" s="36"/>
      <c r="X1161" s="36"/>
      <c r="Y1161" s="36"/>
      <c r="Z1161" s="36"/>
      <c r="AA1161" s="36"/>
    </row>
    <row r="1162" spans="16:27" x14ac:dyDescent="0.2">
      <c r="P1162" s="36"/>
      <c r="Q1162" s="40"/>
      <c r="R1162" s="40"/>
      <c r="S1162" s="40"/>
      <c r="T1162" s="41"/>
      <c r="U1162" s="41"/>
      <c r="V1162" s="41"/>
      <c r="W1162" s="36"/>
      <c r="X1162" s="36"/>
      <c r="Y1162" s="36"/>
      <c r="Z1162" s="36"/>
      <c r="AA1162" s="36"/>
    </row>
    <row r="1163" spans="16:27" x14ac:dyDescent="0.2">
      <c r="P1163" s="36"/>
      <c r="Q1163" s="40"/>
      <c r="R1163" s="40"/>
      <c r="S1163" s="40"/>
      <c r="T1163" s="41"/>
      <c r="U1163" s="41"/>
      <c r="V1163" s="41"/>
      <c r="W1163" s="36"/>
      <c r="X1163" s="36"/>
      <c r="Y1163" s="36"/>
      <c r="Z1163" s="36"/>
      <c r="AA1163" s="36"/>
    </row>
    <row r="1164" spans="16:27" x14ac:dyDescent="0.2">
      <c r="P1164" s="36"/>
      <c r="Q1164" s="40"/>
      <c r="R1164" s="40"/>
      <c r="S1164" s="40"/>
      <c r="T1164" s="41"/>
      <c r="U1164" s="41"/>
      <c r="V1164" s="41"/>
      <c r="W1164" s="36"/>
      <c r="X1164" s="36"/>
      <c r="Y1164" s="36"/>
      <c r="Z1164" s="36"/>
      <c r="AA1164" s="36"/>
    </row>
    <row r="1165" spans="16:27" x14ac:dyDescent="0.2">
      <c r="P1165" s="36"/>
      <c r="Q1165" s="40"/>
      <c r="R1165" s="40"/>
      <c r="S1165" s="40"/>
      <c r="T1165" s="41"/>
      <c r="U1165" s="41"/>
      <c r="V1165" s="41"/>
      <c r="W1165" s="36"/>
      <c r="X1165" s="36"/>
      <c r="Y1165" s="36"/>
      <c r="Z1165" s="36"/>
      <c r="AA1165" s="36"/>
    </row>
    <row r="1166" spans="16:27" x14ac:dyDescent="0.2">
      <c r="P1166" s="36"/>
      <c r="Q1166" s="40"/>
      <c r="R1166" s="40"/>
      <c r="S1166" s="40"/>
      <c r="T1166" s="41"/>
      <c r="U1166" s="41"/>
      <c r="V1166" s="41"/>
      <c r="W1166" s="36"/>
      <c r="X1166" s="36"/>
      <c r="Y1166" s="36"/>
      <c r="Z1166" s="36"/>
      <c r="AA1166" s="36"/>
    </row>
    <row r="1167" spans="16:27" x14ac:dyDescent="0.2">
      <c r="P1167" s="36"/>
      <c r="Q1167" s="40"/>
      <c r="R1167" s="40"/>
      <c r="S1167" s="40"/>
      <c r="T1167" s="41"/>
      <c r="U1167" s="41"/>
      <c r="V1167" s="41"/>
      <c r="W1167" s="36"/>
      <c r="X1167" s="36"/>
      <c r="Y1167" s="36"/>
      <c r="Z1167" s="36"/>
      <c r="AA1167" s="36"/>
    </row>
    <row r="1168" spans="16:27" x14ac:dyDescent="0.2">
      <c r="P1168" s="36"/>
      <c r="Q1168" s="40"/>
      <c r="R1168" s="40"/>
      <c r="S1168" s="40"/>
      <c r="T1168" s="41"/>
      <c r="U1168" s="41"/>
      <c r="V1168" s="41"/>
      <c r="W1168" s="36"/>
      <c r="X1168" s="36"/>
      <c r="Y1168" s="36"/>
      <c r="Z1168" s="36"/>
      <c r="AA1168" s="36"/>
    </row>
    <row r="1169" spans="16:27" x14ac:dyDescent="0.2">
      <c r="P1169" s="36"/>
      <c r="Q1169" s="40"/>
      <c r="R1169" s="40"/>
      <c r="S1169" s="40"/>
      <c r="T1169" s="41"/>
      <c r="U1169" s="41"/>
      <c r="V1169" s="41"/>
      <c r="W1169" s="36"/>
      <c r="X1169" s="36"/>
      <c r="Y1169" s="36"/>
      <c r="Z1169" s="36"/>
      <c r="AA1169" s="36"/>
    </row>
    <row r="1170" spans="16:27" x14ac:dyDescent="0.2">
      <c r="P1170" s="36"/>
      <c r="Q1170" s="40"/>
      <c r="R1170" s="40"/>
      <c r="S1170" s="40"/>
      <c r="T1170" s="41"/>
      <c r="U1170" s="41"/>
      <c r="V1170" s="41"/>
      <c r="W1170" s="36"/>
      <c r="X1170" s="36"/>
      <c r="Y1170" s="36"/>
      <c r="Z1170" s="36"/>
      <c r="AA1170" s="36"/>
    </row>
    <row r="1171" spans="16:27" x14ac:dyDescent="0.2">
      <c r="P1171" s="36"/>
      <c r="Q1171" s="40"/>
      <c r="R1171" s="40"/>
      <c r="S1171" s="40"/>
      <c r="T1171" s="41"/>
      <c r="U1171" s="41"/>
      <c r="V1171" s="41"/>
      <c r="W1171" s="36"/>
      <c r="X1171" s="36"/>
      <c r="Y1171" s="36"/>
      <c r="Z1171" s="36"/>
      <c r="AA1171" s="36"/>
    </row>
    <row r="1172" spans="16:27" x14ac:dyDescent="0.2">
      <c r="P1172" s="36"/>
      <c r="Q1172" s="40"/>
      <c r="R1172" s="40"/>
      <c r="S1172" s="40"/>
      <c r="T1172" s="41"/>
      <c r="U1172" s="41"/>
      <c r="V1172" s="41"/>
      <c r="W1172" s="36"/>
      <c r="X1172" s="36"/>
      <c r="Y1172" s="36"/>
      <c r="Z1172" s="36"/>
      <c r="AA1172" s="36"/>
    </row>
    <row r="1173" spans="16:27" x14ac:dyDescent="0.2">
      <c r="P1173" s="36"/>
      <c r="Q1173" s="40"/>
      <c r="R1173" s="40"/>
      <c r="S1173" s="40"/>
      <c r="T1173" s="41"/>
      <c r="U1173" s="41"/>
      <c r="V1173" s="41"/>
      <c r="W1173" s="36"/>
      <c r="X1173" s="36"/>
      <c r="Y1173" s="36"/>
      <c r="Z1173" s="36"/>
      <c r="AA1173" s="36"/>
    </row>
    <row r="1174" spans="16:27" x14ac:dyDescent="0.2">
      <c r="P1174" s="36"/>
      <c r="Q1174" s="40"/>
      <c r="R1174" s="40"/>
      <c r="S1174" s="40"/>
      <c r="T1174" s="41"/>
      <c r="U1174" s="41"/>
      <c r="V1174" s="41"/>
      <c r="W1174" s="36"/>
      <c r="X1174" s="36"/>
      <c r="Y1174" s="36"/>
      <c r="Z1174" s="36"/>
      <c r="AA1174" s="36"/>
    </row>
    <row r="1175" spans="16:27" x14ac:dyDescent="0.2">
      <c r="P1175" s="36"/>
      <c r="Q1175" s="40"/>
      <c r="R1175" s="40"/>
      <c r="S1175" s="40"/>
      <c r="T1175" s="41"/>
      <c r="U1175" s="41"/>
      <c r="V1175" s="41"/>
      <c r="W1175" s="36"/>
      <c r="X1175" s="36"/>
      <c r="Y1175" s="36"/>
      <c r="Z1175" s="36"/>
      <c r="AA1175" s="36"/>
    </row>
    <row r="1176" spans="16:27" x14ac:dyDescent="0.2">
      <c r="P1176" s="36"/>
      <c r="Q1176" s="40"/>
      <c r="R1176" s="40"/>
      <c r="S1176" s="40"/>
      <c r="T1176" s="41"/>
      <c r="U1176" s="41"/>
      <c r="V1176" s="41"/>
      <c r="W1176" s="36"/>
      <c r="X1176" s="36"/>
      <c r="Y1176" s="36"/>
      <c r="Z1176" s="36"/>
      <c r="AA1176" s="36"/>
    </row>
    <row r="1177" spans="16:27" x14ac:dyDescent="0.2">
      <c r="P1177" s="36"/>
      <c r="Q1177" s="40"/>
      <c r="R1177" s="40"/>
      <c r="S1177" s="40"/>
      <c r="T1177" s="41"/>
      <c r="U1177" s="41"/>
      <c r="V1177" s="41"/>
      <c r="W1177" s="36"/>
      <c r="X1177" s="36"/>
      <c r="Y1177" s="36"/>
      <c r="Z1177" s="36"/>
      <c r="AA1177" s="36"/>
    </row>
    <row r="1178" spans="16:27" x14ac:dyDescent="0.2">
      <c r="P1178" s="36"/>
      <c r="Q1178" s="40"/>
      <c r="R1178" s="40"/>
      <c r="S1178" s="40"/>
      <c r="T1178" s="41"/>
      <c r="U1178" s="41"/>
      <c r="V1178" s="41"/>
      <c r="W1178" s="36"/>
      <c r="X1178" s="36"/>
      <c r="Y1178" s="36"/>
      <c r="Z1178" s="36"/>
      <c r="AA1178" s="36"/>
    </row>
    <row r="1179" spans="16:27" x14ac:dyDescent="0.2">
      <c r="P1179" s="36"/>
      <c r="Q1179" s="40"/>
      <c r="R1179" s="40"/>
      <c r="S1179" s="40"/>
      <c r="T1179" s="41"/>
      <c r="U1179" s="41"/>
      <c r="V1179" s="41"/>
      <c r="W1179" s="36"/>
      <c r="X1179" s="36"/>
      <c r="Y1179" s="36"/>
      <c r="Z1179" s="36"/>
      <c r="AA1179" s="36"/>
    </row>
    <row r="1180" spans="16:27" x14ac:dyDescent="0.2">
      <c r="P1180" s="36"/>
      <c r="Q1180" s="40"/>
      <c r="R1180" s="40"/>
      <c r="S1180" s="40"/>
      <c r="T1180" s="41"/>
      <c r="U1180" s="41"/>
      <c r="V1180" s="41"/>
      <c r="W1180" s="36"/>
      <c r="X1180" s="36"/>
      <c r="Y1180" s="36"/>
      <c r="Z1180" s="36"/>
      <c r="AA1180" s="36"/>
    </row>
    <row r="1181" spans="16:27" x14ac:dyDescent="0.2">
      <c r="P1181" s="36"/>
      <c r="Q1181" s="40"/>
      <c r="R1181" s="40"/>
      <c r="S1181" s="40"/>
      <c r="T1181" s="41"/>
      <c r="U1181" s="41"/>
      <c r="V1181" s="41"/>
      <c r="W1181" s="36"/>
      <c r="X1181" s="36"/>
      <c r="Y1181" s="36"/>
      <c r="Z1181" s="36"/>
      <c r="AA1181" s="36"/>
    </row>
    <row r="1182" spans="16:27" x14ac:dyDescent="0.2">
      <c r="P1182" s="36"/>
      <c r="Q1182" s="40"/>
      <c r="R1182" s="40"/>
      <c r="S1182" s="40"/>
      <c r="T1182" s="41"/>
      <c r="U1182" s="41"/>
      <c r="V1182" s="41"/>
      <c r="W1182" s="36"/>
      <c r="X1182" s="36"/>
      <c r="Y1182" s="36"/>
      <c r="Z1182" s="36"/>
      <c r="AA1182" s="36"/>
    </row>
    <row r="1183" spans="16:27" x14ac:dyDescent="0.2">
      <c r="P1183" s="36"/>
      <c r="Q1183" s="40"/>
      <c r="R1183" s="40"/>
      <c r="S1183" s="40"/>
      <c r="T1183" s="41"/>
      <c r="U1183" s="41"/>
      <c r="V1183" s="41"/>
      <c r="W1183" s="36"/>
      <c r="X1183" s="36"/>
      <c r="Y1183" s="36"/>
      <c r="Z1183" s="36"/>
      <c r="AA1183" s="36"/>
    </row>
    <row r="1184" spans="16:27" x14ac:dyDescent="0.2">
      <c r="P1184" s="36"/>
      <c r="Q1184" s="40"/>
      <c r="R1184" s="40"/>
      <c r="S1184" s="40"/>
      <c r="T1184" s="41"/>
      <c r="U1184" s="41"/>
      <c r="V1184" s="41"/>
      <c r="W1184" s="36"/>
      <c r="X1184" s="36"/>
      <c r="Y1184" s="36"/>
      <c r="Z1184" s="36"/>
      <c r="AA1184" s="36"/>
    </row>
    <row r="1185" spans="16:27" x14ac:dyDescent="0.2">
      <c r="P1185" s="36"/>
      <c r="Q1185" s="40"/>
      <c r="R1185" s="40"/>
      <c r="S1185" s="40"/>
      <c r="T1185" s="41"/>
      <c r="U1185" s="41"/>
      <c r="V1185" s="41"/>
      <c r="W1185" s="36"/>
      <c r="X1185" s="36"/>
      <c r="Y1185" s="36"/>
      <c r="Z1185" s="36"/>
      <c r="AA1185" s="36"/>
    </row>
    <row r="1186" spans="16:27" x14ac:dyDescent="0.2">
      <c r="P1186" s="36"/>
      <c r="Q1186" s="40"/>
      <c r="R1186" s="40"/>
      <c r="S1186" s="40"/>
      <c r="T1186" s="41"/>
      <c r="U1186" s="41"/>
      <c r="V1186" s="41"/>
      <c r="W1186" s="36"/>
      <c r="X1186" s="36"/>
      <c r="Y1186" s="36"/>
      <c r="Z1186" s="36"/>
      <c r="AA1186" s="36"/>
    </row>
    <row r="1187" spans="16:27" x14ac:dyDescent="0.2">
      <c r="P1187" s="36"/>
      <c r="Q1187" s="40"/>
      <c r="R1187" s="40"/>
      <c r="S1187" s="40"/>
      <c r="T1187" s="41"/>
      <c r="U1187" s="41"/>
      <c r="V1187" s="41"/>
      <c r="W1187" s="36"/>
      <c r="X1187" s="36"/>
      <c r="Y1187" s="36"/>
      <c r="Z1187" s="36"/>
      <c r="AA1187" s="36"/>
    </row>
    <row r="1188" spans="16:27" x14ac:dyDescent="0.2">
      <c r="P1188" s="36"/>
      <c r="Q1188" s="40"/>
      <c r="R1188" s="40"/>
      <c r="S1188" s="40"/>
      <c r="T1188" s="41"/>
      <c r="U1188" s="41"/>
      <c r="V1188" s="41"/>
      <c r="W1188" s="36"/>
      <c r="X1188" s="36"/>
      <c r="Y1188" s="36"/>
      <c r="Z1188" s="36"/>
      <c r="AA1188" s="36"/>
    </row>
    <row r="1189" spans="16:27" x14ac:dyDescent="0.2">
      <c r="P1189" s="36"/>
      <c r="Q1189" s="40"/>
      <c r="R1189" s="40"/>
      <c r="S1189" s="40"/>
      <c r="T1189" s="41"/>
      <c r="U1189" s="41"/>
      <c r="V1189" s="41"/>
      <c r="W1189" s="36"/>
      <c r="X1189" s="36"/>
      <c r="Y1189" s="36"/>
      <c r="Z1189" s="36"/>
      <c r="AA1189" s="36"/>
    </row>
    <row r="1190" spans="16:27" x14ac:dyDescent="0.2">
      <c r="P1190" s="36"/>
      <c r="Q1190" s="40"/>
      <c r="R1190" s="40"/>
      <c r="S1190" s="40"/>
      <c r="T1190" s="41"/>
      <c r="U1190" s="41"/>
      <c r="V1190" s="41"/>
      <c r="W1190" s="36"/>
      <c r="X1190" s="36"/>
      <c r="Y1190" s="36"/>
      <c r="Z1190" s="36"/>
      <c r="AA1190" s="36"/>
    </row>
    <row r="1191" spans="16:27" x14ac:dyDescent="0.2">
      <c r="P1191" s="36"/>
      <c r="Q1191" s="40"/>
      <c r="R1191" s="40"/>
      <c r="S1191" s="40"/>
      <c r="T1191" s="41"/>
      <c r="U1191" s="41"/>
      <c r="V1191" s="41"/>
      <c r="W1191" s="36"/>
      <c r="X1191" s="36"/>
      <c r="Y1191" s="36"/>
      <c r="Z1191" s="36"/>
      <c r="AA1191" s="36"/>
    </row>
    <row r="1192" spans="16:27" x14ac:dyDescent="0.2">
      <c r="P1192" s="36"/>
      <c r="Q1192" s="40"/>
      <c r="R1192" s="40"/>
      <c r="S1192" s="40"/>
      <c r="T1192" s="41"/>
      <c r="U1192" s="41"/>
      <c r="V1192" s="41"/>
      <c r="W1192" s="36"/>
      <c r="X1192" s="36"/>
      <c r="Y1192" s="36"/>
      <c r="Z1192" s="36"/>
      <c r="AA1192" s="36"/>
    </row>
    <row r="1193" spans="16:27" x14ac:dyDescent="0.2">
      <c r="P1193" s="36"/>
      <c r="Q1193" s="40"/>
      <c r="R1193" s="40"/>
      <c r="S1193" s="40"/>
      <c r="T1193" s="41"/>
      <c r="U1193" s="41"/>
      <c r="V1193" s="41"/>
      <c r="W1193" s="36"/>
      <c r="X1193" s="36"/>
      <c r="Y1193" s="36"/>
      <c r="Z1193" s="36"/>
      <c r="AA1193" s="36"/>
    </row>
    <row r="1194" spans="16:27" x14ac:dyDescent="0.2">
      <c r="P1194" s="36"/>
      <c r="Q1194" s="40"/>
      <c r="R1194" s="40"/>
      <c r="S1194" s="40"/>
      <c r="T1194" s="41"/>
      <c r="U1194" s="41"/>
      <c r="V1194" s="41"/>
      <c r="W1194" s="36"/>
      <c r="X1194" s="36"/>
      <c r="Y1194" s="36"/>
      <c r="Z1194" s="36"/>
      <c r="AA1194" s="36"/>
    </row>
    <row r="1195" spans="16:27" x14ac:dyDescent="0.2">
      <c r="P1195" s="36"/>
      <c r="Q1195" s="40"/>
      <c r="R1195" s="40"/>
      <c r="S1195" s="40"/>
      <c r="T1195" s="41"/>
      <c r="U1195" s="41"/>
      <c r="V1195" s="41"/>
      <c r="W1195" s="36"/>
      <c r="X1195" s="36"/>
      <c r="Y1195" s="36"/>
      <c r="Z1195" s="36"/>
      <c r="AA1195" s="36"/>
    </row>
    <row r="1196" spans="16:27" x14ac:dyDescent="0.2">
      <c r="P1196" s="36"/>
      <c r="Q1196" s="40"/>
      <c r="R1196" s="40"/>
      <c r="S1196" s="40"/>
      <c r="T1196" s="41"/>
      <c r="U1196" s="41"/>
      <c r="V1196" s="41"/>
      <c r="W1196" s="36"/>
      <c r="X1196" s="36"/>
      <c r="Y1196" s="36"/>
      <c r="Z1196" s="36"/>
      <c r="AA1196" s="36"/>
    </row>
    <row r="1197" spans="16:27" x14ac:dyDescent="0.2">
      <c r="P1197" s="36"/>
      <c r="Q1197" s="40"/>
      <c r="R1197" s="40"/>
      <c r="S1197" s="40"/>
      <c r="T1197" s="41"/>
      <c r="U1197" s="41"/>
      <c r="V1197" s="41"/>
      <c r="W1197" s="36"/>
      <c r="X1197" s="36"/>
      <c r="Y1197" s="36"/>
      <c r="Z1197" s="36"/>
      <c r="AA1197" s="36"/>
    </row>
    <row r="1198" spans="16:27" x14ac:dyDescent="0.2">
      <c r="P1198" s="36"/>
      <c r="Q1198" s="40"/>
      <c r="R1198" s="40"/>
      <c r="S1198" s="40"/>
      <c r="T1198" s="41"/>
      <c r="U1198" s="41"/>
      <c r="V1198" s="41"/>
      <c r="W1198" s="36"/>
      <c r="X1198" s="36"/>
      <c r="Y1198" s="36"/>
      <c r="Z1198" s="36"/>
      <c r="AA1198" s="36"/>
    </row>
    <row r="1199" spans="16:27" x14ac:dyDescent="0.2">
      <c r="P1199" s="36"/>
      <c r="Q1199" s="40"/>
      <c r="R1199" s="40"/>
      <c r="S1199" s="40"/>
      <c r="T1199" s="41"/>
      <c r="U1199" s="41"/>
      <c r="V1199" s="41"/>
      <c r="W1199" s="36"/>
      <c r="X1199" s="36"/>
      <c r="Y1199" s="36"/>
      <c r="Z1199" s="36"/>
      <c r="AA1199" s="36"/>
    </row>
    <row r="1200" spans="16:27" x14ac:dyDescent="0.2">
      <c r="P1200" s="36"/>
      <c r="Q1200" s="40"/>
      <c r="R1200" s="40"/>
      <c r="S1200" s="40"/>
      <c r="T1200" s="41"/>
      <c r="U1200" s="41"/>
      <c r="V1200" s="41"/>
      <c r="W1200" s="36"/>
      <c r="X1200" s="36"/>
      <c r="Y1200" s="36"/>
      <c r="Z1200" s="36"/>
      <c r="AA1200" s="36"/>
    </row>
    <row r="1201" spans="16:27" x14ac:dyDescent="0.2">
      <c r="P1201" s="36"/>
      <c r="Q1201" s="40"/>
      <c r="R1201" s="40"/>
      <c r="S1201" s="40"/>
      <c r="T1201" s="41"/>
      <c r="U1201" s="41"/>
      <c r="V1201" s="41"/>
      <c r="W1201" s="36"/>
      <c r="X1201" s="36"/>
      <c r="Y1201" s="36"/>
      <c r="Z1201" s="36"/>
      <c r="AA1201" s="36"/>
    </row>
    <row r="1202" spans="16:27" x14ac:dyDescent="0.2">
      <c r="P1202" s="36"/>
      <c r="Q1202" s="40"/>
      <c r="R1202" s="40"/>
      <c r="S1202" s="40"/>
      <c r="T1202" s="41"/>
      <c r="U1202" s="41"/>
      <c r="V1202" s="41"/>
      <c r="W1202" s="36"/>
      <c r="X1202" s="36"/>
      <c r="Y1202" s="36"/>
      <c r="Z1202" s="36"/>
      <c r="AA1202" s="36"/>
    </row>
    <row r="1203" spans="16:27" x14ac:dyDescent="0.2">
      <c r="P1203" s="36"/>
      <c r="Q1203" s="40"/>
      <c r="R1203" s="40"/>
      <c r="S1203" s="40"/>
      <c r="T1203" s="41"/>
      <c r="U1203" s="41"/>
      <c r="V1203" s="41"/>
      <c r="W1203" s="36"/>
      <c r="X1203" s="36"/>
      <c r="Y1203" s="36"/>
      <c r="Z1203" s="36"/>
      <c r="AA1203" s="36"/>
    </row>
    <row r="1204" spans="16:27" x14ac:dyDescent="0.2">
      <c r="P1204" s="36"/>
      <c r="Q1204" s="40"/>
      <c r="R1204" s="40"/>
      <c r="S1204" s="40"/>
      <c r="T1204" s="41"/>
      <c r="U1204" s="41"/>
      <c r="V1204" s="41"/>
      <c r="W1204" s="36"/>
      <c r="X1204" s="36"/>
      <c r="Y1204" s="36"/>
      <c r="Z1204" s="36"/>
      <c r="AA1204" s="36"/>
    </row>
    <row r="1205" spans="16:27" x14ac:dyDescent="0.2">
      <c r="P1205" s="36"/>
      <c r="Q1205" s="40"/>
      <c r="R1205" s="40"/>
      <c r="S1205" s="40"/>
      <c r="T1205" s="41"/>
      <c r="U1205" s="41"/>
      <c r="V1205" s="41"/>
      <c r="W1205" s="36"/>
      <c r="X1205" s="36"/>
      <c r="Y1205" s="36"/>
      <c r="Z1205" s="36"/>
      <c r="AA1205" s="36"/>
    </row>
    <row r="1206" spans="16:27" x14ac:dyDescent="0.2">
      <c r="P1206" s="36"/>
      <c r="Q1206" s="40"/>
      <c r="R1206" s="40"/>
      <c r="S1206" s="40"/>
      <c r="T1206" s="41"/>
      <c r="U1206" s="41"/>
      <c r="V1206" s="41"/>
      <c r="W1206" s="36"/>
      <c r="X1206" s="36"/>
      <c r="Y1206" s="36"/>
      <c r="Z1206" s="36"/>
      <c r="AA1206" s="36"/>
    </row>
    <row r="1207" spans="16:27" x14ac:dyDescent="0.2">
      <c r="P1207" s="36"/>
      <c r="Q1207" s="40"/>
      <c r="R1207" s="40"/>
      <c r="S1207" s="40"/>
      <c r="T1207" s="41"/>
      <c r="U1207" s="41"/>
      <c r="V1207" s="41"/>
      <c r="W1207" s="36"/>
      <c r="X1207" s="36"/>
      <c r="Y1207" s="36"/>
      <c r="Z1207" s="36"/>
      <c r="AA1207" s="36"/>
    </row>
    <row r="1208" spans="16:27" x14ac:dyDescent="0.2">
      <c r="P1208" s="36"/>
      <c r="Q1208" s="40"/>
      <c r="R1208" s="40"/>
      <c r="S1208" s="40"/>
      <c r="T1208" s="41"/>
      <c r="U1208" s="41"/>
      <c r="V1208" s="41"/>
      <c r="W1208" s="36"/>
      <c r="X1208" s="36"/>
      <c r="Y1208" s="36"/>
      <c r="Z1208" s="36"/>
      <c r="AA1208" s="36"/>
    </row>
    <row r="1209" spans="16:27" x14ac:dyDescent="0.2">
      <c r="P1209" s="36"/>
      <c r="Q1209" s="40"/>
      <c r="R1209" s="40"/>
      <c r="S1209" s="40"/>
      <c r="T1209" s="41"/>
      <c r="U1209" s="41"/>
      <c r="V1209" s="41"/>
      <c r="W1209" s="36"/>
      <c r="X1209" s="36"/>
      <c r="Y1209" s="36"/>
      <c r="Z1209" s="36"/>
      <c r="AA1209" s="36"/>
    </row>
    <row r="1210" spans="16:27" x14ac:dyDescent="0.2">
      <c r="P1210" s="36"/>
      <c r="Q1210" s="40"/>
      <c r="R1210" s="40"/>
      <c r="S1210" s="40"/>
      <c r="T1210" s="41"/>
      <c r="U1210" s="41"/>
      <c r="V1210" s="41"/>
      <c r="W1210" s="36"/>
      <c r="X1210" s="36"/>
      <c r="Y1210" s="36"/>
      <c r="Z1210" s="36"/>
      <c r="AA1210" s="36"/>
    </row>
    <row r="1211" spans="16:27" x14ac:dyDescent="0.2">
      <c r="P1211" s="36"/>
      <c r="Q1211" s="40"/>
      <c r="R1211" s="40"/>
      <c r="S1211" s="40"/>
      <c r="T1211" s="41"/>
      <c r="U1211" s="41"/>
      <c r="V1211" s="41"/>
      <c r="W1211" s="36"/>
      <c r="X1211" s="36"/>
      <c r="Y1211" s="36"/>
      <c r="Z1211" s="36"/>
      <c r="AA1211" s="36"/>
    </row>
    <row r="1212" spans="16:27" x14ac:dyDescent="0.2">
      <c r="P1212" s="36"/>
      <c r="Q1212" s="40"/>
      <c r="R1212" s="40"/>
      <c r="S1212" s="40"/>
      <c r="T1212" s="41"/>
      <c r="U1212" s="41"/>
      <c r="V1212" s="41"/>
      <c r="W1212" s="36"/>
      <c r="X1212" s="36"/>
      <c r="Y1212" s="36"/>
      <c r="Z1212" s="36"/>
      <c r="AA1212" s="36"/>
    </row>
    <row r="1213" spans="16:27" x14ac:dyDescent="0.2">
      <c r="P1213" s="36"/>
      <c r="Q1213" s="40"/>
      <c r="R1213" s="40"/>
      <c r="S1213" s="40"/>
      <c r="T1213" s="41"/>
      <c r="U1213" s="41"/>
      <c r="V1213" s="41"/>
      <c r="W1213" s="36"/>
      <c r="X1213" s="36"/>
      <c r="Y1213" s="36"/>
      <c r="Z1213" s="36"/>
      <c r="AA1213" s="36"/>
    </row>
    <row r="1214" spans="16:27" x14ac:dyDescent="0.2">
      <c r="P1214" s="36"/>
      <c r="Q1214" s="40"/>
      <c r="R1214" s="40"/>
      <c r="S1214" s="40"/>
      <c r="T1214" s="41"/>
      <c r="U1214" s="41"/>
      <c r="V1214" s="41"/>
      <c r="W1214" s="36"/>
      <c r="X1214" s="36"/>
      <c r="Y1214" s="36"/>
      <c r="Z1214" s="36"/>
      <c r="AA1214" s="36"/>
    </row>
    <row r="1215" spans="16:27" x14ac:dyDescent="0.2">
      <c r="P1215" s="36"/>
      <c r="Q1215" s="40"/>
      <c r="R1215" s="40"/>
      <c r="S1215" s="40"/>
      <c r="T1215" s="41"/>
      <c r="U1215" s="41"/>
      <c r="V1215" s="41"/>
      <c r="W1215" s="36"/>
      <c r="X1215" s="36"/>
      <c r="Y1215" s="36"/>
      <c r="Z1215" s="36"/>
      <c r="AA1215" s="36"/>
    </row>
    <row r="1216" spans="16:27" x14ac:dyDescent="0.2">
      <c r="P1216" s="36"/>
      <c r="Q1216" s="40"/>
      <c r="R1216" s="40"/>
      <c r="S1216" s="40"/>
      <c r="T1216" s="41"/>
      <c r="U1216" s="41"/>
      <c r="V1216" s="41"/>
      <c r="W1216" s="36"/>
      <c r="X1216" s="36"/>
      <c r="Y1216" s="36"/>
      <c r="Z1216" s="36"/>
      <c r="AA1216" s="36"/>
    </row>
    <row r="1217" spans="16:27" x14ac:dyDescent="0.2">
      <c r="P1217" s="36"/>
      <c r="Q1217" s="40"/>
      <c r="R1217" s="40"/>
      <c r="S1217" s="40"/>
      <c r="T1217" s="41"/>
      <c r="U1217" s="41"/>
      <c r="V1217" s="41"/>
      <c r="W1217" s="36"/>
      <c r="X1217" s="36"/>
      <c r="Y1217" s="36"/>
      <c r="Z1217" s="36"/>
      <c r="AA1217" s="36"/>
    </row>
    <row r="1218" spans="16:27" x14ac:dyDescent="0.2">
      <c r="P1218" s="36"/>
      <c r="Q1218" s="40"/>
      <c r="R1218" s="40"/>
      <c r="S1218" s="40"/>
      <c r="T1218" s="41"/>
      <c r="U1218" s="41"/>
      <c r="V1218" s="41"/>
      <c r="W1218" s="36"/>
      <c r="X1218" s="36"/>
      <c r="Y1218" s="36"/>
      <c r="Z1218" s="36"/>
      <c r="AA1218" s="36"/>
    </row>
    <row r="1219" spans="16:27" x14ac:dyDescent="0.2">
      <c r="P1219" s="36"/>
      <c r="Q1219" s="40"/>
      <c r="R1219" s="40"/>
      <c r="S1219" s="40"/>
      <c r="T1219" s="41"/>
      <c r="U1219" s="41"/>
      <c r="V1219" s="41"/>
      <c r="W1219" s="36"/>
      <c r="X1219" s="36"/>
      <c r="Y1219" s="36"/>
      <c r="Z1219" s="36"/>
      <c r="AA1219" s="36"/>
    </row>
    <row r="1220" spans="16:27" x14ac:dyDescent="0.2">
      <c r="P1220" s="36"/>
      <c r="Q1220" s="40"/>
      <c r="R1220" s="40"/>
      <c r="S1220" s="40"/>
      <c r="T1220" s="41"/>
      <c r="U1220" s="41"/>
      <c r="V1220" s="41"/>
      <c r="W1220" s="36"/>
      <c r="X1220" s="36"/>
      <c r="Y1220" s="36"/>
      <c r="Z1220" s="36"/>
      <c r="AA1220" s="36"/>
    </row>
    <row r="1221" spans="16:27" x14ac:dyDescent="0.2">
      <c r="P1221" s="36"/>
      <c r="Q1221" s="40"/>
      <c r="R1221" s="40"/>
      <c r="S1221" s="40"/>
      <c r="T1221" s="41"/>
      <c r="U1221" s="41"/>
      <c r="V1221" s="41"/>
      <c r="W1221" s="36"/>
      <c r="X1221" s="36"/>
      <c r="Y1221" s="36"/>
      <c r="Z1221" s="36"/>
      <c r="AA1221" s="36"/>
    </row>
    <row r="1222" spans="16:27" x14ac:dyDescent="0.2">
      <c r="P1222" s="36"/>
      <c r="Q1222" s="40"/>
      <c r="R1222" s="40"/>
      <c r="S1222" s="40"/>
      <c r="T1222" s="41"/>
      <c r="U1222" s="41"/>
      <c r="V1222" s="41"/>
      <c r="W1222" s="36"/>
      <c r="X1222" s="36"/>
      <c r="Y1222" s="36"/>
      <c r="Z1222" s="36"/>
      <c r="AA1222" s="36"/>
    </row>
    <row r="1223" spans="16:27" x14ac:dyDescent="0.2">
      <c r="P1223" s="36"/>
      <c r="Q1223" s="40"/>
      <c r="R1223" s="40"/>
      <c r="S1223" s="40"/>
      <c r="T1223" s="41"/>
      <c r="U1223" s="41"/>
      <c r="V1223" s="41"/>
      <c r="W1223" s="36"/>
      <c r="X1223" s="36"/>
      <c r="Y1223" s="36"/>
      <c r="Z1223" s="36"/>
      <c r="AA1223" s="36"/>
    </row>
    <row r="1224" spans="16:27" x14ac:dyDescent="0.2">
      <c r="P1224" s="36"/>
      <c r="Q1224" s="40"/>
      <c r="R1224" s="40"/>
      <c r="S1224" s="40"/>
      <c r="T1224" s="41"/>
      <c r="U1224" s="41"/>
      <c r="V1224" s="41"/>
      <c r="W1224" s="36"/>
      <c r="X1224" s="36"/>
      <c r="Y1224" s="36"/>
      <c r="Z1224" s="36"/>
      <c r="AA1224" s="36"/>
    </row>
    <row r="1225" spans="16:27" x14ac:dyDescent="0.2">
      <c r="P1225" s="36"/>
      <c r="Q1225" s="40"/>
      <c r="R1225" s="40"/>
      <c r="S1225" s="40"/>
      <c r="T1225" s="41"/>
      <c r="U1225" s="41"/>
      <c r="V1225" s="41"/>
      <c r="W1225" s="36"/>
      <c r="X1225" s="36"/>
      <c r="Y1225" s="36"/>
      <c r="Z1225" s="36"/>
      <c r="AA1225" s="36"/>
    </row>
    <row r="1226" spans="16:27" x14ac:dyDescent="0.2">
      <c r="P1226" s="36"/>
      <c r="Q1226" s="40"/>
      <c r="R1226" s="40"/>
      <c r="S1226" s="40"/>
      <c r="T1226" s="41"/>
      <c r="U1226" s="41"/>
      <c r="V1226" s="41"/>
      <c r="W1226" s="36"/>
      <c r="X1226" s="36"/>
      <c r="Y1226" s="36"/>
      <c r="Z1226" s="36"/>
      <c r="AA1226" s="36"/>
    </row>
    <row r="1227" spans="16:27" x14ac:dyDescent="0.2">
      <c r="P1227" s="36"/>
      <c r="Q1227" s="40"/>
      <c r="R1227" s="40"/>
      <c r="S1227" s="40"/>
      <c r="T1227" s="41"/>
      <c r="U1227" s="41"/>
      <c r="V1227" s="41"/>
      <c r="W1227" s="36"/>
      <c r="X1227" s="36"/>
      <c r="Y1227" s="36"/>
      <c r="Z1227" s="36"/>
      <c r="AA1227" s="36"/>
    </row>
    <row r="1228" spans="16:27" x14ac:dyDescent="0.2">
      <c r="P1228" s="36"/>
      <c r="Q1228" s="40"/>
      <c r="R1228" s="40"/>
      <c r="S1228" s="40"/>
      <c r="T1228" s="41"/>
      <c r="U1228" s="41"/>
      <c r="V1228" s="41"/>
      <c r="W1228" s="36"/>
      <c r="X1228" s="36"/>
      <c r="Y1228" s="36"/>
      <c r="Z1228" s="36"/>
      <c r="AA1228" s="36"/>
    </row>
    <row r="1229" spans="16:27" x14ac:dyDescent="0.2">
      <c r="P1229" s="36"/>
      <c r="Q1229" s="40"/>
      <c r="R1229" s="40"/>
      <c r="S1229" s="40"/>
      <c r="T1229" s="41"/>
      <c r="U1229" s="41"/>
      <c r="V1229" s="41"/>
      <c r="W1229" s="36"/>
      <c r="X1229" s="36"/>
      <c r="Y1229" s="36"/>
      <c r="Z1229" s="36"/>
      <c r="AA1229" s="36"/>
    </row>
    <row r="1230" spans="16:27" x14ac:dyDescent="0.2">
      <c r="P1230" s="36"/>
      <c r="Q1230" s="40"/>
      <c r="R1230" s="40"/>
      <c r="S1230" s="40"/>
      <c r="T1230" s="41"/>
      <c r="U1230" s="41"/>
      <c r="V1230" s="41"/>
      <c r="W1230" s="36"/>
      <c r="X1230" s="36"/>
      <c r="Y1230" s="36"/>
      <c r="Z1230" s="36"/>
      <c r="AA1230" s="36"/>
    </row>
    <row r="1231" spans="16:27" x14ac:dyDescent="0.2">
      <c r="P1231" s="36"/>
      <c r="Q1231" s="40"/>
      <c r="R1231" s="40"/>
      <c r="S1231" s="40"/>
      <c r="T1231" s="41"/>
      <c r="U1231" s="41"/>
      <c r="V1231" s="41"/>
      <c r="W1231" s="36"/>
      <c r="X1231" s="36"/>
      <c r="Y1231" s="36"/>
      <c r="Z1231" s="36"/>
      <c r="AA1231" s="36"/>
    </row>
    <row r="1232" spans="16:27" x14ac:dyDescent="0.2">
      <c r="P1232" s="36"/>
      <c r="Q1232" s="40"/>
      <c r="R1232" s="40"/>
      <c r="S1232" s="40"/>
      <c r="T1232" s="41"/>
      <c r="U1232" s="41"/>
      <c r="V1232" s="41"/>
      <c r="W1232" s="36"/>
      <c r="X1232" s="36"/>
      <c r="Y1232" s="36"/>
      <c r="Z1232" s="36"/>
      <c r="AA1232" s="36"/>
    </row>
    <row r="1233" spans="16:27" x14ac:dyDescent="0.2">
      <c r="P1233" s="36"/>
      <c r="Q1233" s="40"/>
      <c r="R1233" s="40"/>
      <c r="S1233" s="40"/>
      <c r="T1233" s="41"/>
      <c r="U1233" s="41"/>
      <c r="V1233" s="41"/>
      <c r="W1233" s="36"/>
      <c r="X1233" s="36"/>
      <c r="Y1233" s="36"/>
      <c r="Z1233" s="36"/>
      <c r="AA1233" s="36"/>
    </row>
    <row r="1234" spans="16:27" x14ac:dyDescent="0.2">
      <c r="P1234" s="36"/>
      <c r="Q1234" s="40"/>
      <c r="R1234" s="40"/>
      <c r="S1234" s="40"/>
      <c r="T1234" s="41"/>
      <c r="U1234" s="41"/>
      <c r="V1234" s="41"/>
      <c r="W1234" s="36"/>
      <c r="X1234" s="36"/>
      <c r="Y1234" s="36"/>
      <c r="Z1234" s="36"/>
      <c r="AA1234" s="36"/>
    </row>
    <row r="1235" spans="16:27" x14ac:dyDescent="0.2">
      <c r="P1235" s="36"/>
      <c r="Q1235" s="40"/>
      <c r="R1235" s="40"/>
      <c r="S1235" s="40"/>
      <c r="T1235" s="41"/>
      <c r="U1235" s="41"/>
      <c r="V1235" s="41"/>
      <c r="W1235" s="36"/>
      <c r="X1235" s="36"/>
      <c r="Y1235" s="36"/>
      <c r="Z1235" s="36"/>
      <c r="AA1235" s="36"/>
    </row>
    <row r="1236" spans="16:27" x14ac:dyDescent="0.2">
      <c r="P1236" s="36"/>
      <c r="Q1236" s="40"/>
      <c r="R1236" s="40"/>
      <c r="S1236" s="40"/>
      <c r="T1236" s="41"/>
      <c r="U1236" s="41"/>
      <c r="V1236" s="41"/>
      <c r="W1236" s="36"/>
      <c r="X1236" s="36"/>
      <c r="Y1236" s="36"/>
      <c r="Z1236" s="36"/>
      <c r="AA1236" s="36"/>
    </row>
    <row r="1237" spans="16:27" x14ac:dyDescent="0.2">
      <c r="P1237" s="36"/>
      <c r="Q1237" s="40"/>
      <c r="R1237" s="40"/>
      <c r="S1237" s="40"/>
      <c r="T1237" s="41"/>
      <c r="U1237" s="41"/>
      <c r="V1237" s="41"/>
      <c r="W1237" s="36"/>
      <c r="X1237" s="36"/>
      <c r="Y1237" s="36"/>
      <c r="Z1237" s="36"/>
      <c r="AA1237" s="36"/>
    </row>
    <row r="1238" spans="16:27" x14ac:dyDescent="0.2">
      <c r="P1238" s="36"/>
      <c r="Q1238" s="40"/>
      <c r="R1238" s="40"/>
      <c r="S1238" s="40"/>
      <c r="T1238" s="41"/>
      <c r="U1238" s="41"/>
      <c r="V1238" s="41"/>
      <c r="W1238" s="36"/>
      <c r="X1238" s="36"/>
      <c r="Y1238" s="36"/>
      <c r="Z1238" s="36"/>
      <c r="AA1238" s="36"/>
    </row>
    <row r="1239" spans="16:27" x14ac:dyDescent="0.2">
      <c r="P1239" s="36"/>
      <c r="Q1239" s="40"/>
      <c r="R1239" s="40"/>
      <c r="S1239" s="40"/>
      <c r="T1239" s="41"/>
      <c r="U1239" s="41"/>
      <c r="V1239" s="41"/>
      <c r="W1239" s="36"/>
      <c r="X1239" s="36"/>
      <c r="Y1239" s="36"/>
      <c r="Z1239" s="36"/>
      <c r="AA1239" s="36"/>
    </row>
    <row r="1240" spans="16:27" x14ac:dyDescent="0.2">
      <c r="P1240" s="36"/>
      <c r="Q1240" s="40"/>
      <c r="R1240" s="40"/>
      <c r="S1240" s="40"/>
      <c r="T1240" s="41"/>
      <c r="U1240" s="41"/>
      <c r="V1240" s="41"/>
      <c r="W1240" s="36"/>
      <c r="X1240" s="36"/>
      <c r="Y1240" s="36"/>
      <c r="Z1240" s="36"/>
      <c r="AA1240" s="36"/>
    </row>
    <row r="1241" spans="16:27" x14ac:dyDescent="0.2">
      <c r="P1241" s="36"/>
      <c r="Q1241" s="40"/>
      <c r="R1241" s="40"/>
      <c r="S1241" s="40"/>
      <c r="T1241" s="41"/>
      <c r="U1241" s="41"/>
      <c r="V1241" s="41"/>
      <c r="W1241" s="36"/>
      <c r="X1241" s="36"/>
      <c r="Y1241" s="36"/>
      <c r="Z1241" s="36"/>
      <c r="AA1241" s="36"/>
    </row>
    <row r="1242" spans="16:27" x14ac:dyDescent="0.2">
      <c r="P1242" s="36"/>
      <c r="Q1242" s="40"/>
      <c r="R1242" s="40"/>
      <c r="S1242" s="40"/>
      <c r="T1242" s="41"/>
      <c r="U1242" s="41"/>
      <c r="V1242" s="41"/>
      <c r="W1242" s="36"/>
      <c r="X1242" s="36"/>
      <c r="Y1242" s="36"/>
      <c r="Z1242" s="36"/>
      <c r="AA1242" s="36"/>
    </row>
    <row r="1243" spans="16:27" x14ac:dyDescent="0.2">
      <c r="P1243" s="36"/>
      <c r="Q1243" s="40"/>
      <c r="R1243" s="40"/>
      <c r="S1243" s="40"/>
      <c r="T1243" s="41"/>
      <c r="U1243" s="41"/>
      <c r="V1243" s="41"/>
      <c r="W1243" s="36"/>
      <c r="X1243" s="36"/>
      <c r="Y1243" s="36"/>
      <c r="Z1243" s="36"/>
      <c r="AA1243" s="36"/>
    </row>
    <row r="1244" spans="16:27" x14ac:dyDescent="0.2">
      <c r="P1244" s="36"/>
      <c r="Q1244" s="40"/>
      <c r="R1244" s="40"/>
      <c r="S1244" s="40"/>
      <c r="T1244" s="41"/>
      <c r="U1244" s="41"/>
      <c r="V1244" s="41"/>
      <c r="W1244" s="36"/>
      <c r="X1244" s="36"/>
      <c r="Y1244" s="36"/>
      <c r="Z1244" s="36"/>
      <c r="AA1244" s="36"/>
    </row>
    <row r="1245" spans="16:27" x14ac:dyDescent="0.2">
      <c r="P1245" s="36"/>
      <c r="Q1245" s="40"/>
      <c r="R1245" s="40"/>
      <c r="S1245" s="40"/>
      <c r="T1245" s="41"/>
      <c r="U1245" s="41"/>
      <c r="V1245" s="41"/>
      <c r="W1245" s="36"/>
      <c r="X1245" s="36"/>
      <c r="Y1245" s="36"/>
      <c r="Z1245" s="36"/>
      <c r="AA1245" s="36"/>
    </row>
    <row r="1246" spans="16:27" x14ac:dyDescent="0.2">
      <c r="P1246" s="36"/>
      <c r="Q1246" s="40"/>
      <c r="R1246" s="40"/>
      <c r="S1246" s="40"/>
      <c r="T1246" s="41"/>
      <c r="U1246" s="41"/>
      <c r="V1246" s="41"/>
      <c r="W1246" s="36"/>
      <c r="X1246" s="36"/>
      <c r="Y1246" s="36"/>
      <c r="Z1246" s="36"/>
      <c r="AA1246" s="36"/>
    </row>
    <row r="1247" spans="16:27" x14ac:dyDescent="0.2">
      <c r="P1247" s="36"/>
      <c r="Q1247" s="40"/>
      <c r="R1247" s="40"/>
      <c r="S1247" s="40"/>
      <c r="T1247" s="41"/>
      <c r="U1247" s="41"/>
      <c r="V1247" s="41"/>
      <c r="W1247" s="36"/>
      <c r="X1247" s="36"/>
      <c r="Y1247" s="36"/>
      <c r="Z1247" s="36"/>
      <c r="AA1247" s="36"/>
    </row>
    <row r="1248" spans="16:27" x14ac:dyDescent="0.2">
      <c r="P1248" s="36"/>
      <c r="Q1248" s="40"/>
      <c r="R1248" s="40"/>
      <c r="S1248" s="40"/>
      <c r="T1248" s="41"/>
      <c r="U1248" s="41"/>
      <c r="V1248" s="41"/>
      <c r="W1248" s="36"/>
      <c r="X1248" s="36"/>
      <c r="Y1248" s="36"/>
      <c r="Z1248" s="36"/>
      <c r="AA1248" s="36"/>
    </row>
    <row r="1249" spans="16:27" x14ac:dyDescent="0.2">
      <c r="P1249" s="36"/>
      <c r="Q1249" s="40"/>
      <c r="R1249" s="40"/>
      <c r="S1249" s="40"/>
      <c r="T1249" s="41"/>
      <c r="U1249" s="41"/>
      <c r="V1249" s="41"/>
      <c r="W1249" s="36"/>
      <c r="X1249" s="36"/>
      <c r="Y1249" s="36"/>
      <c r="Z1249" s="36"/>
      <c r="AA1249" s="36"/>
    </row>
    <row r="1250" spans="16:27" x14ac:dyDescent="0.2">
      <c r="P1250" s="36"/>
      <c r="Q1250" s="40"/>
      <c r="R1250" s="40"/>
      <c r="S1250" s="40"/>
      <c r="T1250" s="41"/>
      <c r="U1250" s="41"/>
      <c r="V1250" s="41"/>
      <c r="W1250" s="36"/>
      <c r="X1250" s="36"/>
      <c r="Y1250" s="36"/>
      <c r="Z1250" s="36"/>
      <c r="AA1250" s="36"/>
    </row>
    <row r="1251" spans="16:27" x14ac:dyDescent="0.2">
      <c r="P1251" s="36"/>
      <c r="Q1251" s="40"/>
      <c r="R1251" s="40"/>
      <c r="S1251" s="40"/>
      <c r="T1251" s="41"/>
      <c r="U1251" s="41"/>
      <c r="V1251" s="41"/>
      <c r="W1251" s="36"/>
      <c r="X1251" s="36"/>
      <c r="Y1251" s="36"/>
      <c r="Z1251" s="36"/>
      <c r="AA1251" s="36"/>
    </row>
    <row r="1252" spans="16:27" x14ac:dyDescent="0.2">
      <c r="P1252" s="36"/>
      <c r="Q1252" s="40"/>
      <c r="R1252" s="40"/>
      <c r="S1252" s="40"/>
      <c r="T1252" s="41"/>
      <c r="U1252" s="41"/>
      <c r="V1252" s="41"/>
      <c r="W1252" s="36"/>
      <c r="X1252" s="36"/>
      <c r="Y1252" s="36"/>
      <c r="Z1252" s="36"/>
      <c r="AA1252" s="36"/>
    </row>
    <row r="1253" spans="16:27" x14ac:dyDescent="0.2">
      <c r="P1253" s="36"/>
      <c r="Q1253" s="40"/>
      <c r="R1253" s="40"/>
      <c r="S1253" s="40"/>
      <c r="T1253" s="41"/>
      <c r="U1253" s="41"/>
      <c r="V1253" s="41"/>
      <c r="W1253" s="36"/>
      <c r="X1253" s="36"/>
      <c r="Y1253" s="36"/>
      <c r="Z1253" s="36"/>
      <c r="AA1253" s="36"/>
    </row>
    <row r="1254" spans="16:27" x14ac:dyDescent="0.2">
      <c r="P1254" s="36"/>
      <c r="Q1254" s="40"/>
      <c r="R1254" s="40"/>
      <c r="S1254" s="40"/>
      <c r="T1254" s="41"/>
      <c r="U1254" s="41"/>
      <c r="V1254" s="41"/>
      <c r="W1254" s="36"/>
      <c r="X1254" s="36"/>
      <c r="Y1254" s="36"/>
      <c r="Z1254" s="36"/>
      <c r="AA1254" s="36"/>
    </row>
    <row r="1255" spans="16:27" x14ac:dyDescent="0.2">
      <c r="P1255" s="36"/>
      <c r="Q1255" s="40"/>
      <c r="R1255" s="40"/>
      <c r="S1255" s="40"/>
      <c r="T1255" s="41"/>
      <c r="U1255" s="41"/>
      <c r="V1255" s="41"/>
      <c r="W1255" s="36"/>
      <c r="X1255" s="36"/>
      <c r="Y1255" s="36"/>
      <c r="Z1255" s="36"/>
      <c r="AA1255" s="36"/>
    </row>
    <row r="1256" spans="16:27" x14ac:dyDescent="0.2">
      <c r="P1256" s="36"/>
      <c r="Q1256" s="40"/>
      <c r="R1256" s="40"/>
      <c r="S1256" s="40"/>
      <c r="T1256" s="41"/>
      <c r="U1256" s="41"/>
      <c r="V1256" s="41"/>
      <c r="W1256" s="36"/>
      <c r="X1256" s="36"/>
      <c r="Y1256" s="36"/>
      <c r="Z1256" s="36"/>
      <c r="AA1256" s="36"/>
    </row>
    <row r="1257" spans="16:27" x14ac:dyDescent="0.2">
      <c r="P1257" s="36"/>
      <c r="Q1257" s="40"/>
      <c r="R1257" s="40"/>
      <c r="S1257" s="40"/>
      <c r="T1257" s="41"/>
      <c r="U1257" s="41"/>
      <c r="V1257" s="41"/>
      <c r="W1257" s="36"/>
      <c r="X1257" s="36"/>
      <c r="Y1257" s="36"/>
      <c r="Z1257" s="36"/>
      <c r="AA1257" s="36"/>
    </row>
    <row r="1258" spans="16:27" x14ac:dyDescent="0.2">
      <c r="P1258" s="36"/>
      <c r="Q1258" s="40"/>
      <c r="R1258" s="40"/>
      <c r="S1258" s="40"/>
      <c r="T1258" s="41"/>
      <c r="U1258" s="41"/>
      <c r="V1258" s="41"/>
      <c r="W1258" s="36"/>
      <c r="X1258" s="36"/>
      <c r="Y1258" s="36"/>
      <c r="Z1258" s="36"/>
      <c r="AA1258" s="36"/>
    </row>
    <row r="1259" spans="16:27" x14ac:dyDescent="0.2">
      <c r="P1259" s="36"/>
      <c r="Q1259" s="40"/>
      <c r="R1259" s="40"/>
      <c r="S1259" s="40"/>
      <c r="T1259" s="41"/>
      <c r="U1259" s="41"/>
      <c r="V1259" s="41"/>
      <c r="W1259" s="36"/>
      <c r="X1259" s="36"/>
      <c r="Y1259" s="36"/>
      <c r="Z1259" s="36"/>
      <c r="AA1259" s="36"/>
    </row>
    <row r="1260" spans="16:27" x14ac:dyDescent="0.2">
      <c r="P1260" s="36"/>
      <c r="Q1260" s="40"/>
      <c r="R1260" s="40"/>
      <c r="S1260" s="40"/>
      <c r="T1260" s="41"/>
      <c r="U1260" s="41"/>
      <c r="V1260" s="41"/>
      <c r="W1260" s="36"/>
      <c r="X1260" s="36"/>
      <c r="Y1260" s="36"/>
      <c r="Z1260" s="36"/>
      <c r="AA1260" s="36"/>
    </row>
    <row r="1261" spans="16:27" x14ac:dyDescent="0.2">
      <c r="P1261" s="36"/>
      <c r="Q1261" s="40"/>
      <c r="R1261" s="40"/>
      <c r="S1261" s="40"/>
      <c r="T1261" s="41"/>
      <c r="U1261" s="41"/>
      <c r="V1261" s="41"/>
      <c r="W1261" s="36"/>
      <c r="X1261" s="36"/>
      <c r="Y1261" s="36"/>
      <c r="Z1261" s="36"/>
      <c r="AA1261" s="36"/>
    </row>
    <row r="1262" spans="16:27" x14ac:dyDescent="0.2">
      <c r="P1262" s="36"/>
      <c r="Q1262" s="40"/>
      <c r="R1262" s="40"/>
      <c r="S1262" s="40"/>
      <c r="T1262" s="41"/>
      <c r="U1262" s="41"/>
      <c r="V1262" s="41"/>
      <c r="W1262" s="36"/>
      <c r="X1262" s="36"/>
      <c r="Y1262" s="36"/>
      <c r="Z1262" s="36"/>
      <c r="AA1262" s="36"/>
    </row>
    <row r="1263" spans="16:27" x14ac:dyDescent="0.2">
      <c r="P1263" s="36"/>
      <c r="Q1263" s="40"/>
      <c r="R1263" s="40"/>
      <c r="S1263" s="40"/>
      <c r="T1263" s="41"/>
      <c r="U1263" s="41"/>
      <c r="V1263" s="41"/>
      <c r="W1263" s="36"/>
      <c r="X1263" s="36"/>
      <c r="Y1263" s="36"/>
      <c r="Z1263" s="36"/>
      <c r="AA1263" s="36"/>
    </row>
    <row r="1264" spans="16:27" x14ac:dyDescent="0.2">
      <c r="P1264" s="36"/>
      <c r="Q1264" s="40"/>
      <c r="R1264" s="40"/>
      <c r="S1264" s="40"/>
      <c r="T1264" s="41"/>
      <c r="U1264" s="41"/>
      <c r="V1264" s="41"/>
      <c r="W1264" s="36"/>
      <c r="X1264" s="36"/>
      <c r="Y1264" s="36"/>
      <c r="Z1264" s="36"/>
      <c r="AA1264" s="36"/>
    </row>
    <row r="1265" spans="16:27" x14ac:dyDescent="0.2">
      <c r="P1265" s="36"/>
      <c r="Q1265" s="40"/>
      <c r="R1265" s="40"/>
      <c r="S1265" s="40"/>
      <c r="T1265" s="41"/>
      <c r="U1265" s="41"/>
      <c r="V1265" s="41"/>
      <c r="W1265" s="36"/>
      <c r="X1265" s="36"/>
      <c r="Y1265" s="36"/>
      <c r="Z1265" s="36"/>
      <c r="AA1265" s="36"/>
    </row>
    <row r="1266" spans="16:27" x14ac:dyDescent="0.2">
      <c r="P1266" s="36"/>
      <c r="Q1266" s="40"/>
      <c r="R1266" s="40"/>
      <c r="S1266" s="40"/>
      <c r="T1266" s="41"/>
      <c r="U1266" s="41"/>
      <c r="V1266" s="41"/>
      <c r="W1266" s="36"/>
      <c r="X1266" s="36"/>
      <c r="Y1266" s="36"/>
      <c r="Z1266" s="36"/>
      <c r="AA1266" s="36"/>
    </row>
    <row r="1267" spans="16:27" x14ac:dyDescent="0.2">
      <c r="P1267" s="36"/>
      <c r="Q1267" s="40"/>
      <c r="R1267" s="40"/>
      <c r="S1267" s="40"/>
      <c r="T1267" s="41"/>
      <c r="U1267" s="41"/>
      <c r="V1267" s="41"/>
      <c r="W1267" s="36"/>
      <c r="X1267" s="36"/>
      <c r="Y1267" s="36"/>
      <c r="Z1267" s="36"/>
      <c r="AA1267" s="36"/>
    </row>
    <row r="1268" spans="16:27" x14ac:dyDescent="0.2">
      <c r="P1268" s="36"/>
      <c r="Q1268" s="40"/>
      <c r="R1268" s="40"/>
      <c r="S1268" s="40"/>
      <c r="T1268" s="41"/>
      <c r="U1268" s="41"/>
      <c r="V1268" s="41"/>
      <c r="W1268" s="36"/>
      <c r="X1268" s="36"/>
      <c r="Y1268" s="36"/>
      <c r="Z1268" s="36"/>
      <c r="AA1268" s="36"/>
    </row>
    <row r="1269" spans="16:27" x14ac:dyDescent="0.2">
      <c r="P1269" s="36"/>
      <c r="Q1269" s="40"/>
      <c r="R1269" s="40"/>
      <c r="S1269" s="40"/>
      <c r="T1269" s="41"/>
      <c r="U1269" s="41"/>
      <c r="V1269" s="41"/>
      <c r="W1269" s="36"/>
      <c r="X1269" s="36"/>
      <c r="Y1269" s="36"/>
      <c r="Z1269" s="36"/>
      <c r="AA1269" s="36"/>
    </row>
    <row r="1270" spans="16:27" x14ac:dyDescent="0.2">
      <c r="P1270" s="36"/>
      <c r="Q1270" s="40"/>
      <c r="R1270" s="40"/>
      <c r="S1270" s="40"/>
      <c r="T1270" s="41"/>
      <c r="U1270" s="41"/>
      <c r="V1270" s="41"/>
      <c r="W1270" s="36"/>
      <c r="X1270" s="36"/>
      <c r="Y1270" s="36"/>
      <c r="Z1270" s="36"/>
      <c r="AA1270" s="36"/>
    </row>
    <row r="1271" spans="16:27" x14ac:dyDescent="0.2">
      <c r="P1271" s="36"/>
      <c r="Q1271" s="40"/>
      <c r="R1271" s="40"/>
      <c r="S1271" s="40"/>
      <c r="T1271" s="41"/>
      <c r="U1271" s="41"/>
      <c r="V1271" s="41"/>
      <c r="W1271" s="36"/>
      <c r="X1271" s="36"/>
      <c r="Y1271" s="36"/>
      <c r="Z1271" s="36"/>
      <c r="AA1271" s="36"/>
    </row>
    <row r="1272" spans="16:27" x14ac:dyDescent="0.2">
      <c r="P1272" s="36"/>
      <c r="Q1272" s="40"/>
      <c r="R1272" s="40"/>
      <c r="S1272" s="40"/>
      <c r="T1272" s="41"/>
      <c r="U1272" s="41"/>
      <c r="V1272" s="41"/>
      <c r="W1272" s="36"/>
      <c r="X1272" s="36"/>
      <c r="Y1272" s="36"/>
      <c r="Z1272" s="36"/>
      <c r="AA1272" s="36"/>
    </row>
    <row r="1273" spans="16:27" x14ac:dyDescent="0.2">
      <c r="P1273" s="36"/>
      <c r="Q1273" s="40"/>
      <c r="R1273" s="40"/>
      <c r="S1273" s="40"/>
      <c r="T1273" s="41"/>
      <c r="U1273" s="41"/>
      <c r="V1273" s="41"/>
      <c r="W1273" s="36"/>
      <c r="X1273" s="36"/>
      <c r="Y1273" s="36"/>
      <c r="Z1273" s="36"/>
      <c r="AA1273" s="36"/>
    </row>
    <row r="1274" spans="16:27" x14ac:dyDescent="0.2">
      <c r="P1274" s="36"/>
      <c r="Q1274" s="40"/>
      <c r="R1274" s="40"/>
      <c r="S1274" s="40"/>
      <c r="T1274" s="41"/>
      <c r="U1274" s="41"/>
      <c r="V1274" s="41"/>
      <c r="W1274" s="36"/>
      <c r="X1274" s="36"/>
      <c r="Y1274" s="36"/>
      <c r="Z1274" s="36"/>
      <c r="AA1274" s="36"/>
    </row>
    <row r="1275" spans="16:27" x14ac:dyDescent="0.2">
      <c r="P1275" s="36"/>
      <c r="Q1275" s="40"/>
      <c r="R1275" s="40"/>
      <c r="S1275" s="40"/>
      <c r="T1275" s="41"/>
      <c r="U1275" s="41"/>
      <c r="V1275" s="41"/>
      <c r="W1275" s="36"/>
      <c r="X1275" s="36"/>
      <c r="Y1275" s="36"/>
      <c r="Z1275" s="36"/>
      <c r="AA1275" s="36"/>
    </row>
    <row r="1276" spans="16:27" x14ac:dyDescent="0.2">
      <c r="P1276" s="36"/>
      <c r="Q1276" s="40"/>
      <c r="R1276" s="40"/>
      <c r="S1276" s="40"/>
      <c r="T1276" s="41"/>
      <c r="U1276" s="41"/>
      <c r="V1276" s="41"/>
      <c r="W1276" s="36"/>
      <c r="X1276" s="36"/>
      <c r="Y1276" s="36"/>
      <c r="Z1276" s="36"/>
      <c r="AA1276" s="36"/>
    </row>
    <row r="1277" spans="16:27" x14ac:dyDescent="0.2">
      <c r="P1277" s="36"/>
      <c r="Q1277" s="40"/>
      <c r="R1277" s="40"/>
      <c r="S1277" s="40"/>
      <c r="T1277" s="41"/>
      <c r="U1277" s="41"/>
      <c r="V1277" s="41"/>
      <c r="W1277" s="36"/>
      <c r="X1277" s="36"/>
      <c r="Y1277" s="36"/>
      <c r="Z1277" s="36"/>
      <c r="AA1277" s="36"/>
    </row>
    <row r="1278" spans="16:27" x14ac:dyDescent="0.2">
      <c r="P1278" s="36"/>
      <c r="Q1278" s="40"/>
      <c r="R1278" s="40"/>
      <c r="S1278" s="40"/>
      <c r="T1278" s="41"/>
      <c r="U1278" s="41"/>
      <c r="V1278" s="41"/>
      <c r="W1278" s="36"/>
      <c r="X1278" s="36"/>
      <c r="Y1278" s="36"/>
      <c r="Z1278" s="36"/>
      <c r="AA1278" s="36"/>
    </row>
    <row r="1279" spans="16:27" x14ac:dyDescent="0.2">
      <c r="P1279" s="36"/>
      <c r="Q1279" s="40"/>
      <c r="R1279" s="40"/>
      <c r="S1279" s="40"/>
      <c r="T1279" s="41"/>
      <c r="U1279" s="41"/>
      <c r="V1279" s="41"/>
      <c r="W1279" s="36"/>
      <c r="X1279" s="36"/>
      <c r="Y1279" s="36"/>
      <c r="Z1279" s="36"/>
      <c r="AA1279" s="36"/>
    </row>
    <row r="1280" spans="16:27" x14ac:dyDescent="0.2">
      <c r="P1280" s="36"/>
      <c r="Q1280" s="40"/>
      <c r="R1280" s="40"/>
      <c r="S1280" s="40"/>
      <c r="T1280" s="41"/>
      <c r="U1280" s="41"/>
      <c r="V1280" s="41"/>
      <c r="W1280" s="36"/>
      <c r="X1280" s="36"/>
      <c r="Y1280" s="36"/>
      <c r="Z1280" s="36"/>
      <c r="AA1280" s="36"/>
    </row>
    <row r="1281" spans="16:27" x14ac:dyDescent="0.2">
      <c r="P1281" s="36"/>
      <c r="Q1281" s="40"/>
      <c r="R1281" s="40"/>
      <c r="S1281" s="40"/>
      <c r="T1281" s="41"/>
      <c r="U1281" s="41"/>
      <c r="V1281" s="41"/>
      <c r="W1281" s="36"/>
      <c r="X1281" s="36"/>
      <c r="Y1281" s="36"/>
      <c r="Z1281" s="36"/>
      <c r="AA1281" s="36"/>
    </row>
    <row r="1282" spans="16:27" x14ac:dyDescent="0.2">
      <c r="P1282" s="36"/>
      <c r="Q1282" s="40"/>
      <c r="R1282" s="40"/>
      <c r="S1282" s="40"/>
      <c r="T1282" s="41"/>
      <c r="U1282" s="41"/>
      <c r="V1282" s="41"/>
      <c r="W1282" s="36"/>
      <c r="X1282" s="36"/>
      <c r="Y1282" s="36"/>
      <c r="Z1282" s="36"/>
      <c r="AA1282" s="36"/>
    </row>
    <row r="1283" spans="16:27" x14ac:dyDescent="0.2">
      <c r="P1283" s="36"/>
      <c r="Q1283" s="40"/>
      <c r="R1283" s="40"/>
      <c r="S1283" s="40"/>
      <c r="T1283" s="41"/>
      <c r="U1283" s="41"/>
      <c r="V1283" s="41"/>
      <c r="W1283" s="36"/>
      <c r="X1283" s="36"/>
      <c r="Y1283" s="36"/>
      <c r="Z1283" s="36"/>
      <c r="AA1283" s="36"/>
    </row>
    <row r="1284" spans="16:27" x14ac:dyDescent="0.2">
      <c r="P1284" s="36"/>
      <c r="Q1284" s="40"/>
      <c r="R1284" s="40"/>
      <c r="S1284" s="40"/>
      <c r="T1284" s="41"/>
      <c r="U1284" s="41"/>
      <c r="V1284" s="41"/>
      <c r="W1284" s="36"/>
      <c r="X1284" s="36"/>
      <c r="Y1284" s="36"/>
      <c r="Z1284" s="36"/>
      <c r="AA1284" s="36"/>
    </row>
    <row r="1285" spans="16:27" x14ac:dyDescent="0.2">
      <c r="P1285" s="36"/>
      <c r="Q1285" s="40"/>
      <c r="R1285" s="40"/>
      <c r="S1285" s="40"/>
      <c r="T1285" s="41"/>
      <c r="U1285" s="41"/>
      <c r="V1285" s="41"/>
      <c r="W1285" s="36"/>
      <c r="X1285" s="36"/>
      <c r="Y1285" s="36"/>
      <c r="Z1285" s="36"/>
      <c r="AA1285" s="36"/>
    </row>
    <row r="1286" spans="16:27" x14ac:dyDescent="0.2">
      <c r="P1286" s="36"/>
      <c r="Q1286" s="40"/>
      <c r="R1286" s="40"/>
      <c r="S1286" s="40"/>
      <c r="T1286" s="41"/>
      <c r="U1286" s="41"/>
      <c r="V1286" s="41"/>
      <c r="W1286" s="36"/>
      <c r="X1286" s="36"/>
      <c r="Y1286" s="36"/>
      <c r="Z1286" s="36"/>
      <c r="AA1286" s="36"/>
    </row>
    <row r="1287" spans="16:27" x14ac:dyDescent="0.2">
      <c r="P1287" s="36"/>
      <c r="Q1287" s="40"/>
      <c r="R1287" s="40"/>
      <c r="S1287" s="40"/>
      <c r="T1287" s="41"/>
      <c r="U1287" s="41"/>
      <c r="V1287" s="41"/>
      <c r="W1287" s="36"/>
      <c r="X1287" s="36"/>
      <c r="Y1287" s="36"/>
      <c r="Z1287" s="36"/>
      <c r="AA1287" s="36"/>
    </row>
    <row r="1288" spans="16:27" x14ac:dyDescent="0.2">
      <c r="P1288" s="36"/>
      <c r="Q1288" s="40"/>
      <c r="R1288" s="40"/>
      <c r="S1288" s="40"/>
      <c r="T1288" s="41"/>
      <c r="U1288" s="41"/>
      <c r="V1288" s="41"/>
      <c r="W1288" s="36"/>
      <c r="X1288" s="36"/>
      <c r="Y1288" s="36"/>
      <c r="Z1288" s="36"/>
      <c r="AA1288" s="36"/>
    </row>
    <row r="1289" spans="16:27" x14ac:dyDescent="0.2">
      <c r="P1289" s="36"/>
      <c r="Q1289" s="40"/>
      <c r="R1289" s="40"/>
      <c r="S1289" s="40"/>
      <c r="T1289" s="41"/>
      <c r="U1289" s="41"/>
      <c r="V1289" s="41"/>
      <c r="W1289" s="36"/>
      <c r="X1289" s="36"/>
      <c r="Y1289" s="36"/>
      <c r="Z1289" s="36"/>
      <c r="AA1289" s="36"/>
    </row>
    <row r="1290" spans="16:27" x14ac:dyDescent="0.2">
      <c r="P1290" s="36"/>
      <c r="Q1290" s="40"/>
      <c r="R1290" s="40"/>
      <c r="S1290" s="40"/>
      <c r="T1290" s="41"/>
      <c r="U1290" s="41"/>
      <c r="V1290" s="41"/>
      <c r="W1290" s="36"/>
      <c r="X1290" s="36"/>
      <c r="Y1290" s="36"/>
      <c r="Z1290" s="36"/>
      <c r="AA1290" s="36"/>
    </row>
    <row r="1291" spans="16:27" x14ac:dyDescent="0.2">
      <c r="P1291" s="36"/>
      <c r="Q1291" s="40"/>
      <c r="R1291" s="40"/>
      <c r="S1291" s="40"/>
      <c r="T1291" s="41"/>
      <c r="U1291" s="41"/>
      <c r="V1291" s="41"/>
      <c r="W1291" s="36"/>
      <c r="X1291" s="36"/>
      <c r="Y1291" s="36"/>
      <c r="Z1291" s="36"/>
      <c r="AA1291" s="36"/>
    </row>
    <row r="1292" spans="16:27" x14ac:dyDescent="0.2">
      <c r="P1292" s="36"/>
      <c r="Q1292" s="40"/>
      <c r="R1292" s="40"/>
      <c r="S1292" s="40"/>
      <c r="T1292" s="41"/>
      <c r="U1292" s="41"/>
      <c r="V1292" s="41"/>
      <c r="W1292" s="36"/>
      <c r="X1292" s="36"/>
      <c r="Y1292" s="36"/>
      <c r="Z1292" s="36"/>
      <c r="AA1292" s="36"/>
    </row>
    <row r="1293" spans="16:27" x14ac:dyDescent="0.2">
      <c r="P1293" s="36"/>
      <c r="Q1293" s="40"/>
      <c r="R1293" s="40"/>
      <c r="S1293" s="40"/>
      <c r="T1293" s="41"/>
      <c r="U1293" s="41"/>
      <c r="V1293" s="41"/>
      <c r="W1293" s="36"/>
      <c r="X1293" s="36"/>
      <c r="Y1293" s="36"/>
      <c r="Z1293" s="36"/>
      <c r="AA1293" s="36"/>
    </row>
    <row r="1294" spans="16:27" x14ac:dyDescent="0.2">
      <c r="P1294" s="36"/>
      <c r="Q1294" s="40"/>
      <c r="R1294" s="40"/>
      <c r="S1294" s="40"/>
      <c r="T1294" s="41"/>
      <c r="U1294" s="41"/>
      <c r="V1294" s="41"/>
      <c r="W1294" s="36"/>
      <c r="X1294" s="36"/>
      <c r="Y1294" s="36"/>
      <c r="Z1294" s="36"/>
      <c r="AA1294" s="36"/>
    </row>
    <row r="1295" spans="16:27" x14ac:dyDescent="0.2">
      <c r="P1295" s="36"/>
      <c r="Q1295" s="40"/>
      <c r="R1295" s="40"/>
      <c r="S1295" s="40"/>
      <c r="T1295" s="41"/>
      <c r="U1295" s="41"/>
      <c r="V1295" s="41"/>
      <c r="W1295" s="36"/>
      <c r="X1295" s="36"/>
      <c r="Y1295" s="36"/>
      <c r="Z1295" s="36"/>
      <c r="AA1295" s="36"/>
    </row>
    <row r="1296" spans="16:27" x14ac:dyDescent="0.2">
      <c r="P1296" s="36"/>
      <c r="Q1296" s="40"/>
      <c r="R1296" s="40"/>
      <c r="S1296" s="40"/>
      <c r="T1296" s="41"/>
      <c r="U1296" s="41"/>
      <c r="V1296" s="41"/>
      <c r="W1296" s="36"/>
      <c r="X1296" s="36"/>
      <c r="Y1296" s="36"/>
      <c r="Z1296" s="36"/>
      <c r="AA1296" s="36"/>
    </row>
    <row r="1297" spans="16:27" x14ac:dyDescent="0.2">
      <c r="P1297" s="36"/>
      <c r="Q1297" s="40"/>
      <c r="R1297" s="40"/>
      <c r="S1297" s="40"/>
      <c r="T1297" s="41"/>
      <c r="U1297" s="41"/>
      <c r="V1297" s="41"/>
      <c r="W1297" s="36"/>
      <c r="X1297" s="36"/>
      <c r="Y1297" s="36"/>
      <c r="Z1297" s="36"/>
      <c r="AA1297" s="36"/>
    </row>
    <row r="1298" spans="16:27" x14ac:dyDescent="0.2">
      <c r="P1298" s="36"/>
      <c r="Q1298" s="40"/>
      <c r="R1298" s="40"/>
      <c r="S1298" s="40"/>
      <c r="T1298" s="41"/>
      <c r="U1298" s="41"/>
      <c r="V1298" s="41"/>
      <c r="W1298" s="36"/>
      <c r="X1298" s="36"/>
      <c r="Y1298" s="36"/>
      <c r="Z1298" s="36"/>
      <c r="AA1298" s="36"/>
    </row>
    <row r="1299" spans="16:27" x14ac:dyDescent="0.2">
      <c r="P1299" s="36"/>
      <c r="Q1299" s="40"/>
      <c r="R1299" s="40"/>
      <c r="S1299" s="40"/>
      <c r="T1299" s="41"/>
      <c r="U1299" s="41"/>
      <c r="V1299" s="41"/>
      <c r="W1299" s="36"/>
      <c r="X1299" s="36"/>
      <c r="Y1299" s="36"/>
      <c r="Z1299" s="36"/>
      <c r="AA1299" s="36"/>
    </row>
    <row r="1300" spans="16:27" x14ac:dyDescent="0.2">
      <c r="P1300" s="36"/>
      <c r="Q1300" s="40"/>
      <c r="R1300" s="40"/>
      <c r="S1300" s="40"/>
      <c r="T1300" s="41"/>
      <c r="U1300" s="41"/>
      <c r="V1300" s="41"/>
      <c r="W1300" s="36"/>
      <c r="X1300" s="36"/>
      <c r="Y1300" s="36"/>
      <c r="Z1300" s="36"/>
      <c r="AA1300" s="36"/>
    </row>
    <row r="1301" spans="16:27" x14ac:dyDescent="0.2">
      <c r="P1301" s="36"/>
      <c r="Q1301" s="40"/>
      <c r="R1301" s="40"/>
      <c r="S1301" s="40"/>
      <c r="T1301" s="41"/>
      <c r="U1301" s="41"/>
      <c r="V1301" s="41"/>
      <c r="W1301" s="36"/>
      <c r="X1301" s="36"/>
      <c r="Y1301" s="36"/>
      <c r="Z1301" s="36"/>
      <c r="AA1301" s="36"/>
    </row>
    <row r="1302" spans="16:27" x14ac:dyDescent="0.2">
      <c r="P1302" s="36"/>
      <c r="Q1302" s="40"/>
      <c r="R1302" s="40"/>
      <c r="S1302" s="40"/>
      <c r="T1302" s="41"/>
      <c r="U1302" s="41"/>
      <c r="V1302" s="41"/>
      <c r="W1302" s="36"/>
      <c r="X1302" s="36"/>
      <c r="Y1302" s="36"/>
      <c r="Z1302" s="36"/>
      <c r="AA1302" s="36"/>
    </row>
    <row r="1303" spans="16:27" x14ac:dyDescent="0.2">
      <c r="P1303" s="36"/>
      <c r="Q1303" s="40"/>
      <c r="R1303" s="40"/>
      <c r="S1303" s="40"/>
      <c r="T1303" s="41"/>
      <c r="U1303" s="41"/>
      <c r="V1303" s="41"/>
      <c r="W1303" s="36"/>
      <c r="X1303" s="36"/>
      <c r="Y1303" s="36"/>
      <c r="Z1303" s="36"/>
      <c r="AA1303" s="36"/>
    </row>
    <row r="1304" spans="16:27" x14ac:dyDescent="0.2">
      <c r="P1304" s="36"/>
      <c r="Q1304" s="40"/>
      <c r="R1304" s="40"/>
      <c r="S1304" s="40"/>
      <c r="T1304" s="41"/>
      <c r="U1304" s="41"/>
      <c r="V1304" s="41"/>
      <c r="W1304" s="36"/>
      <c r="X1304" s="36"/>
      <c r="Y1304" s="36"/>
      <c r="Z1304" s="36"/>
      <c r="AA1304" s="36"/>
    </row>
    <row r="1305" spans="16:27" x14ac:dyDescent="0.2">
      <c r="P1305" s="36"/>
      <c r="Q1305" s="40"/>
      <c r="R1305" s="40"/>
      <c r="S1305" s="40"/>
      <c r="T1305" s="41"/>
      <c r="U1305" s="41"/>
      <c r="V1305" s="41"/>
      <c r="W1305" s="36"/>
      <c r="X1305" s="36"/>
      <c r="Y1305" s="36"/>
      <c r="Z1305" s="36"/>
      <c r="AA1305" s="36"/>
    </row>
    <row r="1306" spans="16:27" x14ac:dyDescent="0.2">
      <c r="P1306" s="36"/>
      <c r="Q1306" s="40"/>
      <c r="R1306" s="40"/>
      <c r="S1306" s="40"/>
      <c r="T1306" s="41"/>
      <c r="U1306" s="41"/>
      <c r="V1306" s="41"/>
      <c r="W1306" s="36"/>
      <c r="X1306" s="36"/>
      <c r="Y1306" s="36"/>
      <c r="Z1306" s="36"/>
      <c r="AA1306" s="36"/>
    </row>
    <row r="1307" spans="16:27" x14ac:dyDescent="0.2">
      <c r="P1307" s="36"/>
      <c r="Q1307" s="40"/>
      <c r="R1307" s="40"/>
      <c r="S1307" s="40"/>
      <c r="T1307" s="41"/>
      <c r="U1307" s="41"/>
      <c r="V1307" s="41"/>
      <c r="W1307" s="36"/>
      <c r="X1307" s="36"/>
      <c r="Y1307" s="36"/>
      <c r="Z1307" s="36"/>
      <c r="AA1307" s="36"/>
    </row>
    <row r="1308" spans="16:27" x14ac:dyDescent="0.2">
      <c r="P1308" s="36"/>
      <c r="Q1308" s="40"/>
      <c r="R1308" s="40"/>
      <c r="S1308" s="40"/>
      <c r="T1308" s="41"/>
      <c r="U1308" s="41"/>
      <c r="V1308" s="41"/>
      <c r="W1308" s="36"/>
      <c r="X1308" s="36"/>
      <c r="Y1308" s="36"/>
      <c r="Z1308" s="36"/>
      <c r="AA1308" s="36"/>
    </row>
    <row r="1309" spans="16:27" x14ac:dyDescent="0.2">
      <c r="P1309" s="36"/>
      <c r="Q1309" s="40"/>
      <c r="R1309" s="40"/>
      <c r="S1309" s="40"/>
      <c r="T1309" s="41"/>
      <c r="U1309" s="41"/>
      <c r="V1309" s="41"/>
      <c r="W1309" s="36"/>
      <c r="X1309" s="36"/>
      <c r="Y1309" s="36"/>
      <c r="Z1309" s="36"/>
      <c r="AA1309" s="36"/>
    </row>
    <row r="1310" spans="16:27" x14ac:dyDescent="0.2">
      <c r="P1310" s="36"/>
      <c r="Q1310" s="40"/>
      <c r="R1310" s="40"/>
      <c r="S1310" s="40"/>
      <c r="T1310" s="41"/>
      <c r="U1310" s="41"/>
      <c r="V1310" s="41"/>
      <c r="W1310" s="36"/>
      <c r="X1310" s="36"/>
      <c r="Y1310" s="36"/>
      <c r="Z1310" s="36"/>
      <c r="AA1310" s="36"/>
    </row>
    <row r="1311" spans="16:27" x14ac:dyDescent="0.2">
      <c r="P1311" s="36"/>
      <c r="Q1311" s="40"/>
      <c r="R1311" s="40"/>
      <c r="S1311" s="40"/>
      <c r="T1311" s="41"/>
      <c r="U1311" s="41"/>
      <c r="V1311" s="36"/>
      <c r="W1311" s="36"/>
      <c r="X1311" s="36"/>
      <c r="Y1311" s="36"/>
      <c r="Z1311" s="36"/>
      <c r="AA1311" s="36"/>
    </row>
    <row r="1312" spans="16:27" x14ac:dyDescent="0.2">
      <c r="P1312" s="36"/>
      <c r="Q1312" s="40"/>
      <c r="R1312" s="40"/>
      <c r="S1312" s="40"/>
      <c r="T1312" s="41"/>
      <c r="U1312" s="41"/>
      <c r="V1312" s="36"/>
      <c r="W1312" s="36"/>
      <c r="X1312" s="36"/>
      <c r="Y1312" s="36"/>
      <c r="Z1312" s="36"/>
      <c r="AA1312" s="36"/>
    </row>
    <row r="1313" spans="16:27" x14ac:dyDescent="0.2">
      <c r="P1313" s="36"/>
      <c r="Q1313" s="40"/>
      <c r="R1313" s="40"/>
      <c r="S1313" s="40"/>
      <c r="T1313" s="41"/>
      <c r="U1313" s="41"/>
      <c r="V1313" s="36"/>
      <c r="W1313" s="36"/>
      <c r="X1313" s="36"/>
      <c r="Y1313" s="36"/>
      <c r="Z1313" s="36"/>
      <c r="AA1313" s="36"/>
    </row>
    <row r="1314" spans="16:27" x14ac:dyDescent="0.2">
      <c r="P1314" s="36"/>
      <c r="Q1314" s="40"/>
      <c r="R1314" s="40"/>
      <c r="S1314" s="40"/>
      <c r="T1314" s="41"/>
      <c r="U1314" s="41"/>
      <c r="V1314" s="36"/>
      <c r="W1314" s="36"/>
      <c r="X1314" s="36"/>
      <c r="Y1314" s="36"/>
      <c r="Z1314" s="36"/>
      <c r="AA1314" s="36"/>
    </row>
    <row r="1315" spans="16:27" x14ac:dyDescent="0.2">
      <c r="P1315" s="36"/>
      <c r="Q1315" s="40"/>
      <c r="R1315" s="40"/>
      <c r="S1315" s="40"/>
      <c r="T1315" s="41"/>
      <c r="U1315" s="41"/>
      <c r="V1315" s="36"/>
      <c r="W1315" s="36"/>
      <c r="X1315" s="36"/>
      <c r="Y1315" s="36"/>
      <c r="Z1315" s="36"/>
      <c r="AA1315" s="36"/>
    </row>
    <row r="1316" spans="16:27" x14ac:dyDescent="0.2">
      <c r="P1316" s="36"/>
      <c r="Q1316" s="40"/>
      <c r="R1316" s="40"/>
      <c r="S1316" s="40"/>
      <c r="T1316" s="41"/>
      <c r="U1316" s="41"/>
      <c r="V1316" s="36"/>
      <c r="W1316" s="36"/>
      <c r="X1316" s="36"/>
      <c r="Y1316" s="36"/>
      <c r="Z1316" s="36"/>
      <c r="AA1316" s="36"/>
    </row>
    <row r="1317" spans="16:27" x14ac:dyDescent="0.2">
      <c r="P1317" s="36"/>
      <c r="Q1317" s="40"/>
      <c r="R1317" s="40"/>
      <c r="S1317" s="40"/>
      <c r="T1317" s="41"/>
      <c r="U1317" s="41"/>
      <c r="V1317" s="36"/>
      <c r="W1317" s="36"/>
      <c r="X1317" s="36"/>
      <c r="Y1317" s="36"/>
      <c r="Z1317" s="36"/>
      <c r="AA1317" s="36"/>
    </row>
    <row r="1318" spans="16:27" x14ac:dyDescent="0.2">
      <c r="P1318" s="36"/>
      <c r="Q1318" s="40"/>
      <c r="R1318" s="40"/>
      <c r="S1318" s="40"/>
      <c r="T1318" s="41"/>
      <c r="U1318" s="41"/>
      <c r="V1318" s="36"/>
      <c r="W1318" s="36"/>
      <c r="X1318" s="36"/>
      <c r="Y1318" s="36"/>
      <c r="Z1318" s="36"/>
      <c r="AA1318" s="36"/>
    </row>
    <row r="1319" spans="16:27" x14ac:dyDescent="0.2">
      <c r="P1319" s="36"/>
      <c r="Q1319" s="40"/>
      <c r="R1319" s="40"/>
      <c r="S1319" s="40"/>
      <c r="T1319" s="41"/>
      <c r="U1319" s="41"/>
      <c r="V1319" s="36"/>
      <c r="W1319" s="36"/>
      <c r="X1319" s="36"/>
      <c r="Y1319" s="36"/>
      <c r="Z1319" s="36"/>
      <c r="AA1319" s="36"/>
    </row>
    <row r="1320" spans="16:27" x14ac:dyDescent="0.2">
      <c r="P1320" s="36"/>
      <c r="Q1320" s="40"/>
      <c r="R1320" s="40"/>
      <c r="S1320" s="40"/>
      <c r="T1320" s="41"/>
      <c r="U1320" s="41"/>
      <c r="V1320" s="36"/>
      <c r="W1320" s="36"/>
      <c r="X1320" s="36"/>
      <c r="Y1320" s="36"/>
      <c r="Z1320" s="36"/>
      <c r="AA1320" s="36"/>
    </row>
    <row r="1321" spans="16:27" x14ac:dyDescent="0.2">
      <c r="P1321" s="36"/>
      <c r="Q1321" s="40"/>
      <c r="R1321" s="40"/>
      <c r="S1321" s="40"/>
      <c r="T1321" s="41"/>
      <c r="U1321" s="41"/>
      <c r="V1321" s="36"/>
      <c r="W1321" s="36"/>
      <c r="X1321" s="36"/>
      <c r="Y1321" s="36"/>
      <c r="Z1321" s="36"/>
      <c r="AA1321" s="36"/>
    </row>
    <row r="1322" spans="16:27" x14ac:dyDescent="0.2">
      <c r="P1322" s="36"/>
      <c r="Q1322" s="40"/>
      <c r="R1322" s="40"/>
      <c r="S1322" s="40"/>
      <c r="T1322" s="41"/>
      <c r="U1322" s="41"/>
      <c r="V1322" s="36"/>
      <c r="W1322" s="36"/>
      <c r="X1322" s="36"/>
      <c r="Y1322" s="36"/>
      <c r="Z1322" s="36"/>
      <c r="AA1322" s="36"/>
    </row>
    <row r="1323" spans="16:27" x14ac:dyDescent="0.2">
      <c r="P1323" s="36"/>
      <c r="Q1323" s="40"/>
      <c r="R1323" s="40"/>
      <c r="S1323" s="40"/>
      <c r="T1323" s="41"/>
      <c r="U1323" s="41"/>
      <c r="V1323" s="36"/>
      <c r="W1323" s="36"/>
      <c r="X1323" s="36"/>
      <c r="Y1323" s="36"/>
      <c r="Z1323" s="36"/>
      <c r="AA1323" s="36"/>
    </row>
    <row r="1324" spans="16:27" x14ac:dyDescent="0.2">
      <c r="P1324" s="36"/>
      <c r="Q1324" s="40"/>
      <c r="R1324" s="40"/>
      <c r="S1324" s="40"/>
      <c r="T1324" s="41"/>
      <c r="U1324" s="41"/>
      <c r="V1324" s="36"/>
      <c r="W1324" s="36"/>
      <c r="X1324" s="36"/>
      <c r="Y1324" s="36"/>
      <c r="Z1324" s="36"/>
      <c r="AA1324" s="36"/>
    </row>
    <row r="1325" spans="16:27" x14ac:dyDescent="0.2">
      <c r="P1325" s="36"/>
      <c r="Q1325" s="40"/>
      <c r="R1325" s="40"/>
      <c r="S1325" s="40"/>
      <c r="T1325" s="41"/>
      <c r="U1325" s="41"/>
      <c r="V1325" s="36"/>
      <c r="W1325" s="36"/>
      <c r="X1325" s="36"/>
      <c r="Y1325" s="36"/>
      <c r="Z1325" s="36"/>
      <c r="AA1325" s="36"/>
    </row>
    <row r="1326" spans="16:27" x14ac:dyDescent="0.2">
      <c r="P1326" s="36"/>
      <c r="Q1326" s="40"/>
      <c r="R1326" s="40"/>
      <c r="S1326" s="40"/>
      <c r="T1326" s="41"/>
      <c r="U1326" s="41"/>
      <c r="V1326" s="36"/>
      <c r="W1326" s="36"/>
      <c r="X1326" s="36"/>
      <c r="Y1326" s="36"/>
      <c r="Z1326" s="36"/>
      <c r="AA1326" s="36"/>
    </row>
    <row r="1327" spans="16:27" x14ac:dyDescent="0.2">
      <c r="P1327" s="36"/>
      <c r="Q1327" s="40"/>
      <c r="R1327" s="40"/>
      <c r="S1327" s="40"/>
      <c r="T1327" s="41"/>
      <c r="U1327" s="41"/>
      <c r="V1327" s="36"/>
      <c r="W1327" s="36"/>
      <c r="X1327" s="36"/>
      <c r="Y1327" s="36"/>
      <c r="Z1327" s="36"/>
      <c r="AA1327" s="36"/>
    </row>
    <row r="1328" spans="16:27" x14ac:dyDescent="0.2">
      <c r="P1328" s="36"/>
      <c r="Q1328" s="40"/>
      <c r="R1328" s="40"/>
      <c r="S1328" s="40"/>
      <c r="T1328" s="41"/>
      <c r="U1328" s="41"/>
      <c r="V1328" s="36"/>
      <c r="W1328" s="36"/>
      <c r="X1328" s="36"/>
      <c r="Y1328" s="36"/>
      <c r="Z1328" s="36"/>
      <c r="AA1328" s="36"/>
    </row>
    <row r="1329" spans="16:27" x14ac:dyDescent="0.2">
      <c r="P1329" s="36"/>
      <c r="Q1329" s="40"/>
      <c r="R1329" s="40"/>
      <c r="S1329" s="40"/>
      <c r="T1329" s="41"/>
      <c r="U1329" s="41"/>
      <c r="V1329" s="36"/>
      <c r="W1329" s="36"/>
      <c r="X1329" s="36"/>
      <c r="Y1329" s="36"/>
      <c r="Z1329" s="36"/>
      <c r="AA1329" s="36"/>
    </row>
    <row r="1330" spans="16:27" x14ac:dyDescent="0.2">
      <c r="P1330" s="36"/>
      <c r="Q1330" s="40"/>
      <c r="R1330" s="40"/>
      <c r="S1330" s="40"/>
      <c r="T1330" s="41"/>
      <c r="U1330" s="41"/>
      <c r="V1330" s="36"/>
      <c r="W1330" s="36"/>
      <c r="X1330" s="36"/>
      <c r="Y1330" s="36"/>
      <c r="Z1330" s="36"/>
      <c r="AA1330" s="36"/>
    </row>
    <row r="1331" spans="16:27" x14ac:dyDescent="0.2">
      <c r="P1331" s="36"/>
      <c r="Q1331" s="40"/>
      <c r="R1331" s="40"/>
      <c r="S1331" s="40"/>
      <c r="T1331" s="41"/>
      <c r="U1331" s="41"/>
      <c r="V1331" s="36"/>
      <c r="W1331" s="36"/>
      <c r="X1331" s="36"/>
      <c r="Y1331" s="36"/>
      <c r="Z1331" s="36"/>
      <c r="AA1331" s="36"/>
    </row>
    <row r="1332" spans="16:27" x14ac:dyDescent="0.2">
      <c r="P1332" s="36"/>
      <c r="Q1332" s="40"/>
      <c r="R1332" s="40"/>
      <c r="S1332" s="40"/>
      <c r="T1332" s="41"/>
      <c r="U1332" s="41"/>
      <c r="V1332" s="36"/>
      <c r="W1332" s="36"/>
      <c r="X1332" s="36"/>
      <c r="Y1332" s="36"/>
      <c r="Z1332" s="36"/>
      <c r="AA1332" s="36"/>
    </row>
    <row r="1333" spans="16:27" x14ac:dyDescent="0.2">
      <c r="P1333" s="36"/>
      <c r="Q1333" s="40"/>
      <c r="R1333" s="40"/>
      <c r="S1333" s="40"/>
      <c r="T1333" s="41"/>
      <c r="U1333" s="41"/>
      <c r="V1333" s="36"/>
      <c r="W1333" s="36"/>
      <c r="X1333" s="36"/>
      <c r="Y1333" s="36"/>
      <c r="Z1333" s="36"/>
      <c r="AA1333" s="36"/>
    </row>
    <row r="1334" spans="16:27" x14ac:dyDescent="0.2">
      <c r="P1334" s="36"/>
      <c r="Q1334" s="40"/>
      <c r="R1334" s="40"/>
      <c r="S1334" s="40"/>
      <c r="T1334" s="41"/>
      <c r="U1334" s="41"/>
      <c r="V1334" s="36"/>
      <c r="W1334" s="36"/>
      <c r="X1334" s="36"/>
      <c r="Y1334" s="36"/>
      <c r="Z1334" s="36"/>
      <c r="AA1334" s="36"/>
    </row>
    <row r="1335" spans="16:27" x14ac:dyDescent="0.2">
      <c r="P1335" s="36"/>
      <c r="Q1335" s="40"/>
      <c r="R1335" s="40"/>
      <c r="S1335" s="40"/>
      <c r="T1335" s="41"/>
      <c r="U1335" s="41"/>
      <c r="V1335" s="36"/>
      <c r="W1335" s="36"/>
      <c r="X1335" s="36"/>
      <c r="Y1335" s="36"/>
      <c r="Z1335" s="36"/>
      <c r="AA1335" s="36"/>
    </row>
    <row r="1336" spans="16:27" x14ac:dyDescent="0.2">
      <c r="P1336" s="36"/>
      <c r="Q1336" s="40"/>
      <c r="R1336" s="40"/>
      <c r="S1336" s="40"/>
      <c r="T1336" s="41"/>
      <c r="U1336" s="41"/>
      <c r="V1336" s="36"/>
      <c r="W1336" s="36"/>
      <c r="X1336" s="36"/>
      <c r="Y1336" s="36"/>
      <c r="Z1336" s="36"/>
      <c r="AA1336" s="36"/>
    </row>
    <row r="1337" spans="16:27" x14ac:dyDescent="0.2">
      <c r="P1337" s="36"/>
      <c r="Q1337" s="40"/>
      <c r="R1337" s="40"/>
      <c r="S1337" s="40"/>
      <c r="T1337" s="41"/>
      <c r="U1337" s="41"/>
      <c r="V1337" s="36"/>
      <c r="W1337" s="36"/>
      <c r="X1337" s="36"/>
      <c r="Y1337" s="36"/>
      <c r="Z1337" s="36"/>
      <c r="AA1337" s="36"/>
    </row>
    <row r="1338" spans="16:27" x14ac:dyDescent="0.2">
      <c r="P1338" s="36"/>
      <c r="Q1338" s="40"/>
      <c r="R1338" s="40"/>
      <c r="S1338" s="40"/>
      <c r="T1338" s="41"/>
      <c r="U1338" s="41"/>
      <c r="V1338" s="36"/>
      <c r="W1338" s="36"/>
      <c r="X1338" s="36"/>
      <c r="Y1338" s="36"/>
      <c r="Z1338" s="36"/>
      <c r="AA1338" s="36"/>
    </row>
    <row r="1339" spans="16:27" x14ac:dyDescent="0.2">
      <c r="P1339" s="36"/>
      <c r="Q1339" s="40"/>
      <c r="R1339" s="40"/>
      <c r="S1339" s="40"/>
      <c r="T1339" s="41"/>
      <c r="U1339" s="41"/>
      <c r="V1339" s="36"/>
      <c r="W1339" s="36"/>
      <c r="X1339" s="36"/>
      <c r="Y1339" s="36"/>
      <c r="Z1339" s="36"/>
      <c r="AA1339" s="36"/>
    </row>
    <row r="1340" spans="16:27" x14ac:dyDescent="0.2">
      <c r="P1340" s="36"/>
      <c r="Q1340" s="40"/>
      <c r="R1340" s="40"/>
      <c r="S1340" s="40"/>
      <c r="T1340" s="41"/>
      <c r="U1340" s="41"/>
      <c r="V1340" s="36"/>
      <c r="W1340" s="36"/>
      <c r="X1340" s="36"/>
      <c r="Y1340" s="36"/>
      <c r="Z1340" s="36"/>
      <c r="AA1340" s="36"/>
    </row>
    <row r="1341" spans="16:27" x14ac:dyDescent="0.2">
      <c r="P1341" s="36"/>
      <c r="Q1341" s="40"/>
      <c r="R1341" s="40"/>
      <c r="S1341" s="40"/>
      <c r="T1341" s="41"/>
      <c r="U1341" s="41"/>
      <c r="V1341" s="36"/>
      <c r="W1341" s="36"/>
      <c r="X1341" s="36"/>
      <c r="Y1341" s="36"/>
      <c r="Z1341" s="36"/>
      <c r="AA1341" s="36"/>
    </row>
    <row r="1342" spans="16:27" x14ac:dyDescent="0.2">
      <c r="P1342" s="36"/>
      <c r="Q1342" s="40"/>
      <c r="R1342" s="40"/>
      <c r="S1342" s="40"/>
      <c r="T1342" s="41"/>
      <c r="U1342" s="41"/>
      <c r="V1342" s="36"/>
      <c r="W1342" s="36"/>
      <c r="X1342" s="36"/>
      <c r="Y1342" s="36"/>
      <c r="Z1342" s="36"/>
      <c r="AA1342" s="36"/>
    </row>
    <row r="1343" spans="16:27" x14ac:dyDescent="0.2">
      <c r="P1343" s="36"/>
      <c r="Q1343" s="40"/>
      <c r="R1343" s="40"/>
      <c r="S1343" s="40"/>
      <c r="T1343" s="41"/>
      <c r="U1343" s="41"/>
      <c r="V1343" s="36"/>
      <c r="W1343" s="36"/>
      <c r="X1343" s="36"/>
      <c r="Y1343" s="36"/>
      <c r="Z1343" s="36"/>
      <c r="AA1343" s="36"/>
    </row>
    <row r="1344" spans="16:27" x14ac:dyDescent="0.2">
      <c r="P1344" s="36"/>
      <c r="Q1344" s="40"/>
      <c r="R1344" s="40"/>
      <c r="S1344" s="40"/>
      <c r="T1344" s="41"/>
      <c r="U1344" s="41"/>
      <c r="V1344" s="36"/>
      <c r="W1344" s="36"/>
      <c r="X1344" s="36"/>
      <c r="Y1344" s="36"/>
      <c r="Z1344" s="36"/>
      <c r="AA1344" s="36"/>
    </row>
    <row r="1345" spans="16:27" x14ac:dyDescent="0.2">
      <c r="P1345" s="36"/>
      <c r="Q1345" s="40"/>
      <c r="R1345" s="40"/>
      <c r="S1345" s="40"/>
      <c r="T1345" s="41"/>
      <c r="U1345" s="41"/>
      <c r="V1345" s="36"/>
      <c r="W1345" s="36"/>
      <c r="X1345" s="36"/>
      <c r="Y1345" s="36"/>
      <c r="Z1345" s="36"/>
      <c r="AA1345" s="36"/>
    </row>
    <row r="1346" spans="16:27" x14ac:dyDescent="0.2">
      <c r="P1346" s="36"/>
      <c r="Q1346" s="40"/>
      <c r="R1346" s="40"/>
      <c r="S1346" s="40"/>
      <c r="T1346" s="41"/>
      <c r="U1346" s="41"/>
      <c r="V1346" s="36"/>
      <c r="W1346" s="36"/>
      <c r="X1346" s="36"/>
      <c r="Y1346" s="36"/>
      <c r="Z1346" s="36"/>
      <c r="AA1346" s="36"/>
    </row>
    <row r="1347" spans="16:27" x14ac:dyDescent="0.2">
      <c r="P1347" s="36"/>
      <c r="Q1347" s="40"/>
      <c r="R1347" s="40"/>
      <c r="S1347" s="40"/>
      <c r="T1347" s="41"/>
      <c r="U1347" s="41"/>
      <c r="V1347" s="36"/>
      <c r="W1347" s="36"/>
      <c r="X1347" s="36"/>
      <c r="Y1347" s="36"/>
      <c r="Z1347" s="36"/>
      <c r="AA1347" s="36"/>
    </row>
    <row r="1348" spans="16:27" x14ac:dyDescent="0.2">
      <c r="P1348" s="36"/>
      <c r="Q1348" s="40"/>
      <c r="R1348" s="40"/>
      <c r="S1348" s="40"/>
      <c r="T1348" s="41"/>
      <c r="U1348" s="41"/>
      <c r="V1348" s="36"/>
      <c r="W1348" s="36"/>
      <c r="X1348" s="36"/>
      <c r="Y1348" s="36"/>
      <c r="Z1348" s="36"/>
      <c r="AA1348" s="36"/>
    </row>
    <row r="1349" spans="16:27" x14ac:dyDescent="0.2">
      <c r="P1349" s="36"/>
      <c r="Q1349" s="40"/>
      <c r="R1349" s="40"/>
      <c r="S1349" s="40"/>
      <c r="T1349" s="41"/>
      <c r="U1349" s="41"/>
      <c r="V1349" s="36"/>
      <c r="W1349" s="36"/>
      <c r="X1349" s="36"/>
      <c r="Y1349" s="36"/>
      <c r="Z1349" s="36"/>
      <c r="AA1349" s="36"/>
    </row>
    <row r="1350" spans="16:27" x14ac:dyDescent="0.2">
      <c r="P1350" s="36"/>
      <c r="Q1350" s="40"/>
      <c r="R1350" s="40"/>
      <c r="S1350" s="40"/>
      <c r="T1350" s="41"/>
      <c r="U1350" s="41"/>
      <c r="V1350" s="36"/>
      <c r="W1350" s="36"/>
      <c r="X1350" s="36"/>
      <c r="Y1350" s="36"/>
      <c r="Z1350" s="36"/>
      <c r="AA1350" s="36"/>
    </row>
    <row r="1351" spans="16:27" x14ac:dyDescent="0.2">
      <c r="P1351" s="36"/>
      <c r="Q1351" s="40"/>
      <c r="R1351" s="40"/>
      <c r="S1351" s="40"/>
      <c r="T1351" s="41"/>
      <c r="U1351" s="41"/>
      <c r="V1351" s="36"/>
      <c r="W1351" s="36"/>
      <c r="X1351" s="36"/>
      <c r="Y1351" s="36"/>
      <c r="Z1351" s="36"/>
      <c r="AA1351" s="36"/>
    </row>
    <row r="1352" spans="16:27" x14ac:dyDescent="0.2">
      <c r="P1352" s="36"/>
      <c r="Q1352" s="40"/>
      <c r="R1352" s="40"/>
      <c r="S1352" s="40"/>
      <c r="T1352" s="41"/>
      <c r="U1352" s="41"/>
      <c r="V1352" s="36"/>
      <c r="W1352" s="36"/>
      <c r="X1352" s="36"/>
      <c r="Y1352" s="36"/>
      <c r="Z1352" s="36"/>
      <c r="AA1352" s="36"/>
    </row>
    <row r="1353" spans="16:27" x14ac:dyDescent="0.2">
      <c r="P1353" s="36"/>
      <c r="Q1353" s="40"/>
      <c r="R1353" s="40"/>
      <c r="S1353" s="40"/>
      <c r="T1353" s="41"/>
      <c r="U1353" s="41"/>
      <c r="V1353" s="36"/>
      <c r="W1353" s="36"/>
      <c r="X1353" s="36"/>
      <c r="Y1353" s="36"/>
      <c r="Z1353" s="36"/>
      <c r="AA1353" s="36"/>
    </row>
    <row r="1354" spans="16:27" x14ac:dyDescent="0.2">
      <c r="P1354" s="36"/>
      <c r="Q1354" s="40"/>
      <c r="R1354" s="40"/>
      <c r="S1354" s="40"/>
      <c r="T1354" s="41"/>
      <c r="U1354" s="41"/>
      <c r="V1354" s="36"/>
      <c r="W1354" s="36"/>
      <c r="X1354" s="36"/>
      <c r="Y1354" s="36"/>
      <c r="Z1354" s="36"/>
      <c r="AA1354" s="36"/>
    </row>
    <row r="1355" spans="16:27" x14ac:dyDescent="0.2">
      <c r="P1355" s="36"/>
      <c r="Q1355" s="40"/>
      <c r="R1355" s="40"/>
      <c r="S1355" s="40"/>
      <c r="T1355" s="41"/>
      <c r="U1355" s="41"/>
      <c r="V1355" s="36"/>
      <c r="W1355" s="36"/>
      <c r="X1355" s="36"/>
      <c r="Y1355" s="36"/>
      <c r="Z1355" s="36"/>
      <c r="AA1355" s="36"/>
    </row>
    <row r="1356" spans="16:27" x14ac:dyDescent="0.2">
      <c r="P1356" s="36"/>
      <c r="Q1356" s="40"/>
      <c r="R1356" s="40"/>
      <c r="S1356" s="40"/>
      <c r="T1356" s="41"/>
      <c r="U1356" s="41"/>
      <c r="V1356" s="36"/>
      <c r="W1356" s="36"/>
      <c r="X1356" s="36"/>
      <c r="Y1356" s="36"/>
      <c r="Z1356" s="36"/>
      <c r="AA1356" s="36"/>
    </row>
    <row r="1357" spans="16:27" x14ac:dyDescent="0.2">
      <c r="P1357" s="36"/>
      <c r="Q1357" s="40"/>
      <c r="R1357" s="40"/>
      <c r="S1357" s="40"/>
      <c r="T1357" s="41"/>
      <c r="U1357" s="41"/>
      <c r="V1357" s="36"/>
      <c r="W1357" s="36"/>
      <c r="X1357" s="36"/>
      <c r="Y1357" s="36"/>
      <c r="Z1357" s="36"/>
      <c r="AA1357" s="36"/>
    </row>
    <row r="1358" spans="16:27" x14ac:dyDescent="0.2">
      <c r="P1358" s="36"/>
      <c r="Q1358" s="40"/>
      <c r="R1358" s="40"/>
      <c r="S1358" s="40"/>
      <c r="T1358" s="41"/>
      <c r="U1358" s="41"/>
      <c r="V1358" s="36"/>
      <c r="W1358" s="36"/>
      <c r="X1358" s="36"/>
      <c r="Y1358" s="36"/>
      <c r="Z1358" s="36"/>
      <c r="AA1358" s="36"/>
    </row>
    <row r="1359" spans="16:27" x14ac:dyDescent="0.2">
      <c r="P1359" s="36"/>
      <c r="Q1359" s="40"/>
      <c r="R1359" s="40"/>
      <c r="S1359" s="40"/>
      <c r="T1359" s="41"/>
      <c r="U1359" s="41"/>
      <c r="V1359" s="36"/>
      <c r="W1359" s="36"/>
      <c r="X1359" s="36"/>
      <c r="Y1359" s="36"/>
      <c r="Z1359" s="36"/>
      <c r="AA1359" s="36"/>
    </row>
    <row r="1360" spans="16:27" x14ac:dyDescent="0.2">
      <c r="P1360" s="36"/>
      <c r="Q1360" s="40"/>
      <c r="R1360" s="40"/>
      <c r="S1360" s="40"/>
      <c r="T1360" s="41"/>
      <c r="U1360" s="41"/>
      <c r="V1360" s="36"/>
      <c r="W1360" s="36"/>
      <c r="X1360" s="36"/>
      <c r="Y1360" s="36"/>
      <c r="Z1360" s="36"/>
      <c r="AA1360" s="36"/>
    </row>
    <row r="1361" spans="16:27" x14ac:dyDescent="0.2">
      <c r="P1361" s="36"/>
      <c r="Q1361" s="40"/>
      <c r="R1361" s="40"/>
      <c r="S1361" s="40"/>
      <c r="T1361" s="41"/>
      <c r="U1361" s="41"/>
      <c r="V1361" s="36"/>
      <c r="W1361" s="36"/>
      <c r="X1361" s="36"/>
      <c r="Y1361" s="36"/>
      <c r="Z1361" s="36"/>
      <c r="AA1361" s="36"/>
    </row>
    <row r="1362" spans="16:27" x14ac:dyDescent="0.2">
      <c r="P1362" s="36"/>
      <c r="Q1362" s="40"/>
      <c r="R1362" s="40"/>
      <c r="S1362" s="40"/>
      <c r="T1362" s="41"/>
      <c r="U1362" s="41"/>
      <c r="V1362" s="36"/>
      <c r="W1362" s="36"/>
      <c r="X1362" s="36"/>
      <c r="Y1362" s="36"/>
      <c r="Z1362" s="36"/>
      <c r="AA1362" s="36"/>
    </row>
    <row r="1363" spans="16:27" x14ac:dyDescent="0.2">
      <c r="P1363" s="36"/>
      <c r="Q1363" s="40"/>
      <c r="R1363" s="40"/>
      <c r="S1363" s="40"/>
      <c r="T1363" s="41"/>
      <c r="U1363" s="41"/>
      <c r="V1363" s="36"/>
      <c r="W1363" s="36"/>
      <c r="X1363" s="36"/>
      <c r="Y1363" s="36"/>
      <c r="Z1363" s="36"/>
      <c r="AA1363" s="36"/>
    </row>
    <row r="1364" spans="16:27" x14ac:dyDescent="0.2">
      <c r="P1364" s="36"/>
      <c r="Q1364" s="40"/>
      <c r="R1364" s="40"/>
      <c r="S1364" s="40"/>
      <c r="T1364" s="41"/>
      <c r="U1364" s="41"/>
      <c r="V1364" s="36"/>
      <c r="W1364" s="36"/>
      <c r="X1364" s="36"/>
      <c r="Y1364" s="36"/>
      <c r="Z1364" s="36"/>
      <c r="AA1364" s="36"/>
    </row>
    <row r="1365" spans="16:27" x14ac:dyDescent="0.2">
      <c r="P1365" s="36"/>
      <c r="Q1365" s="40"/>
      <c r="R1365" s="40"/>
      <c r="S1365" s="40"/>
      <c r="T1365" s="41"/>
      <c r="U1365" s="41"/>
      <c r="V1365" s="36"/>
      <c r="W1365" s="36"/>
      <c r="X1365" s="36"/>
      <c r="Y1365" s="36"/>
      <c r="Z1365" s="36"/>
      <c r="AA1365" s="36"/>
    </row>
    <row r="1366" spans="16:27" x14ac:dyDescent="0.2">
      <c r="P1366" s="36"/>
      <c r="Q1366" s="40"/>
      <c r="R1366" s="40"/>
      <c r="S1366" s="40"/>
      <c r="T1366" s="41"/>
      <c r="U1366" s="41"/>
      <c r="V1366" s="36"/>
      <c r="W1366" s="36"/>
      <c r="X1366" s="36"/>
      <c r="Y1366" s="36"/>
      <c r="Z1366" s="36"/>
      <c r="AA1366" s="36"/>
    </row>
    <row r="1367" spans="16:27" x14ac:dyDescent="0.2">
      <c r="P1367" s="36"/>
      <c r="Q1367" s="40"/>
      <c r="R1367" s="40"/>
      <c r="S1367" s="40"/>
      <c r="T1367" s="41"/>
      <c r="U1367" s="41"/>
      <c r="V1367" s="36"/>
      <c r="W1367" s="36"/>
      <c r="X1367" s="36"/>
      <c r="Y1367" s="36"/>
      <c r="Z1367" s="36"/>
      <c r="AA1367" s="36"/>
    </row>
    <row r="1368" spans="16:27" x14ac:dyDescent="0.2">
      <c r="P1368" s="36"/>
      <c r="Q1368" s="40"/>
      <c r="R1368" s="40"/>
      <c r="S1368" s="40"/>
      <c r="T1368" s="41"/>
      <c r="U1368" s="41"/>
      <c r="V1368" s="36"/>
      <c r="W1368" s="36"/>
      <c r="X1368" s="36"/>
      <c r="Y1368" s="36"/>
      <c r="Z1368" s="36"/>
      <c r="AA1368" s="36"/>
    </row>
    <row r="1369" spans="16:27" x14ac:dyDescent="0.2">
      <c r="P1369" s="36"/>
      <c r="Q1369" s="40"/>
      <c r="R1369" s="40"/>
      <c r="S1369" s="40"/>
      <c r="T1369" s="41"/>
      <c r="U1369" s="41"/>
      <c r="V1369" s="36"/>
      <c r="W1369" s="36"/>
      <c r="X1369" s="36"/>
      <c r="Y1369" s="36"/>
      <c r="Z1369" s="36"/>
      <c r="AA1369" s="36"/>
    </row>
    <row r="1370" spans="16:27" x14ac:dyDescent="0.2">
      <c r="P1370" s="36"/>
      <c r="Q1370" s="40"/>
      <c r="R1370" s="40"/>
      <c r="S1370" s="40"/>
      <c r="T1370" s="41"/>
      <c r="U1370" s="41"/>
      <c r="V1370" s="36"/>
      <c r="W1370" s="36"/>
      <c r="X1370" s="36"/>
      <c r="Y1370" s="36"/>
      <c r="Z1370" s="36"/>
      <c r="AA1370" s="36"/>
    </row>
    <row r="1371" spans="16:27" x14ac:dyDescent="0.2">
      <c r="P1371" s="36"/>
      <c r="Q1371" s="40"/>
      <c r="R1371" s="40"/>
      <c r="S1371" s="40"/>
      <c r="T1371" s="41"/>
      <c r="U1371" s="41"/>
      <c r="V1371" s="36"/>
      <c r="W1371" s="36"/>
      <c r="X1371" s="36"/>
      <c r="Y1371" s="36"/>
      <c r="Z1371" s="36"/>
      <c r="AA1371" s="36"/>
    </row>
    <row r="1372" spans="16:27" x14ac:dyDescent="0.2">
      <c r="P1372" s="36"/>
      <c r="Q1372" s="40"/>
      <c r="R1372" s="40"/>
      <c r="S1372" s="40"/>
      <c r="T1372" s="41"/>
      <c r="U1372" s="41"/>
      <c r="V1372" s="36"/>
      <c r="W1372" s="36"/>
      <c r="X1372" s="36"/>
      <c r="Y1372" s="36"/>
      <c r="Z1372" s="36"/>
      <c r="AA1372" s="36"/>
    </row>
    <row r="1373" spans="16:27" x14ac:dyDescent="0.2">
      <c r="P1373" s="36"/>
      <c r="Q1373" s="40"/>
      <c r="R1373" s="40"/>
      <c r="S1373" s="40"/>
      <c r="T1373" s="41"/>
      <c r="U1373" s="41"/>
      <c r="V1373" s="36"/>
      <c r="W1373" s="36"/>
      <c r="X1373" s="36"/>
      <c r="Y1373" s="36"/>
      <c r="Z1373" s="36"/>
      <c r="AA1373" s="36"/>
    </row>
    <row r="1374" spans="16:27" x14ac:dyDescent="0.2">
      <c r="P1374" s="36"/>
      <c r="Q1374" s="40"/>
      <c r="R1374" s="40"/>
      <c r="S1374" s="40"/>
      <c r="T1374" s="41"/>
      <c r="U1374" s="41"/>
      <c r="V1374" s="36"/>
      <c r="W1374" s="36"/>
      <c r="X1374" s="36"/>
      <c r="Y1374" s="36"/>
      <c r="Z1374" s="36"/>
      <c r="AA1374" s="36"/>
    </row>
    <row r="1375" spans="16:27" x14ac:dyDescent="0.2"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</row>
    <row r="1376" spans="16:27" x14ac:dyDescent="0.2"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</row>
    <row r="1377" spans="16:27" x14ac:dyDescent="0.2"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</row>
    <row r="1378" spans="16:27" x14ac:dyDescent="0.2"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</row>
    <row r="1379" spans="16:27" x14ac:dyDescent="0.2"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</row>
    <row r="1380" spans="16:27" x14ac:dyDescent="0.2"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</row>
    <row r="1381" spans="16:27" x14ac:dyDescent="0.2"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</row>
    <row r="1382" spans="16:27" x14ac:dyDescent="0.2"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</row>
    <row r="1383" spans="16:27" x14ac:dyDescent="0.2"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</row>
    <row r="1384" spans="16:27" x14ac:dyDescent="0.2"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</row>
    <row r="1385" spans="16:27" x14ac:dyDescent="0.2"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</row>
    <row r="1386" spans="16:27" x14ac:dyDescent="0.2"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</row>
    <row r="1387" spans="16:27" x14ac:dyDescent="0.2"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</row>
    <row r="1388" spans="16:27" x14ac:dyDescent="0.2"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</row>
    <row r="1389" spans="16:27" x14ac:dyDescent="0.2"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</row>
    <row r="1390" spans="16:27" x14ac:dyDescent="0.2"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</row>
    <row r="1391" spans="16:27" x14ac:dyDescent="0.2"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</row>
    <row r="1392" spans="16:27" x14ac:dyDescent="0.2"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</row>
    <row r="1393" spans="16:27" x14ac:dyDescent="0.2"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</row>
    <row r="1394" spans="16:27" x14ac:dyDescent="0.2"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</row>
    <row r="1395" spans="16:27" x14ac:dyDescent="0.2"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</row>
    <row r="1396" spans="16:27" x14ac:dyDescent="0.2"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</row>
    <row r="1397" spans="16:27" x14ac:dyDescent="0.2"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</row>
    <row r="1398" spans="16:27" x14ac:dyDescent="0.2"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</row>
    <row r="1399" spans="16:27" x14ac:dyDescent="0.2"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</row>
    <row r="1400" spans="16:27" x14ac:dyDescent="0.2"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</row>
    <row r="1401" spans="16:27" x14ac:dyDescent="0.2"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</row>
    <row r="1402" spans="16:27" x14ac:dyDescent="0.2"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</row>
    <row r="1403" spans="16:27" x14ac:dyDescent="0.2"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</row>
    <row r="1404" spans="16:27" x14ac:dyDescent="0.2"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</row>
    <row r="1405" spans="16:27" x14ac:dyDescent="0.2"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</row>
    <row r="1406" spans="16:27" x14ac:dyDescent="0.2"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</row>
    <row r="1407" spans="16:27" x14ac:dyDescent="0.2"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</row>
    <row r="1408" spans="16:27" x14ac:dyDescent="0.2"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</row>
    <row r="1409" spans="16:27" x14ac:dyDescent="0.2"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</row>
    <row r="1410" spans="16:27" x14ac:dyDescent="0.2"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</row>
    <row r="1411" spans="16:27" x14ac:dyDescent="0.2"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</row>
    <row r="1412" spans="16:27" x14ac:dyDescent="0.2"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</row>
    <row r="1413" spans="16:27" x14ac:dyDescent="0.2"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</row>
    <row r="1414" spans="16:27" x14ac:dyDescent="0.2"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</row>
    <row r="1415" spans="16:27" x14ac:dyDescent="0.2"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</row>
    <row r="1416" spans="16:27" x14ac:dyDescent="0.2"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</row>
    <row r="1417" spans="16:27" x14ac:dyDescent="0.2"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</row>
    <row r="1418" spans="16:27" x14ac:dyDescent="0.2"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</row>
    <row r="1419" spans="16:27" x14ac:dyDescent="0.2"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</row>
    <row r="1420" spans="16:27" x14ac:dyDescent="0.2"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</row>
    <row r="1421" spans="16:27" x14ac:dyDescent="0.2"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</row>
    <row r="1422" spans="16:27" x14ac:dyDescent="0.2"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</row>
    <row r="1423" spans="16:27" x14ac:dyDescent="0.2"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</row>
    <row r="1424" spans="16:27" x14ac:dyDescent="0.2"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</row>
    <row r="1425" spans="16:27" x14ac:dyDescent="0.2"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</row>
    <row r="1426" spans="16:27" x14ac:dyDescent="0.2"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</row>
    <row r="1427" spans="16:27" x14ac:dyDescent="0.2"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</row>
    <row r="1428" spans="16:27" x14ac:dyDescent="0.2"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</row>
    <row r="1429" spans="16:27" x14ac:dyDescent="0.2"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</row>
    <row r="1430" spans="16:27" x14ac:dyDescent="0.2"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</row>
    <row r="1431" spans="16:27" x14ac:dyDescent="0.2"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</row>
    <row r="1432" spans="16:27" x14ac:dyDescent="0.2"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</row>
    <row r="1433" spans="16:27" x14ac:dyDescent="0.2"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</row>
    <row r="1434" spans="16:27" x14ac:dyDescent="0.2"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</row>
    <row r="1435" spans="16:27" x14ac:dyDescent="0.2"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</row>
    <row r="1436" spans="16:27" x14ac:dyDescent="0.2"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</row>
    <row r="1437" spans="16:27" x14ac:dyDescent="0.2"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</row>
    <row r="1438" spans="16:27" x14ac:dyDescent="0.2"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</row>
    <row r="1439" spans="16:27" x14ac:dyDescent="0.2"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</row>
    <row r="1440" spans="16:27" x14ac:dyDescent="0.2"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</row>
    <row r="1441" spans="16:27" x14ac:dyDescent="0.2"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</row>
    <row r="1442" spans="16:27" x14ac:dyDescent="0.2"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</row>
    <row r="1443" spans="16:27" x14ac:dyDescent="0.2"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</row>
    <row r="1444" spans="16:27" x14ac:dyDescent="0.2"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</row>
    <row r="1445" spans="16:27" x14ac:dyDescent="0.2"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</row>
    <row r="1446" spans="16:27" x14ac:dyDescent="0.2"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</row>
    <row r="1447" spans="16:27" x14ac:dyDescent="0.2"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</row>
    <row r="1448" spans="16:27" x14ac:dyDescent="0.2"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</row>
    <row r="1449" spans="16:27" x14ac:dyDescent="0.2"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</row>
    <row r="1450" spans="16:27" x14ac:dyDescent="0.2"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</row>
    <row r="1451" spans="16:27" x14ac:dyDescent="0.2"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</row>
    <row r="1452" spans="16:27" x14ac:dyDescent="0.2"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</row>
    <row r="1453" spans="16:27" x14ac:dyDescent="0.2"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</row>
    <row r="1454" spans="16:27" x14ac:dyDescent="0.2"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</row>
    <row r="1455" spans="16:27" x14ac:dyDescent="0.2"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</row>
    <row r="1456" spans="16:27" x14ac:dyDescent="0.2"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</row>
    <row r="1457" spans="16:27" x14ac:dyDescent="0.2"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</row>
    <row r="1458" spans="16:27" x14ac:dyDescent="0.2"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</row>
    <row r="1459" spans="16:27" x14ac:dyDescent="0.2"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</row>
    <row r="1460" spans="16:27" x14ac:dyDescent="0.2"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</row>
    <row r="1461" spans="16:27" x14ac:dyDescent="0.2"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</row>
    <row r="1462" spans="16:27" x14ac:dyDescent="0.2"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</row>
    <row r="1463" spans="16:27" x14ac:dyDescent="0.2"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</row>
    <row r="1464" spans="16:27" x14ac:dyDescent="0.2"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</row>
    <row r="1465" spans="16:27" x14ac:dyDescent="0.2"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</row>
    <row r="1466" spans="16:27" x14ac:dyDescent="0.2"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</row>
    <row r="1467" spans="16:27" x14ac:dyDescent="0.2"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</row>
    <row r="1468" spans="16:27" x14ac:dyDescent="0.2"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</row>
    <row r="1469" spans="16:27" x14ac:dyDescent="0.2"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</row>
    <row r="1470" spans="16:27" x14ac:dyDescent="0.2"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</row>
    <row r="1471" spans="16:27" x14ac:dyDescent="0.2"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</row>
    <row r="1472" spans="16:27" x14ac:dyDescent="0.2"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</row>
    <row r="1473" spans="16:27" x14ac:dyDescent="0.2"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</row>
    <row r="1474" spans="16:27" x14ac:dyDescent="0.2"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</row>
    <row r="1475" spans="16:27" x14ac:dyDescent="0.2"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</row>
    <row r="1476" spans="16:27" x14ac:dyDescent="0.2"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</row>
    <row r="1477" spans="16:27" x14ac:dyDescent="0.2"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</row>
    <row r="1478" spans="16:27" x14ac:dyDescent="0.2"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</row>
    <row r="1479" spans="16:27" x14ac:dyDescent="0.2"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</row>
    <row r="1480" spans="16:27" x14ac:dyDescent="0.2"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</row>
    <row r="1481" spans="16:27" x14ac:dyDescent="0.2"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</row>
    <row r="1482" spans="16:27" x14ac:dyDescent="0.2"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</row>
    <row r="1483" spans="16:27" x14ac:dyDescent="0.2"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</row>
    <row r="1484" spans="16:27" x14ac:dyDescent="0.2"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</row>
    <row r="1485" spans="16:27" x14ac:dyDescent="0.2"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</row>
    <row r="1486" spans="16:27" x14ac:dyDescent="0.2"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</row>
    <row r="1487" spans="16:27" x14ac:dyDescent="0.2"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</row>
    <row r="1488" spans="16:27" x14ac:dyDescent="0.2"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</row>
    <row r="1489" spans="16:27" x14ac:dyDescent="0.2"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</row>
    <row r="1490" spans="16:27" x14ac:dyDescent="0.2"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</row>
    <row r="1491" spans="16:27" x14ac:dyDescent="0.2"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</row>
    <row r="1492" spans="16:27" x14ac:dyDescent="0.2"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</row>
    <row r="1493" spans="16:27" x14ac:dyDescent="0.2"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</row>
    <row r="1494" spans="16:27" x14ac:dyDescent="0.2"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</row>
    <row r="1495" spans="16:27" x14ac:dyDescent="0.2"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</row>
    <row r="1496" spans="16:27" x14ac:dyDescent="0.2"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</row>
    <row r="1497" spans="16:27" x14ac:dyDescent="0.2"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</row>
    <row r="1498" spans="16:27" x14ac:dyDescent="0.2"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</row>
    <row r="1499" spans="16:27" x14ac:dyDescent="0.2"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</row>
    <row r="1500" spans="16:27" x14ac:dyDescent="0.2"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</row>
    <row r="1501" spans="16:27" x14ac:dyDescent="0.2"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</row>
    <row r="1502" spans="16:27" x14ac:dyDescent="0.2"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</row>
    <row r="1503" spans="16:27" x14ac:dyDescent="0.2"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</row>
    <row r="1504" spans="16:27" x14ac:dyDescent="0.2"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</row>
    <row r="1505" spans="16:27" x14ac:dyDescent="0.2"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</row>
    <row r="1506" spans="16:27" x14ac:dyDescent="0.2"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</row>
    <row r="1507" spans="16:27" x14ac:dyDescent="0.2"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</row>
    <row r="1508" spans="16:27" x14ac:dyDescent="0.2"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</row>
    <row r="1509" spans="16:27" x14ac:dyDescent="0.2"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</row>
    <row r="1510" spans="16:27" x14ac:dyDescent="0.2"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</row>
    <row r="1511" spans="16:27" x14ac:dyDescent="0.2"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</row>
    <row r="1512" spans="16:27" x14ac:dyDescent="0.2"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</row>
    <row r="1513" spans="16:27" x14ac:dyDescent="0.2"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</row>
    <row r="1514" spans="16:27" x14ac:dyDescent="0.2"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</row>
    <row r="1515" spans="16:27" x14ac:dyDescent="0.2"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</row>
    <row r="1516" spans="16:27" x14ac:dyDescent="0.2"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</row>
    <row r="1517" spans="16:27" x14ac:dyDescent="0.2"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</row>
    <row r="1518" spans="16:27" x14ac:dyDescent="0.2"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</row>
    <row r="1519" spans="16:27" x14ac:dyDescent="0.2"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</row>
    <row r="1520" spans="16:27" x14ac:dyDescent="0.2"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</row>
    <row r="1521" spans="16:27" x14ac:dyDescent="0.2"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</row>
    <row r="1522" spans="16:27" x14ac:dyDescent="0.2"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</row>
    <row r="1523" spans="16:27" x14ac:dyDescent="0.2"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</row>
    <row r="1524" spans="16:27" x14ac:dyDescent="0.2"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</row>
    <row r="1525" spans="16:27" x14ac:dyDescent="0.2"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</row>
    <row r="1526" spans="16:27" x14ac:dyDescent="0.2"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</row>
    <row r="1527" spans="16:27" x14ac:dyDescent="0.2"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</row>
    <row r="1528" spans="16:27" x14ac:dyDescent="0.2"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</row>
    <row r="1529" spans="16:27" x14ac:dyDescent="0.2"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</row>
    <row r="1530" spans="16:27" x14ac:dyDescent="0.2"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</row>
    <row r="1531" spans="16:27" x14ac:dyDescent="0.2"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</row>
    <row r="1532" spans="16:27" x14ac:dyDescent="0.2"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</row>
    <row r="1533" spans="16:27" x14ac:dyDescent="0.2"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</row>
    <row r="1534" spans="16:27" x14ac:dyDescent="0.2"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</row>
    <row r="1535" spans="16:27" x14ac:dyDescent="0.2"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</row>
    <row r="1536" spans="16:27" x14ac:dyDescent="0.2"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</row>
    <row r="1537" spans="16:27" x14ac:dyDescent="0.2"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</row>
    <row r="1538" spans="16:27" x14ac:dyDescent="0.2"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</row>
    <row r="1539" spans="16:27" x14ac:dyDescent="0.2"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</row>
    <row r="1540" spans="16:27" x14ac:dyDescent="0.2"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</row>
    <row r="1541" spans="16:27" x14ac:dyDescent="0.2"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</row>
    <row r="1542" spans="16:27" x14ac:dyDescent="0.2"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</row>
    <row r="1543" spans="16:27" x14ac:dyDescent="0.2"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</row>
    <row r="1544" spans="16:27" x14ac:dyDescent="0.2"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</row>
    <row r="1545" spans="16:27" x14ac:dyDescent="0.2"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</row>
    <row r="1546" spans="16:27" x14ac:dyDescent="0.2"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</row>
    <row r="1547" spans="16:27" x14ac:dyDescent="0.2"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</row>
    <row r="1548" spans="16:27" x14ac:dyDescent="0.2"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</row>
    <row r="1549" spans="16:27" x14ac:dyDescent="0.2"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</row>
    <row r="1550" spans="16:27" x14ac:dyDescent="0.2"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</row>
    <row r="1551" spans="16:27" x14ac:dyDescent="0.2"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</row>
    <row r="1552" spans="16:27" x14ac:dyDescent="0.2"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</row>
    <row r="1553" spans="16:27" x14ac:dyDescent="0.2"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</row>
    <row r="1554" spans="16:27" x14ac:dyDescent="0.2"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</row>
    <row r="1555" spans="16:27" x14ac:dyDescent="0.2"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</row>
    <row r="1556" spans="16:27" x14ac:dyDescent="0.2"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</row>
    <row r="1557" spans="16:27" x14ac:dyDescent="0.2"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</row>
    <row r="1558" spans="16:27" x14ac:dyDescent="0.2"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</row>
    <row r="1559" spans="16:27" x14ac:dyDescent="0.2"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</row>
    <row r="1560" spans="16:27" x14ac:dyDescent="0.2"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</row>
    <row r="1561" spans="16:27" x14ac:dyDescent="0.2"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</row>
    <row r="1562" spans="16:27" x14ac:dyDescent="0.2"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</row>
    <row r="1563" spans="16:27" x14ac:dyDescent="0.2"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</row>
    <row r="1564" spans="16:27" x14ac:dyDescent="0.2"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</row>
    <row r="1565" spans="16:27" x14ac:dyDescent="0.2"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</row>
    <row r="1566" spans="16:27" x14ac:dyDescent="0.2"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</row>
    <row r="1567" spans="16:27" x14ac:dyDescent="0.2"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</row>
    <row r="1568" spans="16:27" x14ac:dyDescent="0.2"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</row>
    <row r="1569" spans="16:27" x14ac:dyDescent="0.2"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</row>
    <row r="1570" spans="16:27" x14ac:dyDescent="0.2"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</row>
    <row r="1571" spans="16:27" x14ac:dyDescent="0.2"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</row>
    <row r="1572" spans="16:27" x14ac:dyDescent="0.2"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</row>
    <row r="1573" spans="16:27" x14ac:dyDescent="0.2"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</row>
    <row r="1574" spans="16:27" x14ac:dyDescent="0.2"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</row>
    <row r="1575" spans="16:27" x14ac:dyDescent="0.2"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</row>
    <row r="1576" spans="16:27" x14ac:dyDescent="0.2"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</row>
    <row r="1577" spans="16:27" x14ac:dyDescent="0.2"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</row>
    <row r="1578" spans="16:27" x14ac:dyDescent="0.2"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</row>
    <row r="1579" spans="16:27" x14ac:dyDescent="0.2"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</row>
    <row r="1580" spans="16:27" x14ac:dyDescent="0.2"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</row>
    <row r="1581" spans="16:27" x14ac:dyDescent="0.2"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</row>
    <row r="1582" spans="16:27" x14ac:dyDescent="0.2"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</row>
    <row r="1583" spans="16:27" x14ac:dyDescent="0.2"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</row>
    <row r="1584" spans="16:27" x14ac:dyDescent="0.2"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</row>
    <row r="1585" spans="16:27" x14ac:dyDescent="0.2"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</row>
    <row r="1586" spans="16:27" x14ac:dyDescent="0.2"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</row>
    <row r="1587" spans="16:27" x14ac:dyDescent="0.2"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</row>
    <row r="1588" spans="16:27" x14ac:dyDescent="0.2">
      <c r="P1588" s="36"/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</row>
    <row r="1589" spans="16:27" x14ac:dyDescent="0.2">
      <c r="P1589" s="36"/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</row>
    <row r="1590" spans="16:27" x14ac:dyDescent="0.2">
      <c r="P1590" s="36"/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</row>
    <row r="1591" spans="16:27" x14ac:dyDescent="0.2">
      <c r="P1591" s="36"/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</row>
    <row r="1592" spans="16:27" x14ac:dyDescent="0.2">
      <c r="P1592" s="36"/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</row>
    <row r="1593" spans="16:27" x14ac:dyDescent="0.2">
      <c r="P1593" s="36"/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</row>
    <row r="1594" spans="16:27" x14ac:dyDescent="0.2">
      <c r="P1594" s="36"/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</row>
    <row r="1595" spans="16:27" x14ac:dyDescent="0.2">
      <c r="P1595" s="36"/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</row>
    <row r="1596" spans="16:27" x14ac:dyDescent="0.2">
      <c r="P1596" s="36"/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</row>
    <row r="1597" spans="16:27" x14ac:dyDescent="0.2">
      <c r="P1597" s="36"/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</row>
    <row r="1598" spans="16:27" x14ac:dyDescent="0.2">
      <c r="P1598" s="36"/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</row>
    <row r="1599" spans="16:27" x14ac:dyDescent="0.2"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</row>
    <row r="1600" spans="16:27" x14ac:dyDescent="0.2"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</row>
    <row r="1601" spans="16:27" x14ac:dyDescent="0.2"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</row>
    <row r="1602" spans="16:27" x14ac:dyDescent="0.2"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</row>
    <row r="1603" spans="16:27" x14ac:dyDescent="0.2"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</row>
    <row r="1604" spans="16:27" x14ac:dyDescent="0.2"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</row>
    <row r="1605" spans="16:27" x14ac:dyDescent="0.2"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</row>
    <row r="1606" spans="16:27" x14ac:dyDescent="0.2"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</row>
    <row r="1607" spans="16:27" x14ac:dyDescent="0.2"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</row>
    <row r="1608" spans="16:27" x14ac:dyDescent="0.2"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</row>
    <row r="1609" spans="16:27" x14ac:dyDescent="0.2"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</row>
    <row r="1610" spans="16:27" x14ac:dyDescent="0.2"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</row>
    <row r="1611" spans="16:27" x14ac:dyDescent="0.2"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</row>
    <row r="1612" spans="16:27" x14ac:dyDescent="0.2"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</row>
    <row r="1613" spans="16:27" x14ac:dyDescent="0.2"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</row>
    <row r="1614" spans="16:27" x14ac:dyDescent="0.2"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</row>
    <row r="1615" spans="16:27" x14ac:dyDescent="0.2"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</row>
    <row r="1616" spans="16:27" x14ac:dyDescent="0.2"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</row>
    <row r="1617" spans="16:27" x14ac:dyDescent="0.2"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</row>
    <row r="1618" spans="16:27" x14ac:dyDescent="0.2"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Length4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9</xdr:row>
                    <xdr:rowOff>123825</xdr:rowOff>
                  </from>
                  <to>
                    <xdr:col>29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Length1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</xdr:row>
                    <xdr:rowOff>276225</xdr:rowOff>
                  </from>
                  <to>
                    <xdr:col>29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Length7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18</xdr:row>
                    <xdr:rowOff>0</xdr:rowOff>
                  </from>
                  <to>
                    <xdr:col>29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Length2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4</xdr:row>
                    <xdr:rowOff>38100</xdr:rowOff>
                  </from>
                  <to>
                    <xdr:col>29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Length3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7</xdr:row>
                    <xdr:rowOff>0</xdr:rowOff>
                  </from>
                  <to>
                    <xdr:col>29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Length5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12</xdr:row>
                    <xdr:rowOff>66675</xdr:rowOff>
                  </from>
                  <to>
                    <xdr:col>29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Length6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15</xdr:row>
                    <xdr:rowOff>19050</xdr:rowOff>
                  </from>
                  <to>
                    <xdr:col>29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1618"/>
  <sheetViews>
    <sheetView showGridLines="0" tabSelected="1" topLeftCell="K1" workbookViewId="0">
      <selection activeCell="M3" sqref="M3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9" style="33" bestFit="1" customWidth="1"/>
    <col min="15" max="15" width="2.7109375" style="33" customWidth="1"/>
    <col min="16" max="16" width="3" style="33" bestFit="1" customWidth="1"/>
    <col min="17" max="17" width="6" style="33" bestFit="1" customWidth="1"/>
    <col min="18" max="19" width="17.28515625" style="33" bestFit="1" customWidth="1"/>
    <col min="20" max="20" width="17.28515625" style="33" customWidth="1"/>
    <col min="21" max="23" width="9.7109375" style="33" customWidth="1"/>
    <col min="24" max="26" width="9" style="33" hidden="1" customWidth="1" outlineLevel="1"/>
    <col min="27" max="27" width="11" style="33" bestFit="1" customWidth="1" collapsed="1"/>
    <col min="28" max="28" width="10" style="33" bestFit="1" customWidth="1"/>
    <col min="29" max="29" width="7" style="33" bestFit="1" customWidth="1"/>
    <col min="30" max="33" width="9.140625" style="33"/>
    <col min="34" max="34" width="15.140625" style="33" bestFit="1" customWidth="1"/>
    <col min="35" max="36" width="9.140625" style="33"/>
    <col min="37" max="37" width="13.140625" style="33" bestFit="1" customWidth="1"/>
    <col min="38" max="16384" width="9.140625" style="33"/>
  </cols>
  <sheetData>
    <row r="1" spans="1:29" x14ac:dyDescent="0.2">
      <c r="A1" s="14" t="s">
        <v>25</v>
      </c>
      <c r="B1" s="14"/>
      <c r="C1" s="14"/>
      <c r="D1" s="14"/>
      <c r="E1" s="14"/>
      <c r="F1" s="14" t="s">
        <v>26</v>
      </c>
      <c r="G1" s="14"/>
      <c r="H1" s="14"/>
      <c r="I1" s="14"/>
      <c r="J1" s="14"/>
      <c r="U1" s="42"/>
      <c r="V1" s="42"/>
      <c r="W1" s="34"/>
      <c r="X1" s="34"/>
      <c r="Y1" s="34"/>
      <c r="Z1" s="34"/>
    </row>
    <row r="2" spans="1:29" ht="22.5" customHeight="1" x14ac:dyDescent="0.2">
      <c r="A2" s="15" t="s">
        <v>27</v>
      </c>
      <c r="B2" s="15" t="s">
        <v>28</v>
      </c>
      <c r="C2" s="15" t="s">
        <v>29</v>
      </c>
      <c r="D2" s="15" t="s">
        <v>30</v>
      </c>
      <c r="E2" s="15" t="s">
        <v>31</v>
      </c>
      <c r="F2" s="15" t="s">
        <v>28</v>
      </c>
      <c r="G2" s="15" t="s">
        <v>30</v>
      </c>
      <c r="H2" s="15" t="s">
        <v>31</v>
      </c>
      <c r="I2" s="15" t="s">
        <v>32</v>
      </c>
      <c r="J2" s="15" t="s">
        <v>33</v>
      </c>
      <c r="R2" s="45" t="s">
        <v>22</v>
      </c>
      <c r="S2" s="45" t="s">
        <v>23</v>
      </c>
      <c r="T2" s="45" t="s">
        <v>55</v>
      </c>
      <c r="U2" s="45" t="s">
        <v>24</v>
      </c>
      <c r="V2" s="45" t="str">
        <f>"F "&amp;$M$3</f>
        <v>F 6M</v>
      </c>
      <c r="W2" s="45" t="s">
        <v>36</v>
      </c>
      <c r="X2" s="45" t="s">
        <v>37</v>
      </c>
      <c r="Y2" s="45" t="s">
        <v>56</v>
      </c>
      <c r="Z2" s="45" t="s">
        <v>44</v>
      </c>
      <c r="AA2" s="45" t="s">
        <v>62</v>
      </c>
      <c r="AB2" s="45" t="s">
        <v>59</v>
      </c>
      <c r="AC2" s="45" t="s">
        <v>58</v>
      </c>
    </row>
    <row r="3" spans="1:29" x14ac:dyDescent="0.2">
      <c r="A3" s="18" t="str">
        <f>_xll.qlPeriodEquivalent(C3&amp;"M")</f>
        <v>1Y</v>
      </c>
      <c r="B3" s="10">
        <f>_xll.qlDateEndOfMonth(EDATE(_xll.qlSettingsEvaluationDate(Trigger),-1))</f>
        <v>42247</v>
      </c>
      <c r="C3" s="11">
        <v>12</v>
      </c>
      <c r="D3" s="10">
        <f>EDATE($R$3,C3)</f>
        <v>42643</v>
      </c>
      <c r="E3" s="12">
        <f>IF(C3&lt;=12,1,IF(C3&lt;=24,3,IF(C3&lt;=120,6,IF(C3&lt;=240,12,IF(C3&lt;=360,36,60)))))</f>
        <v>1</v>
      </c>
      <c r="F3" s="16">
        <f>ROUNDDOWN(I3*10,2)/10</f>
        <v>1E-3</v>
      </c>
      <c r="G3" s="17">
        <f>IF(J3-I3&gt;1%,(QUOTIENT(J3*10000,50)+1)*0.5%,(QUOTIENT(J3*10000,10)+1)*0.1%)</f>
        <v>3.0000000000000001E-3</v>
      </c>
      <c r="H3" s="12">
        <f>IF(G3-F3&lt;0.5%,0.025%,IF(G3-F3&lt;1%,0.1%,IF(G3-F3&lt;2%,0.25%,0.5%)))</f>
        <v>2.5000000000000001E-4</v>
      </c>
      <c r="I3" s="17">
        <f>MIN(_xll.ohPack($W$3:INDEX($W$3:$W$135,MATCH(D3+1,$S$3:$S$135,1),1)))</f>
        <v>1.7999629132530472E-3</v>
      </c>
      <c r="J3" s="17">
        <f>MAX(_xll.ohPack($W$3:INDEX($W$3:$W$135,MATCH(D3+1,$S$3:$S$135,1),1)))</f>
        <v>2.2567437507274033E-3</v>
      </c>
      <c r="L3" s="46" t="s">
        <v>21</v>
      </c>
      <c r="M3" s="86" t="s">
        <v>34</v>
      </c>
      <c r="N3" s="36"/>
      <c r="O3" s="36"/>
      <c r="P3" s="33">
        <v>0</v>
      </c>
      <c r="Q3" s="26" t="str">
        <f>P3&amp;"M"</f>
        <v>0M</v>
      </c>
      <c r="R3" s="28">
        <f>EvaluationDate</f>
        <v>42277</v>
      </c>
      <c r="S3" s="28">
        <f>_xll.qlInterestRateIndexValueDate(Index,R3,Trigger)</f>
        <v>42279</v>
      </c>
      <c r="T3" s="28">
        <f>_xll.qlInterestRateIndexMaturity(Index,S3,Trigger)</f>
        <v>42464</v>
      </c>
      <c r="U3" s="30">
        <f>_xll.qlIndexFixing($M$5,R3,TRUE,InterestRatesTrigger)</f>
        <v>-1.556962913253E-3</v>
      </c>
      <c r="V3" s="78">
        <f>_xll.qlIndexFixing(Index,R3,TRUE,InterestRatesTrigger)</f>
        <v>2.4300000000004727E-4</v>
      </c>
      <c r="W3" s="30">
        <f>V3-U3</f>
        <v>1.7999629132530472E-3</v>
      </c>
      <c r="X3" s="29">
        <f>_xll.qlDayCounterYearFraction(DayCounter,SettlementDate,S3,,,Trigger)</f>
        <v>0</v>
      </c>
      <c r="Y3" s="29">
        <f>_xll.qlDayCounterYearFraction(DayCounter,S3,T3)</f>
        <v>0.51388888888888884</v>
      </c>
      <c r="Z3" s="29">
        <f>IF($M$13,_xll.qlYieldTSDiscount(Currency&amp;"ON",S3)/(1+V3*Y3),1)</f>
        <v>1</v>
      </c>
      <c r="AA3" s="30">
        <f>_xll.qlTenorBasisValue(TenorBasis6M,S3,InterestRatesTrigger)</f>
        <v>1.7554557583766149E-3</v>
      </c>
      <c r="AB3" s="78">
        <f>AA3+U3</f>
        <v>1.9849284512361495E-4</v>
      </c>
      <c r="AC3" s="80">
        <f>AB3/V3</f>
        <v>0.81684298404763922</v>
      </c>
    </row>
    <row r="4" spans="1:29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42277</v>
      </c>
      <c r="C4" s="11">
        <v>24</v>
      </c>
      <c r="D4" s="10">
        <f t="shared" ref="D4:D9" si="0">EDATE($R$3,C4)</f>
        <v>43008</v>
      </c>
      <c r="E4" s="12">
        <f t="shared" ref="E4:E9" si="1">IF(C4&lt;=12,1,IF(C4&lt;=24,3,IF(C4&lt;=120,6,IF(C4&lt;=240,12,IF(C4&lt;=360,36,60)))))</f>
        <v>3</v>
      </c>
      <c r="F4" s="16">
        <f t="shared" ref="F4:F9" si="2">ROUNDDOWN(I4*10,2)/10</f>
        <v>1E-3</v>
      </c>
      <c r="G4" s="17">
        <f t="shared" ref="G4:G9" si="3">IF(J4-I4&gt;1%,(QUOTIENT(J4*10000,50)+1)*0.5%,(QUOTIENT(J4*10000,10)+1)*0.1%)</f>
        <v>3.0000000000000001E-3</v>
      </c>
      <c r="H4" s="12">
        <f t="shared" ref="H4:H9" si="4">IF(G4-F4&lt;0.5%,0.025%,IF(G4-F4&lt;1%,0.1%,IF(G4-F4&lt;2%,0.25%,0.5%)))</f>
        <v>2.5000000000000001E-4</v>
      </c>
      <c r="I4" s="17">
        <f>MIN(_xll.ohPack($W$3:INDEX($W$3:$W$135,MATCH(D4+1,$S$3:$S$135,1),1)))</f>
        <v>1.7999629132530472E-3</v>
      </c>
      <c r="J4" s="17">
        <f>MAX(_xll.ohPack($W$3:INDEX($W$3:$W$135,MATCH(D4+1,$S$3:$S$135,1),1)))</f>
        <v>2.498366242470954E-3</v>
      </c>
      <c r="L4" s="46" t="s">
        <v>20</v>
      </c>
      <c r="M4" s="86" t="str">
        <f>PROPER(Currency)&amp;IborType&amp;M3</f>
        <v>Euribor6M</v>
      </c>
      <c r="N4" s="36"/>
      <c r="O4" s="36"/>
      <c r="P4" s="33">
        <v>1</v>
      </c>
      <c r="Q4" s="26" t="str">
        <f>_xll.qlPeriodEquivalent(Q3&amp;"+"&amp;P4&amp;"M")</f>
        <v>1M</v>
      </c>
      <c r="R4" s="28">
        <f>_xll.qlCalendarAdvance(Calendar,SettlementDate,Q4,"f",,Trigger)</f>
        <v>42310</v>
      </c>
      <c r="S4" s="28">
        <f>_xll.qlInterestRateIndexValueDate(Index,R4,Trigger)</f>
        <v>42312</v>
      </c>
      <c r="T4" s="28">
        <f>_xll.qlInterestRateIndexMaturity(Index,S4,Trigger)</f>
        <v>42494</v>
      </c>
      <c r="U4" s="30">
        <f>_xll.qlIndexFixing($M$5,R4,TRUE,InterestRatesTrigger)</f>
        <v>-1.6237208692698674E-3</v>
      </c>
      <c r="V4" s="78">
        <f>_xll.qlIndexFixing(Index,R4,TRUE,InterestRatesTrigger)</f>
        <v>2.4947838391746577E-4</v>
      </c>
      <c r="W4" s="30">
        <f t="shared" ref="W4:W67" si="5">V4-U4</f>
        <v>1.8731992531873332E-3</v>
      </c>
      <c r="X4" s="29">
        <f>_xll.qlDayCounterYearFraction(DayCounter,SettlementDate,S4,,,Trigger)</f>
        <v>9.166666666666666E-2</v>
      </c>
      <c r="Y4" s="29">
        <f>_xll.qlDayCounterYearFraction(DayCounter,S4,T4)</f>
        <v>0.50555555555555554</v>
      </c>
      <c r="Z4" s="29">
        <f>IF($M$13,_xll.qlYieldTSDiscount(Currency&amp;"ON",S4)/(1+V4*Y4),1)</f>
        <v>1</v>
      </c>
      <c r="AA4" s="30">
        <f>_xll.qlTenorBasisValue(TenorBasis6M,S4,InterestRatesTrigger)</f>
        <v>1.8226416532396176E-3</v>
      </c>
      <c r="AB4" s="78">
        <f>AA4+U4</f>
        <v>1.9892078396975023E-4</v>
      </c>
      <c r="AC4" s="80">
        <f>AB4/V4</f>
        <v>0.79734677147643629</v>
      </c>
    </row>
    <row r="5" spans="1:29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5" s="11">
        <v>60</v>
      </c>
      <c r="D5" s="10">
        <f t="shared" si="0"/>
        <v>44104</v>
      </c>
      <c r="E5" s="12">
        <f t="shared" si="1"/>
        <v>6</v>
      </c>
      <c r="F5" s="16">
        <f t="shared" si="2"/>
        <v>1E-3</v>
      </c>
      <c r="G5" s="17">
        <f t="shared" si="3"/>
        <v>4.0000000000000001E-3</v>
      </c>
      <c r="H5" s="12">
        <f t="shared" si="4"/>
        <v>2.5000000000000001E-4</v>
      </c>
      <c r="I5" s="17">
        <f>MIN(_xll.ohPack($W$3:INDEX($W$3:$W$135,MATCH(D5+1,$S$3:$S$135,1),1)))</f>
        <v>1.7999629132530472E-3</v>
      </c>
      <c r="J5" s="17">
        <f>MAX(_xll.ohPack($W$3:INDEX($W$3:$W$135,MATCH(D5+1,$S$3:$S$135,1),1)))</f>
        <v>3.1892615915826124E-3</v>
      </c>
      <c r="L5" s="46" t="str">
        <f>"ON Index "&amp;$M$3</f>
        <v>ON Index 6M</v>
      </c>
      <c r="M5" s="35" t="str">
        <f>_xll.qlEuribor(,M3,Currency&amp;"ON",,Trigger)</f>
        <v>obj_005f3#0052</v>
      </c>
      <c r="P5" s="33">
        <v>1</v>
      </c>
      <c r="Q5" s="27" t="str">
        <f>_xll.qlPeriodEquivalent(Q4&amp;"+"&amp;P5&amp;"M")</f>
        <v>2M</v>
      </c>
      <c r="R5" s="28">
        <f>_xll.qlCalendarAdvance(Calendar,SettlementDate,Q5,"f",,Trigger)</f>
        <v>42340</v>
      </c>
      <c r="S5" s="28">
        <f>_xll.qlInterestRateIndexValueDate(Index,R5,Trigger)</f>
        <v>42342</v>
      </c>
      <c r="T5" s="28">
        <f>_xll.qlInterestRateIndexMaturity(Index,S5,Trigger)</f>
        <v>42527</v>
      </c>
      <c r="U5" s="30">
        <f>_xll.qlIndexFixing($M$5,R5,TRUE,InterestRatesTrigger)</f>
        <v>-1.6831127902540847E-3</v>
      </c>
      <c r="V5" s="78">
        <f>_xll.qlIndexFixing(Index,R5,TRUE,InterestRatesTrigger)</f>
        <v>2.2969748863517156E-4</v>
      </c>
      <c r="W5" s="30">
        <f t="shared" si="5"/>
        <v>1.9128102788892563E-3</v>
      </c>
      <c r="X5" s="29">
        <f>_xll.qlDayCounterYearFraction(DayCounter,SettlementDate,S5,,,Trigger)</f>
        <v>0.17499999999999999</v>
      </c>
      <c r="Y5" s="29">
        <f>_xll.qlDayCounterYearFraction(DayCounter,S5,T5)</f>
        <v>0.51388888888888884</v>
      </c>
      <c r="Z5" s="29">
        <f>IF($M$13,_xll.qlYieldTSDiscount(Currency&amp;"ON",S5)/(1+V5*Y5),1)</f>
        <v>1</v>
      </c>
      <c r="AA5" s="30">
        <f>_xll.qlTenorBasisValue(TenorBasis6M,S5,InterestRatesTrigger)</f>
        <v>1.8811696662489907E-3</v>
      </c>
      <c r="AB5" s="78">
        <f>AA5+U5</f>
        <v>1.9805687599490601E-4</v>
      </c>
      <c r="AC5" s="80">
        <f>AB5/V5</f>
        <v>0.86225094219240539</v>
      </c>
    </row>
    <row r="6" spans="1:29" x14ac:dyDescent="0.2">
      <c r="A6" s="18" t="str">
        <f>_xll.qlPeriodEquivalent(C6&amp;"M")</f>
        <v>10Y</v>
      </c>
      <c r="B6" s="10">
        <f t="shared" ref="B6:B9" si="6">B5</f>
        <v>42185</v>
      </c>
      <c r="C6" s="11">
        <v>120</v>
      </c>
      <c r="D6" s="10">
        <f t="shared" si="0"/>
        <v>45930</v>
      </c>
      <c r="E6" s="12">
        <f t="shared" si="1"/>
        <v>6</v>
      </c>
      <c r="F6" s="16">
        <f t="shared" si="2"/>
        <v>1E-3</v>
      </c>
      <c r="G6" s="17">
        <f t="shared" si="3"/>
        <v>4.0000000000000001E-3</v>
      </c>
      <c r="H6" s="12">
        <f t="shared" si="4"/>
        <v>2.5000000000000001E-4</v>
      </c>
      <c r="I6" s="17">
        <f>MIN(_xll.ohPack($W$3:INDEX($W$3:$W$135,MATCH(D6+1,$S$3:$S$135,1),1)))</f>
        <v>1.7999629132530472E-3</v>
      </c>
      <c r="J6" s="17">
        <f>MAX(_xll.ohPack($W$3:INDEX($W$3:$W$135,MATCH(D6+1,$S$3:$S$135,1),1)))</f>
        <v>3.1892615915826124E-3</v>
      </c>
      <c r="P6" s="33">
        <v>1</v>
      </c>
      <c r="Q6" s="27" t="str">
        <f>_xll.qlPeriodEquivalent(Q5&amp;"+"&amp;P6&amp;"M")</f>
        <v>3M</v>
      </c>
      <c r="R6" s="28">
        <f>_xll.qlCalendarAdvance(Calendar,SettlementDate,Q6,"f",,Trigger)</f>
        <v>42373</v>
      </c>
      <c r="S6" s="28">
        <f>_xll.qlInterestRateIndexValueDate(Index,R6,Trigger)</f>
        <v>42375</v>
      </c>
      <c r="T6" s="28">
        <f>_xll.qlInterestRateIndexMaturity(Index,S6,Trigger)</f>
        <v>42557</v>
      </c>
      <c r="U6" s="30">
        <f>_xll.qlIndexFixing($M$5,R6,TRUE,InterestRatesTrigger)</f>
        <v>-1.7696540879512375E-3</v>
      </c>
      <c r="V6" s="78">
        <f>_xll.qlIndexFixing(Index,R6,TRUE,InterestRatesTrigger)</f>
        <v>2.195593464782763E-4</v>
      </c>
      <c r="W6" s="30">
        <f t="shared" si="5"/>
        <v>1.9892134344295137E-3</v>
      </c>
      <c r="X6" s="29">
        <f>_xll.qlDayCounterYearFraction(DayCounter,SettlementDate,S6,,,Trigger)</f>
        <v>0.26666666666666666</v>
      </c>
      <c r="Y6" s="29">
        <f>_xll.qlDayCounterYearFraction(DayCounter,S6,T6)</f>
        <v>0.50555555555555554</v>
      </c>
      <c r="Z6" s="29">
        <f>IF($M$13,_xll.qlYieldTSDiscount(Currency&amp;"ON",S6)/(1+V6*Y6),1)</f>
        <v>1</v>
      </c>
      <c r="AA6" s="30">
        <f>_xll.qlTenorBasisValue(TenorBasis6M,S6,InterestRatesTrigger)</f>
        <v>1.9428236440324717E-3</v>
      </c>
      <c r="AB6" s="78">
        <f>AA6+U6</f>
        <v>1.7316955608123416E-4</v>
      </c>
      <c r="AC6" s="80">
        <f>AB6/V6</f>
        <v>0.78871411697505645</v>
      </c>
    </row>
    <row r="7" spans="1:29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0"/>
        <v>49582</v>
      </c>
      <c r="E7" s="13">
        <f t="shared" si="1"/>
        <v>12</v>
      </c>
      <c r="F7" s="16">
        <f t="shared" si="2"/>
        <v>0</v>
      </c>
      <c r="G7" s="17">
        <f t="shared" si="3"/>
        <v>4.0000000000000001E-3</v>
      </c>
      <c r="H7" s="12">
        <f t="shared" si="4"/>
        <v>2.5000000000000001E-4</v>
      </c>
      <c r="I7" s="17">
        <f>MIN(_xll.ohPack($W$3:INDEX($W$3:$W$135,MATCH(D7+1,$S$3:$S$135,1),1)))</f>
        <v>6.9545239371632261E-4</v>
      </c>
      <c r="J7" s="17">
        <f>MAX(_xll.ohPack($W$3:INDEX($W$3:$W$135,MATCH(D7+1,$S$3:$S$135,1),1)))</f>
        <v>3.1892615915826124E-3</v>
      </c>
      <c r="N7" s="46" t="s">
        <v>61</v>
      </c>
      <c r="P7" s="33">
        <v>1</v>
      </c>
      <c r="Q7" s="27" t="str">
        <f>_xll.qlPeriodEquivalent(Q6&amp;"+"&amp;P7&amp;"M")</f>
        <v>4M</v>
      </c>
      <c r="R7" s="28">
        <f>_xll.qlCalendarAdvance(Calendar,SettlementDate,Q7,"f",,Trigger)</f>
        <v>42402</v>
      </c>
      <c r="S7" s="28">
        <f>_xll.qlInterestRateIndexValueDate(Index,R7,Trigger)</f>
        <v>42404</v>
      </c>
      <c r="T7" s="28">
        <f>_xll.qlInterestRateIndexMaturity(Index,S7,Trigger)</f>
        <v>42586</v>
      </c>
      <c r="U7" s="30">
        <f>_xll.qlIndexFixing($M$5,R7,TRUE,InterestRatesTrigger)</f>
        <v>-1.8104130738712393E-3</v>
      </c>
      <c r="V7" s="78">
        <f>_xll.qlIndexFixing(Index,R7,TRUE,InterestRatesTrigger)</f>
        <v>2.0884657759925906E-4</v>
      </c>
      <c r="W7" s="30">
        <f t="shared" si="5"/>
        <v>2.0192596514704985E-3</v>
      </c>
      <c r="X7" s="29">
        <f>_xll.qlDayCounterYearFraction(DayCounter,SettlementDate,S7,,,Trigger)</f>
        <v>0.34722222222222221</v>
      </c>
      <c r="Y7" s="29">
        <f>_xll.qlDayCounterYearFraction(DayCounter,S7,T7)</f>
        <v>0.50555555555555554</v>
      </c>
      <c r="Z7" s="29">
        <f>IF($M$13,_xll.qlYieldTSDiscount(Currency&amp;"ON",S7)/(1+V7*Y7),1)</f>
        <v>1</v>
      </c>
      <c r="AA7" s="30">
        <f>_xll.qlTenorBasisValue(TenorBasis6M,S7,InterestRatesTrigger)</f>
        <v>1.9947094605092469E-3</v>
      </c>
      <c r="AB7" s="78">
        <f>AA7+U7</f>
        <v>1.8429638663800766E-4</v>
      </c>
      <c r="AC7" s="80">
        <f>AB7/V7</f>
        <v>0.8824486795835409</v>
      </c>
    </row>
    <row r="8" spans="1:29" x14ac:dyDescent="0.2">
      <c r="A8" s="18" t="str">
        <f>_xll.qlPeriodEquivalent(C8&amp;"M")</f>
        <v>30Y</v>
      </c>
      <c r="B8" s="10">
        <f t="shared" si="6"/>
        <v>42004</v>
      </c>
      <c r="C8" s="11">
        <v>360</v>
      </c>
      <c r="D8" s="10">
        <f t="shared" si="0"/>
        <v>53235</v>
      </c>
      <c r="E8" s="13">
        <f t="shared" si="1"/>
        <v>36</v>
      </c>
      <c r="F8" s="16">
        <f t="shared" si="2"/>
        <v>0</v>
      </c>
      <c r="G8" s="17">
        <f t="shared" si="3"/>
        <v>4.0000000000000001E-3</v>
      </c>
      <c r="H8" s="12">
        <f t="shared" si="4"/>
        <v>2.5000000000000001E-4</v>
      </c>
      <c r="I8" s="17">
        <f>MIN(_xll.ohPack($W$3:INDEX($W$3:$W$135,MATCH(D8+1,$S$3:$S$135,1),1)))</f>
        <v>4.4658131535271414E-4</v>
      </c>
      <c r="J8" s="17">
        <f>MAX(_xll.ohPack($W$3:INDEX($W$3:$W$135,MATCH(D8+1,$S$3:$S$135,1),1)))</f>
        <v>3.1892615915826124E-3</v>
      </c>
      <c r="L8" s="46" t="s">
        <v>39</v>
      </c>
      <c r="M8" s="84">
        <v>1.511365712587327E-3</v>
      </c>
      <c r="N8" s="82" t="b">
        <v>0</v>
      </c>
      <c r="P8" s="33">
        <v>1</v>
      </c>
      <c r="Q8" s="27" t="str">
        <f>_xll.qlPeriodEquivalent(Q7&amp;"+"&amp;P8&amp;"M")</f>
        <v>5M</v>
      </c>
      <c r="R8" s="28">
        <f>_xll.qlCalendarAdvance(Calendar,SettlementDate,Q8,"f",,Trigger)</f>
        <v>42431</v>
      </c>
      <c r="S8" s="28">
        <f>_xll.qlInterestRateIndexValueDate(Index,R8,Trigger)</f>
        <v>42433</v>
      </c>
      <c r="T8" s="28">
        <f>_xll.qlInterestRateIndexMaturity(Index,S8,Trigger)</f>
        <v>42618</v>
      </c>
      <c r="U8" s="30">
        <f>_xll.qlIndexFixing($M$5,R8,TRUE,InterestRatesTrigger)</f>
        <v>-1.8573578730757059E-3</v>
      </c>
      <c r="V8" s="78">
        <f>_xll.qlIndexFixing(Index,R8,TRUE,InterestRatesTrigger)</f>
        <v>1.994522220451264E-4</v>
      </c>
      <c r="W8" s="30">
        <f t="shared" si="5"/>
        <v>2.0568100951208323E-3</v>
      </c>
      <c r="X8" s="29">
        <f>_xll.qlDayCounterYearFraction(DayCounter,SettlementDate,S8,,,Trigger)</f>
        <v>0.42777777777777776</v>
      </c>
      <c r="Y8" s="29">
        <f>_xll.qlDayCounterYearFraction(DayCounter,S8,T8)</f>
        <v>0.51388888888888884</v>
      </c>
      <c r="Z8" s="29">
        <f>IF($M$13,_xll.qlYieldTSDiscount(Currency&amp;"ON",S8)/(1+V8*Y8),1)</f>
        <v>1</v>
      </c>
      <c r="AA8" s="30">
        <f>_xll.qlTenorBasisValue(TenorBasis6M,S8,InterestRatesTrigger)</f>
        <v>2.0445056416741893E-3</v>
      </c>
      <c r="AB8" s="78">
        <f>AA8+U8</f>
        <v>1.8714776859848339E-4</v>
      </c>
      <c r="AC8" s="80">
        <f>AB8/V8</f>
        <v>0.93830876728032087</v>
      </c>
    </row>
    <row r="9" spans="1:29" x14ac:dyDescent="0.2">
      <c r="A9" s="19" t="str">
        <f>_xll.qlPeriodEquivalent(C9&amp;"M")</f>
        <v>60Y</v>
      </c>
      <c r="B9" s="20">
        <f t="shared" si="6"/>
        <v>42004</v>
      </c>
      <c r="C9" s="21">
        <v>720</v>
      </c>
      <c r="D9" s="20">
        <f t="shared" si="0"/>
        <v>64192</v>
      </c>
      <c r="E9" s="22">
        <f t="shared" si="1"/>
        <v>60</v>
      </c>
      <c r="F9" s="23">
        <f t="shared" si="2"/>
        <v>0</v>
      </c>
      <c r="G9" s="24">
        <f t="shared" si="3"/>
        <v>4.0000000000000001E-3</v>
      </c>
      <c r="H9" s="25">
        <f t="shared" si="4"/>
        <v>2.5000000000000001E-4</v>
      </c>
      <c r="I9" s="24">
        <f>MIN(_xll.ohPack($W$3:INDEX($W$3:$W$135,MATCH(D9+1,$S$3:$S$135,1),1)))</f>
        <v>-2.1245133145554942E-4</v>
      </c>
      <c r="J9" s="24">
        <f>MAX(_xll.ohPack($W$3:INDEX($W$3:$W$135,MATCH(D9+1,$S$3:$S$135,1),1)))</f>
        <v>3.1892615915826124E-3</v>
      </c>
      <c r="L9" s="46" t="s">
        <v>40</v>
      </c>
      <c r="M9" s="85">
        <v>1.0658070562731107E-3</v>
      </c>
      <c r="N9" s="82" t="b">
        <v>0</v>
      </c>
      <c r="P9" s="33">
        <v>1</v>
      </c>
      <c r="Q9" s="27" t="str">
        <f>_xll.qlPeriodEquivalent(Q8&amp;"+"&amp;P9&amp;"M")</f>
        <v>6M</v>
      </c>
      <c r="R9" s="28">
        <f>_xll.qlCalendarAdvance(Calendar,SettlementDate,Q9,"f",,Trigger)</f>
        <v>42464</v>
      </c>
      <c r="S9" s="28">
        <f>_xll.qlInterestRateIndexValueDate(Index,R9,Trigger)</f>
        <v>42466</v>
      </c>
      <c r="T9" s="28">
        <f>_xll.qlInterestRateIndexMaturity(Index,S9,Trigger)</f>
        <v>42649</v>
      </c>
      <c r="U9" s="30">
        <f>_xll.qlIndexFixing($M$5,R9,TRUE,InterestRatesTrigger)</f>
        <v>-1.9049622281140952E-3</v>
      </c>
      <c r="V9" s="78">
        <f>_xll.qlIndexFixing(Index,R9,TRUE,InterestRatesTrigger)</f>
        <v>2.0049709345317584E-4</v>
      </c>
      <c r="W9" s="30">
        <f t="shared" si="5"/>
        <v>2.1054593215672711E-3</v>
      </c>
      <c r="X9" s="29">
        <f>_xll.qlDayCounterYearFraction(DayCounter,SettlementDate,S9,,,Trigger)</f>
        <v>0.51944444444444449</v>
      </c>
      <c r="Y9" s="29">
        <f>_xll.qlDayCounterYearFraction(DayCounter,S9,T9)</f>
        <v>0.5083333333333333</v>
      </c>
      <c r="Z9" s="29">
        <f>IF($M$13,_xll.qlYieldTSDiscount(Currency&amp;"ON",S9)/(1+V9*Y9),1)</f>
        <v>1</v>
      </c>
      <c r="AA9" s="30">
        <f>_xll.qlTenorBasisValue(TenorBasis6M,S9,InterestRatesTrigger)</f>
        <v>2.0986964240675074E-3</v>
      </c>
      <c r="AB9" s="78">
        <f>AA9+U9</f>
        <v>1.9373419595341223E-4</v>
      </c>
      <c r="AC9" s="80">
        <f>AB9/V9</f>
        <v>0.96626934893027261</v>
      </c>
    </row>
    <row r="10" spans="1:29" x14ac:dyDescent="0.2">
      <c r="A10" s="18" t="str">
        <f>_xll.qlPeriodEquivalent(C10&amp;"M")</f>
        <v>1Y</v>
      </c>
      <c r="B10" s="10">
        <f>_xll.qlDateEndOfMonth(EDATE(_xll.qlSettingsEvaluationDate(Trigger),-1))</f>
        <v>42247</v>
      </c>
      <c r="C10" s="11">
        <v>12</v>
      </c>
      <c r="D10" s="10">
        <f>EDATE($R$3,C10)</f>
        <v>42643</v>
      </c>
      <c r="E10" s="12">
        <f>IF(C10&lt;=12,1,IF(C10&lt;=24,3,IF(C10&lt;=120,6,IF(C10&lt;=240,12,IF(C10&lt;=360,36,60)))))</f>
        <v>1</v>
      </c>
      <c r="F10" s="16">
        <f>ROUNDDOWN(I10*10,2)/10</f>
        <v>1E-3</v>
      </c>
      <c r="G10" s="17">
        <f>IF(J10-I10&gt;1%,(QUOTIENT(J10*10000,50)+1)*0.5%,(QUOTIENT(J10*10000,10)+1)*0.1%)</f>
        <v>3.0000000000000001E-3</v>
      </c>
      <c r="H10" s="12">
        <f>IF(G10-F10&lt;0.5%,0.025%,IF(G10-F10&lt;1%,0.1%,IF(G10-F10&lt;2%,0.25%,0.5%)))</f>
        <v>2.5000000000000001E-4</v>
      </c>
      <c r="I10" s="17">
        <f>MIN(_xll.ohPack($W$3:INDEX($W$3:$W$135,MATCH(D10+1,$S$3:$S$135,1),1)))</f>
        <v>1.7999629132530472E-3</v>
      </c>
      <c r="J10" s="17">
        <f>MAX(_xll.ohPack($W$3:INDEX($W$3:$W$135,MATCH(D10+1,$S$3:$S$135,1),1)))</f>
        <v>2.2567437507274033E-3</v>
      </c>
      <c r="L10" s="46" t="s">
        <v>41</v>
      </c>
      <c r="M10" s="85">
        <v>0.20255568603684723</v>
      </c>
      <c r="N10" s="82" t="b">
        <v>0</v>
      </c>
      <c r="P10" s="33">
        <v>1</v>
      </c>
      <c r="Q10" s="27" t="str">
        <f>_xll.qlPeriodEquivalent(Q9&amp;"+"&amp;P10&amp;"M")</f>
        <v>7M</v>
      </c>
      <c r="R10" s="28">
        <f>_xll.qlCalendarAdvance(Calendar,SettlementDate,Q10,"f",,Trigger)</f>
        <v>42492</v>
      </c>
      <c r="S10" s="28">
        <f>_xll.qlInterestRateIndexValueDate(Index,R10,Trigger)</f>
        <v>42494</v>
      </c>
      <c r="T10" s="28">
        <f>_xll.qlInterestRateIndexMaturity(Index,S10,Trigger)</f>
        <v>42678</v>
      </c>
      <c r="U10" s="30">
        <f>_xll.qlIndexFixing($M$5,R10,TRUE,InterestRatesTrigger)</f>
        <v>-1.934288700449905E-3</v>
      </c>
      <c r="V10" s="78">
        <f>_xll.qlIndexFixing(Index,R10,TRUE,InterestRatesTrigger)</f>
        <v>2.1020250588795706E-4</v>
      </c>
      <c r="W10" s="30">
        <f t="shared" si="5"/>
        <v>2.1444912063378623E-3</v>
      </c>
      <c r="X10" s="29">
        <f>_xll.qlDayCounterYearFraction(DayCounter,SettlementDate,S10,,,Trigger)</f>
        <v>0.59722222222222221</v>
      </c>
      <c r="Y10" s="29">
        <f>_xll.qlDayCounterYearFraction(DayCounter,S10,T10)</f>
        <v>0.51111111111111107</v>
      </c>
      <c r="Z10" s="29">
        <f>IF($M$13,_xll.qlYieldTSDiscount(Currency&amp;"ON",S10)/(1+V10*Y10),1)</f>
        <v>1</v>
      </c>
      <c r="AA10" s="30">
        <f>_xll.qlTenorBasisValue(TenorBasis6M,S10,InterestRatesTrigger)</f>
        <v>2.1426662115925639E-3</v>
      </c>
      <c r="AB10" s="78">
        <f>AA10+U10</f>
        <v>2.0837751114265884E-4</v>
      </c>
      <c r="AC10" s="80">
        <f>AB10/V10</f>
        <v>0.99131792108001326</v>
      </c>
    </row>
    <row r="11" spans="1:29" x14ac:dyDescent="0.2">
      <c r="A11" s="18" t="str">
        <f>_xll.qlPeriodEquivalent(C11&amp;"M")</f>
        <v>2Y</v>
      </c>
      <c r="B11" s="10">
        <f>_xll.qlDateEndOfMonth(EDATE(_xll.qlIMMNextDate(_xll.qlSettingsEvaluationDate(Trigger)-1,TRUE),-3))</f>
        <v>42277</v>
      </c>
      <c r="C11" s="11">
        <v>24</v>
      </c>
      <c r="D11" s="10">
        <f t="shared" ref="D11:D16" si="7">EDATE($R$3,C11)</f>
        <v>43008</v>
      </c>
      <c r="E11" s="12">
        <f t="shared" ref="E11:E16" si="8">IF(C11&lt;=12,1,IF(C11&lt;=24,3,IF(C11&lt;=120,6,IF(C11&lt;=240,12,IF(C11&lt;=360,36,60)))))</f>
        <v>3</v>
      </c>
      <c r="F11" s="16">
        <f t="shared" ref="F11:F16" si="9">ROUNDDOWN(I11*10,2)/10</f>
        <v>1E-3</v>
      </c>
      <c r="G11" s="17">
        <f t="shared" ref="G11:G16" si="10">IF(J11-I11&gt;1%,(QUOTIENT(J11*10000,50)+1)*0.5%,(QUOTIENT(J11*10000,10)+1)*0.1%)</f>
        <v>3.0000000000000001E-3</v>
      </c>
      <c r="H11" s="12">
        <f t="shared" ref="H11:H16" si="11">IF(G11-F11&lt;0.5%,0.025%,IF(G11-F11&lt;1%,0.1%,IF(G11-F11&lt;2%,0.25%,0.5%)))</f>
        <v>2.5000000000000001E-4</v>
      </c>
      <c r="I11" s="17">
        <f>MIN(_xll.ohPack($W$3:INDEX($W$3:$W$135,MATCH(D11+1,$S$3:$S$135,1),1)))</f>
        <v>1.7999629132530472E-3</v>
      </c>
      <c r="J11" s="17">
        <f>MAX(_xll.ohPack($W$3:INDEX($W$3:$W$135,MATCH(D11+1,$S$3:$S$135,1),1)))</f>
        <v>2.498366242470954E-3</v>
      </c>
      <c r="L11" s="46" t="s">
        <v>42</v>
      </c>
      <c r="M11" s="84">
        <v>2.4409004578928803E-4</v>
      </c>
      <c r="N11" s="82" t="b">
        <v>0</v>
      </c>
      <c r="O11" s="34"/>
      <c r="P11" s="33">
        <v>1</v>
      </c>
      <c r="Q11" s="27" t="str">
        <f>_xll.qlPeriodEquivalent(Q10&amp;"+"&amp;P11&amp;"M")</f>
        <v>8M</v>
      </c>
      <c r="R11" s="28">
        <f>_xll.qlCalendarAdvance(Calendar,SettlementDate,Q11,"f",,Trigger)</f>
        <v>42523</v>
      </c>
      <c r="S11" s="28">
        <f>_xll.qlInterestRateIndexValueDate(Index,R11,Trigger)</f>
        <v>42527</v>
      </c>
      <c r="T11" s="28">
        <f>_xll.qlInterestRateIndexMaturity(Index,S11,Trigger)</f>
        <v>42710</v>
      </c>
      <c r="U11" s="30">
        <f>_xll.qlIndexFixing($M$5,R11,TRUE,InterestRatesTrigger)</f>
        <v>-1.9544550325474564E-3</v>
      </c>
      <c r="V11" s="78">
        <f>_xll.qlIndexFixing(Index,R11,TRUE,InterestRatesTrigger)</f>
        <v>2.1142438285874304E-4</v>
      </c>
      <c r="W11" s="30">
        <f t="shared" si="5"/>
        <v>2.1658794154061994E-3</v>
      </c>
      <c r="X11" s="29">
        <f>_xll.qlDayCounterYearFraction(DayCounter,SettlementDate,S11,,,Trigger)</f>
        <v>0.68888888888888888</v>
      </c>
      <c r="Y11" s="29">
        <f>_xll.qlDayCounterYearFraction(DayCounter,S11,T11)</f>
        <v>0.5083333333333333</v>
      </c>
      <c r="Z11" s="29">
        <f>IF($M$13,_xll.qlYieldTSDiscount(Currency&amp;"ON",S11)/(1+V11*Y11),1)</f>
        <v>1</v>
      </c>
      <c r="AA11" s="30">
        <f>_xll.qlTenorBasisValue(TenorBasis6M,S11,InterestRatesTrigger)</f>
        <v>2.1921844888638043E-3</v>
      </c>
      <c r="AB11" s="78">
        <f>AA11+U11</f>
        <v>2.3772945631634788E-4</v>
      </c>
      <c r="AC11" s="80">
        <f>AB11/V11</f>
        <v>1.1244183528026652</v>
      </c>
    </row>
    <row r="12" spans="1:29" x14ac:dyDescent="0.2">
      <c r="A12" s="18" t="str">
        <f>_xll.qlPeriodEquivalent(C12&amp;"M")</f>
        <v>5Y</v>
      </c>
      <c r="B12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12" s="11">
        <v>60</v>
      </c>
      <c r="D12" s="10">
        <f t="shared" si="7"/>
        <v>44104</v>
      </c>
      <c r="E12" s="12">
        <f t="shared" si="8"/>
        <v>6</v>
      </c>
      <c r="F12" s="16">
        <f t="shared" si="9"/>
        <v>1E-3</v>
      </c>
      <c r="G12" s="17">
        <f t="shared" si="10"/>
        <v>4.0000000000000001E-3</v>
      </c>
      <c r="H12" s="12">
        <f t="shared" si="11"/>
        <v>2.5000000000000001E-4</v>
      </c>
      <c r="I12" s="17">
        <f>MIN(_xll.ohPack($W$3:INDEX($W$3:$W$135,MATCH(D12+1,$S$3:$S$135,1),1)))</f>
        <v>1.7999629132530472E-3</v>
      </c>
      <c r="J12" s="17">
        <f>MAX(_xll.ohPack($W$3:INDEX($W$3:$W$135,MATCH(D12+1,$S$3:$S$135,1),1)))</f>
        <v>3.1892615915826124E-3</v>
      </c>
      <c r="N12" s="34"/>
      <c r="P12" s="33">
        <v>1</v>
      </c>
      <c r="Q12" s="27" t="str">
        <f>_xll.qlPeriodEquivalent(Q11&amp;"+"&amp;P12&amp;"M")</f>
        <v>9M</v>
      </c>
      <c r="R12" s="28">
        <f>_xll.qlCalendarAdvance(Calendar,SettlementDate,Q12,"f",,Trigger)</f>
        <v>42555</v>
      </c>
      <c r="S12" s="28">
        <f>_xll.qlInterestRateIndexValueDate(Index,R12,Trigger)</f>
        <v>42557</v>
      </c>
      <c r="T12" s="28">
        <f>_xll.qlInterestRateIndexMaturity(Index,S12,Trigger)</f>
        <v>42741</v>
      </c>
      <c r="U12" s="30">
        <f>_xll.qlIndexFixing($M$5,R12,TRUE,InterestRatesTrigger)</f>
        <v>-1.9510683532957891E-3</v>
      </c>
      <c r="V12" s="78">
        <f>_xll.qlIndexFixing(Index,R12,TRUE,InterestRatesTrigger)</f>
        <v>2.5246424816368582E-4</v>
      </c>
      <c r="W12" s="30">
        <f t="shared" si="5"/>
        <v>2.2035326014594749E-3</v>
      </c>
      <c r="X12" s="29">
        <f>_xll.qlDayCounterYearFraction(DayCounter,SettlementDate,S12,,,Trigger)</f>
        <v>0.77222222222222225</v>
      </c>
      <c r="Y12" s="29">
        <f>_xll.qlDayCounterYearFraction(DayCounter,S12,T12)</f>
        <v>0.51111111111111107</v>
      </c>
      <c r="Z12" s="29">
        <f>IF($M$13,_xll.qlYieldTSDiscount(Currency&amp;"ON",S12)/(1+V12*Y12),1)</f>
        <v>1</v>
      </c>
      <c r="AA12" s="30">
        <f>_xll.qlTenorBasisValue(TenorBasis6M,S12,InterestRatesTrigger)</f>
        <v>2.235097148699895E-3</v>
      </c>
      <c r="AB12" s="78">
        <f>AA12+U12</f>
        <v>2.8402879540410583E-4</v>
      </c>
      <c r="AC12" s="80">
        <f>AB12/V12</f>
        <v>1.1250258104662607</v>
      </c>
    </row>
    <row r="13" spans="1:29" x14ac:dyDescent="0.2">
      <c r="A13" s="18" t="str">
        <f>_xll.qlPeriodEquivalent(C13&amp;"M")</f>
        <v>10Y</v>
      </c>
      <c r="B13" s="10">
        <f t="shared" ref="B13:B16" si="12">B12</f>
        <v>42185</v>
      </c>
      <c r="C13" s="11">
        <v>120</v>
      </c>
      <c r="D13" s="10">
        <f t="shared" si="7"/>
        <v>45930</v>
      </c>
      <c r="E13" s="12">
        <f t="shared" si="8"/>
        <v>6</v>
      </c>
      <c r="F13" s="16">
        <f t="shared" si="9"/>
        <v>1E-3</v>
      </c>
      <c r="G13" s="17">
        <f t="shared" si="10"/>
        <v>4.0000000000000001E-3</v>
      </c>
      <c r="H13" s="12">
        <f t="shared" si="11"/>
        <v>2.5000000000000001E-4</v>
      </c>
      <c r="I13" s="17">
        <f>MIN(_xll.ohPack($W$3:INDEX($W$3:$W$135,MATCH(D13+1,$S$3:$S$135,1),1)))</f>
        <v>1.7999629132530472E-3</v>
      </c>
      <c r="J13" s="17">
        <f>MAX(_xll.ohPack($W$3:INDEX($W$3:$W$135,MATCH(D13+1,$S$3:$S$135,1),1)))</f>
        <v>3.1892615915826124E-3</v>
      </c>
      <c r="L13" s="46" t="s">
        <v>60</v>
      </c>
      <c r="M13" s="82" t="b">
        <v>0</v>
      </c>
      <c r="P13" s="33">
        <v>1</v>
      </c>
      <c r="Q13" s="27" t="str">
        <f>_xll.qlPeriodEquivalent(Q12&amp;"+"&amp;P13&amp;"M")</f>
        <v>10M</v>
      </c>
      <c r="R13" s="28">
        <f>_xll.qlCalendarAdvance(Calendar,SettlementDate,Q13,"f",,Trigger)</f>
        <v>42584</v>
      </c>
      <c r="S13" s="28">
        <f>_xll.qlInterestRateIndexValueDate(Index,R13,Trigger)</f>
        <v>42586</v>
      </c>
      <c r="T13" s="28">
        <f>_xll.qlInterestRateIndexMaturity(Index,S13,Trigger)</f>
        <v>42772</v>
      </c>
      <c r="U13" s="30">
        <f>_xll.qlIndexFixing($M$5,R13,TRUE,InterestRatesTrigger)</f>
        <v>-1.9434761221670893E-3</v>
      </c>
      <c r="V13" s="78">
        <f>_xll.qlIndexFixing(Index,R13,TRUE,InterestRatesTrigger)</f>
        <v>2.9347183324039097E-4</v>
      </c>
      <c r="W13" s="30">
        <f t="shared" si="5"/>
        <v>2.2369479554074801E-3</v>
      </c>
      <c r="X13" s="29">
        <f>_xll.qlDayCounterYearFraction(DayCounter,SettlementDate,S13,,,Trigger)</f>
        <v>0.85277777777777775</v>
      </c>
      <c r="Y13" s="29">
        <f>_xll.qlDayCounterYearFraction(DayCounter,S13,T13)</f>
        <v>0.51666666666666672</v>
      </c>
      <c r="Z13" s="29">
        <f>IF($M$13,_xll.qlYieldTSDiscount(Currency&amp;"ON",S13)/(1+V13*Y13),1)</f>
        <v>1</v>
      </c>
      <c r="AA13" s="30">
        <f>_xll.qlTenorBasisValue(TenorBasis6M,S13,InterestRatesTrigger)</f>
        <v>2.2747270720015773E-3</v>
      </c>
      <c r="AB13" s="78">
        <f>AA13+U13</f>
        <v>3.3125094983448792E-4</v>
      </c>
      <c r="AC13" s="80">
        <f>AB13/V13</f>
        <v>1.1287316611511096</v>
      </c>
    </row>
    <row r="14" spans="1:29" x14ac:dyDescent="0.2">
      <c r="A14" s="18" t="str">
        <f>_xll.qlPeriodEquivalent(C14&amp;"M")</f>
        <v>20Y</v>
      </c>
      <c r="B14" s="10">
        <f>IF(AND(MONTH(B13)=12),B13,_xll.qlDateEndOfMonth(EDATE(B13,-6)))</f>
        <v>42004</v>
      </c>
      <c r="C14" s="11">
        <v>240</v>
      </c>
      <c r="D14" s="10">
        <f t="shared" si="7"/>
        <v>49582</v>
      </c>
      <c r="E14" s="13">
        <f t="shared" si="8"/>
        <v>12</v>
      </c>
      <c r="F14" s="16">
        <f t="shared" si="9"/>
        <v>0</v>
      </c>
      <c r="G14" s="17">
        <f t="shared" si="10"/>
        <v>4.0000000000000001E-3</v>
      </c>
      <c r="H14" s="12">
        <f t="shared" si="11"/>
        <v>2.5000000000000001E-4</v>
      </c>
      <c r="I14" s="17">
        <f>MIN(_xll.ohPack($W$3:INDEX($W$3:$W$135,MATCH(D14+1,$S$3:$S$135,1),1)))</f>
        <v>6.9545239371632261E-4</v>
      </c>
      <c r="J14" s="17">
        <f>MAX(_xll.ohPack($W$3:INDEX($W$3:$W$135,MATCH(D14+1,$S$3:$S$135,1),1)))</f>
        <v>3.1892615915826124E-3</v>
      </c>
      <c r="L14" s="46" t="s">
        <v>45</v>
      </c>
      <c r="M14" s="35" t="str">
        <f>_xll.qlAbcdCalibration2(,X3:X253,W3:W253,Z3:Z253,ContBasis,N8:N11,,,,Trigger)</f>
        <v>obj_005f5#0097</v>
      </c>
      <c r="P14" s="33">
        <v>1</v>
      </c>
      <c r="Q14" s="27" t="str">
        <f>_xll.qlPeriodEquivalent(Q13&amp;"+"&amp;P14&amp;"M")</f>
        <v>11M</v>
      </c>
      <c r="R14" s="28">
        <f>_xll.qlCalendarAdvance(Calendar,SettlementDate,Q14,"f",,Trigger)</f>
        <v>42615</v>
      </c>
      <c r="S14" s="28">
        <f>_xll.qlInterestRateIndexValueDate(Index,R14,Trigger)</f>
        <v>42619</v>
      </c>
      <c r="T14" s="28">
        <f>_xll.qlInterestRateIndexMaturity(Index,S14,Trigger)</f>
        <v>42800</v>
      </c>
      <c r="U14" s="30">
        <f>_xll.qlIndexFixing($M$5,R14,TRUE,InterestRatesTrigger)</f>
        <v>-1.9211920384541027E-3</v>
      </c>
      <c r="V14" s="78">
        <f>_xll.qlIndexFixing(Index,R14,TRUE,InterestRatesTrigger)</f>
        <v>3.3555171227330074E-4</v>
      </c>
      <c r="W14" s="30">
        <f t="shared" si="5"/>
        <v>2.2567437507274033E-3</v>
      </c>
      <c r="X14" s="29">
        <f>_xll.qlDayCounterYearFraction(DayCounter,SettlementDate,S14,,,Trigger)</f>
        <v>0.94444444444444442</v>
      </c>
      <c r="Y14" s="29">
        <f>_xll.qlDayCounterYearFraction(DayCounter,S14,T14)</f>
        <v>0.50277777777777777</v>
      </c>
      <c r="Z14" s="29">
        <f>IF($M$13,_xll.qlYieldTSDiscount(Currency&amp;"ON",S14)/(1+V14*Y14),1)</f>
        <v>1</v>
      </c>
      <c r="AA14" s="30">
        <f>_xll.qlTenorBasisValue(TenorBasis6M,S14,InterestRatesTrigger)</f>
        <v>2.3176693491232421E-3</v>
      </c>
      <c r="AB14" s="78">
        <f>AA14+U14</f>
        <v>3.964773106691394E-4</v>
      </c>
      <c r="AC14" s="80">
        <f>AB14/V14</f>
        <v>1.1815684324275355</v>
      </c>
    </row>
    <row r="15" spans="1:29" x14ac:dyDescent="0.2">
      <c r="A15" s="18" t="str">
        <f>_xll.qlPeriodEquivalent(C15&amp;"M")</f>
        <v>30Y</v>
      </c>
      <c r="B15" s="10">
        <f t="shared" si="12"/>
        <v>42004</v>
      </c>
      <c r="C15" s="11">
        <v>360</v>
      </c>
      <c r="D15" s="10">
        <f t="shared" si="7"/>
        <v>53235</v>
      </c>
      <c r="E15" s="13">
        <f t="shared" si="8"/>
        <v>36</v>
      </c>
      <c r="F15" s="16">
        <f t="shared" si="9"/>
        <v>0</v>
      </c>
      <c r="G15" s="17">
        <f t="shared" si="10"/>
        <v>4.0000000000000001E-3</v>
      </c>
      <c r="H15" s="12">
        <f t="shared" si="11"/>
        <v>2.5000000000000001E-4</v>
      </c>
      <c r="I15" s="17">
        <f>MIN(_xll.ohPack($W$3:INDEX($W$3:$W$135,MATCH(D15+1,$S$3:$S$135,1),1)))</f>
        <v>4.4658131535271414E-4</v>
      </c>
      <c r="J15" s="17">
        <f>MAX(_xll.ohPack($W$3:INDEX($W$3:$W$135,MATCH(D15+1,$S$3:$S$135,1),1)))</f>
        <v>3.1892615915826124E-3</v>
      </c>
      <c r="L15" s="46" t="s">
        <v>38</v>
      </c>
      <c r="M15" s="35" t="b">
        <f>_xll.qlAbcdCalibration2Compute(M14,AllTriggers)</f>
        <v>1</v>
      </c>
      <c r="P15" s="33">
        <v>1</v>
      </c>
      <c r="Q15" s="27" t="str">
        <f>_xll.qlPeriodEquivalent(Q14&amp;"+"&amp;P15&amp;"M")</f>
        <v>1Y</v>
      </c>
      <c r="R15" s="28">
        <f>_xll.qlCalendarAdvance(Calendar,SettlementDate,Q15,"f",,Trigger)</f>
        <v>42646</v>
      </c>
      <c r="S15" s="28">
        <f>_xll.qlInterestRateIndexValueDate(Index,R15,Trigger)</f>
        <v>42648</v>
      </c>
      <c r="T15" s="28">
        <f>_xll.qlInterestRateIndexMaturity(Index,S15,Trigger)</f>
        <v>42830</v>
      </c>
      <c r="U15" s="30">
        <f>_xll.qlIndexFixing($M$5,R15,TRUE,InterestRatesTrigger)</f>
        <v>-1.8832811167963453E-3</v>
      </c>
      <c r="V15" s="78">
        <f>_xll.qlIndexFixing(Index,R15,TRUE,InterestRatesTrigger)</f>
        <v>3.9604831502425687E-4</v>
      </c>
      <c r="W15" s="30">
        <f t="shared" si="5"/>
        <v>2.2793294318206019E-3</v>
      </c>
      <c r="X15" s="29">
        <f>_xll.qlDayCounterYearFraction(DayCounter,SettlementDate,S15,,,Trigger)</f>
        <v>1.0249999999999999</v>
      </c>
      <c r="Y15" s="29">
        <f>_xll.qlDayCounterYearFraction(DayCounter,S15,T15)</f>
        <v>0.50555555555555554</v>
      </c>
      <c r="Z15" s="29">
        <f>IF($M$13,_xll.qlYieldTSDiscount(Currency&amp;"ON",S15)/(1+V15*Y15),1)</f>
        <v>1</v>
      </c>
      <c r="AA15" s="30">
        <f>_xll.qlTenorBasisValue(TenorBasis6M,S15,InterestRatesTrigger)</f>
        <v>2.3535656476781435E-3</v>
      </c>
      <c r="AB15" s="78">
        <f>AA15+U15</f>
        <v>4.7028453088179822E-4</v>
      </c>
      <c r="AC15" s="80">
        <f>AB15/V15</f>
        <v>1.1874423221646444</v>
      </c>
    </row>
    <row r="16" spans="1:29" x14ac:dyDescent="0.2">
      <c r="A16" s="19" t="str">
        <f>_xll.qlPeriodEquivalent(C16&amp;"M")</f>
        <v>60Y</v>
      </c>
      <c r="B16" s="20">
        <f t="shared" si="12"/>
        <v>42004</v>
      </c>
      <c r="C16" s="21">
        <v>720</v>
      </c>
      <c r="D16" s="20">
        <f t="shared" si="7"/>
        <v>64192</v>
      </c>
      <c r="E16" s="22">
        <f t="shared" si="8"/>
        <v>60</v>
      </c>
      <c r="F16" s="23">
        <f t="shared" si="9"/>
        <v>0</v>
      </c>
      <c r="G16" s="24">
        <f t="shared" si="10"/>
        <v>4.0000000000000001E-3</v>
      </c>
      <c r="H16" s="25">
        <f t="shared" si="11"/>
        <v>2.5000000000000001E-4</v>
      </c>
      <c r="I16" s="24">
        <f>MIN(_xll.ohPack($W$3:INDEX($W$3:$W$135,MATCH(D16+1,$S$3:$S$135,1),1)))</f>
        <v>-2.1245133145554942E-4</v>
      </c>
      <c r="J16" s="24">
        <f>MAX(_xll.ohPack($W$3:INDEX($W$3:$W$135,MATCH(D16+1,$S$3:$S$135,1),1)))</f>
        <v>3.1892615915826124E-3</v>
      </c>
      <c r="L16" s="46" t="s">
        <v>35</v>
      </c>
      <c r="M16" s="43">
        <f>_xll.qlAbcdCalibration2Error(M14)</f>
        <v>1.3863316009661233E-4</v>
      </c>
      <c r="P16" s="33">
        <v>1</v>
      </c>
      <c r="Q16" s="27" t="str">
        <f>_xll.qlPeriodEquivalent(Q15&amp;"+"&amp;P16&amp;"M")</f>
        <v>1Y1M</v>
      </c>
      <c r="R16" s="28">
        <f>_xll.qlCalendarAdvance(Calendar,SettlementDate,Q16,"f",,Trigger)</f>
        <v>42676</v>
      </c>
      <c r="S16" s="28">
        <f>_xll.qlInterestRateIndexValueDate(Index,R16,Trigger)</f>
        <v>42678</v>
      </c>
      <c r="T16" s="28">
        <f>_xll.qlInterestRateIndexMaturity(Index,S16,Trigger)</f>
        <v>42859</v>
      </c>
      <c r="U16" s="30">
        <f>_xll.qlIndexFixing($M$5,R16,TRUE,InterestRatesTrigger)</f>
        <v>-1.8379790386895203E-3</v>
      </c>
      <c r="V16" s="78">
        <f>_xll.qlIndexFixing(Index,R16,TRUE,InterestRatesTrigger)</f>
        <v>4.8552423072233223E-4</v>
      </c>
      <c r="W16" s="30">
        <f t="shared" si="5"/>
        <v>2.3235032694118524E-3</v>
      </c>
      <c r="X16" s="29">
        <f>_xll.qlDayCounterYearFraction(DayCounter,SettlementDate,S16,,,Trigger)</f>
        <v>1.1083333333333334</v>
      </c>
      <c r="Y16" s="29">
        <f>_xll.qlDayCounterYearFraction(DayCounter,S16,T16)</f>
        <v>0.50277777777777777</v>
      </c>
      <c r="Z16" s="29">
        <f>IF($M$13,_xll.qlYieldTSDiscount(Currency&amp;"ON",S16)/(1+V16*Y16),1)</f>
        <v>1</v>
      </c>
      <c r="AA16" s="30">
        <f>_xll.qlTenorBasisValue(TenorBasis6M,S16,InterestRatesTrigger)</f>
        <v>2.3889380358133633E-3</v>
      </c>
      <c r="AB16" s="78">
        <f>AA16+U16</f>
        <v>5.5095899712384296E-4</v>
      </c>
      <c r="AC16" s="80">
        <f>AB16/V16</f>
        <v>1.1347713713570198</v>
      </c>
    </row>
    <row r="17" spans="12:29" x14ac:dyDescent="0.2">
      <c r="L17" s="46" t="s">
        <v>57</v>
      </c>
      <c r="M17" s="43">
        <f>_xll.qlAbcdCalibration2MaxError(M14)</f>
        <v>1.7554557583766149E-3</v>
      </c>
      <c r="P17" s="33">
        <v>1</v>
      </c>
      <c r="Q17" s="27" t="str">
        <f>_xll.qlPeriodEquivalent(Q16&amp;"+"&amp;P17&amp;"M")</f>
        <v>1Y2M</v>
      </c>
      <c r="R17" s="28">
        <f>_xll.qlCalendarAdvance(Calendar,SettlementDate,Q17,"f",,Trigger)</f>
        <v>42706</v>
      </c>
      <c r="S17" s="28">
        <f>_xll.qlInterestRateIndexValueDate(Index,R17,Trigger)</f>
        <v>42710</v>
      </c>
      <c r="T17" s="28">
        <f>_xll.qlInterestRateIndexMaturity(Index,S17,Trigger)</f>
        <v>42892</v>
      </c>
      <c r="U17" s="30">
        <f>_xll.qlIndexFixing($M$5,R17,TRUE,InterestRatesTrigger)</f>
        <v>-1.7816124493174302E-3</v>
      </c>
      <c r="V17" s="78">
        <f>_xll.qlIndexFixing(Index,R17,TRUE,InterestRatesTrigger)</f>
        <v>5.7280866631157163E-4</v>
      </c>
      <c r="W17" s="30">
        <f t="shared" si="5"/>
        <v>2.3544211156290018E-3</v>
      </c>
      <c r="X17" s="29">
        <f>_xll.qlDayCounterYearFraction(DayCounter,SettlementDate,S17,,,Trigger)</f>
        <v>1.1972222222222222</v>
      </c>
      <c r="Y17" s="29">
        <f>_xll.qlDayCounterYearFraction(DayCounter,S17,T17)</f>
        <v>0.50555555555555554</v>
      </c>
      <c r="Z17" s="29">
        <f>IF($M$13,_xll.qlYieldTSDiscount(Currency&amp;"ON",S17)/(1+V17*Y17),1)</f>
        <v>1</v>
      </c>
      <c r="AA17" s="30">
        <f>_xll.qlTenorBasisValue(TenorBasis6M,S17,InterestRatesTrigger)</f>
        <v>2.4247485009355405E-3</v>
      </c>
      <c r="AB17" s="78">
        <f>AA17+U17</f>
        <v>6.4313605161811028E-4</v>
      </c>
      <c r="AC17" s="80">
        <f>AB17/V17</f>
        <v>1.1227763988966692</v>
      </c>
    </row>
    <row r="18" spans="12:29" x14ac:dyDescent="0.2">
      <c r="P18" s="33">
        <v>1</v>
      </c>
      <c r="Q18" s="27" t="str">
        <f>_xll.qlPeriodEquivalent(Q17&amp;"+"&amp;P18&amp;"M")</f>
        <v>1Y3M</v>
      </c>
      <c r="R18" s="28">
        <f>_xll.qlCalendarAdvance(Calendar,SettlementDate,Q18,"f",,Trigger)</f>
        <v>42737</v>
      </c>
      <c r="S18" s="28">
        <f>_xll.qlInterestRateIndexValueDate(Index,R18,Trigger)</f>
        <v>42739</v>
      </c>
      <c r="T18" s="28">
        <f>_xll.qlInterestRateIndexMaturity(Index,S18,Trigger)</f>
        <v>42920</v>
      </c>
      <c r="U18" s="30">
        <f>_xll.qlIndexFixing($M$5,R18,TRUE,InterestRatesTrigger)</f>
        <v>-1.7319554958329798E-3</v>
      </c>
      <c r="V18" s="78">
        <f>_xll.qlIndexFixing(Index,R18,TRUE,InterestRatesTrigger)</f>
        <v>6.6486571840228682E-4</v>
      </c>
      <c r="W18" s="30">
        <f t="shared" si="5"/>
        <v>2.3968212142352666E-3</v>
      </c>
      <c r="X18" s="29">
        <f>_xll.qlDayCounterYearFraction(DayCounter,SettlementDate,S18,,,Trigger)</f>
        <v>1.2777777777777777</v>
      </c>
      <c r="Y18" s="29">
        <f>_xll.qlDayCounterYearFraction(DayCounter,S18,T18)</f>
        <v>0.50277777777777777</v>
      </c>
      <c r="Z18" s="29">
        <f>IF($M$13,_xll.qlYieldTSDiscount(Currency&amp;"ON",S18)/(1+V18*Y18),1)</f>
        <v>1</v>
      </c>
      <c r="AA18" s="30">
        <f>_xll.qlTenorBasisValue(TenorBasis6M,S18,InterestRatesTrigger)</f>
        <v>2.4555373125679423E-3</v>
      </c>
      <c r="AB18" s="78">
        <f>AA18+U18</f>
        <v>7.2358181673496248E-4</v>
      </c>
      <c r="AC18" s="80">
        <f>AB18/V18</f>
        <v>1.0883127174518399</v>
      </c>
    </row>
    <row r="19" spans="12:29" x14ac:dyDescent="0.2">
      <c r="L19" s="72" t="s">
        <v>51</v>
      </c>
      <c r="M19" s="73"/>
      <c r="P19" s="33">
        <v>1</v>
      </c>
      <c r="Q19" s="27" t="str">
        <f>_xll.qlPeriodEquivalent(Q18&amp;"+"&amp;P19&amp;"M")</f>
        <v>1Y4M</v>
      </c>
      <c r="R19" s="28">
        <f>_xll.qlCalendarAdvance(Calendar,SettlementDate,Q19,"f",,Trigger)</f>
        <v>42768</v>
      </c>
      <c r="S19" s="28">
        <f>_xll.qlInterestRateIndexValueDate(Index,R19,Trigger)</f>
        <v>42772</v>
      </c>
      <c r="T19" s="28">
        <f>_xll.qlInterestRateIndexMaturity(Index,S19,Trigger)</f>
        <v>42954</v>
      </c>
      <c r="U19" s="30">
        <f>_xll.qlIndexFixing($M$5,R19,TRUE,InterestRatesTrigger)</f>
        <v>-1.6520745253895436E-3</v>
      </c>
      <c r="V19" s="78">
        <f>_xll.qlIndexFixing(Index,R19,TRUE,InterestRatesTrigger)</f>
        <v>7.8514093222903369E-4</v>
      </c>
      <c r="W19" s="30">
        <f t="shared" si="5"/>
        <v>2.4372154576185771E-3</v>
      </c>
      <c r="X19" s="29">
        <f>_xll.qlDayCounterYearFraction(DayCounter,SettlementDate,S19,,,Trigger)</f>
        <v>1.3694444444444445</v>
      </c>
      <c r="Y19" s="29">
        <f>_xll.qlDayCounterYearFraction(DayCounter,S19,T19)</f>
        <v>0.50555555555555554</v>
      </c>
      <c r="Z19" s="29">
        <f>IF($M$13,_xll.qlYieldTSDiscount(Currency&amp;"ON",S19)/(1+V19*Y19),1)</f>
        <v>1</v>
      </c>
      <c r="AA19" s="30">
        <f>_xll.qlTenorBasisValue(TenorBasis6M,S19,InterestRatesTrigger)</f>
        <v>2.4887033052285804E-3</v>
      </c>
      <c r="AB19" s="78">
        <f>AA19+U19</f>
        <v>8.3662877983903673E-4</v>
      </c>
      <c r="AC19" s="80">
        <f>AB19/V19</f>
        <v>1.0655778415014332</v>
      </c>
    </row>
    <row r="20" spans="12:29" x14ac:dyDescent="0.2">
      <c r="L20" s="46" t="s">
        <v>46</v>
      </c>
      <c r="M20" s="82">
        <f>_xll.qlAbcdCalibration2A($M$14,M15)</f>
        <v>1.511365712587327E-3</v>
      </c>
      <c r="P20" s="33">
        <v>1</v>
      </c>
      <c r="Q20" s="27" t="str">
        <f>_xll.qlPeriodEquivalent(Q19&amp;"+"&amp;P20&amp;"M")</f>
        <v>1Y5M</v>
      </c>
      <c r="R20" s="28">
        <f>_xll.qlCalendarAdvance(Calendar,SettlementDate,Q20,"f",,Trigger)</f>
        <v>42796</v>
      </c>
      <c r="S20" s="28">
        <f>_xll.qlInterestRateIndexValueDate(Index,R20,Trigger)</f>
        <v>42800</v>
      </c>
      <c r="T20" s="28">
        <f>_xll.qlInterestRateIndexMaturity(Index,S20,Trigger)</f>
        <v>42984</v>
      </c>
      <c r="U20" s="30">
        <f>_xll.qlIndexFixing($M$5,R20,TRUE,InterestRatesTrigger)</f>
        <v>-1.5775050432998597E-3</v>
      </c>
      <c r="V20" s="78">
        <f>_xll.qlIndexFixing(Index,R20,TRUE,InterestRatesTrigger)</f>
        <v>8.9309938860664313E-4</v>
      </c>
      <c r="W20" s="30">
        <f t="shared" si="5"/>
        <v>2.4706044319065027E-3</v>
      </c>
      <c r="X20" s="29">
        <f>_xll.qlDayCounterYearFraction(DayCounter,SettlementDate,S20,,,Trigger)</f>
        <v>1.4472222222222222</v>
      </c>
      <c r="Y20" s="29">
        <f>_xll.qlDayCounterYearFraction(DayCounter,S20,T20)</f>
        <v>0.51111111111111107</v>
      </c>
      <c r="Z20" s="29">
        <f>IF($M$13,_xll.qlYieldTSDiscount(Currency&amp;"ON",S20)/(1+V20*Y20),1)</f>
        <v>1</v>
      </c>
      <c r="AA20" s="30">
        <f>_xll.qlTenorBasisValue(TenorBasis6M,S20,InterestRatesTrigger)</f>
        <v>2.5153267587039313E-3</v>
      </c>
      <c r="AB20" s="78">
        <f>AA20+U20</f>
        <v>9.3782171540407163E-4</v>
      </c>
      <c r="AC20" s="80">
        <f>AB20/V20</f>
        <v>1.05007541978861</v>
      </c>
    </row>
    <row r="21" spans="12:29" x14ac:dyDescent="0.2">
      <c r="L21" s="46" t="s">
        <v>47</v>
      </c>
      <c r="M21" s="83">
        <f>_xll.qlAbcdCalibration2B($M$14,M15)</f>
        <v>1.0658070562731107E-3</v>
      </c>
      <c r="P21" s="33">
        <v>1</v>
      </c>
      <c r="Q21" s="27" t="str">
        <f>_xll.qlPeriodEquivalent(Q20&amp;"+"&amp;P21&amp;"M")</f>
        <v>1Y6M</v>
      </c>
      <c r="R21" s="28">
        <f>_xll.qlCalendarAdvance(Calendar,SettlementDate,Q21,"f",,Trigger)</f>
        <v>42828</v>
      </c>
      <c r="S21" s="28">
        <f>_xll.qlInterestRateIndexValueDate(Index,R21,Trigger)</f>
        <v>42830</v>
      </c>
      <c r="T21" s="28">
        <f>_xll.qlInterestRateIndexMaturity(Index,S21,Trigger)</f>
        <v>43013</v>
      </c>
      <c r="U21" s="30">
        <f>_xll.qlIndexFixing($M$5,R21,TRUE,InterestRatesTrigger)</f>
        <v>-1.4924487609689915E-3</v>
      </c>
      <c r="V21" s="78">
        <f>_xll.qlIndexFixing(Index,R21,TRUE,InterestRatesTrigger)</f>
        <v>1.0059174815019623E-3</v>
      </c>
      <c r="W21" s="30">
        <f t="shared" si="5"/>
        <v>2.498366242470954E-3</v>
      </c>
      <c r="X21" s="29">
        <f>_xll.qlDayCounterYearFraction(DayCounter,SettlementDate,S21,,,Trigger)</f>
        <v>1.5305555555555554</v>
      </c>
      <c r="Y21" s="29">
        <f>_xll.qlDayCounterYearFraction(DayCounter,S21,T21)</f>
        <v>0.5083333333333333</v>
      </c>
      <c r="Z21" s="29">
        <f>IF($M$13,_xll.qlYieldTSDiscount(Currency&amp;"ON",S21)/(1+V21*Y21),1)</f>
        <v>1</v>
      </c>
      <c r="AA21" s="30">
        <f>_xll.qlTenorBasisValue(TenorBasis6M,S21,InterestRatesTrigger)</f>
        <v>2.5423496487451728E-3</v>
      </c>
      <c r="AB21" s="78">
        <f>AA21+U21</f>
        <v>1.0499008877761812E-3</v>
      </c>
      <c r="AC21" s="80">
        <f>AB21/V21</f>
        <v>1.0437246663697961</v>
      </c>
    </row>
    <row r="22" spans="12:29" x14ac:dyDescent="0.2">
      <c r="L22" s="46" t="s">
        <v>48</v>
      </c>
      <c r="M22" s="83">
        <f>_xll.qlAbcdCalibration2C($M$14,M15)</f>
        <v>0.20255568603684723</v>
      </c>
      <c r="P22" s="33">
        <v>6</v>
      </c>
      <c r="Q22" s="27" t="str">
        <f>_xll.qlPeriodEquivalent(Q21&amp;"+"&amp;P22&amp;"M")</f>
        <v>2Y</v>
      </c>
      <c r="R22" s="28">
        <f>_xll.qlCalendarAdvance(Calendar,SettlementDate,Q22,"f",,Trigger)</f>
        <v>43010</v>
      </c>
      <c r="S22" s="28">
        <f>_xll.qlInterestRateIndexValueDate(Index,R22,Trigger)</f>
        <v>43012</v>
      </c>
      <c r="T22" s="28">
        <f>_xll.qlInterestRateIndexMaturity(Index,S22,Trigger)</f>
        <v>43194</v>
      </c>
      <c r="U22" s="30">
        <f>_xll.qlIndexFixing($M$5,R22,TRUE,InterestRatesTrigger)</f>
        <v>-6.7756418312069978E-4</v>
      </c>
      <c r="V22" s="78">
        <f>_xll.qlIndexFixing(Index,R22,TRUE,InterestRatesTrigger)</f>
        <v>2.0122382612860639E-3</v>
      </c>
      <c r="W22" s="30">
        <f t="shared" si="5"/>
        <v>2.6898024444067638E-3</v>
      </c>
      <c r="X22" s="29">
        <f>_xll.qlDayCounterYearFraction(DayCounter,SettlementDate,S22,,,Trigger)</f>
        <v>2.036111111111111</v>
      </c>
      <c r="Y22" s="29">
        <f>_xll.qlDayCounterYearFraction(DayCounter,S22,T22)</f>
        <v>0.50555555555555554</v>
      </c>
      <c r="Z22" s="29">
        <f>IF($M$13,_xll.qlYieldTSDiscount(Currency&amp;"ON",S22)/(1+V22*Y22),1)</f>
        <v>1</v>
      </c>
      <c r="AA22" s="30">
        <f>_xll.qlTenorBasisValue(TenorBasis6M,S22,InterestRatesTrigger)</f>
        <v>2.675393515921741E-3</v>
      </c>
      <c r="AB22" s="78">
        <f>AA22+U22</f>
        <v>1.9978293328010411E-3</v>
      </c>
      <c r="AC22" s="80">
        <f>AB22/V22</f>
        <v>0.9928393526938436</v>
      </c>
    </row>
    <row r="23" spans="12:29" x14ac:dyDescent="0.2">
      <c r="L23" s="46" t="s">
        <v>49</v>
      </c>
      <c r="M23" s="82">
        <f>_xll.qlAbcdCalibration2D($M$14,M15)</f>
        <v>2.4409004578928803E-4</v>
      </c>
      <c r="P23" s="33">
        <v>6</v>
      </c>
      <c r="Q23" s="27" t="str">
        <f>_xll.qlPeriodEquivalent(Q22&amp;"+"&amp;P23&amp;"M")</f>
        <v>2Y6M</v>
      </c>
      <c r="R23" s="28">
        <f>_xll.qlCalendarAdvance(Calendar,SettlementDate,Q23,"f",,Trigger)</f>
        <v>43193</v>
      </c>
      <c r="S23" s="28">
        <f>_xll.qlInterestRateIndexValueDate(Index,R23,Trigger)</f>
        <v>43195</v>
      </c>
      <c r="T23" s="28">
        <f>_xll.qlInterestRateIndexMaturity(Index,S23,Trigger)</f>
        <v>43378</v>
      </c>
      <c r="U23" s="30">
        <f>_xll.qlIndexFixing($M$5,R23,TRUE,InterestRatesTrigger)</f>
        <v>4.6694127280515039E-4</v>
      </c>
      <c r="V23" s="78">
        <f>_xll.qlIndexFixing(Index,R23,TRUE,InterestRatesTrigger)</f>
        <v>3.3597227067428759E-3</v>
      </c>
      <c r="W23" s="30">
        <f t="shared" si="5"/>
        <v>2.8927814339377257E-3</v>
      </c>
      <c r="X23" s="29">
        <f>_xll.qlDayCounterYearFraction(DayCounter,SettlementDate,S23,,,Trigger)</f>
        <v>2.5444444444444443</v>
      </c>
      <c r="Y23" s="29">
        <f>_xll.qlDayCounterYearFraction(DayCounter,S23,T23)</f>
        <v>0.5083333333333333</v>
      </c>
      <c r="Z23" s="29">
        <f>IF($M$13,_xll.qlYieldTSDiscount(Currency&amp;"ON",S23)/(1+V23*Y23),1)</f>
        <v>1</v>
      </c>
      <c r="AA23" s="30">
        <f>_xll.qlTenorBasisValue(TenorBasis6M,S23,InterestRatesTrigger)</f>
        <v>2.7620242376944514E-3</v>
      </c>
      <c r="AB23" s="78">
        <f>AA23+U23</f>
        <v>3.2289655104996017E-3</v>
      </c>
      <c r="AC23" s="80">
        <f>AB23/V23</f>
        <v>0.96108095588339837</v>
      </c>
    </row>
    <row r="24" spans="12:29" x14ac:dyDescent="0.2">
      <c r="L24" s="46" t="s">
        <v>50</v>
      </c>
      <c r="M24" s="35" t="str">
        <f>_xll.qlAbcdTenorBasis(,Index,Currency&amp;"ON",SettlementDate,TRUE,M20:M23,,Trigger)</f>
        <v>obj_005f7#0108</v>
      </c>
      <c r="P24" s="33">
        <v>6</v>
      </c>
      <c r="Q24" s="27" t="str">
        <f>_xll.qlPeriodEquivalent(Q23&amp;"+"&amp;P24&amp;"M")</f>
        <v>3Y</v>
      </c>
      <c r="R24" s="28">
        <f>_xll.qlCalendarAdvance(Calendar,SettlementDate,Q24,"f",,Trigger)</f>
        <v>43375</v>
      </c>
      <c r="S24" s="28">
        <f>_xll.qlInterestRateIndexValueDate(Index,R24,Trigger)</f>
        <v>43377</v>
      </c>
      <c r="T24" s="28">
        <f>_xll.qlInterestRateIndexMaturity(Index,S24,Trigger)</f>
        <v>43559</v>
      </c>
      <c r="U24" s="30">
        <f>_xll.qlIndexFixing($M$5,R24,TRUE,InterestRatesTrigger)</f>
        <v>1.7646431114836237E-3</v>
      </c>
      <c r="V24" s="78">
        <f>_xll.qlIndexFixing(Index,R24,TRUE,InterestRatesTrigger)</f>
        <v>4.7217258948959234E-3</v>
      </c>
      <c r="W24" s="30">
        <f t="shared" si="5"/>
        <v>2.9570827834122996E-3</v>
      </c>
      <c r="X24" s="29">
        <f>_xll.qlDayCounterYearFraction(DayCounter,SettlementDate,S24,,,Trigger)</f>
        <v>3.05</v>
      </c>
      <c r="Y24" s="29">
        <f>_xll.qlDayCounterYearFraction(DayCounter,S24,T24)</f>
        <v>0.50555555555555554</v>
      </c>
      <c r="Z24" s="29">
        <f>IF($M$13,_xll.qlYieldTSDiscount(Currency&amp;"ON",S24)/(1+V24*Y24),1)</f>
        <v>1</v>
      </c>
      <c r="AA24" s="30">
        <f>_xll.qlTenorBasisValue(TenorBasis6M,S24,InterestRatesTrigger)</f>
        <v>2.8090863785645067E-3</v>
      </c>
      <c r="AB24" s="78">
        <f>AA24+U24</f>
        <v>4.5737294900481309E-3</v>
      </c>
      <c r="AC24" s="80">
        <f>AB24/V24</f>
        <v>0.96865629048738866</v>
      </c>
    </row>
    <row r="25" spans="12:29" x14ac:dyDescent="0.2">
      <c r="M25" s="42"/>
      <c r="P25" s="33">
        <v>6</v>
      </c>
      <c r="Q25" s="27" t="str">
        <f>_xll.qlPeriodEquivalent(Q24&amp;"+"&amp;P25&amp;"M")</f>
        <v>3Y6M</v>
      </c>
      <c r="R25" s="28">
        <f>_xll.qlCalendarAdvance(Calendar,SettlementDate,Q25,"f",,Trigger)</f>
        <v>43557</v>
      </c>
      <c r="S25" s="28">
        <f>_xll.qlInterestRateIndexValueDate(Index,R25,Trigger)</f>
        <v>43559</v>
      </c>
      <c r="T25" s="28">
        <f>_xll.qlInterestRateIndexMaturity(Index,S25,Trigger)</f>
        <v>43742</v>
      </c>
      <c r="U25" s="30">
        <f>_xll.qlIndexFixing($M$5,R25,TRUE,InterestRatesTrigger)</f>
        <v>3.1129414072765199E-3</v>
      </c>
      <c r="V25" s="78">
        <f>_xll.qlIndexFixing(Index,R25,TRUE,InterestRatesTrigger)</f>
        <v>6.1591071608815967E-3</v>
      </c>
      <c r="W25" s="30">
        <f t="shared" si="5"/>
        <v>3.0461657536050768E-3</v>
      </c>
      <c r="X25" s="29">
        <f>_xll.qlDayCounterYearFraction(DayCounter,SettlementDate,S25,,,Trigger)</f>
        <v>3.5555555555555554</v>
      </c>
      <c r="Y25" s="29">
        <f>_xll.qlDayCounterYearFraction(DayCounter,S25,T25)</f>
        <v>0.5083333333333333</v>
      </c>
      <c r="Z25" s="29">
        <f>IF($M$13,_xll.qlYieldTSDiscount(Currency&amp;"ON",S25)/(1+V25*Y25),1)</f>
        <v>1</v>
      </c>
      <c r="AA25" s="30">
        <f>_xll.qlTenorBasisValue(TenorBasis6M,S25,InterestRatesTrigger)</f>
        <v>2.8238684245347175E-3</v>
      </c>
      <c r="AB25" s="78">
        <f>AA25+U25</f>
        <v>5.9368098318112374E-3</v>
      </c>
      <c r="AC25" s="80">
        <f>AB25/V25</f>
        <v>0.96390753996257139</v>
      </c>
    </row>
    <row r="26" spans="12:29" x14ac:dyDescent="0.2">
      <c r="P26" s="33">
        <v>6</v>
      </c>
      <c r="Q26" s="27" t="str">
        <f>_xll.qlPeriodEquivalent(Q25&amp;"+"&amp;P26&amp;"M")</f>
        <v>4Y</v>
      </c>
      <c r="R26" s="28">
        <f>_xll.qlCalendarAdvance(Calendar,SettlementDate,Q26,"f",,Trigger)</f>
        <v>43740</v>
      </c>
      <c r="S26" s="28">
        <f>_xll.qlInterestRateIndexValueDate(Index,R26,Trigger)</f>
        <v>43742</v>
      </c>
      <c r="T26" s="28">
        <f>_xll.qlInterestRateIndexMaturity(Index,S26,Trigger)</f>
        <v>43927</v>
      </c>
      <c r="U26" s="30">
        <f>_xll.qlIndexFixing($M$5,R26,TRUE,InterestRatesTrigger)</f>
        <v>4.4698808573302266E-3</v>
      </c>
      <c r="V26" s="78">
        <f>_xll.qlIndexFixing(Index,R26,TRUE,InterestRatesTrigger)</f>
        <v>7.6591424489128391E-3</v>
      </c>
      <c r="W26" s="30">
        <f t="shared" si="5"/>
        <v>3.1892615915826124E-3</v>
      </c>
      <c r="X26" s="29">
        <f>_xll.qlDayCounterYearFraction(DayCounter,SettlementDate,S26,,,Trigger)</f>
        <v>4.0638888888888891</v>
      </c>
      <c r="Y26" s="29">
        <f>_xll.qlDayCounterYearFraction(DayCounter,S26,T26)</f>
        <v>0.51388888888888884</v>
      </c>
      <c r="Z26" s="29">
        <f>IF($M$13,_xll.qlYieldTSDiscount(Currency&amp;"ON",S26)/(1+V26*Y26),1)</f>
        <v>1</v>
      </c>
      <c r="AA26" s="30">
        <f>_xll.qlTenorBasisValue(TenorBasis6M,S26,InterestRatesTrigger)</f>
        <v>2.8120099748141954E-3</v>
      </c>
      <c r="AB26" s="78">
        <f>AA26+U26</f>
        <v>7.281890832144422E-3</v>
      </c>
      <c r="AC26" s="80">
        <f>AB26/V26</f>
        <v>0.95074492747918993</v>
      </c>
    </row>
    <row r="27" spans="12:29" x14ac:dyDescent="0.2">
      <c r="L27" s="72" t="s">
        <v>54</v>
      </c>
      <c r="M27" s="73"/>
      <c r="P27" s="33">
        <v>6</v>
      </c>
      <c r="Q27" s="27" t="str">
        <f>_xll.qlPeriodEquivalent(Q26&amp;"+"&amp;P27&amp;"M")</f>
        <v>4Y6M</v>
      </c>
      <c r="R27" s="28">
        <f>_xll.qlCalendarAdvance(Calendar,SettlementDate,Q27,"f",,Trigger)</f>
        <v>43923</v>
      </c>
      <c r="S27" s="28">
        <f>_xll.qlInterestRateIndexValueDate(Index,R27,Trigger)</f>
        <v>43927</v>
      </c>
      <c r="T27" s="28">
        <f>_xll.qlInterestRateIndexMaturity(Index,S27,Trigger)</f>
        <v>44110</v>
      </c>
      <c r="U27" s="30">
        <f>_xll.qlIndexFixing($M$5,R27,TRUE,InterestRatesTrigger)</f>
        <v>6.0589944681267967E-3</v>
      </c>
      <c r="V27" s="78">
        <f>_xll.qlIndexFixing(Index,R27,TRUE,InterestRatesTrigger)</f>
        <v>9.1406053316090054E-3</v>
      </c>
      <c r="W27" s="30">
        <f t="shared" si="5"/>
        <v>3.0816108634822087E-3</v>
      </c>
      <c r="X27" s="29">
        <f>_xll.qlDayCounterYearFraction(DayCounter,SettlementDate,S27,,,Trigger)</f>
        <v>4.5777777777777775</v>
      </c>
      <c r="Y27" s="29">
        <f>_xll.qlDayCounterYearFraction(DayCounter,S27,T27)</f>
        <v>0.5083333333333333</v>
      </c>
      <c r="Z27" s="29">
        <f>IF($M$13,_xll.qlYieldTSDiscount(Currency&amp;"ON",S27)/(1+V27*Y27),1)</f>
        <v>1</v>
      </c>
      <c r="AA27" s="30">
        <f>_xll.qlTenorBasisValue(TenorBasis6M,S27,InterestRatesTrigger)</f>
        <v>2.7779128715065601E-3</v>
      </c>
      <c r="AB27" s="78">
        <f>AA27+U27</f>
        <v>8.8369073396333576E-3</v>
      </c>
      <c r="AC27" s="80">
        <f>AB27/V27</f>
        <v>0.96677484904359301</v>
      </c>
    </row>
    <row r="28" spans="12:29" x14ac:dyDescent="0.2">
      <c r="L28" s="46" t="s">
        <v>46</v>
      </c>
      <c r="M28" s="82">
        <f t="array" ref="M28:M31">_xll.qlTenorInstCoefficients(M24)</f>
        <v>1.3080383040154405E-3</v>
      </c>
      <c r="P28" s="33">
        <v>6</v>
      </c>
      <c r="Q28" s="27" t="str">
        <f>_xll.qlPeriodEquivalent(Q27&amp;"+"&amp;P28&amp;"M")</f>
        <v>5Y</v>
      </c>
      <c r="R28" s="28">
        <f>_xll.qlCalendarAdvance(Calendar,SettlementDate,Q28,"f",,Trigger)</f>
        <v>44106</v>
      </c>
      <c r="S28" s="28">
        <f>_xll.qlInterestRateIndexValueDate(Index,R28,Trigger)</f>
        <v>44110</v>
      </c>
      <c r="T28" s="28">
        <f>_xll.qlInterestRateIndexMaturity(Index,S28,Trigger)</f>
        <v>44292</v>
      </c>
      <c r="U28" s="30">
        <f>_xll.qlIndexFixing($M$5,R28,TRUE,InterestRatesTrigger)</f>
        <v>7.8922264062290422E-3</v>
      </c>
      <c r="V28" s="78">
        <f>_xll.qlIndexFixing(Index,R28,TRUE,InterestRatesTrigger)</f>
        <v>1.0560779494369585E-2</v>
      </c>
      <c r="W28" s="30">
        <f t="shared" si="5"/>
        <v>2.6685530881405423E-3</v>
      </c>
      <c r="X28" s="29">
        <f>_xll.qlDayCounterYearFraction(DayCounter,SettlementDate,S28,,,Trigger)</f>
        <v>5.0861111111111112</v>
      </c>
      <c r="Y28" s="29">
        <f>_xll.qlDayCounterYearFraction(DayCounter,S28,T28)</f>
        <v>0.50555555555555554</v>
      </c>
      <c r="Z28" s="29">
        <f>IF($M$13,_xll.qlYieldTSDiscount(Currency&amp;"ON",S28)/(1+V28*Y28),1)</f>
        <v>1</v>
      </c>
      <c r="AA28" s="30">
        <f>_xll.qlTenorBasisValue(TenorBasis6M,S28,InterestRatesTrigger)</f>
        <v>2.7266648222517317E-3</v>
      </c>
      <c r="AB28" s="78">
        <f>AA28+U28</f>
        <v>1.0618891228480774E-2</v>
      </c>
      <c r="AC28" s="80">
        <f>AB28/V28</f>
        <v>1.0055025989456718</v>
      </c>
    </row>
    <row r="29" spans="12:29" x14ac:dyDescent="0.2">
      <c r="L29" s="46" t="s">
        <v>47</v>
      </c>
      <c r="M29" s="83">
        <v>1.1222397371818738E-3</v>
      </c>
      <c r="P29" s="33">
        <v>6</v>
      </c>
      <c r="Q29" s="27" t="str">
        <f>_xll.qlPeriodEquivalent(Q28&amp;"+"&amp;P29&amp;"M")</f>
        <v>5Y6M</v>
      </c>
      <c r="R29" s="28">
        <f>_xll.qlCalendarAdvance(Calendar,SettlementDate,Q29,"f",,Trigger)</f>
        <v>44292</v>
      </c>
      <c r="S29" s="28">
        <f>_xll.qlInterestRateIndexValueDate(Index,R29,Trigger)</f>
        <v>44294</v>
      </c>
      <c r="T29" s="28">
        <f>_xll.qlInterestRateIndexMaturity(Index,S29,Trigger)</f>
        <v>44477</v>
      </c>
      <c r="U29" s="30">
        <f>_xll.qlIndexFixing($M$5,R29,TRUE,InterestRatesTrigger)</f>
        <v>9.6284447396888968E-3</v>
      </c>
      <c r="V29" s="78">
        <f>_xll.qlIndexFixing(Index,R29,TRUE,InterestRatesTrigger)</f>
        <v>1.2029375122625053E-2</v>
      </c>
      <c r="W29" s="30">
        <f t="shared" si="5"/>
        <v>2.4009303829361558E-3</v>
      </c>
      <c r="X29" s="29">
        <f>_xll.qlDayCounterYearFraction(DayCounter,SettlementDate,S29,,,Trigger)</f>
        <v>5.5972222222222223</v>
      </c>
      <c r="Y29" s="29">
        <f>_xll.qlDayCounterYearFraction(DayCounter,S29,T29)</f>
        <v>0.5083333333333333</v>
      </c>
      <c r="Z29" s="29">
        <f>IF($M$13,_xll.qlYieldTSDiscount(Currency&amp;"ON",S29)/(1+V29*Y29),1)</f>
        <v>1</v>
      </c>
      <c r="AA29" s="30">
        <f>_xll.qlTenorBasisValue(TenorBasis6M,S29,InterestRatesTrigger)</f>
        <v>2.6612986277059114E-3</v>
      </c>
      <c r="AB29" s="78">
        <f>AA29+U29</f>
        <v>1.2289743367394808E-2</v>
      </c>
      <c r="AC29" s="80">
        <f>AB29/V29</f>
        <v>1.0216443698958269</v>
      </c>
    </row>
    <row r="30" spans="12:29" x14ac:dyDescent="0.2">
      <c r="L30" s="46" t="s">
        <v>48</v>
      </c>
      <c r="M30" s="83">
        <v>0.20255568603684723</v>
      </c>
      <c r="P30" s="33">
        <v>6</v>
      </c>
      <c r="Q30" s="27" t="str">
        <f>_xll.qlPeriodEquivalent(Q29&amp;"+"&amp;P30&amp;"M")</f>
        <v>6Y</v>
      </c>
      <c r="R30" s="28">
        <f>_xll.qlCalendarAdvance(Calendar,SettlementDate,Q30,"f",,Trigger)</f>
        <v>44473</v>
      </c>
      <c r="S30" s="28">
        <f>_xll.qlInterestRateIndexValueDate(Index,R30,Trigger)</f>
        <v>44475</v>
      </c>
      <c r="T30" s="28">
        <f>_xll.qlInterestRateIndexMaturity(Index,S30,Trigger)</f>
        <v>44657</v>
      </c>
      <c r="U30" s="30">
        <f>_xll.qlIndexFixing($M$5,R30,TRUE,InterestRatesTrigger)</f>
        <v>1.1067220823665668E-2</v>
      </c>
      <c r="V30" s="78">
        <f>_xll.qlIndexFixing(Index,R30,TRUE,InterestRatesTrigger)</f>
        <v>1.3485989017026339E-2</v>
      </c>
      <c r="W30" s="30">
        <f t="shared" si="5"/>
        <v>2.4187681933606712E-3</v>
      </c>
      <c r="X30" s="29">
        <f>_xll.qlDayCounterYearFraction(DayCounter,SettlementDate,S30,,,Trigger)</f>
        <v>6.1</v>
      </c>
      <c r="Y30" s="29">
        <f>_xll.qlDayCounterYearFraction(DayCounter,S30,T30)</f>
        <v>0.50555555555555554</v>
      </c>
      <c r="Z30" s="29">
        <f>IF($M$13,_xll.qlYieldTSDiscount(Currency&amp;"ON",S30)/(1+V30*Y30),1)</f>
        <v>1</v>
      </c>
      <c r="AA30" s="30">
        <f>_xll.qlTenorBasisValue(TenorBasis6M,S30,InterestRatesTrigger)</f>
        <v>2.5865415313947979E-3</v>
      </c>
      <c r="AB30" s="78">
        <f>AA30+U30</f>
        <v>1.3653762355060465E-2</v>
      </c>
      <c r="AC30" s="80">
        <f>AB30/V30</f>
        <v>1.0124405661180882</v>
      </c>
    </row>
    <row r="31" spans="12:29" x14ac:dyDescent="0.2">
      <c r="L31" s="46" t="s">
        <v>49</v>
      </c>
      <c r="M31" s="82">
        <v>2.4409004578928803E-4</v>
      </c>
      <c r="P31" s="33">
        <v>6</v>
      </c>
      <c r="Q31" s="27" t="str">
        <f>_xll.qlPeriodEquivalent(Q30&amp;"+"&amp;P31&amp;"M")</f>
        <v>6Y6M</v>
      </c>
      <c r="R31" s="28">
        <f>_xll.qlCalendarAdvance(Calendar,SettlementDate,Q31,"f",,Trigger)</f>
        <v>44655</v>
      </c>
      <c r="S31" s="28">
        <f>_xll.qlInterestRateIndexValueDate(Index,R31,Trigger)</f>
        <v>44657</v>
      </c>
      <c r="T31" s="28">
        <f>_xll.qlInterestRateIndexMaturity(Index,S31,Trigger)</f>
        <v>44840</v>
      </c>
      <c r="U31" s="30">
        <f>_xll.qlIndexFixing($M$5,R31,TRUE,InterestRatesTrigger)</f>
        <v>1.2376109953481465E-2</v>
      </c>
      <c r="V31" s="78">
        <f>_xll.qlIndexFixing(Index,R31,TRUE,InterestRatesTrigger)</f>
        <v>1.4810087183303275E-2</v>
      </c>
      <c r="W31" s="30">
        <f t="shared" si="5"/>
        <v>2.4339772298218095E-3</v>
      </c>
      <c r="X31" s="29">
        <f>_xll.qlDayCounterYearFraction(DayCounter,SettlementDate,S31,,,Trigger)</f>
        <v>6.6055555555555552</v>
      </c>
      <c r="Y31" s="29">
        <f>_xll.qlDayCounterYearFraction(DayCounter,S31,T31)</f>
        <v>0.5083333333333333</v>
      </c>
      <c r="Z31" s="29">
        <f>IF($M$13,_xll.qlYieldTSDiscount(Currency&amp;"ON",S31)/(1+V31*Y31),1)</f>
        <v>1</v>
      </c>
      <c r="AA31" s="30">
        <f>_xll.qlTenorBasisValue(TenorBasis6M,S31,InterestRatesTrigger)</f>
        <v>2.5035235491576522E-3</v>
      </c>
      <c r="AB31" s="78">
        <f>AA31+U31</f>
        <v>1.4879633502639118E-2</v>
      </c>
      <c r="AC31" s="80">
        <f>AB31/V31</f>
        <v>1.004695875079942</v>
      </c>
    </row>
    <row r="32" spans="12:29" x14ac:dyDescent="0.2">
      <c r="M32" s="42"/>
      <c r="P32" s="33">
        <v>6</v>
      </c>
      <c r="Q32" s="27" t="str">
        <f>_xll.qlPeriodEquivalent(Q31&amp;"+"&amp;P32&amp;"M")</f>
        <v>7Y</v>
      </c>
      <c r="R32" s="28">
        <f>_xll.qlCalendarAdvance(Calendar,SettlementDate,Q32,"f",,Trigger)</f>
        <v>44837</v>
      </c>
      <c r="S32" s="28">
        <f>_xll.qlInterestRateIndexValueDate(Index,R32,Trigger)</f>
        <v>44839</v>
      </c>
      <c r="T32" s="28">
        <f>_xll.qlInterestRateIndexMaturity(Index,S32,Trigger)</f>
        <v>45021</v>
      </c>
      <c r="U32" s="30">
        <f>_xll.qlIndexFixing($M$5,R32,TRUE,InterestRatesTrigger)</f>
        <v>1.3557167328122481E-2</v>
      </c>
      <c r="V32" s="78">
        <f>_xll.qlIndexFixing(Index,R32,TRUE,InterestRatesTrigger)</f>
        <v>1.5913543973799706E-2</v>
      </c>
      <c r="W32" s="30">
        <f t="shared" si="5"/>
        <v>2.3563766456772255E-3</v>
      </c>
      <c r="X32" s="29">
        <f>_xll.qlDayCounterYearFraction(DayCounter,SettlementDate,S32,,,Trigger)</f>
        <v>7.1111111111111107</v>
      </c>
      <c r="Y32" s="29">
        <f>_xll.qlDayCounterYearFraction(DayCounter,S32,T32)</f>
        <v>0.50555555555555554</v>
      </c>
      <c r="Z32" s="29">
        <f>IF($M$13,_xll.qlYieldTSDiscount(Currency&amp;"ON",S32)/(1+V32*Y32),1)</f>
        <v>1</v>
      </c>
      <c r="AA32" s="30">
        <f>_xll.qlTenorBasisValue(TenorBasis6M,S32,InterestRatesTrigger)</f>
        <v>2.4148378816971788E-3</v>
      </c>
      <c r="AB32" s="78">
        <f>AA32+U32</f>
        <v>1.5972005209819659E-2</v>
      </c>
      <c r="AC32" s="80">
        <f>AB32/V32</f>
        <v>1.0036736779762072</v>
      </c>
    </row>
    <row r="33" spans="16:29" x14ac:dyDescent="0.2">
      <c r="P33" s="33">
        <v>6</v>
      </c>
      <c r="Q33" s="27" t="str">
        <f>_xll.qlPeriodEquivalent(Q32&amp;"+"&amp;P33&amp;"M")</f>
        <v>7Y6M</v>
      </c>
      <c r="R33" s="28">
        <f>_xll.qlCalendarAdvance(Calendar,SettlementDate,Q33,"f",,Trigger)</f>
        <v>45019</v>
      </c>
      <c r="S33" s="28">
        <f>_xll.qlInterestRateIndexValueDate(Index,R33,Trigger)</f>
        <v>45021</v>
      </c>
      <c r="T33" s="28">
        <f>_xll.qlInterestRateIndexMaturity(Index,S33,Trigger)</f>
        <v>45204</v>
      </c>
      <c r="U33" s="30">
        <f>_xll.qlIndexFixing($M$5,R33,TRUE,InterestRatesTrigger)</f>
        <v>1.4657449961509762E-2</v>
      </c>
      <c r="V33" s="78">
        <f>_xll.qlIndexFixing(Index,R33,TRUE,InterestRatesTrigger)</f>
        <v>1.6877585659253687E-2</v>
      </c>
      <c r="W33" s="30">
        <f t="shared" si="5"/>
        <v>2.220135697743925E-3</v>
      </c>
      <c r="X33" s="29">
        <f>_xll.qlDayCounterYearFraction(DayCounter,SettlementDate,S33,,,Trigger)</f>
        <v>7.6166666666666663</v>
      </c>
      <c r="Y33" s="29">
        <f>_xll.qlDayCounterYearFraction(DayCounter,S33,T33)</f>
        <v>0.5083333333333333</v>
      </c>
      <c r="Z33" s="29">
        <f>IF($M$13,_xll.qlYieldTSDiscount(Currency&amp;"ON",S33)/(1+V33*Y33),1)</f>
        <v>1</v>
      </c>
      <c r="AA33" s="30">
        <f>_xll.qlTenorBasisValue(TenorBasis6M,S33,InterestRatesTrigger)</f>
        <v>2.322339654302051E-3</v>
      </c>
      <c r="AB33" s="78">
        <f>AA33+U33</f>
        <v>1.6979789615811813E-2</v>
      </c>
      <c r="AC33" s="80">
        <f>AB33/V33</f>
        <v>1.0060556028937759</v>
      </c>
    </row>
    <row r="34" spans="16:29" x14ac:dyDescent="0.2">
      <c r="P34" s="33">
        <v>6</v>
      </c>
      <c r="Q34" s="27" t="str">
        <f>_xll.qlPeriodEquivalent(Q33&amp;"+"&amp;P34&amp;"M")</f>
        <v>8Y</v>
      </c>
      <c r="R34" s="28">
        <f>_xll.qlCalendarAdvance(Calendar,SettlementDate,Q34,"f",,Trigger)</f>
        <v>45201</v>
      </c>
      <c r="S34" s="28">
        <f>_xll.qlInterestRateIndexValueDate(Index,R34,Trigger)</f>
        <v>45203</v>
      </c>
      <c r="T34" s="28">
        <f>_xll.qlInterestRateIndexMaturity(Index,S34,Trigger)</f>
        <v>45386</v>
      </c>
      <c r="U34" s="30">
        <f>_xll.qlIndexFixing($M$5,R34,TRUE,InterestRatesTrigger)</f>
        <v>1.5646105317257991E-2</v>
      </c>
      <c r="V34" s="78">
        <f>_xll.qlIndexFixing(Index,R34,TRUE,InterestRatesTrigger)</f>
        <v>1.770271760241806E-2</v>
      </c>
      <c r="W34" s="30">
        <f t="shared" si="5"/>
        <v>2.0566122851600685E-3</v>
      </c>
      <c r="X34" s="29">
        <f>_xll.qlDayCounterYearFraction(DayCounter,SettlementDate,S34,,,Trigger)</f>
        <v>8.1222222222222218</v>
      </c>
      <c r="Y34" s="29">
        <f>_xll.qlDayCounterYearFraction(DayCounter,S34,T34)</f>
        <v>0.5083333333333333</v>
      </c>
      <c r="Z34" s="29">
        <f>IF($M$13,_xll.qlYieldTSDiscount(Currency&amp;"ON",S34)/(1+V34*Y34),1)</f>
        <v>1</v>
      </c>
      <c r="AA34" s="30">
        <f>_xll.qlTenorBasisValue(TenorBasis6M,S34,InterestRatesTrigger)</f>
        <v>2.2275798651510302E-3</v>
      </c>
      <c r="AB34" s="78">
        <f>AA34+U34</f>
        <v>1.7873685182409022E-2</v>
      </c>
      <c r="AC34" s="80">
        <f>AB34/V34</f>
        <v>1.0096577024969098</v>
      </c>
    </row>
    <row r="35" spans="16:29" x14ac:dyDescent="0.2">
      <c r="P35" s="33">
        <v>6</v>
      </c>
      <c r="Q35" s="27" t="str">
        <f>_xll.qlPeriodEquivalent(Q34&amp;"+"&amp;P35&amp;"M")</f>
        <v>8Y6M</v>
      </c>
      <c r="R35" s="28">
        <f>_xll.qlCalendarAdvance(Calendar,SettlementDate,Q35,"f",,Trigger)</f>
        <v>45384</v>
      </c>
      <c r="S35" s="28">
        <f>_xll.qlInterestRateIndexValueDate(Index,R35,Trigger)</f>
        <v>45386</v>
      </c>
      <c r="T35" s="28">
        <f>_xll.qlInterestRateIndexMaturity(Index,S35,Trigger)</f>
        <v>45569</v>
      </c>
      <c r="U35" s="30">
        <f>_xll.qlIndexFixing($M$5,R35,TRUE,InterestRatesTrigger)</f>
        <v>1.6420393088017817E-2</v>
      </c>
      <c r="V35" s="78">
        <f>_xll.qlIndexFixing(Index,R35,TRUE,InterestRatesTrigger)</f>
        <v>1.8391994837795175E-2</v>
      </c>
      <c r="W35" s="30">
        <f t="shared" si="5"/>
        <v>1.9716017497773582E-3</v>
      </c>
      <c r="X35" s="29">
        <f>_xll.qlDayCounterYearFraction(DayCounter,SettlementDate,S35,,,Trigger)</f>
        <v>8.6305555555555564</v>
      </c>
      <c r="Y35" s="29">
        <f>_xll.qlDayCounterYearFraction(DayCounter,S35,T35)</f>
        <v>0.5083333333333333</v>
      </c>
      <c r="Z35" s="29">
        <f>IF($M$13,_xll.qlYieldTSDiscount(Currency&amp;"ON",S35)/(1+V35*Y35),1)</f>
        <v>1</v>
      </c>
      <c r="AA35" s="30">
        <f>_xll.qlTenorBasisValue(TenorBasis6M,S35,InterestRatesTrigger)</f>
        <v>2.1313200578319588E-3</v>
      </c>
      <c r="AB35" s="78">
        <f>AA35+U35</f>
        <v>1.8551713145849774E-2</v>
      </c>
      <c r="AC35" s="80">
        <f>AB35/V35</f>
        <v>1.008684120970194</v>
      </c>
    </row>
    <row r="36" spans="16:29" x14ac:dyDescent="0.2">
      <c r="P36" s="33">
        <v>6</v>
      </c>
      <c r="Q36" s="27" t="str">
        <f>_xll.qlPeriodEquivalent(Q35&amp;"+"&amp;P36&amp;"M")</f>
        <v>9Y</v>
      </c>
      <c r="R36" s="28">
        <f>_xll.qlCalendarAdvance(Calendar,SettlementDate,Q36,"f",,Trigger)</f>
        <v>45567</v>
      </c>
      <c r="S36" s="28">
        <f>_xll.qlInterestRateIndexValueDate(Index,R36,Trigger)</f>
        <v>45569</v>
      </c>
      <c r="T36" s="28">
        <f>_xll.qlInterestRateIndexMaturity(Index,S36,Trigger)</f>
        <v>45751</v>
      </c>
      <c r="U36" s="30">
        <f>_xll.qlIndexFixing($M$5,R36,TRUE,InterestRatesTrigger)</f>
        <v>1.6984741614339351E-2</v>
      </c>
      <c r="V36" s="78">
        <f>_xll.qlIndexFixing(Index,R36,TRUE,InterestRatesTrigger)</f>
        <v>1.8955959422373232E-2</v>
      </c>
      <c r="W36" s="30">
        <f t="shared" si="5"/>
        <v>1.9712178080338802E-3</v>
      </c>
      <c r="X36" s="29">
        <f>_xll.qlDayCounterYearFraction(DayCounter,SettlementDate,S36,,,Trigger)</f>
        <v>9.1388888888888893</v>
      </c>
      <c r="Y36" s="29">
        <f>_xll.qlDayCounterYearFraction(DayCounter,S36,T36)</f>
        <v>0.50555555555555554</v>
      </c>
      <c r="Z36" s="29">
        <f>IF($M$13,_xll.qlYieldTSDiscount(Currency&amp;"ON",S36)/(1+V36*Y36),1)</f>
        <v>1</v>
      </c>
      <c r="AA36" s="30">
        <f>_xll.qlTenorBasisValue(TenorBasis6M,S36,InterestRatesTrigger)</f>
        <v>2.0351545392645262E-3</v>
      </c>
      <c r="AB36" s="78">
        <f>AA36+U36</f>
        <v>1.9019896153603878E-2</v>
      </c>
      <c r="AC36" s="80">
        <f>AB36/V36</f>
        <v>1.003372909268585</v>
      </c>
    </row>
    <row r="37" spans="16:29" x14ac:dyDescent="0.2">
      <c r="P37" s="33">
        <v>6</v>
      </c>
      <c r="Q37" s="27" t="str">
        <f>_xll.qlPeriodEquivalent(Q36&amp;"+"&amp;P37&amp;"M")</f>
        <v>9Y6M</v>
      </c>
      <c r="R37" s="28">
        <f>_xll.qlCalendarAdvance(Calendar,SettlementDate,Q37,"f",,Trigger)</f>
        <v>45749</v>
      </c>
      <c r="S37" s="28">
        <f>_xll.qlInterestRateIndexValueDate(Index,R37,Trigger)</f>
        <v>45751</v>
      </c>
      <c r="T37" s="28">
        <f>_xll.qlInterestRateIndexMaturity(Index,S37,Trigger)</f>
        <v>45936</v>
      </c>
      <c r="U37" s="30">
        <f>_xll.qlIndexFixing($M$5,R37,TRUE,InterestRatesTrigger)</f>
        <v>1.7618837764372761E-2</v>
      </c>
      <c r="V37" s="78">
        <f>_xll.qlIndexFixing(Index,R37,TRUE,InterestRatesTrigger)</f>
        <v>1.9508898792259248E-2</v>
      </c>
      <c r="W37" s="30">
        <f t="shared" si="5"/>
        <v>1.8900610278864867E-3</v>
      </c>
      <c r="X37" s="29">
        <f>_xll.qlDayCounterYearFraction(DayCounter,SettlementDate,S37,,,Trigger)</f>
        <v>9.6444444444444439</v>
      </c>
      <c r="Y37" s="29">
        <f>_xll.qlDayCounterYearFraction(DayCounter,S37,T37)</f>
        <v>0.51388888888888884</v>
      </c>
      <c r="Z37" s="29">
        <f>IF($M$13,_xll.qlYieldTSDiscount(Currency&amp;"ON",S37)/(1+V37*Y37),1)</f>
        <v>1</v>
      </c>
      <c r="AA37" s="30">
        <f>_xll.qlTenorBasisValue(TenorBasis6M,S37,InterestRatesTrigger)</f>
        <v>1.940478949440984E-3</v>
      </c>
      <c r="AB37" s="78">
        <f>AA37+U37</f>
        <v>1.9559316713813744E-2</v>
      </c>
      <c r="AC37" s="80">
        <f>AB37/V37</f>
        <v>1.0025843550725939</v>
      </c>
    </row>
    <row r="38" spans="16:29" x14ac:dyDescent="0.2">
      <c r="P38" s="33">
        <v>6</v>
      </c>
      <c r="Q38" s="27" t="str">
        <f>_xll.qlPeriodEquivalent(Q37&amp;"+"&amp;P38&amp;"M")</f>
        <v>10Y</v>
      </c>
      <c r="R38" s="28">
        <f>_xll.qlCalendarAdvance(Calendar,SettlementDate,Q38,"f",,Trigger)</f>
        <v>45932</v>
      </c>
      <c r="S38" s="28">
        <f>_xll.qlInterestRateIndexValueDate(Index,R38,Trigger)</f>
        <v>45936</v>
      </c>
      <c r="T38" s="28">
        <f>_xll.qlInterestRateIndexMaturity(Index,S38,Trigger)</f>
        <v>46119</v>
      </c>
      <c r="U38" s="30">
        <f>_xll.qlIndexFixing($M$5,R38,TRUE,InterestRatesTrigger)</f>
        <v>1.8346886692694474E-2</v>
      </c>
      <c r="V38" s="78">
        <f>_xll.qlIndexFixing(Index,R38,TRUE,InterestRatesTrigger)</f>
        <v>2.0065329094959485E-2</v>
      </c>
      <c r="W38" s="30">
        <f t="shared" si="5"/>
        <v>1.7184424022650101E-3</v>
      </c>
      <c r="X38" s="29">
        <f>_xll.qlDayCounterYearFraction(DayCounter,SettlementDate,S38,,,Trigger)</f>
        <v>10.158333333333333</v>
      </c>
      <c r="Y38" s="29">
        <f>_xll.qlDayCounterYearFraction(DayCounter,S38,T38)</f>
        <v>0.5083333333333333</v>
      </c>
      <c r="Z38" s="29">
        <f>IF($M$13,_xll.qlYieldTSDiscount(Currency&amp;"ON",S38)/(1+V38*Y38),1)</f>
        <v>1</v>
      </c>
      <c r="AA38" s="30">
        <f>_xll.qlTenorBasisValue(TenorBasis6M,S38,InterestRatesTrigger)</f>
        <v>1.8459482209944741E-3</v>
      </c>
      <c r="AB38" s="78">
        <f>AA38+U38</f>
        <v>2.0192834913688947E-2</v>
      </c>
      <c r="AC38" s="80">
        <f>AB38/V38</f>
        <v>1.006354534138266</v>
      </c>
    </row>
    <row r="39" spans="16:29" x14ac:dyDescent="0.2">
      <c r="P39" s="33">
        <v>6</v>
      </c>
      <c r="Q39" s="27" t="str">
        <f>_xll.qlPeriodEquivalent(Q38&amp;"+"&amp;P39&amp;"M")</f>
        <v>10Y6M</v>
      </c>
      <c r="R39" s="28">
        <f>_xll.qlCalendarAdvance(Calendar,SettlementDate,Q39,"f",,Trigger)</f>
        <v>46114</v>
      </c>
      <c r="S39" s="28">
        <f>_xll.qlInterestRateIndexValueDate(Index,R39,Trigger)</f>
        <v>46120</v>
      </c>
      <c r="T39" s="28">
        <f>_xll.qlInterestRateIndexMaturity(Index,S39,Trigger)</f>
        <v>46303</v>
      </c>
      <c r="U39" s="30">
        <f>_xll.qlIndexFixing($M$5,R39,TRUE,InterestRatesTrigger)</f>
        <v>1.8880207482367271E-2</v>
      </c>
      <c r="V39" s="78">
        <f>_xll.qlIndexFixing(Index,R39,TRUE,InterestRatesTrigger)</f>
        <v>2.0547729394577392E-2</v>
      </c>
      <c r="W39" s="30">
        <f t="shared" si="5"/>
        <v>1.6675219122101216E-3</v>
      </c>
      <c r="X39" s="29">
        <f>_xll.qlDayCounterYearFraction(DayCounter,SettlementDate,S39,,,Trigger)</f>
        <v>10.669444444444444</v>
      </c>
      <c r="Y39" s="29">
        <f>_xll.qlDayCounterYearFraction(DayCounter,S39,T39)</f>
        <v>0.5083333333333333</v>
      </c>
      <c r="Z39" s="29">
        <f>IF($M$13,_xll.qlYieldTSDiscount(Currency&amp;"ON",S39)/(1+V39*Y39),1)</f>
        <v>1</v>
      </c>
      <c r="AA39" s="30">
        <f>_xll.qlTenorBasisValue(TenorBasis6M,S39,InterestRatesTrigger)</f>
        <v>1.7542061476001503E-3</v>
      </c>
      <c r="AB39" s="78">
        <f>AA39+U39</f>
        <v>2.0634413629967423E-2</v>
      </c>
      <c r="AC39" s="80">
        <f>AB39/V39</f>
        <v>1.0042186770968917</v>
      </c>
    </row>
    <row r="40" spans="16:29" x14ac:dyDescent="0.2">
      <c r="P40" s="33">
        <v>6</v>
      </c>
      <c r="Q40" s="27" t="str">
        <f>_xll.qlPeriodEquivalent(Q39&amp;"+"&amp;P40&amp;"M")</f>
        <v>11Y</v>
      </c>
      <c r="R40" s="28">
        <f>_xll.qlCalendarAdvance(Calendar,SettlementDate,Q40,"f",,Trigger)</f>
        <v>46297</v>
      </c>
      <c r="S40" s="28">
        <f>_xll.qlInterestRateIndexValueDate(Index,R40,Trigger)</f>
        <v>46301</v>
      </c>
      <c r="T40" s="28">
        <f>_xll.qlInterestRateIndexMaturity(Index,S40,Trigger)</f>
        <v>46483</v>
      </c>
      <c r="U40" s="30">
        <f>_xll.qlIndexFixing($M$5,R40,TRUE,InterestRatesTrigger)</f>
        <v>1.9174372863027655E-2</v>
      </c>
      <c r="V40" s="78">
        <f>_xll.qlIndexFixing(Index,R40,TRUE,InterestRatesTrigger)</f>
        <v>2.092348515519013E-2</v>
      </c>
      <c r="W40" s="30">
        <f t="shared" si="5"/>
        <v>1.7491122921624754E-3</v>
      </c>
      <c r="X40" s="29">
        <f>_xll.qlDayCounterYearFraction(DayCounter,SettlementDate,S40,,,Trigger)</f>
        <v>11.172222222222222</v>
      </c>
      <c r="Y40" s="29">
        <f>_xll.qlDayCounterYearFraction(DayCounter,S40,T40)</f>
        <v>0.50555555555555554</v>
      </c>
      <c r="Z40" s="29">
        <f>IF($M$13,_xll.qlYieldTSDiscount(Currency&amp;"ON",S40)/(1+V40*Y40),1)</f>
        <v>1</v>
      </c>
      <c r="AA40" s="30">
        <f>_xll.qlTenorBasisValue(TenorBasis6M,S40,InterestRatesTrigger)</f>
        <v>1.6666090197100364E-3</v>
      </c>
      <c r="AB40" s="78">
        <f>AA40+U40</f>
        <v>2.084098188273769E-2</v>
      </c>
      <c r="AC40" s="80">
        <f>AB40/V40</f>
        <v>0.99605690582422046</v>
      </c>
    </row>
    <row r="41" spans="16:29" x14ac:dyDescent="0.2">
      <c r="P41" s="33">
        <v>6</v>
      </c>
      <c r="Q41" s="27" t="str">
        <f>_xll.qlPeriodEquivalent(Q40&amp;"+"&amp;P41&amp;"M")</f>
        <v>11Y6M</v>
      </c>
      <c r="R41" s="28">
        <f>_xll.qlCalendarAdvance(Calendar,SettlementDate,Q41,"f",,Trigger)</f>
        <v>46479</v>
      </c>
      <c r="S41" s="28">
        <f>_xll.qlInterestRateIndexValueDate(Index,R41,Trigger)</f>
        <v>46483</v>
      </c>
      <c r="T41" s="28">
        <f>_xll.qlInterestRateIndexMaturity(Index,S41,Trigger)</f>
        <v>46666</v>
      </c>
      <c r="U41" s="30">
        <f>_xll.qlIndexFixing($M$5,R41,TRUE,InterestRatesTrigger)</f>
        <v>1.9465638721936657E-2</v>
      </c>
      <c r="V41" s="78">
        <f>_xll.qlIndexFixing(Index,R41,TRUE,InterestRatesTrigger)</f>
        <v>2.1202044691908666E-2</v>
      </c>
      <c r="W41" s="30">
        <f t="shared" si="5"/>
        <v>1.7364059699720089E-3</v>
      </c>
      <c r="X41" s="29">
        <f>_xll.qlDayCounterYearFraction(DayCounter,SettlementDate,S41,,,Trigger)</f>
        <v>11.677777777777777</v>
      </c>
      <c r="Y41" s="29">
        <f>_xll.qlDayCounterYearFraction(DayCounter,S41,T41)</f>
        <v>0.5083333333333333</v>
      </c>
      <c r="Z41" s="29">
        <f>IF($M$13,_xll.qlYieldTSDiscount(Currency&amp;"ON",S41)/(1+V41*Y41),1)</f>
        <v>1</v>
      </c>
      <c r="AA41" s="30">
        <f>_xll.qlTenorBasisValue(TenorBasis6M,S41,InterestRatesTrigger)</f>
        <v>1.5815038926975983E-3</v>
      </c>
      <c r="AB41" s="78">
        <f>AA41+U41</f>
        <v>2.1047142614634255E-2</v>
      </c>
      <c r="AC41" s="80">
        <f>AB41/V41</f>
        <v>0.99269400288862109</v>
      </c>
    </row>
    <row r="42" spans="16:29" x14ac:dyDescent="0.2">
      <c r="P42" s="33">
        <v>6</v>
      </c>
      <c r="Q42" s="27" t="str">
        <f>_xll.qlPeriodEquivalent(Q41&amp;"+"&amp;P42&amp;"M")</f>
        <v>12Y</v>
      </c>
      <c r="R42" s="28">
        <f>_xll.qlCalendarAdvance(Calendar,SettlementDate,Q42,"f",,Trigger)</f>
        <v>46664</v>
      </c>
      <c r="S42" s="28">
        <f>_xll.qlInterestRateIndexValueDate(Index,R42,Trigger)</f>
        <v>46666</v>
      </c>
      <c r="T42" s="28">
        <f>_xll.qlInterestRateIndexMaturity(Index,S42,Trigger)</f>
        <v>46849</v>
      </c>
      <c r="U42" s="30">
        <f>_xll.qlIndexFixing($M$5,R42,TRUE,InterestRatesTrigger)</f>
        <v>1.9797374715984448E-2</v>
      </c>
      <c r="V42" s="78">
        <f>_xll.qlIndexFixing(Index,R42,TRUE,InterestRatesTrigger)</f>
        <v>2.1381208556627257E-2</v>
      </c>
      <c r="W42" s="30">
        <f t="shared" si="5"/>
        <v>1.5838338406428086E-3</v>
      </c>
      <c r="X42" s="29">
        <f>_xll.qlDayCounterYearFraction(DayCounter,SettlementDate,S42,,,Trigger)</f>
        <v>12.186111111111112</v>
      </c>
      <c r="Y42" s="29">
        <f>_xll.qlDayCounterYearFraction(DayCounter,S42,T42)</f>
        <v>0.5083333333333333</v>
      </c>
      <c r="Z42" s="29">
        <f>IF($M$13,_xll.qlYieldTSDiscount(Currency&amp;"ON",S42)/(1+V42*Y42),1)</f>
        <v>1</v>
      </c>
      <c r="AA42" s="30">
        <f>_xll.qlTenorBasisValue(TenorBasis6M,S42,InterestRatesTrigger)</f>
        <v>1.4991814235444218E-3</v>
      </c>
      <c r="AB42" s="78">
        <f>AA42+U42</f>
        <v>2.1296556139528869E-2</v>
      </c>
      <c r="AC42" s="80">
        <f>AB42/V42</f>
        <v>0.99604080298481779</v>
      </c>
    </row>
    <row r="43" spans="16:29" x14ac:dyDescent="0.2">
      <c r="P43" s="33">
        <v>6</v>
      </c>
      <c r="Q43" s="27" t="str">
        <f>_xll.qlPeriodEquivalent(Q42&amp;"+"&amp;P43&amp;"M")</f>
        <v>12Y6M</v>
      </c>
      <c r="R43" s="28">
        <f>_xll.qlCalendarAdvance(Calendar,SettlementDate,Q43,"f",,Trigger)</f>
        <v>46846</v>
      </c>
      <c r="S43" s="28">
        <f>_xll.qlInterestRateIndexValueDate(Index,R43,Trigger)</f>
        <v>46848</v>
      </c>
      <c r="T43" s="28">
        <f>_xll.qlInterestRateIndexMaturity(Index,S43,Trigger)</f>
        <v>47031</v>
      </c>
      <c r="U43" s="30">
        <f>_xll.qlIndexFixing($M$5,R43,TRUE,InterestRatesTrigger)</f>
        <v>2.0076071137629943E-2</v>
      </c>
      <c r="V43" s="78">
        <f>_xll.qlIndexFixing(Index,R43,TRUE,InterestRatesTrigger)</f>
        <v>2.1492084258027701E-2</v>
      </c>
      <c r="W43" s="30">
        <f t="shared" si="5"/>
        <v>1.4160131203977584E-3</v>
      </c>
      <c r="X43" s="29">
        <f>_xll.qlDayCounterYearFraction(DayCounter,SettlementDate,S43,,,Trigger)</f>
        <v>12.691666666666666</v>
      </c>
      <c r="Y43" s="29">
        <f>_xll.qlDayCounterYearFraction(DayCounter,S43,T43)</f>
        <v>0.5083333333333333</v>
      </c>
      <c r="Z43" s="29">
        <f>IF($M$13,_xll.qlYieldTSDiscount(Currency&amp;"ON",S43)/(1+V43*Y43),1)</f>
        <v>1</v>
      </c>
      <c r="AA43" s="30">
        <f>_xll.qlTenorBasisValue(TenorBasis6M,S43,InterestRatesTrigger)</f>
        <v>1.4207080118249973E-3</v>
      </c>
      <c r="AB43" s="78">
        <f>AA43+U43</f>
        <v>2.1496779149454942E-2</v>
      </c>
      <c r="AC43" s="80">
        <f>AB43/V43</f>
        <v>1.0002184474698161</v>
      </c>
    </row>
    <row r="44" spans="16:29" x14ac:dyDescent="0.2">
      <c r="P44" s="33">
        <v>6</v>
      </c>
      <c r="Q44" s="27" t="str">
        <f>_xll.qlPeriodEquivalent(Q43&amp;"+"&amp;P44&amp;"M")</f>
        <v>13Y</v>
      </c>
      <c r="R44" s="28">
        <f>_xll.qlCalendarAdvance(Calendar,SettlementDate,Q44,"f",,Trigger)</f>
        <v>47028</v>
      </c>
      <c r="S44" s="28">
        <f>_xll.qlInterestRateIndexValueDate(Index,R44,Trigger)</f>
        <v>47030</v>
      </c>
      <c r="T44" s="28">
        <f>_xll.qlInterestRateIndexMaturity(Index,S44,Trigger)</f>
        <v>47212</v>
      </c>
      <c r="U44" s="30">
        <f>_xll.qlIndexFixing($M$5,R44,TRUE,InterestRatesTrigger)</f>
        <v>2.0277364465515323E-2</v>
      </c>
      <c r="V44" s="78">
        <f>_xll.qlIndexFixing(Index,R44,TRUE,InterestRatesTrigger)</f>
        <v>2.1545874756647345E-2</v>
      </c>
      <c r="W44" s="30">
        <f t="shared" si="5"/>
        <v>1.2685102911320217E-3</v>
      </c>
      <c r="X44" s="29">
        <f>_xll.qlDayCounterYearFraction(DayCounter,SettlementDate,S44,,,Trigger)</f>
        <v>13.197222222222223</v>
      </c>
      <c r="Y44" s="29">
        <f>_xll.qlDayCounterYearFraction(DayCounter,S44,T44)</f>
        <v>0.50555555555555554</v>
      </c>
      <c r="Z44" s="29">
        <f>IF($M$13,_xll.qlYieldTSDiscount(Currency&amp;"ON",S44)/(1+V44*Y44),1)</f>
        <v>1</v>
      </c>
      <c r="AA44" s="30">
        <f>_xll.qlTenorBasisValue(TenorBasis6M,S44,InterestRatesTrigger)</f>
        <v>1.3457289119738636E-3</v>
      </c>
      <c r="AB44" s="78">
        <f>AA44+U44</f>
        <v>2.1623093377489189E-2</v>
      </c>
      <c r="AC44" s="80">
        <f>AB44/V44</f>
        <v>1.003583916722528</v>
      </c>
    </row>
    <row r="45" spans="16:29" x14ac:dyDescent="0.2">
      <c r="P45" s="33">
        <v>6</v>
      </c>
      <c r="Q45" s="27" t="str">
        <f>_xll.qlPeriodEquivalent(Q44&amp;"+"&amp;P45&amp;"M")</f>
        <v>13Y6M</v>
      </c>
      <c r="R45" s="28">
        <f>_xll.qlCalendarAdvance(Calendar,SettlementDate,Q45,"f",,Trigger)</f>
        <v>47211</v>
      </c>
      <c r="S45" s="28">
        <f>_xll.qlInterestRateIndexValueDate(Index,R45,Trigger)</f>
        <v>47213</v>
      </c>
      <c r="T45" s="28">
        <f>_xll.qlInterestRateIndexMaturity(Index,S45,Trigger)</f>
        <v>47396</v>
      </c>
      <c r="U45" s="30">
        <f>_xll.qlIndexFixing($M$5,R45,TRUE,InterestRatesTrigger)</f>
        <v>2.0403059981082491E-2</v>
      </c>
      <c r="V45" s="78">
        <f>_xll.qlIndexFixing(Index,R45,TRUE,InterestRatesTrigger)</f>
        <v>2.1547737850986296E-2</v>
      </c>
      <c r="W45" s="30">
        <f t="shared" si="5"/>
        <v>1.1446778699038054E-3</v>
      </c>
      <c r="X45" s="29">
        <f>_xll.qlDayCounterYearFraction(DayCounter,SettlementDate,S45,,,Trigger)</f>
        <v>13.705555555555556</v>
      </c>
      <c r="Y45" s="29">
        <f>_xll.qlDayCounterYearFraction(DayCounter,S45,T45)</f>
        <v>0.5083333333333333</v>
      </c>
      <c r="Z45" s="29">
        <f>IF($M$13,_xll.qlYieldTSDiscount(Currency&amp;"ON",S45)/(1+V45*Y45),1)</f>
        <v>1</v>
      </c>
      <c r="AA45" s="30">
        <f>_xll.qlTenorBasisValue(TenorBasis6M,S45,InterestRatesTrigger)</f>
        <v>1.2739143229374833E-3</v>
      </c>
      <c r="AB45" s="78">
        <f>AA45+U45</f>
        <v>2.1676974304019974E-2</v>
      </c>
      <c r="AC45" s="80">
        <f>AB45/V45</f>
        <v>1.0059976807740754</v>
      </c>
    </row>
    <row r="46" spans="16:29" x14ac:dyDescent="0.2">
      <c r="P46" s="33">
        <v>6</v>
      </c>
      <c r="Q46" s="27" t="str">
        <f>_xll.qlPeriodEquivalent(Q45&amp;"+"&amp;P46&amp;"M")</f>
        <v>14Y</v>
      </c>
      <c r="R46" s="28">
        <f>_xll.qlCalendarAdvance(Calendar,SettlementDate,Q46,"f",,Trigger)</f>
        <v>47393</v>
      </c>
      <c r="S46" s="28">
        <f>_xll.qlInterestRateIndexValueDate(Index,R46,Trigger)</f>
        <v>47395</v>
      </c>
      <c r="T46" s="28">
        <f>_xll.qlInterestRateIndexMaturity(Index,S46,Trigger)</f>
        <v>47577</v>
      </c>
      <c r="U46" s="30">
        <f>_xll.qlIndexFixing($M$5,R46,TRUE,InterestRatesTrigger)</f>
        <v>2.0446687779464148E-2</v>
      </c>
      <c r="V46" s="78">
        <f>_xll.qlIndexFixing(Index,R46,TRUE,InterestRatesTrigger)</f>
        <v>2.149839302354203E-2</v>
      </c>
      <c r="W46" s="30">
        <f t="shared" si="5"/>
        <v>1.0517052440778829E-3</v>
      </c>
      <c r="X46" s="29">
        <f>_xll.qlDayCounterYearFraction(DayCounter,SettlementDate,S46,,,Trigger)</f>
        <v>14.21111111111111</v>
      </c>
      <c r="Y46" s="29">
        <f>_xll.qlDayCounterYearFraction(DayCounter,S46,T46)</f>
        <v>0.50555555555555554</v>
      </c>
      <c r="Z46" s="29">
        <f>IF($M$13,_xll.qlYieldTSDiscount(Currency&amp;"ON",S46)/(1+V46*Y46),1)</f>
        <v>1</v>
      </c>
      <c r="AA46" s="30">
        <f>_xll.qlTenorBasisValue(TenorBasis6M,S46,InterestRatesTrigger)</f>
        <v>1.2060594944247533E-3</v>
      </c>
      <c r="AB46" s="78">
        <f>AA46+U46</f>
        <v>2.1652747273888901E-2</v>
      </c>
      <c r="AC46" s="80">
        <f>AB46/V46</f>
        <v>1.0071798040987456</v>
      </c>
    </row>
    <row r="47" spans="16:29" x14ac:dyDescent="0.2">
      <c r="P47" s="33">
        <v>6</v>
      </c>
      <c r="Q47" s="27" t="str">
        <f>_xll.qlPeriodEquivalent(Q46&amp;"+"&amp;P47&amp;"M")</f>
        <v>14Y6M</v>
      </c>
      <c r="R47" s="28">
        <f>_xll.qlCalendarAdvance(Calendar,SettlementDate,Q47,"f",,Trigger)</f>
        <v>47575</v>
      </c>
      <c r="S47" s="28">
        <f>_xll.qlInterestRateIndexValueDate(Index,R47,Trigger)</f>
        <v>47577</v>
      </c>
      <c r="T47" s="28">
        <f>_xll.qlInterestRateIndexMaturity(Index,S47,Trigger)</f>
        <v>47760</v>
      </c>
      <c r="U47" s="30">
        <f>_xll.qlIndexFixing($M$5,R47,TRUE,InterestRatesTrigger)</f>
        <v>2.0410195232792187E-2</v>
      </c>
      <c r="V47" s="78">
        <f>_xll.qlIndexFixing(Index,R47,TRUE,InterestRatesTrigger)</f>
        <v>2.1403157500909459E-2</v>
      </c>
      <c r="W47" s="30">
        <f t="shared" si="5"/>
        <v>9.9296226811727145E-4</v>
      </c>
      <c r="X47" s="29">
        <f>_xll.qlDayCounterYearFraction(DayCounter,SettlementDate,S47,,,Trigger)</f>
        <v>14.716666666666667</v>
      </c>
      <c r="Y47" s="29">
        <f>_xll.qlDayCounterYearFraction(DayCounter,S47,T47)</f>
        <v>0.5083333333333333</v>
      </c>
      <c r="Z47" s="29">
        <f>IF($M$13,_xll.qlYieldTSDiscount(Currency&amp;"ON",S47)/(1+V47*Y47),1)</f>
        <v>1</v>
      </c>
      <c r="AA47" s="30">
        <f>_xll.qlTenorBasisValue(TenorBasis6M,S47,InterestRatesTrigger)</f>
        <v>1.1417377539983409E-3</v>
      </c>
      <c r="AB47" s="78">
        <f>AA47+U47</f>
        <v>2.1551932986790527E-2</v>
      </c>
      <c r="AC47" s="80">
        <f>AB47/V47</f>
        <v>1.0069510998961133</v>
      </c>
    </row>
    <row r="48" spans="16:29" x14ac:dyDescent="0.2">
      <c r="P48" s="33">
        <v>6</v>
      </c>
      <c r="Q48" s="27" t="str">
        <f>_xll.qlPeriodEquivalent(Q47&amp;"+"&amp;P48&amp;"M")</f>
        <v>15Y</v>
      </c>
      <c r="R48" s="28">
        <f>_xll.qlCalendarAdvance(Calendar,SettlementDate,Q48,"f",,Trigger)</f>
        <v>47758</v>
      </c>
      <c r="S48" s="28">
        <f>_xll.qlInterestRateIndexValueDate(Index,R48,Trigger)</f>
        <v>47760</v>
      </c>
      <c r="T48" s="28">
        <f>_xll.qlInterestRateIndexMaturity(Index,S48,Trigger)</f>
        <v>47942</v>
      </c>
      <c r="U48" s="30">
        <f>_xll.qlIndexFixing($M$5,R48,TRUE,InterestRatesTrigger)</f>
        <v>2.0296580281877166E-2</v>
      </c>
      <c r="V48" s="78">
        <f>_xll.qlIndexFixing(Index,R48,TRUE,InterestRatesTrigger)</f>
        <v>2.1262792936545472E-2</v>
      </c>
      <c r="W48" s="30">
        <f t="shared" si="5"/>
        <v>9.6621265466830669E-4</v>
      </c>
      <c r="X48" s="29">
        <f>_xll.qlDayCounterYearFraction(DayCounter,SettlementDate,S48,,,Trigger)</f>
        <v>15.225</v>
      </c>
      <c r="Y48" s="29">
        <f>_xll.qlDayCounterYearFraction(DayCounter,S48,T48)</f>
        <v>0.50555555555555554</v>
      </c>
      <c r="Z48" s="29">
        <f>IF($M$13,_xll.qlYieldTSDiscount(Currency&amp;"ON",S48)/(1+V48*Y48),1)</f>
        <v>1</v>
      </c>
      <c r="AA48" s="30">
        <f>_xll.qlTenorBasisValue(TenorBasis6M,S48,InterestRatesTrigger)</f>
        <v>1.0805716923600766E-3</v>
      </c>
      <c r="AB48" s="78">
        <f>AA48+U48</f>
        <v>2.1377151974237243E-2</v>
      </c>
      <c r="AC48" s="80">
        <f>AB48/V48</f>
        <v>1.0053783638881804</v>
      </c>
    </row>
    <row r="49" spans="16:29" x14ac:dyDescent="0.2">
      <c r="P49" s="33">
        <v>6</v>
      </c>
      <c r="Q49" s="27" t="str">
        <f>_xll.qlPeriodEquivalent(Q48&amp;"+"&amp;P49&amp;"M")</f>
        <v>15Y6M</v>
      </c>
      <c r="R49" s="28">
        <f>_xll.qlCalendarAdvance(Calendar,SettlementDate,Q49,"f",,Trigger)</f>
        <v>47940</v>
      </c>
      <c r="S49" s="28">
        <f>_xll.qlInterestRateIndexValueDate(Index,R49,Trigger)</f>
        <v>47942</v>
      </c>
      <c r="T49" s="28">
        <f>_xll.qlInterestRateIndexMaturity(Index,S49,Trigger)</f>
        <v>48127</v>
      </c>
      <c r="U49" s="30">
        <f>_xll.qlIndexFixing($M$5,R49,TRUE,InterestRatesTrigger)</f>
        <v>2.0136429409348684E-2</v>
      </c>
      <c r="V49" s="78">
        <f>_xll.qlIndexFixing(Index,R49,TRUE,InterestRatesTrigger)</f>
        <v>2.1082422419375843E-2</v>
      </c>
      <c r="W49" s="30">
        <f t="shared" si="5"/>
        <v>9.459930100271588E-4</v>
      </c>
      <c r="X49" s="29">
        <f>_xll.qlDayCounterYearFraction(DayCounter,SettlementDate,S49,,,Trigger)</f>
        <v>15.730555555555556</v>
      </c>
      <c r="Y49" s="29">
        <f>_xll.qlDayCounterYearFraction(DayCounter,S49,T49)</f>
        <v>0.51388888888888884</v>
      </c>
      <c r="Z49" s="29">
        <f>IF($M$13,_xll.qlYieldTSDiscount(Currency&amp;"ON",S49)/(1+V49*Y49),1)</f>
        <v>1</v>
      </c>
      <c r="AA49" s="30">
        <f>_xll.qlTenorBasisValue(TenorBasis6M,S49,InterestRatesTrigger)</f>
        <v>1.0231542930217428E-3</v>
      </c>
      <c r="AB49" s="78">
        <f>AA49+U49</f>
        <v>2.1159583702370428E-2</v>
      </c>
      <c r="AC49" s="80">
        <f>AB49/V49</f>
        <v>1.0036599818303455</v>
      </c>
    </row>
    <row r="50" spans="16:29" x14ac:dyDescent="0.2">
      <c r="P50" s="33">
        <v>6</v>
      </c>
      <c r="Q50" s="27" t="str">
        <f>_xll.qlPeriodEquivalent(Q49&amp;"+"&amp;P50&amp;"M")</f>
        <v>16Y</v>
      </c>
      <c r="R50" s="28">
        <f>_xll.qlCalendarAdvance(Calendar,SettlementDate,Q50,"f",,Trigger)</f>
        <v>48123</v>
      </c>
      <c r="S50" s="28">
        <f>_xll.qlInterestRateIndexValueDate(Index,R50,Trigger)</f>
        <v>48127</v>
      </c>
      <c r="T50" s="28">
        <f>_xll.qlInterestRateIndexMaturity(Index,S50,Trigger)</f>
        <v>48310</v>
      </c>
      <c r="U50" s="30">
        <f>_xll.qlIndexFixing($M$5,R50,TRUE,InterestRatesTrigger)</f>
        <v>1.9935052954782269E-2</v>
      </c>
      <c r="V50" s="78">
        <f>_xll.qlIndexFixing(Index,R50,TRUE,InterestRatesTrigger)</f>
        <v>2.0859677631425828E-2</v>
      </c>
      <c r="W50" s="30">
        <f t="shared" si="5"/>
        <v>9.2462467664355952E-4</v>
      </c>
      <c r="X50" s="29">
        <f>_xll.qlDayCounterYearFraction(DayCounter,SettlementDate,S50,,,Trigger)</f>
        <v>16.244444444444444</v>
      </c>
      <c r="Y50" s="29">
        <f>_xll.qlDayCounterYearFraction(DayCounter,S50,T50)</f>
        <v>0.5083333333333333</v>
      </c>
      <c r="Z50" s="29">
        <f>IF($M$13,_xll.qlYieldTSDiscount(Currency&amp;"ON",S50)/(1+V50*Y50),1)</f>
        <v>1</v>
      </c>
      <c r="AA50" s="30">
        <f>_xll.qlTenorBasisValue(TenorBasis6M,S50,InterestRatesTrigger)</f>
        <v>9.6818425208392033E-4</v>
      </c>
      <c r="AB50" s="78">
        <f>AA50+U50</f>
        <v>2.0903237206866189E-2</v>
      </c>
      <c r="AC50" s="80">
        <f>AB50/V50</f>
        <v>1.0020882190132572</v>
      </c>
    </row>
    <row r="51" spans="16:29" x14ac:dyDescent="0.2">
      <c r="P51" s="33">
        <v>6</v>
      </c>
      <c r="Q51" s="27" t="str">
        <f>_xll.qlPeriodEquivalent(Q50&amp;"+"&amp;P51&amp;"M")</f>
        <v>16Y6M</v>
      </c>
      <c r="R51" s="28">
        <f>_xll.qlCalendarAdvance(Calendar,SettlementDate,Q51,"f",,Trigger)</f>
        <v>48306</v>
      </c>
      <c r="S51" s="28">
        <f>_xll.qlInterestRateIndexValueDate(Index,R51,Trigger)</f>
        <v>48310</v>
      </c>
      <c r="T51" s="28">
        <f>_xll.qlInterestRateIndexMaturity(Index,S51,Trigger)</f>
        <v>48493</v>
      </c>
      <c r="U51" s="30">
        <f>_xll.qlIndexFixing($M$5,R51,TRUE,InterestRatesTrigger)</f>
        <v>1.9701944016124455E-2</v>
      </c>
      <c r="V51" s="78">
        <f>_xll.qlIndexFixing(Index,R51,TRUE,InterestRatesTrigger)</f>
        <v>2.0603891281986017E-2</v>
      </c>
      <c r="W51" s="30">
        <f t="shared" si="5"/>
        <v>9.019472658615621E-4</v>
      </c>
      <c r="X51" s="29">
        <f>_xll.qlDayCounterYearFraction(DayCounter,SettlementDate,S51,,,Trigger)</f>
        <v>16.752777777777776</v>
      </c>
      <c r="Y51" s="29">
        <f>_xll.qlDayCounterYearFraction(DayCounter,S51,T51)</f>
        <v>0.5083333333333333</v>
      </c>
      <c r="Z51" s="29">
        <f>IF($M$13,_xll.qlYieldTSDiscount(Currency&amp;"ON",S51)/(1+V51*Y51),1)</f>
        <v>1</v>
      </c>
      <c r="AA51" s="30">
        <f>_xll.qlTenorBasisValue(TenorBasis6M,S51,InterestRatesTrigger)</f>
        <v>9.1706561951823955E-4</v>
      </c>
      <c r="AB51" s="78">
        <f>AA51+U51</f>
        <v>2.0619009635642695E-2</v>
      </c>
      <c r="AC51" s="80">
        <f>AB51/V51</f>
        <v>1.0007337620573593</v>
      </c>
    </row>
    <row r="52" spans="16:29" x14ac:dyDescent="0.2">
      <c r="P52" s="33">
        <v>6</v>
      </c>
      <c r="Q52" s="27" t="str">
        <f>_xll.qlPeriodEquivalent(Q51&amp;"+"&amp;P52&amp;"M")</f>
        <v>17Y</v>
      </c>
      <c r="R52" s="28">
        <f>_xll.qlCalendarAdvance(Calendar,SettlementDate,Q52,"f",,Trigger)</f>
        <v>48491</v>
      </c>
      <c r="S52" s="28">
        <f>_xll.qlInterestRateIndexValueDate(Index,R52,Trigger)</f>
        <v>48493</v>
      </c>
      <c r="T52" s="28">
        <f>_xll.qlInterestRateIndexMaturity(Index,S52,Trigger)</f>
        <v>48675</v>
      </c>
      <c r="U52" s="30">
        <f>_xll.qlIndexFixing($M$5,R52,TRUE,InterestRatesTrigger)</f>
        <v>1.9439139674480941E-2</v>
      </c>
      <c r="V52" s="78">
        <f>_xll.qlIndexFixing(Index,R52,TRUE,InterestRatesTrigger)</f>
        <v>2.0316196464353776E-2</v>
      </c>
      <c r="W52" s="30">
        <f t="shared" si="5"/>
        <v>8.7705678987283486E-4</v>
      </c>
      <c r="X52" s="29">
        <f>_xll.qlDayCounterYearFraction(DayCounter,SettlementDate,S52,,,Trigger)</f>
        <v>17.261111111111113</v>
      </c>
      <c r="Y52" s="29">
        <f>_xll.qlDayCounterYearFraction(DayCounter,S52,T52)</f>
        <v>0.50555555555555554</v>
      </c>
      <c r="Z52" s="29">
        <f>IF($M$13,_xll.qlYieldTSDiscount(Currency&amp;"ON",S52)/(1+V52*Y52),1)</f>
        <v>1</v>
      </c>
      <c r="AA52" s="30">
        <f>_xll.qlTenorBasisValue(TenorBasis6M,S52,InterestRatesTrigger)</f>
        <v>8.6906735257138827E-4</v>
      </c>
      <c r="AB52" s="78">
        <f>AA52+U52</f>
        <v>2.0308207027052331E-2</v>
      </c>
      <c r="AC52" s="80">
        <f>AB52/V52</f>
        <v>0.99960674542031214</v>
      </c>
    </row>
    <row r="53" spans="16:29" x14ac:dyDescent="0.2">
      <c r="P53" s="33">
        <v>6</v>
      </c>
      <c r="Q53" s="27" t="str">
        <f>_xll.qlPeriodEquivalent(Q52&amp;"+"&amp;P53&amp;"M")</f>
        <v>17Y6M</v>
      </c>
      <c r="R53" s="28">
        <f>_xll.qlCalendarAdvance(Calendar,SettlementDate,Q53,"f",,Trigger)</f>
        <v>48673</v>
      </c>
      <c r="S53" s="28">
        <f>_xll.qlInterestRateIndexValueDate(Index,R53,Trigger)</f>
        <v>48675</v>
      </c>
      <c r="T53" s="28">
        <f>_xll.qlInterestRateIndexMaturity(Index,S53,Trigger)</f>
        <v>48858</v>
      </c>
      <c r="U53" s="30">
        <f>_xll.qlIndexFixing($M$5,R53,TRUE,InterestRatesTrigger)</f>
        <v>1.9151418257231857E-2</v>
      </c>
      <c r="V53" s="78">
        <f>_xll.qlIndexFixing(Index,R53,TRUE,InterestRatesTrigger)</f>
        <v>2.0000749443627577E-2</v>
      </c>
      <c r="W53" s="30">
        <f t="shared" si="5"/>
        <v>8.4933118639572008E-4</v>
      </c>
      <c r="X53" s="29">
        <f>_xll.qlDayCounterYearFraction(DayCounter,SettlementDate,S53,,,Trigger)</f>
        <v>17.766666666666666</v>
      </c>
      <c r="Y53" s="29">
        <f>_xll.qlDayCounterYearFraction(DayCounter,S53,T53)</f>
        <v>0.5083333333333333</v>
      </c>
      <c r="Z53" s="29">
        <f>IF($M$13,_xll.qlYieldTSDiscount(Currency&amp;"ON",S53)/(1+V53*Y53),1)</f>
        <v>1</v>
      </c>
      <c r="AA53" s="30">
        <f>_xll.qlTenorBasisValue(TenorBasis6M,S53,InterestRatesTrigger)</f>
        <v>8.2430152035036744E-4</v>
      </c>
      <c r="AB53" s="78">
        <f>AA53+U53</f>
        <v>1.9975719777582224E-2</v>
      </c>
      <c r="AC53" s="80">
        <f>AB53/V53</f>
        <v>0.99874856359178443</v>
      </c>
    </row>
    <row r="54" spans="16:29" x14ac:dyDescent="0.2">
      <c r="P54" s="33">
        <v>6</v>
      </c>
      <c r="Q54" s="27" t="str">
        <f>_xll.qlPeriodEquivalent(Q53&amp;"+"&amp;P54&amp;"M")</f>
        <v>18Y</v>
      </c>
      <c r="R54" s="28">
        <f>_xll.qlCalendarAdvance(Calendar,SettlementDate,Q54,"f",,Trigger)</f>
        <v>48855</v>
      </c>
      <c r="S54" s="28">
        <f>_xll.qlInterestRateIndexValueDate(Index,R54,Trigger)</f>
        <v>48857</v>
      </c>
      <c r="T54" s="28">
        <f>_xll.qlInterestRateIndexMaturity(Index,S54,Trigger)</f>
        <v>49039</v>
      </c>
      <c r="U54" s="30">
        <f>_xll.qlIndexFixing($M$5,R54,TRUE,InterestRatesTrigger)</f>
        <v>1.8842352558366495E-2</v>
      </c>
      <c r="V54" s="78">
        <f>_xll.qlIndexFixing(Index,R54,TRUE,InterestRatesTrigger)</f>
        <v>1.9660421583115428E-2</v>
      </c>
      <c r="W54" s="30">
        <f t="shared" si="5"/>
        <v>8.180690247489332E-4</v>
      </c>
      <c r="X54" s="29">
        <f>_xll.qlDayCounterYearFraction(DayCounter,SettlementDate,S54,,,Trigger)</f>
        <v>18.272222222222222</v>
      </c>
      <c r="Y54" s="29">
        <f>_xll.qlDayCounterYearFraction(DayCounter,S54,T54)</f>
        <v>0.50555555555555554</v>
      </c>
      <c r="Z54" s="29">
        <f>IF($M$13,_xll.qlYieldTSDiscount(Currency&amp;"ON",S54)/(1+V54*Y54),1)</f>
        <v>1</v>
      </c>
      <c r="AA54" s="30">
        <f>_xll.qlTenorBasisValue(TenorBasis6M,S54,InterestRatesTrigger)</f>
        <v>7.8236888396655726E-4</v>
      </c>
      <c r="AB54" s="78">
        <f>AA54+U54</f>
        <v>1.9624721442333053E-2</v>
      </c>
      <c r="AC54" s="80">
        <f>AB54/V54</f>
        <v>0.99818416199106152</v>
      </c>
    </row>
    <row r="55" spans="16:29" x14ac:dyDescent="0.2">
      <c r="P55" s="33">
        <v>6</v>
      </c>
      <c r="Q55" s="27" t="str">
        <f>_xll.qlPeriodEquivalent(Q54&amp;"+"&amp;P55&amp;"M")</f>
        <v>18Y6M</v>
      </c>
      <c r="R55" s="28">
        <f>_xll.qlCalendarAdvance(Calendar,SettlementDate,Q55,"f",,Trigger)</f>
        <v>49037</v>
      </c>
      <c r="S55" s="28">
        <f>_xll.qlInterestRateIndexValueDate(Index,R55,Trigger)</f>
        <v>49039</v>
      </c>
      <c r="T55" s="28">
        <f>_xll.qlInterestRateIndexMaturity(Index,S55,Trigger)</f>
        <v>49222</v>
      </c>
      <c r="U55" s="30">
        <f>_xll.qlIndexFixing($M$5,R55,TRUE,InterestRatesTrigger)</f>
        <v>1.8514320009791276E-2</v>
      </c>
      <c r="V55" s="78">
        <f>_xll.qlIndexFixing(Index,R55,TRUE,InterestRatesTrigger)</f>
        <v>1.9296718915665482E-2</v>
      </c>
      <c r="W55" s="30">
        <f t="shared" si="5"/>
        <v>7.8239890587420563E-4</v>
      </c>
      <c r="X55" s="29">
        <f>_xll.qlDayCounterYearFraction(DayCounter,SettlementDate,S55,,,Trigger)</f>
        <v>18.777777777777779</v>
      </c>
      <c r="Y55" s="29">
        <f>_xll.qlDayCounterYearFraction(DayCounter,S55,T55)</f>
        <v>0.5083333333333333</v>
      </c>
      <c r="Z55" s="29">
        <f>IF($M$13,_xll.qlYieldTSDiscount(Currency&amp;"ON",S55)/(1+V55*Y55),1)</f>
        <v>1</v>
      </c>
      <c r="AA55" s="30">
        <f>_xll.qlTenorBasisValue(TenorBasis6M,S55,InterestRatesTrigger)</f>
        <v>7.431382290329538E-4</v>
      </c>
      <c r="AB55" s="78">
        <f>AA55+U55</f>
        <v>1.9257458238824229E-2</v>
      </c>
      <c r="AC55" s="80">
        <f>AB55/V55</f>
        <v>0.99796542215218875</v>
      </c>
    </row>
    <row r="56" spans="16:29" x14ac:dyDescent="0.2">
      <c r="P56" s="33">
        <v>6</v>
      </c>
      <c r="Q56" s="27" t="str">
        <f>_xll.qlPeriodEquivalent(Q55&amp;"+"&amp;P56&amp;"M")</f>
        <v>19Y</v>
      </c>
      <c r="R56" s="28">
        <f>_xll.qlCalendarAdvance(Calendar,SettlementDate,Q56,"f",,Trigger)</f>
        <v>49219</v>
      </c>
      <c r="S56" s="28">
        <f>_xll.qlInterestRateIndexValueDate(Index,R56,Trigger)</f>
        <v>49221</v>
      </c>
      <c r="T56" s="28">
        <f>_xll.qlInterestRateIndexMaturity(Index,S56,Trigger)</f>
        <v>49403</v>
      </c>
      <c r="U56" s="30">
        <f>_xll.qlIndexFixing($M$5,R56,TRUE,InterestRatesTrigger)</f>
        <v>1.8172806053035173E-2</v>
      </c>
      <c r="V56" s="78">
        <f>_xll.qlIndexFixing(Index,R56,TRUE,InterestRatesTrigger)</f>
        <v>1.8914664889060424E-2</v>
      </c>
      <c r="W56" s="30">
        <f t="shared" si="5"/>
        <v>7.4185883602525052E-4</v>
      </c>
      <c r="X56" s="29">
        <f>_xll.qlDayCounterYearFraction(DayCounter,SettlementDate,S56,,,Trigger)</f>
        <v>19.283333333333335</v>
      </c>
      <c r="Y56" s="29">
        <f>_xll.qlDayCounterYearFraction(DayCounter,S56,T56)</f>
        <v>0.50555555555555554</v>
      </c>
      <c r="Z56" s="29">
        <f>IF($M$13,_xll.qlYieldTSDiscount(Currency&amp;"ON",S56)/(1+V56*Y56),1)</f>
        <v>1</v>
      </c>
      <c r="AA56" s="30">
        <f>_xll.qlTenorBasisValue(TenorBasis6M,S56,InterestRatesTrigger)</f>
        <v>7.0647740463091239E-4</v>
      </c>
      <c r="AB56" s="78">
        <f>AA56+U56</f>
        <v>1.8879283457666086E-2</v>
      </c>
      <c r="AC56" s="80">
        <f>AB56/V56</f>
        <v>0.9981294180149709</v>
      </c>
    </row>
    <row r="57" spans="16:29" x14ac:dyDescent="0.2">
      <c r="P57" s="33">
        <v>6</v>
      </c>
      <c r="Q57" s="27" t="str">
        <f>_xll.qlPeriodEquivalent(Q56&amp;"+"&amp;P57&amp;"M")</f>
        <v>19Y6M</v>
      </c>
      <c r="R57" s="28">
        <f>_xll.qlCalendarAdvance(Calendar,SettlementDate,Q57,"f",,Trigger)</f>
        <v>49401</v>
      </c>
      <c r="S57" s="28">
        <f>_xll.qlInterestRateIndexValueDate(Index,R57,Trigger)</f>
        <v>49403</v>
      </c>
      <c r="T57" s="28">
        <f>_xll.qlInterestRateIndexMaturity(Index,S57,Trigger)</f>
        <v>49586</v>
      </c>
      <c r="U57" s="30">
        <f>_xll.qlIndexFixing($M$5,R57,TRUE,InterestRatesTrigger)</f>
        <v>1.7819705622608189E-2</v>
      </c>
      <c r="V57" s="78">
        <f>_xll.qlIndexFixing(Index,R57,TRUE,InterestRatesTrigger)</f>
        <v>1.8515158016324511E-2</v>
      </c>
      <c r="W57" s="30">
        <f t="shared" si="5"/>
        <v>6.9545239371632261E-4</v>
      </c>
      <c r="X57" s="29">
        <f>_xll.qlDayCounterYearFraction(DayCounter,SettlementDate,S57,,,Trigger)</f>
        <v>19.788888888888888</v>
      </c>
      <c r="Y57" s="29">
        <f>_xll.qlDayCounterYearFraction(DayCounter,S57,T57)</f>
        <v>0.5083333333333333</v>
      </c>
      <c r="Z57" s="29">
        <f>IF($M$13,_xll.qlYieldTSDiscount(Currency&amp;"ON",S57)/(1+V57*Y57),1)</f>
        <v>1</v>
      </c>
      <c r="AA57" s="30">
        <f>_xll.qlTenorBasisValue(TenorBasis6M,S57,InterestRatesTrigger)</f>
        <v>6.7225471421819669E-4</v>
      </c>
      <c r="AB57" s="78">
        <f>AA57+U57</f>
        <v>1.8491960336826384E-2</v>
      </c>
      <c r="AC57" s="80">
        <f>AB57/V57</f>
        <v>0.99874709794657579</v>
      </c>
    </row>
    <row r="58" spans="16:29" x14ac:dyDescent="0.2">
      <c r="P58" s="33">
        <v>6</v>
      </c>
      <c r="Q58" s="27" t="str">
        <f>_xll.qlPeriodEquivalent(Q57&amp;"+"&amp;P58&amp;"M")</f>
        <v>20Y</v>
      </c>
      <c r="R58" s="28">
        <f>_xll.qlCalendarAdvance(Calendar,SettlementDate,Q58,"f",,Trigger)</f>
        <v>49584</v>
      </c>
      <c r="S58" s="28">
        <f>_xll.qlInterestRateIndexValueDate(Index,R58,Trigger)</f>
        <v>49586</v>
      </c>
      <c r="T58" s="28">
        <f>_xll.qlInterestRateIndexMaturity(Index,S58,Trigger)</f>
        <v>49769</v>
      </c>
      <c r="U58" s="30">
        <f>_xll.qlIndexFixing($M$5,R58,TRUE,InterestRatesTrigger)</f>
        <v>1.7459763669328318E-2</v>
      </c>
      <c r="V58" s="78">
        <f>_xll.qlIndexFixing(Index,R58,TRUE,InterestRatesTrigger)</f>
        <v>1.8104269096193479E-2</v>
      </c>
      <c r="W58" s="30">
        <f t="shared" si="5"/>
        <v>6.4450542686516135E-4</v>
      </c>
      <c r="X58" s="29">
        <f>_xll.qlDayCounterYearFraction(DayCounter,SettlementDate,S58,,,Trigger)</f>
        <v>20.297222222222221</v>
      </c>
      <c r="Y58" s="29">
        <f>_xll.qlDayCounterYearFraction(DayCounter,S58,T58)</f>
        <v>0.5083333333333333</v>
      </c>
      <c r="Z58" s="29">
        <f>IF($M$13,_xll.qlYieldTSDiscount(Currency&amp;"ON",S58)/(1+V58*Y58),1)</f>
        <v>1</v>
      </c>
      <c r="AA58" s="30">
        <f>_xll.qlTenorBasisValue(TenorBasis6M,S58,InterestRatesTrigger)</f>
        <v>6.4017083118031123E-4</v>
      </c>
      <c r="AB58" s="78">
        <f>AA58+U58</f>
        <v>1.8099934500508629E-2</v>
      </c>
      <c r="AC58" s="80">
        <f>AB58/V58</f>
        <v>0.99976057604635571</v>
      </c>
    </row>
    <row r="59" spans="16:29" x14ac:dyDescent="0.2">
      <c r="P59" s="33">
        <v>6</v>
      </c>
      <c r="Q59" s="27" t="str">
        <f>_xll.qlPeriodEquivalent(Q58&amp;"+"&amp;P59&amp;"M")</f>
        <v>20Y6M</v>
      </c>
      <c r="R59" s="28">
        <f>_xll.qlCalendarAdvance(Calendar,SettlementDate,Q59,"f",,Trigger)</f>
        <v>49767</v>
      </c>
      <c r="S59" s="28">
        <f>_xll.qlInterestRateIndexValueDate(Index,R59,Trigger)</f>
        <v>49769</v>
      </c>
      <c r="T59" s="28">
        <f>_xll.qlInterestRateIndexMaturity(Index,S59,Trigger)</f>
        <v>49954</v>
      </c>
      <c r="U59" s="30">
        <f>_xll.qlIndexFixing($M$5,R59,TRUE,InterestRatesTrigger)</f>
        <v>1.7102930692703768E-2</v>
      </c>
      <c r="V59" s="78">
        <f>_xll.qlIndexFixing(Index,R59,TRUE,InterestRatesTrigger)</f>
        <v>1.7699656220524568E-2</v>
      </c>
      <c r="W59" s="30">
        <f t="shared" si="5"/>
        <v>5.9672552782080029E-4</v>
      </c>
      <c r="X59" s="29">
        <f>_xll.qlDayCounterYearFraction(DayCounter,SettlementDate,S59,,,Trigger)</f>
        <v>20.805555555555557</v>
      </c>
      <c r="Y59" s="29">
        <f>_xll.qlDayCounterYearFraction(DayCounter,S59,T59)</f>
        <v>0.51388888888888884</v>
      </c>
      <c r="Z59" s="29">
        <f>IF($M$13,_xll.qlYieldTSDiscount(Currency&amp;"ON",S59)/(1+V59*Y59),1)</f>
        <v>1</v>
      </c>
      <c r="AA59" s="30">
        <f>_xll.qlTenorBasisValue(TenorBasis6M,S59,InterestRatesTrigger)</f>
        <v>6.1029068856930583E-4</v>
      </c>
      <c r="AB59" s="78">
        <f>AA59+U59</f>
        <v>1.7713221381273073E-2</v>
      </c>
      <c r="AC59" s="80">
        <f>AB59/V59</f>
        <v>1.0007664081482428</v>
      </c>
    </row>
    <row r="60" spans="16:29" x14ac:dyDescent="0.2">
      <c r="P60" s="33">
        <v>6</v>
      </c>
      <c r="Q60" s="27" t="str">
        <f>_xll.qlPeriodEquivalent(Q59&amp;"+"&amp;P60&amp;"M")</f>
        <v>21Y</v>
      </c>
      <c r="R60" s="28">
        <f>_xll.qlCalendarAdvance(Calendar,SettlementDate,Q60,"f",,Trigger)</f>
        <v>49950</v>
      </c>
      <c r="S60" s="28">
        <f>_xll.qlInterestRateIndexValueDate(Index,R60,Trigger)</f>
        <v>49954</v>
      </c>
      <c r="T60" s="28">
        <f>_xll.qlInterestRateIndexMaturity(Index,S60,Trigger)</f>
        <v>50137</v>
      </c>
      <c r="U60" s="30">
        <f>_xll.qlIndexFixing($M$5,R60,TRUE,InterestRatesTrigger)</f>
        <v>1.6754732188887726E-2</v>
      </c>
      <c r="V60" s="78">
        <f>_xll.qlIndexFixing(Index,R60,TRUE,InterestRatesTrigger)</f>
        <v>1.7309283567847125E-2</v>
      </c>
      <c r="W60" s="30">
        <f t="shared" si="5"/>
        <v>5.5455137895939893E-4</v>
      </c>
      <c r="X60" s="29">
        <f>_xll.qlDayCounterYearFraction(DayCounter,SettlementDate,S60,,,Trigger)</f>
        <v>21.319444444444443</v>
      </c>
      <c r="Y60" s="29">
        <f>_xll.qlDayCounterYearFraction(DayCounter,S60,T60)</f>
        <v>0.5083333333333333</v>
      </c>
      <c r="Z60" s="29">
        <f>IF($M$13,_xll.qlYieldTSDiscount(Currency&amp;"ON",S60)/(1+V60*Y60),1)</f>
        <v>1</v>
      </c>
      <c r="AA60" s="30">
        <f>_xll.qlTenorBasisValue(TenorBasis6M,S60,InterestRatesTrigger)</f>
        <v>5.8219502238814991E-4</v>
      </c>
      <c r="AB60" s="78">
        <f>AA60+U60</f>
        <v>1.7336927211275877E-2</v>
      </c>
      <c r="AC60" s="80">
        <f>AB60/V60</f>
        <v>1.0015970414558406</v>
      </c>
    </row>
    <row r="61" spans="16:29" x14ac:dyDescent="0.2">
      <c r="P61" s="33">
        <v>6</v>
      </c>
      <c r="Q61" s="27" t="str">
        <f>_xll.qlPeriodEquivalent(Q60&amp;"+"&amp;P61&amp;"M")</f>
        <v>21Y6M</v>
      </c>
      <c r="R61" s="28">
        <f>_xll.qlCalendarAdvance(Calendar,SettlementDate,Q61,"f",,Trigger)</f>
        <v>50132</v>
      </c>
      <c r="S61" s="28">
        <f>_xll.qlInterestRateIndexValueDate(Index,R61,Trigger)</f>
        <v>50138</v>
      </c>
      <c r="T61" s="28">
        <f>_xll.qlInterestRateIndexMaturity(Index,S61,Trigger)</f>
        <v>50321</v>
      </c>
      <c r="U61" s="30">
        <f>_xll.qlIndexFixing($M$5,R61,TRUE,InterestRatesTrigger)</f>
        <v>1.6422357200543334E-2</v>
      </c>
      <c r="V61" s="78">
        <f>_xll.qlIndexFixing(Index,R61,TRUE,InterestRatesTrigger)</f>
        <v>1.6941000275043021E-2</v>
      </c>
      <c r="W61" s="30">
        <f t="shared" si="5"/>
        <v>5.1864307449968686E-4</v>
      </c>
      <c r="X61" s="29">
        <f>_xll.qlDayCounterYearFraction(DayCounter,SettlementDate,S61,,,Trigger)</f>
        <v>21.830555555555556</v>
      </c>
      <c r="Y61" s="29">
        <f>_xll.qlDayCounterYearFraction(DayCounter,S61,T61)</f>
        <v>0.5083333333333333</v>
      </c>
      <c r="Z61" s="29">
        <f>IF($M$13,_xll.qlYieldTSDiscount(Currency&amp;"ON",S61)/(1+V61*Y61),1)</f>
        <v>1</v>
      </c>
      <c r="AA61" s="30">
        <f>_xll.qlTenorBasisValue(TenorBasis6M,S61,InterestRatesTrigger)</f>
        <v>5.5623166577478862E-4</v>
      </c>
      <c r="AB61" s="78">
        <f>AA61+U61</f>
        <v>1.6978588866318124E-2</v>
      </c>
      <c r="AC61" s="80">
        <f>AB61/V61</f>
        <v>1.0022187940891825</v>
      </c>
    </row>
    <row r="62" spans="16:29" x14ac:dyDescent="0.2">
      <c r="P62" s="33">
        <v>6</v>
      </c>
      <c r="Q62" s="27" t="str">
        <f>_xll.qlPeriodEquivalent(Q61&amp;"+"&amp;P62&amp;"M")</f>
        <v>22Y</v>
      </c>
      <c r="R62" s="28">
        <f>_xll.qlCalendarAdvance(Calendar,SettlementDate,Q62,"f",,Trigger)</f>
        <v>50315</v>
      </c>
      <c r="S62" s="28">
        <f>_xll.qlInterestRateIndexValueDate(Index,R62,Trigger)</f>
        <v>50319</v>
      </c>
      <c r="T62" s="28">
        <f>_xll.qlInterestRateIndexMaturity(Index,S62,Trigger)</f>
        <v>50501</v>
      </c>
      <c r="U62" s="30">
        <f>_xll.qlIndexFixing($M$5,R62,TRUE,InterestRatesTrigger)</f>
        <v>1.6115077499995398E-2</v>
      </c>
      <c r="V62" s="78">
        <f>_xll.qlIndexFixing(Index,R62,TRUE,InterestRatesTrigger)</f>
        <v>1.6604952905319551E-2</v>
      </c>
      <c r="W62" s="30">
        <f t="shared" si="5"/>
        <v>4.8987540532415344E-4</v>
      </c>
      <c r="X62" s="29">
        <f>_xll.qlDayCounterYearFraction(DayCounter,SettlementDate,S62,,,Trigger)</f>
        <v>22.333333333333332</v>
      </c>
      <c r="Y62" s="29">
        <f>_xll.qlDayCounterYearFraction(DayCounter,S62,T62)</f>
        <v>0.50555555555555554</v>
      </c>
      <c r="Z62" s="29">
        <f>IF($M$13,_xll.qlYieldTSDiscount(Currency&amp;"ON",S62)/(1+V62*Y62),1)</f>
        <v>1</v>
      </c>
      <c r="AA62" s="30">
        <f>_xll.qlTenorBasisValue(TenorBasis6M,S62,InterestRatesTrigger)</f>
        <v>5.325018333375421E-4</v>
      </c>
      <c r="AB62" s="78">
        <f>AA62+U62</f>
        <v>1.664757933333294E-2</v>
      </c>
      <c r="AC62" s="80">
        <f>AB62/V62</f>
        <v>1.0025670911719198</v>
      </c>
    </row>
    <row r="63" spans="16:29" x14ac:dyDescent="0.2">
      <c r="P63" s="33">
        <v>6</v>
      </c>
      <c r="Q63" s="27" t="str">
        <f>_xll.qlPeriodEquivalent(Q62&amp;"+"&amp;P63&amp;"M")</f>
        <v>22Y6M</v>
      </c>
      <c r="R63" s="28">
        <f>_xll.qlCalendarAdvance(Calendar,SettlementDate,Q63,"f",,Trigger)</f>
        <v>50497</v>
      </c>
      <c r="S63" s="28">
        <f>_xll.qlInterestRateIndexValueDate(Index,R63,Trigger)</f>
        <v>50501</v>
      </c>
      <c r="T63" s="28">
        <f>_xll.qlInterestRateIndexMaturity(Index,S63,Trigger)</f>
        <v>50684</v>
      </c>
      <c r="U63" s="30">
        <f>_xll.qlIndexFixing($M$5,R63,TRUE,InterestRatesTrigger)</f>
        <v>1.5828995942578999E-2</v>
      </c>
      <c r="V63" s="78">
        <f>_xll.qlIndexFixing(Index,R63,TRUE,InterestRatesTrigger)</f>
        <v>1.6296821104026863E-2</v>
      </c>
      <c r="W63" s="30">
        <f t="shared" si="5"/>
        <v>4.678251614478636E-4</v>
      </c>
      <c r="X63" s="29">
        <f>_xll.qlDayCounterYearFraction(DayCounter,SettlementDate,S63,,,Trigger)</f>
        <v>22.838888888888889</v>
      </c>
      <c r="Y63" s="29">
        <f>_xll.qlDayCounterYearFraction(DayCounter,S63,T63)</f>
        <v>0.5083333333333333</v>
      </c>
      <c r="Z63" s="29">
        <f>IF($M$13,_xll.qlYieldTSDiscount(Currency&amp;"ON",S63)/(1+V63*Y63),1)</f>
        <v>1</v>
      </c>
      <c r="AA63" s="30">
        <f>_xll.qlTenorBasisValue(TenorBasis6M,S63,InterestRatesTrigger)</f>
        <v>5.1033947749590193E-4</v>
      </c>
      <c r="AB63" s="78">
        <f>AA63+U63</f>
        <v>1.6339335420074902E-2</v>
      </c>
      <c r="AC63" s="80">
        <f>AB63/V63</f>
        <v>1.0026087490177784</v>
      </c>
    </row>
    <row r="64" spans="16:29" x14ac:dyDescent="0.2">
      <c r="P64" s="33">
        <v>6</v>
      </c>
      <c r="Q64" s="27" t="str">
        <f>_xll.qlPeriodEquivalent(Q63&amp;"+"&amp;P64&amp;"M")</f>
        <v>23Y</v>
      </c>
      <c r="R64" s="28">
        <f>_xll.qlCalendarAdvance(Calendar,SettlementDate,Q64,"f",,Trigger)</f>
        <v>50682</v>
      </c>
      <c r="S64" s="28">
        <f>_xll.qlInterestRateIndexValueDate(Index,R64,Trigger)</f>
        <v>50684</v>
      </c>
      <c r="T64" s="28">
        <f>_xll.qlInterestRateIndexMaturity(Index,S64,Trigger)</f>
        <v>50866</v>
      </c>
      <c r="U64" s="30">
        <f>_xll.qlIndexFixing($M$5,R64,TRUE,InterestRatesTrigger)</f>
        <v>1.5570773878614001E-2</v>
      </c>
      <c r="V64" s="78">
        <f>_xll.qlIndexFixing(Index,R64,TRUE,InterestRatesTrigger)</f>
        <v>1.6023982251436454E-2</v>
      </c>
      <c r="W64" s="30">
        <f t="shared" si="5"/>
        <v>4.5320837282245355E-4</v>
      </c>
      <c r="X64" s="29">
        <f>_xll.qlDayCounterYearFraction(DayCounter,SettlementDate,S64,,,Trigger)</f>
        <v>23.347222222222221</v>
      </c>
      <c r="Y64" s="29">
        <f>_xll.qlDayCounterYearFraction(DayCounter,S64,T64)</f>
        <v>0.50555555555555554</v>
      </c>
      <c r="Z64" s="29">
        <f>IF($M$13,_xll.qlYieldTSDiscount(Currency&amp;"ON",S64)/(1+V64*Y64),1)</f>
        <v>1</v>
      </c>
      <c r="AA64" s="30">
        <f>_xll.qlTenorBasisValue(TenorBasis6M,S64,InterestRatesTrigger)</f>
        <v>4.8966476523072634E-4</v>
      </c>
      <c r="AB64" s="78">
        <f>AA64+U64</f>
        <v>1.6060438643844727E-2</v>
      </c>
      <c r="AC64" s="80">
        <f>AB64/V64</f>
        <v>1.0022751143777013</v>
      </c>
    </row>
    <row r="65" spans="16:29" x14ac:dyDescent="0.2">
      <c r="P65" s="33">
        <v>6</v>
      </c>
      <c r="Q65" s="27" t="str">
        <f>_xll.qlPeriodEquivalent(Q64&amp;"+"&amp;P65&amp;"M")</f>
        <v>23Y6M</v>
      </c>
      <c r="R65" s="28">
        <f>_xll.qlCalendarAdvance(Calendar,SettlementDate,Q65,"f",,Trigger)</f>
        <v>50864</v>
      </c>
      <c r="S65" s="28">
        <f>_xll.qlInterestRateIndexValueDate(Index,R65,Trigger)</f>
        <v>50866</v>
      </c>
      <c r="T65" s="28">
        <f>_xll.qlInterestRateIndexMaturity(Index,S65,Trigger)</f>
        <v>51049</v>
      </c>
      <c r="U65" s="30">
        <f>_xll.qlIndexFixing($M$5,R65,TRUE,InterestRatesTrigger)</f>
        <v>1.534644268799262E-2</v>
      </c>
      <c r="V65" s="78">
        <f>_xll.qlIndexFixing(Index,R65,TRUE,InterestRatesTrigger)</f>
        <v>1.5793024003345334E-2</v>
      </c>
      <c r="W65" s="30">
        <f t="shared" si="5"/>
        <v>4.4658131535271414E-4</v>
      </c>
      <c r="X65" s="29">
        <f>_xll.qlDayCounterYearFraction(DayCounter,SettlementDate,S65,,,Trigger)</f>
        <v>23.852777777777778</v>
      </c>
      <c r="Y65" s="29">
        <f>_xll.qlDayCounterYearFraction(DayCounter,S65,T65)</f>
        <v>0.5083333333333333</v>
      </c>
      <c r="Z65" s="29">
        <f>IF($M$13,_xll.qlYieldTSDiscount(Currency&amp;"ON",S65)/(1+V65*Y65),1)</f>
        <v>1</v>
      </c>
      <c r="AA65" s="30">
        <f>_xll.qlTenorBasisValue(TenorBasis6M,S65,InterestRatesTrigger)</f>
        <v>4.7060100116165591E-4</v>
      </c>
      <c r="AB65" s="78">
        <f>AA65+U65</f>
        <v>1.5817043689154275E-2</v>
      </c>
      <c r="AC65" s="80">
        <f>AB65/V65</f>
        <v>1.0015209047870663</v>
      </c>
    </row>
    <row r="66" spans="16:29" x14ac:dyDescent="0.2">
      <c r="P66" s="33">
        <v>6</v>
      </c>
      <c r="Q66" s="27" t="str">
        <f>_xll.qlPeriodEquivalent(Q65&amp;"+"&amp;P66&amp;"M")</f>
        <v>24Y</v>
      </c>
      <c r="R66" s="28">
        <f>_xll.qlCalendarAdvance(Calendar,SettlementDate,Q66,"f",,Trigger)</f>
        <v>51046</v>
      </c>
      <c r="S66" s="28">
        <f>_xll.qlInterestRateIndexValueDate(Index,R66,Trigger)</f>
        <v>51048</v>
      </c>
      <c r="T66" s="28">
        <f>_xll.qlInterestRateIndexMaturity(Index,S66,Trigger)</f>
        <v>51231</v>
      </c>
      <c r="U66" s="30">
        <f>_xll.qlIndexFixing($M$5,R66,TRUE,InterestRatesTrigger)</f>
        <v>1.5160012724446706E-2</v>
      </c>
      <c r="V66" s="78">
        <f>_xll.qlIndexFixing(Index,R66,TRUE,InterestRatesTrigger)</f>
        <v>1.5608330863609878E-2</v>
      </c>
      <c r="W66" s="30">
        <f t="shared" si="5"/>
        <v>4.4831813916317194E-4</v>
      </c>
      <c r="X66" s="29">
        <f>_xll.qlDayCounterYearFraction(DayCounter,SettlementDate,S66,,,Trigger)</f>
        <v>24.358333333333334</v>
      </c>
      <c r="Y66" s="29">
        <f>_xll.qlDayCounterYearFraction(DayCounter,S66,T66)</f>
        <v>0.5083333333333333</v>
      </c>
      <c r="Z66" s="29">
        <f>IF($M$13,_xll.qlYieldTSDiscount(Currency&amp;"ON",S66)/(1+V66*Y66),1)</f>
        <v>1</v>
      </c>
      <c r="AA66" s="30">
        <f>_xll.qlTenorBasisValue(TenorBasis6M,S66,InterestRatesTrigger)</f>
        <v>4.5293365482162372E-4</v>
      </c>
      <c r="AB66" s="78">
        <f>AA66+U66</f>
        <v>1.5612946379268329E-2</v>
      </c>
      <c r="AC66" s="80">
        <f>AB66/V66</f>
        <v>1.0002957084712505</v>
      </c>
    </row>
    <row r="67" spans="16:29" x14ac:dyDescent="0.2">
      <c r="P67" s="33">
        <v>6</v>
      </c>
      <c r="Q67" s="27" t="str">
        <f>_xll.qlPeriodEquivalent(Q66&amp;"+"&amp;P67&amp;"M")</f>
        <v>24Y6M</v>
      </c>
      <c r="R67" s="28">
        <f>_xll.qlCalendarAdvance(Calendar,SettlementDate,Q67,"f",,Trigger)</f>
        <v>51229</v>
      </c>
      <c r="S67" s="28">
        <f>_xll.qlInterestRateIndexValueDate(Index,R67,Trigger)</f>
        <v>51231</v>
      </c>
      <c r="T67" s="28">
        <f>_xll.qlInterestRateIndexMaturity(Index,S67,Trigger)</f>
        <v>51414</v>
      </c>
      <c r="U67" s="30">
        <f>_xll.qlIndexFixing($M$5,R67,TRUE,InterestRatesTrigger)</f>
        <v>1.5015073799220841E-2</v>
      </c>
      <c r="V67" s="78">
        <f>_xll.qlIndexFixing(Index,R67,TRUE,InterestRatesTrigger)</f>
        <v>1.5474028195677071E-2</v>
      </c>
      <c r="W67" s="30">
        <f t="shared" si="5"/>
        <v>4.5895439645622996E-4</v>
      </c>
      <c r="X67" s="29">
        <f>_xll.qlDayCounterYearFraction(DayCounter,SettlementDate,S67,,,Trigger)</f>
        <v>24.866666666666667</v>
      </c>
      <c r="Y67" s="29">
        <f>_xll.qlDayCounterYearFraction(DayCounter,S67,T67)</f>
        <v>0.5083333333333333</v>
      </c>
      <c r="Z67" s="29">
        <f>IF($M$13,_xll.qlYieldTSDiscount(Currency&amp;"ON",S67)/(1+V67*Y67),1)</f>
        <v>1</v>
      </c>
      <c r="AA67" s="30">
        <f>_xll.qlTenorBasisValue(TenorBasis6M,S67,InterestRatesTrigger)</f>
        <v>4.364838943869022E-4</v>
      </c>
      <c r="AB67" s="78">
        <f>AA67+U67</f>
        <v>1.5451557693607744E-2</v>
      </c>
      <c r="AC67" s="80">
        <f>AB67/V67</f>
        <v>0.99854785697782267</v>
      </c>
    </row>
    <row r="68" spans="16:29" x14ac:dyDescent="0.2">
      <c r="P68" s="33">
        <v>6</v>
      </c>
      <c r="Q68" s="27" t="str">
        <f>_xll.qlPeriodEquivalent(Q67&amp;"+"&amp;P68&amp;"M")</f>
        <v>25Y</v>
      </c>
      <c r="R68" s="28">
        <f>_xll.qlCalendarAdvance(Calendar,SettlementDate,Q68,"f",,Trigger)</f>
        <v>51411</v>
      </c>
      <c r="S68" s="28">
        <f>_xll.qlInterestRateIndexValueDate(Index,R68,Trigger)</f>
        <v>51413</v>
      </c>
      <c r="T68" s="28">
        <f>_xll.qlInterestRateIndexMaturity(Index,S68,Trigger)</f>
        <v>51595</v>
      </c>
      <c r="U68" s="30">
        <f>_xll.qlIndexFixing($M$5,R68,TRUE,InterestRatesTrigger)</f>
        <v>1.4911151250924085E-2</v>
      </c>
      <c r="V68" s="78">
        <f>_xll.qlIndexFixing(Index,R68,TRUE,InterestRatesTrigger)</f>
        <v>1.5387902830156439E-2</v>
      </c>
      <c r="W68" s="30">
        <f t="shared" ref="W68:W131" si="13">V68-U68</f>
        <v>4.7675157923235401E-4</v>
      </c>
      <c r="X68" s="29">
        <f>_xll.qlDayCounterYearFraction(DayCounter,SettlementDate,S68,,,Trigger)</f>
        <v>25.372222222222224</v>
      </c>
      <c r="Y68" s="29">
        <f>_xll.qlDayCounterYearFraction(DayCounter,S68,T68)</f>
        <v>0.50555555555555554</v>
      </c>
      <c r="Z68" s="29">
        <f>IF($M$13,_xll.qlYieldTSDiscount(Currency&amp;"ON",S68)/(1+V68*Y68),1)</f>
        <v>1</v>
      </c>
      <c r="AA68" s="30">
        <f>_xll.qlTenorBasisValue(TenorBasis6M,S68,InterestRatesTrigger)</f>
        <v>4.2134360725534878E-4</v>
      </c>
      <c r="AB68" s="78">
        <f>AA68+U68</f>
        <v>1.5332494858179434E-2</v>
      </c>
      <c r="AC68" s="80">
        <f>AB68/V68</f>
        <v>0.99639925124374851</v>
      </c>
    </row>
    <row r="69" spans="16:29" x14ac:dyDescent="0.2">
      <c r="P69" s="33">
        <v>6</v>
      </c>
      <c r="Q69" s="27" t="str">
        <f>_xll.qlPeriodEquivalent(Q68&amp;"+"&amp;P69&amp;"M")</f>
        <v>25Y6M</v>
      </c>
      <c r="R69" s="28">
        <f>_xll.qlCalendarAdvance(Calendar,SettlementDate,Q69,"f",,Trigger)</f>
        <v>51593</v>
      </c>
      <c r="S69" s="28">
        <f>_xll.qlInterestRateIndexValueDate(Index,R69,Trigger)</f>
        <v>51595</v>
      </c>
      <c r="T69" s="28">
        <f>_xll.qlInterestRateIndexMaturity(Index,S69,Trigger)</f>
        <v>51778</v>
      </c>
      <c r="U69" s="30">
        <f>_xll.qlIndexFixing($M$5,R69,TRUE,InterestRatesTrigger)</f>
        <v>1.4825894052123907E-2</v>
      </c>
      <c r="V69" s="78">
        <f>_xll.qlIndexFixing(Index,R69,TRUE,InterestRatesTrigger)</f>
        <v>1.532030418911515E-2</v>
      </c>
      <c r="W69" s="30">
        <f t="shared" si="13"/>
        <v>4.9441013699124368E-4</v>
      </c>
      <c r="X69" s="29">
        <f>_xll.qlDayCounterYearFraction(DayCounter,SettlementDate,S69,,,Trigger)</f>
        <v>25.877777777777776</v>
      </c>
      <c r="Y69" s="29">
        <f>_xll.qlDayCounterYearFraction(DayCounter,S69,T69)</f>
        <v>0.5083333333333333</v>
      </c>
      <c r="Z69" s="29">
        <f>IF($M$13,_xll.qlYieldTSDiscount(Currency&amp;"ON",S69)/(1+V69*Y69),1)</f>
        <v>1</v>
      </c>
      <c r="AA69" s="30">
        <f>_xll.qlTenorBasisValue(TenorBasis6M,S69,InterestRatesTrigger)</f>
        <v>4.0733670451194065E-4</v>
      </c>
      <c r="AB69" s="78">
        <f>AA69+U69</f>
        <v>1.5233230756635848E-2</v>
      </c>
      <c r="AC69" s="80">
        <f>AB69/V69</f>
        <v>0.99431646843271126</v>
      </c>
    </row>
    <row r="70" spans="16:29" x14ac:dyDescent="0.2">
      <c r="P70" s="33">
        <v>6</v>
      </c>
      <c r="Q70" s="27" t="str">
        <f>_xll.qlPeriodEquivalent(Q69&amp;"+"&amp;P70&amp;"M")</f>
        <v>26Y</v>
      </c>
      <c r="R70" s="28">
        <f>_xll.qlCalendarAdvance(Calendar,SettlementDate,Q70,"f",,Trigger)</f>
        <v>51776</v>
      </c>
      <c r="S70" s="28">
        <f>_xll.qlInterestRateIndexValueDate(Index,R70,Trigger)</f>
        <v>51778</v>
      </c>
      <c r="T70" s="28">
        <f>_xll.qlInterestRateIndexMaturity(Index,S70,Trigger)</f>
        <v>51964</v>
      </c>
      <c r="U70" s="30">
        <f>_xll.qlIndexFixing($M$5,R70,TRUE,InterestRatesTrigger)</f>
        <v>1.4754967257683171E-2</v>
      </c>
      <c r="V70" s="78">
        <f>_xll.qlIndexFixing(Index,R70,TRUE,InterestRatesTrigger)</f>
        <v>1.5264708174154722E-2</v>
      </c>
      <c r="W70" s="30">
        <f t="shared" si="13"/>
        <v>5.0974091647155127E-4</v>
      </c>
      <c r="X70" s="29">
        <f>_xll.qlDayCounterYearFraction(DayCounter,SettlementDate,S70,,,Trigger)</f>
        <v>26.386111111111113</v>
      </c>
      <c r="Y70" s="29">
        <f>_xll.qlDayCounterYearFraction(DayCounter,S70,T70)</f>
        <v>0.51666666666666672</v>
      </c>
      <c r="Z70" s="29">
        <f>IF($M$13,_xll.qlYieldTSDiscount(Currency&amp;"ON",S70)/(1+V70*Y70),1)</f>
        <v>1</v>
      </c>
      <c r="AA70" s="30">
        <f>_xll.qlTenorBasisValue(TenorBasis6M,S70,InterestRatesTrigger)</f>
        <v>3.9431676749463173E-4</v>
      </c>
      <c r="AB70" s="78">
        <f>AA70+U70</f>
        <v>1.5149284025177803E-2</v>
      </c>
      <c r="AC70" s="80">
        <f>AB70/V70</f>
        <v>0.99243849619265256</v>
      </c>
    </row>
    <row r="71" spans="16:29" x14ac:dyDescent="0.2">
      <c r="P71" s="33">
        <v>6</v>
      </c>
      <c r="Q71" s="27" t="str">
        <f>_xll.qlPeriodEquivalent(Q70&amp;"+"&amp;P71&amp;"M")</f>
        <v>26Y6M</v>
      </c>
      <c r="R71" s="28">
        <f>_xll.qlCalendarAdvance(Calendar,SettlementDate,Q71,"f",,Trigger)</f>
        <v>51958</v>
      </c>
      <c r="S71" s="28">
        <f>_xll.qlInterestRateIndexValueDate(Index,R71,Trigger)</f>
        <v>51964</v>
      </c>
      <c r="T71" s="28">
        <f>_xll.qlInterestRateIndexMaturity(Index,S71,Trigger)</f>
        <v>52147</v>
      </c>
      <c r="U71" s="30">
        <f>_xll.qlIndexFixing($M$5,R71,TRUE,InterestRatesTrigger)</f>
        <v>1.4698604338515026E-2</v>
      </c>
      <c r="V71" s="78">
        <f>_xll.qlIndexFixing(Index,R71,TRUE,InterestRatesTrigger)</f>
        <v>1.5220521780242781E-2</v>
      </c>
      <c r="W71" s="30">
        <f t="shared" si="13"/>
        <v>5.2191744172775528E-4</v>
      </c>
      <c r="X71" s="29">
        <f>_xll.qlDayCounterYearFraction(DayCounter,SettlementDate,S71,,,Trigger)</f>
        <v>26.902777777777779</v>
      </c>
      <c r="Y71" s="29">
        <f>_xll.qlDayCounterYearFraction(DayCounter,S71,T71)</f>
        <v>0.5083333333333333</v>
      </c>
      <c r="Z71" s="29">
        <f>IF($M$13,_xll.qlYieldTSDiscount(Currency&amp;"ON",S71)/(1+V71*Y71),1)</f>
        <v>1</v>
      </c>
      <c r="AA71" s="30">
        <f>_xll.qlTenorBasisValue(TenorBasis6M,S71,InterestRatesTrigger)</f>
        <v>3.820998004845544E-4</v>
      </c>
      <c r="AB71" s="78">
        <f>AA71+U71</f>
        <v>1.508070413899958E-2</v>
      </c>
      <c r="AC71" s="80">
        <f>AB71/V71</f>
        <v>0.99081387331775361</v>
      </c>
    </row>
    <row r="72" spans="16:29" x14ac:dyDescent="0.2">
      <c r="P72" s="33">
        <v>6</v>
      </c>
      <c r="Q72" s="27" t="str">
        <f>_xll.qlPeriodEquivalent(Q71&amp;"+"&amp;P72&amp;"M")</f>
        <v>27Y</v>
      </c>
      <c r="R72" s="28">
        <f>_xll.qlCalendarAdvance(Calendar,SettlementDate,Q72,"f",,Trigger)</f>
        <v>52141</v>
      </c>
      <c r="S72" s="28">
        <f>_xll.qlInterestRateIndexValueDate(Index,R72,Trigger)</f>
        <v>52145</v>
      </c>
      <c r="T72" s="28">
        <f>_xll.qlInterestRateIndexMaturity(Index,S72,Trigger)</f>
        <v>52327</v>
      </c>
      <c r="U72" s="30">
        <f>_xll.qlIndexFixing($M$5,R72,TRUE,InterestRatesTrigger)</f>
        <v>1.4661574539783772E-2</v>
      </c>
      <c r="V72" s="78">
        <f>_xll.qlIndexFixing(Index,R72,TRUE,InterestRatesTrigger)</f>
        <v>1.5192061387963567E-2</v>
      </c>
      <c r="W72" s="30">
        <f t="shared" si="13"/>
        <v>5.3048684817979565E-4</v>
      </c>
      <c r="X72" s="29">
        <f>_xll.qlDayCounterYearFraction(DayCounter,SettlementDate,S72,,,Trigger)</f>
        <v>27.405555555555555</v>
      </c>
      <c r="Y72" s="29">
        <f>_xll.qlDayCounterYearFraction(DayCounter,S72,T72)</f>
        <v>0.50555555555555554</v>
      </c>
      <c r="Z72" s="29">
        <f>IF($M$13,_xll.qlYieldTSDiscount(Currency&amp;"ON",S72)/(1+V72*Y72),1)</f>
        <v>1</v>
      </c>
      <c r="AA72" s="30">
        <f>_xll.qlTenorBasisValue(TenorBasis6M,S72,InterestRatesTrigger)</f>
        <v>3.7112522075589976E-4</v>
      </c>
      <c r="AB72" s="78">
        <f>AA72+U72</f>
        <v>1.5032699760539671E-2</v>
      </c>
      <c r="AC72" s="80">
        <f>AB72/V72</f>
        <v>0.98951020382591692</v>
      </c>
    </row>
    <row r="73" spans="16:29" x14ac:dyDescent="0.2">
      <c r="P73" s="33">
        <v>6</v>
      </c>
      <c r="Q73" s="27" t="str">
        <f>_xll.qlPeriodEquivalent(Q72&amp;"+"&amp;P73&amp;"M")</f>
        <v>27Y6M</v>
      </c>
      <c r="R73" s="28">
        <f>_xll.qlCalendarAdvance(Calendar,SettlementDate,Q73,"f",,Trigger)</f>
        <v>52323</v>
      </c>
      <c r="S73" s="28">
        <f>_xll.qlInterestRateIndexValueDate(Index,R73,Trigger)</f>
        <v>52327</v>
      </c>
      <c r="T73" s="28">
        <f>_xll.qlInterestRateIndexMaturity(Index,S73,Trigger)</f>
        <v>52510</v>
      </c>
      <c r="U73" s="30">
        <f>_xll.qlIndexFixing($M$5,R73,TRUE,InterestRatesTrigger)</f>
        <v>1.4643985419072256E-2</v>
      </c>
      <c r="V73" s="78">
        <f>_xll.qlIndexFixing(Index,R73,TRUE,InterestRatesTrigger)</f>
        <v>1.5179332762076756E-2</v>
      </c>
      <c r="W73" s="30">
        <f t="shared" si="13"/>
        <v>5.3534734300450006E-4</v>
      </c>
      <c r="X73" s="29">
        <f>_xll.qlDayCounterYearFraction(DayCounter,SettlementDate,S73,,,Trigger)</f>
        <v>27.911111111111111</v>
      </c>
      <c r="Y73" s="29">
        <f>_xll.qlDayCounterYearFraction(DayCounter,S73,T73)</f>
        <v>0.5083333333333333</v>
      </c>
      <c r="Z73" s="29">
        <f>IF($M$13,_xll.qlYieldTSDiscount(Currency&amp;"ON",S73)/(1+V73*Y73),1)</f>
        <v>1</v>
      </c>
      <c r="AA73" s="30">
        <f>_xll.qlTenorBasisValue(TenorBasis6M,S73,InterestRatesTrigger)</f>
        <v>3.6093401751757651E-4</v>
      </c>
      <c r="AB73" s="78">
        <f>AA73+U73</f>
        <v>1.5004919436589832E-2</v>
      </c>
      <c r="AC73" s="80">
        <f>AB73/V73</f>
        <v>0.98850981606235888</v>
      </c>
    </row>
    <row r="74" spans="16:29" x14ac:dyDescent="0.2">
      <c r="P74" s="33">
        <v>6</v>
      </c>
      <c r="Q74" s="27" t="str">
        <f>_xll.qlPeriodEquivalent(Q73&amp;"+"&amp;P74&amp;"M")</f>
        <v>28Y</v>
      </c>
      <c r="R74" s="28">
        <f>_xll.qlCalendarAdvance(Calendar,SettlementDate,Q74,"f",,Trigger)</f>
        <v>52506</v>
      </c>
      <c r="S74" s="28">
        <f>_xll.qlInterestRateIndexValueDate(Index,R74,Trigger)</f>
        <v>52510</v>
      </c>
      <c r="T74" s="28">
        <f>_xll.qlInterestRateIndexMaturity(Index,S74,Trigger)</f>
        <v>52693</v>
      </c>
      <c r="U74" s="30">
        <f>_xll.qlIndexFixing($M$5,R74,TRUE,InterestRatesTrigger)</f>
        <v>1.4647098455217623E-2</v>
      </c>
      <c r="V74" s="78">
        <f>_xll.qlIndexFixing(Index,R74,TRUE,InterestRatesTrigger)</f>
        <v>1.5182970151470594E-2</v>
      </c>
      <c r="W74" s="30">
        <f t="shared" si="13"/>
        <v>5.3587169625297047E-4</v>
      </c>
      <c r="X74" s="29">
        <f>_xll.qlDayCounterYearFraction(DayCounter,SettlementDate,S74,,,Trigger)</f>
        <v>28.419444444444444</v>
      </c>
      <c r="Y74" s="29">
        <f>_xll.qlDayCounterYearFraction(DayCounter,S74,T74)</f>
        <v>0.5083333333333333</v>
      </c>
      <c r="Z74" s="29">
        <f>IF($M$13,_xll.qlYieldTSDiscount(Currency&amp;"ON",S74)/(1+V74*Y74),1)</f>
        <v>1</v>
      </c>
      <c r="AA74" s="30">
        <f>_xll.qlTenorBasisValue(TenorBasis6M,S74,InterestRatesTrigger)</f>
        <v>3.5147888364334405E-4</v>
      </c>
      <c r="AB74" s="78">
        <f>AA74+U74</f>
        <v>1.4998577338860968E-2</v>
      </c>
      <c r="AC74" s="80">
        <f>AB74/V74</f>
        <v>0.98785528715593462</v>
      </c>
    </row>
    <row r="75" spans="16:29" x14ac:dyDescent="0.2">
      <c r="P75" s="33">
        <v>6</v>
      </c>
      <c r="Q75" s="27" t="str">
        <f>_xll.qlPeriodEquivalent(Q74&amp;"+"&amp;P75&amp;"M")</f>
        <v>28Y6M</v>
      </c>
      <c r="R75" s="28">
        <f>_xll.qlCalendarAdvance(Calendar,SettlementDate,Q75,"f",,Trigger)</f>
        <v>52691</v>
      </c>
      <c r="S75" s="28">
        <f>_xll.qlInterestRateIndexValueDate(Index,R75,Trigger)</f>
        <v>52693</v>
      </c>
      <c r="T75" s="28">
        <f>_xll.qlInterestRateIndexMaturity(Index,S75,Trigger)</f>
        <v>52876</v>
      </c>
      <c r="U75" s="30">
        <f>_xll.qlIndexFixing($M$5,R75,TRUE,InterestRatesTrigger)</f>
        <v>1.4672946581027423E-2</v>
      </c>
      <c r="V75" s="78">
        <f>_xll.qlIndexFixing(Index,R75,TRUE,InterestRatesTrigger)</f>
        <v>1.5204556767888908E-2</v>
      </c>
      <c r="W75" s="30">
        <f t="shared" si="13"/>
        <v>5.3161018686148469E-4</v>
      </c>
      <c r="X75" s="29">
        <f>_xll.qlDayCounterYearFraction(DayCounter,SettlementDate,S75,,,Trigger)</f>
        <v>28.927777777777777</v>
      </c>
      <c r="Y75" s="29">
        <f>_xll.qlDayCounterYearFraction(DayCounter,S75,T75)</f>
        <v>0.5083333333333333</v>
      </c>
      <c r="Z75" s="29">
        <f>IF($M$13,_xll.qlYieldTSDiscount(Currency&amp;"ON",S75)/(1+V75*Y75),1)</f>
        <v>1</v>
      </c>
      <c r="AA75" s="30">
        <f>_xll.qlTenorBasisValue(TenorBasis6M,S75,InterestRatesTrigger)</f>
        <v>3.4276025931535896E-4</v>
      </c>
      <c r="AB75" s="78">
        <f>AA75+U75</f>
        <v>1.5015706840342782E-2</v>
      </c>
      <c r="AC75" s="80">
        <f>AB75/V75</f>
        <v>0.98757938620447216</v>
      </c>
    </row>
    <row r="76" spans="16:29" x14ac:dyDescent="0.2">
      <c r="P76" s="33">
        <v>6</v>
      </c>
      <c r="Q76" s="27" t="str">
        <f>_xll.qlPeriodEquivalent(Q75&amp;"+"&amp;P76&amp;"M")</f>
        <v>29Y</v>
      </c>
      <c r="R76" s="28">
        <f>_xll.qlCalendarAdvance(Calendar,SettlementDate,Q76,"f",,Trigger)</f>
        <v>52873</v>
      </c>
      <c r="S76" s="28">
        <f>_xll.qlInterestRateIndexValueDate(Index,R76,Trigger)</f>
        <v>52875</v>
      </c>
      <c r="T76" s="28">
        <f>_xll.qlInterestRateIndexMaturity(Index,S76,Trigger)</f>
        <v>53057</v>
      </c>
      <c r="U76" s="30">
        <f>_xll.qlIndexFixing($M$5,R76,TRUE,InterestRatesTrigger)</f>
        <v>1.4722353122091889E-2</v>
      </c>
      <c r="V76" s="78">
        <f>_xll.qlIndexFixing(Index,R76,TRUE,InterestRatesTrigger)</f>
        <v>1.5244545821361146E-2</v>
      </c>
      <c r="W76" s="30">
        <f t="shared" si="13"/>
        <v>5.2219269926925653E-4</v>
      </c>
      <c r="X76" s="29">
        <f>_xll.qlDayCounterYearFraction(DayCounter,SettlementDate,S76,,,Trigger)</f>
        <v>29.433333333333334</v>
      </c>
      <c r="Y76" s="29">
        <f>_xll.qlDayCounterYearFraction(DayCounter,S76,T76)</f>
        <v>0.50555555555555554</v>
      </c>
      <c r="Z76" s="29">
        <f>IF($M$13,_xll.qlYieldTSDiscount(Currency&amp;"ON",S76)/(1+V76*Y76),1)</f>
        <v>1</v>
      </c>
      <c r="AA76" s="30">
        <f>_xll.qlTenorBasisValue(TenorBasis6M,S76,InterestRatesTrigger)</f>
        <v>3.3476622301989992E-4</v>
      </c>
      <c r="AB76" s="78">
        <f>AA76+U76</f>
        <v>1.5057119345111789E-2</v>
      </c>
      <c r="AC76" s="80">
        <f>AB76/V76</f>
        <v>0.98770534206491556</v>
      </c>
    </row>
    <row r="77" spans="16:29" x14ac:dyDescent="0.2">
      <c r="P77" s="33">
        <v>6</v>
      </c>
      <c r="Q77" s="27" t="str">
        <f>_xll.qlPeriodEquivalent(Q76&amp;"+"&amp;P77&amp;"M")</f>
        <v>29Y6M</v>
      </c>
      <c r="R77" s="28">
        <f>_xll.qlCalendarAdvance(Calendar,SettlementDate,Q77,"f",,Trigger)</f>
        <v>53055</v>
      </c>
      <c r="S77" s="28">
        <f>_xll.qlInterestRateIndexValueDate(Index,R77,Trigger)</f>
        <v>53057</v>
      </c>
      <c r="T77" s="28">
        <f>_xll.qlInterestRateIndexMaturity(Index,S77,Trigger)</f>
        <v>53240</v>
      </c>
      <c r="U77" s="30">
        <f>_xll.qlIndexFixing($M$5,R77,TRUE,InterestRatesTrigger)</f>
        <v>1.4798471982343976E-2</v>
      </c>
      <c r="V77" s="78">
        <f>_xll.qlIndexFixing(Index,R77,TRUE,InterestRatesTrigger)</f>
        <v>1.5305595086891707E-2</v>
      </c>
      <c r="W77" s="30">
        <f t="shared" si="13"/>
        <v>5.0712310454773153E-4</v>
      </c>
      <c r="X77" s="29">
        <f>_xll.qlDayCounterYearFraction(DayCounter,SettlementDate,S77,,,Trigger)</f>
        <v>29.93888888888889</v>
      </c>
      <c r="Y77" s="29">
        <f>_xll.qlDayCounterYearFraction(DayCounter,S77,T77)</f>
        <v>0.5083333333333333</v>
      </c>
      <c r="Z77" s="29">
        <f>IF($M$13,_xll.qlYieldTSDiscount(Currency&amp;"ON",S77)/(1+V77*Y77),1)</f>
        <v>1</v>
      </c>
      <c r="AA77" s="30">
        <f>_xll.qlTenorBasisValue(TenorBasis6M,S77,InterestRatesTrigger)</f>
        <v>3.2739749757540725E-4</v>
      </c>
      <c r="AB77" s="78">
        <f>AA77+U77</f>
        <v>1.5125869479919384E-2</v>
      </c>
      <c r="AC77" s="80">
        <f>AB77/V77</f>
        <v>0.98825752243202569</v>
      </c>
    </row>
    <row r="78" spans="16:29" x14ac:dyDescent="0.2">
      <c r="P78" s="33">
        <v>6</v>
      </c>
      <c r="Q78" s="27" t="str">
        <f>_xll.qlPeriodEquivalent(Q77&amp;"+"&amp;P78&amp;"M")</f>
        <v>30Y</v>
      </c>
      <c r="R78" s="28">
        <f>_xll.qlCalendarAdvance(Calendar,SettlementDate,Q78,"f",,Trigger)</f>
        <v>53237</v>
      </c>
      <c r="S78" s="28">
        <f>_xll.qlInterestRateIndexValueDate(Index,R78,Trigger)</f>
        <v>53239</v>
      </c>
      <c r="T78" s="28">
        <f>_xll.qlInterestRateIndexMaturity(Index,S78,Trigger)</f>
        <v>53421</v>
      </c>
      <c r="U78" s="30">
        <f>_xll.qlIndexFixing($M$5,R78,TRUE,InterestRatesTrigger)</f>
        <v>1.4894040148831045E-2</v>
      </c>
      <c r="V78" s="78">
        <f>_xll.qlIndexFixing(Index,R78,TRUE,InterestRatesTrigger)</f>
        <v>1.5385341076470773E-2</v>
      </c>
      <c r="W78" s="30">
        <f t="shared" si="13"/>
        <v>4.9130092763972726E-4</v>
      </c>
      <c r="X78" s="29">
        <f>_xll.qlDayCounterYearFraction(DayCounter,SettlementDate,S78,,,Trigger)</f>
        <v>30.444444444444443</v>
      </c>
      <c r="Y78" s="29">
        <f>_xll.qlDayCounterYearFraction(DayCounter,S78,T78)</f>
        <v>0.50555555555555554</v>
      </c>
      <c r="Z78" s="29">
        <f>IF($M$13,_xll.qlYieldTSDiscount(Currency&amp;"ON",S78)/(1+V78*Y78),1)</f>
        <v>1</v>
      </c>
      <c r="AA78" s="30">
        <f>_xll.qlTenorBasisValue(TenorBasis6M,S78,InterestRatesTrigger)</f>
        <v>3.2060771550241327E-4</v>
      </c>
      <c r="AB78" s="78">
        <f>AA78+U78</f>
        <v>1.5214647864333459E-2</v>
      </c>
      <c r="AC78" s="80">
        <f>AB78/V78</f>
        <v>0.98890546453998607</v>
      </c>
    </row>
    <row r="79" spans="16:29" x14ac:dyDescent="0.2">
      <c r="P79" s="33">
        <v>6</v>
      </c>
      <c r="Q79" s="27" t="str">
        <f>_xll.qlPeriodEquivalent(Q78&amp;"+"&amp;P79&amp;"M")</f>
        <v>30Y6M</v>
      </c>
      <c r="R79" s="28">
        <f>_xll.qlCalendarAdvance(Calendar,SettlementDate,Q79,"f",,Trigger)</f>
        <v>53419</v>
      </c>
      <c r="S79" s="28">
        <f>_xll.qlInterestRateIndexValueDate(Index,R79,Trigger)</f>
        <v>53421</v>
      </c>
      <c r="T79" s="28">
        <f>_xll.qlInterestRateIndexMaturity(Index,S79,Trigger)</f>
        <v>53604</v>
      </c>
      <c r="U79" s="30">
        <f>_xll.qlIndexFixing($M$5,R79,TRUE,InterestRatesTrigger)</f>
        <v>1.4985730772488061E-2</v>
      </c>
      <c r="V79" s="78">
        <f>_xll.qlIndexFixing(Index,R79,TRUE,InterestRatesTrigger)</f>
        <v>1.5462475580437111E-2</v>
      </c>
      <c r="W79" s="30">
        <f t="shared" si="13"/>
        <v>4.7674480794905084E-4</v>
      </c>
      <c r="X79" s="29">
        <f>_xll.qlDayCounterYearFraction(DayCounter,SettlementDate,S79,,,Trigger)</f>
        <v>30.95</v>
      </c>
      <c r="Y79" s="29">
        <f>_xll.qlDayCounterYearFraction(DayCounter,S79,T79)</f>
        <v>0.5083333333333333</v>
      </c>
      <c r="Z79" s="29">
        <f>IF($M$13,_xll.qlYieldTSDiscount(Currency&amp;"ON",S79)/(1+V79*Y79),1)</f>
        <v>1</v>
      </c>
      <c r="AA79" s="30">
        <f>_xll.qlTenorBasisValue(TenorBasis6M,S79,InterestRatesTrigger)</f>
        <v>3.1435364717088905E-4</v>
      </c>
      <c r="AB79" s="78">
        <f>AA79+U79</f>
        <v>1.530008441965895E-2</v>
      </c>
      <c r="AC79" s="80">
        <f>AB79/V79</f>
        <v>0.98949772564338823</v>
      </c>
    </row>
    <row r="80" spans="16:29" x14ac:dyDescent="0.2">
      <c r="P80" s="33">
        <v>6</v>
      </c>
      <c r="Q80" s="27" t="str">
        <f>_xll.qlPeriodEquivalent(Q79&amp;"+"&amp;P80&amp;"M")</f>
        <v>31Y</v>
      </c>
      <c r="R80" s="28">
        <f>_xll.qlCalendarAdvance(Calendar,SettlementDate,Q80,"f",,Trigger)</f>
        <v>53602</v>
      </c>
      <c r="S80" s="28">
        <f>_xll.qlInterestRateIndexValueDate(Index,R80,Trigger)</f>
        <v>53604</v>
      </c>
      <c r="T80" s="28">
        <f>_xll.qlInterestRateIndexMaturity(Index,S80,Trigger)</f>
        <v>53786</v>
      </c>
      <c r="U80" s="30">
        <f>_xll.qlIndexFixing($M$5,R80,TRUE,InterestRatesTrigger)</f>
        <v>1.5064653783365632E-2</v>
      </c>
      <c r="V80" s="78">
        <f>_xll.qlIndexFixing(Index,R80,TRUE,InterestRatesTrigger)</f>
        <v>1.5524170223876504E-2</v>
      </c>
      <c r="W80" s="30">
        <f t="shared" si="13"/>
        <v>4.5951644051087266E-4</v>
      </c>
      <c r="X80" s="29">
        <f>_xll.qlDayCounterYearFraction(DayCounter,SettlementDate,S80,,,Trigger)</f>
        <v>31.458333333333332</v>
      </c>
      <c r="Y80" s="29">
        <f>_xll.qlDayCounterYearFraction(DayCounter,S80,T80)</f>
        <v>0.50555555555555554</v>
      </c>
      <c r="Z80" s="29">
        <f>IF($M$13,_xll.qlYieldTSDiscount(Currency&amp;"ON",S80)/(1+V80*Y80),1)</f>
        <v>1</v>
      </c>
      <c r="AA80" s="30">
        <f>_xll.qlTenorBasisValue(TenorBasis6M,S80,InterestRatesTrigger)</f>
        <v>3.085646832162422E-4</v>
      </c>
      <c r="AB80" s="78">
        <f>AA80+U80</f>
        <v>1.5373218466581875E-2</v>
      </c>
      <c r="AC80" s="80">
        <f>AB80/V80</f>
        <v>0.99027633972587714</v>
      </c>
    </row>
    <row r="81" spans="16:29" x14ac:dyDescent="0.2">
      <c r="P81" s="33">
        <v>6</v>
      </c>
      <c r="Q81" s="27" t="str">
        <f>_xll.qlPeriodEquivalent(Q80&amp;"+"&amp;P81&amp;"M")</f>
        <v>31Y6M</v>
      </c>
      <c r="R81" s="28">
        <f>_xll.qlCalendarAdvance(Calendar,SettlementDate,Q81,"f",,Trigger)</f>
        <v>53784</v>
      </c>
      <c r="S81" s="28">
        <f>_xll.qlInterestRateIndexValueDate(Index,R81,Trigger)</f>
        <v>53786</v>
      </c>
      <c r="T81" s="28">
        <f>_xll.qlInterestRateIndexMaturity(Index,S81,Trigger)</f>
        <v>53969</v>
      </c>
      <c r="U81" s="30">
        <f>_xll.qlIndexFixing($M$5,R81,TRUE,InterestRatesTrigger)</f>
        <v>1.513107267355897E-2</v>
      </c>
      <c r="V81" s="78">
        <f>_xll.qlIndexFixing(Index,R81,TRUE,InterestRatesTrigger)</f>
        <v>1.5570551503137527E-2</v>
      </c>
      <c r="W81" s="30">
        <f t="shared" si="13"/>
        <v>4.3947882957855698E-4</v>
      </c>
      <c r="X81" s="29">
        <f>_xll.qlDayCounterYearFraction(DayCounter,SettlementDate,S81,,,Trigger)</f>
        <v>31.963888888888889</v>
      </c>
      <c r="Y81" s="29">
        <f>_xll.qlDayCounterYearFraction(DayCounter,S81,T81)</f>
        <v>0.5083333333333333</v>
      </c>
      <c r="Z81" s="29">
        <f>IF($M$13,_xll.qlYieldTSDiscount(Currency&amp;"ON",S81)/(1+V81*Y81),1)</f>
        <v>1</v>
      </c>
      <c r="AA81" s="30">
        <f>_xll.qlTenorBasisValue(TenorBasis6M,S81,InterestRatesTrigger)</f>
        <v>3.032664524405032E-4</v>
      </c>
      <c r="AB81" s="78">
        <f>AA81+U81</f>
        <v>1.5434339125999473E-2</v>
      </c>
      <c r="AC81" s="80">
        <f>AB81/V81</f>
        <v>0.99125192340742674</v>
      </c>
    </row>
    <row r="82" spans="16:29" x14ac:dyDescent="0.2">
      <c r="P82" s="33">
        <v>6</v>
      </c>
      <c r="Q82" s="27" t="str">
        <f>_xll.qlPeriodEquivalent(Q81&amp;"+"&amp;P82&amp;"M")</f>
        <v>32Y</v>
      </c>
      <c r="R82" s="28">
        <f>_xll.qlCalendarAdvance(Calendar,SettlementDate,Q82,"f",,Trigger)</f>
        <v>53967</v>
      </c>
      <c r="S82" s="28">
        <f>_xll.qlInterestRateIndexValueDate(Index,R82,Trigger)</f>
        <v>53969</v>
      </c>
      <c r="T82" s="28">
        <f>_xll.qlInterestRateIndexMaturity(Index,S82,Trigger)</f>
        <v>54155</v>
      </c>
      <c r="U82" s="30">
        <f>_xll.qlIndexFixing($M$5,R82,TRUE,InterestRatesTrigger)</f>
        <v>1.5184524198664388E-2</v>
      </c>
      <c r="V82" s="78">
        <f>_xll.qlIndexFixing(Index,R82,TRUE,InterestRatesTrigger)</f>
        <v>1.5600668589260428E-2</v>
      </c>
      <c r="W82" s="30">
        <f t="shared" si="13"/>
        <v>4.1614439059604012E-4</v>
      </c>
      <c r="X82" s="29">
        <f>_xll.qlDayCounterYearFraction(DayCounter,SettlementDate,S82,,,Trigger)</f>
        <v>32.472222222222221</v>
      </c>
      <c r="Y82" s="29">
        <f>_xll.qlDayCounterYearFraction(DayCounter,S82,T82)</f>
        <v>0.51666666666666672</v>
      </c>
      <c r="Z82" s="29">
        <f>IF($M$13,_xll.qlYieldTSDiscount(Currency&amp;"ON",S82)/(1+V82*Y82),1)</f>
        <v>1</v>
      </c>
      <c r="AA82" s="30">
        <f>_xll.qlTenorBasisValue(TenorBasis6M,S82,InterestRatesTrigger)</f>
        <v>2.9836548360177379E-4</v>
      </c>
      <c r="AB82" s="78">
        <f>AA82+U82</f>
        <v>1.5482889682266162E-2</v>
      </c>
      <c r="AC82" s="80">
        <f>AB82/V82</f>
        <v>0.99245039362765863</v>
      </c>
    </row>
    <row r="83" spans="16:29" x14ac:dyDescent="0.2">
      <c r="P83" s="33">
        <v>6</v>
      </c>
      <c r="Q83" s="27" t="str">
        <f>_xll.qlPeriodEquivalent(Q82&amp;"+"&amp;P83&amp;"M")</f>
        <v>32Y6M</v>
      </c>
      <c r="R83" s="28">
        <f>_xll.qlCalendarAdvance(Calendar,SettlementDate,Q83,"f",,Trigger)</f>
        <v>54150</v>
      </c>
      <c r="S83" s="28">
        <f>_xll.qlInterestRateIndexValueDate(Index,R83,Trigger)</f>
        <v>54156</v>
      </c>
      <c r="T83" s="28">
        <f>_xll.qlInterestRateIndexMaturity(Index,S83,Trigger)</f>
        <v>54339</v>
      </c>
      <c r="U83" s="30">
        <f>_xll.qlIndexFixing($M$5,R83,TRUE,InterestRatesTrigger)</f>
        <v>1.5220867671589821E-2</v>
      </c>
      <c r="V83" s="78">
        <f>_xll.qlIndexFixing(Index,R83,TRUE,InterestRatesTrigger)</f>
        <v>1.5610084712408091E-2</v>
      </c>
      <c r="W83" s="30">
        <f t="shared" si="13"/>
        <v>3.8921704081826963E-4</v>
      </c>
      <c r="X83" s="29">
        <f>_xll.qlDayCounterYearFraction(DayCounter,SettlementDate,S83,,,Trigger)</f>
        <v>32.991666666666667</v>
      </c>
      <c r="Y83" s="29">
        <f>_xll.qlDayCounterYearFraction(DayCounter,S83,T83)</f>
        <v>0.5083333333333333</v>
      </c>
      <c r="Z83" s="29">
        <f>IF($M$13,_xll.qlYieldTSDiscount(Currency&amp;"ON",S83)/(1+V83*Y83),1)</f>
        <v>1</v>
      </c>
      <c r="AA83" s="30">
        <f>_xll.qlTenorBasisValue(TenorBasis6M,S83,InterestRatesTrigger)</f>
        <v>2.9376490121522139E-4</v>
      </c>
      <c r="AB83" s="78">
        <f>AA83+U83</f>
        <v>1.5514632572805042E-2</v>
      </c>
      <c r="AC83" s="80">
        <f>AB83/V83</f>
        <v>0.99388522603422025</v>
      </c>
    </row>
    <row r="84" spans="16:29" x14ac:dyDescent="0.2">
      <c r="P84" s="33">
        <v>6</v>
      </c>
      <c r="Q84" s="27" t="str">
        <f>_xll.qlPeriodEquivalent(Q83&amp;"+"&amp;P84&amp;"M")</f>
        <v>33Y</v>
      </c>
      <c r="R84" s="28">
        <f>_xll.qlCalendarAdvance(Calendar,SettlementDate,Q84,"f",,Trigger)</f>
        <v>54333</v>
      </c>
      <c r="S84" s="28">
        <f>_xll.qlInterestRateIndexValueDate(Index,R84,Trigger)</f>
        <v>54337</v>
      </c>
      <c r="T84" s="28">
        <f>_xll.qlInterestRateIndexMaturity(Index,S84,Trigger)</f>
        <v>54519</v>
      </c>
      <c r="U84" s="30">
        <f>_xll.qlIndexFixing($M$5,R84,TRUE,InterestRatesTrigger)</f>
        <v>1.5240932298213628E-2</v>
      </c>
      <c r="V84" s="78">
        <f>_xll.qlIndexFixing(Index,R84,TRUE,InterestRatesTrigger)</f>
        <v>1.560052900115E-2</v>
      </c>
      <c r="W84" s="30">
        <f t="shared" si="13"/>
        <v>3.5959670293637253E-4</v>
      </c>
      <c r="X84" s="29">
        <f>_xll.qlDayCounterYearFraction(DayCounter,SettlementDate,S84,,,Trigger)</f>
        <v>33.494444444444447</v>
      </c>
      <c r="Y84" s="29">
        <f>_xll.qlDayCounterYearFraction(DayCounter,S84,T84)</f>
        <v>0.50555555555555554</v>
      </c>
      <c r="Z84" s="29">
        <f>IF($M$13,_xll.qlYieldTSDiscount(Currency&amp;"ON",S84)/(1+V84*Y84),1)</f>
        <v>1</v>
      </c>
      <c r="AA84" s="30">
        <f>_xll.qlTenorBasisValue(TenorBasis6M,S84,InterestRatesTrigger)</f>
        <v>2.8967378263349707E-4</v>
      </c>
      <c r="AB84" s="78">
        <f>AA84+U84</f>
        <v>1.5530606080847125E-2</v>
      </c>
      <c r="AC84" s="80">
        <f>AB84/V84</f>
        <v>0.99551791350807906</v>
      </c>
    </row>
    <row r="85" spans="16:29" x14ac:dyDescent="0.2">
      <c r="P85" s="33">
        <v>6</v>
      </c>
      <c r="Q85" s="27" t="str">
        <f>_xll.qlPeriodEquivalent(Q84&amp;"+"&amp;P85&amp;"M")</f>
        <v>33Y6M</v>
      </c>
      <c r="R85" s="28">
        <f>_xll.qlCalendarAdvance(Calendar,SettlementDate,Q85,"f",,Trigger)</f>
        <v>54515</v>
      </c>
      <c r="S85" s="28">
        <f>_xll.qlInterestRateIndexValueDate(Index,R85,Trigger)</f>
        <v>54519</v>
      </c>
      <c r="T85" s="28">
        <f>_xll.qlInterestRateIndexMaturity(Index,S85,Trigger)</f>
        <v>54702</v>
      </c>
      <c r="U85" s="30">
        <f>_xll.qlIndexFixing($M$5,R85,TRUE,InterestRatesTrigger)</f>
        <v>1.5244949625014449E-2</v>
      </c>
      <c r="V85" s="78">
        <f>_xll.qlIndexFixing(Index,R85,TRUE,InterestRatesTrigger)</f>
        <v>1.557095376192905E-2</v>
      </c>
      <c r="W85" s="30">
        <f t="shared" si="13"/>
        <v>3.2600413691460071E-4</v>
      </c>
      <c r="X85" s="29">
        <f>_xll.qlDayCounterYearFraction(DayCounter,SettlementDate,S85,,,Trigger)</f>
        <v>34</v>
      </c>
      <c r="Y85" s="29">
        <f>_xll.qlDayCounterYearFraction(DayCounter,S85,T85)</f>
        <v>0.5083333333333333</v>
      </c>
      <c r="Z85" s="29">
        <f>IF($M$13,_xll.qlYieldTSDiscount(Currency&amp;"ON",S85)/(1+V85*Y85),1)</f>
        <v>1</v>
      </c>
      <c r="AA85" s="30">
        <f>_xll.qlTenorBasisValue(TenorBasis6M,S85,InterestRatesTrigger)</f>
        <v>2.8589100944642599E-4</v>
      </c>
      <c r="AB85" s="78">
        <f>AA85+U85</f>
        <v>1.5530840634460875E-2</v>
      </c>
      <c r="AC85" s="80">
        <f>AB85/V85</f>
        <v>0.9974238490408821</v>
      </c>
    </row>
    <row r="86" spans="16:29" x14ac:dyDescent="0.2">
      <c r="P86" s="33">
        <v>6</v>
      </c>
      <c r="Q86" s="27" t="str">
        <f>_xll.qlPeriodEquivalent(Q85&amp;"+"&amp;P86&amp;"M")</f>
        <v>34Y</v>
      </c>
      <c r="R86" s="28">
        <f>_xll.qlCalendarAdvance(Calendar,SettlementDate,Q86,"f",,Trigger)</f>
        <v>54700</v>
      </c>
      <c r="S86" s="28">
        <f>_xll.qlInterestRateIndexValueDate(Index,R86,Trigger)</f>
        <v>54702</v>
      </c>
      <c r="T86" s="28">
        <f>_xll.qlInterestRateIndexMaturity(Index,S86,Trigger)</f>
        <v>54884</v>
      </c>
      <c r="U86" s="30">
        <f>_xll.qlIndexFixing($M$5,R86,TRUE,InterestRatesTrigger)</f>
        <v>1.5230386752912451E-2</v>
      </c>
      <c r="V86" s="78">
        <f>_xll.qlIndexFixing(Index,R86,TRUE,InterestRatesTrigger)</f>
        <v>1.5518873435545484E-2</v>
      </c>
      <c r="W86" s="30">
        <f t="shared" si="13"/>
        <v>2.8848668263303269E-4</v>
      </c>
      <c r="X86" s="29">
        <f>_xll.qlDayCounterYearFraction(DayCounter,SettlementDate,S86,,,Trigger)</f>
        <v>34.508333333333333</v>
      </c>
      <c r="Y86" s="29">
        <f>_xll.qlDayCounterYearFraction(DayCounter,S86,T86)</f>
        <v>0.50555555555555554</v>
      </c>
      <c r="Z86" s="29">
        <f>IF($M$13,_xll.qlYieldTSDiscount(Currency&amp;"ON",S86)/(1+V86*Y86),1)</f>
        <v>1</v>
      </c>
      <c r="AA86" s="30">
        <f>_xll.qlTenorBasisValue(TenorBasis6M,S86,InterestRatesTrigger)</f>
        <v>2.8239604701498465E-4</v>
      </c>
      <c r="AB86" s="78">
        <f>AA86+U86</f>
        <v>1.5512782799927436E-2</v>
      </c>
      <c r="AC86" s="80">
        <f>AB86/V86</f>
        <v>0.9996075336496979</v>
      </c>
    </row>
    <row r="87" spans="16:29" x14ac:dyDescent="0.2">
      <c r="P87" s="33">
        <v>6</v>
      </c>
      <c r="Q87" s="27" t="str">
        <f>_xll.qlPeriodEquivalent(Q86&amp;"+"&amp;P87&amp;"M")</f>
        <v>34Y6M</v>
      </c>
      <c r="R87" s="28">
        <f>_xll.qlCalendarAdvance(Calendar,SettlementDate,Q87,"f",,Trigger)</f>
        <v>54882</v>
      </c>
      <c r="S87" s="28">
        <f>_xll.qlInterestRateIndexValueDate(Index,R87,Trigger)</f>
        <v>54884</v>
      </c>
      <c r="T87" s="28">
        <f>_xll.qlInterestRateIndexMaturity(Index,S87,Trigger)</f>
        <v>55067</v>
      </c>
      <c r="U87" s="30">
        <f>_xll.qlIndexFixing($M$5,R87,TRUE,InterestRatesTrigger)</f>
        <v>1.5197533712307009E-2</v>
      </c>
      <c r="V87" s="78">
        <f>_xll.qlIndexFixing(Index,R87,TRUE,InterestRatesTrigger)</f>
        <v>1.5444418969222353E-2</v>
      </c>
      <c r="W87" s="30">
        <f t="shared" si="13"/>
        <v>2.4688525691534367E-4</v>
      </c>
      <c r="X87" s="29">
        <f>_xll.qlDayCounterYearFraction(DayCounter,SettlementDate,S87,,,Trigger)</f>
        <v>35.013888888888886</v>
      </c>
      <c r="Y87" s="29">
        <f>_xll.qlDayCounterYearFraction(DayCounter,S87,T87)</f>
        <v>0.5083333333333333</v>
      </c>
      <c r="Z87" s="29">
        <f>IF($M$13,_xll.qlYieldTSDiscount(Currency&amp;"ON",S87)/(1+V87*Y87),1)</f>
        <v>1</v>
      </c>
      <c r="AA87" s="30">
        <f>_xll.qlTenorBasisValue(TenorBasis6M,S87,InterestRatesTrigger)</f>
        <v>2.7920308315713418E-4</v>
      </c>
      <c r="AB87" s="78">
        <f>AA87+U87</f>
        <v>1.5476736795464144E-2</v>
      </c>
      <c r="AC87" s="80">
        <f>AB87/V87</f>
        <v>1.0020925245751358</v>
      </c>
    </row>
    <row r="88" spans="16:29" x14ac:dyDescent="0.2">
      <c r="P88" s="33">
        <v>6</v>
      </c>
      <c r="Q88" s="27" t="str">
        <f>_xll.qlPeriodEquivalent(Q87&amp;"+"&amp;P88&amp;"M")</f>
        <v>35Y</v>
      </c>
      <c r="R88" s="28">
        <f>_xll.qlCalendarAdvance(Calendar,SettlementDate,Q88,"f",,Trigger)</f>
        <v>55064</v>
      </c>
      <c r="S88" s="28">
        <f>_xll.qlInterestRateIndexValueDate(Index,R88,Trigger)</f>
        <v>55066</v>
      </c>
      <c r="T88" s="28">
        <f>_xll.qlInterestRateIndexMaturity(Index,S88,Trigger)</f>
        <v>55248</v>
      </c>
      <c r="U88" s="30">
        <f>_xll.qlIndexFixing($M$5,R88,TRUE,InterestRatesTrigger)</f>
        <v>1.5144529096894283E-2</v>
      </c>
      <c r="V88" s="78">
        <f>_xll.qlIndexFixing(Index,R88,TRUE,InterestRatesTrigger)</f>
        <v>1.5367725404597053E-2</v>
      </c>
      <c r="W88" s="30">
        <f t="shared" si="13"/>
        <v>2.2319630770276967E-4</v>
      </c>
      <c r="X88" s="29">
        <f>_xll.qlDayCounterYearFraction(DayCounter,SettlementDate,S88,,,Trigger)</f>
        <v>35.519444444444446</v>
      </c>
      <c r="Y88" s="29">
        <f>_xll.qlDayCounterYearFraction(DayCounter,S88,T88)</f>
        <v>0.50555555555555554</v>
      </c>
      <c r="Z88" s="29">
        <f>IF($M$13,_xll.qlYieldTSDiscount(Currency&amp;"ON",S88)/(1+V88*Y88),1)</f>
        <v>1</v>
      </c>
      <c r="AA88" s="30">
        <f>_xll.qlTenorBasisValue(TenorBasis6M,S88,InterestRatesTrigger)</f>
        <v>2.7627007487623879E-4</v>
      </c>
      <c r="AB88" s="78">
        <f>AA88+U88</f>
        <v>1.5420799171770522E-2</v>
      </c>
      <c r="AC88" s="80">
        <f>AB88/V88</f>
        <v>1.003453586381599</v>
      </c>
    </row>
    <row r="89" spans="16:29" x14ac:dyDescent="0.2">
      <c r="P89" s="33">
        <v>6</v>
      </c>
      <c r="Q89" s="27" t="str">
        <f>_xll.qlPeriodEquivalent(Q88&amp;"+"&amp;P89&amp;"M")</f>
        <v>35Y6M</v>
      </c>
      <c r="R89" s="28">
        <f>_xll.qlCalendarAdvance(Calendar,SettlementDate,Q89,"f",,Trigger)</f>
        <v>55247</v>
      </c>
      <c r="S89" s="28">
        <f>_xll.qlInterestRateIndexValueDate(Index,R89,Trigger)</f>
        <v>55249</v>
      </c>
      <c r="T89" s="28">
        <f>_xll.qlInterestRateIndexMaturity(Index,S89,Trigger)</f>
        <v>55432</v>
      </c>
      <c r="U89" s="30">
        <f>_xll.qlIndexFixing($M$5,R89,TRUE,InterestRatesTrigger)</f>
        <v>1.5070609789398155E-2</v>
      </c>
      <c r="V89" s="78">
        <f>_xll.qlIndexFixing(Index,R89,TRUE,InterestRatesTrigger)</f>
        <v>1.5289378748747928E-2</v>
      </c>
      <c r="W89" s="30">
        <f t="shared" si="13"/>
        <v>2.1876895934977263E-4</v>
      </c>
      <c r="X89" s="29">
        <f>_xll.qlDayCounterYearFraction(DayCounter,SettlementDate,S89,,,Trigger)</f>
        <v>36.027777777777779</v>
      </c>
      <c r="Y89" s="29">
        <f>_xll.qlDayCounterYearFraction(DayCounter,S89,T89)</f>
        <v>0.5083333333333333</v>
      </c>
      <c r="Z89" s="29">
        <f>IF($M$13,_xll.qlYieldTSDiscount(Currency&amp;"ON",S89)/(1+V89*Y89),1)</f>
        <v>1</v>
      </c>
      <c r="AA89" s="30">
        <f>_xll.qlTenorBasisValue(TenorBasis6M,S89,InterestRatesTrigger)</f>
        <v>2.7356236957710555E-4</v>
      </c>
      <c r="AB89" s="78">
        <f>AA89+U89</f>
        <v>1.534417215897526E-2</v>
      </c>
      <c r="AC89" s="80">
        <f>AB89/V89</f>
        <v>1.0035837564840115</v>
      </c>
    </row>
    <row r="90" spans="16:29" x14ac:dyDescent="0.2">
      <c r="P90" s="33">
        <v>6</v>
      </c>
      <c r="Q90" s="27" t="str">
        <f>_xll.qlPeriodEquivalent(Q89&amp;"+"&amp;P90&amp;"M")</f>
        <v>36Y</v>
      </c>
      <c r="R90" s="28">
        <f>_xll.qlCalendarAdvance(Calendar,SettlementDate,Q90,"f",,Trigger)</f>
        <v>55428</v>
      </c>
      <c r="S90" s="28">
        <f>_xll.qlInterestRateIndexValueDate(Index,R90,Trigger)</f>
        <v>55430</v>
      </c>
      <c r="T90" s="28">
        <f>_xll.qlInterestRateIndexMaturity(Index,S90,Trigger)</f>
        <v>55613</v>
      </c>
      <c r="U90" s="30">
        <f>_xll.qlIndexFixing($M$5,R90,TRUE,InterestRatesTrigger)</f>
        <v>1.4975808471426405E-2</v>
      </c>
      <c r="V90" s="78">
        <f>_xll.qlIndexFixing(Index,R90,TRUE,InterestRatesTrigger)</f>
        <v>1.5189819320301374E-2</v>
      </c>
      <c r="W90" s="30">
        <f t="shared" si="13"/>
        <v>2.1401084887496917E-4</v>
      </c>
      <c r="X90" s="29">
        <f>_xll.qlDayCounterYearFraction(DayCounter,SettlementDate,S90,,,Trigger)</f>
        <v>36.530555555555559</v>
      </c>
      <c r="Y90" s="29">
        <f>_xll.qlDayCounterYearFraction(DayCounter,S90,T90)</f>
        <v>0.5083333333333333</v>
      </c>
      <c r="Z90" s="29">
        <f>IF($M$13,_xll.qlYieldTSDiscount(Currency&amp;"ON",S90)/(1+V90*Y90),1)</f>
        <v>1</v>
      </c>
      <c r="AA90" s="30">
        <f>_xll.qlTenorBasisValue(TenorBasis6M,S90,InterestRatesTrigger)</f>
        <v>2.7110354529443219E-4</v>
      </c>
      <c r="AB90" s="78">
        <f>AA90+U90</f>
        <v>1.5246912016720838E-2</v>
      </c>
      <c r="AC90" s="80">
        <f>AB90/V90</f>
        <v>1.0037586159002667</v>
      </c>
    </row>
    <row r="91" spans="16:29" x14ac:dyDescent="0.2">
      <c r="P91" s="33">
        <v>6</v>
      </c>
      <c r="Q91" s="27" t="str">
        <f>_xll.qlPeriodEquivalent(Q90&amp;"+"&amp;P91&amp;"M")</f>
        <v>36Y6M</v>
      </c>
      <c r="R91" s="28">
        <f>_xll.qlCalendarAdvance(Calendar,SettlementDate,Q91,"f",,Trigger)</f>
        <v>55611</v>
      </c>
      <c r="S91" s="28">
        <f>_xll.qlInterestRateIndexValueDate(Index,R91,Trigger)</f>
        <v>55613</v>
      </c>
      <c r="T91" s="28">
        <f>_xll.qlInterestRateIndexMaturity(Index,S91,Trigger)</f>
        <v>55796</v>
      </c>
      <c r="U91" s="30">
        <f>_xll.qlIndexFixing($M$5,R91,TRUE,InterestRatesTrigger)</f>
        <v>1.4857206778015436E-2</v>
      </c>
      <c r="V91" s="78">
        <f>_xll.qlIndexFixing(Index,R91,TRUE,InterestRatesTrigger)</f>
        <v>1.5065945707185249E-2</v>
      </c>
      <c r="W91" s="30">
        <f t="shared" si="13"/>
        <v>2.0873892916981225E-4</v>
      </c>
      <c r="X91" s="29">
        <f>_xll.qlDayCounterYearFraction(DayCounter,SettlementDate,S91,,,Trigger)</f>
        <v>37.038888888888891</v>
      </c>
      <c r="Y91" s="29">
        <f>_xll.qlDayCounterYearFraction(DayCounter,S91,T91)</f>
        <v>0.5083333333333333</v>
      </c>
      <c r="Z91" s="29">
        <f>IF($M$13,_xll.qlYieldTSDiscount(Currency&amp;"ON",S91)/(1+V91*Y91),1)</f>
        <v>1</v>
      </c>
      <c r="AA91" s="30">
        <f>_xll.qlTenorBasisValue(TenorBasis6M,S91,InterestRatesTrigger)</f>
        <v>2.6882162496464214E-4</v>
      </c>
      <c r="AB91" s="78">
        <f>AA91+U91</f>
        <v>1.5126028402980078E-2</v>
      </c>
      <c r="AC91" s="80">
        <f>AB91/V91</f>
        <v>1.003987980373922</v>
      </c>
    </row>
    <row r="92" spans="16:29" x14ac:dyDescent="0.2">
      <c r="P92" s="33">
        <v>6</v>
      </c>
      <c r="Q92" s="27" t="str">
        <f>_xll.qlPeriodEquivalent(Q91&amp;"+"&amp;P92&amp;"M")</f>
        <v>37Y</v>
      </c>
      <c r="R92" s="28">
        <f>_xll.qlCalendarAdvance(Calendar,SettlementDate,Q92,"f",,Trigger)</f>
        <v>55794</v>
      </c>
      <c r="S92" s="28">
        <f>_xll.qlInterestRateIndexValueDate(Index,R92,Trigger)</f>
        <v>55796</v>
      </c>
      <c r="T92" s="28">
        <f>_xll.qlInterestRateIndexMaturity(Index,S92,Trigger)</f>
        <v>55982</v>
      </c>
      <c r="U92" s="30">
        <f>_xll.qlIndexFixing($M$5,R92,TRUE,InterestRatesTrigger)</f>
        <v>1.4714361499328293E-2</v>
      </c>
      <c r="V92" s="78">
        <f>_xll.qlIndexFixing(Index,R92,TRUE,InterestRatesTrigger)</f>
        <v>1.4917262864650071E-2</v>
      </c>
      <c r="W92" s="30">
        <f t="shared" si="13"/>
        <v>2.0290136532177816E-4</v>
      </c>
      <c r="X92" s="29">
        <f>_xll.qlDayCounterYearFraction(DayCounter,SettlementDate,S92,,,Trigger)</f>
        <v>37.547222222222224</v>
      </c>
      <c r="Y92" s="29">
        <f>_xll.qlDayCounterYearFraction(DayCounter,S92,T92)</f>
        <v>0.51666666666666672</v>
      </c>
      <c r="Z92" s="29">
        <f>IF($M$13,_xll.qlYieldTSDiscount(Currency&amp;"ON",S92)/(1+V92*Y92),1)</f>
        <v>1</v>
      </c>
      <c r="AA92" s="30">
        <f>_xll.qlTenorBasisValue(TenorBasis6M,S92,InterestRatesTrigger)</f>
        <v>2.667285139681792E-4</v>
      </c>
      <c r="AB92" s="78">
        <f>AA92+U92</f>
        <v>1.4981090013296472E-2</v>
      </c>
      <c r="AC92" s="80">
        <f>AB92/V92</f>
        <v>1.0042787439777343</v>
      </c>
    </row>
    <row r="93" spans="16:29" x14ac:dyDescent="0.2">
      <c r="P93" s="33">
        <v>6</v>
      </c>
      <c r="Q93" s="27" t="str">
        <f>_xll.qlPeriodEquivalent(Q92&amp;"+"&amp;P93&amp;"M")</f>
        <v>37Y6M</v>
      </c>
      <c r="R93" s="28">
        <f>_xll.qlCalendarAdvance(Calendar,SettlementDate,Q93,"f",,Trigger)</f>
        <v>55976</v>
      </c>
      <c r="S93" s="28">
        <f>_xll.qlInterestRateIndexValueDate(Index,R93,Trigger)</f>
        <v>55982</v>
      </c>
      <c r="T93" s="28">
        <f>_xll.qlInterestRateIndexMaturity(Index,S93,Trigger)</f>
        <v>56165</v>
      </c>
      <c r="U93" s="30">
        <f>_xll.qlIndexFixing($M$5,R93,TRUE,InterestRatesTrigger)</f>
        <v>1.4544563119224453E-2</v>
      </c>
      <c r="V93" s="78">
        <f>_xll.qlIndexFixing(Index,R93,TRUE,InterestRatesTrigger)</f>
        <v>1.4740952160781157E-2</v>
      </c>
      <c r="W93" s="30">
        <f t="shared" si="13"/>
        <v>1.963890415567042E-4</v>
      </c>
      <c r="X93" s="29">
        <f>_xll.qlDayCounterYearFraction(DayCounter,SettlementDate,S93,,,Trigger)</f>
        <v>38.06388888888889</v>
      </c>
      <c r="Y93" s="29">
        <f>_xll.qlDayCounterYearFraction(DayCounter,S93,T93)</f>
        <v>0.5083333333333333</v>
      </c>
      <c r="Z93" s="29">
        <f>IF($M$13,_xll.qlYieldTSDiscount(Currency&amp;"ON",S93)/(1+V93*Y93),1)</f>
        <v>1</v>
      </c>
      <c r="AA93" s="30">
        <f>_xll.qlTenorBasisValue(TenorBasis6M,S93,InterestRatesTrigger)</f>
        <v>2.6477892569324148E-4</v>
      </c>
      <c r="AB93" s="78">
        <f>AA93+U93</f>
        <v>1.4809342044917694E-2</v>
      </c>
      <c r="AC93" s="80">
        <f>AB93/V93</f>
        <v>1.004639448211391</v>
      </c>
    </row>
    <row r="94" spans="16:29" x14ac:dyDescent="0.2">
      <c r="P94" s="33">
        <v>6</v>
      </c>
      <c r="Q94" s="27" t="str">
        <f>_xll.qlPeriodEquivalent(Q93&amp;"+"&amp;P94&amp;"M")</f>
        <v>38Y</v>
      </c>
      <c r="R94" s="28">
        <f>_xll.qlCalendarAdvance(Calendar,SettlementDate,Q94,"f",,Trigger)</f>
        <v>56159</v>
      </c>
      <c r="S94" s="28">
        <f>_xll.qlInterestRateIndexValueDate(Index,R94,Trigger)</f>
        <v>56163</v>
      </c>
      <c r="T94" s="28">
        <f>_xll.qlInterestRateIndexMaturity(Index,S94,Trigger)</f>
        <v>56345</v>
      </c>
      <c r="U94" s="30">
        <f>_xll.qlIndexFixing($M$5,R94,TRUE,InterestRatesTrigger)</f>
        <v>1.4353663127001091E-2</v>
      </c>
      <c r="V94" s="78">
        <f>_xll.qlIndexFixing(Index,R94,TRUE,InterestRatesTrigger)</f>
        <v>1.4543016217711495E-2</v>
      </c>
      <c r="W94" s="30">
        <f t="shared" si="13"/>
        <v>1.8935309071040421E-4</v>
      </c>
      <c r="X94" s="29">
        <f>_xll.qlDayCounterYearFraction(DayCounter,SettlementDate,S94,,,Trigger)</f>
        <v>38.56666666666667</v>
      </c>
      <c r="Y94" s="29">
        <f>_xll.qlDayCounterYearFraction(DayCounter,S94,T94)</f>
        <v>0.50555555555555554</v>
      </c>
      <c r="Z94" s="29">
        <f>IF($M$13,_xll.qlYieldTSDiscount(Currency&amp;"ON",S94)/(1+V94*Y94),1)</f>
        <v>1</v>
      </c>
      <c r="AA94" s="30">
        <f>_xll.qlTenorBasisValue(TenorBasis6M,S94,InterestRatesTrigger)</f>
        <v>2.6303994543465929E-4</v>
      </c>
      <c r="AB94" s="78">
        <f>AA94+U94</f>
        <v>1.461670307243575E-2</v>
      </c>
      <c r="AC94" s="80">
        <f>AB94/V94</f>
        <v>1.0050668206389342</v>
      </c>
    </row>
    <row r="95" spans="16:29" x14ac:dyDescent="0.2">
      <c r="P95" s="33">
        <v>6</v>
      </c>
      <c r="Q95" s="27" t="str">
        <f>_xll.qlPeriodEquivalent(Q94&amp;"+"&amp;P95&amp;"M")</f>
        <v>38Y6M</v>
      </c>
      <c r="R95" s="28">
        <f>_xll.qlCalendarAdvance(Calendar,SettlementDate,Q95,"f",,Trigger)</f>
        <v>56341</v>
      </c>
      <c r="S95" s="28">
        <f>_xll.qlInterestRateIndexValueDate(Index,R95,Trigger)</f>
        <v>56345</v>
      </c>
      <c r="T95" s="28">
        <f>_xll.qlInterestRateIndexMaturity(Index,S95,Trigger)</f>
        <v>56528</v>
      </c>
      <c r="U95" s="30">
        <f>_xll.qlIndexFixing($M$5,R95,TRUE,InterestRatesTrigger)</f>
        <v>1.4134751329152446E-2</v>
      </c>
      <c r="V95" s="78">
        <f>_xll.qlIndexFixing(Index,R95,TRUE,InterestRatesTrigger)</f>
        <v>1.4316245189151033E-2</v>
      </c>
      <c r="W95" s="30">
        <f t="shared" si="13"/>
        <v>1.8149385999858755E-4</v>
      </c>
      <c r="X95" s="29">
        <f>_xll.qlDayCounterYearFraction(DayCounter,SettlementDate,S95,,,Trigger)</f>
        <v>39.072222222222223</v>
      </c>
      <c r="Y95" s="29">
        <f>_xll.qlDayCounterYearFraction(DayCounter,S95,T95)</f>
        <v>0.5083333333333333</v>
      </c>
      <c r="Z95" s="29">
        <f>IF($M$13,_xll.qlYieldTSDiscount(Currency&amp;"ON",S95)/(1+V95*Y95),1)</f>
        <v>1</v>
      </c>
      <c r="AA95" s="30">
        <f>_xll.qlTenorBasisValue(TenorBasis6M,S95,InterestRatesTrigger)</f>
        <v>2.6143595286614896E-4</v>
      </c>
      <c r="AB95" s="78">
        <f>AA95+U95</f>
        <v>1.4396187282018596E-2</v>
      </c>
      <c r="AC95" s="80">
        <f>AB95/V95</f>
        <v>1.0055840125543634</v>
      </c>
    </row>
    <row r="96" spans="16:29" x14ac:dyDescent="0.2">
      <c r="P96" s="33">
        <v>6</v>
      </c>
      <c r="Q96" s="27" t="str">
        <f>_xll.qlPeriodEquivalent(Q95&amp;"+"&amp;P96&amp;"M")</f>
        <v>39Y</v>
      </c>
      <c r="R96" s="28">
        <f>_xll.qlCalendarAdvance(Calendar,SettlementDate,Q96,"f",,Trigger)</f>
        <v>56524</v>
      </c>
      <c r="S96" s="28">
        <f>_xll.qlInterestRateIndexValueDate(Index,R96,Trigger)</f>
        <v>56528</v>
      </c>
      <c r="T96" s="28">
        <f>_xll.qlInterestRateIndexMaturity(Index,S96,Trigger)</f>
        <v>56710</v>
      </c>
      <c r="U96" s="30">
        <f>_xll.qlIndexFixing($M$5,R96,TRUE,InterestRatesTrigger)</f>
        <v>1.3887770459103693E-2</v>
      </c>
      <c r="V96" s="78">
        <f>_xll.qlIndexFixing(Index,R96,TRUE,InterestRatesTrigger)</f>
        <v>1.4060552645312774E-2</v>
      </c>
      <c r="W96" s="30">
        <f t="shared" si="13"/>
        <v>1.7278218620908094E-4</v>
      </c>
      <c r="X96" s="29">
        <f>_xll.qlDayCounterYearFraction(DayCounter,SettlementDate,S96,,,Trigger)</f>
        <v>39.580555555555556</v>
      </c>
      <c r="Y96" s="29">
        <f>_xll.qlDayCounterYearFraction(DayCounter,S96,T96)</f>
        <v>0.50555555555555554</v>
      </c>
      <c r="Z96" s="29">
        <f>IF($M$13,_xll.qlYieldTSDiscount(Currency&amp;"ON",S96)/(1+V96*Y96),1)</f>
        <v>1</v>
      </c>
      <c r="AA96" s="30">
        <f>_xll.qlTenorBasisValue(TenorBasis6M,S96,InterestRatesTrigger)</f>
        <v>2.5995752263913906E-4</v>
      </c>
      <c r="AB96" s="78">
        <f>AA96+U96</f>
        <v>1.4147727981742832E-2</v>
      </c>
      <c r="AC96" s="80">
        <f>AB96/V96</f>
        <v>1.0061999936011845</v>
      </c>
    </row>
    <row r="97" spans="16:29" x14ac:dyDescent="0.2">
      <c r="P97" s="33">
        <v>6</v>
      </c>
      <c r="Q97" s="27" t="str">
        <f>_xll.qlPeriodEquivalent(Q96&amp;"+"&amp;P97&amp;"M")</f>
        <v>39Y6M</v>
      </c>
      <c r="R97" s="28">
        <f>_xll.qlCalendarAdvance(Calendar,SettlementDate,Q97,"f",,Trigger)</f>
        <v>56706</v>
      </c>
      <c r="S97" s="28">
        <f>_xll.qlInterestRateIndexValueDate(Index,R97,Trigger)</f>
        <v>56710</v>
      </c>
      <c r="T97" s="28">
        <f>_xll.qlInterestRateIndexMaturity(Index,S97,Trigger)</f>
        <v>56893</v>
      </c>
      <c r="U97" s="30">
        <f>_xll.qlIndexFixing($M$5,R97,TRUE,InterestRatesTrigger)</f>
        <v>1.3612802707615793E-2</v>
      </c>
      <c r="V97" s="78">
        <f>_xll.qlIndexFixing(Index,R97,TRUE,InterestRatesTrigger)</f>
        <v>1.3775974765804454E-2</v>
      </c>
      <c r="W97" s="30">
        <f t="shared" si="13"/>
        <v>1.6317205818866184E-4</v>
      </c>
      <c r="X97" s="29">
        <f>_xll.qlDayCounterYearFraction(DayCounter,SettlementDate,S97,,,Trigger)</f>
        <v>40.086111111111109</v>
      </c>
      <c r="Y97" s="29">
        <f>_xll.qlDayCounterYearFraction(DayCounter,S97,T97)</f>
        <v>0.5083333333333333</v>
      </c>
      <c r="Z97" s="29">
        <f>IF($M$13,_xll.qlYieldTSDiscount(Currency&amp;"ON",S97)/(1+V97*Y97),1)</f>
        <v>1</v>
      </c>
      <c r="AA97" s="30">
        <f>_xll.qlTenorBasisValue(TenorBasis6M,S97,InterestRatesTrigger)</f>
        <v>2.5860995781103164E-4</v>
      </c>
      <c r="AB97" s="78">
        <f>AA97+U97</f>
        <v>1.3871412665426824E-2</v>
      </c>
      <c r="AC97" s="80">
        <f>AB97/V97</f>
        <v>1.0069278509321367</v>
      </c>
    </row>
    <row r="98" spans="16:29" x14ac:dyDescent="0.2">
      <c r="P98" s="33">
        <v>6</v>
      </c>
      <c r="Q98" s="27" t="str">
        <f>_xll.qlPeriodEquivalent(Q97&amp;"+"&amp;P98&amp;"M")</f>
        <v>40Y</v>
      </c>
      <c r="R98" s="28">
        <f>_xll.qlCalendarAdvance(Calendar,SettlementDate,Q98,"f",,Trigger)</f>
        <v>56891</v>
      </c>
      <c r="S98" s="28">
        <f>_xll.qlInterestRateIndexValueDate(Index,R98,Trigger)</f>
        <v>56893</v>
      </c>
      <c r="T98" s="28">
        <f>_xll.qlInterestRateIndexMaturity(Index,S98,Trigger)</f>
        <v>57076</v>
      </c>
      <c r="U98" s="30">
        <f>_xll.qlIndexFixing($M$5,R98,TRUE,InterestRatesTrigger)</f>
        <v>1.329561842951563E-2</v>
      </c>
      <c r="V98" s="78">
        <f>_xll.qlIndexFixing(Index,R98,TRUE,InterestRatesTrigger)</f>
        <v>1.3473701854667775E-2</v>
      </c>
      <c r="W98" s="30">
        <f t="shared" si="13"/>
        <v>1.7808342515214515E-4</v>
      </c>
      <c r="X98" s="29">
        <f>_xll.qlDayCounterYearFraction(DayCounter,SettlementDate,S98,,,Trigger)</f>
        <v>40.594444444444441</v>
      </c>
      <c r="Y98" s="29">
        <f>_xll.qlDayCounterYearFraction(DayCounter,S98,T98)</f>
        <v>0.5083333333333333</v>
      </c>
      <c r="Z98" s="29">
        <f>IF($M$13,_xll.qlYieldTSDiscount(Currency&amp;"ON",S98)/(1+V98*Y98),1)</f>
        <v>1</v>
      </c>
      <c r="AA98" s="30">
        <f>_xll.qlTenorBasisValue(TenorBasis6M,S98,InterestRatesTrigger)</f>
        <v>2.5736837423630027E-4</v>
      </c>
      <c r="AB98" s="78">
        <f>AA98+U98</f>
        <v>1.3552986803751931E-2</v>
      </c>
      <c r="AC98" s="80">
        <f>AB98/V98</f>
        <v>1.0058844221090353</v>
      </c>
    </row>
    <row r="99" spans="16:29" x14ac:dyDescent="0.2">
      <c r="P99" s="33">
        <v>6</v>
      </c>
      <c r="Q99" s="27" t="str">
        <f>_xll.qlPeriodEquivalent(Q98&amp;"+"&amp;P99&amp;"M")</f>
        <v>40Y6M</v>
      </c>
      <c r="R99" s="28">
        <f>_xll.qlCalendarAdvance(Calendar,SettlementDate,Q99,"f",,Trigger)</f>
        <v>57074</v>
      </c>
      <c r="S99" s="28">
        <f>_xll.qlInterestRateIndexValueDate(Index,R99,Trigger)</f>
        <v>57076</v>
      </c>
      <c r="T99" s="28">
        <f>_xll.qlInterestRateIndexMaturity(Index,S99,Trigger)</f>
        <v>57259</v>
      </c>
      <c r="U99" s="30">
        <f>_xll.qlIndexFixing($M$5,R99,TRUE,InterestRatesTrigger)</f>
        <v>1.2970094260286297E-2</v>
      </c>
      <c r="V99" s="78">
        <f>_xll.qlIndexFixing(Index,R99,TRUE,InterestRatesTrigger)</f>
        <v>1.3184369570501526E-2</v>
      </c>
      <c r="W99" s="30">
        <f t="shared" si="13"/>
        <v>2.1427531021522839E-4</v>
      </c>
      <c r="X99" s="29">
        <f>_xll.qlDayCounterYearFraction(DayCounter,SettlementDate,S99,,,Trigger)</f>
        <v>41.102777777777774</v>
      </c>
      <c r="Y99" s="29">
        <f>_xll.qlDayCounterYearFraction(DayCounter,S99,T99)</f>
        <v>0.5083333333333333</v>
      </c>
      <c r="Z99" s="29">
        <f>IF($M$13,_xll.qlYieldTSDiscount(Currency&amp;"ON",S99)/(1+V99*Y99),1)</f>
        <v>1</v>
      </c>
      <c r="AA99" s="30">
        <f>_xll.qlTenorBasisValue(TenorBasis6M,S99,InterestRatesTrigger)</f>
        <v>2.5623118121378328E-4</v>
      </c>
      <c r="AB99" s="78">
        <f>AA99+U99</f>
        <v>1.322632544150008E-2</v>
      </c>
      <c r="AC99" s="80">
        <f>AB99/V99</f>
        <v>1.0031822432444875</v>
      </c>
    </row>
    <row r="100" spans="16:29" x14ac:dyDescent="0.2">
      <c r="P100" s="33">
        <v>6</v>
      </c>
      <c r="Q100" s="27" t="str">
        <f>_xll.qlPeriodEquivalent(Q99&amp;"+"&amp;P100&amp;"M")</f>
        <v>41Y</v>
      </c>
      <c r="R100" s="28">
        <f>_xll.qlCalendarAdvance(Calendar,SettlementDate,Q100,"f",,Trigger)</f>
        <v>57255</v>
      </c>
      <c r="S100" s="28">
        <f>_xll.qlInterestRateIndexValueDate(Index,R100,Trigger)</f>
        <v>57257</v>
      </c>
      <c r="T100" s="28">
        <f>_xll.qlInterestRateIndexMaturity(Index,S100,Trigger)</f>
        <v>57439</v>
      </c>
      <c r="U100" s="30">
        <f>_xll.qlIndexFixing($M$5,R100,TRUE,InterestRatesTrigger)</f>
        <v>1.2668217949023276E-2</v>
      </c>
      <c r="V100" s="78">
        <f>_xll.qlIndexFixing(Index,R100,TRUE,InterestRatesTrigger)</f>
        <v>1.2913816381335465E-2</v>
      </c>
      <c r="W100" s="30">
        <f t="shared" si="13"/>
        <v>2.4559843231218917E-4</v>
      </c>
      <c r="X100" s="29">
        <f>_xll.qlDayCounterYearFraction(DayCounter,SettlementDate,S100,,,Trigger)</f>
        <v>41.605555555555554</v>
      </c>
      <c r="Y100" s="29">
        <f>_xll.qlDayCounterYearFraction(DayCounter,S100,T100)</f>
        <v>0.50555555555555554</v>
      </c>
      <c r="Z100" s="29">
        <f>IF($M$13,_xll.qlYieldTSDiscount(Currency&amp;"ON",S100)/(1+V100*Y100),1)</f>
        <v>1</v>
      </c>
      <c r="AA100" s="30">
        <f>_xll.qlTenorBasisValue(TenorBasis6M,S100,InterestRatesTrigger)</f>
        <v>2.5520068777861392E-4</v>
      </c>
      <c r="AB100" s="78">
        <f>AA100+U100</f>
        <v>1.292341863680189E-2</v>
      </c>
      <c r="AC100" s="80">
        <f>AB100/V100</f>
        <v>1.0007435645035423</v>
      </c>
    </row>
    <row r="101" spans="16:29" x14ac:dyDescent="0.2">
      <c r="P101" s="33">
        <v>6</v>
      </c>
      <c r="Q101" s="27" t="str">
        <f>_xll.qlPeriodEquivalent(Q100&amp;"+"&amp;P101&amp;"M")</f>
        <v>41Y6M</v>
      </c>
      <c r="R101" s="28">
        <f>_xll.qlCalendarAdvance(Calendar,SettlementDate,Q101,"f",,Trigger)</f>
        <v>57437</v>
      </c>
      <c r="S101" s="28">
        <f>_xll.qlInterestRateIndexValueDate(Index,R101,Trigger)</f>
        <v>57439</v>
      </c>
      <c r="T101" s="28">
        <f>_xll.qlInterestRateIndexMaturity(Index,S101,Trigger)</f>
        <v>57622</v>
      </c>
      <c r="U101" s="30">
        <f>_xll.qlIndexFixing($M$5,R101,TRUE,InterestRatesTrigger)</f>
        <v>1.2384541866448216E-2</v>
      </c>
      <c r="V101" s="78">
        <f>_xll.qlIndexFixing(Index,R101,TRUE,InterestRatesTrigger)</f>
        <v>1.2657102615809147E-2</v>
      </c>
      <c r="W101" s="30">
        <f t="shared" si="13"/>
        <v>2.7256074936093076E-4</v>
      </c>
      <c r="X101" s="29">
        <f>_xll.qlDayCounterYearFraction(DayCounter,SettlementDate,S101,,,Trigger)</f>
        <v>42.111111111111114</v>
      </c>
      <c r="Y101" s="29">
        <f>_xll.qlDayCounterYearFraction(DayCounter,S101,T101)</f>
        <v>0.5083333333333333</v>
      </c>
      <c r="Z101" s="29">
        <f>IF($M$13,_xll.qlYieldTSDiscount(Currency&amp;"ON",S101)/(1+V101*Y101),1)</f>
        <v>1</v>
      </c>
      <c r="AA101" s="30">
        <f>_xll.qlTenorBasisValue(TenorBasis6M,S101,InterestRatesTrigger)</f>
        <v>2.5425127942848246E-4</v>
      </c>
      <c r="AB101" s="78">
        <f>AA101+U101</f>
        <v>1.2638793145876698E-2</v>
      </c>
      <c r="AC101" s="80">
        <f>AB101/V101</f>
        <v>0.99855342328428476</v>
      </c>
    </row>
    <row r="102" spans="16:29" x14ac:dyDescent="0.2">
      <c r="P102" s="33">
        <v>6</v>
      </c>
      <c r="Q102" s="27" t="str">
        <f>_xll.qlPeriodEquivalent(Q101&amp;"+"&amp;P102&amp;"M")</f>
        <v>42Y</v>
      </c>
      <c r="R102" s="28">
        <f>_xll.qlCalendarAdvance(Calendar,SettlementDate,Q102,"f",,Trigger)</f>
        <v>57620</v>
      </c>
      <c r="S102" s="28">
        <f>_xll.qlInterestRateIndexValueDate(Index,R102,Trigger)</f>
        <v>57622</v>
      </c>
      <c r="T102" s="28">
        <f>_xll.qlInterestRateIndexMaturity(Index,S102,Trigger)</f>
        <v>57804</v>
      </c>
      <c r="U102" s="30">
        <f>_xll.qlIndexFixing($M$5,R102,TRUE,InterestRatesTrigger)</f>
        <v>1.2123077220479828E-2</v>
      </c>
      <c r="V102" s="78">
        <f>_xll.qlIndexFixing(Index,R102,TRUE,InterestRatesTrigger)</f>
        <v>1.2417526835088302E-2</v>
      </c>
      <c r="W102" s="30">
        <f t="shared" si="13"/>
        <v>2.9444961460847394E-4</v>
      </c>
      <c r="X102" s="29">
        <f>_xll.qlDayCounterYearFraction(DayCounter,SettlementDate,S102,,,Trigger)</f>
        <v>42.619444444444447</v>
      </c>
      <c r="Y102" s="29">
        <f>_xll.qlDayCounterYearFraction(DayCounter,S102,T102)</f>
        <v>0.50555555555555554</v>
      </c>
      <c r="Z102" s="29">
        <f>IF($M$13,_xll.qlYieldTSDiscount(Currency&amp;"ON",S102)/(1+V102*Y102),1)</f>
        <v>1</v>
      </c>
      <c r="AA102" s="30">
        <f>_xll.qlTenorBasisValue(TenorBasis6M,S102,InterestRatesTrigger)</f>
        <v>2.5337717655379128E-4</v>
      </c>
      <c r="AB102" s="78">
        <f>AA102+U102</f>
        <v>1.237645439703362E-2</v>
      </c>
      <c r="AC102" s="80">
        <f>AB102/V102</f>
        <v>0.99669238177616626</v>
      </c>
    </row>
    <row r="103" spans="16:29" x14ac:dyDescent="0.2">
      <c r="P103" s="33">
        <v>6</v>
      </c>
      <c r="Q103" s="27" t="str">
        <f>_xll.qlPeriodEquivalent(Q102&amp;"+"&amp;P103&amp;"M")</f>
        <v>42Y6M</v>
      </c>
      <c r="R103" s="28">
        <f>_xll.qlCalendarAdvance(Calendar,SettlementDate,Q103,"f",,Trigger)</f>
        <v>57802</v>
      </c>
      <c r="S103" s="28">
        <f>_xll.qlInterestRateIndexValueDate(Index,R103,Trigger)</f>
        <v>57804</v>
      </c>
      <c r="T103" s="28">
        <f>_xll.qlInterestRateIndexMaturity(Index,S103,Trigger)</f>
        <v>57987</v>
      </c>
      <c r="U103" s="30">
        <f>_xll.qlIndexFixing($M$5,R103,TRUE,InterestRatesTrigger)</f>
        <v>1.1886169260303739E-2</v>
      </c>
      <c r="V103" s="78">
        <f>_xll.qlIndexFixing(Index,R103,TRUE,InterestRatesTrigger)</f>
        <v>1.2197149929319983E-2</v>
      </c>
      <c r="W103" s="30">
        <f t="shared" si="13"/>
        <v>3.1098066901624408E-4</v>
      </c>
      <c r="X103" s="29">
        <f>_xll.qlDayCounterYearFraction(DayCounter,SettlementDate,S103,,,Trigger)</f>
        <v>43.125</v>
      </c>
      <c r="Y103" s="29">
        <f>_xll.qlDayCounterYearFraction(DayCounter,S103,T103)</f>
        <v>0.5083333333333333</v>
      </c>
      <c r="Z103" s="29">
        <f>IF($M$13,_xll.qlYieldTSDiscount(Currency&amp;"ON",S103)/(1+V103*Y103),1)</f>
        <v>1</v>
      </c>
      <c r="AA103" s="30">
        <f>_xll.qlTenorBasisValue(TenorBasis6M,S103,InterestRatesTrigger)</f>
        <v>2.5258131878804304E-4</v>
      </c>
      <c r="AB103" s="78">
        <f>AA103+U103</f>
        <v>1.2138750579091782E-2</v>
      </c>
      <c r="AC103" s="80">
        <f>AB103/V103</f>
        <v>0.99521204948970754</v>
      </c>
    </row>
    <row r="104" spans="16:29" x14ac:dyDescent="0.2">
      <c r="P104" s="33">
        <v>6</v>
      </c>
      <c r="Q104" s="27" t="str">
        <f>_xll.qlPeriodEquivalent(Q103&amp;"+"&amp;P104&amp;"M")</f>
        <v>43Y</v>
      </c>
      <c r="R104" s="28">
        <f>_xll.qlCalendarAdvance(Calendar,SettlementDate,Q104,"f",,Trigger)</f>
        <v>57985</v>
      </c>
      <c r="S104" s="28">
        <f>_xll.qlInterestRateIndexValueDate(Index,R104,Trigger)</f>
        <v>57987</v>
      </c>
      <c r="T104" s="28">
        <f>_xll.qlInterestRateIndexMaturity(Index,S104,Trigger)</f>
        <v>58169</v>
      </c>
      <c r="U104" s="30">
        <f>_xll.qlIndexFixing($M$5,R104,TRUE,InterestRatesTrigger)</f>
        <v>1.1674441743772773E-2</v>
      </c>
      <c r="V104" s="78">
        <f>_xll.qlIndexFixing(Index,R104,TRUE,InterestRatesTrigger)</f>
        <v>1.1996251483838788E-2</v>
      </c>
      <c r="W104" s="30">
        <f t="shared" si="13"/>
        <v>3.218097400660147E-4</v>
      </c>
      <c r="X104" s="29">
        <f>_xll.qlDayCounterYearFraction(DayCounter,SettlementDate,S104,,,Trigger)</f>
        <v>43.633333333333333</v>
      </c>
      <c r="Y104" s="29">
        <f>_xll.qlDayCounterYearFraction(DayCounter,S104,T104)</f>
        <v>0.50555555555555554</v>
      </c>
      <c r="Z104" s="29">
        <f>IF($M$13,_xll.qlYieldTSDiscount(Currency&amp;"ON",S104)/(1+V104*Y104),1)</f>
        <v>1</v>
      </c>
      <c r="AA104" s="30">
        <f>_xll.qlTenorBasisValue(TenorBasis6M,S104,InterestRatesTrigger)</f>
        <v>2.518488341275808E-4</v>
      </c>
      <c r="AB104" s="78">
        <f>AA104+U104</f>
        <v>1.1926290577900353E-2</v>
      </c>
      <c r="AC104" s="80">
        <f>AB104/V104</f>
        <v>0.99416810275837542</v>
      </c>
    </row>
    <row r="105" spans="16:29" x14ac:dyDescent="0.2">
      <c r="P105" s="33">
        <v>6</v>
      </c>
      <c r="Q105" s="27" t="str">
        <f>_xll.qlPeriodEquivalent(Q104&amp;"+"&amp;P105&amp;"M")</f>
        <v>43Y6M</v>
      </c>
      <c r="R105" s="28">
        <f>_xll.qlCalendarAdvance(Calendar,SettlementDate,Q105,"f",,Trigger)</f>
        <v>58167</v>
      </c>
      <c r="S105" s="28">
        <f>_xll.qlInterestRateIndexValueDate(Index,R105,Trigger)</f>
        <v>58169</v>
      </c>
      <c r="T105" s="28">
        <f>_xll.qlInterestRateIndexMaturity(Index,S105,Trigger)</f>
        <v>58354</v>
      </c>
      <c r="U105" s="30">
        <f>_xll.qlIndexFixing($M$5,R105,TRUE,InterestRatesTrigger)</f>
        <v>1.1489641472600646E-2</v>
      </c>
      <c r="V105" s="78">
        <f>_xll.qlIndexFixing(Index,R105,TRUE,InterestRatesTrigger)</f>
        <v>1.1816320024899447E-2</v>
      </c>
      <c r="W105" s="30">
        <f t="shared" si="13"/>
        <v>3.2667855229880083E-4</v>
      </c>
      <c r="X105" s="29">
        <f>_xll.qlDayCounterYearFraction(DayCounter,SettlementDate,S105,,,Trigger)</f>
        <v>44.138888888888886</v>
      </c>
      <c r="Y105" s="29">
        <f>_xll.qlDayCounterYearFraction(DayCounter,S105,T105)</f>
        <v>0.51388888888888884</v>
      </c>
      <c r="Z105" s="29">
        <f>IF($M$13,_xll.qlYieldTSDiscount(Currency&amp;"ON",S105)/(1+V105*Y105),1)</f>
        <v>1</v>
      </c>
      <c r="AA105" s="30">
        <f>_xll.qlTenorBasisValue(TenorBasis6M,S105,InterestRatesTrigger)</f>
        <v>2.5118213678793154E-4</v>
      </c>
      <c r="AB105" s="78">
        <f>AA105+U105</f>
        <v>1.1740823609388577E-2</v>
      </c>
      <c r="AC105" s="80">
        <f>AB105/V105</f>
        <v>0.99361083523873905</v>
      </c>
    </row>
    <row r="106" spans="16:29" x14ac:dyDescent="0.2">
      <c r="P106" s="33">
        <v>6</v>
      </c>
      <c r="Q106" s="27" t="str">
        <f>_xll.qlPeriodEquivalent(Q105&amp;"+"&amp;P106&amp;"M")</f>
        <v>44Y</v>
      </c>
      <c r="R106" s="28">
        <f>_xll.qlCalendarAdvance(Calendar,SettlementDate,Q106,"f",,Trigger)</f>
        <v>58350</v>
      </c>
      <c r="S106" s="28">
        <f>_xll.qlInterestRateIndexValueDate(Index,R106,Trigger)</f>
        <v>58354</v>
      </c>
      <c r="T106" s="28">
        <f>_xll.qlInterestRateIndexMaturity(Index,S106,Trigger)</f>
        <v>58537</v>
      </c>
      <c r="U106" s="30">
        <f>_xll.qlIndexFixing($M$5,R106,TRUE,InterestRatesTrigger)</f>
        <v>1.1332327371810717E-2</v>
      </c>
      <c r="V106" s="78">
        <f>_xll.qlIndexFixing(Index,R106,TRUE,InterestRatesTrigger)</f>
        <v>1.1657437291291666E-2</v>
      </c>
      <c r="W106" s="30">
        <f t="shared" si="13"/>
        <v>3.2510991948094849E-4</v>
      </c>
      <c r="X106" s="29">
        <f>_xll.qlDayCounterYearFraction(DayCounter,SettlementDate,S106,,,Trigger)</f>
        <v>44.652777777777779</v>
      </c>
      <c r="Y106" s="29">
        <f>_xll.qlDayCounterYearFraction(DayCounter,S106,T106)</f>
        <v>0.5083333333333333</v>
      </c>
      <c r="Z106" s="29">
        <f>IF($M$13,_xll.qlYieldTSDiscount(Currency&amp;"ON",S106)/(1+V106*Y106),1)</f>
        <v>1</v>
      </c>
      <c r="AA106" s="30">
        <f>_xll.qlTenorBasisValue(TenorBasis6M,S106,InterestRatesTrigger)</f>
        <v>2.5056231767061173E-4</v>
      </c>
      <c r="AB106" s="78">
        <f>AA106+U106</f>
        <v>1.1582889689481329E-2</v>
      </c>
      <c r="AC106" s="80">
        <f>AB106/V106</f>
        <v>0.99360514665894661</v>
      </c>
    </row>
    <row r="107" spans="16:29" x14ac:dyDescent="0.2">
      <c r="P107" s="33">
        <v>6</v>
      </c>
      <c r="Q107" s="27" t="str">
        <f>_xll.qlPeriodEquivalent(Q106&amp;"+"&amp;P107&amp;"M")</f>
        <v>44Y6M</v>
      </c>
      <c r="R107" s="28">
        <f>_xll.qlCalendarAdvance(Calendar,SettlementDate,Q107,"f",,Trigger)</f>
        <v>58533</v>
      </c>
      <c r="S107" s="28">
        <f>_xll.qlInterestRateIndexValueDate(Index,R107,Trigger)</f>
        <v>58537</v>
      </c>
      <c r="T107" s="28">
        <f>_xll.qlInterestRateIndexMaturity(Index,S107,Trigger)</f>
        <v>58720</v>
      </c>
      <c r="U107" s="30">
        <f>_xll.qlIndexFixing($M$5,R107,TRUE,InterestRatesTrigger)</f>
        <v>1.12065297278251E-2</v>
      </c>
      <c r="V107" s="78">
        <f>_xll.qlIndexFixing(Index,R107,TRUE,InterestRatesTrigger)</f>
        <v>1.152340703384909E-2</v>
      </c>
      <c r="W107" s="30">
        <f t="shared" si="13"/>
        <v>3.1687730602398927E-4</v>
      </c>
      <c r="X107" s="29">
        <f>_xll.qlDayCounterYearFraction(DayCounter,SettlementDate,S107,,,Trigger)</f>
        <v>45.161111111111111</v>
      </c>
      <c r="Y107" s="29">
        <f>_xll.qlDayCounterYearFraction(DayCounter,S107,T107)</f>
        <v>0.5083333333333333</v>
      </c>
      <c r="Z107" s="29">
        <f>IF($M$13,_xll.qlYieldTSDiscount(Currency&amp;"ON",S107)/(1+V107*Y107),1)</f>
        <v>1</v>
      </c>
      <c r="AA107" s="30">
        <f>_xll.qlTenorBasisValue(TenorBasis6M,S107,InterestRatesTrigger)</f>
        <v>2.5000178763317252E-4</v>
      </c>
      <c r="AB107" s="78">
        <f>AA107+U107</f>
        <v>1.1456531515458272E-2</v>
      </c>
      <c r="AC107" s="80">
        <f>AB107/V107</f>
        <v>0.99419654984030537</v>
      </c>
    </row>
    <row r="108" spans="16:29" x14ac:dyDescent="0.2">
      <c r="P108" s="33">
        <v>6</v>
      </c>
      <c r="Q108" s="27" t="str">
        <f>_xll.qlPeriodEquivalent(Q107&amp;"+"&amp;P108&amp;"M")</f>
        <v>45Y</v>
      </c>
      <c r="R108" s="28">
        <f>_xll.qlCalendarAdvance(Calendar,SettlementDate,Q108,"f",,Trigger)</f>
        <v>58718</v>
      </c>
      <c r="S108" s="28">
        <f>_xll.qlInterestRateIndexValueDate(Index,R108,Trigger)</f>
        <v>58720</v>
      </c>
      <c r="T108" s="28">
        <f>_xll.qlInterestRateIndexMaturity(Index,S108,Trigger)</f>
        <v>58902</v>
      </c>
      <c r="U108" s="30">
        <f>_xll.qlIndexFixing($M$5,R108,TRUE,InterestRatesTrigger)</f>
        <v>1.1112433934319328E-2</v>
      </c>
      <c r="V108" s="78">
        <f>_xll.qlIndexFixing(Index,R108,TRUE,InterestRatesTrigger)</f>
        <v>1.1414136230452164E-2</v>
      </c>
      <c r="W108" s="30">
        <f t="shared" si="13"/>
        <v>3.0170229613283618E-4</v>
      </c>
      <c r="X108" s="29">
        <f>_xll.qlDayCounterYearFraction(DayCounter,SettlementDate,S108,,,Trigger)</f>
        <v>45.669444444444444</v>
      </c>
      <c r="Y108" s="29">
        <f>_xll.qlDayCounterYearFraction(DayCounter,S108,T108)</f>
        <v>0.50555555555555554</v>
      </c>
      <c r="Z108" s="29">
        <f>IF($M$13,_xll.qlYieldTSDiscount(Currency&amp;"ON",S108)/(1+V108*Y108),1)</f>
        <v>1</v>
      </c>
      <c r="AA108" s="30">
        <f>_xll.qlTenorBasisValue(TenorBasis6M,S108,InterestRatesTrigger)</f>
        <v>2.4948915963643377E-4</v>
      </c>
      <c r="AB108" s="78">
        <f>AA108+U108</f>
        <v>1.1361923093955763E-2</v>
      </c>
      <c r="AC108" s="80">
        <f>AB108/V108</f>
        <v>0.99542557268967047</v>
      </c>
    </row>
    <row r="109" spans="16:29" x14ac:dyDescent="0.2">
      <c r="P109" s="33">
        <v>6</v>
      </c>
      <c r="Q109" s="27" t="str">
        <f>_xll.qlPeriodEquivalent(Q108&amp;"+"&amp;P109&amp;"M")</f>
        <v>45Y6M</v>
      </c>
      <c r="R109" s="28">
        <f>_xll.qlCalendarAdvance(Calendar,SettlementDate,Q109,"f",,Trigger)</f>
        <v>58900</v>
      </c>
      <c r="S109" s="28">
        <f>_xll.qlInterestRateIndexValueDate(Index,R109,Trigger)</f>
        <v>58902</v>
      </c>
      <c r="T109" s="28">
        <f>_xll.qlInterestRateIndexMaturity(Index,S109,Trigger)</f>
        <v>59085</v>
      </c>
      <c r="U109" s="30">
        <f>_xll.qlIndexFixing($M$5,R109,TRUE,InterestRatesTrigger)</f>
        <v>1.1051686096399539E-2</v>
      </c>
      <c r="V109" s="78">
        <f>_xll.qlIndexFixing(Index,R109,TRUE,InterestRatesTrigger)</f>
        <v>1.1330960407151218E-2</v>
      </c>
      <c r="W109" s="30">
        <f t="shared" si="13"/>
        <v>2.7927431075167909E-4</v>
      </c>
      <c r="X109" s="29">
        <f>_xll.qlDayCounterYearFraction(DayCounter,SettlementDate,S109,,,Trigger)</f>
        <v>46.174999999999997</v>
      </c>
      <c r="Y109" s="29">
        <f>_xll.qlDayCounterYearFraction(DayCounter,S109,T109)</f>
        <v>0.5083333333333333</v>
      </c>
      <c r="Z109" s="29">
        <f>IF($M$13,_xll.qlYieldTSDiscount(Currency&amp;"ON",S109)/(1+V109*Y109),1)</f>
        <v>1</v>
      </c>
      <c r="AA109" s="30">
        <f>_xll.qlTenorBasisValue(TenorBasis6M,S109,InterestRatesTrigger)</f>
        <v>2.4902285830127511E-4</v>
      </c>
      <c r="AB109" s="78">
        <f>AA109+U109</f>
        <v>1.1300708954700815E-2</v>
      </c>
      <c r="AC109" s="80">
        <f>AB109/V109</f>
        <v>0.99733019520293165</v>
      </c>
    </row>
    <row r="110" spans="16:29" x14ac:dyDescent="0.2">
      <c r="P110" s="33">
        <v>6</v>
      </c>
      <c r="Q110" s="27" t="str">
        <f>_xll.qlPeriodEquivalent(Q109&amp;"+"&amp;P110&amp;"M")</f>
        <v>46Y</v>
      </c>
      <c r="R110" s="28">
        <f>_xll.qlCalendarAdvance(Calendar,SettlementDate,Q110,"f",,Trigger)</f>
        <v>59082</v>
      </c>
      <c r="S110" s="28">
        <f>_xll.qlInterestRateIndexValueDate(Index,R110,Trigger)</f>
        <v>59084</v>
      </c>
      <c r="T110" s="28">
        <f>_xll.qlInterestRateIndexMaturity(Index,S110,Trigger)</f>
        <v>59266</v>
      </c>
      <c r="U110" s="30">
        <f>_xll.qlIndexFixing($M$5,R110,TRUE,InterestRatesTrigger)</f>
        <v>1.1025065448953377E-2</v>
      </c>
      <c r="V110" s="78">
        <f>_xll.qlIndexFixing(Index,R110,TRUE,InterestRatesTrigger)</f>
        <v>1.1274505874055851E-2</v>
      </c>
      <c r="W110" s="30">
        <f t="shared" si="13"/>
        <v>2.4944042510247413E-4</v>
      </c>
      <c r="X110" s="29">
        <f>_xll.qlDayCounterYearFraction(DayCounter,SettlementDate,S110,,,Trigger)</f>
        <v>46.680555555555557</v>
      </c>
      <c r="Y110" s="29">
        <f>_xll.qlDayCounterYearFraction(DayCounter,S110,T110)</f>
        <v>0.50555555555555554</v>
      </c>
      <c r="Z110" s="29">
        <f>IF($M$13,_xll.qlYieldTSDiscount(Currency&amp;"ON",S110)/(1+V110*Y110),1)</f>
        <v>1</v>
      </c>
      <c r="AA110" s="30">
        <f>_xll.qlTenorBasisValue(TenorBasis6M,S110,InterestRatesTrigger)</f>
        <v>2.4859632156365289E-4</v>
      </c>
      <c r="AB110" s="78">
        <f>AA110+U110</f>
        <v>1.1273661770517029E-2</v>
      </c>
      <c r="AC110" s="80">
        <f>AB110/V110</f>
        <v>0.99992513166002561</v>
      </c>
    </row>
    <row r="111" spans="16:29" x14ac:dyDescent="0.2">
      <c r="P111" s="33">
        <v>6</v>
      </c>
      <c r="Q111" s="27" t="str">
        <f>_xll.qlPeriodEquivalent(Q110&amp;"+"&amp;P111&amp;"M")</f>
        <v>46Y6M</v>
      </c>
      <c r="R111" s="28">
        <f>_xll.qlCalendarAdvance(Calendar,SettlementDate,Q111,"f",,Trigger)</f>
        <v>59264</v>
      </c>
      <c r="S111" s="28">
        <f>_xll.qlInterestRateIndexValueDate(Index,R111,Trigger)</f>
        <v>59266</v>
      </c>
      <c r="T111" s="28">
        <f>_xll.qlInterestRateIndexMaturity(Index,S111,Trigger)</f>
        <v>59449</v>
      </c>
      <c r="U111" s="30">
        <f>_xll.qlIndexFixing($M$5,R111,TRUE,InterestRatesTrigger)</f>
        <v>1.1034490907406205E-2</v>
      </c>
      <c r="V111" s="78">
        <f>_xll.qlIndexFixing(Index,R111,TRUE,InterestRatesTrigger)</f>
        <v>1.1246065697921987E-2</v>
      </c>
      <c r="W111" s="30">
        <f t="shared" si="13"/>
        <v>2.1157479051578214E-4</v>
      </c>
      <c r="X111" s="29">
        <f>_xll.qlDayCounterYearFraction(DayCounter,SettlementDate,S111,,,Trigger)</f>
        <v>47.18611111111111</v>
      </c>
      <c r="Y111" s="29">
        <f>_xll.qlDayCounterYearFraction(DayCounter,S111,T111)</f>
        <v>0.5083333333333333</v>
      </c>
      <c r="Z111" s="29">
        <f>IF($M$13,_xll.qlYieldTSDiscount(Currency&amp;"ON",S111)/(1+V111*Y111),1)</f>
        <v>1</v>
      </c>
      <c r="AA111" s="30">
        <f>_xll.qlTenorBasisValue(TenorBasis6M,S111,InterestRatesTrigger)</f>
        <v>2.4820621272911254E-4</v>
      </c>
      <c r="AB111" s="78">
        <f>AA111+U111</f>
        <v>1.1282697120135318E-2</v>
      </c>
      <c r="AC111" s="80">
        <f>AB111/V111</f>
        <v>1.0032572655359908</v>
      </c>
    </row>
    <row r="112" spans="16:29" x14ac:dyDescent="0.2">
      <c r="P112" s="33">
        <v>6</v>
      </c>
      <c r="Q112" s="27" t="str">
        <f>_xll.qlPeriodEquivalent(Q111&amp;"+"&amp;P112&amp;"M")</f>
        <v>47Y</v>
      </c>
      <c r="R112" s="28">
        <f>_xll.qlCalendarAdvance(Calendar,SettlementDate,Q112,"f",,Trigger)</f>
        <v>59446</v>
      </c>
      <c r="S112" s="28">
        <f>_xll.qlInterestRateIndexValueDate(Index,R112,Trigger)</f>
        <v>59448</v>
      </c>
      <c r="T112" s="28">
        <f>_xll.qlInterestRateIndexMaturity(Index,S112,Trigger)</f>
        <v>59630</v>
      </c>
      <c r="U112" s="30">
        <f>_xll.qlIndexFixing($M$5,R112,TRUE,InterestRatesTrigger)</f>
        <v>1.1080578928236721E-2</v>
      </c>
      <c r="V112" s="78">
        <f>_xll.qlIndexFixing(Index,R112,TRUE,InterestRatesTrigger)</f>
        <v>1.1246343762236596E-2</v>
      </c>
      <c r="W112" s="30">
        <f t="shared" si="13"/>
        <v>1.6576483399987491E-4</v>
      </c>
      <c r="X112" s="29">
        <f>_xll.qlDayCounterYearFraction(DayCounter,SettlementDate,S112,,,Trigger)</f>
        <v>47.69166666666667</v>
      </c>
      <c r="Y112" s="29">
        <f>_xll.qlDayCounterYearFraction(DayCounter,S112,T112)</f>
        <v>0.50555555555555554</v>
      </c>
      <c r="Z112" s="29">
        <f>IF($M$13,_xll.qlYieldTSDiscount(Currency&amp;"ON",S112)/(1+V112*Y112),1)</f>
        <v>1</v>
      </c>
      <c r="AA112" s="30">
        <f>_xll.qlTenorBasisValue(TenorBasis6M,S112,InterestRatesTrigger)</f>
        <v>2.4784946921311949E-4</v>
      </c>
      <c r="AB112" s="78">
        <f>AA112+U112</f>
        <v>1.132842839744984E-2</v>
      </c>
      <c r="AC112" s="80">
        <f>AB112/V112</f>
        <v>1.0072987841158538</v>
      </c>
    </row>
    <row r="113" spans="16:29" x14ac:dyDescent="0.2">
      <c r="P113" s="33">
        <v>6</v>
      </c>
      <c r="Q113" s="27" t="str">
        <f>_xll.qlPeriodEquivalent(Q112&amp;"+"&amp;P113&amp;"M")</f>
        <v>47Y6M</v>
      </c>
      <c r="R113" s="28">
        <f>_xll.qlCalendarAdvance(Calendar,SettlementDate,Q113,"f",,Trigger)</f>
        <v>59628</v>
      </c>
      <c r="S113" s="28">
        <f>_xll.qlInterestRateIndexValueDate(Index,R113,Trigger)</f>
        <v>59630</v>
      </c>
      <c r="T113" s="28">
        <f>_xll.qlInterestRateIndexMaturity(Index,S113,Trigger)</f>
        <v>59813</v>
      </c>
      <c r="U113" s="30">
        <f>_xll.qlIndexFixing($M$5,R113,TRUE,InterestRatesTrigger)</f>
        <v>1.1166061567400663E-2</v>
      </c>
      <c r="V113" s="78">
        <f>_xll.qlIndexFixing(Index,R113,TRUE,InterestRatesTrigger)</f>
        <v>1.1277257827713416E-2</v>
      </c>
      <c r="W113" s="30">
        <f t="shared" si="13"/>
        <v>1.1119626031275316E-4</v>
      </c>
      <c r="X113" s="29">
        <f>_xll.qlDayCounterYearFraction(DayCounter,SettlementDate,S113,,,Trigger)</f>
        <v>48.197222222222223</v>
      </c>
      <c r="Y113" s="29">
        <f>_xll.qlDayCounterYearFraction(DayCounter,S113,T113)</f>
        <v>0.5083333333333333</v>
      </c>
      <c r="Z113" s="29">
        <f>IF($M$13,_xll.qlYieldTSDiscount(Currency&amp;"ON",S113)/(1+V113*Y113),1)</f>
        <v>1</v>
      </c>
      <c r="AA113" s="30">
        <f>_xll.qlTenorBasisValue(TenorBasis6M,S113,InterestRatesTrigger)</f>
        <v>2.4752328066916611E-4</v>
      </c>
      <c r="AB113" s="78">
        <f>AA113+U113</f>
        <v>1.1413584848069829E-2</v>
      </c>
      <c r="AC113" s="80">
        <f>AB113/V113</f>
        <v>1.0120886675146679</v>
      </c>
    </row>
    <row r="114" spans="16:29" x14ac:dyDescent="0.2">
      <c r="P114" s="33">
        <v>6</v>
      </c>
      <c r="Q114" s="27" t="str">
        <f>_xll.qlPeriodEquivalent(Q113&amp;"+"&amp;P114&amp;"M")</f>
        <v>48Y</v>
      </c>
      <c r="R114" s="28">
        <f>_xll.qlCalendarAdvance(Calendar,SettlementDate,Q114,"f",,Trigger)</f>
        <v>59811</v>
      </c>
      <c r="S114" s="28">
        <f>_xll.qlInterestRateIndexValueDate(Index,R114,Trigger)</f>
        <v>59813</v>
      </c>
      <c r="T114" s="28">
        <f>_xll.qlInterestRateIndexMaturity(Index,S114,Trigger)</f>
        <v>60000</v>
      </c>
      <c r="U114" s="30">
        <f>_xll.qlIndexFixing($M$5,R114,TRUE,InterestRatesTrigger)</f>
        <v>1.1294499353873893E-2</v>
      </c>
      <c r="V114" s="78">
        <f>_xll.qlIndexFixing(Index,R114,TRUE,InterestRatesTrigger)</f>
        <v>1.1341331674606348E-2</v>
      </c>
      <c r="W114" s="30">
        <f t="shared" si="13"/>
        <v>4.6832320732454608E-5</v>
      </c>
      <c r="X114" s="29">
        <f>_xll.qlDayCounterYearFraction(DayCounter,SettlementDate,S114,,,Trigger)</f>
        <v>48.705555555555556</v>
      </c>
      <c r="Y114" s="29">
        <f>_xll.qlDayCounterYearFraction(DayCounter,S114,T114)</f>
        <v>0.51944444444444449</v>
      </c>
      <c r="Z114" s="29">
        <f>IF($M$13,_xll.qlYieldTSDiscount(Currency&amp;"ON",S114)/(1+V114*Y114),1)</f>
        <v>1</v>
      </c>
      <c r="AA114" s="30">
        <f>_xll.qlTenorBasisValue(TenorBasis6M,S114,InterestRatesTrigger)</f>
        <v>2.4722350308373648E-4</v>
      </c>
      <c r="AB114" s="78">
        <f>AA114+U114</f>
        <v>1.1541722856957629E-2</v>
      </c>
      <c r="AC114" s="80">
        <f>AB114/V114</f>
        <v>1.0176691051898221</v>
      </c>
    </row>
    <row r="115" spans="16:29" x14ac:dyDescent="0.2">
      <c r="P115" s="33">
        <v>6</v>
      </c>
      <c r="Q115" s="27" t="str">
        <f>_xll.qlPeriodEquivalent(Q114&amp;"+"&amp;P115&amp;"M")</f>
        <v>48Y6M</v>
      </c>
      <c r="R115" s="28">
        <f>_xll.qlCalendarAdvance(Calendar,SettlementDate,Q115,"f",,Trigger)</f>
        <v>59994</v>
      </c>
      <c r="S115" s="28">
        <f>_xll.qlInterestRateIndexValueDate(Index,R115,Trigger)</f>
        <v>60000</v>
      </c>
      <c r="T115" s="28">
        <f>_xll.qlInterestRateIndexMaturity(Index,S115,Trigger)</f>
        <v>60183</v>
      </c>
      <c r="U115" s="30">
        <f>_xll.qlIndexFixing($M$5,R115,TRUE,InterestRatesTrigger)</f>
        <v>1.1464378047263813E-2</v>
      </c>
      <c r="V115" s="78">
        <f>_xll.qlIndexFixing(Index,R115,TRUE,InterestRatesTrigger)</f>
        <v>1.1437438806671661E-2</v>
      </c>
      <c r="W115" s="30">
        <f t="shared" si="13"/>
        <v>-2.6939240592152233E-5</v>
      </c>
      <c r="X115" s="29">
        <f>_xll.qlDayCounterYearFraction(DayCounter,SettlementDate,S115,,,Trigger)</f>
        <v>49.225000000000001</v>
      </c>
      <c r="Y115" s="29">
        <f>_xll.qlDayCounterYearFraction(DayCounter,S115,T115)</f>
        <v>0.5083333333333333</v>
      </c>
      <c r="Z115" s="29">
        <f>IF($M$13,_xll.qlYieldTSDiscount(Currency&amp;"ON",S115)/(1+V115*Y115),1)</f>
        <v>1</v>
      </c>
      <c r="AA115" s="30">
        <f>_xll.qlTenorBasisValue(TenorBasis6M,S115,InterestRatesTrigger)</f>
        <v>2.4694389238746331E-4</v>
      </c>
      <c r="AB115" s="78">
        <f>AA115+U115</f>
        <v>1.1711321939651277E-2</v>
      </c>
      <c r="AC115" s="80">
        <f>AB115/V115</f>
        <v>1.0239461943892416</v>
      </c>
    </row>
    <row r="116" spans="16:29" x14ac:dyDescent="0.2">
      <c r="P116" s="33">
        <v>6</v>
      </c>
      <c r="Q116" s="27" t="str">
        <f>_xll.qlPeriodEquivalent(Q115&amp;"+"&amp;P116&amp;"M")</f>
        <v>49Y</v>
      </c>
      <c r="R116" s="28">
        <f>_xll.qlCalendarAdvance(Calendar,SettlementDate,Q116,"f",,Trigger)</f>
        <v>60177</v>
      </c>
      <c r="S116" s="28">
        <f>_xll.qlInterestRateIndexValueDate(Index,R116,Trigger)</f>
        <v>60181</v>
      </c>
      <c r="T116" s="28">
        <f>_xll.qlInterestRateIndexMaturity(Index,S116,Trigger)</f>
        <v>60363</v>
      </c>
      <c r="U116" s="30">
        <f>_xll.qlIndexFixing($M$5,R116,TRUE,InterestRatesTrigger)</f>
        <v>1.1673617009087834E-2</v>
      </c>
      <c r="V116" s="78">
        <f>_xll.qlIndexFixing(Index,R116,TRUE,InterestRatesTrigger)</f>
        <v>1.1565288272815532E-2</v>
      </c>
      <c r="W116" s="30">
        <f t="shared" si="13"/>
        <v>-1.0832873627230136E-4</v>
      </c>
      <c r="X116" s="29">
        <f>_xll.qlDayCounterYearFraction(DayCounter,SettlementDate,S116,,,Trigger)</f>
        <v>49.727777777777774</v>
      </c>
      <c r="Y116" s="29">
        <f>_xll.qlDayCounterYearFraction(DayCounter,S116,T116)</f>
        <v>0.50555555555555554</v>
      </c>
      <c r="Z116" s="29">
        <f>IF($M$13,_xll.qlYieldTSDiscount(Currency&amp;"ON",S116)/(1+V116*Y116),1)</f>
        <v>1</v>
      </c>
      <c r="AA116" s="30">
        <f>_xll.qlTenorBasisValue(TenorBasis6M,S116,InterestRatesTrigger)</f>
        <v>2.4669677807704282E-4</v>
      </c>
      <c r="AB116" s="78">
        <f>AA116+U116</f>
        <v>1.1920313787164877E-2</v>
      </c>
      <c r="AC116" s="80">
        <f>AB116/V116</f>
        <v>1.0306975067092654</v>
      </c>
    </row>
    <row r="117" spans="16:29" x14ac:dyDescent="0.2">
      <c r="P117" s="33">
        <v>6</v>
      </c>
      <c r="Q117" s="27" t="str">
        <f>_xll.qlPeriodEquivalent(Q116&amp;"+"&amp;P117&amp;"M")</f>
        <v>49Y6M</v>
      </c>
      <c r="R117" s="28">
        <f>_xll.qlCalendarAdvance(Calendar,SettlementDate,Q117,"f",,Trigger)</f>
        <v>60359</v>
      </c>
      <c r="S117" s="28">
        <f>_xll.qlInterestRateIndexValueDate(Index,R117,Trigger)</f>
        <v>60363</v>
      </c>
      <c r="T117" s="28">
        <f>_xll.qlInterestRateIndexMaturity(Index,S117,Trigger)</f>
        <v>60546</v>
      </c>
      <c r="U117" s="30">
        <f>_xll.qlIndexFixing($M$5,R117,TRUE,InterestRatesTrigger)</f>
        <v>1.193015463418811E-2</v>
      </c>
      <c r="V117" s="78">
        <f>_xll.qlIndexFixing(Index,R117,TRUE,InterestRatesTrigger)</f>
        <v>1.1729788440496347E-2</v>
      </c>
      <c r="W117" s="30">
        <f t="shared" si="13"/>
        <v>-2.0036619369176271E-4</v>
      </c>
      <c r="X117" s="29">
        <f>_xll.qlDayCounterYearFraction(DayCounter,SettlementDate,S117,,,Trigger)</f>
        <v>50.233333333333334</v>
      </c>
      <c r="Y117" s="29">
        <f>_xll.qlDayCounterYearFraction(DayCounter,S117,T117)</f>
        <v>0.5083333333333333</v>
      </c>
      <c r="Z117" s="29">
        <f>IF($M$13,_xll.qlYieldTSDiscount(Currency&amp;"ON",S117)/(1+V117*Y117),1)</f>
        <v>1</v>
      </c>
      <c r="AA117" s="30">
        <f>_xll.qlTenorBasisValue(TenorBasis6M,S117,InterestRatesTrigger)</f>
        <v>2.4646963854141227E-4</v>
      </c>
      <c r="AB117" s="78">
        <f>AA117+U117</f>
        <v>1.2176624272729522E-2</v>
      </c>
      <c r="AC117" s="80">
        <f>AB117/V117</f>
        <v>1.038094108389074</v>
      </c>
    </row>
    <row r="118" spans="16:29" x14ac:dyDescent="0.2">
      <c r="P118" s="33">
        <v>6</v>
      </c>
      <c r="Q118" s="27" t="str">
        <f>_xll.qlPeriodEquivalent(Q117&amp;"+"&amp;P118&amp;"M")</f>
        <v>50Y</v>
      </c>
      <c r="R118" s="28">
        <f>_xll.qlCalendarAdvance(Calendar,SettlementDate,Q118,"f",,Trigger)</f>
        <v>60542</v>
      </c>
      <c r="S118" s="28">
        <f>_xll.qlInterestRateIndexValueDate(Index,R118,Trigger)</f>
        <v>60546</v>
      </c>
      <c r="T118" s="28">
        <f>_xll.qlInterestRateIndexMaturity(Index,S118,Trigger)</f>
        <v>60728</v>
      </c>
      <c r="U118" s="30">
        <f>_xll.qlIndexFixing($M$5,R118,TRUE,InterestRatesTrigger)</f>
        <v>1.2135033060470824E-2</v>
      </c>
      <c r="V118" s="78">
        <f>_xll.qlIndexFixing(Index,R118,TRUE,InterestRatesTrigger)</f>
        <v>1.1922581729015275E-2</v>
      </c>
      <c r="W118" s="30">
        <f t="shared" si="13"/>
        <v>-2.1245133145554942E-4</v>
      </c>
      <c r="X118" s="29">
        <f>_xll.qlDayCounterYearFraction(DayCounter,SettlementDate,S118,,,Trigger)</f>
        <v>50.741666666666667</v>
      </c>
      <c r="Y118" s="29">
        <f>_xll.qlDayCounterYearFraction(DayCounter,S118,T118)</f>
        <v>0.50555555555555554</v>
      </c>
      <c r="Z118" s="29">
        <f>IF($M$13,_xll.qlYieldTSDiscount(Currency&amp;"ON",S118)/(1+V118*Y118),1)</f>
        <v>1</v>
      </c>
      <c r="AA118" s="30">
        <f>_xll.qlTenorBasisValue(TenorBasis6M,S118,InterestRatesTrigger)</f>
        <v>2.4626099356918248E-4</v>
      </c>
      <c r="AB118" s="78">
        <f>AA118+U118</f>
        <v>1.2381294054040006E-2</v>
      </c>
      <c r="AC118" s="80">
        <f>AB118/V118</f>
        <v>1.0384742445428905</v>
      </c>
    </row>
    <row r="119" spans="16:29" x14ac:dyDescent="0.2">
      <c r="P119" s="33">
        <v>6</v>
      </c>
      <c r="Q119" s="27" t="str">
        <f>_xll.qlPeriodEquivalent(Q118&amp;"+"&amp;P119&amp;"M")</f>
        <v>50Y6M</v>
      </c>
      <c r="R119" s="28">
        <f>_xll.qlCalendarAdvance(Calendar,SettlementDate,Q119,"f",,Trigger)</f>
        <v>60724</v>
      </c>
      <c r="S119" s="28">
        <f>_xll.qlInterestRateIndexValueDate(Index,R119,Trigger)</f>
        <v>60728</v>
      </c>
      <c r="T119" s="28">
        <f>_xll.qlInterestRateIndexMaturity(Index,S119,Trigger)</f>
        <v>60911</v>
      </c>
      <c r="U119" s="30">
        <f>_xll.qlIndexFixing($M$5,R119,TRUE,InterestRatesTrigger)</f>
        <v>1.226299521252704E-2</v>
      </c>
      <c r="V119" s="78">
        <f>_xll.qlIndexFixing(Index,R119,TRUE,InterestRatesTrigger)</f>
        <v>1.2116901431104492E-2</v>
      </c>
      <c r="W119" s="30">
        <f t="shared" si="13"/>
        <v>-1.4609378142254811E-4</v>
      </c>
      <c r="X119" s="29">
        <f>_xll.qlDayCounterYearFraction(DayCounter,SettlementDate,S119,,,Trigger)</f>
        <v>51.24722222222222</v>
      </c>
      <c r="Y119" s="29">
        <f>_xll.qlDayCounterYearFraction(DayCounter,S119,T119)</f>
        <v>0.5083333333333333</v>
      </c>
      <c r="Z119" s="29">
        <f>IF($M$13,_xll.qlYieldTSDiscount(Currency&amp;"ON",S119)/(1+V119*Y119),1)</f>
        <v>1</v>
      </c>
      <c r="AA119" s="30">
        <f>_xll.qlTenorBasisValue(TenorBasis6M,S119,InterestRatesTrigger)</f>
        <v>2.4607144967431964E-4</v>
      </c>
      <c r="AB119" s="78">
        <f>AA119+U119</f>
        <v>1.2509066662201359E-2</v>
      </c>
      <c r="AC119" s="80">
        <f>AB119/V119</f>
        <v>1.0323651416434045</v>
      </c>
    </row>
    <row r="120" spans="16:29" x14ac:dyDescent="0.2">
      <c r="P120" s="33">
        <v>6</v>
      </c>
      <c r="Q120" s="27" t="str">
        <f>_xll.qlPeriodEquivalent(Q119&amp;"+"&amp;P120&amp;"M")</f>
        <v>51Y</v>
      </c>
      <c r="R120" s="28">
        <f>_xll.qlCalendarAdvance(Calendar,SettlementDate,Q120,"f",,Trigger)</f>
        <v>60909</v>
      </c>
      <c r="S120" s="28">
        <f>_xll.qlInterestRateIndexValueDate(Index,R120,Trigger)</f>
        <v>60911</v>
      </c>
      <c r="T120" s="28">
        <f>_xll.qlInterestRateIndexMaturity(Index,S120,Trigger)</f>
        <v>61093</v>
      </c>
      <c r="U120" s="30">
        <f>_xll.qlIndexFixing($M$5,R120,TRUE,InterestRatesTrigger)</f>
        <v>1.2386771496706771E-2</v>
      </c>
      <c r="V120" s="78">
        <f>_xll.qlIndexFixing(Index,R120,TRUE,InterestRatesTrigger)</f>
        <v>1.2304946736925343E-2</v>
      </c>
      <c r="W120" s="30">
        <f t="shared" si="13"/>
        <v>-8.1824759781428183E-5</v>
      </c>
      <c r="X120" s="29">
        <f>_xll.qlDayCounterYearFraction(DayCounter,SettlementDate,S120,,,Trigger)</f>
        <v>51.755555555555553</v>
      </c>
      <c r="Y120" s="29">
        <f>_xll.qlDayCounterYearFraction(DayCounter,S120,T120)</f>
        <v>0.50555555555555554</v>
      </c>
      <c r="Z120" s="29">
        <f>IF($M$13,_xll.qlYieldTSDiscount(Currency&amp;"ON",S120)/(1+V120*Y120),1)</f>
        <v>1</v>
      </c>
      <c r="AA120" s="30">
        <f>_xll.qlTenorBasisValue(TenorBasis6M,S120,InterestRatesTrigger)</f>
        <v>2.4589737938244258E-4</v>
      </c>
      <c r="AB120" s="78">
        <f>AA120+U120</f>
        <v>1.2632668876089213E-2</v>
      </c>
      <c r="AC120" s="80">
        <f>AB120/V120</f>
        <v>1.0266333651148951</v>
      </c>
    </row>
    <row r="121" spans="16:29" x14ac:dyDescent="0.2">
      <c r="P121" s="33">
        <v>6</v>
      </c>
      <c r="Q121" s="27" t="str">
        <f>_xll.qlPeriodEquivalent(Q120&amp;"+"&amp;P121&amp;"M")</f>
        <v>51Y6M</v>
      </c>
      <c r="R121" s="28">
        <f>_xll.qlCalendarAdvance(Calendar,SettlementDate,Q121,"f",,Trigger)</f>
        <v>61092</v>
      </c>
      <c r="S121" s="28">
        <f>_xll.qlInterestRateIndexValueDate(Index,R121,Trigger)</f>
        <v>61094</v>
      </c>
      <c r="T121" s="28">
        <f>_xll.qlInterestRateIndexMaturity(Index,S121,Trigger)</f>
        <v>61277</v>
      </c>
      <c r="U121" s="30">
        <f>_xll.qlIndexFixing($M$5,R121,TRUE,InterestRatesTrigger)</f>
        <v>1.2507513247077587E-2</v>
      </c>
      <c r="V121" s="78">
        <f>_xll.qlIndexFixing(Index,R121,TRUE,InterestRatesTrigger)</f>
        <v>1.2487998305445093E-2</v>
      </c>
      <c r="W121" s="30">
        <f t="shared" si="13"/>
        <v>-1.951494163249419E-5</v>
      </c>
      <c r="X121" s="29">
        <f>_xll.qlDayCounterYearFraction(DayCounter,SettlementDate,S121,,,Trigger)</f>
        <v>52.263888888888886</v>
      </c>
      <c r="Y121" s="29">
        <f>_xll.qlDayCounterYearFraction(DayCounter,S121,T121)</f>
        <v>0.5083333333333333</v>
      </c>
      <c r="Z121" s="29">
        <f>IF($M$13,_xll.qlYieldTSDiscount(Currency&amp;"ON",S121)/(1+V121*Y121),1)</f>
        <v>1</v>
      </c>
      <c r="AA121" s="30">
        <f>_xll.qlTenorBasisValue(TenorBasis6M,S121,InterestRatesTrigger)</f>
        <v>2.4573845096150166E-4</v>
      </c>
      <c r="AB121" s="78">
        <f>AA121+U121</f>
        <v>1.2753251698039089E-2</v>
      </c>
      <c r="AC121" s="80">
        <f>AB121/V121</f>
        <v>1.0212406653257102</v>
      </c>
    </row>
    <row r="122" spans="16:29" x14ac:dyDescent="0.2">
      <c r="P122" s="33">
        <v>6</v>
      </c>
      <c r="Q122" s="27" t="str">
        <f>_xll.qlPeriodEquivalent(Q121&amp;"+"&amp;P122&amp;"M")</f>
        <v>52Y</v>
      </c>
      <c r="R122" s="28">
        <f>_xll.qlCalendarAdvance(Calendar,SettlementDate,Q122,"f",,Trigger)</f>
        <v>61273</v>
      </c>
      <c r="S122" s="28">
        <f>_xll.qlInterestRateIndexValueDate(Index,R122,Trigger)</f>
        <v>61275</v>
      </c>
      <c r="T122" s="28">
        <f>_xll.qlInterestRateIndexMaturity(Index,S122,Trigger)</f>
        <v>61458</v>
      </c>
      <c r="U122" s="30">
        <f>_xll.qlIndexFixing($M$5,R122,TRUE,InterestRatesTrigger)</f>
        <v>1.2622014513678659E-2</v>
      </c>
      <c r="V122" s="78">
        <f>_xll.qlIndexFixing(Index,R122,TRUE,InterestRatesTrigger)</f>
        <v>1.2661519008481042E-2</v>
      </c>
      <c r="W122" s="30">
        <f t="shared" si="13"/>
        <v>3.9504494802382328E-5</v>
      </c>
      <c r="X122" s="29">
        <f>_xll.qlDayCounterYearFraction(DayCounter,SettlementDate,S122,,,Trigger)</f>
        <v>52.766666666666666</v>
      </c>
      <c r="Y122" s="29">
        <f>_xll.qlDayCounterYearFraction(DayCounter,S122,T122)</f>
        <v>0.5083333333333333</v>
      </c>
      <c r="Z122" s="29">
        <f>IF($M$13,_xll.qlYieldTSDiscount(Currency&amp;"ON",S122)/(1+V122*Y122),1)</f>
        <v>1</v>
      </c>
      <c r="AA122" s="30">
        <f>_xll.qlTenorBasisValue(TenorBasis6M,S122,InterestRatesTrigger)</f>
        <v>2.4559487846037109E-4</v>
      </c>
      <c r="AB122" s="78">
        <f>AA122+U122</f>
        <v>1.286760939213903E-2</v>
      </c>
      <c r="AC122" s="80">
        <f>AB122/V122</f>
        <v>1.0162769082856442</v>
      </c>
    </row>
    <row r="123" spans="16:29" x14ac:dyDescent="0.2">
      <c r="P123" s="33">
        <v>6</v>
      </c>
      <c r="Q123" s="27" t="str">
        <f>_xll.qlPeriodEquivalent(Q122&amp;"+"&amp;P123&amp;"M")</f>
        <v>52Y6M</v>
      </c>
      <c r="R123" s="28">
        <f>_xll.qlCalendarAdvance(Calendar,SettlementDate,Q123,"f",,Trigger)</f>
        <v>61455</v>
      </c>
      <c r="S123" s="28">
        <f>_xll.qlInterestRateIndexValueDate(Index,R123,Trigger)</f>
        <v>61457</v>
      </c>
      <c r="T123" s="28">
        <f>_xll.qlInterestRateIndexMaturity(Index,S123,Trigger)</f>
        <v>61640</v>
      </c>
      <c r="U123" s="30">
        <f>_xll.qlIndexFixing($M$5,R123,TRUE,InterestRatesTrigger)</f>
        <v>1.2732429340635357E-2</v>
      </c>
      <c r="V123" s="78">
        <f>_xll.qlIndexFixing(Index,R123,TRUE,InterestRatesTrigger)</f>
        <v>1.2828648226013515E-2</v>
      </c>
      <c r="W123" s="30">
        <f t="shared" si="13"/>
        <v>9.6218885378158286E-5</v>
      </c>
      <c r="X123" s="29">
        <f>_xll.qlDayCounterYearFraction(DayCounter,SettlementDate,S123,,,Trigger)</f>
        <v>53.272222222222226</v>
      </c>
      <c r="Y123" s="29">
        <f>_xll.qlDayCounterYearFraction(DayCounter,S123,T123)</f>
        <v>0.5083333333333333</v>
      </c>
      <c r="Z123" s="29">
        <f>IF($M$13,_xll.qlYieldTSDiscount(Currency&amp;"ON",S123)/(1+V123*Y123),1)</f>
        <v>1</v>
      </c>
      <c r="AA123" s="30">
        <f>_xll.qlTenorBasisValue(TenorBasis6M,S123,InterestRatesTrigger)</f>
        <v>2.4546300023639052E-4</v>
      </c>
      <c r="AB123" s="78">
        <f>AA123+U123</f>
        <v>1.2977892340871747E-2</v>
      </c>
      <c r="AC123" s="80">
        <f>AB123/V123</f>
        <v>1.0116336586855348</v>
      </c>
    </row>
    <row r="124" spans="16:29" x14ac:dyDescent="0.2">
      <c r="P124" s="33">
        <v>6</v>
      </c>
      <c r="Q124" s="27" t="str">
        <f>_xll.qlPeriodEquivalent(Q123&amp;"+"&amp;P124&amp;"M")</f>
        <v>53Y</v>
      </c>
      <c r="R124" s="28">
        <f>_xll.qlCalendarAdvance(Calendar,SettlementDate,Q124,"f",,Trigger)</f>
        <v>61638</v>
      </c>
      <c r="S124" s="28">
        <f>_xll.qlInterestRateIndexValueDate(Index,R124,Trigger)</f>
        <v>61640</v>
      </c>
      <c r="T124" s="28">
        <f>_xll.qlInterestRateIndexMaturity(Index,S124,Trigger)</f>
        <v>61822</v>
      </c>
      <c r="U124" s="30">
        <f>_xll.qlIndexFixing($M$5,R124,TRUE,InterestRatesTrigger)</f>
        <v>1.2837842954340688E-2</v>
      </c>
      <c r="V124" s="78">
        <f>_xll.qlIndexFixing(Index,R124,TRUE,InterestRatesTrigger)</f>
        <v>1.2988095363070974E-2</v>
      </c>
      <c r="W124" s="30">
        <f t="shared" si="13"/>
        <v>1.5025240873028575E-4</v>
      </c>
      <c r="X124" s="29">
        <f>_xll.qlDayCounterYearFraction(DayCounter,SettlementDate,S124,,,Trigger)</f>
        <v>53.780555555555559</v>
      </c>
      <c r="Y124" s="29">
        <f>_xll.qlDayCounterYearFraction(DayCounter,S124,T124)</f>
        <v>0.50555555555555554</v>
      </c>
      <c r="Z124" s="29">
        <f>IF($M$13,_xll.qlYieldTSDiscount(Currency&amp;"ON",S124)/(1+V124*Y124),1)</f>
        <v>1</v>
      </c>
      <c r="AA124" s="30">
        <f>_xll.qlTenorBasisValue(TenorBasis6M,S124,InterestRatesTrigger)</f>
        <v>2.4534194047652597E-4</v>
      </c>
      <c r="AB124" s="78">
        <f>AA124+U124</f>
        <v>1.3083184894817215E-2</v>
      </c>
      <c r="AC124" s="80">
        <f>AB124/V124</f>
        <v>1.0073212837670262</v>
      </c>
    </row>
    <row r="125" spans="16:29" x14ac:dyDescent="0.2">
      <c r="P125" s="33">
        <v>6</v>
      </c>
      <c r="Q125" s="27" t="str">
        <f>_xll.qlPeriodEquivalent(Q124&amp;"+"&amp;P125&amp;"M")</f>
        <v>53Y6M</v>
      </c>
      <c r="R125" s="28">
        <f>_xll.qlCalendarAdvance(Calendar,SettlementDate,Q125,"f",,Trigger)</f>
        <v>61820</v>
      </c>
      <c r="S125" s="28">
        <f>_xll.qlInterestRateIndexValueDate(Index,R125,Trigger)</f>
        <v>61822</v>
      </c>
      <c r="T125" s="28">
        <f>_xll.qlInterestRateIndexMaturity(Index,S125,Trigger)</f>
        <v>62005</v>
      </c>
      <c r="U125" s="30">
        <f>_xll.qlIndexFixing($M$5,R125,TRUE,InterestRatesTrigger)</f>
        <v>1.2938294430427114E-2</v>
      </c>
      <c r="V125" s="78">
        <f>_xll.qlIndexFixing(Index,R125,TRUE,InterestRatesTrigger)</f>
        <v>1.3139567535821335E-2</v>
      </c>
      <c r="W125" s="30">
        <f t="shared" si="13"/>
        <v>2.0127310539422121E-4</v>
      </c>
      <c r="X125" s="29">
        <f>_xll.qlDayCounterYearFraction(DayCounter,SettlementDate,S125,,,Trigger)</f>
        <v>54.286111111111111</v>
      </c>
      <c r="Y125" s="29">
        <f>_xll.qlDayCounterYearFraction(DayCounter,S125,T125)</f>
        <v>0.5083333333333333</v>
      </c>
      <c r="Z125" s="29">
        <f>IF($M$13,_xll.qlYieldTSDiscount(Currency&amp;"ON",S125)/(1+V125*Y125),1)</f>
        <v>1</v>
      </c>
      <c r="AA125" s="30">
        <f>_xll.qlTenorBasisValue(TenorBasis6M,S125,InterestRatesTrigger)</f>
        <v>2.4523203504839519E-4</v>
      </c>
      <c r="AB125" s="78">
        <f>AA125+U125</f>
        <v>1.3183526465475508E-2</v>
      </c>
      <c r="AC125" s="80">
        <f>AB125/V125</f>
        <v>1.0033455385448822</v>
      </c>
    </row>
    <row r="126" spans="16:29" x14ac:dyDescent="0.2">
      <c r="P126" s="33">
        <v>6</v>
      </c>
      <c r="Q126" s="27" t="str">
        <f>_xll.qlPeriodEquivalent(Q125&amp;"+"&amp;P126&amp;"M")</f>
        <v>54Y</v>
      </c>
      <c r="R126" s="28">
        <f>_xll.qlCalendarAdvance(Calendar,SettlementDate,Q126,"f",,Trigger)</f>
        <v>62003</v>
      </c>
      <c r="S126" s="28">
        <f>_xll.qlInterestRateIndexValueDate(Index,R126,Trigger)</f>
        <v>62005</v>
      </c>
      <c r="T126" s="28">
        <f>_xll.qlInterestRateIndexMaturity(Index,S126,Trigger)</f>
        <v>62187</v>
      </c>
      <c r="U126" s="30">
        <f>_xll.qlIndexFixing($M$5,R126,TRUE,InterestRatesTrigger)</f>
        <v>1.3032544588136883E-2</v>
      </c>
      <c r="V126" s="78">
        <f>_xll.qlIndexFixing(Index,R126,TRUE,InterestRatesTrigger)</f>
        <v>1.3281621641087208E-2</v>
      </c>
      <c r="W126" s="30">
        <f t="shared" si="13"/>
        <v>2.4907705295032501E-4</v>
      </c>
      <c r="X126" s="29">
        <f>_xll.qlDayCounterYearFraction(DayCounter,SettlementDate,S126,,,Trigger)</f>
        <v>54.794444444444444</v>
      </c>
      <c r="Y126" s="29">
        <f>_xll.qlDayCounterYearFraction(DayCounter,S126,T126)</f>
        <v>0.50555555555555554</v>
      </c>
      <c r="Z126" s="29">
        <f>IF($M$13,_xll.qlYieldTSDiscount(Currency&amp;"ON",S126)/(1+V126*Y126),1)</f>
        <v>1</v>
      </c>
      <c r="AA126" s="30">
        <f>_xll.qlTenorBasisValue(TenorBasis6M,S126,InterestRatesTrigger)</f>
        <v>2.4513116614325838E-4</v>
      </c>
      <c r="AB126" s="78">
        <f>AA126+U126</f>
        <v>1.3277675754280141E-2</v>
      </c>
      <c r="AC126" s="80">
        <f>AB126/V126</f>
        <v>0.99970290624791924</v>
      </c>
    </row>
    <row r="127" spans="16:29" x14ac:dyDescent="0.2">
      <c r="P127" s="33">
        <v>6</v>
      </c>
      <c r="Q127" s="27" t="str">
        <f>_xll.qlPeriodEquivalent(Q126&amp;"+"&amp;P127&amp;"M")</f>
        <v>54Y6M</v>
      </c>
      <c r="R127" s="28">
        <f>_xll.qlCalendarAdvance(Calendar,SettlementDate,Q127,"f",,Trigger)</f>
        <v>62185</v>
      </c>
      <c r="S127" s="28">
        <f>_xll.qlInterestRateIndexValueDate(Index,R127,Trigger)</f>
        <v>62187</v>
      </c>
      <c r="T127" s="28">
        <f>_xll.qlInterestRateIndexMaturity(Index,S127,Trigger)</f>
        <v>62372</v>
      </c>
      <c r="U127" s="30">
        <f>_xll.qlIndexFixing($M$5,R127,TRUE,InterestRatesTrigger)</f>
        <v>1.3122126865754185E-2</v>
      </c>
      <c r="V127" s="78">
        <f>_xll.qlIndexFixing(Index,R127,TRUE,InterestRatesTrigger)</f>
        <v>1.3415885243184496E-2</v>
      </c>
      <c r="W127" s="30">
        <f t="shared" si="13"/>
        <v>2.9375837743031083E-4</v>
      </c>
      <c r="X127" s="29">
        <f>_xll.qlDayCounterYearFraction(DayCounter,SettlementDate,S127,,,Trigger)</f>
        <v>55.3</v>
      </c>
      <c r="Y127" s="29">
        <f>_xll.qlDayCounterYearFraction(DayCounter,S127,T127)</f>
        <v>0.51388888888888884</v>
      </c>
      <c r="Z127" s="29">
        <f>IF($M$13,_xll.qlYieldTSDiscount(Currency&amp;"ON",S127)/(1+V127*Y127),1)</f>
        <v>1</v>
      </c>
      <c r="AA127" s="30">
        <f>_xll.qlTenorBasisValue(TenorBasis6M,S127,InterestRatesTrigger)</f>
        <v>2.4503960950605008E-4</v>
      </c>
      <c r="AB127" s="78">
        <f>AA127+U127</f>
        <v>1.3367166475260235E-2</v>
      </c>
      <c r="AC127" s="80">
        <f>AB127/V127</f>
        <v>0.99636857597980644</v>
      </c>
    </row>
    <row r="128" spans="16:29" x14ac:dyDescent="0.2">
      <c r="P128" s="33">
        <v>6</v>
      </c>
      <c r="Q128" s="27" t="str">
        <f>_xll.qlPeriodEquivalent(Q127&amp;"+"&amp;P128&amp;"M")</f>
        <v>55Y</v>
      </c>
      <c r="R128" s="28">
        <f>_xll.qlCalendarAdvance(Calendar,SettlementDate,Q128,"f",,Trigger)</f>
        <v>62368</v>
      </c>
      <c r="S128" s="28">
        <f>_xll.qlInterestRateIndexValueDate(Index,R128,Trigger)</f>
        <v>62372</v>
      </c>
      <c r="T128" s="28">
        <f>_xll.qlInterestRateIndexMaturity(Index,S128,Trigger)</f>
        <v>62554</v>
      </c>
      <c r="U128" s="30">
        <f>_xll.qlIndexFixing($M$5,R128,TRUE,InterestRatesTrigger)</f>
        <v>1.3203822880667362E-2</v>
      </c>
      <c r="V128" s="78">
        <f>_xll.qlIndexFixing(Index,R128,TRUE,InterestRatesTrigger)</f>
        <v>1.353859338794537E-2</v>
      </c>
      <c r="W128" s="30">
        <f t="shared" si="13"/>
        <v>3.3477050727800765E-4</v>
      </c>
      <c r="X128" s="29">
        <f>_xll.qlDayCounterYearFraction(DayCounter,SettlementDate,S128,,,Trigger)</f>
        <v>55.81388888888889</v>
      </c>
      <c r="Y128" s="29">
        <f>_xll.qlDayCounterYearFraction(DayCounter,S128,T128)</f>
        <v>0.50555555555555554</v>
      </c>
      <c r="Z128" s="29">
        <f>IF($M$13,_xll.qlYieldTSDiscount(Currency&amp;"ON",S128)/(1+V128*Y128),1)</f>
        <v>1</v>
      </c>
      <c r="AA128" s="30">
        <f>_xll.qlTenorBasisValue(TenorBasis6M,S128,InterestRatesTrigger)</f>
        <v>2.449547209665636E-4</v>
      </c>
      <c r="AB128" s="78">
        <f>AA128+U128</f>
        <v>1.3448777601633925E-2</v>
      </c>
      <c r="AC128" s="80">
        <f>AB128/V128</f>
        <v>0.99336594402846778</v>
      </c>
    </row>
    <row r="129" spans="16:29" x14ac:dyDescent="0.2">
      <c r="P129" s="33">
        <v>6</v>
      </c>
      <c r="Q129" s="27" t="str">
        <f>_xll.qlPeriodEquivalent(Q128&amp;"+"&amp;P129&amp;"M")</f>
        <v>55Y6M</v>
      </c>
      <c r="R129" s="28">
        <f>_xll.qlCalendarAdvance(Calendar,SettlementDate,Q129,"f",,Trigger)</f>
        <v>62550</v>
      </c>
      <c r="S129" s="28">
        <f>_xll.qlInterestRateIndexValueDate(Index,R129,Trigger)</f>
        <v>62554</v>
      </c>
      <c r="T129" s="28">
        <f>_xll.qlInterestRateIndexMaturity(Index,S129,Trigger)</f>
        <v>62737</v>
      </c>
      <c r="U129" s="30">
        <f>_xll.qlIndexFixing($M$5,R129,TRUE,InterestRatesTrigger)</f>
        <v>1.3279267668716985E-2</v>
      </c>
      <c r="V129" s="78">
        <f>_xll.qlIndexFixing(Index,R129,TRUE,InterestRatesTrigger)</f>
        <v>1.3651095727793513E-2</v>
      </c>
      <c r="W129" s="30">
        <f t="shared" si="13"/>
        <v>3.7182805907652779E-4</v>
      </c>
      <c r="X129" s="29">
        <f>_xll.qlDayCounterYearFraction(DayCounter,SettlementDate,S129,,,Trigger)</f>
        <v>56.319444444444443</v>
      </c>
      <c r="Y129" s="29">
        <f>_xll.qlDayCounterYearFraction(DayCounter,S129,T129)</f>
        <v>0.5083333333333333</v>
      </c>
      <c r="Z129" s="29">
        <f>IF($M$13,_xll.qlYieldTSDiscount(Currency&amp;"ON",S129)/(1+V129*Y129),1)</f>
        <v>1</v>
      </c>
      <c r="AA129" s="30">
        <f>_xll.qlTenorBasisValue(TenorBasis6M,S129,InterestRatesTrigger)</f>
        <v>2.4487855587885827E-4</v>
      </c>
      <c r="AB129" s="78">
        <f>AA129+U129</f>
        <v>1.3524146224595844E-2</v>
      </c>
      <c r="AC129" s="80">
        <f>AB129/V129</f>
        <v>0.99070041660178232</v>
      </c>
    </row>
    <row r="130" spans="16:29" x14ac:dyDescent="0.2">
      <c r="P130" s="33">
        <v>6</v>
      </c>
      <c r="Q130" s="27" t="str">
        <f>_xll.qlPeriodEquivalent(Q129&amp;"+"&amp;P130&amp;"M")</f>
        <v>56Y</v>
      </c>
      <c r="R130" s="28">
        <f>_xll.qlCalendarAdvance(Calendar,SettlementDate,Q130,"f",,Trigger)</f>
        <v>62733</v>
      </c>
      <c r="S130" s="28">
        <f>_xll.qlInterestRateIndexValueDate(Index,R130,Trigger)</f>
        <v>62737</v>
      </c>
      <c r="T130" s="28">
        <f>_xll.qlInterestRateIndexMaturity(Index,S130,Trigger)</f>
        <v>62920</v>
      </c>
      <c r="U130" s="30">
        <f>_xll.qlIndexFixing($M$5,R130,TRUE,InterestRatesTrigger)</f>
        <v>1.334758917882582E-2</v>
      </c>
      <c r="V130" s="78">
        <f>_xll.qlIndexFixing(Index,R130,TRUE,InterestRatesTrigger)</f>
        <v>1.3752604224879011E-2</v>
      </c>
      <c r="W130" s="30">
        <f t="shared" si="13"/>
        <v>4.0501504605319066E-4</v>
      </c>
      <c r="X130" s="29">
        <f>_xll.qlDayCounterYearFraction(DayCounter,SettlementDate,S130,,,Trigger)</f>
        <v>56.827777777777776</v>
      </c>
      <c r="Y130" s="29">
        <f>_xll.qlDayCounterYearFraction(DayCounter,S130,T130)</f>
        <v>0.5083333333333333</v>
      </c>
      <c r="Z130" s="29">
        <f>IF($M$13,_xll.qlYieldTSDiscount(Currency&amp;"ON",S130)/(1+V130*Y130),1)</f>
        <v>1</v>
      </c>
      <c r="AA130" s="30">
        <f>_xll.qlTenorBasisValue(TenorBasis6M,S130,InterestRatesTrigger)</f>
        <v>2.4480868008130394E-4</v>
      </c>
      <c r="AB130" s="78">
        <f>AA130+U130</f>
        <v>1.3592397858907125E-2</v>
      </c>
      <c r="AC130" s="80">
        <f>AB130/V130</f>
        <v>0.98835083426002568</v>
      </c>
    </row>
    <row r="131" spans="16:29" x14ac:dyDescent="0.2">
      <c r="P131" s="33">
        <v>6</v>
      </c>
      <c r="Q131" s="27" t="str">
        <f>_xll.qlPeriodEquivalent(Q130&amp;"+"&amp;P131&amp;"M")</f>
        <v>56Y6M</v>
      </c>
      <c r="R131" s="28">
        <f>_xll.qlCalendarAdvance(Calendar,SettlementDate,Q131,"f",,Trigger)</f>
        <v>62918</v>
      </c>
      <c r="S131" s="28">
        <f>_xll.qlInterestRateIndexValueDate(Index,R131,Trigger)</f>
        <v>62920</v>
      </c>
      <c r="T131" s="28">
        <f>_xll.qlInterestRateIndexMaturity(Index,S131,Trigger)</f>
        <v>63103</v>
      </c>
      <c r="U131" s="30">
        <f>_xll.qlIndexFixing($M$5,R131,TRUE,InterestRatesTrigger)</f>
        <v>1.3408479063841419E-2</v>
      </c>
      <c r="V131" s="78">
        <f>_xll.qlIndexFixing(Index,R131,TRUE,InterestRatesTrigger)</f>
        <v>1.3842528577536544E-2</v>
      </c>
      <c r="W131" s="30">
        <f t="shared" si="13"/>
        <v>4.3404951369512522E-4</v>
      </c>
      <c r="X131" s="29">
        <f>_xll.qlDayCounterYearFraction(DayCounter,SettlementDate,S131,,,Trigger)</f>
        <v>57.336111111111109</v>
      </c>
      <c r="Y131" s="29">
        <f>_xll.qlDayCounterYearFraction(DayCounter,S131,T131)</f>
        <v>0.5083333333333333</v>
      </c>
      <c r="Z131" s="29">
        <f>IF($M$13,_xll.qlYieldTSDiscount(Currency&amp;"ON",S131)/(1+V131*Y131),1)</f>
        <v>1</v>
      </c>
      <c r="AA131" s="30">
        <f>_xll.qlTenorBasisValue(TenorBasis6M,S131,InterestRatesTrigger)</f>
        <v>2.4474494665066175E-4</v>
      </c>
      <c r="AB131" s="78">
        <f>AA131+U131</f>
        <v>1.3653224010492081E-2</v>
      </c>
      <c r="AC131" s="80">
        <f>AB131/V131</f>
        <v>0.98632442288386069</v>
      </c>
    </row>
    <row r="132" spans="16:29" x14ac:dyDescent="0.2">
      <c r="P132" s="33">
        <v>6</v>
      </c>
      <c r="Q132" s="27" t="str">
        <f>_xll.qlPeriodEquivalent(Q131&amp;"+"&amp;P132&amp;"M")</f>
        <v>57Y</v>
      </c>
      <c r="R132" s="28">
        <f>_xll.qlCalendarAdvance(Calendar,SettlementDate,Q132,"f",,Trigger)</f>
        <v>63100</v>
      </c>
      <c r="S132" s="28">
        <f>_xll.qlInterestRateIndexValueDate(Index,R132,Trigger)</f>
        <v>63102</v>
      </c>
      <c r="T132" s="28">
        <f>_xll.qlInterestRateIndexMaturity(Index,S132,Trigger)</f>
        <v>63284</v>
      </c>
      <c r="U132" s="30">
        <f>_xll.qlIndexFixing($M$5,R132,TRUE,InterestRatesTrigger)</f>
        <v>1.3460955490622433E-2</v>
      </c>
      <c r="V132" s="78">
        <f>_xll.qlIndexFixing(Index,R132,TRUE,InterestRatesTrigger)</f>
        <v>1.3919501520529126E-2</v>
      </c>
      <c r="W132" s="30">
        <f t="shared" ref="W132:W135" si="14">V132-U132</f>
        <v>4.5854602990669235E-4</v>
      </c>
      <c r="X132" s="29">
        <f>_xll.qlDayCounterYearFraction(DayCounter,SettlementDate,S132,,,Trigger)</f>
        <v>57.841666666666669</v>
      </c>
      <c r="Y132" s="29">
        <f>_xll.qlDayCounterYearFraction(DayCounter,S132,T132)</f>
        <v>0.50555555555555554</v>
      </c>
      <c r="Z132" s="29">
        <f>IF($M$13,_xll.qlYieldTSDiscount(Currency&amp;"ON",S132)/(1+V132*Y132),1)</f>
        <v>1</v>
      </c>
      <c r="AA132" s="30">
        <f>_xll.qlTenorBasisValue(TenorBasis6M,S132,InterestRatesTrigger)</f>
        <v>2.4468712418596853E-4</v>
      </c>
      <c r="AB132" s="78">
        <f>AA132+U132</f>
        <v>1.3705642614808403E-2</v>
      </c>
      <c r="AC132" s="80">
        <f>AB132/V132</f>
        <v>0.98463602267614869</v>
      </c>
    </row>
    <row r="133" spans="16:29" x14ac:dyDescent="0.2">
      <c r="P133" s="33">
        <v>6</v>
      </c>
      <c r="Q133" s="27" t="str">
        <f>_xll.qlPeriodEquivalent(Q132&amp;"+"&amp;P133&amp;"M")</f>
        <v>57Y6M</v>
      </c>
      <c r="R133" s="28">
        <f>_xll.qlCalendarAdvance(Calendar,SettlementDate,Q133,"f",,Trigger)</f>
        <v>63282</v>
      </c>
      <c r="S133" s="28">
        <f>_xll.qlInterestRateIndexValueDate(Index,R133,Trigger)</f>
        <v>63284</v>
      </c>
      <c r="T133" s="28">
        <f>_xll.qlInterestRateIndexMaturity(Index,S133,Trigger)</f>
        <v>63467</v>
      </c>
      <c r="U133" s="30">
        <f>_xll.qlIndexFixing($M$5,R133,TRUE,InterestRatesTrigger)</f>
        <v>1.3506191211679274E-2</v>
      </c>
      <c r="V133" s="78">
        <f>_xll.qlIndexFixing(Index,R133,TRUE,InterestRatesTrigger)</f>
        <v>1.3984913573754898E-2</v>
      </c>
      <c r="W133" s="30">
        <f t="shared" si="14"/>
        <v>4.7872236207562383E-4</v>
      </c>
      <c r="X133" s="29">
        <f>_xll.qlDayCounterYearFraction(DayCounter,SettlementDate,S133,,,Trigger)</f>
        <v>58.347222222222221</v>
      </c>
      <c r="Y133" s="29">
        <f>_xll.qlDayCounterYearFraction(DayCounter,S133,T133)</f>
        <v>0.5083333333333333</v>
      </c>
      <c r="Z133" s="29">
        <f>IF($M$13,_xll.qlYieldTSDiscount(Currency&amp;"ON",S133)/(1+V133*Y133),1)</f>
        <v>1</v>
      </c>
      <c r="AA133" s="30">
        <f>_xll.qlTenorBasisValue(TenorBasis6M,S133,InterestRatesTrigger)</f>
        <v>2.4463436738571731E-4</v>
      </c>
      <c r="AB133" s="78">
        <f>AA133+U133</f>
        <v>1.3750825579064992E-2</v>
      </c>
      <c r="AC133" s="80">
        <f>AB133/V133</f>
        <v>0.98326139139470892</v>
      </c>
    </row>
    <row r="134" spans="16:29" x14ac:dyDescent="0.2">
      <c r="P134" s="33">
        <v>6</v>
      </c>
      <c r="Q134" s="27" t="str">
        <f>_xll.qlPeriodEquivalent(Q133&amp;"+"&amp;P134&amp;"M")</f>
        <v>58Y</v>
      </c>
      <c r="R134" s="28">
        <f>_xll.qlCalendarAdvance(Calendar,SettlementDate,Q134,"f",,Trigger)</f>
        <v>63464</v>
      </c>
      <c r="S134" s="28">
        <f>_xll.qlInterestRateIndexValueDate(Index,R134,Trigger)</f>
        <v>63466</v>
      </c>
      <c r="T134" s="28">
        <f>_xll.qlInterestRateIndexMaturity(Index,S134,Trigger)</f>
        <v>63648</v>
      </c>
      <c r="U134" s="30">
        <f>_xll.qlIndexFixing($M$5,R134,TRUE,InterestRatesTrigger)</f>
        <v>1.3542376091253758E-2</v>
      </c>
      <c r="V134" s="78">
        <f>_xll.qlIndexFixing(Index,R134,TRUE,InterestRatesTrigger)</f>
        <v>1.4036489107383905E-2</v>
      </c>
      <c r="W134" s="30">
        <f t="shared" si="14"/>
        <v>4.9411301613014671E-4</v>
      </c>
      <c r="X134" s="29">
        <f>_xll.qlDayCounterYearFraction(DayCounter,SettlementDate,S134,,,Trigger)</f>
        <v>58.852777777777774</v>
      </c>
      <c r="Y134" s="29">
        <f>_xll.qlDayCounterYearFraction(DayCounter,S134,T134)</f>
        <v>0.50555555555555554</v>
      </c>
      <c r="Z134" s="29">
        <f>IF($M$13,_xll.qlYieldTSDiscount(Currency&amp;"ON",S134)/(1+V134*Y134),1)</f>
        <v>1</v>
      </c>
      <c r="AA134" s="30">
        <f>_xll.qlTenorBasisValue(TenorBasis6M,S134,InterestRatesTrigger)</f>
        <v>2.4458623659975328E-4</v>
      </c>
      <c r="AB134" s="78">
        <f>AA134+U134</f>
        <v>1.3786962327853512E-2</v>
      </c>
      <c r="AC134" s="80">
        <f>AB134/V134</f>
        <v>0.98222299197317586</v>
      </c>
    </row>
    <row r="135" spans="16:29" x14ac:dyDescent="0.2">
      <c r="P135" s="33">
        <v>6</v>
      </c>
      <c r="Q135" s="27" t="str">
        <f>_xll.qlPeriodEquivalent(Q134&amp;"+"&amp;P135&amp;"M")</f>
        <v>58Y6M</v>
      </c>
      <c r="R135" s="31">
        <f>_xll.qlCalendarAdvance(Calendar,SettlementDate,Q135,"f",,Trigger)</f>
        <v>63646</v>
      </c>
      <c r="S135" s="31">
        <f>_xll.qlInterestRateIndexValueDate(Index,R135,Trigger)</f>
        <v>63648</v>
      </c>
      <c r="T135" s="31">
        <f>_xll.qlInterestRateIndexMaturity(Index,S135,Trigger)</f>
        <v>63831</v>
      </c>
      <c r="U135" s="32">
        <f>_xll.qlIndexFixing($M$5,R135,TRUE,InterestRatesTrigger)</f>
        <v>1.3570582548588766E-2</v>
      </c>
      <c r="V135" s="79">
        <f>_xll.qlIndexFixing(Index,R135,TRUE,InterestRatesTrigger)</f>
        <v>1.407535239859794E-2</v>
      </c>
      <c r="W135" s="32">
        <f t="shared" si="14"/>
        <v>5.0476985000917456E-4</v>
      </c>
      <c r="X135" s="74">
        <f>_xll.qlDayCounterYearFraction(DayCounter,SettlementDate,S135,,,Trigger)</f>
        <v>59.358333333333334</v>
      </c>
      <c r="Y135" s="74">
        <f>_xll.qlDayCounterYearFraction(DayCounter,S135,T135)</f>
        <v>0.5083333333333333</v>
      </c>
      <c r="Z135" s="74">
        <f>IF($M$13,_xll.qlYieldTSDiscount(Currency&amp;"ON",S135)/(1+V135*Y135),1)</f>
        <v>1</v>
      </c>
      <c r="AA135" s="32">
        <f>_xll.qlTenorBasisValue(TenorBasis6M,S135,InterestRatesTrigger)</f>
        <v>2.4454232989928491E-4</v>
      </c>
      <c r="AB135" s="79">
        <f>AA135+U135</f>
        <v>1.3815124878488051E-2</v>
      </c>
      <c r="AC135" s="81">
        <f>AB135/V135</f>
        <v>0.98151182913645485</v>
      </c>
    </row>
    <row r="136" spans="16:29" x14ac:dyDescent="0.2">
      <c r="Q136" s="37"/>
      <c r="R136" s="38"/>
      <c r="S136" s="38"/>
      <c r="T136" s="38"/>
      <c r="U136" s="39"/>
      <c r="V136" s="39"/>
      <c r="W136" s="39"/>
      <c r="X136" s="36"/>
      <c r="Y136" s="36"/>
      <c r="Z136" s="36"/>
      <c r="AA136" s="36"/>
      <c r="AB136" s="36"/>
      <c r="AC136" s="36"/>
    </row>
    <row r="137" spans="16:29" x14ac:dyDescent="0.2">
      <c r="Q137" s="36"/>
      <c r="R137" s="40"/>
      <c r="S137" s="40"/>
      <c r="T137" s="40"/>
      <c r="U137" s="41"/>
      <c r="V137" s="41"/>
      <c r="W137" s="41"/>
      <c r="X137" s="36"/>
      <c r="Y137" s="36"/>
      <c r="Z137" s="36"/>
      <c r="AA137" s="36"/>
      <c r="AB137" s="36"/>
      <c r="AC137" s="36"/>
    </row>
    <row r="138" spans="16:29" x14ac:dyDescent="0.2">
      <c r="Q138" s="36"/>
      <c r="R138" s="40"/>
      <c r="S138" s="40"/>
      <c r="T138" s="40"/>
      <c r="U138" s="41"/>
      <c r="V138" s="41"/>
      <c r="W138" s="41"/>
      <c r="X138" s="36"/>
      <c r="Y138" s="36"/>
      <c r="Z138" s="36"/>
      <c r="AA138" s="36"/>
      <c r="AB138" s="36"/>
      <c r="AC138" s="36"/>
    </row>
    <row r="139" spans="16:29" x14ac:dyDescent="0.2">
      <c r="Q139" s="36"/>
      <c r="R139" s="40"/>
      <c r="S139" s="40"/>
      <c r="T139" s="40"/>
      <c r="U139" s="41"/>
      <c r="V139" s="41"/>
      <c r="W139" s="41"/>
      <c r="X139" s="36"/>
      <c r="Y139" s="36"/>
      <c r="Z139" s="36"/>
      <c r="AA139" s="36"/>
      <c r="AB139" s="36"/>
      <c r="AC139" s="36"/>
    </row>
    <row r="140" spans="16:29" x14ac:dyDescent="0.2">
      <c r="Q140" s="36"/>
      <c r="R140" s="40"/>
      <c r="S140" s="40"/>
      <c r="T140" s="40"/>
      <c r="U140" s="41"/>
      <c r="V140" s="41"/>
      <c r="W140" s="41"/>
      <c r="X140" s="36"/>
      <c r="Y140" s="36"/>
      <c r="Z140" s="36"/>
      <c r="AA140" s="36"/>
      <c r="AB140" s="36"/>
      <c r="AC140" s="36"/>
    </row>
    <row r="141" spans="16:29" x14ac:dyDescent="0.2">
      <c r="Q141" s="36"/>
      <c r="R141" s="40"/>
      <c r="S141" s="40"/>
      <c r="T141" s="40"/>
      <c r="U141" s="41"/>
      <c r="V141" s="41"/>
      <c r="W141" s="41"/>
      <c r="X141" s="36"/>
      <c r="Y141" s="36"/>
      <c r="Z141" s="36"/>
      <c r="AA141" s="36"/>
      <c r="AB141" s="36"/>
      <c r="AC141" s="36"/>
    </row>
    <row r="142" spans="16:29" x14ac:dyDescent="0.2">
      <c r="Q142" s="36"/>
      <c r="R142" s="40"/>
      <c r="S142" s="40"/>
      <c r="T142" s="40"/>
      <c r="U142" s="41"/>
      <c r="V142" s="41"/>
      <c r="W142" s="41"/>
      <c r="X142" s="36"/>
      <c r="Y142" s="36"/>
      <c r="Z142" s="36"/>
      <c r="AA142" s="36"/>
      <c r="AB142" s="36"/>
      <c r="AC142" s="36"/>
    </row>
    <row r="143" spans="16:29" x14ac:dyDescent="0.2">
      <c r="Q143" s="36"/>
      <c r="R143" s="40"/>
      <c r="S143" s="40"/>
      <c r="T143" s="40"/>
      <c r="U143" s="41"/>
      <c r="V143" s="41"/>
      <c r="W143" s="41"/>
      <c r="X143" s="36"/>
      <c r="Y143" s="36"/>
      <c r="Z143" s="36"/>
      <c r="AA143" s="36"/>
      <c r="AB143" s="36"/>
      <c r="AC143" s="36"/>
    </row>
    <row r="144" spans="16:29" x14ac:dyDescent="0.2">
      <c r="Q144" s="36"/>
      <c r="R144" s="40"/>
      <c r="S144" s="40"/>
      <c r="T144" s="40"/>
      <c r="U144" s="41"/>
      <c r="V144" s="41"/>
      <c r="W144" s="41"/>
      <c r="X144" s="36"/>
      <c r="Y144" s="36"/>
      <c r="Z144" s="36"/>
      <c r="AA144" s="36"/>
      <c r="AB144" s="36"/>
      <c r="AC144" s="36"/>
    </row>
    <row r="145" spans="17:29" x14ac:dyDescent="0.2">
      <c r="Q145" s="36"/>
      <c r="R145" s="40"/>
      <c r="S145" s="40"/>
      <c r="T145" s="40"/>
      <c r="U145" s="41"/>
      <c r="V145" s="41"/>
      <c r="W145" s="41"/>
      <c r="X145" s="36"/>
      <c r="Y145" s="36"/>
      <c r="Z145" s="36"/>
      <c r="AA145" s="36"/>
      <c r="AB145" s="36"/>
      <c r="AC145" s="36"/>
    </row>
    <row r="146" spans="17:29" x14ac:dyDescent="0.2">
      <c r="Q146" s="36"/>
      <c r="R146" s="40"/>
      <c r="S146" s="40"/>
      <c r="T146" s="40"/>
      <c r="U146" s="41"/>
      <c r="V146" s="41"/>
      <c r="W146" s="41"/>
      <c r="X146" s="36"/>
      <c r="Y146" s="36"/>
      <c r="Z146" s="36"/>
      <c r="AA146" s="36"/>
      <c r="AB146" s="36"/>
      <c r="AC146" s="36"/>
    </row>
    <row r="147" spans="17:29" x14ac:dyDescent="0.2">
      <c r="Q147" s="36"/>
      <c r="R147" s="40"/>
      <c r="S147" s="40"/>
      <c r="T147" s="40"/>
      <c r="U147" s="41"/>
      <c r="V147" s="41"/>
      <c r="W147" s="41"/>
      <c r="X147" s="36"/>
      <c r="Y147" s="36"/>
      <c r="Z147" s="36"/>
      <c r="AA147" s="36"/>
      <c r="AB147" s="36"/>
      <c r="AC147" s="36"/>
    </row>
    <row r="148" spans="17:29" x14ac:dyDescent="0.2">
      <c r="Q148" s="36"/>
      <c r="R148" s="40"/>
      <c r="S148" s="40"/>
      <c r="T148" s="40"/>
      <c r="U148" s="41"/>
      <c r="V148" s="41"/>
      <c r="W148" s="41"/>
      <c r="X148" s="36"/>
      <c r="Y148" s="36"/>
      <c r="Z148" s="36"/>
      <c r="AA148" s="36"/>
      <c r="AB148" s="36"/>
      <c r="AC148" s="36"/>
    </row>
    <row r="149" spans="17:29" x14ac:dyDescent="0.2">
      <c r="Q149" s="36"/>
      <c r="R149" s="40"/>
      <c r="S149" s="40"/>
      <c r="T149" s="40"/>
      <c r="U149" s="41"/>
      <c r="V149" s="41"/>
      <c r="W149" s="41"/>
      <c r="X149" s="36"/>
      <c r="Y149" s="36"/>
      <c r="Z149" s="36"/>
      <c r="AA149" s="36"/>
      <c r="AB149" s="36"/>
      <c r="AC149" s="36"/>
    </row>
    <row r="150" spans="17:29" x14ac:dyDescent="0.2">
      <c r="Q150" s="36"/>
      <c r="R150" s="40"/>
      <c r="S150" s="40"/>
      <c r="T150" s="40"/>
      <c r="U150" s="41"/>
      <c r="V150" s="41"/>
      <c r="W150" s="41"/>
      <c r="X150" s="36"/>
      <c r="Y150" s="36"/>
      <c r="Z150" s="36"/>
      <c r="AA150" s="36"/>
      <c r="AB150" s="36"/>
      <c r="AC150" s="36"/>
    </row>
    <row r="151" spans="17:29" x14ac:dyDescent="0.2">
      <c r="Q151" s="36"/>
      <c r="R151" s="40"/>
      <c r="S151" s="40"/>
      <c r="T151" s="40"/>
      <c r="U151" s="41"/>
      <c r="V151" s="41"/>
      <c r="W151" s="41"/>
      <c r="X151" s="36"/>
      <c r="Y151" s="36"/>
      <c r="Z151" s="36"/>
      <c r="AA151" s="36"/>
      <c r="AB151" s="36"/>
      <c r="AC151" s="36"/>
    </row>
    <row r="152" spans="17:29" x14ac:dyDescent="0.2">
      <c r="Q152" s="36"/>
      <c r="R152" s="40"/>
      <c r="S152" s="40"/>
      <c r="T152" s="40"/>
      <c r="U152" s="41"/>
      <c r="V152" s="41"/>
      <c r="W152" s="41"/>
      <c r="X152" s="36"/>
      <c r="Y152" s="36"/>
      <c r="Z152" s="36"/>
      <c r="AA152" s="36"/>
      <c r="AB152" s="36"/>
      <c r="AC152" s="36"/>
    </row>
    <row r="153" spans="17:29" x14ac:dyDescent="0.2">
      <c r="Q153" s="36"/>
      <c r="R153" s="40"/>
      <c r="S153" s="40"/>
      <c r="T153" s="40"/>
      <c r="U153" s="41"/>
      <c r="V153" s="41"/>
      <c r="W153" s="41"/>
      <c r="X153" s="36"/>
      <c r="Y153" s="36"/>
      <c r="Z153" s="36"/>
      <c r="AA153" s="36"/>
      <c r="AB153" s="36"/>
      <c r="AC153" s="36"/>
    </row>
    <row r="154" spans="17:29" x14ac:dyDescent="0.2">
      <c r="Q154" s="36"/>
      <c r="R154" s="40"/>
      <c r="S154" s="40"/>
      <c r="T154" s="40"/>
      <c r="U154" s="41"/>
      <c r="V154" s="41"/>
      <c r="W154" s="41"/>
      <c r="X154" s="36"/>
      <c r="Y154" s="36"/>
      <c r="Z154" s="36"/>
      <c r="AA154" s="36"/>
      <c r="AB154" s="36"/>
      <c r="AC154" s="36"/>
    </row>
    <row r="155" spans="17:29" x14ac:dyDescent="0.2">
      <c r="Q155" s="36"/>
      <c r="R155" s="40"/>
      <c r="S155" s="40"/>
      <c r="T155" s="40"/>
      <c r="U155" s="41"/>
      <c r="V155" s="41"/>
      <c r="W155" s="41"/>
      <c r="X155" s="36"/>
      <c r="Y155" s="36"/>
      <c r="Z155" s="36"/>
      <c r="AA155" s="36"/>
      <c r="AB155" s="36"/>
      <c r="AC155" s="36"/>
    </row>
    <row r="156" spans="17:29" x14ac:dyDescent="0.2">
      <c r="Q156" s="36"/>
      <c r="R156" s="40"/>
      <c r="S156" s="40"/>
      <c r="T156" s="40"/>
      <c r="U156" s="41"/>
      <c r="V156" s="41"/>
      <c r="W156" s="41"/>
      <c r="X156" s="36"/>
      <c r="Y156" s="36"/>
      <c r="Z156" s="36"/>
      <c r="AA156" s="36"/>
      <c r="AB156" s="36"/>
      <c r="AC156" s="36"/>
    </row>
    <row r="157" spans="17:29" x14ac:dyDescent="0.2">
      <c r="Q157" s="36"/>
      <c r="R157" s="40"/>
      <c r="S157" s="40"/>
      <c r="T157" s="40"/>
      <c r="U157" s="41"/>
      <c r="V157" s="41"/>
      <c r="W157" s="41"/>
      <c r="X157" s="36"/>
      <c r="Y157" s="36"/>
      <c r="Z157" s="36"/>
      <c r="AA157" s="36"/>
      <c r="AB157" s="36"/>
      <c r="AC157" s="36"/>
    </row>
    <row r="158" spans="17:29" x14ac:dyDescent="0.2">
      <c r="Q158" s="36"/>
      <c r="R158" s="40"/>
      <c r="S158" s="40"/>
      <c r="T158" s="40"/>
      <c r="U158" s="41"/>
      <c r="V158" s="41"/>
      <c r="W158" s="41"/>
      <c r="X158" s="36"/>
      <c r="Y158" s="36"/>
      <c r="Z158" s="36"/>
      <c r="AA158" s="36"/>
      <c r="AB158" s="36"/>
      <c r="AC158" s="36"/>
    </row>
    <row r="159" spans="17:29" x14ac:dyDescent="0.2">
      <c r="Q159" s="36"/>
      <c r="R159" s="40"/>
      <c r="S159" s="40"/>
      <c r="T159" s="40"/>
      <c r="U159" s="41"/>
      <c r="V159" s="41"/>
      <c r="W159" s="41"/>
      <c r="X159" s="36"/>
      <c r="Y159" s="36"/>
      <c r="Z159" s="36"/>
      <c r="AA159" s="36"/>
      <c r="AB159" s="36"/>
      <c r="AC159" s="36"/>
    </row>
    <row r="160" spans="17:29" x14ac:dyDescent="0.2">
      <c r="Q160" s="36"/>
      <c r="R160" s="40"/>
      <c r="S160" s="40"/>
      <c r="T160" s="40"/>
      <c r="U160" s="41"/>
      <c r="V160" s="41"/>
      <c r="W160" s="41"/>
      <c r="X160" s="36"/>
      <c r="Y160" s="36"/>
      <c r="Z160" s="36"/>
      <c r="AA160" s="36"/>
      <c r="AB160" s="36"/>
      <c r="AC160" s="36"/>
    </row>
    <row r="161" spans="17:29" x14ac:dyDescent="0.2">
      <c r="Q161" s="36"/>
      <c r="R161" s="40"/>
      <c r="S161" s="40"/>
      <c r="T161" s="40"/>
      <c r="U161" s="41"/>
      <c r="V161" s="41"/>
      <c r="W161" s="41"/>
      <c r="X161" s="36"/>
      <c r="Y161" s="36"/>
      <c r="Z161" s="36"/>
      <c r="AA161" s="36"/>
      <c r="AB161" s="36"/>
      <c r="AC161" s="36"/>
    </row>
    <row r="162" spans="17:29" x14ac:dyDescent="0.2">
      <c r="Q162" s="36"/>
      <c r="R162" s="40"/>
      <c r="S162" s="40"/>
      <c r="T162" s="40"/>
      <c r="U162" s="41"/>
      <c r="V162" s="41"/>
      <c r="W162" s="41"/>
      <c r="X162" s="36"/>
      <c r="Y162" s="36"/>
      <c r="Z162" s="36"/>
      <c r="AA162" s="36"/>
      <c r="AB162" s="36"/>
      <c r="AC162" s="36"/>
    </row>
    <row r="163" spans="17:29" x14ac:dyDescent="0.2">
      <c r="Q163" s="36"/>
      <c r="R163" s="40"/>
      <c r="S163" s="40"/>
      <c r="T163" s="40"/>
      <c r="U163" s="41"/>
      <c r="V163" s="41"/>
      <c r="W163" s="41"/>
      <c r="X163" s="36"/>
      <c r="Y163" s="36"/>
      <c r="Z163" s="36"/>
      <c r="AA163" s="36"/>
      <c r="AB163" s="36"/>
      <c r="AC163" s="36"/>
    </row>
    <row r="164" spans="17:29" x14ac:dyDescent="0.2">
      <c r="Q164" s="36"/>
      <c r="R164" s="40"/>
      <c r="S164" s="40"/>
      <c r="T164" s="40"/>
      <c r="U164" s="41"/>
      <c r="V164" s="41"/>
      <c r="W164" s="41"/>
      <c r="X164" s="36"/>
      <c r="Y164" s="36"/>
      <c r="Z164" s="36"/>
      <c r="AA164" s="36"/>
      <c r="AB164" s="36"/>
      <c r="AC164" s="36"/>
    </row>
    <row r="165" spans="17:29" x14ac:dyDescent="0.2">
      <c r="Q165" s="36"/>
      <c r="R165" s="40"/>
      <c r="S165" s="40"/>
      <c r="T165" s="40"/>
      <c r="U165" s="41"/>
      <c r="V165" s="41"/>
      <c r="W165" s="41"/>
      <c r="X165" s="36"/>
      <c r="Y165" s="36"/>
      <c r="Z165" s="36"/>
      <c r="AA165" s="36"/>
      <c r="AB165" s="36"/>
      <c r="AC165" s="36"/>
    </row>
    <row r="166" spans="17:29" x14ac:dyDescent="0.2">
      <c r="Q166" s="36"/>
      <c r="R166" s="40"/>
      <c r="S166" s="40"/>
      <c r="T166" s="40"/>
      <c r="U166" s="41"/>
      <c r="V166" s="41"/>
      <c r="W166" s="41"/>
      <c r="X166" s="36"/>
      <c r="Y166" s="36"/>
      <c r="Z166" s="36"/>
      <c r="AA166" s="36"/>
      <c r="AB166" s="36"/>
      <c r="AC166" s="36"/>
    </row>
    <row r="167" spans="17:29" x14ac:dyDescent="0.2">
      <c r="Q167" s="36"/>
      <c r="R167" s="40"/>
      <c r="S167" s="40"/>
      <c r="T167" s="40"/>
      <c r="U167" s="41"/>
      <c r="V167" s="41"/>
      <c r="W167" s="41"/>
      <c r="X167" s="36"/>
      <c r="Y167" s="36"/>
      <c r="Z167" s="36"/>
      <c r="AA167" s="36"/>
      <c r="AB167" s="36"/>
      <c r="AC167" s="36"/>
    </row>
    <row r="168" spans="17:29" x14ac:dyDescent="0.2">
      <c r="Q168" s="36"/>
      <c r="R168" s="40"/>
      <c r="S168" s="40"/>
      <c r="T168" s="40"/>
      <c r="U168" s="41"/>
      <c r="V168" s="41"/>
      <c r="W168" s="41"/>
      <c r="X168" s="36"/>
      <c r="Y168" s="36"/>
      <c r="Z168" s="36"/>
      <c r="AA168" s="36"/>
      <c r="AB168" s="36"/>
      <c r="AC168" s="36"/>
    </row>
    <row r="169" spans="17:29" x14ac:dyDescent="0.2">
      <c r="Q169" s="36"/>
      <c r="R169" s="40"/>
      <c r="S169" s="40"/>
      <c r="T169" s="40"/>
      <c r="U169" s="41"/>
      <c r="V169" s="41"/>
      <c r="W169" s="41"/>
      <c r="X169" s="36"/>
      <c r="Y169" s="36"/>
      <c r="Z169" s="36"/>
      <c r="AA169" s="36"/>
      <c r="AB169" s="36"/>
      <c r="AC169" s="36"/>
    </row>
    <row r="170" spans="17:29" x14ac:dyDescent="0.2">
      <c r="Q170" s="36"/>
      <c r="R170" s="40"/>
      <c r="S170" s="40"/>
      <c r="T170" s="40"/>
      <c r="U170" s="41"/>
      <c r="V170" s="41"/>
      <c r="W170" s="41"/>
      <c r="X170" s="36"/>
      <c r="Y170" s="36"/>
      <c r="Z170" s="36"/>
      <c r="AA170" s="36"/>
      <c r="AB170" s="36"/>
      <c r="AC170" s="36"/>
    </row>
    <row r="171" spans="17:29" x14ac:dyDescent="0.2">
      <c r="Q171" s="36"/>
      <c r="R171" s="40"/>
      <c r="S171" s="40"/>
      <c r="T171" s="40"/>
      <c r="U171" s="41"/>
      <c r="V171" s="41"/>
      <c r="W171" s="41"/>
      <c r="X171" s="36"/>
      <c r="Y171" s="36"/>
      <c r="Z171" s="36"/>
      <c r="AA171" s="36"/>
      <c r="AB171" s="36"/>
      <c r="AC171" s="36"/>
    </row>
    <row r="172" spans="17:29" x14ac:dyDescent="0.2">
      <c r="Q172" s="36"/>
      <c r="R172" s="40"/>
      <c r="S172" s="40"/>
      <c r="T172" s="40"/>
      <c r="U172" s="41"/>
      <c r="V172" s="41"/>
      <c r="W172" s="41"/>
      <c r="X172" s="36"/>
      <c r="Y172" s="36"/>
      <c r="Z172" s="36"/>
      <c r="AA172" s="36"/>
      <c r="AB172" s="36"/>
      <c r="AC172" s="36"/>
    </row>
    <row r="173" spans="17:29" x14ac:dyDescent="0.2">
      <c r="Q173" s="36"/>
      <c r="R173" s="40"/>
      <c r="S173" s="40"/>
      <c r="T173" s="40"/>
      <c r="U173" s="41"/>
      <c r="V173" s="41"/>
      <c r="W173" s="41"/>
      <c r="X173" s="36"/>
      <c r="Y173" s="36"/>
      <c r="Z173" s="36"/>
      <c r="AA173" s="36"/>
      <c r="AB173" s="36"/>
      <c r="AC173" s="36"/>
    </row>
    <row r="174" spans="17:29" x14ac:dyDescent="0.2">
      <c r="Q174" s="36"/>
      <c r="R174" s="40"/>
      <c r="S174" s="40"/>
      <c r="T174" s="40"/>
      <c r="U174" s="41"/>
      <c r="V174" s="41"/>
      <c r="W174" s="41"/>
      <c r="X174" s="36"/>
      <c r="Y174" s="36"/>
      <c r="Z174" s="36"/>
      <c r="AA174" s="36"/>
      <c r="AB174" s="36"/>
      <c r="AC174" s="36"/>
    </row>
    <row r="175" spans="17:29" x14ac:dyDescent="0.2">
      <c r="Q175" s="36"/>
      <c r="R175" s="40"/>
      <c r="S175" s="40"/>
      <c r="T175" s="40"/>
      <c r="U175" s="41"/>
      <c r="V175" s="41"/>
      <c r="W175" s="41"/>
      <c r="X175" s="36"/>
      <c r="Y175" s="36"/>
      <c r="Z175" s="36"/>
      <c r="AA175" s="36"/>
      <c r="AB175" s="36"/>
      <c r="AC175" s="36"/>
    </row>
    <row r="176" spans="17:29" x14ac:dyDescent="0.2">
      <c r="Q176" s="36"/>
      <c r="R176" s="40"/>
      <c r="S176" s="40"/>
      <c r="T176" s="40"/>
      <c r="U176" s="41"/>
      <c r="V176" s="41"/>
      <c r="W176" s="41"/>
      <c r="X176" s="36"/>
      <c r="Y176" s="36"/>
      <c r="Z176" s="36"/>
      <c r="AA176" s="36"/>
      <c r="AB176" s="36"/>
      <c r="AC176" s="36"/>
    </row>
    <row r="177" spans="17:29" x14ac:dyDescent="0.2">
      <c r="Q177" s="36"/>
      <c r="R177" s="40"/>
      <c r="S177" s="40"/>
      <c r="T177" s="40"/>
      <c r="U177" s="41"/>
      <c r="V177" s="41"/>
      <c r="W177" s="41"/>
      <c r="X177" s="36"/>
      <c r="Y177" s="36"/>
      <c r="Z177" s="36"/>
      <c r="AA177" s="36"/>
      <c r="AB177" s="36"/>
      <c r="AC177" s="36"/>
    </row>
    <row r="178" spans="17:29" x14ac:dyDescent="0.2">
      <c r="Q178" s="36"/>
      <c r="R178" s="40"/>
      <c r="S178" s="40"/>
      <c r="T178" s="40"/>
      <c r="U178" s="41"/>
      <c r="V178" s="41"/>
      <c r="W178" s="41"/>
      <c r="X178" s="36"/>
      <c r="Y178" s="36"/>
      <c r="Z178" s="36"/>
      <c r="AA178" s="36"/>
      <c r="AB178" s="36"/>
      <c r="AC178" s="36"/>
    </row>
    <row r="179" spans="17:29" x14ac:dyDescent="0.2">
      <c r="Q179" s="36"/>
      <c r="R179" s="40"/>
      <c r="S179" s="40"/>
      <c r="T179" s="40"/>
      <c r="U179" s="41"/>
      <c r="V179" s="41"/>
      <c r="W179" s="41"/>
      <c r="X179" s="36"/>
      <c r="Y179" s="36"/>
      <c r="Z179" s="36"/>
      <c r="AA179" s="36"/>
      <c r="AB179" s="36"/>
      <c r="AC179" s="36"/>
    </row>
    <row r="180" spans="17:29" x14ac:dyDescent="0.2">
      <c r="Q180" s="36"/>
      <c r="R180" s="40"/>
      <c r="S180" s="40"/>
      <c r="T180" s="40"/>
      <c r="U180" s="41"/>
      <c r="V180" s="41"/>
      <c r="W180" s="41"/>
      <c r="X180" s="36"/>
      <c r="Y180" s="36"/>
      <c r="Z180" s="36"/>
      <c r="AA180" s="36"/>
      <c r="AB180" s="36"/>
      <c r="AC180" s="36"/>
    </row>
    <row r="181" spans="17:29" x14ac:dyDescent="0.2">
      <c r="Q181" s="36"/>
      <c r="R181" s="40"/>
      <c r="S181" s="40"/>
      <c r="T181" s="40"/>
      <c r="U181" s="41"/>
      <c r="V181" s="41"/>
      <c r="W181" s="41"/>
      <c r="X181" s="36"/>
      <c r="Y181" s="36"/>
      <c r="Z181" s="36"/>
      <c r="AA181" s="36"/>
      <c r="AB181" s="36"/>
      <c r="AC181" s="36"/>
    </row>
    <row r="182" spans="17:29" x14ac:dyDescent="0.2">
      <c r="Q182" s="36"/>
      <c r="R182" s="40"/>
      <c r="S182" s="40"/>
      <c r="T182" s="40"/>
      <c r="U182" s="41"/>
      <c r="V182" s="41"/>
      <c r="W182" s="41"/>
      <c r="X182" s="36"/>
      <c r="Y182" s="36"/>
      <c r="Z182" s="36"/>
      <c r="AA182" s="36"/>
      <c r="AB182" s="36"/>
      <c r="AC182" s="36"/>
    </row>
    <row r="183" spans="17:29" x14ac:dyDescent="0.2">
      <c r="Q183" s="36"/>
      <c r="R183" s="40"/>
      <c r="S183" s="40"/>
      <c r="T183" s="40"/>
      <c r="U183" s="41"/>
      <c r="V183" s="41"/>
      <c r="W183" s="41"/>
      <c r="X183" s="36"/>
      <c r="Y183" s="36"/>
      <c r="Z183" s="36"/>
      <c r="AA183" s="36"/>
      <c r="AB183" s="36"/>
      <c r="AC183" s="36"/>
    </row>
    <row r="184" spans="17:29" x14ac:dyDescent="0.2">
      <c r="Q184" s="36"/>
      <c r="R184" s="40"/>
      <c r="S184" s="40"/>
      <c r="T184" s="40"/>
      <c r="U184" s="41"/>
      <c r="V184" s="41"/>
      <c r="W184" s="41"/>
      <c r="X184" s="36"/>
      <c r="Y184" s="36"/>
      <c r="Z184" s="36"/>
      <c r="AA184" s="36"/>
      <c r="AB184" s="36"/>
      <c r="AC184" s="36"/>
    </row>
    <row r="185" spans="17:29" x14ac:dyDescent="0.2">
      <c r="Q185" s="36"/>
      <c r="R185" s="40"/>
      <c r="S185" s="40"/>
      <c r="T185" s="40"/>
      <c r="U185" s="41"/>
      <c r="V185" s="41"/>
      <c r="W185" s="41"/>
      <c r="X185" s="36"/>
      <c r="Y185" s="36"/>
      <c r="Z185" s="36"/>
      <c r="AA185" s="36"/>
      <c r="AB185" s="36"/>
      <c r="AC185" s="36"/>
    </row>
    <row r="186" spans="17:29" x14ac:dyDescent="0.2">
      <c r="Q186" s="36"/>
      <c r="R186" s="40"/>
      <c r="S186" s="40"/>
      <c r="T186" s="40"/>
      <c r="U186" s="41"/>
      <c r="V186" s="41"/>
      <c r="W186" s="41"/>
      <c r="X186" s="36"/>
      <c r="Y186" s="36"/>
      <c r="Z186" s="36"/>
      <c r="AA186" s="36"/>
      <c r="AB186" s="36"/>
      <c r="AC186" s="36"/>
    </row>
    <row r="187" spans="17:29" x14ac:dyDescent="0.2">
      <c r="Q187" s="36"/>
      <c r="R187" s="40"/>
      <c r="S187" s="40"/>
      <c r="T187" s="40"/>
      <c r="U187" s="41"/>
      <c r="V187" s="41"/>
      <c r="W187" s="41"/>
      <c r="X187" s="36"/>
      <c r="Y187" s="36"/>
      <c r="Z187" s="36"/>
      <c r="AA187" s="36"/>
      <c r="AB187" s="36"/>
      <c r="AC187" s="36"/>
    </row>
    <row r="188" spans="17:29" x14ac:dyDescent="0.2">
      <c r="Q188" s="36"/>
      <c r="R188" s="40"/>
      <c r="S188" s="40"/>
      <c r="T188" s="40"/>
      <c r="U188" s="41"/>
      <c r="V188" s="41"/>
      <c r="W188" s="41"/>
      <c r="X188" s="36"/>
      <c r="Y188" s="36"/>
      <c r="Z188" s="36"/>
      <c r="AA188" s="36"/>
      <c r="AB188" s="36"/>
      <c r="AC188" s="36"/>
    </row>
    <row r="189" spans="17:29" x14ac:dyDescent="0.2">
      <c r="Q189" s="36"/>
      <c r="R189" s="40"/>
      <c r="S189" s="40"/>
      <c r="T189" s="40"/>
      <c r="U189" s="41"/>
      <c r="V189" s="41"/>
      <c r="W189" s="41"/>
      <c r="X189" s="36"/>
      <c r="Y189" s="36"/>
      <c r="Z189" s="36"/>
      <c r="AA189" s="36"/>
      <c r="AB189" s="36"/>
      <c r="AC189" s="36"/>
    </row>
    <row r="190" spans="17:29" x14ac:dyDescent="0.2">
      <c r="Q190" s="36"/>
      <c r="R190" s="40"/>
      <c r="S190" s="40"/>
      <c r="T190" s="40"/>
      <c r="U190" s="41"/>
      <c r="V190" s="41"/>
      <c r="W190" s="41"/>
      <c r="X190" s="36"/>
      <c r="Y190" s="36"/>
      <c r="Z190" s="36"/>
      <c r="AA190" s="36"/>
      <c r="AB190" s="36"/>
      <c r="AC190" s="36"/>
    </row>
    <row r="191" spans="17:29" x14ac:dyDescent="0.2">
      <c r="Q191" s="36"/>
      <c r="R191" s="40"/>
      <c r="S191" s="40"/>
      <c r="T191" s="40"/>
      <c r="U191" s="41"/>
      <c r="V191" s="41"/>
      <c r="W191" s="41"/>
      <c r="X191" s="36"/>
      <c r="Y191" s="36"/>
      <c r="Z191" s="36"/>
      <c r="AA191" s="36"/>
      <c r="AB191" s="36"/>
      <c r="AC191" s="36"/>
    </row>
    <row r="192" spans="17:29" x14ac:dyDescent="0.2">
      <c r="Q192" s="36"/>
      <c r="R192" s="40"/>
      <c r="S192" s="40"/>
      <c r="T192" s="40"/>
      <c r="U192" s="41"/>
      <c r="V192" s="41"/>
      <c r="W192" s="41"/>
      <c r="X192" s="36"/>
      <c r="Y192" s="36"/>
      <c r="Z192" s="36"/>
      <c r="AA192" s="36"/>
      <c r="AB192" s="36"/>
      <c r="AC192" s="36"/>
    </row>
    <row r="193" spans="17:29" x14ac:dyDescent="0.2">
      <c r="Q193" s="36"/>
      <c r="R193" s="40"/>
      <c r="S193" s="40"/>
      <c r="T193" s="40"/>
      <c r="U193" s="41"/>
      <c r="V193" s="41"/>
      <c r="W193" s="41"/>
      <c r="X193" s="36"/>
      <c r="Y193" s="36"/>
      <c r="Z193" s="36"/>
      <c r="AA193" s="36"/>
      <c r="AB193" s="36"/>
      <c r="AC193" s="36"/>
    </row>
    <row r="194" spans="17:29" x14ac:dyDescent="0.2">
      <c r="Q194" s="36"/>
      <c r="R194" s="40"/>
      <c r="S194" s="40"/>
      <c r="T194" s="40"/>
      <c r="U194" s="41"/>
      <c r="V194" s="41"/>
      <c r="W194" s="41"/>
      <c r="X194" s="36"/>
      <c r="Y194" s="36"/>
      <c r="Z194" s="36"/>
      <c r="AA194" s="36"/>
      <c r="AB194" s="36"/>
      <c r="AC194" s="36"/>
    </row>
    <row r="195" spans="17:29" x14ac:dyDescent="0.2">
      <c r="Q195" s="36"/>
      <c r="R195" s="40"/>
      <c r="S195" s="40"/>
      <c r="T195" s="40"/>
      <c r="U195" s="41"/>
      <c r="V195" s="41"/>
      <c r="W195" s="41"/>
      <c r="X195" s="36"/>
      <c r="Y195" s="36"/>
      <c r="Z195" s="36"/>
      <c r="AA195" s="36"/>
      <c r="AB195" s="36"/>
      <c r="AC195" s="36"/>
    </row>
    <row r="196" spans="17:29" x14ac:dyDescent="0.2">
      <c r="Q196" s="36"/>
      <c r="R196" s="40"/>
      <c r="S196" s="40"/>
      <c r="T196" s="40"/>
      <c r="U196" s="41"/>
      <c r="V196" s="41"/>
      <c r="W196" s="41"/>
      <c r="X196" s="36"/>
      <c r="Y196" s="36"/>
      <c r="Z196" s="36"/>
      <c r="AA196" s="36"/>
      <c r="AB196" s="36"/>
      <c r="AC196" s="36"/>
    </row>
    <row r="197" spans="17:29" x14ac:dyDescent="0.2">
      <c r="Q197" s="36"/>
      <c r="R197" s="40"/>
      <c r="S197" s="40"/>
      <c r="T197" s="40"/>
      <c r="U197" s="41"/>
      <c r="V197" s="41"/>
      <c r="W197" s="41"/>
      <c r="X197" s="36"/>
      <c r="Y197" s="36"/>
      <c r="Z197" s="36"/>
      <c r="AA197" s="36"/>
      <c r="AB197" s="36"/>
      <c r="AC197" s="36"/>
    </row>
    <row r="198" spans="17:29" x14ac:dyDescent="0.2">
      <c r="Q198" s="36"/>
      <c r="R198" s="40"/>
      <c r="S198" s="40"/>
      <c r="T198" s="40"/>
      <c r="U198" s="41"/>
      <c r="V198" s="41"/>
      <c r="W198" s="41"/>
      <c r="X198" s="36"/>
      <c r="Y198" s="36"/>
      <c r="Z198" s="36"/>
      <c r="AA198" s="36"/>
      <c r="AB198" s="36"/>
      <c r="AC198" s="36"/>
    </row>
    <row r="199" spans="17:29" x14ac:dyDescent="0.2">
      <c r="Q199" s="36"/>
      <c r="R199" s="40"/>
      <c r="S199" s="40"/>
      <c r="T199" s="40"/>
      <c r="U199" s="41"/>
      <c r="V199" s="41"/>
      <c r="W199" s="41"/>
      <c r="X199" s="36"/>
      <c r="Y199" s="36"/>
      <c r="Z199" s="36"/>
      <c r="AA199" s="36"/>
      <c r="AB199" s="36"/>
      <c r="AC199" s="36"/>
    </row>
    <row r="200" spans="17:29" x14ac:dyDescent="0.2">
      <c r="Q200" s="36"/>
      <c r="R200" s="40"/>
      <c r="S200" s="40"/>
      <c r="T200" s="40"/>
      <c r="U200" s="41"/>
      <c r="V200" s="41"/>
      <c r="W200" s="41"/>
      <c r="X200" s="36"/>
      <c r="Y200" s="36"/>
      <c r="Z200" s="36"/>
      <c r="AA200" s="36"/>
      <c r="AB200" s="36"/>
      <c r="AC200" s="36"/>
    </row>
    <row r="201" spans="17:29" x14ac:dyDescent="0.2">
      <c r="Q201" s="36"/>
      <c r="R201" s="40"/>
      <c r="S201" s="40"/>
      <c r="T201" s="40"/>
      <c r="U201" s="41"/>
      <c r="V201" s="41"/>
      <c r="W201" s="41"/>
      <c r="X201" s="36"/>
      <c r="Y201" s="36"/>
      <c r="Z201" s="36"/>
      <c r="AA201" s="36"/>
      <c r="AB201" s="36"/>
      <c r="AC201" s="36"/>
    </row>
    <row r="202" spans="17:29" x14ac:dyDescent="0.2">
      <c r="Q202" s="36"/>
      <c r="R202" s="40"/>
      <c r="S202" s="40"/>
      <c r="T202" s="40"/>
      <c r="U202" s="41"/>
      <c r="V202" s="41"/>
      <c r="W202" s="41"/>
      <c r="X202" s="36"/>
      <c r="Y202" s="36"/>
      <c r="Z202" s="36"/>
      <c r="AA202" s="36"/>
      <c r="AB202" s="36"/>
      <c r="AC202" s="36"/>
    </row>
    <row r="203" spans="17:29" x14ac:dyDescent="0.2">
      <c r="Q203" s="36"/>
      <c r="R203" s="40"/>
      <c r="S203" s="40"/>
      <c r="T203" s="40"/>
      <c r="U203" s="41"/>
      <c r="V203" s="41"/>
      <c r="W203" s="41"/>
      <c r="X203" s="36"/>
      <c r="Y203" s="36"/>
      <c r="Z203" s="36"/>
      <c r="AA203" s="36"/>
      <c r="AB203" s="36"/>
      <c r="AC203" s="36"/>
    </row>
    <row r="204" spans="17:29" x14ac:dyDescent="0.2">
      <c r="Q204" s="36"/>
      <c r="R204" s="40"/>
      <c r="S204" s="40"/>
      <c r="T204" s="40"/>
      <c r="U204" s="41"/>
      <c r="V204" s="41"/>
      <c r="W204" s="41"/>
      <c r="X204" s="36"/>
      <c r="Y204" s="36"/>
      <c r="Z204" s="36"/>
      <c r="AA204" s="36"/>
      <c r="AB204" s="36"/>
      <c r="AC204" s="36"/>
    </row>
    <row r="205" spans="17:29" x14ac:dyDescent="0.2">
      <c r="Q205" s="36"/>
      <c r="R205" s="40"/>
      <c r="S205" s="40"/>
      <c r="T205" s="40"/>
      <c r="U205" s="41"/>
      <c r="V205" s="41"/>
      <c r="W205" s="41"/>
      <c r="X205" s="36"/>
      <c r="Y205" s="36"/>
      <c r="Z205" s="36"/>
      <c r="AA205" s="36"/>
      <c r="AB205" s="36"/>
      <c r="AC205" s="36"/>
    </row>
    <row r="206" spans="17:29" x14ac:dyDescent="0.2">
      <c r="Q206" s="36"/>
      <c r="R206" s="40"/>
      <c r="S206" s="40"/>
      <c r="T206" s="40"/>
      <c r="U206" s="41"/>
      <c r="V206" s="41"/>
      <c r="W206" s="41"/>
      <c r="X206" s="36"/>
      <c r="Y206" s="36"/>
      <c r="Z206" s="36"/>
      <c r="AA206" s="36"/>
      <c r="AB206" s="36"/>
      <c r="AC206" s="36"/>
    </row>
    <row r="207" spans="17:29" x14ac:dyDescent="0.2">
      <c r="Q207" s="36"/>
      <c r="R207" s="40"/>
      <c r="S207" s="40"/>
      <c r="T207" s="40"/>
      <c r="U207" s="41"/>
      <c r="V207" s="41"/>
      <c r="W207" s="41"/>
      <c r="X207" s="36"/>
      <c r="Y207" s="36"/>
      <c r="Z207" s="36"/>
      <c r="AA207" s="36"/>
      <c r="AB207" s="36"/>
      <c r="AC207" s="36"/>
    </row>
    <row r="208" spans="17:29" x14ac:dyDescent="0.2">
      <c r="Q208" s="36"/>
      <c r="R208" s="40"/>
      <c r="S208" s="40"/>
      <c r="T208" s="40"/>
      <c r="U208" s="41"/>
      <c r="V208" s="41"/>
      <c r="W208" s="41"/>
      <c r="X208" s="36"/>
      <c r="Y208" s="36"/>
      <c r="Z208" s="36"/>
      <c r="AA208" s="36"/>
      <c r="AB208" s="36"/>
      <c r="AC208" s="36"/>
    </row>
    <row r="209" spans="17:29" x14ac:dyDescent="0.2">
      <c r="Q209" s="36"/>
      <c r="R209" s="40"/>
      <c r="S209" s="40"/>
      <c r="T209" s="40"/>
      <c r="U209" s="41"/>
      <c r="V209" s="41"/>
      <c r="W209" s="41"/>
      <c r="X209" s="36"/>
      <c r="Y209" s="36"/>
      <c r="Z209" s="36"/>
      <c r="AA209" s="36"/>
      <c r="AB209" s="36"/>
      <c r="AC209" s="36"/>
    </row>
    <row r="210" spans="17:29" x14ac:dyDescent="0.2">
      <c r="Q210" s="36"/>
      <c r="R210" s="40"/>
      <c r="S210" s="40"/>
      <c r="T210" s="40"/>
      <c r="U210" s="41"/>
      <c r="V210" s="41"/>
      <c r="W210" s="41"/>
      <c r="X210" s="36"/>
      <c r="Y210" s="36"/>
      <c r="Z210" s="36"/>
      <c r="AA210" s="36"/>
      <c r="AB210" s="36"/>
      <c r="AC210" s="36"/>
    </row>
    <row r="211" spans="17:29" x14ac:dyDescent="0.2">
      <c r="Q211" s="36"/>
      <c r="R211" s="40"/>
      <c r="S211" s="40"/>
      <c r="T211" s="40"/>
      <c r="U211" s="41"/>
      <c r="V211" s="41"/>
      <c r="W211" s="41"/>
      <c r="X211" s="36"/>
      <c r="Y211" s="36"/>
      <c r="Z211" s="36"/>
      <c r="AA211" s="36"/>
      <c r="AB211" s="36"/>
      <c r="AC211" s="36"/>
    </row>
    <row r="212" spans="17:29" x14ac:dyDescent="0.2">
      <c r="Q212" s="36"/>
      <c r="R212" s="40"/>
      <c r="S212" s="40"/>
      <c r="T212" s="40"/>
      <c r="U212" s="41"/>
      <c r="V212" s="41"/>
      <c r="W212" s="41"/>
      <c r="X212" s="36"/>
      <c r="Y212" s="36"/>
      <c r="Z212" s="36"/>
      <c r="AA212" s="36"/>
      <c r="AB212" s="36"/>
      <c r="AC212" s="36"/>
    </row>
    <row r="213" spans="17:29" x14ac:dyDescent="0.2">
      <c r="Q213" s="36"/>
      <c r="R213" s="40"/>
      <c r="S213" s="40"/>
      <c r="T213" s="40"/>
      <c r="U213" s="41"/>
      <c r="V213" s="41"/>
      <c r="W213" s="41"/>
      <c r="X213" s="36"/>
      <c r="Y213" s="36"/>
      <c r="Z213" s="36"/>
      <c r="AA213" s="36"/>
      <c r="AB213" s="36"/>
      <c r="AC213" s="36"/>
    </row>
    <row r="214" spans="17:29" x14ac:dyDescent="0.2">
      <c r="Q214" s="36"/>
      <c r="R214" s="40"/>
      <c r="S214" s="40"/>
      <c r="T214" s="40"/>
      <c r="U214" s="41"/>
      <c r="V214" s="41"/>
      <c r="W214" s="41"/>
      <c r="X214" s="36"/>
      <c r="Y214" s="36"/>
      <c r="Z214" s="36"/>
      <c r="AA214" s="36"/>
      <c r="AB214" s="36"/>
      <c r="AC214" s="36"/>
    </row>
    <row r="215" spans="17:29" x14ac:dyDescent="0.2">
      <c r="Q215" s="36"/>
      <c r="R215" s="40"/>
      <c r="S215" s="40"/>
      <c r="T215" s="40"/>
      <c r="U215" s="41"/>
      <c r="V215" s="41"/>
      <c r="W215" s="41"/>
      <c r="X215" s="36"/>
      <c r="Y215" s="36"/>
      <c r="Z215" s="36"/>
      <c r="AA215" s="36"/>
      <c r="AB215" s="36"/>
      <c r="AC215" s="36"/>
    </row>
    <row r="216" spans="17:29" x14ac:dyDescent="0.2">
      <c r="Q216" s="36"/>
      <c r="R216" s="40"/>
      <c r="S216" s="40"/>
      <c r="T216" s="40"/>
      <c r="U216" s="41"/>
      <c r="V216" s="41"/>
      <c r="W216" s="41"/>
      <c r="X216" s="36"/>
      <c r="Y216" s="36"/>
      <c r="Z216" s="36"/>
      <c r="AA216" s="36"/>
      <c r="AB216" s="36"/>
      <c r="AC216" s="36"/>
    </row>
    <row r="217" spans="17:29" x14ac:dyDescent="0.2">
      <c r="Q217" s="36"/>
      <c r="R217" s="40"/>
      <c r="S217" s="40"/>
      <c r="T217" s="40"/>
      <c r="U217" s="41"/>
      <c r="V217" s="41"/>
      <c r="W217" s="41"/>
      <c r="X217" s="36"/>
      <c r="Y217" s="36"/>
      <c r="Z217" s="36"/>
      <c r="AA217" s="36"/>
      <c r="AB217" s="36"/>
      <c r="AC217" s="36"/>
    </row>
    <row r="218" spans="17:29" x14ac:dyDescent="0.2">
      <c r="Q218" s="36"/>
      <c r="R218" s="40"/>
      <c r="S218" s="40"/>
      <c r="T218" s="40"/>
      <c r="U218" s="41"/>
      <c r="V218" s="41"/>
      <c r="W218" s="41"/>
      <c r="X218" s="36"/>
      <c r="Y218" s="36"/>
      <c r="Z218" s="36"/>
      <c r="AA218" s="36"/>
      <c r="AB218" s="36"/>
      <c r="AC218" s="36"/>
    </row>
    <row r="219" spans="17:29" x14ac:dyDescent="0.2">
      <c r="Q219" s="36"/>
      <c r="R219" s="40"/>
      <c r="S219" s="40"/>
      <c r="T219" s="40"/>
      <c r="U219" s="41"/>
      <c r="V219" s="41"/>
      <c r="W219" s="41"/>
      <c r="X219" s="36"/>
      <c r="Y219" s="36"/>
      <c r="Z219" s="36"/>
      <c r="AA219" s="36"/>
      <c r="AB219" s="36"/>
      <c r="AC219" s="36"/>
    </row>
    <row r="220" spans="17:29" x14ac:dyDescent="0.2">
      <c r="Q220" s="36"/>
      <c r="R220" s="40"/>
      <c r="S220" s="40"/>
      <c r="T220" s="40"/>
      <c r="U220" s="41"/>
      <c r="V220" s="41"/>
      <c r="W220" s="41"/>
      <c r="X220" s="36"/>
      <c r="Y220" s="36"/>
      <c r="Z220" s="36"/>
      <c r="AA220" s="36"/>
      <c r="AB220" s="36"/>
      <c r="AC220" s="36"/>
    </row>
    <row r="221" spans="17:29" x14ac:dyDescent="0.2">
      <c r="Q221" s="36"/>
      <c r="R221" s="40"/>
      <c r="S221" s="40"/>
      <c r="T221" s="40"/>
      <c r="U221" s="41"/>
      <c r="V221" s="41"/>
      <c r="W221" s="41"/>
      <c r="X221" s="36"/>
      <c r="Y221" s="36"/>
      <c r="Z221" s="36"/>
      <c r="AA221" s="36"/>
      <c r="AB221" s="36"/>
      <c r="AC221" s="36"/>
    </row>
    <row r="222" spans="17:29" x14ac:dyDescent="0.2">
      <c r="Q222" s="36"/>
      <c r="R222" s="40"/>
      <c r="S222" s="40"/>
      <c r="T222" s="40"/>
      <c r="U222" s="41"/>
      <c r="V222" s="41"/>
      <c r="W222" s="41"/>
      <c r="X222" s="36"/>
      <c r="Y222" s="36"/>
      <c r="Z222" s="36"/>
      <c r="AA222" s="36"/>
      <c r="AB222" s="36"/>
      <c r="AC222" s="36"/>
    </row>
    <row r="223" spans="17:29" x14ac:dyDescent="0.2">
      <c r="Q223" s="36"/>
      <c r="R223" s="40"/>
      <c r="S223" s="40"/>
      <c r="T223" s="40"/>
      <c r="U223" s="41"/>
      <c r="V223" s="41"/>
      <c r="W223" s="41"/>
      <c r="X223" s="36"/>
      <c r="Y223" s="36"/>
      <c r="Z223" s="36"/>
      <c r="AA223" s="36"/>
      <c r="AB223" s="36"/>
      <c r="AC223" s="36"/>
    </row>
    <row r="224" spans="17:29" x14ac:dyDescent="0.2">
      <c r="Q224" s="36"/>
      <c r="R224" s="40"/>
      <c r="S224" s="40"/>
      <c r="T224" s="40"/>
      <c r="U224" s="41"/>
      <c r="V224" s="41"/>
      <c r="W224" s="41"/>
      <c r="X224" s="36"/>
      <c r="Y224" s="36"/>
      <c r="Z224" s="36"/>
      <c r="AA224" s="36"/>
      <c r="AB224" s="36"/>
      <c r="AC224" s="36"/>
    </row>
    <row r="225" spans="17:29" x14ac:dyDescent="0.2">
      <c r="Q225" s="36"/>
      <c r="R225" s="40"/>
      <c r="S225" s="40"/>
      <c r="T225" s="40"/>
      <c r="U225" s="41"/>
      <c r="V225" s="41"/>
      <c r="W225" s="41"/>
      <c r="X225" s="36"/>
      <c r="Y225" s="36"/>
      <c r="Z225" s="36"/>
      <c r="AA225" s="36"/>
      <c r="AB225" s="36"/>
      <c r="AC225" s="36"/>
    </row>
    <row r="226" spans="17:29" x14ac:dyDescent="0.2">
      <c r="Q226" s="36"/>
      <c r="R226" s="40"/>
      <c r="S226" s="40"/>
      <c r="T226" s="40"/>
      <c r="U226" s="41"/>
      <c r="V226" s="41"/>
      <c r="W226" s="41"/>
      <c r="X226" s="36"/>
      <c r="Y226" s="36"/>
      <c r="Z226" s="36"/>
      <c r="AA226" s="36"/>
      <c r="AB226" s="36"/>
      <c r="AC226" s="36"/>
    </row>
    <row r="227" spans="17:29" x14ac:dyDescent="0.2">
      <c r="Q227" s="36"/>
      <c r="R227" s="40"/>
      <c r="S227" s="40"/>
      <c r="T227" s="40"/>
      <c r="U227" s="41"/>
      <c r="V227" s="41"/>
      <c r="W227" s="41"/>
      <c r="X227" s="36"/>
      <c r="Y227" s="36"/>
      <c r="Z227" s="36"/>
      <c r="AA227" s="36"/>
      <c r="AB227" s="36"/>
      <c r="AC227" s="36"/>
    </row>
    <row r="228" spans="17:29" x14ac:dyDescent="0.2">
      <c r="Q228" s="36"/>
      <c r="R228" s="40"/>
      <c r="S228" s="40"/>
      <c r="T228" s="40"/>
      <c r="U228" s="41"/>
      <c r="V228" s="41"/>
      <c r="W228" s="41"/>
      <c r="X228" s="36"/>
      <c r="Y228" s="36"/>
      <c r="Z228" s="36"/>
      <c r="AA228" s="36"/>
      <c r="AB228" s="36"/>
      <c r="AC228" s="36"/>
    </row>
    <row r="229" spans="17:29" x14ac:dyDescent="0.2">
      <c r="Q229" s="36"/>
      <c r="R229" s="40"/>
      <c r="S229" s="40"/>
      <c r="T229" s="40"/>
      <c r="U229" s="41"/>
      <c r="V229" s="41"/>
      <c r="W229" s="41"/>
      <c r="X229" s="36"/>
      <c r="Y229" s="36"/>
      <c r="Z229" s="36"/>
      <c r="AA229" s="36"/>
      <c r="AB229" s="36"/>
      <c r="AC229" s="36"/>
    </row>
    <row r="230" spans="17:29" x14ac:dyDescent="0.2">
      <c r="Q230" s="36"/>
      <c r="R230" s="40"/>
      <c r="S230" s="40"/>
      <c r="T230" s="40"/>
      <c r="U230" s="41"/>
      <c r="V230" s="41"/>
      <c r="W230" s="41"/>
      <c r="X230" s="36"/>
      <c r="Y230" s="36"/>
      <c r="Z230" s="36"/>
      <c r="AA230" s="36"/>
      <c r="AB230" s="36"/>
      <c r="AC230" s="36"/>
    </row>
    <row r="231" spans="17:29" x14ac:dyDescent="0.2">
      <c r="Q231" s="36"/>
      <c r="R231" s="40"/>
      <c r="S231" s="40"/>
      <c r="T231" s="40"/>
      <c r="U231" s="41"/>
      <c r="V231" s="41"/>
      <c r="W231" s="41"/>
      <c r="X231" s="36"/>
      <c r="Y231" s="36"/>
      <c r="Z231" s="36"/>
      <c r="AA231" s="36"/>
      <c r="AB231" s="36"/>
      <c r="AC231" s="36"/>
    </row>
    <row r="232" spans="17:29" x14ac:dyDescent="0.2">
      <c r="Q232" s="36"/>
      <c r="R232" s="40"/>
      <c r="S232" s="40"/>
      <c r="T232" s="40"/>
      <c r="U232" s="41"/>
      <c r="V232" s="41"/>
      <c r="W232" s="41"/>
      <c r="X232" s="36"/>
      <c r="Y232" s="36"/>
      <c r="Z232" s="36"/>
      <c r="AA232" s="36"/>
      <c r="AB232" s="36"/>
      <c r="AC232" s="36"/>
    </row>
    <row r="233" spans="17:29" x14ac:dyDescent="0.2">
      <c r="Q233" s="36"/>
      <c r="R233" s="40"/>
      <c r="S233" s="40"/>
      <c r="T233" s="40"/>
      <c r="U233" s="41"/>
      <c r="V233" s="41"/>
      <c r="W233" s="41"/>
      <c r="X233" s="36"/>
      <c r="Y233" s="36"/>
      <c r="Z233" s="36"/>
      <c r="AA233" s="36"/>
      <c r="AB233" s="36"/>
      <c r="AC233" s="36"/>
    </row>
    <row r="234" spans="17:29" x14ac:dyDescent="0.2">
      <c r="Q234" s="36"/>
      <c r="R234" s="40"/>
      <c r="S234" s="40"/>
      <c r="T234" s="40"/>
      <c r="U234" s="41"/>
      <c r="V234" s="41"/>
      <c r="W234" s="41"/>
      <c r="X234" s="36"/>
      <c r="Y234" s="36"/>
      <c r="Z234" s="36"/>
      <c r="AA234" s="36"/>
      <c r="AB234" s="36"/>
      <c r="AC234" s="36"/>
    </row>
    <row r="235" spans="17:29" x14ac:dyDescent="0.2">
      <c r="Q235" s="36"/>
      <c r="R235" s="40"/>
      <c r="S235" s="40"/>
      <c r="T235" s="40"/>
      <c r="U235" s="41"/>
      <c r="V235" s="41"/>
      <c r="W235" s="41"/>
      <c r="X235" s="36"/>
      <c r="Y235" s="36"/>
      <c r="Z235" s="36"/>
      <c r="AA235" s="36"/>
      <c r="AB235" s="36"/>
      <c r="AC235" s="36"/>
    </row>
    <row r="236" spans="17:29" x14ac:dyDescent="0.2">
      <c r="Q236" s="36"/>
      <c r="R236" s="40"/>
      <c r="S236" s="40"/>
      <c r="T236" s="40"/>
      <c r="U236" s="41"/>
      <c r="V236" s="41"/>
      <c r="W236" s="41"/>
      <c r="X236" s="36"/>
      <c r="Y236" s="36"/>
      <c r="Z236" s="36"/>
      <c r="AA236" s="36"/>
      <c r="AB236" s="36"/>
      <c r="AC236" s="36"/>
    </row>
    <row r="237" spans="17:29" x14ac:dyDescent="0.2">
      <c r="Q237" s="36"/>
      <c r="R237" s="40"/>
      <c r="S237" s="40"/>
      <c r="T237" s="40"/>
      <c r="U237" s="41"/>
      <c r="V237" s="41"/>
      <c r="W237" s="41"/>
      <c r="X237" s="36"/>
      <c r="Y237" s="36"/>
      <c r="Z237" s="36"/>
      <c r="AA237" s="36"/>
      <c r="AB237" s="36"/>
      <c r="AC237" s="36"/>
    </row>
    <row r="238" spans="17:29" x14ac:dyDescent="0.2">
      <c r="Q238" s="36"/>
      <c r="R238" s="40"/>
      <c r="S238" s="40"/>
      <c r="T238" s="40"/>
      <c r="U238" s="41"/>
      <c r="V238" s="41"/>
      <c r="W238" s="41"/>
      <c r="X238" s="36"/>
      <c r="Y238" s="36"/>
      <c r="Z238" s="36"/>
      <c r="AA238" s="36"/>
      <c r="AB238" s="36"/>
      <c r="AC238" s="36"/>
    </row>
    <row r="239" spans="17:29" x14ac:dyDescent="0.2">
      <c r="Q239" s="36"/>
      <c r="R239" s="40"/>
      <c r="S239" s="40"/>
      <c r="T239" s="40"/>
      <c r="U239" s="41"/>
      <c r="V239" s="41"/>
      <c r="W239" s="41"/>
      <c r="X239" s="36"/>
      <c r="Y239" s="36"/>
      <c r="Z239" s="36"/>
      <c r="AA239" s="36"/>
      <c r="AB239" s="36"/>
      <c r="AC239" s="36"/>
    </row>
    <row r="240" spans="17:29" x14ac:dyDescent="0.2">
      <c r="Q240" s="36"/>
      <c r="R240" s="40"/>
      <c r="S240" s="40"/>
      <c r="T240" s="40"/>
      <c r="U240" s="41"/>
      <c r="V240" s="41"/>
      <c r="W240" s="41"/>
      <c r="X240" s="36"/>
      <c r="Y240" s="36"/>
      <c r="Z240" s="36"/>
      <c r="AA240" s="36"/>
      <c r="AB240" s="36"/>
      <c r="AC240" s="36"/>
    </row>
    <row r="241" spans="17:29" x14ac:dyDescent="0.2">
      <c r="Q241" s="36"/>
      <c r="R241" s="40"/>
      <c r="S241" s="40"/>
      <c r="T241" s="40"/>
      <c r="U241" s="41"/>
      <c r="V241" s="41"/>
      <c r="W241" s="41"/>
      <c r="X241" s="36"/>
      <c r="Y241" s="36"/>
      <c r="Z241" s="36"/>
      <c r="AA241" s="36"/>
      <c r="AB241" s="36"/>
      <c r="AC241" s="36"/>
    </row>
    <row r="242" spans="17:29" x14ac:dyDescent="0.2">
      <c r="Q242" s="36"/>
      <c r="R242" s="40"/>
      <c r="S242" s="40"/>
      <c r="T242" s="40"/>
      <c r="U242" s="41"/>
      <c r="V242" s="41"/>
      <c r="W242" s="41"/>
      <c r="X242" s="36"/>
      <c r="Y242" s="36"/>
      <c r="Z242" s="36"/>
      <c r="AA242" s="36"/>
      <c r="AB242" s="36"/>
      <c r="AC242" s="36"/>
    </row>
    <row r="243" spans="17:29" x14ac:dyDescent="0.2">
      <c r="Q243" s="36"/>
      <c r="R243" s="40"/>
      <c r="S243" s="40"/>
      <c r="T243" s="40"/>
      <c r="U243" s="41"/>
      <c r="V243" s="41"/>
      <c r="W243" s="41"/>
      <c r="X243" s="36"/>
      <c r="Y243" s="36"/>
      <c r="Z243" s="36"/>
      <c r="AA243" s="36"/>
      <c r="AB243" s="36"/>
      <c r="AC243" s="36"/>
    </row>
    <row r="244" spans="17:29" x14ac:dyDescent="0.2">
      <c r="Q244" s="36"/>
      <c r="R244" s="40"/>
      <c r="S244" s="40"/>
      <c r="T244" s="40"/>
      <c r="U244" s="41"/>
      <c r="V244" s="41"/>
      <c r="W244" s="41"/>
      <c r="X244" s="36"/>
      <c r="Y244" s="36"/>
      <c r="Z244" s="36"/>
      <c r="AA244" s="36"/>
      <c r="AB244" s="36"/>
      <c r="AC244" s="36"/>
    </row>
    <row r="245" spans="17:29" x14ac:dyDescent="0.2">
      <c r="Q245" s="36"/>
      <c r="R245" s="40"/>
      <c r="S245" s="40"/>
      <c r="T245" s="40"/>
      <c r="U245" s="41"/>
      <c r="V245" s="41"/>
      <c r="W245" s="41"/>
      <c r="X245" s="36"/>
      <c r="Y245" s="36"/>
      <c r="Z245" s="36"/>
      <c r="AA245" s="36"/>
      <c r="AB245" s="36"/>
      <c r="AC245" s="36"/>
    </row>
    <row r="246" spans="17:29" x14ac:dyDescent="0.2">
      <c r="Q246" s="36"/>
      <c r="R246" s="40"/>
      <c r="S246" s="40"/>
      <c r="T246" s="40"/>
      <c r="U246" s="41"/>
      <c r="V246" s="41"/>
      <c r="W246" s="41"/>
      <c r="X246" s="36"/>
      <c r="Y246" s="36"/>
      <c r="Z246" s="36"/>
      <c r="AA246" s="36"/>
      <c r="AB246" s="36"/>
      <c r="AC246" s="36"/>
    </row>
    <row r="247" spans="17:29" x14ac:dyDescent="0.2">
      <c r="Q247" s="36"/>
      <c r="R247" s="40"/>
      <c r="S247" s="40"/>
      <c r="T247" s="40"/>
      <c r="U247" s="41"/>
      <c r="V247" s="41"/>
      <c r="W247" s="41"/>
      <c r="X247" s="36"/>
      <c r="Y247" s="36"/>
      <c r="Z247" s="36"/>
      <c r="AA247" s="36"/>
      <c r="AB247" s="36"/>
      <c r="AC247" s="36"/>
    </row>
    <row r="248" spans="17:29" x14ac:dyDescent="0.2">
      <c r="Q248" s="36"/>
      <c r="R248" s="40"/>
      <c r="S248" s="40"/>
      <c r="T248" s="40"/>
      <c r="U248" s="41"/>
      <c r="V248" s="41"/>
      <c r="W248" s="41"/>
      <c r="X248" s="36"/>
      <c r="Y248" s="36"/>
      <c r="Z248" s="36"/>
      <c r="AA248" s="36"/>
      <c r="AB248" s="36"/>
      <c r="AC248" s="36"/>
    </row>
    <row r="249" spans="17:29" x14ac:dyDescent="0.2">
      <c r="Q249" s="36"/>
      <c r="R249" s="40"/>
      <c r="S249" s="40"/>
      <c r="T249" s="40"/>
      <c r="U249" s="41"/>
      <c r="V249" s="41"/>
      <c r="W249" s="41"/>
      <c r="X249" s="36"/>
      <c r="Y249" s="36"/>
      <c r="Z249" s="36"/>
      <c r="AA249" s="36"/>
      <c r="AB249" s="36"/>
      <c r="AC249" s="36"/>
    </row>
    <row r="250" spans="17:29" x14ac:dyDescent="0.2">
      <c r="Q250" s="36"/>
      <c r="R250" s="40"/>
      <c r="S250" s="40"/>
      <c r="T250" s="40"/>
      <c r="U250" s="41"/>
      <c r="V250" s="41"/>
      <c r="W250" s="41"/>
      <c r="X250" s="36"/>
      <c r="Y250" s="36"/>
      <c r="Z250" s="36"/>
      <c r="AA250" s="36"/>
      <c r="AB250" s="36"/>
      <c r="AC250" s="36"/>
    </row>
    <row r="251" spans="17:29" x14ac:dyDescent="0.2">
      <c r="Q251" s="36"/>
      <c r="R251" s="40"/>
      <c r="S251" s="40"/>
      <c r="T251" s="40"/>
      <c r="U251" s="41"/>
      <c r="V251" s="41"/>
      <c r="W251" s="41"/>
      <c r="X251" s="36"/>
      <c r="Y251" s="36"/>
      <c r="Z251" s="36"/>
      <c r="AA251" s="36"/>
      <c r="AB251" s="36"/>
      <c r="AC251" s="36"/>
    </row>
    <row r="252" spans="17:29" x14ac:dyDescent="0.2">
      <c r="Q252" s="36"/>
      <c r="R252" s="40"/>
      <c r="S252" s="40"/>
      <c r="T252" s="40"/>
      <c r="U252" s="41"/>
      <c r="V252" s="41"/>
      <c r="W252" s="41"/>
      <c r="X252" s="36"/>
      <c r="Y252" s="36"/>
      <c r="Z252" s="36"/>
      <c r="AA252" s="36"/>
      <c r="AB252" s="36"/>
      <c r="AC252" s="36"/>
    </row>
    <row r="253" spans="17:29" x14ac:dyDescent="0.2">
      <c r="Q253" s="36"/>
      <c r="R253" s="40"/>
      <c r="S253" s="40"/>
      <c r="T253" s="40"/>
      <c r="U253" s="41"/>
      <c r="V253" s="41"/>
      <c r="W253" s="41"/>
      <c r="X253" s="36"/>
      <c r="Y253" s="36"/>
      <c r="Z253" s="36"/>
      <c r="AA253" s="36"/>
      <c r="AB253" s="36"/>
      <c r="AC253" s="36"/>
    </row>
    <row r="254" spans="17:29" x14ac:dyDescent="0.2">
      <c r="Q254" s="36"/>
      <c r="R254" s="40"/>
      <c r="S254" s="40"/>
      <c r="T254" s="40"/>
      <c r="U254" s="41"/>
      <c r="V254" s="41"/>
      <c r="W254" s="41"/>
      <c r="X254" s="36"/>
      <c r="Y254" s="36"/>
      <c r="Z254" s="36"/>
      <c r="AA254" s="36"/>
      <c r="AB254" s="36"/>
      <c r="AC254" s="36"/>
    </row>
    <row r="255" spans="17:29" x14ac:dyDescent="0.2">
      <c r="Q255" s="36"/>
      <c r="R255" s="40"/>
      <c r="S255" s="40"/>
      <c r="T255" s="40"/>
      <c r="U255" s="41"/>
      <c r="V255" s="41"/>
      <c r="W255" s="41"/>
      <c r="X255" s="36"/>
      <c r="Y255" s="36"/>
      <c r="Z255" s="36"/>
      <c r="AA255" s="36"/>
      <c r="AB255" s="36"/>
      <c r="AC255" s="36"/>
    </row>
    <row r="256" spans="17:29" x14ac:dyDescent="0.2">
      <c r="Q256" s="36"/>
      <c r="R256" s="40"/>
      <c r="S256" s="40"/>
      <c r="T256" s="40"/>
      <c r="U256" s="41"/>
      <c r="V256" s="41"/>
      <c r="W256" s="41"/>
      <c r="X256" s="36"/>
      <c r="Y256" s="36"/>
      <c r="Z256" s="36"/>
      <c r="AA256" s="36"/>
      <c r="AB256" s="36"/>
      <c r="AC256" s="36"/>
    </row>
    <row r="257" spans="17:29" x14ac:dyDescent="0.2">
      <c r="Q257" s="36"/>
      <c r="R257" s="40"/>
      <c r="S257" s="40"/>
      <c r="T257" s="40"/>
      <c r="U257" s="41"/>
      <c r="V257" s="41"/>
      <c r="W257" s="41"/>
      <c r="X257" s="36"/>
      <c r="Y257" s="36"/>
      <c r="Z257" s="36"/>
      <c r="AA257" s="36"/>
      <c r="AB257" s="36"/>
      <c r="AC257" s="36"/>
    </row>
    <row r="258" spans="17:29" x14ac:dyDescent="0.2">
      <c r="Q258" s="36"/>
      <c r="R258" s="40"/>
      <c r="S258" s="40"/>
      <c r="T258" s="40"/>
      <c r="U258" s="41"/>
      <c r="V258" s="41"/>
      <c r="W258" s="41"/>
      <c r="X258" s="36"/>
      <c r="Y258" s="36"/>
      <c r="Z258" s="36"/>
      <c r="AA258" s="36"/>
      <c r="AB258" s="36"/>
      <c r="AC258" s="36"/>
    </row>
    <row r="259" spans="17:29" x14ac:dyDescent="0.2">
      <c r="Q259" s="36"/>
      <c r="R259" s="40"/>
      <c r="S259" s="40"/>
      <c r="T259" s="40"/>
      <c r="U259" s="41"/>
      <c r="V259" s="41"/>
      <c r="W259" s="41"/>
      <c r="X259" s="36"/>
      <c r="Y259" s="36"/>
      <c r="Z259" s="36"/>
      <c r="AA259" s="36"/>
      <c r="AB259" s="36"/>
      <c r="AC259" s="36"/>
    </row>
    <row r="260" spans="17:29" x14ac:dyDescent="0.2">
      <c r="Q260" s="36"/>
      <c r="R260" s="40"/>
      <c r="S260" s="40"/>
      <c r="T260" s="40"/>
      <c r="U260" s="41"/>
      <c r="V260" s="41"/>
      <c r="W260" s="41"/>
      <c r="X260" s="36"/>
      <c r="Y260" s="36"/>
      <c r="Z260" s="36"/>
      <c r="AA260" s="36"/>
      <c r="AB260" s="36"/>
      <c r="AC260" s="36"/>
    </row>
    <row r="261" spans="17:29" x14ac:dyDescent="0.2">
      <c r="Q261" s="36"/>
      <c r="R261" s="40"/>
      <c r="S261" s="40"/>
      <c r="T261" s="40"/>
      <c r="U261" s="41"/>
      <c r="V261" s="41"/>
      <c r="W261" s="41"/>
      <c r="X261" s="36"/>
      <c r="Y261" s="36"/>
      <c r="Z261" s="36"/>
      <c r="AA261" s="36"/>
      <c r="AB261" s="36"/>
      <c r="AC261" s="36"/>
    </row>
    <row r="262" spans="17:29" x14ac:dyDescent="0.2">
      <c r="Q262" s="36"/>
      <c r="R262" s="40"/>
      <c r="S262" s="40"/>
      <c r="T262" s="40"/>
      <c r="U262" s="41"/>
      <c r="V262" s="41"/>
      <c r="W262" s="41"/>
      <c r="X262" s="36"/>
      <c r="Y262" s="36"/>
      <c r="Z262" s="36"/>
      <c r="AA262" s="36"/>
      <c r="AB262" s="36"/>
      <c r="AC262" s="36"/>
    </row>
    <row r="263" spans="17:29" x14ac:dyDescent="0.2">
      <c r="Q263" s="36"/>
      <c r="R263" s="40"/>
      <c r="S263" s="40"/>
      <c r="T263" s="40"/>
      <c r="U263" s="41"/>
      <c r="V263" s="41"/>
      <c r="W263" s="41"/>
      <c r="X263" s="36"/>
      <c r="Y263" s="36"/>
      <c r="Z263" s="36"/>
      <c r="AA263" s="36"/>
      <c r="AB263" s="36"/>
      <c r="AC263" s="36"/>
    </row>
    <row r="264" spans="17:29" x14ac:dyDescent="0.2">
      <c r="Q264" s="36"/>
      <c r="R264" s="40"/>
      <c r="S264" s="40"/>
      <c r="T264" s="40"/>
      <c r="U264" s="41"/>
      <c r="V264" s="41"/>
      <c r="W264" s="41"/>
      <c r="X264" s="36"/>
      <c r="Y264" s="36"/>
      <c r="Z264" s="36"/>
      <c r="AA264" s="36"/>
      <c r="AB264" s="36"/>
      <c r="AC264" s="36"/>
    </row>
    <row r="265" spans="17:29" x14ac:dyDescent="0.2">
      <c r="Q265" s="36"/>
      <c r="R265" s="40"/>
      <c r="S265" s="40"/>
      <c r="T265" s="40"/>
      <c r="U265" s="41"/>
      <c r="V265" s="41"/>
      <c r="W265" s="41"/>
      <c r="X265" s="36"/>
      <c r="Y265" s="36"/>
      <c r="Z265" s="36"/>
      <c r="AA265" s="36"/>
      <c r="AB265" s="36"/>
      <c r="AC265" s="36"/>
    </row>
    <row r="266" spans="17:29" x14ac:dyDescent="0.2">
      <c r="Q266" s="36"/>
      <c r="R266" s="40"/>
      <c r="S266" s="40"/>
      <c r="T266" s="40"/>
      <c r="U266" s="41"/>
      <c r="V266" s="41"/>
      <c r="W266" s="41"/>
      <c r="X266" s="36"/>
      <c r="Y266" s="36"/>
      <c r="Z266" s="36"/>
      <c r="AA266" s="36"/>
      <c r="AB266" s="36"/>
      <c r="AC266" s="36"/>
    </row>
    <row r="267" spans="17:29" x14ac:dyDescent="0.2">
      <c r="Q267" s="36"/>
      <c r="R267" s="40"/>
      <c r="S267" s="40"/>
      <c r="T267" s="40"/>
      <c r="U267" s="41"/>
      <c r="V267" s="41"/>
      <c r="W267" s="41"/>
      <c r="X267" s="36"/>
      <c r="Y267" s="36"/>
      <c r="Z267" s="36"/>
      <c r="AA267" s="36"/>
      <c r="AB267" s="36"/>
      <c r="AC267" s="36"/>
    </row>
    <row r="268" spans="17:29" x14ac:dyDescent="0.2">
      <c r="Q268" s="36"/>
      <c r="R268" s="40"/>
      <c r="S268" s="40"/>
      <c r="T268" s="40"/>
      <c r="U268" s="41"/>
      <c r="V268" s="41"/>
      <c r="W268" s="41"/>
      <c r="X268" s="36"/>
      <c r="Y268" s="36"/>
      <c r="Z268" s="36"/>
      <c r="AA268" s="36"/>
      <c r="AB268" s="36"/>
      <c r="AC268" s="36"/>
    </row>
    <row r="269" spans="17:29" x14ac:dyDescent="0.2">
      <c r="Q269" s="36"/>
      <c r="R269" s="40"/>
      <c r="S269" s="40"/>
      <c r="T269" s="40"/>
      <c r="U269" s="41"/>
      <c r="V269" s="41"/>
      <c r="W269" s="41"/>
      <c r="X269" s="36"/>
      <c r="Y269" s="36"/>
      <c r="Z269" s="36"/>
      <c r="AA269" s="36"/>
      <c r="AB269" s="36"/>
      <c r="AC269" s="36"/>
    </row>
    <row r="270" spans="17:29" x14ac:dyDescent="0.2">
      <c r="Q270" s="36"/>
      <c r="R270" s="40"/>
      <c r="S270" s="40"/>
      <c r="T270" s="40"/>
      <c r="U270" s="41"/>
      <c r="V270" s="41"/>
      <c r="W270" s="41"/>
      <c r="X270" s="36"/>
      <c r="Y270" s="36"/>
      <c r="Z270" s="36"/>
      <c r="AA270" s="36"/>
      <c r="AB270" s="36"/>
      <c r="AC270" s="36"/>
    </row>
    <row r="271" spans="17:29" x14ac:dyDescent="0.2">
      <c r="Q271" s="36"/>
      <c r="R271" s="40"/>
      <c r="S271" s="40"/>
      <c r="T271" s="40"/>
      <c r="U271" s="41"/>
      <c r="V271" s="41"/>
      <c r="W271" s="41"/>
      <c r="X271" s="36"/>
      <c r="Y271" s="36"/>
      <c r="Z271" s="36"/>
      <c r="AA271" s="36"/>
      <c r="AB271" s="36"/>
      <c r="AC271" s="36"/>
    </row>
    <row r="272" spans="17:29" x14ac:dyDescent="0.2">
      <c r="Q272" s="36"/>
      <c r="R272" s="40"/>
      <c r="S272" s="40"/>
      <c r="T272" s="40"/>
      <c r="U272" s="41"/>
      <c r="V272" s="41"/>
      <c r="W272" s="41"/>
      <c r="X272" s="36"/>
      <c r="Y272" s="36"/>
      <c r="Z272" s="36"/>
      <c r="AA272" s="36"/>
      <c r="AB272" s="36"/>
      <c r="AC272" s="36"/>
    </row>
    <row r="273" spans="17:29" x14ac:dyDescent="0.2">
      <c r="Q273" s="36"/>
      <c r="R273" s="40"/>
      <c r="S273" s="40"/>
      <c r="T273" s="40"/>
      <c r="U273" s="41"/>
      <c r="V273" s="41"/>
      <c r="W273" s="41"/>
      <c r="X273" s="36"/>
      <c r="Y273" s="36"/>
      <c r="Z273" s="36"/>
      <c r="AA273" s="36"/>
      <c r="AB273" s="36"/>
      <c r="AC273" s="36"/>
    </row>
    <row r="274" spans="17:29" x14ac:dyDescent="0.2">
      <c r="Q274" s="36"/>
      <c r="R274" s="40"/>
      <c r="S274" s="40"/>
      <c r="T274" s="40"/>
      <c r="U274" s="41"/>
      <c r="V274" s="41"/>
      <c r="W274" s="41"/>
      <c r="X274" s="36"/>
      <c r="Y274" s="36"/>
      <c r="Z274" s="36"/>
      <c r="AA274" s="36"/>
      <c r="AB274" s="36"/>
      <c r="AC274" s="36"/>
    </row>
    <row r="275" spans="17:29" x14ac:dyDescent="0.2">
      <c r="Q275" s="36"/>
      <c r="R275" s="40"/>
      <c r="S275" s="40"/>
      <c r="T275" s="40"/>
      <c r="U275" s="41"/>
      <c r="V275" s="41"/>
      <c r="W275" s="41"/>
      <c r="X275" s="36"/>
      <c r="Y275" s="36"/>
      <c r="Z275" s="36"/>
      <c r="AA275" s="36"/>
      <c r="AB275" s="36"/>
      <c r="AC275" s="36"/>
    </row>
    <row r="276" spans="17:29" x14ac:dyDescent="0.2">
      <c r="Q276" s="36"/>
      <c r="R276" s="40"/>
      <c r="S276" s="40"/>
      <c r="T276" s="40"/>
      <c r="U276" s="41"/>
      <c r="V276" s="41"/>
      <c r="W276" s="41"/>
      <c r="X276" s="36"/>
      <c r="Y276" s="36"/>
      <c r="Z276" s="36"/>
      <c r="AA276" s="36"/>
      <c r="AB276" s="36"/>
      <c r="AC276" s="36"/>
    </row>
    <row r="277" spans="17:29" x14ac:dyDescent="0.2">
      <c r="Q277" s="36"/>
      <c r="R277" s="40"/>
      <c r="S277" s="40"/>
      <c r="T277" s="40"/>
      <c r="U277" s="41"/>
      <c r="V277" s="41"/>
      <c r="W277" s="41"/>
      <c r="X277" s="36"/>
      <c r="Y277" s="36"/>
      <c r="Z277" s="36"/>
      <c r="AA277" s="36"/>
      <c r="AB277" s="36"/>
      <c r="AC277" s="36"/>
    </row>
    <row r="278" spans="17:29" x14ac:dyDescent="0.2">
      <c r="Q278" s="36"/>
      <c r="R278" s="40"/>
      <c r="S278" s="40"/>
      <c r="T278" s="40"/>
      <c r="U278" s="41"/>
      <c r="V278" s="41"/>
      <c r="W278" s="41"/>
      <c r="X278" s="36"/>
      <c r="Y278" s="36"/>
      <c r="Z278" s="36"/>
      <c r="AA278" s="36"/>
      <c r="AB278" s="36"/>
      <c r="AC278" s="36"/>
    </row>
    <row r="279" spans="17:29" x14ac:dyDescent="0.2">
      <c r="Q279" s="36"/>
      <c r="R279" s="40"/>
      <c r="S279" s="40"/>
      <c r="T279" s="40"/>
      <c r="U279" s="41"/>
      <c r="V279" s="41"/>
      <c r="W279" s="41"/>
      <c r="X279" s="36"/>
      <c r="Y279" s="36"/>
      <c r="Z279" s="36"/>
      <c r="AA279" s="36"/>
      <c r="AB279" s="36"/>
      <c r="AC279" s="36"/>
    </row>
    <row r="280" spans="17:29" x14ac:dyDescent="0.2">
      <c r="Q280" s="36"/>
      <c r="R280" s="40"/>
      <c r="S280" s="40"/>
      <c r="T280" s="40"/>
      <c r="U280" s="41"/>
      <c r="V280" s="41"/>
      <c r="W280" s="41"/>
      <c r="X280" s="36"/>
      <c r="Y280" s="36"/>
      <c r="Z280" s="36"/>
      <c r="AA280" s="36"/>
      <c r="AB280" s="36"/>
      <c r="AC280" s="36"/>
    </row>
    <row r="281" spans="17:29" x14ac:dyDescent="0.2">
      <c r="Q281" s="36"/>
      <c r="R281" s="40"/>
      <c r="S281" s="40"/>
      <c r="T281" s="40"/>
      <c r="U281" s="41"/>
      <c r="V281" s="41"/>
      <c r="W281" s="41"/>
      <c r="X281" s="36"/>
      <c r="Y281" s="36"/>
      <c r="Z281" s="36"/>
      <c r="AA281" s="36"/>
      <c r="AB281" s="36"/>
      <c r="AC281" s="36"/>
    </row>
    <row r="282" spans="17:29" x14ac:dyDescent="0.2">
      <c r="Q282" s="36"/>
      <c r="R282" s="40"/>
      <c r="S282" s="40"/>
      <c r="T282" s="40"/>
      <c r="U282" s="41"/>
      <c r="V282" s="41"/>
      <c r="W282" s="41"/>
      <c r="X282" s="36"/>
      <c r="Y282" s="36"/>
      <c r="Z282" s="36"/>
      <c r="AA282" s="36"/>
      <c r="AB282" s="36"/>
      <c r="AC282" s="36"/>
    </row>
    <row r="283" spans="17:29" x14ac:dyDescent="0.2">
      <c r="Q283" s="36"/>
      <c r="R283" s="40"/>
      <c r="S283" s="40"/>
      <c r="T283" s="40"/>
      <c r="U283" s="41"/>
      <c r="V283" s="41"/>
      <c r="W283" s="41"/>
      <c r="X283" s="36"/>
      <c r="Y283" s="36"/>
      <c r="Z283" s="36"/>
      <c r="AA283" s="36"/>
      <c r="AB283" s="36"/>
      <c r="AC283" s="36"/>
    </row>
    <row r="284" spans="17:29" x14ac:dyDescent="0.2">
      <c r="Q284" s="36"/>
      <c r="R284" s="40"/>
      <c r="S284" s="40"/>
      <c r="T284" s="40"/>
      <c r="U284" s="41"/>
      <c r="V284" s="41"/>
      <c r="W284" s="41"/>
      <c r="X284" s="36"/>
      <c r="Y284" s="36"/>
      <c r="Z284" s="36"/>
      <c r="AA284" s="36"/>
      <c r="AB284" s="36"/>
      <c r="AC284" s="36"/>
    </row>
    <row r="285" spans="17:29" x14ac:dyDescent="0.2">
      <c r="Q285" s="36"/>
      <c r="R285" s="40"/>
      <c r="S285" s="40"/>
      <c r="T285" s="40"/>
      <c r="U285" s="41"/>
      <c r="V285" s="41"/>
      <c r="W285" s="41"/>
      <c r="X285" s="36"/>
      <c r="Y285" s="36"/>
      <c r="Z285" s="36"/>
      <c r="AA285" s="36"/>
      <c r="AB285" s="36"/>
      <c r="AC285" s="36"/>
    </row>
    <row r="286" spans="17:29" x14ac:dyDescent="0.2">
      <c r="Q286" s="36"/>
      <c r="R286" s="40"/>
      <c r="S286" s="40"/>
      <c r="T286" s="40"/>
      <c r="U286" s="41"/>
      <c r="V286" s="41"/>
      <c r="W286" s="41"/>
      <c r="X286" s="36"/>
      <c r="Y286" s="36"/>
      <c r="Z286" s="36"/>
      <c r="AA286" s="36"/>
      <c r="AB286" s="36"/>
      <c r="AC286" s="36"/>
    </row>
    <row r="287" spans="17:29" x14ac:dyDescent="0.2">
      <c r="Q287" s="36"/>
      <c r="R287" s="40"/>
      <c r="S287" s="40"/>
      <c r="T287" s="40"/>
      <c r="U287" s="41"/>
      <c r="V287" s="41"/>
      <c r="W287" s="41"/>
      <c r="X287" s="36"/>
      <c r="Y287" s="36"/>
      <c r="Z287" s="36"/>
      <c r="AA287" s="36"/>
      <c r="AB287" s="36"/>
      <c r="AC287" s="36"/>
    </row>
    <row r="288" spans="17:29" x14ac:dyDescent="0.2">
      <c r="Q288" s="36"/>
      <c r="R288" s="40"/>
      <c r="S288" s="40"/>
      <c r="T288" s="40"/>
      <c r="U288" s="41"/>
      <c r="V288" s="41"/>
      <c r="W288" s="41"/>
      <c r="X288" s="36"/>
      <c r="Y288" s="36"/>
      <c r="Z288" s="36"/>
      <c r="AA288" s="36"/>
      <c r="AB288" s="36"/>
      <c r="AC288" s="36"/>
    </row>
    <row r="289" spans="17:29" x14ac:dyDescent="0.2">
      <c r="Q289" s="36"/>
      <c r="R289" s="40"/>
      <c r="S289" s="40"/>
      <c r="T289" s="40"/>
      <c r="U289" s="41"/>
      <c r="V289" s="41"/>
      <c r="W289" s="41"/>
      <c r="X289" s="36"/>
      <c r="Y289" s="36"/>
      <c r="Z289" s="36"/>
      <c r="AA289" s="36"/>
      <c r="AB289" s="36"/>
      <c r="AC289" s="36"/>
    </row>
    <row r="290" spans="17:29" x14ac:dyDescent="0.2">
      <c r="Q290" s="36"/>
      <c r="R290" s="40"/>
      <c r="S290" s="40"/>
      <c r="T290" s="40"/>
      <c r="U290" s="41"/>
      <c r="V290" s="41"/>
      <c r="W290" s="41"/>
      <c r="X290" s="36"/>
      <c r="Y290" s="36"/>
      <c r="Z290" s="36"/>
      <c r="AA290" s="36"/>
      <c r="AB290" s="36"/>
      <c r="AC290" s="36"/>
    </row>
    <row r="291" spans="17:29" x14ac:dyDescent="0.2">
      <c r="Q291" s="36"/>
      <c r="R291" s="40"/>
      <c r="S291" s="40"/>
      <c r="T291" s="40"/>
      <c r="U291" s="41"/>
      <c r="V291" s="41"/>
      <c r="W291" s="41"/>
      <c r="X291" s="36"/>
      <c r="Y291" s="36"/>
      <c r="Z291" s="36"/>
      <c r="AA291" s="36"/>
      <c r="AB291" s="36"/>
      <c r="AC291" s="36"/>
    </row>
    <row r="292" spans="17:29" x14ac:dyDescent="0.2">
      <c r="Q292" s="36"/>
      <c r="R292" s="40"/>
      <c r="S292" s="40"/>
      <c r="T292" s="40"/>
      <c r="U292" s="41"/>
      <c r="V292" s="41"/>
      <c r="W292" s="41"/>
      <c r="X292" s="36"/>
      <c r="Y292" s="36"/>
      <c r="Z292" s="36"/>
      <c r="AA292" s="36"/>
      <c r="AB292" s="36"/>
      <c r="AC292" s="36"/>
    </row>
    <row r="293" spans="17:29" x14ac:dyDescent="0.2">
      <c r="Q293" s="36"/>
      <c r="R293" s="40"/>
      <c r="S293" s="40"/>
      <c r="T293" s="40"/>
      <c r="U293" s="41"/>
      <c r="V293" s="41"/>
      <c r="W293" s="41"/>
      <c r="X293" s="36"/>
      <c r="Y293" s="36"/>
      <c r="Z293" s="36"/>
      <c r="AA293" s="36"/>
      <c r="AB293" s="36"/>
      <c r="AC293" s="36"/>
    </row>
    <row r="294" spans="17:29" x14ac:dyDescent="0.2">
      <c r="Q294" s="36"/>
      <c r="R294" s="40"/>
      <c r="S294" s="40"/>
      <c r="T294" s="40"/>
      <c r="U294" s="41"/>
      <c r="V294" s="41"/>
      <c r="W294" s="41"/>
      <c r="X294" s="36"/>
      <c r="Y294" s="36"/>
      <c r="Z294" s="36"/>
      <c r="AA294" s="36"/>
      <c r="AB294" s="36"/>
      <c r="AC294" s="36"/>
    </row>
    <row r="295" spans="17:29" x14ac:dyDescent="0.2">
      <c r="Q295" s="36"/>
      <c r="R295" s="40"/>
      <c r="S295" s="40"/>
      <c r="T295" s="40"/>
      <c r="U295" s="41"/>
      <c r="V295" s="41"/>
      <c r="W295" s="41"/>
      <c r="X295" s="36"/>
      <c r="Y295" s="36"/>
      <c r="Z295" s="36"/>
      <c r="AA295" s="36"/>
      <c r="AB295" s="36"/>
      <c r="AC295" s="36"/>
    </row>
    <row r="296" spans="17:29" x14ac:dyDescent="0.2">
      <c r="Q296" s="36"/>
      <c r="R296" s="40"/>
      <c r="S296" s="40"/>
      <c r="T296" s="40"/>
      <c r="U296" s="41"/>
      <c r="V296" s="41"/>
      <c r="W296" s="41"/>
      <c r="X296" s="36"/>
      <c r="Y296" s="36"/>
      <c r="Z296" s="36"/>
      <c r="AA296" s="36"/>
      <c r="AB296" s="36"/>
      <c r="AC296" s="36"/>
    </row>
    <row r="297" spans="17:29" x14ac:dyDescent="0.2">
      <c r="Q297" s="36"/>
      <c r="R297" s="40"/>
      <c r="S297" s="40"/>
      <c r="T297" s="40"/>
      <c r="U297" s="41"/>
      <c r="V297" s="41"/>
      <c r="W297" s="41"/>
      <c r="X297" s="36"/>
      <c r="Y297" s="36"/>
      <c r="Z297" s="36"/>
      <c r="AA297" s="36"/>
      <c r="AB297" s="36"/>
      <c r="AC297" s="36"/>
    </row>
    <row r="298" spans="17:29" x14ac:dyDescent="0.2">
      <c r="Q298" s="36"/>
      <c r="R298" s="40"/>
      <c r="S298" s="40"/>
      <c r="T298" s="40"/>
      <c r="U298" s="41"/>
      <c r="V298" s="41"/>
      <c r="W298" s="41"/>
      <c r="X298" s="36"/>
      <c r="Y298" s="36"/>
      <c r="Z298" s="36"/>
      <c r="AA298" s="36"/>
      <c r="AB298" s="36"/>
      <c r="AC298" s="36"/>
    </row>
    <row r="299" spans="17:29" x14ac:dyDescent="0.2">
      <c r="Q299" s="36"/>
      <c r="R299" s="40"/>
      <c r="S299" s="40"/>
      <c r="T299" s="40"/>
      <c r="U299" s="41"/>
      <c r="V299" s="41"/>
      <c r="W299" s="41"/>
      <c r="X299" s="36"/>
      <c r="Y299" s="36"/>
      <c r="Z299" s="36"/>
      <c r="AA299" s="36"/>
      <c r="AB299" s="36"/>
      <c r="AC299" s="36"/>
    </row>
    <row r="300" spans="17:29" x14ac:dyDescent="0.2">
      <c r="Q300" s="36"/>
      <c r="R300" s="40"/>
      <c r="S300" s="40"/>
      <c r="T300" s="40"/>
      <c r="U300" s="41"/>
      <c r="V300" s="41"/>
      <c r="W300" s="41"/>
      <c r="X300" s="36"/>
      <c r="Y300" s="36"/>
      <c r="Z300" s="36"/>
      <c r="AA300" s="36"/>
      <c r="AB300" s="36"/>
      <c r="AC300" s="36"/>
    </row>
    <row r="301" spans="17:29" x14ac:dyDescent="0.2">
      <c r="Q301" s="36"/>
      <c r="R301" s="40"/>
      <c r="S301" s="40"/>
      <c r="T301" s="40"/>
      <c r="U301" s="41"/>
      <c r="V301" s="41"/>
      <c r="W301" s="41"/>
      <c r="X301" s="36"/>
      <c r="Y301" s="36"/>
      <c r="Z301" s="36"/>
      <c r="AA301" s="36"/>
      <c r="AB301" s="36"/>
      <c r="AC301" s="36"/>
    </row>
    <row r="302" spans="17:29" x14ac:dyDescent="0.2">
      <c r="Q302" s="36"/>
      <c r="R302" s="40"/>
      <c r="S302" s="40"/>
      <c r="T302" s="40"/>
      <c r="U302" s="41"/>
      <c r="V302" s="41"/>
      <c r="W302" s="41"/>
      <c r="X302" s="36"/>
      <c r="Y302" s="36"/>
      <c r="Z302" s="36"/>
      <c r="AA302" s="36"/>
      <c r="AB302" s="36"/>
      <c r="AC302" s="36"/>
    </row>
    <row r="303" spans="17:29" x14ac:dyDescent="0.2">
      <c r="Q303" s="36"/>
      <c r="R303" s="40"/>
      <c r="S303" s="40"/>
      <c r="T303" s="40"/>
      <c r="U303" s="41"/>
      <c r="V303" s="41"/>
      <c r="W303" s="41"/>
      <c r="X303" s="36"/>
      <c r="Y303" s="36"/>
      <c r="Z303" s="36"/>
      <c r="AA303" s="36"/>
      <c r="AB303" s="36"/>
      <c r="AC303" s="36"/>
    </row>
    <row r="304" spans="17:29" x14ac:dyDescent="0.2">
      <c r="Q304" s="36"/>
      <c r="R304" s="40"/>
      <c r="S304" s="40"/>
      <c r="T304" s="40"/>
      <c r="U304" s="41"/>
      <c r="V304" s="41"/>
      <c r="W304" s="41"/>
      <c r="X304" s="36"/>
      <c r="Y304" s="36"/>
      <c r="Z304" s="36"/>
      <c r="AA304" s="36"/>
      <c r="AB304" s="36"/>
      <c r="AC304" s="36"/>
    </row>
    <row r="305" spans="17:29" x14ac:dyDescent="0.2">
      <c r="Q305" s="36"/>
      <c r="R305" s="40"/>
      <c r="S305" s="40"/>
      <c r="T305" s="40"/>
      <c r="U305" s="41"/>
      <c r="V305" s="41"/>
      <c r="W305" s="41"/>
      <c r="X305" s="36"/>
      <c r="Y305" s="36"/>
      <c r="Z305" s="36"/>
      <c r="AA305" s="36"/>
      <c r="AB305" s="36"/>
      <c r="AC305" s="36"/>
    </row>
    <row r="306" spans="17:29" x14ac:dyDescent="0.2">
      <c r="Q306" s="36"/>
      <c r="R306" s="40"/>
      <c r="S306" s="40"/>
      <c r="T306" s="40"/>
      <c r="U306" s="41"/>
      <c r="V306" s="41"/>
      <c r="W306" s="41"/>
      <c r="X306" s="36"/>
      <c r="Y306" s="36"/>
      <c r="Z306" s="36"/>
      <c r="AA306" s="36"/>
      <c r="AB306" s="36"/>
      <c r="AC306" s="36"/>
    </row>
    <row r="307" spans="17:29" x14ac:dyDescent="0.2">
      <c r="Q307" s="36"/>
      <c r="R307" s="40"/>
      <c r="S307" s="40"/>
      <c r="T307" s="40"/>
      <c r="U307" s="41"/>
      <c r="V307" s="41"/>
      <c r="W307" s="41"/>
      <c r="X307" s="36"/>
      <c r="Y307" s="36"/>
      <c r="Z307" s="36"/>
      <c r="AA307" s="36"/>
      <c r="AB307" s="36"/>
      <c r="AC307" s="36"/>
    </row>
    <row r="308" spans="17:29" x14ac:dyDescent="0.2">
      <c r="Q308" s="36"/>
      <c r="R308" s="40"/>
      <c r="S308" s="40"/>
      <c r="T308" s="40"/>
      <c r="U308" s="41"/>
      <c r="V308" s="41"/>
      <c r="W308" s="41"/>
      <c r="X308" s="36"/>
      <c r="Y308" s="36"/>
      <c r="Z308" s="36"/>
      <c r="AA308" s="36"/>
      <c r="AB308" s="36"/>
      <c r="AC308" s="36"/>
    </row>
    <row r="309" spans="17:29" x14ac:dyDescent="0.2">
      <c r="Q309" s="36"/>
      <c r="R309" s="40"/>
      <c r="S309" s="40"/>
      <c r="T309" s="40"/>
      <c r="U309" s="41"/>
      <c r="V309" s="41"/>
      <c r="W309" s="41"/>
      <c r="X309" s="36"/>
      <c r="Y309" s="36"/>
      <c r="Z309" s="36"/>
      <c r="AA309" s="36"/>
      <c r="AB309" s="36"/>
      <c r="AC309" s="36"/>
    </row>
    <row r="310" spans="17:29" x14ac:dyDescent="0.2">
      <c r="Q310" s="36"/>
      <c r="R310" s="40"/>
      <c r="S310" s="40"/>
      <c r="T310" s="40"/>
      <c r="U310" s="41"/>
      <c r="V310" s="41"/>
      <c r="W310" s="41"/>
      <c r="X310" s="36"/>
      <c r="Y310" s="36"/>
      <c r="Z310" s="36"/>
      <c r="AA310" s="36"/>
      <c r="AB310" s="36"/>
      <c r="AC310" s="36"/>
    </row>
    <row r="311" spans="17:29" x14ac:dyDescent="0.2">
      <c r="Q311" s="36"/>
      <c r="R311" s="40"/>
      <c r="S311" s="40"/>
      <c r="T311" s="40"/>
      <c r="U311" s="41"/>
      <c r="V311" s="41"/>
      <c r="W311" s="41"/>
      <c r="X311" s="36"/>
      <c r="Y311" s="36"/>
      <c r="Z311" s="36"/>
      <c r="AA311" s="36"/>
      <c r="AB311" s="36"/>
      <c r="AC311" s="36"/>
    </row>
    <row r="312" spans="17:29" x14ac:dyDescent="0.2">
      <c r="Q312" s="36"/>
      <c r="R312" s="40"/>
      <c r="S312" s="40"/>
      <c r="T312" s="40"/>
      <c r="U312" s="41"/>
      <c r="V312" s="41"/>
      <c r="W312" s="41"/>
      <c r="X312" s="36"/>
      <c r="Y312" s="36"/>
      <c r="Z312" s="36"/>
      <c r="AA312" s="36"/>
      <c r="AB312" s="36"/>
      <c r="AC312" s="36"/>
    </row>
    <row r="313" spans="17:29" x14ac:dyDescent="0.2">
      <c r="Q313" s="36"/>
      <c r="R313" s="40"/>
      <c r="S313" s="40"/>
      <c r="T313" s="40"/>
      <c r="U313" s="41"/>
      <c r="V313" s="41"/>
      <c r="W313" s="41"/>
      <c r="X313" s="36"/>
      <c r="Y313" s="36"/>
      <c r="Z313" s="36"/>
      <c r="AA313" s="36"/>
      <c r="AB313" s="36"/>
      <c r="AC313" s="36"/>
    </row>
    <row r="314" spans="17:29" x14ac:dyDescent="0.2">
      <c r="Q314" s="36"/>
      <c r="R314" s="40"/>
      <c r="S314" s="40"/>
      <c r="T314" s="40"/>
      <c r="U314" s="41"/>
      <c r="V314" s="41"/>
      <c r="W314" s="41"/>
      <c r="X314" s="36"/>
      <c r="Y314" s="36"/>
      <c r="Z314" s="36"/>
      <c r="AA314" s="36"/>
      <c r="AB314" s="36"/>
      <c r="AC314" s="36"/>
    </row>
    <row r="315" spans="17:29" x14ac:dyDescent="0.2">
      <c r="Q315" s="36"/>
      <c r="R315" s="40"/>
      <c r="S315" s="40"/>
      <c r="T315" s="40"/>
      <c r="U315" s="41"/>
      <c r="V315" s="41"/>
      <c r="W315" s="41"/>
      <c r="X315" s="36"/>
      <c r="Y315" s="36"/>
      <c r="Z315" s="36"/>
      <c r="AA315" s="36"/>
      <c r="AB315" s="36"/>
      <c r="AC315" s="36"/>
    </row>
    <row r="316" spans="17:29" x14ac:dyDescent="0.2">
      <c r="Q316" s="36"/>
      <c r="R316" s="40"/>
      <c r="S316" s="40"/>
      <c r="T316" s="40"/>
      <c r="U316" s="41"/>
      <c r="V316" s="41"/>
      <c r="W316" s="41"/>
      <c r="X316" s="36"/>
      <c r="Y316" s="36"/>
      <c r="Z316" s="36"/>
      <c r="AA316" s="36"/>
      <c r="AB316" s="36"/>
      <c r="AC316" s="36"/>
    </row>
    <row r="317" spans="17:29" x14ac:dyDescent="0.2">
      <c r="Q317" s="36"/>
      <c r="R317" s="40"/>
      <c r="S317" s="40"/>
      <c r="T317" s="40"/>
      <c r="U317" s="41"/>
      <c r="V317" s="41"/>
      <c r="W317" s="41"/>
      <c r="X317" s="36"/>
      <c r="Y317" s="36"/>
      <c r="Z317" s="36"/>
      <c r="AA317" s="36"/>
      <c r="AB317" s="36"/>
      <c r="AC317" s="36"/>
    </row>
    <row r="318" spans="17:29" x14ac:dyDescent="0.2">
      <c r="Q318" s="36"/>
      <c r="R318" s="40"/>
      <c r="S318" s="40"/>
      <c r="T318" s="40"/>
      <c r="U318" s="41"/>
      <c r="V318" s="41"/>
      <c r="W318" s="41"/>
      <c r="X318" s="36"/>
      <c r="Y318" s="36"/>
      <c r="Z318" s="36"/>
      <c r="AA318" s="36"/>
      <c r="AB318" s="36"/>
      <c r="AC318" s="36"/>
    </row>
    <row r="319" spans="17:29" x14ac:dyDescent="0.2">
      <c r="Q319" s="36"/>
      <c r="R319" s="40"/>
      <c r="S319" s="40"/>
      <c r="T319" s="40"/>
      <c r="U319" s="41"/>
      <c r="V319" s="41"/>
      <c r="W319" s="41"/>
      <c r="X319" s="36"/>
      <c r="Y319" s="36"/>
      <c r="Z319" s="36"/>
      <c r="AA319" s="36"/>
      <c r="AB319" s="36"/>
      <c r="AC319" s="36"/>
    </row>
    <row r="320" spans="17:29" x14ac:dyDescent="0.2">
      <c r="Q320" s="36"/>
      <c r="R320" s="40"/>
      <c r="S320" s="40"/>
      <c r="T320" s="40"/>
      <c r="U320" s="41"/>
      <c r="V320" s="41"/>
      <c r="W320" s="41"/>
      <c r="X320" s="36"/>
      <c r="Y320" s="36"/>
      <c r="Z320" s="36"/>
      <c r="AA320" s="36"/>
      <c r="AB320" s="36"/>
      <c r="AC320" s="36"/>
    </row>
    <row r="321" spans="17:29" x14ac:dyDescent="0.2">
      <c r="Q321" s="36"/>
      <c r="R321" s="40"/>
      <c r="S321" s="40"/>
      <c r="T321" s="40"/>
      <c r="U321" s="41"/>
      <c r="V321" s="41"/>
      <c r="W321" s="41"/>
      <c r="X321" s="36"/>
      <c r="Y321" s="36"/>
      <c r="Z321" s="36"/>
      <c r="AA321" s="36"/>
      <c r="AB321" s="36"/>
      <c r="AC321" s="36"/>
    </row>
    <row r="322" spans="17:29" x14ac:dyDescent="0.2">
      <c r="Q322" s="36"/>
      <c r="R322" s="40"/>
      <c r="S322" s="40"/>
      <c r="T322" s="40"/>
      <c r="U322" s="41"/>
      <c r="V322" s="41"/>
      <c r="W322" s="41"/>
      <c r="X322" s="36"/>
      <c r="Y322" s="36"/>
      <c r="Z322" s="36"/>
      <c r="AA322" s="36"/>
      <c r="AB322" s="36"/>
      <c r="AC322" s="36"/>
    </row>
    <row r="323" spans="17:29" x14ac:dyDescent="0.2">
      <c r="Q323" s="36"/>
      <c r="R323" s="40"/>
      <c r="S323" s="40"/>
      <c r="T323" s="40"/>
      <c r="U323" s="41"/>
      <c r="V323" s="41"/>
      <c r="W323" s="41"/>
      <c r="X323" s="36"/>
      <c r="Y323" s="36"/>
      <c r="Z323" s="36"/>
      <c r="AA323" s="36"/>
      <c r="AB323" s="36"/>
      <c r="AC323" s="36"/>
    </row>
    <row r="324" spans="17:29" x14ac:dyDescent="0.2">
      <c r="Q324" s="36"/>
      <c r="R324" s="40"/>
      <c r="S324" s="40"/>
      <c r="T324" s="40"/>
      <c r="U324" s="41"/>
      <c r="V324" s="41"/>
      <c r="W324" s="41"/>
      <c r="X324" s="36"/>
      <c r="Y324" s="36"/>
      <c r="Z324" s="36"/>
      <c r="AA324" s="36"/>
      <c r="AB324" s="36"/>
      <c r="AC324" s="36"/>
    </row>
    <row r="325" spans="17:29" x14ac:dyDescent="0.2">
      <c r="Q325" s="36"/>
      <c r="R325" s="40"/>
      <c r="S325" s="40"/>
      <c r="T325" s="40"/>
      <c r="U325" s="41"/>
      <c r="V325" s="41"/>
      <c r="W325" s="41"/>
      <c r="X325" s="36"/>
      <c r="Y325" s="36"/>
      <c r="Z325" s="36"/>
      <c r="AA325" s="36"/>
      <c r="AB325" s="36"/>
      <c r="AC325" s="36"/>
    </row>
    <row r="326" spans="17:29" x14ac:dyDescent="0.2">
      <c r="Q326" s="36"/>
      <c r="R326" s="40"/>
      <c r="S326" s="40"/>
      <c r="T326" s="40"/>
      <c r="U326" s="41"/>
      <c r="V326" s="41"/>
      <c r="W326" s="41"/>
      <c r="X326" s="36"/>
      <c r="Y326" s="36"/>
      <c r="Z326" s="36"/>
      <c r="AA326" s="36"/>
      <c r="AB326" s="36"/>
      <c r="AC326" s="36"/>
    </row>
    <row r="327" spans="17:29" x14ac:dyDescent="0.2">
      <c r="Q327" s="36"/>
      <c r="R327" s="40"/>
      <c r="S327" s="40"/>
      <c r="T327" s="40"/>
      <c r="U327" s="41"/>
      <c r="V327" s="41"/>
      <c r="W327" s="41"/>
      <c r="X327" s="36"/>
      <c r="Y327" s="36"/>
      <c r="Z327" s="36"/>
      <c r="AA327" s="36"/>
      <c r="AB327" s="36"/>
      <c r="AC327" s="36"/>
    </row>
    <row r="328" spans="17:29" x14ac:dyDescent="0.2">
      <c r="Q328" s="36"/>
      <c r="R328" s="40"/>
      <c r="S328" s="40"/>
      <c r="T328" s="40"/>
      <c r="U328" s="41"/>
      <c r="V328" s="41"/>
      <c r="W328" s="41"/>
      <c r="X328" s="36"/>
      <c r="Y328" s="36"/>
      <c r="Z328" s="36"/>
      <c r="AA328" s="36"/>
      <c r="AB328" s="36"/>
      <c r="AC328" s="36"/>
    </row>
    <row r="329" spans="17:29" x14ac:dyDescent="0.2">
      <c r="Q329" s="36"/>
      <c r="R329" s="40"/>
      <c r="S329" s="40"/>
      <c r="T329" s="40"/>
      <c r="U329" s="41"/>
      <c r="V329" s="41"/>
      <c r="W329" s="41"/>
      <c r="X329" s="36"/>
      <c r="Y329" s="36"/>
      <c r="Z329" s="36"/>
      <c r="AA329" s="36"/>
      <c r="AB329" s="36"/>
      <c r="AC329" s="36"/>
    </row>
    <row r="330" spans="17:29" x14ac:dyDescent="0.2">
      <c r="Q330" s="36"/>
      <c r="R330" s="40"/>
      <c r="S330" s="40"/>
      <c r="T330" s="40"/>
      <c r="U330" s="41"/>
      <c r="V330" s="41"/>
      <c r="W330" s="41"/>
      <c r="X330" s="36"/>
      <c r="Y330" s="36"/>
      <c r="Z330" s="36"/>
      <c r="AA330" s="36"/>
      <c r="AB330" s="36"/>
      <c r="AC330" s="36"/>
    </row>
    <row r="331" spans="17:29" x14ac:dyDescent="0.2">
      <c r="Q331" s="36"/>
      <c r="R331" s="40"/>
      <c r="S331" s="40"/>
      <c r="T331" s="40"/>
      <c r="U331" s="41"/>
      <c r="V331" s="41"/>
      <c r="W331" s="41"/>
      <c r="X331" s="36"/>
      <c r="Y331" s="36"/>
      <c r="Z331" s="36"/>
      <c r="AA331" s="36"/>
      <c r="AB331" s="36"/>
      <c r="AC331" s="36"/>
    </row>
    <row r="332" spans="17:29" x14ac:dyDescent="0.2">
      <c r="Q332" s="36"/>
      <c r="R332" s="40"/>
      <c r="S332" s="40"/>
      <c r="T332" s="40"/>
      <c r="U332" s="41"/>
      <c r="V332" s="41"/>
      <c r="W332" s="41"/>
      <c r="X332" s="36"/>
      <c r="Y332" s="36"/>
      <c r="Z332" s="36"/>
      <c r="AA332" s="36"/>
      <c r="AB332" s="36"/>
      <c r="AC332" s="36"/>
    </row>
    <row r="333" spans="17:29" x14ac:dyDescent="0.2">
      <c r="Q333" s="36"/>
      <c r="R333" s="40"/>
      <c r="S333" s="40"/>
      <c r="T333" s="40"/>
      <c r="U333" s="41"/>
      <c r="V333" s="41"/>
      <c r="W333" s="41"/>
      <c r="X333" s="36"/>
      <c r="Y333" s="36"/>
      <c r="Z333" s="36"/>
      <c r="AA333" s="36"/>
      <c r="AB333" s="36"/>
      <c r="AC333" s="36"/>
    </row>
    <row r="334" spans="17:29" x14ac:dyDescent="0.2">
      <c r="Q334" s="36"/>
      <c r="R334" s="40"/>
      <c r="S334" s="40"/>
      <c r="T334" s="40"/>
      <c r="U334" s="41"/>
      <c r="V334" s="41"/>
      <c r="W334" s="41"/>
      <c r="X334" s="36"/>
      <c r="Y334" s="36"/>
      <c r="Z334" s="36"/>
      <c r="AA334" s="36"/>
      <c r="AB334" s="36"/>
      <c r="AC334" s="36"/>
    </row>
    <row r="335" spans="17:29" x14ac:dyDescent="0.2">
      <c r="Q335" s="36"/>
      <c r="R335" s="40"/>
      <c r="S335" s="40"/>
      <c r="T335" s="40"/>
      <c r="U335" s="41"/>
      <c r="V335" s="41"/>
      <c r="W335" s="41"/>
      <c r="X335" s="36"/>
      <c r="Y335" s="36"/>
      <c r="Z335" s="36"/>
      <c r="AA335" s="36"/>
      <c r="AB335" s="36"/>
      <c r="AC335" s="36"/>
    </row>
    <row r="336" spans="17:29" x14ac:dyDescent="0.2">
      <c r="Q336" s="36"/>
      <c r="R336" s="40"/>
      <c r="S336" s="40"/>
      <c r="T336" s="40"/>
      <c r="U336" s="41"/>
      <c r="V336" s="41"/>
      <c r="W336" s="41"/>
      <c r="X336" s="36"/>
      <c r="Y336" s="36"/>
      <c r="Z336" s="36"/>
      <c r="AA336" s="36"/>
      <c r="AB336" s="36"/>
      <c r="AC336" s="36"/>
    </row>
    <row r="337" spans="17:29" x14ac:dyDescent="0.2">
      <c r="Q337" s="36"/>
      <c r="R337" s="40"/>
      <c r="S337" s="40"/>
      <c r="T337" s="40"/>
      <c r="U337" s="41"/>
      <c r="V337" s="41"/>
      <c r="W337" s="41"/>
      <c r="X337" s="36"/>
      <c r="Y337" s="36"/>
      <c r="Z337" s="36"/>
      <c r="AA337" s="36"/>
      <c r="AB337" s="36"/>
      <c r="AC337" s="36"/>
    </row>
    <row r="338" spans="17:29" x14ac:dyDescent="0.2">
      <c r="Q338" s="36"/>
      <c r="R338" s="40"/>
      <c r="S338" s="40"/>
      <c r="T338" s="40"/>
      <c r="U338" s="41"/>
      <c r="V338" s="41"/>
      <c r="W338" s="41"/>
      <c r="X338" s="36"/>
      <c r="Y338" s="36"/>
      <c r="Z338" s="36"/>
      <c r="AA338" s="36"/>
      <c r="AB338" s="36"/>
      <c r="AC338" s="36"/>
    </row>
    <row r="339" spans="17:29" x14ac:dyDescent="0.2">
      <c r="Q339" s="36"/>
      <c r="R339" s="40"/>
      <c r="S339" s="40"/>
      <c r="T339" s="40"/>
      <c r="U339" s="41"/>
      <c r="V339" s="41"/>
      <c r="W339" s="41"/>
      <c r="X339" s="36"/>
      <c r="Y339" s="36"/>
      <c r="Z339" s="36"/>
      <c r="AA339" s="36"/>
      <c r="AB339" s="36"/>
      <c r="AC339" s="36"/>
    </row>
    <row r="340" spans="17:29" x14ac:dyDescent="0.2">
      <c r="Q340" s="36"/>
      <c r="R340" s="40"/>
      <c r="S340" s="40"/>
      <c r="T340" s="40"/>
      <c r="U340" s="41"/>
      <c r="V340" s="41"/>
      <c r="W340" s="41"/>
      <c r="X340" s="36"/>
      <c r="Y340" s="36"/>
      <c r="Z340" s="36"/>
      <c r="AA340" s="36"/>
      <c r="AB340" s="36"/>
      <c r="AC340" s="36"/>
    </row>
    <row r="341" spans="17:29" x14ac:dyDescent="0.2">
      <c r="Q341" s="36"/>
      <c r="R341" s="40"/>
      <c r="S341" s="40"/>
      <c r="T341" s="40"/>
      <c r="U341" s="41"/>
      <c r="V341" s="41"/>
      <c r="W341" s="41"/>
      <c r="X341" s="36"/>
      <c r="Y341" s="36"/>
      <c r="Z341" s="36"/>
      <c r="AA341" s="36"/>
      <c r="AB341" s="36"/>
      <c r="AC341" s="36"/>
    </row>
    <row r="342" spans="17:29" x14ac:dyDescent="0.2">
      <c r="Q342" s="36"/>
      <c r="R342" s="40"/>
      <c r="S342" s="40"/>
      <c r="T342" s="40"/>
      <c r="U342" s="41"/>
      <c r="V342" s="41"/>
      <c r="W342" s="41"/>
      <c r="X342" s="36"/>
      <c r="Y342" s="36"/>
      <c r="Z342" s="36"/>
      <c r="AA342" s="36"/>
      <c r="AB342" s="36"/>
      <c r="AC342" s="36"/>
    </row>
    <row r="343" spans="17:29" x14ac:dyDescent="0.2">
      <c r="Q343" s="36"/>
      <c r="R343" s="40"/>
      <c r="S343" s="40"/>
      <c r="T343" s="40"/>
      <c r="U343" s="41"/>
      <c r="V343" s="41"/>
      <c r="W343" s="41"/>
      <c r="X343" s="36"/>
      <c r="Y343" s="36"/>
      <c r="Z343" s="36"/>
      <c r="AA343" s="36"/>
      <c r="AB343" s="36"/>
      <c r="AC343" s="36"/>
    </row>
    <row r="344" spans="17:29" x14ac:dyDescent="0.2">
      <c r="Q344" s="36"/>
      <c r="R344" s="40"/>
      <c r="S344" s="40"/>
      <c r="T344" s="40"/>
      <c r="U344" s="41"/>
      <c r="V344" s="41"/>
      <c r="W344" s="41"/>
      <c r="X344" s="36"/>
      <c r="Y344" s="36"/>
      <c r="Z344" s="36"/>
      <c r="AA344" s="36"/>
      <c r="AB344" s="36"/>
      <c r="AC344" s="36"/>
    </row>
    <row r="345" spans="17:29" x14ac:dyDescent="0.2">
      <c r="Q345" s="36"/>
      <c r="R345" s="40"/>
      <c r="S345" s="40"/>
      <c r="T345" s="40"/>
      <c r="U345" s="41"/>
      <c r="V345" s="41"/>
      <c r="W345" s="41"/>
      <c r="X345" s="36"/>
      <c r="Y345" s="36"/>
      <c r="Z345" s="36"/>
      <c r="AA345" s="36"/>
      <c r="AB345" s="36"/>
      <c r="AC345" s="36"/>
    </row>
    <row r="346" spans="17:29" x14ac:dyDescent="0.2">
      <c r="Q346" s="36"/>
      <c r="R346" s="40"/>
      <c r="S346" s="40"/>
      <c r="T346" s="40"/>
      <c r="U346" s="41"/>
      <c r="V346" s="41"/>
      <c r="W346" s="41"/>
      <c r="X346" s="36"/>
      <c r="Y346" s="36"/>
      <c r="Z346" s="36"/>
      <c r="AA346" s="36"/>
      <c r="AB346" s="36"/>
      <c r="AC346" s="36"/>
    </row>
    <row r="347" spans="17:29" x14ac:dyDescent="0.2">
      <c r="Q347" s="36"/>
      <c r="R347" s="40"/>
      <c r="S347" s="40"/>
      <c r="T347" s="40"/>
      <c r="U347" s="41"/>
      <c r="V347" s="41"/>
      <c r="W347" s="41"/>
      <c r="X347" s="36"/>
      <c r="Y347" s="36"/>
      <c r="Z347" s="36"/>
      <c r="AA347" s="36"/>
      <c r="AB347" s="36"/>
      <c r="AC347" s="36"/>
    </row>
    <row r="348" spans="17:29" x14ac:dyDescent="0.2">
      <c r="Q348" s="36"/>
      <c r="R348" s="40"/>
      <c r="S348" s="40"/>
      <c r="T348" s="40"/>
      <c r="U348" s="41"/>
      <c r="V348" s="41"/>
      <c r="W348" s="41"/>
      <c r="X348" s="36"/>
      <c r="Y348" s="36"/>
      <c r="Z348" s="36"/>
      <c r="AA348" s="36"/>
      <c r="AB348" s="36"/>
      <c r="AC348" s="36"/>
    </row>
    <row r="349" spans="17:29" x14ac:dyDescent="0.2">
      <c r="Q349" s="36"/>
      <c r="R349" s="40"/>
      <c r="S349" s="40"/>
      <c r="T349" s="40"/>
      <c r="U349" s="41"/>
      <c r="V349" s="41"/>
      <c r="W349" s="41"/>
      <c r="X349" s="36"/>
      <c r="Y349" s="36"/>
      <c r="Z349" s="36"/>
      <c r="AA349" s="36"/>
      <c r="AB349" s="36"/>
      <c r="AC349" s="36"/>
    </row>
    <row r="350" spans="17:29" x14ac:dyDescent="0.2">
      <c r="Q350" s="36"/>
      <c r="R350" s="40"/>
      <c r="S350" s="40"/>
      <c r="T350" s="40"/>
      <c r="U350" s="41"/>
      <c r="V350" s="41"/>
      <c r="W350" s="41"/>
      <c r="X350" s="36"/>
      <c r="Y350" s="36"/>
      <c r="Z350" s="36"/>
      <c r="AA350" s="36"/>
      <c r="AB350" s="36"/>
      <c r="AC350" s="36"/>
    </row>
    <row r="351" spans="17:29" x14ac:dyDescent="0.2">
      <c r="Q351" s="36"/>
      <c r="R351" s="40"/>
      <c r="S351" s="40"/>
      <c r="T351" s="40"/>
      <c r="U351" s="41"/>
      <c r="V351" s="41"/>
      <c r="W351" s="41"/>
      <c r="X351" s="36"/>
      <c r="Y351" s="36"/>
      <c r="Z351" s="36"/>
      <c r="AA351" s="36"/>
      <c r="AB351" s="36"/>
      <c r="AC351" s="36"/>
    </row>
    <row r="352" spans="17:29" x14ac:dyDescent="0.2">
      <c r="Q352" s="36"/>
      <c r="R352" s="40"/>
      <c r="S352" s="40"/>
      <c r="T352" s="40"/>
      <c r="U352" s="41"/>
      <c r="V352" s="41"/>
      <c r="W352" s="41"/>
      <c r="X352" s="36"/>
      <c r="Y352" s="36"/>
      <c r="Z352" s="36"/>
      <c r="AA352" s="36"/>
      <c r="AB352" s="36"/>
      <c r="AC352" s="36"/>
    </row>
    <row r="353" spans="17:29" x14ac:dyDescent="0.2">
      <c r="Q353" s="36"/>
      <c r="R353" s="40"/>
      <c r="S353" s="40"/>
      <c r="T353" s="40"/>
      <c r="U353" s="41"/>
      <c r="V353" s="41"/>
      <c r="W353" s="41"/>
      <c r="X353" s="36"/>
      <c r="Y353" s="36"/>
      <c r="Z353" s="36"/>
      <c r="AA353" s="36"/>
      <c r="AB353" s="36"/>
      <c r="AC353" s="36"/>
    </row>
    <row r="354" spans="17:29" x14ac:dyDescent="0.2">
      <c r="Q354" s="36"/>
      <c r="R354" s="40"/>
      <c r="S354" s="40"/>
      <c r="T354" s="40"/>
      <c r="U354" s="41"/>
      <c r="V354" s="41"/>
      <c r="W354" s="41"/>
      <c r="X354" s="36"/>
      <c r="Y354" s="36"/>
      <c r="Z354" s="36"/>
      <c r="AA354" s="36"/>
      <c r="AB354" s="36"/>
      <c r="AC354" s="36"/>
    </row>
    <row r="355" spans="17:29" x14ac:dyDescent="0.2">
      <c r="Q355" s="36"/>
      <c r="R355" s="40"/>
      <c r="S355" s="40"/>
      <c r="T355" s="40"/>
      <c r="U355" s="41"/>
      <c r="V355" s="41"/>
      <c r="W355" s="41"/>
      <c r="X355" s="36"/>
      <c r="Y355" s="36"/>
      <c r="Z355" s="36"/>
      <c r="AA355" s="36"/>
      <c r="AB355" s="36"/>
      <c r="AC355" s="36"/>
    </row>
    <row r="356" spans="17:29" x14ac:dyDescent="0.2">
      <c r="Q356" s="36"/>
      <c r="R356" s="40"/>
      <c r="S356" s="40"/>
      <c r="T356" s="40"/>
      <c r="U356" s="41"/>
      <c r="V356" s="41"/>
      <c r="W356" s="41"/>
      <c r="X356" s="36"/>
      <c r="Y356" s="36"/>
      <c r="Z356" s="36"/>
      <c r="AA356" s="36"/>
      <c r="AB356" s="36"/>
      <c r="AC356" s="36"/>
    </row>
    <row r="357" spans="17:29" x14ac:dyDescent="0.2">
      <c r="Q357" s="36"/>
      <c r="R357" s="40"/>
      <c r="S357" s="40"/>
      <c r="T357" s="40"/>
      <c r="U357" s="41"/>
      <c r="V357" s="41"/>
      <c r="W357" s="41"/>
      <c r="X357" s="36"/>
      <c r="Y357" s="36"/>
      <c r="Z357" s="36"/>
      <c r="AA357" s="36"/>
      <c r="AB357" s="36"/>
      <c r="AC357" s="36"/>
    </row>
    <row r="358" spans="17:29" x14ac:dyDescent="0.2">
      <c r="Q358" s="36"/>
      <c r="R358" s="40"/>
      <c r="S358" s="40"/>
      <c r="T358" s="40"/>
      <c r="U358" s="41"/>
      <c r="V358" s="41"/>
      <c r="W358" s="41"/>
      <c r="X358" s="36"/>
      <c r="Y358" s="36"/>
      <c r="Z358" s="36"/>
      <c r="AA358" s="36"/>
      <c r="AB358" s="36"/>
      <c r="AC358" s="36"/>
    </row>
    <row r="359" spans="17:29" x14ac:dyDescent="0.2">
      <c r="Q359" s="36"/>
      <c r="R359" s="40"/>
      <c r="S359" s="40"/>
      <c r="T359" s="40"/>
      <c r="U359" s="41"/>
      <c r="V359" s="41"/>
      <c r="W359" s="41"/>
      <c r="X359" s="36"/>
      <c r="Y359" s="36"/>
      <c r="Z359" s="36"/>
      <c r="AA359" s="36"/>
      <c r="AB359" s="36"/>
      <c r="AC359" s="36"/>
    </row>
    <row r="360" spans="17:29" x14ac:dyDescent="0.2">
      <c r="Q360" s="36"/>
      <c r="R360" s="40"/>
      <c r="S360" s="40"/>
      <c r="T360" s="40"/>
      <c r="U360" s="41"/>
      <c r="V360" s="41"/>
      <c r="W360" s="41"/>
      <c r="X360" s="36"/>
      <c r="Y360" s="36"/>
      <c r="Z360" s="36"/>
      <c r="AA360" s="36"/>
      <c r="AB360" s="36"/>
      <c r="AC360" s="36"/>
    </row>
    <row r="361" spans="17:29" x14ac:dyDescent="0.2">
      <c r="Q361" s="36"/>
      <c r="R361" s="40"/>
      <c r="S361" s="40"/>
      <c r="T361" s="40"/>
      <c r="U361" s="41"/>
      <c r="V361" s="41"/>
      <c r="W361" s="41"/>
      <c r="X361" s="36"/>
      <c r="Y361" s="36"/>
      <c r="Z361" s="36"/>
      <c r="AA361" s="36"/>
      <c r="AB361" s="36"/>
      <c r="AC361" s="36"/>
    </row>
    <row r="362" spans="17:29" x14ac:dyDescent="0.2">
      <c r="Q362" s="36"/>
      <c r="R362" s="40"/>
      <c r="S362" s="40"/>
      <c r="T362" s="40"/>
      <c r="U362" s="41"/>
      <c r="V362" s="41"/>
      <c r="W362" s="41"/>
      <c r="X362" s="36"/>
      <c r="Y362" s="36"/>
      <c r="Z362" s="36"/>
      <c r="AA362" s="36"/>
      <c r="AB362" s="36"/>
      <c r="AC362" s="36"/>
    </row>
    <row r="363" spans="17:29" x14ac:dyDescent="0.2">
      <c r="Q363" s="36"/>
      <c r="R363" s="40"/>
      <c r="S363" s="40"/>
      <c r="T363" s="40"/>
      <c r="U363" s="41"/>
      <c r="V363" s="41"/>
      <c r="W363" s="41"/>
      <c r="X363" s="36"/>
      <c r="Y363" s="36"/>
      <c r="Z363" s="36"/>
      <c r="AA363" s="36"/>
      <c r="AB363" s="36"/>
      <c r="AC363" s="36"/>
    </row>
    <row r="364" spans="17:29" x14ac:dyDescent="0.2">
      <c r="Q364" s="36"/>
      <c r="R364" s="40"/>
      <c r="S364" s="40"/>
      <c r="T364" s="40"/>
      <c r="U364" s="41"/>
      <c r="V364" s="41"/>
      <c r="W364" s="41"/>
      <c r="X364" s="36"/>
      <c r="Y364" s="36"/>
      <c r="Z364" s="36"/>
      <c r="AA364" s="36"/>
      <c r="AB364" s="36"/>
      <c r="AC364" s="36"/>
    </row>
    <row r="365" spans="17:29" x14ac:dyDescent="0.2">
      <c r="Q365" s="36"/>
      <c r="R365" s="40"/>
      <c r="S365" s="40"/>
      <c r="T365" s="40"/>
      <c r="U365" s="41"/>
      <c r="V365" s="41"/>
      <c r="W365" s="41"/>
      <c r="X365" s="36"/>
      <c r="Y365" s="36"/>
      <c r="Z365" s="36"/>
      <c r="AA365" s="36"/>
      <c r="AB365" s="36"/>
      <c r="AC365" s="36"/>
    </row>
    <row r="366" spans="17:29" x14ac:dyDescent="0.2">
      <c r="Q366" s="36"/>
      <c r="R366" s="40"/>
      <c r="S366" s="40"/>
      <c r="T366" s="40"/>
      <c r="U366" s="41"/>
      <c r="V366" s="41"/>
      <c r="W366" s="41"/>
      <c r="X366" s="36"/>
      <c r="Y366" s="36"/>
      <c r="Z366" s="36"/>
      <c r="AA366" s="36"/>
      <c r="AB366" s="36"/>
      <c r="AC366" s="36"/>
    </row>
    <row r="367" spans="17:29" x14ac:dyDescent="0.2">
      <c r="Q367" s="36"/>
      <c r="R367" s="40"/>
      <c r="S367" s="40"/>
      <c r="T367" s="40"/>
      <c r="U367" s="41"/>
      <c r="V367" s="41"/>
      <c r="W367" s="41"/>
      <c r="X367" s="36"/>
      <c r="Y367" s="36"/>
      <c r="Z367" s="36"/>
      <c r="AA367" s="36"/>
      <c r="AB367" s="36"/>
      <c r="AC367" s="36"/>
    </row>
    <row r="368" spans="17:29" x14ac:dyDescent="0.2">
      <c r="Q368" s="36"/>
      <c r="R368" s="40"/>
      <c r="S368" s="40"/>
      <c r="T368" s="40"/>
      <c r="U368" s="41"/>
      <c r="V368" s="41"/>
      <c r="W368" s="41"/>
      <c r="X368" s="36"/>
      <c r="Y368" s="36"/>
      <c r="Z368" s="36"/>
      <c r="AA368" s="36"/>
      <c r="AB368" s="36"/>
      <c r="AC368" s="36"/>
    </row>
    <row r="369" spans="17:29" x14ac:dyDescent="0.2">
      <c r="Q369" s="36"/>
      <c r="R369" s="40"/>
      <c r="S369" s="40"/>
      <c r="T369" s="40"/>
      <c r="U369" s="41"/>
      <c r="V369" s="41"/>
      <c r="W369" s="41"/>
      <c r="X369" s="36"/>
      <c r="Y369" s="36"/>
      <c r="Z369" s="36"/>
      <c r="AA369" s="36"/>
      <c r="AB369" s="36"/>
      <c r="AC369" s="36"/>
    </row>
    <row r="370" spans="17:29" x14ac:dyDescent="0.2">
      <c r="Q370" s="36"/>
      <c r="R370" s="40"/>
      <c r="S370" s="40"/>
      <c r="T370" s="40"/>
      <c r="U370" s="41"/>
      <c r="V370" s="41"/>
      <c r="W370" s="41"/>
      <c r="X370" s="36"/>
      <c r="Y370" s="36"/>
      <c r="Z370" s="36"/>
      <c r="AA370" s="36"/>
      <c r="AB370" s="36"/>
      <c r="AC370" s="36"/>
    </row>
    <row r="371" spans="17:29" x14ac:dyDescent="0.2">
      <c r="Q371" s="36"/>
      <c r="R371" s="40"/>
      <c r="S371" s="40"/>
      <c r="T371" s="40"/>
      <c r="U371" s="41"/>
      <c r="V371" s="41"/>
      <c r="W371" s="41"/>
      <c r="X371" s="36"/>
      <c r="Y371" s="36"/>
      <c r="Z371" s="36"/>
      <c r="AA371" s="36"/>
      <c r="AB371" s="36"/>
      <c r="AC371" s="36"/>
    </row>
    <row r="372" spans="17:29" x14ac:dyDescent="0.2">
      <c r="Q372" s="36"/>
      <c r="R372" s="40"/>
      <c r="S372" s="40"/>
      <c r="T372" s="40"/>
      <c r="U372" s="41"/>
      <c r="V372" s="41"/>
      <c r="W372" s="41"/>
      <c r="X372" s="36"/>
      <c r="Y372" s="36"/>
      <c r="Z372" s="36"/>
      <c r="AA372" s="36"/>
      <c r="AB372" s="36"/>
      <c r="AC372" s="36"/>
    </row>
    <row r="373" spans="17:29" x14ac:dyDescent="0.2">
      <c r="Q373" s="36"/>
      <c r="R373" s="40"/>
      <c r="S373" s="40"/>
      <c r="T373" s="40"/>
      <c r="U373" s="41"/>
      <c r="V373" s="41"/>
      <c r="W373" s="41"/>
      <c r="X373" s="36"/>
      <c r="Y373" s="36"/>
      <c r="Z373" s="36"/>
      <c r="AA373" s="36"/>
      <c r="AB373" s="36"/>
      <c r="AC373" s="36"/>
    </row>
    <row r="374" spans="17:29" x14ac:dyDescent="0.2">
      <c r="Q374" s="36"/>
      <c r="R374" s="40"/>
      <c r="S374" s="40"/>
      <c r="T374" s="40"/>
      <c r="U374" s="41"/>
      <c r="V374" s="41"/>
      <c r="W374" s="41"/>
      <c r="X374" s="36"/>
      <c r="Y374" s="36"/>
      <c r="Z374" s="36"/>
      <c r="AA374" s="36"/>
      <c r="AB374" s="36"/>
      <c r="AC374" s="36"/>
    </row>
    <row r="375" spans="17:29" x14ac:dyDescent="0.2">
      <c r="Q375" s="36"/>
      <c r="R375" s="40"/>
      <c r="S375" s="40"/>
      <c r="T375" s="40"/>
      <c r="U375" s="41"/>
      <c r="V375" s="41"/>
      <c r="W375" s="41"/>
      <c r="X375" s="36"/>
      <c r="Y375" s="36"/>
      <c r="Z375" s="36"/>
      <c r="AA375" s="36"/>
      <c r="AB375" s="36"/>
      <c r="AC375" s="36"/>
    </row>
    <row r="376" spans="17:29" x14ac:dyDescent="0.2">
      <c r="Q376" s="36"/>
      <c r="R376" s="40"/>
      <c r="S376" s="40"/>
      <c r="T376" s="40"/>
      <c r="U376" s="41"/>
      <c r="V376" s="41"/>
      <c r="W376" s="41"/>
      <c r="X376" s="36"/>
      <c r="Y376" s="36"/>
      <c r="Z376" s="36"/>
      <c r="AA376" s="36"/>
      <c r="AB376" s="36"/>
      <c r="AC376" s="36"/>
    </row>
    <row r="377" spans="17:29" x14ac:dyDescent="0.2">
      <c r="Q377" s="36"/>
      <c r="R377" s="40"/>
      <c r="S377" s="40"/>
      <c r="T377" s="40"/>
      <c r="U377" s="41"/>
      <c r="V377" s="41"/>
      <c r="W377" s="41"/>
      <c r="X377" s="36"/>
      <c r="Y377" s="36"/>
      <c r="Z377" s="36"/>
      <c r="AA377" s="36"/>
      <c r="AB377" s="36"/>
      <c r="AC377" s="36"/>
    </row>
    <row r="378" spans="17:29" x14ac:dyDescent="0.2">
      <c r="Q378" s="36"/>
      <c r="R378" s="40"/>
      <c r="S378" s="40"/>
      <c r="T378" s="40"/>
      <c r="U378" s="41"/>
      <c r="V378" s="41"/>
      <c r="W378" s="41"/>
      <c r="X378" s="36"/>
      <c r="Y378" s="36"/>
      <c r="Z378" s="36"/>
      <c r="AA378" s="36"/>
      <c r="AB378" s="36"/>
      <c r="AC378" s="36"/>
    </row>
    <row r="379" spans="17:29" x14ac:dyDescent="0.2">
      <c r="Q379" s="36"/>
      <c r="R379" s="40"/>
      <c r="S379" s="40"/>
      <c r="T379" s="40"/>
      <c r="U379" s="41"/>
      <c r="V379" s="41"/>
      <c r="W379" s="41"/>
      <c r="X379" s="36"/>
      <c r="Y379" s="36"/>
      <c r="Z379" s="36"/>
      <c r="AA379" s="36"/>
      <c r="AB379" s="36"/>
      <c r="AC379" s="36"/>
    </row>
    <row r="380" spans="17:29" x14ac:dyDescent="0.2">
      <c r="Q380" s="36"/>
      <c r="R380" s="40"/>
      <c r="S380" s="40"/>
      <c r="T380" s="40"/>
      <c r="U380" s="41"/>
      <c r="V380" s="41"/>
      <c r="W380" s="41"/>
      <c r="X380" s="36"/>
      <c r="Y380" s="36"/>
      <c r="Z380" s="36"/>
      <c r="AA380" s="36"/>
      <c r="AB380" s="36"/>
      <c r="AC380" s="36"/>
    </row>
    <row r="381" spans="17:29" x14ac:dyDescent="0.2">
      <c r="Q381" s="36"/>
      <c r="R381" s="40"/>
      <c r="S381" s="40"/>
      <c r="T381" s="40"/>
      <c r="U381" s="41"/>
      <c r="V381" s="41"/>
      <c r="W381" s="41"/>
      <c r="X381" s="36"/>
      <c r="Y381" s="36"/>
      <c r="Z381" s="36"/>
      <c r="AA381" s="36"/>
      <c r="AB381" s="36"/>
      <c r="AC381" s="36"/>
    </row>
    <row r="382" spans="17:29" x14ac:dyDescent="0.2">
      <c r="Q382" s="36"/>
      <c r="R382" s="40"/>
      <c r="S382" s="40"/>
      <c r="T382" s="40"/>
      <c r="U382" s="41"/>
      <c r="V382" s="41"/>
      <c r="W382" s="41"/>
      <c r="X382" s="36"/>
      <c r="Y382" s="36"/>
      <c r="Z382" s="36"/>
      <c r="AA382" s="36"/>
      <c r="AB382" s="36"/>
      <c r="AC382" s="36"/>
    </row>
    <row r="383" spans="17:29" x14ac:dyDescent="0.2">
      <c r="Q383" s="36"/>
      <c r="R383" s="40"/>
      <c r="S383" s="40"/>
      <c r="T383" s="40"/>
      <c r="U383" s="41"/>
      <c r="V383" s="41"/>
      <c r="W383" s="41"/>
      <c r="X383" s="36"/>
      <c r="Y383" s="36"/>
      <c r="Z383" s="36"/>
      <c r="AA383" s="36"/>
      <c r="AB383" s="36"/>
      <c r="AC383" s="36"/>
    </row>
    <row r="384" spans="17:29" x14ac:dyDescent="0.2">
      <c r="Q384" s="36"/>
      <c r="R384" s="40"/>
      <c r="S384" s="40"/>
      <c r="T384" s="40"/>
      <c r="U384" s="41"/>
      <c r="V384" s="41"/>
      <c r="W384" s="41"/>
      <c r="X384" s="36"/>
      <c r="Y384" s="36"/>
      <c r="Z384" s="36"/>
      <c r="AA384" s="36"/>
      <c r="AB384" s="36"/>
      <c r="AC384" s="36"/>
    </row>
    <row r="385" spans="17:29" x14ac:dyDescent="0.2">
      <c r="Q385" s="36"/>
      <c r="R385" s="40"/>
      <c r="S385" s="40"/>
      <c r="T385" s="40"/>
      <c r="U385" s="41"/>
      <c r="V385" s="41"/>
      <c r="W385" s="41"/>
      <c r="X385" s="36"/>
      <c r="Y385" s="36"/>
      <c r="Z385" s="36"/>
      <c r="AA385" s="36"/>
      <c r="AB385" s="36"/>
      <c r="AC385" s="36"/>
    </row>
    <row r="386" spans="17:29" x14ac:dyDescent="0.2">
      <c r="Q386" s="36"/>
      <c r="R386" s="40"/>
      <c r="S386" s="40"/>
      <c r="T386" s="40"/>
      <c r="U386" s="41"/>
      <c r="V386" s="41"/>
      <c r="W386" s="41"/>
      <c r="X386" s="36"/>
      <c r="Y386" s="36"/>
      <c r="Z386" s="36"/>
      <c r="AA386" s="36"/>
      <c r="AB386" s="36"/>
      <c r="AC386" s="36"/>
    </row>
    <row r="387" spans="17:29" x14ac:dyDescent="0.2">
      <c r="Q387" s="36"/>
      <c r="R387" s="40"/>
      <c r="S387" s="40"/>
      <c r="T387" s="40"/>
      <c r="U387" s="41"/>
      <c r="V387" s="41"/>
      <c r="W387" s="41"/>
      <c r="X387" s="36"/>
      <c r="Y387" s="36"/>
      <c r="Z387" s="36"/>
      <c r="AA387" s="36"/>
      <c r="AB387" s="36"/>
      <c r="AC387" s="36"/>
    </row>
    <row r="388" spans="17:29" x14ac:dyDescent="0.2">
      <c r="Q388" s="36"/>
      <c r="R388" s="40"/>
      <c r="S388" s="40"/>
      <c r="T388" s="40"/>
      <c r="U388" s="41"/>
      <c r="V388" s="41"/>
      <c r="W388" s="41"/>
      <c r="X388" s="36"/>
      <c r="Y388" s="36"/>
      <c r="Z388" s="36"/>
      <c r="AA388" s="36"/>
      <c r="AB388" s="36"/>
      <c r="AC388" s="36"/>
    </row>
    <row r="389" spans="17:29" x14ac:dyDescent="0.2">
      <c r="Q389" s="36"/>
      <c r="R389" s="40"/>
      <c r="S389" s="40"/>
      <c r="T389" s="40"/>
      <c r="U389" s="41"/>
      <c r="V389" s="41"/>
      <c r="W389" s="41"/>
      <c r="X389" s="36"/>
      <c r="Y389" s="36"/>
      <c r="Z389" s="36"/>
      <c r="AA389" s="36"/>
      <c r="AB389" s="36"/>
      <c r="AC389" s="36"/>
    </row>
    <row r="390" spans="17:29" x14ac:dyDescent="0.2">
      <c r="Q390" s="36"/>
      <c r="R390" s="40"/>
      <c r="S390" s="40"/>
      <c r="T390" s="40"/>
      <c r="U390" s="41"/>
      <c r="V390" s="41"/>
      <c r="W390" s="41"/>
      <c r="X390" s="36"/>
      <c r="Y390" s="36"/>
      <c r="Z390" s="36"/>
      <c r="AA390" s="36"/>
      <c r="AB390" s="36"/>
      <c r="AC390" s="36"/>
    </row>
    <row r="391" spans="17:29" x14ac:dyDescent="0.2">
      <c r="Q391" s="36"/>
      <c r="R391" s="40"/>
      <c r="S391" s="40"/>
      <c r="T391" s="40"/>
      <c r="U391" s="41"/>
      <c r="V391" s="41"/>
      <c r="W391" s="41"/>
      <c r="X391" s="36"/>
      <c r="Y391" s="36"/>
      <c r="Z391" s="36"/>
      <c r="AA391" s="36"/>
      <c r="AB391" s="36"/>
      <c r="AC391" s="36"/>
    </row>
    <row r="392" spans="17:29" x14ac:dyDescent="0.2">
      <c r="Q392" s="36"/>
      <c r="R392" s="40"/>
      <c r="S392" s="40"/>
      <c r="T392" s="40"/>
      <c r="U392" s="41"/>
      <c r="V392" s="41"/>
      <c r="W392" s="41"/>
      <c r="X392" s="36"/>
      <c r="Y392" s="36"/>
      <c r="Z392" s="36"/>
      <c r="AA392" s="36"/>
      <c r="AB392" s="36"/>
      <c r="AC392" s="36"/>
    </row>
    <row r="393" spans="17:29" x14ac:dyDescent="0.2">
      <c r="Q393" s="36"/>
      <c r="R393" s="40"/>
      <c r="S393" s="40"/>
      <c r="T393" s="40"/>
      <c r="U393" s="41"/>
      <c r="V393" s="41"/>
      <c r="W393" s="41"/>
      <c r="X393" s="36"/>
      <c r="Y393" s="36"/>
      <c r="Z393" s="36"/>
      <c r="AA393" s="36"/>
      <c r="AB393" s="36"/>
      <c r="AC393" s="36"/>
    </row>
    <row r="394" spans="17:29" x14ac:dyDescent="0.2">
      <c r="Q394" s="36"/>
      <c r="R394" s="40"/>
      <c r="S394" s="40"/>
      <c r="T394" s="40"/>
      <c r="U394" s="41"/>
      <c r="V394" s="41"/>
      <c r="W394" s="41"/>
      <c r="X394" s="36"/>
      <c r="Y394" s="36"/>
      <c r="Z394" s="36"/>
      <c r="AA394" s="36"/>
      <c r="AB394" s="36"/>
      <c r="AC394" s="36"/>
    </row>
    <row r="395" spans="17:29" x14ac:dyDescent="0.2">
      <c r="Q395" s="36"/>
      <c r="R395" s="40"/>
      <c r="S395" s="40"/>
      <c r="T395" s="40"/>
      <c r="U395" s="41"/>
      <c r="V395" s="41"/>
      <c r="W395" s="41"/>
      <c r="X395" s="36"/>
      <c r="Y395" s="36"/>
      <c r="Z395" s="36"/>
      <c r="AA395" s="36"/>
      <c r="AB395" s="36"/>
      <c r="AC395" s="36"/>
    </row>
    <row r="396" spans="17:29" x14ac:dyDescent="0.2">
      <c r="Q396" s="36"/>
      <c r="R396" s="40"/>
      <c r="S396" s="40"/>
      <c r="T396" s="40"/>
      <c r="U396" s="41"/>
      <c r="V396" s="41"/>
      <c r="W396" s="41"/>
      <c r="X396" s="36"/>
      <c r="Y396" s="36"/>
      <c r="Z396" s="36"/>
      <c r="AA396" s="36"/>
      <c r="AB396" s="36"/>
      <c r="AC396" s="36"/>
    </row>
    <row r="397" spans="17:29" x14ac:dyDescent="0.2">
      <c r="Q397" s="36"/>
      <c r="R397" s="40"/>
      <c r="S397" s="40"/>
      <c r="T397" s="40"/>
      <c r="U397" s="41"/>
      <c r="V397" s="41"/>
      <c r="W397" s="41"/>
      <c r="X397" s="36"/>
      <c r="Y397" s="36"/>
      <c r="Z397" s="36"/>
      <c r="AA397" s="36"/>
      <c r="AB397" s="36"/>
      <c r="AC397" s="36"/>
    </row>
    <row r="398" spans="17:29" x14ac:dyDescent="0.2">
      <c r="Q398" s="36"/>
      <c r="R398" s="40"/>
      <c r="S398" s="40"/>
      <c r="T398" s="40"/>
      <c r="U398" s="41"/>
      <c r="V398" s="41"/>
      <c r="W398" s="41"/>
      <c r="X398" s="36"/>
      <c r="Y398" s="36"/>
      <c r="Z398" s="36"/>
      <c r="AA398" s="36"/>
      <c r="AB398" s="36"/>
      <c r="AC398" s="36"/>
    </row>
    <row r="399" spans="17:29" x14ac:dyDescent="0.2">
      <c r="Q399" s="36"/>
      <c r="R399" s="40"/>
      <c r="S399" s="40"/>
      <c r="T399" s="40"/>
      <c r="U399" s="41"/>
      <c r="V399" s="41"/>
      <c r="W399" s="41"/>
      <c r="X399" s="36"/>
      <c r="Y399" s="36"/>
      <c r="Z399" s="36"/>
      <c r="AA399" s="36"/>
      <c r="AB399" s="36"/>
      <c r="AC399" s="36"/>
    </row>
    <row r="400" spans="17:29" x14ac:dyDescent="0.2">
      <c r="Q400" s="36"/>
      <c r="R400" s="40"/>
      <c r="S400" s="40"/>
      <c r="T400" s="40"/>
      <c r="U400" s="41"/>
      <c r="V400" s="41"/>
      <c r="W400" s="41"/>
      <c r="X400" s="36"/>
      <c r="Y400" s="36"/>
      <c r="Z400" s="36"/>
      <c r="AA400" s="36"/>
      <c r="AB400" s="36"/>
      <c r="AC400" s="36"/>
    </row>
    <row r="401" spans="17:29" x14ac:dyDescent="0.2">
      <c r="Q401" s="36"/>
      <c r="R401" s="40"/>
      <c r="S401" s="40"/>
      <c r="T401" s="40"/>
      <c r="U401" s="41"/>
      <c r="V401" s="41"/>
      <c r="W401" s="41"/>
      <c r="X401" s="36"/>
      <c r="Y401" s="36"/>
      <c r="Z401" s="36"/>
      <c r="AA401" s="36"/>
      <c r="AB401" s="36"/>
      <c r="AC401" s="36"/>
    </row>
    <row r="402" spans="17:29" x14ac:dyDescent="0.2">
      <c r="Q402" s="36"/>
      <c r="R402" s="40"/>
      <c r="S402" s="40"/>
      <c r="T402" s="40"/>
      <c r="U402" s="41"/>
      <c r="V402" s="41"/>
      <c r="W402" s="41"/>
      <c r="X402" s="36"/>
      <c r="Y402" s="36"/>
      <c r="Z402" s="36"/>
      <c r="AA402" s="36"/>
      <c r="AB402" s="36"/>
      <c r="AC402" s="36"/>
    </row>
    <row r="403" spans="17:29" x14ac:dyDescent="0.2">
      <c r="Q403" s="36"/>
      <c r="R403" s="40"/>
      <c r="S403" s="40"/>
      <c r="T403" s="40"/>
      <c r="U403" s="41"/>
      <c r="V403" s="41"/>
      <c r="W403" s="41"/>
      <c r="X403" s="36"/>
      <c r="Y403" s="36"/>
      <c r="Z403" s="36"/>
      <c r="AA403" s="36"/>
      <c r="AB403" s="36"/>
      <c r="AC403" s="36"/>
    </row>
    <row r="404" spans="17:29" x14ac:dyDescent="0.2">
      <c r="Q404" s="36"/>
      <c r="R404" s="40"/>
      <c r="S404" s="40"/>
      <c r="T404" s="40"/>
      <c r="U404" s="41"/>
      <c r="V404" s="41"/>
      <c r="W404" s="41"/>
      <c r="X404" s="36"/>
      <c r="Y404" s="36"/>
      <c r="Z404" s="36"/>
      <c r="AA404" s="36"/>
      <c r="AB404" s="36"/>
      <c r="AC404" s="36"/>
    </row>
    <row r="405" spans="17:29" x14ac:dyDescent="0.2">
      <c r="Q405" s="36"/>
      <c r="R405" s="40"/>
      <c r="S405" s="40"/>
      <c r="T405" s="40"/>
      <c r="U405" s="41"/>
      <c r="V405" s="41"/>
      <c r="W405" s="41"/>
      <c r="X405" s="36"/>
      <c r="Y405" s="36"/>
      <c r="Z405" s="36"/>
      <c r="AA405" s="36"/>
      <c r="AB405" s="36"/>
      <c r="AC405" s="36"/>
    </row>
    <row r="406" spans="17:29" x14ac:dyDescent="0.2">
      <c r="Q406" s="36"/>
      <c r="R406" s="40"/>
      <c r="S406" s="40"/>
      <c r="T406" s="40"/>
      <c r="U406" s="41"/>
      <c r="V406" s="41"/>
      <c r="W406" s="41"/>
      <c r="X406" s="36"/>
      <c r="Y406" s="36"/>
      <c r="Z406" s="36"/>
      <c r="AA406" s="36"/>
      <c r="AB406" s="36"/>
      <c r="AC406" s="36"/>
    </row>
    <row r="407" spans="17:29" x14ac:dyDescent="0.2">
      <c r="Q407" s="36"/>
      <c r="R407" s="40"/>
      <c r="S407" s="40"/>
      <c r="T407" s="40"/>
      <c r="U407" s="41"/>
      <c r="V407" s="41"/>
      <c r="W407" s="41"/>
      <c r="X407" s="36"/>
      <c r="Y407" s="36"/>
      <c r="Z407" s="36"/>
      <c r="AA407" s="36"/>
      <c r="AB407" s="36"/>
      <c r="AC407" s="36"/>
    </row>
    <row r="408" spans="17:29" x14ac:dyDescent="0.2">
      <c r="Q408" s="36"/>
      <c r="R408" s="40"/>
      <c r="S408" s="40"/>
      <c r="T408" s="40"/>
      <c r="U408" s="41"/>
      <c r="V408" s="41"/>
      <c r="W408" s="41"/>
      <c r="X408" s="36"/>
      <c r="Y408" s="36"/>
      <c r="Z408" s="36"/>
      <c r="AA408" s="36"/>
      <c r="AB408" s="36"/>
      <c r="AC408" s="36"/>
    </row>
    <row r="409" spans="17:29" x14ac:dyDescent="0.2">
      <c r="Q409" s="36"/>
      <c r="R409" s="40"/>
      <c r="S409" s="40"/>
      <c r="T409" s="40"/>
      <c r="U409" s="41"/>
      <c r="V409" s="41"/>
      <c r="W409" s="41"/>
      <c r="X409" s="36"/>
      <c r="Y409" s="36"/>
      <c r="Z409" s="36"/>
      <c r="AA409" s="36"/>
      <c r="AB409" s="36"/>
      <c r="AC409" s="36"/>
    </row>
    <row r="410" spans="17:29" x14ac:dyDescent="0.2">
      <c r="Q410" s="36"/>
      <c r="R410" s="40"/>
      <c r="S410" s="40"/>
      <c r="T410" s="40"/>
      <c r="U410" s="41"/>
      <c r="V410" s="41"/>
      <c r="W410" s="41"/>
      <c r="X410" s="36"/>
      <c r="Y410" s="36"/>
      <c r="Z410" s="36"/>
      <c r="AA410" s="36"/>
      <c r="AB410" s="36"/>
      <c r="AC410" s="36"/>
    </row>
    <row r="411" spans="17:29" x14ac:dyDescent="0.2">
      <c r="Q411" s="36"/>
      <c r="R411" s="40"/>
      <c r="S411" s="40"/>
      <c r="T411" s="40"/>
      <c r="U411" s="41"/>
      <c r="V411" s="41"/>
      <c r="W411" s="41"/>
      <c r="X411" s="36"/>
      <c r="Y411" s="36"/>
      <c r="Z411" s="36"/>
      <c r="AA411" s="36"/>
      <c r="AB411" s="36"/>
      <c r="AC411" s="36"/>
    </row>
    <row r="412" spans="17:29" x14ac:dyDescent="0.2">
      <c r="Q412" s="36"/>
      <c r="R412" s="40"/>
      <c r="S412" s="40"/>
      <c r="T412" s="40"/>
      <c r="U412" s="41"/>
      <c r="V412" s="41"/>
      <c r="W412" s="41"/>
      <c r="X412" s="36"/>
      <c r="Y412" s="36"/>
      <c r="Z412" s="36"/>
      <c r="AA412" s="36"/>
      <c r="AB412" s="36"/>
      <c r="AC412" s="36"/>
    </row>
    <row r="413" spans="17:29" x14ac:dyDescent="0.2">
      <c r="Q413" s="36"/>
      <c r="R413" s="40"/>
      <c r="S413" s="40"/>
      <c r="T413" s="40"/>
      <c r="U413" s="41"/>
      <c r="V413" s="41"/>
      <c r="W413" s="41"/>
      <c r="X413" s="36"/>
      <c r="Y413" s="36"/>
      <c r="Z413" s="36"/>
      <c r="AA413" s="36"/>
      <c r="AB413" s="36"/>
      <c r="AC413" s="36"/>
    </row>
    <row r="414" spans="17:29" x14ac:dyDescent="0.2">
      <c r="Q414" s="36"/>
      <c r="R414" s="40"/>
      <c r="S414" s="40"/>
      <c r="T414" s="40"/>
      <c r="U414" s="41"/>
      <c r="V414" s="41"/>
      <c r="W414" s="41"/>
      <c r="X414" s="36"/>
      <c r="Y414" s="36"/>
      <c r="Z414" s="36"/>
      <c r="AA414" s="36"/>
      <c r="AB414" s="36"/>
      <c r="AC414" s="36"/>
    </row>
    <row r="415" spans="17:29" x14ac:dyDescent="0.2">
      <c r="Q415" s="36"/>
      <c r="R415" s="40"/>
      <c r="S415" s="40"/>
      <c r="T415" s="40"/>
      <c r="U415" s="41"/>
      <c r="V415" s="41"/>
      <c r="W415" s="41"/>
      <c r="X415" s="36"/>
      <c r="Y415" s="36"/>
      <c r="Z415" s="36"/>
      <c r="AA415" s="36"/>
      <c r="AB415" s="36"/>
      <c r="AC415" s="36"/>
    </row>
    <row r="416" spans="17:29" x14ac:dyDescent="0.2">
      <c r="Q416" s="36"/>
      <c r="R416" s="40"/>
      <c r="S416" s="40"/>
      <c r="T416" s="40"/>
      <c r="U416" s="41"/>
      <c r="V416" s="41"/>
      <c r="W416" s="41"/>
      <c r="X416" s="36"/>
      <c r="Y416" s="36"/>
      <c r="Z416" s="36"/>
      <c r="AA416" s="36"/>
      <c r="AB416" s="36"/>
      <c r="AC416" s="36"/>
    </row>
    <row r="417" spans="17:29" x14ac:dyDescent="0.2">
      <c r="Q417" s="36"/>
      <c r="R417" s="40"/>
      <c r="S417" s="40"/>
      <c r="T417" s="40"/>
      <c r="U417" s="41"/>
      <c r="V417" s="41"/>
      <c r="W417" s="41"/>
      <c r="X417" s="36"/>
      <c r="Y417" s="36"/>
      <c r="Z417" s="36"/>
      <c r="AA417" s="36"/>
      <c r="AB417" s="36"/>
      <c r="AC417" s="36"/>
    </row>
    <row r="418" spans="17:29" x14ac:dyDescent="0.2">
      <c r="Q418" s="36"/>
      <c r="R418" s="40"/>
      <c r="S418" s="40"/>
      <c r="T418" s="40"/>
      <c r="U418" s="41"/>
      <c r="V418" s="41"/>
      <c r="W418" s="41"/>
      <c r="X418" s="36"/>
      <c r="Y418" s="36"/>
      <c r="Z418" s="36"/>
      <c r="AA418" s="36"/>
      <c r="AB418" s="36"/>
      <c r="AC418" s="36"/>
    </row>
    <row r="419" spans="17:29" x14ac:dyDescent="0.2">
      <c r="Q419" s="36"/>
      <c r="R419" s="40"/>
      <c r="S419" s="40"/>
      <c r="T419" s="40"/>
      <c r="U419" s="41"/>
      <c r="V419" s="41"/>
      <c r="W419" s="41"/>
      <c r="X419" s="36"/>
      <c r="Y419" s="36"/>
      <c r="Z419" s="36"/>
      <c r="AA419" s="36"/>
      <c r="AB419" s="36"/>
      <c r="AC419" s="36"/>
    </row>
    <row r="420" spans="17:29" x14ac:dyDescent="0.2">
      <c r="Q420" s="36"/>
      <c r="R420" s="40"/>
      <c r="S420" s="40"/>
      <c r="T420" s="40"/>
      <c r="U420" s="41"/>
      <c r="V420" s="41"/>
      <c r="W420" s="41"/>
      <c r="X420" s="36"/>
      <c r="Y420" s="36"/>
      <c r="Z420" s="36"/>
      <c r="AA420" s="36"/>
      <c r="AB420" s="36"/>
      <c r="AC420" s="36"/>
    </row>
    <row r="421" spans="17:29" x14ac:dyDescent="0.2">
      <c r="Q421" s="36"/>
      <c r="R421" s="40"/>
      <c r="S421" s="40"/>
      <c r="T421" s="40"/>
      <c r="U421" s="41"/>
      <c r="V421" s="41"/>
      <c r="W421" s="41"/>
      <c r="X421" s="36"/>
      <c r="Y421" s="36"/>
      <c r="Z421" s="36"/>
      <c r="AA421" s="36"/>
      <c r="AB421" s="36"/>
      <c r="AC421" s="36"/>
    </row>
    <row r="422" spans="17:29" x14ac:dyDescent="0.2">
      <c r="Q422" s="36"/>
      <c r="R422" s="40"/>
      <c r="S422" s="40"/>
      <c r="T422" s="40"/>
      <c r="U422" s="41"/>
      <c r="V422" s="41"/>
      <c r="W422" s="41"/>
      <c r="X422" s="36"/>
      <c r="Y422" s="36"/>
      <c r="Z422" s="36"/>
      <c r="AA422" s="36"/>
      <c r="AB422" s="36"/>
      <c r="AC422" s="36"/>
    </row>
    <row r="423" spans="17:29" x14ac:dyDescent="0.2">
      <c r="Q423" s="36"/>
      <c r="R423" s="40"/>
      <c r="S423" s="40"/>
      <c r="T423" s="40"/>
      <c r="U423" s="41"/>
      <c r="V423" s="41"/>
      <c r="W423" s="41"/>
      <c r="X423" s="36"/>
      <c r="Y423" s="36"/>
      <c r="Z423" s="36"/>
      <c r="AA423" s="36"/>
      <c r="AB423" s="36"/>
      <c r="AC423" s="36"/>
    </row>
    <row r="424" spans="17:29" x14ac:dyDescent="0.2">
      <c r="Q424" s="36"/>
      <c r="R424" s="40"/>
      <c r="S424" s="40"/>
      <c r="T424" s="40"/>
      <c r="U424" s="41"/>
      <c r="V424" s="41"/>
      <c r="W424" s="41"/>
      <c r="X424" s="36"/>
      <c r="Y424" s="36"/>
      <c r="Z424" s="36"/>
      <c r="AA424" s="36"/>
      <c r="AB424" s="36"/>
      <c r="AC424" s="36"/>
    </row>
    <row r="425" spans="17:29" x14ac:dyDescent="0.2">
      <c r="Q425" s="36"/>
      <c r="R425" s="40"/>
      <c r="S425" s="40"/>
      <c r="T425" s="40"/>
      <c r="U425" s="41"/>
      <c r="V425" s="41"/>
      <c r="W425" s="41"/>
      <c r="X425" s="36"/>
      <c r="Y425" s="36"/>
      <c r="Z425" s="36"/>
      <c r="AA425" s="36"/>
      <c r="AB425" s="36"/>
      <c r="AC425" s="36"/>
    </row>
    <row r="426" spans="17:29" x14ac:dyDescent="0.2">
      <c r="Q426" s="36"/>
      <c r="R426" s="40"/>
      <c r="S426" s="40"/>
      <c r="T426" s="40"/>
      <c r="U426" s="41"/>
      <c r="V426" s="41"/>
      <c r="W426" s="41"/>
      <c r="X426" s="36"/>
      <c r="Y426" s="36"/>
      <c r="Z426" s="36"/>
      <c r="AA426" s="36"/>
      <c r="AB426" s="36"/>
      <c r="AC426" s="36"/>
    </row>
    <row r="427" spans="17:29" x14ac:dyDescent="0.2">
      <c r="Q427" s="36"/>
      <c r="R427" s="40"/>
      <c r="S427" s="40"/>
      <c r="T427" s="40"/>
      <c r="U427" s="41"/>
      <c r="V427" s="41"/>
      <c r="W427" s="41"/>
      <c r="X427" s="36"/>
      <c r="Y427" s="36"/>
      <c r="Z427" s="36"/>
      <c r="AA427" s="36"/>
      <c r="AB427" s="36"/>
      <c r="AC427" s="36"/>
    </row>
    <row r="428" spans="17:29" x14ac:dyDescent="0.2">
      <c r="Q428" s="36"/>
      <c r="R428" s="40"/>
      <c r="S428" s="40"/>
      <c r="T428" s="40"/>
      <c r="U428" s="41"/>
      <c r="V428" s="41"/>
      <c r="W428" s="41"/>
      <c r="X428" s="36"/>
      <c r="Y428" s="36"/>
      <c r="Z428" s="36"/>
      <c r="AA428" s="36"/>
      <c r="AB428" s="36"/>
      <c r="AC428" s="36"/>
    </row>
    <row r="429" spans="17:29" x14ac:dyDescent="0.2">
      <c r="Q429" s="36"/>
      <c r="R429" s="40"/>
      <c r="S429" s="40"/>
      <c r="T429" s="40"/>
      <c r="U429" s="41"/>
      <c r="V429" s="41"/>
      <c r="W429" s="41"/>
      <c r="X429" s="36"/>
      <c r="Y429" s="36"/>
      <c r="Z429" s="36"/>
      <c r="AA429" s="36"/>
      <c r="AB429" s="36"/>
      <c r="AC429" s="36"/>
    </row>
    <row r="430" spans="17:29" x14ac:dyDescent="0.2">
      <c r="Q430" s="36"/>
      <c r="R430" s="40"/>
      <c r="S430" s="40"/>
      <c r="T430" s="40"/>
      <c r="U430" s="41"/>
      <c r="V430" s="41"/>
      <c r="W430" s="41"/>
      <c r="X430" s="36"/>
      <c r="Y430" s="36"/>
      <c r="Z430" s="36"/>
      <c r="AA430" s="36"/>
      <c r="AB430" s="36"/>
      <c r="AC430" s="36"/>
    </row>
    <row r="431" spans="17:29" x14ac:dyDescent="0.2">
      <c r="Q431" s="36"/>
      <c r="R431" s="40"/>
      <c r="S431" s="40"/>
      <c r="T431" s="40"/>
      <c r="U431" s="41"/>
      <c r="V431" s="41"/>
      <c r="W431" s="41"/>
      <c r="X431" s="36"/>
      <c r="Y431" s="36"/>
      <c r="Z431" s="36"/>
      <c r="AA431" s="36"/>
      <c r="AB431" s="36"/>
      <c r="AC431" s="36"/>
    </row>
    <row r="432" spans="17:29" x14ac:dyDescent="0.2">
      <c r="Q432" s="36"/>
      <c r="R432" s="40"/>
      <c r="S432" s="40"/>
      <c r="T432" s="40"/>
      <c r="U432" s="41"/>
      <c r="V432" s="41"/>
      <c r="W432" s="41"/>
      <c r="X432" s="36"/>
      <c r="Y432" s="36"/>
      <c r="Z432" s="36"/>
      <c r="AA432" s="36"/>
      <c r="AB432" s="36"/>
      <c r="AC432" s="36"/>
    </row>
    <row r="433" spans="17:29" x14ac:dyDescent="0.2">
      <c r="Q433" s="36"/>
      <c r="R433" s="40"/>
      <c r="S433" s="40"/>
      <c r="T433" s="40"/>
      <c r="U433" s="41"/>
      <c r="V433" s="41"/>
      <c r="W433" s="41"/>
      <c r="X433" s="36"/>
      <c r="Y433" s="36"/>
      <c r="Z433" s="36"/>
      <c r="AA433" s="36"/>
      <c r="AB433" s="36"/>
      <c r="AC433" s="36"/>
    </row>
    <row r="434" spans="17:29" x14ac:dyDescent="0.2">
      <c r="Q434" s="36"/>
      <c r="R434" s="40"/>
      <c r="S434" s="40"/>
      <c r="T434" s="40"/>
      <c r="U434" s="41"/>
      <c r="V434" s="41"/>
      <c r="W434" s="41"/>
      <c r="X434" s="36"/>
      <c r="Y434" s="36"/>
      <c r="Z434" s="36"/>
      <c r="AA434" s="36"/>
      <c r="AB434" s="36"/>
      <c r="AC434" s="36"/>
    </row>
    <row r="435" spans="17:29" x14ac:dyDescent="0.2">
      <c r="Q435" s="36"/>
      <c r="R435" s="40"/>
      <c r="S435" s="40"/>
      <c r="T435" s="40"/>
      <c r="U435" s="41"/>
      <c r="V435" s="41"/>
      <c r="W435" s="41"/>
      <c r="X435" s="36"/>
      <c r="Y435" s="36"/>
      <c r="Z435" s="36"/>
      <c r="AA435" s="36"/>
      <c r="AB435" s="36"/>
      <c r="AC435" s="36"/>
    </row>
    <row r="436" spans="17:29" x14ac:dyDescent="0.2">
      <c r="Q436" s="36"/>
      <c r="R436" s="40"/>
      <c r="S436" s="40"/>
      <c r="T436" s="40"/>
      <c r="U436" s="41"/>
      <c r="V436" s="41"/>
      <c r="W436" s="41"/>
      <c r="X436" s="36"/>
      <c r="Y436" s="36"/>
      <c r="Z436" s="36"/>
      <c r="AA436" s="36"/>
      <c r="AB436" s="36"/>
      <c r="AC436" s="36"/>
    </row>
    <row r="437" spans="17:29" x14ac:dyDescent="0.2">
      <c r="Q437" s="36"/>
      <c r="R437" s="40"/>
      <c r="S437" s="40"/>
      <c r="T437" s="40"/>
      <c r="U437" s="41"/>
      <c r="V437" s="41"/>
      <c r="W437" s="41"/>
      <c r="X437" s="36"/>
      <c r="Y437" s="36"/>
      <c r="Z437" s="36"/>
      <c r="AA437" s="36"/>
      <c r="AB437" s="36"/>
      <c r="AC437" s="36"/>
    </row>
    <row r="438" spans="17:29" x14ac:dyDescent="0.2">
      <c r="Q438" s="36"/>
      <c r="R438" s="40"/>
      <c r="S438" s="40"/>
      <c r="T438" s="40"/>
      <c r="U438" s="41"/>
      <c r="V438" s="41"/>
      <c r="W438" s="41"/>
      <c r="X438" s="36"/>
      <c r="Y438" s="36"/>
      <c r="Z438" s="36"/>
      <c r="AA438" s="36"/>
      <c r="AB438" s="36"/>
      <c r="AC438" s="36"/>
    </row>
    <row r="439" spans="17:29" x14ac:dyDescent="0.2">
      <c r="Q439" s="36"/>
      <c r="R439" s="40"/>
      <c r="S439" s="40"/>
      <c r="T439" s="40"/>
      <c r="U439" s="41"/>
      <c r="V439" s="41"/>
      <c r="W439" s="41"/>
      <c r="X439" s="36"/>
      <c r="Y439" s="36"/>
      <c r="Z439" s="36"/>
      <c r="AA439" s="36"/>
      <c r="AB439" s="36"/>
      <c r="AC439" s="36"/>
    </row>
    <row r="440" spans="17:29" x14ac:dyDescent="0.2">
      <c r="Q440" s="36"/>
      <c r="R440" s="40"/>
      <c r="S440" s="40"/>
      <c r="T440" s="40"/>
      <c r="U440" s="41"/>
      <c r="V440" s="41"/>
      <c r="W440" s="41"/>
      <c r="X440" s="36"/>
      <c r="Y440" s="36"/>
      <c r="Z440" s="36"/>
      <c r="AA440" s="36"/>
      <c r="AB440" s="36"/>
      <c r="AC440" s="36"/>
    </row>
    <row r="441" spans="17:29" x14ac:dyDescent="0.2">
      <c r="Q441" s="36"/>
      <c r="R441" s="40"/>
      <c r="S441" s="40"/>
      <c r="T441" s="40"/>
      <c r="U441" s="41"/>
      <c r="V441" s="41"/>
      <c r="W441" s="41"/>
      <c r="X441" s="36"/>
      <c r="Y441" s="36"/>
      <c r="Z441" s="36"/>
      <c r="AA441" s="36"/>
      <c r="AB441" s="36"/>
      <c r="AC441" s="36"/>
    </row>
    <row r="442" spans="17:29" x14ac:dyDescent="0.2">
      <c r="Q442" s="36"/>
      <c r="R442" s="40"/>
      <c r="S442" s="40"/>
      <c r="T442" s="40"/>
      <c r="U442" s="41"/>
      <c r="V442" s="41"/>
      <c r="W442" s="41"/>
      <c r="X442" s="36"/>
      <c r="Y442" s="36"/>
      <c r="Z442" s="36"/>
      <c r="AA442" s="36"/>
      <c r="AB442" s="36"/>
      <c r="AC442" s="36"/>
    </row>
    <row r="443" spans="17:29" x14ac:dyDescent="0.2">
      <c r="Q443" s="36"/>
      <c r="R443" s="40"/>
      <c r="S443" s="40"/>
      <c r="T443" s="40"/>
      <c r="U443" s="41"/>
      <c r="V443" s="41"/>
      <c r="W443" s="41"/>
      <c r="X443" s="36"/>
      <c r="Y443" s="36"/>
      <c r="Z443" s="36"/>
      <c r="AA443" s="36"/>
      <c r="AB443" s="36"/>
      <c r="AC443" s="36"/>
    </row>
    <row r="444" spans="17:29" x14ac:dyDescent="0.2">
      <c r="Q444" s="36"/>
      <c r="R444" s="40"/>
      <c r="S444" s="40"/>
      <c r="T444" s="40"/>
      <c r="U444" s="41"/>
      <c r="V444" s="41"/>
      <c r="W444" s="41"/>
      <c r="X444" s="36"/>
      <c r="Y444" s="36"/>
      <c r="Z444" s="36"/>
      <c r="AA444" s="36"/>
      <c r="AB444" s="36"/>
      <c r="AC444" s="36"/>
    </row>
    <row r="445" spans="17:29" x14ac:dyDescent="0.2">
      <c r="Q445" s="36"/>
      <c r="R445" s="40"/>
      <c r="S445" s="40"/>
      <c r="T445" s="40"/>
      <c r="U445" s="41"/>
      <c r="V445" s="41"/>
      <c r="W445" s="41"/>
      <c r="X445" s="36"/>
      <c r="Y445" s="36"/>
      <c r="Z445" s="36"/>
      <c r="AA445" s="36"/>
      <c r="AB445" s="36"/>
      <c r="AC445" s="36"/>
    </row>
    <row r="446" spans="17:29" x14ac:dyDescent="0.2">
      <c r="Q446" s="36"/>
      <c r="R446" s="40"/>
      <c r="S446" s="40"/>
      <c r="T446" s="40"/>
      <c r="U446" s="41"/>
      <c r="V446" s="41"/>
      <c r="W446" s="41"/>
      <c r="X446" s="36"/>
      <c r="Y446" s="36"/>
      <c r="Z446" s="36"/>
      <c r="AA446" s="36"/>
      <c r="AB446" s="36"/>
      <c r="AC446" s="36"/>
    </row>
    <row r="447" spans="17:29" x14ac:dyDescent="0.2">
      <c r="Q447" s="36"/>
      <c r="R447" s="40"/>
      <c r="S447" s="40"/>
      <c r="T447" s="40"/>
      <c r="U447" s="41"/>
      <c r="V447" s="41"/>
      <c r="W447" s="41"/>
      <c r="X447" s="36"/>
      <c r="Y447" s="36"/>
      <c r="Z447" s="36"/>
      <c r="AA447" s="36"/>
      <c r="AB447" s="36"/>
      <c r="AC447" s="36"/>
    </row>
    <row r="448" spans="17:29" x14ac:dyDescent="0.2">
      <c r="Q448" s="36"/>
      <c r="R448" s="40"/>
      <c r="S448" s="40"/>
      <c r="T448" s="40"/>
      <c r="U448" s="41"/>
      <c r="V448" s="41"/>
      <c r="W448" s="41"/>
      <c r="X448" s="36"/>
      <c r="Y448" s="36"/>
      <c r="Z448" s="36"/>
      <c r="AA448" s="36"/>
      <c r="AB448" s="36"/>
      <c r="AC448" s="36"/>
    </row>
    <row r="449" spans="17:29" x14ac:dyDescent="0.2">
      <c r="Q449" s="36"/>
      <c r="R449" s="40"/>
      <c r="S449" s="40"/>
      <c r="T449" s="40"/>
      <c r="U449" s="41"/>
      <c r="V449" s="41"/>
      <c r="W449" s="41"/>
      <c r="X449" s="36"/>
      <c r="Y449" s="36"/>
      <c r="Z449" s="36"/>
      <c r="AA449" s="36"/>
      <c r="AB449" s="36"/>
      <c r="AC449" s="36"/>
    </row>
    <row r="450" spans="17:29" x14ac:dyDescent="0.2">
      <c r="Q450" s="36"/>
      <c r="R450" s="40"/>
      <c r="S450" s="40"/>
      <c r="T450" s="40"/>
      <c r="U450" s="41"/>
      <c r="V450" s="41"/>
      <c r="W450" s="41"/>
      <c r="X450" s="36"/>
      <c r="Y450" s="36"/>
      <c r="Z450" s="36"/>
      <c r="AA450" s="36"/>
      <c r="AB450" s="36"/>
      <c r="AC450" s="36"/>
    </row>
    <row r="451" spans="17:29" x14ac:dyDescent="0.2">
      <c r="Q451" s="36"/>
      <c r="R451" s="40"/>
      <c r="S451" s="40"/>
      <c r="T451" s="40"/>
      <c r="U451" s="41"/>
      <c r="V451" s="41"/>
      <c r="W451" s="41"/>
      <c r="X451" s="36"/>
      <c r="Y451" s="36"/>
      <c r="Z451" s="36"/>
      <c r="AA451" s="36"/>
      <c r="AB451" s="36"/>
      <c r="AC451" s="36"/>
    </row>
    <row r="452" spans="17:29" x14ac:dyDescent="0.2">
      <c r="Q452" s="36"/>
      <c r="R452" s="40"/>
      <c r="S452" s="40"/>
      <c r="T452" s="40"/>
      <c r="U452" s="41"/>
      <c r="V452" s="41"/>
      <c r="W452" s="41"/>
      <c r="X452" s="36"/>
      <c r="Y452" s="36"/>
      <c r="Z452" s="36"/>
      <c r="AA452" s="36"/>
      <c r="AB452" s="36"/>
      <c r="AC452" s="36"/>
    </row>
    <row r="453" spans="17:29" x14ac:dyDescent="0.2">
      <c r="Q453" s="36"/>
      <c r="R453" s="40"/>
      <c r="S453" s="40"/>
      <c r="T453" s="40"/>
      <c r="U453" s="41"/>
      <c r="V453" s="41"/>
      <c r="W453" s="41"/>
      <c r="X453" s="36"/>
      <c r="Y453" s="36"/>
      <c r="Z453" s="36"/>
      <c r="AA453" s="36"/>
      <c r="AB453" s="36"/>
      <c r="AC453" s="36"/>
    </row>
    <row r="454" spans="17:29" x14ac:dyDescent="0.2">
      <c r="Q454" s="36"/>
      <c r="R454" s="40"/>
      <c r="S454" s="40"/>
      <c r="T454" s="40"/>
      <c r="U454" s="41"/>
      <c r="V454" s="41"/>
      <c r="W454" s="41"/>
      <c r="X454" s="36"/>
      <c r="Y454" s="36"/>
      <c r="Z454" s="36"/>
      <c r="AA454" s="36"/>
      <c r="AB454" s="36"/>
      <c r="AC454" s="36"/>
    </row>
    <row r="455" spans="17:29" x14ac:dyDescent="0.2">
      <c r="Q455" s="36"/>
      <c r="R455" s="40"/>
      <c r="S455" s="40"/>
      <c r="T455" s="40"/>
      <c r="U455" s="41"/>
      <c r="V455" s="41"/>
      <c r="W455" s="41"/>
      <c r="X455" s="36"/>
      <c r="Y455" s="36"/>
      <c r="Z455" s="36"/>
      <c r="AA455" s="36"/>
      <c r="AB455" s="36"/>
      <c r="AC455" s="36"/>
    </row>
    <row r="456" spans="17:29" x14ac:dyDescent="0.2">
      <c r="Q456" s="36"/>
      <c r="R456" s="40"/>
      <c r="S456" s="40"/>
      <c r="T456" s="40"/>
      <c r="U456" s="41"/>
      <c r="V456" s="41"/>
      <c r="W456" s="41"/>
      <c r="X456" s="36"/>
      <c r="Y456" s="36"/>
      <c r="Z456" s="36"/>
      <c r="AA456" s="36"/>
      <c r="AB456" s="36"/>
      <c r="AC456" s="36"/>
    </row>
    <row r="457" spans="17:29" x14ac:dyDescent="0.2">
      <c r="Q457" s="36"/>
      <c r="R457" s="40"/>
      <c r="S457" s="40"/>
      <c r="T457" s="40"/>
      <c r="U457" s="41"/>
      <c r="V457" s="41"/>
      <c r="W457" s="41"/>
      <c r="X457" s="36"/>
      <c r="Y457" s="36"/>
      <c r="Z457" s="36"/>
      <c r="AA457" s="36"/>
      <c r="AB457" s="36"/>
      <c r="AC457" s="36"/>
    </row>
    <row r="458" spans="17:29" x14ac:dyDescent="0.2">
      <c r="Q458" s="36"/>
      <c r="R458" s="40"/>
      <c r="S458" s="40"/>
      <c r="T458" s="40"/>
      <c r="U458" s="41"/>
      <c r="V458" s="41"/>
      <c r="W458" s="41"/>
      <c r="X458" s="36"/>
      <c r="Y458" s="36"/>
      <c r="Z458" s="36"/>
      <c r="AA458" s="36"/>
      <c r="AB458" s="36"/>
      <c r="AC458" s="36"/>
    </row>
    <row r="459" spans="17:29" x14ac:dyDescent="0.2">
      <c r="Q459" s="36"/>
      <c r="R459" s="40"/>
      <c r="S459" s="40"/>
      <c r="T459" s="40"/>
      <c r="U459" s="41"/>
      <c r="V459" s="41"/>
      <c r="W459" s="41"/>
      <c r="X459" s="36"/>
      <c r="Y459" s="36"/>
      <c r="Z459" s="36"/>
      <c r="AA459" s="36"/>
      <c r="AB459" s="36"/>
      <c r="AC459" s="36"/>
    </row>
    <row r="460" spans="17:29" x14ac:dyDescent="0.2">
      <c r="Q460" s="36"/>
      <c r="R460" s="40"/>
      <c r="S460" s="40"/>
      <c r="T460" s="40"/>
      <c r="U460" s="41"/>
      <c r="V460" s="41"/>
      <c r="W460" s="41"/>
      <c r="X460" s="36"/>
      <c r="Y460" s="36"/>
      <c r="Z460" s="36"/>
      <c r="AA460" s="36"/>
      <c r="AB460" s="36"/>
      <c r="AC460" s="36"/>
    </row>
    <row r="461" spans="17:29" x14ac:dyDescent="0.2">
      <c r="Q461" s="36"/>
      <c r="R461" s="40"/>
      <c r="S461" s="40"/>
      <c r="T461" s="40"/>
      <c r="U461" s="41"/>
      <c r="V461" s="41"/>
      <c r="W461" s="41"/>
      <c r="X461" s="36"/>
      <c r="Y461" s="36"/>
      <c r="Z461" s="36"/>
      <c r="AA461" s="36"/>
      <c r="AB461" s="36"/>
      <c r="AC461" s="36"/>
    </row>
    <row r="462" spans="17:29" x14ac:dyDescent="0.2">
      <c r="Q462" s="36"/>
      <c r="R462" s="40"/>
      <c r="S462" s="40"/>
      <c r="T462" s="40"/>
      <c r="U462" s="41"/>
      <c r="V462" s="41"/>
      <c r="W462" s="41"/>
      <c r="X462" s="36"/>
      <c r="Y462" s="36"/>
      <c r="Z462" s="36"/>
      <c r="AA462" s="36"/>
      <c r="AB462" s="36"/>
      <c r="AC462" s="36"/>
    </row>
    <row r="463" spans="17:29" x14ac:dyDescent="0.2">
      <c r="Q463" s="36"/>
      <c r="R463" s="40"/>
      <c r="S463" s="40"/>
      <c r="T463" s="40"/>
      <c r="U463" s="41"/>
      <c r="V463" s="41"/>
      <c r="W463" s="41"/>
      <c r="X463" s="36"/>
      <c r="Y463" s="36"/>
      <c r="Z463" s="36"/>
      <c r="AA463" s="36"/>
      <c r="AB463" s="36"/>
      <c r="AC463" s="36"/>
    </row>
    <row r="464" spans="17:29" x14ac:dyDescent="0.2">
      <c r="Q464" s="36"/>
      <c r="R464" s="40"/>
      <c r="S464" s="40"/>
      <c r="T464" s="40"/>
      <c r="U464" s="41"/>
      <c r="V464" s="41"/>
      <c r="W464" s="41"/>
      <c r="X464" s="36"/>
      <c r="Y464" s="36"/>
      <c r="Z464" s="36"/>
      <c r="AA464" s="36"/>
      <c r="AB464" s="36"/>
      <c r="AC464" s="36"/>
    </row>
    <row r="465" spans="17:29" x14ac:dyDescent="0.2">
      <c r="Q465" s="36"/>
      <c r="R465" s="40"/>
      <c r="S465" s="40"/>
      <c r="T465" s="40"/>
      <c r="U465" s="41"/>
      <c r="V465" s="41"/>
      <c r="W465" s="41"/>
      <c r="X465" s="36"/>
      <c r="Y465" s="36"/>
      <c r="Z465" s="36"/>
      <c r="AA465" s="36"/>
      <c r="AB465" s="36"/>
      <c r="AC465" s="36"/>
    </row>
    <row r="466" spans="17:29" x14ac:dyDescent="0.2">
      <c r="Q466" s="36"/>
      <c r="R466" s="40"/>
      <c r="S466" s="40"/>
      <c r="T466" s="40"/>
      <c r="U466" s="41"/>
      <c r="V466" s="41"/>
      <c r="W466" s="41"/>
      <c r="X466" s="36"/>
      <c r="Y466" s="36"/>
      <c r="Z466" s="36"/>
      <c r="AA466" s="36"/>
      <c r="AB466" s="36"/>
      <c r="AC466" s="36"/>
    </row>
    <row r="467" spans="17:29" x14ac:dyDescent="0.2">
      <c r="Q467" s="36"/>
      <c r="R467" s="40"/>
      <c r="S467" s="40"/>
      <c r="T467" s="40"/>
      <c r="U467" s="41"/>
      <c r="V467" s="41"/>
      <c r="W467" s="41"/>
      <c r="X467" s="36"/>
      <c r="Y467" s="36"/>
      <c r="Z467" s="36"/>
      <c r="AA467" s="36"/>
      <c r="AB467" s="36"/>
      <c r="AC467" s="36"/>
    </row>
    <row r="468" spans="17:29" x14ac:dyDescent="0.2">
      <c r="Q468" s="36"/>
      <c r="R468" s="40"/>
      <c r="S468" s="40"/>
      <c r="T468" s="40"/>
      <c r="U468" s="41"/>
      <c r="V468" s="41"/>
      <c r="W468" s="41"/>
      <c r="X468" s="36"/>
      <c r="Y468" s="36"/>
      <c r="Z468" s="36"/>
      <c r="AA468" s="36"/>
      <c r="AB468" s="36"/>
      <c r="AC468" s="36"/>
    </row>
    <row r="469" spans="17:29" x14ac:dyDescent="0.2">
      <c r="Q469" s="36"/>
      <c r="R469" s="40"/>
      <c r="S469" s="40"/>
      <c r="T469" s="40"/>
      <c r="U469" s="41"/>
      <c r="V469" s="41"/>
      <c r="W469" s="41"/>
      <c r="X469" s="36"/>
      <c r="Y469" s="36"/>
      <c r="Z469" s="36"/>
      <c r="AA469" s="36"/>
      <c r="AB469" s="36"/>
      <c r="AC469" s="36"/>
    </row>
    <row r="470" spans="17:29" x14ac:dyDescent="0.2">
      <c r="Q470" s="36"/>
      <c r="R470" s="40"/>
      <c r="S470" s="40"/>
      <c r="T470" s="40"/>
      <c r="U470" s="41"/>
      <c r="V470" s="41"/>
      <c r="W470" s="41"/>
      <c r="X470" s="36"/>
      <c r="Y470" s="36"/>
      <c r="Z470" s="36"/>
      <c r="AA470" s="36"/>
      <c r="AB470" s="36"/>
      <c r="AC470" s="36"/>
    </row>
    <row r="471" spans="17:29" x14ac:dyDescent="0.2">
      <c r="Q471" s="36"/>
      <c r="R471" s="40"/>
      <c r="S471" s="40"/>
      <c r="T471" s="40"/>
      <c r="U471" s="41"/>
      <c r="V471" s="41"/>
      <c r="W471" s="41"/>
      <c r="X471" s="36"/>
      <c r="Y471" s="36"/>
      <c r="Z471" s="36"/>
      <c r="AA471" s="36"/>
      <c r="AB471" s="36"/>
      <c r="AC471" s="36"/>
    </row>
    <row r="472" spans="17:29" x14ac:dyDescent="0.2">
      <c r="Q472" s="36"/>
      <c r="R472" s="40"/>
      <c r="S472" s="40"/>
      <c r="T472" s="40"/>
      <c r="U472" s="41"/>
      <c r="V472" s="41"/>
      <c r="W472" s="41"/>
      <c r="X472" s="36"/>
      <c r="Y472" s="36"/>
      <c r="Z472" s="36"/>
      <c r="AA472" s="36"/>
      <c r="AB472" s="36"/>
      <c r="AC472" s="36"/>
    </row>
    <row r="473" spans="17:29" x14ac:dyDescent="0.2">
      <c r="Q473" s="36"/>
      <c r="R473" s="40"/>
      <c r="S473" s="40"/>
      <c r="T473" s="40"/>
      <c r="U473" s="41"/>
      <c r="V473" s="41"/>
      <c r="W473" s="41"/>
      <c r="X473" s="36"/>
      <c r="Y473" s="36"/>
      <c r="Z473" s="36"/>
      <c r="AA473" s="36"/>
      <c r="AB473" s="36"/>
      <c r="AC473" s="36"/>
    </row>
    <row r="474" spans="17:29" x14ac:dyDescent="0.2">
      <c r="Q474" s="36"/>
      <c r="R474" s="40"/>
      <c r="S474" s="40"/>
      <c r="T474" s="40"/>
      <c r="U474" s="41"/>
      <c r="V474" s="41"/>
      <c r="W474" s="41"/>
      <c r="X474" s="36"/>
      <c r="Y474" s="36"/>
      <c r="Z474" s="36"/>
      <c r="AA474" s="36"/>
      <c r="AB474" s="36"/>
      <c r="AC474" s="36"/>
    </row>
    <row r="475" spans="17:29" x14ac:dyDescent="0.2">
      <c r="Q475" s="36"/>
      <c r="R475" s="40"/>
      <c r="S475" s="40"/>
      <c r="T475" s="40"/>
      <c r="U475" s="41"/>
      <c r="V475" s="41"/>
      <c r="W475" s="41"/>
      <c r="X475" s="36"/>
      <c r="Y475" s="36"/>
      <c r="Z475" s="36"/>
      <c r="AA475" s="36"/>
      <c r="AB475" s="36"/>
      <c r="AC475" s="36"/>
    </row>
    <row r="476" spans="17:29" x14ac:dyDescent="0.2">
      <c r="Q476" s="36"/>
      <c r="R476" s="40"/>
      <c r="S476" s="40"/>
      <c r="T476" s="40"/>
      <c r="U476" s="41"/>
      <c r="V476" s="41"/>
      <c r="W476" s="41"/>
      <c r="X476" s="36"/>
      <c r="Y476" s="36"/>
      <c r="Z476" s="36"/>
      <c r="AA476" s="36"/>
      <c r="AB476" s="36"/>
      <c r="AC476" s="36"/>
    </row>
    <row r="477" spans="17:29" x14ac:dyDescent="0.2">
      <c r="Q477" s="36"/>
      <c r="R477" s="40"/>
      <c r="S477" s="40"/>
      <c r="T477" s="40"/>
      <c r="U477" s="41"/>
      <c r="V477" s="41"/>
      <c r="W477" s="41"/>
      <c r="X477" s="36"/>
      <c r="Y477" s="36"/>
      <c r="Z477" s="36"/>
      <c r="AA477" s="36"/>
      <c r="AB477" s="36"/>
      <c r="AC477" s="36"/>
    </row>
    <row r="478" spans="17:29" x14ac:dyDescent="0.2">
      <c r="Q478" s="36"/>
      <c r="R478" s="40"/>
      <c r="S478" s="40"/>
      <c r="T478" s="40"/>
      <c r="U478" s="41"/>
      <c r="V478" s="41"/>
      <c r="W478" s="41"/>
      <c r="X478" s="36"/>
      <c r="Y478" s="36"/>
      <c r="Z478" s="36"/>
      <c r="AA478" s="36"/>
      <c r="AB478" s="36"/>
      <c r="AC478" s="36"/>
    </row>
    <row r="479" spans="17:29" x14ac:dyDescent="0.2">
      <c r="Q479" s="36"/>
      <c r="R479" s="40"/>
      <c r="S479" s="40"/>
      <c r="T479" s="40"/>
      <c r="U479" s="41"/>
      <c r="V479" s="41"/>
      <c r="W479" s="41"/>
      <c r="X479" s="36"/>
      <c r="Y479" s="36"/>
      <c r="Z479" s="36"/>
      <c r="AA479" s="36"/>
      <c r="AB479" s="36"/>
      <c r="AC479" s="36"/>
    </row>
    <row r="480" spans="17:29" x14ac:dyDescent="0.2">
      <c r="Q480" s="36"/>
      <c r="R480" s="40"/>
      <c r="S480" s="40"/>
      <c r="T480" s="40"/>
      <c r="U480" s="41"/>
      <c r="V480" s="41"/>
      <c r="W480" s="41"/>
      <c r="X480" s="36"/>
      <c r="Y480" s="36"/>
      <c r="Z480" s="36"/>
      <c r="AA480" s="36"/>
      <c r="AB480" s="36"/>
      <c r="AC480" s="36"/>
    </row>
    <row r="481" spans="17:29" x14ac:dyDescent="0.2">
      <c r="Q481" s="36"/>
      <c r="R481" s="40"/>
      <c r="S481" s="40"/>
      <c r="T481" s="40"/>
      <c r="U481" s="41"/>
      <c r="V481" s="41"/>
      <c r="W481" s="41"/>
      <c r="X481" s="36"/>
      <c r="Y481" s="36"/>
      <c r="Z481" s="36"/>
      <c r="AA481" s="36"/>
      <c r="AB481" s="36"/>
      <c r="AC481" s="36"/>
    </row>
    <row r="482" spans="17:29" x14ac:dyDescent="0.2">
      <c r="Q482" s="36"/>
      <c r="R482" s="40"/>
      <c r="S482" s="40"/>
      <c r="T482" s="40"/>
      <c r="U482" s="41"/>
      <c r="V482" s="41"/>
      <c r="W482" s="41"/>
      <c r="X482" s="36"/>
      <c r="Y482" s="36"/>
      <c r="Z482" s="36"/>
      <c r="AA482" s="36"/>
      <c r="AB482" s="36"/>
      <c r="AC482" s="36"/>
    </row>
    <row r="483" spans="17:29" x14ac:dyDescent="0.2">
      <c r="Q483" s="36"/>
      <c r="R483" s="40"/>
      <c r="S483" s="40"/>
      <c r="T483" s="40"/>
      <c r="U483" s="41"/>
      <c r="V483" s="41"/>
      <c r="W483" s="41"/>
      <c r="X483" s="36"/>
      <c r="Y483" s="36"/>
      <c r="Z483" s="36"/>
      <c r="AA483" s="36"/>
      <c r="AB483" s="36"/>
      <c r="AC483" s="36"/>
    </row>
    <row r="484" spans="17:29" x14ac:dyDescent="0.2">
      <c r="Q484" s="36"/>
      <c r="R484" s="40"/>
      <c r="S484" s="40"/>
      <c r="T484" s="40"/>
      <c r="U484" s="41"/>
      <c r="V484" s="41"/>
      <c r="W484" s="41"/>
      <c r="X484" s="36"/>
      <c r="Y484" s="36"/>
      <c r="Z484" s="36"/>
      <c r="AA484" s="36"/>
      <c r="AB484" s="36"/>
      <c r="AC484" s="36"/>
    </row>
    <row r="485" spans="17:29" x14ac:dyDescent="0.2">
      <c r="Q485" s="36"/>
      <c r="R485" s="40"/>
      <c r="S485" s="40"/>
      <c r="T485" s="40"/>
      <c r="U485" s="41"/>
      <c r="V485" s="41"/>
      <c r="W485" s="41"/>
      <c r="X485" s="36"/>
      <c r="Y485" s="36"/>
      <c r="Z485" s="36"/>
      <c r="AA485" s="36"/>
      <c r="AB485" s="36"/>
      <c r="AC485" s="36"/>
    </row>
    <row r="486" spans="17:29" x14ac:dyDescent="0.2">
      <c r="Q486" s="36"/>
      <c r="R486" s="40"/>
      <c r="S486" s="40"/>
      <c r="T486" s="40"/>
      <c r="U486" s="41"/>
      <c r="V486" s="41"/>
      <c r="W486" s="41"/>
      <c r="X486" s="36"/>
      <c r="Y486" s="36"/>
      <c r="Z486" s="36"/>
      <c r="AA486" s="36"/>
      <c r="AB486" s="36"/>
      <c r="AC486" s="36"/>
    </row>
    <row r="487" spans="17:29" x14ac:dyDescent="0.2">
      <c r="Q487" s="36"/>
      <c r="R487" s="40"/>
      <c r="S487" s="40"/>
      <c r="T487" s="40"/>
      <c r="U487" s="41"/>
      <c r="V487" s="41"/>
      <c r="W487" s="41"/>
      <c r="X487" s="36"/>
      <c r="Y487" s="36"/>
      <c r="Z487" s="36"/>
      <c r="AA487" s="36"/>
      <c r="AB487" s="36"/>
      <c r="AC487" s="36"/>
    </row>
    <row r="488" spans="17:29" x14ac:dyDescent="0.2">
      <c r="Q488" s="36"/>
      <c r="R488" s="40"/>
      <c r="S488" s="40"/>
      <c r="T488" s="40"/>
      <c r="U488" s="41"/>
      <c r="V488" s="41"/>
      <c r="W488" s="41"/>
      <c r="X488" s="36"/>
      <c r="Y488" s="36"/>
      <c r="Z488" s="36"/>
      <c r="AA488" s="36"/>
      <c r="AB488" s="36"/>
      <c r="AC488" s="36"/>
    </row>
    <row r="489" spans="17:29" x14ac:dyDescent="0.2">
      <c r="Q489" s="36"/>
      <c r="R489" s="40"/>
      <c r="S489" s="40"/>
      <c r="T489" s="40"/>
      <c r="U489" s="41"/>
      <c r="V489" s="41"/>
      <c r="W489" s="41"/>
      <c r="X489" s="36"/>
      <c r="Y489" s="36"/>
      <c r="Z489" s="36"/>
      <c r="AA489" s="36"/>
      <c r="AB489" s="36"/>
      <c r="AC489" s="36"/>
    </row>
    <row r="490" spans="17:29" x14ac:dyDescent="0.2">
      <c r="Q490" s="36"/>
      <c r="R490" s="40"/>
      <c r="S490" s="40"/>
      <c r="T490" s="40"/>
      <c r="U490" s="41"/>
      <c r="V490" s="41"/>
      <c r="W490" s="41"/>
      <c r="X490" s="36"/>
      <c r="Y490" s="36"/>
      <c r="Z490" s="36"/>
      <c r="AA490" s="36"/>
      <c r="AB490" s="36"/>
      <c r="AC490" s="36"/>
    </row>
    <row r="491" spans="17:29" x14ac:dyDescent="0.2">
      <c r="Q491" s="36"/>
      <c r="R491" s="40"/>
      <c r="S491" s="40"/>
      <c r="T491" s="40"/>
      <c r="U491" s="41"/>
      <c r="V491" s="41"/>
      <c r="W491" s="41"/>
      <c r="X491" s="36"/>
      <c r="Y491" s="36"/>
      <c r="Z491" s="36"/>
      <c r="AA491" s="36"/>
      <c r="AB491" s="36"/>
      <c r="AC491" s="36"/>
    </row>
    <row r="492" spans="17:29" x14ac:dyDescent="0.2">
      <c r="Q492" s="36"/>
      <c r="R492" s="40"/>
      <c r="S492" s="40"/>
      <c r="T492" s="40"/>
      <c r="U492" s="41"/>
      <c r="V492" s="41"/>
      <c r="W492" s="41"/>
      <c r="X492" s="36"/>
      <c r="Y492" s="36"/>
      <c r="Z492" s="36"/>
      <c r="AA492" s="36"/>
      <c r="AB492" s="36"/>
      <c r="AC492" s="36"/>
    </row>
    <row r="493" spans="17:29" x14ac:dyDescent="0.2">
      <c r="Q493" s="36"/>
      <c r="R493" s="40"/>
      <c r="S493" s="40"/>
      <c r="T493" s="40"/>
      <c r="U493" s="41"/>
      <c r="V493" s="41"/>
      <c r="W493" s="41"/>
      <c r="X493" s="36"/>
      <c r="Y493" s="36"/>
      <c r="Z493" s="36"/>
      <c r="AA493" s="36"/>
      <c r="AB493" s="36"/>
      <c r="AC493" s="36"/>
    </row>
    <row r="494" spans="17:29" x14ac:dyDescent="0.2">
      <c r="Q494" s="36"/>
      <c r="R494" s="40"/>
      <c r="S494" s="40"/>
      <c r="T494" s="40"/>
      <c r="U494" s="41"/>
      <c r="V494" s="41"/>
      <c r="W494" s="41"/>
      <c r="X494" s="36"/>
      <c r="Y494" s="36"/>
      <c r="Z494" s="36"/>
      <c r="AA494" s="36"/>
      <c r="AB494" s="36"/>
      <c r="AC494" s="36"/>
    </row>
    <row r="495" spans="17:29" x14ac:dyDescent="0.2">
      <c r="Q495" s="36"/>
      <c r="R495" s="40"/>
      <c r="S495" s="40"/>
      <c r="T495" s="40"/>
      <c r="U495" s="41"/>
      <c r="V495" s="41"/>
      <c r="W495" s="41"/>
      <c r="X495" s="36"/>
      <c r="Y495" s="36"/>
      <c r="Z495" s="36"/>
      <c r="AA495" s="36"/>
      <c r="AB495" s="36"/>
      <c r="AC495" s="36"/>
    </row>
    <row r="496" spans="17:29" x14ac:dyDescent="0.2">
      <c r="Q496" s="36"/>
      <c r="R496" s="40"/>
      <c r="S496" s="40"/>
      <c r="T496" s="40"/>
      <c r="U496" s="41"/>
      <c r="V496" s="41"/>
      <c r="W496" s="41"/>
      <c r="X496" s="36"/>
      <c r="Y496" s="36"/>
      <c r="Z496" s="36"/>
      <c r="AA496" s="36"/>
      <c r="AB496" s="36"/>
      <c r="AC496" s="36"/>
    </row>
    <row r="497" spans="17:29" x14ac:dyDescent="0.2">
      <c r="Q497" s="36"/>
      <c r="R497" s="40"/>
      <c r="S497" s="40"/>
      <c r="T497" s="40"/>
      <c r="U497" s="41"/>
      <c r="V497" s="41"/>
      <c r="W497" s="41"/>
      <c r="X497" s="36"/>
      <c r="Y497" s="36"/>
      <c r="Z497" s="36"/>
      <c r="AA497" s="36"/>
      <c r="AB497" s="36"/>
      <c r="AC497" s="36"/>
    </row>
    <row r="498" spans="17:29" x14ac:dyDescent="0.2">
      <c r="Q498" s="36"/>
      <c r="R498" s="40"/>
      <c r="S498" s="40"/>
      <c r="T498" s="40"/>
      <c r="U498" s="41"/>
      <c r="V498" s="41"/>
      <c r="W498" s="41"/>
      <c r="X498" s="36"/>
      <c r="Y498" s="36"/>
      <c r="Z498" s="36"/>
      <c r="AA498" s="36"/>
      <c r="AB498" s="36"/>
      <c r="AC498" s="36"/>
    </row>
    <row r="499" spans="17:29" x14ac:dyDescent="0.2">
      <c r="Q499" s="36"/>
      <c r="R499" s="40"/>
      <c r="S499" s="40"/>
      <c r="T499" s="40"/>
      <c r="U499" s="41"/>
      <c r="V499" s="41"/>
      <c r="W499" s="41"/>
      <c r="X499" s="36"/>
      <c r="Y499" s="36"/>
      <c r="Z499" s="36"/>
      <c r="AA499" s="36"/>
      <c r="AB499" s="36"/>
      <c r="AC499" s="36"/>
    </row>
    <row r="500" spans="17:29" x14ac:dyDescent="0.2">
      <c r="Q500" s="36"/>
      <c r="R500" s="40"/>
      <c r="S500" s="40"/>
      <c r="T500" s="40"/>
      <c r="U500" s="41"/>
      <c r="V500" s="41"/>
      <c r="W500" s="41"/>
      <c r="X500" s="36"/>
      <c r="Y500" s="36"/>
      <c r="Z500" s="36"/>
      <c r="AA500" s="36"/>
      <c r="AB500" s="36"/>
      <c r="AC500" s="36"/>
    </row>
    <row r="501" spans="17:29" x14ac:dyDescent="0.2">
      <c r="Q501" s="36"/>
      <c r="R501" s="40"/>
      <c r="S501" s="40"/>
      <c r="T501" s="40"/>
      <c r="U501" s="41"/>
      <c r="V501" s="41"/>
      <c r="W501" s="41"/>
      <c r="X501" s="36"/>
      <c r="Y501" s="36"/>
      <c r="Z501" s="36"/>
      <c r="AA501" s="36"/>
      <c r="AB501" s="36"/>
      <c r="AC501" s="36"/>
    </row>
    <row r="502" spans="17:29" x14ac:dyDescent="0.2">
      <c r="Q502" s="36"/>
      <c r="R502" s="40"/>
      <c r="S502" s="40"/>
      <c r="T502" s="40"/>
      <c r="U502" s="41"/>
      <c r="V502" s="41"/>
      <c r="W502" s="41"/>
      <c r="X502" s="36"/>
      <c r="Y502" s="36"/>
      <c r="Z502" s="36"/>
      <c r="AA502" s="36"/>
      <c r="AB502" s="36"/>
      <c r="AC502" s="36"/>
    </row>
    <row r="503" spans="17:29" x14ac:dyDescent="0.2">
      <c r="Q503" s="36"/>
      <c r="R503" s="40"/>
      <c r="S503" s="40"/>
      <c r="T503" s="40"/>
      <c r="U503" s="41"/>
      <c r="V503" s="41"/>
      <c r="W503" s="41"/>
      <c r="X503" s="36"/>
      <c r="Y503" s="36"/>
      <c r="Z503" s="36"/>
      <c r="AA503" s="36"/>
      <c r="AB503" s="36"/>
      <c r="AC503" s="36"/>
    </row>
    <row r="504" spans="17:29" x14ac:dyDescent="0.2">
      <c r="Q504" s="36"/>
      <c r="R504" s="40"/>
      <c r="S504" s="40"/>
      <c r="T504" s="40"/>
      <c r="U504" s="41"/>
      <c r="V504" s="41"/>
      <c r="W504" s="41"/>
      <c r="X504" s="36"/>
      <c r="Y504" s="36"/>
      <c r="Z504" s="36"/>
      <c r="AA504" s="36"/>
      <c r="AB504" s="36"/>
      <c r="AC504" s="36"/>
    </row>
    <row r="505" spans="17:29" x14ac:dyDescent="0.2">
      <c r="Q505" s="36"/>
      <c r="R505" s="40"/>
      <c r="S505" s="40"/>
      <c r="T505" s="40"/>
      <c r="U505" s="41"/>
      <c r="V505" s="41"/>
      <c r="W505" s="41"/>
      <c r="X505" s="36"/>
      <c r="Y505" s="36"/>
      <c r="Z505" s="36"/>
      <c r="AA505" s="36"/>
      <c r="AB505" s="36"/>
      <c r="AC505" s="36"/>
    </row>
    <row r="506" spans="17:29" x14ac:dyDescent="0.2">
      <c r="Q506" s="36"/>
      <c r="R506" s="40"/>
      <c r="S506" s="40"/>
      <c r="T506" s="40"/>
      <c r="U506" s="41"/>
      <c r="V506" s="41"/>
      <c r="W506" s="41"/>
      <c r="X506" s="36"/>
      <c r="Y506" s="36"/>
      <c r="Z506" s="36"/>
      <c r="AA506" s="36"/>
      <c r="AB506" s="36"/>
      <c r="AC506" s="36"/>
    </row>
    <row r="507" spans="17:29" x14ac:dyDescent="0.2">
      <c r="Q507" s="36"/>
      <c r="R507" s="40"/>
      <c r="S507" s="40"/>
      <c r="T507" s="40"/>
      <c r="U507" s="41"/>
      <c r="V507" s="41"/>
      <c r="W507" s="41"/>
      <c r="X507" s="36"/>
      <c r="Y507" s="36"/>
      <c r="Z507" s="36"/>
      <c r="AA507" s="36"/>
      <c r="AB507" s="36"/>
      <c r="AC507" s="36"/>
    </row>
    <row r="508" spans="17:29" x14ac:dyDescent="0.2">
      <c r="Q508" s="36"/>
      <c r="R508" s="40"/>
      <c r="S508" s="40"/>
      <c r="T508" s="40"/>
      <c r="U508" s="41"/>
      <c r="V508" s="41"/>
      <c r="W508" s="41"/>
      <c r="X508" s="36"/>
      <c r="Y508" s="36"/>
      <c r="Z508" s="36"/>
      <c r="AA508" s="36"/>
      <c r="AB508" s="36"/>
      <c r="AC508" s="36"/>
    </row>
    <row r="509" spans="17:29" x14ac:dyDescent="0.2">
      <c r="Q509" s="36"/>
      <c r="R509" s="40"/>
      <c r="S509" s="40"/>
      <c r="T509" s="40"/>
      <c r="U509" s="41"/>
      <c r="V509" s="41"/>
      <c r="W509" s="41"/>
      <c r="X509" s="36"/>
      <c r="Y509" s="36"/>
      <c r="Z509" s="36"/>
      <c r="AA509" s="36"/>
      <c r="AB509" s="36"/>
      <c r="AC509" s="36"/>
    </row>
    <row r="510" spans="17:29" x14ac:dyDescent="0.2">
      <c r="Q510" s="36"/>
      <c r="R510" s="40"/>
      <c r="S510" s="40"/>
      <c r="T510" s="40"/>
      <c r="U510" s="41"/>
      <c r="V510" s="41"/>
      <c r="W510" s="41"/>
      <c r="X510" s="36"/>
      <c r="Y510" s="36"/>
      <c r="Z510" s="36"/>
      <c r="AA510" s="36"/>
      <c r="AB510" s="36"/>
      <c r="AC510" s="36"/>
    </row>
    <row r="511" spans="17:29" x14ac:dyDescent="0.2">
      <c r="Q511" s="36"/>
      <c r="R511" s="40"/>
      <c r="S511" s="40"/>
      <c r="T511" s="40"/>
      <c r="U511" s="41"/>
      <c r="V511" s="41"/>
      <c r="W511" s="41"/>
      <c r="X511" s="36"/>
      <c r="Y511" s="36"/>
      <c r="Z511" s="36"/>
      <c r="AA511" s="36"/>
      <c r="AB511" s="36"/>
      <c r="AC511" s="36"/>
    </row>
    <row r="512" spans="17:29" x14ac:dyDescent="0.2">
      <c r="Q512" s="36"/>
      <c r="R512" s="40"/>
      <c r="S512" s="40"/>
      <c r="T512" s="40"/>
      <c r="U512" s="41"/>
      <c r="V512" s="41"/>
      <c r="W512" s="41"/>
      <c r="X512" s="36"/>
      <c r="Y512" s="36"/>
      <c r="Z512" s="36"/>
      <c r="AA512" s="36"/>
      <c r="AB512" s="36"/>
      <c r="AC512" s="36"/>
    </row>
    <row r="513" spans="17:29" x14ac:dyDescent="0.2">
      <c r="Q513" s="36"/>
      <c r="R513" s="40"/>
      <c r="S513" s="40"/>
      <c r="T513" s="40"/>
      <c r="U513" s="41"/>
      <c r="V513" s="41"/>
      <c r="W513" s="41"/>
      <c r="X513" s="36"/>
      <c r="Y513" s="36"/>
      <c r="Z513" s="36"/>
      <c r="AA513" s="36"/>
      <c r="AB513" s="36"/>
      <c r="AC513" s="36"/>
    </row>
    <row r="514" spans="17:29" x14ac:dyDescent="0.2">
      <c r="Q514" s="36"/>
      <c r="R514" s="40"/>
      <c r="S514" s="40"/>
      <c r="T514" s="40"/>
      <c r="U514" s="41"/>
      <c r="V514" s="41"/>
      <c r="W514" s="41"/>
      <c r="X514" s="36"/>
      <c r="Y514" s="36"/>
      <c r="Z514" s="36"/>
      <c r="AA514" s="36"/>
      <c r="AB514" s="36"/>
      <c r="AC514" s="36"/>
    </row>
    <row r="515" spans="17:29" x14ac:dyDescent="0.2">
      <c r="Q515" s="36"/>
      <c r="R515" s="40"/>
      <c r="S515" s="40"/>
      <c r="T515" s="40"/>
      <c r="U515" s="41"/>
      <c r="V515" s="41"/>
      <c r="W515" s="41"/>
      <c r="X515" s="36"/>
      <c r="Y515" s="36"/>
      <c r="Z515" s="36"/>
      <c r="AA515" s="36"/>
      <c r="AB515" s="36"/>
      <c r="AC515" s="36"/>
    </row>
    <row r="516" spans="17:29" x14ac:dyDescent="0.2">
      <c r="Q516" s="36"/>
      <c r="R516" s="40"/>
      <c r="S516" s="40"/>
      <c r="T516" s="40"/>
      <c r="U516" s="41"/>
      <c r="V516" s="41"/>
      <c r="W516" s="41"/>
      <c r="X516" s="36"/>
      <c r="Y516" s="36"/>
      <c r="Z516" s="36"/>
      <c r="AA516" s="36"/>
      <c r="AB516" s="36"/>
      <c r="AC516" s="36"/>
    </row>
    <row r="517" spans="17:29" x14ac:dyDescent="0.2">
      <c r="Q517" s="36"/>
      <c r="R517" s="40"/>
      <c r="S517" s="40"/>
      <c r="T517" s="40"/>
      <c r="U517" s="41"/>
      <c r="V517" s="41"/>
      <c r="W517" s="41"/>
      <c r="X517" s="36"/>
      <c r="Y517" s="36"/>
      <c r="Z517" s="36"/>
      <c r="AA517" s="36"/>
      <c r="AB517" s="36"/>
      <c r="AC517" s="36"/>
    </row>
    <row r="518" spans="17:29" x14ac:dyDescent="0.2">
      <c r="Q518" s="36"/>
      <c r="R518" s="40"/>
      <c r="S518" s="40"/>
      <c r="T518" s="40"/>
      <c r="U518" s="41"/>
      <c r="V518" s="41"/>
      <c r="W518" s="41"/>
      <c r="X518" s="36"/>
      <c r="Y518" s="36"/>
      <c r="Z518" s="36"/>
      <c r="AA518" s="36"/>
      <c r="AB518" s="36"/>
      <c r="AC518" s="36"/>
    </row>
    <row r="519" spans="17:29" x14ac:dyDescent="0.2">
      <c r="Q519" s="36"/>
      <c r="R519" s="40"/>
      <c r="S519" s="40"/>
      <c r="T519" s="40"/>
      <c r="U519" s="41"/>
      <c r="V519" s="41"/>
      <c r="W519" s="41"/>
      <c r="X519" s="36"/>
      <c r="Y519" s="36"/>
      <c r="Z519" s="36"/>
      <c r="AA519" s="36"/>
      <c r="AB519" s="36"/>
      <c r="AC519" s="36"/>
    </row>
    <row r="520" spans="17:29" x14ac:dyDescent="0.2">
      <c r="Q520" s="36"/>
      <c r="R520" s="40"/>
      <c r="S520" s="40"/>
      <c r="T520" s="40"/>
      <c r="U520" s="41"/>
      <c r="V520" s="41"/>
      <c r="W520" s="41"/>
      <c r="X520" s="36"/>
      <c r="Y520" s="36"/>
      <c r="Z520" s="36"/>
      <c r="AA520" s="36"/>
      <c r="AB520" s="36"/>
      <c r="AC520" s="36"/>
    </row>
    <row r="521" spans="17:29" x14ac:dyDescent="0.2">
      <c r="Q521" s="36"/>
      <c r="R521" s="40"/>
      <c r="S521" s="40"/>
      <c r="T521" s="40"/>
      <c r="U521" s="41"/>
      <c r="V521" s="41"/>
      <c r="W521" s="41"/>
      <c r="X521" s="36"/>
      <c r="Y521" s="36"/>
      <c r="Z521" s="36"/>
      <c r="AA521" s="36"/>
      <c r="AB521" s="36"/>
      <c r="AC521" s="36"/>
    </row>
    <row r="522" spans="17:29" x14ac:dyDescent="0.2">
      <c r="Q522" s="36"/>
      <c r="R522" s="40"/>
      <c r="S522" s="40"/>
      <c r="T522" s="40"/>
      <c r="U522" s="41"/>
      <c r="V522" s="41"/>
      <c r="W522" s="41"/>
      <c r="X522" s="36"/>
      <c r="Y522" s="36"/>
      <c r="Z522" s="36"/>
      <c r="AA522" s="36"/>
      <c r="AB522" s="36"/>
      <c r="AC522" s="36"/>
    </row>
    <row r="523" spans="17:29" x14ac:dyDescent="0.2">
      <c r="Q523" s="36"/>
      <c r="R523" s="40"/>
      <c r="S523" s="40"/>
      <c r="T523" s="40"/>
      <c r="U523" s="41"/>
      <c r="V523" s="41"/>
      <c r="W523" s="41"/>
      <c r="X523" s="36"/>
      <c r="Y523" s="36"/>
      <c r="Z523" s="36"/>
      <c r="AA523" s="36"/>
      <c r="AB523" s="36"/>
      <c r="AC523" s="36"/>
    </row>
    <row r="524" spans="17:29" x14ac:dyDescent="0.2">
      <c r="Q524" s="36"/>
      <c r="R524" s="40"/>
      <c r="S524" s="40"/>
      <c r="T524" s="40"/>
      <c r="U524" s="41"/>
      <c r="V524" s="41"/>
      <c r="W524" s="41"/>
      <c r="X524" s="36"/>
      <c r="Y524" s="36"/>
      <c r="Z524" s="36"/>
      <c r="AA524" s="36"/>
      <c r="AB524" s="36"/>
      <c r="AC524" s="36"/>
    </row>
    <row r="525" spans="17:29" x14ac:dyDescent="0.2">
      <c r="Q525" s="36"/>
      <c r="R525" s="40"/>
      <c r="S525" s="40"/>
      <c r="T525" s="40"/>
      <c r="U525" s="41"/>
      <c r="V525" s="41"/>
      <c r="W525" s="41"/>
      <c r="X525" s="36"/>
      <c r="Y525" s="36"/>
      <c r="Z525" s="36"/>
      <c r="AA525" s="36"/>
      <c r="AB525" s="36"/>
      <c r="AC525" s="36"/>
    </row>
    <row r="526" spans="17:29" x14ac:dyDescent="0.2">
      <c r="Q526" s="36"/>
      <c r="R526" s="40"/>
      <c r="S526" s="40"/>
      <c r="T526" s="40"/>
      <c r="U526" s="41"/>
      <c r="V526" s="41"/>
      <c r="W526" s="41"/>
      <c r="X526" s="36"/>
      <c r="Y526" s="36"/>
      <c r="Z526" s="36"/>
      <c r="AA526" s="36"/>
      <c r="AB526" s="36"/>
      <c r="AC526" s="36"/>
    </row>
    <row r="527" spans="17:29" x14ac:dyDescent="0.2">
      <c r="Q527" s="36"/>
      <c r="R527" s="40"/>
      <c r="S527" s="40"/>
      <c r="T527" s="40"/>
      <c r="U527" s="41"/>
      <c r="V527" s="41"/>
      <c r="W527" s="41"/>
      <c r="X527" s="36"/>
      <c r="Y527" s="36"/>
      <c r="Z527" s="36"/>
      <c r="AA527" s="36"/>
      <c r="AB527" s="36"/>
      <c r="AC527" s="36"/>
    </row>
    <row r="528" spans="17:29" x14ac:dyDescent="0.2">
      <c r="Q528" s="36"/>
      <c r="R528" s="40"/>
      <c r="S528" s="40"/>
      <c r="T528" s="40"/>
      <c r="U528" s="41"/>
      <c r="V528" s="41"/>
      <c r="W528" s="41"/>
      <c r="X528" s="36"/>
      <c r="Y528" s="36"/>
      <c r="Z528" s="36"/>
      <c r="AA528" s="36"/>
      <c r="AB528" s="36"/>
      <c r="AC528" s="36"/>
    </row>
    <row r="529" spans="17:29" x14ac:dyDescent="0.2">
      <c r="Q529" s="36"/>
      <c r="R529" s="40"/>
      <c r="S529" s="40"/>
      <c r="T529" s="40"/>
      <c r="U529" s="41"/>
      <c r="V529" s="41"/>
      <c r="W529" s="41"/>
      <c r="X529" s="36"/>
      <c r="Y529" s="36"/>
      <c r="Z529" s="36"/>
      <c r="AA529" s="36"/>
      <c r="AB529" s="36"/>
      <c r="AC529" s="36"/>
    </row>
    <row r="530" spans="17:29" x14ac:dyDescent="0.2">
      <c r="Q530" s="36"/>
      <c r="R530" s="40"/>
      <c r="S530" s="40"/>
      <c r="T530" s="40"/>
      <c r="U530" s="41"/>
      <c r="V530" s="41"/>
      <c r="W530" s="41"/>
      <c r="X530" s="36"/>
      <c r="Y530" s="36"/>
      <c r="Z530" s="36"/>
      <c r="AA530" s="36"/>
      <c r="AB530" s="36"/>
      <c r="AC530" s="36"/>
    </row>
    <row r="531" spans="17:29" x14ac:dyDescent="0.2">
      <c r="Q531" s="36"/>
      <c r="R531" s="40"/>
      <c r="S531" s="40"/>
      <c r="T531" s="40"/>
      <c r="U531" s="41"/>
      <c r="V531" s="41"/>
      <c r="W531" s="41"/>
      <c r="X531" s="36"/>
      <c r="Y531" s="36"/>
      <c r="Z531" s="36"/>
      <c r="AA531" s="36"/>
      <c r="AB531" s="36"/>
      <c r="AC531" s="36"/>
    </row>
    <row r="532" spans="17:29" x14ac:dyDescent="0.2">
      <c r="Q532" s="36"/>
      <c r="R532" s="40"/>
      <c r="S532" s="40"/>
      <c r="T532" s="40"/>
      <c r="U532" s="41"/>
      <c r="V532" s="41"/>
      <c r="W532" s="41"/>
      <c r="X532" s="36"/>
      <c r="Y532" s="36"/>
      <c r="Z532" s="36"/>
      <c r="AA532" s="36"/>
      <c r="AB532" s="36"/>
      <c r="AC532" s="36"/>
    </row>
    <row r="533" spans="17:29" x14ac:dyDescent="0.2">
      <c r="Q533" s="36"/>
      <c r="R533" s="40"/>
      <c r="S533" s="40"/>
      <c r="T533" s="40"/>
      <c r="U533" s="41"/>
      <c r="V533" s="41"/>
      <c r="W533" s="41"/>
      <c r="X533" s="36"/>
      <c r="Y533" s="36"/>
      <c r="Z533" s="36"/>
      <c r="AA533" s="36"/>
      <c r="AB533" s="36"/>
      <c r="AC533" s="36"/>
    </row>
    <row r="534" spans="17:29" x14ac:dyDescent="0.2">
      <c r="Q534" s="36"/>
      <c r="R534" s="40"/>
      <c r="S534" s="40"/>
      <c r="T534" s="40"/>
      <c r="U534" s="41"/>
      <c r="V534" s="41"/>
      <c r="W534" s="41"/>
      <c r="X534" s="36"/>
      <c r="Y534" s="36"/>
      <c r="Z534" s="36"/>
      <c r="AA534" s="36"/>
      <c r="AB534" s="36"/>
      <c r="AC534" s="36"/>
    </row>
    <row r="535" spans="17:29" x14ac:dyDescent="0.2">
      <c r="Q535" s="36"/>
      <c r="R535" s="40"/>
      <c r="S535" s="40"/>
      <c r="T535" s="40"/>
      <c r="U535" s="41"/>
      <c r="V535" s="41"/>
      <c r="W535" s="41"/>
      <c r="X535" s="36"/>
      <c r="Y535" s="36"/>
      <c r="Z535" s="36"/>
      <c r="AA535" s="36"/>
      <c r="AB535" s="36"/>
      <c r="AC535" s="36"/>
    </row>
    <row r="536" spans="17:29" x14ac:dyDescent="0.2">
      <c r="Q536" s="36"/>
      <c r="R536" s="40"/>
      <c r="S536" s="40"/>
      <c r="T536" s="40"/>
      <c r="U536" s="41"/>
      <c r="V536" s="41"/>
      <c r="W536" s="41"/>
      <c r="X536" s="36"/>
      <c r="Y536" s="36"/>
      <c r="Z536" s="36"/>
      <c r="AA536" s="36"/>
      <c r="AB536" s="36"/>
      <c r="AC536" s="36"/>
    </row>
    <row r="537" spans="17:29" x14ac:dyDescent="0.2">
      <c r="Q537" s="36"/>
      <c r="R537" s="40"/>
      <c r="S537" s="40"/>
      <c r="T537" s="40"/>
      <c r="U537" s="41"/>
      <c r="V537" s="41"/>
      <c r="W537" s="41"/>
      <c r="X537" s="36"/>
      <c r="Y537" s="36"/>
      <c r="Z537" s="36"/>
      <c r="AA537" s="36"/>
      <c r="AB537" s="36"/>
      <c r="AC537" s="36"/>
    </row>
    <row r="538" spans="17:29" x14ac:dyDescent="0.2">
      <c r="Q538" s="36"/>
      <c r="R538" s="40"/>
      <c r="S538" s="40"/>
      <c r="T538" s="40"/>
      <c r="U538" s="41"/>
      <c r="V538" s="41"/>
      <c r="W538" s="41"/>
      <c r="X538" s="36"/>
      <c r="Y538" s="36"/>
      <c r="Z538" s="36"/>
      <c r="AA538" s="36"/>
      <c r="AB538" s="36"/>
      <c r="AC538" s="36"/>
    </row>
    <row r="539" spans="17:29" x14ac:dyDescent="0.2">
      <c r="Q539" s="36"/>
      <c r="R539" s="40"/>
      <c r="S539" s="40"/>
      <c r="T539" s="40"/>
      <c r="U539" s="41"/>
      <c r="V539" s="41"/>
      <c r="W539" s="41"/>
      <c r="X539" s="36"/>
      <c r="Y539" s="36"/>
      <c r="Z539" s="36"/>
      <c r="AA539" s="36"/>
      <c r="AB539" s="36"/>
      <c r="AC539" s="36"/>
    </row>
    <row r="540" spans="17:29" x14ac:dyDescent="0.2">
      <c r="Q540" s="36"/>
      <c r="R540" s="40"/>
      <c r="S540" s="40"/>
      <c r="T540" s="40"/>
      <c r="U540" s="41"/>
      <c r="V540" s="41"/>
      <c r="W540" s="41"/>
      <c r="X540" s="36"/>
      <c r="Y540" s="36"/>
      <c r="Z540" s="36"/>
      <c r="AA540" s="36"/>
      <c r="AB540" s="36"/>
      <c r="AC540" s="36"/>
    </row>
    <row r="541" spans="17:29" x14ac:dyDescent="0.2">
      <c r="Q541" s="36"/>
      <c r="R541" s="40"/>
      <c r="S541" s="40"/>
      <c r="T541" s="40"/>
      <c r="U541" s="41"/>
      <c r="V541" s="41"/>
      <c r="W541" s="41"/>
      <c r="X541" s="36"/>
      <c r="Y541" s="36"/>
      <c r="Z541" s="36"/>
      <c r="AA541" s="36"/>
      <c r="AB541" s="36"/>
      <c r="AC541" s="36"/>
    </row>
    <row r="542" spans="17:29" x14ac:dyDescent="0.2">
      <c r="Q542" s="36"/>
      <c r="R542" s="40"/>
      <c r="S542" s="40"/>
      <c r="T542" s="40"/>
      <c r="U542" s="41"/>
      <c r="V542" s="41"/>
      <c r="W542" s="41"/>
      <c r="X542" s="36"/>
      <c r="Y542" s="36"/>
      <c r="Z542" s="36"/>
      <c r="AA542" s="36"/>
      <c r="AB542" s="36"/>
      <c r="AC542" s="36"/>
    </row>
    <row r="543" spans="17:29" x14ac:dyDescent="0.2">
      <c r="Q543" s="36"/>
      <c r="R543" s="40"/>
      <c r="S543" s="40"/>
      <c r="T543" s="40"/>
      <c r="U543" s="41"/>
      <c r="V543" s="41"/>
      <c r="W543" s="41"/>
      <c r="X543" s="36"/>
      <c r="Y543" s="36"/>
      <c r="Z543" s="36"/>
      <c r="AA543" s="36"/>
      <c r="AB543" s="36"/>
      <c r="AC543" s="36"/>
    </row>
    <row r="544" spans="17:29" x14ac:dyDescent="0.2">
      <c r="Q544" s="36"/>
      <c r="R544" s="40"/>
      <c r="S544" s="40"/>
      <c r="T544" s="40"/>
      <c r="U544" s="41"/>
      <c r="V544" s="41"/>
      <c r="W544" s="41"/>
      <c r="X544" s="36"/>
      <c r="Y544" s="36"/>
      <c r="Z544" s="36"/>
      <c r="AA544" s="36"/>
      <c r="AB544" s="36"/>
      <c r="AC544" s="36"/>
    </row>
    <row r="545" spans="17:29" x14ac:dyDescent="0.2">
      <c r="Q545" s="36"/>
      <c r="R545" s="40"/>
      <c r="S545" s="40"/>
      <c r="T545" s="40"/>
      <c r="U545" s="41"/>
      <c r="V545" s="41"/>
      <c r="W545" s="41"/>
      <c r="X545" s="36"/>
      <c r="Y545" s="36"/>
      <c r="Z545" s="36"/>
      <c r="AA545" s="36"/>
      <c r="AB545" s="36"/>
      <c r="AC545" s="36"/>
    </row>
    <row r="546" spans="17:29" x14ac:dyDescent="0.2">
      <c r="Q546" s="36"/>
      <c r="R546" s="40"/>
      <c r="S546" s="40"/>
      <c r="T546" s="40"/>
      <c r="U546" s="41"/>
      <c r="V546" s="41"/>
      <c r="W546" s="41"/>
      <c r="X546" s="36"/>
      <c r="Y546" s="36"/>
      <c r="Z546" s="36"/>
      <c r="AA546" s="36"/>
      <c r="AB546" s="36"/>
      <c r="AC546" s="36"/>
    </row>
    <row r="547" spans="17:29" x14ac:dyDescent="0.2">
      <c r="Q547" s="36"/>
      <c r="R547" s="40"/>
      <c r="S547" s="40"/>
      <c r="T547" s="40"/>
      <c r="U547" s="41"/>
      <c r="V547" s="41"/>
      <c r="W547" s="41"/>
      <c r="X547" s="36"/>
      <c r="Y547" s="36"/>
      <c r="Z547" s="36"/>
      <c r="AA547" s="36"/>
      <c r="AB547" s="36"/>
      <c r="AC547" s="36"/>
    </row>
    <row r="548" spans="17:29" x14ac:dyDescent="0.2">
      <c r="Q548" s="36"/>
      <c r="R548" s="40"/>
      <c r="S548" s="40"/>
      <c r="T548" s="40"/>
      <c r="U548" s="41"/>
      <c r="V548" s="41"/>
      <c r="W548" s="41"/>
      <c r="X548" s="36"/>
      <c r="Y548" s="36"/>
      <c r="Z548" s="36"/>
      <c r="AA548" s="36"/>
      <c r="AB548" s="36"/>
      <c r="AC548" s="36"/>
    </row>
    <row r="549" spans="17:29" x14ac:dyDescent="0.2">
      <c r="Q549" s="36"/>
      <c r="R549" s="40"/>
      <c r="S549" s="40"/>
      <c r="T549" s="40"/>
      <c r="U549" s="41"/>
      <c r="V549" s="41"/>
      <c r="W549" s="41"/>
      <c r="X549" s="36"/>
      <c r="Y549" s="36"/>
      <c r="Z549" s="36"/>
      <c r="AA549" s="36"/>
      <c r="AB549" s="36"/>
      <c r="AC549" s="36"/>
    </row>
    <row r="550" spans="17:29" x14ac:dyDescent="0.2">
      <c r="Q550" s="36"/>
      <c r="R550" s="40"/>
      <c r="S550" s="40"/>
      <c r="T550" s="40"/>
      <c r="U550" s="41"/>
      <c r="V550" s="41"/>
      <c r="W550" s="41"/>
      <c r="X550" s="36"/>
      <c r="Y550" s="36"/>
      <c r="Z550" s="36"/>
      <c r="AA550" s="36"/>
      <c r="AB550" s="36"/>
      <c r="AC550" s="36"/>
    </row>
    <row r="551" spans="17:29" x14ac:dyDescent="0.2">
      <c r="Q551" s="36"/>
      <c r="R551" s="40"/>
      <c r="S551" s="40"/>
      <c r="T551" s="40"/>
      <c r="U551" s="41"/>
      <c r="V551" s="41"/>
      <c r="W551" s="41"/>
      <c r="X551" s="36"/>
      <c r="Y551" s="36"/>
      <c r="Z551" s="36"/>
      <c r="AA551" s="36"/>
      <c r="AB551" s="36"/>
      <c r="AC551" s="36"/>
    </row>
    <row r="552" spans="17:29" x14ac:dyDescent="0.2">
      <c r="Q552" s="36"/>
      <c r="R552" s="40"/>
      <c r="S552" s="40"/>
      <c r="T552" s="40"/>
      <c r="U552" s="41"/>
      <c r="V552" s="41"/>
      <c r="W552" s="41"/>
      <c r="X552" s="36"/>
      <c r="Y552" s="36"/>
      <c r="Z552" s="36"/>
      <c r="AA552" s="36"/>
      <c r="AB552" s="36"/>
      <c r="AC552" s="36"/>
    </row>
    <row r="553" spans="17:29" x14ac:dyDescent="0.2">
      <c r="Q553" s="36"/>
      <c r="R553" s="40"/>
      <c r="S553" s="40"/>
      <c r="T553" s="40"/>
      <c r="U553" s="41"/>
      <c r="V553" s="41"/>
      <c r="W553" s="41"/>
      <c r="X553" s="36"/>
      <c r="Y553" s="36"/>
      <c r="Z553" s="36"/>
      <c r="AA553" s="36"/>
      <c r="AB553" s="36"/>
      <c r="AC553" s="36"/>
    </row>
    <row r="554" spans="17:29" x14ac:dyDescent="0.2">
      <c r="Q554" s="36"/>
      <c r="R554" s="40"/>
      <c r="S554" s="40"/>
      <c r="T554" s="40"/>
      <c r="U554" s="41"/>
      <c r="V554" s="41"/>
      <c r="W554" s="41"/>
      <c r="X554" s="36"/>
      <c r="Y554" s="36"/>
      <c r="Z554" s="36"/>
      <c r="AA554" s="36"/>
      <c r="AB554" s="36"/>
      <c r="AC554" s="36"/>
    </row>
    <row r="555" spans="17:29" x14ac:dyDescent="0.2">
      <c r="Q555" s="36"/>
      <c r="R555" s="40"/>
      <c r="S555" s="40"/>
      <c r="T555" s="40"/>
      <c r="U555" s="41"/>
      <c r="V555" s="41"/>
      <c r="W555" s="41"/>
      <c r="X555" s="36"/>
      <c r="Y555" s="36"/>
      <c r="Z555" s="36"/>
      <c r="AA555" s="36"/>
      <c r="AB555" s="36"/>
      <c r="AC555" s="36"/>
    </row>
    <row r="556" spans="17:29" x14ac:dyDescent="0.2">
      <c r="Q556" s="36"/>
      <c r="R556" s="40"/>
      <c r="S556" s="40"/>
      <c r="T556" s="40"/>
      <c r="U556" s="41"/>
      <c r="V556" s="41"/>
      <c r="W556" s="41"/>
      <c r="X556" s="36"/>
      <c r="Y556" s="36"/>
      <c r="Z556" s="36"/>
      <c r="AA556" s="36"/>
      <c r="AB556" s="36"/>
      <c r="AC556" s="36"/>
    </row>
    <row r="557" spans="17:29" x14ac:dyDescent="0.2">
      <c r="Q557" s="36"/>
      <c r="R557" s="40"/>
      <c r="S557" s="40"/>
      <c r="T557" s="40"/>
      <c r="U557" s="41"/>
      <c r="V557" s="41"/>
      <c r="W557" s="41"/>
      <c r="X557" s="36"/>
      <c r="Y557" s="36"/>
      <c r="Z557" s="36"/>
      <c r="AA557" s="36"/>
      <c r="AB557" s="36"/>
      <c r="AC557" s="36"/>
    </row>
    <row r="558" spans="17:29" x14ac:dyDescent="0.2">
      <c r="Q558" s="36"/>
      <c r="R558" s="40"/>
      <c r="S558" s="40"/>
      <c r="T558" s="40"/>
      <c r="U558" s="41"/>
      <c r="V558" s="41"/>
      <c r="W558" s="41"/>
      <c r="X558" s="36"/>
      <c r="Y558" s="36"/>
      <c r="Z558" s="36"/>
      <c r="AA558" s="36"/>
      <c r="AB558" s="36"/>
      <c r="AC558" s="36"/>
    </row>
    <row r="559" spans="17:29" x14ac:dyDescent="0.2">
      <c r="Q559" s="36"/>
      <c r="R559" s="40"/>
      <c r="S559" s="40"/>
      <c r="T559" s="40"/>
      <c r="U559" s="41"/>
      <c r="V559" s="41"/>
      <c r="W559" s="41"/>
      <c r="X559" s="36"/>
      <c r="Y559" s="36"/>
      <c r="Z559" s="36"/>
      <c r="AA559" s="36"/>
      <c r="AB559" s="36"/>
      <c r="AC559" s="36"/>
    </row>
    <row r="560" spans="17:29" x14ac:dyDescent="0.2">
      <c r="Q560" s="36"/>
      <c r="R560" s="40"/>
      <c r="S560" s="40"/>
      <c r="T560" s="40"/>
      <c r="U560" s="41"/>
      <c r="V560" s="41"/>
      <c r="W560" s="41"/>
      <c r="X560" s="36"/>
      <c r="Y560" s="36"/>
      <c r="Z560" s="36"/>
      <c r="AA560" s="36"/>
      <c r="AB560" s="36"/>
      <c r="AC560" s="36"/>
    </row>
    <row r="561" spans="17:29" x14ac:dyDescent="0.2">
      <c r="Q561" s="36"/>
      <c r="R561" s="40"/>
      <c r="S561" s="40"/>
      <c r="T561" s="40"/>
      <c r="U561" s="41"/>
      <c r="V561" s="41"/>
      <c r="W561" s="41"/>
      <c r="X561" s="36"/>
      <c r="Y561" s="36"/>
      <c r="Z561" s="36"/>
      <c r="AA561" s="36"/>
      <c r="AB561" s="36"/>
      <c r="AC561" s="36"/>
    </row>
    <row r="562" spans="17:29" x14ac:dyDescent="0.2">
      <c r="Q562" s="36"/>
      <c r="R562" s="40"/>
      <c r="S562" s="40"/>
      <c r="T562" s="40"/>
      <c r="U562" s="41"/>
      <c r="V562" s="41"/>
      <c r="W562" s="41"/>
      <c r="X562" s="36"/>
      <c r="Y562" s="36"/>
      <c r="Z562" s="36"/>
      <c r="AA562" s="36"/>
      <c r="AB562" s="36"/>
      <c r="AC562" s="36"/>
    </row>
    <row r="563" spans="17:29" x14ac:dyDescent="0.2">
      <c r="Q563" s="36"/>
      <c r="R563" s="40"/>
      <c r="S563" s="40"/>
      <c r="T563" s="40"/>
      <c r="U563" s="41"/>
      <c r="V563" s="41"/>
      <c r="W563" s="41"/>
      <c r="X563" s="36"/>
      <c r="Y563" s="36"/>
      <c r="Z563" s="36"/>
      <c r="AA563" s="36"/>
      <c r="AB563" s="36"/>
      <c r="AC563" s="36"/>
    </row>
    <row r="564" spans="17:29" x14ac:dyDescent="0.2">
      <c r="Q564" s="36"/>
      <c r="R564" s="40"/>
      <c r="S564" s="40"/>
      <c r="T564" s="40"/>
      <c r="U564" s="41"/>
      <c r="V564" s="41"/>
      <c r="W564" s="41"/>
      <c r="X564" s="36"/>
      <c r="Y564" s="36"/>
      <c r="Z564" s="36"/>
      <c r="AA564" s="36"/>
      <c r="AB564" s="36"/>
      <c r="AC564" s="36"/>
    </row>
    <row r="565" spans="17:29" x14ac:dyDescent="0.2">
      <c r="Q565" s="36"/>
      <c r="R565" s="40"/>
      <c r="S565" s="40"/>
      <c r="T565" s="40"/>
      <c r="U565" s="41"/>
      <c r="V565" s="41"/>
      <c r="W565" s="41"/>
      <c r="X565" s="36"/>
      <c r="Y565" s="36"/>
      <c r="Z565" s="36"/>
      <c r="AA565" s="36"/>
      <c r="AB565" s="36"/>
      <c r="AC565" s="36"/>
    </row>
    <row r="566" spans="17:29" x14ac:dyDescent="0.2">
      <c r="Q566" s="36"/>
      <c r="R566" s="40"/>
      <c r="S566" s="40"/>
      <c r="T566" s="40"/>
      <c r="U566" s="41"/>
      <c r="V566" s="41"/>
      <c r="W566" s="41"/>
      <c r="X566" s="36"/>
      <c r="Y566" s="36"/>
      <c r="Z566" s="36"/>
      <c r="AA566" s="36"/>
      <c r="AB566" s="36"/>
      <c r="AC566" s="36"/>
    </row>
    <row r="567" spans="17:29" x14ac:dyDescent="0.2">
      <c r="Q567" s="36"/>
      <c r="R567" s="40"/>
      <c r="S567" s="40"/>
      <c r="T567" s="40"/>
      <c r="U567" s="41"/>
      <c r="V567" s="41"/>
      <c r="W567" s="41"/>
      <c r="X567" s="36"/>
      <c r="Y567" s="36"/>
      <c r="Z567" s="36"/>
      <c r="AA567" s="36"/>
      <c r="AB567" s="36"/>
      <c r="AC567" s="36"/>
    </row>
    <row r="568" spans="17:29" x14ac:dyDescent="0.2">
      <c r="Q568" s="36"/>
      <c r="R568" s="40"/>
      <c r="S568" s="40"/>
      <c r="T568" s="40"/>
      <c r="U568" s="41"/>
      <c r="V568" s="41"/>
      <c r="W568" s="41"/>
      <c r="X568" s="36"/>
      <c r="Y568" s="36"/>
      <c r="Z568" s="36"/>
      <c r="AA568" s="36"/>
      <c r="AB568" s="36"/>
      <c r="AC568" s="36"/>
    </row>
    <row r="569" spans="17:29" x14ac:dyDescent="0.2">
      <c r="Q569" s="36"/>
      <c r="R569" s="40"/>
      <c r="S569" s="40"/>
      <c r="T569" s="40"/>
      <c r="U569" s="41"/>
      <c r="V569" s="41"/>
      <c r="W569" s="41"/>
      <c r="X569" s="36"/>
      <c r="Y569" s="36"/>
      <c r="Z569" s="36"/>
      <c r="AA569" s="36"/>
      <c r="AB569" s="36"/>
      <c r="AC569" s="36"/>
    </row>
    <row r="570" spans="17:29" x14ac:dyDescent="0.2">
      <c r="Q570" s="36"/>
      <c r="R570" s="40"/>
      <c r="S570" s="40"/>
      <c r="T570" s="40"/>
      <c r="U570" s="41"/>
      <c r="V570" s="41"/>
      <c r="W570" s="41"/>
      <c r="X570" s="36"/>
      <c r="Y570" s="36"/>
      <c r="Z570" s="36"/>
      <c r="AA570" s="36"/>
      <c r="AB570" s="36"/>
      <c r="AC570" s="36"/>
    </row>
    <row r="571" spans="17:29" x14ac:dyDescent="0.2">
      <c r="Q571" s="36"/>
      <c r="R571" s="40"/>
      <c r="S571" s="40"/>
      <c r="T571" s="40"/>
      <c r="U571" s="41"/>
      <c r="V571" s="41"/>
      <c r="W571" s="41"/>
      <c r="X571" s="36"/>
      <c r="Y571" s="36"/>
      <c r="Z571" s="36"/>
      <c r="AA571" s="36"/>
      <c r="AB571" s="36"/>
      <c r="AC571" s="36"/>
    </row>
    <row r="572" spans="17:29" x14ac:dyDescent="0.2">
      <c r="Q572" s="36"/>
      <c r="R572" s="40"/>
      <c r="S572" s="40"/>
      <c r="T572" s="40"/>
      <c r="U572" s="41"/>
      <c r="V572" s="41"/>
      <c r="W572" s="41"/>
      <c r="X572" s="36"/>
      <c r="Y572" s="36"/>
      <c r="Z572" s="36"/>
      <c r="AA572" s="36"/>
      <c r="AB572" s="36"/>
      <c r="AC572" s="36"/>
    </row>
    <row r="573" spans="17:29" x14ac:dyDescent="0.2">
      <c r="Q573" s="36"/>
      <c r="R573" s="40"/>
      <c r="S573" s="40"/>
      <c r="T573" s="40"/>
      <c r="U573" s="41"/>
      <c r="V573" s="41"/>
      <c r="W573" s="41"/>
      <c r="X573" s="36"/>
      <c r="Y573" s="36"/>
      <c r="Z573" s="36"/>
      <c r="AA573" s="36"/>
      <c r="AB573" s="36"/>
      <c r="AC573" s="36"/>
    </row>
    <row r="574" spans="17:29" x14ac:dyDescent="0.2">
      <c r="Q574" s="36"/>
      <c r="R574" s="40"/>
      <c r="S574" s="40"/>
      <c r="T574" s="40"/>
      <c r="U574" s="41"/>
      <c r="V574" s="41"/>
      <c r="W574" s="41"/>
      <c r="X574" s="36"/>
      <c r="Y574" s="36"/>
      <c r="Z574" s="36"/>
      <c r="AA574" s="36"/>
      <c r="AB574" s="36"/>
      <c r="AC574" s="36"/>
    </row>
    <row r="575" spans="17:29" x14ac:dyDescent="0.2">
      <c r="Q575" s="36"/>
      <c r="R575" s="40"/>
      <c r="S575" s="40"/>
      <c r="T575" s="40"/>
      <c r="U575" s="41"/>
      <c r="V575" s="41"/>
      <c r="W575" s="41"/>
      <c r="X575" s="36"/>
      <c r="Y575" s="36"/>
      <c r="Z575" s="36"/>
      <c r="AA575" s="36"/>
      <c r="AB575" s="36"/>
      <c r="AC575" s="36"/>
    </row>
    <row r="576" spans="17:29" x14ac:dyDescent="0.2">
      <c r="Q576" s="36"/>
      <c r="R576" s="40"/>
      <c r="S576" s="40"/>
      <c r="T576" s="40"/>
      <c r="U576" s="41"/>
      <c r="V576" s="41"/>
      <c r="W576" s="41"/>
      <c r="X576" s="36"/>
      <c r="Y576" s="36"/>
      <c r="Z576" s="36"/>
      <c r="AA576" s="36"/>
      <c r="AB576" s="36"/>
      <c r="AC576" s="36"/>
    </row>
    <row r="577" spans="17:29" x14ac:dyDescent="0.2">
      <c r="Q577" s="36"/>
      <c r="R577" s="40"/>
      <c r="S577" s="40"/>
      <c r="T577" s="40"/>
      <c r="U577" s="41"/>
      <c r="V577" s="41"/>
      <c r="W577" s="41"/>
      <c r="X577" s="36"/>
      <c r="Y577" s="36"/>
      <c r="Z577" s="36"/>
      <c r="AA577" s="36"/>
      <c r="AB577" s="36"/>
      <c r="AC577" s="36"/>
    </row>
    <row r="578" spans="17:29" x14ac:dyDescent="0.2">
      <c r="Q578" s="36"/>
      <c r="R578" s="40"/>
      <c r="S578" s="40"/>
      <c r="T578" s="40"/>
      <c r="U578" s="41"/>
      <c r="V578" s="41"/>
      <c r="W578" s="41"/>
      <c r="X578" s="36"/>
      <c r="Y578" s="36"/>
      <c r="Z578" s="36"/>
      <c r="AA578" s="36"/>
      <c r="AB578" s="36"/>
      <c r="AC578" s="36"/>
    </row>
    <row r="579" spans="17:29" x14ac:dyDescent="0.2">
      <c r="Q579" s="36"/>
      <c r="R579" s="40"/>
      <c r="S579" s="40"/>
      <c r="T579" s="40"/>
      <c r="U579" s="41"/>
      <c r="V579" s="41"/>
      <c r="W579" s="41"/>
      <c r="X579" s="36"/>
      <c r="Y579" s="36"/>
      <c r="Z579" s="36"/>
      <c r="AA579" s="36"/>
      <c r="AB579" s="36"/>
      <c r="AC579" s="36"/>
    </row>
    <row r="580" spans="17:29" x14ac:dyDescent="0.2">
      <c r="Q580" s="36"/>
      <c r="R580" s="40"/>
      <c r="S580" s="40"/>
      <c r="T580" s="40"/>
      <c r="U580" s="41"/>
      <c r="V580" s="41"/>
      <c r="W580" s="41"/>
      <c r="X580" s="36"/>
      <c r="Y580" s="36"/>
      <c r="Z580" s="36"/>
      <c r="AA580" s="36"/>
      <c r="AB580" s="36"/>
      <c r="AC580" s="36"/>
    </row>
    <row r="581" spans="17:29" x14ac:dyDescent="0.2">
      <c r="Q581" s="36"/>
      <c r="R581" s="40"/>
      <c r="S581" s="40"/>
      <c r="T581" s="40"/>
      <c r="U581" s="41"/>
      <c r="V581" s="41"/>
      <c r="W581" s="41"/>
      <c r="X581" s="36"/>
      <c r="Y581" s="36"/>
      <c r="Z581" s="36"/>
      <c r="AA581" s="36"/>
      <c r="AB581" s="36"/>
      <c r="AC581" s="36"/>
    </row>
    <row r="582" spans="17:29" x14ac:dyDescent="0.2">
      <c r="Q582" s="36"/>
      <c r="R582" s="40"/>
      <c r="S582" s="40"/>
      <c r="T582" s="40"/>
      <c r="U582" s="41"/>
      <c r="V582" s="41"/>
      <c r="W582" s="41"/>
      <c r="X582" s="36"/>
      <c r="Y582" s="36"/>
      <c r="Z582" s="36"/>
      <c r="AA582" s="36"/>
      <c r="AB582" s="36"/>
      <c r="AC582" s="36"/>
    </row>
    <row r="583" spans="17:29" x14ac:dyDescent="0.2">
      <c r="Q583" s="36"/>
      <c r="R583" s="40"/>
      <c r="S583" s="40"/>
      <c r="T583" s="40"/>
      <c r="U583" s="41"/>
      <c r="V583" s="41"/>
      <c r="W583" s="41"/>
      <c r="X583" s="36"/>
      <c r="Y583" s="36"/>
      <c r="Z583" s="36"/>
      <c r="AA583" s="36"/>
      <c r="AB583" s="36"/>
      <c r="AC583" s="36"/>
    </row>
    <row r="584" spans="17:29" x14ac:dyDescent="0.2">
      <c r="Q584" s="36"/>
      <c r="R584" s="40"/>
      <c r="S584" s="40"/>
      <c r="T584" s="40"/>
      <c r="U584" s="41"/>
      <c r="V584" s="41"/>
      <c r="W584" s="41"/>
      <c r="X584" s="36"/>
      <c r="Y584" s="36"/>
      <c r="Z584" s="36"/>
      <c r="AA584" s="36"/>
      <c r="AB584" s="36"/>
      <c r="AC584" s="36"/>
    </row>
    <row r="585" spans="17:29" x14ac:dyDescent="0.2">
      <c r="Q585" s="36"/>
      <c r="R585" s="40"/>
      <c r="S585" s="40"/>
      <c r="T585" s="40"/>
      <c r="U585" s="41"/>
      <c r="V585" s="41"/>
      <c r="W585" s="41"/>
      <c r="X585" s="36"/>
      <c r="Y585" s="36"/>
      <c r="Z585" s="36"/>
      <c r="AA585" s="36"/>
      <c r="AB585" s="36"/>
      <c r="AC585" s="36"/>
    </row>
    <row r="586" spans="17:29" x14ac:dyDescent="0.2">
      <c r="Q586" s="36"/>
      <c r="R586" s="40"/>
      <c r="S586" s="40"/>
      <c r="T586" s="40"/>
      <c r="U586" s="41"/>
      <c r="V586" s="41"/>
      <c r="W586" s="41"/>
      <c r="X586" s="36"/>
      <c r="Y586" s="36"/>
      <c r="Z586" s="36"/>
      <c r="AA586" s="36"/>
      <c r="AB586" s="36"/>
      <c r="AC586" s="36"/>
    </row>
    <row r="587" spans="17:29" x14ac:dyDescent="0.2">
      <c r="Q587" s="36"/>
      <c r="R587" s="40"/>
      <c r="S587" s="40"/>
      <c r="T587" s="40"/>
      <c r="U587" s="41"/>
      <c r="V587" s="41"/>
      <c r="W587" s="41"/>
      <c r="X587" s="36"/>
      <c r="Y587" s="36"/>
      <c r="Z587" s="36"/>
      <c r="AA587" s="36"/>
      <c r="AB587" s="36"/>
      <c r="AC587" s="36"/>
    </row>
    <row r="588" spans="17:29" x14ac:dyDescent="0.2">
      <c r="Q588" s="36"/>
      <c r="R588" s="40"/>
      <c r="S588" s="40"/>
      <c r="T588" s="40"/>
      <c r="U588" s="41"/>
      <c r="V588" s="41"/>
      <c r="W588" s="41"/>
      <c r="X588" s="36"/>
      <c r="Y588" s="36"/>
      <c r="Z588" s="36"/>
      <c r="AA588" s="36"/>
      <c r="AB588" s="36"/>
      <c r="AC588" s="36"/>
    </row>
    <row r="589" spans="17:29" x14ac:dyDescent="0.2">
      <c r="Q589" s="36"/>
      <c r="R589" s="40"/>
      <c r="S589" s="40"/>
      <c r="T589" s="40"/>
      <c r="U589" s="41"/>
      <c r="V589" s="41"/>
      <c r="W589" s="41"/>
      <c r="X589" s="36"/>
      <c r="Y589" s="36"/>
      <c r="Z589" s="36"/>
      <c r="AA589" s="36"/>
      <c r="AB589" s="36"/>
      <c r="AC589" s="36"/>
    </row>
    <row r="590" spans="17:29" x14ac:dyDescent="0.2">
      <c r="Q590" s="36"/>
      <c r="R590" s="40"/>
      <c r="S590" s="40"/>
      <c r="T590" s="40"/>
      <c r="U590" s="41"/>
      <c r="V590" s="41"/>
      <c r="W590" s="41"/>
      <c r="X590" s="36"/>
      <c r="Y590" s="36"/>
      <c r="Z590" s="36"/>
      <c r="AA590" s="36"/>
      <c r="AB590" s="36"/>
      <c r="AC590" s="36"/>
    </row>
    <row r="591" spans="17:29" x14ac:dyDescent="0.2">
      <c r="Q591" s="36"/>
      <c r="R591" s="40"/>
      <c r="S591" s="40"/>
      <c r="T591" s="40"/>
      <c r="U591" s="41"/>
      <c r="V591" s="41"/>
      <c r="W591" s="41"/>
      <c r="X591" s="36"/>
      <c r="Y591" s="36"/>
      <c r="Z591" s="36"/>
      <c r="AA591" s="36"/>
      <c r="AB591" s="36"/>
      <c r="AC591" s="36"/>
    </row>
    <row r="592" spans="17:29" x14ac:dyDescent="0.2">
      <c r="Q592" s="36"/>
      <c r="R592" s="40"/>
      <c r="S592" s="40"/>
      <c r="T592" s="40"/>
      <c r="U592" s="41"/>
      <c r="V592" s="41"/>
      <c r="W592" s="41"/>
      <c r="X592" s="36"/>
      <c r="Y592" s="36"/>
      <c r="Z592" s="36"/>
      <c r="AA592" s="36"/>
      <c r="AB592" s="36"/>
      <c r="AC592" s="36"/>
    </row>
    <row r="593" spans="17:29" x14ac:dyDescent="0.2">
      <c r="Q593" s="36"/>
      <c r="R593" s="40"/>
      <c r="S593" s="40"/>
      <c r="T593" s="40"/>
      <c r="U593" s="41"/>
      <c r="V593" s="41"/>
      <c r="W593" s="41"/>
      <c r="X593" s="36"/>
      <c r="Y593" s="36"/>
      <c r="Z593" s="36"/>
      <c r="AA593" s="36"/>
      <c r="AB593" s="36"/>
      <c r="AC593" s="36"/>
    </row>
    <row r="594" spans="17:29" x14ac:dyDescent="0.2">
      <c r="Q594" s="36"/>
      <c r="R594" s="40"/>
      <c r="S594" s="40"/>
      <c r="T594" s="40"/>
      <c r="U594" s="41"/>
      <c r="V594" s="41"/>
      <c r="W594" s="41"/>
      <c r="X594" s="36"/>
      <c r="Y594" s="36"/>
      <c r="Z594" s="36"/>
      <c r="AA594" s="36"/>
      <c r="AB594" s="36"/>
      <c r="AC594" s="36"/>
    </row>
    <row r="595" spans="17:29" x14ac:dyDescent="0.2">
      <c r="Q595" s="36"/>
      <c r="R595" s="40"/>
      <c r="S595" s="40"/>
      <c r="T595" s="40"/>
      <c r="U595" s="41"/>
      <c r="V595" s="41"/>
      <c r="W595" s="41"/>
      <c r="X595" s="36"/>
      <c r="Y595" s="36"/>
      <c r="Z595" s="36"/>
      <c r="AA595" s="36"/>
      <c r="AB595" s="36"/>
      <c r="AC595" s="36"/>
    </row>
    <row r="596" spans="17:29" x14ac:dyDescent="0.2">
      <c r="Q596" s="36"/>
      <c r="R596" s="40"/>
      <c r="S596" s="40"/>
      <c r="T596" s="40"/>
      <c r="U596" s="41"/>
      <c r="V596" s="41"/>
      <c r="W596" s="41"/>
      <c r="X596" s="36"/>
      <c r="Y596" s="36"/>
      <c r="Z596" s="36"/>
      <c r="AA596" s="36"/>
      <c r="AB596" s="36"/>
      <c r="AC596" s="36"/>
    </row>
    <row r="597" spans="17:29" x14ac:dyDescent="0.2">
      <c r="Q597" s="36"/>
      <c r="R597" s="40"/>
      <c r="S597" s="40"/>
      <c r="T597" s="40"/>
      <c r="U597" s="41"/>
      <c r="V597" s="41"/>
      <c r="W597" s="41"/>
      <c r="X597" s="36"/>
      <c r="Y597" s="36"/>
      <c r="Z597" s="36"/>
      <c r="AA597" s="36"/>
      <c r="AB597" s="36"/>
      <c r="AC597" s="36"/>
    </row>
    <row r="598" spans="17:29" x14ac:dyDescent="0.2">
      <c r="Q598" s="36"/>
      <c r="R598" s="40"/>
      <c r="S598" s="40"/>
      <c r="T598" s="40"/>
      <c r="U598" s="41"/>
      <c r="V598" s="41"/>
      <c r="W598" s="41"/>
      <c r="X598" s="36"/>
      <c r="Y598" s="36"/>
      <c r="Z598" s="36"/>
      <c r="AA598" s="36"/>
      <c r="AB598" s="36"/>
      <c r="AC598" s="36"/>
    </row>
    <row r="599" spans="17:29" x14ac:dyDescent="0.2">
      <c r="Q599" s="36"/>
      <c r="R599" s="40"/>
      <c r="S599" s="40"/>
      <c r="T599" s="40"/>
      <c r="U599" s="41"/>
      <c r="V599" s="41"/>
      <c r="W599" s="41"/>
      <c r="X599" s="36"/>
      <c r="Y599" s="36"/>
      <c r="Z599" s="36"/>
      <c r="AA599" s="36"/>
      <c r="AB599" s="36"/>
      <c r="AC599" s="36"/>
    </row>
    <row r="600" spans="17:29" x14ac:dyDescent="0.2">
      <c r="Q600" s="36"/>
      <c r="R600" s="40"/>
      <c r="S600" s="40"/>
      <c r="T600" s="40"/>
      <c r="U600" s="41"/>
      <c r="V600" s="41"/>
      <c r="W600" s="41"/>
      <c r="X600" s="36"/>
      <c r="Y600" s="36"/>
      <c r="Z600" s="36"/>
      <c r="AA600" s="36"/>
      <c r="AB600" s="36"/>
      <c r="AC600" s="36"/>
    </row>
    <row r="601" spans="17:29" x14ac:dyDescent="0.2">
      <c r="Q601" s="36"/>
      <c r="R601" s="40"/>
      <c r="S601" s="40"/>
      <c r="T601" s="40"/>
      <c r="U601" s="41"/>
      <c r="V601" s="41"/>
      <c r="W601" s="41"/>
      <c r="X601" s="36"/>
      <c r="Y601" s="36"/>
      <c r="Z601" s="36"/>
      <c r="AA601" s="36"/>
      <c r="AB601" s="36"/>
      <c r="AC601" s="36"/>
    </row>
    <row r="602" spans="17:29" x14ac:dyDescent="0.2">
      <c r="Q602" s="36"/>
      <c r="R602" s="40"/>
      <c r="S602" s="40"/>
      <c r="T602" s="40"/>
      <c r="U602" s="41"/>
      <c r="V602" s="41"/>
      <c r="W602" s="41"/>
      <c r="X602" s="36"/>
      <c r="Y602" s="36"/>
      <c r="Z602" s="36"/>
      <c r="AA602" s="36"/>
      <c r="AB602" s="36"/>
      <c r="AC602" s="36"/>
    </row>
    <row r="603" spans="17:29" x14ac:dyDescent="0.2">
      <c r="Q603" s="36"/>
      <c r="R603" s="40"/>
      <c r="S603" s="40"/>
      <c r="T603" s="40"/>
      <c r="U603" s="41"/>
      <c r="V603" s="41"/>
      <c r="W603" s="41"/>
      <c r="X603" s="36"/>
      <c r="Y603" s="36"/>
      <c r="Z603" s="36"/>
      <c r="AA603" s="36"/>
      <c r="AB603" s="36"/>
      <c r="AC603" s="36"/>
    </row>
    <row r="604" spans="17:29" x14ac:dyDescent="0.2">
      <c r="Q604" s="36"/>
      <c r="R604" s="40"/>
      <c r="S604" s="40"/>
      <c r="T604" s="40"/>
      <c r="U604" s="41"/>
      <c r="V604" s="41"/>
      <c r="W604" s="41"/>
      <c r="X604" s="36"/>
      <c r="Y604" s="36"/>
      <c r="Z604" s="36"/>
      <c r="AA604" s="36"/>
      <c r="AB604" s="36"/>
      <c r="AC604" s="36"/>
    </row>
    <row r="605" spans="17:29" x14ac:dyDescent="0.2">
      <c r="Q605" s="36"/>
      <c r="R605" s="40"/>
      <c r="S605" s="40"/>
      <c r="T605" s="40"/>
      <c r="U605" s="41"/>
      <c r="V605" s="41"/>
      <c r="W605" s="41"/>
      <c r="X605" s="36"/>
      <c r="Y605" s="36"/>
      <c r="Z605" s="36"/>
      <c r="AA605" s="36"/>
      <c r="AB605" s="36"/>
      <c r="AC605" s="36"/>
    </row>
    <row r="606" spans="17:29" x14ac:dyDescent="0.2">
      <c r="Q606" s="36"/>
      <c r="R606" s="40"/>
      <c r="S606" s="40"/>
      <c r="T606" s="40"/>
      <c r="U606" s="41"/>
      <c r="V606" s="41"/>
      <c r="W606" s="41"/>
      <c r="X606" s="36"/>
      <c r="Y606" s="36"/>
      <c r="Z606" s="36"/>
      <c r="AA606" s="36"/>
      <c r="AB606" s="36"/>
      <c r="AC606" s="36"/>
    </row>
    <row r="607" spans="17:29" x14ac:dyDescent="0.2">
      <c r="Q607" s="36"/>
      <c r="R607" s="40"/>
      <c r="S607" s="40"/>
      <c r="T607" s="40"/>
      <c r="U607" s="41"/>
      <c r="V607" s="41"/>
      <c r="W607" s="41"/>
      <c r="X607" s="36"/>
      <c r="Y607" s="36"/>
      <c r="Z607" s="36"/>
      <c r="AA607" s="36"/>
      <c r="AB607" s="36"/>
      <c r="AC607" s="36"/>
    </row>
    <row r="608" spans="17:29" x14ac:dyDescent="0.2">
      <c r="Q608" s="36"/>
      <c r="R608" s="40"/>
      <c r="S608" s="40"/>
      <c r="T608" s="40"/>
      <c r="U608" s="41"/>
      <c r="V608" s="41"/>
      <c r="W608" s="41"/>
      <c r="X608" s="36"/>
      <c r="Y608" s="36"/>
      <c r="Z608" s="36"/>
      <c r="AA608" s="36"/>
      <c r="AB608" s="36"/>
      <c r="AC608" s="36"/>
    </row>
    <row r="609" spans="17:29" x14ac:dyDescent="0.2">
      <c r="Q609" s="36"/>
      <c r="R609" s="40"/>
      <c r="S609" s="40"/>
      <c r="T609" s="40"/>
      <c r="U609" s="41"/>
      <c r="V609" s="41"/>
      <c r="W609" s="41"/>
      <c r="X609" s="36"/>
      <c r="Y609" s="36"/>
      <c r="Z609" s="36"/>
      <c r="AA609" s="36"/>
      <c r="AB609" s="36"/>
      <c r="AC609" s="36"/>
    </row>
    <row r="610" spans="17:29" x14ac:dyDescent="0.2">
      <c r="Q610" s="36"/>
      <c r="R610" s="40"/>
      <c r="S610" s="40"/>
      <c r="T610" s="40"/>
      <c r="U610" s="41"/>
      <c r="V610" s="41"/>
      <c r="W610" s="41"/>
      <c r="X610" s="36"/>
      <c r="Y610" s="36"/>
      <c r="Z610" s="36"/>
      <c r="AA610" s="36"/>
      <c r="AB610" s="36"/>
      <c r="AC610" s="36"/>
    </row>
    <row r="611" spans="17:29" x14ac:dyDescent="0.2">
      <c r="Q611" s="36"/>
      <c r="R611" s="40"/>
      <c r="S611" s="40"/>
      <c r="T611" s="40"/>
      <c r="U611" s="41"/>
      <c r="V611" s="41"/>
      <c r="W611" s="41"/>
      <c r="X611" s="36"/>
      <c r="Y611" s="36"/>
      <c r="Z611" s="36"/>
      <c r="AA611" s="36"/>
      <c r="AB611" s="36"/>
      <c r="AC611" s="36"/>
    </row>
    <row r="612" spans="17:29" x14ac:dyDescent="0.2">
      <c r="Q612" s="36"/>
      <c r="R612" s="40"/>
      <c r="S612" s="40"/>
      <c r="T612" s="40"/>
      <c r="U612" s="41"/>
      <c r="V612" s="41"/>
      <c r="W612" s="41"/>
      <c r="X612" s="36"/>
      <c r="Y612" s="36"/>
      <c r="Z612" s="36"/>
      <c r="AA612" s="36"/>
      <c r="AB612" s="36"/>
      <c r="AC612" s="36"/>
    </row>
    <row r="613" spans="17:29" x14ac:dyDescent="0.2">
      <c r="Q613" s="36"/>
      <c r="R613" s="40"/>
      <c r="S613" s="40"/>
      <c r="T613" s="40"/>
      <c r="U613" s="41"/>
      <c r="V613" s="41"/>
      <c r="W613" s="41"/>
      <c r="X613" s="36"/>
      <c r="Y613" s="36"/>
      <c r="Z613" s="36"/>
      <c r="AA613" s="36"/>
      <c r="AB613" s="36"/>
      <c r="AC613" s="36"/>
    </row>
    <row r="614" spans="17:29" x14ac:dyDescent="0.2">
      <c r="Q614" s="36"/>
      <c r="R614" s="40"/>
      <c r="S614" s="40"/>
      <c r="T614" s="40"/>
      <c r="U614" s="41"/>
      <c r="V614" s="41"/>
      <c r="W614" s="41"/>
      <c r="X614" s="36"/>
      <c r="Y614" s="36"/>
      <c r="Z614" s="36"/>
      <c r="AA614" s="36"/>
      <c r="AB614" s="36"/>
      <c r="AC614" s="36"/>
    </row>
    <row r="615" spans="17:29" x14ac:dyDescent="0.2">
      <c r="Q615" s="36"/>
      <c r="R615" s="40"/>
      <c r="S615" s="40"/>
      <c r="T615" s="40"/>
      <c r="U615" s="41"/>
      <c r="V615" s="41"/>
      <c r="W615" s="41"/>
      <c r="X615" s="36"/>
      <c r="Y615" s="36"/>
      <c r="Z615" s="36"/>
      <c r="AA615" s="36"/>
      <c r="AB615" s="36"/>
      <c r="AC615" s="36"/>
    </row>
    <row r="616" spans="17:29" x14ac:dyDescent="0.2">
      <c r="Q616" s="36"/>
      <c r="R616" s="40"/>
      <c r="S616" s="40"/>
      <c r="T616" s="40"/>
      <c r="U616" s="41"/>
      <c r="V616" s="41"/>
      <c r="W616" s="41"/>
      <c r="X616" s="36"/>
      <c r="Y616" s="36"/>
      <c r="Z616" s="36"/>
      <c r="AA616" s="36"/>
      <c r="AB616" s="36"/>
      <c r="AC616" s="36"/>
    </row>
    <row r="617" spans="17:29" x14ac:dyDescent="0.2">
      <c r="Q617" s="36"/>
      <c r="R617" s="40"/>
      <c r="S617" s="40"/>
      <c r="T617" s="40"/>
      <c r="U617" s="41"/>
      <c r="V617" s="41"/>
      <c r="W617" s="41"/>
      <c r="X617" s="36"/>
      <c r="Y617" s="36"/>
      <c r="Z617" s="36"/>
      <c r="AA617" s="36"/>
      <c r="AB617" s="36"/>
      <c r="AC617" s="36"/>
    </row>
    <row r="618" spans="17:29" x14ac:dyDescent="0.2">
      <c r="Q618" s="36"/>
      <c r="R618" s="40"/>
      <c r="S618" s="40"/>
      <c r="T618" s="40"/>
      <c r="U618" s="41"/>
      <c r="V618" s="41"/>
      <c r="W618" s="41"/>
      <c r="X618" s="36"/>
      <c r="Y618" s="36"/>
      <c r="Z618" s="36"/>
      <c r="AA618" s="36"/>
      <c r="AB618" s="36"/>
      <c r="AC618" s="36"/>
    </row>
    <row r="619" spans="17:29" x14ac:dyDescent="0.2">
      <c r="Q619" s="36"/>
      <c r="R619" s="40"/>
      <c r="S619" s="40"/>
      <c r="T619" s="40"/>
      <c r="U619" s="41"/>
      <c r="V619" s="41"/>
      <c r="W619" s="41"/>
      <c r="X619" s="36"/>
      <c r="Y619" s="36"/>
      <c r="Z619" s="36"/>
      <c r="AA619" s="36"/>
      <c r="AB619" s="36"/>
      <c r="AC619" s="36"/>
    </row>
    <row r="620" spans="17:29" x14ac:dyDescent="0.2">
      <c r="Q620" s="36"/>
      <c r="R620" s="40"/>
      <c r="S620" s="40"/>
      <c r="T620" s="40"/>
      <c r="U620" s="41"/>
      <c r="V620" s="41"/>
      <c r="W620" s="41"/>
      <c r="X620" s="36"/>
      <c r="Y620" s="36"/>
      <c r="Z620" s="36"/>
      <c r="AA620" s="36"/>
      <c r="AB620" s="36"/>
      <c r="AC620" s="36"/>
    </row>
    <row r="621" spans="17:29" x14ac:dyDescent="0.2">
      <c r="Q621" s="36"/>
      <c r="R621" s="40"/>
      <c r="S621" s="40"/>
      <c r="T621" s="40"/>
      <c r="U621" s="41"/>
      <c r="V621" s="41"/>
      <c r="W621" s="41"/>
      <c r="X621" s="36"/>
      <c r="Y621" s="36"/>
      <c r="Z621" s="36"/>
      <c r="AA621" s="36"/>
      <c r="AB621" s="36"/>
      <c r="AC621" s="36"/>
    </row>
    <row r="622" spans="17:29" x14ac:dyDescent="0.2">
      <c r="Q622" s="36"/>
      <c r="R622" s="40"/>
      <c r="S622" s="40"/>
      <c r="T622" s="40"/>
      <c r="U622" s="41"/>
      <c r="V622" s="41"/>
      <c r="W622" s="41"/>
      <c r="X622" s="36"/>
      <c r="Y622" s="36"/>
      <c r="Z622" s="36"/>
      <c r="AA622" s="36"/>
      <c r="AB622" s="36"/>
      <c r="AC622" s="36"/>
    </row>
    <row r="623" spans="17:29" x14ac:dyDescent="0.2">
      <c r="Q623" s="36"/>
      <c r="R623" s="40"/>
      <c r="S623" s="40"/>
      <c r="T623" s="40"/>
      <c r="U623" s="41"/>
      <c r="V623" s="41"/>
      <c r="W623" s="41"/>
      <c r="X623" s="36"/>
      <c r="Y623" s="36"/>
      <c r="Z623" s="36"/>
      <c r="AA623" s="36"/>
      <c r="AB623" s="36"/>
      <c r="AC623" s="36"/>
    </row>
    <row r="624" spans="17:29" x14ac:dyDescent="0.2">
      <c r="Q624" s="36"/>
      <c r="R624" s="40"/>
      <c r="S624" s="40"/>
      <c r="T624" s="40"/>
      <c r="U624" s="41"/>
      <c r="V624" s="41"/>
      <c r="W624" s="41"/>
      <c r="X624" s="36"/>
      <c r="Y624" s="36"/>
      <c r="Z624" s="36"/>
      <c r="AA624" s="36"/>
      <c r="AB624" s="36"/>
      <c r="AC624" s="36"/>
    </row>
    <row r="625" spans="17:29" x14ac:dyDescent="0.2">
      <c r="Q625" s="36"/>
      <c r="R625" s="40"/>
      <c r="S625" s="40"/>
      <c r="T625" s="40"/>
      <c r="U625" s="41"/>
      <c r="V625" s="41"/>
      <c r="W625" s="41"/>
      <c r="X625" s="36"/>
      <c r="Y625" s="36"/>
      <c r="Z625" s="36"/>
      <c r="AA625" s="36"/>
      <c r="AB625" s="36"/>
      <c r="AC625" s="36"/>
    </row>
    <row r="626" spans="17:29" x14ac:dyDescent="0.2">
      <c r="Q626" s="36"/>
      <c r="R626" s="40"/>
      <c r="S626" s="40"/>
      <c r="T626" s="40"/>
      <c r="U626" s="41"/>
      <c r="V626" s="41"/>
      <c r="W626" s="41"/>
      <c r="X626" s="36"/>
      <c r="Y626" s="36"/>
      <c r="Z626" s="36"/>
      <c r="AA626" s="36"/>
      <c r="AB626" s="36"/>
      <c r="AC626" s="36"/>
    </row>
    <row r="627" spans="17:29" x14ac:dyDescent="0.2">
      <c r="Q627" s="36"/>
      <c r="R627" s="40"/>
      <c r="S627" s="40"/>
      <c r="T627" s="40"/>
      <c r="U627" s="41"/>
      <c r="V627" s="41"/>
      <c r="W627" s="41"/>
      <c r="X627" s="36"/>
      <c r="Y627" s="36"/>
      <c r="Z627" s="36"/>
      <c r="AA627" s="36"/>
      <c r="AB627" s="36"/>
      <c r="AC627" s="36"/>
    </row>
    <row r="628" spans="17:29" x14ac:dyDescent="0.2">
      <c r="Q628" s="36"/>
      <c r="R628" s="40"/>
      <c r="S628" s="40"/>
      <c r="T628" s="40"/>
      <c r="U628" s="41"/>
      <c r="V628" s="41"/>
      <c r="W628" s="41"/>
      <c r="X628" s="36"/>
      <c r="Y628" s="36"/>
      <c r="Z628" s="36"/>
      <c r="AA628" s="36"/>
      <c r="AB628" s="36"/>
      <c r="AC628" s="36"/>
    </row>
    <row r="629" spans="17:29" x14ac:dyDescent="0.2">
      <c r="Q629" s="36"/>
      <c r="R629" s="40"/>
      <c r="S629" s="40"/>
      <c r="T629" s="40"/>
      <c r="U629" s="41"/>
      <c r="V629" s="41"/>
      <c r="W629" s="41"/>
      <c r="X629" s="36"/>
      <c r="Y629" s="36"/>
      <c r="Z629" s="36"/>
      <c r="AA629" s="36"/>
      <c r="AB629" s="36"/>
      <c r="AC629" s="36"/>
    </row>
    <row r="630" spans="17:29" x14ac:dyDescent="0.2">
      <c r="Q630" s="36"/>
      <c r="R630" s="40"/>
      <c r="S630" s="40"/>
      <c r="T630" s="40"/>
      <c r="U630" s="41"/>
      <c r="V630" s="41"/>
      <c r="W630" s="41"/>
      <c r="X630" s="36"/>
      <c r="Y630" s="36"/>
      <c r="Z630" s="36"/>
      <c r="AA630" s="36"/>
      <c r="AB630" s="36"/>
      <c r="AC630" s="36"/>
    </row>
    <row r="631" spans="17:29" x14ac:dyDescent="0.2">
      <c r="Q631" s="36"/>
      <c r="R631" s="40"/>
      <c r="S631" s="40"/>
      <c r="T631" s="40"/>
      <c r="U631" s="41"/>
      <c r="V631" s="41"/>
      <c r="W631" s="41"/>
      <c r="X631" s="36"/>
      <c r="Y631" s="36"/>
      <c r="Z631" s="36"/>
      <c r="AA631" s="36"/>
      <c r="AB631" s="36"/>
      <c r="AC631" s="36"/>
    </row>
    <row r="632" spans="17:29" x14ac:dyDescent="0.2">
      <c r="Q632" s="36"/>
      <c r="R632" s="40"/>
      <c r="S632" s="40"/>
      <c r="T632" s="40"/>
      <c r="U632" s="41"/>
      <c r="V632" s="41"/>
      <c r="W632" s="41"/>
      <c r="X632" s="36"/>
      <c r="Y632" s="36"/>
      <c r="Z632" s="36"/>
      <c r="AA632" s="36"/>
      <c r="AB632" s="36"/>
      <c r="AC632" s="36"/>
    </row>
    <row r="633" spans="17:29" x14ac:dyDescent="0.2">
      <c r="Q633" s="36"/>
      <c r="R633" s="40"/>
      <c r="S633" s="40"/>
      <c r="T633" s="40"/>
      <c r="U633" s="41"/>
      <c r="V633" s="41"/>
      <c r="W633" s="41"/>
      <c r="X633" s="36"/>
      <c r="Y633" s="36"/>
      <c r="Z633" s="36"/>
      <c r="AA633" s="36"/>
      <c r="AB633" s="36"/>
      <c r="AC633" s="36"/>
    </row>
    <row r="634" spans="17:29" x14ac:dyDescent="0.2">
      <c r="Q634" s="36"/>
      <c r="R634" s="40"/>
      <c r="S634" s="40"/>
      <c r="T634" s="40"/>
      <c r="U634" s="41"/>
      <c r="V634" s="41"/>
      <c r="W634" s="41"/>
      <c r="X634" s="36"/>
      <c r="Y634" s="36"/>
      <c r="Z634" s="36"/>
      <c r="AA634" s="36"/>
      <c r="AB634" s="36"/>
      <c r="AC634" s="36"/>
    </row>
    <row r="635" spans="17:29" x14ac:dyDescent="0.2">
      <c r="Q635" s="36"/>
      <c r="R635" s="40"/>
      <c r="S635" s="40"/>
      <c r="T635" s="40"/>
      <c r="U635" s="41"/>
      <c r="V635" s="41"/>
      <c r="W635" s="41"/>
      <c r="X635" s="36"/>
      <c r="Y635" s="36"/>
      <c r="Z635" s="36"/>
      <c r="AA635" s="36"/>
      <c r="AB635" s="36"/>
      <c r="AC635" s="36"/>
    </row>
    <row r="636" spans="17:29" x14ac:dyDescent="0.2">
      <c r="Q636" s="36"/>
      <c r="R636" s="40"/>
      <c r="S636" s="40"/>
      <c r="T636" s="40"/>
      <c r="U636" s="41"/>
      <c r="V636" s="41"/>
      <c r="W636" s="41"/>
      <c r="X636" s="36"/>
      <c r="Y636" s="36"/>
      <c r="Z636" s="36"/>
      <c r="AA636" s="36"/>
      <c r="AB636" s="36"/>
      <c r="AC636" s="36"/>
    </row>
    <row r="637" spans="17:29" x14ac:dyDescent="0.2">
      <c r="Q637" s="36"/>
      <c r="R637" s="40"/>
      <c r="S637" s="40"/>
      <c r="T637" s="40"/>
      <c r="U637" s="41"/>
      <c r="V637" s="41"/>
      <c r="W637" s="41"/>
      <c r="X637" s="36"/>
      <c r="Y637" s="36"/>
      <c r="Z637" s="36"/>
      <c r="AA637" s="36"/>
      <c r="AB637" s="36"/>
      <c r="AC637" s="36"/>
    </row>
    <row r="638" spans="17:29" x14ac:dyDescent="0.2">
      <c r="Q638" s="36"/>
      <c r="R638" s="40"/>
      <c r="S638" s="40"/>
      <c r="T638" s="40"/>
      <c r="U638" s="41"/>
      <c r="V638" s="41"/>
      <c r="W638" s="41"/>
      <c r="X638" s="36"/>
      <c r="Y638" s="36"/>
      <c r="Z638" s="36"/>
      <c r="AA638" s="36"/>
      <c r="AB638" s="36"/>
      <c r="AC638" s="36"/>
    </row>
    <row r="639" spans="17:29" x14ac:dyDescent="0.2">
      <c r="Q639" s="36"/>
      <c r="R639" s="40"/>
      <c r="S639" s="40"/>
      <c r="T639" s="40"/>
      <c r="U639" s="41"/>
      <c r="V639" s="41"/>
      <c r="W639" s="41"/>
      <c r="X639" s="36"/>
      <c r="Y639" s="36"/>
      <c r="Z639" s="36"/>
      <c r="AA639" s="36"/>
      <c r="AB639" s="36"/>
      <c r="AC639" s="36"/>
    </row>
    <row r="640" spans="17:29" x14ac:dyDescent="0.2">
      <c r="Q640" s="36"/>
      <c r="R640" s="40"/>
      <c r="S640" s="40"/>
      <c r="T640" s="40"/>
      <c r="U640" s="41"/>
      <c r="V640" s="41"/>
      <c r="W640" s="41"/>
      <c r="X640" s="36"/>
      <c r="Y640" s="36"/>
      <c r="Z640" s="36"/>
      <c r="AA640" s="36"/>
      <c r="AB640" s="36"/>
      <c r="AC640" s="36"/>
    </row>
    <row r="641" spans="17:29" x14ac:dyDescent="0.2">
      <c r="Q641" s="36"/>
      <c r="R641" s="40"/>
      <c r="S641" s="40"/>
      <c r="T641" s="40"/>
      <c r="U641" s="41"/>
      <c r="V641" s="41"/>
      <c r="W641" s="41"/>
      <c r="X641" s="36"/>
      <c r="Y641" s="36"/>
      <c r="Z641" s="36"/>
      <c r="AA641" s="36"/>
      <c r="AB641" s="36"/>
      <c r="AC641" s="36"/>
    </row>
    <row r="642" spans="17:29" x14ac:dyDescent="0.2">
      <c r="Q642" s="36"/>
      <c r="R642" s="40"/>
      <c r="S642" s="40"/>
      <c r="T642" s="40"/>
      <c r="U642" s="41"/>
      <c r="V642" s="41"/>
      <c r="W642" s="41"/>
      <c r="X642" s="36"/>
      <c r="Y642" s="36"/>
      <c r="Z642" s="36"/>
      <c r="AA642" s="36"/>
      <c r="AB642" s="36"/>
      <c r="AC642" s="36"/>
    </row>
    <row r="643" spans="17:29" x14ac:dyDescent="0.2">
      <c r="Q643" s="36"/>
      <c r="R643" s="40"/>
      <c r="S643" s="40"/>
      <c r="T643" s="40"/>
      <c r="U643" s="41"/>
      <c r="V643" s="41"/>
      <c r="W643" s="41"/>
      <c r="X643" s="36"/>
      <c r="Y643" s="36"/>
      <c r="Z643" s="36"/>
      <c r="AA643" s="36"/>
      <c r="AB643" s="36"/>
      <c r="AC643" s="36"/>
    </row>
    <row r="644" spans="17:29" x14ac:dyDescent="0.2">
      <c r="Q644" s="36"/>
      <c r="R644" s="40"/>
      <c r="S644" s="40"/>
      <c r="T644" s="40"/>
      <c r="U644" s="41"/>
      <c r="V644" s="41"/>
      <c r="W644" s="41"/>
      <c r="X644" s="36"/>
      <c r="Y644" s="36"/>
      <c r="Z644" s="36"/>
      <c r="AA644" s="36"/>
      <c r="AB644" s="36"/>
      <c r="AC644" s="36"/>
    </row>
    <row r="645" spans="17:29" x14ac:dyDescent="0.2">
      <c r="Q645" s="36"/>
      <c r="R645" s="40"/>
      <c r="S645" s="40"/>
      <c r="T645" s="40"/>
      <c r="U645" s="41"/>
      <c r="V645" s="41"/>
      <c r="W645" s="41"/>
      <c r="X645" s="36"/>
      <c r="Y645" s="36"/>
      <c r="Z645" s="36"/>
      <c r="AA645" s="36"/>
      <c r="AB645" s="36"/>
      <c r="AC645" s="36"/>
    </row>
    <row r="646" spans="17:29" x14ac:dyDescent="0.2">
      <c r="Q646" s="36"/>
      <c r="R646" s="40"/>
      <c r="S646" s="40"/>
      <c r="T646" s="40"/>
      <c r="U646" s="41"/>
      <c r="V646" s="41"/>
      <c r="W646" s="41"/>
      <c r="X646" s="36"/>
      <c r="Y646" s="36"/>
      <c r="Z646" s="36"/>
      <c r="AA646" s="36"/>
      <c r="AB646" s="36"/>
      <c r="AC646" s="36"/>
    </row>
    <row r="647" spans="17:29" x14ac:dyDescent="0.2">
      <c r="Q647" s="36"/>
      <c r="R647" s="40"/>
      <c r="S647" s="40"/>
      <c r="T647" s="40"/>
      <c r="U647" s="41"/>
      <c r="V647" s="41"/>
      <c r="W647" s="41"/>
      <c r="X647" s="36"/>
      <c r="Y647" s="36"/>
      <c r="Z647" s="36"/>
      <c r="AA647" s="36"/>
      <c r="AB647" s="36"/>
      <c r="AC647" s="36"/>
    </row>
    <row r="648" spans="17:29" x14ac:dyDescent="0.2">
      <c r="Q648" s="36"/>
      <c r="R648" s="40"/>
      <c r="S648" s="40"/>
      <c r="T648" s="40"/>
      <c r="U648" s="41"/>
      <c r="V648" s="41"/>
      <c r="W648" s="41"/>
      <c r="X648" s="36"/>
      <c r="Y648" s="36"/>
      <c r="Z648" s="36"/>
      <c r="AA648" s="36"/>
      <c r="AB648" s="36"/>
      <c r="AC648" s="36"/>
    </row>
    <row r="649" spans="17:29" x14ac:dyDescent="0.2">
      <c r="Q649" s="36"/>
      <c r="R649" s="40"/>
      <c r="S649" s="40"/>
      <c r="T649" s="40"/>
      <c r="U649" s="41"/>
      <c r="V649" s="41"/>
      <c r="W649" s="41"/>
      <c r="X649" s="36"/>
      <c r="Y649" s="36"/>
      <c r="Z649" s="36"/>
      <c r="AA649" s="36"/>
      <c r="AB649" s="36"/>
      <c r="AC649" s="36"/>
    </row>
    <row r="650" spans="17:29" x14ac:dyDescent="0.2">
      <c r="Q650" s="36"/>
      <c r="R650" s="40"/>
      <c r="S650" s="40"/>
      <c r="T650" s="40"/>
      <c r="U650" s="41"/>
      <c r="V650" s="41"/>
      <c r="W650" s="41"/>
      <c r="X650" s="36"/>
      <c r="Y650" s="36"/>
      <c r="Z650" s="36"/>
      <c r="AA650" s="36"/>
      <c r="AB650" s="36"/>
      <c r="AC650" s="36"/>
    </row>
    <row r="651" spans="17:29" x14ac:dyDescent="0.2">
      <c r="Q651" s="36"/>
      <c r="R651" s="40"/>
      <c r="S651" s="40"/>
      <c r="T651" s="40"/>
      <c r="U651" s="41"/>
      <c r="V651" s="41"/>
      <c r="W651" s="41"/>
      <c r="X651" s="36"/>
      <c r="Y651" s="36"/>
      <c r="Z651" s="36"/>
      <c r="AA651" s="36"/>
      <c r="AB651" s="36"/>
      <c r="AC651" s="36"/>
    </row>
    <row r="652" spans="17:29" x14ac:dyDescent="0.2">
      <c r="Q652" s="36"/>
      <c r="R652" s="40"/>
      <c r="S652" s="40"/>
      <c r="T652" s="40"/>
      <c r="U652" s="41"/>
      <c r="V652" s="41"/>
      <c r="W652" s="41"/>
      <c r="X652" s="36"/>
      <c r="Y652" s="36"/>
      <c r="Z652" s="36"/>
      <c r="AA652" s="36"/>
      <c r="AB652" s="36"/>
      <c r="AC652" s="36"/>
    </row>
    <row r="653" spans="17:29" x14ac:dyDescent="0.2">
      <c r="Q653" s="36"/>
      <c r="R653" s="40"/>
      <c r="S653" s="40"/>
      <c r="T653" s="40"/>
      <c r="U653" s="41"/>
      <c r="V653" s="41"/>
      <c r="W653" s="41"/>
      <c r="X653" s="36"/>
      <c r="Y653" s="36"/>
      <c r="Z653" s="36"/>
      <c r="AA653" s="36"/>
      <c r="AB653" s="36"/>
      <c r="AC653" s="36"/>
    </row>
    <row r="654" spans="17:29" x14ac:dyDescent="0.2">
      <c r="Q654" s="36"/>
      <c r="R654" s="40"/>
      <c r="S654" s="40"/>
      <c r="T654" s="40"/>
      <c r="U654" s="41"/>
      <c r="V654" s="41"/>
      <c r="W654" s="41"/>
      <c r="X654" s="36"/>
      <c r="Y654" s="36"/>
      <c r="Z654" s="36"/>
      <c r="AA654" s="36"/>
      <c r="AB654" s="36"/>
      <c r="AC654" s="36"/>
    </row>
    <row r="655" spans="17:29" x14ac:dyDescent="0.2">
      <c r="Q655" s="36"/>
      <c r="R655" s="40"/>
      <c r="S655" s="40"/>
      <c r="T655" s="40"/>
      <c r="U655" s="41"/>
      <c r="V655" s="41"/>
      <c r="W655" s="41"/>
      <c r="X655" s="36"/>
      <c r="Y655" s="36"/>
      <c r="Z655" s="36"/>
      <c r="AA655" s="36"/>
      <c r="AB655" s="36"/>
      <c r="AC655" s="36"/>
    </row>
    <row r="656" spans="17:29" x14ac:dyDescent="0.2">
      <c r="Q656" s="36"/>
      <c r="R656" s="40"/>
      <c r="S656" s="40"/>
      <c r="T656" s="40"/>
      <c r="U656" s="41"/>
      <c r="V656" s="41"/>
      <c r="W656" s="41"/>
      <c r="X656" s="36"/>
      <c r="Y656" s="36"/>
      <c r="Z656" s="36"/>
      <c r="AA656" s="36"/>
      <c r="AB656" s="36"/>
      <c r="AC656" s="36"/>
    </row>
    <row r="657" spans="17:29" x14ac:dyDescent="0.2">
      <c r="Q657" s="36"/>
      <c r="R657" s="40"/>
      <c r="S657" s="40"/>
      <c r="T657" s="40"/>
      <c r="U657" s="41"/>
      <c r="V657" s="41"/>
      <c r="W657" s="41"/>
      <c r="X657" s="36"/>
      <c r="Y657" s="36"/>
      <c r="Z657" s="36"/>
      <c r="AA657" s="36"/>
      <c r="AB657" s="36"/>
      <c r="AC657" s="36"/>
    </row>
    <row r="658" spans="17:29" x14ac:dyDescent="0.2">
      <c r="Q658" s="36"/>
      <c r="R658" s="40"/>
      <c r="S658" s="40"/>
      <c r="T658" s="40"/>
      <c r="U658" s="41"/>
      <c r="V658" s="41"/>
      <c r="W658" s="41"/>
      <c r="X658" s="36"/>
      <c r="Y658" s="36"/>
      <c r="Z658" s="36"/>
      <c r="AA658" s="36"/>
      <c r="AB658" s="36"/>
      <c r="AC658" s="36"/>
    </row>
    <row r="659" spans="17:29" x14ac:dyDescent="0.2">
      <c r="Q659" s="36"/>
      <c r="R659" s="40"/>
      <c r="S659" s="40"/>
      <c r="T659" s="40"/>
      <c r="U659" s="41"/>
      <c r="V659" s="41"/>
      <c r="W659" s="41"/>
      <c r="X659" s="36"/>
      <c r="Y659" s="36"/>
      <c r="Z659" s="36"/>
      <c r="AA659" s="36"/>
      <c r="AB659" s="36"/>
      <c r="AC659" s="36"/>
    </row>
    <row r="660" spans="17:29" x14ac:dyDescent="0.2">
      <c r="Q660" s="36"/>
      <c r="R660" s="40"/>
      <c r="S660" s="40"/>
      <c r="T660" s="40"/>
      <c r="U660" s="41"/>
      <c r="V660" s="41"/>
      <c r="W660" s="41"/>
      <c r="X660" s="36"/>
      <c r="Y660" s="36"/>
      <c r="Z660" s="36"/>
      <c r="AA660" s="36"/>
      <c r="AB660" s="36"/>
      <c r="AC660" s="36"/>
    </row>
    <row r="661" spans="17:29" x14ac:dyDescent="0.2">
      <c r="Q661" s="36"/>
      <c r="R661" s="40"/>
      <c r="S661" s="40"/>
      <c r="T661" s="40"/>
      <c r="U661" s="41"/>
      <c r="V661" s="41"/>
      <c r="W661" s="41"/>
      <c r="X661" s="36"/>
      <c r="Y661" s="36"/>
      <c r="Z661" s="36"/>
      <c r="AA661" s="36"/>
      <c r="AB661" s="36"/>
      <c r="AC661" s="36"/>
    </row>
    <row r="662" spans="17:29" x14ac:dyDescent="0.2">
      <c r="Q662" s="36"/>
      <c r="R662" s="40"/>
      <c r="S662" s="40"/>
      <c r="T662" s="40"/>
      <c r="U662" s="41"/>
      <c r="V662" s="41"/>
      <c r="W662" s="41"/>
      <c r="X662" s="36"/>
      <c r="Y662" s="36"/>
      <c r="Z662" s="36"/>
      <c r="AA662" s="36"/>
      <c r="AB662" s="36"/>
      <c r="AC662" s="36"/>
    </row>
    <row r="663" spans="17:29" x14ac:dyDescent="0.2">
      <c r="Q663" s="36"/>
      <c r="R663" s="40"/>
      <c r="S663" s="40"/>
      <c r="T663" s="40"/>
      <c r="U663" s="41"/>
      <c r="V663" s="41"/>
      <c r="W663" s="41"/>
      <c r="X663" s="36"/>
      <c r="Y663" s="36"/>
      <c r="Z663" s="36"/>
      <c r="AA663" s="36"/>
      <c r="AB663" s="36"/>
      <c r="AC663" s="36"/>
    </row>
    <row r="664" spans="17:29" x14ac:dyDescent="0.2">
      <c r="Q664" s="36"/>
      <c r="R664" s="40"/>
      <c r="S664" s="40"/>
      <c r="T664" s="40"/>
      <c r="U664" s="41"/>
      <c r="V664" s="41"/>
      <c r="W664" s="41"/>
      <c r="X664" s="36"/>
      <c r="Y664" s="36"/>
      <c r="Z664" s="36"/>
      <c r="AA664" s="36"/>
      <c r="AB664" s="36"/>
      <c r="AC664" s="36"/>
    </row>
    <row r="665" spans="17:29" x14ac:dyDescent="0.2">
      <c r="Q665" s="36"/>
      <c r="R665" s="40"/>
      <c r="S665" s="40"/>
      <c r="T665" s="40"/>
      <c r="U665" s="41"/>
      <c r="V665" s="41"/>
      <c r="W665" s="41"/>
      <c r="X665" s="36"/>
      <c r="Y665" s="36"/>
      <c r="Z665" s="36"/>
      <c r="AA665" s="36"/>
      <c r="AB665" s="36"/>
      <c r="AC665" s="36"/>
    </row>
    <row r="666" spans="17:29" x14ac:dyDescent="0.2">
      <c r="Q666" s="36"/>
      <c r="R666" s="40"/>
      <c r="S666" s="40"/>
      <c r="T666" s="40"/>
      <c r="U666" s="41"/>
      <c r="V666" s="41"/>
      <c r="W666" s="41"/>
      <c r="X666" s="36"/>
      <c r="Y666" s="36"/>
      <c r="Z666" s="36"/>
      <c r="AA666" s="36"/>
      <c r="AB666" s="36"/>
      <c r="AC666" s="36"/>
    </row>
    <row r="667" spans="17:29" x14ac:dyDescent="0.2">
      <c r="Q667" s="36"/>
      <c r="R667" s="40"/>
      <c r="S667" s="40"/>
      <c r="T667" s="40"/>
      <c r="U667" s="41"/>
      <c r="V667" s="41"/>
      <c r="W667" s="41"/>
      <c r="X667" s="36"/>
      <c r="Y667" s="36"/>
      <c r="Z667" s="36"/>
      <c r="AA667" s="36"/>
      <c r="AB667" s="36"/>
      <c r="AC667" s="36"/>
    </row>
    <row r="668" spans="17:29" x14ac:dyDescent="0.2">
      <c r="Q668" s="36"/>
      <c r="R668" s="40"/>
      <c r="S668" s="40"/>
      <c r="T668" s="40"/>
      <c r="U668" s="41"/>
      <c r="V668" s="41"/>
      <c r="W668" s="41"/>
      <c r="X668" s="36"/>
      <c r="Y668" s="36"/>
      <c r="Z668" s="36"/>
      <c r="AA668" s="36"/>
      <c r="AB668" s="36"/>
      <c r="AC668" s="36"/>
    </row>
    <row r="669" spans="17:29" x14ac:dyDescent="0.2">
      <c r="Q669" s="36"/>
      <c r="R669" s="40"/>
      <c r="S669" s="40"/>
      <c r="T669" s="40"/>
      <c r="U669" s="41"/>
      <c r="V669" s="41"/>
      <c r="W669" s="41"/>
      <c r="X669" s="36"/>
      <c r="Y669" s="36"/>
      <c r="Z669" s="36"/>
      <c r="AA669" s="36"/>
      <c r="AB669" s="36"/>
      <c r="AC669" s="36"/>
    </row>
    <row r="670" spans="17:29" x14ac:dyDescent="0.2">
      <c r="Q670" s="36"/>
      <c r="R670" s="40"/>
      <c r="S670" s="40"/>
      <c r="T670" s="40"/>
      <c r="U670" s="41"/>
      <c r="V670" s="41"/>
      <c r="W670" s="41"/>
      <c r="X670" s="36"/>
      <c r="Y670" s="36"/>
      <c r="Z670" s="36"/>
      <c r="AA670" s="36"/>
      <c r="AB670" s="36"/>
      <c r="AC670" s="36"/>
    </row>
    <row r="671" spans="17:29" x14ac:dyDescent="0.2">
      <c r="Q671" s="36"/>
      <c r="R671" s="40"/>
      <c r="S671" s="40"/>
      <c r="T671" s="40"/>
      <c r="U671" s="41"/>
      <c r="V671" s="41"/>
      <c r="W671" s="41"/>
      <c r="X671" s="36"/>
      <c r="Y671" s="36"/>
      <c r="Z671" s="36"/>
      <c r="AA671" s="36"/>
      <c r="AB671" s="36"/>
      <c r="AC671" s="36"/>
    </row>
    <row r="672" spans="17:29" x14ac:dyDescent="0.2">
      <c r="Q672" s="36"/>
      <c r="R672" s="40"/>
      <c r="S672" s="40"/>
      <c r="T672" s="40"/>
      <c r="U672" s="41"/>
      <c r="V672" s="41"/>
      <c r="W672" s="41"/>
      <c r="X672" s="36"/>
      <c r="Y672" s="36"/>
      <c r="Z672" s="36"/>
      <c r="AA672" s="36"/>
      <c r="AB672" s="36"/>
      <c r="AC672" s="36"/>
    </row>
    <row r="673" spans="17:29" x14ac:dyDescent="0.2">
      <c r="Q673" s="36"/>
      <c r="R673" s="40"/>
      <c r="S673" s="40"/>
      <c r="T673" s="40"/>
      <c r="U673" s="41"/>
      <c r="V673" s="41"/>
      <c r="W673" s="41"/>
      <c r="X673" s="36"/>
      <c r="Y673" s="36"/>
      <c r="Z673" s="36"/>
      <c r="AA673" s="36"/>
      <c r="AB673" s="36"/>
      <c r="AC673" s="36"/>
    </row>
    <row r="674" spans="17:29" x14ac:dyDescent="0.2">
      <c r="Q674" s="36"/>
      <c r="R674" s="40"/>
      <c r="S674" s="40"/>
      <c r="T674" s="40"/>
      <c r="U674" s="41"/>
      <c r="V674" s="41"/>
      <c r="W674" s="41"/>
      <c r="X674" s="36"/>
      <c r="Y674" s="36"/>
      <c r="Z674" s="36"/>
      <c r="AA674" s="36"/>
      <c r="AB674" s="36"/>
      <c r="AC674" s="36"/>
    </row>
    <row r="675" spans="17:29" x14ac:dyDescent="0.2">
      <c r="Q675" s="36"/>
      <c r="R675" s="40"/>
      <c r="S675" s="40"/>
      <c r="T675" s="40"/>
      <c r="U675" s="41"/>
      <c r="V675" s="41"/>
      <c r="W675" s="41"/>
      <c r="X675" s="36"/>
      <c r="Y675" s="36"/>
      <c r="Z675" s="36"/>
      <c r="AA675" s="36"/>
      <c r="AB675" s="36"/>
      <c r="AC675" s="36"/>
    </row>
    <row r="676" spans="17:29" x14ac:dyDescent="0.2">
      <c r="Q676" s="36"/>
      <c r="R676" s="40"/>
      <c r="S676" s="40"/>
      <c r="T676" s="40"/>
      <c r="U676" s="41"/>
      <c r="V676" s="41"/>
      <c r="W676" s="41"/>
      <c r="X676" s="36"/>
      <c r="Y676" s="36"/>
      <c r="Z676" s="36"/>
      <c r="AA676" s="36"/>
      <c r="AB676" s="36"/>
      <c r="AC676" s="36"/>
    </row>
    <row r="677" spans="17:29" x14ac:dyDescent="0.2">
      <c r="Q677" s="36"/>
      <c r="R677" s="40"/>
      <c r="S677" s="40"/>
      <c r="T677" s="40"/>
      <c r="U677" s="41"/>
      <c r="V677" s="41"/>
      <c r="W677" s="41"/>
      <c r="X677" s="36"/>
      <c r="Y677" s="36"/>
      <c r="Z677" s="36"/>
      <c r="AA677" s="36"/>
      <c r="AB677" s="36"/>
      <c r="AC677" s="36"/>
    </row>
    <row r="678" spans="17:29" x14ac:dyDescent="0.2">
      <c r="Q678" s="36"/>
      <c r="R678" s="40"/>
      <c r="S678" s="40"/>
      <c r="T678" s="40"/>
      <c r="U678" s="41"/>
      <c r="V678" s="41"/>
      <c r="W678" s="41"/>
      <c r="X678" s="36"/>
      <c r="Y678" s="36"/>
      <c r="Z678" s="36"/>
      <c r="AA678" s="36"/>
      <c r="AB678" s="36"/>
      <c r="AC678" s="36"/>
    </row>
    <row r="679" spans="17:29" x14ac:dyDescent="0.2">
      <c r="Q679" s="36"/>
      <c r="R679" s="40"/>
      <c r="S679" s="40"/>
      <c r="T679" s="40"/>
      <c r="U679" s="41"/>
      <c r="V679" s="41"/>
      <c r="W679" s="41"/>
      <c r="X679" s="36"/>
      <c r="Y679" s="36"/>
      <c r="Z679" s="36"/>
      <c r="AA679" s="36"/>
      <c r="AB679" s="36"/>
      <c r="AC679" s="36"/>
    </row>
    <row r="680" spans="17:29" x14ac:dyDescent="0.2">
      <c r="Q680" s="36"/>
      <c r="R680" s="40"/>
      <c r="S680" s="40"/>
      <c r="T680" s="40"/>
      <c r="U680" s="41"/>
      <c r="V680" s="41"/>
      <c r="W680" s="41"/>
      <c r="X680" s="36"/>
      <c r="Y680" s="36"/>
      <c r="Z680" s="36"/>
      <c r="AA680" s="36"/>
      <c r="AB680" s="36"/>
      <c r="AC680" s="36"/>
    </row>
    <row r="681" spans="17:29" x14ac:dyDescent="0.2">
      <c r="Q681" s="36"/>
      <c r="R681" s="40"/>
      <c r="S681" s="40"/>
      <c r="T681" s="40"/>
      <c r="U681" s="41"/>
      <c r="V681" s="41"/>
      <c r="W681" s="41"/>
      <c r="X681" s="36"/>
      <c r="Y681" s="36"/>
      <c r="Z681" s="36"/>
      <c r="AA681" s="36"/>
      <c r="AB681" s="36"/>
      <c r="AC681" s="36"/>
    </row>
    <row r="682" spans="17:29" x14ac:dyDescent="0.2">
      <c r="Q682" s="36"/>
      <c r="R682" s="40"/>
      <c r="S682" s="40"/>
      <c r="T682" s="40"/>
      <c r="U682" s="41"/>
      <c r="V682" s="41"/>
      <c r="W682" s="41"/>
      <c r="X682" s="36"/>
      <c r="Y682" s="36"/>
      <c r="Z682" s="36"/>
      <c r="AA682" s="36"/>
      <c r="AB682" s="36"/>
      <c r="AC682" s="36"/>
    </row>
    <row r="683" spans="17:29" x14ac:dyDescent="0.2">
      <c r="Q683" s="36"/>
      <c r="R683" s="40"/>
      <c r="S683" s="40"/>
      <c r="T683" s="40"/>
      <c r="U683" s="41"/>
      <c r="V683" s="41"/>
      <c r="W683" s="41"/>
      <c r="X683" s="36"/>
      <c r="Y683" s="36"/>
      <c r="Z683" s="36"/>
      <c r="AA683" s="36"/>
      <c r="AB683" s="36"/>
      <c r="AC683" s="36"/>
    </row>
    <row r="684" spans="17:29" x14ac:dyDescent="0.2">
      <c r="Q684" s="36"/>
      <c r="R684" s="40"/>
      <c r="S684" s="40"/>
      <c r="T684" s="40"/>
      <c r="U684" s="41"/>
      <c r="V684" s="41"/>
      <c r="W684" s="41"/>
      <c r="X684" s="36"/>
      <c r="Y684" s="36"/>
      <c r="Z684" s="36"/>
      <c r="AA684" s="36"/>
      <c r="AB684" s="36"/>
      <c r="AC684" s="36"/>
    </row>
    <row r="685" spans="17:29" x14ac:dyDescent="0.2">
      <c r="Q685" s="36"/>
      <c r="R685" s="40"/>
      <c r="S685" s="40"/>
      <c r="T685" s="40"/>
      <c r="U685" s="41"/>
      <c r="V685" s="41"/>
      <c r="W685" s="41"/>
      <c r="X685" s="36"/>
      <c r="Y685" s="36"/>
      <c r="Z685" s="36"/>
      <c r="AA685" s="36"/>
      <c r="AB685" s="36"/>
      <c r="AC685" s="36"/>
    </row>
    <row r="686" spans="17:29" x14ac:dyDescent="0.2">
      <c r="Q686" s="36"/>
      <c r="R686" s="40"/>
      <c r="S686" s="40"/>
      <c r="T686" s="40"/>
      <c r="U686" s="41"/>
      <c r="V686" s="41"/>
      <c r="W686" s="41"/>
      <c r="X686" s="36"/>
      <c r="Y686" s="36"/>
      <c r="Z686" s="36"/>
      <c r="AA686" s="36"/>
      <c r="AB686" s="36"/>
      <c r="AC686" s="36"/>
    </row>
    <row r="687" spans="17:29" x14ac:dyDescent="0.2">
      <c r="Q687" s="36"/>
      <c r="R687" s="40"/>
      <c r="S687" s="40"/>
      <c r="T687" s="40"/>
      <c r="U687" s="41"/>
      <c r="V687" s="41"/>
      <c r="W687" s="41"/>
      <c r="X687" s="36"/>
      <c r="Y687" s="36"/>
      <c r="Z687" s="36"/>
      <c r="AA687" s="36"/>
      <c r="AB687" s="36"/>
      <c r="AC687" s="36"/>
    </row>
    <row r="688" spans="17:29" x14ac:dyDescent="0.2">
      <c r="Q688" s="36"/>
      <c r="R688" s="40"/>
      <c r="S688" s="40"/>
      <c r="T688" s="40"/>
      <c r="U688" s="41"/>
      <c r="V688" s="41"/>
      <c r="W688" s="41"/>
      <c r="X688" s="36"/>
      <c r="Y688" s="36"/>
      <c r="Z688" s="36"/>
      <c r="AA688" s="36"/>
      <c r="AB688" s="36"/>
      <c r="AC688" s="36"/>
    </row>
    <row r="689" spans="17:29" x14ac:dyDescent="0.2">
      <c r="Q689" s="36"/>
      <c r="R689" s="40"/>
      <c r="S689" s="40"/>
      <c r="T689" s="40"/>
      <c r="U689" s="41"/>
      <c r="V689" s="41"/>
      <c r="W689" s="41"/>
      <c r="X689" s="36"/>
      <c r="Y689" s="36"/>
      <c r="Z689" s="36"/>
      <c r="AA689" s="36"/>
      <c r="AB689" s="36"/>
      <c r="AC689" s="36"/>
    </row>
    <row r="690" spans="17:29" x14ac:dyDescent="0.2">
      <c r="Q690" s="36"/>
      <c r="R690" s="40"/>
      <c r="S690" s="40"/>
      <c r="T690" s="40"/>
      <c r="U690" s="41"/>
      <c r="V690" s="41"/>
      <c r="W690" s="41"/>
      <c r="X690" s="36"/>
      <c r="Y690" s="36"/>
      <c r="Z690" s="36"/>
      <c r="AA690" s="36"/>
      <c r="AB690" s="36"/>
      <c r="AC690" s="36"/>
    </row>
    <row r="691" spans="17:29" x14ac:dyDescent="0.2">
      <c r="Q691" s="36"/>
      <c r="R691" s="40"/>
      <c r="S691" s="40"/>
      <c r="T691" s="40"/>
      <c r="U691" s="41"/>
      <c r="V691" s="41"/>
      <c r="W691" s="41"/>
      <c r="X691" s="36"/>
      <c r="Y691" s="36"/>
      <c r="Z691" s="36"/>
      <c r="AA691" s="36"/>
      <c r="AB691" s="36"/>
      <c r="AC691" s="36"/>
    </row>
    <row r="692" spans="17:29" x14ac:dyDescent="0.2">
      <c r="Q692" s="36"/>
      <c r="R692" s="40"/>
      <c r="S692" s="40"/>
      <c r="T692" s="40"/>
      <c r="U692" s="41"/>
      <c r="V692" s="41"/>
      <c r="W692" s="41"/>
      <c r="X692" s="36"/>
      <c r="Y692" s="36"/>
      <c r="Z692" s="36"/>
      <c r="AA692" s="36"/>
      <c r="AB692" s="36"/>
      <c r="AC692" s="36"/>
    </row>
    <row r="693" spans="17:29" x14ac:dyDescent="0.2">
      <c r="Q693" s="36"/>
      <c r="R693" s="40"/>
      <c r="S693" s="40"/>
      <c r="T693" s="40"/>
      <c r="U693" s="41"/>
      <c r="V693" s="41"/>
      <c r="W693" s="41"/>
      <c r="X693" s="36"/>
      <c r="Y693" s="36"/>
      <c r="Z693" s="36"/>
      <c r="AA693" s="36"/>
      <c r="AB693" s="36"/>
      <c r="AC693" s="36"/>
    </row>
    <row r="694" spans="17:29" x14ac:dyDescent="0.2">
      <c r="Q694" s="36"/>
      <c r="R694" s="40"/>
      <c r="S694" s="40"/>
      <c r="T694" s="40"/>
      <c r="U694" s="41"/>
      <c r="V694" s="41"/>
      <c r="W694" s="41"/>
      <c r="X694" s="36"/>
      <c r="Y694" s="36"/>
      <c r="Z694" s="36"/>
      <c r="AA694" s="36"/>
      <c r="AB694" s="36"/>
      <c r="AC694" s="36"/>
    </row>
    <row r="695" spans="17:29" x14ac:dyDescent="0.2">
      <c r="Q695" s="36"/>
      <c r="R695" s="40"/>
      <c r="S695" s="40"/>
      <c r="T695" s="40"/>
      <c r="U695" s="41"/>
      <c r="V695" s="41"/>
      <c r="W695" s="41"/>
      <c r="X695" s="36"/>
      <c r="Y695" s="36"/>
      <c r="Z695" s="36"/>
      <c r="AA695" s="36"/>
      <c r="AB695" s="36"/>
      <c r="AC695" s="36"/>
    </row>
    <row r="696" spans="17:29" x14ac:dyDescent="0.2">
      <c r="Q696" s="36"/>
      <c r="R696" s="40"/>
      <c r="S696" s="40"/>
      <c r="T696" s="40"/>
      <c r="U696" s="41"/>
      <c r="V696" s="41"/>
      <c r="W696" s="41"/>
      <c r="X696" s="36"/>
      <c r="Y696" s="36"/>
      <c r="Z696" s="36"/>
      <c r="AA696" s="36"/>
      <c r="AB696" s="36"/>
      <c r="AC696" s="36"/>
    </row>
    <row r="697" spans="17:29" x14ac:dyDescent="0.2">
      <c r="Q697" s="36"/>
      <c r="R697" s="40"/>
      <c r="S697" s="40"/>
      <c r="T697" s="40"/>
      <c r="U697" s="41"/>
      <c r="V697" s="41"/>
      <c r="W697" s="41"/>
      <c r="X697" s="36"/>
      <c r="Y697" s="36"/>
      <c r="Z697" s="36"/>
      <c r="AA697" s="36"/>
      <c r="AB697" s="36"/>
      <c r="AC697" s="36"/>
    </row>
    <row r="698" spans="17:29" x14ac:dyDescent="0.2">
      <c r="Q698" s="36"/>
      <c r="R698" s="40"/>
      <c r="S698" s="40"/>
      <c r="T698" s="40"/>
      <c r="U698" s="41"/>
      <c r="V698" s="41"/>
      <c r="W698" s="41"/>
      <c r="X698" s="36"/>
      <c r="Y698" s="36"/>
      <c r="Z698" s="36"/>
      <c r="AA698" s="36"/>
      <c r="AB698" s="36"/>
      <c r="AC698" s="36"/>
    </row>
    <row r="699" spans="17:29" x14ac:dyDescent="0.2">
      <c r="Q699" s="36"/>
      <c r="R699" s="40"/>
      <c r="S699" s="40"/>
      <c r="T699" s="40"/>
      <c r="U699" s="41"/>
      <c r="V699" s="41"/>
      <c r="W699" s="41"/>
      <c r="X699" s="36"/>
      <c r="Y699" s="36"/>
      <c r="Z699" s="36"/>
      <c r="AA699" s="36"/>
      <c r="AB699" s="36"/>
      <c r="AC699" s="36"/>
    </row>
    <row r="700" spans="17:29" x14ac:dyDescent="0.2">
      <c r="Q700" s="36"/>
      <c r="R700" s="40"/>
      <c r="S700" s="40"/>
      <c r="T700" s="40"/>
      <c r="U700" s="41"/>
      <c r="V700" s="41"/>
      <c r="W700" s="41"/>
      <c r="X700" s="36"/>
      <c r="Y700" s="36"/>
      <c r="Z700" s="36"/>
      <c r="AA700" s="36"/>
      <c r="AB700" s="36"/>
      <c r="AC700" s="36"/>
    </row>
    <row r="701" spans="17:29" x14ac:dyDescent="0.2">
      <c r="Q701" s="36"/>
      <c r="R701" s="40"/>
      <c r="S701" s="40"/>
      <c r="T701" s="40"/>
      <c r="U701" s="41"/>
      <c r="V701" s="41"/>
      <c r="W701" s="41"/>
      <c r="X701" s="36"/>
      <c r="Y701" s="36"/>
      <c r="Z701" s="36"/>
      <c r="AA701" s="36"/>
      <c r="AB701" s="36"/>
      <c r="AC701" s="36"/>
    </row>
    <row r="702" spans="17:29" x14ac:dyDescent="0.2">
      <c r="Q702" s="36"/>
      <c r="R702" s="40"/>
      <c r="S702" s="40"/>
      <c r="T702" s="40"/>
      <c r="U702" s="41"/>
      <c r="V702" s="41"/>
      <c r="W702" s="41"/>
      <c r="X702" s="36"/>
      <c r="Y702" s="36"/>
      <c r="Z702" s="36"/>
      <c r="AA702" s="36"/>
      <c r="AB702" s="36"/>
      <c r="AC702" s="36"/>
    </row>
    <row r="703" spans="17:29" x14ac:dyDescent="0.2">
      <c r="Q703" s="36"/>
      <c r="R703" s="40"/>
      <c r="S703" s="40"/>
      <c r="T703" s="40"/>
      <c r="U703" s="41"/>
      <c r="V703" s="41"/>
      <c r="W703" s="41"/>
      <c r="X703" s="36"/>
      <c r="Y703" s="36"/>
      <c r="Z703" s="36"/>
      <c r="AA703" s="36"/>
      <c r="AB703" s="36"/>
      <c r="AC703" s="36"/>
    </row>
    <row r="704" spans="17:29" x14ac:dyDescent="0.2">
      <c r="Q704" s="36"/>
      <c r="R704" s="40"/>
      <c r="S704" s="40"/>
      <c r="T704" s="40"/>
      <c r="U704" s="41"/>
      <c r="V704" s="41"/>
      <c r="W704" s="41"/>
      <c r="X704" s="36"/>
      <c r="Y704" s="36"/>
      <c r="Z704" s="36"/>
      <c r="AA704" s="36"/>
      <c r="AB704" s="36"/>
      <c r="AC704" s="36"/>
    </row>
    <row r="705" spans="17:29" x14ac:dyDescent="0.2">
      <c r="Q705" s="36"/>
      <c r="R705" s="40"/>
      <c r="S705" s="40"/>
      <c r="T705" s="40"/>
      <c r="U705" s="41"/>
      <c r="V705" s="41"/>
      <c r="W705" s="41"/>
      <c r="X705" s="36"/>
      <c r="Y705" s="36"/>
      <c r="Z705" s="36"/>
      <c r="AA705" s="36"/>
      <c r="AB705" s="36"/>
      <c r="AC705" s="36"/>
    </row>
    <row r="706" spans="17:29" x14ac:dyDescent="0.2">
      <c r="Q706" s="36"/>
      <c r="R706" s="40"/>
      <c r="S706" s="40"/>
      <c r="T706" s="40"/>
      <c r="U706" s="41"/>
      <c r="V706" s="41"/>
      <c r="W706" s="41"/>
      <c r="X706" s="36"/>
      <c r="Y706" s="36"/>
      <c r="Z706" s="36"/>
      <c r="AA706" s="36"/>
      <c r="AB706" s="36"/>
      <c r="AC706" s="36"/>
    </row>
    <row r="707" spans="17:29" x14ac:dyDescent="0.2">
      <c r="Q707" s="36"/>
      <c r="R707" s="40"/>
      <c r="S707" s="40"/>
      <c r="T707" s="40"/>
      <c r="U707" s="41"/>
      <c r="V707" s="41"/>
      <c r="W707" s="41"/>
      <c r="X707" s="36"/>
      <c r="Y707" s="36"/>
      <c r="Z707" s="36"/>
      <c r="AA707" s="36"/>
      <c r="AB707" s="36"/>
      <c r="AC707" s="36"/>
    </row>
    <row r="708" spans="17:29" x14ac:dyDescent="0.2">
      <c r="Q708" s="36"/>
      <c r="R708" s="40"/>
      <c r="S708" s="40"/>
      <c r="T708" s="40"/>
      <c r="U708" s="41"/>
      <c r="V708" s="41"/>
      <c r="W708" s="41"/>
      <c r="X708" s="36"/>
      <c r="Y708" s="36"/>
      <c r="Z708" s="36"/>
      <c r="AA708" s="36"/>
      <c r="AB708" s="36"/>
      <c r="AC708" s="36"/>
    </row>
    <row r="709" spans="17:29" x14ac:dyDescent="0.2">
      <c r="Q709" s="36"/>
      <c r="R709" s="40"/>
      <c r="S709" s="40"/>
      <c r="T709" s="40"/>
      <c r="U709" s="41"/>
      <c r="V709" s="41"/>
      <c r="W709" s="41"/>
      <c r="X709" s="36"/>
      <c r="Y709" s="36"/>
      <c r="Z709" s="36"/>
      <c r="AA709" s="36"/>
      <c r="AB709" s="36"/>
      <c r="AC709" s="36"/>
    </row>
    <row r="710" spans="17:29" x14ac:dyDescent="0.2">
      <c r="Q710" s="36"/>
      <c r="R710" s="40"/>
      <c r="S710" s="40"/>
      <c r="T710" s="40"/>
      <c r="U710" s="41"/>
      <c r="V710" s="41"/>
      <c r="W710" s="41"/>
      <c r="X710" s="36"/>
      <c r="Y710" s="36"/>
      <c r="Z710" s="36"/>
      <c r="AA710" s="36"/>
      <c r="AB710" s="36"/>
      <c r="AC710" s="36"/>
    </row>
    <row r="711" spans="17:29" x14ac:dyDescent="0.2">
      <c r="Q711" s="36"/>
      <c r="R711" s="40"/>
      <c r="S711" s="40"/>
      <c r="T711" s="40"/>
      <c r="U711" s="41"/>
      <c r="V711" s="41"/>
      <c r="W711" s="41"/>
      <c r="X711" s="36"/>
      <c r="Y711" s="36"/>
      <c r="Z711" s="36"/>
      <c r="AA711" s="36"/>
      <c r="AB711" s="36"/>
      <c r="AC711" s="36"/>
    </row>
    <row r="712" spans="17:29" x14ac:dyDescent="0.2">
      <c r="Q712" s="36"/>
      <c r="R712" s="40"/>
      <c r="S712" s="40"/>
      <c r="T712" s="40"/>
      <c r="U712" s="41"/>
      <c r="V712" s="41"/>
      <c r="W712" s="41"/>
      <c r="X712" s="36"/>
      <c r="Y712" s="36"/>
      <c r="Z712" s="36"/>
      <c r="AA712" s="36"/>
      <c r="AB712" s="36"/>
      <c r="AC712" s="36"/>
    </row>
    <row r="713" spans="17:29" x14ac:dyDescent="0.2">
      <c r="Q713" s="36"/>
      <c r="R713" s="40"/>
      <c r="S713" s="40"/>
      <c r="T713" s="40"/>
      <c r="U713" s="41"/>
      <c r="V713" s="41"/>
      <c r="W713" s="41"/>
      <c r="X713" s="36"/>
      <c r="Y713" s="36"/>
      <c r="Z713" s="36"/>
      <c r="AA713" s="36"/>
      <c r="AB713" s="36"/>
      <c r="AC713" s="36"/>
    </row>
    <row r="714" spans="17:29" x14ac:dyDescent="0.2">
      <c r="Q714" s="36"/>
      <c r="R714" s="40"/>
      <c r="S714" s="40"/>
      <c r="T714" s="40"/>
      <c r="U714" s="41"/>
      <c r="V714" s="41"/>
      <c r="W714" s="41"/>
      <c r="X714" s="36"/>
      <c r="Y714" s="36"/>
      <c r="Z714" s="36"/>
      <c r="AA714" s="36"/>
      <c r="AB714" s="36"/>
      <c r="AC714" s="36"/>
    </row>
    <row r="715" spans="17:29" x14ac:dyDescent="0.2">
      <c r="Q715" s="36"/>
      <c r="R715" s="40"/>
      <c r="S715" s="40"/>
      <c r="T715" s="40"/>
      <c r="U715" s="41"/>
      <c r="V715" s="41"/>
      <c r="W715" s="41"/>
      <c r="X715" s="36"/>
      <c r="Y715" s="36"/>
      <c r="Z715" s="36"/>
      <c r="AA715" s="36"/>
      <c r="AB715" s="36"/>
      <c r="AC715" s="36"/>
    </row>
    <row r="716" spans="17:29" x14ac:dyDescent="0.2">
      <c r="Q716" s="36"/>
      <c r="R716" s="40"/>
      <c r="S716" s="40"/>
      <c r="T716" s="40"/>
      <c r="U716" s="41"/>
      <c r="V716" s="41"/>
      <c r="W716" s="41"/>
      <c r="X716" s="36"/>
      <c r="Y716" s="36"/>
      <c r="Z716" s="36"/>
      <c r="AA716" s="36"/>
      <c r="AB716" s="36"/>
      <c r="AC716" s="36"/>
    </row>
    <row r="717" spans="17:29" x14ac:dyDescent="0.2">
      <c r="Q717" s="36"/>
      <c r="R717" s="40"/>
      <c r="S717" s="40"/>
      <c r="T717" s="40"/>
      <c r="U717" s="41"/>
      <c r="V717" s="41"/>
      <c r="W717" s="41"/>
      <c r="X717" s="36"/>
      <c r="Y717" s="36"/>
      <c r="Z717" s="36"/>
      <c r="AA717" s="36"/>
      <c r="AB717" s="36"/>
      <c r="AC717" s="36"/>
    </row>
    <row r="718" spans="17:29" x14ac:dyDescent="0.2">
      <c r="Q718" s="36"/>
      <c r="R718" s="40"/>
      <c r="S718" s="40"/>
      <c r="T718" s="40"/>
      <c r="U718" s="41"/>
      <c r="V718" s="41"/>
      <c r="W718" s="41"/>
      <c r="X718" s="36"/>
      <c r="Y718" s="36"/>
      <c r="Z718" s="36"/>
      <c r="AA718" s="36"/>
      <c r="AB718" s="36"/>
      <c r="AC718" s="36"/>
    </row>
    <row r="719" spans="17:29" x14ac:dyDescent="0.2">
      <c r="Q719" s="36"/>
      <c r="R719" s="40"/>
      <c r="S719" s="40"/>
      <c r="T719" s="40"/>
      <c r="U719" s="41"/>
      <c r="V719" s="41"/>
      <c r="W719" s="41"/>
      <c r="X719" s="36"/>
      <c r="Y719" s="36"/>
      <c r="Z719" s="36"/>
      <c r="AA719" s="36"/>
      <c r="AB719" s="36"/>
      <c r="AC719" s="36"/>
    </row>
    <row r="720" spans="17:29" x14ac:dyDescent="0.2">
      <c r="Q720" s="36"/>
      <c r="R720" s="40"/>
      <c r="S720" s="40"/>
      <c r="T720" s="40"/>
      <c r="U720" s="41"/>
      <c r="V720" s="41"/>
      <c r="W720" s="41"/>
      <c r="X720" s="36"/>
      <c r="Y720" s="36"/>
      <c r="Z720" s="36"/>
      <c r="AA720" s="36"/>
      <c r="AB720" s="36"/>
      <c r="AC720" s="36"/>
    </row>
    <row r="721" spans="17:29" x14ac:dyDescent="0.2">
      <c r="Q721" s="36"/>
      <c r="R721" s="40"/>
      <c r="S721" s="40"/>
      <c r="T721" s="40"/>
      <c r="U721" s="41"/>
      <c r="V721" s="41"/>
      <c r="W721" s="41"/>
      <c r="X721" s="36"/>
      <c r="Y721" s="36"/>
      <c r="Z721" s="36"/>
      <c r="AA721" s="36"/>
      <c r="AB721" s="36"/>
      <c r="AC721" s="36"/>
    </row>
    <row r="722" spans="17:29" x14ac:dyDescent="0.2">
      <c r="Q722" s="36"/>
      <c r="R722" s="40"/>
      <c r="S722" s="40"/>
      <c r="T722" s="40"/>
      <c r="U722" s="41"/>
      <c r="V722" s="41"/>
      <c r="W722" s="41"/>
      <c r="X722" s="36"/>
      <c r="Y722" s="36"/>
      <c r="Z722" s="36"/>
      <c r="AA722" s="36"/>
      <c r="AB722" s="36"/>
      <c r="AC722" s="36"/>
    </row>
    <row r="723" spans="17:29" x14ac:dyDescent="0.2">
      <c r="Q723" s="36"/>
      <c r="R723" s="40"/>
      <c r="S723" s="40"/>
      <c r="T723" s="40"/>
      <c r="U723" s="41"/>
      <c r="V723" s="41"/>
      <c r="W723" s="41"/>
      <c r="X723" s="36"/>
      <c r="Y723" s="36"/>
      <c r="Z723" s="36"/>
      <c r="AA723" s="36"/>
      <c r="AB723" s="36"/>
      <c r="AC723" s="36"/>
    </row>
    <row r="724" spans="17:29" x14ac:dyDescent="0.2">
      <c r="Q724" s="36"/>
      <c r="R724" s="40"/>
      <c r="S724" s="40"/>
      <c r="T724" s="40"/>
      <c r="U724" s="41"/>
      <c r="V724" s="41"/>
      <c r="W724" s="41"/>
      <c r="X724" s="36"/>
      <c r="Y724" s="36"/>
      <c r="Z724" s="36"/>
      <c r="AA724" s="36"/>
      <c r="AB724" s="36"/>
      <c r="AC724" s="36"/>
    </row>
    <row r="725" spans="17:29" x14ac:dyDescent="0.2">
      <c r="Q725" s="36"/>
      <c r="R725" s="40"/>
      <c r="S725" s="40"/>
      <c r="T725" s="40"/>
      <c r="U725" s="41"/>
      <c r="V725" s="41"/>
      <c r="W725" s="41"/>
      <c r="X725" s="36"/>
      <c r="Y725" s="36"/>
      <c r="Z725" s="36"/>
      <c r="AA725" s="36"/>
      <c r="AB725" s="36"/>
      <c r="AC725" s="36"/>
    </row>
    <row r="726" spans="17:29" x14ac:dyDescent="0.2">
      <c r="Q726" s="36"/>
      <c r="R726" s="40"/>
      <c r="S726" s="40"/>
      <c r="T726" s="40"/>
      <c r="U726" s="41"/>
      <c r="V726" s="41"/>
      <c r="W726" s="41"/>
      <c r="X726" s="36"/>
      <c r="Y726" s="36"/>
      <c r="Z726" s="36"/>
      <c r="AA726" s="36"/>
      <c r="AB726" s="36"/>
      <c r="AC726" s="36"/>
    </row>
    <row r="727" spans="17:29" x14ac:dyDescent="0.2">
      <c r="Q727" s="36"/>
      <c r="R727" s="40"/>
      <c r="S727" s="40"/>
      <c r="T727" s="40"/>
      <c r="U727" s="41"/>
      <c r="V727" s="41"/>
      <c r="W727" s="41"/>
      <c r="X727" s="36"/>
      <c r="Y727" s="36"/>
      <c r="Z727" s="36"/>
      <c r="AA727" s="36"/>
      <c r="AB727" s="36"/>
      <c r="AC727" s="36"/>
    </row>
    <row r="728" spans="17:29" x14ac:dyDescent="0.2">
      <c r="Q728" s="36"/>
      <c r="R728" s="40"/>
      <c r="S728" s="40"/>
      <c r="T728" s="40"/>
      <c r="U728" s="41"/>
      <c r="V728" s="41"/>
      <c r="W728" s="41"/>
      <c r="X728" s="36"/>
      <c r="Y728" s="36"/>
      <c r="Z728" s="36"/>
      <c r="AA728" s="36"/>
      <c r="AB728" s="36"/>
      <c r="AC728" s="36"/>
    </row>
    <row r="729" spans="17:29" x14ac:dyDescent="0.2">
      <c r="Q729" s="36"/>
      <c r="R729" s="40"/>
      <c r="S729" s="40"/>
      <c r="T729" s="40"/>
      <c r="U729" s="41"/>
      <c r="V729" s="41"/>
      <c r="W729" s="41"/>
      <c r="X729" s="36"/>
      <c r="Y729" s="36"/>
      <c r="Z729" s="36"/>
      <c r="AA729" s="36"/>
      <c r="AB729" s="36"/>
      <c r="AC729" s="36"/>
    </row>
    <row r="730" spans="17:29" x14ac:dyDescent="0.2">
      <c r="Q730" s="36"/>
      <c r="R730" s="40"/>
      <c r="S730" s="40"/>
      <c r="T730" s="40"/>
      <c r="U730" s="41"/>
      <c r="V730" s="41"/>
      <c r="W730" s="41"/>
      <c r="X730" s="36"/>
      <c r="Y730" s="36"/>
      <c r="Z730" s="36"/>
      <c r="AA730" s="36"/>
      <c r="AB730" s="36"/>
      <c r="AC730" s="36"/>
    </row>
    <row r="731" spans="17:29" x14ac:dyDescent="0.2">
      <c r="Q731" s="36"/>
      <c r="R731" s="40"/>
      <c r="S731" s="40"/>
      <c r="T731" s="40"/>
      <c r="U731" s="41"/>
      <c r="V731" s="41"/>
      <c r="W731" s="41"/>
      <c r="X731" s="36"/>
      <c r="Y731" s="36"/>
      <c r="Z731" s="36"/>
      <c r="AA731" s="36"/>
      <c r="AB731" s="36"/>
      <c r="AC731" s="36"/>
    </row>
    <row r="732" spans="17:29" x14ac:dyDescent="0.2">
      <c r="Q732" s="36"/>
      <c r="R732" s="40"/>
      <c r="S732" s="40"/>
      <c r="T732" s="40"/>
      <c r="U732" s="41"/>
      <c r="V732" s="41"/>
      <c r="W732" s="41"/>
      <c r="X732" s="36"/>
      <c r="Y732" s="36"/>
      <c r="Z732" s="36"/>
      <c r="AA732" s="36"/>
      <c r="AB732" s="36"/>
      <c r="AC732" s="36"/>
    </row>
    <row r="733" spans="17:29" x14ac:dyDescent="0.2">
      <c r="Q733" s="36"/>
      <c r="R733" s="40"/>
      <c r="S733" s="40"/>
      <c r="T733" s="40"/>
      <c r="U733" s="41"/>
      <c r="V733" s="41"/>
      <c r="W733" s="41"/>
      <c r="X733" s="36"/>
      <c r="Y733" s="36"/>
      <c r="Z733" s="36"/>
      <c r="AA733" s="36"/>
      <c r="AB733" s="36"/>
      <c r="AC733" s="36"/>
    </row>
    <row r="734" spans="17:29" x14ac:dyDescent="0.2">
      <c r="Q734" s="36"/>
      <c r="R734" s="40"/>
      <c r="S734" s="40"/>
      <c r="T734" s="40"/>
      <c r="U734" s="41"/>
      <c r="V734" s="41"/>
      <c r="W734" s="41"/>
      <c r="X734" s="36"/>
      <c r="Y734" s="36"/>
      <c r="Z734" s="36"/>
      <c r="AA734" s="36"/>
      <c r="AB734" s="36"/>
      <c r="AC734" s="36"/>
    </row>
    <row r="735" spans="17:29" x14ac:dyDescent="0.2">
      <c r="Q735" s="36"/>
      <c r="R735" s="40"/>
      <c r="S735" s="40"/>
      <c r="T735" s="40"/>
      <c r="U735" s="41"/>
      <c r="V735" s="41"/>
      <c r="W735" s="41"/>
      <c r="X735" s="36"/>
      <c r="Y735" s="36"/>
      <c r="Z735" s="36"/>
      <c r="AA735" s="36"/>
      <c r="AB735" s="36"/>
      <c r="AC735" s="36"/>
    </row>
    <row r="736" spans="17:29" x14ac:dyDescent="0.2">
      <c r="Q736" s="36"/>
      <c r="R736" s="40"/>
      <c r="S736" s="40"/>
      <c r="T736" s="40"/>
      <c r="U736" s="41"/>
      <c r="V736" s="41"/>
      <c r="W736" s="41"/>
      <c r="X736" s="36"/>
      <c r="Y736" s="36"/>
      <c r="Z736" s="36"/>
      <c r="AA736" s="36"/>
      <c r="AB736" s="36"/>
      <c r="AC736" s="36"/>
    </row>
    <row r="737" spans="17:29" x14ac:dyDescent="0.2">
      <c r="Q737" s="36"/>
      <c r="R737" s="40"/>
      <c r="S737" s="40"/>
      <c r="T737" s="40"/>
      <c r="U737" s="41"/>
      <c r="V737" s="41"/>
      <c r="W737" s="41"/>
      <c r="X737" s="36"/>
      <c r="Y737" s="36"/>
      <c r="Z737" s="36"/>
      <c r="AA737" s="36"/>
      <c r="AB737" s="36"/>
      <c r="AC737" s="36"/>
    </row>
    <row r="738" spans="17:29" x14ac:dyDescent="0.2">
      <c r="Q738" s="36"/>
      <c r="R738" s="40"/>
      <c r="S738" s="40"/>
      <c r="T738" s="40"/>
      <c r="U738" s="41"/>
      <c r="V738" s="41"/>
      <c r="W738" s="41"/>
      <c r="X738" s="36"/>
      <c r="Y738" s="36"/>
      <c r="Z738" s="36"/>
      <c r="AA738" s="36"/>
      <c r="AB738" s="36"/>
      <c r="AC738" s="36"/>
    </row>
    <row r="739" spans="17:29" x14ac:dyDescent="0.2">
      <c r="Q739" s="36"/>
      <c r="R739" s="40"/>
      <c r="S739" s="40"/>
      <c r="T739" s="40"/>
      <c r="U739" s="41"/>
      <c r="V739" s="41"/>
      <c r="W739" s="41"/>
      <c r="X739" s="36"/>
      <c r="Y739" s="36"/>
      <c r="Z739" s="36"/>
      <c r="AA739" s="36"/>
      <c r="AB739" s="36"/>
      <c r="AC739" s="36"/>
    </row>
    <row r="740" spans="17:29" x14ac:dyDescent="0.2">
      <c r="Q740" s="36"/>
      <c r="R740" s="40"/>
      <c r="S740" s="40"/>
      <c r="T740" s="40"/>
      <c r="U740" s="41"/>
      <c r="V740" s="41"/>
      <c r="W740" s="41"/>
      <c r="X740" s="36"/>
      <c r="Y740" s="36"/>
      <c r="Z740" s="36"/>
      <c r="AA740" s="36"/>
      <c r="AB740" s="36"/>
      <c r="AC740" s="36"/>
    </row>
    <row r="741" spans="17:29" x14ac:dyDescent="0.2">
      <c r="Q741" s="36"/>
      <c r="R741" s="40"/>
      <c r="S741" s="40"/>
      <c r="T741" s="40"/>
      <c r="U741" s="41"/>
      <c r="V741" s="41"/>
      <c r="W741" s="41"/>
      <c r="X741" s="36"/>
      <c r="Y741" s="36"/>
      <c r="Z741" s="36"/>
      <c r="AA741" s="36"/>
      <c r="AB741" s="36"/>
      <c r="AC741" s="36"/>
    </row>
    <row r="742" spans="17:29" x14ac:dyDescent="0.2">
      <c r="Q742" s="36"/>
      <c r="R742" s="40"/>
      <c r="S742" s="40"/>
      <c r="T742" s="40"/>
      <c r="U742" s="41"/>
      <c r="V742" s="41"/>
      <c r="W742" s="41"/>
      <c r="X742" s="36"/>
      <c r="Y742" s="36"/>
      <c r="Z742" s="36"/>
      <c r="AA742" s="36"/>
      <c r="AB742" s="36"/>
      <c r="AC742" s="36"/>
    </row>
    <row r="743" spans="17:29" x14ac:dyDescent="0.2">
      <c r="Q743" s="36"/>
      <c r="R743" s="40"/>
      <c r="S743" s="40"/>
      <c r="T743" s="40"/>
      <c r="U743" s="41"/>
      <c r="V743" s="41"/>
      <c r="W743" s="41"/>
      <c r="X743" s="36"/>
      <c r="Y743" s="36"/>
      <c r="Z743" s="36"/>
      <c r="AA743" s="36"/>
      <c r="AB743" s="36"/>
      <c r="AC743" s="36"/>
    </row>
    <row r="744" spans="17:29" x14ac:dyDescent="0.2">
      <c r="Q744" s="36"/>
      <c r="R744" s="40"/>
      <c r="S744" s="40"/>
      <c r="T744" s="40"/>
      <c r="U744" s="41"/>
      <c r="V744" s="41"/>
      <c r="W744" s="41"/>
      <c r="X744" s="36"/>
      <c r="Y744" s="36"/>
      <c r="Z744" s="36"/>
      <c r="AA744" s="36"/>
      <c r="AB744" s="36"/>
      <c r="AC744" s="36"/>
    </row>
    <row r="745" spans="17:29" x14ac:dyDescent="0.2">
      <c r="Q745" s="36"/>
      <c r="R745" s="40"/>
      <c r="S745" s="40"/>
      <c r="T745" s="40"/>
      <c r="U745" s="41"/>
      <c r="V745" s="41"/>
      <c r="W745" s="41"/>
      <c r="X745" s="36"/>
      <c r="Y745" s="36"/>
      <c r="Z745" s="36"/>
      <c r="AA745" s="36"/>
      <c r="AB745" s="36"/>
      <c r="AC745" s="36"/>
    </row>
    <row r="746" spans="17:29" x14ac:dyDescent="0.2">
      <c r="Q746" s="36"/>
      <c r="R746" s="40"/>
      <c r="S746" s="40"/>
      <c r="T746" s="40"/>
      <c r="U746" s="41"/>
      <c r="V746" s="41"/>
      <c r="W746" s="41"/>
      <c r="X746" s="36"/>
      <c r="Y746" s="36"/>
      <c r="Z746" s="36"/>
      <c r="AA746" s="36"/>
      <c r="AB746" s="36"/>
      <c r="AC746" s="36"/>
    </row>
    <row r="747" spans="17:29" x14ac:dyDescent="0.2">
      <c r="Q747" s="36"/>
      <c r="R747" s="40"/>
      <c r="S747" s="40"/>
      <c r="T747" s="40"/>
      <c r="U747" s="41"/>
      <c r="V747" s="41"/>
      <c r="W747" s="41"/>
      <c r="X747" s="36"/>
      <c r="Y747" s="36"/>
      <c r="Z747" s="36"/>
      <c r="AA747" s="36"/>
      <c r="AB747" s="36"/>
      <c r="AC747" s="36"/>
    </row>
    <row r="748" spans="17:29" x14ac:dyDescent="0.2">
      <c r="Q748" s="36"/>
      <c r="R748" s="40"/>
      <c r="S748" s="40"/>
      <c r="T748" s="40"/>
      <c r="U748" s="41"/>
      <c r="V748" s="41"/>
      <c r="W748" s="41"/>
      <c r="X748" s="36"/>
      <c r="Y748" s="36"/>
      <c r="Z748" s="36"/>
      <c r="AA748" s="36"/>
      <c r="AB748" s="36"/>
      <c r="AC748" s="36"/>
    </row>
    <row r="749" spans="17:29" x14ac:dyDescent="0.2">
      <c r="Q749" s="36"/>
      <c r="R749" s="40"/>
      <c r="S749" s="40"/>
      <c r="T749" s="40"/>
      <c r="U749" s="41"/>
      <c r="V749" s="41"/>
      <c r="W749" s="41"/>
      <c r="X749" s="36"/>
      <c r="Y749" s="36"/>
      <c r="Z749" s="36"/>
      <c r="AA749" s="36"/>
      <c r="AB749" s="36"/>
      <c r="AC749" s="36"/>
    </row>
    <row r="750" spans="17:29" x14ac:dyDescent="0.2">
      <c r="Q750" s="36"/>
      <c r="R750" s="40"/>
      <c r="S750" s="40"/>
      <c r="T750" s="40"/>
      <c r="U750" s="41"/>
      <c r="V750" s="41"/>
      <c r="W750" s="41"/>
      <c r="X750" s="36"/>
      <c r="Y750" s="36"/>
      <c r="Z750" s="36"/>
      <c r="AA750" s="36"/>
      <c r="AB750" s="36"/>
      <c r="AC750" s="36"/>
    </row>
    <row r="751" spans="17:29" x14ac:dyDescent="0.2">
      <c r="Q751" s="36"/>
      <c r="R751" s="40"/>
      <c r="S751" s="40"/>
      <c r="T751" s="40"/>
      <c r="U751" s="41"/>
      <c r="V751" s="41"/>
      <c r="W751" s="41"/>
      <c r="X751" s="36"/>
      <c r="Y751" s="36"/>
      <c r="Z751" s="36"/>
      <c r="AA751" s="36"/>
      <c r="AB751" s="36"/>
      <c r="AC751" s="36"/>
    </row>
    <row r="752" spans="17:29" x14ac:dyDescent="0.2">
      <c r="Q752" s="36"/>
      <c r="R752" s="40"/>
      <c r="S752" s="40"/>
      <c r="T752" s="40"/>
      <c r="U752" s="41"/>
      <c r="V752" s="41"/>
      <c r="W752" s="41"/>
      <c r="X752" s="36"/>
      <c r="Y752" s="36"/>
      <c r="Z752" s="36"/>
      <c r="AA752" s="36"/>
      <c r="AB752" s="36"/>
      <c r="AC752" s="36"/>
    </row>
    <row r="753" spans="17:29" x14ac:dyDescent="0.2">
      <c r="Q753" s="36"/>
      <c r="R753" s="40"/>
      <c r="S753" s="40"/>
      <c r="T753" s="40"/>
      <c r="U753" s="41"/>
      <c r="V753" s="41"/>
      <c r="W753" s="41"/>
      <c r="X753" s="36"/>
      <c r="Y753" s="36"/>
      <c r="Z753" s="36"/>
      <c r="AA753" s="36"/>
      <c r="AB753" s="36"/>
      <c r="AC753" s="36"/>
    </row>
    <row r="754" spans="17:29" x14ac:dyDescent="0.2">
      <c r="Q754" s="36"/>
      <c r="R754" s="40"/>
      <c r="S754" s="40"/>
      <c r="T754" s="40"/>
      <c r="U754" s="41"/>
      <c r="V754" s="41"/>
      <c r="W754" s="41"/>
      <c r="X754" s="36"/>
      <c r="Y754" s="36"/>
      <c r="Z754" s="36"/>
      <c r="AA754" s="36"/>
      <c r="AB754" s="36"/>
      <c r="AC754" s="36"/>
    </row>
    <row r="755" spans="17:29" x14ac:dyDescent="0.2">
      <c r="Q755" s="36"/>
      <c r="R755" s="40"/>
      <c r="S755" s="40"/>
      <c r="T755" s="40"/>
      <c r="U755" s="41"/>
      <c r="V755" s="41"/>
      <c r="W755" s="41"/>
      <c r="X755" s="36"/>
      <c r="Y755" s="36"/>
      <c r="Z755" s="36"/>
      <c r="AA755" s="36"/>
      <c r="AB755" s="36"/>
      <c r="AC755" s="36"/>
    </row>
    <row r="756" spans="17:29" x14ac:dyDescent="0.2">
      <c r="Q756" s="36"/>
      <c r="R756" s="40"/>
      <c r="S756" s="40"/>
      <c r="T756" s="40"/>
      <c r="U756" s="41"/>
      <c r="V756" s="41"/>
      <c r="W756" s="41"/>
      <c r="X756" s="36"/>
      <c r="Y756" s="36"/>
      <c r="Z756" s="36"/>
      <c r="AA756" s="36"/>
      <c r="AB756" s="36"/>
      <c r="AC756" s="36"/>
    </row>
    <row r="757" spans="17:29" x14ac:dyDescent="0.2">
      <c r="Q757" s="36"/>
      <c r="R757" s="40"/>
      <c r="S757" s="40"/>
      <c r="T757" s="40"/>
      <c r="U757" s="41"/>
      <c r="V757" s="41"/>
      <c r="W757" s="41"/>
      <c r="X757" s="36"/>
      <c r="Y757" s="36"/>
      <c r="Z757" s="36"/>
      <c r="AA757" s="36"/>
      <c r="AB757" s="36"/>
      <c r="AC757" s="36"/>
    </row>
    <row r="758" spans="17:29" x14ac:dyDescent="0.2">
      <c r="Q758" s="36"/>
      <c r="R758" s="40"/>
      <c r="S758" s="40"/>
      <c r="T758" s="40"/>
      <c r="U758" s="41"/>
      <c r="V758" s="41"/>
      <c r="W758" s="41"/>
      <c r="X758" s="36"/>
      <c r="Y758" s="36"/>
      <c r="Z758" s="36"/>
      <c r="AA758" s="36"/>
      <c r="AB758" s="36"/>
      <c r="AC758" s="36"/>
    </row>
    <row r="759" spans="17:29" x14ac:dyDescent="0.2">
      <c r="Q759" s="36"/>
      <c r="R759" s="40"/>
      <c r="S759" s="40"/>
      <c r="T759" s="40"/>
      <c r="U759" s="41"/>
      <c r="V759" s="41"/>
      <c r="W759" s="41"/>
      <c r="X759" s="36"/>
      <c r="Y759" s="36"/>
      <c r="Z759" s="36"/>
      <c r="AA759" s="36"/>
      <c r="AB759" s="36"/>
      <c r="AC759" s="36"/>
    </row>
    <row r="760" spans="17:29" x14ac:dyDescent="0.2">
      <c r="Q760" s="36"/>
      <c r="R760" s="40"/>
      <c r="S760" s="40"/>
      <c r="T760" s="40"/>
      <c r="U760" s="41"/>
      <c r="V760" s="41"/>
      <c r="W760" s="41"/>
      <c r="X760" s="36"/>
      <c r="Y760" s="36"/>
      <c r="Z760" s="36"/>
      <c r="AA760" s="36"/>
      <c r="AB760" s="36"/>
      <c r="AC760" s="36"/>
    </row>
    <row r="761" spans="17:29" x14ac:dyDescent="0.2">
      <c r="Q761" s="36"/>
      <c r="R761" s="40"/>
      <c r="S761" s="40"/>
      <c r="T761" s="40"/>
      <c r="U761" s="41"/>
      <c r="V761" s="41"/>
      <c r="W761" s="41"/>
      <c r="X761" s="36"/>
      <c r="Y761" s="36"/>
      <c r="Z761" s="36"/>
      <c r="AA761" s="36"/>
      <c r="AB761" s="36"/>
      <c r="AC761" s="36"/>
    </row>
    <row r="762" spans="17:29" x14ac:dyDescent="0.2">
      <c r="Q762" s="36"/>
      <c r="R762" s="40"/>
      <c r="S762" s="40"/>
      <c r="T762" s="40"/>
      <c r="U762" s="41"/>
      <c r="V762" s="41"/>
      <c r="W762" s="41"/>
      <c r="X762" s="36"/>
      <c r="Y762" s="36"/>
      <c r="Z762" s="36"/>
      <c r="AA762" s="36"/>
      <c r="AB762" s="36"/>
      <c r="AC762" s="36"/>
    </row>
    <row r="763" spans="17:29" x14ac:dyDescent="0.2">
      <c r="Q763" s="36"/>
      <c r="R763" s="40"/>
      <c r="S763" s="40"/>
      <c r="T763" s="40"/>
      <c r="U763" s="41"/>
      <c r="V763" s="41"/>
      <c r="W763" s="41"/>
      <c r="X763" s="36"/>
      <c r="Y763" s="36"/>
      <c r="Z763" s="36"/>
      <c r="AA763" s="36"/>
      <c r="AB763" s="36"/>
      <c r="AC763" s="36"/>
    </row>
    <row r="764" spans="17:29" x14ac:dyDescent="0.2">
      <c r="Q764" s="36"/>
      <c r="R764" s="40"/>
      <c r="S764" s="40"/>
      <c r="T764" s="40"/>
      <c r="U764" s="41"/>
      <c r="V764" s="41"/>
      <c r="W764" s="41"/>
      <c r="X764" s="36"/>
      <c r="Y764" s="36"/>
      <c r="Z764" s="36"/>
      <c r="AA764" s="36"/>
      <c r="AB764" s="36"/>
      <c r="AC764" s="36"/>
    </row>
    <row r="765" spans="17:29" x14ac:dyDescent="0.2">
      <c r="Q765" s="36"/>
      <c r="R765" s="40"/>
      <c r="S765" s="40"/>
      <c r="T765" s="40"/>
      <c r="U765" s="41"/>
      <c r="V765" s="41"/>
      <c r="W765" s="41"/>
      <c r="X765" s="36"/>
      <c r="Y765" s="36"/>
      <c r="Z765" s="36"/>
      <c r="AA765" s="36"/>
      <c r="AB765" s="36"/>
      <c r="AC765" s="36"/>
    </row>
    <row r="766" spans="17:29" x14ac:dyDescent="0.2">
      <c r="Q766" s="36"/>
      <c r="R766" s="40"/>
      <c r="S766" s="40"/>
      <c r="T766" s="40"/>
      <c r="U766" s="41"/>
      <c r="V766" s="41"/>
      <c r="W766" s="41"/>
      <c r="X766" s="36"/>
      <c r="Y766" s="36"/>
      <c r="Z766" s="36"/>
      <c r="AA766" s="36"/>
      <c r="AB766" s="36"/>
      <c r="AC766" s="36"/>
    </row>
    <row r="767" spans="17:29" x14ac:dyDescent="0.2">
      <c r="Q767" s="36"/>
      <c r="R767" s="40"/>
      <c r="S767" s="40"/>
      <c r="T767" s="40"/>
      <c r="U767" s="41"/>
      <c r="V767" s="41"/>
      <c r="W767" s="41"/>
      <c r="X767" s="36"/>
      <c r="Y767" s="36"/>
      <c r="Z767" s="36"/>
      <c r="AA767" s="36"/>
      <c r="AB767" s="36"/>
      <c r="AC767" s="36"/>
    </row>
    <row r="768" spans="17:29" x14ac:dyDescent="0.2">
      <c r="Q768" s="36"/>
      <c r="R768" s="40"/>
      <c r="S768" s="40"/>
      <c r="T768" s="40"/>
      <c r="U768" s="41"/>
      <c r="V768" s="41"/>
      <c r="W768" s="41"/>
      <c r="X768" s="36"/>
      <c r="Y768" s="36"/>
      <c r="Z768" s="36"/>
      <c r="AA768" s="36"/>
      <c r="AB768" s="36"/>
      <c r="AC768" s="36"/>
    </row>
    <row r="769" spans="17:29" x14ac:dyDescent="0.2">
      <c r="Q769" s="36"/>
      <c r="R769" s="40"/>
      <c r="S769" s="40"/>
      <c r="T769" s="40"/>
      <c r="U769" s="41"/>
      <c r="V769" s="41"/>
      <c r="W769" s="41"/>
      <c r="X769" s="36"/>
      <c r="Y769" s="36"/>
      <c r="Z769" s="36"/>
      <c r="AA769" s="36"/>
      <c r="AB769" s="36"/>
      <c r="AC769" s="36"/>
    </row>
    <row r="770" spans="17:29" x14ac:dyDescent="0.2">
      <c r="Q770" s="36"/>
      <c r="R770" s="40"/>
      <c r="S770" s="40"/>
      <c r="T770" s="40"/>
      <c r="U770" s="41"/>
      <c r="V770" s="41"/>
      <c r="W770" s="41"/>
      <c r="X770" s="36"/>
      <c r="Y770" s="36"/>
      <c r="Z770" s="36"/>
      <c r="AA770" s="36"/>
      <c r="AB770" s="36"/>
      <c r="AC770" s="36"/>
    </row>
    <row r="771" spans="17:29" x14ac:dyDescent="0.2">
      <c r="Q771" s="36"/>
      <c r="R771" s="40"/>
      <c r="S771" s="40"/>
      <c r="T771" s="40"/>
      <c r="U771" s="41"/>
      <c r="V771" s="41"/>
      <c r="W771" s="41"/>
      <c r="X771" s="36"/>
      <c r="Y771" s="36"/>
      <c r="Z771" s="36"/>
      <c r="AA771" s="36"/>
      <c r="AB771" s="36"/>
      <c r="AC771" s="36"/>
    </row>
    <row r="772" spans="17:29" x14ac:dyDescent="0.2">
      <c r="Q772" s="36"/>
      <c r="R772" s="40"/>
      <c r="S772" s="40"/>
      <c r="T772" s="40"/>
      <c r="U772" s="41"/>
      <c r="V772" s="41"/>
      <c r="W772" s="41"/>
      <c r="X772" s="36"/>
      <c r="Y772" s="36"/>
      <c r="Z772" s="36"/>
      <c r="AA772" s="36"/>
      <c r="AB772" s="36"/>
      <c r="AC772" s="36"/>
    </row>
    <row r="773" spans="17:29" x14ac:dyDescent="0.2">
      <c r="Q773" s="36"/>
      <c r="R773" s="40"/>
      <c r="S773" s="40"/>
      <c r="T773" s="40"/>
      <c r="U773" s="41"/>
      <c r="V773" s="41"/>
      <c r="W773" s="41"/>
      <c r="X773" s="36"/>
      <c r="Y773" s="36"/>
      <c r="Z773" s="36"/>
      <c r="AA773" s="36"/>
      <c r="AB773" s="36"/>
      <c r="AC773" s="36"/>
    </row>
    <row r="774" spans="17:29" x14ac:dyDescent="0.2">
      <c r="Q774" s="36"/>
      <c r="R774" s="40"/>
      <c r="S774" s="40"/>
      <c r="T774" s="40"/>
      <c r="U774" s="41"/>
      <c r="V774" s="41"/>
      <c r="W774" s="41"/>
      <c r="X774" s="36"/>
      <c r="Y774" s="36"/>
      <c r="Z774" s="36"/>
      <c r="AA774" s="36"/>
      <c r="AB774" s="36"/>
      <c r="AC774" s="36"/>
    </row>
    <row r="775" spans="17:29" x14ac:dyDescent="0.2">
      <c r="Q775" s="36"/>
      <c r="R775" s="40"/>
      <c r="S775" s="40"/>
      <c r="T775" s="40"/>
      <c r="U775" s="41"/>
      <c r="V775" s="41"/>
      <c r="W775" s="41"/>
      <c r="X775" s="36"/>
      <c r="Y775" s="36"/>
      <c r="Z775" s="36"/>
      <c r="AA775" s="36"/>
      <c r="AB775" s="36"/>
      <c r="AC775" s="36"/>
    </row>
    <row r="776" spans="17:29" x14ac:dyDescent="0.2">
      <c r="Q776" s="36"/>
      <c r="R776" s="40"/>
      <c r="S776" s="40"/>
      <c r="T776" s="40"/>
      <c r="U776" s="41"/>
      <c r="V776" s="41"/>
      <c r="W776" s="41"/>
      <c r="X776" s="36"/>
      <c r="Y776" s="36"/>
      <c r="Z776" s="36"/>
      <c r="AA776" s="36"/>
      <c r="AB776" s="36"/>
      <c r="AC776" s="36"/>
    </row>
    <row r="777" spans="17:29" x14ac:dyDescent="0.2">
      <c r="Q777" s="36"/>
      <c r="R777" s="40"/>
      <c r="S777" s="40"/>
      <c r="T777" s="40"/>
      <c r="U777" s="41"/>
      <c r="V777" s="41"/>
      <c r="W777" s="41"/>
      <c r="X777" s="36"/>
      <c r="Y777" s="36"/>
      <c r="Z777" s="36"/>
      <c r="AA777" s="36"/>
      <c r="AB777" s="36"/>
      <c r="AC777" s="36"/>
    </row>
    <row r="778" spans="17:29" x14ac:dyDescent="0.2">
      <c r="Q778" s="36"/>
      <c r="R778" s="40"/>
      <c r="S778" s="40"/>
      <c r="T778" s="40"/>
      <c r="U778" s="41"/>
      <c r="V778" s="41"/>
      <c r="W778" s="41"/>
      <c r="X778" s="36"/>
      <c r="Y778" s="36"/>
      <c r="Z778" s="36"/>
      <c r="AA778" s="36"/>
      <c r="AB778" s="36"/>
      <c r="AC778" s="36"/>
    </row>
    <row r="779" spans="17:29" x14ac:dyDescent="0.2">
      <c r="Q779" s="36"/>
      <c r="R779" s="40"/>
      <c r="S779" s="40"/>
      <c r="T779" s="40"/>
      <c r="U779" s="41"/>
      <c r="V779" s="41"/>
      <c r="W779" s="41"/>
      <c r="X779" s="36"/>
      <c r="Y779" s="36"/>
      <c r="Z779" s="36"/>
      <c r="AA779" s="36"/>
      <c r="AB779" s="36"/>
      <c r="AC779" s="36"/>
    </row>
    <row r="780" spans="17:29" x14ac:dyDescent="0.2">
      <c r="Q780" s="36"/>
      <c r="R780" s="40"/>
      <c r="S780" s="40"/>
      <c r="T780" s="40"/>
      <c r="U780" s="41"/>
      <c r="V780" s="41"/>
      <c r="W780" s="41"/>
      <c r="X780" s="36"/>
      <c r="Y780" s="36"/>
      <c r="Z780" s="36"/>
      <c r="AA780" s="36"/>
      <c r="AB780" s="36"/>
      <c r="AC780" s="36"/>
    </row>
    <row r="781" spans="17:29" x14ac:dyDescent="0.2">
      <c r="Q781" s="36"/>
      <c r="R781" s="40"/>
      <c r="S781" s="40"/>
      <c r="T781" s="40"/>
      <c r="U781" s="41"/>
      <c r="V781" s="41"/>
      <c r="W781" s="41"/>
      <c r="X781" s="36"/>
      <c r="Y781" s="36"/>
      <c r="Z781" s="36"/>
      <c r="AA781" s="36"/>
      <c r="AB781" s="36"/>
      <c r="AC781" s="36"/>
    </row>
    <row r="782" spans="17:29" x14ac:dyDescent="0.2">
      <c r="Q782" s="36"/>
      <c r="R782" s="40"/>
      <c r="S782" s="40"/>
      <c r="T782" s="40"/>
      <c r="U782" s="41"/>
      <c r="V782" s="41"/>
      <c r="W782" s="41"/>
      <c r="X782" s="36"/>
      <c r="Y782" s="36"/>
      <c r="Z782" s="36"/>
      <c r="AA782" s="36"/>
      <c r="AB782" s="36"/>
      <c r="AC782" s="36"/>
    </row>
    <row r="783" spans="17:29" x14ac:dyDescent="0.2">
      <c r="Q783" s="36"/>
      <c r="R783" s="40"/>
      <c r="S783" s="40"/>
      <c r="T783" s="40"/>
      <c r="U783" s="41"/>
      <c r="V783" s="41"/>
      <c r="W783" s="41"/>
      <c r="X783" s="36"/>
      <c r="Y783" s="36"/>
      <c r="Z783" s="36"/>
      <c r="AA783" s="36"/>
      <c r="AB783" s="36"/>
      <c r="AC783" s="36"/>
    </row>
    <row r="784" spans="17:29" x14ac:dyDescent="0.2">
      <c r="Q784" s="36"/>
      <c r="R784" s="40"/>
      <c r="S784" s="40"/>
      <c r="T784" s="40"/>
      <c r="U784" s="41"/>
      <c r="V784" s="41"/>
      <c r="W784" s="41"/>
      <c r="X784" s="36"/>
      <c r="Y784" s="36"/>
      <c r="Z784" s="36"/>
      <c r="AA784" s="36"/>
      <c r="AB784" s="36"/>
      <c r="AC784" s="36"/>
    </row>
    <row r="785" spans="17:29" x14ac:dyDescent="0.2">
      <c r="Q785" s="36"/>
      <c r="R785" s="40"/>
      <c r="S785" s="40"/>
      <c r="T785" s="40"/>
      <c r="U785" s="41"/>
      <c r="V785" s="41"/>
      <c r="W785" s="41"/>
      <c r="X785" s="36"/>
      <c r="Y785" s="36"/>
      <c r="Z785" s="36"/>
      <c r="AA785" s="36"/>
      <c r="AB785" s="36"/>
      <c r="AC785" s="36"/>
    </row>
    <row r="786" spans="17:29" x14ac:dyDescent="0.2">
      <c r="Q786" s="36"/>
      <c r="R786" s="40"/>
      <c r="S786" s="40"/>
      <c r="T786" s="40"/>
      <c r="U786" s="41"/>
      <c r="V786" s="41"/>
      <c r="W786" s="41"/>
      <c r="X786" s="36"/>
      <c r="Y786" s="36"/>
      <c r="Z786" s="36"/>
      <c r="AA786" s="36"/>
      <c r="AB786" s="36"/>
      <c r="AC786" s="36"/>
    </row>
    <row r="787" spans="17:29" x14ac:dyDescent="0.2">
      <c r="Q787" s="36"/>
      <c r="R787" s="40"/>
      <c r="S787" s="40"/>
      <c r="T787" s="40"/>
      <c r="U787" s="41"/>
      <c r="V787" s="41"/>
      <c r="W787" s="41"/>
      <c r="X787" s="36"/>
      <c r="Y787" s="36"/>
      <c r="Z787" s="36"/>
      <c r="AA787" s="36"/>
      <c r="AB787" s="36"/>
      <c r="AC787" s="36"/>
    </row>
    <row r="788" spans="17:29" x14ac:dyDescent="0.2">
      <c r="Q788" s="36"/>
      <c r="R788" s="40"/>
      <c r="S788" s="40"/>
      <c r="T788" s="40"/>
      <c r="U788" s="41"/>
      <c r="V788" s="41"/>
      <c r="W788" s="41"/>
      <c r="X788" s="36"/>
      <c r="Y788" s="36"/>
      <c r="Z788" s="36"/>
      <c r="AA788" s="36"/>
      <c r="AB788" s="36"/>
      <c r="AC788" s="36"/>
    </row>
    <row r="789" spans="17:29" x14ac:dyDescent="0.2">
      <c r="Q789" s="36"/>
      <c r="R789" s="40"/>
      <c r="S789" s="40"/>
      <c r="T789" s="40"/>
      <c r="U789" s="41"/>
      <c r="V789" s="41"/>
      <c r="W789" s="41"/>
      <c r="X789" s="36"/>
      <c r="Y789" s="36"/>
      <c r="Z789" s="36"/>
      <c r="AA789" s="36"/>
      <c r="AB789" s="36"/>
      <c r="AC789" s="36"/>
    </row>
    <row r="790" spans="17:29" x14ac:dyDescent="0.2">
      <c r="Q790" s="36"/>
      <c r="R790" s="40"/>
      <c r="S790" s="40"/>
      <c r="T790" s="40"/>
      <c r="U790" s="41"/>
      <c r="V790" s="41"/>
      <c r="W790" s="41"/>
      <c r="X790" s="36"/>
      <c r="Y790" s="36"/>
      <c r="Z790" s="36"/>
      <c r="AA790" s="36"/>
      <c r="AB790" s="36"/>
      <c r="AC790" s="36"/>
    </row>
    <row r="791" spans="17:29" x14ac:dyDescent="0.2">
      <c r="Q791" s="36"/>
      <c r="R791" s="40"/>
      <c r="S791" s="40"/>
      <c r="T791" s="40"/>
      <c r="U791" s="41"/>
      <c r="V791" s="41"/>
      <c r="W791" s="41"/>
      <c r="X791" s="36"/>
      <c r="Y791" s="36"/>
      <c r="Z791" s="36"/>
      <c r="AA791" s="36"/>
      <c r="AB791" s="36"/>
      <c r="AC791" s="36"/>
    </row>
    <row r="792" spans="17:29" x14ac:dyDescent="0.2">
      <c r="Q792" s="36"/>
      <c r="R792" s="40"/>
      <c r="S792" s="40"/>
      <c r="T792" s="40"/>
      <c r="U792" s="41"/>
      <c r="V792" s="41"/>
      <c r="W792" s="41"/>
      <c r="X792" s="36"/>
      <c r="Y792" s="36"/>
      <c r="Z792" s="36"/>
      <c r="AA792" s="36"/>
      <c r="AB792" s="36"/>
      <c r="AC792" s="36"/>
    </row>
    <row r="793" spans="17:29" x14ac:dyDescent="0.2">
      <c r="Q793" s="36"/>
      <c r="R793" s="40"/>
      <c r="S793" s="40"/>
      <c r="T793" s="40"/>
      <c r="U793" s="41"/>
      <c r="V793" s="41"/>
      <c r="W793" s="41"/>
      <c r="X793" s="36"/>
      <c r="Y793" s="36"/>
      <c r="Z793" s="36"/>
      <c r="AA793" s="36"/>
      <c r="AB793" s="36"/>
      <c r="AC793" s="36"/>
    </row>
    <row r="794" spans="17:29" x14ac:dyDescent="0.2">
      <c r="Q794" s="36"/>
      <c r="R794" s="40"/>
      <c r="S794" s="40"/>
      <c r="T794" s="40"/>
      <c r="U794" s="41"/>
      <c r="V794" s="41"/>
      <c r="W794" s="41"/>
      <c r="X794" s="36"/>
      <c r="Y794" s="36"/>
      <c r="Z794" s="36"/>
      <c r="AA794" s="36"/>
      <c r="AB794" s="36"/>
      <c r="AC794" s="36"/>
    </row>
    <row r="795" spans="17:29" x14ac:dyDescent="0.2">
      <c r="Q795" s="36"/>
      <c r="R795" s="40"/>
      <c r="S795" s="40"/>
      <c r="T795" s="40"/>
      <c r="U795" s="41"/>
      <c r="V795" s="41"/>
      <c r="W795" s="41"/>
      <c r="X795" s="36"/>
      <c r="Y795" s="36"/>
      <c r="Z795" s="36"/>
      <c r="AA795" s="36"/>
      <c r="AB795" s="36"/>
      <c r="AC795" s="36"/>
    </row>
    <row r="796" spans="17:29" x14ac:dyDescent="0.2">
      <c r="Q796" s="36"/>
      <c r="R796" s="40"/>
      <c r="S796" s="40"/>
      <c r="T796" s="40"/>
      <c r="U796" s="41"/>
      <c r="V796" s="41"/>
      <c r="W796" s="41"/>
      <c r="X796" s="36"/>
      <c r="Y796" s="36"/>
      <c r="Z796" s="36"/>
      <c r="AA796" s="36"/>
      <c r="AB796" s="36"/>
      <c r="AC796" s="36"/>
    </row>
    <row r="797" spans="17:29" x14ac:dyDescent="0.2">
      <c r="Q797" s="36"/>
      <c r="R797" s="40"/>
      <c r="S797" s="40"/>
      <c r="T797" s="40"/>
      <c r="U797" s="41"/>
      <c r="V797" s="41"/>
      <c r="W797" s="41"/>
      <c r="X797" s="36"/>
      <c r="Y797" s="36"/>
      <c r="Z797" s="36"/>
      <c r="AA797" s="36"/>
      <c r="AB797" s="36"/>
      <c r="AC797" s="36"/>
    </row>
    <row r="798" spans="17:29" x14ac:dyDescent="0.2">
      <c r="Q798" s="36"/>
      <c r="R798" s="40"/>
      <c r="S798" s="40"/>
      <c r="T798" s="40"/>
      <c r="U798" s="41"/>
      <c r="V798" s="41"/>
      <c r="W798" s="41"/>
      <c r="X798" s="36"/>
      <c r="Y798" s="36"/>
      <c r="Z798" s="36"/>
      <c r="AA798" s="36"/>
      <c r="AB798" s="36"/>
      <c r="AC798" s="36"/>
    </row>
    <row r="799" spans="17:29" x14ac:dyDescent="0.2">
      <c r="Q799" s="36"/>
      <c r="R799" s="40"/>
      <c r="S799" s="40"/>
      <c r="T799" s="40"/>
      <c r="U799" s="41"/>
      <c r="V799" s="41"/>
      <c r="W799" s="41"/>
      <c r="X799" s="36"/>
      <c r="Y799" s="36"/>
      <c r="Z799" s="36"/>
      <c r="AA799" s="36"/>
      <c r="AB799" s="36"/>
      <c r="AC799" s="36"/>
    </row>
    <row r="800" spans="17:29" x14ac:dyDescent="0.2">
      <c r="Q800" s="36"/>
      <c r="R800" s="40"/>
      <c r="S800" s="40"/>
      <c r="T800" s="40"/>
      <c r="U800" s="41"/>
      <c r="V800" s="41"/>
      <c r="W800" s="41"/>
      <c r="X800" s="36"/>
      <c r="Y800" s="36"/>
      <c r="Z800" s="36"/>
      <c r="AA800" s="36"/>
      <c r="AB800" s="36"/>
      <c r="AC800" s="36"/>
    </row>
    <row r="801" spans="17:29" x14ac:dyDescent="0.2">
      <c r="Q801" s="36"/>
      <c r="R801" s="40"/>
      <c r="S801" s="40"/>
      <c r="T801" s="40"/>
      <c r="U801" s="41"/>
      <c r="V801" s="41"/>
      <c r="W801" s="41"/>
      <c r="X801" s="36"/>
      <c r="Y801" s="36"/>
      <c r="Z801" s="36"/>
      <c r="AA801" s="36"/>
      <c r="AB801" s="36"/>
      <c r="AC801" s="36"/>
    </row>
    <row r="802" spans="17:29" x14ac:dyDescent="0.2">
      <c r="Q802" s="36"/>
      <c r="R802" s="40"/>
      <c r="S802" s="40"/>
      <c r="T802" s="40"/>
      <c r="U802" s="41"/>
      <c r="V802" s="41"/>
      <c r="W802" s="41"/>
      <c r="X802" s="36"/>
      <c r="Y802" s="36"/>
      <c r="Z802" s="36"/>
      <c r="AA802" s="36"/>
      <c r="AB802" s="36"/>
      <c r="AC802" s="36"/>
    </row>
    <row r="803" spans="17:29" x14ac:dyDescent="0.2">
      <c r="Q803" s="36"/>
      <c r="R803" s="40"/>
      <c r="S803" s="40"/>
      <c r="T803" s="40"/>
      <c r="U803" s="41"/>
      <c r="V803" s="41"/>
      <c r="W803" s="41"/>
      <c r="X803" s="36"/>
      <c r="Y803" s="36"/>
      <c r="Z803" s="36"/>
      <c r="AA803" s="36"/>
      <c r="AB803" s="36"/>
      <c r="AC803" s="36"/>
    </row>
    <row r="804" spans="17:29" x14ac:dyDescent="0.2">
      <c r="Q804" s="36"/>
      <c r="R804" s="40"/>
      <c r="S804" s="40"/>
      <c r="T804" s="40"/>
      <c r="U804" s="41"/>
      <c r="V804" s="41"/>
      <c r="W804" s="41"/>
      <c r="X804" s="36"/>
      <c r="Y804" s="36"/>
      <c r="Z804" s="36"/>
      <c r="AA804" s="36"/>
      <c r="AB804" s="36"/>
      <c r="AC804" s="36"/>
    </row>
    <row r="805" spans="17:29" x14ac:dyDescent="0.2">
      <c r="Q805" s="36"/>
      <c r="R805" s="40"/>
      <c r="S805" s="40"/>
      <c r="T805" s="40"/>
      <c r="U805" s="41"/>
      <c r="V805" s="41"/>
      <c r="W805" s="41"/>
      <c r="X805" s="36"/>
      <c r="Y805" s="36"/>
      <c r="Z805" s="36"/>
      <c r="AA805" s="36"/>
      <c r="AB805" s="36"/>
      <c r="AC805" s="36"/>
    </row>
    <row r="806" spans="17:29" x14ac:dyDescent="0.2">
      <c r="Q806" s="36"/>
      <c r="R806" s="40"/>
      <c r="S806" s="40"/>
      <c r="T806" s="40"/>
      <c r="U806" s="41"/>
      <c r="V806" s="41"/>
      <c r="W806" s="41"/>
      <c r="X806" s="36"/>
      <c r="Y806" s="36"/>
      <c r="Z806" s="36"/>
      <c r="AA806" s="36"/>
      <c r="AB806" s="36"/>
      <c r="AC806" s="36"/>
    </row>
    <row r="807" spans="17:29" x14ac:dyDescent="0.2">
      <c r="Q807" s="36"/>
      <c r="R807" s="40"/>
      <c r="S807" s="40"/>
      <c r="T807" s="40"/>
      <c r="U807" s="41"/>
      <c r="V807" s="41"/>
      <c r="W807" s="41"/>
      <c r="X807" s="36"/>
      <c r="Y807" s="36"/>
      <c r="Z807" s="36"/>
      <c r="AA807" s="36"/>
      <c r="AB807" s="36"/>
      <c r="AC807" s="36"/>
    </row>
    <row r="808" spans="17:29" x14ac:dyDescent="0.2">
      <c r="Q808" s="36"/>
      <c r="R808" s="40"/>
      <c r="S808" s="40"/>
      <c r="T808" s="40"/>
      <c r="U808" s="41"/>
      <c r="V808" s="41"/>
      <c r="W808" s="41"/>
      <c r="X808" s="36"/>
      <c r="Y808" s="36"/>
      <c r="Z808" s="36"/>
      <c r="AA808" s="36"/>
      <c r="AB808" s="36"/>
      <c r="AC808" s="36"/>
    </row>
    <row r="809" spans="17:29" x14ac:dyDescent="0.2">
      <c r="Q809" s="36"/>
      <c r="R809" s="40"/>
      <c r="S809" s="40"/>
      <c r="T809" s="40"/>
      <c r="U809" s="41"/>
      <c r="V809" s="41"/>
      <c r="W809" s="41"/>
      <c r="X809" s="36"/>
      <c r="Y809" s="36"/>
      <c r="Z809" s="36"/>
      <c r="AA809" s="36"/>
      <c r="AB809" s="36"/>
      <c r="AC809" s="36"/>
    </row>
    <row r="810" spans="17:29" x14ac:dyDescent="0.2">
      <c r="Q810" s="36"/>
      <c r="R810" s="40"/>
      <c r="S810" s="40"/>
      <c r="T810" s="40"/>
      <c r="U810" s="41"/>
      <c r="V810" s="41"/>
      <c r="W810" s="41"/>
      <c r="X810" s="36"/>
      <c r="Y810" s="36"/>
      <c r="Z810" s="36"/>
      <c r="AA810" s="36"/>
      <c r="AB810" s="36"/>
      <c r="AC810" s="36"/>
    </row>
    <row r="811" spans="17:29" x14ac:dyDescent="0.2">
      <c r="Q811" s="36"/>
      <c r="R811" s="40"/>
      <c r="S811" s="40"/>
      <c r="T811" s="40"/>
      <c r="U811" s="41"/>
      <c r="V811" s="41"/>
      <c r="W811" s="41"/>
      <c r="X811" s="36"/>
      <c r="Y811" s="36"/>
      <c r="Z811" s="36"/>
      <c r="AA811" s="36"/>
      <c r="AB811" s="36"/>
      <c r="AC811" s="36"/>
    </row>
    <row r="812" spans="17:29" x14ac:dyDescent="0.2">
      <c r="Q812" s="36"/>
      <c r="R812" s="40"/>
      <c r="S812" s="40"/>
      <c r="T812" s="40"/>
      <c r="U812" s="41"/>
      <c r="V812" s="41"/>
      <c r="W812" s="41"/>
      <c r="X812" s="36"/>
      <c r="Y812" s="36"/>
      <c r="Z812" s="36"/>
      <c r="AA812" s="36"/>
      <c r="AB812" s="36"/>
      <c r="AC812" s="36"/>
    </row>
    <row r="813" spans="17:29" x14ac:dyDescent="0.2">
      <c r="Q813" s="36"/>
      <c r="R813" s="40"/>
      <c r="S813" s="40"/>
      <c r="T813" s="40"/>
      <c r="U813" s="41"/>
      <c r="V813" s="41"/>
      <c r="W813" s="41"/>
      <c r="X813" s="36"/>
      <c r="Y813" s="36"/>
      <c r="Z813" s="36"/>
      <c r="AA813" s="36"/>
      <c r="AB813" s="36"/>
      <c r="AC813" s="36"/>
    </row>
    <row r="814" spans="17:29" x14ac:dyDescent="0.2">
      <c r="Q814" s="36"/>
      <c r="R814" s="40"/>
      <c r="S814" s="40"/>
      <c r="T814" s="40"/>
      <c r="U814" s="41"/>
      <c r="V814" s="41"/>
      <c r="W814" s="41"/>
      <c r="X814" s="36"/>
      <c r="Y814" s="36"/>
      <c r="Z814" s="36"/>
      <c r="AA814" s="36"/>
      <c r="AB814" s="36"/>
      <c r="AC814" s="36"/>
    </row>
    <row r="815" spans="17:29" x14ac:dyDescent="0.2">
      <c r="Q815" s="36"/>
      <c r="R815" s="40"/>
      <c r="S815" s="40"/>
      <c r="T815" s="40"/>
      <c r="U815" s="41"/>
      <c r="V815" s="41"/>
      <c r="W815" s="41"/>
      <c r="X815" s="36"/>
      <c r="Y815" s="36"/>
      <c r="Z815" s="36"/>
      <c r="AA815" s="36"/>
      <c r="AB815" s="36"/>
      <c r="AC815" s="36"/>
    </row>
    <row r="816" spans="17:29" x14ac:dyDescent="0.2">
      <c r="Q816" s="36"/>
      <c r="R816" s="40"/>
      <c r="S816" s="40"/>
      <c r="T816" s="40"/>
      <c r="U816" s="41"/>
      <c r="V816" s="41"/>
      <c r="W816" s="41"/>
      <c r="X816" s="36"/>
      <c r="Y816" s="36"/>
      <c r="Z816" s="36"/>
      <c r="AA816" s="36"/>
      <c r="AB816" s="36"/>
      <c r="AC816" s="36"/>
    </row>
    <row r="817" spans="17:29" x14ac:dyDescent="0.2">
      <c r="Q817" s="36"/>
      <c r="R817" s="40"/>
      <c r="S817" s="40"/>
      <c r="T817" s="40"/>
      <c r="U817" s="41"/>
      <c r="V817" s="41"/>
      <c r="W817" s="41"/>
      <c r="X817" s="36"/>
      <c r="Y817" s="36"/>
      <c r="Z817" s="36"/>
      <c r="AA817" s="36"/>
      <c r="AB817" s="36"/>
      <c r="AC817" s="36"/>
    </row>
    <row r="818" spans="17:29" x14ac:dyDescent="0.2">
      <c r="Q818" s="36"/>
      <c r="R818" s="40"/>
      <c r="S818" s="40"/>
      <c r="T818" s="40"/>
      <c r="U818" s="41"/>
      <c r="V818" s="41"/>
      <c r="W818" s="41"/>
      <c r="X818" s="36"/>
      <c r="Y818" s="36"/>
      <c r="Z818" s="36"/>
      <c r="AA818" s="36"/>
      <c r="AB818" s="36"/>
      <c r="AC818" s="36"/>
    </row>
    <row r="819" spans="17:29" x14ac:dyDescent="0.2">
      <c r="Q819" s="36"/>
      <c r="R819" s="40"/>
      <c r="S819" s="40"/>
      <c r="T819" s="40"/>
      <c r="U819" s="41"/>
      <c r="V819" s="41"/>
      <c r="W819" s="41"/>
      <c r="X819" s="36"/>
      <c r="Y819" s="36"/>
      <c r="Z819" s="36"/>
      <c r="AA819" s="36"/>
      <c r="AB819" s="36"/>
      <c r="AC819" s="36"/>
    </row>
    <row r="820" spans="17:29" x14ac:dyDescent="0.2">
      <c r="Q820" s="36"/>
      <c r="R820" s="40"/>
      <c r="S820" s="40"/>
      <c r="T820" s="40"/>
      <c r="U820" s="41"/>
      <c r="V820" s="41"/>
      <c r="W820" s="41"/>
      <c r="X820" s="36"/>
      <c r="Y820" s="36"/>
      <c r="Z820" s="36"/>
      <c r="AA820" s="36"/>
      <c r="AB820" s="36"/>
      <c r="AC820" s="36"/>
    </row>
    <row r="821" spans="17:29" x14ac:dyDescent="0.2">
      <c r="Q821" s="36"/>
      <c r="R821" s="40"/>
      <c r="S821" s="40"/>
      <c r="T821" s="40"/>
      <c r="U821" s="41"/>
      <c r="V821" s="41"/>
      <c r="W821" s="41"/>
      <c r="X821" s="36"/>
      <c r="Y821" s="36"/>
      <c r="Z821" s="36"/>
      <c r="AA821" s="36"/>
      <c r="AB821" s="36"/>
      <c r="AC821" s="36"/>
    </row>
    <row r="822" spans="17:29" x14ac:dyDescent="0.2">
      <c r="Q822" s="36"/>
      <c r="R822" s="40"/>
      <c r="S822" s="40"/>
      <c r="T822" s="40"/>
      <c r="U822" s="41"/>
      <c r="V822" s="41"/>
      <c r="W822" s="41"/>
      <c r="X822" s="36"/>
      <c r="Y822" s="36"/>
      <c r="Z822" s="36"/>
      <c r="AA822" s="36"/>
      <c r="AB822" s="36"/>
      <c r="AC822" s="36"/>
    </row>
    <row r="823" spans="17:29" x14ac:dyDescent="0.2">
      <c r="Q823" s="36"/>
      <c r="R823" s="40"/>
      <c r="S823" s="40"/>
      <c r="T823" s="40"/>
      <c r="U823" s="41"/>
      <c r="V823" s="41"/>
      <c r="W823" s="41"/>
      <c r="X823" s="36"/>
      <c r="Y823" s="36"/>
      <c r="Z823" s="36"/>
      <c r="AA823" s="36"/>
      <c r="AB823" s="36"/>
      <c r="AC823" s="36"/>
    </row>
    <row r="824" spans="17:29" x14ac:dyDescent="0.2">
      <c r="Q824" s="36"/>
      <c r="R824" s="40"/>
      <c r="S824" s="40"/>
      <c r="T824" s="40"/>
      <c r="U824" s="41"/>
      <c r="V824" s="41"/>
      <c r="W824" s="41"/>
      <c r="X824" s="36"/>
      <c r="Y824" s="36"/>
      <c r="Z824" s="36"/>
      <c r="AA824" s="36"/>
      <c r="AB824" s="36"/>
      <c r="AC824" s="36"/>
    </row>
    <row r="825" spans="17:29" x14ac:dyDescent="0.2">
      <c r="Q825" s="36"/>
      <c r="R825" s="40"/>
      <c r="S825" s="40"/>
      <c r="T825" s="40"/>
      <c r="U825" s="41"/>
      <c r="V825" s="41"/>
      <c r="W825" s="41"/>
      <c r="X825" s="36"/>
      <c r="Y825" s="36"/>
      <c r="Z825" s="36"/>
      <c r="AA825" s="36"/>
      <c r="AB825" s="36"/>
      <c r="AC825" s="36"/>
    </row>
    <row r="826" spans="17:29" x14ac:dyDescent="0.2">
      <c r="Q826" s="36"/>
      <c r="R826" s="40"/>
      <c r="S826" s="40"/>
      <c r="T826" s="40"/>
      <c r="U826" s="41"/>
      <c r="V826" s="41"/>
      <c r="W826" s="41"/>
      <c r="X826" s="36"/>
      <c r="Y826" s="36"/>
      <c r="Z826" s="36"/>
      <c r="AA826" s="36"/>
      <c r="AB826" s="36"/>
      <c r="AC826" s="36"/>
    </row>
    <row r="827" spans="17:29" x14ac:dyDescent="0.2">
      <c r="Q827" s="36"/>
      <c r="R827" s="40"/>
      <c r="S827" s="40"/>
      <c r="T827" s="40"/>
      <c r="U827" s="41"/>
      <c r="V827" s="41"/>
      <c r="W827" s="41"/>
      <c r="X827" s="36"/>
      <c r="Y827" s="36"/>
      <c r="Z827" s="36"/>
      <c r="AA827" s="36"/>
      <c r="AB827" s="36"/>
      <c r="AC827" s="36"/>
    </row>
    <row r="828" spans="17:29" x14ac:dyDescent="0.2">
      <c r="Q828" s="36"/>
      <c r="R828" s="40"/>
      <c r="S828" s="40"/>
      <c r="T828" s="40"/>
      <c r="U828" s="41"/>
      <c r="V828" s="41"/>
      <c r="W828" s="41"/>
      <c r="X828" s="36"/>
      <c r="Y828" s="36"/>
      <c r="Z828" s="36"/>
      <c r="AA828" s="36"/>
      <c r="AB828" s="36"/>
      <c r="AC828" s="36"/>
    </row>
    <row r="829" spans="17:29" x14ac:dyDescent="0.2">
      <c r="Q829" s="36"/>
      <c r="R829" s="40"/>
      <c r="S829" s="40"/>
      <c r="T829" s="40"/>
      <c r="U829" s="41"/>
      <c r="V829" s="41"/>
      <c r="W829" s="41"/>
      <c r="X829" s="36"/>
      <c r="Y829" s="36"/>
      <c r="Z829" s="36"/>
      <c r="AA829" s="36"/>
      <c r="AB829" s="36"/>
      <c r="AC829" s="36"/>
    </row>
    <row r="830" spans="17:29" x14ac:dyDescent="0.2">
      <c r="Q830" s="36"/>
      <c r="R830" s="40"/>
      <c r="S830" s="40"/>
      <c r="T830" s="40"/>
      <c r="U830" s="41"/>
      <c r="V830" s="41"/>
      <c r="W830" s="41"/>
      <c r="X830" s="36"/>
      <c r="Y830" s="36"/>
      <c r="Z830" s="36"/>
      <c r="AA830" s="36"/>
      <c r="AB830" s="36"/>
      <c r="AC830" s="36"/>
    </row>
    <row r="831" spans="17:29" x14ac:dyDescent="0.2">
      <c r="Q831" s="36"/>
      <c r="R831" s="40"/>
      <c r="S831" s="40"/>
      <c r="T831" s="40"/>
      <c r="U831" s="41"/>
      <c r="V831" s="41"/>
      <c r="W831" s="41"/>
      <c r="X831" s="36"/>
      <c r="Y831" s="36"/>
      <c r="Z831" s="36"/>
      <c r="AA831" s="36"/>
      <c r="AB831" s="36"/>
      <c r="AC831" s="36"/>
    </row>
    <row r="832" spans="17:29" x14ac:dyDescent="0.2">
      <c r="Q832" s="36"/>
      <c r="R832" s="40"/>
      <c r="S832" s="40"/>
      <c r="T832" s="40"/>
      <c r="U832" s="41"/>
      <c r="V832" s="41"/>
      <c r="W832" s="41"/>
      <c r="X832" s="36"/>
      <c r="Y832" s="36"/>
      <c r="Z832" s="36"/>
      <c r="AA832" s="36"/>
      <c r="AB832" s="36"/>
      <c r="AC832" s="36"/>
    </row>
    <row r="833" spans="17:29" x14ac:dyDescent="0.2">
      <c r="Q833" s="36"/>
      <c r="R833" s="40"/>
      <c r="S833" s="40"/>
      <c r="T833" s="40"/>
      <c r="U833" s="41"/>
      <c r="V833" s="41"/>
      <c r="W833" s="41"/>
      <c r="X833" s="36"/>
      <c r="Y833" s="36"/>
      <c r="Z833" s="36"/>
      <c r="AA833" s="36"/>
      <c r="AB833" s="36"/>
      <c r="AC833" s="36"/>
    </row>
    <row r="834" spans="17:29" x14ac:dyDescent="0.2">
      <c r="Q834" s="36"/>
      <c r="R834" s="40"/>
      <c r="S834" s="40"/>
      <c r="T834" s="40"/>
      <c r="U834" s="41"/>
      <c r="V834" s="41"/>
      <c r="W834" s="41"/>
      <c r="X834" s="36"/>
      <c r="Y834" s="36"/>
      <c r="Z834" s="36"/>
      <c r="AA834" s="36"/>
      <c r="AB834" s="36"/>
      <c r="AC834" s="36"/>
    </row>
    <row r="835" spans="17:29" x14ac:dyDescent="0.2">
      <c r="Q835" s="36"/>
      <c r="R835" s="40"/>
      <c r="S835" s="40"/>
      <c r="T835" s="40"/>
      <c r="U835" s="41"/>
      <c r="V835" s="41"/>
      <c r="W835" s="41"/>
      <c r="X835" s="36"/>
      <c r="Y835" s="36"/>
      <c r="Z835" s="36"/>
      <c r="AA835" s="36"/>
      <c r="AB835" s="36"/>
      <c r="AC835" s="36"/>
    </row>
    <row r="836" spans="17:29" x14ac:dyDescent="0.2">
      <c r="Q836" s="36"/>
      <c r="R836" s="40"/>
      <c r="S836" s="40"/>
      <c r="T836" s="40"/>
      <c r="U836" s="41"/>
      <c r="V836" s="41"/>
      <c r="W836" s="41"/>
      <c r="X836" s="36"/>
      <c r="Y836" s="36"/>
      <c r="Z836" s="36"/>
      <c r="AA836" s="36"/>
      <c r="AB836" s="36"/>
      <c r="AC836" s="36"/>
    </row>
    <row r="837" spans="17:29" x14ac:dyDescent="0.2">
      <c r="Q837" s="36"/>
      <c r="R837" s="40"/>
      <c r="S837" s="40"/>
      <c r="T837" s="40"/>
      <c r="U837" s="41"/>
      <c r="V837" s="41"/>
      <c r="W837" s="41"/>
      <c r="X837" s="36"/>
      <c r="Y837" s="36"/>
      <c r="Z837" s="36"/>
      <c r="AA837" s="36"/>
      <c r="AB837" s="36"/>
      <c r="AC837" s="36"/>
    </row>
    <row r="838" spans="17:29" x14ac:dyDescent="0.2">
      <c r="Q838" s="36"/>
      <c r="R838" s="40"/>
      <c r="S838" s="40"/>
      <c r="T838" s="40"/>
      <c r="U838" s="41"/>
      <c r="V838" s="41"/>
      <c r="W838" s="41"/>
      <c r="X838" s="36"/>
      <c r="Y838" s="36"/>
      <c r="Z838" s="36"/>
      <c r="AA838" s="36"/>
      <c r="AB838" s="36"/>
      <c r="AC838" s="36"/>
    </row>
    <row r="839" spans="17:29" x14ac:dyDescent="0.2">
      <c r="Q839" s="36"/>
      <c r="R839" s="40"/>
      <c r="S839" s="40"/>
      <c r="T839" s="40"/>
      <c r="U839" s="41"/>
      <c r="V839" s="41"/>
      <c r="W839" s="41"/>
      <c r="X839" s="36"/>
      <c r="Y839" s="36"/>
      <c r="Z839" s="36"/>
      <c r="AA839" s="36"/>
      <c r="AB839" s="36"/>
      <c r="AC839" s="36"/>
    </row>
    <row r="840" spans="17:29" x14ac:dyDescent="0.2">
      <c r="Q840" s="36"/>
      <c r="R840" s="40"/>
      <c r="S840" s="40"/>
      <c r="T840" s="40"/>
      <c r="U840" s="41"/>
      <c r="V840" s="41"/>
      <c r="W840" s="41"/>
      <c r="X840" s="36"/>
      <c r="Y840" s="36"/>
      <c r="Z840" s="36"/>
      <c r="AA840" s="36"/>
      <c r="AB840" s="36"/>
      <c r="AC840" s="36"/>
    </row>
    <row r="841" spans="17:29" x14ac:dyDescent="0.2">
      <c r="Q841" s="36"/>
      <c r="R841" s="40"/>
      <c r="S841" s="40"/>
      <c r="T841" s="40"/>
      <c r="U841" s="41"/>
      <c r="V841" s="41"/>
      <c r="W841" s="41"/>
      <c r="X841" s="36"/>
      <c r="Y841" s="36"/>
      <c r="Z841" s="36"/>
      <c r="AA841" s="36"/>
      <c r="AB841" s="36"/>
      <c r="AC841" s="36"/>
    </row>
    <row r="842" spans="17:29" x14ac:dyDescent="0.2">
      <c r="Q842" s="36"/>
      <c r="R842" s="40"/>
      <c r="S842" s="40"/>
      <c r="T842" s="40"/>
      <c r="U842" s="41"/>
      <c r="V842" s="41"/>
      <c r="W842" s="41"/>
      <c r="X842" s="36"/>
      <c r="Y842" s="36"/>
      <c r="Z842" s="36"/>
      <c r="AA842" s="36"/>
      <c r="AB842" s="36"/>
      <c r="AC842" s="36"/>
    </row>
    <row r="843" spans="17:29" x14ac:dyDescent="0.2">
      <c r="Q843" s="36"/>
      <c r="R843" s="40"/>
      <c r="S843" s="40"/>
      <c r="T843" s="40"/>
      <c r="U843" s="41"/>
      <c r="V843" s="41"/>
      <c r="W843" s="41"/>
      <c r="X843" s="36"/>
      <c r="Y843" s="36"/>
      <c r="Z843" s="36"/>
      <c r="AA843" s="36"/>
      <c r="AB843" s="36"/>
      <c r="AC843" s="36"/>
    </row>
    <row r="844" spans="17:29" x14ac:dyDescent="0.2">
      <c r="Q844" s="36"/>
      <c r="R844" s="40"/>
      <c r="S844" s="40"/>
      <c r="T844" s="40"/>
      <c r="U844" s="41"/>
      <c r="V844" s="41"/>
      <c r="W844" s="41"/>
      <c r="X844" s="36"/>
      <c r="Y844" s="36"/>
      <c r="Z844" s="36"/>
      <c r="AA844" s="36"/>
      <c r="AB844" s="36"/>
      <c r="AC844" s="36"/>
    </row>
    <row r="845" spans="17:29" x14ac:dyDescent="0.2">
      <c r="Q845" s="36"/>
      <c r="R845" s="40"/>
      <c r="S845" s="40"/>
      <c r="T845" s="40"/>
      <c r="U845" s="41"/>
      <c r="V845" s="41"/>
      <c r="W845" s="41"/>
      <c r="X845" s="36"/>
      <c r="Y845" s="36"/>
      <c r="Z845" s="36"/>
      <c r="AA845" s="36"/>
      <c r="AB845" s="36"/>
      <c r="AC845" s="36"/>
    </row>
    <row r="846" spans="17:29" x14ac:dyDescent="0.2">
      <c r="Q846" s="36"/>
      <c r="R846" s="40"/>
      <c r="S846" s="40"/>
      <c r="T846" s="40"/>
      <c r="U846" s="41"/>
      <c r="V846" s="41"/>
      <c r="W846" s="41"/>
      <c r="X846" s="36"/>
      <c r="Y846" s="36"/>
      <c r="Z846" s="36"/>
      <c r="AA846" s="36"/>
      <c r="AB846" s="36"/>
      <c r="AC846" s="36"/>
    </row>
    <row r="847" spans="17:29" x14ac:dyDescent="0.2">
      <c r="Q847" s="36"/>
      <c r="R847" s="40"/>
      <c r="S847" s="40"/>
      <c r="T847" s="40"/>
      <c r="U847" s="41"/>
      <c r="V847" s="41"/>
      <c r="W847" s="41"/>
      <c r="X847" s="36"/>
      <c r="Y847" s="36"/>
      <c r="Z847" s="36"/>
      <c r="AA847" s="36"/>
      <c r="AB847" s="36"/>
      <c r="AC847" s="36"/>
    </row>
    <row r="848" spans="17:29" x14ac:dyDescent="0.2">
      <c r="Q848" s="36"/>
      <c r="R848" s="40"/>
      <c r="S848" s="40"/>
      <c r="T848" s="40"/>
      <c r="U848" s="41"/>
      <c r="V848" s="41"/>
      <c r="W848" s="41"/>
      <c r="X848" s="36"/>
      <c r="Y848" s="36"/>
      <c r="Z848" s="36"/>
      <c r="AA848" s="36"/>
      <c r="AB848" s="36"/>
      <c r="AC848" s="36"/>
    </row>
    <row r="849" spans="17:29" x14ac:dyDescent="0.2">
      <c r="Q849" s="36"/>
      <c r="R849" s="40"/>
      <c r="S849" s="40"/>
      <c r="T849" s="40"/>
      <c r="U849" s="41"/>
      <c r="V849" s="41"/>
      <c r="W849" s="41"/>
      <c r="X849" s="36"/>
      <c r="Y849" s="36"/>
      <c r="Z849" s="36"/>
      <c r="AA849" s="36"/>
      <c r="AB849" s="36"/>
      <c r="AC849" s="36"/>
    </row>
    <row r="850" spans="17:29" x14ac:dyDescent="0.2">
      <c r="Q850" s="36"/>
      <c r="R850" s="40"/>
      <c r="S850" s="40"/>
      <c r="T850" s="40"/>
      <c r="U850" s="41"/>
      <c r="V850" s="41"/>
      <c r="W850" s="41"/>
      <c r="X850" s="36"/>
      <c r="Y850" s="36"/>
      <c r="Z850" s="36"/>
      <c r="AA850" s="36"/>
      <c r="AB850" s="36"/>
      <c r="AC850" s="36"/>
    </row>
    <row r="851" spans="17:29" x14ac:dyDescent="0.2">
      <c r="Q851" s="36"/>
      <c r="R851" s="40"/>
      <c r="S851" s="40"/>
      <c r="T851" s="40"/>
      <c r="U851" s="41"/>
      <c r="V851" s="41"/>
      <c r="W851" s="41"/>
      <c r="X851" s="36"/>
      <c r="Y851" s="36"/>
      <c r="Z851" s="36"/>
      <c r="AA851" s="36"/>
      <c r="AB851" s="36"/>
      <c r="AC851" s="36"/>
    </row>
    <row r="852" spans="17:29" x14ac:dyDescent="0.2">
      <c r="Q852" s="36"/>
      <c r="R852" s="40"/>
      <c r="S852" s="40"/>
      <c r="T852" s="40"/>
      <c r="U852" s="41"/>
      <c r="V852" s="41"/>
      <c r="W852" s="41"/>
      <c r="X852" s="36"/>
      <c r="Y852" s="36"/>
      <c r="Z852" s="36"/>
      <c r="AA852" s="36"/>
      <c r="AB852" s="36"/>
      <c r="AC852" s="36"/>
    </row>
    <row r="853" spans="17:29" x14ac:dyDescent="0.2">
      <c r="Q853" s="36"/>
      <c r="R853" s="40"/>
      <c r="S853" s="40"/>
      <c r="T853" s="40"/>
      <c r="U853" s="41"/>
      <c r="V853" s="41"/>
      <c r="W853" s="41"/>
      <c r="X853" s="36"/>
      <c r="Y853" s="36"/>
      <c r="Z853" s="36"/>
      <c r="AA853" s="36"/>
      <c r="AB853" s="36"/>
      <c r="AC853" s="36"/>
    </row>
    <row r="854" spans="17:29" x14ac:dyDescent="0.2">
      <c r="Q854" s="36"/>
      <c r="R854" s="40"/>
      <c r="S854" s="40"/>
      <c r="T854" s="40"/>
      <c r="U854" s="41"/>
      <c r="V854" s="41"/>
      <c r="W854" s="41"/>
      <c r="X854" s="36"/>
      <c r="Y854" s="36"/>
      <c r="Z854" s="36"/>
      <c r="AA854" s="36"/>
      <c r="AB854" s="36"/>
      <c r="AC854" s="36"/>
    </row>
    <row r="855" spans="17:29" x14ac:dyDescent="0.2">
      <c r="Q855" s="36"/>
      <c r="R855" s="40"/>
      <c r="S855" s="40"/>
      <c r="T855" s="40"/>
      <c r="U855" s="41"/>
      <c r="V855" s="41"/>
      <c r="W855" s="41"/>
      <c r="X855" s="36"/>
      <c r="Y855" s="36"/>
      <c r="Z855" s="36"/>
      <c r="AA855" s="36"/>
      <c r="AB855" s="36"/>
      <c r="AC855" s="36"/>
    </row>
    <row r="856" spans="17:29" x14ac:dyDescent="0.2">
      <c r="Q856" s="36"/>
      <c r="R856" s="40"/>
      <c r="S856" s="40"/>
      <c r="T856" s="40"/>
      <c r="U856" s="41"/>
      <c r="V856" s="41"/>
      <c r="W856" s="41"/>
      <c r="X856" s="36"/>
      <c r="Y856" s="36"/>
      <c r="Z856" s="36"/>
      <c r="AA856" s="36"/>
      <c r="AB856" s="36"/>
      <c r="AC856" s="36"/>
    </row>
    <row r="857" spans="17:29" x14ac:dyDescent="0.2">
      <c r="Q857" s="36"/>
      <c r="R857" s="40"/>
      <c r="S857" s="40"/>
      <c r="T857" s="40"/>
      <c r="U857" s="41"/>
      <c r="V857" s="41"/>
      <c r="W857" s="41"/>
      <c r="X857" s="36"/>
      <c r="Y857" s="36"/>
      <c r="Z857" s="36"/>
      <c r="AA857" s="36"/>
      <c r="AB857" s="36"/>
      <c r="AC857" s="36"/>
    </row>
    <row r="858" spans="17:29" x14ac:dyDescent="0.2">
      <c r="Q858" s="36"/>
      <c r="R858" s="40"/>
      <c r="S858" s="40"/>
      <c r="T858" s="40"/>
      <c r="U858" s="41"/>
      <c r="V858" s="41"/>
      <c r="W858" s="41"/>
      <c r="X858" s="36"/>
      <c r="Y858" s="36"/>
      <c r="Z858" s="36"/>
      <c r="AA858" s="36"/>
      <c r="AB858" s="36"/>
      <c r="AC858" s="36"/>
    </row>
    <row r="859" spans="17:29" x14ac:dyDescent="0.2">
      <c r="Q859" s="36"/>
      <c r="R859" s="40"/>
      <c r="S859" s="40"/>
      <c r="T859" s="40"/>
      <c r="U859" s="41"/>
      <c r="V859" s="41"/>
      <c r="W859" s="41"/>
      <c r="X859" s="36"/>
      <c r="Y859" s="36"/>
      <c r="Z859" s="36"/>
      <c r="AA859" s="36"/>
      <c r="AB859" s="36"/>
      <c r="AC859" s="36"/>
    </row>
    <row r="860" spans="17:29" x14ac:dyDescent="0.2">
      <c r="Q860" s="36"/>
      <c r="R860" s="40"/>
      <c r="S860" s="40"/>
      <c r="T860" s="40"/>
      <c r="U860" s="41"/>
      <c r="V860" s="41"/>
      <c r="W860" s="41"/>
      <c r="X860" s="36"/>
      <c r="Y860" s="36"/>
      <c r="Z860" s="36"/>
      <c r="AA860" s="36"/>
      <c r="AB860" s="36"/>
      <c r="AC860" s="36"/>
    </row>
    <row r="861" spans="17:29" x14ac:dyDescent="0.2">
      <c r="Q861" s="36"/>
      <c r="R861" s="40"/>
      <c r="S861" s="40"/>
      <c r="T861" s="40"/>
      <c r="U861" s="41"/>
      <c r="V861" s="41"/>
      <c r="W861" s="41"/>
      <c r="X861" s="36"/>
      <c r="Y861" s="36"/>
      <c r="Z861" s="36"/>
      <c r="AA861" s="36"/>
      <c r="AB861" s="36"/>
      <c r="AC861" s="36"/>
    </row>
    <row r="862" spans="17:29" x14ac:dyDescent="0.2">
      <c r="Q862" s="36"/>
      <c r="R862" s="40"/>
      <c r="S862" s="40"/>
      <c r="T862" s="40"/>
      <c r="U862" s="41"/>
      <c r="V862" s="41"/>
      <c r="W862" s="41"/>
      <c r="X862" s="36"/>
      <c r="Y862" s="36"/>
      <c r="Z862" s="36"/>
      <c r="AA862" s="36"/>
      <c r="AB862" s="36"/>
      <c r="AC862" s="36"/>
    </row>
    <row r="863" spans="17:29" x14ac:dyDescent="0.2">
      <c r="Q863" s="36"/>
      <c r="R863" s="40"/>
      <c r="S863" s="40"/>
      <c r="T863" s="40"/>
      <c r="U863" s="41"/>
      <c r="V863" s="41"/>
      <c r="W863" s="41"/>
      <c r="X863" s="36"/>
      <c r="Y863" s="36"/>
      <c r="Z863" s="36"/>
      <c r="AA863" s="36"/>
      <c r="AB863" s="36"/>
      <c r="AC863" s="36"/>
    </row>
    <row r="864" spans="17:29" x14ac:dyDescent="0.2">
      <c r="Q864" s="36"/>
      <c r="R864" s="40"/>
      <c r="S864" s="40"/>
      <c r="T864" s="40"/>
      <c r="U864" s="41"/>
      <c r="V864" s="41"/>
      <c r="W864" s="41"/>
      <c r="X864" s="36"/>
      <c r="Y864" s="36"/>
      <c r="Z864" s="36"/>
      <c r="AA864" s="36"/>
      <c r="AB864" s="36"/>
      <c r="AC864" s="36"/>
    </row>
    <row r="865" spans="17:29" x14ac:dyDescent="0.2">
      <c r="Q865" s="36"/>
      <c r="R865" s="40"/>
      <c r="S865" s="40"/>
      <c r="T865" s="40"/>
      <c r="U865" s="41"/>
      <c r="V865" s="41"/>
      <c r="W865" s="41"/>
      <c r="X865" s="36"/>
      <c r="Y865" s="36"/>
      <c r="Z865" s="36"/>
      <c r="AA865" s="36"/>
      <c r="AB865" s="36"/>
      <c r="AC865" s="36"/>
    </row>
    <row r="866" spans="17:29" x14ac:dyDescent="0.2">
      <c r="Q866" s="36"/>
      <c r="R866" s="40"/>
      <c r="S866" s="40"/>
      <c r="T866" s="40"/>
      <c r="U866" s="41"/>
      <c r="V866" s="41"/>
      <c r="W866" s="41"/>
      <c r="X866" s="36"/>
      <c r="Y866" s="36"/>
      <c r="Z866" s="36"/>
      <c r="AA866" s="36"/>
      <c r="AB866" s="36"/>
      <c r="AC866" s="36"/>
    </row>
    <row r="867" spans="17:29" x14ac:dyDescent="0.2">
      <c r="Q867" s="36"/>
      <c r="R867" s="40"/>
      <c r="S867" s="40"/>
      <c r="T867" s="40"/>
      <c r="U867" s="41"/>
      <c r="V867" s="41"/>
      <c r="W867" s="41"/>
      <c r="X867" s="36"/>
      <c r="Y867" s="36"/>
      <c r="Z867" s="36"/>
      <c r="AA867" s="36"/>
      <c r="AB867" s="36"/>
      <c r="AC867" s="36"/>
    </row>
    <row r="868" spans="17:29" x14ac:dyDescent="0.2">
      <c r="Q868" s="36"/>
      <c r="R868" s="40"/>
      <c r="S868" s="40"/>
      <c r="T868" s="40"/>
      <c r="U868" s="41"/>
      <c r="V868" s="41"/>
      <c r="W868" s="41"/>
      <c r="X868" s="36"/>
      <c r="Y868" s="36"/>
      <c r="Z868" s="36"/>
      <c r="AA868" s="36"/>
      <c r="AB868" s="36"/>
      <c r="AC868" s="36"/>
    </row>
    <row r="869" spans="17:29" x14ac:dyDescent="0.2">
      <c r="Q869" s="36"/>
      <c r="R869" s="40"/>
      <c r="S869" s="40"/>
      <c r="T869" s="40"/>
      <c r="U869" s="41"/>
      <c r="V869" s="41"/>
      <c r="W869" s="41"/>
      <c r="X869" s="36"/>
      <c r="Y869" s="36"/>
      <c r="Z869" s="36"/>
      <c r="AA869" s="36"/>
      <c r="AB869" s="36"/>
      <c r="AC869" s="36"/>
    </row>
    <row r="870" spans="17:29" x14ac:dyDescent="0.2">
      <c r="Q870" s="36"/>
      <c r="R870" s="40"/>
      <c r="S870" s="40"/>
      <c r="T870" s="40"/>
      <c r="U870" s="41"/>
      <c r="V870" s="41"/>
      <c r="W870" s="41"/>
      <c r="X870" s="36"/>
      <c r="Y870" s="36"/>
      <c r="Z870" s="36"/>
      <c r="AA870" s="36"/>
      <c r="AB870" s="36"/>
      <c r="AC870" s="36"/>
    </row>
    <row r="871" spans="17:29" x14ac:dyDescent="0.2">
      <c r="Q871" s="36"/>
      <c r="R871" s="40"/>
      <c r="S871" s="40"/>
      <c r="T871" s="40"/>
      <c r="U871" s="41"/>
      <c r="V871" s="41"/>
      <c r="W871" s="41"/>
      <c r="X871" s="36"/>
      <c r="Y871" s="36"/>
      <c r="Z871" s="36"/>
      <c r="AA871" s="36"/>
      <c r="AB871" s="36"/>
      <c r="AC871" s="36"/>
    </row>
    <row r="872" spans="17:29" x14ac:dyDescent="0.2">
      <c r="Q872" s="36"/>
      <c r="R872" s="40"/>
      <c r="S872" s="40"/>
      <c r="T872" s="40"/>
      <c r="U872" s="41"/>
      <c r="V872" s="41"/>
      <c r="W872" s="41"/>
      <c r="X872" s="36"/>
      <c r="Y872" s="36"/>
      <c r="Z872" s="36"/>
      <c r="AA872" s="36"/>
      <c r="AB872" s="36"/>
      <c r="AC872" s="36"/>
    </row>
    <row r="873" spans="17:29" x14ac:dyDescent="0.2">
      <c r="Q873" s="36"/>
      <c r="R873" s="40"/>
      <c r="S873" s="40"/>
      <c r="T873" s="40"/>
      <c r="U873" s="41"/>
      <c r="V873" s="41"/>
      <c r="W873" s="41"/>
      <c r="X873" s="36"/>
      <c r="Y873" s="36"/>
      <c r="Z873" s="36"/>
      <c r="AA873" s="36"/>
      <c r="AB873" s="36"/>
      <c r="AC873" s="36"/>
    </row>
    <row r="874" spans="17:29" x14ac:dyDescent="0.2">
      <c r="Q874" s="36"/>
      <c r="R874" s="40"/>
      <c r="S874" s="40"/>
      <c r="T874" s="40"/>
      <c r="U874" s="41"/>
      <c r="V874" s="41"/>
      <c r="W874" s="41"/>
      <c r="X874" s="36"/>
      <c r="Y874" s="36"/>
      <c r="Z874" s="36"/>
      <c r="AA874" s="36"/>
      <c r="AB874" s="36"/>
      <c r="AC874" s="36"/>
    </row>
    <row r="875" spans="17:29" x14ac:dyDescent="0.2">
      <c r="Q875" s="36"/>
      <c r="R875" s="40"/>
      <c r="S875" s="40"/>
      <c r="T875" s="40"/>
      <c r="U875" s="41"/>
      <c r="V875" s="41"/>
      <c r="W875" s="41"/>
      <c r="X875" s="36"/>
      <c r="Y875" s="36"/>
      <c r="Z875" s="36"/>
      <c r="AA875" s="36"/>
      <c r="AB875" s="36"/>
      <c r="AC875" s="36"/>
    </row>
    <row r="876" spans="17:29" x14ac:dyDescent="0.2">
      <c r="Q876" s="36"/>
      <c r="R876" s="40"/>
      <c r="S876" s="40"/>
      <c r="T876" s="40"/>
      <c r="U876" s="41"/>
      <c r="V876" s="41"/>
      <c r="W876" s="41"/>
      <c r="X876" s="36"/>
      <c r="Y876" s="36"/>
      <c r="Z876" s="36"/>
      <c r="AA876" s="36"/>
      <c r="AB876" s="36"/>
      <c r="AC876" s="36"/>
    </row>
    <row r="877" spans="17:29" x14ac:dyDescent="0.2">
      <c r="Q877" s="36"/>
      <c r="R877" s="40"/>
      <c r="S877" s="40"/>
      <c r="T877" s="40"/>
      <c r="U877" s="41"/>
      <c r="V877" s="41"/>
      <c r="W877" s="41"/>
      <c r="X877" s="36"/>
      <c r="Y877" s="36"/>
      <c r="Z877" s="36"/>
      <c r="AA877" s="36"/>
      <c r="AB877" s="36"/>
      <c r="AC877" s="36"/>
    </row>
    <row r="878" spans="17:29" x14ac:dyDescent="0.2">
      <c r="Q878" s="36"/>
      <c r="R878" s="40"/>
      <c r="S878" s="40"/>
      <c r="T878" s="40"/>
      <c r="U878" s="41"/>
      <c r="V878" s="41"/>
      <c r="W878" s="41"/>
      <c r="X878" s="36"/>
      <c r="Y878" s="36"/>
      <c r="Z878" s="36"/>
      <c r="AA878" s="36"/>
      <c r="AB878" s="36"/>
      <c r="AC878" s="36"/>
    </row>
    <row r="879" spans="17:29" x14ac:dyDescent="0.2">
      <c r="Q879" s="36"/>
      <c r="R879" s="40"/>
      <c r="S879" s="40"/>
      <c r="T879" s="40"/>
      <c r="U879" s="41"/>
      <c r="V879" s="41"/>
      <c r="W879" s="41"/>
      <c r="X879" s="36"/>
      <c r="Y879" s="36"/>
      <c r="Z879" s="36"/>
      <c r="AA879" s="36"/>
      <c r="AB879" s="36"/>
      <c r="AC879" s="36"/>
    </row>
    <row r="880" spans="17:29" x14ac:dyDescent="0.2">
      <c r="Q880" s="36"/>
      <c r="R880" s="40"/>
      <c r="S880" s="40"/>
      <c r="T880" s="40"/>
      <c r="U880" s="41"/>
      <c r="V880" s="41"/>
      <c r="W880" s="41"/>
      <c r="X880" s="36"/>
      <c r="Y880" s="36"/>
      <c r="Z880" s="36"/>
      <c r="AA880" s="36"/>
      <c r="AB880" s="36"/>
      <c r="AC880" s="36"/>
    </row>
    <row r="881" spans="17:29" x14ac:dyDescent="0.2">
      <c r="Q881" s="36"/>
      <c r="R881" s="40"/>
      <c r="S881" s="40"/>
      <c r="T881" s="40"/>
      <c r="U881" s="41"/>
      <c r="V881" s="41"/>
      <c r="W881" s="41"/>
      <c r="X881" s="36"/>
      <c r="Y881" s="36"/>
      <c r="Z881" s="36"/>
      <c r="AA881" s="36"/>
      <c r="AB881" s="36"/>
      <c r="AC881" s="36"/>
    </row>
    <row r="882" spans="17:29" x14ac:dyDescent="0.2">
      <c r="Q882" s="36"/>
      <c r="R882" s="40"/>
      <c r="S882" s="40"/>
      <c r="T882" s="40"/>
      <c r="U882" s="41"/>
      <c r="V882" s="41"/>
      <c r="W882" s="41"/>
      <c r="X882" s="36"/>
      <c r="Y882" s="36"/>
      <c r="Z882" s="36"/>
      <c r="AA882" s="36"/>
      <c r="AB882" s="36"/>
      <c r="AC882" s="36"/>
    </row>
    <row r="883" spans="17:29" x14ac:dyDescent="0.2">
      <c r="Q883" s="36"/>
      <c r="R883" s="40"/>
      <c r="S883" s="40"/>
      <c r="T883" s="40"/>
      <c r="U883" s="41"/>
      <c r="V883" s="41"/>
      <c r="W883" s="41"/>
      <c r="X883" s="36"/>
      <c r="Y883" s="36"/>
      <c r="Z883" s="36"/>
      <c r="AA883" s="36"/>
      <c r="AB883" s="36"/>
      <c r="AC883" s="36"/>
    </row>
    <row r="884" spans="17:29" x14ac:dyDescent="0.2">
      <c r="Q884" s="36"/>
      <c r="R884" s="40"/>
      <c r="S884" s="40"/>
      <c r="T884" s="40"/>
      <c r="U884" s="41"/>
      <c r="V884" s="41"/>
      <c r="W884" s="41"/>
      <c r="X884" s="36"/>
      <c r="Y884" s="36"/>
      <c r="Z884" s="36"/>
      <c r="AA884" s="36"/>
      <c r="AB884" s="36"/>
      <c r="AC884" s="36"/>
    </row>
    <row r="885" spans="17:29" x14ac:dyDescent="0.2">
      <c r="Q885" s="36"/>
      <c r="R885" s="40"/>
      <c r="S885" s="40"/>
      <c r="T885" s="40"/>
      <c r="U885" s="41"/>
      <c r="V885" s="41"/>
      <c r="W885" s="41"/>
      <c r="X885" s="36"/>
      <c r="Y885" s="36"/>
      <c r="Z885" s="36"/>
      <c r="AA885" s="36"/>
      <c r="AB885" s="36"/>
      <c r="AC885" s="36"/>
    </row>
    <row r="886" spans="17:29" x14ac:dyDescent="0.2">
      <c r="Q886" s="36"/>
      <c r="R886" s="40"/>
      <c r="S886" s="40"/>
      <c r="T886" s="40"/>
      <c r="U886" s="41"/>
      <c r="V886" s="41"/>
      <c r="W886" s="41"/>
      <c r="X886" s="36"/>
      <c r="Y886" s="36"/>
      <c r="Z886" s="36"/>
      <c r="AA886" s="36"/>
      <c r="AB886" s="36"/>
      <c r="AC886" s="36"/>
    </row>
    <row r="887" spans="17:29" x14ac:dyDescent="0.2">
      <c r="Q887" s="36"/>
      <c r="R887" s="40"/>
      <c r="S887" s="40"/>
      <c r="T887" s="40"/>
      <c r="U887" s="41"/>
      <c r="V887" s="41"/>
      <c r="W887" s="41"/>
      <c r="X887" s="36"/>
      <c r="Y887" s="36"/>
      <c r="Z887" s="36"/>
      <c r="AA887" s="36"/>
      <c r="AB887" s="36"/>
      <c r="AC887" s="36"/>
    </row>
    <row r="888" spans="17:29" x14ac:dyDescent="0.2">
      <c r="Q888" s="36"/>
      <c r="R888" s="40"/>
      <c r="S888" s="40"/>
      <c r="T888" s="40"/>
      <c r="U888" s="41"/>
      <c r="V888" s="41"/>
      <c r="W888" s="41"/>
      <c r="X888" s="36"/>
      <c r="Y888" s="36"/>
      <c r="Z888" s="36"/>
      <c r="AA888" s="36"/>
      <c r="AB888" s="36"/>
      <c r="AC888" s="36"/>
    </row>
    <row r="889" spans="17:29" x14ac:dyDescent="0.2">
      <c r="Q889" s="36"/>
      <c r="R889" s="40"/>
      <c r="S889" s="40"/>
      <c r="T889" s="40"/>
      <c r="U889" s="41"/>
      <c r="V889" s="41"/>
      <c r="W889" s="41"/>
      <c r="X889" s="36"/>
      <c r="Y889" s="36"/>
      <c r="Z889" s="36"/>
      <c r="AA889" s="36"/>
      <c r="AB889" s="36"/>
      <c r="AC889" s="36"/>
    </row>
    <row r="890" spans="17:29" x14ac:dyDescent="0.2">
      <c r="Q890" s="36"/>
      <c r="R890" s="40"/>
      <c r="S890" s="40"/>
      <c r="T890" s="40"/>
      <c r="U890" s="41"/>
      <c r="V890" s="41"/>
      <c r="W890" s="41"/>
      <c r="X890" s="36"/>
      <c r="Y890" s="36"/>
      <c r="Z890" s="36"/>
      <c r="AA890" s="36"/>
      <c r="AB890" s="36"/>
      <c r="AC890" s="36"/>
    </row>
    <row r="891" spans="17:29" x14ac:dyDescent="0.2">
      <c r="Q891" s="36"/>
      <c r="R891" s="40"/>
      <c r="S891" s="40"/>
      <c r="T891" s="40"/>
      <c r="U891" s="41"/>
      <c r="V891" s="41"/>
      <c r="W891" s="41"/>
      <c r="X891" s="36"/>
      <c r="Y891" s="36"/>
      <c r="Z891" s="36"/>
      <c r="AA891" s="36"/>
      <c r="AB891" s="36"/>
      <c r="AC891" s="36"/>
    </row>
    <row r="892" spans="17:29" x14ac:dyDescent="0.2">
      <c r="Q892" s="36"/>
      <c r="R892" s="40"/>
      <c r="S892" s="40"/>
      <c r="T892" s="40"/>
      <c r="U892" s="41"/>
      <c r="V892" s="41"/>
      <c r="W892" s="41"/>
      <c r="X892" s="36"/>
      <c r="Y892" s="36"/>
      <c r="Z892" s="36"/>
      <c r="AA892" s="36"/>
      <c r="AB892" s="36"/>
      <c r="AC892" s="36"/>
    </row>
    <row r="893" spans="17:29" x14ac:dyDescent="0.2">
      <c r="Q893" s="36"/>
      <c r="R893" s="40"/>
      <c r="S893" s="40"/>
      <c r="T893" s="40"/>
      <c r="U893" s="41"/>
      <c r="V893" s="41"/>
      <c r="W893" s="41"/>
      <c r="X893" s="36"/>
      <c r="Y893" s="36"/>
      <c r="Z893" s="36"/>
      <c r="AA893" s="36"/>
      <c r="AB893" s="36"/>
      <c r="AC893" s="36"/>
    </row>
    <row r="894" spans="17:29" x14ac:dyDescent="0.2">
      <c r="Q894" s="36"/>
      <c r="R894" s="40"/>
      <c r="S894" s="40"/>
      <c r="T894" s="40"/>
      <c r="U894" s="41"/>
      <c r="V894" s="41"/>
      <c r="W894" s="41"/>
      <c r="X894" s="36"/>
      <c r="Y894" s="36"/>
      <c r="Z894" s="36"/>
      <c r="AA894" s="36"/>
      <c r="AB894" s="36"/>
      <c r="AC894" s="36"/>
    </row>
    <row r="895" spans="17:29" x14ac:dyDescent="0.2">
      <c r="Q895" s="36"/>
      <c r="R895" s="40"/>
      <c r="S895" s="40"/>
      <c r="T895" s="40"/>
      <c r="U895" s="41"/>
      <c r="V895" s="41"/>
      <c r="W895" s="41"/>
      <c r="X895" s="36"/>
      <c r="Y895" s="36"/>
      <c r="Z895" s="36"/>
      <c r="AA895" s="36"/>
      <c r="AB895" s="36"/>
      <c r="AC895" s="36"/>
    </row>
    <row r="896" spans="17:29" x14ac:dyDescent="0.2">
      <c r="Q896" s="36"/>
      <c r="R896" s="40"/>
      <c r="S896" s="40"/>
      <c r="T896" s="40"/>
      <c r="U896" s="41"/>
      <c r="V896" s="41"/>
      <c r="W896" s="41"/>
      <c r="X896" s="36"/>
      <c r="Y896" s="36"/>
      <c r="Z896" s="36"/>
      <c r="AA896" s="36"/>
      <c r="AB896" s="36"/>
      <c r="AC896" s="36"/>
    </row>
    <row r="897" spans="17:29" x14ac:dyDescent="0.2">
      <c r="Q897" s="36"/>
      <c r="R897" s="40"/>
      <c r="S897" s="40"/>
      <c r="T897" s="40"/>
      <c r="U897" s="41"/>
      <c r="V897" s="41"/>
      <c r="W897" s="41"/>
      <c r="X897" s="36"/>
      <c r="Y897" s="36"/>
      <c r="Z897" s="36"/>
      <c r="AA897" s="36"/>
      <c r="AB897" s="36"/>
      <c r="AC897" s="36"/>
    </row>
    <row r="898" spans="17:29" x14ac:dyDescent="0.2">
      <c r="Q898" s="36"/>
      <c r="R898" s="40"/>
      <c r="S898" s="40"/>
      <c r="T898" s="40"/>
      <c r="U898" s="41"/>
      <c r="V898" s="41"/>
      <c r="W898" s="41"/>
      <c r="X898" s="36"/>
      <c r="Y898" s="36"/>
      <c r="Z898" s="36"/>
      <c r="AA898" s="36"/>
      <c r="AB898" s="36"/>
      <c r="AC898" s="36"/>
    </row>
    <row r="899" spans="17:29" x14ac:dyDescent="0.2">
      <c r="Q899" s="36"/>
      <c r="R899" s="40"/>
      <c r="S899" s="40"/>
      <c r="T899" s="40"/>
      <c r="U899" s="41"/>
      <c r="V899" s="41"/>
      <c r="W899" s="41"/>
      <c r="X899" s="36"/>
      <c r="Y899" s="36"/>
      <c r="Z899" s="36"/>
      <c r="AA899" s="36"/>
      <c r="AB899" s="36"/>
      <c r="AC899" s="36"/>
    </row>
    <row r="900" spans="17:29" x14ac:dyDescent="0.2">
      <c r="Q900" s="36"/>
      <c r="R900" s="40"/>
      <c r="S900" s="40"/>
      <c r="T900" s="40"/>
      <c r="U900" s="41"/>
      <c r="V900" s="41"/>
      <c r="W900" s="41"/>
      <c r="X900" s="36"/>
      <c r="Y900" s="36"/>
      <c r="Z900" s="36"/>
      <c r="AA900" s="36"/>
      <c r="AB900" s="36"/>
      <c r="AC900" s="36"/>
    </row>
    <row r="901" spans="17:29" x14ac:dyDescent="0.2">
      <c r="Q901" s="36"/>
      <c r="R901" s="40"/>
      <c r="S901" s="40"/>
      <c r="T901" s="40"/>
      <c r="U901" s="41"/>
      <c r="V901" s="41"/>
      <c r="W901" s="41"/>
      <c r="X901" s="36"/>
      <c r="Y901" s="36"/>
      <c r="Z901" s="36"/>
      <c r="AA901" s="36"/>
      <c r="AB901" s="36"/>
      <c r="AC901" s="36"/>
    </row>
    <row r="902" spans="17:29" x14ac:dyDescent="0.2">
      <c r="Q902" s="36"/>
      <c r="R902" s="40"/>
      <c r="S902" s="40"/>
      <c r="T902" s="40"/>
      <c r="U902" s="41"/>
      <c r="V902" s="41"/>
      <c r="W902" s="41"/>
      <c r="X902" s="36"/>
      <c r="Y902" s="36"/>
      <c r="Z902" s="36"/>
      <c r="AA902" s="36"/>
      <c r="AB902" s="36"/>
      <c r="AC902" s="36"/>
    </row>
    <row r="903" spans="17:29" x14ac:dyDescent="0.2">
      <c r="Q903" s="36"/>
      <c r="R903" s="40"/>
      <c r="S903" s="40"/>
      <c r="T903" s="40"/>
      <c r="U903" s="41"/>
      <c r="V903" s="41"/>
      <c r="W903" s="41"/>
      <c r="X903" s="36"/>
      <c r="Y903" s="36"/>
      <c r="Z903" s="36"/>
      <c r="AA903" s="36"/>
      <c r="AB903" s="36"/>
      <c r="AC903" s="36"/>
    </row>
    <row r="904" spans="17:29" x14ac:dyDescent="0.2">
      <c r="Q904" s="36"/>
      <c r="R904" s="40"/>
      <c r="S904" s="40"/>
      <c r="T904" s="40"/>
      <c r="U904" s="41"/>
      <c r="V904" s="41"/>
      <c r="W904" s="41"/>
      <c r="X904" s="36"/>
      <c r="Y904" s="36"/>
      <c r="Z904" s="36"/>
      <c r="AA904" s="36"/>
      <c r="AB904" s="36"/>
      <c r="AC904" s="36"/>
    </row>
    <row r="905" spans="17:29" x14ac:dyDescent="0.2">
      <c r="Q905" s="36"/>
      <c r="R905" s="40"/>
      <c r="S905" s="40"/>
      <c r="T905" s="40"/>
      <c r="U905" s="41"/>
      <c r="V905" s="41"/>
      <c r="W905" s="41"/>
      <c r="X905" s="36"/>
      <c r="Y905" s="36"/>
      <c r="Z905" s="36"/>
      <c r="AA905" s="36"/>
      <c r="AB905" s="36"/>
      <c r="AC905" s="36"/>
    </row>
    <row r="906" spans="17:29" x14ac:dyDescent="0.2">
      <c r="Q906" s="36"/>
      <c r="R906" s="40"/>
      <c r="S906" s="40"/>
      <c r="T906" s="40"/>
      <c r="U906" s="41"/>
      <c r="V906" s="41"/>
      <c r="W906" s="41"/>
      <c r="X906" s="36"/>
      <c r="Y906" s="36"/>
      <c r="Z906" s="36"/>
      <c r="AA906" s="36"/>
      <c r="AB906" s="36"/>
      <c r="AC906" s="36"/>
    </row>
    <row r="907" spans="17:29" x14ac:dyDescent="0.2">
      <c r="Q907" s="36"/>
      <c r="R907" s="40"/>
      <c r="S907" s="40"/>
      <c r="T907" s="40"/>
      <c r="U907" s="41"/>
      <c r="V907" s="41"/>
      <c r="W907" s="41"/>
      <c r="X907" s="36"/>
      <c r="Y907" s="36"/>
      <c r="Z907" s="36"/>
      <c r="AA907" s="36"/>
      <c r="AB907" s="36"/>
      <c r="AC907" s="36"/>
    </row>
    <row r="908" spans="17:29" x14ac:dyDescent="0.2">
      <c r="Q908" s="36"/>
      <c r="R908" s="40"/>
      <c r="S908" s="40"/>
      <c r="T908" s="40"/>
      <c r="U908" s="41"/>
      <c r="V908" s="41"/>
      <c r="W908" s="41"/>
      <c r="X908" s="36"/>
      <c r="Y908" s="36"/>
      <c r="Z908" s="36"/>
      <c r="AA908" s="36"/>
      <c r="AB908" s="36"/>
      <c r="AC908" s="36"/>
    </row>
    <row r="909" spans="17:29" x14ac:dyDescent="0.2">
      <c r="Q909" s="36"/>
      <c r="R909" s="40"/>
      <c r="S909" s="40"/>
      <c r="T909" s="40"/>
      <c r="U909" s="41"/>
      <c r="V909" s="41"/>
      <c r="W909" s="41"/>
      <c r="X909" s="36"/>
      <c r="Y909" s="36"/>
      <c r="Z909" s="36"/>
      <c r="AA909" s="36"/>
      <c r="AB909" s="36"/>
      <c r="AC909" s="36"/>
    </row>
    <row r="910" spans="17:29" x14ac:dyDescent="0.2">
      <c r="Q910" s="36"/>
      <c r="R910" s="40"/>
      <c r="S910" s="40"/>
      <c r="T910" s="40"/>
      <c r="U910" s="41"/>
      <c r="V910" s="41"/>
      <c r="W910" s="41"/>
      <c r="X910" s="36"/>
      <c r="Y910" s="36"/>
      <c r="Z910" s="36"/>
      <c r="AA910" s="36"/>
      <c r="AB910" s="36"/>
      <c r="AC910" s="36"/>
    </row>
    <row r="911" spans="17:29" x14ac:dyDescent="0.2">
      <c r="Q911" s="36"/>
      <c r="R911" s="40"/>
      <c r="S911" s="40"/>
      <c r="T911" s="40"/>
      <c r="U911" s="41"/>
      <c r="V911" s="41"/>
      <c r="W911" s="41"/>
      <c r="X911" s="36"/>
      <c r="Y911" s="36"/>
      <c r="Z911" s="36"/>
      <c r="AA911" s="36"/>
      <c r="AB911" s="36"/>
      <c r="AC911" s="36"/>
    </row>
    <row r="912" spans="17:29" x14ac:dyDescent="0.2">
      <c r="Q912" s="36"/>
      <c r="R912" s="40"/>
      <c r="S912" s="40"/>
      <c r="T912" s="40"/>
      <c r="U912" s="41"/>
      <c r="V912" s="41"/>
      <c r="W912" s="41"/>
      <c r="X912" s="36"/>
      <c r="Y912" s="36"/>
      <c r="Z912" s="36"/>
      <c r="AA912" s="36"/>
      <c r="AB912" s="36"/>
      <c r="AC912" s="36"/>
    </row>
    <row r="913" spans="17:29" x14ac:dyDescent="0.2">
      <c r="Q913" s="36"/>
      <c r="R913" s="40"/>
      <c r="S913" s="40"/>
      <c r="T913" s="40"/>
      <c r="U913" s="41"/>
      <c r="V913" s="41"/>
      <c r="W913" s="41"/>
      <c r="X913" s="36"/>
      <c r="Y913" s="36"/>
      <c r="Z913" s="36"/>
      <c r="AA913" s="36"/>
      <c r="AB913" s="36"/>
      <c r="AC913" s="36"/>
    </row>
    <row r="914" spans="17:29" x14ac:dyDescent="0.2">
      <c r="Q914" s="36"/>
      <c r="R914" s="40"/>
      <c r="S914" s="40"/>
      <c r="T914" s="40"/>
      <c r="U914" s="41"/>
      <c r="V914" s="41"/>
      <c r="W914" s="41"/>
      <c r="X914" s="36"/>
      <c r="Y914" s="36"/>
      <c r="Z914" s="36"/>
      <c r="AA914" s="36"/>
      <c r="AB914" s="36"/>
      <c r="AC914" s="36"/>
    </row>
    <row r="915" spans="17:29" x14ac:dyDescent="0.2">
      <c r="Q915" s="36"/>
      <c r="R915" s="40"/>
      <c r="S915" s="40"/>
      <c r="T915" s="40"/>
      <c r="U915" s="41"/>
      <c r="V915" s="41"/>
      <c r="W915" s="41"/>
      <c r="X915" s="36"/>
      <c r="Y915" s="36"/>
      <c r="Z915" s="36"/>
      <c r="AA915" s="36"/>
      <c r="AB915" s="36"/>
      <c r="AC915" s="36"/>
    </row>
    <row r="916" spans="17:29" x14ac:dyDescent="0.2">
      <c r="Q916" s="36"/>
      <c r="R916" s="40"/>
      <c r="S916" s="40"/>
      <c r="T916" s="40"/>
      <c r="U916" s="41"/>
      <c r="V916" s="41"/>
      <c r="W916" s="41"/>
      <c r="X916" s="36"/>
      <c r="Y916" s="36"/>
      <c r="Z916" s="36"/>
      <c r="AA916" s="36"/>
      <c r="AB916" s="36"/>
      <c r="AC916" s="36"/>
    </row>
    <row r="917" spans="17:29" x14ac:dyDescent="0.2">
      <c r="Q917" s="36"/>
      <c r="R917" s="40"/>
      <c r="S917" s="40"/>
      <c r="T917" s="40"/>
      <c r="U917" s="41"/>
      <c r="V917" s="41"/>
      <c r="W917" s="41"/>
      <c r="X917" s="36"/>
      <c r="Y917" s="36"/>
      <c r="Z917" s="36"/>
      <c r="AA917" s="36"/>
      <c r="AB917" s="36"/>
      <c r="AC917" s="36"/>
    </row>
    <row r="918" spans="17:29" x14ac:dyDescent="0.2">
      <c r="Q918" s="36"/>
      <c r="R918" s="40"/>
      <c r="S918" s="40"/>
      <c r="T918" s="40"/>
      <c r="U918" s="41"/>
      <c r="V918" s="41"/>
      <c r="W918" s="41"/>
      <c r="X918" s="36"/>
      <c r="Y918" s="36"/>
      <c r="Z918" s="36"/>
      <c r="AA918" s="36"/>
      <c r="AB918" s="36"/>
      <c r="AC918" s="36"/>
    </row>
    <row r="919" spans="17:29" x14ac:dyDescent="0.2">
      <c r="Q919" s="36"/>
      <c r="R919" s="40"/>
      <c r="S919" s="40"/>
      <c r="T919" s="40"/>
      <c r="U919" s="41"/>
      <c r="V919" s="41"/>
      <c r="W919" s="41"/>
      <c r="X919" s="36"/>
      <c r="Y919" s="36"/>
      <c r="Z919" s="36"/>
      <c r="AA919" s="36"/>
      <c r="AB919" s="36"/>
      <c r="AC919" s="36"/>
    </row>
    <row r="920" spans="17:29" x14ac:dyDescent="0.2">
      <c r="Q920" s="36"/>
      <c r="R920" s="40"/>
      <c r="S920" s="40"/>
      <c r="T920" s="40"/>
      <c r="U920" s="41"/>
      <c r="V920" s="41"/>
      <c r="W920" s="41"/>
      <c r="X920" s="36"/>
      <c r="Y920" s="36"/>
      <c r="Z920" s="36"/>
      <c r="AA920" s="36"/>
      <c r="AB920" s="36"/>
      <c r="AC920" s="36"/>
    </row>
    <row r="921" spans="17:29" x14ac:dyDescent="0.2">
      <c r="Q921" s="36"/>
      <c r="R921" s="40"/>
      <c r="S921" s="40"/>
      <c r="T921" s="40"/>
      <c r="U921" s="41"/>
      <c r="V921" s="41"/>
      <c r="W921" s="41"/>
      <c r="X921" s="36"/>
      <c r="Y921" s="36"/>
      <c r="Z921" s="36"/>
      <c r="AA921" s="36"/>
      <c r="AB921" s="36"/>
      <c r="AC921" s="36"/>
    </row>
    <row r="922" spans="17:29" x14ac:dyDescent="0.2">
      <c r="Q922" s="36"/>
      <c r="R922" s="40"/>
      <c r="S922" s="40"/>
      <c r="T922" s="40"/>
      <c r="U922" s="41"/>
      <c r="V922" s="41"/>
      <c r="W922" s="41"/>
      <c r="X922" s="36"/>
      <c r="Y922" s="36"/>
      <c r="Z922" s="36"/>
      <c r="AA922" s="36"/>
      <c r="AB922" s="36"/>
      <c r="AC922" s="36"/>
    </row>
    <row r="923" spans="17:29" x14ac:dyDescent="0.2">
      <c r="Q923" s="36"/>
      <c r="R923" s="40"/>
      <c r="S923" s="40"/>
      <c r="T923" s="40"/>
      <c r="U923" s="41"/>
      <c r="V923" s="41"/>
      <c r="W923" s="41"/>
      <c r="X923" s="36"/>
      <c r="Y923" s="36"/>
      <c r="Z923" s="36"/>
      <c r="AA923" s="36"/>
      <c r="AB923" s="36"/>
      <c r="AC923" s="36"/>
    </row>
    <row r="924" spans="17:29" x14ac:dyDescent="0.2">
      <c r="Q924" s="36"/>
      <c r="R924" s="40"/>
      <c r="S924" s="40"/>
      <c r="T924" s="40"/>
      <c r="U924" s="41"/>
      <c r="V924" s="41"/>
      <c r="W924" s="41"/>
      <c r="X924" s="36"/>
      <c r="Y924" s="36"/>
      <c r="Z924" s="36"/>
      <c r="AA924" s="36"/>
      <c r="AB924" s="36"/>
      <c r="AC924" s="36"/>
    </row>
    <row r="925" spans="17:29" x14ac:dyDescent="0.2">
      <c r="Q925" s="36"/>
      <c r="R925" s="40"/>
      <c r="S925" s="40"/>
      <c r="T925" s="40"/>
      <c r="U925" s="41"/>
      <c r="V925" s="41"/>
      <c r="W925" s="41"/>
      <c r="X925" s="36"/>
      <c r="Y925" s="36"/>
      <c r="Z925" s="36"/>
      <c r="AA925" s="36"/>
      <c r="AB925" s="36"/>
      <c r="AC925" s="36"/>
    </row>
    <row r="926" spans="17:29" x14ac:dyDescent="0.2">
      <c r="Q926" s="36"/>
      <c r="R926" s="40"/>
      <c r="S926" s="40"/>
      <c r="T926" s="40"/>
      <c r="U926" s="41"/>
      <c r="V926" s="41"/>
      <c r="W926" s="41"/>
      <c r="X926" s="36"/>
      <c r="Y926" s="36"/>
      <c r="Z926" s="36"/>
      <c r="AA926" s="36"/>
      <c r="AB926" s="36"/>
      <c r="AC926" s="36"/>
    </row>
    <row r="927" spans="17:29" x14ac:dyDescent="0.2">
      <c r="Q927" s="36"/>
      <c r="R927" s="40"/>
      <c r="S927" s="40"/>
      <c r="T927" s="40"/>
      <c r="U927" s="41"/>
      <c r="V927" s="41"/>
      <c r="W927" s="41"/>
      <c r="X927" s="36"/>
      <c r="Y927" s="36"/>
      <c r="Z927" s="36"/>
      <c r="AA927" s="36"/>
      <c r="AB927" s="36"/>
      <c r="AC927" s="36"/>
    </row>
    <row r="928" spans="17:29" x14ac:dyDescent="0.2">
      <c r="Q928" s="36"/>
      <c r="R928" s="40"/>
      <c r="S928" s="40"/>
      <c r="T928" s="40"/>
      <c r="U928" s="41"/>
      <c r="V928" s="41"/>
      <c r="W928" s="41"/>
      <c r="X928" s="36"/>
      <c r="Y928" s="36"/>
      <c r="Z928" s="36"/>
      <c r="AA928" s="36"/>
      <c r="AB928" s="36"/>
      <c r="AC928" s="36"/>
    </row>
    <row r="929" spans="17:29" x14ac:dyDescent="0.2">
      <c r="Q929" s="36"/>
      <c r="R929" s="40"/>
      <c r="S929" s="40"/>
      <c r="T929" s="40"/>
      <c r="U929" s="41"/>
      <c r="V929" s="41"/>
      <c r="W929" s="41"/>
      <c r="X929" s="36"/>
      <c r="Y929" s="36"/>
      <c r="Z929" s="36"/>
      <c r="AA929" s="36"/>
      <c r="AB929" s="36"/>
      <c r="AC929" s="36"/>
    </row>
    <row r="930" spans="17:29" x14ac:dyDescent="0.2">
      <c r="Q930" s="36"/>
      <c r="R930" s="40"/>
      <c r="S930" s="40"/>
      <c r="T930" s="40"/>
      <c r="U930" s="41"/>
      <c r="V930" s="41"/>
      <c r="W930" s="41"/>
      <c r="X930" s="36"/>
      <c r="Y930" s="36"/>
      <c r="Z930" s="36"/>
      <c r="AA930" s="36"/>
      <c r="AB930" s="36"/>
      <c r="AC930" s="36"/>
    </row>
    <row r="931" spans="17:29" x14ac:dyDescent="0.2">
      <c r="Q931" s="36"/>
      <c r="R931" s="40"/>
      <c r="S931" s="40"/>
      <c r="T931" s="40"/>
      <c r="U931" s="41"/>
      <c r="V931" s="41"/>
      <c r="W931" s="41"/>
      <c r="X931" s="36"/>
      <c r="Y931" s="36"/>
      <c r="Z931" s="36"/>
      <c r="AA931" s="36"/>
      <c r="AB931" s="36"/>
      <c r="AC931" s="36"/>
    </row>
    <row r="932" spans="17:29" x14ac:dyDescent="0.2">
      <c r="Q932" s="36"/>
      <c r="R932" s="40"/>
      <c r="S932" s="40"/>
      <c r="T932" s="40"/>
      <c r="U932" s="41"/>
      <c r="V932" s="41"/>
      <c r="W932" s="41"/>
      <c r="X932" s="36"/>
      <c r="Y932" s="36"/>
      <c r="Z932" s="36"/>
      <c r="AA932" s="36"/>
      <c r="AB932" s="36"/>
      <c r="AC932" s="36"/>
    </row>
    <row r="933" spans="17:29" x14ac:dyDescent="0.2">
      <c r="Q933" s="36"/>
      <c r="R933" s="40"/>
      <c r="S933" s="40"/>
      <c r="T933" s="40"/>
      <c r="U933" s="41"/>
      <c r="V933" s="41"/>
      <c r="W933" s="41"/>
      <c r="X933" s="36"/>
      <c r="Y933" s="36"/>
      <c r="Z933" s="36"/>
      <c r="AA933" s="36"/>
      <c r="AB933" s="36"/>
      <c r="AC933" s="36"/>
    </row>
    <row r="934" spans="17:29" x14ac:dyDescent="0.2">
      <c r="Q934" s="36"/>
      <c r="R934" s="40"/>
      <c r="S934" s="40"/>
      <c r="T934" s="40"/>
      <c r="U934" s="41"/>
      <c r="V934" s="41"/>
      <c r="W934" s="41"/>
      <c r="X934" s="36"/>
      <c r="Y934" s="36"/>
      <c r="Z934" s="36"/>
      <c r="AA934" s="36"/>
      <c r="AB934" s="36"/>
      <c r="AC934" s="36"/>
    </row>
    <row r="935" spans="17:29" x14ac:dyDescent="0.2">
      <c r="Q935" s="36"/>
      <c r="R935" s="40"/>
      <c r="S935" s="40"/>
      <c r="T935" s="40"/>
      <c r="U935" s="41"/>
      <c r="V935" s="41"/>
      <c r="W935" s="41"/>
      <c r="X935" s="36"/>
      <c r="Y935" s="36"/>
      <c r="Z935" s="36"/>
      <c r="AA935" s="36"/>
      <c r="AB935" s="36"/>
      <c r="AC935" s="36"/>
    </row>
    <row r="936" spans="17:29" x14ac:dyDescent="0.2">
      <c r="Q936" s="36"/>
      <c r="R936" s="40"/>
      <c r="S936" s="40"/>
      <c r="T936" s="40"/>
      <c r="U936" s="41"/>
      <c r="V936" s="41"/>
      <c r="W936" s="41"/>
      <c r="X936" s="36"/>
      <c r="Y936" s="36"/>
      <c r="Z936" s="36"/>
      <c r="AA936" s="36"/>
      <c r="AB936" s="36"/>
      <c r="AC936" s="36"/>
    </row>
    <row r="937" spans="17:29" x14ac:dyDescent="0.2">
      <c r="Q937" s="36"/>
      <c r="R937" s="40"/>
      <c r="S937" s="40"/>
      <c r="T937" s="40"/>
      <c r="U937" s="41"/>
      <c r="V937" s="41"/>
      <c r="W937" s="41"/>
      <c r="X937" s="36"/>
      <c r="Y937" s="36"/>
      <c r="Z937" s="36"/>
      <c r="AA937" s="36"/>
      <c r="AB937" s="36"/>
      <c r="AC937" s="36"/>
    </row>
    <row r="938" spans="17:29" x14ac:dyDescent="0.2">
      <c r="Q938" s="36"/>
      <c r="R938" s="40"/>
      <c r="S938" s="40"/>
      <c r="T938" s="40"/>
      <c r="U938" s="41"/>
      <c r="V938" s="41"/>
      <c r="W938" s="41"/>
      <c r="X938" s="36"/>
      <c r="Y938" s="36"/>
      <c r="Z938" s="36"/>
      <c r="AA938" s="36"/>
      <c r="AB938" s="36"/>
      <c r="AC938" s="36"/>
    </row>
    <row r="939" spans="17:29" x14ac:dyDescent="0.2">
      <c r="Q939" s="36"/>
      <c r="R939" s="40"/>
      <c r="S939" s="40"/>
      <c r="T939" s="40"/>
      <c r="U939" s="41"/>
      <c r="V939" s="41"/>
      <c r="W939" s="41"/>
      <c r="X939" s="36"/>
      <c r="Y939" s="36"/>
      <c r="Z939" s="36"/>
      <c r="AA939" s="36"/>
      <c r="AB939" s="36"/>
      <c r="AC939" s="36"/>
    </row>
    <row r="940" spans="17:29" x14ac:dyDescent="0.2">
      <c r="Q940" s="36"/>
      <c r="R940" s="40"/>
      <c r="S940" s="40"/>
      <c r="T940" s="40"/>
      <c r="U940" s="41"/>
      <c r="V940" s="41"/>
      <c r="W940" s="41"/>
      <c r="X940" s="36"/>
      <c r="Y940" s="36"/>
      <c r="Z940" s="36"/>
      <c r="AA940" s="36"/>
      <c r="AB940" s="36"/>
      <c r="AC940" s="36"/>
    </row>
    <row r="941" spans="17:29" x14ac:dyDescent="0.2">
      <c r="Q941" s="36"/>
      <c r="R941" s="40"/>
      <c r="S941" s="40"/>
      <c r="T941" s="40"/>
      <c r="U941" s="41"/>
      <c r="V941" s="41"/>
      <c r="W941" s="41"/>
      <c r="X941" s="36"/>
      <c r="Y941" s="36"/>
      <c r="Z941" s="36"/>
      <c r="AA941" s="36"/>
      <c r="AB941" s="36"/>
      <c r="AC941" s="36"/>
    </row>
    <row r="942" spans="17:29" x14ac:dyDescent="0.2">
      <c r="Q942" s="36"/>
      <c r="R942" s="40"/>
      <c r="S942" s="40"/>
      <c r="T942" s="40"/>
      <c r="U942" s="41"/>
      <c r="V942" s="41"/>
      <c r="W942" s="41"/>
      <c r="X942" s="36"/>
      <c r="Y942" s="36"/>
      <c r="Z942" s="36"/>
      <c r="AA942" s="36"/>
      <c r="AB942" s="36"/>
      <c r="AC942" s="36"/>
    </row>
    <row r="943" spans="17:29" x14ac:dyDescent="0.2">
      <c r="Q943" s="36"/>
      <c r="R943" s="40"/>
      <c r="S943" s="40"/>
      <c r="T943" s="40"/>
      <c r="U943" s="41"/>
      <c r="V943" s="41"/>
      <c r="W943" s="41"/>
      <c r="X943" s="36"/>
      <c r="Y943" s="36"/>
      <c r="Z943" s="36"/>
      <c r="AA943" s="36"/>
      <c r="AB943" s="36"/>
      <c r="AC943" s="36"/>
    </row>
    <row r="944" spans="17:29" x14ac:dyDescent="0.2">
      <c r="Q944" s="36"/>
      <c r="R944" s="40"/>
      <c r="S944" s="40"/>
      <c r="T944" s="40"/>
      <c r="U944" s="41"/>
      <c r="V944" s="41"/>
      <c r="W944" s="41"/>
      <c r="X944" s="36"/>
      <c r="Y944" s="36"/>
      <c r="Z944" s="36"/>
      <c r="AA944" s="36"/>
      <c r="AB944" s="36"/>
      <c r="AC944" s="36"/>
    </row>
    <row r="945" spans="17:29" x14ac:dyDescent="0.2">
      <c r="Q945" s="36"/>
      <c r="R945" s="40"/>
      <c r="S945" s="40"/>
      <c r="T945" s="40"/>
      <c r="U945" s="41"/>
      <c r="V945" s="41"/>
      <c r="W945" s="41"/>
      <c r="X945" s="36"/>
      <c r="Y945" s="36"/>
      <c r="Z945" s="36"/>
      <c r="AA945" s="36"/>
      <c r="AB945" s="36"/>
      <c r="AC945" s="36"/>
    </row>
    <row r="946" spans="17:29" x14ac:dyDescent="0.2">
      <c r="Q946" s="36"/>
      <c r="R946" s="40"/>
      <c r="S946" s="40"/>
      <c r="T946" s="40"/>
      <c r="U946" s="41"/>
      <c r="V946" s="41"/>
      <c r="W946" s="41"/>
      <c r="X946" s="36"/>
      <c r="Y946" s="36"/>
      <c r="Z946" s="36"/>
      <c r="AA946" s="36"/>
      <c r="AB946" s="36"/>
      <c r="AC946" s="36"/>
    </row>
    <row r="947" spans="17:29" x14ac:dyDescent="0.2">
      <c r="Q947" s="36"/>
      <c r="R947" s="40"/>
      <c r="S947" s="40"/>
      <c r="T947" s="40"/>
      <c r="U947" s="41"/>
      <c r="V947" s="41"/>
      <c r="W947" s="41"/>
      <c r="X947" s="36"/>
      <c r="Y947" s="36"/>
      <c r="Z947" s="36"/>
      <c r="AA947" s="36"/>
      <c r="AB947" s="36"/>
      <c r="AC947" s="36"/>
    </row>
    <row r="948" spans="17:29" x14ac:dyDescent="0.2">
      <c r="Q948" s="36"/>
      <c r="R948" s="40"/>
      <c r="S948" s="40"/>
      <c r="T948" s="40"/>
      <c r="U948" s="41"/>
      <c r="V948" s="41"/>
      <c r="W948" s="41"/>
      <c r="X948" s="36"/>
      <c r="Y948" s="36"/>
      <c r="Z948" s="36"/>
      <c r="AA948" s="36"/>
      <c r="AB948" s="36"/>
      <c r="AC948" s="36"/>
    </row>
    <row r="949" spans="17:29" x14ac:dyDescent="0.2">
      <c r="Q949" s="36"/>
      <c r="R949" s="40"/>
      <c r="S949" s="40"/>
      <c r="T949" s="40"/>
      <c r="U949" s="41"/>
      <c r="V949" s="41"/>
      <c r="W949" s="41"/>
      <c r="X949" s="36"/>
      <c r="Y949" s="36"/>
      <c r="Z949" s="36"/>
      <c r="AA949" s="36"/>
      <c r="AB949" s="36"/>
      <c r="AC949" s="36"/>
    </row>
    <row r="950" spans="17:29" x14ac:dyDescent="0.2">
      <c r="Q950" s="36"/>
      <c r="R950" s="40"/>
      <c r="S950" s="40"/>
      <c r="T950" s="40"/>
      <c r="U950" s="41"/>
      <c r="V950" s="41"/>
      <c r="W950" s="41"/>
      <c r="X950" s="36"/>
      <c r="Y950" s="36"/>
      <c r="Z950" s="36"/>
      <c r="AA950" s="36"/>
      <c r="AB950" s="36"/>
      <c r="AC950" s="36"/>
    </row>
    <row r="951" spans="17:29" x14ac:dyDescent="0.2">
      <c r="Q951" s="36"/>
      <c r="R951" s="40"/>
      <c r="S951" s="40"/>
      <c r="T951" s="40"/>
      <c r="U951" s="41"/>
      <c r="V951" s="41"/>
      <c r="W951" s="41"/>
      <c r="X951" s="36"/>
      <c r="Y951" s="36"/>
      <c r="Z951" s="36"/>
      <c r="AA951" s="36"/>
      <c r="AB951" s="36"/>
      <c r="AC951" s="36"/>
    </row>
    <row r="952" spans="17:29" x14ac:dyDescent="0.2">
      <c r="Q952" s="36"/>
      <c r="R952" s="40"/>
      <c r="S952" s="40"/>
      <c r="T952" s="40"/>
      <c r="U952" s="41"/>
      <c r="V952" s="41"/>
      <c r="W952" s="41"/>
      <c r="X952" s="36"/>
      <c r="Y952" s="36"/>
      <c r="Z952" s="36"/>
      <c r="AA952" s="36"/>
      <c r="AB952" s="36"/>
      <c r="AC952" s="36"/>
    </row>
    <row r="953" spans="17:29" x14ac:dyDescent="0.2">
      <c r="Q953" s="36"/>
      <c r="R953" s="40"/>
      <c r="S953" s="40"/>
      <c r="T953" s="40"/>
      <c r="U953" s="41"/>
      <c r="V953" s="41"/>
      <c r="W953" s="41"/>
      <c r="X953" s="36"/>
      <c r="Y953" s="36"/>
      <c r="Z953" s="36"/>
      <c r="AA953" s="36"/>
      <c r="AB953" s="36"/>
      <c r="AC953" s="36"/>
    </row>
    <row r="954" spans="17:29" x14ac:dyDescent="0.2">
      <c r="Q954" s="36"/>
      <c r="R954" s="40"/>
      <c r="S954" s="40"/>
      <c r="T954" s="40"/>
      <c r="U954" s="41"/>
      <c r="V954" s="41"/>
      <c r="W954" s="41"/>
      <c r="X954" s="36"/>
      <c r="Y954" s="36"/>
      <c r="Z954" s="36"/>
      <c r="AA954" s="36"/>
      <c r="AB954" s="36"/>
      <c r="AC954" s="36"/>
    </row>
    <row r="955" spans="17:29" x14ac:dyDescent="0.2">
      <c r="Q955" s="36"/>
      <c r="R955" s="40"/>
      <c r="S955" s="40"/>
      <c r="T955" s="40"/>
      <c r="U955" s="41"/>
      <c r="V955" s="41"/>
      <c r="W955" s="41"/>
      <c r="X955" s="36"/>
      <c r="Y955" s="36"/>
      <c r="Z955" s="36"/>
      <c r="AA955" s="36"/>
      <c r="AB955" s="36"/>
      <c r="AC955" s="36"/>
    </row>
    <row r="956" spans="17:29" x14ac:dyDescent="0.2">
      <c r="Q956" s="36"/>
      <c r="R956" s="40"/>
      <c r="S956" s="40"/>
      <c r="T956" s="40"/>
      <c r="U956" s="41"/>
      <c r="V956" s="41"/>
      <c r="W956" s="41"/>
      <c r="X956" s="36"/>
      <c r="Y956" s="36"/>
      <c r="Z956" s="36"/>
      <c r="AA956" s="36"/>
      <c r="AB956" s="36"/>
      <c r="AC956" s="36"/>
    </row>
    <row r="957" spans="17:29" x14ac:dyDescent="0.2">
      <c r="Q957" s="36"/>
      <c r="R957" s="40"/>
      <c r="S957" s="40"/>
      <c r="T957" s="40"/>
      <c r="U957" s="41"/>
      <c r="V957" s="41"/>
      <c r="W957" s="41"/>
      <c r="X957" s="36"/>
      <c r="Y957" s="36"/>
      <c r="Z957" s="36"/>
      <c r="AA957" s="36"/>
      <c r="AB957" s="36"/>
      <c r="AC957" s="36"/>
    </row>
    <row r="958" spans="17:29" x14ac:dyDescent="0.2">
      <c r="Q958" s="36"/>
      <c r="R958" s="40"/>
      <c r="S958" s="40"/>
      <c r="T958" s="40"/>
      <c r="U958" s="41"/>
      <c r="V958" s="41"/>
      <c r="W958" s="41"/>
      <c r="X958" s="36"/>
      <c r="Y958" s="36"/>
      <c r="Z958" s="36"/>
      <c r="AA958" s="36"/>
      <c r="AB958" s="36"/>
      <c r="AC958" s="36"/>
    </row>
    <row r="959" spans="17:29" x14ac:dyDescent="0.2">
      <c r="Q959" s="36"/>
      <c r="R959" s="40"/>
      <c r="S959" s="40"/>
      <c r="T959" s="40"/>
      <c r="U959" s="41"/>
      <c r="V959" s="41"/>
      <c r="W959" s="41"/>
      <c r="X959" s="36"/>
      <c r="Y959" s="36"/>
      <c r="Z959" s="36"/>
      <c r="AA959" s="36"/>
      <c r="AB959" s="36"/>
      <c r="AC959" s="36"/>
    </row>
    <row r="960" spans="17:29" x14ac:dyDescent="0.2">
      <c r="Q960" s="36"/>
      <c r="R960" s="40"/>
      <c r="S960" s="40"/>
      <c r="T960" s="40"/>
      <c r="U960" s="41"/>
      <c r="V960" s="41"/>
      <c r="W960" s="41"/>
      <c r="X960" s="36"/>
      <c r="Y960" s="36"/>
      <c r="Z960" s="36"/>
      <c r="AA960" s="36"/>
      <c r="AB960" s="36"/>
      <c r="AC960" s="36"/>
    </row>
    <row r="961" spans="17:29" x14ac:dyDescent="0.2">
      <c r="Q961" s="36"/>
      <c r="R961" s="40"/>
      <c r="S961" s="40"/>
      <c r="T961" s="40"/>
      <c r="U961" s="41"/>
      <c r="V961" s="41"/>
      <c r="W961" s="41"/>
      <c r="X961" s="36"/>
      <c r="Y961" s="36"/>
      <c r="Z961" s="36"/>
      <c r="AA961" s="36"/>
      <c r="AB961" s="36"/>
      <c r="AC961" s="36"/>
    </row>
    <row r="962" spans="17:29" x14ac:dyDescent="0.2">
      <c r="Q962" s="36"/>
      <c r="R962" s="40"/>
      <c r="S962" s="40"/>
      <c r="T962" s="40"/>
      <c r="U962" s="41"/>
      <c r="V962" s="41"/>
      <c r="W962" s="41"/>
      <c r="X962" s="36"/>
      <c r="Y962" s="36"/>
      <c r="Z962" s="36"/>
      <c r="AA962" s="36"/>
      <c r="AB962" s="36"/>
      <c r="AC962" s="36"/>
    </row>
    <row r="963" spans="17:29" x14ac:dyDescent="0.2">
      <c r="Q963" s="36"/>
      <c r="R963" s="40"/>
      <c r="S963" s="40"/>
      <c r="T963" s="40"/>
      <c r="U963" s="41"/>
      <c r="V963" s="41"/>
      <c r="W963" s="41"/>
      <c r="X963" s="36"/>
      <c r="Y963" s="36"/>
      <c r="Z963" s="36"/>
      <c r="AA963" s="36"/>
      <c r="AB963" s="36"/>
      <c r="AC963" s="36"/>
    </row>
    <row r="964" spans="17:29" x14ac:dyDescent="0.2">
      <c r="Q964" s="36"/>
      <c r="R964" s="40"/>
      <c r="S964" s="40"/>
      <c r="T964" s="40"/>
      <c r="U964" s="41"/>
      <c r="V964" s="41"/>
      <c r="W964" s="41"/>
      <c r="X964" s="36"/>
      <c r="Y964" s="36"/>
      <c r="Z964" s="36"/>
      <c r="AA964" s="36"/>
      <c r="AB964" s="36"/>
      <c r="AC964" s="36"/>
    </row>
    <row r="965" spans="17:29" x14ac:dyDescent="0.2">
      <c r="Q965" s="36"/>
      <c r="R965" s="40"/>
      <c r="S965" s="40"/>
      <c r="T965" s="40"/>
      <c r="U965" s="41"/>
      <c r="V965" s="41"/>
      <c r="W965" s="41"/>
      <c r="X965" s="36"/>
      <c r="Y965" s="36"/>
      <c r="Z965" s="36"/>
      <c r="AA965" s="36"/>
      <c r="AB965" s="36"/>
      <c r="AC965" s="36"/>
    </row>
    <row r="966" spans="17:29" x14ac:dyDescent="0.2">
      <c r="Q966" s="36"/>
      <c r="R966" s="40"/>
      <c r="S966" s="40"/>
      <c r="T966" s="40"/>
      <c r="U966" s="41"/>
      <c r="V966" s="41"/>
      <c r="W966" s="41"/>
      <c r="X966" s="36"/>
      <c r="Y966" s="36"/>
      <c r="Z966" s="36"/>
      <c r="AA966" s="36"/>
      <c r="AB966" s="36"/>
      <c r="AC966" s="36"/>
    </row>
    <row r="967" spans="17:29" x14ac:dyDescent="0.2">
      <c r="Q967" s="36"/>
      <c r="R967" s="40"/>
      <c r="S967" s="40"/>
      <c r="T967" s="40"/>
      <c r="U967" s="41"/>
      <c r="V967" s="41"/>
      <c r="W967" s="41"/>
      <c r="X967" s="36"/>
      <c r="Y967" s="36"/>
      <c r="Z967" s="36"/>
      <c r="AA967" s="36"/>
      <c r="AB967" s="36"/>
      <c r="AC967" s="36"/>
    </row>
    <row r="968" spans="17:29" x14ac:dyDescent="0.2">
      <c r="Q968" s="36"/>
      <c r="R968" s="40"/>
      <c r="S968" s="40"/>
      <c r="T968" s="40"/>
      <c r="U968" s="41"/>
      <c r="V968" s="41"/>
      <c r="W968" s="41"/>
      <c r="X968" s="36"/>
      <c r="Y968" s="36"/>
      <c r="Z968" s="36"/>
      <c r="AA968" s="36"/>
      <c r="AB968" s="36"/>
      <c r="AC968" s="36"/>
    </row>
    <row r="969" spans="17:29" x14ac:dyDescent="0.2">
      <c r="Q969" s="36"/>
      <c r="R969" s="40"/>
      <c r="S969" s="40"/>
      <c r="T969" s="40"/>
      <c r="U969" s="41"/>
      <c r="V969" s="41"/>
      <c r="W969" s="41"/>
      <c r="X969" s="36"/>
      <c r="Y969" s="36"/>
      <c r="Z969" s="36"/>
      <c r="AA969" s="36"/>
      <c r="AB969" s="36"/>
      <c r="AC969" s="36"/>
    </row>
    <row r="970" spans="17:29" x14ac:dyDescent="0.2">
      <c r="Q970" s="36"/>
      <c r="R970" s="40"/>
      <c r="S970" s="40"/>
      <c r="T970" s="40"/>
      <c r="U970" s="41"/>
      <c r="V970" s="41"/>
      <c r="W970" s="41"/>
      <c r="X970" s="36"/>
      <c r="Y970" s="36"/>
      <c r="Z970" s="36"/>
      <c r="AA970" s="36"/>
      <c r="AB970" s="36"/>
      <c r="AC970" s="36"/>
    </row>
    <row r="971" spans="17:29" x14ac:dyDescent="0.2">
      <c r="Q971" s="36"/>
      <c r="R971" s="40"/>
      <c r="S971" s="40"/>
      <c r="T971" s="40"/>
      <c r="U971" s="41"/>
      <c r="V971" s="41"/>
      <c r="W971" s="41"/>
      <c r="X971" s="36"/>
      <c r="Y971" s="36"/>
      <c r="Z971" s="36"/>
      <c r="AA971" s="36"/>
      <c r="AB971" s="36"/>
      <c r="AC971" s="36"/>
    </row>
    <row r="972" spans="17:29" x14ac:dyDescent="0.2">
      <c r="Q972" s="36"/>
      <c r="R972" s="40"/>
      <c r="S972" s="40"/>
      <c r="T972" s="40"/>
      <c r="U972" s="41"/>
      <c r="V972" s="41"/>
      <c r="W972" s="41"/>
      <c r="X972" s="36"/>
      <c r="Y972" s="36"/>
      <c r="Z972" s="36"/>
      <c r="AA972" s="36"/>
      <c r="AB972" s="36"/>
      <c r="AC972" s="36"/>
    </row>
    <row r="973" spans="17:29" x14ac:dyDescent="0.2">
      <c r="Q973" s="36"/>
      <c r="R973" s="40"/>
      <c r="S973" s="40"/>
      <c r="T973" s="40"/>
      <c r="U973" s="41"/>
      <c r="V973" s="41"/>
      <c r="W973" s="41"/>
      <c r="X973" s="36"/>
      <c r="Y973" s="36"/>
      <c r="Z973" s="36"/>
      <c r="AA973" s="36"/>
      <c r="AB973" s="36"/>
      <c r="AC973" s="36"/>
    </row>
    <row r="974" spans="17:29" x14ac:dyDescent="0.2">
      <c r="Q974" s="36"/>
      <c r="R974" s="40"/>
      <c r="S974" s="40"/>
      <c r="T974" s="40"/>
      <c r="U974" s="41"/>
      <c r="V974" s="41"/>
      <c r="W974" s="41"/>
      <c r="X974" s="36"/>
      <c r="Y974" s="36"/>
      <c r="Z974" s="36"/>
      <c r="AA974" s="36"/>
      <c r="AB974" s="36"/>
      <c r="AC974" s="36"/>
    </row>
    <row r="975" spans="17:29" x14ac:dyDescent="0.2">
      <c r="Q975" s="36"/>
      <c r="R975" s="40"/>
      <c r="S975" s="40"/>
      <c r="T975" s="40"/>
      <c r="U975" s="41"/>
      <c r="V975" s="41"/>
      <c r="W975" s="41"/>
      <c r="X975" s="36"/>
      <c r="Y975" s="36"/>
      <c r="Z975" s="36"/>
      <c r="AA975" s="36"/>
      <c r="AB975" s="36"/>
      <c r="AC975" s="36"/>
    </row>
    <row r="976" spans="17:29" x14ac:dyDescent="0.2">
      <c r="Q976" s="36"/>
      <c r="R976" s="40"/>
      <c r="S976" s="40"/>
      <c r="T976" s="40"/>
      <c r="U976" s="41"/>
      <c r="V976" s="41"/>
      <c r="W976" s="41"/>
      <c r="X976" s="36"/>
      <c r="Y976" s="36"/>
      <c r="Z976" s="36"/>
      <c r="AA976" s="36"/>
      <c r="AB976" s="36"/>
      <c r="AC976" s="36"/>
    </row>
    <row r="977" spans="17:29" x14ac:dyDescent="0.2">
      <c r="Q977" s="36"/>
      <c r="R977" s="40"/>
      <c r="S977" s="40"/>
      <c r="T977" s="40"/>
      <c r="U977" s="41"/>
      <c r="V977" s="41"/>
      <c r="W977" s="41"/>
      <c r="X977" s="36"/>
      <c r="Y977" s="36"/>
      <c r="Z977" s="36"/>
      <c r="AA977" s="36"/>
      <c r="AB977" s="36"/>
      <c r="AC977" s="36"/>
    </row>
    <row r="978" spans="17:29" x14ac:dyDescent="0.2">
      <c r="Q978" s="36"/>
      <c r="R978" s="40"/>
      <c r="S978" s="40"/>
      <c r="T978" s="40"/>
      <c r="U978" s="41"/>
      <c r="V978" s="41"/>
      <c r="W978" s="41"/>
      <c r="X978" s="36"/>
      <c r="Y978" s="36"/>
      <c r="Z978" s="36"/>
      <c r="AA978" s="36"/>
      <c r="AB978" s="36"/>
      <c r="AC978" s="36"/>
    </row>
    <row r="979" spans="17:29" x14ac:dyDescent="0.2">
      <c r="Q979" s="36"/>
      <c r="R979" s="40"/>
      <c r="S979" s="40"/>
      <c r="T979" s="40"/>
      <c r="U979" s="41"/>
      <c r="V979" s="41"/>
      <c r="W979" s="41"/>
      <c r="X979" s="36"/>
      <c r="Y979" s="36"/>
      <c r="Z979" s="36"/>
      <c r="AA979" s="36"/>
      <c r="AB979" s="36"/>
      <c r="AC979" s="36"/>
    </row>
    <row r="980" spans="17:29" x14ac:dyDescent="0.2">
      <c r="Q980" s="36"/>
      <c r="R980" s="40"/>
      <c r="S980" s="40"/>
      <c r="T980" s="40"/>
      <c r="U980" s="41"/>
      <c r="V980" s="41"/>
      <c r="W980" s="41"/>
      <c r="X980" s="36"/>
      <c r="Y980" s="36"/>
      <c r="Z980" s="36"/>
      <c r="AA980" s="36"/>
      <c r="AB980" s="36"/>
      <c r="AC980" s="36"/>
    </row>
    <row r="981" spans="17:29" x14ac:dyDescent="0.2">
      <c r="Q981" s="36"/>
      <c r="R981" s="40"/>
      <c r="S981" s="40"/>
      <c r="T981" s="40"/>
      <c r="U981" s="41"/>
      <c r="V981" s="41"/>
      <c r="W981" s="41"/>
      <c r="X981" s="36"/>
      <c r="Y981" s="36"/>
      <c r="Z981" s="36"/>
      <c r="AA981" s="36"/>
      <c r="AB981" s="36"/>
      <c r="AC981" s="36"/>
    </row>
    <row r="982" spans="17:29" x14ac:dyDescent="0.2">
      <c r="Q982" s="36"/>
      <c r="R982" s="40"/>
      <c r="S982" s="40"/>
      <c r="T982" s="40"/>
      <c r="U982" s="41"/>
      <c r="V982" s="41"/>
      <c r="W982" s="41"/>
      <c r="X982" s="36"/>
      <c r="Y982" s="36"/>
      <c r="Z982" s="36"/>
      <c r="AA982" s="36"/>
      <c r="AB982" s="36"/>
      <c r="AC982" s="36"/>
    </row>
    <row r="983" spans="17:29" x14ac:dyDescent="0.2">
      <c r="Q983" s="36"/>
      <c r="R983" s="40"/>
      <c r="S983" s="40"/>
      <c r="T983" s="40"/>
      <c r="U983" s="41"/>
      <c r="V983" s="41"/>
      <c r="W983" s="41"/>
      <c r="X983" s="36"/>
      <c r="Y983" s="36"/>
      <c r="Z983" s="36"/>
      <c r="AA983" s="36"/>
      <c r="AB983" s="36"/>
      <c r="AC983" s="36"/>
    </row>
    <row r="984" spans="17:29" x14ac:dyDescent="0.2">
      <c r="Q984" s="36"/>
      <c r="R984" s="40"/>
      <c r="S984" s="40"/>
      <c r="T984" s="40"/>
      <c r="U984" s="41"/>
      <c r="V984" s="41"/>
      <c r="W984" s="41"/>
      <c r="X984" s="36"/>
      <c r="Y984" s="36"/>
      <c r="Z984" s="36"/>
      <c r="AA984" s="36"/>
      <c r="AB984" s="36"/>
      <c r="AC984" s="36"/>
    </row>
    <row r="985" spans="17:29" x14ac:dyDescent="0.2">
      <c r="Q985" s="36"/>
      <c r="R985" s="40"/>
      <c r="S985" s="40"/>
      <c r="T985" s="40"/>
      <c r="U985" s="41"/>
      <c r="V985" s="41"/>
      <c r="W985" s="41"/>
      <c r="X985" s="36"/>
      <c r="Y985" s="36"/>
      <c r="Z985" s="36"/>
      <c r="AA985" s="36"/>
      <c r="AB985" s="36"/>
      <c r="AC985" s="36"/>
    </row>
    <row r="986" spans="17:29" x14ac:dyDescent="0.2">
      <c r="Q986" s="36"/>
      <c r="R986" s="40"/>
      <c r="S986" s="40"/>
      <c r="T986" s="40"/>
      <c r="U986" s="41"/>
      <c r="V986" s="41"/>
      <c r="W986" s="41"/>
      <c r="X986" s="36"/>
      <c r="Y986" s="36"/>
      <c r="Z986" s="36"/>
      <c r="AA986" s="36"/>
      <c r="AB986" s="36"/>
      <c r="AC986" s="36"/>
    </row>
    <row r="987" spans="17:29" x14ac:dyDescent="0.2">
      <c r="Q987" s="36"/>
      <c r="R987" s="40"/>
      <c r="S987" s="40"/>
      <c r="T987" s="40"/>
      <c r="U987" s="41"/>
      <c r="V987" s="41"/>
      <c r="W987" s="41"/>
      <c r="X987" s="36"/>
      <c r="Y987" s="36"/>
      <c r="Z987" s="36"/>
      <c r="AA987" s="36"/>
      <c r="AB987" s="36"/>
      <c r="AC987" s="36"/>
    </row>
    <row r="988" spans="17:29" x14ac:dyDescent="0.2">
      <c r="Q988" s="36"/>
      <c r="R988" s="40"/>
      <c r="S988" s="40"/>
      <c r="T988" s="40"/>
      <c r="U988" s="41"/>
      <c r="V988" s="41"/>
      <c r="W988" s="41"/>
      <c r="X988" s="36"/>
      <c r="Y988" s="36"/>
      <c r="Z988" s="36"/>
      <c r="AA988" s="36"/>
      <c r="AB988" s="36"/>
      <c r="AC988" s="36"/>
    </row>
    <row r="989" spans="17:29" x14ac:dyDescent="0.2">
      <c r="Q989" s="36"/>
      <c r="R989" s="40"/>
      <c r="S989" s="40"/>
      <c r="T989" s="40"/>
      <c r="U989" s="41"/>
      <c r="V989" s="41"/>
      <c r="W989" s="41"/>
      <c r="X989" s="36"/>
      <c r="Y989" s="36"/>
      <c r="Z989" s="36"/>
      <c r="AA989" s="36"/>
      <c r="AB989" s="36"/>
      <c r="AC989" s="36"/>
    </row>
    <row r="990" spans="17:29" x14ac:dyDescent="0.2">
      <c r="Q990" s="36"/>
      <c r="R990" s="40"/>
      <c r="S990" s="40"/>
      <c r="T990" s="40"/>
      <c r="U990" s="41"/>
      <c r="V990" s="41"/>
      <c r="W990" s="41"/>
      <c r="X990" s="36"/>
      <c r="Y990" s="36"/>
      <c r="Z990" s="36"/>
      <c r="AA990" s="36"/>
      <c r="AB990" s="36"/>
      <c r="AC990" s="36"/>
    </row>
    <row r="991" spans="17:29" x14ac:dyDescent="0.2">
      <c r="Q991" s="36"/>
      <c r="R991" s="40"/>
      <c r="S991" s="40"/>
      <c r="T991" s="40"/>
      <c r="U991" s="41"/>
      <c r="V991" s="41"/>
      <c r="W991" s="41"/>
      <c r="X991" s="36"/>
      <c r="Y991" s="36"/>
      <c r="Z991" s="36"/>
      <c r="AA991" s="36"/>
      <c r="AB991" s="36"/>
      <c r="AC991" s="36"/>
    </row>
    <row r="992" spans="17:29" x14ac:dyDescent="0.2">
      <c r="Q992" s="36"/>
      <c r="R992" s="40"/>
      <c r="S992" s="40"/>
      <c r="T992" s="40"/>
      <c r="U992" s="41"/>
      <c r="V992" s="41"/>
      <c r="W992" s="41"/>
      <c r="X992" s="36"/>
      <c r="Y992" s="36"/>
      <c r="Z992" s="36"/>
      <c r="AA992" s="36"/>
      <c r="AB992" s="36"/>
      <c r="AC992" s="36"/>
    </row>
    <row r="993" spans="17:29" x14ac:dyDescent="0.2">
      <c r="Q993" s="36"/>
      <c r="R993" s="40"/>
      <c r="S993" s="40"/>
      <c r="T993" s="40"/>
      <c r="U993" s="41"/>
      <c r="V993" s="41"/>
      <c r="W993" s="41"/>
      <c r="X993" s="36"/>
      <c r="Y993" s="36"/>
      <c r="Z993" s="36"/>
      <c r="AA993" s="36"/>
      <c r="AB993" s="36"/>
      <c r="AC993" s="36"/>
    </row>
    <row r="994" spans="17:29" x14ac:dyDescent="0.2">
      <c r="Q994" s="36"/>
      <c r="R994" s="40"/>
      <c r="S994" s="40"/>
      <c r="T994" s="40"/>
      <c r="U994" s="41"/>
      <c r="V994" s="41"/>
      <c r="W994" s="41"/>
      <c r="X994" s="36"/>
      <c r="Y994" s="36"/>
      <c r="Z994" s="36"/>
      <c r="AA994" s="36"/>
      <c r="AB994" s="36"/>
      <c r="AC994" s="36"/>
    </row>
    <row r="995" spans="17:29" x14ac:dyDescent="0.2">
      <c r="Q995" s="36"/>
      <c r="R995" s="40"/>
      <c r="S995" s="40"/>
      <c r="T995" s="40"/>
      <c r="U995" s="41"/>
      <c r="V995" s="41"/>
      <c r="W995" s="41"/>
      <c r="X995" s="36"/>
      <c r="Y995" s="36"/>
      <c r="Z995" s="36"/>
      <c r="AA995" s="36"/>
      <c r="AB995" s="36"/>
      <c r="AC995" s="36"/>
    </row>
    <row r="996" spans="17:29" x14ac:dyDescent="0.2">
      <c r="Q996" s="36"/>
      <c r="R996" s="40"/>
      <c r="S996" s="40"/>
      <c r="T996" s="40"/>
      <c r="U996" s="41"/>
      <c r="V996" s="41"/>
      <c r="W996" s="41"/>
      <c r="X996" s="36"/>
      <c r="Y996" s="36"/>
      <c r="Z996" s="36"/>
      <c r="AA996" s="36"/>
      <c r="AB996" s="36"/>
      <c r="AC996" s="36"/>
    </row>
    <row r="997" spans="17:29" x14ac:dyDescent="0.2">
      <c r="Q997" s="36"/>
      <c r="R997" s="40"/>
      <c r="S997" s="40"/>
      <c r="T997" s="40"/>
      <c r="U997" s="41"/>
      <c r="V997" s="41"/>
      <c r="W997" s="41"/>
      <c r="X997" s="36"/>
      <c r="Y997" s="36"/>
      <c r="Z997" s="36"/>
      <c r="AA997" s="36"/>
      <c r="AB997" s="36"/>
      <c r="AC997" s="36"/>
    </row>
    <row r="998" spans="17:29" x14ac:dyDescent="0.2">
      <c r="Q998" s="36"/>
      <c r="R998" s="40"/>
      <c r="S998" s="40"/>
      <c r="T998" s="40"/>
      <c r="U998" s="41"/>
      <c r="V998" s="41"/>
      <c r="W998" s="41"/>
      <c r="X998" s="36"/>
      <c r="Y998" s="36"/>
      <c r="Z998" s="36"/>
      <c r="AA998" s="36"/>
      <c r="AB998" s="36"/>
      <c r="AC998" s="36"/>
    </row>
    <row r="999" spans="17:29" x14ac:dyDescent="0.2">
      <c r="Q999" s="36"/>
      <c r="R999" s="40"/>
      <c r="S999" s="40"/>
      <c r="T999" s="40"/>
      <c r="U999" s="41"/>
      <c r="V999" s="41"/>
      <c r="W999" s="41"/>
      <c r="X999" s="36"/>
      <c r="Y999" s="36"/>
      <c r="Z999" s="36"/>
      <c r="AA999" s="36"/>
      <c r="AB999" s="36"/>
      <c r="AC999" s="36"/>
    </row>
    <row r="1000" spans="17:29" x14ac:dyDescent="0.2">
      <c r="Q1000" s="36"/>
      <c r="R1000" s="40"/>
      <c r="S1000" s="40"/>
      <c r="T1000" s="40"/>
      <c r="U1000" s="41"/>
      <c r="V1000" s="41"/>
      <c r="W1000" s="41"/>
      <c r="X1000" s="36"/>
      <c r="Y1000" s="36"/>
      <c r="Z1000" s="36"/>
      <c r="AA1000" s="36"/>
      <c r="AB1000" s="36"/>
      <c r="AC1000" s="36"/>
    </row>
    <row r="1001" spans="17:29" x14ac:dyDescent="0.2">
      <c r="Q1001" s="36"/>
      <c r="R1001" s="40"/>
      <c r="S1001" s="40"/>
      <c r="T1001" s="40"/>
      <c r="U1001" s="41"/>
      <c r="V1001" s="41"/>
      <c r="W1001" s="41"/>
      <c r="X1001" s="36"/>
      <c r="Y1001" s="36"/>
      <c r="Z1001" s="36"/>
      <c r="AA1001" s="36"/>
      <c r="AB1001" s="36"/>
      <c r="AC1001" s="36"/>
    </row>
    <row r="1002" spans="17:29" x14ac:dyDescent="0.2">
      <c r="Q1002" s="36"/>
      <c r="R1002" s="40"/>
      <c r="S1002" s="40"/>
      <c r="T1002" s="40"/>
      <c r="U1002" s="41"/>
      <c r="V1002" s="41"/>
      <c r="W1002" s="41"/>
      <c r="X1002" s="36"/>
      <c r="Y1002" s="36"/>
      <c r="Z1002" s="36"/>
      <c r="AA1002" s="36"/>
      <c r="AB1002" s="36"/>
      <c r="AC1002" s="36"/>
    </row>
    <row r="1003" spans="17:29" x14ac:dyDescent="0.2">
      <c r="Q1003" s="36"/>
      <c r="R1003" s="40"/>
      <c r="S1003" s="40"/>
      <c r="T1003" s="40"/>
      <c r="U1003" s="41"/>
      <c r="V1003" s="41"/>
      <c r="W1003" s="41"/>
      <c r="X1003" s="36"/>
      <c r="Y1003" s="36"/>
      <c r="Z1003" s="36"/>
      <c r="AA1003" s="36"/>
      <c r="AB1003" s="36"/>
      <c r="AC1003" s="36"/>
    </row>
    <row r="1004" spans="17:29" x14ac:dyDescent="0.2">
      <c r="Q1004" s="36"/>
      <c r="R1004" s="40"/>
      <c r="S1004" s="40"/>
      <c r="T1004" s="40"/>
      <c r="U1004" s="41"/>
      <c r="V1004" s="41"/>
      <c r="W1004" s="41"/>
      <c r="X1004" s="36"/>
      <c r="Y1004" s="36"/>
      <c r="Z1004" s="36"/>
      <c r="AA1004" s="36"/>
      <c r="AB1004" s="36"/>
      <c r="AC1004" s="36"/>
    </row>
    <row r="1005" spans="17:29" x14ac:dyDescent="0.2">
      <c r="Q1005" s="36"/>
      <c r="R1005" s="40"/>
      <c r="S1005" s="40"/>
      <c r="T1005" s="40"/>
      <c r="U1005" s="41"/>
      <c r="V1005" s="41"/>
      <c r="W1005" s="41"/>
      <c r="X1005" s="36"/>
      <c r="Y1005" s="36"/>
      <c r="Z1005" s="36"/>
      <c r="AA1005" s="36"/>
      <c r="AB1005" s="36"/>
      <c r="AC1005" s="36"/>
    </row>
    <row r="1006" spans="17:29" x14ac:dyDescent="0.2">
      <c r="Q1006" s="36"/>
      <c r="R1006" s="40"/>
      <c r="S1006" s="40"/>
      <c r="T1006" s="40"/>
      <c r="U1006" s="41"/>
      <c r="V1006" s="41"/>
      <c r="W1006" s="41"/>
      <c r="X1006" s="36"/>
      <c r="Y1006" s="36"/>
      <c r="Z1006" s="36"/>
      <c r="AA1006" s="36"/>
      <c r="AB1006" s="36"/>
      <c r="AC1006" s="36"/>
    </row>
    <row r="1007" spans="17:29" x14ac:dyDescent="0.2">
      <c r="Q1007" s="36"/>
      <c r="R1007" s="40"/>
      <c r="S1007" s="40"/>
      <c r="T1007" s="40"/>
      <c r="U1007" s="41"/>
      <c r="V1007" s="41"/>
      <c r="W1007" s="41"/>
      <c r="X1007" s="36"/>
      <c r="Y1007" s="36"/>
      <c r="Z1007" s="36"/>
      <c r="AA1007" s="36"/>
      <c r="AB1007" s="36"/>
      <c r="AC1007" s="36"/>
    </row>
    <row r="1008" spans="17:29" x14ac:dyDescent="0.2">
      <c r="Q1008" s="36"/>
      <c r="R1008" s="40"/>
      <c r="S1008" s="40"/>
      <c r="T1008" s="40"/>
      <c r="U1008" s="41"/>
      <c r="V1008" s="41"/>
      <c r="W1008" s="41"/>
      <c r="X1008" s="36"/>
      <c r="Y1008" s="36"/>
      <c r="Z1008" s="36"/>
      <c r="AA1008" s="36"/>
      <c r="AB1008" s="36"/>
      <c r="AC1008" s="36"/>
    </row>
    <row r="1009" spans="17:29" x14ac:dyDescent="0.2">
      <c r="Q1009" s="36"/>
      <c r="R1009" s="40"/>
      <c r="S1009" s="40"/>
      <c r="T1009" s="40"/>
      <c r="U1009" s="41"/>
      <c r="V1009" s="41"/>
      <c r="W1009" s="41"/>
      <c r="X1009" s="36"/>
      <c r="Y1009" s="36"/>
      <c r="Z1009" s="36"/>
      <c r="AA1009" s="36"/>
      <c r="AB1009" s="36"/>
      <c r="AC1009" s="36"/>
    </row>
    <row r="1010" spans="17:29" x14ac:dyDescent="0.2">
      <c r="Q1010" s="36"/>
      <c r="R1010" s="40"/>
      <c r="S1010" s="40"/>
      <c r="T1010" s="40"/>
      <c r="U1010" s="41"/>
      <c r="V1010" s="41"/>
      <c r="W1010" s="41"/>
      <c r="X1010" s="36"/>
      <c r="Y1010" s="36"/>
      <c r="Z1010" s="36"/>
      <c r="AA1010" s="36"/>
      <c r="AB1010" s="36"/>
      <c r="AC1010" s="36"/>
    </row>
    <row r="1011" spans="17:29" x14ac:dyDescent="0.2">
      <c r="Q1011" s="36"/>
      <c r="R1011" s="40"/>
      <c r="S1011" s="40"/>
      <c r="T1011" s="40"/>
      <c r="U1011" s="41"/>
      <c r="V1011" s="41"/>
      <c r="W1011" s="41"/>
      <c r="X1011" s="36"/>
      <c r="Y1011" s="36"/>
      <c r="Z1011" s="36"/>
      <c r="AA1011" s="36"/>
      <c r="AB1011" s="36"/>
      <c r="AC1011" s="36"/>
    </row>
    <row r="1012" spans="17:29" x14ac:dyDescent="0.2">
      <c r="Q1012" s="36"/>
      <c r="R1012" s="40"/>
      <c r="S1012" s="40"/>
      <c r="T1012" s="40"/>
      <c r="U1012" s="41"/>
      <c r="V1012" s="41"/>
      <c r="W1012" s="41"/>
      <c r="X1012" s="36"/>
      <c r="Y1012" s="36"/>
      <c r="Z1012" s="36"/>
      <c r="AA1012" s="36"/>
      <c r="AB1012" s="36"/>
      <c r="AC1012" s="36"/>
    </row>
    <row r="1013" spans="17:29" x14ac:dyDescent="0.2">
      <c r="Q1013" s="36"/>
      <c r="R1013" s="40"/>
      <c r="S1013" s="40"/>
      <c r="T1013" s="40"/>
      <c r="U1013" s="41"/>
      <c r="V1013" s="41"/>
      <c r="W1013" s="41"/>
      <c r="X1013" s="36"/>
      <c r="Y1013" s="36"/>
      <c r="Z1013" s="36"/>
      <c r="AA1013" s="36"/>
      <c r="AB1013" s="36"/>
      <c r="AC1013" s="36"/>
    </row>
    <row r="1014" spans="17:29" x14ac:dyDescent="0.2">
      <c r="Q1014" s="36"/>
      <c r="R1014" s="40"/>
      <c r="S1014" s="40"/>
      <c r="T1014" s="40"/>
      <c r="U1014" s="41"/>
      <c r="V1014" s="41"/>
      <c r="W1014" s="41"/>
      <c r="X1014" s="36"/>
      <c r="Y1014" s="36"/>
      <c r="Z1014" s="36"/>
      <c r="AA1014" s="36"/>
      <c r="AB1014" s="36"/>
      <c r="AC1014" s="36"/>
    </row>
    <row r="1015" spans="17:29" x14ac:dyDescent="0.2">
      <c r="Q1015" s="36"/>
      <c r="R1015" s="40"/>
      <c r="S1015" s="40"/>
      <c r="T1015" s="40"/>
      <c r="U1015" s="41"/>
      <c r="V1015" s="41"/>
      <c r="W1015" s="41"/>
      <c r="X1015" s="36"/>
      <c r="Y1015" s="36"/>
      <c r="Z1015" s="36"/>
      <c r="AA1015" s="36"/>
      <c r="AB1015" s="36"/>
      <c r="AC1015" s="36"/>
    </row>
    <row r="1016" spans="17:29" x14ac:dyDescent="0.2">
      <c r="Q1016" s="36"/>
      <c r="R1016" s="40"/>
      <c r="S1016" s="40"/>
      <c r="T1016" s="40"/>
      <c r="U1016" s="41"/>
      <c r="V1016" s="41"/>
      <c r="W1016" s="41"/>
      <c r="X1016" s="36"/>
      <c r="Y1016" s="36"/>
      <c r="Z1016" s="36"/>
      <c r="AA1016" s="36"/>
      <c r="AB1016" s="36"/>
      <c r="AC1016" s="36"/>
    </row>
    <row r="1017" spans="17:29" x14ac:dyDescent="0.2">
      <c r="Q1017" s="36"/>
      <c r="R1017" s="40"/>
      <c r="S1017" s="40"/>
      <c r="T1017" s="40"/>
      <c r="U1017" s="41"/>
      <c r="V1017" s="41"/>
      <c r="W1017" s="41"/>
      <c r="X1017" s="36"/>
      <c r="Y1017" s="36"/>
      <c r="Z1017" s="36"/>
      <c r="AA1017" s="36"/>
      <c r="AB1017" s="36"/>
      <c r="AC1017" s="36"/>
    </row>
    <row r="1018" spans="17:29" x14ac:dyDescent="0.2">
      <c r="Q1018" s="36"/>
      <c r="R1018" s="40"/>
      <c r="S1018" s="40"/>
      <c r="T1018" s="40"/>
      <c r="U1018" s="41"/>
      <c r="V1018" s="41"/>
      <c r="W1018" s="41"/>
      <c r="X1018" s="36"/>
      <c r="Y1018" s="36"/>
      <c r="Z1018" s="36"/>
      <c r="AA1018" s="36"/>
      <c r="AB1018" s="36"/>
      <c r="AC1018" s="36"/>
    </row>
    <row r="1019" spans="17:29" x14ac:dyDescent="0.2">
      <c r="Q1019" s="36"/>
      <c r="R1019" s="40"/>
      <c r="S1019" s="40"/>
      <c r="T1019" s="40"/>
      <c r="U1019" s="41"/>
      <c r="V1019" s="41"/>
      <c r="W1019" s="41"/>
      <c r="X1019" s="36"/>
      <c r="Y1019" s="36"/>
      <c r="Z1019" s="36"/>
      <c r="AA1019" s="36"/>
      <c r="AB1019" s="36"/>
      <c r="AC1019" s="36"/>
    </row>
    <row r="1020" spans="17:29" x14ac:dyDescent="0.2">
      <c r="Q1020" s="36"/>
      <c r="R1020" s="40"/>
      <c r="S1020" s="40"/>
      <c r="T1020" s="40"/>
      <c r="U1020" s="41"/>
      <c r="V1020" s="41"/>
      <c r="W1020" s="41"/>
      <c r="X1020" s="36"/>
      <c r="Y1020" s="36"/>
      <c r="Z1020" s="36"/>
      <c r="AA1020" s="36"/>
      <c r="AB1020" s="36"/>
      <c r="AC1020" s="36"/>
    </row>
    <row r="1021" spans="17:29" x14ac:dyDescent="0.2">
      <c r="Q1021" s="36"/>
      <c r="R1021" s="40"/>
      <c r="S1021" s="40"/>
      <c r="T1021" s="40"/>
      <c r="U1021" s="41"/>
      <c r="V1021" s="41"/>
      <c r="W1021" s="41"/>
      <c r="X1021" s="36"/>
      <c r="Y1021" s="36"/>
      <c r="Z1021" s="36"/>
      <c r="AA1021" s="36"/>
      <c r="AB1021" s="36"/>
      <c r="AC1021" s="36"/>
    </row>
    <row r="1022" spans="17:29" x14ac:dyDescent="0.2">
      <c r="Q1022" s="36"/>
      <c r="R1022" s="40"/>
      <c r="S1022" s="40"/>
      <c r="T1022" s="40"/>
      <c r="U1022" s="41"/>
      <c r="V1022" s="41"/>
      <c r="W1022" s="41"/>
      <c r="X1022" s="36"/>
      <c r="Y1022" s="36"/>
      <c r="Z1022" s="36"/>
      <c r="AA1022" s="36"/>
      <c r="AB1022" s="36"/>
      <c r="AC1022" s="36"/>
    </row>
    <row r="1023" spans="17:29" x14ac:dyDescent="0.2">
      <c r="Q1023" s="36"/>
      <c r="R1023" s="40"/>
      <c r="S1023" s="40"/>
      <c r="T1023" s="40"/>
      <c r="U1023" s="41"/>
      <c r="V1023" s="41"/>
      <c r="W1023" s="41"/>
      <c r="X1023" s="36"/>
      <c r="Y1023" s="36"/>
      <c r="Z1023" s="36"/>
      <c r="AA1023" s="36"/>
      <c r="AB1023" s="36"/>
      <c r="AC1023" s="36"/>
    </row>
    <row r="1024" spans="17:29" x14ac:dyDescent="0.2">
      <c r="Q1024" s="36"/>
      <c r="R1024" s="40"/>
      <c r="S1024" s="40"/>
      <c r="T1024" s="40"/>
      <c r="U1024" s="41"/>
      <c r="V1024" s="41"/>
      <c r="W1024" s="41"/>
      <c r="X1024" s="36"/>
      <c r="Y1024" s="36"/>
      <c r="Z1024" s="36"/>
      <c r="AA1024" s="36"/>
      <c r="AB1024" s="36"/>
      <c r="AC1024" s="36"/>
    </row>
    <row r="1025" spans="17:29" x14ac:dyDescent="0.2">
      <c r="Q1025" s="36"/>
      <c r="R1025" s="40"/>
      <c r="S1025" s="40"/>
      <c r="T1025" s="40"/>
      <c r="U1025" s="41"/>
      <c r="V1025" s="41"/>
      <c r="W1025" s="41"/>
      <c r="X1025" s="36"/>
      <c r="Y1025" s="36"/>
      <c r="Z1025" s="36"/>
      <c r="AA1025" s="36"/>
      <c r="AB1025" s="36"/>
      <c r="AC1025" s="36"/>
    </row>
    <row r="1026" spans="17:29" x14ac:dyDescent="0.2">
      <c r="Q1026" s="36"/>
      <c r="R1026" s="40"/>
      <c r="S1026" s="40"/>
      <c r="T1026" s="40"/>
      <c r="U1026" s="41"/>
      <c r="V1026" s="41"/>
      <c r="W1026" s="41"/>
      <c r="X1026" s="36"/>
      <c r="Y1026" s="36"/>
      <c r="Z1026" s="36"/>
      <c r="AA1026" s="36"/>
      <c r="AB1026" s="36"/>
      <c r="AC1026" s="36"/>
    </row>
    <row r="1027" spans="17:29" x14ac:dyDescent="0.2">
      <c r="Q1027" s="36"/>
      <c r="R1027" s="40"/>
      <c r="S1027" s="40"/>
      <c r="T1027" s="40"/>
      <c r="U1027" s="41"/>
      <c r="V1027" s="41"/>
      <c r="W1027" s="41"/>
      <c r="X1027" s="36"/>
      <c r="Y1027" s="36"/>
      <c r="Z1027" s="36"/>
      <c r="AA1027" s="36"/>
      <c r="AB1027" s="36"/>
      <c r="AC1027" s="36"/>
    </row>
    <row r="1028" spans="17:29" x14ac:dyDescent="0.2">
      <c r="Q1028" s="36"/>
      <c r="R1028" s="40"/>
      <c r="S1028" s="40"/>
      <c r="T1028" s="40"/>
      <c r="U1028" s="41"/>
      <c r="V1028" s="41"/>
      <c r="W1028" s="41"/>
      <c r="X1028" s="36"/>
      <c r="Y1028" s="36"/>
      <c r="Z1028" s="36"/>
      <c r="AA1028" s="36"/>
      <c r="AB1028" s="36"/>
      <c r="AC1028" s="36"/>
    </row>
    <row r="1029" spans="17:29" x14ac:dyDescent="0.2">
      <c r="Q1029" s="36"/>
      <c r="R1029" s="40"/>
      <c r="S1029" s="40"/>
      <c r="T1029" s="40"/>
      <c r="U1029" s="41"/>
      <c r="V1029" s="41"/>
      <c r="W1029" s="41"/>
      <c r="X1029" s="36"/>
      <c r="Y1029" s="36"/>
      <c r="Z1029" s="36"/>
      <c r="AA1029" s="36"/>
      <c r="AB1029" s="36"/>
      <c r="AC1029" s="36"/>
    </row>
    <row r="1030" spans="17:29" x14ac:dyDescent="0.2">
      <c r="Q1030" s="36"/>
      <c r="R1030" s="40"/>
      <c r="S1030" s="40"/>
      <c r="T1030" s="40"/>
      <c r="U1030" s="41"/>
      <c r="V1030" s="41"/>
      <c r="W1030" s="41"/>
      <c r="X1030" s="36"/>
      <c r="Y1030" s="36"/>
      <c r="Z1030" s="36"/>
      <c r="AA1030" s="36"/>
      <c r="AB1030" s="36"/>
      <c r="AC1030" s="36"/>
    </row>
    <row r="1031" spans="17:29" x14ac:dyDescent="0.2">
      <c r="Q1031" s="36"/>
      <c r="R1031" s="40"/>
      <c r="S1031" s="40"/>
      <c r="T1031" s="40"/>
      <c r="U1031" s="41"/>
      <c r="V1031" s="41"/>
      <c r="W1031" s="41"/>
      <c r="X1031" s="36"/>
      <c r="Y1031" s="36"/>
      <c r="Z1031" s="36"/>
      <c r="AA1031" s="36"/>
      <c r="AB1031" s="36"/>
      <c r="AC1031" s="36"/>
    </row>
    <row r="1032" spans="17:29" x14ac:dyDescent="0.2">
      <c r="Q1032" s="36"/>
      <c r="R1032" s="40"/>
      <c r="S1032" s="40"/>
      <c r="T1032" s="40"/>
      <c r="U1032" s="41"/>
      <c r="V1032" s="41"/>
      <c r="W1032" s="41"/>
      <c r="X1032" s="36"/>
      <c r="Y1032" s="36"/>
      <c r="Z1032" s="36"/>
      <c r="AA1032" s="36"/>
      <c r="AB1032" s="36"/>
      <c r="AC1032" s="36"/>
    </row>
    <row r="1033" spans="17:29" x14ac:dyDescent="0.2">
      <c r="Q1033" s="36"/>
      <c r="R1033" s="40"/>
      <c r="S1033" s="40"/>
      <c r="T1033" s="40"/>
      <c r="U1033" s="41"/>
      <c r="V1033" s="41"/>
      <c r="W1033" s="41"/>
      <c r="X1033" s="36"/>
      <c r="Y1033" s="36"/>
      <c r="Z1033" s="36"/>
      <c r="AA1033" s="36"/>
      <c r="AB1033" s="36"/>
      <c r="AC1033" s="36"/>
    </row>
    <row r="1034" spans="17:29" x14ac:dyDescent="0.2">
      <c r="Q1034" s="36"/>
      <c r="R1034" s="40"/>
      <c r="S1034" s="40"/>
      <c r="T1034" s="40"/>
      <c r="U1034" s="41"/>
      <c r="V1034" s="41"/>
      <c r="W1034" s="41"/>
      <c r="X1034" s="36"/>
      <c r="Y1034" s="36"/>
      <c r="Z1034" s="36"/>
      <c r="AA1034" s="36"/>
      <c r="AB1034" s="36"/>
      <c r="AC1034" s="36"/>
    </row>
    <row r="1035" spans="17:29" x14ac:dyDescent="0.2">
      <c r="Q1035" s="36"/>
      <c r="R1035" s="40"/>
      <c r="S1035" s="40"/>
      <c r="T1035" s="40"/>
      <c r="U1035" s="41"/>
      <c r="V1035" s="41"/>
      <c r="W1035" s="41"/>
      <c r="X1035" s="36"/>
      <c r="Y1035" s="36"/>
      <c r="Z1035" s="36"/>
      <c r="AA1035" s="36"/>
      <c r="AB1035" s="36"/>
      <c r="AC1035" s="36"/>
    </row>
    <row r="1036" spans="17:29" x14ac:dyDescent="0.2">
      <c r="Q1036" s="36"/>
      <c r="R1036" s="40"/>
      <c r="S1036" s="40"/>
      <c r="T1036" s="40"/>
      <c r="U1036" s="41"/>
      <c r="V1036" s="41"/>
      <c r="W1036" s="41"/>
      <c r="X1036" s="36"/>
      <c r="Y1036" s="36"/>
      <c r="Z1036" s="36"/>
      <c r="AA1036" s="36"/>
      <c r="AB1036" s="36"/>
      <c r="AC1036" s="36"/>
    </row>
    <row r="1037" spans="17:29" x14ac:dyDescent="0.2">
      <c r="Q1037" s="36"/>
      <c r="R1037" s="40"/>
      <c r="S1037" s="40"/>
      <c r="T1037" s="40"/>
      <c r="U1037" s="41"/>
      <c r="V1037" s="41"/>
      <c r="W1037" s="41"/>
      <c r="X1037" s="36"/>
      <c r="Y1037" s="36"/>
      <c r="Z1037" s="36"/>
      <c r="AA1037" s="36"/>
      <c r="AB1037" s="36"/>
      <c r="AC1037" s="36"/>
    </row>
    <row r="1038" spans="17:29" x14ac:dyDescent="0.2">
      <c r="Q1038" s="36"/>
      <c r="R1038" s="40"/>
      <c r="S1038" s="40"/>
      <c r="T1038" s="40"/>
      <c r="U1038" s="41"/>
      <c r="V1038" s="41"/>
      <c r="W1038" s="41"/>
      <c r="X1038" s="36"/>
      <c r="Y1038" s="36"/>
      <c r="Z1038" s="36"/>
      <c r="AA1038" s="36"/>
      <c r="AB1038" s="36"/>
      <c r="AC1038" s="36"/>
    </row>
    <row r="1039" spans="17:29" x14ac:dyDescent="0.2">
      <c r="Q1039" s="36"/>
      <c r="R1039" s="40"/>
      <c r="S1039" s="40"/>
      <c r="T1039" s="40"/>
      <c r="U1039" s="41"/>
      <c r="V1039" s="41"/>
      <c r="W1039" s="41"/>
      <c r="X1039" s="36"/>
      <c r="Y1039" s="36"/>
      <c r="Z1039" s="36"/>
      <c r="AA1039" s="36"/>
      <c r="AB1039" s="36"/>
      <c r="AC1039" s="36"/>
    </row>
    <row r="1040" spans="17:29" x14ac:dyDescent="0.2">
      <c r="Q1040" s="36"/>
      <c r="R1040" s="40"/>
      <c r="S1040" s="40"/>
      <c r="T1040" s="40"/>
      <c r="U1040" s="41"/>
      <c r="V1040" s="41"/>
      <c r="W1040" s="41"/>
      <c r="X1040" s="36"/>
      <c r="Y1040" s="36"/>
      <c r="Z1040" s="36"/>
      <c r="AA1040" s="36"/>
      <c r="AB1040" s="36"/>
      <c r="AC1040" s="36"/>
    </row>
    <row r="1041" spans="17:29" x14ac:dyDescent="0.2">
      <c r="Q1041" s="36"/>
      <c r="R1041" s="40"/>
      <c r="S1041" s="40"/>
      <c r="T1041" s="40"/>
      <c r="U1041" s="41"/>
      <c r="V1041" s="41"/>
      <c r="W1041" s="41"/>
      <c r="X1041" s="36"/>
      <c r="Y1041" s="36"/>
      <c r="Z1041" s="36"/>
      <c r="AA1041" s="36"/>
      <c r="AB1041" s="36"/>
      <c r="AC1041" s="36"/>
    </row>
    <row r="1042" spans="17:29" x14ac:dyDescent="0.2">
      <c r="Q1042" s="36"/>
      <c r="R1042" s="40"/>
      <c r="S1042" s="40"/>
      <c r="T1042" s="40"/>
      <c r="U1042" s="41"/>
      <c r="V1042" s="41"/>
      <c r="W1042" s="41"/>
      <c r="X1042" s="36"/>
      <c r="Y1042" s="36"/>
      <c r="Z1042" s="36"/>
      <c r="AA1042" s="36"/>
      <c r="AB1042" s="36"/>
      <c r="AC1042" s="36"/>
    </row>
    <row r="1043" spans="17:29" x14ac:dyDescent="0.2">
      <c r="Q1043" s="36"/>
      <c r="R1043" s="40"/>
      <c r="S1043" s="40"/>
      <c r="T1043" s="40"/>
      <c r="U1043" s="41"/>
      <c r="V1043" s="41"/>
      <c r="W1043" s="41"/>
      <c r="X1043" s="36"/>
      <c r="Y1043" s="36"/>
      <c r="Z1043" s="36"/>
      <c r="AA1043" s="36"/>
      <c r="AB1043" s="36"/>
      <c r="AC1043" s="36"/>
    </row>
    <row r="1044" spans="17:29" x14ac:dyDescent="0.2">
      <c r="Q1044" s="36"/>
      <c r="R1044" s="40"/>
      <c r="S1044" s="40"/>
      <c r="T1044" s="40"/>
      <c r="U1044" s="41"/>
      <c r="V1044" s="41"/>
      <c r="W1044" s="41"/>
      <c r="X1044" s="36"/>
      <c r="Y1044" s="36"/>
      <c r="Z1044" s="36"/>
      <c r="AA1044" s="36"/>
      <c r="AB1044" s="36"/>
      <c r="AC1044" s="36"/>
    </row>
    <row r="1045" spans="17:29" x14ac:dyDescent="0.2">
      <c r="Q1045" s="36"/>
      <c r="R1045" s="40"/>
      <c r="S1045" s="40"/>
      <c r="T1045" s="40"/>
      <c r="U1045" s="41"/>
      <c r="V1045" s="41"/>
      <c r="W1045" s="41"/>
      <c r="X1045" s="36"/>
      <c r="Y1045" s="36"/>
      <c r="Z1045" s="36"/>
      <c r="AA1045" s="36"/>
      <c r="AB1045" s="36"/>
      <c r="AC1045" s="36"/>
    </row>
    <row r="1046" spans="17:29" x14ac:dyDescent="0.2">
      <c r="Q1046" s="36"/>
      <c r="R1046" s="40"/>
      <c r="S1046" s="40"/>
      <c r="T1046" s="40"/>
      <c r="U1046" s="41"/>
      <c r="V1046" s="41"/>
      <c r="W1046" s="41"/>
      <c r="X1046" s="36"/>
      <c r="Y1046" s="36"/>
      <c r="Z1046" s="36"/>
      <c r="AA1046" s="36"/>
      <c r="AB1046" s="36"/>
      <c r="AC1046" s="36"/>
    </row>
    <row r="1047" spans="17:29" x14ac:dyDescent="0.2">
      <c r="Q1047" s="36"/>
      <c r="R1047" s="40"/>
      <c r="S1047" s="40"/>
      <c r="T1047" s="40"/>
      <c r="U1047" s="41"/>
      <c r="V1047" s="41"/>
      <c r="W1047" s="41"/>
      <c r="X1047" s="36"/>
      <c r="Y1047" s="36"/>
      <c r="Z1047" s="36"/>
      <c r="AA1047" s="36"/>
      <c r="AB1047" s="36"/>
      <c r="AC1047" s="36"/>
    </row>
    <row r="1048" spans="17:29" x14ac:dyDescent="0.2">
      <c r="Q1048" s="36"/>
      <c r="R1048" s="40"/>
      <c r="S1048" s="40"/>
      <c r="T1048" s="40"/>
      <c r="U1048" s="41"/>
      <c r="V1048" s="41"/>
      <c r="W1048" s="41"/>
      <c r="X1048" s="36"/>
      <c r="Y1048" s="36"/>
      <c r="Z1048" s="36"/>
      <c r="AA1048" s="36"/>
      <c r="AB1048" s="36"/>
      <c r="AC1048" s="36"/>
    </row>
    <row r="1049" spans="17:29" x14ac:dyDescent="0.2">
      <c r="Q1049" s="36"/>
      <c r="R1049" s="40"/>
      <c r="S1049" s="40"/>
      <c r="T1049" s="40"/>
      <c r="U1049" s="41"/>
      <c r="V1049" s="41"/>
      <c r="W1049" s="41"/>
      <c r="X1049" s="36"/>
      <c r="Y1049" s="36"/>
      <c r="Z1049" s="36"/>
      <c r="AA1049" s="36"/>
      <c r="AB1049" s="36"/>
      <c r="AC1049" s="36"/>
    </row>
    <row r="1050" spans="17:29" x14ac:dyDescent="0.2">
      <c r="Q1050" s="36"/>
      <c r="R1050" s="40"/>
      <c r="S1050" s="40"/>
      <c r="T1050" s="40"/>
      <c r="U1050" s="41"/>
      <c r="V1050" s="41"/>
      <c r="W1050" s="41"/>
      <c r="X1050" s="36"/>
      <c r="Y1050" s="36"/>
      <c r="Z1050" s="36"/>
      <c r="AA1050" s="36"/>
      <c r="AB1050" s="36"/>
      <c r="AC1050" s="36"/>
    </row>
    <row r="1051" spans="17:29" x14ac:dyDescent="0.2">
      <c r="Q1051" s="36"/>
      <c r="R1051" s="40"/>
      <c r="S1051" s="40"/>
      <c r="T1051" s="40"/>
      <c r="U1051" s="41"/>
      <c r="V1051" s="41"/>
      <c r="W1051" s="41"/>
      <c r="X1051" s="36"/>
      <c r="Y1051" s="36"/>
      <c r="Z1051" s="36"/>
      <c r="AA1051" s="36"/>
      <c r="AB1051" s="36"/>
      <c r="AC1051" s="36"/>
    </row>
    <row r="1052" spans="17:29" x14ac:dyDescent="0.2">
      <c r="Q1052" s="36"/>
      <c r="R1052" s="40"/>
      <c r="S1052" s="40"/>
      <c r="T1052" s="40"/>
      <c r="U1052" s="41"/>
      <c r="V1052" s="41"/>
      <c r="W1052" s="41"/>
      <c r="X1052" s="36"/>
      <c r="Y1052" s="36"/>
      <c r="Z1052" s="36"/>
      <c r="AA1052" s="36"/>
      <c r="AB1052" s="36"/>
      <c r="AC1052" s="36"/>
    </row>
    <row r="1053" spans="17:29" x14ac:dyDescent="0.2">
      <c r="Q1053" s="36"/>
      <c r="R1053" s="40"/>
      <c r="S1053" s="40"/>
      <c r="T1053" s="40"/>
      <c r="U1053" s="41"/>
      <c r="V1053" s="41"/>
      <c r="W1053" s="41"/>
      <c r="X1053" s="36"/>
      <c r="Y1053" s="36"/>
      <c r="Z1053" s="36"/>
      <c r="AA1053" s="36"/>
      <c r="AB1053" s="36"/>
      <c r="AC1053" s="36"/>
    </row>
    <row r="1054" spans="17:29" x14ac:dyDescent="0.2">
      <c r="Q1054" s="36"/>
      <c r="R1054" s="40"/>
      <c r="S1054" s="40"/>
      <c r="T1054" s="40"/>
      <c r="U1054" s="41"/>
      <c r="V1054" s="41"/>
      <c r="W1054" s="41"/>
      <c r="X1054" s="36"/>
      <c r="Y1054" s="36"/>
      <c r="Z1054" s="36"/>
      <c r="AA1054" s="36"/>
      <c r="AB1054" s="36"/>
      <c r="AC1054" s="36"/>
    </row>
    <row r="1055" spans="17:29" x14ac:dyDescent="0.2">
      <c r="Q1055" s="36"/>
      <c r="R1055" s="40"/>
      <c r="S1055" s="40"/>
      <c r="T1055" s="40"/>
      <c r="U1055" s="41"/>
      <c r="V1055" s="41"/>
      <c r="W1055" s="41"/>
      <c r="X1055" s="36"/>
      <c r="Y1055" s="36"/>
      <c r="Z1055" s="36"/>
      <c r="AA1055" s="36"/>
      <c r="AB1055" s="36"/>
      <c r="AC1055" s="36"/>
    </row>
    <row r="1056" spans="17:29" x14ac:dyDescent="0.2">
      <c r="Q1056" s="36"/>
      <c r="R1056" s="40"/>
      <c r="S1056" s="40"/>
      <c r="T1056" s="40"/>
      <c r="U1056" s="41"/>
      <c r="V1056" s="41"/>
      <c r="W1056" s="41"/>
      <c r="X1056" s="36"/>
      <c r="Y1056" s="36"/>
      <c r="Z1056" s="36"/>
      <c r="AA1056" s="36"/>
      <c r="AB1056" s="36"/>
      <c r="AC1056" s="36"/>
    </row>
    <row r="1057" spans="17:29" x14ac:dyDescent="0.2">
      <c r="Q1057" s="36"/>
      <c r="R1057" s="40"/>
      <c r="S1057" s="40"/>
      <c r="T1057" s="40"/>
      <c r="U1057" s="41"/>
      <c r="V1057" s="41"/>
      <c r="W1057" s="41"/>
      <c r="X1057" s="36"/>
      <c r="Y1057" s="36"/>
      <c r="Z1057" s="36"/>
      <c r="AA1057" s="36"/>
      <c r="AB1057" s="36"/>
      <c r="AC1057" s="36"/>
    </row>
    <row r="1058" spans="17:29" x14ac:dyDescent="0.2">
      <c r="Q1058" s="36"/>
      <c r="R1058" s="40"/>
      <c r="S1058" s="40"/>
      <c r="T1058" s="40"/>
      <c r="U1058" s="41"/>
      <c r="V1058" s="41"/>
      <c r="W1058" s="41"/>
      <c r="X1058" s="36"/>
      <c r="Y1058" s="36"/>
      <c r="Z1058" s="36"/>
      <c r="AA1058" s="36"/>
      <c r="AB1058" s="36"/>
      <c r="AC1058" s="36"/>
    </row>
    <row r="1059" spans="17:29" x14ac:dyDescent="0.2">
      <c r="Q1059" s="36"/>
      <c r="R1059" s="40"/>
      <c r="S1059" s="40"/>
      <c r="T1059" s="40"/>
      <c r="U1059" s="41"/>
      <c r="V1059" s="41"/>
      <c r="W1059" s="41"/>
      <c r="X1059" s="36"/>
      <c r="Y1059" s="36"/>
      <c r="Z1059" s="36"/>
      <c r="AA1059" s="36"/>
      <c r="AB1059" s="36"/>
      <c r="AC1059" s="36"/>
    </row>
    <row r="1060" spans="17:29" x14ac:dyDescent="0.2">
      <c r="Q1060" s="36"/>
      <c r="R1060" s="40"/>
      <c r="S1060" s="40"/>
      <c r="T1060" s="40"/>
      <c r="U1060" s="41"/>
      <c r="V1060" s="41"/>
      <c r="W1060" s="41"/>
      <c r="X1060" s="36"/>
      <c r="Y1060" s="36"/>
      <c r="Z1060" s="36"/>
      <c r="AA1060" s="36"/>
      <c r="AB1060" s="36"/>
      <c r="AC1060" s="36"/>
    </row>
    <row r="1061" spans="17:29" x14ac:dyDescent="0.2">
      <c r="Q1061" s="36"/>
      <c r="R1061" s="40"/>
      <c r="S1061" s="40"/>
      <c r="T1061" s="40"/>
      <c r="U1061" s="41"/>
      <c r="V1061" s="41"/>
      <c r="W1061" s="41"/>
      <c r="X1061" s="36"/>
      <c r="Y1061" s="36"/>
      <c r="Z1061" s="36"/>
      <c r="AA1061" s="36"/>
      <c r="AB1061" s="36"/>
      <c r="AC1061" s="36"/>
    </row>
    <row r="1062" spans="17:29" x14ac:dyDescent="0.2">
      <c r="Q1062" s="36"/>
      <c r="R1062" s="40"/>
      <c r="S1062" s="40"/>
      <c r="T1062" s="40"/>
      <c r="U1062" s="41"/>
      <c r="V1062" s="41"/>
      <c r="W1062" s="41"/>
      <c r="X1062" s="36"/>
      <c r="Y1062" s="36"/>
      <c r="Z1062" s="36"/>
      <c r="AA1062" s="36"/>
      <c r="AB1062" s="36"/>
      <c r="AC1062" s="36"/>
    </row>
    <row r="1063" spans="17:29" x14ac:dyDescent="0.2">
      <c r="Q1063" s="36"/>
      <c r="R1063" s="40"/>
      <c r="S1063" s="40"/>
      <c r="T1063" s="40"/>
      <c r="U1063" s="41"/>
      <c r="V1063" s="41"/>
      <c r="W1063" s="41"/>
      <c r="X1063" s="36"/>
      <c r="Y1063" s="36"/>
      <c r="Z1063" s="36"/>
      <c r="AA1063" s="36"/>
      <c r="AB1063" s="36"/>
      <c r="AC1063" s="36"/>
    </row>
    <row r="1064" spans="17:29" x14ac:dyDescent="0.2">
      <c r="Q1064" s="36"/>
      <c r="R1064" s="40"/>
      <c r="S1064" s="40"/>
      <c r="T1064" s="40"/>
      <c r="U1064" s="41"/>
      <c r="V1064" s="41"/>
      <c r="W1064" s="41"/>
      <c r="X1064" s="36"/>
      <c r="Y1064" s="36"/>
      <c r="Z1064" s="36"/>
      <c r="AA1064" s="36"/>
      <c r="AB1064" s="36"/>
      <c r="AC1064" s="36"/>
    </row>
    <row r="1065" spans="17:29" x14ac:dyDescent="0.2">
      <c r="Q1065" s="36"/>
      <c r="R1065" s="40"/>
      <c r="S1065" s="40"/>
      <c r="T1065" s="40"/>
      <c r="U1065" s="41"/>
      <c r="V1065" s="41"/>
      <c r="W1065" s="41"/>
      <c r="X1065" s="36"/>
      <c r="Y1065" s="36"/>
      <c r="Z1065" s="36"/>
      <c r="AA1065" s="36"/>
      <c r="AB1065" s="36"/>
      <c r="AC1065" s="36"/>
    </row>
    <row r="1066" spans="17:29" x14ac:dyDescent="0.2">
      <c r="Q1066" s="36"/>
      <c r="R1066" s="40"/>
      <c r="S1066" s="40"/>
      <c r="T1066" s="40"/>
      <c r="U1066" s="41"/>
      <c r="V1066" s="41"/>
      <c r="W1066" s="41"/>
      <c r="X1066" s="36"/>
      <c r="Y1066" s="36"/>
      <c r="Z1066" s="36"/>
      <c r="AA1066" s="36"/>
      <c r="AB1066" s="36"/>
      <c r="AC1066" s="36"/>
    </row>
    <row r="1067" spans="17:29" x14ac:dyDescent="0.2">
      <c r="Q1067" s="36"/>
      <c r="R1067" s="40"/>
      <c r="S1067" s="40"/>
      <c r="T1067" s="40"/>
      <c r="U1067" s="41"/>
      <c r="V1067" s="41"/>
      <c r="W1067" s="41"/>
      <c r="X1067" s="36"/>
      <c r="Y1067" s="36"/>
      <c r="Z1067" s="36"/>
      <c r="AA1067" s="36"/>
      <c r="AB1067" s="36"/>
      <c r="AC1067" s="36"/>
    </row>
    <row r="1068" spans="17:29" x14ac:dyDescent="0.2">
      <c r="Q1068" s="36"/>
      <c r="R1068" s="40"/>
      <c r="S1068" s="40"/>
      <c r="T1068" s="40"/>
      <c r="U1068" s="41"/>
      <c r="V1068" s="41"/>
      <c r="W1068" s="41"/>
      <c r="X1068" s="36"/>
      <c r="Y1068" s="36"/>
      <c r="Z1068" s="36"/>
      <c r="AA1068" s="36"/>
      <c r="AB1068" s="36"/>
      <c r="AC1068" s="36"/>
    </row>
    <row r="1069" spans="17:29" x14ac:dyDescent="0.2">
      <c r="Q1069" s="36"/>
      <c r="R1069" s="40"/>
      <c r="S1069" s="40"/>
      <c r="T1069" s="40"/>
      <c r="U1069" s="41"/>
      <c r="V1069" s="41"/>
      <c r="W1069" s="41"/>
      <c r="X1069" s="36"/>
      <c r="Y1069" s="36"/>
      <c r="Z1069" s="36"/>
      <c r="AA1069" s="36"/>
      <c r="AB1069" s="36"/>
      <c r="AC1069" s="36"/>
    </row>
    <row r="1070" spans="17:29" x14ac:dyDescent="0.2">
      <c r="Q1070" s="36"/>
      <c r="R1070" s="40"/>
      <c r="S1070" s="40"/>
      <c r="T1070" s="40"/>
      <c r="U1070" s="41"/>
      <c r="V1070" s="41"/>
      <c r="W1070" s="41"/>
      <c r="X1070" s="36"/>
      <c r="Y1070" s="36"/>
      <c r="Z1070" s="36"/>
      <c r="AA1070" s="36"/>
      <c r="AB1070" s="36"/>
      <c r="AC1070" s="36"/>
    </row>
    <row r="1071" spans="17:29" x14ac:dyDescent="0.2">
      <c r="Q1071" s="36"/>
      <c r="R1071" s="40"/>
      <c r="S1071" s="40"/>
      <c r="T1071" s="40"/>
      <c r="U1071" s="41"/>
      <c r="V1071" s="41"/>
      <c r="W1071" s="41"/>
      <c r="X1071" s="36"/>
      <c r="Y1071" s="36"/>
      <c r="Z1071" s="36"/>
      <c r="AA1071" s="36"/>
      <c r="AB1071" s="36"/>
      <c r="AC1071" s="36"/>
    </row>
    <row r="1072" spans="17:29" x14ac:dyDescent="0.2">
      <c r="Q1072" s="36"/>
      <c r="R1072" s="40"/>
      <c r="S1072" s="40"/>
      <c r="T1072" s="40"/>
      <c r="U1072" s="41"/>
      <c r="V1072" s="41"/>
      <c r="W1072" s="41"/>
      <c r="X1072" s="36"/>
      <c r="Y1072" s="36"/>
      <c r="Z1072" s="36"/>
      <c r="AA1072" s="36"/>
      <c r="AB1072" s="36"/>
      <c r="AC1072" s="36"/>
    </row>
    <row r="1073" spans="17:29" x14ac:dyDescent="0.2">
      <c r="Q1073" s="36"/>
      <c r="R1073" s="40"/>
      <c r="S1073" s="40"/>
      <c r="T1073" s="40"/>
      <c r="U1073" s="41"/>
      <c r="V1073" s="41"/>
      <c r="W1073" s="41"/>
      <c r="X1073" s="36"/>
      <c r="Y1073" s="36"/>
      <c r="Z1073" s="36"/>
      <c r="AA1073" s="36"/>
      <c r="AB1073" s="36"/>
      <c r="AC1073" s="36"/>
    </row>
    <row r="1074" spans="17:29" x14ac:dyDescent="0.2">
      <c r="Q1074" s="36"/>
      <c r="R1074" s="40"/>
      <c r="S1074" s="40"/>
      <c r="T1074" s="40"/>
      <c r="U1074" s="41"/>
      <c r="V1074" s="41"/>
      <c r="W1074" s="41"/>
      <c r="X1074" s="36"/>
      <c r="Y1074" s="36"/>
      <c r="Z1074" s="36"/>
      <c r="AA1074" s="36"/>
      <c r="AB1074" s="36"/>
      <c r="AC1074" s="36"/>
    </row>
    <row r="1075" spans="17:29" x14ac:dyDescent="0.2">
      <c r="Q1075" s="36"/>
      <c r="R1075" s="40"/>
      <c r="S1075" s="40"/>
      <c r="T1075" s="40"/>
      <c r="U1075" s="41"/>
      <c r="V1075" s="41"/>
      <c r="W1075" s="41"/>
      <c r="X1075" s="36"/>
      <c r="Y1075" s="36"/>
      <c r="Z1075" s="36"/>
      <c r="AA1075" s="36"/>
      <c r="AB1075" s="36"/>
      <c r="AC1075" s="36"/>
    </row>
    <row r="1076" spans="17:29" x14ac:dyDescent="0.2">
      <c r="Q1076" s="36"/>
      <c r="R1076" s="40"/>
      <c r="S1076" s="40"/>
      <c r="T1076" s="40"/>
      <c r="U1076" s="41"/>
      <c r="V1076" s="41"/>
      <c r="W1076" s="41"/>
      <c r="X1076" s="36"/>
      <c r="Y1076" s="36"/>
      <c r="Z1076" s="36"/>
      <c r="AA1076" s="36"/>
      <c r="AB1076" s="36"/>
      <c r="AC1076" s="36"/>
    </row>
    <row r="1077" spans="17:29" x14ac:dyDescent="0.2">
      <c r="Q1077" s="36"/>
      <c r="R1077" s="40"/>
      <c r="S1077" s="40"/>
      <c r="T1077" s="40"/>
      <c r="U1077" s="41"/>
      <c r="V1077" s="41"/>
      <c r="W1077" s="41"/>
      <c r="X1077" s="36"/>
      <c r="Y1077" s="36"/>
      <c r="Z1077" s="36"/>
      <c r="AA1077" s="36"/>
      <c r="AB1077" s="36"/>
      <c r="AC1077" s="36"/>
    </row>
    <row r="1078" spans="17:29" x14ac:dyDescent="0.2">
      <c r="Q1078" s="36"/>
      <c r="R1078" s="40"/>
      <c r="S1078" s="40"/>
      <c r="T1078" s="40"/>
      <c r="U1078" s="41"/>
      <c r="V1078" s="41"/>
      <c r="W1078" s="41"/>
      <c r="X1078" s="36"/>
      <c r="Y1078" s="36"/>
      <c r="Z1078" s="36"/>
      <c r="AA1078" s="36"/>
      <c r="AB1078" s="36"/>
      <c r="AC1078" s="36"/>
    </row>
    <row r="1079" spans="17:29" x14ac:dyDescent="0.2">
      <c r="Q1079" s="36"/>
      <c r="R1079" s="40"/>
      <c r="S1079" s="40"/>
      <c r="T1079" s="40"/>
      <c r="U1079" s="41"/>
      <c r="V1079" s="41"/>
      <c r="W1079" s="41"/>
      <c r="X1079" s="36"/>
      <c r="Y1079" s="36"/>
      <c r="Z1079" s="36"/>
      <c r="AA1079" s="36"/>
      <c r="AB1079" s="36"/>
      <c r="AC1079" s="36"/>
    </row>
    <row r="1080" spans="17:29" x14ac:dyDescent="0.2">
      <c r="Q1080" s="36"/>
      <c r="R1080" s="40"/>
      <c r="S1080" s="40"/>
      <c r="T1080" s="40"/>
      <c r="U1080" s="41"/>
      <c r="V1080" s="41"/>
      <c r="W1080" s="41"/>
      <c r="X1080" s="36"/>
      <c r="Y1080" s="36"/>
      <c r="Z1080" s="36"/>
      <c r="AA1080" s="36"/>
      <c r="AB1080" s="36"/>
      <c r="AC1080" s="36"/>
    </row>
    <row r="1081" spans="17:29" x14ac:dyDescent="0.2">
      <c r="Q1081" s="36"/>
      <c r="R1081" s="40"/>
      <c r="S1081" s="40"/>
      <c r="T1081" s="40"/>
      <c r="U1081" s="41"/>
      <c r="V1081" s="41"/>
      <c r="W1081" s="41"/>
      <c r="X1081" s="36"/>
      <c r="Y1081" s="36"/>
      <c r="Z1081" s="36"/>
      <c r="AA1081" s="36"/>
      <c r="AB1081" s="36"/>
      <c r="AC1081" s="36"/>
    </row>
    <row r="1082" spans="17:29" x14ac:dyDescent="0.2">
      <c r="Q1082" s="36"/>
      <c r="R1082" s="40"/>
      <c r="S1082" s="40"/>
      <c r="T1082" s="40"/>
      <c r="U1082" s="41"/>
      <c r="V1082" s="41"/>
      <c r="W1082" s="41"/>
      <c r="X1082" s="36"/>
      <c r="Y1082" s="36"/>
      <c r="Z1082" s="36"/>
      <c r="AA1082" s="36"/>
      <c r="AB1082" s="36"/>
      <c r="AC1082" s="36"/>
    </row>
    <row r="1083" spans="17:29" x14ac:dyDescent="0.2">
      <c r="Q1083" s="36"/>
      <c r="R1083" s="40"/>
      <c r="S1083" s="40"/>
      <c r="T1083" s="40"/>
      <c r="U1083" s="41"/>
      <c r="V1083" s="41"/>
      <c r="W1083" s="41"/>
      <c r="X1083" s="36"/>
      <c r="Y1083" s="36"/>
      <c r="Z1083" s="36"/>
      <c r="AA1083" s="36"/>
      <c r="AB1083" s="36"/>
      <c r="AC1083" s="36"/>
    </row>
    <row r="1084" spans="17:29" x14ac:dyDescent="0.2">
      <c r="Q1084" s="36"/>
      <c r="R1084" s="40"/>
      <c r="S1084" s="40"/>
      <c r="T1084" s="40"/>
      <c r="U1084" s="41"/>
      <c r="V1084" s="41"/>
      <c r="W1084" s="41"/>
      <c r="X1084" s="36"/>
      <c r="Y1084" s="36"/>
      <c r="Z1084" s="36"/>
      <c r="AA1084" s="36"/>
      <c r="AB1084" s="36"/>
      <c r="AC1084" s="36"/>
    </row>
    <row r="1085" spans="17:29" x14ac:dyDescent="0.2">
      <c r="Q1085" s="36"/>
      <c r="R1085" s="40"/>
      <c r="S1085" s="40"/>
      <c r="T1085" s="40"/>
      <c r="U1085" s="41"/>
      <c r="V1085" s="41"/>
      <c r="W1085" s="41"/>
      <c r="X1085" s="36"/>
      <c r="Y1085" s="36"/>
      <c r="Z1085" s="36"/>
      <c r="AA1085" s="36"/>
      <c r="AB1085" s="36"/>
      <c r="AC1085" s="36"/>
    </row>
    <row r="1086" spans="17:29" x14ac:dyDescent="0.2">
      <c r="Q1086" s="36"/>
      <c r="R1086" s="40"/>
      <c r="S1086" s="40"/>
      <c r="T1086" s="40"/>
      <c r="U1086" s="41"/>
      <c r="V1086" s="41"/>
      <c r="W1086" s="41"/>
      <c r="X1086" s="36"/>
      <c r="Y1086" s="36"/>
      <c r="Z1086" s="36"/>
      <c r="AA1086" s="36"/>
      <c r="AB1086" s="36"/>
      <c r="AC1086" s="36"/>
    </row>
    <row r="1087" spans="17:29" x14ac:dyDescent="0.2">
      <c r="Q1087" s="36"/>
      <c r="R1087" s="40"/>
      <c r="S1087" s="40"/>
      <c r="T1087" s="40"/>
      <c r="U1087" s="41"/>
      <c r="V1087" s="41"/>
      <c r="W1087" s="41"/>
      <c r="X1087" s="36"/>
      <c r="Y1087" s="36"/>
      <c r="Z1087" s="36"/>
      <c r="AA1087" s="36"/>
      <c r="AB1087" s="36"/>
      <c r="AC1087" s="36"/>
    </row>
    <row r="1088" spans="17:29" x14ac:dyDescent="0.2">
      <c r="Q1088" s="36"/>
      <c r="R1088" s="40"/>
      <c r="S1088" s="40"/>
      <c r="T1088" s="40"/>
      <c r="U1088" s="41"/>
      <c r="V1088" s="41"/>
      <c r="W1088" s="41"/>
      <c r="X1088" s="36"/>
      <c r="Y1088" s="36"/>
      <c r="Z1088" s="36"/>
      <c r="AA1088" s="36"/>
      <c r="AB1088" s="36"/>
      <c r="AC1088" s="36"/>
    </row>
    <row r="1089" spans="17:29" x14ac:dyDescent="0.2">
      <c r="Q1089" s="36"/>
      <c r="R1089" s="40"/>
      <c r="S1089" s="40"/>
      <c r="T1089" s="40"/>
      <c r="U1089" s="41"/>
      <c r="V1089" s="41"/>
      <c r="W1089" s="41"/>
      <c r="X1089" s="36"/>
      <c r="Y1089" s="36"/>
      <c r="Z1089" s="36"/>
      <c r="AA1089" s="36"/>
      <c r="AB1089" s="36"/>
      <c r="AC1089" s="36"/>
    </row>
    <row r="1090" spans="17:29" x14ac:dyDescent="0.2">
      <c r="Q1090" s="36"/>
      <c r="R1090" s="40"/>
      <c r="S1090" s="40"/>
      <c r="T1090" s="40"/>
      <c r="U1090" s="41"/>
      <c r="V1090" s="41"/>
      <c r="W1090" s="41"/>
      <c r="X1090" s="36"/>
      <c r="Y1090" s="36"/>
      <c r="Z1090" s="36"/>
      <c r="AA1090" s="36"/>
      <c r="AB1090" s="36"/>
      <c r="AC1090" s="36"/>
    </row>
    <row r="1091" spans="17:29" x14ac:dyDescent="0.2">
      <c r="Q1091" s="36"/>
      <c r="R1091" s="40"/>
      <c r="S1091" s="40"/>
      <c r="T1091" s="40"/>
      <c r="U1091" s="41"/>
      <c r="V1091" s="41"/>
      <c r="W1091" s="41"/>
      <c r="X1091" s="36"/>
      <c r="Y1091" s="36"/>
      <c r="Z1091" s="36"/>
      <c r="AA1091" s="36"/>
      <c r="AB1091" s="36"/>
      <c r="AC1091" s="36"/>
    </row>
    <row r="1092" spans="17:29" x14ac:dyDescent="0.2">
      <c r="Q1092" s="36"/>
      <c r="R1092" s="40"/>
      <c r="S1092" s="40"/>
      <c r="T1092" s="40"/>
      <c r="U1092" s="41"/>
      <c r="V1092" s="41"/>
      <c r="W1092" s="41"/>
      <c r="X1092" s="36"/>
      <c r="Y1092" s="36"/>
      <c r="Z1092" s="36"/>
      <c r="AA1092" s="36"/>
      <c r="AB1092" s="36"/>
      <c r="AC1092" s="36"/>
    </row>
    <row r="1093" spans="17:29" x14ac:dyDescent="0.2">
      <c r="Q1093" s="36"/>
      <c r="R1093" s="40"/>
      <c r="S1093" s="40"/>
      <c r="T1093" s="40"/>
      <c r="U1093" s="41"/>
      <c r="V1093" s="41"/>
      <c r="W1093" s="41"/>
      <c r="X1093" s="36"/>
      <c r="Y1093" s="36"/>
      <c r="Z1093" s="36"/>
      <c r="AA1093" s="36"/>
      <c r="AB1093" s="36"/>
      <c r="AC1093" s="36"/>
    </row>
    <row r="1094" spans="17:29" x14ac:dyDescent="0.2">
      <c r="Q1094" s="36"/>
      <c r="R1094" s="40"/>
      <c r="S1094" s="40"/>
      <c r="T1094" s="40"/>
      <c r="U1094" s="41"/>
      <c r="V1094" s="41"/>
      <c r="W1094" s="41"/>
      <c r="X1094" s="36"/>
      <c r="Y1094" s="36"/>
      <c r="Z1094" s="36"/>
      <c r="AA1094" s="36"/>
      <c r="AB1094" s="36"/>
      <c r="AC1094" s="36"/>
    </row>
    <row r="1095" spans="17:29" x14ac:dyDescent="0.2">
      <c r="Q1095" s="36"/>
      <c r="R1095" s="40"/>
      <c r="S1095" s="40"/>
      <c r="T1095" s="40"/>
      <c r="U1095" s="41"/>
      <c r="V1095" s="41"/>
      <c r="W1095" s="41"/>
      <c r="X1095" s="36"/>
      <c r="Y1095" s="36"/>
      <c r="Z1095" s="36"/>
      <c r="AA1095" s="36"/>
      <c r="AB1095" s="36"/>
      <c r="AC1095" s="36"/>
    </row>
    <row r="1096" spans="17:29" x14ac:dyDescent="0.2">
      <c r="Q1096" s="36"/>
      <c r="R1096" s="40"/>
      <c r="S1096" s="40"/>
      <c r="T1096" s="40"/>
      <c r="U1096" s="41"/>
      <c r="V1096" s="41"/>
      <c r="W1096" s="41"/>
      <c r="X1096" s="36"/>
      <c r="Y1096" s="36"/>
      <c r="Z1096" s="36"/>
      <c r="AA1096" s="36"/>
      <c r="AB1096" s="36"/>
      <c r="AC1096" s="36"/>
    </row>
    <row r="1097" spans="17:29" x14ac:dyDescent="0.2">
      <c r="Q1097" s="36"/>
      <c r="R1097" s="40"/>
      <c r="S1097" s="40"/>
      <c r="T1097" s="40"/>
      <c r="U1097" s="41"/>
      <c r="V1097" s="41"/>
      <c r="W1097" s="41"/>
      <c r="X1097" s="36"/>
      <c r="Y1097" s="36"/>
      <c r="Z1097" s="36"/>
      <c r="AA1097" s="36"/>
      <c r="AB1097" s="36"/>
      <c r="AC1097" s="36"/>
    </row>
    <row r="1098" spans="17:29" x14ac:dyDescent="0.2">
      <c r="Q1098" s="36"/>
      <c r="R1098" s="40"/>
      <c r="S1098" s="40"/>
      <c r="T1098" s="40"/>
      <c r="U1098" s="41"/>
      <c r="V1098" s="41"/>
      <c r="W1098" s="41"/>
      <c r="X1098" s="36"/>
      <c r="Y1098" s="36"/>
      <c r="Z1098" s="36"/>
      <c r="AA1098" s="36"/>
      <c r="AB1098" s="36"/>
      <c r="AC1098" s="36"/>
    </row>
    <row r="1099" spans="17:29" x14ac:dyDescent="0.2">
      <c r="Q1099" s="36"/>
      <c r="R1099" s="40"/>
      <c r="S1099" s="40"/>
      <c r="T1099" s="40"/>
      <c r="U1099" s="41"/>
      <c r="V1099" s="41"/>
      <c r="W1099" s="41"/>
      <c r="X1099" s="36"/>
      <c r="Y1099" s="36"/>
      <c r="Z1099" s="36"/>
      <c r="AA1099" s="36"/>
      <c r="AB1099" s="36"/>
      <c r="AC1099" s="36"/>
    </row>
    <row r="1100" spans="17:29" x14ac:dyDescent="0.2">
      <c r="Q1100" s="36"/>
      <c r="R1100" s="40"/>
      <c r="S1100" s="40"/>
      <c r="T1100" s="40"/>
      <c r="U1100" s="41"/>
      <c r="V1100" s="41"/>
      <c r="W1100" s="41"/>
      <c r="X1100" s="36"/>
      <c r="Y1100" s="36"/>
      <c r="Z1100" s="36"/>
      <c r="AA1100" s="36"/>
      <c r="AB1100" s="36"/>
      <c r="AC1100" s="36"/>
    </row>
    <row r="1101" spans="17:29" x14ac:dyDescent="0.2">
      <c r="Q1101" s="36"/>
      <c r="R1101" s="40"/>
      <c r="S1101" s="40"/>
      <c r="T1101" s="40"/>
      <c r="U1101" s="41"/>
      <c r="V1101" s="41"/>
      <c r="W1101" s="41"/>
      <c r="X1101" s="36"/>
      <c r="Y1101" s="36"/>
      <c r="Z1101" s="36"/>
      <c r="AA1101" s="36"/>
      <c r="AB1101" s="36"/>
      <c r="AC1101" s="36"/>
    </row>
    <row r="1102" spans="17:29" x14ac:dyDescent="0.2">
      <c r="Q1102" s="36"/>
      <c r="R1102" s="40"/>
      <c r="S1102" s="40"/>
      <c r="T1102" s="40"/>
      <c r="U1102" s="41"/>
      <c r="V1102" s="41"/>
      <c r="W1102" s="41"/>
      <c r="X1102" s="36"/>
      <c r="Y1102" s="36"/>
      <c r="Z1102" s="36"/>
      <c r="AA1102" s="36"/>
      <c r="AB1102" s="36"/>
      <c r="AC1102" s="36"/>
    </row>
    <row r="1103" spans="17:29" x14ac:dyDescent="0.2">
      <c r="Q1103" s="36"/>
      <c r="R1103" s="40"/>
      <c r="S1103" s="40"/>
      <c r="T1103" s="40"/>
      <c r="U1103" s="41"/>
      <c r="V1103" s="41"/>
      <c r="W1103" s="41"/>
      <c r="X1103" s="36"/>
      <c r="Y1103" s="36"/>
      <c r="Z1103" s="36"/>
      <c r="AA1103" s="36"/>
      <c r="AB1103" s="36"/>
      <c r="AC1103" s="36"/>
    </row>
    <row r="1104" spans="17:29" x14ac:dyDescent="0.2">
      <c r="Q1104" s="36"/>
      <c r="R1104" s="40"/>
      <c r="S1104" s="40"/>
      <c r="T1104" s="40"/>
      <c r="U1104" s="41"/>
      <c r="V1104" s="41"/>
      <c r="W1104" s="41"/>
      <c r="X1104" s="36"/>
      <c r="Y1104" s="36"/>
      <c r="Z1104" s="36"/>
      <c r="AA1104" s="36"/>
      <c r="AB1104" s="36"/>
      <c r="AC1104" s="36"/>
    </row>
    <row r="1105" spans="17:29" x14ac:dyDescent="0.2">
      <c r="Q1105" s="36"/>
      <c r="R1105" s="40"/>
      <c r="S1105" s="40"/>
      <c r="T1105" s="40"/>
      <c r="U1105" s="41"/>
      <c r="V1105" s="41"/>
      <c r="W1105" s="41"/>
      <c r="X1105" s="36"/>
      <c r="Y1105" s="36"/>
      <c r="Z1105" s="36"/>
      <c r="AA1105" s="36"/>
      <c r="AB1105" s="36"/>
      <c r="AC1105" s="36"/>
    </row>
    <row r="1106" spans="17:29" x14ac:dyDescent="0.2">
      <c r="Q1106" s="36"/>
      <c r="R1106" s="40"/>
      <c r="S1106" s="40"/>
      <c r="T1106" s="40"/>
      <c r="U1106" s="41"/>
      <c r="V1106" s="41"/>
      <c r="W1106" s="41"/>
      <c r="X1106" s="36"/>
      <c r="Y1106" s="36"/>
      <c r="Z1106" s="36"/>
      <c r="AA1106" s="36"/>
      <c r="AB1106" s="36"/>
      <c r="AC1106" s="36"/>
    </row>
    <row r="1107" spans="17:29" x14ac:dyDescent="0.2">
      <c r="Q1107" s="36"/>
      <c r="R1107" s="40"/>
      <c r="S1107" s="40"/>
      <c r="T1107" s="40"/>
      <c r="U1107" s="41"/>
      <c r="V1107" s="41"/>
      <c r="W1107" s="41"/>
      <c r="X1107" s="36"/>
      <c r="Y1107" s="36"/>
      <c r="Z1107" s="36"/>
      <c r="AA1107" s="36"/>
      <c r="AB1107" s="36"/>
      <c r="AC1107" s="36"/>
    </row>
    <row r="1108" spans="17:29" x14ac:dyDescent="0.2">
      <c r="Q1108" s="36"/>
      <c r="R1108" s="40"/>
      <c r="S1108" s="40"/>
      <c r="T1108" s="40"/>
      <c r="U1108" s="41"/>
      <c r="V1108" s="41"/>
      <c r="W1108" s="41"/>
      <c r="X1108" s="36"/>
      <c r="Y1108" s="36"/>
      <c r="Z1108" s="36"/>
      <c r="AA1108" s="36"/>
      <c r="AB1108" s="36"/>
      <c r="AC1108" s="36"/>
    </row>
    <row r="1109" spans="17:29" x14ac:dyDescent="0.2">
      <c r="Q1109" s="36"/>
      <c r="R1109" s="40"/>
      <c r="S1109" s="40"/>
      <c r="T1109" s="40"/>
      <c r="U1109" s="41"/>
      <c r="V1109" s="41"/>
      <c r="W1109" s="41"/>
      <c r="X1109" s="36"/>
      <c r="Y1109" s="36"/>
      <c r="Z1109" s="36"/>
      <c r="AA1109" s="36"/>
      <c r="AB1109" s="36"/>
      <c r="AC1109" s="36"/>
    </row>
    <row r="1110" spans="17:29" x14ac:dyDescent="0.2">
      <c r="Q1110" s="36"/>
      <c r="R1110" s="40"/>
      <c r="S1110" s="40"/>
      <c r="T1110" s="40"/>
      <c r="U1110" s="41"/>
      <c r="V1110" s="41"/>
      <c r="W1110" s="41"/>
      <c r="X1110" s="36"/>
      <c r="Y1110" s="36"/>
      <c r="Z1110" s="36"/>
      <c r="AA1110" s="36"/>
      <c r="AB1110" s="36"/>
      <c r="AC1110" s="36"/>
    </row>
    <row r="1111" spans="17:29" x14ac:dyDescent="0.2">
      <c r="Q1111" s="36"/>
      <c r="R1111" s="40"/>
      <c r="S1111" s="40"/>
      <c r="T1111" s="40"/>
      <c r="U1111" s="41"/>
      <c r="V1111" s="41"/>
      <c r="W1111" s="41"/>
      <c r="X1111" s="36"/>
      <c r="Y1111" s="36"/>
      <c r="Z1111" s="36"/>
      <c r="AA1111" s="36"/>
      <c r="AB1111" s="36"/>
      <c r="AC1111" s="36"/>
    </row>
    <row r="1112" spans="17:29" x14ac:dyDescent="0.2">
      <c r="Q1112" s="36"/>
      <c r="R1112" s="40"/>
      <c r="S1112" s="40"/>
      <c r="T1112" s="40"/>
      <c r="U1112" s="41"/>
      <c r="V1112" s="41"/>
      <c r="W1112" s="41"/>
      <c r="X1112" s="36"/>
      <c r="Y1112" s="36"/>
      <c r="Z1112" s="36"/>
      <c r="AA1112" s="36"/>
      <c r="AB1112" s="36"/>
      <c r="AC1112" s="36"/>
    </row>
    <row r="1113" spans="17:29" x14ac:dyDescent="0.2">
      <c r="Q1113" s="36"/>
      <c r="R1113" s="40"/>
      <c r="S1113" s="40"/>
      <c r="T1113" s="40"/>
      <c r="U1113" s="41"/>
      <c r="V1113" s="41"/>
      <c r="W1113" s="41"/>
      <c r="X1113" s="36"/>
      <c r="Y1113" s="36"/>
      <c r="Z1113" s="36"/>
      <c r="AA1113" s="36"/>
      <c r="AB1113" s="36"/>
      <c r="AC1113" s="36"/>
    </row>
    <row r="1114" spans="17:29" x14ac:dyDescent="0.2">
      <c r="Q1114" s="36"/>
      <c r="R1114" s="40"/>
      <c r="S1114" s="40"/>
      <c r="T1114" s="40"/>
      <c r="U1114" s="41"/>
      <c r="V1114" s="41"/>
      <c r="W1114" s="41"/>
      <c r="X1114" s="36"/>
      <c r="Y1114" s="36"/>
      <c r="Z1114" s="36"/>
      <c r="AA1114" s="36"/>
      <c r="AB1114" s="36"/>
      <c r="AC1114" s="36"/>
    </row>
    <row r="1115" spans="17:29" x14ac:dyDescent="0.2">
      <c r="Q1115" s="36"/>
      <c r="R1115" s="40"/>
      <c r="S1115" s="40"/>
      <c r="T1115" s="40"/>
      <c r="U1115" s="41"/>
      <c r="V1115" s="41"/>
      <c r="W1115" s="41"/>
      <c r="X1115" s="36"/>
      <c r="Y1115" s="36"/>
      <c r="Z1115" s="36"/>
      <c r="AA1115" s="36"/>
      <c r="AB1115" s="36"/>
      <c r="AC1115" s="36"/>
    </row>
    <row r="1116" spans="17:29" x14ac:dyDescent="0.2">
      <c r="Q1116" s="36"/>
      <c r="R1116" s="40"/>
      <c r="S1116" s="40"/>
      <c r="T1116" s="40"/>
      <c r="U1116" s="41"/>
      <c r="V1116" s="41"/>
      <c r="W1116" s="41"/>
      <c r="X1116" s="36"/>
      <c r="Y1116" s="36"/>
      <c r="Z1116" s="36"/>
      <c r="AA1116" s="36"/>
      <c r="AB1116" s="36"/>
      <c r="AC1116" s="36"/>
    </row>
    <row r="1117" spans="17:29" x14ac:dyDescent="0.2">
      <c r="Q1117" s="36"/>
      <c r="R1117" s="40"/>
      <c r="S1117" s="40"/>
      <c r="T1117" s="40"/>
      <c r="U1117" s="41"/>
      <c r="V1117" s="41"/>
      <c r="W1117" s="41"/>
      <c r="X1117" s="36"/>
      <c r="Y1117" s="36"/>
      <c r="Z1117" s="36"/>
      <c r="AA1117" s="36"/>
      <c r="AB1117" s="36"/>
      <c r="AC1117" s="36"/>
    </row>
    <row r="1118" spans="17:29" x14ac:dyDescent="0.2">
      <c r="Q1118" s="36"/>
      <c r="R1118" s="40"/>
      <c r="S1118" s="40"/>
      <c r="T1118" s="40"/>
      <c r="U1118" s="41"/>
      <c r="V1118" s="41"/>
      <c r="W1118" s="41"/>
      <c r="X1118" s="36"/>
      <c r="Y1118" s="36"/>
      <c r="Z1118" s="36"/>
      <c r="AA1118" s="36"/>
      <c r="AB1118" s="36"/>
      <c r="AC1118" s="36"/>
    </row>
    <row r="1119" spans="17:29" x14ac:dyDescent="0.2">
      <c r="Q1119" s="36"/>
      <c r="R1119" s="40"/>
      <c r="S1119" s="40"/>
      <c r="T1119" s="40"/>
      <c r="U1119" s="41"/>
      <c r="V1119" s="41"/>
      <c r="W1119" s="41"/>
      <c r="X1119" s="36"/>
      <c r="Y1119" s="36"/>
      <c r="Z1119" s="36"/>
      <c r="AA1119" s="36"/>
      <c r="AB1119" s="36"/>
      <c r="AC1119" s="36"/>
    </row>
    <row r="1120" spans="17:29" x14ac:dyDescent="0.2">
      <c r="Q1120" s="36"/>
      <c r="R1120" s="40"/>
      <c r="S1120" s="40"/>
      <c r="T1120" s="40"/>
      <c r="U1120" s="41"/>
      <c r="V1120" s="41"/>
      <c r="W1120" s="41"/>
      <c r="X1120" s="36"/>
      <c r="Y1120" s="36"/>
      <c r="Z1120" s="36"/>
      <c r="AA1120" s="36"/>
      <c r="AB1120" s="36"/>
      <c r="AC1120" s="36"/>
    </row>
    <row r="1121" spans="17:29" x14ac:dyDescent="0.2">
      <c r="Q1121" s="36"/>
      <c r="R1121" s="40"/>
      <c r="S1121" s="40"/>
      <c r="T1121" s="40"/>
      <c r="U1121" s="41"/>
      <c r="V1121" s="41"/>
      <c r="W1121" s="41"/>
      <c r="X1121" s="36"/>
      <c r="Y1121" s="36"/>
      <c r="Z1121" s="36"/>
      <c r="AA1121" s="36"/>
      <c r="AB1121" s="36"/>
      <c r="AC1121" s="36"/>
    </row>
    <row r="1122" spans="17:29" x14ac:dyDescent="0.2">
      <c r="Q1122" s="36"/>
      <c r="R1122" s="40"/>
      <c r="S1122" s="40"/>
      <c r="T1122" s="40"/>
      <c r="U1122" s="41"/>
      <c r="V1122" s="41"/>
      <c r="W1122" s="41"/>
      <c r="X1122" s="36"/>
      <c r="Y1122" s="36"/>
      <c r="Z1122" s="36"/>
      <c r="AA1122" s="36"/>
      <c r="AB1122" s="36"/>
      <c r="AC1122" s="36"/>
    </row>
    <row r="1123" spans="17:29" x14ac:dyDescent="0.2">
      <c r="Q1123" s="36"/>
      <c r="R1123" s="40"/>
      <c r="S1123" s="40"/>
      <c r="T1123" s="40"/>
      <c r="U1123" s="41"/>
      <c r="V1123" s="41"/>
      <c r="W1123" s="41"/>
      <c r="X1123" s="36"/>
      <c r="Y1123" s="36"/>
      <c r="Z1123" s="36"/>
      <c r="AA1123" s="36"/>
      <c r="AB1123" s="36"/>
      <c r="AC1123" s="36"/>
    </row>
    <row r="1124" spans="17:29" x14ac:dyDescent="0.2">
      <c r="Q1124" s="36"/>
      <c r="R1124" s="40"/>
      <c r="S1124" s="40"/>
      <c r="T1124" s="40"/>
      <c r="U1124" s="41"/>
      <c r="V1124" s="41"/>
      <c r="W1124" s="41"/>
      <c r="X1124" s="36"/>
      <c r="Y1124" s="36"/>
      <c r="Z1124" s="36"/>
      <c r="AA1124" s="36"/>
      <c r="AB1124" s="36"/>
      <c r="AC1124" s="36"/>
    </row>
    <row r="1125" spans="17:29" x14ac:dyDescent="0.2">
      <c r="Q1125" s="36"/>
      <c r="R1125" s="40"/>
      <c r="S1125" s="40"/>
      <c r="T1125" s="40"/>
      <c r="U1125" s="41"/>
      <c r="V1125" s="41"/>
      <c r="W1125" s="41"/>
      <c r="X1125" s="36"/>
      <c r="Y1125" s="36"/>
      <c r="Z1125" s="36"/>
      <c r="AA1125" s="36"/>
      <c r="AB1125" s="36"/>
      <c r="AC1125" s="36"/>
    </row>
    <row r="1126" spans="17:29" x14ac:dyDescent="0.2">
      <c r="Q1126" s="36"/>
      <c r="R1126" s="40"/>
      <c r="S1126" s="40"/>
      <c r="T1126" s="40"/>
      <c r="U1126" s="41"/>
      <c r="V1126" s="41"/>
      <c r="W1126" s="41"/>
      <c r="X1126" s="36"/>
      <c r="Y1126" s="36"/>
      <c r="Z1126" s="36"/>
      <c r="AA1126" s="36"/>
      <c r="AB1126" s="36"/>
      <c r="AC1126" s="36"/>
    </row>
    <row r="1127" spans="17:29" x14ac:dyDescent="0.2">
      <c r="Q1127" s="36"/>
      <c r="R1127" s="40"/>
      <c r="S1127" s="40"/>
      <c r="T1127" s="40"/>
      <c r="U1127" s="41"/>
      <c r="V1127" s="41"/>
      <c r="W1127" s="41"/>
      <c r="X1127" s="36"/>
      <c r="Y1127" s="36"/>
      <c r="Z1127" s="36"/>
      <c r="AA1127" s="36"/>
      <c r="AB1127" s="36"/>
      <c r="AC1127" s="36"/>
    </row>
    <row r="1128" spans="17:29" x14ac:dyDescent="0.2">
      <c r="Q1128" s="36"/>
      <c r="R1128" s="40"/>
      <c r="S1128" s="40"/>
      <c r="T1128" s="40"/>
      <c r="U1128" s="41"/>
      <c r="V1128" s="41"/>
      <c r="W1128" s="41"/>
      <c r="X1128" s="36"/>
      <c r="Y1128" s="36"/>
      <c r="Z1128" s="36"/>
      <c r="AA1128" s="36"/>
      <c r="AB1128" s="36"/>
      <c r="AC1128" s="36"/>
    </row>
    <row r="1129" spans="17:29" x14ac:dyDescent="0.2">
      <c r="Q1129" s="36"/>
      <c r="R1129" s="40"/>
      <c r="S1129" s="40"/>
      <c r="T1129" s="40"/>
      <c r="U1129" s="41"/>
      <c r="V1129" s="41"/>
      <c r="W1129" s="41"/>
      <c r="X1129" s="36"/>
      <c r="Y1129" s="36"/>
      <c r="Z1129" s="36"/>
      <c r="AA1129" s="36"/>
      <c r="AB1129" s="36"/>
      <c r="AC1129" s="36"/>
    </row>
    <row r="1130" spans="17:29" x14ac:dyDescent="0.2">
      <c r="Q1130" s="36"/>
      <c r="R1130" s="40"/>
      <c r="S1130" s="40"/>
      <c r="T1130" s="40"/>
      <c r="U1130" s="41"/>
      <c r="V1130" s="41"/>
      <c r="W1130" s="41"/>
      <c r="X1130" s="36"/>
      <c r="Y1130" s="36"/>
      <c r="Z1130" s="36"/>
      <c r="AA1130" s="36"/>
      <c r="AB1130" s="36"/>
      <c r="AC1130" s="36"/>
    </row>
    <row r="1131" spans="17:29" x14ac:dyDescent="0.2">
      <c r="Q1131" s="36"/>
      <c r="R1131" s="40"/>
      <c r="S1131" s="40"/>
      <c r="T1131" s="40"/>
      <c r="U1131" s="41"/>
      <c r="V1131" s="41"/>
      <c r="W1131" s="41"/>
      <c r="X1131" s="36"/>
      <c r="Y1131" s="36"/>
      <c r="Z1131" s="36"/>
      <c r="AA1131" s="36"/>
      <c r="AB1131" s="36"/>
      <c r="AC1131" s="36"/>
    </row>
    <row r="1132" spans="17:29" x14ac:dyDescent="0.2">
      <c r="Q1132" s="36"/>
      <c r="R1132" s="40"/>
      <c r="S1132" s="40"/>
      <c r="T1132" s="40"/>
      <c r="U1132" s="41"/>
      <c r="V1132" s="41"/>
      <c r="W1132" s="41"/>
      <c r="X1132" s="36"/>
      <c r="Y1132" s="36"/>
      <c r="Z1132" s="36"/>
      <c r="AA1132" s="36"/>
      <c r="AB1132" s="36"/>
      <c r="AC1132" s="36"/>
    </row>
    <row r="1133" spans="17:29" x14ac:dyDescent="0.2">
      <c r="Q1133" s="36"/>
      <c r="R1133" s="40"/>
      <c r="S1133" s="40"/>
      <c r="T1133" s="40"/>
      <c r="U1133" s="41"/>
      <c r="V1133" s="41"/>
      <c r="W1133" s="41"/>
      <c r="X1133" s="36"/>
      <c r="Y1133" s="36"/>
      <c r="Z1133" s="36"/>
      <c r="AA1133" s="36"/>
      <c r="AB1133" s="36"/>
      <c r="AC1133" s="36"/>
    </row>
    <row r="1134" spans="17:29" x14ac:dyDescent="0.2">
      <c r="Q1134" s="36"/>
      <c r="R1134" s="40"/>
      <c r="S1134" s="40"/>
      <c r="T1134" s="40"/>
      <c r="U1134" s="41"/>
      <c r="V1134" s="41"/>
      <c r="W1134" s="41"/>
      <c r="X1134" s="36"/>
      <c r="Y1134" s="36"/>
      <c r="Z1134" s="36"/>
      <c r="AA1134" s="36"/>
      <c r="AB1134" s="36"/>
      <c r="AC1134" s="36"/>
    </row>
    <row r="1135" spans="17:29" x14ac:dyDescent="0.2">
      <c r="Q1135" s="36"/>
      <c r="R1135" s="40"/>
      <c r="S1135" s="40"/>
      <c r="T1135" s="40"/>
      <c r="U1135" s="41"/>
      <c r="V1135" s="41"/>
      <c r="W1135" s="41"/>
      <c r="X1135" s="36"/>
      <c r="Y1135" s="36"/>
      <c r="Z1135" s="36"/>
      <c r="AA1135" s="36"/>
      <c r="AB1135" s="36"/>
      <c r="AC1135" s="36"/>
    </row>
    <row r="1136" spans="17:29" x14ac:dyDescent="0.2">
      <c r="Q1136" s="36"/>
      <c r="R1136" s="40"/>
      <c r="S1136" s="40"/>
      <c r="T1136" s="40"/>
      <c r="U1136" s="41"/>
      <c r="V1136" s="41"/>
      <c r="W1136" s="41"/>
      <c r="X1136" s="36"/>
      <c r="Y1136" s="36"/>
      <c r="Z1136" s="36"/>
      <c r="AA1136" s="36"/>
      <c r="AB1136" s="36"/>
      <c r="AC1136" s="36"/>
    </row>
    <row r="1137" spans="17:29" x14ac:dyDescent="0.2">
      <c r="Q1137" s="36"/>
      <c r="R1137" s="40"/>
      <c r="S1137" s="40"/>
      <c r="T1137" s="40"/>
      <c r="U1137" s="41"/>
      <c r="V1137" s="41"/>
      <c r="W1137" s="41"/>
      <c r="X1137" s="36"/>
      <c r="Y1137" s="36"/>
      <c r="Z1137" s="36"/>
      <c r="AA1137" s="36"/>
      <c r="AB1137" s="36"/>
      <c r="AC1137" s="36"/>
    </row>
    <row r="1138" spans="17:29" x14ac:dyDescent="0.2">
      <c r="Q1138" s="36"/>
      <c r="R1138" s="40"/>
      <c r="S1138" s="40"/>
      <c r="T1138" s="40"/>
      <c r="U1138" s="41"/>
      <c r="V1138" s="41"/>
      <c r="W1138" s="41"/>
      <c r="X1138" s="36"/>
      <c r="Y1138" s="36"/>
      <c r="Z1138" s="36"/>
      <c r="AA1138" s="36"/>
      <c r="AB1138" s="36"/>
      <c r="AC1138" s="36"/>
    </row>
    <row r="1139" spans="17:29" x14ac:dyDescent="0.2">
      <c r="Q1139" s="36"/>
      <c r="R1139" s="40"/>
      <c r="S1139" s="40"/>
      <c r="T1139" s="40"/>
      <c r="U1139" s="41"/>
      <c r="V1139" s="41"/>
      <c r="W1139" s="41"/>
      <c r="X1139" s="36"/>
      <c r="Y1139" s="36"/>
      <c r="Z1139" s="36"/>
      <c r="AA1139" s="36"/>
      <c r="AB1139" s="36"/>
      <c r="AC1139" s="36"/>
    </row>
    <row r="1140" spans="17:29" x14ac:dyDescent="0.2">
      <c r="Q1140" s="36"/>
      <c r="R1140" s="40"/>
      <c r="S1140" s="40"/>
      <c r="T1140" s="40"/>
      <c r="U1140" s="41"/>
      <c r="V1140" s="41"/>
      <c r="W1140" s="41"/>
      <c r="X1140" s="36"/>
      <c r="Y1140" s="36"/>
      <c r="Z1140" s="36"/>
      <c r="AA1140" s="36"/>
      <c r="AB1140" s="36"/>
      <c r="AC1140" s="36"/>
    </row>
    <row r="1141" spans="17:29" x14ac:dyDescent="0.2">
      <c r="Q1141" s="36"/>
      <c r="R1141" s="40"/>
      <c r="S1141" s="40"/>
      <c r="T1141" s="40"/>
      <c r="U1141" s="41"/>
      <c r="V1141" s="41"/>
      <c r="W1141" s="41"/>
      <c r="X1141" s="36"/>
      <c r="Y1141" s="36"/>
      <c r="Z1141" s="36"/>
      <c r="AA1141" s="36"/>
      <c r="AB1141" s="36"/>
      <c r="AC1141" s="36"/>
    </row>
    <row r="1142" spans="17:29" x14ac:dyDescent="0.2">
      <c r="Q1142" s="36"/>
      <c r="R1142" s="40"/>
      <c r="S1142" s="40"/>
      <c r="T1142" s="40"/>
      <c r="U1142" s="41"/>
      <c r="V1142" s="41"/>
      <c r="W1142" s="41"/>
      <c r="X1142" s="36"/>
      <c r="Y1142" s="36"/>
      <c r="Z1142" s="36"/>
      <c r="AA1142" s="36"/>
      <c r="AB1142" s="36"/>
      <c r="AC1142" s="36"/>
    </row>
    <row r="1143" spans="17:29" x14ac:dyDescent="0.2">
      <c r="Q1143" s="36"/>
      <c r="R1143" s="40"/>
      <c r="S1143" s="40"/>
      <c r="T1143" s="40"/>
      <c r="U1143" s="41"/>
      <c r="V1143" s="41"/>
      <c r="W1143" s="41"/>
      <c r="X1143" s="36"/>
      <c r="Y1143" s="36"/>
      <c r="Z1143" s="36"/>
      <c r="AA1143" s="36"/>
      <c r="AB1143" s="36"/>
      <c r="AC1143" s="36"/>
    </row>
    <row r="1144" spans="17:29" x14ac:dyDescent="0.2">
      <c r="Q1144" s="36"/>
      <c r="R1144" s="40"/>
      <c r="S1144" s="40"/>
      <c r="T1144" s="40"/>
      <c r="U1144" s="41"/>
      <c r="V1144" s="41"/>
      <c r="W1144" s="41"/>
      <c r="X1144" s="36"/>
      <c r="Y1144" s="36"/>
      <c r="Z1144" s="36"/>
      <c r="AA1144" s="36"/>
      <c r="AB1144" s="36"/>
      <c r="AC1144" s="36"/>
    </row>
    <row r="1145" spans="17:29" x14ac:dyDescent="0.2">
      <c r="Q1145" s="36"/>
      <c r="R1145" s="40"/>
      <c r="S1145" s="40"/>
      <c r="T1145" s="40"/>
      <c r="U1145" s="41"/>
      <c r="V1145" s="41"/>
      <c r="W1145" s="41"/>
      <c r="X1145" s="36"/>
      <c r="Y1145" s="36"/>
      <c r="Z1145" s="36"/>
      <c r="AA1145" s="36"/>
      <c r="AB1145" s="36"/>
      <c r="AC1145" s="36"/>
    </row>
    <row r="1146" spans="17:29" x14ac:dyDescent="0.2">
      <c r="Q1146" s="36"/>
      <c r="R1146" s="40"/>
      <c r="S1146" s="40"/>
      <c r="T1146" s="40"/>
      <c r="U1146" s="41"/>
      <c r="V1146" s="41"/>
      <c r="W1146" s="41"/>
      <c r="X1146" s="36"/>
      <c r="Y1146" s="36"/>
      <c r="Z1146" s="36"/>
      <c r="AA1146" s="36"/>
      <c r="AB1146" s="36"/>
      <c r="AC1146" s="36"/>
    </row>
    <row r="1147" spans="17:29" x14ac:dyDescent="0.2">
      <c r="Q1147" s="36"/>
      <c r="R1147" s="40"/>
      <c r="S1147" s="40"/>
      <c r="T1147" s="40"/>
      <c r="U1147" s="41"/>
      <c r="V1147" s="41"/>
      <c r="W1147" s="41"/>
      <c r="X1147" s="36"/>
      <c r="Y1147" s="36"/>
      <c r="Z1147" s="36"/>
      <c r="AA1147" s="36"/>
      <c r="AB1147" s="36"/>
      <c r="AC1147" s="36"/>
    </row>
    <row r="1148" spans="17:29" x14ac:dyDescent="0.2">
      <c r="Q1148" s="36"/>
      <c r="R1148" s="40"/>
      <c r="S1148" s="40"/>
      <c r="T1148" s="40"/>
      <c r="U1148" s="41"/>
      <c r="V1148" s="41"/>
      <c r="W1148" s="41"/>
      <c r="X1148" s="36"/>
      <c r="Y1148" s="36"/>
      <c r="Z1148" s="36"/>
      <c r="AA1148" s="36"/>
      <c r="AB1148" s="36"/>
      <c r="AC1148" s="36"/>
    </row>
    <row r="1149" spans="17:29" x14ac:dyDescent="0.2">
      <c r="Q1149" s="36"/>
      <c r="R1149" s="40"/>
      <c r="S1149" s="40"/>
      <c r="T1149" s="40"/>
      <c r="U1149" s="41"/>
      <c r="V1149" s="41"/>
      <c r="W1149" s="41"/>
      <c r="X1149" s="36"/>
      <c r="Y1149" s="36"/>
      <c r="Z1149" s="36"/>
      <c r="AA1149" s="36"/>
      <c r="AB1149" s="36"/>
      <c r="AC1149" s="36"/>
    </row>
    <row r="1150" spans="17:29" x14ac:dyDescent="0.2">
      <c r="Q1150" s="36"/>
      <c r="R1150" s="40"/>
      <c r="S1150" s="40"/>
      <c r="T1150" s="40"/>
      <c r="U1150" s="41"/>
      <c r="V1150" s="41"/>
      <c r="W1150" s="41"/>
      <c r="X1150" s="36"/>
      <c r="Y1150" s="36"/>
      <c r="Z1150" s="36"/>
      <c r="AA1150" s="36"/>
      <c r="AB1150" s="36"/>
      <c r="AC1150" s="36"/>
    </row>
    <row r="1151" spans="17:29" x14ac:dyDescent="0.2">
      <c r="Q1151" s="36"/>
      <c r="R1151" s="40"/>
      <c r="S1151" s="40"/>
      <c r="T1151" s="40"/>
      <c r="U1151" s="41"/>
      <c r="V1151" s="41"/>
      <c r="W1151" s="41"/>
      <c r="X1151" s="36"/>
      <c r="Y1151" s="36"/>
      <c r="Z1151" s="36"/>
      <c r="AA1151" s="36"/>
      <c r="AB1151" s="36"/>
      <c r="AC1151" s="36"/>
    </row>
    <row r="1152" spans="17:29" x14ac:dyDescent="0.2">
      <c r="Q1152" s="36"/>
      <c r="R1152" s="40"/>
      <c r="S1152" s="40"/>
      <c r="T1152" s="40"/>
      <c r="U1152" s="41"/>
      <c r="V1152" s="41"/>
      <c r="W1152" s="41"/>
      <c r="X1152" s="36"/>
      <c r="Y1152" s="36"/>
      <c r="Z1152" s="36"/>
      <c r="AA1152" s="36"/>
      <c r="AB1152" s="36"/>
      <c r="AC1152" s="36"/>
    </row>
    <row r="1153" spans="17:29" x14ac:dyDescent="0.2">
      <c r="Q1153" s="36"/>
      <c r="R1153" s="40"/>
      <c r="S1153" s="40"/>
      <c r="T1153" s="40"/>
      <c r="U1153" s="41"/>
      <c r="V1153" s="41"/>
      <c r="W1153" s="41"/>
      <c r="X1153" s="36"/>
      <c r="Y1153" s="36"/>
      <c r="Z1153" s="36"/>
      <c r="AA1153" s="36"/>
      <c r="AB1153" s="36"/>
      <c r="AC1153" s="36"/>
    </row>
    <row r="1154" spans="17:29" x14ac:dyDescent="0.2">
      <c r="Q1154" s="36"/>
      <c r="R1154" s="40"/>
      <c r="S1154" s="40"/>
      <c r="T1154" s="40"/>
      <c r="U1154" s="41"/>
      <c r="V1154" s="41"/>
      <c r="W1154" s="41"/>
      <c r="X1154" s="36"/>
      <c r="Y1154" s="36"/>
      <c r="Z1154" s="36"/>
      <c r="AA1154" s="36"/>
      <c r="AB1154" s="36"/>
      <c r="AC1154" s="36"/>
    </row>
    <row r="1155" spans="17:29" x14ac:dyDescent="0.2">
      <c r="Q1155" s="36"/>
      <c r="R1155" s="40"/>
      <c r="S1155" s="40"/>
      <c r="T1155" s="40"/>
      <c r="U1155" s="41"/>
      <c r="V1155" s="41"/>
      <c r="W1155" s="41"/>
      <c r="X1155" s="36"/>
      <c r="Y1155" s="36"/>
      <c r="Z1155" s="36"/>
      <c r="AA1155" s="36"/>
      <c r="AB1155" s="36"/>
      <c r="AC1155" s="36"/>
    </row>
    <row r="1156" spans="17:29" x14ac:dyDescent="0.2">
      <c r="Q1156" s="36"/>
      <c r="R1156" s="40"/>
      <c r="S1156" s="40"/>
      <c r="T1156" s="40"/>
      <c r="U1156" s="41"/>
      <c r="V1156" s="41"/>
      <c r="W1156" s="41"/>
      <c r="X1156" s="36"/>
      <c r="Y1156" s="36"/>
      <c r="Z1156" s="36"/>
      <c r="AA1156" s="36"/>
      <c r="AB1156" s="36"/>
      <c r="AC1156" s="36"/>
    </row>
    <row r="1157" spans="17:29" x14ac:dyDescent="0.2">
      <c r="Q1157" s="36"/>
      <c r="R1157" s="40"/>
      <c r="S1157" s="40"/>
      <c r="T1157" s="40"/>
      <c r="U1157" s="41"/>
      <c r="V1157" s="41"/>
      <c r="W1157" s="41"/>
      <c r="X1157" s="36"/>
      <c r="Y1157" s="36"/>
      <c r="Z1157" s="36"/>
      <c r="AA1157" s="36"/>
      <c r="AB1157" s="36"/>
      <c r="AC1157" s="36"/>
    </row>
    <row r="1158" spans="17:29" x14ac:dyDescent="0.2">
      <c r="Q1158" s="36"/>
      <c r="R1158" s="40"/>
      <c r="S1158" s="40"/>
      <c r="T1158" s="40"/>
      <c r="U1158" s="41"/>
      <c r="V1158" s="41"/>
      <c r="W1158" s="41"/>
      <c r="X1158" s="36"/>
      <c r="Y1158" s="36"/>
      <c r="Z1158" s="36"/>
      <c r="AA1158" s="36"/>
      <c r="AB1158" s="36"/>
      <c r="AC1158" s="36"/>
    </row>
    <row r="1159" spans="17:29" x14ac:dyDescent="0.2">
      <c r="Q1159" s="36"/>
      <c r="R1159" s="40"/>
      <c r="S1159" s="40"/>
      <c r="T1159" s="40"/>
      <c r="U1159" s="41"/>
      <c r="V1159" s="41"/>
      <c r="W1159" s="41"/>
      <c r="X1159" s="36"/>
      <c r="Y1159" s="36"/>
      <c r="Z1159" s="36"/>
      <c r="AA1159" s="36"/>
      <c r="AB1159" s="36"/>
      <c r="AC1159" s="36"/>
    </row>
    <row r="1160" spans="17:29" x14ac:dyDescent="0.2">
      <c r="Q1160" s="36"/>
      <c r="R1160" s="40"/>
      <c r="S1160" s="40"/>
      <c r="T1160" s="40"/>
      <c r="U1160" s="41"/>
      <c r="V1160" s="41"/>
      <c r="W1160" s="41"/>
      <c r="X1160" s="36"/>
      <c r="Y1160" s="36"/>
      <c r="Z1160" s="36"/>
      <c r="AA1160" s="36"/>
      <c r="AB1160" s="36"/>
      <c r="AC1160" s="36"/>
    </row>
    <row r="1161" spans="17:29" x14ac:dyDescent="0.2">
      <c r="Q1161" s="36"/>
      <c r="R1161" s="40"/>
      <c r="S1161" s="40"/>
      <c r="T1161" s="40"/>
      <c r="U1161" s="41"/>
      <c r="V1161" s="41"/>
      <c r="W1161" s="41"/>
      <c r="X1161" s="36"/>
      <c r="Y1161" s="36"/>
      <c r="Z1161" s="36"/>
      <c r="AA1161" s="36"/>
      <c r="AB1161" s="36"/>
      <c r="AC1161" s="36"/>
    </row>
    <row r="1162" spans="17:29" x14ac:dyDescent="0.2">
      <c r="Q1162" s="36"/>
      <c r="R1162" s="40"/>
      <c r="S1162" s="40"/>
      <c r="T1162" s="40"/>
      <c r="U1162" s="41"/>
      <c r="V1162" s="41"/>
      <c r="W1162" s="41"/>
      <c r="X1162" s="36"/>
      <c r="Y1162" s="36"/>
      <c r="Z1162" s="36"/>
      <c r="AA1162" s="36"/>
      <c r="AB1162" s="36"/>
      <c r="AC1162" s="36"/>
    </row>
    <row r="1163" spans="17:29" x14ac:dyDescent="0.2">
      <c r="Q1163" s="36"/>
      <c r="R1163" s="40"/>
      <c r="S1163" s="40"/>
      <c r="T1163" s="40"/>
      <c r="U1163" s="41"/>
      <c r="V1163" s="41"/>
      <c r="W1163" s="41"/>
      <c r="X1163" s="36"/>
      <c r="Y1163" s="36"/>
      <c r="Z1163" s="36"/>
      <c r="AA1163" s="36"/>
      <c r="AB1163" s="36"/>
      <c r="AC1163" s="36"/>
    </row>
    <row r="1164" spans="17:29" x14ac:dyDescent="0.2">
      <c r="Q1164" s="36"/>
      <c r="R1164" s="40"/>
      <c r="S1164" s="40"/>
      <c r="T1164" s="40"/>
      <c r="U1164" s="41"/>
      <c r="V1164" s="41"/>
      <c r="W1164" s="41"/>
      <c r="X1164" s="36"/>
      <c r="Y1164" s="36"/>
      <c r="Z1164" s="36"/>
      <c r="AA1164" s="36"/>
      <c r="AB1164" s="36"/>
      <c r="AC1164" s="36"/>
    </row>
    <row r="1165" spans="17:29" x14ac:dyDescent="0.2">
      <c r="Q1165" s="36"/>
      <c r="R1165" s="40"/>
      <c r="S1165" s="40"/>
      <c r="T1165" s="40"/>
      <c r="U1165" s="41"/>
      <c r="V1165" s="41"/>
      <c r="W1165" s="41"/>
      <c r="X1165" s="36"/>
      <c r="Y1165" s="36"/>
      <c r="Z1165" s="36"/>
      <c r="AA1165" s="36"/>
      <c r="AB1165" s="36"/>
      <c r="AC1165" s="36"/>
    </row>
    <row r="1166" spans="17:29" x14ac:dyDescent="0.2">
      <c r="Q1166" s="36"/>
      <c r="R1166" s="40"/>
      <c r="S1166" s="40"/>
      <c r="T1166" s="40"/>
      <c r="U1166" s="41"/>
      <c r="V1166" s="41"/>
      <c r="W1166" s="41"/>
      <c r="X1166" s="36"/>
      <c r="Y1166" s="36"/>
      <c r="Z1166" s="36"/>
      <c r="AA1166" s="36"/>
      <c r="AB1166" s="36"/>
      <c r="AC1166" s="36"/>
    </row>
    <row r="1167" spans="17:29" x14ac:dyDescent="0.2">
      <c r="Q1167" s="36"/>
      <c r="R1167" s="40"/>
      <c r="S1167" s="40"/>
      <c r="T1167" s="40"/>
      <c r="U1167" s="41"/>
      <c r="V1167" s="41"/>
      <c r="W1167" s="41"/>
      <c r="X1167" s="36"/>
      <c r="Y1167" s="36"/>
      <c r="Z1167" s="36"/>
      <c r="AA1167" s="36"/>
      <c r="AB1167" s="36"/>
      <c r="AC1167" s="36"/>
    </row>
    <row r="1168" spans="17:29" x14ac:dyDescent="0.2">
      <c r="Q1168" s="36"/>
      <c r="R1168" s="40"/>
      <c r="S1168" s="40"/>
      <c r="T1168" s="40"/>
      <c r="U1168" s="41"/>
      <c r="V1168" s="41"/>
      <c r="W1168" s="41"/>
      <c r="X1168" s="36"/>
      <c r="Y1168" s="36"/>
      <c r="Z1168" s="36"/>
      <c r="AA1168" s="36"/>
      <c r="AB1168" s="36"/>
      <c r="AC1168" s="36"/>
    </row>
    <row r="1169" spans="17:29" x14ac:dyDescent="0.2">
      <c r="Q1169" s="36"/>
      <c r="R1169" s="40"/>
      <c r="S1169" s="40"/>
      <c r="T1169" s="40"/>
      <c r="U1169" s="41"/>
      <c r="V1169" s="41"/>
      <c r="W1169" s="41"/>
      <c r="X1169" s="36"/>
      <c r="Y1169" s="36"/>
      <c r="Z1169" s="36"/>
      <c r="AA1169" s="36"/>
      <c r="AB1169" s="36"/>
      <c r="AC1169" s="36"/>
    </row>
    <row r="1170" spans="17:29" x14ac:dyDescent="0.2">
      <c r="Q1170" s="36"/>
      <c r="R1170" s="40"/>
      <c r="S1170" s="40"/>
      <c r="T1170" s="40"/>
      <c r="U1170" s="41"/>
      <c r="V1170" s="41"/>
      <c r="W1170" s="41"/>
      <c r="X1170" s="36"/>
      <c r="Y1170" s="36"/>
      <c r="Z1170" s="36"/>
      <c r="AA1170" s="36"/>
      <c r="AB1170" s="36"/>
      <c r="AC1170" s="36"/>
    </row>
    <row r="1171" spans="17:29" x14ac:dyDescent="0.2">
      <c r="Q1171" s="36"/>
      <c r="R1171" s="40"/>
      <c r="S1171" s="40"/>
      <c r="T1171" s="40"/>
      <c r="U1171" s="41"/>
      <c r="V1171" s="41"/>
      <c r="W1171" s="41"/>
      <c r="X1171" s="36"/>
      <c r="Y1171" s="36"/>
      <c r="Z1171" s="36"/>
      <c r="AA1171" s="36"/>
      <c r="AB1171" s="36"/>
      <c r="AC1171" s="36"/>
    </row>
    <row r="1172" spans="17:29" x14ac:dyDescent="0.2">
      <c r="Q1172" s="36"/>
      <c r="R1172" s="40"/>
      <c r="S1172" s="40"/>
      <c r="T1172" s="40"/>
      <c r="U1172" s="41"/>
      <c r="V1172" s="41"/>
      <c r="W1172" s="41"/>
      <c r="X1172" s="36"/>
      <c r="Y1172" s="36"/>
      <c r="Z1172" s="36"/>
      <c r="AA1172" s="36"/>
      <c r="AB1172" s="36"/>
      <c r="AC1172" s="36"/>
    </row>
    <row r="1173" spans="17:29" x14ac:dyDescent="0.2">
      <c r="Q1173" s="36"/>
      <c r="R1173" s="40"/>
      <c r="S1173" s="40"/>
      <c r="T1173" s="40"/>
      <c r="U1173" s="41"/>
      <c r="V1173" s="41"/>
      <c r="W1173" s="41"/>
      <c r="X1173" s="36"/>
      <c r="Y1173" s="36"/>
      <c r="Z1173" s="36"/>
      <c r="AA1173" s="36"/>
      <c r="AB1173" s="36"/>
      <c r="AC1173" s="36"/>
    </row>
    <row r="1174" spans="17:29" x14ac:dyDescent="0.2">
      <c r="Q1174" s="36"/>
      <c r="R1174" s="40"/>
      <c r="S1174" s="40"/>
      <c r="T1174" s="40"/>
      <c r="U1174" s="41"/>
      <c r="V1174" s="41"/>
      <c r="W1174" s="41"/>
      <c r="X1174" s="36"/>
      <c r="Y1174" s="36"/>
      <c r="Z1174" s="36"/>
      <c r="AA1174" s="36"/>
      <c r="AB1174" s="36"/>
      <c r="AC1174" s="36"/>
    </row>
    <row r="1175" spans="17:29" x14ac:dyDescent="0.2">
      <c r="Q1175" s="36"/>
      <c r="R1175" s="40"/>
      <c r="S1175" s="40"/>
      <c r="T1175" s="40"/>
      <c r="U1175" s="41"/>
      <c r="V1175" s="41"/>
      <c r="W1175" s="41"/>
      <c r="X1175" s="36"/>
      <c r="Y1175" s="36"/>
      <c r="Z1175" s="36"/>
      <c r="AA1175" s="36"/>
      <c r="AB1175" s="36"/>
      <c r="AC1175" s="36"/>
    </row>
    <row r="1176" spans="17:29" x14ac:dyDescent="0.2">
      <c r="Q1176" s="36"/>
      <c r="R1176" s="40"/>
      <c r="S1176" s="40"/>
      <c r="T1176" s="40"/>
      <c r="U1176" s="41"/>
      <c r="V1176" s="41"/>
      <c r="W1176" s="41"/>
      <c r="X1176" s="36"/>
      <c r="Y1176" s="36"/>
      <c r="Z1176" s="36"/>
      <c r="AA1176" s="36"/>
      <c r="AB1176" s="36"/>
      <c r="AC1176" s="36"/>
    </row>
    <row r="1177" spans="17:29" x14ac:dyDescent="0.2">
      <c r="Q1177" s="36"/>
      <c r="R1177" s="40"/>
      <c r="S1177" s="40"/>
      <c r="T1177" s="40"/>
      <c r="U1177" s="41"/>
      <c r="V1177" s="41"/>
      <c r="W1177" s="41"/>
      <c r="X1177" s="36"/>
      <c r="Y1177" s="36"/>
      <c r="Z1177" s="36"/>
      <c r="AA1177" s="36"/>
      <c r="AB1177" s="36"/>
      <c r="AC1177" s="36"/>
    </row>
    <row r="1178" spans="17:29" x14ac:dyDescent="0.2">
      <c r="Q1178" s="36"/>
      <c r="R1178" s="40"/>
      <c r="S1178" s="40"/>
      <c r="T1178" s="40"/>
      <c r="U1178" s="41"/>
      <c r="V1178" s="41"/>
      <c r="W1178" s="41"/>
      <c r="X1178" s="36"/>
      <c r="Y1178" s="36"/>
      <c r="Z1178" s="36"/>
      <c r="AA1178" s="36"/>
      <c r="AB1178" s="36"/>
      <c r="AC1178" s="36"/>
    </row>
    <row r="1179" spans="17:29" x14ac:dyDescent="0.2">
      <c r="Q1179" s="36"/>
      <c r="R1179" s="40"/>
      <c r="S1179" s="40"/>
      <c r="T1179" s="40"/>
      <c r="U1179" s="41"/>
      <c r="V1179" s="41"/>
      <c r="W1179" s="41"/>
      <c r="X1179" s="36"/>
      <c r="Y1179" s="36"/>
      <c r="Z1179" s="36"/>
      <c r="AA1179" s="36"/>
      <c r="AB1179" s="36"/>
      <c r="AC1179" s="36"/>
    </row>
    <row r="1180" spans="17:29" x14ac:dyDescent="0.2">
      <c r="Q1180" s="36"/>
      <c r="R1180" s="40"/>
      <c r="S1180" s="40"/>
      <c r="T1180" s="40"/>
      <c r="U1180" s="41"/>
      <c r="V1180" s="41"/>
      <c r="W1180" s="41"/>
      <c r="X1180" s="36"/>
      <c r="Y1180" s="36"/>
      <c r="Z1180" s="36"/>
      <c r="AA1180" s="36"/>
      <c r="AB1180" s="36"/>
      <c r="AC1180" s="36"/>
    </row>
    <row r="1181" spans="17:29" x14ac:dyDescent="0.2">
      <c r="Q1181" s="36"/>
      <c r="R1181" s="40"/>
      <c r="S1181" s="40"/>
      <c r="T1181" s="40"/>
      <c r="U1181" s="41"/>
      <c r="V1181" s="41"/>
      <c r="W1181" s="41"/>
      <c r="X1181" s="36"/>
      <c r="Y1181" s="36"/>
      <c r="Z1181" s="36"/>
      <c r="AA1181" s="36"/>
      <c r="AB1181" s="36"/>
      <c r="AC1181" s="36"/>
    </row>
    <row r="1182" spans="17:29" x14ac:dyDescent="0.2">
      <c r="Q1182" s="36"/>
      <c r="R1182" s="40"/>
      <c r="S1182" s="40"/>
      <c r="T1182" s="40"/>
      <c r="U1182" s="41"/>
      <c r="V1182" s="41"/>
      <c r="W1182" s="41"/>
      <c r="X1182" s="36"/>
      <c r="Y1182" s="36"/>
      <c r="Z1182" s="36"/>
      <c r="AA1182" s="36"/>
      <c r="AB1182" s="36"/>
      <c r="AC1182" s="36"/>
    </row>
    <row r="1183" spans="17:29" x14ac:dyDescent="0.2">
      <c r="Q1183" s="36"/>
      <c r="R1183" s="40"/>
      <c r="S1183" s="40"/>
      <c r="T1183" s="40"/>
      <c r="U1183" s="41"/>
      <c r="V1183" s="41"/>
      <c r="W1183" s="41"/>
      <c r="X1183" s="36"/>
      <c r="Y1183" s="36"/>
      <c r="Z1183" s="36"/>
      <c r="AA1183" s="36"/>
      <c r="AB1183" s="36"/>
      <c r="AC1183" s="36"/>
    </row>
    <row r="1184" spans="17:29" x14ac:dyDescent="0.2">
      <c r="Q1184" s="36"/>
      <c r="R1184" s="40"/>
      <c r="S1184" s="40"/>
      <c r="T1184" s="40"/>
      <c r="U1184" s="41"/>
      <c r="V1184" s="41"/>
      <c r="W1184" s="41"/>
      <c r="X1184" s="36"/>
      <c r="Y1184" s="36"/>
      <c r="Z1184" s="36"/>
      <c r="AA1184" s="36"/>
      <c r="AB1184" s="36"/>
      <c r="AC1184" s="36"/>
    </row>
    <row r="1185" spans="17:29" x14ac:dyDescent="0.2">
      <c r="Q1185" s="36"/>
      <c r="R1185" s="40"/>
      <c r="S1185" s="40"/>
      <c r="T1185" s="40"/>
      <c r="U1185" s="41"/>
      <c r="V1185" s="41"/>
      <c r="W1185" s="41"/>
      <c r="X1185" s="36"/>
      <c r="Y1185" s="36"/>
      <c r="Z1185" s="36"/>
      <c r="AA1185" s="36"/>
      <c r="AB1185" s="36"/>
      <c r="AC1185" s="36"/>
    </row>
    <row r="1186" spans="17:29" x14ac:dyDescent="0.2">
      <c r="Q1186" s="36"/>
      <c r="R1186" s="40"/>
      <c r="S1186" s="40"/>
      <c r="T1186" s="40"/>
      <c r="U1186" s="41"/>
      <c r="V1186" s="41"/>
      <c r="W1186" s="41"/>
      <c r="X1186" s="36"/>
      <c r="Y1186" s="36"/>
      <c r="Z1186" s="36"/>
      <c r="AA1186" s="36"/>
      <c r="AB1186" s="36"/>
      <c r="AC1186" s="36"/>
    </row>
    <row r="1187" spans="17:29" x14ac:dyDescent="0.2">
      <c r="Q1187" s="36"/>
      <c r="R1187" s="40"/>
      <c r="S1187" s="40"/>
      <c r="T1187" s="40"/>
      <c r="U1187" s="41"/>
      <c r="V1187" s="41"/>
      <c r="W1187" s="41"/>
      <c r="X1187" s="36"/>
      <c r="Y1187" s="36"/>
      <c r="Z1187" s="36"/>
      <c r="AA1187" s="36"/>
      <c r="AB1187" s="36"/>
      <c r="AC1187" s="36"/>
    </row>
    <row r="1188" spans="17:29" x14ac:dyDescent="0.2">
      <c r="Q1188" s="36"/>
      <c r="R1188" s="40"/>
      <c r="S1188" s="40"/>
      <c r="T1188" s="40"/>
      <c r="U1188" s="41"/>
      <c r="V1188" s="41"/>
      <c r="W1188" s="41"/>
      <c r="X1188" s="36"/>
      <c r="Y1188" s="36"/>
      <c r="Z1188" s="36"/>
      <c r="AA1188" s="36"/>
      <c r="AB1188" s="36"/>
      <c r="AC1188" s="36"/>
    </row>
    <row r="1189" spans="17:29" x14ac:dyDescent="0.2">
      <c r="Q1189" s="36"/>
      <c r="R1189" s="40"/>
      <c r="S1189" s="40"/>
      <c r="T1189" s="40"/>
      <c r="U1189" s="41"/>
      <c r="V1189" s="41"/>
      <c r="W1189" s="41"/>
      <c r="X1189" s="36"/>
      <c r="Y1189" s="36"/>
      <c r="Z1189" s="36"/>
      <c r="AA1189" s="36"/>
      <c r="AB1189" s="36"/>
      <c r="AC1189" s="36"/>
    </row>
    <row r="1190" spans="17:29" x14ac:dyDescent="0.2">
      <c r="Q1190" s="36"/>
      <c r="R1190" s="40"/>
      <c r="S1190" s="40"/>
      <c r="T1190" s="40"/>
      <c r="U1190" s="41"/>
      <c r="V1190" s="41"/>
      <c r="W1190" s="41"/>
      <c r="X1190" s="36"/>
      <c r="Y1190" s="36"/>
      <c r="Z1190" s="36"/>
      <c r="AA1190" s="36"/>
      <c r="AB1190" s="36"/>
      <c r="AC1190" s="36"/>
    </row>
    <row r="1191" spans="17:29" x14ac:dyDescent="0.2">
      <c r="Q1191" s="36"/>
      <c r="R1191" s="40"/>
      <c r="S1191" s="40"/>
      <c r="T1191" s="40"/>
      <c r="U1191" s="41"/>
      <c r="V1191" s="41"/>
      <c r="W1191" s="41"/>
      <c r="X1191" s="36"/>
      <c r="Y1191" s="36"/>
      <c r="Z1191" s="36"/>
      <c r="AA1191" s="36"/>
      <c r="AB1191" s="36"/>
      <c r="AC1191" s="36"/>
    </row>
    <row r="1192" spans="17:29" x14ac:dyDescent="0.2">
      <c r="Q1192" s="36"/>
      <c r="R1192" s="40"/>
      <c r="S1192" s="40"/>
      <c r="T1192" s="40"/>
      <c r="U1192" s="41"/>
      <c r="V1192" s="41"/>
      <c r="W1192" s="41"/>
      <c r="X1192" s="36"/>
      <c r="Y1192" s="36"/>
      <c r="Z1192" s="36"/>
      <c r="AA1192" s="36"/>
      <c r="AB1192" s="36"/>
      <c r="AC1192" s="36"/>
    </row>
    <row r="1193" spans="17:29" x14ac:dyDescent="0.2">
      <c r="Q1193" s="36"/>
      <c r="R1193" s="40"/>
      <c r="S1193" s="40"/>
      <c r="T1193" s="40"/>
      <c r="U1193" s="41"/>
      <c r="V1193" s="41"/>
      <c r="W1193" s="41"/>
      <c r="X1193" s="36"/>
      <c r="Y1193" s="36"/>
      <c r="Z1193" s="36"/>
      <c r="AA1193" s="36"/>
      <c r="AB1193" s="36"/>
      <c r="AC1193" s="36"/>
    </row>
    <row r="1194" spans="17:29" x14ac:dyDescent="0.2">
      <c r="Q1194" s="36"/>
      <c r="R1194" s="40"/>
      <c r="S1194" s="40"/>
      <c r="T1194" s="40"/>
      <c r="U1194" s="41"/>
      <c r="V1194" s="41"/>
      <c r="W1194" s="41"/>
      <c r="X1194" s="36"/>
      <c r="Y1194" s="36"/>
      <c r="Z1194" s="36"/>
      <c r="AA1194" s="36"/>
      <c r="AB1194" s="36"/>
      <c r="AC1194" s="36"/>
    </row>
    <row r="1195" spans="17:29" x14ac:dyDescent="0.2">
      <c r="Q1195" s="36"/>
      <c r="R1195" s="40"/>
      <c r="S1195" s="40"/>
      <c r="T1195" s="40"/>
      <c r="U1195" s="41"/>
      <c r="V1195" s="41"/>
      <c r="W1195" s="41"/>
      <c r="X1195" s="36"/>
      <c r="Y1195" s="36"/>
      <c r="Z1195" s="36"/>
      <c r="AA1195" s="36"/>
      <c r="AB1195" s="36"/>
      <c r="AC1195" s="36"/>
    </row>
    <row r="1196" spans="17:29" x14ac:dyDescent="0.2">
      <c r="Q1196" s="36"/>
      <c r="R1196" s="40"/>
      <c r="S1196" s="40"/>
      <c r="T1196" s="40"/>
      <c r="U1196" s="41"/>
      <c r="V1196" s="41"/>
      <c r="W1196" s="41"/>
      <c r="X1196" s="36"/>
      <c r="Y1196" s="36"/>
      <c r="Z1196" s="36"/>
      <c r="AA1196" s="36"/>
      <c r="AB1196" s="36"/>
      <c r="AC1196" s="36"/>
    </row>
    <row r="1197" spans="17:29" x14ac:dyDescent="0.2">
      <c r="Q1197" s="36"/>
      <c r="R1197" s="40"/>
      <c r="S1197" s="40"/>
      <c r="T1197" s="40"/>
      <c r="U1197" s="41"/>
      <c r="V1197" s="41"/>
      <c r="W1197" s="41"/>
      <c r="X1197" s="36"/>
      <c r="Y1197" s="36"/>
      <c r="Z1197" s="36"/>
      <c r="AA1197" s="36"/>
      <c r="AB1197" s="36"/>
      <c r="AC1197" s="36"/>
    </row>
    <row r="1198" spans="17:29" x14ac:dyDescent="0.2">
      <c r="Q1198" s="36"/>
      <c r="R1198" s="40"/>
      <c r="S1198" s="40"/>
      <c r="T1198" s="40"/>
      <c r="U1198" s="41"/>
      <c r="V1198" s="41"/>
      <c r="W1198" s="41"/>
      <c r="X1198" s="36"/>
      <c r="Y1198" s="36"/>
      <c r="Z1198" s="36"/>
      <c r="AA1198" s="36"/>
      <c r="AB1198" s="36"/>
      <c r="AC1198" s="36"/>
    </row>
    <row r="1199" spans="17:29" x14ac:dyDescent="0.2">
      <c r="Q1199" s="36"/>
      <c r="R1199" s="40"/>
      <c r="S1199" s="40"/>
      <c r="T1199" s="40"/>
      <c r="U1199" s="41"/>
      <c r="V1199" s="41"/>
      <c r="W1199" s="41"/>
      <c r="X1199" s="36"/>
      <c r="Y1199" s="36"/>
      <c r="Z1199" s="36"/>
      <c r="AA1199" s="36"/>
      <c r="AB1199" s="36"/>
      <c r="AC1199" s="36"/>
    </row>
    <row r="1200" spans="17:29" x14ac:dyDescent="0.2">
      <c r="Q1200" s="36"/>
      <c r="R1200" s="40"/>
      <c r="S1200" s="40"/>
      <c r="T1200" s="40"/>
      <c r="U1200" s="41"/>
      <c r="V1200" s="41"/>
      <c r="W1200" s="41"/>
      <c r="X1200" s="36"/>
      <c r="Y1200" s="36"/>
      <c r="Z1200" s="36"/>
      <c r="AA1200" s="36"/>
      <c r="AB1200" s="36"/>
      <c r="AC1200" s="36"/>
    </row>
    <row r="1201" spans="17:29" x14ac:dyDescent="0.2">
      <c r="Q1201" s="36"/>
      <c r="R1201" s="40"/>
      <c r="S1201" s="40"/>
      <c r="T1201" s="40"/>
      <c r="U1201" s="41"/>
      <c r="V1201" s="41"/>
      <c r="W1201" s="41"/>
      <c r="X1201" s="36"/>
      <c r="Y1201" s="36"/>
      <c r="Z1201" s="36"/>
      <c r="AA1201" s="36"/>
      <c r="AB1201" s="36"/>
      <c r="AC1201" s="36"/>
    </row>
    <row r="1202" spans="17:29" x14ac:dyDescent="0.2">
      <c r="Q1202" s="36"/>
      <c r="R1202" s="40"/>
      <c r="S1202" s="40"/>
      <c r="T1202" s="40"/>
      <c r="U1202" s="41"/>
      <c r="V1202" s="41"/>
      <c r="W1202" s="41"/>
      <c r="X1202" s="36"/>
      <c r="Y1202" s="36"/>
      <c r="Z1202" s="36"/>
      <c r="AA1202" s="36"/>
      <c r="AB1202" s="36"/>
      <c r="AC1202" s="36"/>
    </row>
    <row r="1203" spans="17:29" x14ac:dyDescent="0.2">
      <c r="Q1203" s="36"/>
      <c r="R1203" s="40"/>
      <c r="S1203" s="40"/>
      <c r="T1203" s="40"/>
      <c r="U1203" s="41"/>
      <c r="V1203" s="41"/>
      <c r="W1203" s="41"/>
      <c r="X1203" s="36"/>
      <c r="Y1203" s="36"/>
      <c r="Z1203" s="36"/>
      <c r="AA1203" s="36"/>
      <c r="AB1203" s="36"/>
      <c r="AC1203" s="36"/>
    </row>
    <row r="1204" spans="17:29" x14ac:dyDescent="0.2">
      <c r="Q1204" s="36"/>
      <c r="R1204" s="40"/>
      <c r="S1204" s="40"/>
      <c r="T1204" s="40"/>
      <c r="U1204" s="41"/>
      <c r="V1204" s="41"/>
      <c r="W1204" s="41"/>
      <c r="X1204" s="36"/>
      <c r="Y1204" s="36"/>
      <c r="Z1204" s="36"/>
      <c r="AA1204" s="36"/>
      <c r="AB1204" s="36"/>
      <c r="AC1204" s="36"/>
    </row>
    <row r="1205" spans="17:29" x14ac:dyDescent="0.2">
      <c r="Q1205" s="36"/>
      <c r="R1205" s="40"/>
      <c r="S1205" s="40"/>
      <c r="T1205" s="40"/>
      <c r="U1205" s="41"/>
      <c r="V1205" s="41"/>
      <c r="W1205" s="41"/>
      <c r="X1205" s="36"/>
      <c r="Y1205" s="36"/>
      <c r="Z1205" s="36"/>
      <c r="AA1205" s="36"/>
      <c r="AB1205" s="36"/>
      <c r="AC1205" s="36"/>
    </row>
    <row r="1206" spans="17:29" x14ac:dyDescent="0.2">
      <c r="Q1206" s="36"/>
      <c r="R1206" s="40"/>
      <c r="S1206" s="40"/>
      <c r="T1206" s="40"/>
      <c r="U1206" s="41"/>
      <c r="V1206" s="41"/>
      <c r="W1206" s="41"/>
      <c r="X1206" s="36"/>
      <c r="Y1206" s="36"/>
      <c r="Z1206" s="36"/>
      <c r="AA1206" s="36"/>
      <c r="AB1206" s="36"/>
      <c r="AC1206" s="36"/>
    </row>
    <row r="1207" spans="17:29" x14ac:dyDescent="0.2">
      <c r="Q1207" s="36"/>
      <c r="R1207" s="40"/>
      <c r="S1207" s="40"/>
      <c r="T1207" s="40"/>
      <c r="U1207" s="41"/>
      <c r="V1207" s="41"/>
      <c r="W1207" s="41"/>
      <c r="X1207" s="36"/>
      <c r="Y1207" s="36"/>
      <c r="Z1207" s="36"/>
      <c r="AA1207" s="36"/>
      <c r="AB1207" s="36"/>
      <c r="AC1207" s="36"/>
    </row>
    <row r="1208" spans="17:29" x14ac:dyDescent="0.2">
      <c r="Q1208" s="36"/>
      <c r="R1208" s="40"/>
      <c r="S1208" s="40"/>
      <c r="T1208" s="40"/>
      <c r="U1208" s="41"/>
      <c r="V1208" s="41"/>
      <c r="W1208" s="41"/>
      <c r="X1208" s="36"/>
      <c r="Y1208" s="36"/>
      <c r="Z1208" s="36"/>
      <c r="AA1208" s="36"/>
      <c r="AB1208" s="36"/>
      <c r="AC1208" s="36"/>
    </row>
    <row r="1209" spans="17:29" x14ac:dyDescent="0.2">
      <c r="Q1209" s="36"/>
      <c r="R1209" s="40"/>
      <c r="S1209" s="40"/>
      <c r="T1209" s="40"/>
      <c r="U1209" s="41"/>
      <c r="V1209" s="41"/>
      <c r="W1209" s="41"/>
      <c r="X1209" s="36"/>
      <c r="Y1209" s="36"/>
      <c r="Z1209" s="36"/>
      <c r="AA1209" s="36"/>
      <c r="AB1209" s="36"/>
      <c r="AC1209" s="36"/>
    </row>
    <row r="1210" spans="17:29" x14ac:dyDescent="0.2">
      <c r="Q1210" s="36"/>
      <c r="R1210" s="40"/>
      <c r="S1210" s="40"/>
      <c r="T1210" s="40"/>
      <c r="U1210" s="41"/>
      <c r="V1210" s="41"/>
      <c r="W1210" s="41"/>
      <c r="X1210" s="36"/>
      <c r="Y1210" s="36"/>
      <c r="Z1210" s="36"/>
      <c r="AA1210" s="36"/>
      <c r="AB1210" s="36"/>
      <c r="AC1210" s="36"/>
    </row>
    <row r="1211" spans="17:29" x14ac:dyDescent="0.2">
      <c r="Q1211" s="36"/>
      <c r="R1211" s="40"/>
      <c r="S1211" s="40"/>
      <c r="T1211" s="40"/>
      <c r="U1211" s="41"/>
      <c r="V1211" s="41"/>
      <c r="W1211" s="41"/>
      <c r="X1211" s="36"/>
      <c r="Y1211" s="36"/>
      <c r="Z1211" s="36"/>
      <c r="AA1211" s="36"/>
      <c r="AB1211" s="36"/>
      <c r="AC1211" s="36"/>
    </row>
    <row r="1212" spans="17:29" x14ac:dyDescent="0.2">
      <c r="Q1212" s="36"/>
      <c r="R1212" s="40"/>
      <c r="S1212" s="40"/>
      <c r="T1212" s="40"/>
      <c r="U1212" s="41"/>
      <c r="V1212" s="41"/>
      <c r="W1212" s="41"/>
      <c r="X1212" s="36"/>
      <c r="Y1212" s="36"/>
      <c r="Z1212" s="36"/>
      <c r="AA1212" s="36"/>
      <c r="AB1212" s="36"/>
      <c r="AC1212" s="36"/>
    </row>
    <row r="1213" spans="17:29" x14ac:dyDescent="0.2">
      <c r="Q1213" s="36"/>
      <c r="R1213" s="40"/>
      <c r="S1213" s="40"/>
      <c r="T1213" s="40"/>
      <c r="U1213" s="41"/>
      <c r="V1213" s="41"/>
      <c r="W1213" s="41"/>
      <c r="X1213" s="36"/>
      <c r="Y1213" s="36"/>
      <c r="Z1213" s="36"/>
      <c r="AA1213" s="36"/>
      <c r="AB1213" s="36"/>
      <c r="AC1213" s="36"/>
    </row>
    <row r="1214" spans="17:29" x14ac:dyDescent="0.2">
      <c r="Q1214" s="36"/>
      <c r="R1214" s="40"/>
      <c r="S1214" s="40"/>
      <c r="T1214" s="40"/>
      <c r="U1214" s="41"/>
      <c r="V1214" s="41"/>
      <c r="W1214" s="41"/>
      <c r="X1214" s="36"/>
      <c r="Y1214" s="36"/>
      <c r="Z1214" s="36"/>
      <c r="AA1214" s="36"/>
      <c r="AB1214" s="36"/>
      <c r="AC1214" s="36"/>
    </row>
    <row r="1215" spans="17:29" x14ac:dyDescent="0.2">
      <c r="Q1215" s="36"/>
      <c r="R1215" s="40"/>
      <c r="S1215" s="40"/>
      <c r="T1215" s="40"/>
      <c r="U1215" s="41"/>
      <c r="V1215" s="41"/>
      <c r="W1215" s="41"/>
      <c r="X1215" s="36"/>
      <c r="Y1215" s="36"/>
      <c r="Z1215" s="36"/>
      <c r="AA1215" s="36"/>
      <c r="AB1215" s="36"/>
      <c r="AC1215" s="36"/>
    </row>
    <row r="1216" spans="17:29" x14ac:dyDescent="0.2">
      <c r="Q1216" s="36"/>
      <c r="R1216" s="40"/>
      <c r="S1216" s="40"/>
      <c r="T1216" s="40"/>
      <c r="U1216" s="41"/>
      <c r="V1216" s="41"/>
      <c r="W1216" s="41"/>
      <c r="X1216" s="36"/>
      <c r="Y1216" s="36"/>
      <c r="Z1216" s="36"/>
      <c r="AA1216" s="36"/>
      <c r="AB1216" s="36"/>
      <c r="AC1216" s="36"/>
    </row>
    <row r="1217" spans="17:29" x14ac:dyDescent="0.2">
      <c r="Q1217" s="36"/>
      <c r="R1217" s="40"/>
      <c r="S1217" s="40"/>
      <c r="T1217" s="40"/>
      <c r="U1217" s="41"/>
      <c r="V1217" s="41"/>
      <c r="W1217" s="41"/>
      <c r="X1217" s="36"/>
      <c r="Y1217" s="36"/>
      <c r="Z1217" s="36"/>
      <c r="AA1217" s="36"/>
      <c r="AB1217" s="36"/>
      <c r="AC1217" s="36"/>
    </row>
    <row r="1218" spans="17:29" x14ac:dyDescent="0.2">
      <c r="Q1218" s="36"/>
      <c r="R1218" s="40"/>
      <c r="S1218" s="40"/>
      <c r="T1218" s="40"/>
      <c r="U1218" s="41"/>
      <c r="V1218" s="41"/>
      <c r="W1218" s="41"/>
      <c r="X1218" s="36"/>
      <c r="Y1218" s="36"/>
      <c r="Z1218" s="36"/>
      <c r="AA1218" s="36"/>
      <c r="AB1218" s="36"/>
      <c r="AC1218" s="36"/>
    </row>
    <row r="1219" spans="17:29" x14ac:dyDescent="0.2">
      <c r="Q1219" s="36"/>
      <c r="R1219" s="40"/>
      <c r="S1219" s="40"/>
      <c r="T1219" s="40"/>
      <c r="U1219" s="41"/>
      <c r="V1219" s="41"/>
      <c r="W1219" s="41"/>
      <c r="X1219" s="36"/>
      <c r="Y1219" s="36"/>
      <c r="Z1219" s="36"/>
      <c r="AA1219" s="36"/>
      <c r="AB1219" s="36"/>
      <c r="AC1219" s="36"/>
    </row>
    <row r="1220" spans="17:29" x14ac:dyDescent="0.2">
      <c r="Q1220" s="36"/>
      <c r="R1220" s="40"/>
      <c r="S1220" s="40"/>
      <c r="T1220" s="40"/>
      <c r="U1220" s="41"/>
      <c r="V1220" s="41"/>
      <c r="W1220" s="41"/>
      <c r="X1220" s="36"/>
      <c r="Y1220" s="36"/>
      <c r="Z1220" s="36"/>
      <c r="AA1220" s="36"/>
      <c r="AB1220" s="36"/>
      <c r="AC1220" s="36"/>
    </row>
    <row r="1221" spans="17:29" x14ac:dyDescent="0.2">
      <c r="Q1221" s="36"/>
      <c r="R1221" s="40"/>
      <c r="S1221" s="40"/>
      <c r="T1221" s="40"/>
      <c r="U1221" s="41"/>
      <c r="V1221" s="41"/>
      <c r="W1221" s="41"/>
      <c r="X1221" s="36"/>
      <c r="Y1221" s="36"/>
      <c r="Z1221" s="36"/>
      <c r="AA1221" s="36"/>
      <c r="AB1221" s="36"/>
      <c r="AC1221" s="36"/>
    </row>
    <row r="1222" spans="17:29" x14ac:dyDescent="0.2">
      <c r="Q1222" s="36"/>
      <c r="R1222" s="40"/>
      <c r="S1222" s="40"/>
      <c r="T1222" s="40"/>
      <c r="U1222" s="41"/>
      <c r="V1222" s="41"/>
      <c r="W1222" s="41"/>
      <c r="X1222" s="36"/>
      <c r="Y1222" s="36"/>
      <c r="Z1222" s="36"/>
      <c r="AA1222" s="36"/>
      <c r="AB1222" s="36"/>
      <c r="AC1222" s="36"/>
    </row>
    <row r="1223" spans="17:29" x14ac:dyDescent="0.2">
      <c r="Q1223" s="36"/>
      <c r="R1223" s="40"/>
      <c r="S1223" s="40"/>
      <c r="T1223" s="40"/>
      <c r="U1223" s="41"/>
      <c r="V1223" s="41"/>
      <c r="W1223" s="41"/>
      <c r="X1223" s="36"/>
      <c r="Y1223" s="36"/>
      <c r="Z1223" s="36"/>
      <c r="AA1223" s="36"/>
      <c r="AB1223" s="36"/>
      <c r="AC1223" s="36"/>
    </row>
    <row r="1224" spans="17:29" x14ac:dyDescent="0.2">
      <c r="Q1224" s="36"/>
      <c r="R1224" s="40"/>
      <c r="S1224" s="40"/>
      <c r="T1224" s="40"/>
      <c r="U1224" s="41"/>
      <c r="V1224" s="41"/>
      <c r="W1224" s="41"/>
      <c r="X1224" s="36"/>
      <c r="Y1224" s="36"/>
      <c r="Z1224" s="36"/>
      <c r="AA1224" s="36"/>
      <c r="AB1224" s="36"/>
      <c r="AC1224" s="36"/>
    </row>
    <row r="1225" spans="17:29" x14ac:dyDescent="0.2">
      <c r="Q1225" s="36"/>
      <c r="R1225" s="40"/>
      <c r="S1225" s="40"/>
      <c r="T1225" s="40"/>
      <c r="U1225" s="41"/>
      <c r="V1225" s="41"/>
      <c r="W1225" s="41"/>
      <c r="X1225" s="36"/>
      <c r="Y1225" s="36"/>
      <c r="Z1225" s="36"/>
      <c r="AA1225" s="36"/>
      <c r="AB1225" s="36"/>
      <c r="AC1225" s="36"/>
    </row>
    <row r="1226" spans="17:29" x14ac:dyDescent="0.2">
      <c r="Q1226" s="36"/>
      <c r="R1226" s="40"/>
      <c r="S1226" s="40"/>
      <c r="T1226" s="40"/>
      <c r="U1226" s="41"/>
      <c r="V1226" s="41"/>
      <c r="W1226" s="41"/>
      <c r="X1226" s="36"/>
      <c r="Y1226" s="36"/>
      <c r="Z1226" s="36"/>
      <c r="AA1226" s="36"/>
      <c r="AB1226" s="36"/>
      <c r="AC1226" s="36"/>
    </row>
    <row r="1227" spans="17:29" x14ac:dyDescent="0.2">
      <c r="Q1227" s="36"/>
      <c r="R1227" s="40"/>
      <c r="S1227" s="40"/>
      <c r="T1227" s="40"/>
      <c r="U1227" s="41"/>
      <c r="V1227" s="41"/>
      <c r="W1227" s="41"/>
      <c r="X1227" s="36"/>
      <c r="Y1227" s="36"/>
      <c r="Z1227" s="36"/>
      <c r="AA1227" s="36"/>
      <c r="AB1227" s="36"/>
      <c r="AC1227" s="36"/>
    </row>
    <row r="1228" spans="17:29" x14ac:dyDescent="0.2">
      <c r="Q1228" s="36"/>
      <c r="R1228" s="40"/>
      <c r="S1228" s="40"/>
      <c r="T1228" s="40"/>
      <c r="U1228" s="41"/>
      <c r="V1228" s="41"/>
      <c r="W1228" s="41"/>
      <c r="X1228" s="36"/>
      <c r="Y1228" s="36"/>
      <c r="Z1228" s="36"/>
      <c r="AA1228" s="36"/>
      <c r="AB1228" s="36"/>
      <c r="AC1228" s="36"/>
    </row>
    <row r="1229" spans="17:29" x14ac:dyDescent="0.2">
      <c r="Q1229" s="36"/>
      <c r="R1229" s="40"/>
      <c r="S1229" s="40"/>
      <c r="T1229" s="40"/>
      <c r="U1229" s="41"/>
      <c r="V1229" s="41"/>
      <c r="W1229" s="41"/>
      <c r="X1229" s="36"/>
      <c r="Y1229" s="36"/>
      <c r="Z1229" s="36"/>
      <c r="AA1229" s="36"/>
      <c r="AB1229" s="36"/>
      <c r="AC1229" s="36"/>
    </row>
    <row r="1230" spans="17:29" x14ac:dyDescent="0.2">
      <c r="Q1230" s="36"/>
      <c r="R1230" s="40"/>
      <c r="S1230" s="40"/>
      <c r="T1230" s="40"/>
      <c r="U1230" s="41"/>
      <c r="V1230" s="41"/>
      <c r="W1230" s="41"/>
      <c r="X1230" s="36"/>
      <c r="Y1230" s="36"/>
      <c r="Z1230" s="36"/>
      <c r="AA1230" s="36"/>
      <c r="AB1230" s="36"/>
      <c r="AC1230" s="36"/>
    </row>
    <row r="1231" spans="17:29" x14ac:dyDescent="0.2">
      <c r="Q1231" s="36"/>
      <c r="R1231" s="40"/>
      <c r="S1231" s="40"/>
      <c r="T1231" s="40"/>
      <c r="U1231" s="41"/>
      <c r="V1231" s="41"/>
      <c r="W1231" s="41"/>
      <c r="X1231" s="36"/>
      <c r="Y1231" s="36"/>
      <c r="Z1231" s="36"/>
      <c r="AA1231" s="36"/>
      <c r="AB1231" s="36"/>
      <c r="AC1231" s="36"/>
    </row>
    <row r="1232" spans="17:29" x14ac:dyDescent="0.2">
      <c r="Q1232" s="36"/>
      <c r="R1232" s="40"/>
      <c r="S1232" s="40"/>
      <c r="T1232" s="40"/>
      <c r="U1232" s="41"/>
      <c r="V1232" s="41"/>
      <c r="W1232" s="41"/>
      <c r="X1232" s="36"/>
      <c r="Y1232" s="36"/>
      <c r="Z1232" s="36"/>
      <c r="AA1232" s="36"/>
      <c r="AB1232" s="36"/>
      <c r="AC1232" s="36"/>
    </row>
    <row r="1233" spans="17:29" x14ac:dyDescent="0.2">
      <c r="Q1233" s="36"/>
      <c r="R1233" s="40"/>
      <c r="S1233" s="40"/>
      <c r="T1233" s="40"/>
      <c r="U1233" s="41"/>
      <c r="V1233" s="41"/>
      <c r="W1233" s="41"/>
      <c r="X1233" s="36"/>
      <c r="Y1233" s="36"/>
      <c r="Z1233" s="36"/>
      <c r="AA1233" s="36"/>
      <c r="AB1233" s="36"/>
      <c r="AC1233" s="36"/>
    </row>
    <row r="1234" spans="17:29" x14ac:dyDescent="0.2">
      <c r="Q1234" s="36"/>
      <c r="R1234" s="40"/>
      <c r="S1234" s="40"/>
      <c r="T1234" s="40"/>
      <c r="U1234" s="41"/>
      <c r="V1234" s="41"/>
      <c r="W1234" s="41"/>
      <c r="X1234" s="36"/>
      <c r="Y1234" s="36"/>
      <c r="Z1234" s="36"/>
      <c r="AA1234" s="36"/>
      <c r="AB1234" s="36"/>
      <c r="AC1234" s="36"/>
    </row>
    <row r="1235" spans="17:29" x14ac:dyDescent="0.2">
      <c r="Q1235" s="36"/>
      <c r="R1235" s="40"/>
      <c r="S1235" s="40"/>
      <c r="T1235" s="40"/>
      <c r="U1235" s="41"/>
      <c r="V1235" s="41"/>
      <c r="W1235" s="41"/>
      <c r="X1235" s="36"/>
      <c r="Y1235" s="36"/>
      <c r="Z1235" s="36"/>
      <c r="AA1235" s="36"/>
      <c r="AB1235" s="36"/>
      <c r="AC1235" s="36"/>
    </row>
    <row r="1236" spans="17:29" x14ac:dyDescent="0.2">
      <c r="Q1236" s="36"/>
      <c r="R1236" s="40"/>
      <c r="S1236" s="40"/>
      <c r="T1236" s="40"/>
      <c r="U1236" s="41"/>
      <c r="V1236" s="41"/>
      <c r="W1236" s="41"/>
      <c r="X1236" s="36"/>
      <c r="Y1236" s="36"/>
      <c r="Z1236" s="36"/>
      <c r="AA1236" s="36"/>
      <c r="AB1236" s="36"/>
      <c r="AC1236" s="36"/>
    </row>
    <row r="1237" spans="17:29" x14ac:dyDescent="0.2">
      <c r="Q1237" s="36"/>
      <c r="R1237" s="40"/>
      <c r="S1237" s="40"/>
      <c r="T1237" s="40"/>
      <c r="U1237" s="41"/>
      <c r="V1237" s="41"/>
      <c r="W1237" s="41"/>
      <c r="X1237" s="36"/>
      <c r="Y1237" s="36"/>
      <c r="Z1237" s="36"/>
      <c r="AA1237" s="36"/>
      <c r="AB1237" s="36"/>
      <c r="AC1237" s="36"/>
    </row>
    <row r="1238" spans="17:29" x14ac:dyDescent="0.2">
      <c r="Q1238" s="36"/>
      <c r="R1238" s="40"/>
      <c r="S1238" s="40"/>
      <c r="T1238" s="40"/>
      <c r="U1238" s="41"/>
      <c r="V1238" s="41"/>
      <c r="W1238" s="41"/>
      <c r="X1238" s="36"/>
      <c r="Y1238" s="36"/>
      <c r="Z1238" s="36"/>
      <c r="AA1238" s="36"/>
      <c r="AB1238" s="36"/>
      <c r="AC1238" s="36"/>
    </row>
    <row r="1239" spans="17:29" x14ac:dyDescent="0.2">
      <c r="Q1239" s="36"/>
      <c r="R1239" s="40"/>
      <c r="S1239" s="40"/>
      <c r="T1239" s="40"/>
      <c r="U1239" s="41"/>
      <c r="V1239" s="41"/>
      <c r="W1239" s="41"/>
      <c r="X1239" s="36"/>
      <c r="Y1239" s="36"/>
      <c r="Z1239" s="36"/>
      <c r="AA1239" s="36"/>
      <c r="AB1239" s="36"/>
      <c r="AC1239" s="36"/>
    </row>
    <row r="1240" spans="17:29" x14ac:dyDescent="0.2">
      <c r="Q1240" s="36"/>
      <c r="R1240" s="40"/>
      <c r="S1240" s="40"/>
      <c r="T1240" s="40"/>
      <c r="U1240" s="41"/>
      <c r="V1240" s="41"/>
      <c r="W1240" s="41"/>
      <c r="X1240" s="36"/>
      <c r="Y1240" s="36"/>
      <c r="Z1240" s="36"/>
      <c r="AA1240" s="36"/>
      <c r="AB1240" s="36"/>
      <c r="AC1240" s="36"/>
    </row>
    <row r="1241" spans="17:29" x14ac:dyDescent="0.2">
      <c r="Q1241" s="36"/>
      <c r="R1241" s="40"/>
      <c r="S1241" s="40"/>
      <c r="T1241" s="40"/>
      <c r="U1241" s="41"/>
      <c r="V1241" s="41"/>
      <c r="W1241" s="41"/>
      <c r="X1241" s="36"/>
      <c r="Y1241" s="36"/>
      <c r="Z1241" s="36"/>
      <c r="AA1241" s="36"/>
      <c r="AB1241" s="36"/>
      <c r="AC1241" s="36"/>
    </row>
    <row r="1242" spans="17:29" x14ac:dyDescent="0.2">
      <c r="Q1242" s="36"/>
      <c r="R1242" s="40"/>
      <c r="S1242" s="40"/>
      <c r="T1242" s="40"/>
      <c r="U1242" s="41"/>
      <c r="V1242" s="41"/>
      <c r="W1242" s="41"/>
      <c r="X1242" s="36"/>
      <c r="Y1242" s="36"/>
      <c r="Z1242" s="36"/>
      <c r="AA1242" s="36"/>
      <c r="AB1242" s="36"/>
      <c r="AC1242" s="36"/>
    </row>
    <row r="1243" spans="17:29" x14ac:dyDescent="0.2">
      <c r="Q1243" s="36"/>
      <c r="R1243" s="40"/>
      <c r="S1243" s="40"/>
      <c r="T1243" s="40"/>
      <c r="U1243" s="41"/>
      <c r="V1243" s="41"/>
      <c r="W1243" s="41"/>
      <c r="X1243" s="36"/>
      <c r="Y1243" s="36"/>
      <c r="Z1243" s="36"/>
      <c r="AA1243" s="36"/>
      <c r="AB1243" s="36"/>
      <c r="AC1243" s="36"/>
    </row>
    <row r="1244" spans="17:29" x14ac:dyDescent="0.2">
      <c r="Q1244" s="36"/>
      <c r="R1244" s="40"/>
      <c r="S1244" s="40"/>
      <c r="T1244" s="40"/>
      <c r="U1244" s="41"/>
      <c r="V1244" s="41"/>
      <c r="W1244" s="41"/>
      <c r="X1244" s="36"/>
      <c r="Y1244" s="36"/>
      <c r="Z1244" s="36"/>
      <c r="AA1244" s="36"/>
      <c r="AB1244" s="36"/>
      <c r="AC1244" s="36"/>
    </row>
    <row r="1245" spans="17:29" x14ac:dyDescent="0.2">
      <c r="Q1245" s="36"/>
      <c r="R1245" s="40"/>
      <c r="S1245" s="40"/>
      <c r="T1245" s="40"/>
      <c r="U1245" s="41"/>
      <c r="V1245" s="41"/>
      <c r="W1245" s="41"/>
      <c r="X1245" s="36"/>
      <c r="Y1245" s="36"/>
      <c r="Z1245" s="36"/>
      <c r="AA1245" s="36"/>
      <c r="AB1245" s="36"/>
      <c r="AC1245" s="36"/>
    </row>
    <row r="1246" spans="17:29" x14ac:dyDescent="0.2">
      <c r="Q1246" s="36"/>
      <c r="R1246" s="40"/>
      <c r="S1246" s="40"/>
      <c r="T1246" s="40"/>
      <c r="U1246" s="41"/>
      <c r="V1246" s="41"/>
      <c r="W1246" s="41"/>
      <c r="X1246" s="36"/>
      <c r="Y1246" s="36"/>
      <c r="Z1246" s="36"/>
      <c r="AA1246" s="36"/>
      <c r="AB1246" s="36"/>
      <c r="AC1246" s="36"/>
    </row>
    <row r="1247" spans="17:29" x14ac:dyDescent="0.2">
      <c r="Q1247" s="36"/>
      <c r="R1247" s="40"/>
      <c r="S1247" s="40"/>
      <c r="T1247" s="40"/>
      <c r="U1247" s="41"/>
      <c r="V1247" s="41"/>
      <c r="W1247" s="41"/>
      <c r="X1247" s="36"/>
      <c r="Y1247" s="36"/>
      <c r="Z1247" s="36"/>
      <c r="AA1247" s="36"/>
      <c r="AB1247" s="36"/>
      <c r="AC1247" s="36"/>
    </row>
    <row r="1248" spans="17:29" x14ac:dyDescent="0.2">
      <c r="Q1248" s="36"/>
      <c r="R1248" s="40"/>
      <c r="S1248" s="40"/>
      <c r="T1248" s="40"/>
      <c r="U1248" s="41"/>
      <c r="V1248" s="41"/>
      <c r="W1248" s="41"/>
      <c r="X1248" s="36"/>
      <c r="Y1248" s="36"/>
      <c r="Z1248" s="36"/>
      <c r="AA1248" s="36"/>
      <c r="AB1248" s="36"/>
      <c r="AC1248" s="36"/>
    </row>
    <row r="1249" spans="17:29" x14ac:dyDescent="0.2">
      <c r="Q1249" s="36"/>
      <c r="R1249" s="40"/>
      <c r="S1249" s="40"/>
      <c r="T1249" s="40"/>
      <c r="U1249" s="41"/>
      <c r="V1249" s="41"/>
      <c r="W1249" s="41"/>
      <c r="X1249" s="36"/>
      <c r="Y1249" s="36"/>
      <c r="Z1249" s="36"/>
      <c r="AA1249" s="36"/>
      <c r="AB1249" s="36"/>
      <c r="AC1249" s="36"/>
    </row>
    <row r="1250" spans="17:29" x14ac:dyDescent="0.2">
      <c r="Q1250" s="36"/>
      <c r="R1250" s="40"/>
      <c r="S1250" s="40"/>
      <c r="T1250" s="40"/>
      <c r="U1250" s="41"/>
      <c r="V1250" s="41"/>
      <c r="W1250" s="41"/>
      <c r="X1250" s="36"/>
      <c r="Y1250" s="36"/>
      <c r="Z1250" s="36"/>
      <c r="AA1250" s="36"/>
      <c r="AB1250" s="36"/>
      <c r="AC1250" s="36"/>
    </row>
    <row r="1251" spans="17:29" x14ac:dyDescent="0.2">
      <c r="Q1251" s="36"/>
      <c r="R1251" s="40"/>
      <c r="S1251" s="40"/>
      <c r="T1251" s="40"/>
      <c r="U1251" s="41"/>
      <c r="V1251" s="41"/>
      <c r="W1251" s="41"/>
      <c r="X1251" s="36"/>
      <c r="Y1251" s="36"/>
      <c r="Z1251" s="36"/>
      <c r="AA1251" s="36"/>
      <c r="AB1251" s="36"/>
      <c r="AC1251" s="36"/>
    </row>
    <row r="1252" spans="17:29" x14ac:dyDescent="0.2">
      <c r="Q1252" s="36"/>
      <c r="R1252" s="40"/>
      <c r="S1252" s="40"/>
      <c r="T1252" s="40"/>
      <c r="U1252" s="41"/>
      <c r="V1252" s="41"/>
      <c r="W1252" s="41"/>
      <c r="X1252" s="36"/>
      <c r="Y1252" s="36"/>
      <c r="Z1252" s="36"/>
      <c r="AA1252" s="36"/>
      <c r="AB1252" s="36"/>
      <c r="AC1252" s="36"/>
    </row>
    <row r="1253" spans="17:29" x14ac:dyDescent="0.2">
      <c r="Q1253" s="36"/>
      <c r="R1253" s="40"/>
      <c r="S1253" s="40"/>
      <c r="T1253" s="40"/>
      <c r="U1253" s="41"/>
      <c r="V1253" s="41"/>
      <c r="W1253" s="41"/>
      <c r="X1253" s="36"/>
      <c r="Y1253" s="36"/>
      <c r="Z1253" s="36"/>
      <c r="AA1253" s="36"/>
      <c r="AB1253" s="36"/>
      <c r="AC1253" s="36"/>
    </row>
    <row r="1254" spans="17:29" x14ac:dyDescent="0.2">
      <c r="Q1254" s="36"/>
      <c r="R1254" s="40"/>
      <c r="S1254" s="40"/>
      <c r="T1254" s="40"/>
      <c r="U1254" s="41"/>
      <c r="V1254" s="41"/>
      <c r="W1254" s="41"/>
      <c r="X1254" s="36"/>
      <c r="Y1254" s="36"/>
      <c r="Z1254" s="36"/>
      <c r="AA1254" s="36"/>
      <c r="AB1254" s="36"/>
      <c r="AC1254" s="36"/>
    </row>
    <row r="1255" spans="17:29" x14ac:dyDescent="0.2">
      <c r="Q1255" s="36"/>
      <c r="R1255" s="40"/>
      <c r="S1255" s="40"/>
      <c r="T1255" s="40"/>
      <c r="U1255" s="41"/>
      <c r="V1255" s="41"/>
      <c r="W1255" s="41"/>
      <c r="X1255" s="36"/>
      <c r="Y1255" s="36"/>
      <c r="Z1255" s="36"/>
      <c r="AA1255" s="36"/>
      <c r="AB1255" s="36"/>
      <c r="AC1255" s="36"/>
    </row>
    <row r="1256" spans="17:29" x14ac:dyDescent="0.2">
      <c r="Q1256" s="36"/>
      <c r="R1256" s="40"/>
      <c r="S1256" s="40"/>
      <c r="T1256" s="40"/>
      <c r="U1256" s="41"/>
      <c r="V1256" s="41"/>
      <c r="W1256" s="41"/>
      <c r="X1256" s="36"/>
      <c r="Y1256" s="36"/>
      <c r="Z1256" s="36"/>
      <c r="AA1256" s="36"/>
      <c r="AB1256" s="36"/>
      <c r="AC1256" s="36"/>
    </row>
    <row r="1257" spans="17:29" x14ac:dyDescent="0.2">
      <c r="Q1257" s="36"/>
      <c r="R1257" s="40"/>
      <c r="S1257" s="40"/>
      <c r="T1257" s="40"/>
      <c r="U1257" s="41"/>
      <c r="V1257" s="41"/>
      <c r="W1257" s="41"/>
      <c r="X1257" s="36"/>
      <c r="Y1257" s="36"/>
      <c r="Z1257" s="36"/>
      <c r="AA1257" s="36"/>
      <c r="AB1257" s="36"/>
      <c r="AC1257" s="36"/>
    </row>
    <row r="1258" spans="17:29" x14ac:dyDescent="0.2">
      <c r="Q1258" s="36"/>
      <c r="R1258" s="40"/>
      <c r="S1258" s="40"/>
      <c r="T1258" s="40"/>
      <c r="U1258" s="41"/>
      <c r="V1258" s="41"/>
      <c r="W1258" s="41"/>
      <c r="X1258" s="36"/>
      <c r="Y1258" s="36"/>
      <c r="Z1258" s="36"/>
      <c r="AA1258" s="36"/>
      <c r="AB1258" s="36"/>
      <c r="AC1258" s="36"/>
    </row>
    <row r="1259" spans="17:29" x14ac:dyDescent="0.2">
      <c r="Q1259" s="36"/>
      <c r="R1259" s="40"/>
      <c r="S1259" s="40"/>
      <c r="T1259" s="40"/>
      <c r="U1259" s="41"/>
      <c r="V1259" s="41"/>
      <c r="W1259" s="41"/>
      <c r="X1259" s="36"/>
      <c r="Y1259" s="36"/>
      <c r="Z1259" s="36"/>
      <c r="AA1259" s="36"/>
      <c r="AB1259" s="36"/>
      <c r="AC1259" s="36"/>
    </row>
    <row r="1260" spans="17:29" x14ac:dyDescent="0.2">
      <c r="Q1260" s="36"/>
      <c r="R1260" s="40"/>
      <c r="S1260" s="40"/>
      <c r="T1260" s="40"/>
      <c r="U1260" s="41"/>
      <c r="V1260" s="41"/>
      <c r="W1260" s="41"/>
      <c r="X1260" s="36"/>
      <c r="Y1260" s="36"/>
      <c r="Z1260" s="36"/>
      <c r="AA1260" s="36"/>
      <c r="AB1260" s="36"/>
      <c r="AC1260" s="36"/>
    </row>
    <row r="1261" spans="17:29" x14ac:dyDescent="0.2">
      <c r="Q1261" s="36"/>
      <c r="R1261" s="40"/>
      <c r="S1261" s="40"/>
      <c r="T1261" s="40"/>
      <c r="U1261" s="41"/>
      <c r="V1261" s="41"/>
      <c r="W1261" s="41"/>
      <c r="X1261" s="36"/>
      <c r="Y1261" s="36"/>
      <c r="Z1261" s="36"/>
      <c r="AA1261" s="36"/>
      <c r="AB1261" s="36"/>
      <c r="AC1261" s="36"/>
    </row>
    <row r="1262" spans="17:29" x14ac:dyDescent="0.2">
      <c r="Q1262" s="36"/>
      <c r="R1262" s="40"/>
      <c r="S1262" s="40"/>
      <c r="T1262" s="40"/>
      <c r="U1262" s="41"/>
      <c r="V1262" s="41"/>
      <c r="W1262" s="41"/>
      <c r="X1262" s="36"/>
      <c r="Y1262" s="36"/>
      <c r="Z1262" s="36"/>
      <c r="AA1262" s="36"/>
      <c r="AB1262" s="36"/>
      <c r="AC1262" s="36"/>
    </row>
    <row r="1263" spans="17:29" x14ac:dyDescent="0.2">
      <c r="Q1263" s="36"/>
      <c r="R1263" s="40"/>
      <c r="S1263" s="40"/>
      <c r="T1263" s="40"/>
      <c r="U1263" s="41"/>
      <c r="V1263" s="41"/>
      <c r="W1263" s="41"/>
      <c r="X1263" s="36"/>
      <c r="Y1263" s="36"/>
      <c r="Z1263" s="36"/>
      <c r="AA1263" s="36"/>
      <c r="AB1263" s="36"/>
      <c r="AC1263" s="36"/>
    </row>
    <row r="1264" spans="17:29" x14ac:dyDescent="0.2">
      <c r="Q1264" s="36"/>
      <c r="R1264" s="40"/>
      <c r="S1264" s="40"/>
      <c r="T1264" s="40"/>
      <c r="U1264" s="41"/>
      <c r="V1264" s="41"/>
      <c r="W1264" s="41"/>
      <c r="X1264" s="36"/>
      <c r="Y1264" s="36"/>
      <c r="Z1264" s="36"/>
      <c r="AA1264" s="36"/>
      <c r="AB1264" s="36"/>
      <c r="AC1264" s="36"/>
    </row>
    <row r="1265" spans="17:29" x14ac:dyDescent="0.2">
      <c r="Q1265" s="36"/>
      <c r="R1265" s="40"/>
      <c r="S1265" s="40"/>
      <c r="T1265" s="40"/>
      <c r="U1265" s="41"/>
      <c r="V1265" s="41"/>
      <c r="W1265" s="41"/>
      <c r="X1265" s="36"/>
      <c r="Y1265" s="36"/>
      <c r="Z1265" s="36"/>
      <c r="AA1265" s="36"/>
      <c r="AB1265" s="36"/>
      <c r="AC1265" s="36"/>
    </row>
    <row r="1266" spans="17:29" x14ac:dyDescent="0.2">
      <c r="Q1266" s="36"/>
      <c r="R1266" s="40"/>
      <c r="S1266" s="40"/>
      <c r="T1266" s="40"/>
      <c r="U1266" s="41"/>
      <c r="V1266" s="41"/>
      <c r="W1266" s="41"/>
      <c r="X1266" s="36"/>
      <c r="Y1266" s="36"/>
      <c r="Z1266" s="36"/>
      <c r="AA1266" s="36"/>
      <c r="AB1266" s="36"/>
      <c r="AC1266" s="36"/>
    </row>
    <row r="1267" spans="17:29" x14ac:dyDescent="0.2">
      <c r="Q1267" s="36"/>
      <c r="R1267" s="40"/>
      <c r="S1267" s="40"/>
      <c r="T1267" s="40"/>
      <c r="U1267" s="41"/>
      <c r="V1267" s="41"/>
      <c r="W1267" s="41"/>
      <c r="X1267" s="36"/>
      <c r="Y1267" s="36"/>
      <c r="Z1267" s="36"/>
      <c r="AA1267" s="36"/>
      <c r="AB1267" s="36"/>
      <c r="AC1267" s="36"/>
    </row>
    <row r="1268" spans="17:29" x14ac:dyDescent="0.2">
      <c r="Q1268" s="36"/>
      <c r="R1268" s="40"/>
      <c r="S1268" s="40"/>
      <c r="T1268" s="40"/>
      <c r="U1268" s="41"/>
      <c r="V1268" s="41"/>
      <c r="W1268" s="41"/>
      <c r="X1268" s="36"/>
      <c r="Y1268" s="36"/>
      <c r="Z1268" s="36"/>
      <c r="AA1268" s="36"/>
      <c r="AB1268" s="36"/>
      <c r="AC1268" s="36"/>
    </row>
    <row r="1269" spans="17:29" x14ac:dyDescent="0.2">
      <c r="Q1269" s="36"/>
      <c r="R1269" s="40"/>
      <c r="S1269" s="40"/>
      <c r="T1269" s="40"/>
      <c r="U1269" s="41"/>
      <c r="V1269" s="41"/>
      <c r="W1269" s="41"/>
      <c r="X1269" s="36"/>
      <c r="Y1269" s="36"/>
      <c r="Z1269" s="36"/>
      <c r="AA1269" s="36"/>
      <c r="AB1269" s="36"/>
      <c r="AC1269" s="36"/>
    </row>
    <row r="1270" spans="17:29" x14ac:dyDescent="0.2">
      <c r="Q1270" s="36"/>
      <c r="R1270" s="40"/>
      <c r="S1270" s="40"/>
      <c r="T1270" s="40"/>
      <c r="U1270" s="41"/>
      <c r="V1270" s="41"/>
      <c r="W1270" s="41"/>
      <c r="X1270" s="36"/>
      <c r="Y1270" s="36"/>
      <c r="Z1270" s="36"/>
      <c r="AA1270" s="36"/>
      <c r="AB1270" s="36"/>
      <c r="AC1270" s="36"/>
    </row>
    <row r="1271" spans="17:29" x14ac:dyDescent="0.2">
      <c r="Q1271" s="36"/>
      <c r="R1271" s="40"/>
      <c r="S1271" s="40"/>
      <c r="T1271" s="40"/>
      <c r="U1271" s="41"/>
      <c r="V1271" s="41"/>
      <c r="W1271" s="41"/>
      <c r="X1271" s="36"/>
      <c r="Y1271" s="36"/>
      <c r="Z1271" s="36"/>
      <c r="AA1271" s="36"/>
      <c r="AB1271" s="36"/>
      <c r="AC1271" s="36"/>
    </row>
    <row r="1272" spans="17:29" x14ac:dyDescent="0.2">
      <c r="Q1272" s="36"/>
      <c r="R1272" s="40"/>
      <c r="S1272" s="40"/>
      <c r="T1272" s="40"/>
      <c r="U1272" s="41"/>
      <c r="V1272" s="41"/>
      <c r="W1272" s="41"/>
      <c r="X1272" s="36"/>
      <c r="Y1272" s="36"/>
      <c r="Z1272" s="36"/>
      <c r="AA1272" s="36"/>
      <c r="AB1272" s="36"/>
      <c r="AC1272" s="36"/>
    </row>
    <row r="1273" spans="17:29" x14ac:dyDescent="0.2">
      <c r="Q1273" s="36"/>
      <c r="R1273" s="40"/>
      <c r="S1273" s="40"/>
      <c r="T1273" s="40"/>
      <c r="U1273" s="41"/>
      <c r="V1273" s="41"/>
      <c r="W1273" s="41"/>
      <c r="X1273" s="36"/>
      <c r="Y1273" s="36"/>
      <c r="Z1273" s="36"/>
      <c r="AA1273" s="36"/>
      <c r="AB1273" s="36"/>
      <c r="AC1273" s="36"/>
    </row>
    <row r="1274" spans="17:29" x14ac:dyDescent="0.2">
      <c r="Q1274" s="36"/>
      <c r="R1274" s="40"/>
      <c r="S1274" s="40"/>
      <c r="T1274" s="40"/>
      <c r="U1274" s="41"/>
      <c r="V1274" s="41"/>
      <c r="W1274" s="41"/>
      <c r="X1274" s="36"/>
      <c r="Y1274" s="36"/>
      <c r="Z1274" s="36"/>
      <c r="AA1274" s="36"/>
      <c r="AB1274" s="36"/>
      <c r="AC1274" s="36"/>
    </row>
    <row r="1275" spans="17:29" x14ac:dyDescent="0.2">
      <c r="Q1275" s="36"/>
      <c r="R1275" s="40"/>
      <c r="S1275" s="40"/>
      <c r="T1275" s="40"/>
      <c r="U1275" s="41"/>
      <c r="V1275" s="41"/>
      <c r="W1275" s="41"/>
      <c r="X1275" s="36"/>
      <c r="Y1275" s="36"/>
      <c r="Z1275" s="36"/>
      <c r="AA1275" s="36"/>
      <c r="AB1275" s="36"/>
      <c r="AC1275" s="36"/>
    </row>
    <row r="1276" spans="17:29" x14ac:dyDescent="0.2">
      <c r="Q1276" s="36"/>
      <c r="R1276" s="40"/>
      <c r="S1276" s="40"/>
      <c r="T1276" s="40"/>
      <c r="U1276" s="41"/>
      <c r="V1276" s="41"/>
      <c r="W1276" s="41"/>
      <c r="X1276" s="36"/>
      <c r="Y1276" s="36"/>
      <c r="Z1276" s="36"/>
      <c r="AA1276" s="36"/>
      <c r="AB1276" s="36"/>
      <c r="AC1276" s="36"/>
    </row>
    <row r="1277" spans="17:29" x14ac:dyDescent="0.2">
      <c r="Q1277" s="36"/>
      <c r="R1277" s="40"/>
      <c r="S1277" s="40"/>
      <c r="T1277" s="40"/>
      <c r="U1277" s="41"/>
      <c r="V1277" s="41"/>
      <c r="W1277" s="41"/>
      <c r="X1277" s="36"/>
      <c r="Y1277" s="36"/>
      <c r="Z1277" s="36"/>
      <c r="AA1277" s="36"/>
      <c r="AB1277" s="36"/>
      <c r="AC1277" s="36"/>
    </row>
    <row r="1278" spans="17:29" x14ac:dyDescent="0.2">
      <c r="Q1278" s="36"/>
      <c r="R1278" s="40"/>
      <c r="S1278" s="40"/>
      <c r="T1278" s="40"/>
      <c r="U1278" s="41"/>
      <c r="V1278" s="41"/>
      <c r="W1278" s="41"/>
      <c r="X1278" s="36"/>
      <c r="Y1278" s="36"/>
      <c r="Z1278" s="36"/>
      <c r="AA1278" s="36"/>
      <c r="AB1278" s="36"/>
      <c r="AC1278" s="36"/>
    </row>
    <row r="1279" spans="17:29" x14ac:dyDescent="0.2">
      <c r="Q1279" s="36"/>
      <c r="R1279" s="40"/>
      <c r="S1279" s="40"/>
      <c r="T1279" s="40"/>
      <c r="U1279" s="41"/>
      <c r="V1279" s="41"/>
      <c r="W1279" s="41"/>
      <c r="X1279" s="36"/>
      <c r="Y1279" s="36"/>
      <c r="Z1279" s="36"/>
      <c r="AA1279" s="36"/>
      <c r="AB1279" s="36"/>
      <c r="AC1279" s="36"/>
    </row>
    <row r="1280" spans="17:29" x14ac:dyDescent="0.2">
      <c r="Q1280" s="36"/>
      <c r="R1280" s="40"/>
      <c r="S1280" s="40"/>
      <c r="T1280" s="40"/>
      <c r="U1280" s="41"/>
      <c r="V1280" s="41"/>
      <c r="W1280" s="41"/>
      <c r="X1280" s="36"/>
      <c r="Y1280" s="36"/>
      <c r="Z1280" s="36"/>
      <c r="AA1280" s="36"/>
      <c r="AB1280" s="36"/>
      <c r="AC1280" s="36"/>
    </row>
    <row r="1281" spans="17:29" x14ac:dyDescent="0.2">
      <c r="Q1281" s="36"/>
      <c r="R1281" s="40"/>
      <c r="S1281" s="40"/>
      <c r="T1281" s="40"/>
      <c r="U1281" s="41"/>
      <c r="V1281" s="41"/>
      <c r="W1281" s="41"/>
      <c r="X1281" s="36"/>
      <c r="Y1281" s="36"/>
      <c r="Z1281" s="36"/>
      <c r="AA1281" s="36"/>
      <c r="AB1281" s="36"/>
      <c r="AC1281" s="36"/>
    </row>
    <row r="1282" spans="17:29" x14ac:dyDescent="0.2">
      <c r="Q1282" s="36"/>
      <c r="R1282" s="40"/>
      <c r="S1282" s="40"/>
      <c r="T1282" s="40"/>
      <c r="U1282" s="41"/>
      <c r="V1282" s="41"/>
      <c r="W1282" s="41"/>
      <c r="X1282" s="36"/>
      <c r="Y1282" s="36"/>
      <c r="Z1282" s="36"/>
      <c r="AA1282" s="36"/>
      <c r="AB1282" s="36"/>
      <c r="AC1282" s="36"/>
    </row>
    <row r="1283" spans="17:29" x14ac:dyDescent="0.2">
      <c r="Q1283" s="36"/>
      <c r="R1283" s="40"/>
      <c r="S1283" s="40"/>
      <c r="T1283" s="40"/>
      <c r="U1283" s="41"/>
      <c r="V1283" s="41"/>
      <c r="W1283" s="41"/>
      <c r="X1283" s="36"/>
      <c r="Y1283" s="36"/>
      <c r="Z1283" s="36"/>
      <c r="AA1283" s="36"/>
      <c r="AB1283" s="36"/>
      <c r="AC1283" s="36"/>
    </row>
    <row r="1284" spans="17:29" x14ac:dyDescent="0.2">
      <c r="Q1284" s="36"/>
      <c r="R1284" s="40"/>
      <c r="S1284" s="40"/>
      <c r="T1284" s="40"/>
      <c r="U1284" s="41"/>
      <c r="V1284" s="41"/>
      <c r="W1284" s="41"/>
      <c r="X1284" s="36"/>
      <c r="Y1284" s="36"/>
      <c r="Z1284" s="36"/>
      <c r="AA1284" s="36"/>
      <c r="AB1284" s="36"/>
      <c r="AC1284" s="36"/>
    </row>
    <row r="1285" spans="17:29" x14ac:dyDescent="0.2">
      <c r="Q1285" s="36"/>
      <c r="R1285" s="40"/>
      <c r="S1285" s="40"/>
      <c r="T1285" s="40"/>
      <c r="U1285" s="41"/>
      <c r="V1285" s="41"/>
      <c r="W1285" s="41"/>
      <c r="X1285" s="36"/>
      <c r="Y1285" s="36"/>
      <c r="Z1285" s="36"/>
      <c r="AA1285" s="36"/>
      <c r="AB1285" s="36"/>
      <c r="AC1285" s="36"/>
    </row>
    <row r="1286" spans="17:29" x14ac:dyDescent="0.2">
      <c r="Q1286" s="36"/>
      <c r="R1286" s="40"/>
      <c r="S1286" s="40"/>
      <c r="T1286" s="40"/>
      <c r="U1286" s="41"/>
      <c r="V1286" s="41"/>
      <c r="W1286" s="41"/>
      <c r="X1286" s="36"/>
      <c r="Y1286" s="36"/>
      <c r="Z1286" s="36"/>
      <c r="AA1286" s="36"/>
      <c r="AB1286" s="36"/>
      <c r="AC1286" s="36"/>
    </row>
    <row r="1287" spans="17:29" x14ac:dyDescent="0.2">
      <c r="Q1287" s="36"/>
      <c r="R1287" s="40"/>
      <c r="S1287" s="40"/>
      <c r="T1287" s="40"/>
      <c r="U1287" s="41"/>
      <c r="V1287" s="41"/>
      <c r="W1287" s="41"/>
      <c r="X1287" s="36"/>
      <c r="Y1287" s="36"/>
      <c r="Z1287" s="36"/>
      <c r="AA1287" s="36"/>
      <c r="AB1287" s="36"/>
      <c r="AC1287" s="36"/>
    </row>
    <row r="1288" spans="17:29" x14ac:dyDescent="0.2">
      <c r="Q1288" s="36"/>
      <c r="R1288" s="40"/>
      <c r="S1288" s="40"/>
      <c r="T1288" s="40"/>
      <c r="U1288" s="41"/>
      <c r="V1288" s="41"/>
      <c r="W1288" s="41"/>
      <c r="X1288" s="36"/>
      <c r="Y1288" s="36"/>
      <c r="Z1288" s="36"/>
      <c r="AA1288" s="36"/>
      <c r="AB1288" s="36"/>
      <c r="AC1288" s="36"/>
    </row>
    <row r="1289" spans="17:29" x14ac:dyDescent="0.2">
      <c r="Q1289" s="36"/>
      <c r="R1289" s="40"/>
      <c r="S1289" s="40"/>
      <c r="T1289" s="40"/>
      <c r="U1289" s="41"/>
      <c r="V1289" s="41"/>
      <c r="W1289" s="41"/>
      <c r="X1289" s="36"/>
      <c r="Y1289" s="36"/>
      <c r="Z1289" s="36"/>
      <c r="AA1289" s="36"/>
      <c r="AB1289" s="36"/>
      <c r="AC1289" s="36"/>
    </row>
    <row r="1290" spans="17:29" x14ac:dyDescent="0.2">
      <c r="Q1290" s="36"/>
      <c r="R1290" s="40"/>
      <c r="S1290" s="40"/>
      <c r="T1290" s="40"/>
      <c r="U1290" s="41"/>
      <c r="V1290" s="41"/>
      <c r="W1290" s="41"/>
      <c r="X1290" s="36"/>
      <c r="Y1290" s="36"/>
      <c r="Z1290" s="36"/>
      <c r="AA1290" s="36"/>
      <c r="AB1290" s="36"/>
      <c r="AC1290" s="36"/>
    </row>
    <row r="1291" spans="17:29" x14ac:dyDescent="0.2">
      <c r="Q1291" s="36"/>
      <c r="R1291" s="40"/>
      <c r="S1291" s="40"/>
      <c r="T1291" s="40"/>
      <c r="U1291" s="41"/>
      <c r="V1291" s="41"/>
      <c r="W1291" s="41"/>
      <c r="X1291" s="36"/>
      <c r="Y1291" s="36"/>
      <c r="Z1291" s="36"/>
      <c r="AA1291" s="36"/>
      <c r="AB1291" s="36"/>
      <c r="AC1291" s="36"/>
    </row>
    <row r="1292" spans="17:29" x14ac:dyDescent="0.2">
      <c r="Q1292" s="36"/>
      <c r="R1292" s="40"/>
      <c r="S1292" s="40"/>
      <c r="T1292" s="40"/>
      <c r="U1292" s="41"/>
      <c r="V1292" s="41"/>
      <c r="W1292" s="41"/>
      <c r="X1292" s="36"/>
      <c r="Y1292" s="36"/>
      <c r="Z1292" s="36"/>
      <c r="AA1292" s="36"/>
      <c r="AB1292" s="36"/>
      <c r="AC1292" s="36"/>
    </row>
    <row r="1293" spans="17:29" x14ac:dyDescent="0.2">
      <c r="Q1293" s="36"/>
      <c r="R1293" s="40"/>
      <c r="S1293" s="40"/>
      <c r="T1293" s="40"/>
      <c r="U1293" s="41"/>
      <c r="V1293" s="41"/>
      <c r="W1293" s="41"/>
      <c r="X1293" s="36"/>
      <c r="Y1293" s="36"/>
      <c r="Z1293" s="36"/>
      <c r="AA1293" s="36"/>
      <c r="AB1293" s="36"/>
      <c r="AC1293" s="36"/>
    </row>
    <row r="1294" spans="17:29" x14ac:dyDescent="0.2">
      <c r="Q1294" s="36"/>
      <c r="R1294" s="40"/>
      <c r="S1294" s="40"/>
      <c r="T1294" s="40"/>
      <c r="U1294" s="41"/>
      <c r="V1294" s="41"/>
      <c r="W1294" s="41"/>
      <c r="X1294" s="36"/>
      <c r="Y1294" s="36"/>
      <c r="Z1294" s="36"/>
      <c r="AA1294" s="36"/>
      <c r="AB1294" s="36"/>
      <c r="AC1294" s="36"/>
    </row>
    <row r="1295" spans="17:29" x14ac:dyDescent="0.2">
      <c r="Q1295" s="36"/>
      <c r="R1295" s="40"/>
      <c r="S1295" s="40"/>
      <c r="T1295" s="40"/>
      <c r="U1295" s="41"/>
      <c r="V1295" s="41"/>
      <c r="W1295" s="41"/>
      <c r="X1295" s="36"/>
      <c r="Y1295" s="36"/>
      <c r="Z1295" s="36"/>
      <c r="AA1295" s="36"/>
      <c r="AB1295" s="36"/>
      <c r="AC1295" s="36"/>
    </row>
    <row r="1296" spans="17:29" x14ac:dyDescent="0.2">
      <c r="Q1296" s="36"/>
      <c r="R1296" s="40"/>
      <c r="S1296" s="40"/>
      <c r="T1296" s="40"/>
      <c r="U1296" s="41"/>
      <c r="V1296" s="41"/>
      <c r="W1296" s="41"/>
      <c r="X1296" s="36"/>
      <c r="Y1296" s="36"/>
      <c r="Z1296" s="36"/>
      <c r="AA1296" s="36"/>
      <c r="AB1296" s="36"/>
      <c r="AC1296" s="36"/>
    </row>
    <row r="1297" spans="17:29" x14ac:dyDescent="0.2">
      <c r="Q1297" s="36"/>
      <c r="R1297" s="40"/>
      <c r="S1297" s="40"/>
      <c r="T1297" s="40"/>
      <c r="U1297" s="41"/>
      <c r="V1297" s="41"/>
      <c r="W1297" s="41"/>
      <c r="X1297" s="36"/>
      <c r="Y1297" s="36"/>
      <c r="Z1297" s="36"/>
      <c r="AA1297" s="36"/>
      <c r="AB1297" s="36"/>
      <c r="AC1297" s="36"/>
    </row>
    <row r="1298" spans="17:29" x14ac:dyDescent="0.2">
      <c r="Q1298" s="36"/>
      <c r="R1298" s="40"/>
      <c r="S1298" s="40"/>
      <c r="T1298" s="40"/>
      <c r="U1298" s="41"/>
      <c r="V1298" s="41"/>
      <c r="W1298" s="41"/>
      <c r="X1298" s="36"/>
      <c r="Y1298" s="36"/>
      <c r="Z1298" s="36"/>
      <c r="AA1298" s="36"/>
      <c r="AB1298" s="36"/>
      <c r="AC1298" s="36"/>
    </row>
    <row r="1299" spans="17:29" x14ac:dyDescent="0.2">
      <c r="Q1299" s="36"/>
      <c r="R1299" s="40"/>
      <c r="S1299" s="40"/>
      <c r="T1299" s="40"/>
      <c r="U1299" s="41"/>
      <c r="V1299" s="41"/>
      <c r="W1299" s="41"/>
      <c r="X1299" s="36"/>
      <c r="Y1299" s="36"/>
      <c r="Z1299" s="36"/>
      <c r="AA1299" s="36"/>
      <c r="AB1299" s="36"/>
      <c r="AC1299" s="36"/>
    </row>
    <row r="1300" spans="17:29" x14ac:dyDescent="0.2">
      <c r="Q1300" s="36"/>
      <c r="R1300" s="40"/>
      <c r="S1300" s="40"/>
      <c r="T1300" s="40"/>
      <c r="U1300" s="41"/>
      <c r="V1300" s="41"/>
      <c r="W1300" s="41"/>
      <c r="X1300" s="36"/>
      <c r="Y1300" s="36"/>
      <c r="Z1300" s="36"/>
      <c r="AA1300" s="36"/>
      <c r="AB1300" s="36"/>
      <c r="AC1300" s="36"/>
    </row>
    <row r="1301" spans="17:29" x14ac:dyDescent="0.2">
      <c r="Q1301" s="36"/>
      <c r="R1301" s="40"/>
      <c r="S1301" s="40"/>
      <c r="T1301" s="40"/>
      <c r="U1301" s="41"/>
      <c r="V1301" s="41"/>
      <c r="W1301" s="41"/>
      <c r="X1301" s="36"/>
      <c r="Y1301" s="36"/>
      <c r="Z1301" s="36"/>
      <c r="AA1301" s="36"/>
      <c r="AB1301" s="36"/>
      <c r="AC1301" s="36"/>
    </row>
    <row r="1302" spans="17:29" x14ac:dyDescent="0.2">
      <c r="Q1302" s="36"/>
      <c r="R1302" s="40"/>
      <c r="S1302" s="40"/>
      <c r="T1302" s="40"/>
      <c r="U1302" s="41"/>
      <c r="V1302" s="41"/>
      <c r="W1302" s="41"/>
      <c r="X1302" s="36"/>
      <c r="Y1302" s="36"/>
      <c r="Z1302" s="36"/>
      <c r="AA1302" s="36"/>
      <c r="AB1302" s="36"/>
      <c r="AC1302" s="36"/>
    </row>
    <row r="1303" spans="17:29" x14ac:dyDescent="0.2">
      <c r="Q1303" s="36"/>
      <c r="R1303" s="40"/>
      <c r="S1303" s="40"/>
      <c r="T1303" s="40"/>
      <c r="U1303" s="41"/>
      <c r="V1303" s="41"/>
      <c r="W1303" s="41"/>
      <c r="X1303" s="36"/>
      <c r="Y1303" s="36"/>
      <c r="Z1303" s="36"/>
      <c r="AA1303" s="36"/>
      <c r="AB1303" s="36"/>
      <c r="AC1303" s="36"/>
    </row>
    <row r="1304" spans="17:29" x14ac:dyDescent="0.2">
      <c r="Q1304" s="36"/>
      <c r="R1304" s="40"/>
      <c r="S1304" s="40"/>
      <c r="T1304" s="40"/>
      <c r="U1304" s="41"/>
      <c r="V1304" s="41"/>
      <c r="W1304" s="41"/>
      <c r="X1304" s="36"/>
      <c r="Y1304" s="36"/>
      <c r="Z1304" s="36"/>
      <c r="AA1304" s="36"/>
      <c r="AB1304" s="36"/>
      <c r="AC1304" s="36"/>
    </row>
    <row r="1305" spans="17:29" x14ac:dyDescent="0.2">
      <c r="Q1305" s="36"/>
      <c r="R1305" s="40"/>
      <c r="S1305" s="40"/>
      <c r="T1305" s="40"/>
      <c r="U1305" s="41"/>
      <c r="V1305" s="41"/>
      <c r="W1305" s="41"/>
      <c r="X1305" s="36"/>
      <c r="Y1305" s="36"/>
      <c r="Z1305" s="36"/>
      <c r="AA1305" s="36"/>
      <c r="AB1305" s="36"/>
      <c r="AC1305" s="36"/>
    </row>
    <row r="1306" spans="17:29" x14ac:dyDescent="0.2">
      <c r="Q1306" s="36"/>
      <c r="R1306" s="40"/>
      <c r="S1306" s="40"/>
      <c r="T1306" s="40"/>
      <c r="U1306" s="41"/>
      <c r="V1306" s="41"/>
      <c r="W1306" s="41"/>
      <c r="X1306" s="36"/>
      <c r="Y1306" s="36"/>
      <c r="Z1306" s="36"/>
      <c r="AA1306" s="36"/>
      <c r="AB1306" s="36"/>
      <c r="AC1306" s="36"/>
    </row>
    <row r="1307" spans="17:29" x14ac:dyDescent="0.2">
      <c r="Q1307" s="36"/>
      <c r="R1307" s="40"/>
      <c r="S1307" s="40"/>
      <c r="T1307" s="40"/>
      <c r="U1307" s="41"/>
      <c r="V1307" s="41"/>
      <c r="W1307" s="41"/>
      <c r="X1307" s="36"/>
      <c r="Y1307" s="36"/>
      <c r="Z1307" s="36"/>
      <c r="AA1307" s="36"/>
      <c r="AB1307" s="36"/>
      <c r="AC1307" s="36"/>
    </row>
    <row r="1308" spans="17:29" x14ac:dyDescent="0.2">
      <c r="Q1308" s="36"/>
      <c r="R1308" s="40"/>
      <c r="S1308" s="40"/>
      <c r="T1308" s="40"/>
      <c r="U1308" s="41"/>
      <c r="V1308" s="41"/>
      <c r="W1308" s="41"/>
      <c r="X1308" s="36"/>
      <c r="Y1308" s="36"/>
      <c r="Z1308" s="36"/>
      <c r="AA1308" s="36"/>
      <c r="AB1308" s="36"/>
      <c r="AC1308" s="36"/>
    </row>
    <row r="1309" spans="17:29" x14ac:dyDescent="0.2">
      <c r="Q1309" s="36"/>
      <c r="R1309" s="40"/>
      <c r="S1309" s="40"/>
      <c r="T1309" s="40"/>
      <c r="U1309" s="41"/>
      <c r="V1309" s="41"/>
      <c r="W1309" s="41"/>
      <c r="X1309" s="36"/>
      <c r="Y1309" s="36"/>
      <c r="Z1309" s="36"/>
      <c r="AA1309" s="36"/>
      <c r="AB1309" s="36"/>
      <c r="AC1309" s="36"/>
    </row>
    <row r="1310" spans="17:29" x14ac:dyDescent="0.2">
      <c r="Q1310" s="36"/>
      <c r="R1310" s="40"/>
      <c r="S1310" s="40"/>
      <c r="T1310" s="40"/>
      <c r="U1310" s="41"/>
      <c r="V1310" s="41"/>
      <c r="W1310" s="41"/>
      <c r="X1310" s="36"/>
      <c r="Y1310" s="36"/>
      <c r="Z1310" s="36"/>
      <c r="AA1310" s="36"/>
      <c r="AB1310" s="36"/>
      <c r="AC1310" s="36"/>
    </row>
    <row r="1311" spans="17:29" x14ac:dyDescent="0.2">
      <c r="Q1311" s="36"/>
      <c r="R1311" s="40"/>
      <c r="S1311" s="40"/>
      <c r="T1311" s="40"/>
      <c r="U1311" s="41"/>
      <c r="V1311" s="41"/>
      <c r="W1311" s="36"/>
      <c r="X1311" s="36"/>
      <c r="Y1311" s="36"/>
      <c r="Z1311" s="36"/>
      <c r="AA1311" s="36"/>
      <c r="AB1311" s="36"/>
      <c r="AC1311" s="36"/>
    </row>
    <row r="1312" spans="17:29" x14ac:dyDescent="0.2">
      <c r="Q1312" s="36"/>
      <c r="R1312" s="40"/>
      <c r="S1312" s="40"/>
      <c r="T1312" s="40"/>
      <c r="U1312" s="41"/>
      <c r="V1312" s="41"/>
      <c r="W1312" s="36"/>
      <c r="X1312" s="36"/>
      <c r="Y1312" s="36"/>
      <c r="Z1312" s="36"/>
      <c r="AA1312" s="36"/>
      <c r="AB1312" s="36"/>
      <c r="AC1312" s="36"/>
    </row>
    <row r="1313" spans="17:29" x14ac:dyDescent="0.2">
      <c r="Q1313" s="36"/>
      <c r="R1313" s="40"/>
      <c r="S1313" s="40"/>
      <c r="T1313" s="40"/>
      <c r="U1313" s="41"/>
      <c r="V1313" s="41"/>
      <c r="W1313" s="36"/>
      <c r="X1313" s="36"/>
      <c r="Y1313" s="36"/>
      <c r="Z1313" s="36"/>
      <c r="AA1313" s="36"/>
      <c r="AB1313" s="36"/>
      <c r="AC1313" s="36"/>
    </row>
    <row r="1314" spans="17:29" x14ac:dyDescent="0.2">
      <c r="Q1314" s="36"/>
      <c r="R1314" s="40"/>
      <c r="S1314" s="40"/>
      <c r="T1314" s="40"/>
      <c r="U1314" s="41"/>
      <c r="V1314" s="41"/>
      <c r="W1314" s="36"/>
      <c r="X1314" s="36"/>
      <c r="Y1314" s="36"/>
      <c r="Z1314" s="36"/>
      <c r="AA1314" s="36"/>
      <c r="AB1314" s="36"/>
      <c r="AC1314" s="36"/>
    </row>
    <row r="1315" spans="17:29" x14ac:dyDescent="0.2">
      <c r="Q1315" s="36"/>
      <c r="R1315" s="40"/>
      <c r="S1315" s="40"/>
      <c r="T1315" s="40"/>
      <c r="U1315" s="41"/>
      <c r="V1315" s="41"/>
      <c r="W1315" s="36"/>
      <c r="X1315" s="36"/>
      <c r="Y1315" s="36"/>
      <c r="Z1315" s="36"/>
      <c r="AA1315" s="36"/>
      <c r="AB1315" s="36"/>
      <c r="AC1315" s="36"/>
    </row>
    <row r="1316" spans="17:29" x14ac:dyDescent="0.2">
      <c r="Q1316" s="36"/>
      <c r="R1316" s="40"/>
      <c r="S1316" s="40"/>
      <c r="T1316" s="40"/>
      <c r="U1316" s="41"/>
      <c r="V1316" s="41"/>
      <c r="W1316" s="36"/>
      <c r="X1316" s="36"/>
      <c r="Y1316" s="36"/>
      <c r="Z1316" s="36"/>
      <c r="AA1316" s="36"/>
      <c r="AB1316" s="36"/>
      <c r="AC1316" s="36"/>
    </row>
    <row r="1317" spans="17:29" x14ac:dyDescent="0.2">
      <c r="Q1317" s="36"/>
      <c r="R1317" s="40"/>
      <c r="S1317" s="40"/>
      <c r="T1317" s="40"/>
      <c r="U1317" s="41"/>
      <c r="V1317" s="41"/>
      <c r="W1317" s="36"/>
      <c r="X1317" s="36"/>
      <c r="Y1317" s="36"/>
      <c r="Z1317" s="36"/>
      <c r="AA1317" s="36"/>
      <c r="AB1317" s="36"/>
      <c r="AC1317" s="36"/>
    </row>
    <row r="1318" spans="17:29" x14ac:dyDescent="0.2">
      <c r="Q1318" s="36"/>
      <c r="R1318" s="40"/>
      <c r="S1318" s="40"/>
      <c r="T1318" s="40"/>
      <c r="U1318" s="41"/>
      <c r="V1318" s="41"/>
      <c r="W1318" s="36"/>
      <c r="X1318" s="36"/>
      <c r="Y1318" s="36"/>
      <c r="Z1318" s="36"/>
      <c r="AA1318" s="36"/>
      <c r="AB1318" s="36"/>
      <c r="AC1318" s="36"/>
    </row>
    <row r="1319" spans="17:29" x14ac:dyDescent="0.2">
      <c r="Q1319" s="36"/>
      <c r="R1319" s="40"/>
      <c r="S1319" s="40"/>
      <c r="T1319" s="40"/>
      <c r="U1319" s="41"/>
      <c r="V1319" s="41"/>
      <c r="W1319" s="36"/>
      <c r="X1319" s="36"/>
      <c r="Y1319" s="36"/>
      <c r="Z1319" s="36"/>
      <c r="AA1319" s="36"/>
      <c r="AB1319" s="36"/>
      <c r="AC1319" s="36"/>
    </row>
    <row r="1320" spans="17:29" x14ac:dyDescent="0.2">
      <c r="Q1320" s="36"/>
      <c r="R1320" s="40"/>
      <c r="S1320" s="40"/>
      <c r="T1320" s="40"/>
      <c r="U1320" s="41"/>
      <c r="V1320" s="41"/>
      <c r="W1320" s="36"/>
      <c r="X1320" s="36"/>
      <c r="Y1320" s="36"/>
      <c r="Z1320" s="36"/>
      <c r="AA1320" s="36"/>
      <c r="AB1320" s="36"/>
      <c r="AC1320" s="36"/>
    </row>
    <row r="1321" spans="17:29" x14ac:dyDescent="0.2">
      <c r="Q1321" s="36"/>
      <c r="R1321" s="40"/>
      <c r="S1321" s="40"/>
      <c r="T1321" s="40"/>
      <c r="U1321" s="41"/>
      <c r="V1321" s="41"/>
      <c r="W1321" s="36"/>
      <c r="X1321" s="36"/>
      <c r="Y1321" s="36"/>
      <c r="Z1321" s="36"/>
      <c r="AA1321" s="36"/>
      <c r="AB1321" s="36"/>
      <c r="AC1321" s="36"/>
    </row>
    <row r="1322" spans="17:29" x14ac:dyDescent="0.2">
      <c r="Q1322" s="36"/>
      <c r="R1322" s="40"/>
      <c r="S1322" s="40"/>
      <c r="T1322" s="40"/>
      <c r="U1322" s="41"/>
      <c r="V1322" s="41"/>
      <c r="W1322" s="36"/>
      <c r="X1322" s="36"/>
      <c r="Y1322" s="36"/>
      <c r="Z1322" s="36"/>
      <c r="AA1322" s="36"/>
      <c r="AB1322" s="36"/>
      <c r="AC1322" s="36"/>
    </row>
    <row r="1323" spans="17:29" x14ac:dyDescent="0.2">
      <c r="Q1323" s="36"/>
      <c r="R1323" s="40"/>
      <c r="S1323" s="40"/>
      <c r="T1323" s="40"/>
      <c r="U1323" s="41"/>
      <c r="V1323" s="41"/>
      <c r="W1323" s="36"/>
      <c r="X1323" s="36"/>
      <c r="Y1323" s="36"/>
      <c r="Z1323" s="36"/>
      <c r="AA1323" s="36"/>
      <c r="AB1323" s="36"/>
      <c r="AC1323" s="36"/>
    </row>
    <row r="1324" spans="17:29" x14ac:dyDescent="0.2">
      <c r="Q1324" s="36"/>
      <c r="R1324" s="40"/>
      <c r="S1324" s="40"/>
      <c r="T1324" s="40"/>
      <c r="U1324" s="41"/>
      <c r="V1324" s="41"/>
      <c r="W1324" s="36"/>
      <c r="X1324" s="36"/>
      <c r="Y1324" s="36"/>
      <c r="Z1324" s="36"/>
      <c r="AA1324" s="36"/>
      <c r="AB1324" s="36"/>
      <c r="AC1324" s="36"/>
    </row>
    <row r="1325" spans="17:29" x14ac:dyDescent="0.2">
      <c r="Q1325" s="36"/>
      <c r="R1325" s="40"/>
      <c r="S1325" s="40"/>
      <c r="T1325" s="40"/>
      <c r="U1325" s="41"/>
      <c r="V1325" s="41"/>
      <c r="W1325" s="36"/>
      <c r="X1325" s="36"/>
      <c r="Y1325" s="36"/>
      <c r="Z1325" s="36"/>
      <c r="AA1325" s="36"/>
      <c r="AB1325" s="36"/>
      <c r="AC1325" s="36"/>
    </row>
    <row r="1326" spans="17:29" x14ac:dyDescent="0.2">
      <c r="Q1326" s="36"/>
      <c r="R1326" s="40"/>
      <c r="S1326" s="40"/>
      <c r="T1326" s="40"/>
      <c r="U1326" s="41"/>
      <c r="V1326" s="41"/>
      <c r="W1326" s="36"/>
      <c r="X1326" s="36"/>
      <c r="Y1326" s="36"/>
      <c r="Z1326" s="36"/>
      <c r="AA1326" s="36"/>
      <c r="AB1326" s="36"/>
      <c r="AC1326" s="36"/>
    </row>
    <row r="1327" spans="17:29" x14ac:dyDescent="0.2">
      <c r="Q1327" s="36"/>
      <c r="R1327" s="40"/>
      <c r="S1327" s="40"/>
      <c r="T1327" s="40"/>
      <c r="U1327" s="41"/>
      <c r="V1327" s="41"/>
      <c r="W1327" s="36"/>
      <c r="X1327" s="36"/>
      <c r="Y1327" s="36"/>
      <c r="Z1327" s="36"/>
      <c r="AA1327" s="36"/>
      <c r="AB1327" s="36"/>
      <c r="AC1327" s="36"/>
    </row>
    <row r="1328" spans="17:29" x14ac:dyDescent="0.2">
      <c r="Q1328" s="36"/>
      <c r="R1328" s="40"/>
      <c r="S1328" s="40"/>
      <c r="T1328" s="40"/>
      <c r="U1328" s="41"/>
      <c r="V1328" s="41"/>
      <c r="W1328" s="36"/>
      <c r="X1328" s="36"/>
      <c r="Y1328" s="36"/>
      <c r="Z1328" s="36"/>
      <c r="AA1328" s="36"/>
      <c r="AB1328" s="36"/>
      <c r="AC1328" s="36"/>
    </row>
    <row r="1329" spans="17:29" x14ac:dyDescent="0.2">
      <c r="Q1329" s="36"/>
      <c r="R1329" s="40"/>
      <c r="S1329" s="40"/>
      <c r="T1329" s="40"/>
      <c r="U1329" s="41"/>
      <c r="V1329" s="41"/>
      <c r="W1329" s="36"/>
      <c r="X1329" s="36"/>
      <c r="Y1329" s="36"/>
      <c r="Z1329" s="36"/>
      <c r="AA1329" s="36"/>
      <c r="AB1329" s="36"/>
      <c r="AC1329" s="36"/>
    </row>
    <row r="1330" spans="17:29" x14ac:dyDescent="0.2">
      <c r="Q1330" s="36"/>
      <c r="R1330" s="40"/>
      <c r="S1330" s="40"/>
      <c r="T1330" s="40"/>
      <c r="U1330" s="41"/>
      <c r="V1330" s="41"/>
      <c r="W1330" s="36"/>
      <c r="X1330" s="36"/>
      <c r="Y1330" s="36"/>
      <c r="Z1330" s="36"/>
      <c r="AA1330" s="36"/>
      <c r="AB1330" s="36"/>
      <c r="AC1330" s="36"/>
    </row>
    <row r="1331" spans="17:29" x14ac:dyDescent="0.2">
      <c r="Q1331" s="36"/>
      <c r="R1331" s="40"/>
      <c r="S1331" s="40"/>
      <c r="T1331" s="40"/>
      <c r="U1331" s="41"/>
      <c r="V1331" s="41"/>
      <c r="W1331" s="36"/>
      <c r="X1331" s="36"/>
      <c r="Y1331" s="36"/>
      <c r="Z1331" s="36"/>
      <c r="AA1331" s="36"/>
      <c r="AB1331" s="36"/>
      <c r="AC1331" s="36"/>
    </row>
    <row r="1332" spans="17:29" x14ac:dyDescent="0.2">
      <c r="Q1332" s="36"/>
      <c r="R1332" s="40"/>
      <c r="S1332" s="40"/>
      <c r="T1332" s="40"/>
      <c r="U1332" s="41"/>
      <c r="V1332" s="41"/>
      <c r="W1332" s="36"/>
      <c r="X1332" s="36"/>
      <c r="Y1332" s="36"/>
      <c r="Z1332" s="36"/>
      <c r="AA1332" s="36"/>
      <c r="AB1332" s="36"/>
      <c r="AC1332" s="36"/>
    </row>
    <row r="1333" spans="17:29" x14ac:dyDescent="0.2">
      <c r="Q1333" s="36"/>
      <c r="R1333" s="40"/>
      <c r="S1333" s="40"/>
      <c r="T1333" s="40"/>
      <c r="U1333" s="41"/>
      <c r="V1333" s="41"/>
      <c r="W1333" s="36"/>
      <c r="X1333" s="36"/>
      <c r="Y1333" s="36"/>
      <c r="Z1333" s="36"/>
      <c r="AA1333" s="36"/>
      <c r="AB1333" s="36"/>
      <c r="AC1333" s="36"/>
    </row>
    <row r="1334" spans="17:29" x14ac:dyDescent="0.2">
      <c r="Q1334" s="36"/>
      <c r="R1334" s="40"/>
      <c r="S1334" s="40"/>
      <c r="T1334" s="40"/>
      <c r="U1334" s="41"/>
      <c r="V1334" s="41"/>
      <c r="W1334" s="36"/>
      <c r="X1334" s="36"/>
      <c r="Y1334" s="36"/>
      <c r="Z1334" s="36"/>
      <c r="AA1334" s="36"/>
      <c r="AB1334" s="36"/>
      <c r="AC1334" s="36"/>
    </row>
    <row r="1335" spans="17:29" x14ac:dyDescent="0.2">
      <c r="Q1335" s="36"/>
      <c r="R1335" s="40"/>
      <c r="S1335" s="40"/>
      <c r="T1335" s="40"/>
      <c r="U1335" s="41"/>
      <c r="V1335" s="41"/>
      <c r="W1335" s="36"/>
      <c r="X1335" s="36"/>
      <c r="Y1335" s="36"/>
      <c r="Z1335" s="36"/>
      <c r="AA1335" s="36"/>
      <c r="AB1335" s="36"/>
      <c r="AC1335" s="36"/>
    </row>
    <row r="1336" spans="17:29" x14ac:dyDescent="0.2">
      <c r="Q1336" s="36"/>
      <c r="R1336" s="40"/>
      <c r="S1336" s="40"/>
      <c r="T1336" s="40"/>
      <c r="U1336" s="41"/>
      <c r="V1336" s="41"/>
      <c r="W1336" s="36"/>
      <c r="X1336" s="36"/>
      <c r="Y1336" s="36"/>
      <c r="Z1336" s="36"/>
      <c r="AA1336" s="36"/>
      <c r="AB1336" s="36"/>
      <c r="AC1336" s="36"/>
    </row>
    <row r="1337" spans="17:29" x14ac:dyDescent="0.2">
      <c r="Q1337" s="36"/>
      <c r="R1337" s="40"/>
      <c r="S1337" s="40"/>
      <c r="T1337" s="40"/>
      <c r="U1337" s="41"/>
      <c r="V1337" s="41"/>
      <c r="W1337" s="36"/>
      <c r="X1337" s="36"/>
      <c r="Y1337" s="36"/>
      <c r="Z1337" s="36"/>
      <c r="AA1337" s="36"/>
      <c r="AB1337" s="36"/>
      <c r="AC1337" s="36"/>
    </row>
    <row r="1338" spans="17:29" x14ac:dyDescent="0.2">
      <c r="Q1338" s="36"/>
      <c r="R1338" s="40"/>
      <c r="S1338" s="40"/>
      <c r="T1338" s="40"/>
      <c r="U1338" s="41"/>
      <c r="V1338" s="41"/>
      <c r="W1338" s="36"/>
      <c r="X1338" s="36"/>
      <c r="Y1338" s="36"/>
      <c r="Z1338" s="36"/>
      <c r="AA1338" s="36"/>
      <c r="AB1338" s="36"/>
      <c r="AC1338" s="36"/>
    </row>
    <row r="1339" spans="17:29" x14ac:dyDescent="0.2">
      <c r="Q1339" s="36"/>
      <c r="R1339" s="40"/>
      <c r="S1339" s="40"/>
      <c r="T1339" s="40"/>
      <c r="U1339" s="41"/>
      <c r="V1339" s="41"/>
      <c r="W1339" s="36"/>
      <c r="X1339" s="36"/>
      <c r="Y1339" s="36"/>
      <c r="Z1339" s="36"/>
      <c r="AA1339" s="36"/>
      <c r="AB1339" s="36"/>
      <c r="AC1339" s="36"/>
    </row>
    <row r="1340" spans="17:29" x14ac:dyDescent="0.2">
      <c r="Q1340" s="36"/>
      <c r="R1340" s="40"/>
      <c r="S1340" s="40"/>
      <c r="T1340" s="40"/>
      <c r="U1340" s="41"/>
      <c r="V1340" s="41"/>
      <c r="W1340" s="36"/>
      <c r="X1340" s="36"/>
      <c r="Y1340" s="36"/>
      <c r="Z1340" s="36"/>
      <c r="AA1340" s="36"/>
      <c r="AB1340" s="36"/>
      <c r="AC1340" s="36"/>
    </row>
    <row r="1341" spans="17:29" x14ac:dyDescent="0.2">
      <c r="Q1341" s="36"/>
      <c r="R1341" s="40"/>
      <c r="S1341" s="40"/>
      <c r="T1341" s="40"/>
      <c r="U1341" s="41"/>
      <c r="V1341" s="41"/>
      <c r="W1341" s="36"/>
      <c r="X1341" s="36"/>
      <c r="Y1341" s="36"/>
      <c r="Z1341" s="36"/>
      <c r="AA1341" s="36"/>
      <c r="AB1341" s="36"/>
      <c r="AC1341" s="36"/>
    </row>
    <row r="1342" spans="17:29" x14ac:dyDescent="0.2">
      <c r="Q1342" s="36"/>
      <c r="R1342" s="40"/>
      <c r="S1342" s="40"/>
      <c r="T1342" s="40"/>
      <c r="U1342" s="41"/>
      <c r="V1342" s="41"/>
      <c r="W1342" s="36"/>
      <c r="X1342" s="36"/>
      <c r="Y1342" s="36"/>
      <c r="Z1342" s="36"/>
      <c r="AA1342" s="36"/>
      <c r="AB1342" s="36"/>
      <c r="AC1342" s="36"/>
    </row>
    <row r="1343" spans="17:29" x14ac:dyDescent="0.2">
      <c r="Q1343" s="36"/>
      <c r="R1343" s="40"/>
      <c r="S1343" s="40"/>
      <c r="T1343" s="40"/>
      <c r="U1343" s="41"/>
      <c r="V1343" s="41"/>
      <c r="W1343" s="36"/>
      <c r="X1343" s="36"/>
      <c r="Y1343" s="36"/>
      <c r="Z1343" s="36"/>
      <c r="AA1343" s="36"/>
      <c r="AB1343" s="36"/>
      <c r="AC1343" s="36"/>
    </row>
    <row r="1344" spans="17:29" x14ac:dyDescent="0.2">
      <c r="Q1344" s="36"/>
      <c r="R1344" s="40"/>
      <c r="S1344" s="40"/>
      <c r="T1344" s="40"/>
      <c r="U1344" s="41"/>
      <c r="V1344" s="41"/>
      <c r="W1344" s="36"/>
      <c r="X1344" s="36"/>
      <c r="Y1344" s="36"/>
      <c r="Z1344" s="36"/>
      <c r="AA1344" s="36"/>
      <c r="AB1344" s="36"/>
      <c r="AC1344" s="36"/>
    </row>
    <row r="1345" spans="17:29" x14ac:dyDescent="0.2">
      <c r="Q1345" s="36"/>
      <c r="R1345" s="40"/>
      <c r="S1345" s="40"/>
      <c r="T1345" s="40"/>
      <c r="U1345" s="41"/>
      <c r="V1345" s="41"/>
      <c r="W1345" s="36"/>
      <c r="X1345" s="36"/>
      <c r="Y1345" s="36"/>
      <c r="Z1345" s="36"/>
      <c r="AA1345" s="36"/>
      <c r="AB1345" s="36"/>
      <c r="AC1345" s="36"/>
    </row>
    <row r="1346" spans="17:29" x14ac:dyDescent="0.2">
      <c r="Q1346" s="36"/>
      <c r="R1346" s="40"/>
      <c r="S1346" s="40"/>
      <c r="T1346" s="40"/>
      <c r="U1346" s="41"/>
      <c r="V1346" s="41"/>
      <c r="W1346" s="36"/>
      <c r="X1346" s="36"/>
      <c r="Y1346" s="36"/>
      <c r="Z1346" s="36"/>
      <c r="AA1346" s="36"/>
      <c r="AB1346" s="36"/>
      <c r="AC1346" s="36"/>
    </row>
    <row r="1347" spans="17:29" x14ac:dyDescent="0.2">
      <c r="Q1347" s="36"/>
      <c r="R1347" s="40"/>
      <c r="S1347" s="40"/>
      <c r="T1347" s="40"/>
      <c r="U1347" s="41"/>
      <c r="V1347" s="41"/>
      <c r="W1347" s="36"/>
      <c r="X1347" s="36"/>
      <c r="Y1347" s="36"/>
      <c r="Z1347" s="36"/>
      <c r="AA1347" s="36"/>
      <c r="AB1347" s="36"/>
      <c r="AC1347" s="36"/>
    </row>
    <row r="1348" spans="17:29" x14ac:dyDescent="0.2">
      <c r="Q1348" s="36"/>
      <c r="R1348" s="40"/>
      <c r="S1348" s="40"/>
      <c r="T1348" s="40"/>
      <c r="U1348" s="41"/>
      <c r="V1348" s="41"/>
      <c r="W1348" s="36"/>
      <c r="X1348" s="36"/>
      <c r="Y1348" s="36"/>
      <c r="Z1348" s="36"/>
      <c r="AA1348" s="36"/>
      <c r="AB1348" s="36"/>
      <c r="AC1348" s="36"/>
    </row>
    <row r="1349" spans="17:29" x14ac:dyDescent="0.2">
      <c r="Q1349" s="36"/>
      <c r="R1349" s="40"/>
      <c r="S1349" s="40"/>
      <c r="T1349" s="40"/>
      <c r="U1349" s="41"/>
      <c r="V1349" s="41"/>
      <c r="W1349" s="36"/>
      <c r="X1349" s="36"/>
      <c r="Y1349" s="36"/>
      <c r="Z1349" s="36"/>
      <c r="AA1349" s="36"/>
      <c r="AB1349" s="36"/>
      <c r="AC1349" s="36"/>
    </row>
    <row r="1350" spans="17:29" x14ac:dyDescent="0.2">
      <c r="Q1350" s="36"/>
      <c r="R1350" s="40"/>
      <c r="S1350" s="40"/>
      <c r="T1350" s="40"/>
      <c r="U1350" s="41"/>
      <c r="V1350" s="41"/>
      <c r="W1350" s="36"/>
      <c r="X1350" s="36"/>
      <c r="Y1350" s="36"/>
      <c r="Z1350" s="36"/>
      <c r="AA1350" s="36"/>
      <c r="AB1350" s="36"/>
      <c r="AC1350" s="36"/>
    </row>
    <row r="1351" spans="17:29" x14ac:dyDescent="0.2">
      <c r="Q1351" s="36"/>
      <c r="R1351" s="40"/>
      <c r="S1351" s="40"/>
      <c r="T1351" s="40"/>
      <c r="U1351" s="41"/>
      <c r="V1351" s="41"/>
      <c r="W1351" s="36"/>
      <c r="X1351" s="36"/>
      <c r="Y1351" s="36"/>
      <c r="Z1351" s="36"/>
      <c r="AA1351" s="36"/>
      <c r="AB1351" s="36"/>
      <c r="AC1351" s="36"/>
    </row>
    <row r="1352" spans="17:29" x14ac:dyDescent="0.2">
      <c r="Q1352" s="36"/>
      <c r="R1352" s="40"/>
      <c r="S1352" s="40"/>
      <c r="T1352" s="40"/>
      <c r="U1352" s="41"/>
      <c r="V1352" s="41"/>
      <c r="W1352" s="36"/>
      <c r="X1352" s="36"/>
      <c r="Y1352" s="36"/>
      <c r="Z1352" s="36"/>
      <c r="AA1352" s="36"/>
      <c r="AB1352" s="36"/>
      <c r="AC1352" s="36"/>
    </row>
    <row r="1353" spans="17:29" x14ac:dyDescent="0.2">
      <c r="Q1353" s="36"/>
      <c r="R1353" s="40"/>
      <c r="S1353" s="40"/>
      <c r="T1353" s="40"/>
      <c r="U1353" s="41"/>
      <c r="V1353" s="41"/>
      <c r="W1353" s="36"/>
      <c r="X1353" s="36"/>
      <c r="Y1353" s="36"/>
      <c r="Z1353" s="36"/>
      <c r="AA1353" s="36"/>
      <c r="AB1353" s="36"/>
      <c r="AC1353" s="36"/>
    </row>
    <row r="1354" spans="17:29" x14ac:dyDescent="0.2">
      <c r="Q1354" s="36"/>
      <c r="R1354" s="40"/>
      <c r="S1354" s="40"/>
      <c r="T1354" s="40"/>
      <c r="U1354" s="41"/>
      <c r="V1354" s="41"/>
      <c r="W1354" s="36"/>
      <c r="X1354" s="36"/>
      <c r="Y1354" s="36"/>
      <c r="Z1354" s="36"/>
      <c r="AA1354" s="36"/>
      <c r="AB1354" s="36"/>
      <c r="AC1354" s="36"/>
    </row>
    <row r="1355" spans="17:29" x14ac:dyDescent="0.2">
      <c r="Q1355" s="36"/>
      <c r="R1355" s="40"/>
      <c r="S1355" s="40"/>
      <c r="T1355" s="40"/>
      <c r="U1355" s="41"/>
      <c r="V1355" s="41"/>
      <c r="W1355" s="36"/>
      <c r="X1355" s="36"/>
      <c r="Y1355" s="36"/>
      <c r="Z1355" s="36"/>
      <c r="AA1355" s="36"/>
      <c r="AB1355" s="36"/>
      <c r="AC1355" s="36"/>
    </row>
    <row r="1356" spans="17:29" x14ac:dyDescent="0.2">
      <c r="Q1356" s="36"/>
      <c r="R1356" s="40"/>
      <c r="S1356" s="40"/>
      <c r="T1356" s="40"/>
      <c r="U1356" s="41"/>
      <c r="V1356" s="41"/>
      <c r="W1356" s="36"/>
      <c r="X1356" s="36"/>
      <c r="Y1356" s="36"/>
      <c r="Z1356" s="36"/>
      <c r="AA1356" s="36"/>
      <c r="AB1356" s="36"/>
      <c r="AC1356" s="36"/>
    </row>
    <row r="1357" spans="17:29" x14ac:dyDescent="0.2">
      <c r="Q1357" s="36"/>
      <c r="R1357" s="40"/>
      <c r="S1357" s="40"/>
      <c r="T1357" s="40"/>
      <c r="U1357" s="41"/>
      <c r="V1357" s="41"/>
      <c r="W1357" s="36"/>
      <c r="X1357" s="36"/>
      <c r="Y1357" s="36"/>
      <c r="Z1357" s="36"/>
      <c r="AA1357" s="36"/>
      <c r="AB1357" s="36"/>
      <c r="AC1357" s="36"/>
    </row>
    <row r="1358" spans="17:29" x14ac:dyDescent="0.2">
      <c r="Q1358" s="36"/>
      <c r="R1358" s="40"/>
      <c r="S1358" s="40"/>
      <c r="T1358" s="40"/>
      <c r="U1358" s="41"/>
      <c r="V1358" s="41"/>
      <c r="W1358" s="36"/>
      <c r="X1358" s="36"/>
      <c r="Y1358" s="36"/>
      <c r="Z1358" s="36"/>
      <c r="AA1358" s="36"/>
      <c r="AB1358" s="36"/>
      <c r="AC1358" s="36"/>
    </row>
    <row r="1359" spans="17:29" x14ac:dyDescent="0.2">
      <c r="Q1359" s="36"/>
      <c r="R1359" s="40"/>
      <c r="S1359" s="40"/>
      <c r="T1359" s="40"/>
      <c r="U1359" s="41"/>
      <c r="V1359" s="41"/>
      <c r="W1359" s="36"/>
      <c r="X1359" s="36"/>
      <c r="Y1359" s="36"/>
      <c r="Z1359" s="36"/>
      <c r="AA1359" s="36"/>
      <c r="AB1359" s="36"/>
      <c r="AC1359" s="36"/>
    </row>
    <row r="1360" spans="17:29" x14ac:dyDescent="0.2">
      <c r="Q1360" s="36"/>
      <c r="R1360" s="40"/>
      <c r="S1360" s="40"/>
      <c r="T1360" s="40"/>
      <c r="U1360" s="41"/>
      <c r="V1360" s="41"/>
      <c r="W1360" s="36"/>
      <c r="X1360" s="36"/>
      <c r="Y1360" s="36"/>
      <c r="Z1360" s="36"/>
      <c r="AA1360" s="36"/>
      <c r="AB1360" s="36"/>
      <c r="AC1360" s="36"/>
    </row>
    <row r="1361" spans="17:29" x14ac:dyDescent="0.2">
      <c r="Q1361" s="36"/>
      <c r="R1361" s="40"/>
      <c r="S1361" s="40"/>
      <c r="T1361" s="40"/>
      <c r="U1361" s="41"/>
      <c r="V1361" s="41"/>
      <c r="W1361" s="36"/>
      <c r="X1361" s="36"/>
      <c r="Y1361" s="36"/>
      <c r="Z1361" s="36"/>
      <c r="AA1361" s="36"/>
      <c r="AB1361" s="36"/>
      <c r="AC1361" s="36"/>
    </row>
    <row r="1362" spans="17:29" x14ac:dyDescent="0.2">
      <c r="Q1362" s="36"/>
      <c r="R1362" s="40"/>
      <c r="S1362" s="40"/>
      <c r="T1362" s="40"/>
      <c r="U1362" s="41"/>
      <c r="V1362" s="41"/>
      <c r="W1362" s="36"/>
      <c r="X1362" s="36"/>
      <c r="Y1362" s="36"/>
      <c r="Z1362" s="36"/>
      <c r="AA1362" s="36"/>
      <c r="AB1362" s="36"/>
      <c r="AC1362" s="36"/>
    </row>
    <row r="1363" spans="17:29" x14ac:dyDescent="0.2">
      <c r="Q1363" s="36"/>
      <c r="R1363" s="40"/>
      <c r="S1363" s="40"/>
      <c r="T1363" s="40"/>
      <c r="U1363" s="41"/>
      <c r="V1363" s="41"/>
      <c r="W1363" s="36"/>
      <c r="X1363" s="36"/>
      <c r="Y1363" s="36"/>
      <c r="Z1363" s="36"/>
      <c r="AA1363" s="36"/>
      <c r="AB1363" s="36"/>
      <c r="AC1363" s="36"/>
    </row>
    <row r="1364" spans="17:29" x14ac:dyDescent="0.2">
      <c r="Q1364" s="36"/>
      <c r="R1364" s="40"/>
      <c r="S1364" s="40"/>
      <c r="T1364" s="40"/>
      <c r="U1364" s="41"/>
      <c r="V1364" s="41"/>
      <c r="W1364" s="36"/>
      <c r="X1364" s="36"/>
      <c r="Y1364" s="36"/>
      <c r="Z1364" s="36"/>
      <c r="AA1364" s="36"/>
      <c r="AB1364" s="36"/>
      <c r="AC1364" s="36"/>
    </row>
    <row r="1365" spans="17:29" x14ac:dyDescent="0.2">
      <c r="Q1365" s="36"/>
      <c r="R1365" s="40"/>
      <c r="S1365" s="40"/>
      <c r="T1365" s="40"/>
      <c r="U1365" s="41"/>
      <c r="V1365" s="41"/>
      <c r="W1365" s="36"/>
      <c r="X1365" s="36"/>
      <c r="Y1365" s="36"/>
      <c r="Z1365" s="36"/>
      <c r="AA1365" s="36"/>
      <c r="AB1365" s="36"/>
      <c r="AC1365" s="36"/>
    </row>
    <row r="1366" spans="17:29" x14ac:dyDescent="0.2">
      <c r="Q1366" s="36"/>
      <c r="R1366" s="40"/>
      <c r="S1366" s="40"/>
      <c r="T1366" s="40"/>
      <c r="U1366" s="41"/>
      <c r="V1366" s="41"/>
      <c r="W1366" s="36"/>
      <c r="X1366" s="36"/>
      <c r="Y1366" s="36"/>
      <c r="Z1366" s="36"/>
      <c r="AA1366" s="36"/>
      <c r="AB1366" s="36"/>
      <c r="AC1366" s="36"/>
    </row>
    <row r="1367" spans="17:29" x14ac:dyDescent="0.2">
      <c r="Q1367" s="36"/>
      <c r="R1367" s="40"/>
      <c r="S1367" s="40"/>
      <c r="T1367" s="40"/>
      <c r="U1367" s="41"/>
      <c r="V1367" s="41"/>
      <c r="W1367" s="36"/>
      <c r="X1367" s="36"/>
      <c r="Y1367" s="36"/>
      <c r="Z1367" s="36"/>
      <c r="AA1367" s="36"/>
      <c r="AB1367" s="36"/>
      <c r="AC1367" s="36"/>
    </row>
    <row r="1368" spans="17:29" x14ac:dyDescent="0.2">
      <c r="Q1368" s="36"/>
      <c r="R1368" s="40"/>
      <c r="S1368" s="40"/>
      <c r="T1368" s="40"/>
      <c r="U1368" s="41"/>
      <c r="V1368" s="41"/>
      <c r="W1368" s="36"/>
      <c r="X1368" s="36"/>
      <c r="Y1368" s="36"/>
      <c r="Z1368" s="36"/>
      <c r="AA1368" s="36"/>
      <c r="AB1368" s="36"/>
      <c r="AC1368" s="36"/>
    </row>
    <row r="1369" spans="17:29" x14ac:dyDescent="0.2">
      <c r="Q1369" s="36"/>
      <c r="R1369" s="40"/>
      <c r="S1369" s="40"/>
      <c r="T1369" s="40"/>
      <c r="U1369" s="41"/>
      <c r="V1369" s="41"/>
      <c r="W1369" s="36"/>
      <c r="X1369" s="36"/>
      <c r="Y1369" s="36"/>
      <c r="Z1369" s="36"/>
      <c r="AA1369" s="36"/>
      <c r="AB1369" s="36"/>
      <c r="AC1369" s="36"/>
    </row>
    <row r="1370" spans="17:29" x14ac:dyDescent="0.2">
      <c r="Q1370" s="36"/>
      <c r="R1370" s="40"/>
      <c r="S1370" s="40"/>
      <c r="T1370" s="40"/>
      <c r="U1370" s="41"/>
      <c r="V1370" s="41"/>
      <c r="W1370" s="36"/>
      <c r="X1370" s="36"/>
      <c r="Y1370" s="36"/>
      <c r="Z1370" s="36"/>
      <c r="AA1370" s="36"/>
      <c r="AB1370" s="36"/>
      <c r="AC1370" s="36"/>
    </row>
    <row r="1371" spans="17:29" x14ac:dyDescent="0.2">
      <c r="Q1371" s="36"/>
      <c r="R1371" s="40"/>
      <c r="S1371" s="40"/>
      <c r="T1371" s="40"/>
      <c r="U1371" s="41"/>
      <c r="V1371" s="41"/>
      <c r="W1371" s="36"/>
      <c r="X1371" s="36"/>
      <c r="Y1371" s="36"/>
      <c r="Z1371" s="36"/>
      <c r="AA1371" s="36"/>
      <c r="AB1371" s="36"/>
      <c r="AC1371" s="36"/>
    </row>
    <row r="1372" spans="17:29" x14ac:dyDescent="0.2">
      <c r="Q1372" s="36"/>
      <c r="R1372" s="40"/>
      <c r="S1372" s="40"/>
      <c r="T1372" s="40"/>
      <c r="U1372" s="41"/>
      <c r="V1372" s="41"/>
      <c r="W1372" s="36"/>
      <c r="X1372" s="36"/>
      <c r="Y1372" s="36"/>
      <c r="Z1372" s="36"/>
      <c r="AA1372" s="36"/>
      <c r="AB1372" s="36"/>
      <c r="AC1372" s="36"/>
    </row>
    <row r="1373" spans="17:29" x14ac:dyDescent="0.2">
      <c r="Q1373" s="36"/>
      <c r="R1373" s="40"/>
      <c r="S1373" s="40"/>
      <c r="T1373" s="40"/>
      <c r="U1373" s="41"/>
      <c r="V1373" s="41"/>
      <c r="W1373" s="36"/>
      <c r="X1373" s="36"/>
      <c r="Y1373" s="36"/>
      <c r="Z1373" s="36"/>
      <c r="AA1373" s="36"/>
      <c r="AB1373" s="36"/>
      <c r="AC1373" s="36"/>
    </row>
    <row r="1374" spans="17:29" x14ac:dyDescent="0.2">
      <c r="Q1374" s="36"/>
      <c r="R1374" s="40"/>
      <c r="S1374" s="40"/>
      <c r="T1374" s="40"/>
      <c r="U1374" s="41"/>
      <c r="V1374" s="41"/>
      <c r="W1374" s="36"/>
      <c r="X1374" s="36"/>
      <c r="Y1374" s="36"/>
      <c r="Z1374" s="36"/>
      <c r="AA1374" s="36"/>
      <c r="AB1374" s="36"/>
      <c r="AC1374" s="36"/>
    </row>
    <row r="1375" spans="17:29" x14ac:dyDescent="0.2"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  <c r="AB1375" s="36"/>
      <c r="AC1375" s="36"/>
    </row>
    <row r="1376" spans="17:29" x14ac:dyDescent="0.2"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  <c r="AB1376" s="36"/>
      <c r="AC1376" s="36"/>
    </row>
    <row r="1377" spans="17:29" x14ac:dyDescent="0.2"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  <c r="AB1377" s="36"/>
      <c r="AC1377" s="36"/>
    </row>
    <row r="1378" spans="17:29" x14ac:dyDescent="0.2"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  <c r="AB1378" s="36"/>
      <c r="AC1378" s="36"/>
    </row>
    <row r="1379" spans="17:29" x14ac:dyDescent="0.2"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  <c r="AB1379" s="36"/>
      <c r="AC1379" s="36"/>
    </row>
    <row r="1380" spans="17:29" x14ac:dyDescent="0.2"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  <c r="AB1380" s="36"/>
      <c r="AC1380" s="36"/>
    </row>
    <row r="1381" spans="17:29" x14ac:dyDescent="0.2"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  <c r="AB1381" s="36"/>
      <c r="AC1381" s="36"/>
    </row>
    <row r="1382" spans="17:29" x14ac:dyDescent="0.2"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  <c r="AB1382" s="36"/>
      <c r="AC1382" s="36"/>
    </row>
    <row r="1383" spans="17:29" x14ac:dyDescent="0.2"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  <c r="AB1383" s="36"/>
      <c r="AC1383" s="36"/>
    </row>
    <row r="1384" spans="17:29" x14ac:dyDescent="0.2"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  <c r="AB1384" s="36"/>
      <c r="AC1384" s="36"/>
    </row>
    <row r="1385" spans="17:29" x14ac:dyDescent="0.2"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  <c r="AB1385" s="36"/>
      <c r="AC1385" s="36"/>
    </row>
    <row r="1386" spans="17:29" x14ac:dyDescent="0.2"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  <c r="AB1386" s="36"/>
      <c r="AC1386" s="36"/>
    </row>
    <row r="1387" spans="17:29" x14ac:dyDescent="0.2"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  <c r="AB1387" s="36"/>
      <c r="AC1387" s="36"/>
    </row>
    <row r="1388" spans="17:29" x14ac:dyDescent="0.2"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  <c r="AB1388" s="36"/>
      <c r="AC1388" s="36"/>
    </row>
    <row r="1389" spans="17:29" x14ac:dyDescent="0.2"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  <c r="AB1389" s="36"/>
      <c r="AC1389" s="36"/>
    </row>
    <row r="1390" spans="17:29" x14ac:dyDescent="0.2"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  <c r="AB1390" s="36"/>
      <c r="AC1390" s="36"/>
    </row>
    <row r="1391" spans="17:29" x14ac:dyDescent="0.2"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  <c r="AB1391" s="36"/>
      <c r="AC1391" s="36"/>
    </row>
    <row r="1392" spans="17:29" x14ac:dyDescent="0.2"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  <c r="AB1392" s="36"/>
      <c r="AC1392" s="36"/>
    </row>
    <row r="1393" spans="17:29" x14ac:dyDescent="0.2"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  <c r="AB1393" s="36"/>
      <c r="AC1393" s="36"/>
    </row>
    <row r="1394" spans="17:29" x14ac:dyDescent="0.2"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  <c r="AB1394" s="36"/>
      <c r="AC1394" s="36"/>
    </row>
    <row r="1395" spans="17:29" x14ac:dyDescent="0.2"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  <c r="AB1395" s="36"/>
      <c r="AC1395" s="36"/>
    </row>
    <row r="1396" spans="17:29" x14ac:dyDescent="0.2"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  <c r="AB1396" s="36"/>
      <c r="AC1396" s="36"/>
    </row>
    <row r="1397" spans="17:29" x14ac:dyDescent="0.2"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  <c r="AB1397" s="36"/>
      <c r="AC1397" s="36"/>
    </row>
    <row r="1398" spans="17:29" x14ac:dyDescent="0.2"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  <c r="AB1398" s="36"/>
      <c r="AC1398" s="36"/>
    </row>
    <row r="1399" spans="17:29" x14ac:dyDescent="0.2"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  <c r="AB1399" s="36"/>
      <c r="AC1399" s="36"/>
    </row>
    <row r="1400" spans="17:29" x14ac:dyDescent="0.2"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  <c r="AB1400" s="36"/>
      <c r="AC1400" s="36"/>
    </row>
    <row r="1401" spans="17:29" x14ac:dyDescent="0.2"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  <c r="AB1401" s="36"/>
      <c r="AC1401" s="36"/>
    </row>
    <row r="1402" spans="17:29" x14ac:dyDescent="0.2"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  <c r="AB1402" s="36"/>
      <c r="AC1402" s="36"/>
    </row>
    <row r="1403" spans="17:29" x14ac:dyDescent="0.2"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  <c r="AB1403" s="36"/>
      <c r="AC1403" s="36"/>
    </row>
    <row r="1404" spans="17:29" x14ac:dyDescent="0.2"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  <c r="AB1404" s="36"/>
      <c r="AC1404" s="36"/>
    </row>
    <row r="1405" spans="17:29" x14ac:dyDescent="0.2"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  <c r="AB1405" s="36"/>
      <c r="AC1405" s="36"/>
    </row>
    <row r="1406" spans="17:29" x14ac:dyDescent="0.2"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  <c r="AB1406" s="36"/>
      <c r="AC1406" s="36"/>
    </row>
    <row r="1407" spans="17:29" x14ac:dyDescent="0.2"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  <c r="AB1407" s="36"/>
      <c r="AC1407" s="36"/>
    </row>
    <row r="1408" spans="17:29" x14ac:dyDescent="0.2"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  <c r="AB1408" s="36"/>
      <c r="AC1408" s="36"/>
    </row>
    <row r="1409" spans="17:29" x14ac:dyDescent="0.2"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  <c r="AB1409" s="36"/>
      <c r="AC1409" s="36"/>
    </row>
    <row r="1410" spans="17:29" x14ac:dyDescent="0.2"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  <c r="AB1410" s="36"/>
      <c r="AC1410" s="36"/>
    </row>
    <row r="1411" spans="17:29" x14ac:dyDescent="0.2"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  <c r="AB1411" s="36"/>
      <c r="AC1411" s="36"/>
    </row>
    <row r="1412" spans="17:29" x14ac:dyDescent="0.2"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  <c r="AB1412" s="36"/>
      <c r="AC1412" s="36"/>
    </row>
    <row r="1413" spans="17:29" x14ac:dyDescent="0.2"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  <c r="AB1413" s="36"/>
      <c r="AC1413" s="36"/>
    </row>
    <row r="1414" spans="17:29" x14ac:dyDescent="0.2"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  <c r="AB1414" s="36"/>
      <c r="AC1414" s="36"/>
    </row>
    <row r="1415" spans="17:29" x14ac:dyDescent="0.2"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  <c r="AB1415" s="36"/>
      <c r="AC1415" s="36"/>
    </row>
    <row r="1416" spans="17:29" x14ac:dyDescent="0.2"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  <c r="AB1416" s="36"/>
      <c r="AC1416" s="36"/>
    </row>
    <row r="1417" spans="17:29" x14ac:dyDescent="0.2"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  <c r="AB1417" s="36"/>
      <c r="AC1417" s="36"/>
    </row>
    <row r="1418" spans="17:29" x14ac:dyDescent="0.2"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  <c r="AB1418" s="36"/>
      <c r="AC1418" s="36"/>
    </row>
    <row r="1419" spans="17:29" x14ac:dyDescent="0.2"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  <c r="AB1419" s="36"/>
      <c r="AC1419" s="36"/>
    </row>
    <row r="1420" spans="17:29" x14ac:dyDescent="0.2"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  <c r="AB1420" s="36"/>
      <c r="AC1420" s="36"/>
    </row>
    <row r="1421" spans="17:29" x14ac:dyDescent="0.2"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  <c r="AB1421" s="36"/>
      <c r="AC1421" s="36"/>
    </row>
    <row r="1422" spans="17:29" x14ac:dyDescent="0.2"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  <c r="AB1422" s="36"/>
      <c r="AC1422" s="36"/>
    </row>
    <row r="1423" spans="17:29" x14ac:dyDescent="0.2"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  <c r="AB1423" s="36"/>
      <c r="AC1423" s="36"/>
    </row>
    <row r="1424" spans="17:29" x14ac:dyDescent="0.2"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  <c r="AB1424" s="36"/>
      <c r="AC1424" s="36"/>
    </row>
    <row r="1425" spans="17:29" x14ac:dyDescent="0.2"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  <c r="AB1425" s="36"/>
      <c r="AC1425" s="36"/>
    </row>
    <row r="1426" spans="17:29" x14ac:dyDescent="0.2"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  <c r="AB1426" s="36"/>
      <c r="AC1426" s="36"/>
    </row>
    <row r="1427" spans="17:29" x14ac:dyDescent="0.2"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  <c r="AB1427" s="36"/>
      <c r="AC1427" s="36"/>
    </row>
    <row r="1428" spans="17:29" x14ac:dyDescent="0.2"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  <c r="AB1428" s="36"/>
      <c r="AC1428" s="36"/>
    </row>
    <row r="1429" spans="17:29" x14ac:dyDescent="0.2"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  <c r="AB1429" s="36"/>
      <c r="AC1429" s="36"/>
    </row>
    <row r="1430" spans="17:29" x14ac:dyDescent="0.2"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  <c r="AB1430" s="36"/>
      <c r="AC1430" s="36"/>
    </row>
    <row r="1431" spans="17:29" x14ac:dyDescent="0.2"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  <c r="AB1431" s="36"/>
      <c r="AC1431" s="36"/>
    </row>
    <row r="1432" spans="17:29" x14ac:dyDescent="0.2"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  <c r="AB1432" s="36"/>
      <c r="AC1432" s="36"/>
    </row>
    <row r="1433" spans="17:29" x14ac:dyDescent="0.2"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  <c r="AB1433" s="36"/>
      <c r="AC1433" s="36"/>
    </row>
    <row r="1434" spans="17:29" x14ac:dyDescent="0.2"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  <c r="AB1434" s="36"/>
      <c r="AC1434" s="36"/>
    </row>
    <row r="1435" spans="17:29" x14ac:dyDescent="0.2"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  <c r="AB1435" s="36"/>
      <c r="AC1435" s="36"/>
    </row>
    <row r="1436" spans="17:29" x14ac:dyDescent="0.2"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  <c r="AB1436" s="36"/>
      <c r="AC1436" s="36"/>
    </row>
    <row r="1437" spans="17:29" x14ac:dyDescent="0.2"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  <c r="AB1437" s="36"/>
      <c r="AC1437" s="36"/>
    </row>
    <row r="1438" spans="17:29" x14ac:dyDescent="0.2"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  <c r="AB1438" s="36"/>
      <c r="AC1438" s="36"/>
    </row>
    <row r="1439" spans="17:29" x14ac:dyDescent="0.2"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  <c r="AB1439" s="36"/>
      <c r="AC1439" s="36"/>
    </row>
    <row r="1440" spans="17:29" x14ac:dyDescent="0.2"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  <c r="AB1440" s="36"/>
      <c r="AC1440" s="36"/>
    </row>
    <row r="1441" spans="17:29" x14ac:dyDescent="0.2"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  <c r="AB1441" s="36"/>
      <c r="AC1441" s="36"/>
    </row>
    <row r="1442" spans="17:29" x14ac:dyDescent="0.2"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  <c r="AB1442" s="36"/>
      <c r="AC1442" s="36"/>
    </row>
    <row r="1443" spans="17:29" x14ac:dyDescent="0.2"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  <c r="AB1443" s="36"/>
      <c r="AC1443" s="36"/>
    </row>
    <row r="1444" spans="17:29" x14ac:dyDescent="0.2"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  <c r="AB1444" s="36"/>
      <c r="AC1444" s="36"/>
    </row>
    <row r="1445" spans="17:29" x14ac:dyDescent="0.2"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  <c r="AB1445" s="36"/>
      <c r="AC1445" s="36"/>
    </row>
    <row r="1446" spans="17:29" x14ac:dyDescent="0.2"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  <c r="AB1446" s="36"/>
      <c r="AC1446" s="36"/>
    </row>
    <row r="1447" spans="17:29" x14ac:dyDescent="0.2"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  <c r="AB1447" s="36"/>
      <c r="AC1447" s="36"/>
    </row>
    <row r="1448" spans="17:29" x14ac:dyDescent="0.2"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  <c r="AB1448" s="36"/>
      <c r="AC1448" s="36"/>
    </row>
    <row r="1449" spans="17:29" x14ac:dyDescent="0.2"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  <c r="AB1449" s="36"/>
      <c r="AC1449" s="36"/>
    </row>
    <row r="1450" spans="17:29" x14ac:dyDescent="0.2"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  <c r="AB1450" s="36"/>
      <c r="AC1450" s="36"/>
    </row>
    <row r="1451" spans="17:29" x14ac:dyDescent="0.2"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  <c r="AB1451" s="36"/>
      <c r="AC1451" s="36"/>
    </row>
    <row r="1452" spans="17:29" x14ac:dyDescent="0.2"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  <c r="AB1452" s="36"/>
      <c r="AC1452" s="36"/>
    </row>
    <row r="1453" spans="17:29" x14ac:dyDescent="0.2"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  <c r="AB1453" s="36"/>
      <c r="AC1453" s="36"/>
    </row>
    <row r="1454" spans="17:29" x14ac:dyDescent="0.2"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  <c r="AB1454" s="36"/>
      <c r="AC1454" s="36"/>
    </row>
    <row r="1455" spans="17:29" x14ac:dyDescent="0.2"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  <c r="AB1455" s="36"/>
      <c r="AC1455" s="36"/>
    </row>
    <row r="1456" spans="17:29" x14ac:dyDescent="0.2"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  <c r="AB1456" s="36"/>
      <c r="AC1456" s="36"/>
    </row>
    <row r="1457" spans="17:29" x14ac:dyDescent="0.2"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  <c r="AB1457" s="36"/>
      <c r="AC1457" s="36"/>
    </row>
    <row r="1458" spans="17:29" x14ac:dyDescent="0.2"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  <c r="AB1458" s="36"/>
      <c r="AC1458" s="36"/>
    </row>
    <row r="1459" spans="17:29" x14ac:dyDescent="0.2"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  <c r="AB1459" s="36"/>
      <c r="AC1459" s="36"/>
    </row>
    <row r="1460" spans="17:29" x14ac:dyDescent="0.2"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  <c r="AB1460" s="36"/>
      <c r="AC1460" s="36"/>
    </row>
    <row r="1461" spans="17:29" x14ac:dyDescent="0.2"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  <c r="AB1461" s="36"/>
      <c r="AC1461" s="36"/>
    </row>
    <row r="1462" spans="17:29" x14ac:dyDescent="0.2"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  <c r="AB1462" s="36"/>
      <c r="AC1462" s="36"/>
    </row>
    <row r="1463" spans="17:29" x14ac:dyDescent="0.2"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  <c r="AB1463" s="36"/>
      <c r="AC1463" s="36"/>
    </row>
    <row r="1464" spans="17:29" x14ac:dyDescent="0.2"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  <c r="AB1464" s="36"/>
      <c r="AC1464" s="36"/>
    </row>
    <row r="1465" spans="17:29" x14ac:dyDescent="0.2"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  <c r="AB1465" s="36"/>
      <c r="AC1465" s="36"/>
    </row>
    <row r="1466" spans="17:29" x14ac:dyDescent="0.2"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  <c r="AB1466" s="36"/>
      <c r="AC1466" s="36"/>
    </row>
    <row r="1467" spans="17:29" x14ac:dyDescent="0.2"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  <c r="AB1467" s="36"/>
      <c r="AC1467" s="36"/>
    </row>
    <row r="1468" spans="17:29" x14ac:dyDescent="0.2"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  <c r="AB1468" s="36"/>
      <c r="AC1468" s="36"/>
    </row>
    <row r="1469" spans="17:29" x14ac:dyDescent="0.2"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  <c r="AB1469" s="36"/>
      <c r="AC1469" s="36"/>
    </row>
    <row r="1470" spans="17:29" x14ac:dyDescent="0.2"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  <c r="AB1470" s="36"/>
      <c r="AC1470" s="36"/>
    </row>
    <row r="1471" spans="17:29" x14ac:dyDescent="0.2"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  <c r="AB1471" s="36"/>
      <c r="AC1471" s="36"/>
    </row>
    <row r="1472" spans="17:29" x14ac:dyDescent="0.2"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  <c r="AB1472" s="36"/>
      <c r="AC1472" s="36"/>
    </row>
    <row r="1473" spans="17:29" x14ac:dyDescent="0.2"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  <c r="AB1473" s="36"/>
      <c r="AC1473" s="36"/>
    </row>
    <row r="1474" spans="17:29" x14ac:dyDescent="0.2"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  <c r="AB1474" s="36"/>
      <c r="AC1474" s="36"/>
    </row>
    <row r="1475" spans="17:29" x14ac:dyDescent="0.2"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  <c r="AB1475" s="36"/>
      <c r="AC1475" s="36"/>
    </row>
    <row r="1476" spans="17:29" x14ac:dyDescent="0.2"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  <c r="AB1476" s="36"/>
      <c r="AC1476" s="36"/>
    </row>
    <row r="1477" spans="17:29" x14ac:dyDescent="0.2"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  <c r="AB1477" s="36"/>
      <c r="AC1477" s="36"/>
    </row>
    <row r="1478" spans="17:29" x14ac:dyDescent="0.2"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  <c r="AB1478" s="36"/>
      <c r="AC1478" s="36"/>
    </row>
    <row r="1479" spans="17:29" x14ac:dyDescent="0.2"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  <c r="AB1479" s="36"/>
      <c r="AC1479" s="36"/>
    </row>
    <row r="1480" spans="17:29" x14ac:dyDescent="0.2"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  <c r="AB1480" s="36"/>
      <c r="AC1480" s="36"/>
    </row>
    <row r="1481" spans="17:29" x14ac:dyDescent="0.2"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  <c r="AB1481" s="36"/>
      <c r="AC1481" s="36"/>
    </row>
    <row r="1482" spans="17:29" x14ac:dyDescent="0.2"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  <c r="AB1482" s="36"/>
      <c r="AC1482" s="36"/>
    </row>
    <row r="1483" spans="17:29" x14ac:dyDescent="0.2"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  <c r="AB1483" s="36"/>
      <c r="AC1483" s="36"/>
    </row>
    <row r="1484" spans="17:29" x14ac:dyDescent="0.2"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  <c r="AB1484" s="36"/>
      <c r="AC1484" s="36"/>
    </row>
    <row r="1485" spans="17:29" x14ac:dyDescent="0.2"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  <c r="AB1485" s="36"/>
      <c r="AC1485" s="36"/>
    </row>
    <row r="1486" spans="17:29" x14ac:dyDescent="0.2"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  <c r="AB1486" s="36"/>
      <c r="AC1486" s="36"/>
    </row>
    <row r="1487" spans="17:29" x14ac:dyDescent="0.2"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  <c r="AB1487" s="36"/>
      <c r="AC1487" s="36"/>
    </row>
    <row r="1488" spans="17:29" x14ac:dyDescent="0.2"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  <c r="AB1488" s="36"/>
      <c r="AC1488" s="36"/>
    </row>
    <row r="1489" spans="17:29" x14ac:dyDescent="0.2"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  <c r="AB1489" s="36"/>
      <c r="AC1489" s="36"/>
    </row>
    <row r="1490" spans="17:29" x14ac:dyDescent="0.2"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  <c r="AB1490" s="36"/>
      <c r="AC1490" s="36"/>
    </row>
    <row r="1491" spans="17:29" x14ac:dyDescent="0.2"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  <c r="AB1491" s="36"/>
      <c r="AC1491" s="36"/>
    </row>
    <row r="1492" spans="17:29" x14ac:dyDescent="0.2"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  <c r="AB1492" s="36"/>
      <c r="AC1492" s="36"/>
    </row>
    <row r="1493" spans="17:29" x14ac:dyDescent="0.2"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  <c r="AB1493" s="36"/>
      <c r="AC1493" s="36"/>
    </row>
    <row r="1494" spans="17:29" x14ac:dyDescent="0.2"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  <c r="AB1494" s="36"/>
      <c r="AC1494" s="36"/>
    </row>
    <row r="1495" spans="17:29" x14ac:dyDescent="0.2"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  <c r="AB1495" s="36"/>
      <c r="AC1495" s="36"/>
    </row>
    <row r="1496" spans="17:29" x14ac:dyDescent="0.2"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  <c r="AB1496" s="36"/>
      <c r="AC1496" s="36"/>
    </row>
    <row r="1497" spans="17:29" x14ac:dyDescent="0.2"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  <c r="AB1497" s="36"/>
      <c r="AC1497" s="36"/>
    </row>
    <row r="1498" spans="17:29" x14ac:dyDescent="0.2"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  <c r="AB1498" s="36"/>
      <c r="AC1498" s="36"/>
    </row>
    <row r="1499" spans="17:29" x14ac:dyDescent="0.2"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  <c r="AB1499" s="36"/>
      <c r="AC1499" s="36"/>
    </row>
    <row r="1500" spans="17:29" x14ac:dyDescent="0.2"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  <c r="AB1500" s="36"/>
      <c r="AC1500" s="36"/>
    </row>
    <row r="1501" spans="17:29" x14ac:dyDescent="0.2"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  <c r="AB1501" s="36"/>
      <c r="AC1501" s="36"/>
    </row>
    <row r="1502" spans="17:29" x14ac:dyDescent="0.2"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  <c r="AB1502" s="36"/>
      <c r="AC1502" s="36"/>
    </row>
    <row r="1503" spans="17:29" x14ac:dyDescent="0.2"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  <c r="AB1503" s="36"/>
      <c r="AC1503" s="36"/>
    </row>
    <row r="1504" spans="17:29" x14ac:dyDescent="0.2"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  <c r="AB1504" s="36"/>
      <c r="AC1504" s="36"/>
    </row>
    <row r="1505" spans="17:29" x14ac:dyDescent="0.2"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  <c r="AB1505" s="36"/>
      <c r="AC1505" s="36"/>
    </row>
    <row r="1506" spans="17:29" x14ac:dyDescent="0.2"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  <c r="AB1506" s="36"/>
      <c r="AC1506" s="36"/>
    </row>
    <row r="1507" spans="17:29" x14ac:dyDescent="0.2"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  <c r="AB1507" s="36"/>
      <c r="AC1507" s="36"/>
    </row>
    <row r="1508" spans="17:29" x14ac:dyDescent="0.2"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  <c r="AB1508" s="36"/>
      <c r="AC1508" s="36"/>
    </row>
    <row r="1509" spans="17:29" x14ac:dyDescent="0.2"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  <c r="AB1509" s="36"/>
      <c r="AC1509" s="36"/>
    </row>
    <row r="1510" spans="17:29" x14ac:dyDescent="0.2"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  <c r="AB1510" s="36"/>
      <c r="AC1510" s="36"/>
    </row>
    <row r="1511" spans="17:29" x14ac:dyDescent="0.2"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  <c r="AB1511" s="36"/>
      <c r="AC1511" s="36"/>
    </row>
    <row r="1512" spans="17:29" x14ac:dyDescent="0.2"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  <c r="AB1512" s="36"/>
      <c r="AC1512" s="36"/>
    </row>
    <row r="1513" spans="17:29" x14ac:dyDescent="0.2"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  <c r="AB1513" s="36"/>
      <c r="AC1513" s="36"/>
    </row>
    <row r="1514" spans="17:29" x14ac:dyDescent="0.2"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  <c r="AB1514" s="36"/>
      <c r="AC1514" s="36"/>
    </row>
    <row r="1515" spans="17:29" x14ac:dyDescent="0.2"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  <c r="AB1515" s="36"/>
      <c r="AC1515" s="36"/>
    </row>
    <row r="1516" spans="17:29" x14ac:dyDescent="0.2"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  <c r="AB1516" s="36"/>
      <c r="AC1516" s="36"/>
    </row>
    <row r="1517" spans="17:29" x14ac:dyDescent="0.2"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  <c r="AB1517" s="36"/>
      <c r="AC1517" s="36"/>
    </row>
    <row r="1518" spans="17:29" x14ac:dyDescent="0.2"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  <c r="AB1518" s="36"/>
      <c r="AC1518" s="36"/>
    </row>
    <row r="1519" spans="17:29" x14ac:dyDescent="0.2"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  <c r="AB1519" s="36"/>
      <c r="AC1519" s="36"/>
    </row>
    <row r="1520" spans="17:29" x14ac:dyDescent="0.2"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  <c r="AB1520" s="36"/>
      <c r="AC1520" s="36"/>
    </row>
    <row r="1521" spans="17:29" x14ac:dyDescent="0.2"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  <c r="AB1521" s="36"/>
      <c r="AC1521" s="36"/>
    </row>
    <row r="1522" spans="17:29" x14ac:dyDescent="0.2"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  <c r="AB1522" s="36"/>
      <c r="AC1522" s="36"/>
    </row>
    <row r="1523" spans="17:29" x14ac:dyDescent="0.2"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  <c r="AB1523" s="36"/>
      <c r="AC1523" s="36"/>
    </row>
    <row r="1524" spans="17:29" x14ac:dyDescent="0.2"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  <c r="AB1524" s="36"/>
      <c r="AC1524" s="36"/>
    </row>
    <row r="1525" spans="17:29" x14ac:dyDescent="0.2"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  <c r="AB1525" s="36"/>
      <c r="AC1525" s="36"/>
    </row>
    <row r="1526" spans="17:29" x14ac:dyDescent="0.2"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  <c r="AB1526" s="36"/>
      <c r="AC1526" s="36"/>
    </row>
    <row r="1527" spans="17:29" x14ac:dyDescent="0.2"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  <c r="AB1527" s="36"/>
      <c r="AC1527" s="36"/>
    </row>
    <row r="1528" spans="17:29" x14ac:dyDescent="0.2"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  <c r="AB1528" s="36"/>
      <c r="AC1528" s="36"/>
    </row>
    <row r="1529" spans="17:29" x14ac:dyDescent="0.2"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  <c r="AB1529" s="36"/>
      <c r="AC1529" s="36"/>
    </row>
    <row r="1530" spans="17:29" x14ac:dyDescent="0.2"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  <c r="AB1530" s="36"/>
      <c r="AC1530" s="36"/>
    </row>
    <row r="1531" spans="17:29" x14ac:dyDescent="0.2"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  <c r="AB1531" s="36"/>
      <c r="AC1531" s="36"/>
    </row>
    <row r="1532" spans="17:29" x14ac:dyDescent="0.2"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  <c r="AB1532" s="36"/>
      <c r="AC1532" s="36"/>
    </row>
    <row r="1533" spans="17:29" x14ac:dyDescent="0.2"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  <c r="AB1533" s="36"/>
      <c r="AC1533" s="36"/>
    </row>
    <row r="1534" spans="17:29" x14ac:dyDescent="0.2"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  <c r="AB1534" s="36"/>
      <c r="AC1534" s="36"/>
    </row>
    <row r="1535" spans="17:29" x14ac:dyDescent="0.2"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  <c r="AB1535" s="36"/>
      <c r="AC1535" s="36"/>
    </row>
    <row r="1536" spans="17:29" x14ac:dyDescent="0.2"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  <c r="AB1536" s="36"/>
      <c r="AC1536" s="36"/>
    </row>
    <row r="1537" spans="17:29" x14ac:dyDescent="0.2"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  <c r="AB1537" s="36"/>
      <c r="AC1537" s="36"/>
    </row>
    <row r="1538" spans="17:29" x14ac:dyDescent="0.2"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  <c r="AB1538" s="36"/>
      <c r="AC1538" s="36"/>
    </row>
    <row r="1539" spans="17:29" x14ac:dyDescent="0.2"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  <c r="AB1539" s="36"/>
      <c r="AC1539" s="36"/>
    </row>
    <row r="1540" spans="17:29" x14ac:dyDescent="0.2"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  <c r="AB1540" s="36"/>
      <c r="AC1540" s="36"/>
    </row>
    <row r="1541" spans="17:29" x14ac:dyDescent="0.2"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  <c r="AB1541" s="36"/>
      <c r="AC1541" s="36"/>
    </row>
    <row r="1542" spans="17:29" x14ac:dyDescent="0.2"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  <c r="AB1542" s="36"/>
      <c r="AC1542" s="36"/>
    </row>
    <row r="1543" spans="17:29" x14ac:dyDescent="0.2"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  <c r="AB1543" s="36"/>
      <c r="AC1543" s="36"/>
    </row>
    <row r="1544" spans="17:29" x14ac:dyDescent="0.2"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  <c r="AB1544" s="36"/>
      <c r="AC1544" s="36"/>
    </row>
    <row r="1545" spans="17:29" x14ac:dyDescent="0.2"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  <c r="AB1545" s="36"/>
      <c r="AC1545" s="36"/>
    </row>
    <row r="1546" spans="17:29" x14ac:dyDescent="0.2"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  <c r="AB1546" s="36"/>
      <c r="AC1546" s="36"/>
    </row>
    <row r="1547" spans="17:29" x14ac:dyDescent="0.2"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  <c r="AB1547" s="36"/>
      <c r="AC1547" s="36"/>
    </row>
    <row r="1548" spans="17:29" x14ac:dyDescent="0.2"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  <c r="AB1548" s="36"/>
      <c r="AC1548" s="36"/>
    </row>
    <row r="1549" spans="17:29" x14ac:dyDescent="0.2"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  <c r="AB1549" s="36"/>
      <c r="AC1549" s="36"/>
    </row>
    <row r="1550" spans="17:29" x14ac:dyDescent="0.2"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  <c r="AB1550" s="36"/>
      <c r="AC1550" s="36"/>
    </row>
    <row r="1551" spans="17:29" x14ac:dyDescent="0.2"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  <c r="AB1551" s="36"/>
      <c r="AC1551" s="36"/>
    </row>
    <row r="1552" spans="17:29" x14ac:dyDescent="0.2"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  <c r="AB1552" s="36"/>
      <c r="AC1552" s="36"/>
    </row>
    <row r="1553" spans="17:29" x14ac:dyDescent="0.2"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  <c r="AB1553" s="36"/>
      <c r="AC1553" s="36"/>
    </row>
    <row r="1554" spans="17:29" x14ac:dyDescent="0.2"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  <c r="AB1554" s="36"/>
      <c r="AC1554" s="36"/>
    </row>
    <row r="1555" spans="17:29" x14ac:dyDescent="0.2"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  <c r="AB1555" s="36"/>
      <c r="AC1555" s="36"/>
    </row>
    <row r="1556" spans="17:29" x14ac:dyDescent="0.2"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  <c r="AB1556" s="36"/>
      <c r="AC1556" s="36"/>
    </row>
    <row r="1557" spans="17:29" x14ac:dyDescent="0.2"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  <c r="AB1557" s="36"/>
      <c r="AC1557" s="36"/>
    </row>
    <row r="1558" spans="17:29" x14ac:dyDescent="0.2"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  <c r="AB1558" s="36"/>
      <c r="AC1558" s="36"/>
    </row>
    <row r="1559" spans="17:29" x14ac:dyDescent="0.2"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  <c r="AB1559" s="36"/>
      <c r="AC1559" s="36"/>
    </row>
    <row r="1560" spans="17:29" x14ac:dyDescent="0.2"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  <c r="AB1560" s="36"/>
      <c r="AC1560" s="36"/>
    </row>
    <row r="1561" spans="17:29" x14ac:dyDescent="0.2"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  <c r="AB1561" s="36"/>
      <c r="AC1561" s="36"/>
    </row>
    <row r="1562" spans="17:29" x14ac:dyDescent="0.2"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  <c r="AB1562" s="36"/>
      <c r="AC1562" s="36"/>
    </row>
    <row r="1563" spans="17:29" x14ac:dyDescent="0.2"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  <c r="AB1563" s="36"/>
      <c r="AC1563" s="36"/>
    </row>
    <row r="1564" spans="17:29" x14ac:dyDescent="0.2"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  <c r="AB1564" s="36"/>
      <c r="AC1564" s="36"/>
    </row>
    <row r="1565" spans="17:29" x14ac:dyDescent="0.2"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  <c r="AB1565" s="36"/>
      <c r="AC1565" s="36"/>
    </row>
    <row r="1566" spans="17:29" x14ac:dyDescent="0.2"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  <c r="AB1566" s="36"/>
      <c r="AC1566" s="36"/>
    </row>
    <row r="1567" spans="17:29" x14ac:dyDescent="0.2"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  <c r="AB1567" s="36"/>
      <c r="AC1567" s="36"/>
    </row>
    <row r="1568" spans="17:29" x14ac:dyDescent="0.2"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  <c r="AB1568" s="36"/>
      <c r="AC1568" s="36"/>
    </row>
    <row r="1569" spans="17:29" x14ac:dyDescent="0.2"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  <c r="AB1569" s="36"/>
      <c r="AC1569" s="36"/>
    </row>
    <row r="1570" spans="17:29" x14ac:dyDescent="0.2"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  <c r="AB1570" s="36"/>
      <c r="AC1570" s="36"/>
    </row>
    <row r="1571" spans="17:29" x14ac:dyDescent="0.2"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  <c r="AB1571" s="36"/>
      <c r="AC1571" s="36"/>
    </row>
    <row r="1572" spans="17:29" x14ac:dyDescent="0.2"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  <c r="AB1572" s="36"/>
      <c r="AC1572" s="36"/>
    </row>
    <row r="1573" spans="17:29" x14ac:dyDescent="0.2"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  <c r="AB1573" s="36"/>
      <c r="AC1573" s="36"/>
    </row>
    <row r="1574" spans="17:29" x14ac:dyDescent="0.2"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  <c r="AB1574" s="36"/>
      <c r="AC1574" s="36"/>
    </row>
    <row r="1575" spans="17:29" x14ac:dyDescent="0.2"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  <c r="AB1575" s="36"/>
      <c r="AC1575" s="36"/>
    </row>
    <row r="1576" spans="17:29" x14ac:dyDescent="0.2"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  <c r="AB1576" s="36"/>
      <c r="AC1576" s="36"/>
    </row>
    <row r="1577" spans="17:29" x14ac:dyDescent="0.2"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  <c r="AB1577" s="36"/>
      <c r="AC1577" s="36"/>
    </row>
    <row r="1578" spans="17:29" x14ac:dyDescent="0.2"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  <c r="AB1578" s="36"/>
      <c r="AC1578" s="36"/>
    </row>
    <row r="1579" spans="17:29" x14ac:dyDescent="0.2"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  <c r="AB1579" s="36"/>
      <c r="AC1579" s="36"/>
    </row>
    <row r="1580" spans="17:29" x14ac:dyDescent="0.2"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  <c r="AB1580" s="36"/>
      <c r="AC1580" s="36"/>
    </row>
    <row r="1581" spans="17:29" x14ac:dyDescent="0.2"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  <c r="AB1581" s="36"/>
      <c r="AC1581" s="36"/>
    </row>
    <row r="1582" spans="17:29" x14ac:dyDescent="0.2"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  <c r="AB1582" s="36"/>
      <c r="AC1582" s="36"/>
    </row>
    <row r="1583" spans="17:29" x14ac:dyDescent="0.2"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  <c r="AB1583" s="36"/>
      <c r="AC1583" s="36"/>
    </row>
    <row r="1584" spans="17:29" x14ac:dyDescent="0.2"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  <c r="AB1584" s="36"/>
      <c r="AC1584" s="36"/>
    </row>
    <row r="1585" spans="17:29" x14ac:dyDescent="0.2"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  <c r="AB1585" s="36"/>
      <c r="AC1585" s="36"/>
    </row>
    <row r="1586" spans="17:29" x14ac:dyDescent="0.2"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  <c r="AB1586" s="36"/>
      <c r="AC1586" s="36"/>
    </row>
    <row r="1587" spans="17:29" x14ac:dyDescent="0.2"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  <c r="AB1587" s="36"/>
      <c r="AC1587" s="36"/>
    </row>
    <row r="1588" spans="17:29" x14ac:dyDescent="0.2"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  <c r="AB1588" s="36"/>
      <c r="AC1588" s="36"/>
    </row>
    <row r="1589" spans="17:29" x14ac:dyDescent="0.2"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  <c r="AB1589" s="36"/>
      <c r="AC1589" s="36"/>
    </row>
    <row r="1590" spans="17:29" x14ac:dyDescent="0.2"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  <c r="AB1590" s="36"/>
      <c r="AC1590" s="36"/>
    </row>
    <row r="1591" spans="17:29" x14ac:dyDescent="0.2"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  <c r="AB1591" s="36"/>
      <c r="AC1591" s="36"/>
    </row>
    <row r="1592" spans="17:29" x14ac:dyDescent="0.2"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  <c r="AB1592" s="36"/>
      <c r="AC1592" s="36"/>
    </row>
    <row r="1593" spans="17:29" x14ac:dyDescent="0.2"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  <c r="AB1593" s="36"/>
      <c r="AC1593" s="36"/>
    </row>
    <row r="1594" spans="17:29" x14ac:dyDescent="0.2"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  <c r="AB1594" s="36"/>
      <c r="AC1594" s="36"/>
    </row>
    <row r="1595" spans="17:29" x14ac:dyDescent="0.2"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  <c r="AB1595" s="36"/>
      <c r="AC1595" s="36"/>
    </row>
    <row r="1596" spans="17:29" x14ac:dyDescent="0.2"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  <c r="AB1596" s="36"/>
      <c r="AC1596" s="36"/>
    </row>
    <row r="1597" spans="17:29" x14ac:dyDescent="0.2"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  <c r="AB1597" s="36"/>
      <c r="AC1597" s="36"/>
    </row>
    <row r="1598" spans="17:29" x14ac:dyDescent="0.2"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  <c r="AB1598" s="36"/>
      <c r="AC1598" s="36"/>
    </row>
    <row r="1599" spans="17:29" x14ac:dyDescent="0.2"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</row>
    <row r="1600" spans="17:29" x14ac:dyDescent="0.2"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</row>
    <row r="1601" spans="17:29" x14ac:dyDescent="0.2"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</row>
    <row r="1602" spans="17:29" x14ac:dyDescent="0.2"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</row>
    <row r="1603" spans="17:29" x14ac:dyDescent="0.2"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</row>
    <row r="1604" spans="17:29" x14ac:dyDescent="0.2"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</row>
    <row r="1605" spans="17:29" x14ac:dyDescent="0.2"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</row>
    <row r="1606" spans="17:29" x14ac:dyDescent="0.2"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</row>
    <row r="1607" spans="17:29" x14ac:dyDescent="0.2"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</row>
    <row r="1608" spans="17:29" x14ac:dyDescent="0.2"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</row>
    <row r="1609" spans="17:29" x14ac:dyDescent="0.2"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</row>
    <row r="1610" spans="17:29" x14ac:dyDescent="0.2"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</row>
    <row r="1611" spans="17:29" x14ac:dyDescent="0.2"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</row>
    <row r="1612" spans="17:29" x14ac:dyDescent="0.2"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</row>
    <row r="1613" spans="17:29" x14ac:dyDescent="0.2"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</row>
    <row r="1614" spans="17:29" x14ac:dyDescent="0.2"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</row>
    <row r="1615" spans="17:29" x14ac:dyDescent="0.2"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</row>
    <row r="1616" spans="17:29" x14ac:dyDescent="0.2"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</row>
    <row r="1617" spans="17:29" x14ac:dyDescent="0.2"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</row>
    <row r="1618" spans="17:29" x14ac:dyDescent="0.2"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</row>
  </sheetData>
  <dataValidations count="2">
    <dataValidation type="list" allowBlank="1" showInputMessage="1" showErrorMessage="1" sqref="Y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N8:N11 M13">
      <formula1>"TRUE,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Length4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9</xdr:row>
                    <xdr:rowOff>123825</xdr:rowOff>
                  </from>
                  <to>
                    <xdr:col>31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Length1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</xdr:row>
                    <xdr:rowOff>276225</xdr:rowOff>
                  </from>
                  <to>
                    <xdr:col>31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Length7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18</xdr:row>
                    <xdr:rowOff>0</xdr:rowOff>
                  </from>
                  <to>
                    <xdr:col>31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Length2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4</xdr:row>
                    <xdr:rowOff>38100</xdr:rowOff>
                  </from>
                  <to>
                    <xdr:col>31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3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7</xdr:row>
                    <xdr:rowOff>0</xdr:rowOff>
                  </from>
                  <to>
                    <xdr:col>31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5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12</xdr:row>
                    <xdr:rowOff>66675</xdr:rowOff>
                  </from>
                  <to>
                    <xdr:col>31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6">
              <controlPr defaultSize="0" print="0" autoFill="0" autoPict="0" macro="[0]!grphUpdate">
                <anchor moveWithCells="1">
                  <from>
                    <xdr:col>29</xdr:col>
                    <xdr:colOff>114300</xdr:colOff>
                    <xdr:row>15</xdr:row>
                    <xdr:rowOff>19050</xdr:rowOff>
                  </from>
                  <to>
                    <xdr:col>31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1618"/>
  <sheetViews>
    <sheetView showGridLines="0" topLeftCell="K1" workbookViewId="0">
      <selection activeCell="M3" sqref="M3"/>
    </sheetView>
  </sheetViews>
  <sheetFormatPr defaultRowHeight="11.25" outlineLevelCol="1" x14ac:dyDescent="0.2"/>
  <cols>
    <col min="1" max="1" width="10" style="33" hidden="1" customWidth="1" outlineLevel="1"/>
    <col min="2" max="2" width="17.28515625" style="33" hidden="1" customWidth="1" outlineLevel="1"/>
    <col min="3" max="3" width="7" style="33" hidden="1" customWidth="1" outlineLevel="1"/>
    <col min="4" max="4" width="17.28515625" style="33" hidden="1" customWidth="1" outlineLevel="1"/>
    <col min="5" max="5" width="6" style="33" hidden="1" customWidth="1" outlineLevel="1"/>
    <col min="6" max="6" width="10" style="33" hidden="1" customWidth="1" outlineLevel="1"/>
    <col min="7" max="7" width="6" style="33" hidden="1" customWidth="1" outlineLevel="1"/>
    <col min="8" max="8" width="8" style="33" hidden="1" customWidth="1" outlineLevel="1"/>
    <col min="9" max="10" width="12" style="33" hidden="1" customWidth="1" outlineLevel="1"/>
    <col min="11" max="11" width="2.7109375" style="33" customWidth="1" collapsed="1"/>
    <col min="12" max="12" width="12" style="33" bestFit="1" customWidth="1"/>
    <col min="13" max="13" width="15.140625" style="33" bestFit="1" customWidth="1"/>
    <col min="14" max="14" width="6" style="33" bestFit="1" customWidth="1"/>
    <col min="15" max="15" width="3" style="33" bestFit="1" customWidth="1"/>
    <col min="16" max="16" width="6" style="33" bestFit="1" customWidth="1"/>
    <col min="17" max="18" width="17.28515625" style="33" bestFit="1" customWidth="1"/>
    <col min="19" max="19" width="17.28515625" style="33" customWidth="1"/>
    <col min="20" max="22" width="9.7109375" style="33" customWidth="1"/>
    <col min="23" max="25" width="9" style="33" hidden="1" customWidth="1" outlineLevel="1"/>
    <col min="26" max="26" width="12" style="33" customWidth="1" collapsed="1"/>
    <col min="27" max="27" width="12" style="33" customWidth="1"/>
    <col min="28" max="32" width="9.140625" style="33"/>
    <col min="33" max="33" width="15.140625" style="33" bestFit="1" customWidth="1"/>
    <col min="34" max="35" width="9.140625" style="33"/>
    <col min="36" max="36" width="13.140625" style="33" bestFit="1" customWidth="1"/>
    <col min="37" max="16384" width="9.140625" style="33"/>
  </cols>
  <sheetData>
    <row r="1" spans="1:27" x14ac:dyDescent="0.2">
      <c r="A1" s="14" t="s">
        <v>25</v>
      </c>
      <c r="B1" s="14"/>
      <c r="C1" s="14"/>
      <c r="D1" s="14"/>
      <c r="E1" s="14"/>
      <c r="F1" s="14" t="s">
        <v>26</v>
      </c>
      <c r="G1" s="14"/>
      <c r="H1" s="14"/>
      <c r="I1" s="14"/>
      <c r="J1" s="14"/>
      <c r="T1" s="42"/>
      <c r="U1" s="42"/>
      <c r="V1" s="34"/>
      <c r="W1" s="34"/>
      <c r="X1" s="34"/>
      <c r="Y1" s="34"/>
    </row>
    <row r="2" spans="1:27" ht="22.5" customHeight="1" x14ac:dyDescent="0.2">
      <c r="A2" s="15" t="s">
        <v>27</v>
      </c>
      <c r="B2" s="15" t="s">
        <v>28</v>
      </c>
      <c r="C2" s="15" t="s">
        <v>29</v>
      </c>
      <c r="D2" s="15" t="s">
        <v>30</v>
      </c>
      <c r="E2" s="15" t="s">
        <v>31</v>
      </c>
      <c r="F2" s="15" t="s">
        <v>28</v>
      </c>
      <c r="G2" s="15" t="s">
        <v>30</v>
      </c>
      <c r="H2" s="15" t="s">
        <v>31</v>
      </c>
      <c r="I2" s="15" t="s">
        <v>32</v>
      </c>
      <c r="J2" s="15" t="s">
        <v>33</v>
      </c>
      <c r="Q2" s="45" t="s">
        <v>22</v>
      </c>
      <c r="R2" s="45" t="s">
        <v>23</v>
      </c>
      <c r="S2" s="45" t="s">
        <v>55</v>
      </c>
      <c r="T2" s="45" t="s">
        <v>24</v>
      </c>
      <c r="U2" s="45" t="str">
        <f>"F "&amp;$M$3</f>
        <v>F 1Y</v>
      </c>
      <c r="V2" s="45" t="s">
        <v>36</v>
      </c>
      <c r="W2" s="45" t="s">
        <v>37</v>
      </c>
      <c r="X2" s="45" t="s">
        <v>56</v>
      </c>
      <c r="Y2" s="45" t="s">
        <v>44</v>
      </c>
      <c r="Z2" s="45" t="s">
        <v>43</v>
      </c>
      <c r="AA2" s="45" t="s">
        <v>52</v>
      </c>
    </row>
    <row r="3" spans="1:27" x14ac:dyDescent="0.2">
      <c r="A3" s="18" t="str">
        <f>_xll.qlPeriodEquivalent(C3&amp;"M")</f>
        <v>1Y</v>
      </c>
      <c r="B3" s="10">
        <f>_xll.qlDateEndOfMonth(EDATE(_xll.qlSettingsEvaluationDate(Trigger),-1))</f>
        <v>42247</v>
      </c>
      <c r="C3" s="11">
        <v>12</v>
      </c>
      <c r="D3" s="10">
        <f>EDATE($Q$3,C3)</f>
        <v>42643</v>
      </c>
      <c r="E3" s="12">
        <f>IF(C3&lt;=12,1,IF(C3&lt;=24,3,IF(C3&lt;=120,6,IF(C3&lt;=240,12,IF(C3&lt;=360,36,60)))))</f>
        <v>1</v>
      </c>
      <c r="F3" s="16">
        <f>ROUNDDOWN(I3*10,2)/10</f>
        <v>3.0000000000000001E-3</v>
      </c>
      <c r="G3" s="17">
        <f>IF(J3-I3&gt;1%,(QUOTIENT(J3*10000,50)+1)*0.5%,(QUOTIENT(J3*10000,10)+1)*0.1%)</f>
        <v>4.0000000000000001E-3</v>
      </c>
      <c r="H3" s="12">
        <f>IF(G3-F3&lt;0.5%,0.025%,IF(G3-F3&lt;1%,0.1%,IF(G3-F3&lt;2%,0.25%,0.5%)))</f>
        <v>2.5000000000000001E-4</v>
      </c>
      <c r="I3" s="17">
        <f>MIN(_xll.ohPack($V$3:INDEX($V$3:$V$135,MATCH(D3+1,$R$3:$R$135,1),1)))</f>
        <v>3.147269631270174E-3</v>
      </c>
      <c r="J3" s="17">
        <f>MAX(_xll.ohPack($V$3:INDEX($V$3:$V$135,MATCH(D3+1,$R$3:$R$135,1),1)))</f>
        <v>3.6765072141393719E-3</v>
      </c>
      <c r="L3" s="46" t="s">
        <v>21</v>
      </c>
      <c r="M3" s="35" t="s">
        <v>53</v>
      </c>
      <c r="N3" s="36"/>
      <c r="O3" s="33">
        <v>0</v>
      </c>
      <c r="P3" s="26" t="str">
        <f>O3&amp;"M"</f>
        <v>0M</v>
      </c>
      <c r="Q3" s="75">
        <f>EvaluationDate</f>
        <v>42277</v>
      </c>
      <c r="R3" s="75">
        <f>_xll.qlInterestRateIndexValueDate(Index,Q3,Trigger)</f>
        <v>42279</v>
      </c>
      <c r="S3" s="28">
        <f>_xll.qlInterestRateIndexMaturity(Index,R3,Trigger)</f>
        <v>42646</v>
      </c>
      <c r="T3" s="76">
        <f>_xll.qlIndexFixing($M$6,Q3,,InterestRatesTrigger)</f>
        <v>-1.7272696312701742E-3</v>
      </c>
      <c r="U3" s="76">
        <f>_xll.qlIndexFixing(Index,Q3,,InterestRatesTrigger)</f>
        <v>1.4199999999999998E-3</v>
      </c>
      <c r="V3" s="76">
        <f>U3-T3</f>
        <v>3.147269631270174E-3</v>
      </c>
      <c r="W3" s="77">
        <f>_xll.qlDayCounterYearFraction(DayCounter,SettlementDate,R3,,,Trigger)</f>
        <v>0</v>
      </c>
      <c r="X3" s="77">
        <f>_xll.qlDayCounterYearFraction(DayCounter,R3,S3)</f>
        <v>1.0194444444444444</v>
      </c>
      <c r="Y3" s="77">
        <f>_xll.qlYieldTSDiscount(Currency&amp;"ON",R3)/(1+U3*X3)</f>
        <v>0.99856086112184128</v>
      </c>
      <c r="Z3" s="76">
        <f>_xll.qlTenorBasisValue(TenorBasis6M,R3,InterestRatesTrigger)</f>
        <v>3.3189939130802764E-3</v>
      </c>
      <c r="AA3" s="76">
        <f>V3-Z3</f>
        <v>-1.7172428181010243E-4</v>
      </c>
    </row>
    <row r="4" spans="1:27" x14ac:dyDescent="0.2">
      <c r="A4" s="18" t="str">
        <f>_xll.qlPeriodEquivalent(C4&amp;"M")</f>
        <v>2Y</v>
      </c>
      <c r="B4" s="10">
        <f>_xll.qlDateEndOfMonth(EDATE(_xll.qlIMMNextDate(_xll.qlSettingsEvaluationDate(Trigger)-1,TRUE),-3))</f>
        <v>42277</v>
      </c>
      <c r="C4" s="11">
        <v>24</v>
      </c>
      <c r="D4" s="10">
        <f t="shared" ref="D4:D9" si="0">EDATE($Q$3,C4)</f>
        <v>43008</v>
      </c>
      <c r="E4" s="12">
        <f t="shared" ref="E4:E9" si="1">IF(C4&lt;=12,1,IF(C4&lt;=24,3,IF(C4&lt;=120,6,IF(C4&lt;=240,12,IF(C4&lt;=360,36,60)))))</f>
        <v>3</v>
      </c>
      <c r="F4" s="16">
        <f t="shared" ref="F4:F9" si="2">ROUNDDOWN(I4*10,2)/10</f>
        <v>3.0000000000000001E-3</v>
      </c>
      <c r="G4" s="17">
        <f t="shared" ref="G4:G9" si="3">IF(J4-I4&gt;1%,(QUOTIENT(J4*10000,50)+1)*0.5%,(QUOTIENT(J4*10000,10)+1)*0.1%)</f>
        <v>5.0000000000000001E-3</v>
      </c>
      <c r="H4" s="12">
        <f t="shared" ref="H4:H9" si="4">IF(G4-F4&lt;0.5%,0.025%,IF(G4-F4&lt;1%,0.1%,IF(G4-F4&lt;2%,0.25%,0.5%)))</f>
        <v>2.5000000000000001E-4</v>
      </c>
      <c r="I4" s="17">
        <f>MIN(_xll.ohPack($V$3:INDEX($V$3:$V$135,MATCH(D4+1,$R$3:$R$135,1),1)))</f>
        <v>3.147269631270174E-3</v>
      </c>
      <c r="J4" s="17">
        <f>MAX(_xll.ohPack($V$3:INDEX($V$3:$V$135,MATCH(D4+1,$R$3:$R$135,1),1)))</f>
        <v>4.0323053893044011E-3</v>
      </c>
      <c r="N4" s="36"/>
      <c r="O4" s="33">
        <v>1</v>
      </c>
      <c r="P4" s="26" t="str">
        <f>_xll.qlPeriodEquivalent(P3&amp;"+"&amp;O4&amp;"M")</f>
        <v>1M</v>
      </c>
      <c r="Q4" s="28">
        <f>_xll.qlCalendarAdvance(Calendar,SettlementDate,P4,"f",,Trigger)</f>
        <v>42310</v>
      </c>
      <c r="R4" s="28">
        <f>_xll.qlInterestRateIndexValueDate(Index,Q4,Trigger)</f>
        <v>42312</v>
      </c>
      <c r="S4" s="28">
        <f>_xll.qlInterestRateIndexMaturity(Index,R4,Trigger)</f>
        <v>42678</v>
      </c>
      <c r="T4" s="30">
        <f>_xll.qlIndexFixing($M$6,Q4,,InterestRatesTrigger)</f>
        <v>-1.7790550820138906E-3</v>
      </c>
      <c r="U4" s="30">
        <f>_xll.qlIndexFixing(Index,Q4,,InterestRatesTrigger)</f>
        <v>1.3998331998892261E-3</v>
      </c>
      <c r="V4" s="30">
        <f t="shared" ref="V4:V67" si="5">U4-T4</f>
        <v>3.1788882819031167E-3</v>
      </c>
      <c r="W4" s="29">
        <f>_xll.qlDayCounterYearFraction(DayCounter,SettlementDate,R4,,,Trigger)</f>
        <v>9.166666666666666E-2</v>
      </c>
      <c r="X4" s="29">
        <f>_xll.qlDayCounterYearFraction(DayCounter,R4,S4)</f>
        <v>1.0166666666666666</v>
      </c>
      <c r="Y4" s="29">
        <f>_xll.qlYieldTSDiscount(Currency&amp;"ON",R4)/(1+U4*X4)</f>
        <v>0.99871356013994661</v>
      </c>
      <c r="Z4" s="30">
        <f>_xll.qlTenorBasisValue(TenorBasis6M,R4,InterestRatesTrigger)</f>
        <v>3.3644134619838519E-3</v>
      </c>
      <c r="AA4" s="30">
        <f t="shared" ref="AA4:AA67" si="6">V4-Z4</f>
        <v>-1.8552518008073523E-4</v>
      </c>
    </row>
    <row r="5" spans="1:27" x14ac:dyDescent="0.2">
      <c r="A5" s="18" t="str">
        <f>_xll.qlPeriodEquivalent(C5&amp;"M")</f>
        <v>5Y</v>
      </c>
      <c r="B5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5" s="11">
        <v>60</v>
      </c>
      <c r="D5" s="10">
        <f t="shared" si="0"/>
        <v>44104</v>
      </c>
      <c r="E5" s="12">
        <f t="shared" si="1"/>
        <v>6</v>
      </c>
      <c r="F5" s="16">
        <f t="shared" si="2"/>
        <v>3.0000000000000001E-3</v>
      </c>
      <c r="G5" s="17">
        <f t="shared" si="3"/>
        <v>5.0000000000000001E-3</v>
      </c>
      <c r="H5" s="12">
        <f t="shared" si="4"/>
        <v>2.5000000000000001E-4</v>
      </c>
      <c r="I5" s="17">
        <f>MIN(_xll.ohPack($V$3:INDEX($V$3:$V$135,MATCH(D5+1,$R$3:$R$135,1),1)))</f>
        <v>3.147269631270174E-3</v>
      </c>
      <c r="J5" s="17">
        <f>MAX(_xll.ohPack($V$3:INDEX($V$3:$V$135,MATCH(D5+1,$R$3:$R$135,1),1)))</f>
        <v>4.616732612629822E-3</v>
      </c>
      <c r="L5" s="46" t="s">
        <v>20</v>
      </c>
      <c r="M5" s="35" t="str">
        <f>PROPER(Currency)&amp;IborType&amp;M3</f>
        <v>Euribor1Y</v>
      </c>
      <c r="O5" s="33">
        <v>1</v>
      </c>
      <c r="P5" s="27" t="str">
        <f>_xll.qlPeriodEquivalent(P4&amp;"+"&amp;O5&amp;"M")</f>
        <v>2M</v>
      </c>
      <c r="Q5" s="28">
        <f>_xll.qlCalendarAdvance(Calendar,SettlementDate,P5,"f",,Trigger)</f>
        <v>42340</v>
      </c>
      <c r="R5" s="28">
        <f>_xll.qlInterestRateIndexValueDate(Index,Q5,Trigger)</f>
        <v>42342</v>
      </c>
      <c r="S5" s="28">
        <f>_xll.qlInterestRateIndexMaturity(Index,R5,Trigger)</f>
        <v>42709</v>
      </c>
      <c r="T5" s="30">
        <f>_xll.qlIndexFixing($M$6,Q5,,InterestRatesTrigger)</f>
        <v>-1.8168327129506135E-3</v>
      </c>
      <c r="U5" s="30">
        <f>_xll.qlIndexFixing(Index,Q5,,InterestRatesTrigger)</f>
        <v>1.4007147608035924E-3</v>
      </c>
      <c r="V5" s="30">
        <f t="shared" si="5"/>
        <v>3.2175474737542059E-3</v>
      </c>
      <c r="W5" s="29">
        <f>_xll.qlDayCounterYearFraction(DayCounter,SettlementDate,R5,,,Trigger)</f>
        <v>0.17499999999999999</v>
      </c>
      <c r="X5" s="29">
        <f>_xll.qlDayCounterYearFraction(DayCounter,R5,S5)</f>
        <v>1.0194444444444444</v>
      </c>
      <c r="Y5" s="29">
        <f>_xll.qlYieldTSDiscount(Currency&amp;"ON",R5)/(1+U5*X5)</f>
        <v>0.99883357555973273</v>
      </c>
      <c r="Z5" s="30">
        <f>_xll.qlTenorBasisValue(TenorBasis6M,R5,InterestRatesTrigger)</f>
        <v>3.4039147940372115E-3</v>
      </c>
      <c r="AA5" s="30">
        <f t="shared" si="6"/>
        <v>-1.8636732028300563E-4</v>
      </c>
    </row>
    <row r="6" spans="1:27" x14ac:dyDescent="0.2">
      <c r="A6" s="18" t="str">
        <f>_xll.qlPeriodEquivalent(C6&amp;"M")</f>
        <v>10Y</v>
      </c>
      <c r="B6" s="10">
        <f t="shared" ref="B6:B9" si="7">B5</f>
        <v>42185</v>
      </c>
      <c r="C6" s="11">
        <v>120</v>
      </c>
      <c r="D6" s="10">
        <f t="shared" si="0"/>
        <v>45930</v>
      </c>
      <c r="E6" s="12">
        <f t="shared" si="1"/>
        <v>6</v>
      </c>
      <c r="F6" s="16">
        <f t="shared" si="2"/>
        <v>2E-3</v>
      </c>
      <c r="G6" s="17">
        <f t="shared" si="3"/>
        <v>5.0000000000000001E-3</v>
      </c>
      <c r="H6" s="12">
        <f t="shared" si="4"/>
        <v>2.5000000000000001E-4</v>
      </c>
      <c r="I6" s="17">
        <f>MIN(_xll.ohPack($V$3:INDEX($V$3:$V$135,MATCH(D6+1,$R$3:$R$135,1),1)))</f>
        <v>2.9575798327911781E-3</v>
      </c>
      <c r="J6" s="17">
        <f>MAX(_xll.ohPack($V$3:INDEX($V$3:$V$135,MATCH(D6+1,$R$3:$R$135,1),1)))</f>
        <v>4.616732612629822E-3</v>
      </c>
      <c r="L6" s="46" t="str">
        <f>"ON Index "&amp;$M$3</f>
        <v>ON Index 1Y</v>
      </c>
      <c r="M6" s="35" t="str">
        <f>_xll.qlIborIndex(,,M3,2,Currency,Calendar,"mf",TRUE,DayCounter,Currency&amp;"ON",,Trigger)</f>
        <v>obj_005f0#0006</v>
      </c>
      <c r="N6" s="34"/>
      <c r="O6" s="33">
        <v>1</v>
      </c>
      <c r="P6" s="27" t="str">
        <f>_xll.qlPeriodEquivalent(P5&amp;"+"&amp;O6&amp;"M")</f>
        <v>3M</v>
      </c>
      <c r="Q6" s="28">
        <f>_xll.qlCalendarAdvance(Calendar,SettlementDate,P6,"f",,Trigger)</f>
        <v>42373</v>
      </c>
      <c r="R6" s="28">
        <f>_xll.qlInterestRateIndexValueDate(Index,Q6,Trigger)</f>
        <v>42375</v>
      </c>
      <c r="S6" s="28">
        <f>_xll.qlInterestRateIndexMaturity(Index,R6,Trigger)</f>
        <v>42741</v>
      </c>
      <c r="T6" s="30">
        <f>_xll.qlIndexFixing($M$6,Q6,,InterestRatesTrigger)</f>
        <v>-1.8599793488809104E-3</v>
      </c>
      <c r="U6" s="30">
        <f>_xll.qlIndexFixing(Index,Q6,,InterestRatesTrigger)</f>
        <v>1.4223460628619677E-3</v>
      </c>
      <c r="V6" s="30">
        <f t="shared" si="5"/>
        <v>3.2823254117428781E-3</v>
      </c>
      <c r="W6" s="29">
        <f>_xll.qlDayCounterYearFraction(DayCounter,SettlementDate,R6,,,Trigger)</f>
        <v>0.26666666666666666</v>
      </c>
      <c r="X6" s="29">
        <f>_xll.qlDayCounterYearFraction(DayCounter,R6,S6)</f>
        <v>1.0166666666666666</v>
      </c>
      <c r="Y6" s="29">
        <f>_xll.qlYieldTSDiscount(Currency&amp;"ON",R6)/(1+U6*X6)</f>
        <v>0.99894431231666159</v>
      </c>
      <c r="Z6" s="30">
        <f>_xll.qlTenorBasisValue(TenorBasis6M,R6,InterestRatesTrigger)</f>
        <v>3.4454466141983957E-3</v>
      </c>
      <c r="AA6" s="30">
        <f t="shared" si="6"/>
        <v>-1.6312120245551764E-4</v>
      </c>
    </row>
    <row r="7" spans="1:27" x14ac:dyDescent="0.2">
      <c r="A7" s="18" t="str">
        <f>_xll.qlPeriodEquivalent(C7&amp;"M")</f>
        <v>20Y</v>
      </c>
      <c r="B7" s="10">
        <f>IF(AND(MONTH(B6)=12),B6,_xll.qlDateEndOfMonth(EDATE(B6,-6)))</f>
        <v>42004</v>
      </c>
      <c r="C7" s="11">
        <v>240</v>
      </c>
      <c r="D7" s="10">
        <f t="shared" si="0"/>
        <v>49582</v>
      </c>
      <c r="E7" s="13">
        <f t="shared" si="1"/>
        <v>12</v>
      </c>
      <c r="F7" s="16">
        <f t="shared" si="2"/>
        <v>0</v>
      </c>
      <c r="G7" s="17">
        <f t="shared" si="3"/>
        <v>5.0000000000000001E-3</v>
      </c>
      <c r="H7" s="12">
        <f t="shared" si="4"/>
        <v>1E-3</v>
      </c>
      <c r="I7" s="17">
        <f>MIN(_xll.ohPack($V$3:INDEX($V$3:$V$135,MATCH(D7+1,$R$3:$R$135,1),1)))</f>
        <v>9.0792125624916328E-4</v>
      </c>
      <c r="J7" s="17">
        <f>MAX(_xll.ohPack($V$3:INDEX($V$3:$V$135,MATCH(D7+1,$R$3:$R$135,1),1)))</f>
        <v>4.616732612629822E-3</v>
      </c>
      <c r="O7" s="33">
        <v>1</v>
      </c>
      <c r="P7" s="27" t="str">
        <f>_xll.qlPeriodEquivalent(P6&amp;"+"&amp;O7&amp;"M")</f>
        <v>4M</v>
      </c>
      <c r="Q7" s="28">
        <f>_xll.qlCalendarAdvance(Calendar,SettlementDate,P7,"f",,Trigger)</f>
        <v>42402</v>
      </c>
      <c r="R7" s="28">
        <f>_xll.qlInterestRateIndexValueDate(Index,Q7,Trigger)</f>
        <v>42404</v>
      </c>
      <c r="S7" s="28">
        <f>_xll.qlInterestRateIndexMaturity(Index,R7,Trigger)</f>
        <v>42772</v>
      </c>
      <c r="T7" s="30">
        <f>_xll.qlIndexFixing($M$6,Q7,,InterestRatesTrigger)</f>
        <v>-1.8767687021574624E-3</v>
      </c>
      <c r="U7" s="30">
        <f>_xll.qlIndexFixing(Index,Q7,,InterestRatesTrigger)</f>
        <v>1.4638663646295074E-3</v>
      </c>
      <c r="V7" s="30">
        <f t="shared" si="5"/>
        <v>3.3406350667869698E-3</v>
      </c>
      <c r="W7" s="29">
        <f>_xll.qlDayCounterYearFraction(DayCounter,SettlementDate,R7,,,Trigger)</f>
        <v>0.34722222222222221</v>
      </c>
      <c r="X7" s="29">
        <f>_xll.qlDayCounterYearFraction(DayCounter,R7,S7)</f>
        <v>1.0222222222222221</v>
      </c>
      <c r="Y7" s="29">
        <f>_xll.qlYieldTSDiscount(Currency&amp;"ON",R7)/(1+U7*X7)</f>
        <v>0.99902971760674997</v>
      </c>
      <c r="Z7" s="30">
        <f>_xll.qlTenorBasisValue(TenorBasis6M,R7,InterestRatesTrigger)</f>
        <v>3.480323425063131E-3</v>
      </c>
      <c r="AA7" s="30">
        <f t="shared" si="6"/>
        <v>-1.3968835827616113E-4</v>
      </c>
    </row>
    <row r="8" spans="1:27" x14ac:dyDescent="0.2">
      <c r="A8" s="18" t="str">
        <f>_xll.qlPeriodEquivalent(C8&amp;"M")</f>
        <v>30Y</v>
      </c>
      <c r="B8" s="10">
        <f t="shared" si="7"/>
        <v>42004</v>
      </c>
      <c r="C8" s="11">
        <v>360</v>
      </c>
      <c r="D8" s="10">
        <f t="shared" si="0"/>
        <v>53235</v>
      </c>
      <c r="E8" s="13">
        <f t="shared" si="1"/>
        <v>36</v>
      </c>
      <c r="F8" s="16">
        <f t="shared" si="2"/>
        <v>0</v>
      </c>
      <c r="G8" s="17">
        <f t="shared" si="3"/>
        <v>5.0000000000000001E-3</v>
      </c>
      <c r="H8" s="12">
        <f t="shared" si="4"/>
        <v>1E-3</v>
      </c>
      <c r="I8" s="17">
        <f>MIN(_xll.ohPack($V$3:INDEX($V$3:$V$135,MATCH(D8+1,$R$3:$R$135,1),1)))</f>
        <v>7.3361757957642049E-4</v>
      </c>
      <c r="J8" s="17">
        <f>MAX(_xll.ohPack($V$3:INDEX($V$3:$V$135,MATCH(D8+1,$R$3:$R$135,1),1)))</f>
        <v>4.616732612629822E-3</v>
      </c>
      <c r="L8" s="46" t="s">
        <v>39</v>
      </c>
      <c r="M8" s="43">
        <v>2.2963781703447999E-3</v>
      </c>
      <c r="N8" s="33" t="b">
        <v>0</v>
      </c>
      <c r="O8" s="33">
        <v>1</v>
      </c>
      <c r="P8" s="27" t="str">
        <f>_xll.qlPeriodEquivalent(P7&amp;"+"&amp;O8&amp;"M")</f>
        <v>5M</v>
      </c>
      <c r="Q8" s="28">
        <f>_xll.qlCalendarAdvance(Calendar,SettlementDate,P8,"f",,Trigger)</f>
        <v>42431</v>
      </c>
      <c r="R8" s="28">
        <f>_xll.qlInterestRateIndexValueDate(Index,Q8,Trigger)</f>
        <v>42433</v>
      </c>
      <c r="S8" s="28">
        <f>_xll.qlInterestRateIndexMaturity(Index,R8,Trigger)</f>
        <v>42800</v>
      </c>
      <c r="T8" s="30">
        <f>_xll.qlIndexFixing($M$6,Q8,,InterestRatesTrigger)</f>
        <v>-1.8882384305686179E-3</v>
      </c>
      <c r="U8" s="30">
        <f>_xll.qlIndexFixing(Index,Q8,,InterestRatesTrigger)</f>
        <v>1.4942120648908503E-3</v>
      </c>
      <c r="V8" s="30">
        <f t="shared" si="5"/>
        <v>3.3824504954594681E-3</v>
      </c>
      <c r="W8" s="29">
        <f>_xll.qlDayCounterYearFraction(DayCounter,SettlementDate,R8,,,Trigger)</f>
        <v>0.42777777777777776</v>
      </c>
      <c r="X8" s="29">
        <f>_xll.qlDayCounterYearFraction(DayCounter,R8,S8)</f>
        <v>1.0194444444444444</v>
      </c>
      <c r="Y8" s="29">
        <f>_xll.qlYieldTSDiscount(Currency&amp;"ON",R8)/(1+U8*X8)</f>
        <v>0.9991376597186441</v>
      </c>
      <c r="Z8" s="30">
        <f>_xll.qlTenorBasisValue(TenorBasis6M,R8,InterestRatesTrigger)</f>
        <v>3.5137196406271058E-3</v>
      </c>
      <c r="AA8" s="30">
        <f t="shared" si="6"/>
        <v>-1.3126914516763772E-4</v>
      </c>
    </row>
    <row r="9" spans="1:27" x14ac:dyDescent="0.2">
      <c r="A9" s="19" t="str">
        <f>_xll.qlPeriodEquivalent(C9&amp;"M")</f>
        <v>60Y</v>
      </c>
      <c r="B9" s="20">
        <f t="shared" si="7"/>
        <v>42004</v>
      </c>
      <c r="C9" s="21">
        <v>720</v>
      </c>
      <c r="D9" s="20">
        <f t="shared" si="0"/>
        <v>64192</v>
      </c>
      <c r="E9" s="22">
        <f t="shared" si="1"/>
        <v>60</v>
      </c>
      <c r="F9" s="23">
        <f t="shared" si="2"/>
        <v>0</v>
      </c>
      <c r="G9" s="24">
        <f t="shared" si="3"/>
        <v>5.0000000000000001E-3</v>
      </c>
      <c r="H9" s="25">
        <f t="shared" si="4"/>
        <v>1E-3</v>
      </c>
      <c r="I9" s="24">
        <f>MIN(_xll.ohPack($V$3:INDEX($V$3:$V$135,MATCH(D9+1,$R$3:$R$135,1),1)))</f>
        <v>1.2669921488882123E-4</v>
      </c>
      <c r="J9" s="24">
        <f>MAX(_xll.ohPack($V$3:INDEX($V$3:$V$135,MATCH(D9+1,$R$3:$R$135,1),1)))</f>
        <v>4.616732612629822E-3</v>
      </c>
      <c r="L9" s="46" t="s">
        <v>40</v>
      </c>
      <c r="M9" s="44">
        <v>9.7107146829970598E-4</v>
      </c>
      <c r="N9" s="33" t="b">
        <v>0</v>
      </c>
      <c r="O9" s="33">
        <v>1</v>
      </c>
      <c r="P9" s="27" t="str">
        <f>_xll.qlPeriodEquivalent(P8&amp;"+"&amp;O9&amp;"M")</f>
        <v>6M</v>
      </c>
      <c r="Q9" s="28">
        <f>_xll.qlCalendarAdvance(Calendar,SettlementDate,P9,"f",,Trigger)</f>
        <v>42464</v>
      </c>
      <c r="R9" s="28">
        <f>_xll.qlInterestRateIndexValueDate(Index,Q9,Trigger)</f>
        <v>42466</v>
      </c>
      <c r="S9" s="28">
        <f>_xll.qlInterestRateIndexMaturity(Index,R9,Trigger)</f>
        <v>42831</v>
      </c>
      <c r="T9" s="30">
        <f>_xll.qlIndexFixing($M$6,Q9,,InterestRatesTrigger)</f>
        <v>-1.892511855083118E-3</v>
      </c>
      <c r="U9" s="30">
        <f>_xll.qlIndexFixing(Index,Q9,,InterestRatesTrigger)</f>
        <v>1.554321661126849E-3</v>
      </c>
      <c r="V9" s="30">
        <f t="shared" si="5"/>
        <v>3.446833516209967E-3</v>
      </c>
      <c r="W9" s="29">
        <f>_xll.qlDayCounterYearFraction(DayCounter,SettlementDate,R9,,,Trigger)</f>
        <v>0.51944444444444449</v>
      </c>
      <c r="X9" s="29">
        <f>_xll.qlDayCounterYearFraction(DayCounter,R9,S9)</f>
        <v>1.0138888888888888</v>
      </c>
      <c r="Y9" s="29">
        <f>_xll.qlYieldTSDiscount(Currency&amp;"ON",R9)/(1+U9*X9)</f>
        <v>0.99924221692906967</v>
      </c>
      <c r="Z9" s="30">
        <f>_xll.qlTenorBasisValue(TenorBasis6M,R9,InterestRatesTrigger)</f>
        <v>3.5499637530789232E-3</v>
      </c>
      <c r="AA9" s="30">
        <f t="shared" si="6"/>
        <v>-1.031302368689562E-4</v>
      </c>
    </row>
    <row r="10" spans="1:27" x14ac:dyDescent="0.2">
      <c r="A10" s="18" t="str">
        <f>_xll.qlPeriodEquivalent(C10&amp;"M")</f>
        <v>1Y</v>
      </c>
      <c r="B10" s="10">
        <f>_xll.qlDateEndOfMonth(EDATE(_xll.qlSettingsEvaluationDate(Trigger),-1))</f>
        <v>42247</v>
      </c>
      <c r="C10" s="11">
        <v>12</v>
      </c>
      <c r="D10" s="10">
        <f>EDATE($Q$3,C10)</f>
        <v>42643</v>
      </c>
      <c r="E10" s="12">
        <f>IF(C10&lt;=12,1,IF(C10&lt;=24,3,IF(C10&lt;=120,6,IF(C10&lt;=240,12,IF(C10&lt;=360,36,60)))))</f>
        <v>1</v>
      </c>
      <c r="F10" s="16">
        <f>ROUNDDOWN(I10*10,2)/10</f>
        <v>3.0000000000000001E-3</v>
      </c>
      <c r="G10" s="17">
        <f>IF(J10-I10&gt;1%,(QUOTIENT(J10*10000,50)+1)*0.5%,(QUOTIENT(J10*10000,10)+1)*0.1%)</f>
        <v>4.0000000000000001E-3</v>
      </c>
      <c r="H10" s="12">
        <f>IF(G10-F10&lt;0.5%,0.025%,IF(G10-F10&lt;1%,0.1%,IF(G10-F10&lt;2%,0.25%,0.5%)))</f>
        <v>2.5000000000000001E-4</v>
      </c>
      <c r="I10" s="17">
        <f>MIN(_xll.ohPack($V$3:INDEX($V$3:$V$135,MATCH(D10+1,$R$3:$R$135,1),1)))</f>
        <v>3.147269631270174E-3</v>
      </c>
      <c r="J10" s="17">
        <f>MAX(_xll.ohPack($V$3:INDEX($V$3:$V$135,MATCH(D10+1,$R$3:$R$135,1),1)))</f>
        <v>3.6765072141393719E-3</v>
      </c>
      <c r="L10" s="46" t="s">
        <v>41</v>
      </c>
      <c r="M10" s="44">
        <v>0.17</v>
      </c>
      <c r="N10" s="33" t="b">
        <v>1</v>
      </c>
      <c r="O10" s="33">
        <v>1</v>
      </c>
      <c r="P10" s="27" t="str">
        <f>_xll.qlPeriodEquivalent(P9&amp;"+"&amp;O10&amp;"M")</f>
        <v>7M</v>
      </c>
      <c r="Q10" s="28">
        <f>_xll.qlCalendarAdvance(Calendar,SettlementDate,P10,"f",,Trigger)</f>
        <v>42492</v>
      </c>
      <c r="R10" s="28">
        <f>_xll.qlInterestRateIndexValueDate(Index,Q10,Trigger)</f>
        <v>42494</v>
      </c>
      <c r="S10" s="28">
        <f>_xll.qlInterestRateIndexMaturity(Index,R10,Trigger)</f>
        <v>42859</v>
      </c>
      <c r="T10" s="30">
        <f>_xll.qlIndexFixing($M$6,Q10,,InterestRatesTrigger)</f>
        <v>-1.8856285836728415E-3</v>
      </c>
      <c r="U10" s="30">
        <f>_xll.qlIndexFixing(Index,Q10,,InterestRatesTrigger)</f>
        <v>1.6139703785063872E-3</v>
      </c>
      <c r="V10" s="30">
        <f t="shared" si="5"/>
        <v>3.4995989621792287E-3</v>
      </c>
      <c r="W10" s="29">
        <f>_xll.qlDayCounterYearFraction(DayCounter,SettlementDate,R10,,,Trigger)</f>
        <v>0.59722222222222221</v>
      </c>
      <c r="X10" s="29">
        <f>_xll.qlDayCounterYearFraction(DayCounter,R10,S10)</f>
        <v>1.0138888888888888</v>
      </c>
      <c r="Y10" s="29">
        <f>_xll.qlYieldTSDiscount(Currency&amp;"ON",R10)/(1+U10*X10)</f>
        <v>0.99932128341524618</v>
      </c>
      <c r="Z10" s="30">
        <f>_xll.qlTenorBasisValue(TenorBasis6M,R10,InterestRatesTrigger)</f>
        <v>3.5792827927879274E-3</v>
      </c>
      <c r="AA10" s="30">
        <f t="shared" si="6"/>
        <v>-7.9683830608698672E-5</v>
      </c>
    </row>
    <row r="11" spans="1:27" x14ac:dyDescent="0.2">
      <c r="A11" s="18" t="str">
        <f>_xll.qlPeriodEquivalent(C11&amp;"M")</f>
        <v>2Y</v>
      </c>
      <c r="B11" s="10">
        <f>_xll.qlDateEndOfMonth(EDATE(_xll.qlIMMNextDate(_xll.qlSettingsEvaluationDate(Trigger)-1,TRUE),-3))</f>
        <v>42277</v>
      </c>
      <c r="C11" s="11">
        <v>24</v>
      </c>
      <c r="D11" s="10">
        <f t="shared" ref="D11:D16" si="8">EDATE($Q$3,C11)</f>
        <v>43008</v>
      </c>
      <c r="E11" s="12">
        <f t="shared" ref="E11:E16" si="9">IF(C11&lt;=12,1,IF(C11&lt;=24,3,IF(C11&lt;=120,6,IF(C11&lt;=240,12,IF(C11&lt;=360,36,60)))))</f>
        <v>3</v>
      </c>
      <c r="F11" s="16">
        <f t="shared" ref="F11:F16" si="10">ROUNDDOWN(I11*10,2)/10</f>
        <v>3.0000000000000001E-3</v>
      </c>
      <c r="G11" s="17">
        <f t="shared" ref="G11:G16" si="11">IF(J11-I11&gt;1%,(QUOTIENT(J11*10000,50)+1)*0.5%,(QUOTIENT(J11*10000,10)+1)*0.1%)</f>
        <v>5.0000000000000001E-3</v>
      </c>
      <c r="H11" s="12">
        <f t="shared" ref="H11:H16" si="12">IF(G11-F11&lt;0.5%,0.025%,IF(G11-F11&lt;1%,0.1%,IF(G11-F11&lt;2%,0.25%,0.5%)))</f>
        <v>2.5000000000000001E-4</v>
      </c>
      <c r="I11" s="17">
        <f>MIN(_xll.ohPack($V$3:INDEX($V$3:$V$135,MATCH(D11+1,$R$3:$R$135,1),1)))</f>
        <v>3.147269631270174E-3</v>
      </c>
      <c r="J11" s="17">
        <f>MAX(_xll.ohPack($V$3:INDEX($V$3:$V$135,MATCH(D11+1,$R$3:$R$135,1),1)))</f>
        <v>4.0323053893044011E-3</v>
      </c>
      <c r="L11" s="46" t="s">
        <v>42</v>
      </c>
      <c r="M11" s="43">
        <v>5.3341833138634699E-4</v>
      </c>
      <c r="N11" s="33" t="b">
        <v>0</v>
      </c>
      <c r="O11" s="33">
        <v>1</v>
      </c>
      <c r="P11" s="27" t="str">
        <f>_xll.qlPeriodEquivalent(P10&amp;"+"&amp;O11&amp;"M")</f>
        <v>8M</v>
      </c>
      <c r="Q11" s="28">
        <f>_xll.qlCalendarAdvance(Calendar,SettlementDate,P11,"f",,Trigger)</f>
        <v>42523</v>
      </c>
      <c r="R11" s="28">
        <f>_xll.qlInterestRateIndexValueDate(Index,Q11,Trigger)</f>
        <v>42527</v>
      </c>
      <c r="S11" s="28">
        <f>_xll.qlInterestRateIndexMaturity(Index,R11,Trigger)</f>
        <v>42892</v>
      </c>
      <c r="T11" s="30">
        <f>_xll.qlIndexFixing($M$6,Q11,,InterestRatesTrigger)</f>
        <v>-1.8673879073044749E-3</v>
      </c>
      <c r="U11" s="30">
        <f>_xll.qlIndexFixing(Index,Q11,,InterestRatesTrigger)</f>
        <v>1.6786897344995741E-3</v>
      </c>
      <c r="V11" s="30">
        <f t="shared" si="5"/>
        <v>3.5460776418040491E-3</v>
      </c>
      <c r="W11" s="29">
        <f>_xll.qlDayCounterYearFraction(DayCounter,SettlementDate,R11,,,Trigger)</f>
        <v>0.68888888888888888</v>
      </c>
      <c r="X11" s="29">
        <f>_xll.qlDayCounterYearFraction(DayCounter,R11,S11)</f>
        <v>1.0138888888888888</v>
      </c>
      <c r="Y11" s="29">
        <f>_xll.qlYieldTSDiscount(Currency&amp;"ON",R11)/(1+U11*X11)</f>
        <v>0.99942474174182672</v>
      </c>
      <c r="Z11" s="30">
        <f>_xll.qlTenorBasisValue(TenorBasis6M,R11,InterestRatesTrigger)</f>
        <v>3.6121893855026376E-3</v>
      </c>
      <c r="AA11" s="30">
        <f t="shared" si="6"/>
        <v>-6.6111743698588597E-5</v>
      </c>
    </row>
    <row r="12" spans="1:27" x14ac:dyDescent="0.2">
      <c r="A12" s="18" t="str">
        <f>_xll.qlPeriodEquivalent(C12&amp;"M")</f>
        <v>5Y</v>
      </c>
      <c r="B12" s="1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C12" s="11">
        <v>60</v>
      </c>
      <c r="D12" s="10">
        <f t="shared" si="8"/>
        <v>44104</v>
      </c>
      <c r="E12" s="12">
        <f t="shared" si="9"/>
        <v>6</v>
      </c>
      <c r="F12" s="16">
        <f t="shared" si="10"/>
        <v>3.0000000000000001E-3</v>
      </c>
      <c r="G12" s="17">
        <f t="shared" si="11"/>
        <v>5.0000000000000001E-3</v>
      </c>
      <c r="H12" s="12">
        <f t="shared" si="12"/>
        <v>2.5000000000000001E-4</v>
      </c>
      <c r="I12" s="17">
        <f>MIN(_xll.ohPack($V$3:INDEX($V$3:$V$135,MATCH(D12+1,$R$3:$R$135,1),1)))</f>
        <v>3.147269631270174E-3</v>
      </c>
      <c r="J12" s="17">
        <f>MAX(_xll.ohPack($V$3:INDEX($V$3:$V$135,MATCH(D12+1,$R$3:$R$135,1),1)))</f>
        <v>4.616732612629822E-3</v>
      </c>
      <c r="L12" s="46" t="s">
        <v>45</v>
      </c>
      <c r="M12" s="35" t="str">
        <f>_xll.qlAbcdCalibration2(,W3:W253,V3:V253,Y3:Y253,ContBasis,N8:N11,,,,Trigger)</f>
        <v>obj_005f4#0006</v>
      </c>
      <c r="N12" s="34"/>
      <c r="O12" s="33">
        <v>1</v>
      </c>
      <c r="P12" s="27" t="str">
        <f>_xll.qlPeriodEquivalent(P11&amp;"+"&amp;O12&amp;"M")</f>
        <v>9M</v>
      </c>
      <c r="Q12" s="28">
        <f>_xll.qlCalendarAdvance(Calendar,SettlementDate,P12,"f",,Trigger)</f>
        <v>42555</v>
      </c>
      <c r="R12" s="28">
        <f>_xll.qlInterestRateIndexValueDate(Index,Q12,Trigger)</f>
        <v>42557</v>
      </c>
      <c r="S12" s="28">
        <f>_xll.qlInterestRateIndexMaturity(Index,R12,Trigger)</f>
        <v>42922</v>
      </c>
      <c r="T12" s="30">
        <f>_xll.qlIndexFixing($M$6,Q12,,InterestRatesTrigger)</f>
        <v>-1.8392322571394906E-3</v>
      </c>
      <c r="U12" s="30">
        <f>_xll.qlIndexFixing(Index,Q12,,InterestRatesTrigger)</f>
        <v>1.7556104683414391E-3</v>
      </c>
      <c r="V12" s="30">
        <f t="shared" si="5"/>
        <v>3.5948427254809297E-3</v>
      </c>
      <c r="W12" s="29">
        <f>_xll.qlDayCounterYearFraction(DayCounter,SettlementDate,R12,,,Trigger)</f>
        <v>0.77222222222222225</v>
      </c>
      <c r="X12" s="29">
        <f>_xll.qlDayCounterYearFraction(DayCounter,R12,S12)</f>
        <v>1.0138888888888888</v>
      </c>
      <c r="Y12" s="29">
        <f>_xll.qlYieldTSDiscount(Currency&amp;"ON",R12)/(1+U12*X12)</f>
        <v>0.9995055315463105</v>
      </c>
      <c r="Z12" s="30">
        <f>_xll.qlTenorBasisValue(TenorBasis6M,R12,InterestRatesTrigger)</f>
        <v>3.640594170395623E-3</v>
      </c>
      <c r="AA12" s="30">
        <f t="shared" si="6"/>
        <v>-4.575144491469332E-5</v>
      </c>
    </row>
    <row r="13" spans="1:27" x14ac:dyDescent="0.2">
      <c r="A13" s="18" t="str">
        <f>_xll.qlPeriodEquivalent(C13&amp;"M")</f>
        <v>10Y</v>
      </c>
      <c r="B13" s="10">
        <f t="shared" ref="B13:B16" si="13">B12</f>
        <v>42185</v>
      </c>
      <c r="C13" s="11">
        <v>120</v>
      </c>
      <c r="D13" s="10">
        <f t="shared" si="8"/>
        <v>45930</v>
      </c>
      <c r="E13" s="12">
        <f t="shared" si="9"/>
        <v>6</v>
      </c>
      <c r="F13" s="16">
        <f t="shared" si="10"/>
        <v>2E-3</v>
      </c>
      <c r="G13" s="17">
        <f t="shared" si="11"/>
        <v>5.0000000000000001E-3</v>
      </c>
      <c r="H13" s="12">
        <f t="shared" si="12"/>
        <v>2.5000000000000001E-4</v>
      </c>
      <c r="I13" s="17">
        <f>MIN(_xll.ohPack($V$3:INDEX($V$3:$V$135,MATCH(D13+1,$R$3:$R$135,1),1)))</f>
        <v>2.9575798327911781E-3</v>
      </c>
      <c r="J13" s="17">
        <f>MAX(_xll.ohPack($V$3:INDEX($V$3:$V$135,MATCH(D13+1,$R$3:$R$135,1),1)))</f>
        <v>4.616732612629822E-3</v>
      </c>
      <c r="L13" s="46" t="s">
        <v>38</v>
      </c>
      <c r="M13" s="35" t="b">
        <f>_xll.qlAbcdCalibration2Compute(M12,AllTriggers)</f>
        <v>1</v>
      </c>
      <c r="O13" s="33">
        <v>1</v>
      </c>
      <c r="P13" s="27" t="str">
        <f>_xll.qlPeriodEquivalent(P12&amp;"+"&amp;O13&amp;"M")</f>
        <v>10M</v>
      </c>
      <c r="Q13" s="28">
        <f>_xll.qlCalendarAdvance(Calendar,SettlementDate,P13,"f",,Trigger)</f>
        <v>42584</v>
      </c>
      <c r="R13" s="28">
        <f>_xll.qlInterestRateIndexValueDate(Index,Q13,Trigger)</f>
        <v>42586</v>
      </c>
      <c r="S13" s="28">
        <f>_xll.qlInterestRateIndexMaturity(Index,R13,Trigger)</f>
        <v>42951</v>
      </c>
      <c r="T13" s="30">
        <f>_xll.qlIndexFixing($M$6,Q13,,InterestRatesTrigger)</f>
        <v>-1.8017323871016829E-3</v>
      </c>
      <c r="U13" s="30">
        <f>_xll.qlIndexFixing(Index,Q13,,InterestRatesTrigger)</f>
        <v>1.8353492652738021E-3</v>
      </c>
      <c r="V13" s="30">
        <f t="shared" si="5"/>
        <v>3.6370816523754847E-3</v>
      </c>
      <c r="W13" s="29">
        <f>_xll.qlDayCounterYearFraction(DayCounter,SettlementDate,R13,,,Trigger)</f>
        <v>0.85277777777777775</v>
      </c>
      <c r="X13" s="29">
        <f>_xll.qlDayCounterYearFraction(DayCounter,R13,S13)</f>
        <v>1.0138888888888888</v>
      </c>
      <c r="Y13" s="29">
        <f>_xll.qlYieldTSDiscount(Currency&amp;"ON",R13)/(1+U13*X13)</f>
        <v>0.99958118503648596</v>
      </c>
      <c r="Z13" s="30">
        <f>_xll.qlTenorBasisValue(TenorBasis6M,R13,InterestRatesTrigger)</f>
        <v>3.6667180626466316E-3</v>
      </c>
      <c r="AA13" s="30">
        <f t="shared" si="6"/>
        <v>-2.9636410271146902E-5</v>
      </c>
    </row>
    <row r="14" spans="1:27" x14ac:dyDescent="0.2">
      <c r="A14" s="18" t="str">
        <f>_xll.qlPeriodEquivalent(C14&amp;"M")</f>
        <v>20Y</v>
      </c>
      <c r="B14" s="10">
        <f>IF(AND(MONTH(B13)=12),B13,_xll.qlDateEndOfMonth(EDATE(B13,-6)))</f>
        <v>42004</v>
      </c>
      <c r="C14" s="11">
        <v>240</v>
      </c>
      <c r="D14" s="10">
        <f t="shared" si="8"/>
        <v>49582</v>
      </c>
      <c r="E14" s="13">
        <f t="shared" si="9"/>
        <v>12</v>
      </c>
      <c r="F14" s="16">
        <f t="shared" si="10"/>
        <v>0</v>
      </c>
      <c r="G14" s="17">
        <f t="shared" si="11"/>
        <v>5.0000000000000001E-3</v>
      </c>
      <c r="H14" s="12">
        <f t="shared" si="12"/>
        <v>1E-3</v>
      </c>
      <c r="I14" s="17">
        <f>MIN(_xll.ohPack($V$3:INDEX($V$3:$V$135,MATCH(D14+1,$R$3:$R$135,1),1)))</f>
        <v>9.0792125624916328E-4</v>
      </c>
      <c r="J14" s="17">
        <f>MAX(_xll.ohPack($V$3:INDEX($V$3:$V$135,MATCH(D14+1,$R$3:$R$135,1),1)))</f>
        <v>4.616732612629822E-3</v>
      </c>
      <c r="L14" s="46" t="s">
        <v>35</v>
      </c>
      <c r="M14" s="43">
        <f>_xll.qlAbcdCalibration2Error(M12)</f>
        <v>3.6563325108934574E-4</v>
      </c>
      <c r="O14" s="33">
        <v>1</v>
      </c>
      <c r="P14" s="27" t="str">
        <f>_xll.qlPeriodEquivalent(P13&amp;"+"&amp;O14&amp;"M")</f>
        <v>11M</v>
      </c>
      <c r="Q14" s="28">
        <f>_xll.qlCalendarAdvance(Calendar,SettlementDate,P14,"f",,Trigger)</f>
        <v>42615</v>
      </c>
      <c r="R14" s="28">
        <f>_xll.qlInterestRateIndexValueDate(Index,Q14,Trigger)</f>
        <v>42619</v>
      </c>
      <c r="S14" s="28">
        <f>_xll.qlInterestRateIndexMaturity(Index,R14,Trigger)</f>
        <v>42984</v>
      </c>
      <c r="T14" s="30">
        <f>_xll.qlIndexFixing($M$6,Q14,,InterestRatesTrigger)</f>
        <v>-1.7471679847014772E-3</v>
      </c>
      <c r="U14" s="30">
        <f>_xll.qlIndexFixing(Index,Q14,,InterestRatesTrigger)</f>
        <v>1.9293392294378944E-3</v>
      </c>
      <c r="V14" s="30">
        <f t="shared" si="5"/>
        <v>3.6765072141393719E-3</v>
      </c>
      <c r="W14" s="29">
        <f>_xll.qlDayCounterYearFraction(DayCounter,SettlementDate,R14,,,Trigger)</f>
        <v>0.94444444444444442</v>
      </c>
      <c r="X14" s="29">
        <f>_xll.qlDayCounterYearFraction(DayCounter,R14,S14)</f>
        <v>1.0138888888888888</v>
      </c>
      <c r="Y14" s="29">
        <f>_xll.qlYieldTSDiscount(Currency&amp;"ON",R14)/(1+U14*X14)</f>
        <v>0.99966563573688128</v>
      </c>
      <c r="Z14" s="30">
        <f>_xll.qlTenorBasisValue(TenorBasis6M,R14,InterestRatesTrigger)</f>
        <v>3.6948888655896467E-3</v>
      </c>
      <c r="AA14" s="30">
        <f t="shared" si="6"/>
        <v>-1.8381651450274841E-5</v>
      </c>
    </row>
    <row r="15" spans="1:27" x14ac:dyDescent="0.2">
      <c r="A15" s="18" t="str">
        <f>_xll.qlPeriodEquivalent(C15&amp;"M")</f>
        <v>30Y</v>
      </c>
      <c r="B15" s="10">
        <f t="shared" si="13"/>
        <v>42004</v>
      </c>
      <c r="C15" s="11">
        <v>360</v>
      </c>
      <c r="D15" s="10">
        <f t="shared" si="8"/>
        <v>53235</v>
      </c>
      <c r="E15" s="13">
        <f t="shared" si="9"/>
        <v>36</v>
      </c>
      <c r="F15" s="16">
        <f t="shared" si="10"/>
        <v>0</v>
      </c>
      <c r="G15" s="17">
        <f t="shared" si="11"/>
        <v>5.0000000000000001E-3</v>
      </c>
      <c r="H15" s="12">
        <f t="shared" si="12"/>
        <v>1E-3</v>
      </c>
      <c r="I15" s="17">
        <f>MIN(_xll.ohPack($V$3:INDEX($V$3:$V$135,MATCH(D15+1,$R$3:$R$135,1),1)))</f>
        <v>7.3361757957642049E-4</v>
      </c>
      <c r="J15" s="17">
        <f>MAX(_xll.ohPack($V$3:INDEX($V$3:$V$135,MATCH(D15+1,$R$3:$R$135,1),1)))</f>
        <v>4.616732612629822E-3</v>
      </c>
      <c r="L15" s="46" t="s">
        <v>57</v>
      </c>
      <c r="M15" s="43">
        <f>_xll.qlAbcdCalibration2MaxError(M12)</f>
        <v>2.829796501731147E-3</v>
      </c>
      <c r="O15" s="33">
        <v>1</v>
      </c>
      <c r="P15" s="27" t="str">
        <f>_xll.qlPeriodEquivalent(P14&amp;"+"&amp;O15&amp;"M")</f>
        <v>1Y</v>
      </c>
      <c r="Q15" s="28">
        <f>_xll.qlCalendarAdvance(Calendar,SettlementDate,P15,"f",,Trigger)</f>
        <v>42646</v>
      </c>
      <c r="R15" s="28">
        <f>_xll.qlInterestRateIndexValueDate(Index,Q15,Trigger)</f>
        <v>42648</v>
      </c>
      <c r="S15" s="28">
        <f>_xll.qlInterestRateIndexMaturity(Index,R15,Trigger)</f>
        <v>43013</v>
      </c>
      <c r="T15" s="30">
        <f>_xll.qlIndexFixing($M$6,Q15,,InterestRatesTrigger)</f>
        <v>-1.6866171229220979E-3</v>
      </c>
      <c r="U15" s="30">
        <f>_xll.qlIndexFixing(Index,Q15,,InterestRatesTrigger)</f>
        <v>2.0381566328704906E-3</v>
      </c>
      <c r="V15" s="30">
        <f t="shared" si="5"/>
        <v>3.7247737557925885E-3</v>
      </c>
      <c r="W15" s="29">
        <f>_xll.qlDayCounterYearFraction(DayCounter,SettlementDate,R15,,,Trigger)</f>
        <v>1.0249999999999999</v>
      </c>
      <c r="X15" s="29">
        <f>_xll.qlDayCounterYearFraction(DayCounter,R15,S15)</f>
        <v>1.0138888888888888</v>
      </c>
      <c r="Y15" s="29">
        <f>_xll.qlYieldTSDiscount(Currency&amp;"ON",R15)/(1+U15*X15)</f>
        <v>0.9997155895974289</v>
      </c>
      <c r="Z15" s="30">
        <f>_xll.qlTenorBasisValue(TenorBasis6M,R15,InterestRatesTrigger)</f>
        <v>3.7183104199487831E-3</v>
      </c>
      <c r="AA15" s="30">
        <f t="shared" si="6"/>
        <v>6.4633358438054116E-6</v>
      </c>
    </row>
    <row r="16" spans="1:27" x14ac:dyDescent="0.2">
      <c r="A16" s="19" t="str">
        <f>_xll.qlPeriodEquivalent(C16&amp;"M")</f>
        <v>60Y</v>
      </c>
      <c r="B16" s="20">
        <f t="shared" si="13"/>
        <v>42004</v>
      </c>
      <c r="C16" s="21">
        <v>720</v>
      </c>
      <c r="D16" s="20">
        <f t="shared" si="8"/>
        <v>64192</v>
      </c>
      <c r="E16" s="22">
        <f t="shared" si="9"/>
        <v>60</v>
      </c>
      <c r="F16" s="23">
        <f t="shared" si="10"/>
        <v>0</v>
      </c>
      <c r="G16" s="24">
        <f t="shared" si="11"/>
        <v>5.0000000000000001E-3</v>
      </c>
      <c r="H16" s="25">
        <f t="shared" si="12"/>
        <v>1E-3</v>
      </c>
      <c r="I16" s="24">
        <f>MIN(_xll.ohPack($V$3:INDEX($V$3:$V$135,MATCH(D16+1,$R$3:$R$135,1),1)))</f>
        <v>1.2669921488882123E-4</v>
      </c>
      <c r="J16" s="24">
        <f>MAX(_xll.ohPack($V$3:INDEX($V$3:$V$135,MATCH(D16+1,$R$3:$R$135,1),1)))</f>
        <v>4.616732612629822E-3</v>
      </c>
      <c r="O16" s="33">
        <v>1</v>
      </c>
      <c r="P16" s="27" t="str">
        <f>_xll.qlPeriodEquivalent(P15&amp;"+"&amp;O16&amp;"M")</f>
        <v>1Y1M</v>
      </c>
      <c r="Q16" s="28">
        <f>_xll.qlCalendarAdvance(Calendar,SettlementDate,P16,"f",,Trigger)</f>
        <v>42676</v>
      </c>
      <c r="R16" s="28">
        <f>_xll.qlInterestRateIndexValueDate(Index,Q16,Trigger)</f>
        <v>42678</v>
      </c>
      <c r="S16" s="28">
        <f>_xll.qlInterestRateIndexMaturity(Index,R16,Trigger)</f>
        <v>43045</v>
      </c>
      <c r="T16" s="30">
        <f>_xll.qlIndexFixing($M$6,Q16,,InterestRatesTrigger)</f>
        <v>-1.6094155105924727E-3</v>
      </c>
      <c r="U16" s="30">
        <f>_xll.qlIndexFixing(Index,Q16,,InterestRatesTrigger)</f>
        <v>2.1738208489322686E-3</v>
      </c>
      <c r="V16" s="30">
        <f t="shared" si="5"/>
        <v>3.7832363595247413E-3</v>
      </c>
      <c r="W16" s="29">
        <f>_xll.qlDayCounterYearFraction(DayCounter,SettlementDate,R16,,,Trigger)</f>
        <v>1.1083333333333334</v>
      </c>
      <c r="X16" s="29">
        <f>_xll.qlDayCounterYearFraction(DayCounter,R16,S16)</f>
        <v>1.0194444444444444</v>
      </c>
      <c r="Y16" s="29">
        <f>_xll.qlYieldTSDiscount(Currency&amp;"ON",R16)/(1+U16*X16)</f>
        <v>0.99973162600095888</v>
      </c>
      <c r="Z16" s="30">
        <f>_xll.qlTenorBasisValue(TenorBasis6M,R16,InterestRatesTrigger)</f>
        <v>3.7412581053710642E-3</v>
      </c>
      <c r="AA16" s="30">
        <f t="shared" si="6"/>
        <v>4.1978254153677078E-5</v>
      </c>
    </row>
    <row r="17" spans="12:27" x14ac:dyDescent="0.2">
      <c r="L17" s="72" t="s">
        <v>51</v>
      </c>
      <c r="M17" s="73"/>
      <c r="O17" s="33">
        <v>1</v>
      </c>
      <c r="P17" s="27" t="str">
        <f>_xll.qlPeriodEquivalent(P16&amp;"+"&amp;O17&amp;"M")</f>
        <v>1Y2M</v>
      </c>
      <c r="Q17" s="28">
        <f>_xll.qlCalendarAdvance(Calendar,SettlementDate,P17,"f",,Trigger)</f>
        <v>42706</v>
      </c>
      <c r="R17" s="28">
        <f>_xll.qlInterestRateIndexValueDate(Index,Q17,Trigger)</f>
        <v>42710</v>
      </c>
      <c r="S17" s="28">
        <f>_xll.qlInterestRateIndexMaturity(Index,R17,Trigger)</f>
        <v>43075</v>
      </c>
      <c r="T17" s="30">
        <f>_xll.qlIndexFixing($M$6,Q17,,InterestRatesTrigger)</f>
        <v>-1.5225977210589668E-3</v>
      </c>
      <c r="U17" s="30">
        <f>_xll.qlIndexFixing(Index,Q17,,InterestRatesTrigger)</f>
        <v>2.3217425962828121E-3</v>
      </c>
      <c r="V17" s="30">
        <f t="shared" si="5"/>
        <v>3.8443403173417786E-3</v>
      </c>
      <c r="W17" s="29">
        <f>_xll.qlDayCounterYearFraction(DayCounter,SettlementDate,R17,,,Trigger)</f>
        <v>1.1972222222222222</v>
      </c>
      <c r="X17" s="29">
        <f>_xll.qlDayCounterYearFraction(DayCounter,R17,S17)</f>
        <v>1.0138888888888888</v>
      </c>
      <c r="Y17" s="29">
        <f>_xll.qlYieldTSDiscount(Currency&amp;"ON",R17)/(1+U17*X17)</f>
        <v>0.99976794702146776</v>
      </c>
      <c r="Z17" s="30">
        <f>_xll.qlTenorBasisValue(TenorBasis6M,R17,InterestRatesTrigger)</f>
        <v>3.7643342838821364E-3</v>
      </c>
      <c r="AA17" s="30">
        <f t="shared" si="6"/>
        <v>8.0006033459642262E-5</v>
      </c>
    </row>
    <row r="18" spans="12:27" x14ac:dyDescent="0.2">
      <c r="L18" s="46" t="s">
        <v>46</v>
      </c>
      <c r="M18" s="43">
        <f>_xll.qlAbcdCalibration2A($M$12,M13)</f>
        <v>2.9002563362473008E-3</v>
      </c>
      <c r="O18" s="33">
        <v>1</v>
      </c>
      <c r="P18" s="27" t="str">
        <f>_xll.qlPeriodEquivalent(P17&amp;"+"&amp;O18&amp;"M")</f>
        <v>1Y3M</v>
      </c>
      <c r="Q18" s="28">
        <f>_xll.qlCalendarAdvance(Calendar,SettlementDate,P18,"f",,Trigger)</f>
        <v>42737</v>
      </c>
      <c r="R18" s="28">
        <f>_xll.qlInterestRateIndexValueDate(Index,Q18,Trigger)</f>
        <v>42739</v>
      </c>
      <c r="S18" s="28">
        <f>_xll.qlInterestRateIndexMaturity(Index,R18,Trigger)</f>
        <v>43104</v>
      </c>
      <c r="T18" s="30">
        <f>_xll.qlIndexFixing($M$6,Q18,,InterestRatesTrigger)</f>
        <v>-1.4338988104596908E-3</v>
      </c>
      <c r="U18" s="30">
        <f>_xll.qlIndexFixing(Index,Q18,,InterestRatesTrigger)</f>
        <v>2.4584614836404475E-3</v>
      </c>
      <c r="V18" s="30">
        <f t="shared" si="5"/>
        <v>3.8923602941001384E-3</v>
      </c>
      <c r="W18" s="29">
        <f>_xll.qlDayCounterYearFraction(DayCounter,SettlementDate,R18,,,Trigger)</f>
        <v>1.2777777777777777</v>
      </c>
      <c r="X18" s="29">
        <f>_xll.qlDayCounterYearFraction(DayCounter,R18,S18)</f>
        <v>1.0138888888888888</v>
      </c>
      <c r="Y18" s="29">
        <f>_xll.qlYieldTSDiscount(Currency&amp;"ON",R18)/(1+U18*X18)</f>
        <v>0.99978124646646949</v>
      </c>
      <c r="Z18" s="30">
        <f>_xll.qlTenorBasisValue(TenorBasis6M,R18,InterestRatesTrigger)</f>
        <v>3.7840282516164109E-3</v>
      </c>
      <c r="AA18" s="30">
        <f t="shared" si="6"/>
        <v>1.0833204248372752E-4</v>
      </c>
    </row>
    <row r="19" spans="12:27" x14ac:dyDescent="0.2">
      <c r="L19" s="46" t="s">
        <v>47</v>
      </c>
      <c r="M19" s="44">
        <f>_xll.qlAbcdCalibration2B($M$12,M13)</f>
        <v>1.0070007744750892E-3</v>
      </c>
      <c r="O19" s="33">
        <v>1</v>
      </c>
      <c r="P19" s="27" t="str">
        <f>_xll.qlPeriodEquivalent(P18&amp;"+"&amp;O19&amp;"M")</f>
        <v>1Y4M</v>
      </c>
      <c r="Q19" s="28">
        <f>_xll.qlCalendarAdvance(Calendar,SettlementDate,P19,"f",,Trigger)</f>
        <v>42768</v>
      </c>
      <c r="R19" s="28">
        <f>_xll.qlInterestRateIndexValueDate(Index,Q19,Trigger)</f>
        <v>42772</v>
      </c>
      <c r="S19" s="28">
        <f>_xll.qlInterestRateIndexMaturity(Index,R19,Trigger)</f>
        <v>43137</v>
      </c>
      <c r="T19" s="30">
        <f>_xll.qlIndexFixing($M$6,Q19,,InterestRatesTrigger)</f>
        <v>-1.3156449560967401E-3</v>
      </c>
      <c r="U19" s="30">
        <f>_xll.qlIndexFixing(Index,Q19,,InterestRatesTrigger)</f>
        <v>2.6157913891227489E-3</v>
      </c>
      <c r="V19" s="30">
        <f t="shared" si="5"/>
        <v>3.9314363452194892E-3</v>
      </c>
      <c r="W19" s="29">
        <f>_xll.qlDayCounterYearFraction(DayCounter,SettlementDate,R19,,,Trigger)</f>
        <v>1.3694444444444445</v>
      </c>
      <c r="X19" s="29">
        <f>_xll.qlDayCounterYearFraction(DayCounter,R19,S19)</f>
        <v>1.0138888888888888</v>
      </c>
      <c r="Y19" s="29">
        <f>_xll.qlYieldTSDiscount(Currency&amp;"ON",R19)/(1+U19*X19)</f>
        <v>0.99979625172708797</v>
      </c>
      <c r="Z19" s="30">
        <f>_xll.qlTenorBasisValue(TenorBasis6M,R19,InterestRatesTrigger)</f>
        <v>3.8050648556143449E-3</v>
      </c>
      <c r="AA19" s="30">
        <f t="shared" si="6"/>
        <v>1.2637148960514431E-4</v>
      </c>
    </row>
    <row r="20" spans="12:27" x14ac:dyDescent="0.2">
      <c r="L20" s="46" t="s">
        <v>48</v>
      </c>
      <c r="M20" s="44">
        <f>_xll.qlAbcdCalibration2C($M$12,M13)</f>
        <v>0.17</v>
      </c>
      <c r="O20" s="33">
        <v>1</v>
      </c>
      <c r="P20" s="27" t="str">
        <f>_xll.qlPeriodEquivalent(P19&amp;"+"&amp;O20&amp;"M")</f>
        <v>1Y5M</v>
      </c>
      <c r="Q20" s="28">
        <f>_xll.qlCalendarAdvance(Calendar,SettlementDate,P20,"f",,Trigger)</f>
        <v>42796</v>
      </c>
      <c r="R20" s="28">
        <f>_xll.qlInterestRateIndexValueDate(Index,Q20,Trigger)</f>
        <v>42800</v>
      </c>
      <c r="S20" s="28">
        <f>_xll.qlInterestRateIndexMaturity(Index,R20,Trigger)</f>
        <v>43165</v>
      </c>
      <c r="T20" s="30">
        <f>_xll.qlIndexFixing($M$6,Q20,,InterestRatesTrigger)</f>
        <v>-1.2078897805120714E-3</v>
      </c>
      <c r="U20" s="30">
        <f>_xll.qlIndexFixing(Index,Q20,,InterestRatesTrigger)</f>
        <v>2.7803584253977805E-3</v>
      </c>
      <c r="V20" s="30">
        <f t="shared" si="5"/>
        <v>3.9882482059098515E-3</v>
      </c>
      <c r="W20" s="29">
        <f>_xll.qlDayCounterYearFraction(DayCounter,SettlementDate,R20,,,Trigger)</f>
        <v>1.4472222222222222</v>
      </c>
      <c r="X20" s="29">
        <f>_xll.qlDayCounterYearFraction(DayCounter,R20,S20)</f>
        <v>1.0138888888888888</v>
      </c>
      <c r="Y20" s="29">
        <f>_xll.qlYieldTSDiscount(Currency&amp;"ON",R20)/(1+U20*X20)</f>
        <v>0.99977122168420995</v>
      </c>
      <c r="Z20" s="30">
        <f>_xll.qlTenorBasisValue(TenorBasis6M,R20,InterestRatesTrigger)</f>
        <v>3.8217953813431149E-3</v>
      </c>
      <c r="AA20" s="30">
        <f t="shared" si="6"/>
        <v>1.664528245667366E-4</v>
      </c>
    </row>
    <row r="21" spans="12:27" x14ac:dyDescent="0.2">
      <c r="L21" s="46" t="s">
        <v>49</v>
      </c>
      <c r="M21" s="43">
        <f>_xll.qlAbcdCalibration2D($M$12,M13)</f>
        <v>4.1873757683297551E-4</v>
      </c>
      <c r="O21" s="33">
        <v>1</v>
      </c>
      <c r="P21" s="27" t="str">
        <f>_xll.qlPeriodEquivalent(P20&amp;"+"&amp;O21&amp;"M")</f>
        <v>1Y6M</v>
      </c>
      <c r="Q21" s="28">
        <f>_xll.qlCalendarAdvance(Calendar,SettlementDate,P21,"f",,Trigger)</f>
        <v>42828</v>
      </c>
      <c r="R21" s="28">
        <f>_xll.qlInterestRateIndexValueDate(Index,Q21,Trigger)</f>
        <v>42830</v>
      </c>
      <c r="S21" s="28">
        <f>_xll.qlInterestRateIndexMaturity(Index,R21,Trigger)</f>
        <v>43195</v>
      </c>
      <c r="T21" s="30">
        <f>_xll.qlIndexFixing($M$6,Q21,,InterestRatesTrigger)</f>
        <v>-1.083089260013566E-3</v>
      </c>
      <c r="U21" s="30">
        <f>_xll.qlIndexFixing(Index,Q21,,InterestRatesTrigger)</f>
        <v>2.9492161292908351E-3</v>
      </c>
      <c r="V21" s="30">
        <f t="shared" si="5"/>
        <v>4.0323053893044011E-3</v>
      </c>
      <c r="W21" s="29">
        <f>_xll.qlDayCounterYearFraction(DayCounter,SettlementDate,R21,,,Trigger)</f>
        <v>1.5305555555555554</v>
      </c>
      <c r="X21" s="29">
        <f>_xll.qlDayCounterYearFraction(DayCounter,R21,S21)</f>
        <v>1.0138888888888888</v>
      </c>
      <c r="Y21" s="29">
        <f>_xll.qlYieldTSDiscount(Currency&amp;"ON",R21)/(1+U21*X21)</f>
        <v>0.99974675437423011</v>
      </c>
      <c r="Z21" s="30">
        <f>_xll.qlTenorBasisValue(TenorBasis6M,R21,InterestRatesTrigger)</f>
        <v>3.8386096510310739E-3</v>
      </c>
      <c r="AA21" s="30">
        <f t="shared" si="6"/>
        <v>1.9369573827332726E-4</v>
      </c>
    </row>
    <row r="22" spans="12:27" x14ac:dyDescent="0.2">
      <c r="L22" s="46" t="s">
        <v>50</v>
      </c>
      <c r="M22" s="35" t="str">
        <f>_xll.qlAbcdTenorBasis(,Index,Currency&amp;"ON",SettlementDate,TRUE,M18:M21,,Trigger)</f>
        <v>obj_005f6#0006</v>
      </c>
      <c r="O22" s="33">
        <v>6</v>
      </c>
      <c r="P22" s="27" t="str">
        <f>_xll.qlPeriodEquivalent(P21&amp;"+"&amp;O22&amp;"M")</f>
        <v>2Y</v>
      </c>
      <c r="Q22" s="28">
        <f>_xll.qlCalendarAdvance(Calendar,SettlementDate,P22,"f",,Trigger)</f>
        <v>43010</v>
      </c>
      <c r="R22" s="28">
        <f>_xll.qlInterestRateIndexValueDate(Index,Q22,Trigger)</f>
        <v>43012</v>
      </c>
      <c r="S22" s="28">
        <f>_xll.qlInterestRateIndexMaturity(Index,R22,Trigger)</f>
        <v>43377</v>
      </c>
      <c r="T22" s="30">
        <f>_xll.qlIndexFixing($M$6,Q22,,InterestRatesTrigger)</f>
        <v>-1.0723219595870713E-4</v>
      </c>
      <c r="U22" s="30">
        <f>_xll.qlIndexFixing(Index,Q22,,InterestRatesTrigger)</f>
        <v>4.1668843310684878E-3</v>
      </c>
      <c r="V22" s="30">
        <f t="shared" si="5"/>
        <v>4.274116527027195E-3</v>
      </c>
      <c r="W22" s="29">
        <f>_xll.qlDayCounterYearFraction(DayCounter,SettlementDate,R22,,,Trigger)</f>
        <v>2.036111111111111</v>
      </c>
      <c r="X22" s="29">
        <f>_xll.qlDayCounterYearFraction(DayCounter,R22,S22)</f>
        <v>1.0138888888888888</v>
      </c>
      <c r="Y22" s="29">
        <f>_xll.qlYieldTSDiscount(Currency&amp;"ON",R22)/(1+U22*X22)</f>
        <v>0.99927257351011223</v>
      </c>
      <c r="Z22" s="30">
        <f>_xll.qlTenorBasisValue(TenorBasis6M,R22,InterestRatesTrigger)</f>
        <v>3.9175594388319501E-3</v>
      </c>
      <c r="AA22" s="30">
        <f t="shared" si="6"/>
        <v>3.5655708819524491E-4</v>
      </c>
    </row>
    <row r="23" spans="12:27" x14ac:dyDescent="0.2">
      <c r="M23" s="42">
        <f>1/M20-M18/M19</f>
        <v>3.0022594896504842</v>
      </c>
      <c r="O23" s="33">
        <v>12</v>
      </c>
      <c r="P23" s="27" t="str">
        <f>_xll.qlPeriodEquivalent(P22&amp;"+"&amp;O23&amp;"M")</f>
        <v>3Y</v>
      </c>
      <c r="Q23" s="28">
        <f>_xll.qlCalendarAdvance(Calendar,SettlementDate,P23,"f",,Trigger)</f>
        <v>43375</v>
      </c>
      <c r="R23" s="28">
        <f>_xll.qlInterestRateIndexValueDate(Index,Q23,Trigger)</f>
        <v>43377</v>
      </c>
      <c r="S23" s="28">
        <f>_xll.qlInterestRateIndexMaturity(Index,R23,Trigger)</f>
        <v>43742</v>
      </c>
      <c r="T23" s="30">
        <f>_xll.qlIndexFixing($M$6,Q23,,InterestRatesTrigger)</f>
        <v>2.4420316142657475E-3</v>
      </c>
      <c r="U23" s="30">
        <f>_xll.qlIndexFixing(Index,Q23,,InterestRatesTrigger)</f>
        <v>6.9752878756015541E-3</v>
      </c>
      <c r="V23" s="30">
        <f t="shared" si="5"/>
        <v>4.5332562613358066E-3</v>
      </c>
      <c r="W23" s="29">
        <f>_xll.qlDayCounterYearFraction(DayCounter,SettlementDate,R23,,,Trigger)</f>
        <v>3.05</v>
      </c>
      <c r="X23" s="29">
        <f>_xll.qlDayCounterYearFraction(DayCounter,R23,S23)</f>
        <v>1.0138888888888888</v>
      </c>
      <c r="Y23" s="29">
        <f>_xll.qlYieldTSDiscount(Currency&amp;"ON",R23)/(1+U23*X23)</f>
        <v>0.99655556408177692</v>
      </c>
      <c r="Z23" s="30">
        <f>_xll.qlTenorBasisValue(TenorBasis6M,R23,InterestRatesTrigger)</f>
        <v>3.9744256616790295E-3</v>
      </c>
      <c r="AA23" s="30">
        <f t="shared" si="6"/>
        <v>5.588305996567771E-4</v>
      </c>
    </row>
    <row r="24" spans="12:27" x14ac:dyDescent="0.2">
      <c r="O24" s="33">
        <v>12</v>
      </c>
      <c r="P24" s="27" t="str">
        <f>_xll.qlPeriodEquivalent(P23&amp;"+"&amp;O24&amp;"M")</f>
        <v>4Y</v>
      </c>
      <c r="Q24" s="28">
        <f>_xll.qlCalendarAdvance(Calendar,SettlementDate,P24,"f",,Trigger)</f>
        <v>43740</v>
      </c>
      <c r="R24" s="28">
        <f>_xll.qlInterestRateIndexValueDate(Index,Q24,Trigger)</f>
        <v>43742</v>
      </c>
      <c r="S24" s="28">
        <f>_xll.qlInterestRateIndexMaturity(Index,R24,Trigger)</f>
        <v>44109</v>
      </c>
      <c r="T24" s="30">
        <f>_xll.qlIndexFixing($M$6,Q24,,InterestRatesTrigger)</f>
        <v>5.2623665450237962E-3</v>
      </c>
      <c r="U24" s="30">
        <f>_xll.qlIndexFixing(Index,Q24,,InterestRatesTrigger)</f>
        <v>9.8790991576536182E-3</v>
      </c>
      <c r="V24" s="30">
        <f t="shared" si="5"/>
        <v>4.616732612629822E-3</v>
      </c>
      <c r="W24" s="29">
        <f>_xll.qlDayCounterYearFraction(DayCounter,SettlementDate,R24,,,Trigger)</f>
        <v>4.0638888888888891</v>
      </c>
      <c r="X24" s="29">
        <f>_xll.qlDayCounterYearFraction(DayCounter,R24,S24)</f>
        <v>1.0194444444444444</v>
      </c>
      <c r="Y24" s="29">
        <f>_xll.qlYieldTSDiscount(Currency&amp;"ON",R24)/(1+U24*X24)</f>
        <v>0.99114264939667229</v>
      </c>
      <c r="Z24" s="30">
        <f>_xll.qlTenorBasisValue(TenorBasis6M,R24,InterestRatesTrigger)</f>
        <v>3.927997882780275E-3</v>
      </c>
      <c r="AA24" s="30">
        <f t="shared" si="6"/>
        <v>6.8873472984954699E-4</v>
      </c>
    </row>
    <row r="25" spans="12:27" x14ac:dyDescent="0.2">
      <c r="L25" s="72" t="s">
        <v>54</v>
      </c>
      <c r="M25" s="73"/>
      <c r="O25" s="33">
        <v>12</v>
      </c>
      <c r="P25" s="27" t="str">
        <f>_xll.qlPeriodEquivalent(P24&amp;"+"&amp;O25&amp;"M")</f>
        <v>5Y</v>
      </c>
      <c r="Q25" s="28">
        <f>_xll.qlCalendarAdvance(Calendar,SettlementDate,P25,"f",,Trigger)</f>
        <v>44106</v>
      </c>
      <c r="R25" s="28">
        <f>_xll.qlInterestRateIndexValueDate(Index,Q25,Trigger)</f>
        <v>44110</v>
      </c>
      <c r="S25" s="28">
        <f>_xll.qlInterestRateIndexMaturity(Index,R25,Trigger)</f>
        <v>44475</v>
      </c>
      <c r="T25" s="30">
        <f>_xll.qlIndexFixing($M$6,Q25,,InterestRatesTrigger)</f>
        <v>8.7732576148588717E-3</v>
      </c>
      <c r="U25" s="30">
        <f>_xll.qlIndexFixing(Index,Q25,,InterestRatesTrigger)</f>
        <v>1.2714356699280453E-2</v>
      </c>
      <c r="V25" s="30">
        <f t="shared" si="5"/>
        <v>3.9410990844215808E-3</v>
      </c>
      <c r="W25" s="29">
        <f>_xll.qlDayCounterYearFraction(DayCounter,SettlementDate,R25,,,Trigger)</f>
        <v>5.0861111111111112</v>
      </c>
      <c r="X25" s="29">
        <f>_xll.qlDayCounterYearFraction(DayCounter,R25,S25)</f>
        <v>1.0138888888888888</v>
      </c>
      <c r="Y25" s="29">
        <f>_xll.qlYieldTSDiscount(Currency&amp;"ON",R25)/(1+U25*X25)</f>
        <v>0.98309039847422275</v>
      </c>
      <c r="Z25" s="30">
        <f>_xll.qlTenorBasisValue(TenorBasis6M,R25,InterestRatesTrigger)</f>
        <v>3.8079769200195712E-3</v>
      </c>
      <c r="AA25" s="30">
        <f t="shared" si="6"/>
        <v>1.3312216440200964E-4</v>
      </c>
    </row>
    <row r="26" spans="12:27" x14ac:dyDescent="0.2">
      <c r="L26" s="46" t="s">
        <v>46</v>
      </c>
      <c r="M26" s="43">
        <f t="array" ref="M26:M29">_xll.qlTenorInstCoefficients(M22)</f>
        <v>2.6159139686328359E-3</v>
      </c>
      <c r="O26" s="33">
        <v>12</v>
      </c>
      <c r="P26" s="27" t="str">
        <f>_xll.qlPeriodEquivalent(P25&amp;"+"&amp;O26&amp;"M")</f>
        <v>6Y</v>
      </c>
      <c r="Q26" s="28">
        <f>_xll.qlCalendarAdvance(Calendar,SettlementDate,P26,"f",,Trigger)</f>
        <v>44473</v>
      </c>
      <c r="R26" s="28">
        <f>_xll.qlInterestRateIndexValueDate(Index,Q26,Trigger)</f>
        <v>44475</v>
      </c>
      <c r="S26" s="28">
        <f>_xll.qlInterestRateIndexMaturity(Index,R26,Trigger)</f>
        <v>44840</v>
      </c>
      <c r="T26" s="30">
        <f>_xll.qlIndexFixing($M$6,Q26,,InterestRatesTrigger)</f>
        <v>1.1758175999531918E-2</v>
      </c>
      <c r="U26" s="30">
        <f>_xll.qlIndexFixing(Index,Q26,,InterestRatesTrigger)</f>
        <v>1.5450775027312008E-2</v>
      </c>
      <c r="V26" s="30">
        <f t="shared" si="5"/>
        <v>3.6925990277800903E-3</v>
      </c>
      <c r="W26" s="29">
        <f>_xll.qlDayCounterYearFraction(DayCounter,SettlementDate,R26,,,Trigger)</f>
        <v>6.1</v>
      </c>
      <c r="X26" s="29">
        <f>_xll.qlDayCounterYearFraction(DayCounter,R26,S26)</f>
        <v>1.0138888888888888</v>
      </c>
      <c r="Y26" s="29">
        <f>_xll.qlYieldTSDiscount(Currency&amp;"ON",R26)/(1+U26*X26)</f>
        <v>0.97176103739085418</v>
      </c>
      <c r="Z26" s="30">
        <f>_xll.qlTenorBasisValue(TenorBasis6M,R26,InterestRatesTrigger)</f>
        <v>3.6402256216922771E-3</v>
      </c>
      <c r="AA26" s="30">
        <f t="shared" si="6"/>
        <v>5.2373406087813205E-5</v>
      </c>
    </row>
    <row r="27" spans="12:27" x14ac:dyDescent="0.2">
      <c r="L27" s="46" t="s">
        <v>47</v>
      </c>
      <c r="M27" s="44">
        <v>1.0967793515814157E-3</v>
      </c>
      <c r="O27" s="33">
        <v>12</v>
      </c>
      <c r="P27" s="27" t="str">
        <f>_xll.qlPeriodEquivalent(P26&amp;"+"&amp;O27&amp;"M")</f>
        <v>7Y</v>
      </c>
      <c r="Q27" s="28">
        <f>_xll.qlCalendarAdvance(Calendar,SettlementDate,P27,"f",,Trigger)</f>
        <v>44837</v>
      </c>
      <c r="R27" s="28">
        <f>_xll.qlInterestRateIndexValueDate(Index,Q27,Trigger)</f>
        <v>44839</v>
      </c>
      <c r="S27" s="28">
        <f>_xll.qlInterestRateIndexMaturity(Index,R27,Trigger)</f>
        <v>45204</v>
      </c>
      <c r="T27" s="30">
        <f>_xll.qlIndexFixing($M$6,Q27,,InterestRatesTrigger)</f>
        <v>1.4159183856100049E-2</v>
      </c>
      <c r="U27" s="30">
        <f>_xll.qlIndexFixing(Index,Q27,,InterestRatesTrigger)</f>
        <v>1.767314680990675E-2</v>
      </c>
      <c r="V27" s="30">
        <f t="shared" si="5"/>
        <v>3.513962953806701E-3</v>
      </c>
      <c r="W27" s="29">
        <f>_xll.qlDayCounterYearFraction(DayCounter,SettlementDate,R27,,,Trigger)</f>
        <v>7.1111111111111107</v>
      </c>
      <c r="X27" s="29">
        <f>_xll.qlDayCounterYearFraction(DayCounter,R27,S27)</f>
        <v>1.0138888888888888</v>
      </c>
      <c r="Y27" s="29">
        <f>_xll.qlYieldTSDiscount(Currency&amp;"ON",R27)/(1+U27*X27)</f>
        <v>0.9582214134681184</v>
      </c>
      <c r="Z27" s="30">
        <f>_xll.qlTenorBasisValue(TenorBasis6M,R27,InterestRatesTrigger)</f>
        <v>3.4426609356835182E-3</v>
      </c>
      <c r="AA27" s="30">
        <f t="shared" si="6"/>
        <v>7.1302018123182726E-5</v>
      </c>
    </row>
    <row r="28" spans="12:27" x14ac:dyDescent="0.2">
      <c r="L28" s="46" t="s">
        <v>48</v>
      </c>
      <c r="M28" s="44">
        <v>0.17</v>
      </c>
      <c r="O28" s="33">
        <v>12</v>
      </c>
      <c r="P28" s="27" t="str">
        <f>_xll.qlPeriodEquivalent(P27&amp;"+"&amp;O28&amp;"M")</f>
        <v>8Y</v>
      </c>
      <c r="Q28" s="28">
        <f>_xll.qlCalendarAdvance(Calendar,SettlementDate,P28,"f",,Trigger)</f>
        <v>45201</v>
      </c>
      <c r="R28" s="28">
        <f>_xll.qlInterestRateIndexValueDate(Index,Q28,Trigger)</f>
        <v>45203</v>
      </c>
      <c r="S28" s="28">
        <f>_xll.qlInterestRateIndexMaturity(Index,R28,Trigger)</f>
        <v>45569</v>
      </c>
      <c r="T28" s="30">
        <f>_xll.qlIndexFixing($M$6,Q28,,InterestRatesTrigger)</f>
        <v>1.6098548482537695E-2</v>
      </c>
      <c r="U28" s="30">
        <f>_xll.qlIndexFixing(Index,Q28,,InterestRatesTrigger)</f>
        <v>1.9201240728764741E-2</v>
      </c>
      <c r="V28" s="30">
        <f t="shared" si="5"/>
        <v>3.1026922462270463E-3</v>
      </c>
      <c r="W28" s="29">
        <f>_xll.qlDayCounterYearFraction(DayCounter,SettlementDate,R28,,,Trigger)</f>
        <v>8.1222222222222218</v>
      </c>
      <c r="X28" s="29">
        <f>_xll.qlDayCounterYearFraction(DayCounter,R28,S28)</f>
        <v>1.0166666666666666</v>
      </c>
      <c r="Y28" s="29">
        <f>_xll.qlYieldTSDiscount(Currency&amp;"ON",R28)/(1+U28*X28)</f>
        <v>0.94321466595453596</v>
      </c>
      <c r="Z28" s="30">
        <f>_xll.qlTenorBasisValue(TenorBasis6M,R28,InterestRatesTrigger)</f>
        <v>3.2283735736331498E-3</v>
      </c>
      <c r="AA28" s="30">
        <f t="shared" si="6"/>
        <v>-1.2568132740610341E-4</v>
      </c>
    </row>
    <row r="29" spans="12:27" x14ac:dyDescent="0.2">
      <c r="L29" s="46" t="s">
        <v>49</v>
      </c>
      <c r="M29" s="43">
        <v>4.1873757683297551E-4</v>
      </c>
      <c r="O29" s="33">
        <v>12</v>
      </c>
      <c r="P29" s="27" t="str">
        <f>_xll.qlPeriodEquivalent(P28&amp;"+"&amp;O29&amp;"M")</f>
        <v>9Y</v>
      </c>
      <c r="Q29" s="28">
        <f>_xll.qlCalendarAdvance(Calendar,SettlementDate,P29,"f",,Trigger)</f>
        <v>45567</v>
      </c>
      <c r="R29" s="28">
        <f>_xll.qlInterestRateIndexValueDate(Index,Q29,Trigger)</f>
        <v>45569</v>
      </c>
      <c r="S29" s="28">
        <f>_xll.qlInterestRateIndexMaturity(Index,R29,Trigger)</f>
        <v>45936</v>
      </c>
      <c r="T29" s="30">
        <f>_xll.qlIndexFixing($M$6,Q29,,InterestRatesTrigger)</f>
        <v>1.7380643812833205E-2</v>
      </c>
      <c r="U29" s="30">
        <f>_xll.qlIndexFixing(Index,Q29,,InterestRatesTrigger)</f>
        <v>2.0338223645624383E-2</v>
      </c>
      <c r="V29" s="30">
        <f t="shared" si="5"/>
        <v>2.9575798327911781E-3</v>
      </c>
      <c r="W29" s="29">
        <f>_xll.qlDayCounterYearFraction(DayCounter,SettlementDate,R29,,,Trigger)</f>
        <v>9.1388888888888893</v>
      </c>
      <c r="X29" s="29">
        <f>_xll.qlDayCounterYearFraction(DayCounter,R29,S29)</f>
        <v>1.0194444444444444</v>
      </c>
      <c r="Y29" s="29">
        <f>_xll.qlYieldTSDiscount(Currency&amp;"ON",R29)/(1+U29*X29)</f>
        <v>0.92692349057083046</v>
      </c>
      <c r="Z29" s="30">
        <f>_xll.qlTenorBasisValue(TenorBasis6M,R29,InterestRatesTrigger)</f>
        <v>3.006165250236031E-3</v>
      </c>
      <c r="AA29" s="30">
        <f t="shared" si="6"/>
        <v>-4.8585417444852851E-5</v>
      </c>
    </row>
    <row r="30" spans="12:27" x14ac:dyDescent="0.2">
      <c r="M30" s="42">
        <f>1/M28-M26/M27</f>
        <v>3.4972661278069239</v>
      </c>
      <c r="O30" s="33">
        <v>12</v>
      </c>
      <c r="P30" s="27" t="str">
        <f>_xll.qlPeriodEquivalent(P29&amp;"+"&amp;O30&amp;"M")</f>
        <v>10Y</v>
      </c>
      <c r="Q30" s="28">
        <f>_xll.qlCalendarAdvance(Calendar,SettlementDate,P30,"f",,Trigger)</f>
        <v>45932</v>
      </c>
      <c r="R30" s="28">
        <f>_xll.qlInterestRateIndexValueDate(Index,Q30,Trigger)</f>
        <v>45936</v>
      </c>
      <c r="S30" s="28">
        <f>_xll.qlInterestRateIndexMaturity(Index,R30,Trigger)</f>
        <v>46301</v>
      </c>
      <c r="T30" s="30">
        <f>_xll.qlIndexFixing($M$6,Q30,,InterestRatesTrigger)</f>
        <v>1.8698833964222235E-2</v>
      </c>
      <c r="U30" s="30">
        <f>_xll.qlIndexFixing(Index,Q30,,InterestRatesTrigger)</f>
        <v>2.1178615041361065E-2</v>
      </c>
      <c r="V30" s="30">
        <f t="shared" si="5"/>
        <v>2.4797810771388304E-3</v>
      </c>
      <c r="W30" s="29">
        <f>_xll.qlDayCounterYearFraction(DayCounter,SettlementDate,R30,,,Trigger)</f>
        <v>10.158333333333333</v>
      </c>
      <c r="X30" s="29">
        <f>_xll.qlDayCounterYearFraction(DayCounter,R30,S30)</f>
        <v>1.0138888888888888</v>
      </c>
      <c r="Y30" s="29">
        <f>_xll.qlYieldTSDiscount(Currency&amp;"ON",R30)/(1+U30*X30)</f>
        <v>0.910126656225829</v>
      </c>
      <c r="Z30" s="30">
        <f>_xll.qlTenorBasisValue(TenorBasis6M,R30,InterestRatesTrigger)</f>
        <v>2.7839952018702016E-3</v>
      </c>
      <c r="AA30" s="30">
        <f t="shared" si="6"/>
        <v>-3.042141247313712E-4</v>
      </c>
    </row>
    <row r="31" spans="12:27" x14ac:dyDescent="0.2">
      <c r="O31" s="33">
        <v>12</v>
      </c>
      <c r="P31" s="27" t="str">
        <f>_xll.qlPeriodEquivalent(P30&amp;"+"&amp;O31&amp;"M")</f>
        <v>11Y</v>
      </c>
      <c r="Q31" s="28">
        <f>_xll.qlCalendarAdvance(Calendar,SettlementDate,P31,"f",,Trigger)</f>
        <v>46297</v>
      </c>
      <c r="R31" s="28">
        <f>_xll.qlInterestRateIndexValueDate(Index,Q31,Trigger)</f>
        <v>46301</v>
      </c>
      <c r="S31" s="28">
        <f>_xll.qlInterestRateIndexMaturity(Index,R31,Trigger)</f>
        <v>46666</v>
      </c>
      <c r="T31" s="30">
        <f>_xll.qlIndexFixing($M$6,Q31,,InterestRatesTrigger)</f>
        <v>1.9415010407537934E-2</v>
      </c>
      <c r="U31" s="30">
        <f>_xll.qlIndexFixing(Index,Q31,,InterestRatesTrigger)</f>
        <v>2.1720762975700973E-2</v>
      </c>
      <c r="V31" s="30">
        <f t="shared" si="5"/>
        <v>2.3057525681630386E-3</v>
      </c>
      <c r="W31" s="29">
        <f>_xll.qlDayCounterYearFraction(DayCounter,SettlementDate,R31,,,Trigger)</f>
        <v>11.172222222222222</v>
      </c>
      <c r="X31" s="29">
        <f>_xll.qlDayCounterYearFraction(DayCounter,R31,S31)</f>
        <v>1.0138888888888888</v>
      </c>
      <c r="Y31" s="29">
        <f>_xll.qlYieldTSDiscount(Currency&amp;"ON",R31)/(1+U31*X31)</f>
        <v>0.89271263161752146</v>
      </c>
      <c r="Z31" s="30">
        <f>_xll.qlTenorBasisValue(TenorBasis6M,R31,InterestRatesTrigger)</f>
        <v>2.5689196848848591E-3</v>
      </c>
      <c r="AA31" s="30">
        <f t="shared" si="6"/>
        <v>-2.6316711672182049E-4</v>
      </c>
    </row>
    <row r="32" spans="12:27" x14ac:dyDescent="0.2">
      <c r="O32" s="33">
        <v>12</v>
      </c>
      <c r="P32" s="27" t="str">
        <f>_xll.qlPeriodEquivalent(P31&amp;"+"&amp;O32&amp;"M")</f>
        <v>12Y</v>
      </c>
      <c r="Q32" s="28">
        <f>_xll.qlCalendarAdvance(Calendar,SettlementDate,P32,"f",,Trigger)</f>
        <v>46664</v>
      </c>
      <c r="R32" s="28">
        <f>_xll.qlInterestRateIndexValueDate(Index,Q32,Trigger)</f>
        <v>46666</v>
      </c>
      <c r="S32" s="28">
        <f>_xll.qlInterestRateIndexMaturity(Index,R32,Trigger)</f>
        <v>47032</v>
      </c>
      <c r="T32" s="30">
        <f>_xll.qlIndexFixing($M$6,Q32,,InterestRatesTrigger)</f>
        <v>2.0038409847099831E-2</v>
      </c>
      <c r="U32" s="30">
        <f>_xll.qlIndexFixing(Index,Q32,,InterestRatesTrigger)</f>
        <v>2.1985343650757973E-2</v>
      </c>
      <c r="V32" s="30">
        <f t="shared" si="5"/>
        <v>1.9469338036581414E-3</v>
      </c>
      <c r="W32" s="29">
        <f>_xll.qlDayCounterYearFraction(DayCounter,SettlementDate,R32,,,Trigger)</f>
        <v>12.186111111111112</v>
      </c>
      <c r="X32" s="29">
        <f>_xll.qlDayCounterYearFraction(DayCounter,R32,S32)</f>
        <v>1.0166666666666666</v>
      </c>
      <c r="Y32" s="29">
        <f>_xll.qlYieldTSDiscount(Currency&amp;"ON",R32)/(1+U32*X32)</f>
        <v>0.87519710554236241</v>
      </c>
      <c r="Z32" s="30">
        <f>_xll.qlTenorBasisValue(TenorBasis6M,R32,InterestRatesTrigger)</f>
        <v>2.3632833813203411E-3</v>
      </c>
      <c r="AA32" s="30">
        <f t="shared" si="6"/>
        <v>-4.1634957766219964E-4</v>
      </c>
    </row>
    <row r="33" spans="15:27" x14ac:dyDescent="0.2">
      <c r="O33" s="33">
        <v>12</v>
      </c>
      <c r="P33" s="27" t="str">
        <f>_xll.qlPeriodEquivalent(P32&amp;"+"&amp;O33&amp;"M")</f>
        <v>13Y</v>
      </c>
      <c r="Q33" s="28">
        <f>_xll.qlCalendarAdvance(Calendar,SettlementDate,P33,"f",,Trigger)</f>
        <v>47028</v>
      </c>
      <c r="R33" s="28">
        <f>_xll.qlInterestRateIndexValueDate(Index,Q33,Trigger)</f>
        <v>47030</v>
      </c>
      <c r="S33" s="28">
        <f>_xll.qlInterestRateIndexMaturity(Index,R33,Trigger)</f>
        <v>47395</v>
      </c>
      <c r="T33" s="30">
        <f>_xll.qlIndexFixing($M$6,Q33,,InterestRatesTrigger)</f>
        <v>2.0445015105957354E-2</v>
      </c>
      <c r="U33" s="30">
        <f>_xll.qlIndexFixing(Index,Q33,,InterestRatesTrigger)</f>
        <v>2.2032522117483026E-2</v>
      </c>
      <c r="V33" s="30">
        <f t="shared" si="5"/>
        <v>1.5875070115256712E-3</v>
      </c>
      <c r="W33" s="29">
        <f>_xll.qlDayCounterYearFraction(DayCounter,SettlementDate,R33,,,Trigger)</f>
        <v>13.197222222222223</v>
      </c>
      <c r="X33" s="29">
        <f>_xll.qlDayCounterYearFraction(DayCounter,R33,S33)</f>
        <v>1.0138888888888888</v>
      </c>
      <c r="Y33" s="29">
        <f>_xll.qlYieldTSDiscount(Currency&amp;"ON",R33)/(1+U33*X33)</f>
        <v>0.8578300715989462</v>
      </c>
      <c r="Z33" s="30">
        <f>_xll.qlTenorBasisValue(TenorBasis6M,R33,InterestRatesTrigger)</f>
        <v>2.1699052765691302E-3</v>
      </c>
      <c r="AA33" s="30">
        <f t="shared" si="6"/>
        <v>-5.82398265043459E-4</v>
      </c>
    </row>
    <row r="34" spans="15:27" x14ac:dyDescent="0.2">
      <c r="O34" s="33">
        <v>12</v>
      </c>
      <c r="P34" s="27" t="str">
        <f>_xll.qlPeriodEquivalent(P33&amp;"+"&amp;O34&amp;"M")</f>
        <v>14Y</v>
      </c>
      <c r="Q34" s="28">
        <f>_xll.qlCalendarAdvance(Calendar,SettlementDate,P34,"f",,Trigger)</f>
        <v>47393</v>
      </c>
      <c r="R34" s="28">
        <f>_xll.qlInterestRateIndexValueDate(Index,Q34,Trigger)</f>
        <v>47395</v>
      </c>
      <c r="S34" s="28">
        <f>_xll.qlInterestRateIndexMaturity(Index,R34,Trigger)</f>
        <v>47760</v>
      </c>
      <c r="T34" s="30">
        <f>_xll.qlIndexFixing($M$6,Q34,,InterestRatesTrigger)</f>
        <v>2.0534169975575556E-2</v>
      </c>
      <c r="U34" s="30">
        <f>_xll.qlIndexFixing(Index,Q34,,InterestRatesTrigger)</f>
        <v>2.1906514427252673E-2</v>
      </c>
      <c r="V34" s="30">
        <f t="shared" si="5"/>
        <v>1.3723444516771169E-3</v>
      </c>
      <c r="W34" s="29">
        <f>_xll.qlDayCounterYearFraction(DayCounter,SettlementDate,R34,,,Trigger)</f>
        <v>14.21111111111111</v>
      </c>
      <c r="X34" s="29">
        <f>_xll.qlDayCounterYearFraction(DayCounter,R34,S34)</f>
        <v>1.0138888888888888</v>
      </c>
      <c r="Y34" s="29">
        <f>_xll.qlYieldTSDiscount(Currency&amp;"ON",R34)/(1+U34*X34)</f>
        <v>0.8405142862990197</v>
      </c>
      <c r="Z34" s="30">
        <f>_xll.qlTenorBasisValue(TenorBasis6M,R34,InterestRatesTrigger)</f>
        <v>1.9890745747299945E-3</v>
      </c>
      <c r="AA34" s="30">
        <f t="shared" si="6"/>
        <v>-6.1673012305287758E-4</v>
      </c>
    </row>
    <row r="35" spans="15:27" x14ac:dyDescent="0.2">
      <c r="O35" s="33">
        <v>12</v>
      </c>
      <c r="P35" s="27" t="str">
        <f>_xll.qlPeriodEquivalent(P34&amp;"+"&amp;O35&amp;"M")</f>
        <v>15Y</v>
      </c>
      <c r="Q35" s="28">
        <f>_xll.qlCalendarAdvance(Calendar,SettlementDate,P35,"f",,Trigger)</f>
        <v>47758</v>
      </c>
      <c r="R35" s="28">
        <f>_xll.qlInterestRateIndexValueDate(Index,Q35,Trigger)</f>
        <v>47760</v>
      </c>
      <c r="S35" s="28">
        <f>_xll.qlInterestRateIndexMaturity(Index,R35,Trigger)</f>
        <v>48127</v>
      </c>
      <c r="T35" s="30">
        <f>_xll.qlIndexFixing($M$6,Q35,,InterestRatesTrigger)</f>
        <v>2.032000522117795E-2</v>
      </c>
      <c r="U35" s="30">
        <f>_xll.qlIndexFixing(Index,Q35,,InterestRatesTrigger)</f>
        <v>2.1675383339245756E-2</v>
      </c>
      <c r="V35" s="30">
        <f t="shared" si="5"/>
        <v>1.3553781180678064E-3</v>
      </c>
      <c r="W35" s="29">
        <f>_xll.qlDayCounterYearFraction(DayCounter,SettlementDate,R35,,,Trigger)</f>
        <v>15.225</v>
      </c>
      <c r="X35" s="29">
        <f>_xll.qlDayCounterYearFraction(DayCounter,R35,S35)</f>
        <v>1.0194444444444444</v>
      </c>
      <c r="Y35" s="29">
        <f>_xll.qlYieldTSDiscount(Currency&amp;"ON",R35)/(1+U35*X35)</f>
        <v>0.82346397118864445</v>
      </c>
      <c r="Z35" s="30">
        <f>_xll.qlTenorBasisValue(TenorBasis6M,R35,InterestRatesTrigger)</f>
        <v>1.8219845286309238E-3</v>
      </c>
      <c r="AA35" s="30">
        <f t="shared" si="6"/>
        <v>-4.6660641056311741E-4</v>
      </c>
    </row>
    <row r="36" spans="15:27" x14ac:dyDescent="0.2">
      <c r="O36" s="33">
        <v>12</v>
      </c>
      <c r="P36" s="27" t="str">
        <f>_xll.qlPeriodEquivalent(P35&amp;"+"&amp;O36&amp;"M")</f>
        <v>16Y</v>
      </c>
      <c r="Q36" s="28">
        <f>_xll.qlCalendarAdvance(Calendar,SettlementDate,P36,"f",,Trigger)</f>
        <v>48123</v>
      </c>
      <c r="R36" s="28">
        <f>_xll.qlInterestRateIndexValueDate(Index,Q36,Trigger)</f>
        <v>48127</v>
      </c>
      <c r="S36" s="28">
        <f>_xll.qlInterestRateIndexMaturity(Index,R36,Trigger)</f>
        <v>48493</v>
      </c>
      <c r="T36" s="30">
        <f>_xll.qlIndexFixing($M$6,Q36,,InterestRatesTrigger)</f>
        <v>1.9918324806843725E-2</v>
      </c>
      <c r="U36" s="30">
        <f>_xll.qlIndexFixing(Index,Q36,,InterestRatesTrigger)</f>
        <v>2.1297198626346714E-2</v>
      </c>
      <c r="V36" s="30">
        <f t="shared" si="5"/>
        <v>1.378873819502989E-3</v>
      </c>
      <c r="W36" s="29">
        <f>_xll.qlDayCounterYearFraction(DayCounter,SettlementDate,R36,,,Trigger)</f>
        <v>16.244444444444444</v>
      </c>
      <c r="X36" s="29">
        <f>_xll.qlDayCounterYearFraction(DayCounter,R36,S36)</f>
        <v>1.0166666666666666</v>
      </c>
      <c r="Y36" s="29">
        <f>_xll.qlYieldTSDiscount(Currency&amp;"ON",R36)/(1+U36*X36)</f>
        <v>0.80710316642668412</v>
      </c>
      <c r="Z36" s="30">
        <f>_xll.qlTenorBasisValue(TenorBasis6M,R36,InterestRatesTrigger)</f>
        <v>1.6679567412905836E-3</v>
      </c>
      <c r="AA36" s="30">
        <f t="shared" si="6"/>
        <v>-2.8908292178759457E-4</v>
      </c>
    </row>
    <row r="37" spans="15:27" x14ac:dyDescent="0.2">
      <c r="O37" s="33">
        <v>12</v>
      </c>
      <c r="P37" s="27" t="str">
        <f>_xll.qlPeriodEquivalent(P36&amp;"+"&amp;O37&amp;"M")</f>
        <v>17Y</v>
      </c>
      <c r="Q37" s="28">
        <f>_xll.qlCalendarAdvance(Calendar,SettlementDate,P37,"f",,Trigger)</f>
        <v>48491</v>
      </c>
      <c r="R37" s="28">
        <f>_xll.qlInterestRateIndexValueDate(Index,Q37,Trigger)</f>
        <v>48493</v>
      </c>
      <c r="S37" s="28">
        <f>_xll.qlInterestRateIndexMaturity(Index,R37,Trigger)</f>
        <v>48858</v>
      </c>
      <c r="T37" s="30">
        <f>_xll.qlIndexFixing($M$6,Q37,,InterestRatesTrigger)</f>
        <v>1.9389248555759093E-2</v>
      </c>
      <c r="U37" s="30">
        <f>_xll.qlIndexFixing(Index,Q37,,InterestRatesTrigger)</f>
        <v>2.0718073159822135E-2</v>
      </c>
      <c r="V37" s="30">
        <f t="shared" si="5"/>
        <v>1.3288246040630419E-3</v>
      </c>
      <c r="W37" s="29">
        <f>_xll.qlDayCounterYearFraction(DayCounter,SettlementDate,R37,,,Trigger)</f>
        <v>17.261111111111113</v>
      </c>
      <c r="X37" s="29">
        <f>_xll.qlDayCounterYearFraction(DayCounter,R37,S37)</f>
        <v>1.0138888888888888</v>
      </c>
      <c r="Y37" s="29">
        <f>_xll.qlYieldTSDiscount(Currency&amp;"ON",R37)/(1+U37*X37)</f>
        <v>0.79158427080033722</v>
      </c>
      <c r="Z37" s="30">
        <f>_xll.qlTenorBasisValue(TenorBasis6M,R37,InterestRatesTrigger)</f>
        <v>1.5280529545916223E-3</v>
      </c>
      <c r="AA37" s="30">
        <f t="shared" si="6"/>
        <v>-1.9922835052858042E-4</v>
      </c>
    </row>
    <row r="38" spans="15:27" x14ac:dyDescent="0.2">
      <c r="O38" s="33">
        <v>12</v>
      </c>
      <c r="P38" s="27" t="str">
        <f>_xll.qlPeriodEquivalent(P37&amp;"+"&amp;O38&amp;"M")</f>
        <v>18Y</v>
      </c>
      <c r="Q38" s="28">
        <f>_xll.qlCalendarAdvance(Calendar,SettlementDate,P38,"f",,Trigger)</f>
        <v>48855</v>
      </c>
      <c r="R38" s="28">
        <f>_xll.qlInterestRateIndexValueDate(Index,Q38,Trigger)</f>
        <v>48857</v>
      </c>
      <c r="S38" s="28">
        <f>_xll.qlInterestRateIndexMaturity(Index,R38,Trigger)</f>
        <v>49222</v>
      </c>
      <c r="T38" s="30">
        <f>_xll.qlIndexFixing($M$6,Q38,,InterestRatesTrigger)</f>
        <v>1.876631089328679E-2</v>
      </c>
      <c r="U38" s="30">
        <f>_xll.qlIndexFixing(Index,Q38,,InterestRatesTrigger)</f>
        <v>1.99466673353891E-2</v>
      </c>
      <c r="V38" s="30">
        <f t="shared" si="5"/>
        <v>1.1803564421023101E-3</v>
      </c>
      <c r="W38" s="29">
        <f>_xll.qlDayCounterYearFraction(DayCounter,SettlementDate,R38,,,Trigger)</f>
        <v>18.272222222222222</v>
      </c>
      <c r="X38" s="29">
        <f>_xll.qlDayCounterYearFraction(DayCounter,R38,S38)</f>
        <v>1.0138888888888888</v>
      </c>
      <c r="Y38" s="29">
        <f>_xll.qlYieldTSDiscount(Currency&amp;"ON",R38)/(1+U38*X38)</f>
        <v>0.77695884326135589</v>
      </c>
      <c r="Z38" s="30">
        <f>_xll.qlTenorBasisValue(TenorBasis6M,R38,InterestRatesTrigger)</f>
        <v>1.4019753944064745E-3</v>
      </c>
      <c r="AA38" s="30">
        <f t="shared" si="6"/>
        <v>-2.2161895230416438E-4</v>
      </c>
    </row>
    <row r="39" spans="15:27" x14ac:dyDescent="0.2">
      <c r="O39" s="33">
        <v>12</v>
      </c>
      <c r="P39" s="27" t="str">
        <f>_xll.qlPeriodEquivalent(P38&amp;"+"&amp;O39&amp;"M")</f>
        <v>19Y</v>
      </c>
      <c r="Q39" s="28">
        <f>_xll.qlCalendarAdvance(Calendar,SettlementDate,P39,"f",,Trigger)</f>
        <v>49219</v>
      </c>
      <c r="R39" s="28">
        <f>_xll.qlInterestRateIndexValueDate(Index,Q39,Trigger)</f>
        <v>49221</v>
      </c>
      <c r="S39" s="28">
        <f>_xll.qlInterestRateIndexMaturity(Index,R39,Trigger)</f>
        <v>49586</v>
      </c>
      <c r="T39" s="30">
        <f>_xll.qlIndexFixing($M$6,Q39,,InterestRatesTrigger)</f>
        <v>1.8077854459829013E-2</v>
      </c>
      <c r="U39" s="30">
        <f>_xll.qlIndexFixing(Index,Q39,,InterestRatesTrigger)</f>
        <v>1.8985775716078176E-2</v>
      </c>
      <c r="V39" s="30">
        <f t="shared" si="5"/>
        <v>9.0792125624916328E-4</v>
      </c>
      <c r="W39" s="29">
        <f>_xll.qlDayCounterYearFraction(DayCounter,SettlementDate,R39,,,Trigger)</f>
        <v>19.283333333333335</v>
      </c>
      <c r="X39" s="29">
        <f>_xll.qlDayCounterYearFraction(DayCounter,R39,S39)</f>
        <v>1.0138888888888888</v>
      </c>
      <c r="Y39" s="29">
        <f>_xll.qlYieldTSDiscount(Currency&amp;"ON",R39)/(1+U39*X39)</f>
        <v>0.76321920188189407</v>
      </c>
      <c r="Z39" s="30">
        <f>_xll.qlTenorBasisValue(TenorBasis6M,R39,InterestRatesTrigger)</f>
        <v>1.2882431651373765E-3</v>
      </c>
      <c r="AA39" s="30">
        <f t="shared" si="6"/>
        <v>-3.8032190888821326E-4</v>
      </c>
    </row>
    <row r="40" spans="15:27" x14ac:dyDescent="0.2">
      <c r="O40" s="33">
        <v>12</v>
      </c>
      <c r="P40" s="27" t="str">
        <f>_xll.qlPeriodEquivalent(P39&amp;"+"&amp;O40&amp;"M")</f>
        <v>20Y</v>
      </c>
      <c r="Q40" s="28">
        <f>_xll.qlCalendarAdvance(Calendar,SettlementDate,P40,"f",,Trigger)</f>
        <v>49584</v>
      </c>
      <c r="R40" s="28">
        <f>_xll.qlInterestRateIndexValueDate(Index,Q40,Trigger)</f>
        <v>49586</v>
      </c>
      <c r="S40" s="28">
        <f>_xll.qlInterestRateIndexMaturity(Index,R40,Trigger)</f>
        <v>49954</v>
      </c>
      <c r="T40" s="30">
        <f>_xll.qlIndexFixing($M$6,Q40,,InterestRatesTrigger)</f>
        <v>1.735668751597301E-2</v>
      </c>
      <c r="U40" s="30">
        <f>_xll.qlIndexFixing(Index,Q40,,InterestRatesTrigger)</f>
        <v>1.809030509554943E-2</v>
      </c>
      <c r="V40" s="30">
        <f t="shared" si="5"/>
        <v>7.3361757957642049E-4</v>
      </c>
      <c r="W40" s="29">
        <f>_xll.qlDayCounterYearFraction(DayCounter,SettlementDate,R40,,,Trigger)</f>
        <v>20.297222222222221</v>
      </c>
      <c r="X40" s="29">
        <f>_xll.qlDayCounterYearFraction(DayCounter,R40,S40)</f>
        <v>1.0222222222222221</v>
      </c>
      <c r="Y40" s="29">
        <f>_xll.qlYieldTSDiscount(Currency&amp;"ON",R40)/(1+U40*X40)</f>
        <v>0.75003916533280579</v>
      </c>
      <c r="Z40" s="30">
        <f>_xll.qlTenorBasisValue(TenorBasis6M,R40,InterestRatesTrigger)</f>
        <v>1.18580636890289E-3</v>
      </c>
      <c r="AA40" s="30">
        <f t="shared" si="6"/>
        <v>-4.5218878932646949E-4</v>
      </c>
    </row>
    <row r="41" spans="15:27" x14ac:dyDescent="0.2">
      <c r="O41" s="33">
        <v>12</v>
      </c>
      <c r="P41" s="27" t="str">
        <f>_xll.qlPeriodEquivalent(P40&amp;"+"&amp;O41&amp;"M")</f>
        <v>21Y</v>
      </c>
      <c r="Q41" s="28">
        <f>_xll.qlCalendarAdvance(Calendar,SettlementDate,P41,"f",,Trigger)</f>
        <v>49950</v>
      </c>
      <c r="R41" s="28">
        <f>_xll.qlInterestRateIndexValueDate(Index,Q41,Trigger)</f>
        <v>49954</v>
      </c>
      <c r="S41" s="28">
        <f>_xll.qlInterestRateIndexMaturity(Index,R41,Trigger)</f>
        <v>50319</v>
      </c>
      <c r="T41" s="30">
        <f>_xll.qlIndexFixing($M$6,Q41,,InterestRatesTrigger)</f>
        <v>1.6659876278563586E-2</v>
      </c>
      <c r="U41" s="30">
        <f>_xll.qlIndexFixing(Index,Q41,,InterestRatesTrigger)</f>
        <v>1.7433487362305048E-2</v>
      </c>
      <c r="V41" s="30">
        <f t="shared" si="5"/>
        <v>7.7361108374146212E-4</v>
      </c>
      <c r="W41" s="29">
        <f>_xll.qlDayCounterYearFraction(DayCounter,SettlementDate,R41,,,Trigger)</f>
        <v>21.319444444444443</v>
      </c>
      <c r="X41" s="29">
        <f>_xll.qlDayCounterYearFraction(DayCounter,R41,S41)</f>
        <v>1.0138888888888888</v>
      </c>
      <c r="Y41" s="29">
        <f>_xll.qlYieldTSDiscount(Currency&amp;"ON",R41)/(1+U41*X41)</f>
        <v>0.7375550864712499</v>
      </c>
      <c r="Z41" s="30">
        <f>_xll.qlTenorBasisValue(TenorBasis6M,R41,InterestRatesTrigger)</f>
        <v>1.0934360983412385E-3</v>
      </c>
      <c r="AA41" s="30">
        <f t="shared" si="6"/>
        <v>-3.1982501459977639E-4</v>
      </c>
    </row>
    <row r="42" spans="15:27" x14ac:dyDescent="0.2">
      <c r="O42" s="33">
        <v>12</v>
      </c>
      <c r="P42" s="27" t="str">
        <f>_xll.qlPeriodEquivalent(P41&amp;"+"&amp;O42&amp;"M")</f>
        <v>22Y</v>
      </c>
      <c r="Q42" s="28">
        <f>_xll.qlCalendarAdvance(Calendar,SettlementDate,P42,"f",,Trigger)</f>
        <v>50315</v>
      </c>
      <c r="R42" s="28">
        <f>_xll.qlInterestRateIndexValueDate(Index,Q42,Trigger)</f>
        <v>50319</v>
      </c>
      <c r="S42" s="28">
        <f>_xll.qlInterestRateIndexMaturity(Index,R42,Trigger)</f>
        <v>50684</v>
      </c>
      <c r="T42" s="30">
        <f>_xll.qlIndexFixing($M$6,Q42,,InterestRatesTrigger)</f>
        <v>1.6036301431039821E-2</v>
      </c>
      <c r="U42" s="30">
        <f>_xll.qlIndexFixing(Index,Q42,,InterestRatesTrigger)</f>
        <v>1.6887827093398391E-2</v>
      </c>
      <c r="V42" s="30">
        <f t="shared" si="5"/>
        <v>8.5152566235856958E-4</v>
      </c>
      <c r="W42" s="29">
        <f>_xll.qlDayCounterYearFraction(DayCounter,SettlementDate,R42,,,Trigger)</f>
        <v>22.333333333333332</v>
      </c>
      <c r="X42" s="29">
        <f>_xll.qlDayCounterYearFraction(DayCounter,R42,S42)</f>
        <v>1.0138888888888888</v>
      </c>
      <c r="Y42" s="29">
        <f>_xll.qlYieldTSDiscount(Currency&amp;"ON",R42)/(1+U42*X42)</f>
        <v>0.72569830037551541</v>
      </c>
      <c r="Z42" s="30">
        <f>_xll.qlTenorBasisValue(TenorBasis6M,R42,InterestRatesTrigger)</f>
        <v>1.0117662304517353E-3</v>
      </c>
      <c r="AA42" s="30">
        <f t="shared" si="6"/>
        <v>-1.6024056809316569E-4</v>
      </c>
    </row>
    <row r="43" spans="15:27" x14ac:dyDescent="0.2">
      <c r="O43" s="33">
        <v>12</v>
      </c>
      <c r="P43" s="27" t="str">
        <f>_xll.qlPeriodEquivalent(P42&amp;"+"&amp;O43&amp;"M")</f>
        <v>23Y</v>
      </c>
      <c r="Q43" s="28">
        <f>_xll.qlCalendarAdvance(Calendar,SettlementDate,P43,"f",,Trigger)</f>
        <v>50682</v>
      </c>
      <c r="R43" s="28">
        <f>_xll.qlInterestRateIndexValueDate(Index,Q43,Trigger)</f>
        <v>50684</v>
      </c>
      <c r="S43" s="28">
        <f>_xll.qlInterestRateIndexMaturity(Index,R43,Trigger)</f>
        <v>51049</v>
      </c>
      <c r="T43" s="30">
        <f>_xll.qlIndexFixing($M$6,Q43,,InterestRatesTrigger)</f>
        <v>1.5518869231196534E-2</v>
      </c>
      <c r="U43" s="30">
        <f>_xll.qlIndexFixing(Index,Q43,,InterestRatesTrigger)</f>
        <v>1.6487423390295672E-2</v>
      </c>
      <c r="V43" s="30">
        <f t="shared" si="5"/>
        <v>9.6855415909913832E-4</v>
      </c>
      <c r="W43" s="29">
        <f>_xll.qlDayCounterYearFraction(DayCounter,SettlementDate,R43,,,Trigger)</f>
        <v>23.347222222222221</v>
      </c>
      <c r="X43" s="29">
        <f>_xll.qlDayCounterYearFraction(DayCounter,R43,S43)</f>
        <v>1.0138888888888888</v>
      </c>
      <c r="Y43" s="29">
        <f>_xll.qlYieldTSDiscount(Currency&amp;"ON",R43)/(1+U43*X43)</f>
        <v>0.71437305320974753</v>
      </c>
      <c r="Z43" s="30">
        <f>_xll.qlTenorBasisValue(TenorBasis6M,R43,InterestRatesTrigger)</f>
        <v>9.3914201299492633E-4</v>
      </c>
      <c r="AA43" s="30">
        <f t="shared" si="6"/>
        <v>2.941214610421199E-5</v>
      </c>
    </row>
    <row r="44" spans="15:27" x14ac:dyDescent="0.2">
      <c r="O44" s="33">
        <v>12</v>
      </c>
      <c r="P44" s="27" t="str">
        <f>_xll.qlPeriodEquivalent(P43&amp;"+"&amp;O44&amp;"M")</f>
        <v>24Y</v>
      </c>
      <c r="Q44" s="28">
        <f>_xll.qlCalendarAdvance(Calendar,SettlementDate,P44,"f",,Trigger)</f>
        <v>51046</v>
      </c>
      <c r="R44" s="28">
        <f>_xll.qlInterestRateIndexValueDate(Index,Q44,Trigger)</f>
        <v>51048</v>
      </c>
      <c r="S44" s="28">
        <f>_xll.qlInterestRateIndexMaturity(Index,R44,Trigger)</f>
        <v>51414</v>
      </c>
      <c r="T44" s="30">
        <f>_xll.qlIndexFixing($M$6,Q44,,InterestRatesTrigger)</f>
        <v>1.5145398892255127E-2</v>
      </c>
      <c r="U44" s="30">
        <f>_xll.qlIndexFixing(Index,Q44,,InterestRatesTrigger)</f>
        <v>1.6271174618014164E-2</v>
      </c>
      <c r="V44" s="30">
        <f t="shared" si="5"/>
        <v>1.1257757257590369E-3</v>
      </c>
      <c r="W44" s="29">
        <f>_xll.qlDayCounterYearFraction(DayCounter,SettlementDate,R44,,,Trigger)</f>
        <v>24.358333333333334</v>
      </c>
      <c r="X44" s="29">
        <f>_xll.qlDayCounterYearFraction(DayCounter,R44,S44)</f>
        <v>1.0166666666666666</v>
      </c>
      <c r="Y44" s="29">
        <f>_xll.qlYieldTSDiscount(Currency&amp;"ON",R44)/(1+U44*X44)</f>
        <v>0.70345703291357975</v>
      </c>
      <c r="Z44" s="30">
        <f>_xll.qlTenorBasisValue(TenorBasis6M,R44,InterestRatesTrigger)</f>
        <v>8.7489718609005842E-4</v>
      </c>
      <c r="AA44" s="30">
        <f t="shared" si="6"/>
        <v>2.5087853966897851E-4</v>
      </c>
    </row>
    <row r="45" spans="15:27" x14ac:dyDescent="0.2">
      <c r="O45" s="33">
        <v>12</v>
      </c>
      <c r="P45" s="27" t="str">
        <f>_xll.qlPeriodEquivalent(P44&amp;"+"&amp;O45&amp;"M")</f>
        <v>25Y</v>
      </c>
      <c r="Q45" s="28">
        <f>_xll.qlCalendarAdvance(Calendar,SettlementDate,P45,"f",,Trigger)</f>
        <v>51411</v>
      </c>
      <c r="R45" s="28">
        <f>_xll.qlInterestRateIndexValueDate(Index,Q45,Trigger)</f>
        <v>51413</v>
      </c>
      <c r="S45" s="28">
        <f>_xll.qlInterestRateIndexMaturity(Index,R45,Trigger)</f>
        <v>51778</v>
      </c>
      <c r="T45" s="30">
        <f>_xll.qlIndexFixing($M$6,Q45,,InterestRatesTrigger)</f>
        <v>1.4924440835548785E-2</v>
      </c>
      <c r="U45" s="30">
        <f>_xll.qlIndexFixing(Index,Q45,,InterestRatesTrigger)</f>
        <v>1.603577023389963E-2</v>
      </c>
      <c r="V45" s="30">
        <f t="shared" si="5"/>
        <v>1.1113293983508448E-3</v>
      </c>
      <c r="W45" s="29">
        <f>_xll.qlDayCounterYearFraction(DayCounter,SettlementDate,R45,,,Trigger)</f>
        <v>25.372222222222224</v>
      </c>
      <c r="X45" s="29">
        <f>_xll.qlDayCounterYearFraction(DayCounter,R45,S45)</f>
        <v>1.0138888888888888</v>
      </c>
      <c r="Y45" s="29">
        <f>_xll.qlYieldTSDiscount(Currency&amp;"ON",R45)/(1+U45*X45)</f>
        <v>0.6930117846736783</v>
      </c>
      <c r="Z45" s="30">
        <f>_xll.qlTenorBasisValue(TenorBasis6M,R45,InterestRatesTrigger)</f>
        <v>8.178873993927437E-4</v>
      </c>
      <c r="AA45" s="30">
        <f t="shared" si="6"/>
        <v>2.9344199895810111E-4</v>
      </c>
    </row>
    <row r="46" spans="15:27" x14ac:dyDescent="0.2">
      <c r="O46" s="33">
        <v>12</v>
      </c>
      <c r="P46" s="27" t="str">
        <f>_xll.qlPeriodEquivalent(P45&amp;"+"&amp;O46&amp;"M")</f>
        <v>26Y</v>
      </c>
      <c r="Q46" s="28">
        <f>_xll.qlCalendarAdvance(Calendar,SettlementDate,P46,"f",,Trigger)</f>
        <v>51776</v>
      </c>
      <c r="R46" s="28">
        <f>_xll.qlInterestRateIndexValueDate(Index,Q46,Trigger)</f>
        <v>51778</v>
      </c>
      <c r="S46" s="28">
        <f>_xll.qlInterestRateIndexMaturity(Index,R46,Trigger)</f>
        <v>52145</v>
      </c>
      <c r="T46" s="30">
        <f>_xll.qlIndexFixing($M$6,Q46,,InterestRatesTrigger)</f>
        <v>1.4782253412630912E-2</v>
      </c>
      <c r="U46" s="30">
        <f>_xll.qlIndexFixing(Index,Q46,,InterestRatesTrigger)</f>
        <v>1.5719425536897348E-2</v>
      </c>
      <c r="V46" s="30">
        <f t="shared" si="5"/>
        <v>9.3717212426643569E-4</v>
      </c>
      <c r="W46" s="29">
        <f>_xll.qlDayCounterYearFraction(DayCounter,SettlementDate,R46,,,Trigger)</f>
        <v>26.386111111111113</v>
      </c>
      <c r="X46" s="29">
        <f>_xll.qlDayCounterYearFraction(DayCounter,R46,S46)</f>
        <v>1.0194444444444444</v>
      </c>
      <c r="Y46" s="29">
        <f>_xll.qlYieldTSDiscount(Currency&amp;"ON",R46)/(1+U46*X46)</f>
        <v>0.6828384643987615</v>
      </c>
      <c r="Z46" s="30">
        <f>_xll.qlTenorBasisValue(TenorBasis6M,R46,InterestRatesTrigger)</f>
        <v>7.6755402820952753E-4</v>
      </c>
      <c r="AA46" s="30">
        <f t="shared" si="6"/>
        <v>1.6961809605690816E-4</v>
      </c>
    </row>
    <row r="47" spans="15:27" x14ac:dyDescent="0.2">
      <c r="O47" s="33">
        <v>12</v>
      </c>
      <c r="P47" s="27" t="str">
        <f>_xll.qlPeriodEquivalent(P46&amp;"+"&amp;O47&amp;"M")</f>
        <v>27Y</v>
      </c>
      <c r="Q47" s="28">
        <f>_xll.qlCalendarAdvance(Calendar,SettlementDate,P47,"f",,Trigger)</f>
        <v>52141</v>
      </c>
      <c r="R47" s="28">
        <f>_xll.qlInterestRateIndexValueDate(Index,Q47,Trigger)</f>
        <v>52145</v>
      </c>
      <c r="S47" s="28">
        <f>_xll.qlInterestRateIndexMaturity(Index,R47,Trigger)</f>
        <v>52510</v>
      </c>
      <c r="T47" s="30">
        <f>_xll.qlIndexFixing($M$6,Q47,,InterestRatesTrigger)</f>
        <v>1.4707176946790999E-2</v>
      </c>
      <c r="U47" s="30">
        <f>_xll.qlIndexFixing(Index,Q47,,InterestRatesTrigger)</f>
        <v>1.5529622178149113E-2</v>
      </c>
      <c r="V47" s="30">
        <f t="shared" si="5"/>
        <v>8.2244523135811473E-4</v>
      </c>
      <c r="W47" s="29">
        <f>_xll.qlDayCounterYearFraction(DayCounter,SettlementDate,R47,,,Trigger)</f>
        <v>27.405555555555555</v>
      </c>
      <c r="X47" s="29">
        <f>_xll.qlDayCounterYearFraction(DayCounter,R47,S47)</f>
        <v>1.0138888888888888</v>
      </c>
      <c r="Y47" s="29">
        <f>_xll.qlYieldTSDiscount(Currency&amp;"ON",R47)/(1+U47*X47)</f>
        <v>0.67288635441090305</v>
      </c>
      <c r="Z47" s="30">
        <f>_xll.qlTenorBasisValue(TenorBasis6M,R47,InterestRatesTrigger)</f>
        <v>7.2297516954492643E-4</v>
      </c>
      <c r="AA47" s="30">
        <f t="shared" si="6"/>
        <v>9.9470061813188297E-5</v>
      </c>
    </row>
    <row r="48" spans="15:27" x14ac:dyDescent="0.2">
      <c r="O48" s="33">
        <v>12</v>
      </c>
      <c r="P48" s="27" t="str">
        <f>_xll.qlPeriodEquivalent(P47&amp;"+"&amp;O48&amp;"M")</f>
        <v>28Y</v>
      </c>
      <c r="Q48" s="28">
        <f>_xll.qlCalendarAdvance(Calendar,SettlementDate,P48,"f",,Trigger)</f>
        <v>52506</v>
      </c>
      <c r="R48" s="28">
        <f>_xll.qlInterestRateIndexValueDate(Index,Q48,Trigger)</f>
        <v>52510</v>
      </c>
      <c r="S48" s="28">
        <f>_xll.qlInterestRateIndexMaturity(Index,R48,Trigger)</f>
        <v>52876</v>
      </c>
      <c r="T48" s="30">
        <f>_xll.qlIndexFixing($M$6,Q48,,InterestRatesTrigger)</f>
        <v>1.4714647025144436E-2</v>
      </c>
      <c r="U48" s="30">
        <f>_xll.qlIndexFixing(Index,Q48,,InterestRatesTrigger)</f>
        <v>1.5491930463754433E-2</v>
      </c>
      <c r="V48" s="30">
        <f t="shared" si="5"/>
        <v>7.7728343860999742E-4</v>
      </c>
      <c r="W48" s="29">
        <f>_xll.qlDayCounterYearFraction(DayCounter,SettlementDate,R48,,,Trigger)</f>
        <v>28.419444444444444</v>
      </c>
      <c r="X48" s="29">
        <f>_xll.qlDayCounterYearFraction(DayCounter,R48,S48)</f>
        <v>1.0166666666666666</v>
      </c>
      <c r="Y48" s="29">
        <f>_xll.qlYieldTSDiscount(Currency&amp;"ON",R48)/(1+U48*X48)</f>
        <v>0.66299692175821001</v>
      </c>
      <c r="Z48" s="30">
        <f>_xll.qlTenorBasisValue(TenorBasis6M,R48,InterestRatesTrigger)</f>
        <v>6.8399362669288848E-4</v>
      </c>
      <c r="AA48" s="30">
        <f t="shared" si="6"/>
        <v>9.3289811917108938E-5</v>
      </c>
    </row>
    <row r="49" spans="15:27" x14ac:dyDescent="0.2">
      <c r="O49" s="33">
        <v>12</v>
      </c>
      <c r="P49" s="27" t="str">
        <f>_xll.qlPeriodEquivalent(P48&amp;"+"&amp;O49&amp;"M")</f>
        <v>29Y</v>
      </c>
      <c r="Q49" s="28">
        <f>_xll.qlCalendarAdvance(Calendar,SettlementDate,P49,"f",,Trigger)</f>
        <v>52873</v>
      </c>
      <c r="R49" s="28">
        <f>_xll.qlInterestRateIndexValueDate(Index,Q49,Trigger)</f>
        <v>52875</v>
      </c>
      <c r="S49" s="28">
        <f>_xll.qlInterestRateIndexMaturity(Index,R49,Trigger)</f>
        <v>53240</v>
      </c>
      <c r="T49" s="30">
        <f>_xll.qlIndexFixing($M$6,Q49,,InterestRatesTrigger)</f>
        <v>1.4815739979921239E-2</v>
      </c>
      <c r="U49" s="30">
        <f>_xll.qlIndexFixing(Index,Q49,,InterestRatesTrigger)</f>
        <v>1.5626510977374296E-2</v>
      </c>
      <c r="V49" s="30">
        <f t="shared" si="5"/>
        <v>8.107709974530565E-4</v>
      </c>
      <c r="W49" s="29">
        <f>_xll.qlDayCounterYearFraction(DayCounter,SettlementDate,R49,,,Trigger)</f>
        <v>29.433333333333334</v>
      </c>
      <c r="X49" s="29">
        <f>_xll.qlDayCounterYearFraction(DayCounter,R49,S49)</f>
        <v>1.0138888888888888</v>
      </c>
      <c r="Y49" s="29">
        <f>_xll.qlYieldTSDiscount(Currency&amp;"ON",R49)/(1+U49*X49)</f>
        <v>0.65319124129823891</v>
      </c>
      <c r="Z49" s="30">
        <f>_xll.qlTenorBasisValue(TenorBasis6M,R49,InterestRatesTrigger)</f>
        <v>6.4976468058416004E-4</v>
      </c>
      <c r="AA49" s="30">
        <f t="shared" si="6"/>
        <v>1.6100631686889646E-4</v>
      </c>
    </row>
    <row r="50" spans="15:27" x14ac:dyDescent="0.2">
      <c r="O50" s="33">
        <v>12</v>
      </c>
      <c r="P50" s="27" t="str">
        <f>_xll.qlPeriodEquivalent(P49&amp;"+"&amp;O50&amp;"M")</f>
        <v>30Y</v>
      </c>
      <c r="Q50" s="28">
        <f>_xll.qlCalendarAdvance(Calendar,SettlementDate,P50,"f",,Trigger)</f>
        <v>53237</v>
      </c>
      <c r="R50" s="28">
        <f>_xll.qlInterestRateIndexValueDate(Index,Q50,Trigger)</f>
        <v>53239</v>
      </c>
      <c r="S50" s="28">
        <f>_xll.qlInterestRateIndexMaturity(Index,R50,Trigger)</f>
        <v>53604</v>
      </c>
      <c r="T50" s="30">
        <f>_xll.qlIndexFixing($M$6,Q50,,InterestRatesTrigger)</f>
        <v>1.4996585151864824E-2</v>
      </c>
      <c r="U50" s="30">
        <f>_xll.qlIndexFixing(Index,Q50,,InterestRatesTrigger)</f>
        <v>1.5813603961695802E-2</v>
      </c>
      <c r="V50" s="30">
        <f t="shared" si="5"/>
        <v>8.1701880983097754E-4</v>
      </c>
      <c r="W50" s="29">
        <f>_xll.qlDayCounterYearFraction(DayCounter,SettlementDate,R50,,,Trigger)</f>
        <v>30.444444444444443</v>
      </c>
      <c r="X50" s="29">
        <f>_xll.qlDayCounterYearFraction(DayCounter,R50,S50)</f>
        <v>1.0138888888888888</v>
      </c>
      <c r="Y50" s="29">
        <f>_xll.qlYieldTSDiscount(Currency&amp;"ON",R50)/(1+U50*X50)</f>
        <v>0.64343081656449364</v>
      </c>
      <c r="Z50" s="30">
        <f>_xll.qlTenorBasisValue(TenorBasis6M,R50,InterestRatesTrigger)</f>
        <v>6.1983197503926368E-4</v>
      </c>
      <c r="AA50" s="30">
        <f t="shared" si="6"/>
        <v>1.9718683479171386E-4</v>
      </c>
    </row>
    <row r="51" spans="15:27" x14ac:dyDescent="0.2">
      <c r="O51" s="33">
        <v>12</v>
      </c>
      <c r="P51" s="27" t="str">
        <f>_xll.qlPeriodEquivalent(P50&amp;"+"&amp;O51&amp;"M")</f>
        <v>31Y</v>
      </c>
      <c r="Q51" s="28">
        <f>_xll.qlCalendarAdvance(Calendar,SettlementDate,P51,"f",,Trigger)</f>
        <v>53602</v>
      </c>
      <c r="R51" s="28">
        <f>_xll.qlInterestRateIndexValueDate(Index,Q51,Trigger)</f>
        <v>53604</v>
      </c>
      <c r="S51" s="28">
        <f>_xll.qlInterestRateIndexMaturity(Index,R51,Trigger)</f>
        <v>53969</v>
      </c>
      <c r="T51" s="30">
        <f>_xll.qlIndexFixing($M$6,Q51,,InterestRatesTrigger)</f>
        <v>1.5155731345869885E-2</v>
      </c>
      <c r="U51" s="30">
        <f>_xll.qlIndexFixing(Index,Q51,,InterestRatesTrigger)</f>
        <v>1.5903292536425449E-2</v>
      </c>
      <c r="V51" s="30">
        <f t="shared" si="5"/>
        <v>7.475611905555634E-4</v>
      </c>
      <c r="W51" s="29">
        <f>_xll.qlDayCounterYearFraction(DayCounter,SettlementDate,R51,,,Trigger)</f>
        <v>31.458333333333332</v>
      </c>
      <c r="X51" s="29">
        <f>_xll.qlDayCounterYearFraction(DayCounter,R51,S51)</f>
        <v>1.0138888888888888</v>
      </c>
      <c r="Y51" s="29">
        <f>_xll.qlYieldTSDiscount(Currency&amp;"ON",R51)/(1+U51*X51)</f>
        <v>0.63373734057201969</v>
      </c>
      <c r="Z51" s="30">
        <f>_xll.qlTenorBasisValue(TenorBasis6M,R51,InterestRatesTrigger)</f>
        <v>5.9354939708079583E-4</v>
      </c>
      <c r="AA51" s="30">
        <f t="shared" si="6"/>
        <v>1.5401179347476757E-4</v>
      </c>
    </row>
    <row r="52" spans="15:27" x14ac:dyDescent="0.2">
      <c r="O52" s="33">
        <v>12</v>
      </c>
      <c r="P52" s="27" t="str">
        <f>_xll.qlPeriodEquivalent(P51&amp;"+"&amp;O52&amp;"M")</f>
        <v>32Y</v>
      </c>
      <c r="Q52" s="28">
        <f>_xll.qlCalendarAdvance(Calendar,SettlementDate,P52,"f",,Trigger)</f>
        <v>53967</v>
      </c>
      <c r="R52" s="28">
        <f>_xll.qlInterestRateIndexValueDate(Index,Q52,Trigger)</f>
        <v>53969</v>
      </c>
      <c r="S52" s="28">
        <f>_xll.qlInterestRateIndexMaturity(Index,R52,Trigger)</f>
        <v>54336</v>
      </c>
      <c r="T52" s="30">
        <f>_xll.qlIndexFixing($M$6,Q52,,InterestRatesTrigger)</f>
        <v>1.5260872795245926E-2</v>
      </c>
      <c r="U52" s="30">
        <f>_xll.qlIndexFixing(Index,Q52,,InterestRatesTrigger)</f>
        <v>1.5948900429945699E-2</v>
      </c>
      <c r="V52" s="30">
        <f t="shared" si="5"/>
        <v>6.8802763469977268E-4</v>
      </c>
      <c r="W52" s="29">
        <f>_xll.qlDayCounterYearFraction(DayCounter,SettlementDate,R52,,,Trigger)</f>
        <v>32.472222222222221</v>
      </c>
      <c r="X52" s="29">
        <f>_xll.qlDayCounterYearFraction(DayCounter,R52,S52)</f>
        <v>1.0194444444444444</v>
      </c>
      <c r="Y52" s="29">
        <f>_xll.qlYieldTSDiscount(Currency&amp;"ON",R52)/(1+U52*X52)</f>
        <v>0.62406374507880658</v>
      </c>
      <c r="Z52" s="30">
        <f>_xll.qlTenorBasisValue(TenorBasis6M,R52,InterestRatesTrigger)</f>
        <v>5.7056971665244772E-4</v>
      </c>
      <c r="AA52" s="30">
        <f t="shared" si="6"/>
        <v>1.1745791804732497E-4</v>
      </c>
    </row>
    <row r="53" spans="15:27" x14ac:dyDescent="0.2">
      <c r="O53" s="33">
        <v>12</v>
      </c>
      <c r="P53" s="27" t="str">
        <f>_xll.qlPeriodEquivalent(P52&amp;"+"&amp;O53&amp;"M")</f>
        <v>33Y</v>
      </c>
      <c r="Q53" s="28">
        <f>_xll.qlCalendarAdvance(Calendar,SettlementDate,P53,"f",,Trigger)</f>
        <v>54333</v>
      </c>
      <c r="R53" s="28">
        <f>_xll.qlInterestRateIndexValueDate(Index,Q53,Trigger)</f>
        <v>54337</v>
      </c>
      <c r="S53" s="28">
        <f>_xll.qlInterestRateIndexMaturity(Index,R53,Trigger)</f>
        <v>54702</v>
      </c>
      <c r="T53" s="30">
        <f>_xll.qlIndexFixing($M$6,Q53,,InterestRatesTrigger)</f>
        <v>1.5301839595289289E-2</v>
      </c>
      <c r="U53" s="30">
        <f>_xll.qlIndexFixing(Index,Q53,,InterestRatesTrigger)</f>
        <v>1.5941246560540124E-2</v>
      </c>
      <c r="V53" s="30">
        <f t="shared" si="5"/>
        <v>6.3940696525083447E-4</v>
      </c>
      <c r="W53" s="29">
        <f>_xll.qlDayCounterYearFraction(DayCounter,SettlementDate,R53,,,Trigger)</f>
        <v>33.494444444444447</v>
      </c>
      <c r="X53" s="29">
        <f>_xll.qlDayCounterYearFraction(DayCounter,R53,S53)</f>
        <v>1.0138888888888888</v>
      </c>
      <c r="Y53" s="29">
        <f>_xll.qlYieldTSDiscount(Currency&amp;"ON",R53)/(1+U53*X53)</f>
        <v>0.61453590749249964</v>
      </c>
      <c r="Z53" s="30">
        <f>_xll.qlTenorBasisValue(TenorBasis6M,R53,InterestRatesTrigger)</f>
        <v>5.5034871718685351E-4</v>
      </c>
      <c r="AA53" s="30">
        <f t="shared" si="6"/>
        <v>8.9058248063980964E-5</v>
      </c>
    </row>
    <row r="54" spans="15:27" x14ac:dyDescent="0.2">
      <c r="O54" s="33">
        <v>12</v>
      </c>
      <c r="P54" s="27" t="str">
        <f>_xll.qlPeriodEquivalent(P53&amp;"+"&amp;O54&amp;"M")</f>
        <v>34Y</v>
      </c>
      <c r="Q54" s="28">
        <f>_xll.qlCalendarAdvance(Calendar,SettlementDate,P54,"f",,Trigger)</f>
        <v>54700</v>
      </c>
      <c r="R54" s="28">
        <f>_xll.qlInterestRateIndexValueDate(Index,Q54,Trigger)</f>
        <v>54702</v>
      </c>
      <c r="S54" s="28">
        <f>_xll.qlInterestRateIndexMaturity(Index,R54,Trigger)</f>
        <v>55067</v>
      </c>
      <c r="T54" s="30">
        <f>_xll.qlIndexFixing($M$6,Q54,,InterestRatesTrigger)</f>
        <v>1.527258456263756E-2</v>
      </c>
      <c r="U54" s="30">
        <f>_xll.qlIndexFixing(Index,Q54,,InterestRatesTrigger)</f>
        <v>1.5875917255931484E-2</v>
      </c>
      <c r="V54" s="30">
        <f t="shared" si="5"/>
        <v>6.0333269329392383E-4</v>
      </c>
      <c r="W54" s="29">
        <f>_xll.qlDayCounterYearFraction(DayCounter,SettlementDate,R54,,,Trigger)</f>
        <v>34.508333333333333</v>
      </c>
      <c r="X54" s="29">
        <f>_xll.qlDayCounterYearFraction(DayCounter,R54,S54)</f>
        <v>1.0138888888888888</v>
      </c>
      <c r="Y54" s="29">
        <f>_xll.qlYieldTSDiscount(Currency&amp;"ON",R54)/(1+U54*X54)</f>
        <v>0.60518687727871179</v>
      </c>
      <c r="Z54" s="30">
        <f>_xll.qlTenorBasisValue(TenorBasis6M,R54,InterestRatesTrigger)</f>
        <v>5.328648286659763E-4</v>
      </c>
      <c r="AA54" s="30">
        <f t="shared" si="6"/>
        <v>7.0467864627947528E-5</v>
      </c>
    </row>
    <row r="55" spans="15:27" x14ac:dyDescent="0.2">
      <c r="O55" s="33">
        <v>12</v>
      </c>
      <c r="P55" s="27" t="str">
        <f>_xll.qlPeriodEquivalent(P54&amp;"+"&amp;O55&amp;"M")</f>
        <v>35Y</v>
      </c>
      <c r="Q55" s="28">
        <f>_xll.qlCalendarAdvance(Calendar,SettlementDate,P55,"f",,Trigger)</f>
        <v>55064</v>
      </c>
      <c r="R55" s="28">
        <f>_xll.qlInterestRateIndexValueDate(Index,Q55,Trigger)</f>
        <v>55066</v>
      </c>
      <c r="S55" s="28">
        <f>_xll.qlInterestRateIndexMaturity(Index,R55,Trigger)</f>
        <v>55431</v>
      </c>
      <c r="T55" s="30">
        <f>_xll.qlIndexFixing($M$6,Q55,,InterestRatesTrigger)</f>
        <v>1.5165553648001422E-2</v>
      </c>
      <c r="U55" s="30">
        <f>_xll.qlIndexFixing(Index,Q55,,InterestRatesTrigger)</f>
        <v>1.5746121603193965E-2</v>
      </c>
      <c r="V55" s="30">
        <f t="shared" si="5"/>
        <v>5.805679551925437E-4</v>
      </c>
      <c r="W55" s="29">
        <f>_xll.qlDayCounterYearFraction(DayCounter,SettlementDate,R55,,,Trigger)</f>
        <v>35.519444444444446</v>
      </c>
      <c r="X55" s="29">
        <f>_xll.qlDayCounterYearFraction(DayCounter,R55,S55)</f>
        <v>1.0138888888888888</v>
      </c>
      <c r="Y55" s="29">
        <f>_xll.qlYieldTSDiscount(Currency&amp;"ON",R55)/(1+U55*X55)</f>
        <v>0.59606085696885303</v>
      </c>
      <c r="Z55" s="30">
        <f>_xll.qlTenorBasisValue(TenorBasis6M,R55,InterestRatesTrigger)</f>
        <v>5.1766988841929539E-4</v>
      </c>
      <c r="AA55" s="30">
        <f t="shared" si="6"/>
        <v>6.2898066773248314E-5</v>
      </c>
    </row>
    <row r="56" spans="15:27" x14ac:dyDescent="0.2">
      <c r="O56" s="33">
        <v>12</v>
      </c>
      <c r="P56" s="27" t="str">
        <f>_xll.qlPeriodEquivalent(P55&amp;"+"&amp;O56&amp;"M")</f>
        <v>36Y</v>
      </c>
      <c r="Q56" s="28">
        <f>_xll.qlCalendarAdvance(Calendar,SettlementDate,P56,"f",,Trigger)</f>
        <v>55428</v>
      </c>
      <c r="R56" s="28">
        <f>_xll.qlInterestRateIndexValueDate(Index,Q56,Trigger)</f>
        <v>55430</v>
      </c>
      <c r="S56" s="28">
        <f>_xll.qlInterestRateIndexMaturity(Index,R56,Trigger)</f>
        <v>55796</v>
      </c>
      <c r="T56" s="30">
        <f>_xll.qlIndexFixing($M$6,Q56,,InterestRatesTrigger)</f>
        <v>1.4973059373349354E-2</v>
      </c>
      <c r="U56" s="30">
        <f>_xll.qlIndexFixing(Index,Q56,,InterestRatesTrigger)</f>
        <v>1.5545148350512145E-2</v>
      </c>
      <c r="V56" s="30">
        <f t="shared" si="5"/>
        <v>5.7208897716279176E-4</v>
      </c>
      <c r="W56" s="29">
        <f>_xll.qlDayCounterYearFraction(DayCounter,SettlementDate,R56,,,Trigger)</f>
        <v>36.530555555555559</v>
      </c>
      <c r="X56" s="29">
        <f>_xll.qlDayCounterYearFraction(DayCounter,R56,S56)</f>
        <v>1.0166666666666666</v>
      </c>
      <c r="Y56" s="29">
        <f>_xll.qlYieldTSDiscount(Currency&amp;"ON",R56)/(1+U56*X56)</f>
        <v>0.58715172176086039</v>
      </c>
      <c r="Z56" s="30">
        <f>_xll.qlTenorBasisValue(TenorBasis6M,R56,InterestRatesTrigger)</f>
        <v>5.0443867018708016E-4</v>
      </c>
      <c r="AA56" s="30">
        <f t="shared" si="6"/>
        <v>6.7650306975711606E-5</v>
      </c>
    </row>
    <row r="57" spans="15:27" x14ac:dyDescent="0.2">
      <c r="O57" s="33">
        <v>12</v>
      </c>
      <c r="P57" s="27" t="str">
        <f>_xll.qlPeriodEquivalent(P56&amp;"+"&amp;O57&amp;"M")</f>
        <v>37Y</v>
      </c>
      <c r="Q57" s="28">
        <f>_xll.qlCalendarAdvance(Calendar,SettlementDate,P57,"f",,Trigger)</f>
        <v>55794</v>
      </c>
      <c r="R57" s="28">
        <f>_xll.qlInterestRateIndexValueDate(Index,Q57,Trigger)</f>
        <v>55796</v>
      </c>
      <c r="S57" s="28">
        <f>_xll.qlInterestRateIndexMaturity(Index,R57,Trigger)</f>
        <v>56163</v>
      </c>
      <c r="T57" s="30">
        <f>_xll.qlIndexFixing($M$6,Q57,,InterestRatesTrigger)</f>
        <v>1.4685362639784691E-2</v>
      </c>
      <c r="U57" s="30">
        <f>_xll.qlIndexFixing(Index,Q57,,InterestRatesTrigger)</f>
        <v>1.5264416963854438E-2</v>
      </c>
      <c r="V57" s="30">
        <f t="shared" si="5"/>
        <v>5.7905432406974745E-4</v>
      </c>
      <c r="W57" s="29">
        <f>_xll.qlDayCounterYearFraction(DayCounter,SettlementDate,R57,,,Trigger)</f>
        <v>37.547222222222224</v>
      </c>
      <c r="X57" s="29">
        <f>_xll.qlDayCounterYearFraction(DayCounter,R57,S57)</f>
        <v>1.0194444444444444</v>
      </c>
      <c r="Y57" s="29">
        <f>_xll.qlYieldTSDiscount(Currency&amp;"ON",R57)/(1+U57*X57)</f>
        <v>0.57848614940682441</v>
      </c>
      <c r="Z57" s="30">
        <f>_xll.qlTenorBasisValue(TenorBasis6M,R57,InterestRatesTrigger)</f>
        <v>4.9286933001942515E-4</v>
      </c>
      <c r="AA57" s="30">
        <f t="shared" si="6"/>
        <v>8.6184994050322308E-5</v>
      </c>
    </row>
    <row r="58" spans="15:27" x14ac:dyDescent="0.2">
      <c r="O58" s="33">
        <v>12</v>
      </c>
      <c r="P58" s="27" t="str">
        <f>_xll.qlPeriodEquivalent(P57&amp;"+"&amp;O58&amp;"M")</f>
        <v>38Y</v>
      </c>
      <c r="Q58" s="28">
        <f>_xll.qlCalendarAdvance(Calendar,SettlementDate,P58,"f",,Trigger)</f>
        <v>56159</v>
      </c>
      <c r="R58" s="28">
        <f>_xll.qlInterestRateIndexValueDate(Index,Q58,Trigger)</f>
        <v>56163</v>
      </c>
      <c r="S58" s="28">
        <f>_xll.qlInterestRateIndexMaturity(Index,R58,Trigger)</f>
        <v>56528</v>
      </c>
      <c r="T58" s="30">
        <f>_xll.qlIndexFixing($M$6,Q58,,InterestRatesTrigger)</f>
        <v>1.4295332791034017E-2</v>
      </c>
      <c r="U58" s="30">
        <f>_xll.qlIndexFixing(Index,Q58,,InterestRatesTrigger)</f>
        <v>1.4897828606799569E-2</v>
      </c>
      <c r="V58" s="30">
        <f t="shared" si="5"/>
        <v>6.024958157655521E-4</v>
      </c>
      <c r="W58" s="29">
        <f>_xll.qlDayCounterYearFraction(DayCounter,SettlementDate,R58,,,Trigger)</f>
        <v>38.56666666666667</v>
      </c>
      <c r="X58" s="29">
        <f>_xll.qlDayCounterYearFraction(DayCounter,R58,S58)</f>
        <v>1.0138888888888888</v>
      </c>
      <c r="Y58" s="29">
        <f>_xll.qlYieldTSDiscount(Currency&amp;"ON",R58)/(1+U58*X58)</f>
        <v>0.57020972937377512</v>
      </c>
      <c r="Z58" s="30">
        <f>_xll.qlTenorBasisValue(TenorBasis6M,R58,InterestRatesTrigger)</f>
        <v>4.8279578457935326E-4</v>
      </c>
      <c r="AA58" s="30">
        <f t="shared" si="6"/>
        <v>1.1970003118619884E-4</v>
      </c>
    </row>
    <row r="59" spans="15:27" x14ac:dyDescent="0.2">
      <c r="O59" s="33">
        <v>12</v>
      </c>
      <c r="P59" s="27" t="str">
        <f>_xll.qlPeriodEquivalent(P58&amp;"+"&amp;O59&amp;"M")</f>
        <v>39Y</v>
      </c>
      <c r="Q59" s="28">
        <f>_xll.qlCalendarAdvance(Calendar,SettlementDate,P59,"f",,Trigger)</f>
        <v>56524</v>
      </c>
      <c r="R59" s="28">
        <f>_xll.qlInterestRateIndexValueDate(Index,Q59,Trigger)</f>
        <v>56528</v>
      </c>
      <c r="S59" s="28">
        <f>_xll.qlInterestRateIndexMaturity(Index,R59,Trigger)</f>
        <v>56893</v>
      </c>
      <c r="T59" s="30">
        <f>_xll.qlIndexFixing($M$6,Q59,,InterestRatesTrigger)</f>
        <v>1.3797828854094706E-2</v>
      </c>
      <c r="U59" s="30">
        <f>_xll.qlIndexFixing(Index,Q59,,InterestRatesTrigger)</f>
        <v>1.4441297970856705E-2</v>
      </c>
      <c r="V59" s="30">
        <f t="shared" si="5"/>
        <v>6.4346911676199832E-4</v>
      </c>
      <c r="W59" s="29">
        <f>_xll.qlDayCounterYearFraction(DayCounter,SettlementDate,R59,,,Trigger)</f>
        <v>39.580555555555556</v>
      </c>
      <c r="X59" s="29">
        <f>_xll.qlDayCounterYearFraction(DayCounter,R59,S59)</f>
        <v>1.0138888888888888</v>
      </c>
      <c r="Y59" s="29">
        <f>_xll.qlYieldTSDiscount(Currency&amp;"ON",R59)/(1+U59*X59)</f>
        <v>0.56231966122368959</v>
      </c>
      <c r="Z59" s="30">
        <f>_xll.qlTenorBasisValue(TenorBasis6M,R59,InterestRatesTrigger)</f>
        <v>4.7410199792239808E-4</v>
      </c>
      <c r="AA59" s="30">
        <f t="shared" si="6"/>
        <v>1.6936711883960024E-4</v>
      </c>
    </row>
    <row r="60" spans="15:27" x14ac:dyDescent="0.2">
      <c r="O60" s="33">
        <v>12</v>
      </c>
      <c r="P60" s="27" t="str">
        <f>_xll.qlPeriodEquivalent(P59&amp;"+"&amp;O60&amp;"M")</f>
        <v>40Y</v>
      </c>
      <c r="Q60" s="28">
        <f>_xll.qlCalendarAdvance(Calendar,SettlementDate,P60,"f",,Trigger)</f>
        <v>56891</v>
      </c>
      <c r="R60" s="28">
        <f>_xll.qlInterestRateIndexValueDate(Index,Q60,Trigger)</f>
        <v>56893</v>
      </c>
      <c r="S60" s="28">
        <f>_xll.qlInterestRateIndexMaturity(Index,R60,Trigger)</f>
        <v>57259</v>
      </c>
      <c r="T60" s="30">
        <f>_xll.qlIndexFixing($M$6,Q60,,InterestRatesTrigger)</f>
        <v>1.3176686223572128E-2</v>
      </c>
      <c r="U60" s="30">
        <f>_xll.qlIndexFixing(Index,Q60,,InterestRatesTrigger)</f>
        <v>1.385646869592622E-2</v>
      </c>
      <c r="V60" s="30">
        <f t="shared" si="5"/>
        <v>6.7978247235409191E-4</v>
      </c>
      <c r="W60" s="29">
        <f>_xll.qlDayCounterYearFraction(DayCounter,SettlementDate,R60,,,Trigger)</f>
        <v>40.594444444444441</v>
      </c>
      <c r="X60" s="29">
        <f>_xll.qlDayCounterYearFraction(DayCounter,R60,S60)</f>
        <v>1.0166666666666666</v>
      </c>
      <c r="Y60" s="29">
        <f>_xll.qlYieldTSDiscount(Currency&amp;"ON",R60)/(1+U60*X60)</f>
        <v>0.55486485209169123</v>
      </c>
      <c r="Z60" s="30">
        <f>_xll.qlTenorBasisValue(TenorBasis6M,R60,InterestRatesTrigger)</f>
        <v>4.6656087395848716E-4</v>
      </c>
      <c r="AA60" s="30">
        <f t="shared" si="6"/>
        <v>2.1322159839560475E-4</v>
      </c>
    </row>
    <row r="61" spans="15:27" x14ac:dyDescent="0.2">
      <c r="O61" s="33">
        <v>12</v>
      </c>
      <c r="P61" s="27" t="str">
        <f>_xll.qlPeriodEquivalent(P60&amp;"+"&amp;O61&amp;"M")</f>
        <v>41Y</v>
      </c>
      <c r="Q61" s="28">
        <f>_xll.qlCalendarAdvance(Calendar,SettlementDate,P61,"f",,Trigger)</f>
        <v>57255</v>
      </c>
      <c r="R61" s="28">
        <f>_xll.qlInterestRateIndexValueDate(Index,Q61,Trigger)</f>
        <v>57257</v>
      </c>
      <c r="S61" s="28">
        <f>_xll.qlInterestRateIndexMaturity(Index,R61,Trigger)</f>
        <v>57622</v>
      </c>
      <c r="T61" s="30">
        <f>_xll.qlIndexFixing($M$6,Q61,,InterestRatesTrigger)</f>
        <v>1.2565758287962777E-2</v>
      </c>
      <c r="U61" s="30">
        <f>_xll.qlIndexFixing(Index,Q61,,InterestRatesTrigger)</f>
        <v>1.3256845651328019E-2</v>
      </c>
      <c r="V61" s="30">
        <f t="shared" si="5"/>
        <v>6.9108736336524236E-4</v>
      </c>
      <c r="W61" s="29">
        <f>_xll.qlDayCounterYearFraction(DayCounter,SettlementDate,R61,,,Trigger)</f>
        <v>41.605555555555554</v>
      </c>
      <c r="X61" s="29">
        <f>_xll.qlDayCounterYearFraction(DayCounter,R61,S61)</f>
        <v>1.0138888888888888</v>
      </c>
      <c r="Y61" s="29">
        <f>_xll.qlYieldTSDiscount(Currency&amp;"ON",R61)/(1+U61*X61)</f>
        <v>0.54791811160242176</v>
      </c>
      <c r="Z61" s="30">
        <f>_xll.qlTenorBasisValue(TenorBasis6M,R61,InterestRatesTrigger)</f>
        <v>4.600411485969433E-4</v>
      </c>
      <c r="AA61" s="30">
        <f t="shared" si="6"/>
        <v>2.3104621476829906E-4</v>
      </c>
    </row>
    <row r="62" spans="15:27" x14ac:dyDescent="0.2">
      <c r="O62" s="33">
        <v>12</v>
      </c>
      <c r="P62" s="27" t="str">
        <f>_xll.qlPeriodEquivalent(P61&amp;"+"&amp;O62&amp;"M")</f>
        <v>42Y</v>
      </c>
      <c r="Q62" s="28">
        <f>_xll.qlCalendarAdvance(Calendar,SettlementDate,P62,"f",,Trigger)</f>
        <v>57620</v>
      </c>
      <c r="R62" s="28">
        <f>_xll.qlInterestRateIndexValueDate(Index,Q62,Trigger)</f>
        <v>57622</v>
      </c>
      <c r="S62" s="28">
        <f>_xll.qlInterestRateIndexMaturity(Index,R62,Trigger)</f>
        <v>57987</v>
      </c>
      <c r="T62" s="30">
        <f>_xll.qlIndexFixing($M$6,Q62,,InterestRatesTrigger)</f>
        <v>1.2040823008356514E-2</v>
      </c>
      <c r="U62" s="30">
        <f>_xll.qlIndexFixing(Index,Q62,,InterestRatesTrigger)</f>
        <v>1.2729477228690483E-2</v>
      </c>
      <c r="V62" s="30">
        <f t="shared" si="5"/>
        <v>6.8865422033396843E-4</v>
      </c>
      <c r="W62" s="29">
        <f>_xll.qlDayCounterYearFraction(DayCounter,SettlementDate,R62,,,Trigger)</f>
        <v>42.619444444444447</v>
      </c>
      <c r="X62" s="29">
        <f>_xll.qlDayCounterYearFraction(DayCounter,R62,S62)</f>
        <v>1.0138888888888888</v>
      </c>
      <c r="Y62" s="29">
        <f>_xll.qlYieldTSDiscount(Currency&amp;"ON",R62)/(1+U62*X62)</f>
        <v>0.54131089281787603</v>
      </c>
      <c r="Z62" s="30">
        <f>_xll.qlTenorBasisValue(TenorBasis6M,R62,InterestRatesTrigger)</f>
        <v>4.5437743015428345E-4</v>
      </c>
      <c r="AA62" s="30">
        <f t="shared" si="6"/>
        <v>2.3427679017968498E-4</v>
      </c>
    </row>
    <row r="63" spans="15:27" x14ac:dyDescent="0.2">
      <c r="O63" s="33">
        <v>12</v>
      </c>
      <c r="P63" s="27" t="str">
        <f>_xll.qlPeriodEquivalent(P62&amp;"+"&amp;O63&amp;"M")</f>
        <v>43Y</v>
      </c>
      <c r="Q63" s="28">
        <f>_xll.qlCalendarAdvance(Calendar,SettlementDate,P63,"f",,Trigger)</f>
        <v>57985</v>
      </c>
      <c r="R63" s="28">
        <f>_xll.qlInterestRateIndexValueDate(Index,Q63,Trigger)</f>
        <v>57987</v>
      </c>
      <c r="S63" s="28">
        <f>_xll.qlInterestRateIndexMaturity(Index,R63,Trigger)</f>
        <v>58354</v>
      </c>
      <c r="T63" s="30">
        <f>_xll.qlIndexFixing($M$6,Q63,,InterestRatesTrigger)</f>
        <v>1.1615469842784413E-2</v>
      </c>
      <c r="U63" s="30">
        <f>_xll.qlIndexFixing(Index,Q63,,InterestRatesTrigger)</f>
        <v>1.2286148634925666E-2</v>
      </c>
      <c r="V63" s="30">
        <f t="shared" si="5"/>
        <v>6.7067879214125284E-4</v>
      </c>
      <c r="W63" s="29">
        <f>_xll.qlDayCounterYearFraction(DayCounter,SettlementDate,R63,,,Trigger)</f>
        <v>43.633333333333333</v>
      </c>
      <c r="X63" s="29">
        <f>_xll.qlDayCounterYearFraction(DayCounter,R63,S63)</f>
        <v>1.0194444444444444</v>
      </c>
      <c r="Y63" s="29">
        <f>_xll.qlYieldTSDiscount(Currency&amp;"ON",R63)/(1+U63*X63)</f>
        <v>0.53498359376091942</v>
      </c>
      <c r="Z63" s="30">
        <f>_xll.qlTenorBasisValue(TenorBasis6M,R63,InterestRatesTrigger)</f>
        <v>4.4947510085897407E-4</v>
      </c>
      <c r="AA63" s="30">
        <f t="shared" si="6"/>
        <v>2.2120369128227876E-4</v>
      </c>
    </row>
    <row r="64" spans="15:27" x14ac:dyDescent="0.2">
      <c r="O64" s="33">
        <v>12</v>
      </c>
      <c r="P64" s="27" t="str">
        <f>_xll.qlPeriodEquivalent(P63&amp;"+"&amp;O64&amp;"M")</f>
        <v>44Y</v>
      </c>
      <c r="Q64" s="28">
        <f>_xll.qlCalendarAdvance(Calendar,SettlementDate,P64,"f",,Trigger)</f>
        <v>58350</v>
      </c>
      <c r="R64" s="28">
        <f>_xll.qlInterestRateIndexValueDate(Index,Q64,Trigger)</f>
        <v>58354</v>
      </c>
      <c r="S64" s="28">
        <f>_xll.qlInterestRateIndexMaturity(Index,R64,Trigger)</f>
        <v>58720</v>
      </c>
      <c r="T64" s="30">
        <f>_xll.qlIndexFixing($M$6,Q64,,InterestRatesTrigger)</f>
        <v>1.1301706715977279E-2</v>
      </c>
      <c r="U64" s="30">
        <f>_xll.qlIndexFixing(Index,Q64,,InterestRatesTrigger)</f>
        <v>1.1937007927079983E-2</v>
      </c>
      <c r="V64" s="30">
        <f t="shared" si="5"/>
        <v>6.3530121110270434E-4</v>
      </c>
      <c r="W64" s="29">
        <f>_xll.qlDayCounterYearFraction(DayCounter,SettlementDate,R64,,,Trigger)</f>
        <v>44.652777777777779</v>
      </c>
      <c r="X64" s="29">
        <f>_xll.qlDayCounterYearFraction(DayCounter,R64,S64)</f>
        <v>1.0166666666666666</v>
      </c>
      <c r="Y64" s="29">
        <f>_xll.qlYieldTSDiscount(Currency&amp;"ON",R64)/(1+U64*X64)</f>
        <v>0.52892606743054105</v>
      </c>
      <c r="Z64" s="30">
        <f>_xll.qlTenorBasisValue(TenorBasis6M,R64,InterestRatesTrigger)</f>
        <v>4.4521294326830917E-4</v>
      </c>
      <c r="AA64" s="30">
        <f t="shared" si="6"/>
        <v>1.9008826783439517E-4</v>
      </c>
    </row>
    <row r="65" spans="15:28" x14ac:dyDescent="0.2">
      <c r="O65" s="33">
        <v>12</v>
      </c>
      <c r="P65" s="27" t="str">
        <f>_xll.qlPeriodEquivalent(P64&amp;"+"&amp;O65&amp;"M")</f>
        <v>45Y</v>
      </c>
      <c r="Q65" s="28">
        <f>_xll.qlCalendarAdvance(Calendar,SettlementDate,P65,"f",,Trigger)</f>
        <v>58718</v>
      </c>
      <c r="R65" s="28">
        <f>_xll.qlInterestRateIndexValueDate(Index,Q65,Trigger)</f>
        <v>58720</v>
      </c>
      <c r="S65" s="28">
        <f>_xll.qlInterestRateIndexMaturity(Index,R65,Trigger)</f>
        <v>59085</v>
      </c>
      <c r="T65" s="30">
        <f>_xll.qlIndexFixing($M$6,Q65,,InterestRatesTrigger)</f>
        <v>1.111310577592654E-2</v>
      </c>
      <c r="U65" s="30">
        <f>_xll.qlIndexFixing(Index,Q65,,InterestRatesTrigger)</f>
        <v>1.1694168361588488E-2</v>
      </c>
      <c r="V65" s="30">
        <f t="shared" si="5"/>
        <v>5.81062585661948E-4</v>
      </c>
      <c r="W65" s="29">
        <f>_xll.qlDayCounterYearFraction(DayCounter,SettlementDate,R65,,,Trigger)</f>
        <v>45.669444444444444</v>
      </c>
      <c r="X65" s="29">
        <f>_xll.qlDayCounterYearFraction(DayCounter,R65,S65)</f>
        <v>1.0138888888888888</v>
      </c>
      <c r="Y65" s="29">
        <f>_xll.qlYieldTSDiscount(Currency&amp;"ON",R65)/(1+U65*X65)</f>
        <v>0.52306208323273995</v>
      </c>
      <c r="Z65" s="30">
        <f>_xll.qlTenorBasisValue(TenorBasis6M,R65,InterestRatesTrigger)</f>
        <v>4.4154063255093164E-4</v>
      </c>
      <c r="AA65" s="30">
        <f t="shared" si="6"/>
        <v>1.3952195311101636E-4</v>
      </c>
    </row>
    <row r="66" spans="15:28" x14ac:dyDescent="0.2">
      <c r="O66" s="33">
        <v>12</v>
      </c>
      <c r="P66" s="27" t="str">
        <f>_xll.qlPeriodEquivalent(P65&amp;"+"&amp;O66&amp;"M")</f>
        <v>46Y</v>
      </c>
      <c r="Q66" s="28">
        <f>_xll.qlCalendarAdvance(Calendar,SettlementDate,P66,"f",,Trigger)</f>
        <v>59082</v>
      </c>
      <c r="R66" s="28">
        <f>_xll.qlInterestRateIndexValueDate(Index,Q66,Trigger)</f>
        <v>59084</v>
      </c>
      <c r="S66" s="28">
        <f>_xll.qlInterestRateIndexMaturity(Index,R66,Trigger)</f>
        <v>59449</v>
      </c>
      <c r="T66" s="30">
        <f>_xll.qlIndexFixing($M$6,Q66,,InterestRatesTrigger)</f>
        <v>1.1060627271030811E-2</v>
      </c>
      <c r="U66" s="30">
        <f>_xll.qlIndexFixing(Index,Q66,,InterestRatesTrigger)</f>
        <v>1.1567173076991301E-2</v>
      </c>
      <c r="V66" s="30">
        <f t="shared" si="5"/>
        <v>5.0654580596048993E-4</v>
      </c>
      <c r="W66" s="29">
        <f>_xll.qlDayCounterYearFraction(DayCounter,SettlementDate,R66,,,Trigger)</f>
        <v>46.680555555555557</v>
      </c>
      <c r="X66" s="29">
        <f>_xll.qlDayCounterYearFraction(DayCounter,R66,S66)</f>
        <v>1.0138888888888888</v>
      </c>
      <c r="Y66" s="29">
        <f>_xll.qlYieldTSDiscount(Currency&amp;"ON",R66)/(1+U66*X66)</f>
        <v>0.51731580656920639</v>
      </c>
      <c r="Z66" s="30">
        <f>_xll.qlTenorBasisValue(TenorBasis6M,R66,InterestRatesTrigger)</f>
        <v>4.3838519234455425E-4</v>
      </c>
      <c r="AA66" s="30">
        <f t="shared" si="6"/>
        <v>6.8160613615935676E-5</v>
      </c>
    </row>
    <row r="67" spans="15:28" x14ac:dyDescent="0.2">
      <c r="O67" s="33">
        <v>12</v>
      </c>
      <c r="P67" s="27" t="str">
        <f>_xll.qlPeriodEquivalent(P66&amp;"+"&amp;O67&amp;"M")</f>
        <v>47Y</v>
      </c>
      <c r="Q67" s="28">
        <f>_xll.qlCalendarAdvance(Calendar,SettlementDate,P67,"f",,Trigger)</f>
        <v>59446</v>
      </c>
      <c r="R67" s="28">
        <f>_xll.qlInterestRateIndexValueDate(Index,Q67,Trigger)</f>
        <v>59448</v>
      </c>
      <c r="S67" s="28">
        <f>_xll.qlInterestRateIndexMaturity(Index,R67,Trigger)</f>
        <v>59813</v>
      </c>
      <c r="T67" s="30">
        <f>_xll.qlIndexFixing($M$6,Q67,,InterestRatesTrigger)</f>
        <v>1.1154798324200393E-2</v>
      </c>
      <c r="U67" s="30">
        <f>_xll.qlIndexFixing(Index,Q67,,InterestRatesTrigger)</f>
        <v>1.1564645598076921E-2</v>
      </c>
      <c r="V67" s="30">
        <f t="shared" si="5"/>
        <v>4.0984727387652874E-4</v>
      </c>
      <c r="W67" s="29">
        <f>_xll.qlDayCounterYearFraction(DayCounter,SettlementDate,R67,,,Trigger)</f>
        <v>47.69166666666667</v>
      </c>
      <c r="X67" s="29">
        <f>_xll.qlDayCounterYearFraction(DayCounter,R67,S67)</f>
        <v>1.0138888888888888</v>
      </c>
      <c r="Y67" s="29">
        <f>_xll.qlYieldTSDiscount(Currency&amp;"ON",R67)/(1+U67*X67)</f>
        <v>0.51159579179573</v>
      </c>
      <c r="Z67" s="30">
        <f>_xll.qlTenorBasisValue(TenorBasis6M,R67,InterestRatesTrigger)</f>
        <v>4.3565936073309614E-4</v>
      </c>
      <c r="AA67" s="30">
        <f t="shared" si="6"/>
        <v>-2.5812086856567406E-5</v>
      </c>
    </row>
    <row r="68" spans="15:28" x14ac:dyDescent="0.2">
      <c r="O68" s="33">
        <v>12</v>
      </c>
      <c r="P68" s="27" t="str">
        <f>_xll.qlPeriodEquivalent(P67&amp;"+"&amp;O68&amp;"M")</f>
        <v>48Y</v>
      </c>
      <c r="Q68" s="28">
        <f>_xll.qlCalendarAdvance(Calendar,SettlementDate,P68,"f",,Trigger)</f>
        <v>59811</v>
      </c>
      <c r="R68" s="28">
        <f>_xll.qlInterestRateIndexValueDate(Index,Q68,Trigger)</f>
        <v>59813</v>
      </c>
      <c r="S68" s="28">
        <f>_xll.qlInterestRateIndexMaturity(Index,R68,Trigger)</f>
        <v>60181</v>
      </c>
      <c r="T68" s="30">
        <f>_xll.qlIndexFixing($M$6,Q68,,InterestRatesTrigger)</f>
        <v>1.1410420759372328E-2</v>
      </c>
      <c r="U68" s="30">
        <f>_xll.qlIndexFixing(Index,Q68,,InterestRatesTrigger)</f>
        <v>1.1698755962892514E-2</v>
      </c>
      <c r="V68" s="30">
        <f t="shared" ref="V68:V78" si="14">U68-T68</f>
        <v>2.8833520352018575E-4</v>
      </c>
      <c r="W68" s="29">
        <f>_xll.qlDayCounterYearFraction(DayCounter,SettlementDate,R68,,,Trigger)</f>
        <v>48.705555555555556</v>
      </c>
      <c r="X68" s="29">
        <f>_xll.qlDayCounterYearFraction(DayCounter,R68,S68)</f>
        <v>1.0222222222222221</v>
      </c>
      <c r="Y68" s="29">
        <f>_xll.qlYieldTSDiscount(Currency&amp;"ON",R68)/(1+U68*X68)</f>
        <v>0.50575778275891503</v>
      </c>
      <c r="Z68" s="30">
        <f>_xll.qlTenorBasisValue(TenorBasis6M,R68,InterestRatesTrigger)</f>
        <v>4.3329988327410652E-4</v>
      </c>
      <c r="AA68" s="30">
        <f t="shared" ref="AA68:AA78" si="15">V68-Z68</f>
        <v>-1.4496467975392077E-4</v>
      </c>
    </row>
    <row r="69" spans="15:28" x14ac:dyDescent="0.2">
      <c r="O69" s="33">
        <v>12</v>
      </c>
      <c r="P69" s="27" t="str">
        <f>_xll.qlPeriodEquivalent(P68&amp;"+"&amp;O69&amp;"M")</f>
        <v>49Y</v>
      </c>
      <c r="Q69" s="28">
        <f>_xll.qlCalendarAdvance(Calendar,SettlementDate,P69,"f",,Trigger)</f>
        <v>60177</v>
      </c>
      <c r="R69" s="28">
        <f>_xll.qlInterestRateIndexValueDate(Index,Q69,Trigger)</f>
        <v>60181</v>
      </c>
      <c r="S69" s="28">
        <f>_xll.qlInterestRateIndexMaturity(Index,R69,Trigger)</f>
        <v>60546</v>
      </c>
      <c r="T69" s="30">
        <f>_xll.qlIndexFixing($M$6,Q69,,InterestRatesTrigger)</f>
        <v>1.183753756172615E-2</v>
      </c>
      <c r="U69" s="30">
        <f>_xll.qlIndexFixing(Index,Q69,,InterestRatesTrigger)</f>
        <v>1.1978331555975061E-2</v>
      </c>
      <c r="V69" s="30">
        <f t="shared" si="14"/>
        <v>1.407939942489108E-4</v>
      </c>
      <c r="W69" s="29">
        <f>_xll.qlDayCounterYearFraction(DayCounter,SettlementDate,R69,,,Trigger)</f>
        <v>49.727777777777774</v>
      </c>
      <c r="X69" s="29">
        <f>_xll.qlDayCounterYearFraction(DayCounter,R69,S69)</f>
        <v>1.0138888888888888</v>
      </c>
      <c r="Y69" s="29">
        <f>_xll.qlYieldTSDiscount(Currency&amp;"ON",R69)/(1+U69*X69)</f>
        <v>0.49983479025084288</v>
      </c>
      <c r="Z69" s="30">
        <f>_xll.qlTenorBasisValue(TenorBasis6M,R69,InterestRatesTrigger)</f>
        <v>4.3124905356178812E-4</v>
      </c>
      <c r="AA69" s="30">
        <f t="shared" si="15"/>
        <v>-2.9045505931287732E-4</v>
      </c>
    </row>
    <row r="70" spans="15:28" x14ac:dyDescent="0.2">
      <c r="O70" s="33">
        <v>12</v>
      </c>
      <c r="P70" s="27" t="str">
        <f>_xll.qlPeriodEquivalent(P69&amp;"+"&amp;O70&amp;"M")</f>
        <v>50Y</v>
      </c>
      <c r="Q70" s="28">
        <f>_xll.qlCalendarAdvance(Calendar,SettlementDate,P70,"f",,Trigger)</f>
        <v>60542</v>
      </c>
      <c r="R70" s="28">
        <f>_xll.qlInterestRateIndexValueDate(Index,Q70,Trigger)</f>
        <v>60546</v>
      </c>
      <c r="S70" s="28">
        <f>_xll.qlInterestRateIndexMaturity(Index,R70,Trigger)</f>
        <v>60911</v>
      </c>
      <c r="T70" s="30">
        <f>_xll.qlIndexFixing($M$6,Q70,,InterestRatesTrigger)</f>
        <v>1.2236908814892257E-2</v>
      </c>
      <c r="U70" s="30">
        <f>_xll.qlIndexFixing(Index,Q70,,InterestRatesTrigger)</f>
        <v>1.2363608029781079E-2</v>
      </c>
      <c r="V70" s="30">
        <f t="shared" si="14"/>
        <v>1.2669921488882123E-4</v>
      </c>
      <c r="W70" s="29">
        <f>_xll.qlDayCounterYearFraction(DayCounter,SettlementDate,R70,,,Trigger)</f>
        <v>50.741666666666667</v>
      </c>
      <c r="X70" s="29">
        <f>_xll.qlDayCounterYearFraction(DayCounter,R70,S70)</f>
        <v>1.0138888888888888</v>
      </c>
      <c r="Y70" s="29">
        <f>_xll.qlYieldTSDiscount(Currency&amp;"ON",R70)/(1+U70*X70)</f>
        <v>0.49371639976953713</v>
      </c>
      <c r="Z70" s="30">
        <f>_xll.qlTenorBasisValue(TenorBasis6M,R70,InterestRatesTrigger)</f>
        <v>4.2949634646159766E-4</v>
      </c>
      <c r="AA70" s="30">
        <f t="shared" si="15"/>
        <v>-3.0279713157277643E-4</v>
      </c>
    </row>
    <row r="71" spans="15:28" x14ac:dyDescent="0.2">
      <c r="O71" s="33">
        <v>12</v>
      </c>
      <c r="P71" s="27" t="str">
        <f>_xll.qlPeriodEquivalent(P70&amp;"+"&amp;O71&amp;"M")</f>
        <v>51Y</v>
      </c>
      <c r="Q71" s="28">
        <f>_xll.qlCalendarAdvance(Calendar,SettlementDate,P71,"f",,Trigger)</f>
        <v>60909</v>
      </c>
      <c r="R71" s="28">
        <f>_xll.qlInterestRateIndexValueDate(Index,Q71,Trigger)</f>
        <v>60911</v>
      </c>
      <c r="S71" s="28">
        <f>_xll.qlInterestRateIndexMaturity(Index,R71,Trigger)</f>
        <v>61276</v>
      </c>
      <c r="T71" s="30">
        <f>_xll.qlIndexFixing($M$6,Q71,,InterestRatesTrigger)</f>
        <v>1.2486251935293484E-2</v>
      </c>
      <c r="U71" s="30">
        <f>_xll.qlIndexFixing(Index,Q71,,InterestRatesTrigger)</f>
        <v>1.2737421823134053E-2</v>
      </c>
      <c r="V71" s="30">
        <f t="shared" si="14"/>
        <v>2.5116988784056916E-4</v>
      </c>
      <c r="W71" s="29">
        <f>_xll.qlDayCounterYearFraction(DayCounter,SettlementDate,R71,,,Trigger)</f>
        <v>51.755555555555553</v>
      </c>
      <c r="X71" s="29">
        <f>_xll.qlDayCounterYearFraction(DayCounter,R71,S71)</f>
        <v>1.0138888888888888</v>
      </c>
      <c r="Y71" s="29">
        <f>_xll.qlYieldTSDiscount(Currency&amp;"ON",R71)/(1+U71*X71)</f>
        <v>0.48748352152875518</v>
      </c>
      <c r="Z71" s="30">
        <f>_xll.qlTenorBasisValue(TenorBasis6M,R71,InterestRatesTrigger)</f>
        <v>4.2798586981454014E-4</v>
      </c>
      <c r="AA71" s="30">
        <f t="shared" si="15"/>
        <v>-1.7681598197397098E-4</v>
      </c>
    </row>
    <row r="72" spans="15:28" x14ac:dyDescent="0.2">
      <c r="O72" s="33">
        <v>12</v>
      </c>
      <c r="P72" s="27" t="str">
        <f>_xll.qlPeriodEquivalent(P71&amp;"+"&amp;O72&amp;"M")</f>
        <v>52Y</v>
      </c>
      <c r="Q72" s="28">
        <f>_xll.qlCalendarAdvance(Calendar,SettlementDate,P72,"f",,Trigger)</f>
        <v>61273</v>
      </c>
      <c r="R72" s="28">
        <f>_xll.qlInterestRateIndexValueDate(Index,Q72,Trigger)</f>
        <v>61275</v>
      </c>
      <c r="S72" s="28">
        <f>_xll.qlInterestRateIndexMaturity(Index,R72,Trigger)</f>
        <v>61641</v>
      </c>
      <c r="T72" s="30">
        <f>_xll.qlIndexFixing($M$6,Q72,,InterestRatesTrigger)</f>
        <v>1.271836717848894E-2</v>
      </c>
      <c r="U72" s="30">
        <f>_xll.qlIndexFixing(Index,Q72,,InterestRatesTrigger)</f>
        <v>1.3084052425827943E-2</v>
      </c>
      <c r="V72" s="30">
        <f t="shared" si="14"/>
        <v>3.6568524733900272E-4</v>
      </c>
      <c r="W72" s="29">
        <f>_xll.qlDayCounterYearFraction(DayCounter,SettlementDate,R72,,,Trigger)</f>
        <v>52.766666666666666</v>
      </c>
      <c r="X72" s="29">
        <f>_xll.qlDayCounterYearFraction(DayCounter,R72,S72)</f>
        <v>1.0166666666666666</v>
      </c>
      <c r="Y72" s="29">
        <f>_xll.qlYieldTSDiscount(Currency&amp;"ON",R72)/(1+U72*X72)</f>
        <v>0.48122180639434486</v>
      </c>
      <c r="Z72" s="30">
        <f>_xll.qlTenorBasisValue(TenorBasis6M,R72,InterestRatesTrigger)</f>
        <v>4.2668802839267931E-4</v>
      </c>
      <c r="AA72" s="30">
        <f t="shared" si="15"/>
        <v>-6.1002781053676593E-5</v>
      </c>
    </row>
    <row r="73" spans="15:28" x14ac:dyDescent="0.2">
      <c r="O73" s="33">
        <v>12</v>
      </c>
      <c r="P73" s="27" t="str">
        <f>_xll.qlPeriodEquivalent(P72&amp;"+"&amp;O73&amp;"M")</f>
        <v>53Y</v>
      </c>
      <c r="Q73" s="28">
        <f>_xll.qlCalendarAdvance(Calendar,SettlementDate,P73,"f",,Trigger)</f>
        <v>61638</v>
      </c>
      <c r="R73" s="28">
        <f>_xll.qlInterestRateIndexValueDate(Index,Q73,Trigger)</f>
        <v>61640</v>
      </c>
      <c r="S73" s="28">
        <f>_xll.qlInterestRateIndexMaturity(Index,R73,Trigger)</f>
        <v>62005</v>
      </c>
      <c r="T73" s="30">
        <f>_xll.qlIndexFixing($M$6,Q73,,InterestRatesTrigger)</f>
        <v>1.2930307664513601E-2</v>
      </c>
      <c r="U73" s="30">
        <f>_xll.qlIndexFixing(Index,Q73,,InterestRatesTrigger)</f>
        <v>1.3399168651476136E-2</v>
      </c>
      <c r="V73" s="30">
        <f t="shared" si="14"/>
        <v>4.6886098696253577E-4</v>
      </c>
      <c r="W73" s="29">
        <f>_xll.qlDayCounterYearFraction(DayCounter,SettlementDate,R73,,,Trigger)</f>
        <v>53.780555555555559</v>
      </c>
      <c r="X73" s="29">
        <f>_xll.qlDayCounterYearFraction(DayCounter,R73,S73)</f>
        <v>1.0138888888888888</v>
      </c>
      <c r="Y73" s="29">
        <f>_xll.qlYieldTSDiscount(Currency&amp;"ON",R73)/(1+U73*X73)</f>
        <v>0.47496297519735664</v>
      </c>
      <c r="Z73" s="30">
        <f>_xll.qlTenorBasisValue(TenorBasis6M,R73,InterestRatesTrigger)</f>
        <v>4.2556721684130718E-4</v>
      </c>
      <c r="AA73" s="30">
        <f t="shared" si="15"/>
        <v>4.3293770121228582E-5</v>
      </c>
    </row>
    <row r="74" spans="15:28" x14ac:dyDescent="0.2">
      <c r="O74" s="33">
        <v>12</v>
      </c>
      <c r="P74" s="27" t="str">
        <f>_xll.qlPeriodEquivalent(P73&amp;"+"&amp;O74&amp;"M")</f>
        <v>54Y</v>
      </c>
      <c r="Q74" s="28">
        <f>_xll.qlCalendarAdvance(Calendar,SettlementDate,P74,"f",,Trigger)</f>
        <v>62003</v>
      </c>
      <c r="R74" s="28">
        <f>_xll.qlInterestRateIndexValueDate(Index,Q74,Trigger)</f>
        <v>62005</v>
      </c>
      <c r="S74" s="28">
        <f>_xll.qlInterestRateIndexMaturity(Index,R74,Trigger)</f>
        <v>62372</v>
      </c>
      <c r="T74" s="30">
        <f>_xll.qlIndexFixing($M$6,Q74,,InterestRatesTrigger)</f>
        <v>1.3121283952011528E-2</v>
      </c>
      <c r="U74" s="30">
        <f>_xll.qlIndexFixing(Index,Q74,,InterestRatesTrigger)</f>
        <v>1.3680859128806476E-2</v>
      </c>
      <c r="V74" s="30">
        <f t="shared" si="14"/>
        <v>5.5957517679494813E-4</v>
      </c>
      <c r="W74" s="29">
        <f>_xll.qlDayCounterYearFraction(DayCounter,SettlementDate,R74,,,Trigger)</f>
        <v>54.794444444444444</v>
      </c>
      <c r="X74" s="29">
        <f>_xll.qlDayCounterYearFraction(DayCounter,R74,S74)</f>
        <v>1.0194444444444444</v>
      </c>
      <c r="Y74" s="29">
        <f>_xll.qlYieldTSDiscount(Currency&amp;"ON",R74)/(1+U74*X74)</f>
        <v>0.46864963970258405</v>
      </c>
      <c r="Z74" s="30">
        <f>_xll.qlTenorBasisValue(TenorBasis6M,R74,InterestRatesTrigger)</f>
        <v>4.246025353303136E-4</v>
      </c>
      <c r="AA74" s="30">
        <f t="shared" si="15"/>
        <v>1.3497264146463452E-4</v>
      </c>
    </row>
    <row r="75" spans="15:28" x14ac:dyDescent="0.2">
      <c r="O75" s="33">
        <v>12</v>
      </c>
      <c r="P75" s="27" t="str">
        <f>_xll.qlPeriodEquivalent(P74&amp;"+"&amp;O75&amp;"M")</f>
        <v>55Y</v>
      </c>
      <c r="Q75" s="28">
        <f>_xll.qlCalendarAdvance(Calendar,SettlementDate,P75,"f",,Trigger)</f>
        <v>62368</v>
      </c>
      <c r="R75" s="28">
        <f>_xll.qlInterestRateIndexValueDate(Index,Q75,Trigger)</f>
        <v>62372</v>
      </c>
      <c r="S75" s="28">
        <f>_xll.qlInterestRateIndexMaturity(Index,R75,Trigger)</f>
        <v>62737</v>
      </c>
      <c r="T75" s="30">
        <f>_xll.qlIndexFixing($M$6,Q75,,InterestRatesTrigger)</f>
        <v>1.3286091374062309E-2</v>
      </c>
      <c r="U75" s="30">
        <f>_xll.qlIndexFixing(Index,Q75,,InterestRatesTrigger)</f>
        <v>1.3921804863783338E-2</v>
      </c>
      <c r="V75" s="30">
        <f t="shared" si="14"/>
        <v>6.3571348972102891E-4</v>
      </c>
      <c r="W75" s="29">
        <f>_xll.qlDayCounterYearFraction(DayCounter,SettlementDate,R75,,,Trigger)</f>
        <v>55.81388888888889</v>
      </c>
      <c r="X75" s="29">
        <f>_xll.qlDayCounterYearFraction(DayCounter,R75,S75)</f>
        <v>1.0138888888888888</v>
      </c>
      <c r="Y75" s="29">
        <f>_xll.qlYieldTSDiscount(Currency&amp;"ON",R75)/(1+U75*X75)</f>
        <v>0.46238678968203756</v>
      </c>
      <c r="Z75" s="30">
        <f>_xll.qlTenorBasisValue(TenorBasis6M,R75,InterestRatesTrigger)</f>
        <v>4.2376834794508798E-4</v>
      </c>
      <c r="AA75" s="30">
        <f t="shared" si="15"/>
        <v>2.1194514177594093E-4</v>
      </c>
    </row>
    <row r="76" spans="15:28" x14ac:dyDescent="0.2">
      <c r="O76" s="33">
        <v>12</v>
      </c>
      <c r="P76" s="27" t="str">
        <f>_xll.qlPeriodEquivalent(P75&amp;"+"&amp;O76&amp;"M")</f>
        <v>56Y</v>
      </c>
      <c r="Q76" s="28">
        <f>_xll.qlCalendarAdvance(Calendar,SettlementDate,P76,"f",,Trigger)</f>
        <v>62733</v>
      </c>
      <c r="R76" s="28">
        <f>_xll.qlInterestRateIndexValueDate(Index,Q76,Trigger)</f>
        <v>62737</v>
      </c>
      <c r="S76" s="28">
        <f>_xll.qlInterestRateIndexMaturity(Index,R76,Trigger)</f>
        <v>63103</v>
      </c>
      <c r="T76" s="30">
        <f>_xll.qlIndexFixing($M$6,Q76,,InterestRatesTrigger)</f>
        <v>1.3423522550806399E-2</v>
      </c>
      <c r="U76" s="30">
        <f>_xll.qlIndexFixing(Index,Q76,,InterestRatesTrigger)</f>
        <v>1.411930445982367E-2</v>
      </c>
      <c r="V76" s="30">
        <f t="shared" si="14"/>
        <v>6.9578190901727066E-4</v>
      </c>
      <c r="W76" s="29">
        <f>_xll.qlDayCounterYearFraction(DayCounter,SettlementDate,R76,,,Trigger)</f>
        <v>56.827777777777776</v>
      </c>
      <c r="X76" s="29">
        <f>_xll.qlDayCounterYearFraction(DayCounter,R76,S76)</f>
        <v>1.0166666666666666</v>
      </c>
      <c r="Y76" s="29">
        <f>_xll.qlYieldTSDiscount(Currency&amp;"ON",R76)/(1+U76*X76)</f>
        <v>0.45613323443755255</v>
      </c>
      <c r="Z76" s="30">
        <f>_xll.qlTenorBasisValue(TenorBasis6M,R76,InterestRatesTrigger)</f>
        <v>4.2305512791333485E-4</v>
      </c>
      <c r="AA76" s="30">
        <f t="shared" si="15"/>
        <v>2.7272678110393581E-4</v>
      </c>
    </row>
    <row r="77" spans="15:28" x14ac:dyDescent="0.2">
      <c r="O77" s="33">
        <v>12</v>
      </c>
      <c r="P77" s="27" t="str">
        <f>_xll.qlPeriodEquivalent(P76&amp;"+"&amp;O77&amp;"M")</f>
        <v>57Y</v>
      </c>
      <c r="Q77" s="28">
        <f>_xll.qlCalendarAdvance(Calendar,SettlementDate,P77,"f",,Trigger)</f>
        <v>63100</v>
      </c>
      <c r="R77" s="28">
        <f>_xll.qlInterestRateIndexValueDate(Index,Q77,Trigger)</f>
        <v>63102</v>
      </c>
      <c r="S77" s="28">
        <f>_xll.qlInterestRateIndexMaturity(Index,R77,Trigger)</f>
        <v>63467</v>
      </c>
      <c r="T77" s="30">
        <f>_xll.qlIndexFixing($M$6,Q77,,InterestRatesTrigger)</f>
        <v>1.3529717803339109E-2</v>
      </c>
      <c r="U77" s="30">
        <f>_xll.qlIndexFixing(Index,Q77,,InterestRatesTrigger)</f>
        <v>1.4267877115750706E-2</v>
      </c>
      <c r="V77" s="30">
        <f t="shared" si="14"/>
        <v>7.3815931241159698E-4</v>
      </c>
      <c r="W77" s="29">
        <f>_xll.qlDayCounterYearFraction(DayCounter,SettlementDate,R77,,,Trigger)</f>
        <v>57.841666666666669</v>
      </c>
      <c r="X77" s="29">
        <f>_xll.qlDayCounterYearFraction(DayCounter,R77,S77)</f>
        <v>1.0138888888888888</v>
      </c>
      <c r="Y77" s="29">
        <f>_xll.qlYieldTSDiscount(Currency&amp;"ON",R77)/(1+U77*X77)</f>
        <v>0.4499593959687152</v>
      </c>
      <c r="Z77" s="30">
        <f>_xll.qlTenorBasisValue(TenorBasis6M,R77,InterestRatesTrigger)</f>
        <v>4.2244195513547615E-4</v>
      </c>
      <c r="AA77" s="30">
        <f t="shared" si="15"/>
        <v>3.1571735727612082E-4</v>
      </c>
    </row>
    <row r="78" spans="15:28" x14ac:dyDescent="0.2">
      <c r="O78" s="33">
        <v>12</v>
      </c>
      <c r="P78" s="27" t="str">
        <f>_xll.qlPeriodEquivalent(P77&amp;"+"&amp;O78&amp;"M")</f>
        <v>58Y</v>
      </c>
      <c r="Q78" s="31">
        <f>_xll.qlCalendarAdvance(Calendar,SettlementDate,P78,"f",,Trigger)</f>
        <v>63464</v>
      </c>
      <c r="R78" s="31">
        <f>_xll.qlInterestRateIndexValueDate(Index,Q78,Trigger)</f>
        <v>63466</v>
      </c>
      <c r="S78" s="31">
        <f>_xll.qlInterestRateIndexMaturity(Index,R78,Trigger)</f>
        <v>63831</v>
      </c>
      <c r="T78" s="32">
        <f>_xll.qlIndexFixing($M$6,Q78,,InterestRatesTrigger)</f>
        <v>1.3603100210234684E-2</v>
      </c>
      <c r="U78" s="32">
        <f>_xll.qlIndexFixing(Index,Q78,,InterestRatesTrigger)</f>
        <v>1.4364654248906181E-2</v>
      </c>
      <c r="V78" s="32">
        <f t="shared" si="14"/>
        <v>7.6155403867149765E-4</v>
      </c>
      <c r="W78" s="74">
        <f>_xll.qlDayCounterYearFraction(DayCounter,SettlementDate,R78,,,Trigger)</f>
        <v>58.852777777777774</v>
      </c>
      <c r="X78" s="74">
        <f>_xll.qlDayCounterYearFraction(DayCounter,R78,S78)</f>
        <v>1.0138888888888888</v>
      </c>
      <c r="Y78" s="74">
        <f>_xll.qlYieldTSDiscount(Currency&amp;"ON",R78)/(1+U78*X78)</f>
        <v>0.44384423458631683</v>
      </c>
      <c r="Z78" s="32">
        <f>_xll.qlTenorBasisValue(TenorBasis6M,R78,InterestRatesTrigger)</f>
        <v>4.2191631667983675E-4</v>
      </c>
      <c r="AA78" s="32">
        <f t="shared" si="15"/>
        <v>3.396377219916609E-4</v>
      </c>
    </row>
    <row r="79" spans="15:28" x14ac:dyDescent="0.2">
      <c r="Q79" s="36"/>
      <c r="R79" s="40"/>
      <c r="S79" s="40"/>
      <c r="T79" s="40"/>
      <c r="U79" s="41"/>
      <c r="V79" s="41"/>
      <c r="W79" s="41"/>
      <c r="X79" s="41"/>
      <c r="Y79" s="36"/>
      <c r="Z79" s="36"/>
      <c r="AA79" s="36"/>
      <c r="AB79" s="36"/>
    </row>
    <row r="80" spans="15:28" x14ac:dyDescent="0.2">
      <c r="Q80" s="36"/>
      <c r="R80" s="40"/>
      <c r="S80" s="40"/>
      <c r="T80" s="40"/>
      <c r="U80" s="41"/>
      <c r="V80" s="41"/>
      <c r="W80" s="41"/>
      <c r="X80" s="41"/>
      <c r="Y80" s="36"/>
      <c r="Z80" s="36"/>
      <c r="AA80" s="36"/>
      <c r="AB80" s="36"/>
    </row>
    <row r="81" spans="17:28" x14ac:dyDescent="0.2">
      <c r="Q81" s="36"/>
      <c r="R81" s="40"/>
      <c r="S81" s="40"/>
      <c r="T81" s="40"/>
      <c r="U81" s="41"/>
      <c r="V81" s="41"/>
      <c r="W81" s="41"/>
      <c r="X81" s="41"/>
      <c r="Y81" s="36"/>
      <c r="Z81" s="36"/>
      <c r="AA81" s="36"/>
      <c r="AB81" s="36"/>
    </row>
    <row r="82" spans="17:28" x14ac:dyDescent="0.2">
      <c r="Q82" s="36"/>
      <c r="R82" s="40"/>
      <c r="S82" s="40"/>
      <c r="T82" s="40"/>
      <c r="U82" s="41"/>
      <c r="V82" s="41"/>
      <c r="W82" s="41"/>
      <c r="X82" s="41"/>
      <c r="Y82" s="36"/>
      <c r="Z82" s="36"/>
      <c r="AA82" s="36"/>
      <c r="AB82" s="36"/>
    </row>
    <row r="83" spans="17:28" x14ac:dyDescent="0.2">
      <c r="Q83" s="36"/>
      <c r="R83" s="40"/>
      <c r="S83" s="40"/>
      <c r="T83" s="40"/>
      <c r="U83" s="41"/>
      <c r="V83" s="41"/>
      <c r="W83" s="41"/>
      <c r="X83" s="41"/>
      <c r="Y83" s="36"/>
      <c r="Z83" s="36"/>
      <c r="AA83" s="36"/>
      <c r="AB83" s="36"/>
    </row>
    <row r="84" spans="17:28" x14ac:dyDescent="0.2">
      <c r="Q84" s="36"/>
      <c r="R84" s="40"/>
      <c r="S84" s="40"/>
      <c r="T84" s="40"/>
      <c r="U84" s="41"/>
      <c r="V84" s="41"/>
      <c r="W84" s="41"/>
      <c r="X84" s="41"/>
      <c r="Y84" s="36"/>
      <c r="Z84" s="36"/>
      <c r="AA84" s="36"/>
      <c r="AB84" s="36"/>
    </row>
    <row r="85" spans="17:28" x14ac:dyDescent="0.2">
      <c r="Q85" s="36"/>
      <c r="R85" s="40"/>
      <c r="S85" s="40"/>
      <c r="T85" s="40"/>
      <c r="U85" s="41"/>
      <c r="V85" s="41"/>
      <c r="W85" s="41"/>
      <c r="X85" s="41"/>
      <c r="Y85" s="36"/>
      <c r="Z85" s="36"/>
      <c r="AA85" s="36"/>
      <c r="AB85" s="36"/>
    </row>
    <row r="86" spans="17:28" x14ac:dyDescent="0.2">
      <c r="Q86" s="36"/>
      <c r="R86" s="40"/>
      <c r="S86" s="40"/>
      <c r="T86" s="40"/>
      <c r="U86" s="41"/>
      <c r="V86" s="41"/>
      <c r="W86" s="41"/>
      <c r="X86" s="41"/>
      <c r="Y86" s="36"/>
      <c r="Z86" s="36"/>
      <c r="AA86" s="36"/>
      <c r="AB86" s="36"/>
    </row>
    <row r="87" spans="17:28" x14ac:dyDescent="0.2">
      <c r="Q87" s="36"/>
      <c r="R87" s="40"/>
      <c r="S87" s="40"/>
      <c r="T87" s="40"/>
      <c r="U87" s="41"/>
      <c r="V87" s="41"/>
      <c r="W87" s="41"/>
      <c r="X87" s="41"/>
      <c r="Y87" s="36"/>
      <c r="Z87" s="36"/>
      <c r="AA87" s="36"/>
      <c r="AB87" s="36"/>
    </row>
    <row r="88" spans="17:28" x14ac:dyDescent="0.2">
      <c r="Q88" s="36"/>
      <c r="R88" s="40"/>
      <c r="S88" s="40"/>
      <c r="T88" s="40"/>
      <c r="U88" s="41"/>
      <c r="V88" s="41"/>
      <c r="W88" s="41"/>
      <c r="X88" s="41"/>
      <c r="Y88" s="36"/>
      <c r="Z88" s="36"/>
      <c r="AA88" s="36"/>
      <c r="AB88" s="36"/>
    </row>
    <row r="89" spans="17:28" x14ac:dyDescent="0.2">
      <c r="Q89" s="36"/>
      <c r="R89" s="40"/>
      <c r="S89" s="40"/>
      <c r="T89" s="40"/>
      <c r="U89" s="41"/>
      <c r="V89" s="41"/>
      <c r="W89" s="41"/>
      <c r="X89" s="41"/>
      <c r="Y89" s="36"/>
      <c r="Z89" s="36"/>
      <c r="AA89" s="36"/>
      <c r="AB89" s="36"/>
    </row>
    <row r="90" spans="17:28" x14ac:dyDescent="0.2">
      <c r="Q90" s="36"/>
      <c r="R90" s="40"/>
      <c r="S90" s="40"/>
      <c r="T90" s="40"/>
      <c r="U90" s="41"/>
      <c r="V90" s="41"/>
      <c r="W90" s="41"/>
      <c r="X90" s="41"/>
      <c r="Y90" s="36"/>
      <c r="Z90" s="36"/>
      <c r="AA90" s="36"/>
      <c r="AB90" s="36"/>
    </row>
    <row r="91" spans="17:28" x14ac:dyDescent="0.2">
      <c r="Q91" s="36"/>
      <c r="R91" s="40"/>
      <c r="S91" s="40"/>
      <c r="T91" s="40"/>
      <c r="U91" s="41"/>
      <c r="V91" s="41"/>
      <c r="W91" s="41"/>
      <c r="X91" s="41"/>
      <c r="Y91" s="36"/>
      <c r="Z91" s="36"/>
      <c r="AA91" s="36"/>
      <c r="AB91" s="36"/>
    </row>
    <row r="92" spans="17:28" x14ac:dyDescent="0.2">
      <c r="Q92" s="36"/>
      <c r="R92" s="40"/>
      <c r="S92" s="40"/>
      <c r="T92" s="40"/>
      <c r="U92" s="41"/>
      <c r="V92" s="41"/>
      <c r="W92" s="41"/>
      <c r="X92" s="41"/>
      <c r="Y92" s="36"/>
      <c r="Z92" s="36"/>
      <c r="AA92" s="36"/>
      <c r="AB92" s="36"/>
    </row>
    <row r="93" spans="17:28" x14ac:dyDescent="0.2">
      <c r="Q93" s="36"/>
      <c r="R93" s="40"/>
      <c r="S93" s="40"/>
      <c r="T93" s="40"/>
      <c r="U93" s="41"/>
      <c r="V93" s="41"/>
      <c r="W93" s="41"/>
      <c r="X93" s="41"/>
      <c r="Y93" s="36"/>
      <c r="Z93" s="36"/>
      <c r="AA93" s="36"/>
      <c r="AB93" s="36"/>
    </row>
    <row r="94" spans="17:28" x14ac:dyDescent="0.2">
      <c r="Q94" s="36"/>
      <c r="R94" s="40"/>
      <c r="S94" s="40"/>
      <c r="T94" s="40"/>
      <c r="U94" s="41"/>
      <c r="V94" s="41"/>
      <c r="W94" s="41"/>
      <c r="X94" s="41"/>
      <c r="Y94" s="36"/>
      <c r="Z94" s="36"/>
      <c r="AA94" s="36"/>
      <c r="AB94" s="36"/>
    </row>
    <row r="95" spans="17:28" x14ac:dyDescent="0.2">
      <c r="Q95" s="36"/>
      <c r="R95" s="40"/>
      <c r="S95" s="40"/>
      <c r="T95" s="40"/>
      <c r="U95" s="41"/>
      <c r="V95" s="41"/>
      <c r="W95" s="41"/>
      <c r="X95" s="41"/>
      <c r="Y95" s="36"/>
      <c r="Z95" s="36"/>
      <c r="AA95" s="36"/>
      <c r="AB95" s="36"/>
    </row>
    <row r="96" spans="17:28" x14ac:dyDescent="0.2">
      <c r="Q96" s="36"/>
      <c r="R96" s="40"/>
      <c r="S96" s="40"/>
      <c r="T96" s="40"/>
      <c r="U96" s="41"/>
      <c r="V96" s="41"/>
      <c r="W96" s="41"/>
      <c r="X96" s="41"/>
      <c r="Y96" s="36"/>
      <c r="Z96" s="36"/>
      <c r="AA96" s="36"/>
      <c r="AB96" s="36"/>
    </row>
    <row r="97" spans="17:28" x14ac:dyDescent="0.2">
      <c r="Q97" s="36"/>
      <c r="R97" s="40"/>
      <c r="S97" s="40"/>
      <c r="T97" s="40"/>
      <c r="U97" s="41"/>
      <c r="V97" s="41"/>
      <c r="W97" s="41"/>
      <c r="X97" s="41"/>
      <c r="Y97" s="36"/>
      <c r="Z97" s="36"/>
      <c r="AA97" s="36"/>
      <c r="AB97" s="36"/>
    </row>
    <row r="98" spans="17:28" x14ac:dyDescent="0.2">
      <c r="Q98" s="36"/>
      <c r="R98" s="40"/>
      <c r="S98" s="40"/>
      <c r="T98" s="40"/>
      <c r="U98" s="41"/>
      <c r="V98" s="41"/>
      <c r="W98" s="41"/>
      <c r="X98" s="41"/>
      <c r="Y98" s="36"/>
      <c r="Z98" s="36"/>
      <c r="AA98" s="36"/>
      <c r="AB98" s="36"/>
    </row>
    <row r="99" spans="17:28" x14ac:dyDescent="0.2">
      <c r="Q99" s="36"/>
      <c r="R99" s="40"/>
      <c r="S99" s="40"/>
      <c r="T99" s="40"/>
      <c r="U99" s="41"/>
      <c r="V99" s="41"/>
      <c r="W99" s="41"/>
      <c r="X99" s="41"/>
      <c r="Y99" s="36"/>
      <c r="Z99" s="36"/>
      <c r="AA99" s="36"/>
      <c r="AB99" s="36"/>
    </row>
    <row r="100" spans="17:28" x14ac:dyDescent="0.2">
      <c r="Q100" s="36"/>
      <c r="R100" s="40"/>
      <c r="S100" s="40"/>
      <c r="T100" s="40"/>
      <c r="U100" s="41"/>
      <c r="V100" s="41"/>
      <c r="W100" s="41"/>
      <c r="X100" s="41"/>
      <c r="Y100" s="36"/>
      <c r="Z100" s="36"/>
      <c r="AA100" s="36"/>
      <c r="AB100" s="36"/>
    </row>
    <row r="101" spans="17:28" x14ac:dyDescent="0.2">
      <c r="Q101" s="36"/>
      <c r="R101" s="40"/>
      <c r="S101" s="40"/>
      <c r="T101" s="40"/>
      <c r="U101" s="41"/>
      <c r="V101" s="41"/>
      <c r="W101" s="41"/>
      <c r="X101" s="41"/>
      <c r="Y101" s="36"/>
      <c r="Z101" s="36"/>
      <c r="AA101" s="36"/>
      <c r="AB101" s="36"/>
    </row>
    <row r="102" spans="17:28" x14ac:dyDescent="0.2">
      <c r="Q102" s="36"/>
      <c r="R102" s="40"/>
      <c r="S102" s="40"/>
      <c r="T102" s="40"/>
      <c r="U102" s="41"/>
      <c r="V102" s="41"/>
      <c r="W102" s="41"/>
      <c r="X102" s="41"/>
      <c r="Y102" s="36"/>
      <c r="Z102" s="36"/>
      <c r="AA102" s="36"/>
      <c r="AB102" s="36"/>
    </row>
    <row r="103" spans="17:28" x14ac:dyDescent="0.2">
      <c r="Q103" s="36"/>
      <c r="R103" s="40"/>
      <c r="S103" s="40"/>
      <c r="T103" s="40"/>
      <c r="U103" s="41"/>
      <c r="V103" s="41"/>
      <c r="W103" s="41"/>
      <c r="X103" s="41"/>
      <c r="Y103" s="36"/>
      <c r="Z103" s="36"/>
      <c r="AA103" s="36"/>
      <c r="AB103" s="36"/>
    </row>
    <row r="104" spans="17:28" x14ac:dyDescent="0.2">
      <c r="Q104" s="36"/>
      <c r="R104" s="40"/>
      <c r="S104" s="40"/>
      <c r="T104" s="40"/>
      <c r="U104" s="41"/>
      <c r="V104" s="41"/>
      <c r="W104" s="41"/>
      <c r="X104" s="41"/>
      <c r="Y104" s="36"/>
      <c r="Z104" s="36"/>
      <c r="AA104" s="36"/>
      <c r="AB104" s="36"/>
    </row>
    <row r="105" spans="17:28" x14ac:dyDescent="0.2">
      <c r="Q105" s="36"/>
      <c r="R105" s="40"/>
      <c r="S105" s="40"/>
      <c r="T105" s="40"/>
      <c r="U105" s="41"/>
      <c r="V105" s="41"/>
      <c r="W105" s="41"/>
      <c r="X105" s="41"/>
      <c r="Y105" s="36"/>
      <c r="Z105" s="36"/>
      <c r="AA105" s="36"/>
      <c r="AB105" s="36"/>
    </row>
    <row r="106" spans="17:28" x14ac:dyDescent="0.2">
      <c r="Q106" s="36"/>
      <c r="R106" s="40"/>
      <c r="S106" s="40"/>
      <c r="T106" s="40"/>
      <c r="U106" s="41"/>
      <c r="V106" s="41"/>
      <c r="W106" s="41"/>
      <c r="X106" s="41"/>
      <c r="Y106" s="36"/>
      <c r="Z106" s="36"/>
      <c r="AA106" s="36"/>
      <c r="AB106" s="36"/>
    </row>
    <row r="107" spans="17:28" x14ac:dyDescent="0.2">
      <c r="Q107" s="36"/>
      <c r="R107" s="40"/>
      <c r="S107" s="40"/>
      <c r="T107" s="40"/>
      <c r="U107" s="41"/>
      <c r="V107" s="41"/>
      <c r="W107" s="41"/>
      <c r="X107" s="41"/>
      <c r="Y107" s="36"/>
      <c r="Z107" s="36"/>
      <c r="AA107" s="36"/>
      <c r="AB107" s="36"/>
    </row>
    <row r="108" spans="17:28" x14ac:dyDescent="0.2">
      <c r="Q108" s="36"/>
      <c r="R108" s="40"/>
      <c r="S108" s="40"/>
      <c r="T108" s="40"/>
      <c r="U108" s="41"/>
      <c r="V108" s="41"/>
      <c r="W108" s="41"/>
      <c r="X108" s="41"/>
      <c r="Y108" s="36"/>
      <c r="Z108" s="36"/>
      <c r="AA108" s="36"/>
      <c r="AB108" s="36"/>
    </row>
    <row r="109" spans="17:28" x14ac:dyDescent="0.2">
      <c r="Q109" s="36"/>
      <c r="R109" s="40"/>
      <c r="S109" s="40"/>
      <c r="T109" s="40"/>
      <c r="U109" s="41"/>
      <c r="V109" s="41"/>
      <c r="W109" s="41"/>
      <c r="X109" s="41"/>
      <c r="Y109" s="36"/>
      <c r="Z109" s="36"/>
      <c r="AA109" s="36"/>
      <c r="AB109" s="36"/>
    </row>
    <row r="110" spans="17:28" x14ac:dyDescent="0.2">
      <c r="Q110" s="36"/>
      <c r="R110" s="40"/>
      <c r="S110" s="40"/>
      <c r="T110" s="40"/>
      <c r="U110" s="41"/>
      <c r="V110" s="41"/>
      <c r="W110" s="41"/>
      <c r="X110" s="41"/>
      <c r="Y110" s="36"/>
      <c r="Z110" s="36"/>
      <c r="AA110" s="36"/>
      <c r="AB110" s="36"/>
    </row>
    <row r="111" spans="17:28" x14ac:dyDescent="0.2">
      <c r="Q111" s="36"/>
      <c r="R111" s="40"/>
      <c r="S111" s="40"/>
      <c r="T111" s="40"/>
      <c r="U111" s="41"/>
      <c r="V111" s="41"/>
      <c r="W111" s="41"/>
      <c r="X111" s="41"/>
      <c r="Y111" s="36"/>
      <c r="Z111" s="36"/>
      <c r="AA111" s="36"/>
      <c r="AB111" s="36"/>
    </row>
    <row r="112" spans="17:28" x14ac:dyDescent="0.2">
      <c r="Q112" s="36"/>
      <c r="R112" s="40"/>
      <c r="S112" s="40"/>
      <c r="T112" s="40"/>
      <c r="U112" s="41"/>
      <c r="V112" s="41"/>
      <c r="W112" s="41"/>
      <c r="X112" s="41"/>
      <c r="Y112" s="36"/>
      <c r="Z112" s="36"/>
      <c r="AA112" s="36"/>
      <c r="AB112" s="36"/>
    </row>
    <row r="113" spans="17:28" x14ac:dyDescent="0.2">
      <c r="Q113" s="36"/>
      <c r="R113" s="40"/>
      <c r="S113" s="40"/>
      <c r="T113" s="40"/>
      <c r="U113" s="41"/>
      <c r="V113" s="41"/>
      <c r="W113" s="41"/>
      <c r="X113" s="41"/>
      <c r="Y113" s="36"/>
      <c r="Z113" s="36"/>
      <c r="AA113" s="36"/>
      <c r="AB113" s="36"/>
    </row>
    <row r="114" spans="17:28" x14ac:dyDescent="0.2">
      <c r="Q114" s="36"/>
      <c r="R114" s="40"/>
      <c r="S114" s="40"/>
      <c r="T114" s="40"/>
      <c r="U114" s="41"/>
      <c r="V114" s="41"/>
      <c r="W114" s="41"/>
      <c r="X114" s="41"/>
      <c r="Y114" s="36"/>
      <c r="Z114" s="36"/>
      <c r="AA114" s="36"/>
      <c r="AB114" s="36"/>
    </row>
    <row r="115" spans="17:28" x14ac:dyDescent="0.2">
      <c r="Q115" s="36"/>
      <c r="R115" s="40"/>
      <c r="S115" s="40"/>
      <c r="T115" s="40"/>
      <c r="U115" s="41"/>
      <c r="V115" s="41"/>
      <c r="W115" s="41"/>
      <c r="X115" s="41"/>
      <c r="Y115" s="36"/>
      <c r="Z115" s="36"/>
      <c r="AA115" s="36"/>
      <c r="AB115" s="36"/>
    </row>
    <row r="116" spans="17:28" x14ac:dyDescent="0.2">
      <c r="Q116" s="36"/>
      <c r="R116" s="40"/>
      <c r="S116" s="40"/>
      <c r="T116" s="40"/>
      <c r="U116" s="41"/>
      <c r="V116" s="41"/>
      <c r="W116" s="41"/>
      <c r="X116" s="41"/>
      <c r="Y116" s="36"/>
      <c r="Z116" s="36"/>
      <c r="AA116" s="36"/>
      <c r="AB116" s="36"/>
    </row>
    <row r="117" spans="17:28" x14ac:dyDescent="0.2">
      <c r="Q117" s="36"/>
      <c r="R117" s="40"/>
      <c r="S117" s="40"/>
      <c r="T117" s="40"/>
      <c r="U117" s="41"/>
      <c r="V117" s="41"/>
      <c r="W117" s="41"/>
      <c r="X117" s="41"/>
      <c r="Y117" s="36"/>
      <c r="Z117" s="36"/>
      <c r="AA117" s="36"/>
      <c r="AB117" s="36"/>
    </row>
    <row r="118" spans="17:28" x14ac:dyDescent="0.2">
      <c r="Q118" s="36"/>
      <c r="R118" s="40"/>
      <c r="S118" s="40"/>
      <c r="T118" s="40"/>
      <c r="U118" s="41"/>
      <c r="V118" s="41"/>
      <c r="W118" s="41"/>
      <c r="X118" s="41"/>
      <c r="Y118" s="36"/>
      <c r="Z118" s="36"/>
      <c r="AA118" s="36"/>
      <c r="AB118" s="36"/>
    </row>
    <row r="119" spans="17:28" x14ac:dyDescent="0.2">
      <c r="Q119" s="36"/>
      <c r="R119" s="40"/>
      <c r="S119" s="40"/>
      <c r="T119" s="40"/>
      <c r="U119" s="41"/>
      <c r="V119" s="41"/>
      <c r="W119" s="41"/>
      <c r="X119" s="41"/>
      <c r="Y119" s="36"/>
      <c r="Z119" s="36"/>
      <c r="AA119" s="36"/>
      <c r="AB119" s="36"/>
    </row>
    <row r="120" spans="17:28" x14ac:dyDescent="0.2">
      <c r="Q120" s="36"/>
      <c r="R120" s="40"/>
      <c r="S120" s="40"/>
      <c r="T120" s="40"/>
      <c r="U120" s="41"/>
      <c r="V120" s="41"/>
      <c r="W120" s="41"/>
      <c r="X120" s="41"/>
      <c r="Y120" s="36"/>
      <c r="Z120" s="36"/>
      <c r="AA120" s="36"/>
      <c r="AB120" s="36"/>
    </row>
    <row r="121" spans="17:28" x14ac:dyDescent="0.2">
      <c r="Q121" s="36"/>
      <c r="R121" s="40"/>
      <c r="S121" s="40"/>
      <c r="T121" s="40"/>
      <c r="U121" s="41"/>
      <c r="V121" s="41"/>
      <c r="W121" s="41"/>
      <c r="X121" s="41"/>
      <c r="Y121" s="36"/>
      <c r="Z121" s="36"/>
      <c r="AA121" s="36"/>
      <c r="AB121" s="36"/>
    </row>
    <row r="122" spans="17:28" x14ac:dyDescent="0.2">
      <c r="Q122" s="36"/>
      <c r="R122" s="40"/>
      <c r="S122" s="40"/>
      <c r="T122" s="40"/>
      <c r="U122" s="41"/>
      <c r="V122" s="41"/>
      <c r="W122" s="41"/>
      <c r="X122" s="41"/>
      <c r="Y122" s="36"/>
      <c r="Z122" s="36"/>
      <c r="AA122" s="36"/>
      <c r="AB122" s="36"/>
    </row>
    <row r="123" spans="17:28" x14ac:dyDescent="0.2">
      <c r="Q123" s="36"/>
      <c r="R123" s="40"/>
      <c r="S123" s="40"/>
      <c r="T123" s="40"/>
      <c r="U123" s="41"/>
      <c r="V123" s="41"/>
      <c r="W123" s="41"/>
      <c r="X123" s="41"/>
      <c r="Y123" s="36"/>
      <c r="Z123" s="36"/>
      <c r="AA123" s="36"/>
      <c r="AB123" s="36"/>
    </row>
    <row r="124" spans="17:28" x14ac:dyDescent="0.2">
      <c r="Q124" s="36"/>
      <c r="R124" s="40"/>
      <c r="S124" s="40"/>
      <c r="T124" s="40"/>
      <c r="U124" s="41"/>
      <c r="V124" s="41"/>
      <c r="W124" s="41"/>
      <c r="X124" s="41"/>
      <c r="Y124" s="36"/>
      <c r="Z124" s="36"/>
      <c r="AA124" s="36"/>
      <c r="AB124" s="36"/>
    </row>
    <row r="125" spans="17:28" x14ac:dyDescent="0.2">
      <c r="Q125" s="36"/>
      <c r="R125" s="40"/>
      <c r="S125" s="40"/>
      <c r="T125" s="40"/>
      <c r="U125" s="41"/>
      <c r="V125" s="41"/>
      <c r="W125" s="41"/>
      <c r="X125" s="41"/>
      <c r="Y125" s="36"/>
      <c r="Z125" s="36"/>
      <c r="AA125" s="36"/>
      <c r="AB125" s="36"/>
    </row>
    <row r="126" spans="17:28" x14ac:dyDescent="0.2">
      <c r="Q126" s="36"/>
      <c r="R126" s="40"/>
      <c r="S126" s="40"/>
      <c r="T126" s="40"/>
      <c r="U126" s="41"/>
      <c r="V126" s="41"/>
      <c r="W126" s="41"/>
      <c r="X126" s="41"/>
      <c r="Y126" s="36"/>
      <c r="Z126" s="36"/>
      <c r="AA126" s="36"/>
      <c r="AB126" s="36"/>
    </row>
    <row r="127" spans="17:28" x14ac:dyDescent="0.2">
      <c r="Q127" s="36"/>
      <c r="R127" s="40"/>
      <c r="S127" s="40"/>
      <c r="T127" s="40"/>
      <c r="U127" s="41"/>
      <c r="V127" s="41"/>
      <c r="W127" s="41"/>
      <c r="X127" s="41"/>
      <c r="Y127" s="36"/>
      <c r="Z127" s="36"/>
      <c r="AA127" s="36"/>
      <c r="AB127" s="36"/>
    </row>
    <row r="128" spans="17:28" x14ac:dyDescent="0.2">
      <c r="Q128" s="36"/>
      <c r="R128" s="40"/>
      <c r="S128" s="40"/>
      <c r="T128" s="40"/>
      <c r="U128" s="41"/>
      <c r="V128" s="41"/>
      <c r="W128" s="41"/>
      <c r="X128" s="41"/>
      <c r="Y128" s="36"/>
      <c r="Z128" s="36"/>
      <c r="AA128" s="36"/>
      <c r="AB128" s="36"/>
    </row>
    <row r="129" spans="16:28" x14ac:dyDescent="0.2">
      <c r="Q129" s="36"/>
      <c r="R129" s="40"/>
      <c r="S129" s="40"/>
      <c r="T129" s="40"/>
      <c r="U129" s="41"/>
      <c r="V129" s="41"/>
      <c r="W129" s="41"/>
      <c r="X129" s="41"/>
      <c r="Y129" s="36"/>
      <c r="Z129" s="36"/>
      <c r="AA129" s="36"/>
      <c r="AB129" s="36"/>
    </row>
    <row r="130" spans="16:28" x14ac:dyDescent="0.2">
      <c r="Q130" s="36"/>
      <c r="R130" s="40"/>
      <c r="S130" s="40"/>
      <c r="T130" s="40"/>
      <c r="U130" s="41"/>
      <c r="V130" s="41"/>
      <c r="W130" s="41"/>
      <c r="X130" s="41"/>
      <c r="Y130" s="36"/>
      <c r="Z130" s="36"/>
      <c r="AA130" s="36"/>
      <c r="AB130" s="36"/>
    </row>
    <row r="131" spans="16:28" x14ac:dyDescent="0.2">
      <c r="Q131" s="36"/>
      <c r="R131" s="40"/>
      <c r="S131" s="40"/>
      <c r="T131" s="40"/>
      <c r="U131" s="41"/>
      <c r="V131" s="41"/>
      <c r="W131" s="41"/>
      <c r="X131" s="41"/>
      <c r="Y131" s="36"/>
      <c r="Z131" s="36"/>
      <c r="AA131" s="36"/>
      <c r="AB131" s="36"/>
    </row>
    <row r="132" spans="16:28" x14ac:dyDescent="0.2">
      <c r="Q132" s="36"/>
      <c r="R132" s="40"/>
      <c r="S132" s="40"/>
      <c r="T132" s="40"/>
      <c r="U132" s="41"/>
      <c r="V132" s="41"/>
      <c r="W132" s="41"/>
      <c r="X132" s="41"/>
      <c r="Y132" s="36"/>
      <c r="Z132" s="36"/>
      <c r="AA132" s="36"/>
      <c r="AB132" s="36"/>
    </row>
    <row r="133" spans="16:28" x14ac:dyDescent="0.2">
      <c r="Q133" s="36"/>
      <c r="R133" s="40"/>
      <c r="S133" s="40"/>
      <c r="T133" s="40"/>
      <c r="U133" s="41"/>
      <c r="V133" s="41"/>
      <c r="W133" s="41"/>
      <c r="X133" s="41"/>
      <c r="Y133" s="36"/>
      <c r="Z133" s="36"/>
      <c r="AA133" s="36"/>
      <c r="AB133" s="36"/>
    </row>
    <row r="134" spans="16:28" x14ac:dyDescent="0.2">
      <c r="Q134" s="36"/>
      <c r="R134" s="40"/>
      <c r="S134" s="40"/>
      <c r="T134" s="40"/>
      <c r="U134" s="41"/>
      <c r="V134" s="41"/>
      <c r="W134" s="41"/>
      <c r="X134" s="41"/>
      <c r="Y134" s="36"/>
      <c r="Z134" s="36"/>
      <c r="AA134" s="36"/>
      <c r="AB134" s="36"/>
    </row>
    <row r="135" spans="16:28" x14ac:dyDescent="0.2">
      <c r="Q135" s="36"/>
      <c r="R135" s="40"/>
      <c r="S135" s="40"/>
      <c r="T135" s="40"/>
      <c r="U135" s="41"/>
      <c r="V135" s="41"/>
      <c r="W135" s="41"/>
      <c r="X135" s="41"/>
      <c r="Y135" s="36"/>
      <c r="Z135" s="36"/>
      <c r="AA135" s="36"/>
      <c r="AB135" s="36"/>
    </row>
    <row r="136" spans="16:28" x14ac:dyDescent="0.2">
      <c r="Q136" s="36"/>
      <c r="R136" s="40"/>
      <c r="S136" s="40"/>
      <c r="T136" s="40"/>
      <c r="U136" s="41"/>
      <c r="V136" s="41"/>
      <c r="W136" s="41"/>
      <c r="X136" s="41"/>
      <c r="Y136" s="36"/>
      <c r="Z136" s="36"/>
      <c r="AA136" s="36"/>
      <c r="AB136" s="36"/>
    </row>
    <row r="137" spans="16:28" x14ac:dyDescent="0.2">
      <c r="Q137" s="36"/>
      <c r="R137" s="40"/>
      <c r="S137" s="40"/>
      <c r="T137" s="40"/>
      <c r="U137" s="41"/>
      <c r="V137" s="41"/>
      <c r="W137" s="41"/>
      <c r="X137" s="41"/>
      <c r="Y137" s="36"/>
      <c r="Z137" s="36"/>
      <c r="AA137" s="36"/>
      <c r="AB137" s="36"/>
    </row>
    <row r="138" spans="16:28" x14ac:dyDescent="0.2">
      <c r="Q138" s="36"/>
      <c r="R138" s="40"/>
      <c r="S138" s="40"/>
      <c r="T138" s="40"/>
      <c r="U138" s="41"/>
      <c r="V138" s="41"/>
      <c r="W138" s="41"/>
      <c r="X138" s="41"/>
      <c r="Y138" s="36"/>
      <c r="Z138" s="36"/>
      <c r="AA138" s="36"/>
      <c r="AB138" s="36"/>
    </row>
    <row r="139" spans="16:28" x14ac:dyDescent="0.2">
      <c r="Q139" s="36"/>
      <c r="R139" s="40"/>
      <c r="S139" s="40"/>
      <c r="T139" s="40"/>
      <c r="U139" s="41"/>
      <c r="V139" s="41"/>
      <c r="W139" s="41"/>
      <c r="X139" s="41"/>
      <c r="Y139" s="36"/>
      <c r="Z139" s="36"/>
      <c r="AA139" s="36"/>
      <c r="AB139" s="36"/>
    </row>
    <row r="140" spans="16:28" x14ac:dyDescent="0.2">
      <c r="Q140" s="36"/>
      <c r="R140" s="40"/>
      <c r="S140" s="40"/>
      <c r="T140" s="40"/>
      <c r="U140" s="41"/>
      <c r="V140" s="41"/>
      <c r="W140" s="41"/>
      <c r="X140" s="41"/>
      <c r="Y140" s="36"/>
      <c r="Z140" s="36"/>
      <c r="AA140" s="36"/>
      <c r="AB140" s="36"/>
    </row>
    <row r="141" spans="16:28" x14ac:dyDescent="0.2">
      <c r="Q141" s="36"/>
      <c r="R141" s="40"/>
      <c r="S141" s="40"/>
      <c r="T141" s="40"/>
      <c r="U141" s="41"/>
      <c r="V141" s="41"/>
      <c r="W141" s="41"/>
      <c r="X141" s="41"/>
      <c r="Y141" s="36"/>
      <c r="Z141" s="36"/>
      <c r="AA141" s="36"/>
      <c r="AB141" s="36"/>
    </row>
    <row r="142" spans="16:28" x14ac:dyDescent="0.2">
      <c r="P142" s="36"/>
      <c r="Q142" s="40"/>
      <c r="R142" s="40"/>
      <c r="S142" s="40"/>
      <c r="T142" s="41"/>
      <c r="U142" s="41"/>
      <c r="V142" s="41"/>
      <c r="W142" s="36"/>
      <c r="X142" s="36"/>
      <c r="Y142" s="36"/>
      <c r="Z142" s="36"/>
      <c r="AA142" s="36"/>
    </row>
    <row r="143" spans="16:28" x14ac:dyDescent="0.2">
      <c r="P143" s="36"/>
      <c r="Q143" s="40"/>
      <c r="R143" s="40"/>
      <c r="S143" s="40"/>
      <c r="T143" s="41"/>
      <c r="U143" s="41"/>
      <c r="V143" s="41"/>
      <c r="W143" s="36"/>
      <c r="X143" s="36"/>
      <c r="Y143" s="36"/>
      <c r="Z143" s="36"/>
      <c r="AA143" s="36"/>
    </row>
    <row r="144" spans="16:28" x14ac:dyDescent="0.2">
      <c r="P144" s="36"/>
      <c r="Q144" s="40"/>
      <c r="R144" s="40"/>
      <c r="S144" s="40"/>
      <c r="T144" s="41"/>
      <c r="U144" s="41"/>
      <c r="V144" s="41"/>
      <c r="W144" s="36"/>
      <c r="X144" s="36"/>
      <c r="Y144" s="36"/>
      <c r="Z144" s="36"/>
      <c r="AA144" s="36"/>
    </row>
    <row r="145" spans="16:27" x14ac:dyDescent="0.2">
      <c r="P145" s="36"/>
      <c r="Q145" s="40"/>
      <c r="R145" s="40"/>
      <c r="S145" s="40"/>
      <c r="T145" s="41"/>
      <c r="U145" s="41"/>
      <c r="V145" s="41"/>
      <c r="W145" s="36"/>
      <c r="X145" s="36"/>
      <c r="Y145" s="36"/>
      <c r="Z145" s="36"/>
      <c r="AA145" s="36"/>
    </row>
    <row r="146" spans="16:27" x14ac:dyDescent="0.2">
      <c r="P146" s="36"/>
      <c r="Q146" s="40"/>
      <c r="R146" s="40"/>
      <c r="S146" s="40"/>
      <c r="T146" s="41"/>
      <c r="U146" s="41"/>
      <c r="V146" s="41"/>
      <c r="W146" s="36"/>
      <c r="X146" s="36"/>
      <c r="Y146" s="36"/>
      <c r="Z146" s="36"/>
      <c r="AA146" s="36"/>
    </row>
    <row r="147" spans="16:27" x14ac:dyDescent="0.2">
      <c r="P147" s="36"/>
      <c r="Q147" s="40"/>
      <c r="R147" s="40"/>
      <c r="S147" s="40"/>
      <c r="T147" s="41"/>
      <c r="U147" s="41"/>
      <c r="V147" s="41"/>
      <c r="W147" s="36"/>
      <c r="X147" s="36"/>
      <c r="Y147" s="36"/>
      <c r="Z147" s="36"/>
      <c r="AA147" s="36"/>
    </row>
    <row r="148" spans="16:27" x14ac:dyDescent="0.2">
      <c r="P148" s="36"/>
      <c r="Q148" s="40"/>
      <c r="R148" s="40"/>
      <c r="S148" s="40"/>
      <c r="T148" s="41"/>
      <c r="U148" s="41"/>
      <c r="V148" s="41"/>
      <c r="W148" s="36"/>
      <c r="X148" s="36"/>
      <c r="Y148" s="36"/>
      <c r="Z148" s="36"/>
      <c r="AA148" s="36"/>
    </row>
    <row r="149" spans="16:27" x14ac:dyDescent="0.2">
      <c r="P149" s="36"/>
      <c r="Q149" s="40"/>
      <c r="R149" s="40"/>
      <c r="S149" s="40"/>
      <c r="T149" s="41"/>
      <c r="U149" s="41"/>
      <c r="V149" s="41"/>
      <c r="W149" s="36"/>
      <c r="X149" s="36"/>
      <c r="Y149" s="36"/>
      <c r="Z149" s="36"/>
      <c r="AA149" s="36"/>
    </row>
    <row r="150" spans="16:27" x14ac:dyDescent="0.2">
      <c r="P150" s="36"/>
      <c r="Q150" s="40"/>
      <c r="R150" s="40"/>
      <c r="S150" s="40"/>
      <c r="T150" s="41"/>
      <c r="U150" s="41"/>
      <c r="V150" s="41"/>
      <c r="W150" s="36"/>
      <c r="X150" s="36"/>
      <c r="Y150" s="36"/>
      <c r="Z150" s="36"/>
      <c r="AA150" s="36"/>
    </row>
    <row r="151" spans="16:27" x14ac:dyDescent="0.2">
      <c r="P151" s="36"/>
      <c r="Q151" s="40"/>
      <c r="R151" s="40"/>
      <c r="S151" s="40"/>
      <c r="T151" s="41"/>
      <c r="U151" s="41"/>
      <c r="V151" s="41"/>
      <c r="W151" s="36"/>
      <c r="X151" s="36"/>
      <c r="Y151" s="36"/>
      <c r="Z151" s="36"/>
      <c r="AA151" s="36"/>
    </row>
    <row r="152" spans="16:27" x14ac:dyDescent="0.2">
      <c r="P152" s="36"/>
      <c r="Q152" s="40"/>
      <c r="R152" s="40"/>
      <c r="S152" s="40"/>
      <c r="T152" s="41"/>
      <c r="U152" s="41"/>
      <c r="V152" s="41"/>
      <c r="W152" s="36"/>
      <c r="X152" s="36"/>
      <c r="Y152" s="36"/>
      <c r="Z152" s="36"/>
      <c r="AA152" s="36"/>
    </row>
    <row r="153" spans="16:27" x14ac:dyDescent="0.2">
      <c r="P153" s="36"/>
      <c r="Q153" s="40"/>
      <c r="R153" s="40"/>
      <c r="S153" s="40"/>
      <c r="T153" s="41"/>
      <c r="U153" s="41"/>
      <c r="V153" s="41"/>
      <c r="W153" s="36"/>
      <c r="X153" s="36"/>
      <c r="Y153" s="36"/>
      <c r="Z153" s="36"/>
      <c r="AA153" s="36"/>
    </row>
    <row r="154" spans="16:27" x14ac:dyDescent="0.2">
      <c r="P154" s="36"/>
      <c r="Q154" s="40"/>
      <c r="R154" s="40"/>
      <c r="S154" s="40"/>
      <c r="T154" s="41"/>
      <c r="U154" s="41"/>
      <c r="V154" s="41"/>
      <c r="W154" s="36"/>
      <c r="X154" s="36"/>
      <c r="Y154" s="36"/>
      <c r="Z154" s="36"/>
      <c r="AA154" s="36"/>
    </row>
    <row r="155" spans="16:27" x14ac:dyDescent="0.2">
      <c r="P155" s="36"/>
      <c r="Q155" s="40"/>
      <c r="R155" s="40"/>
      <c r="S155" s="40"/>
      <c r="T155" s="41"/>
      <c r="U155" s="41"/>
      <c r="V155" s="41"/>
      <c r="W155" s="36"/>
      <c r="X155" s="36"/>
      <c r="Y155" s="36"/>
      <c r="Z155" s="36"/>
      <c r="AA155" s="36"/>
    </row>
    <row r="156" spans="16:27" x14ac:dyDescent="0.2">
      <c r="P156" s="36"/>
      <c r="Q156" s="40"/>
      <c r="R156" s="40"/>
      <c r="S156" s="40"/>
      <c r="T156" s="41"/>
      <c r="U156" s="41"/>
      <c r="V156" s="41"/>
      <c r="W156" s="36"/>
      <c r="X156" s="36"/>
      <c r="Y156" s="36"/>
      <c r="Z156" s="36"/>
      <c r="AA156" s="36"/>
    </row>
    <row r="157" spans="16:27" x14ac:dyDescent="0.2">
      <c r="P157" s="36"/>
      <c r="Q157" s="40"/>
      <c r="R157" s="40"/>
      <c r="S157" s="40"/>
      <c r="T157" s="41"/>
      <c r="U157" s="41"/>
      <c r="V157" s="41"/>
      <c r="W157" s="36"/>
      <c r="X157" s="36"/>
      <c r="Y157" s="36"/>
      <c r="Z157" s="36"/>
      <c r="AA157" s="36"/>
    </row>
    <row r="158" spans="16:27" x14ac:dyDescent="0.2">
      <c r="P158" s="36"/>
      <c r="Q158" s="40"/>
      <c r="R158" s="40"/>
      <c r="S158" s="40"/>
      <c r="T158" s="41"/>
      <c r="U158" s="41"/>
      <c r="V158" s="41"/>
      <c r="W158" s="36"/>
      <c r="X158" s="36"/>
      <c r="Y158" s="36"/>
      <c r="Z158" s="36"/>
      <c r="AA158" s="36"/>
    </row>
    <row r="159" spans="16:27" x14ac:dyDescent="0.2">
      <c r="P159" s="36"/>
      <c r="Q159" s="40"/>
      <c r="R159" s="40"/>
      <c r="S159" s="40"/>
      <c r="T159" s="41"/>
      <c r="U159" s="41"/>
      <c r="V159" s="41"/>
      <c r="W159" s="36"/>
      <c r="X159" s="36"/>
      <c r="Y159" s="36"/>
      <c r="Z159" s="36"/>
      <c r="AA159" s="36"/>
    </row>
    <row r="160" spans="16:27" x14ac:dyDescent="0.2">
      <c r="P160" s="36"/>
      <c r="Q160" s="40"/>
      <c r="R160" s="40"/>
      <c r="S160" s="40"/>
      <c r="T160" s="41"/>
      <c r="U160" s="41"/>
      <c r="V160" s="41"/>
      <c r="W160" s="36"/>
      <c r="X160" s="36"/>
      <c r="Y160" s="36"/>
      <c r="Z160" s="36"/>
      <c r="AA160" s="36"/>
    </row>
    <row r="161" spans="16:27" x14ac:dyDescent="0.2">
      <c r="P161" s="36"/>
      <c r="Q161" s="40"/>
      <c r="R161" s="40"/>
      <c r="S161" s="40"/>
      <c r="T161" s="41"/>
      <c r="U161" s="41"/>
      <c r="V161" s="41"/>
      <c r="W161" s="36"/>
      <c r="X161" s="36"/>
      <c r="Y161" s="36"/>
      <c r="Z161" s="36"/>
      <c r="AA161" s="36"/>
    </row>
    <row r="162" spans="16:27" x14ac:dyDescent="0.2">
      <c r="P162" s="36"/>
      <c r="Q162" s="40"/>
      <c r="R162" s="40"/>
      <c r="S162" s="40"/>
      <c r="T162" s="41"/>
      <c r="U162" s="41"/>
      <c r="V162" s="41"/>
      <c r="W162" s="36"/>
      <c r="X162" s="36"/>
      <c r="Y162" s="36"/>
      <c r="Z162" s="36"/>
      <c r="AA162" s="36"/>
    </row>
    <row r="163" spans="16:27" x14ac:dyDescent="0.2">
      <c r="P163" s="36"/>
      <c r="Q163" s="40"/>
      <c r="R163" s="40"/>
      <c r="S163" s="40"/>
      <c r="T163" s="41"/>
      <c r="U163" s="41"/>
      <c r="V163" s="41"/>
      <c r="W163" s="36"/>
      <c r="X163" s="36"/>
      <c r="Y163" s="36"/>
      <c r="Z163" s="36"/>
      <c r="AA163" s="36"/>
    </row>
    <row r="164" spans="16:27" x14ac:dyDescent="0.2">
      <c r="P164" s="36"/>
      <c r="Q164" s="40"/>
      <c r="R164" s="40"/>
      <c r="S164" s="40"/>
      <c r="T164" s="41"/>
      <c r="U164" s="41"/>
      <c r="V164" s="41"/>
      <c r="W164" s="36"/>
      <c r="X164" s="36"/>
      <c r="Y164" s="36"/>
      <c r="Z164" s="36"/>
      <c r="AA164" s="36"/>
    </row>
    <row r="165" spans="16:27" x14ac:dyDescent="0.2">
      <c r="P165" s="36"/>
      <c r="Q165" s="40"/>
      <c r="R165" s="40"/>
      <c r="S165" s="40"/>
      <c r="T165" s="41"/>
      <c r="U165" s="41"/>
      <c r="V165" s="41"/>
      <c r="W165" s="36"/>
      <c r="X165" s="36"/>
      <c r="Y165" s="36"/>
      <c r="Z165" s="36"/>
      <c r="AA165" s="36"/>
    </row>
    <row r="166" spans="16:27" x14ac:dyDescent="0.2">
      <c r="P166" s="36"/>
      <c r="Q166" s="40"/>
      <c r="R166" s="40"/>
      <c r="S166" s="40"/>
      <c r="T166" s="41"/>
      <c r="U166" s="41"/>
      <c r="V166" s="41"/>
      <c r="W166" s="36"/>
      <c r="X166" s="36"/>
      <c r="Y166" s="36"/>
      <c r="Z166" s="36"/>
      <c r="AA166" s="36"/>
    </row>
    <row r="167" spans="16:27" x14ac:dyDescent="0.2">
      <c r="P167" s="36"/>
      <c r="Q167" s="40"/>
      <c r="R167" s="40"/>
      <c r="S167" s="40"/>
      <c r="T167" s="41"/>
      <c r="U167" s="41"/>
      <c r="V167" s="41"/>
      <c r="W167" s="36"/>
      <c r="X167" s="36"/>
      <c r="Y167" s="36"/>
      <c r="Z167" s="36"/>
      <c r="AA167" s="36"/>
    </row>
    <row r="168" spans="16:27" x14ac:dyDescent="0.2">
      <c r="P168" s="36"/>
      <c r="Q168" s="40"/>
      <c r="R168" s="40"/>
      <c r="S168" s="40"/>
      <c r="T168" s="41"/>
      <c r="U168" s="41"/>
      <c r="V168" s="41"/>
      <c r="W168" s="36"/>
      <c r="X168" s="36"/>
      <c r="Y168" s="36"/>
      <c r="Z168" s="36"/>
      <c r="AA168" s="36"/>
    </row>
    <row r="169" spans="16:27" x14ac:dyDescent="0.2">
      <c r="P169" s="36"/>
      <c r="Q169" s="40"/>
      <c r="R169" s="40"/>
      <c r="S169" s="40"/>
      <c r="T169" s="41"/>
      <c r="U169" s="41"/>
      <c r="V169" s="41"/>
      <c r="W169" s="36"/>
      <c r="X169" s="36"/>
      <c r="Y169" s="36"/>
      <c r="Z169" s="36"/>
      <c r="AA169" s="36"/>
    </row>
    <row r="170" spans="16:27" x14ac:dyDescent="0.2">
      <c r="P170" s="36"/>
      <c r="Q170" s="40"/>
      <c r="R170" s="40"/>
      <c r="S170" s="40"/>
      <c r="T170" s="41"/>
      <c r="U170" s="41"/>
      <c r="V170" s="41"/>
      <c r="W170" s="36"/>
      <c r="X170" s="36"/>
      <c r="Y170" s="36"/>
      <c r="Z170" s="36"/>
      <c r="AA170" s="36"/>
    </row>
    <row r="171" spans="16:27" x14ac:dyDescent="0.2">
      <c r="P171" s="36"/>
      <c r="Q171" s="40"/>
      <c r="R171" s="40"/>
      <c r="S171" s="40"/>
      <c r="T171" s="41"/>
      <c r="U171" s="41"/>
      <c r="V171" s="41"/>
      <c r="W171" s="36"/>
      <c r="X171" s="36"/>
      <c r="Y171" s="36"/>
      <c r="Z171" s="36"/>
      <c r="AA171" s="36"/>
    </row>
    <row r="172" spans="16:27" x14ac:dyDescent="0.2">
      <c r="P172" s="36"/>
      <c r="Q172" s="40"/>
      <c r="R172" s="40"/>
      <c r="S172" s="40"/>
      <c r="T172" s="41"/>
      <c r="U172" s="41"/>
      <c r="V172" s="41"/>
      <c r="W172" s="36"/>
      <c r="X172" s="36"/>
      <c r="Y172" s="36"/>
      <c r="Z172" s="36"/>
      <c r="AA172" s="36"/>
    </row>
    <row r="173" spans="16:27" x14ac:dyDescent="0.2">
      <c r="P173" s="36"/>
      <c r="Q173" s="40"/>
      <c r="R173" s="40"/>
      <c r="S173" s="40"/>
      <c r="T173" s="41"/>
      <c r="U173" s="41"/>
      <c r="V173" s="41"/>
      <c r="W173" s="36"/>
      <c r="X173" s="36"/>
      <c r="Y173" s="36"/>
      <c r="Z173" s="36"/>
      <c r="AA173" s="36"/>
    </row>
    <row r="174" spans="16:27" x14ac:dyDescent="0.2">
      <c r="P174" s="36"/>
      <c r="Q174" s="40"/>
      <c r="R174" s="40"/>
      <c r="S174" s="40"/>
      <c r="T174" s="41"/>
      <c r="U174" s="41"/>
      <c r="V174" s="41"/>
      <c r="W174" s="36"/>
      <c r="X174" s="36"/>
      <c r="Y174" s="36"/>
      <c r="Z174" s="36"/>
      <c r="AA174" s="36"/>
    </row>
    <row r="175" spans="16:27" x14ac:dyDescent="0.2">
      <c r="P175" s="36"/>
      <c r="Q175" s="40"/>
      <c r="R175" s="40"/>
      <c r="S175" s="40"/>
      <c r="T175" s="41"/>
      <c r="U175" s="41"/>
      <c r="V175" s="41"/>
      <c r="W175" s="36"/>
      <c r="X175" s="36"/>
      <c r="Y175" s="36"/>
      <c r="Z175" s="36"/>
      <c r="AA175" s="36"/>
    </row>
    <row r="176" spans="16:27" x14ac:dyDescent="0.2">
      <c r="P176" s="36"/>
      <c r="Q176" s="40"/>
      <c r="R176" s="40"/>
      <c r="S176" s="40"/>
      <c r="T176" s="41"/>
      <c r="U176" s="41"/>
      <c r="V176" s="41"/>
      <c r="W176" s="36"/>
      <c r="X176" s="36"/>
      <c r="Y176" s="36"/>
      <c r="Z176" s="36"/>
      <c r="AA176" s="36"/>
    </row>
    <row r="177" spans="16:27" x14ac:dyDescent="0.2">
      <c r="P177" s="36"/>
      <c r="Q177" s="40"/>
      <c r="R177" s="40"/>
      <c r="S177" s="40"/>
      <c r="T177" s="41"/>
      <c r="U177" s="41"/>
      <c r="V177" s="41"/>
      <c r="W177" s="36"/>
      <c r="X177" s="36"/>
      <c r="Y177" s="36"/>
      <c r="Z177" s="36"/>
      <c r="AA177" s="36"/>
    </row>
    <row r="178" spans="16:27" x14ac:dyDescent="0.2">
      <c r="P178" s="36"/>
      <c r="Q178" s="40"/>
      <c r="R178" s="40"/>
      <c r="S178" s="40"/>
      <c r="T178" s="41"/>
      <c r="U178" s="41"/>
      <c r="V178" s="41"/>
      <c r="W178" s="36"/>
      <c r="X178" s="36"/>
      <c r="Y178" s="36"/>
      <c r="Z178" s="36"/>
      <c r="AA178" s="36"/>
    </row>
    <row r="179" spans="16:27" x14ac:dyDescent="0.2">
      <c r="P179" s="36"/>
      <c r="Q179" s="40"/>
      <c r="R179" s="40"/>
      <c r="S179" s="40"/>
      <c r="T179" s="41"/>
      <c r="U179" s="41"/>
      <c r="V179" s="41"/>
      <c r="W179" s="36"/>
      <c r="X179" s="36"/>
      <c r="Y179" s="36"/>
      <c r="Z179" s="36"/>
      <c r="AA179" s="36"/>
    </row>
    <row r="180" spans="16:27" x14ac:dyDescent="0.2">
      <c r="P180" s="36"/>
      <c r="Q180" s="40"/>
      <c r="R180" s="40"/>
      <c r="S180" s="40"/>
      <c r="T180" s="41"/>
      <c r="U180" s="41"/>
      <c r="V180" s="41"/>
      <c r="W180" s="36"/>
      <c r="X180" s="36"/>
      <c r="Y180" s="36"/>
      <c r="Z180" s="36"/>
      <c r="AA180" s="36"/>
    </row>
    <row r="181" spans="16:27" x14ac:dyDescent="0.2">
      <c r="P181" s="36"/>
      <c r="Q181" s="40"/>
      <c r="R181" s="40"/>
      <c r="S181" s="40"/>
      <c r="T181" s="41"/>
      <c r="U181" s="41"/>
      <c r="V181" s="41"/>
      <c r="W181" s="36"/>
      <c r="X181" s="36"/>
      <c r="Y181" s="36"/>
      <c r="Z181" s="36"/>
      <c r="AA181" s="36"/>
    </row>
    <row r="182" spans="16:27" x14ac:dyDescent="0.2">
      <c r="P182" s="36"/>
      <c r="Q182" s="40"/>
      <c r="R182" s="40"/>
      <c r="S182" s="40"/>
      <c r="T182" s="41"/>
      <c r="U182" s="41"/>
      <c r="V182" s="41"/>
      <c r="W182" s="36"/>
      <c r="X182" s="36"/>
      <c r="Y182" s="36"/>
      <c r="Z182" s="36"/>
      <c r="AA182" s="36"/>
    </row>
    <row r="183" spans="16:27" x14ac:dyDescent="0.2">
      <c r="P183" s="36"/>
      <c r="Q183" s="40"/>
      <c r="R183" s="40"/>
      <c r="S183" s="40"/>
      <c r="T183" s="41"/>
      <c r="U183" s="41"/>
      <c r="V183" s="41"/>
      <c r="W183" s="36"/>
      <c r="X183" s="36"/>
      <c r="Y183" s="36"/>
      <c r="Z183" s="36"/>
      <c r="AA183" s="36"/>
    </row>
    <row r="184" spans="16:27" x14ac:dyDescent="0.2">
      <c r="P184" s="36"/>
      <c r="Q184" s="40"/>
      <c r="R184" s="40"/>
      <c r="S184" s="40"/>
      <c r="T184" s="41"/>
      <c r="U184" s="41"/>
      <c r="V184" s="41"/>
      <c r="W184" s="36"/>
      <c r="X184" s="36"/>
      <c r="Y184" s="36"/>
      <c r="Z184" s="36"/>
      <c r="AA184" s="36"/>
    </row>
    <row r="185" spans="16:27" x14ac:dyDescent="0.2">
      <c r="P185" s="36"/>
      <c r="Q185" s="40"/>
      <c r="R185" s="40"/>
      <c r="S185" s="40"/>
      <c r="T185" s="41"/>
      <c r="U185" s="41"/>
      <c r="V185" s="41"/>
      <c r="W185" s="36"/>
      <c r="X185" s="36"/>
      <c r="Y185" s="36"/>
      <c r="Z185" s="36"/>
      <c r="AA185" s="36"/>
    </row>
    <row r="186" spans="16:27" x14ac:dyDescent="0.2">
      <c r="P186" s="36"/>
      <c r="Q186" s="40"/>
      <c r="R186" s="40"/>
      <c r="S186" s="40"/>
      <c r="T186" s="41"/>
      <c r="U186" s="41"/>
      <c r="V186" s="41"/>
      <c r="W186" s="36"/>
      <c r="X186" s="36"/>
      <c r="Y186" s="36"/>
      <c r="Z186" s="36"/>
      <c r="AA186" s="36"/>
    </row>
    <row r="187" spans="16:27" x14ac:dyDescent="0.2">
      <c r="P187" s="36"/>
      <c r="Q187" s="40"/>
      <c r="R187" s="40"/>
      <c r="S187" s="40"/>
      <c r="T187" s="41"/>
      <c r="U187" s="41"/>
      <c r="V187" s="41"/>
      <c r="W187" s="36"/>
      <c r="X187" s="36"/>
      <c r="Y187" s="36"/>
      <c r="Z187" s="36"/>
      <c r="AA187" s="36"/>
    </row>
    <row r="188" spans="16:27" x14ac:dyDescent="0.2">
      <c r="P188" s="36"/>
      <c r="Q188" s="40"/>
      <c r="R188" s="40"/>
      <c r="S188" s="40"/>
      <c r="T188" s="41"/>
      <c r="U188" s="41"/>
      <c r="V188" s="41"/>
      <c r="W188" s="36"/>
      <c r="X188" s="36"/>
      <c r="Y188" s="36"/>
      <c r="Z188" s="36"/>
      <c r="AA188" s="36"/>
    </row>
    <row r="189" spans="16:27" x14ac:dyDescent="0.2">
      <c r="P189" s="36"/>
      <c r="Q189" s="40"/>
      <c r="R189" s="40"/>
      <c r="S189" s="40"/>
      <c r="T189" s="41"/>
      <c r="U189" s="41"/>
      <c r="V189" s="41"/>
      <c r="W189" s="36"/>
      <c r="X189" s="36"/>
      <c r="Y189" s="36"/>
      <c r="Z189" s="36"/>
      <c r="AA189" s="36"/>
    </row>
    <row r="190" spans="16:27" x14ac:dyDescent="0.2">
      <c r="P190" s="36"/>
      <c r="Q190" s="40"/>
      <c r="R190" s="40"/>
      <c r="S190" s="40"/>
      <c r="T190" s="41"/>
      <c r="U190" s="41"/>
      <c r="V190" s="41"/>
      <c r="W190" s="36"/>
      <c r="X190" s="36"/>
      <c r="Y190" s="36"/>
      <c r="Z190" s="36"/>
      <c r="AA190" s="36"/>
    </row>
    <row r="191" spans="16:27" x14ac:dyDescent="0.2">
      <c r="P191" s="36"/>
      <c r="Q191" s="40"/>
      <c r="R191" s="40"/>
      <c r="S191" s="40"/>
      <c r="T191" s="41"/>
      <c r="U191" s="41"/>
      <c r="V191" s="41"/>
      <c r="W191" s="36"/>
      <c r="X191" s="36"/>
      <c r="Y191" s="36"/>
      <c r="Z191" s="36"/>
      <c r="AA191" s="36"/>
    </row>
    <row r="192" spans="16:27" x14ac:dyDescent="0.2">
      <c r="P192" s="36"/>
      <c r="Q192" s="40"/>
      <c r="R192" s="40"/>
      <c r="S192" s="40"/>
      <c r="T192" s="41"/>
      <c r="U192" s="41"/>
      <c r="V192" s="41"/>
      <c r="W192" s="36"/>
      <c r="X192" s="36"/>
      <c r="Y192" s="36"/>
      <c r="Z192" s="36"/>
      <c r="AA192" s="36"/>
    </row>
    <row r="193" spans="16:27" x14ac:dyDescent="0.2">
      <c r="P193" s="36"/>
      <c r="Q193" s="40"/>
      <c r="R193" s="40"/>
      <c r="S193" s="40"/>
      <c r="T193" s="41"/>
      <c r="U193" s="41"/>
      <c r="V193" s="41"/>
      <c r="W193" s="36"/>
      <c r="X193" s="36"/>
      <c r="Y193" s="36"/>
      <c r="Z193" s="36"/>
      <c r="AA193" s="36"/>
    </row>
    <row r="194" spans="16:27" x14ac:dyDescent="0.2">
      <c r="P194" s="36"/>
      <c r="Q194" s="40"/>
      <c r="R194" s="40"/>
      <c r="S194" s="40"/>
      <c r="T194" s="41"/>
      <c r="U194" s="41"/>
      <c r="V194" s="41"/>
      <c r="W194" s="36"/>
      <c r="X194" s="36"/>
      <c r="Y194" s="36"/>
      <c r="Z194" s="36"/>
      <c r="AA194" s="36"/>
    </row>
    <row r="195" spans="16:27" x14ac:dyDescent="0.2">
      <c r="P195" s="36"/>
      <c r="Q195" s="40"/>
      <c r="R195" s="40"/>
      <c r="S195" s="40"/>
      <c r="T195" s="41"/>
      <c r="U195" s="41"/>
      <c r="V195" s="41"/>
      <c r="W195" s="36"/>
      <c r="X195" s="36"/>
      <c r="Y195" s="36"/>
      <c r="Z195" s="36"/>
      <c r="AA195" s="36"/>
    </row>
    <row r="196" spans="16:27" x14ac:dyDescent="0.2">
      <c r="P196" s="36"/>
      <c r="Q196" s="40"/>
      <c r="R196" s="40"/>
      <c r="S196" s="40"/>
      <c r="T196" s="41"/>
      <c r="U196" s="41"/>
      <c r="V196" s="41"/>
      <c r="W196" s="36"/>
      <c r="X196" s="36"/>
      <c r="Y196" s="36"/>
      <c r="Z196" s="36"/>
      <c r="AA196" s="36"/>
    </row>
    <row r="197" spans="16:27" x14ac:dyDescent="0.2">
      <c r="P197" s="36"/>
      <c r="Q197" s="40"/>
      <c r="R197" s="40"/>
      <c r="S197" s="40"/>
      <c r="T197" s="41"/>
      <c r="U197" s="41"/>
      <c r="V197" s="41"/>
      <c r="W197" s="36"/>
      <c r="X197" s="36"/>
      <c r="Y197" s="36"/>
      <c r="Z197" s="36"/>
      <c r="AA197" s="36"/>
    </row>
    <row r="198" spans="16:27" x14ac:dyDescent="0.2">
      <c r="P198" s="36"/>
      <c r="Q198" s="40"/>
      <c r="R198" s="40"/>
      <c r="S198" s="40"/>
      <c r="T198" s="41"/>
      <c r="U198" s="41"/>
      <c r="V198" s="41"/>
      <c r="W198" s="36"/>
      <c r="X198" s="36"/>
      <c r="Y198" s="36"/>
      <c r="Z198" s="36"/>
      <c r="AA198" s="36"/>
    </row>
    <row r="199" spans="16:27" x14ac:dyDescent="0.2">
      <c r="P199" s="36"/>
      <c r="Q199" s="40"/>
      <c r="R199" s="40"/>
      <c r="S199" s="40"/>
      <c r="T199" s="41"/>
      <c r="U199" s="41"/>
      <c r="V199" s="41"/>
      <c r="W199" s="36"/>
      <c r="X199" s="36"/>
      <c r="Y199" s="36"/>
      <c r="Z199" s="36"/>
      <c r="AA199" s="36"/>
    </row>
    <row r="200" spans="16:27" x14ac:dyDescent="0.2">
      <c r="P200" s="36"/>
      <c r="Q200" s="40"/>
      <c r="R200" s="40"/>
      <c r="S200" s="40"/>
      <c r="T200" s="41"/>
      <c r="U200" s="41"/>
      <c r="V200" s="41"/>
      <c r="W200" s="36"/>
      <c r="X200" s="36"/>
      <c r="Y200" s="36"/>
      <c r="Z200" s="36"/>
      <c r="AA200" s="36"/>
    </row>
    <row r="201" spans="16:27" x14ac:dyDescent="0.2">
      <c r="P201" s="36"/>
      <c r="Q201" s="40"/>
      <c r="R201" s="40"/>
      <c r="S201" s="40"/>
      <c r="T201" s="41"/>
      <c r="U201" s="41"/>
      <c r="V201" s="41"/>
      <c r="W201" s="36"/>
      <c r="X201" s="36"/>
      <c r="Y201" s="36"/>
      <c r="Z201" s="36"/>
      <c r="AA201" s="36"/>
    </row>
    <row r="202" spans="16:27" x14ac:dyDescent="0.2">
      <c r="P202" s="36"/>
      <c r="Q202" s="40"/>
      <c r="R202" s="40"/>
      <c r="S202" s="40"/>
      <c r="T202" s="41"/>
      <c r="U202" s="41"/>
      <c r="V202" s="41"/>
      <c r="W202" s="36"/>
      <c r="X202" s="36"/>
      <c r="Y202" s="36"/>
      <c r="Z202" s="36"/>
      <c r="AA202" s="36"/>
    </row>
    <row r="203" spans="16:27" x14ac:dyDescent="0.2">
      <c r="P203" s="36"/>
      <c r="Q203" s="40"/>
      <c r="R203" s="40"/>
      <c r="S203" s="40"/>
      <c r="T203" s="41"/>
      <c r="U203" s="41"/>
      <c r="V203" s="41"/>
      <c r="W203" s="36"/>
      <c r="X203" s="36"/>
      <c r="Y203" s="36"/>
      <c r="Z203" s="36"/>
      <c r="AA203" s="36"/>
    </row>
    <row r="204" spans="16:27" x14ac:dyDescent="0.2">
      <c r="P204" s="36"/>
      <c r="Q204" s="40"/>
      <c r="R204" s="40"/>
      <c r="S204" s="40"/>
      <c r="T204" s="41"/>
      <c r="U204" s="41"/>
      <c r="V204" s="41"/>
      <c r="W204" s="36"/>
      <c r="X204" s="36"/>
      <c r="Y204" s="36"/>
      <c r="Z204" s="36"/>
      <c r="AA204" s="36"/>
    </row>
    <row r="205" spans="16:27" x14ac:dyDescent="0.2">
      <c r="P205" s="36"/>
      <c r="Q205" s="40"/>
      <c r="R205" s="40"/>
      <c r="S205" s="40"/>
      <c r="T205" s="41"/>
      <c r="U205" s="41"/>
      <c r="V205" s="41"/>
      <c r="W205" s="36"/>
      <c r="X205" s="36"/>
      <c r="Y205" s="36"/>
      <c r="Z205" s="36"/>
      <c r="AA205" s="36"/>
    </row>
    <row r="206" spans="16:27" x14ac:dyDescent="0.2">
      <c r="P206" s="36"/>
      <c r="Q206" s="40"/>
      <c r="R206" s="40"/>
      <c r="S206" s="40"/>
      <c r="T206" s="41"/>
      <c r="U206" s="41"/>
      <c r="V206" s="41"/>
      <c r="W206" s="36"/>
      <c r="X206" s="36"/>
      <c r="Y206" s="36"/>
      <c r="Z206" s="36"/>
      <c r="AA206" s="36"/>
    </row>
    <row r="207" spans="16:27" x14ac:dyDescent="0.2">
      <c r="P207" s="36"/>
      <c r="Q207" s="40"/>
      <c r="R207" s="40"/>
      <c r="S207" s="40"/>
      <c r="T207" s="41"/>
      <c r="U207" s="41"/>
      <c r="V207" s="41"/>
      <c r="W207" s="36"/>
      <c r="X207" s="36"/>
      <c r="Y207" s="36"/>
      <c r="Z207" s="36"/>
      <c r="AA207" s="36"/>
    </row>
    <row r="208" spans="16:27" x14ac:dyDescent="0.2">
      <c r="P208" s="36"/>
      <c r="Q208" s="40"/>
      <c r="R208" s="40"/>
      <c r="S208" s="40"/>
      <c r="T208" s="41"/>
      <c r="U208" s="41"/>
      <c r="V208" s="41"/>
      <c r="W208" s="36"/>
      <c r="X208" s="36"/>
      <c r="Y208" s="36"/>
      <c r="Z208" s="36"/>
      <c r="AA208" s="36"/>
    </row>
    <row r="209" spans="16:27" x14ac:dyDescent="0.2">
      <c r="P209" s="36"/>
      <c r="Q209" s="40"/>
      <c r="R209" s="40"/>
      <c r="S209" s="40"/>
      <c r="T209" s="41"/>
      <c r="U209" s="41"/>
      <c r="V209" s="41"/>
      <c r="W209" s="36"/>
      <c r="X209" s="36"/>
      <c r="Y209" s="36"/>
      <c r="Z209" s="36"/>
      <c r="AA209" s="36"/>
    </row>
    <row r="210" spans="16:27" x14ac:dyDescent="0.2">
      <c r="P210" s="36"/>
      <c r="Q210" s="40"/>
      <c r="R210" s="40"/>
      <c r="S210" s="40"/>
      <c r="T210" s="41"/>
      <c r="U210" s="41"/>
      <c r="V210" s="41"/>
      <c r="W210" s="36"/>
      <c r="X210" s="36"/>
      <c r="Y210" s="36"/>
      <c r="Z210" s="36"/>
      <c r="AA210" s="36"/>
    </row>
    <row r="211" spans="16:27" x14ac:dyDescent="0.2">
      <c r="P211" s="36"/>
      <c r="Q211" s="40"/>
      <c r="R211" s="40"/>
      <c r="S211" s="40"/>
      <c r="T211" s="41"/>
      <c r="U211" s="41"/>
      <c r="V211" s="41"/>
      <c r="W211" s="36"/>
      <c r="X211" s="36"/>
      <c r="Y211" s="36"/>
      <c r="Z211" s="36"/>
      <c r="AA211" s="36"/>
    </row>
    <row r="212" spans="16:27" x14ac:dyDescent="0.2">
      <c r="P212" s="36"/>
      <c r="Q212" s="40"/>
      <c r="R212" s="40"/>
      <c r="S212" s="40"/>
      <c r="T212" s="41"/>
      <c r="U212" s="41"/>
      <c r="V212" s="41"/>
      <c r="W212" s="36"/>
      <c r="X212" s="36"/>
      <c r="Y212" s="36"/>
      <c r="Z212" s="36"/>
      <c r="AA212" s="36"/>
    </row>
    <row r="213" spans="16:27" x14ac:dyDescent="0.2">
      <c r="P213" s="36"/>
      <c r="Q213" s="40"/>
      <c r="R213" s="40"/>
      <c r="S213" s="40"/>
      <c r="T213" s="41"/>
      <c r="U213" s="41"/>
      <c r="V213" s="41"/>
      <c r="W213" s="36"/>
      <c r="X213" s="36"/>
      <c r="Y213" s="36"/>
      <c r="Z213" s="36"/>
      <c r="AA213" s="36"/>
    </row>
    <row r="214" spans="16:27" x14ac:dyDescent="0.2">
      <c r="P214" s="36"/>
      <c r="Q214" s="40"/>
      <c r="R214" s="40"/>
      <c r="S214" s="40"/>
      <c r="T214" s="41"/>
      <c r="U214" s="41"/>
      <c r="V214" s="41"/>
      <c r="W214" s="36"/>
      <c r="X214" s="36"/>
      <c r="Y214" s="36"/>
      <c r="Z214" s="36"/>
      <c r="AA214" s="36"/>
    </row>
    <row r="215" spans="16:27" x14ac:dyDescent="0.2">
      <c r="P215" s="36"/>
      <c r="Q215" s="40"/>
      <c r="R215" s="40"/>
      <c r="S215" s="40"/>
      <c r="T215" s="41"/>
      <c r="U215" s="41"/>
      <c r="V215" s="41"/>
      <c r="W215" s="36"/>
      <c r="X215" s="36"/>
      <c r="Y215" s="36"/>
      <c r="Z215" s="36"/>
      <c r="AA215" s="36"/>
    </row>
    <row r="216" spans="16:27" x14ac:dyDescent="0.2">
      <c r="P216" s="36"/>
      <c r="Q216" s="40"/>
      <c r="R216" s="40"/>
      <c r="S216" s="40"/>
      <c r="T216" s="41"/>
      <c r="U216" s="41"/>
      <c r="V216" s="41"/>
      <c r="W216" s="36"/>
      <c r="X216" s="36"/>
      <c r="Y216" s="36"/>
      <c r="Z216" s="36"/>
      <c r="AA216" s="36"/>
    </row>
    <row r="217" spans="16:27" x14ac:dyDescent="0.2">
      <c r="P217" s="36"/>
      <c r="Q217" s="40"/>
      <c r="R217" s="40"/>
      <c r="S217" s="40"/>
      <c r="T217" s="41"/>
      <c r="U217" s="41"/>
      <c r="V217" s="41"/>
      <c r="W217" s="36"/>
      <c r="X217" s="36"/>
      <c r="Y217" s="36"/>
      <c r="Z217" s="36"/>
      <c r="AA217" s="36"/>
    </row>
    <row r="218" spans="16:27" x14ac:dyDescent="0.2">
      <c r="P218" s="36"/>
      <c r="Q218" s="40"/>
      <c r="R218" s="40"/>
      <c r="S218" s="40"/>
      <c r="T218" s="41"/>
      <c r="U218" s="41"/>
      <c r="V218" s="41"/>
      <c r="W218" s="36"/>
      <c r="X218" s="36"/>
      <c r="Y218" s="36"/>
      <c r="Z218" s="36"/>
      <c r="AA218" s="36"/>
    </row>
    <row r="219" spans="16:27" x14ac:dyDescent="0.2">
      <c r="P219" s="36"/>
      <c r="Q219" s="40"/>
      <c r="R219" s="40"/>
      <c r="S219" s="40"/>
      <c r="T219" s="41"/>
      <c r="U219" s="41"/>
      <c r="V219" s="41"/>
      <c r="W219" s="36"/>
      <c r="X219" s="36"/>
      <c r="Y219" s="36"/>
      <c r="Z219" s="36"/>
      <c r="AA219" s="36"/>
    </row>
    <row r="220" spans="16:27" x14ac:dyDescent="0.2">
      <c r="P220" s="36"/>
      <c r="Q220" s="40"/>
      <c r="R220" s="40"/>
      <c r="S220" s="40"/>
      <c r="T220" s="41"/>
      <c r="U220" s="41"/>
      <c r="V220" s="41"/>
      <c r="W220" s="36"/>
      <c r="X220" s="36"/>
      <c r="Y220" s="36"/>
      <c r="Z220" s="36"/>
      <c r="AA220" s="36"/>
    </row>
    <row r="221" spans="16:27" x14ac:dyDescent="0.2">
      <c r="P221" s="36"/>
      <c r="Q221" s="40"/>
      <c r="R221" s="40"/>
      <c r="S221" s="40"/>
      <c r="T221" s="41"/>
      <c r="U221" s="41"/>
      <c r="V221" s="41"/>
      <c r="W221" s="36"/>
      <c r="X221" s="36"/>
      <c r="Y221" s="36"/>
      <c r="Z221" s="36"/>
      <c r="AA221" s="36"/>
    </row>
    <row r="222" spans="16:27" x14ac:dyDescent="0.2">
      <c r="P222" s="36"/>
      <c r="Q222" s="40"/>
      <c r="R222" s="40"/>
      <c r="S222" s="40"/>
      <c r="T222" s="41"/>
      <c r="U222" s="41"/>
      <c r="V222" s="41"/>
      <c r="W222" s="36"/>
      <c r="X222" s="36"/>
      <c r="Y222" s="36"/>
      <c r="Z222" s="36"/>
      <c r="AA222" s="36"/>
    </row>
    <row r="223" spans="16:27" x14ac:dyDescent="0.2">
      <c r="P223" s="36"/>
      <c r="Q223" s="40"/>
      <c r="R223" s="40"/>
      <c r="S223" s="40"/>
      <c r="T223" s="41"/>
      <c r="U223" s="41"/>
      <c r="V223" s="41"/>
      <c r="W223" s="36"/>
      <c r="X223" s="36"/>
      <c r="Y223" s="36"/>
      <c r="Z223" s="36"/>
      <c r="AA223" s="36"/>
    </row>
    <row r="224" spans="16:27" x14ac:dyDescent="0.2">
      <c r="P224" s="36"/>
      <c r="Q224" s="40"/>
      <c r="R224" s="40"/>
      <c r="S224" s="40"/>
      <c r="T224" s="41"/>
      <c r="U224" s="41"/>
      <c r="V224" s="41"/>
      <c r="W224" s="36"/>
      <c r="X224" s="36"/>
      <c r="Y224" s="36"/>
      <c r="Z224" s="36"/>
      <c r="AA224" s="36"/>
    </row>
    <row r="225" spans="16:27" x14ac:dyDescent="0.2">
      <c r="P225" s="36"/>
      <c r="Q225" s="40"/>
      <c r="R225" s="40"/>
      <c r="S225" s="40"/>
      <c r="T225" s="41"/>
      <c r="U225" s="41"/>
      <c r="V225" s="41"/>
      <c r="W225" s="36"/>
      <c r="X225" s="36"/>
      <c r="Y225" s="36"/>
      <c r="Z225" s="36"/>
      <c r="AA225" s="36"/>
    </row>
    <row r="226" spans="16:27" x14ac:dyDescent="0.2">
      <c r="P226" s="36"/>
      <c r="Q226" s="40"/>
      <c r="R226" s="40"/>
      <c r="S226" s="40"/>
      <c r="T226" s="41"/>
      <c r="U226" s="41"/>
      <c r="V226" s="41"/>
      <c r="W226" s="36"/>
      <c r="X226" s="36"/>
      <c r="Y226" s="36"/>
      <c r="Z226" s="36"/>
      <c r="AA226" s="36"/>
    </row>
    <row r="227" spans="16:27" x14ac:dyDescent="0.2">
      <c r="P227" s="36"/>
      <c r="Q227" s="40"/>
      <c r="R227" s="40"/>
      <c r="S227" s="40"/>
      <c r="T227" s="41"/>
      <c r="U227" s="41"/>
      <c r="V227" s="41"/>
      <c r="W227" s="36"/>
      <c r="X227" s="36"/>
      <c r="Y227" s="36"/>
      <c r="Z227" s="36"/>
      <c r="AA227" s="36"/>
    </row>
    <row r="228" spans="16:27" x14ac:dyDescent="0.2">
      <c r="P228" s="36"/>
      <c r="Q228" s="40"/>
      <c r="R228" s="40"/>
      <c r="S228" s="40"/>
      <c r="T228" s="41"/>
      <c r="U228" s="41"/>
      <c r="V228" s="41"/>
      <c r="W228" s="36"/>
      <c r="X228" s="36"/>
      <c r="Y228" s="36"/>
      <c r="Z228" s="36"/>
      <c r="AA228" s="36"/>
    </row>
    <row r="229" spans="16:27" x14ac:dyDescent="0.2">
      <c r="P229" s="36"/>
      <c r="Q229" s="40"/>
      <c r="R229" s="40"/>
      <c r="S229" s="40"/>
      <c r="T229" s="41"/>
      <c r="U229" s="41"/>
      <c r="V229" s="41"/>
      <c r="W229" s="36"/>
      <c r="X229" s="36"/>
      <c r="Y229" s="36"/>
      <c r="Z229" s="36"/>
      <c r="AA229" s="36"/>
    </row>
    <row r="230" spans="16:27" x14ac:dyDescent="0.2">
      <c r="P230" s="36"/>
      <c r="Q230" s="40"/>
      <c r="R230" s="40"/>
      <c r="S230" s="40"/>
      <c r="T230" s="41"/>
      <c r="U230" s="41"/>
      <c r="V230" s="41"/>
      <c r="W230" s="36"/>
      <c r="X230" s="36"/>
      <c r="Y230" s="36"/>
      <c r="Z230" s="36"/>
      <c r="AA230" s="36"/>
    </row>
    <row r="231" spans="16:27" x14ac:dyDescent="0.2">
      <c r="P231" s="36"/>
      <c r="Q231" s="40"/>
      <c r="R231" s="40"/>
      <c r="S231" s="40"/>
      <c r="T231" s="41"/>
      <c r="U231" s="41"/>
      <c r="V231" s="41"/>
      <c r="W231" s="36"/>
      <c r="X231" s="36"/>
      <c r="Y231" s="36"/>
      <c r="Z231" s="36"/>
      <c r="AA231" s="36"/>
    </row>
    <row r="232" spans="16:27" x14ac:dyDescent="0.2">
      <c r="P232" s="36"/>
      <c r="Q232" s="40"/>
      <c r="R232" s="40"/>
      <c r="S232" s="40"/>
      <c r="T232" s="41"/>
      <c r="U232" s="41"/>
      <c r="V232" s="41"/>
      <c r="W232" s="36"/>
      <c r="X232" s="36"/>
      <c r="Y232" s="36"/>
      <c r="Z232" s="36"/>
      <c r="AA232" s="36"/>
    </row>
    <row r="233" spans="16:27" x14ac:dyDescent="0.2">
      <c r="P233" s="36"/>
      <c r="Q233" s="40"/>
      <c r="R233" s="40"/>
      <c r="S233" s="40"/>
      <c r="T233" s="41"/>
      <c r="U233" s="41"/>
      <c r="V233" s="41"/>
      <c r="W233" s="36"/>
      <c r="X233" s="36"/>
      <c r="Y233" s="36"/>
      <c r="Z233" s="36"/>
      <c r="AA233" s="36"/>
    </row>
    <row r="234" spans="16:27" x14ac:dyDescent="0.2">
      <c r="P234" s="36"/>
      <c r="Q234" s="40"/>
      <c r="R234" s="40"/>
      <c r="S234" s="40"/>
      <c r="T234" s="41"/>
      <c r="U234" s="41"/>
      <c r="V234" s="41"/>
      <c r="W234" s="36"/>
      <c r="X234" s="36"/>
      <c r="Y234" s="36"/>
      <c r="Z234" s="36"/>
      <c r="AA234" s="36"/>
    </row>
    <row r="235" spans="16:27" x14ac:dyDescent="0.2">
      <c r="P235" s="36"/>
      <c r="Q235" s="40"/>
      <c r="R235" s="40"/>
      <c r="S235" s="40"/>
      <c r="T235" s="41"/>
      <c r="U235" s="41"/>
      <c r="V235" s="41"/>
      <c r="W235" s="36"/>
      <c r="X235" s="36"/>
      <c r="Y235" s="36"/>
      <c r="Z235" s="36"/>
      <c r="AA235" s="36"/>
    </row>
    <row r="236" spans="16:27" x14ac:dyDescent="0.2">
      <c r="P236" s="36"/>
      <c r="Q236" s="40"/>
      <c r="R236" s="40"/>
      <c r="S236" s="40"/>
      <c r="T236" s="41"/>
      <c r="U236" s="41"/>
      <c r="V236" s="41"/>
      <c r="W236" s="36"/>
      <c r="X236" s="36"/>
      <c r="Y236" s="36"/>
      <c r="Z236" s="36"/>
      <c r="AA236" s="36"/>
    </row>
    <row r="237" spans="16:27" x14ac:dyDescent="0.2">
      <c r="P237" s="36"/>
      <c r="Q237" s="40"/>
      <c r="R237" s="40"/>
      <c r="S237" s="40"/>
      <c r="T237" s="41"/>
      <c r="U237" s="41"/>
      <c r="V237" s="41"/>
      <c r="W237" s="36"/>
      <c r="X237" s="36"/>
      <c r="Y237" s="36"/>
      <c r="Z237" s="36"/>
      <c r="AA237" s="36"/>
    </row>
    <row r="238" spans="16:27" x14ac:dyDescent="0.2">
      <c r="P238" s="36"/>
      <c r="Q238" s="40"/>
      <c r="R238" s="40"/>
      <c r="S238" s="40"/>
      <c r="T238" s="41"/>
      <c r="U238" s="41"/>
      <c r="V238" s="41"/>
      <c r="W238" s="36"/>
      <c r="X238" s="36"/>
      <c r="Y238" s="36"/>
      <c r="Z238" s="36"/>
      <c r="AA238" s="36"/>
    </row>
    <row r="239" spans="16:27" x14ac:dyDescent="0.2">
      <c r="P239" s="36"/>
      <c r="Q239" s="40"/>
      <c r="R239" s="40"/>
      <c r="S239" s="40"/>
      <c r="T239" s="41"/>
      <c r="U239" s="41"/>
      <c r="V239" s="41"/>
      <c r="W239" s="36"/>
      <c r="X239" s="36"/>
      <c r="Y239" s="36"/>
      <c r="Z239" s="36"/>
      <c r="AA239" s="36"/>
    </row>
    <row r="240" spans="16:27" x14ac:dyDescent="0.2">
      <c r="P240" s="36"/>
      <c r="Q240" s="40"/>
      <c r="R240" s="40"/>
      <c r="S240" s="40"/>
      <c r="T240" s="41"/>
      <c r="U240" s="41"/>
      <c r="V240" s="41"/>
      <c r="W240" s="36"/>
      <c r="X240" s="36"/>
      <c r="Y240" s="36"/>
      <c r="Z240" s="36"/>
      <c r="AA240" s="36"/>
    </row>
    <row r="241" spans="16:27" x14ac:dyDescent="0.2">
      <c r="P241" s="36"/>
      <c r="Q241" s="40"/>
      <c r="R241" s="40"/>
      <c r="S241" s="40"/>
      <c r="T241" s="41"/>
      <c r="U241" s="41"/>
      <c r="V241" s="41"/>
      <c r="W241" s="36"/>
      <c r="X241" s="36"/>
      <c r="Y241" s="36"/>
      <c r="Z241" s="36"/>
      <c r="AA241" s="36"/>
    </row>
    <row r="242" spans="16:27" x14ac:dyDescent="0.2">
      <c r="P242" s="36"/>
      <c r="Q242" s="40"/>
      <c r="R242" s="40"/>
      <c r="S242" s="40"/>
      <c r="T242" s="41"/>
      <c r="U242" s="41"/>
      <c r="V242" s="41"/>
      <c r="W242" s="36"/>
      <c r="X242" s="36"/>
      <c r="Y242" s="36"/>
      <c r="Z242" s="36"/>
      <c r="AA242" s="36"/>
    </row>
    <row r="243" spans="16:27" x14ac:dyDescent="0.2">
      <c r="P243" s="36"/>
      <c r="Q243" s="40"/>
      <c r="R243" s="40"/>
      <c r="S243" s="40"/>
      <c r="T243" s="41"/>
      <c r="U243" s="41"/>
      <c r="V243" s="41"/>
      <c r="W243" s="36"/>
      <c r="X243" s="36"/>
      <c r="Y243" s="36"/>
      <c r="Z243" s="36"/>
      <c r="AA243" s="36"/>
    </row>
    <row r="244" spans="16:27" x14ac:dyDescent="0.2">
      <c r="P244" s="36"/>
      <c r="Q244" s="40"/>
      <c r="R244" s="40"/>
      <c r="S244" s="40"/>
      <c r="T244" s="41"/>
      <c r="U244" s="41"/>
      <c r="V244" s="41"/>
      <c r="W244" s="36"/>
      <c r="X244" s="36"/>
      <c r="Y244" s="36"/>
      <c r="Z244" s="36"/>
      <c r="AA244" s="36"/>
    </row>
    <row r="245" spans="16:27" x14ac:dyDescent="0.2">
      <c r="P245" s="36"/>
      <c r="Q245" s="40"/>
      <c r="R245" s="40"/>
      <c r="S245" s="40"/>
      <c r="T245" s="41"/>
      <c r="U245" s="41"/>
      <c r="V245" s="41"/>
      <c r="W245" s="36"/>
      <c r="X245" s="36"/>
      <c r="Y245" s="36"/>
      <c r="Z245" s="36"/>
      <c r="AA245" s="36"/>
    </row>
    <row r="246" spans="16:27" x14ac:dyDescent="0.2">
      <c r="P246" s="36"/>
      <c r="Q246" s="40"/>
      <c r="R246" s="40"/>
      <c r="S246" s="40"/>
      <c r="T246" s="41"/>
      <c r="U246" s="41"/>
      <c r="V246" s="41"/>
      <c r="W246" s="36"/>
      <c r="X246" s="36"/>
      <c r="Y246" s="36"/>
      <c r="Z246" s="36"/>
      <c r="AA246" s="36"/>
    </row>
    <row r="247" spans="16:27" x14ac:dyDescent="0.2">
      <c r="P247" s="36"/>
      <c r="Q247" s="40"/>
      <c r="R247" s="40"/>
      <c r="S247" s="40"/>
      <c r="T247" s="41"/>
      <c r="U247" s="41"/>
      <c r="V247" s="41"/>
      <c r="W247" s="36"/>
      <c r="X247" s="36"/>
      <c r="Y247" s="36"/>
      <c r="Z247" s="36"/>
      <c r="AA247" s="36"/>
    </row>
    <row r="248" spans="16:27" x14ac:dyDescent="0.2">
      <c r="P248" s="36"/>
      <c r="Q248" s="40"/>
      <c r="R248" s="40"/>
      <c r="S248" s="40"/>
      <c r="T248" s="41"/>
      <c r="U248" s="41"/>
      <c r="V248" s="41"/>
      <c r="W248" s="36"/>
      <c r="X248" s="36"/>
      <c r="Y248" s="36"/>
      <c r="Z248" s="36"/>
      <c r="AA248" s="36"/>
    </row>
    <row r="249" spans="16:27" x14ac:dyDescent="0.2">
      <c r="P249" s="36"/>
      <c r="Q249" s="40"/>
      <c r="R249" s="40"/>
      <c r="S249" s="40"/>
      <c r="T249" s="41"/>
      <c r="U249" s="41"/>
      <c r="V249" s="41"/>
      <c r="W249" s="36"/>
      <c r="X249" s="36"/>
      <c r="Y249" s="36"/>
      <c r="Z249" s="36"/>
      <c r="AA249" s="36"/>
    </row>
    <row r="250" spans="16:27" x14ac:dyDescent="0.2">
      <c r="P250" s="36"/>
      <c r="Q250" s="40"/>
      <c r="R250" s="40"/>
      <c r="S250" s="40"/>
      <c r="T250" s="41"/>
      <c r="U250" s="41"/>
      <c r="V250" s="41"/>
      <c r="W250" s="36"/>
      <c r="X250" s="36"/>
      <c r="Y250" s="36"/>
      <c r="Z250" s="36"/>
      <c r="AA250" s="36"/>
    </row>
    <row r="251" spans="16:27" x14ac:dyDescent="0.2">
      <c r="P251" s="36"/>
      <c r="Q251" s="40"/>
      <c r="R251" s="40"/>
      <c r="S251" s="40"/>
      <c r="T251" s="41"/>
      <c r="U251" s="41"/>
      <c r="V251" s="41"/>
      <c r="W251" s="36"/>
      <c r="X251" s="36"/>
      <c r="Y251" s="36"/>
      <c r="Z251" s="36"/>
      <c r="AA251" s="36"/>
    </row>
    <row r="252" spans="16:27" x14ac:dyDescent="0.2">
      <c r="P252" s="36"/>
      <c r="Q252" s="40"/>
      <c r="R252" s="40"/>
      <c r="S252" s="40"/>
      <c r="T252" s="41"/>
      <c r="U252" s="41"/>
      <c r="V252" s="41"/>
      <c r="W252" s="36"/>
      <c r="X252" s="36"/>
      <c r="Y252" s="36"/>
      <c r="Z252" s="36"/>
      <c r="AA252" s="36"/>
    </row>
    <row r="253" spans="16:27" x14ac:dyDescent="0.2">
      <c r="P253" s="36"/>
      <c r="Q253" s="40"/>
      <c r="R253" s="40"/>
      <c r="S253" s="40"/>
      <c r="T253" s="41"/>
      <c r="U253" s="41"/>
      <c r="V253" s="41"/>
      <c r="W253" s="36"/>
      <c r="X253" s="36"/>
      <c r="Y253" s="36"/>
      <c r="Z253" s="36"/>
      <c r="AA253" s="36"/>
    </row>
    <row r="254" spans="16:27" x14ac:dyDescent="0.2">
      <c r="P254" s="36"/>
      <c r="Q254" s="40"/>
      <c r="R254" s="40"/>
      <c r="S254" s="40"/>
      <c r="T254" s="41"/>
      <c r="U254" s="41"/>
      <c r="V254" s="41"/>
      <c r="W254" s="36"/>
      <c r="X254" s="36"/>
      <c r="Y254" s="36"/>
      <c r="Z254" s="36"/>
      <c r="AA254" s="36"/>
    </row>
    <row r="255" spans="16:27" x14ac:dyDescent="0.2">
      <c r="P255" s="36"/>
      <c r="Q255" s="40"/>
      <c r="R255" s="40"/>
      <c r="S255" s="40"/>
      <c r="T255" s="41"/>
      <c r="U255" s="41"/>
      <c r="V255" s="41"/>
      <c r="W255" s="36"/>
      <c r="X255" s="36"/>
      <c r="Y255" s="36"/>
      <c r="Z255" s="36"/>
      <c r="AA255" s="36"/>
    </row>
    <row r="256" spans="16:27" x14ac:dyDescent="0.2">
      <c r="P256" s="36"/>
      <c r="Q256" s="40"/>
      <c r="R256" s="40"/>
      <c r="S256" s="40"/>
      <c r="T256" s="41"/>
      <c r="U256" s="41"/>
      <c r="V256" s="41"/>
      <c r="W256" s="36"/>
      <c r="X256" s="36"/>
      <c r="Y256" s="36"/>
      <c r="Z256" s="36"/>
      <c r="AA256" s="36"/>
    </row>
    <row r="257" spans="16:27" x14ac:dyDescent="0.2">
      <c r="P257" s="36"/>
      <c r="Q257" s="40"/>
      <c r="R257" s="40"/>
      <c r="S257" s="40"/>
      <c r="T257" s="41"/>
      <c r="U257" s="41"/>
      <c r="V257" s="41"/>
      <c r="W257" s="36"/>
      <c r="X257" s="36"/>
      <c r="Y257" s="36"/>
      <c r="Z257" s="36"/>
      <c r="AA257" s="36"/>
    </row>
    <row r="258" spans="16:27" x14ac:dyDescent="0.2">
      <c r="P258" s="36"/>
      <c r="Q258" s="40"/>
      <c r="R258" s="40"/>
      <c r="S258" s="40"/>
      <c r="T258" s="41"/>
      <c r="U258" s="41"/>
      <c r="V258" s="41"/>
      <c r="W258" s="36"/>
      <c r="X258" s="36"/>
      <c r="Y258" s="36"/>
      <c r="Z258" s="36"/>
      <c r="AA258" s="36"/>
    </row>
    <row r="259" spans="16:27" x14ac:dyDescent="0.2">
      <c r="P259" s="36"/>
      <c r="Q259" s="40"/>
      <c r="R259" s="40"/>
      <c r="S259" s="40"/>
      <c r="T259" s="41"/>
      <c r="U259" s="41"/>
      <c r="V259" s="41"/>
      <c r="W259" s="36"/>
      <c r="X259" s="36"/>
      <c r="Y259" s="36"/>
      <c r="Z259" s="36"/>
      <c r="AA259" s="36"/>
    </row>
    <row r="260" spans="16:27" x14ac:dyDescent="0.2">
      <c r="P260" s="36"/>
      <c r="Q260" s="40"/>
      <c r="R260" s="40"/>
      <c r="S260" s="40"/>
      <c r="T260" s="41"/>
      <c r="U260" s="41"/>
      <c r="V260" s="41"/>
      <c r="W260" s="36"/>
      <c r="X260" s="36"/>
      <c r="Y260" s="36"/>
      <c r="Z260" s="36"/>
      <c r="AA260" s="36"/>
    </row>
    <row r="261" spans="16:27" x14ac:dyDescent="0.2">
      <c r="P261" s="36"/>
      <c r="Q261" s="40"/>
      <c r="R261" s="40"/>
      <c r="S261" s="40"/>
      <c r="T261" s="41"/>
      <c r="U261" s="41"/>
      <c r="V261" s="41"/>
      <c r="W261" s="36"/>
      <c r="X261" s="36"/>
      <c r="Y261" s="36"/>
      <c r="Z261" s="36"/>
      <c r="AA261" s="36"/>
    </row>
    <row r="262" spans="16:27" x14ac:dyDescent="0.2">
      <c r="P262" s="36"/>
      <c r="Q262" s="40"/>
      <c r="R262" s="40"/>
      <c r="S262" s="40"/>
      <c r="T262" s="41"/>
      <c r="U262" s="41"/>
      <c r="V262" s="41"/>
      <c r="W262" s="36"/>
      <c r="X262" s="36"/>
      <c r="Y262" s="36"/>
      <c r="Z262" s="36"/>
      <c r="AA262" s="36"/>
    </row>
    <row r="263" spans="16:27" x14ac:dyDescent="0.2">
      <c r="P263" s="36"/>
      <c r="Q263" s="40"/>
      <c r="R263" s="40"/>
      <c r="S263" s="40"/>
      <c r="T263" s="41"/>
      <c r="U263" s="41"/>
      <c r="V263" s="41"/>
      <c r="W263" s="36"/>
      <c r="X263" s="36"/>
      <c r="Y263" s="36"/>
      <c r="Z263" s="36"/>
      <c r="AA263" s="36"/>
    </row>
    <row r="264" spans="16:27" x14ac:dyDescent="0.2">
      <c r="P264" s="36"/>
      <c r="Q264" s="40"/>
      <c r="R264" s="40"/>
      <c r="S264" s="40"/>
      <c r="T264" s="41"/>
      <c r="U264" s="41"/>
      <c r="V264" s="41"/>
      <c r="W264" s="36"/>
      <c r="X264" s="36"/>
      <c r="Y264" s="36"/>
      <c r="Z264" s="36"/>
      <c r="AA264" s="36"/>
    </row>
    <row r="265" spans="16:27" x14ac:dyDescent="0.2">
      <c r="P265" s="36"/>
      <c r="Q265" s="40"/>
      <c r="R265" s="40"/>
      <c r="S265" s="40"/>
      <c r="T265" s="41"/>
      <c r="U265" s="41"/>
      <c r="V265" s="41"/>
      <c r="W265" s="36"/>
      <c r="X265" s="36"/>
      <c r="Y265" s="36"/>
      <c r="Z265" s="36"/>
      <c r="AA265" s="36"/>
    </row>
    <row r="266" spans="16:27" x14ac:dyDescent="0.2">
      <c r="P266" s="36"/>
      <c r="Q266" s="40"/>
      <c r="R266" s="40"/>
      <c r="S266" s="40"/>
      <c r="T266" s="41"/>
      <c r="U266" s="41"/>
      <c r="V266" s="41"/>
      <c r="W266" s="36"/>
      <c r="X266" s="36"/>
      <c r="Y266" s="36"/>
      <c r="Z266" s="36"/>
      <c r="AA266" s="36"/>
    </row>
    <row r="267" spans="16:27" x14ac:dyDescent="0.2">
      <c r="P267" s="36"/>
      <c r="Q267" s="40"/>
      <c r="R267" s="40"/>
      <c r="S267" s="40"/>
      <c r="T267" s="41"/>
      <c r="U267" s="41"/>
      <c r="V267" s="41"/>
      <c r="W267" s="36"/>
      <c r="X267" s="36"/>
      <c r="Y267" s="36"/>
      <c r="Z267" s="36"/>
      <c r="AA267" s="36"/>
    </row>
    <row r="268" spans="16:27" x14ac:dyDescent="0.2">
      <c r="P268" s="36"/>
      <c r="Q268" s="40"/>
      <c r="R268" s="40"/>
      <c r="S268" s="40"/>
      <c r="T268" s="41"/>
      <c r="U268" s="41"/>
      <c r="V268" s="41"/>
      <c r="W268" s="36"/>
      <c r="X268" s="36"/>
      <c r="Y268" s="36"/>
      <c r="Z268" s="36"/>
      <c r="AA268" s="36"/>
    </row>
    <row r="269" spans="16:27" x14ac:dyDescent="0.2">
      <c r="P269" s="36"/>
      <c r="Q269" s="40"/>
      <c r="R269" s="40"/>
      <c r="S269" s="40"/>
      <c r="T269" s="41"/>
      <c r="U269" s="41"/>
      <c r="V269" s="41"/>
      <c r="W269" s="36"/>
      <c r="X269" s="36"/>
      <c r="Y269" s="36"/>
      <c r="Z269" s="36"/>
      <c r="AA269" s="36"/>
    </row>
    <row r="270" spans="16:27" x14ac:dyDescent="0.2">
      <c r="P270" s="36"/>
      <c r="Q270" s="40"/>
      <c r="R270" s="40"/>
      <c r="S270" s="40"/>
      <c r="T270" s="41"/>
      <c r="U270" s="41"/>
      <c r="V270" s="41"/>
      <c r="W270" s="36"/>
      <c r="X270" s="36"/>
      <c r="Y270" s="36"/>
      <c r="Z270" s="36"/>
      <c r="AA270" s="36"/>
    </row>
    <row r="271" spans="16:27" x14ac:dyDescent="0.2">
      <c r="P271" s="36"/>
      <c r="Q271" s="40"/>
      <c r="R271" s="40"/>
      <c r="S271" s="40"/>
      <c r="T271" s="41"/>
      <c r="U271" s="41"/>
      <c r="V271" s="41"/>
      <c r="W271" s="36"/>
      <c r="X271" s="36"/>
      <c r="Y271" s="36"/>
      <c r="Z271" s="36"/>
      <c r="AA271" s="36"/>
    </row>
    <row r="272" spans="16:27" x14ac:dyDescent="0.2">
      <c r="P272" s="36"/>
      <c r="Q272" s="40"/>
      <c r="R272" s="40"/>
      <c r="S272" s="40"/>
      <c r="T272" s="41"/>
      <c r="U272" s="41"/>
      <c r="V272" s="41"/>
      <c r="W272" s="36"/>
      <c r="X272" s="36"/>
      <c r="Y272" s="36"/>
      <c r="Z272" s="36"/>
      <c r="AA272" s="36"/>
    </row>
    <row r="273" spans="16:27" x14ac:dyDescent="0.2">
      <c r="P273" s="36"/>
      <c r="Q273" s="40"/>
      <c r="R273" s="40"/>
      <c r="S273" s="40"/>
      <c r="T273" s="41"/>
      <c r="U273" s="41"/>
      <c r="V273" s="41"/>
      <c r="W273" s="36"/>
      <c r="X273" s="36"/>
      <c r="Y273" s="36"/>
      <c r="Z273" s="36"/>
      <c r="AA273" s="36"/>
    </row>
    <row r="274" spans="16:27" x14ac:dyDescent="0.2">
      <c r="P274" s="36"/>
      <c r="Q274" s="40"/>
      <c r="R274" s="40"/>
      <c r="S274" s="40"/>
      <c r="T274" s="41"/>
      <c r="U274" s="41"/>
      <c r="V274" s="41"/>
      <c r="W274" s="36"/>
      <c r="X274" s="36"/>
      <c r="Y274" s="36"/>
      <c r="Z274" s="36"/>
      <c r="AA274" s="36"/>
    </row>
    <row r="275" spans="16:27" x14ac:dyDescent="0.2">
      <c r="P275" s="36"/>
      <c r="Q275" s="40"/>
      <c r="R275" s="40"/>
      <c r="S275" s="40"/>
      <c r="T275" s="41"/>
      <c r="U275" s="41"/>
      <c r="V275" s="41"/>
      <c r="W275" s="36"/>
      <c r="X275" s="36"/>
      <c r="Y275" s="36"/>
      <c r="Z275" s="36"/>
      <c r="AA275" s="36"/>
    </row>
    <row r="276" spans="16:27" x14ac:dyDescent="0.2">
      <c r="P276" s="36"/>
      <c r="Q276" s="40"/>
      <c r="R276" s="40"/>
      <c r="S276" s="40"/>
      <c r="T276" s="41"/>
      <c r="U276" s="41"/>
      <c r="V276" s="41"/>
      <c r="W276" s="36"/>
      <c r="X276" s="36"/>
      <c r="Y276" s="36"/>
      <c r="Z276" s="36"/>
      <c r="AA276" s="36"/>
    </row>
    <row r="277" spans="16:27" x14ac:dyDescent="0.2">
      <c r="P277" s="36"/>
      <c r="Q277" s="40"/>
      <c r="R277" s="40"/>
      <c r="S277" s="40"/>
      <c r="T277" s="41"/>
      <c r="U277" s="41"/>
      <c r="V277" s="41"/>
      <c r="W277" s="36"/>
      <c r="X277" s="36"/>
      <c r="Y277" s="36"/>
      <c r="Z277" s="36"/>
      <c r="AA277" s="36"/>
    </row>
    <row r="278" spans="16:27" x14ac:dyDescent="0.2">
      <c r="P278" s="36"/>
      <c r="Q278" s="40"/>
      <c r="R278" s="40"/>
      <c r="S278" s="40"/>
      <c r="T278" s="41"/>
      <c r="U278" s="41"/>
      <c r="V278" s="41"/>
      <c r="W278" s="36"/>
      <c r="X278" s="36"/>
      <c r="Y278" s="36"/>
      <c r="Z278" s="36"/>
      <c r="AA278" s="36"/>
    </row>
    <row r="279" spans="16:27" x14ac:dyDescent="0.2">
      <c r="P279" s="36"/>
      <c r="Q279" s="40"/>
      <c r="R279" s="40"/>
      <c r="S279" s="40"/>
      <c r="T279" s="41"/>
      <c r="U279" s="41"/>
      <c r="V279" s="41"/>
      <c r="W279" s="36"/>
      <c r="X279" s="36"/>
      <c r="Y279" s="36"/>
      <c r="Z279" s="36"/>
      <c r="AA279" s="36"/>
    </row>
    <row r="280" spans="16:27" x14ac:dyDescent="0.2">
      <c r="P280" s="36"/>
      <c r="Q280" s="40"/>
      <c r="R280" s="40"/>
      <c r="S280" s="40"/>
      <c r="T280" s="41"/>
      <c r="U280" s="41"/>
      <c r="V280" s="41"/>
      <c r="W280" s="36"/>
      <c r="X280" s="36"/>
      <c r="Y280" s="36"/>
      <c r="Z280" s="36"/>
      <c r="AA280" s="36"/>
    </row>
    <row r="281" spans="16:27" x14ac:dyDescent="0.2">
      <c r="P281" s="36"/>
      <c r="Q281" s="40"/>
      <c r="R281" s="40"/>
      <c r="S281" s="40"/>
      <c r="T281" s="41"/>
      <c r="U281" s="41"/>
      <c r="V281" s="41"/>
      <c r="W281" s="36"/>
      <c r="X281" s="36"/>
      <c r="Y281" s="36"/>
      <c r="Z281" s="36"/>
      <c r="AA281" s="36"/>
    </row>
    <row r="282" spans="16:27" x14ac:dyDescent="0.2">
      <c r="P282" s="36"/>
      <c r="Q282" s="40"/>
      <c r="R282" s="40"/>
      <c r="S282" s="40"/>
      <c r="T282" s="41"/>
      <c r="U282" s="41"/>
      <c r="V282" s="41"/>
      <c r="W282" s="36"/>
      <c r="X282" s="36"/>
      <c r="Y282" s="36"/>
      <c r="Z282" s="36"/>
      <c r="AA282" s="36"/>
    </row>
    <row r="283" spans="16:27" x14ac:dyDescent="0.2">
      <c r="P283" s="36"/>
      <c r="Q283" s="40"/>
      <c r="R283" s="40"/>
      <c r="S283" s="40"/>
      <c r="T283" s="41"/>
      <c r="U283" s="41"/>
      <c r="V283" s="41"/>
      <c r="W283" s="36"/>
      <c r="X283" s="36"/>
      <c r="Y283" s="36"/>
      <c r="Z283" s="36"/>
      <c r="AA283" s="36"/>
    </row>
    <row r="284" spans="16:27" x14ac:dyDescent="0.2">
      <c r="P284" s="36"/>
      <c r="Q284" s="40"/>
      <c r="R284" s="40"/>
      <c r="S284" s="40"/>
      <c r="T284" s="41"/>
      <c r="U284" s="41"/>
      <c r="V284" s="41"/>
      <c r="W284" s="36"/>
      <c r="X284" s="36"/>
      <c r="Y284" s="36"/>
      <c r="Z284" s="36"/>
      <c r="AA284" s="36"/>
    </row>
    <row r="285" spans="16:27" x14ac:dyDescent="0.2">
      <c r="P285" s="36"/>
      <c r="Q285" s="40"/>
      <c r="R285" s="40"/>
      <c r="S285" s="40"/>
      <c r="T285" s="41"/>
      <c r="U285" s="41"/>
      <c r="V285" s="41"/>
      <c r="W285" s="36"/>
      <c r="X285" s="36"/>
      <c r="Y285" s="36"/>
      <c r="Z285" s="36"/>
      <c r="AA285" s="36"/>
    </row>
    <row r="286" spans="16:27" x14ac:dyDescent="0.2">
      <c r="P286" s="36"/>
      <c r="Q286" s="40"/>
      <c r="R286" s="40"/>
      <c r="S286" s="40"/>
      <c r="T286" s="41"/>
      <c r="U286" s="41"/>
      <c r="V286" s="41"/>
      <c r="W286" s="36"/>
      <c r="X286" s="36"/>
      <c r="Y286" s="36"/>
      <c r="Z286" s="36"/>
      <c r="AA286" s="36"/>
    </row>
    <row r="287" spans="16:27" x14ac:dyDescent="0.2">
      <c r="P287" s="36"/>
      <c r="Q287" s="40"/>
      <c r="R287" s="40"/>
      <c r="S287" s="40"/>
      <c r="T287" s="41"/>
      <c r="U287" s="41"/>
      <c r="V287" s="41"/>
      <c r="W287" s="36"/>
      <c r="X287" s="36"/>
      <c r="Y287" s="36"/>
      <c r="Z287" s="36"/>
      <c r="AA287" s="36"/>
    </row>
    <row r="288" spans="16:27" x14ac:dyDescent="0.2">
      <c r="P288" s="36"/>
      <c r="Q288" s="40"/>
      <c r="R288" s="40"/>
      <c r="S288" s="40"/>
      <c r="T288" s="41"/>
      <c r="U288" s="41"/>
      <c r="V288" s="41"/>
      <c r="W288" s="36"/>
      <c r="X288" s="36"/>
      <c r="Y288" s="36"/>
      <c r="Z288" s="36"/>
      <c r="AA288" s="36"/>
    </row>
    <row r="289" spans="16:27" x14ac:dyDescent="0.2">
      <c r="P289" s="36"/>
      <c r="Q289" s="40"/>
      <c r="R289" s="40"/>
      <c r="S289" s="40"/>
      <c r="T289" s="41"/>
      <c r="U289" s="41"/>
      <c r="V289" s="41"/>
      <c r="W289" s="36"/>
      <c r="X289" s="36"/>
      <c r="Y289" s="36"/>
      <c r="Z289" s="36"/>
      <c r="AA289" s="36"/>
    </row>
    <row r="290" spans="16:27" x14ac:dyDescent="0.2">
      <c r="P290" s="36"/>
      <c r="Q290" s="40"/>
      <c r="R290" s="40"/>
      <c r="S290" s="40"/>
      <c r="T290" s="41"/>
      <c r="U290" s="41"/>
      <c r="V290" s="41"/>
      <c r="W290" s="36"/>
      <c r="X290" s="36"/>
      <c r="Y290" s="36"/>
      <c r="Z290" s="36"/>
      <c r="AA290" s="36"/>
    </row>
    <row r="291" spans="16:27" x14ac:dyDescent="0.2">
      <c r="P291" s="36"/>
      <c r="Q291" s="40"/>
      <c r="R291" s="40"/>
      <c r="S291" s="40"/>
      <c r="T291" s="41"/>
      <c r="U291" s="41"/>
      <c r="V291" s="41"/>
      <c r="W291" s="36"/>
      <c r="X291" s="36"/>
      <c r="Y291" s="36"/>
      <c r="Z291" s="36"/>
      <c r="AA291" s="36"/>
    </row>
    <row r="292" spans="16:27" x14ac:dyDescent="0.2">
      <c r="P292" s="36"/>
      <c r="Q292" s="40"/>
      <c r="R292" s="40"/>
      <c r="S292" s="40"/>
      <c r="T292" s="41"/>
      <c r="U292" s="41"/>
      <c r="V292" s="41"/>
      <c r="W292" s="36"/>
      <c r="X292" s="36"/>
      <c r="Y292" s="36"/>
      <c r="Z292" s="36"/>
      <c r="AA292" s="36"/>
    </row>
    <row r="293" spans="16:27" x14ac:dyDescent="0.2">
      <c r="P293" s="36"/>
      <c r="Q293" s="40"/>
      <c r="R293" s="40"/>
      <c r="S293" s="40"/>
      <c r="T293" s="41"/>
      <c r="U293" s="41"/>
      <c r="V293" s="41"/>
      <c r="W293" s="36"/>
      <c r="X293" s="36"/>
      <c r="Y293" s="36"/>
      <c r="Z293" s="36"/>
      <c r="AA293" s="36"/>
    </row>
    <row r="294" spans="16:27" x14ac:dyDescent="0.2">
      <c r="P294" s="36"/>
      <c r="Q294" s="40"/>
      <c r="R294" s="40"/>
      <c r="S294" s="40"/>
      <c r="T294" s="41"/>
      <c r="U294" s="41"/>
      <c r="V294" s="41"/>
      <c r="W294" s="36"/>
      <c r="X294" s="36"/>
      <c r="Y294" s="36"/>
      <c r="Z294" s="36"/>
      <c r="AA294" s="36"/>
    </row>
    <row r="295" spans="16:27" x14ac:dyDescent="0.2">
      <c r="P295" s="36"/>
      <c r="Q295" s="40"/>
      <c r="R295" s="40"/>
      <c r="S295" s="40"/>
      <c r="T295" s="41"/>
      <c r="U295" s="41"/>
      <c r="V295" s="41"/>
      <c r="W295" s="36"/>
      <c r="X295" s="36"/>
      <c r="Y295" s="36"/>
      <c r="Z295" s="36"/>
      <c r="AA295" s="36"/>
    </row>
    <row r="296" spans="16:27" x14ac:dyDescent="0.2">
      <c r="P296" s="36"/>
      <c r="Q296" s="40"/>
      <c r="R296" s="40"/>
      <c r="S296" s="40"/>
      <c r="T296" s="41"/>
      <c r="U296" s="41"/>
      <c r="V296" s="41"/>
      <c r="W296" s="36"/>
      <c r="X296" s="36"/>
      <c r="Y296" s="36"/>
      <c r="Z296" s="36"/>
      <c r="AA296" s="36"/>
    </row>
    <row r="297" spans="16:27" x14ac:dyDescent="0.2">
      <c r="P297" s="36"/>
      <c r="Q297" s="40"/>
      <c r="R297" s="40"/>
      <c r="S297" s="40"/>
      <c r="T297" s="41"/>
      <c r="U297" s="41"/>
      <c r="V297" s="41"/>
      <c r="W297" s="36"/>
      <c r="X297" s="36"/>
      <c r="Y297" s="36"/>
      <c r="Z297" s="36"/>
      <c r="AA297" s="36"/>
    </row>
    <row r="298" spans="16:27" x14ac:dyDescent="0.2">
      <c r="P298" s="36"/>
      <c r="Q298" s="40"/>
      <c r="R298" s="40"/>
      <c r="S298" s="40"/>
      <c r="T298" s="41"/>
      <c r="U298" s="41"/>
      <c r="V298" s="41"/>
      <c r="W298" s="36"/>
      <c r="X298" s="36"/>
      <c r="Y298" s="36"/>
      <c r="Z298" s="36"/>
      <c r="AA298" s="36"/>
    </row>
    <row r="299" spans="16:27" x14ac:dyDescent="0.2">
      <c r="P299" s="36"/>
      <c r="Q299" s="40"/>
      <c r="R299" s="40"/>
      <c r="S299" s="40"/>
      <c r="T299" s="41"/>
      <c r="U299" s="41"/>
      <c r="V299" s="41"/>
      <c r="W299" s="36"/>
      <c r="X299" s="36"/>
      <c r="Y299" s="36"/>
      <c r="Z299" s="36"/>
      <c r="AA299" s="36"/>
    </row>
    <row r="300" spans="16:27" x14ac:dyDescent="0.2">
      <c r="P300" s="36"/>
      <c r="Q300" s="40"/>
      <c r="R300" s="40"/>
      <c r="S300" s="40"/>
      <c r="T300" s="41"/>
      <c r="U300" s="41"/>
      <c r="V300" s="41"/>
      <c r="W300" s="36"/>
      <c r="X300" s="36"/>
      <c r="Y300" s="36"/>
      <c r="Z300" s="36"/>
      <c r="AA300" s="36"/>
    </row>
    <row r="301" spans="16:27" x14ac:dyDescent="0.2">
      <c r="P301" s="36"/>
      <c r="Q301" s="40"/>
      <c r="R301" s="40"/>
      <c r="S301" s="40"/>
      <c r="T301" s="41"/>
      <c r="U301" s="41"/>
      <c r="V301" s="41"/>
      <c r="W301" s="36"/>
      <c r="X301" s="36"/>
      <c r="Y301" s="36"/>
      <c r="Z301" s="36"/>
      <c r="AA301" s="36"/>
    </row>
    <row r="302" spans="16:27" x14ac:dyDescent="0.2">
      <c r="P302" s="36"/>
      <c r="Q302" s="40"/>
      <c r="R302" s="40"/>
      <c r="S302" s="40"/>
      <c r="T302" s="41"/>
      <c r="U302" s="41"/>
      <c r="V302" s="41"/>
      <c r="W302" s="36"/>
      <c r="X302" s="36"/>
      <c r="Y302" s="36"/>
      <c r="Z302" s="36"/>
      <c r="AA302" s="36"/>
    </row>
    <row r="303" spans="16:27" x14ac:dyDescent="0.2">
      <c r="P303" s="36"/>
      <c r="Q303" s="40"/>
      <c r="R303" s="40"/>
      <c r="S303" s="40"/>
      <c r="T303" s="41"/>
      <c r="U303" s="41"/>
      <c r="V303" s="41"/>
      <c r="W303" s="36"/>
      <c r="X303" s="36"/>
      <c r="Y303" s="36"/>
      <c r="Z303" s="36"/>
      <c r="AA303" s="36"/>
    </row>
    <row r="304" spans="16:27" x14ac:dyDescent="0.2">
      <c r="P304" s="36"/>
      <c r="Q304" s="40"/>
      <c r="R304" s="40"/>
      <c r="S304" s="40"/>
      <c r="T304" s="41"/>
      <c r="U304" s="41"/>
      <c r="V304" s="41"/>
      <c r="W304" s="36"/>
      <c r="X304" s="36"/>
      <c r="Y304" s="36"/>
      <c r="Z304" s="36"/>
      <c r="AA304" s="36"/>
    </row>
    <row r="305" spans="16:27" x14ac:dyDescent="0.2">
      <c r="P305" s="36"/>
      <c r="Q305" s="40"/>
      <c r="R305" s="40"/>
      <c r="S305" s="40"/>
      <c r="T305" s="41"/>
      <c r="U305" s="41"/>
      <c r="V305" s="41"/>
      <c r="W305" s="36"/>
      <c r="X305" s="36"/>
      <c r="Y305" s="36"/>
      <c r="Z305" s="36"/>
      <c r="AA305" s="36"/>
    </row>
    <row r="306" spans="16:27" x14ac:dyDescent="0.2">
      <c r="P306" s="36"/>
      <c r="Q306" s="40"/>
      <c r="R306" s="40"/>
      <c r="S306" s="40"/>
      <c r="T306" s="41"/>
      <c r="U306" s="41"/>
      <c r="V306" s="41"/>
      <c r="W306" s="36"/>
      <c r="X306" s="36"/>
      <c r="Y306" s="36"/>
      <c r="Z306" s="36"/>
      <c r="AA306" s="36"/>
    </row>
    <row r="307" spans="16:27" x14ac:dyDescent="0.2">
      <c r="P307" s="36"/>
      <c r="Q307" s="40"/>
      <c r="R307" s="40"/>
      <c r="S307" s="40"/>
      <c r="T307" s="41"/>
      <c r="U307" s="41"/>
      <c r="V307" s="41"/>
      <c r="W307" s="36"/>
      <c r="X307" s="36"/>
      <c r="Y307" s="36"/>
      <c r="Z307" s="36"/>
      <c r="AA307" s="36"/>
    </row>
    <row r="308" spans="16:27" x14ac:dyDescent="0.2">
      <c r="P308" s="36"/>
      <c r="Q308" s="40"/>
      <c r="R308" s="40"/>
      <c r="S308" s="40"/>
      <c r="T308" s="41"/>
      <c r="U308" s="41"/>
      <c r="V308" s="41"/>
      <c r="W308" s="36"/>
      <c r="X308" s="36"/>
      <c r="Y308" s="36"/>
      <c r="Z308" s="36"/>
      <c r="AA308" s="36"/>
    </row>
    <row r="309" spans="16:27" x14ac:dyDescent="0.2">
      <c r="P309" s="36"/>
      <c r="Q309" s="40"/>
      <c r="R309" s="40"/>
      <c r="S309" s="40"/>
      <c r="T309" s="41"/>
      <c r="U309" s="41"/>
      <c r="V309" s="41"/>
      <c r="W309" s="36"/>
      <c r="X309" s="36"/>
      <c r="Y309" s="36"/>
      <c r="Z309" s="36"/>
      <c r="AA309" s="36"/>
    </row>
    <row r="310" spans="16:27" x14ac:dyDescent="0.2">
      <c r="P310" s="36"/>
      <c r="Q310" s="40"/>
      <c r="R310" s="40"/>
      <c r="S310" s="40"/>
      <c r="T310" s="41"/>
      <c r="U310" s="41"/>
      <c r="V310" s="41"/>
      <c r="W310" s="36"/>
      <c r="X310" s="36"/>
      <c r="Y310" s="36"/>
      <c r="Z310" s="36"/>
      <c r="AA310" s="36"/>
    </row>
    <row r="311" spans="16:27" x14ac:dyDescent="0.2">
      <c r="P311" s="36"/>
      <c r="Q311" s="40"/>
      <c r="R311" s="40"/>
      <c r="S311" s="40"/>
      <c r="T311" s="41"/>
      <c r="U311" s="41"/>
      <c r="V311" s="41"/>
      <c r="W311" s="36"/>
      <c r="X311" s="36"/>
      <c r="Y311" s="36"/>
      <c r="Z311" s="36"/>
      <c r="AA311" s="36"/>
    </row>
    <row r="312" spans="16:27" x14ac:dyDescent="0.2">
      <c r="P312" s="36"/>
      <c r="Q312" s="40"/>
      <c r="R312" s="40"/>
      <c r="S312" s="40"/>
      <c r="T312" s="41"/>
      <c r="U312" s="41"/>
      <c r="V312" s="41"/>
      <c r="W312" s="36"/>
      <c r="X312" s="36"/>
      <c r="Y312" s="36"/>
      <c r="Z312" s="36"/>
      <c r="AA312" s="36"/>
    </row>
    <row r="313" spans="16:27" x14ac:dyDescent="0.2">
      <c r="P313" s="36"/>
      <c r="Q313" s="40"/>
      <c r="R313" s="40"/>
      <c r="S313" s="40"/>
      <c r="T313" s="41"/>
      <c r="U313" s="41"/>
      <c r="V313" s="41"/>
      <c r="W313" s="36"/>
      <c r="X313" s="36"/>
      <c r="Y313" s="36"/>
      <c r="Z313" s="36"/>
      <c r="AA313" s="36"/>
    </row>
    <row r="314" spans="16:27" x14ac:dyDescent="0.2">
      <c r="P314" s="36"/>
      <c r="Q314" s="40"/>
      <c r="R314" s="40"/>
      <c r="S314" s="40"/>
      <c r="T314" s="41"/>
      <c r="U314" s="41"/>
      <c r="V314" s="41"/>
      <c r="W314" s="36"/>
      <c r="X314" s="36"/>
      <c r="Y314" s="36"/>
      <c r="Z314" s="36"/>
      <c r="AA314" s="36"/>
    </row>
    <row r="315" spans="16:27" x14ac:dyDescent="0.2">
      <c r="P315" s="36"/>
      <c r="Q315" s="40"/>
      <c r="R315" s="40"/>
      <c r="S315" s="40"/>
      <c r="T315" s="41"/>
      <c r="U315" s="41"/>
      <c r="V315" s="41"/>
      <c r="W315" s="36"/>
      <c r="X315" s="36"/>
      <c r="Y315" s="36"/>
      <c r="Z315" s="36"/>
      <c r="AA315" s="36"/>
    </row>
    <row r="316" spans="16:27" x14ac:dyDescent="0.2">
      <c r="P316" s="36"/>
      <c r="Q316" s="40"/>
      <c r="R316" s="40"/>
      <c r="S316" s="40"/>
      <c r="T316" s="41"/>
      <c r="U316" s="41"/>
      <c r="V316" s="41"/>
      <c r="W316" s="36"/>
      <c r="X316" s="36"/>
      <c r="Y316" s="36"/>
      <c r="Z316" s="36"/>
      <c r="AA316" s="36"/>
    </row>
    <row r="317" spans="16:27" x14ac:dyDescent="0.2">
      <c r="P317" s="36"/>
      <c r="Q317" s="40"/>
      <c r="R317" s="40"/>
      <c r="S317" s="40"/>
      <c r="T317" s="41"/>
      <c r="U317" s="41"/>
      <c r="V317" s="41"/>
      <c r="W317" s="36"/>
      <c r="X317" s="36"/>
      <c r="Y317" s="36"/>
      <c r="Z317" s="36"/>
      <c r="AA317" s="36"/>
    </row>
    <row r="318" spans="16:27" x14ac:dyDescent="0.2">
      <c r="P318" s="36"/>
      <c r="Q318" s="40"/>
      <c r="R318" s="40"/>
      <c r="S318" s="40"/>
      <c r="T318" s="41"/>
      <c r="U318" s="41"/>
      <c r="V318" s="41"/>
      <c r="W318" s="36"/>
      <c r="X318" s="36"/>
      <c r="Y318" s="36"/>
      <c r="Z318" s="36"/>
      <c r="AA318" s="36"/>
    </row>
    <row r="319" spans="16:27" x14ac:dyDescent="0.2">
      <c r="P319" s="36"/>
      <c r="Q319" s="40"/>
      <c r="R319" s="40"/>
      <c r="S319" s="40"/>
      <c r="T319" s="41"/>
      <c r="U319" s="41"/>
      <c r="V319" s="41"/>
      <c r="W319" s="36"/>
      <c r="X319" s="36"/>
      <c r="Y319" s="36"/>
      <c r="Z319" s="36"/>
      <c r="AA319" s="36"/>
    </row>
    <row r="320" spans="16:27" x14ac:dyDescent="0.2">
      <c r="P320" s="36"/>
      <c r="Q320" s="40"/>
      <c r="R320" s="40"/>
      <c r="S320" s="40"/>
      <c r="T320" s="41"/>
      <c r="U320" s="41"/>
      <c r="V320" s="41"/>
      <c r="W320" s="36"/>
      <c r="X320" s="36"/>
      <c r="Y320" s="36"/>
      <c r="Z320" s="36"/>
      <c r="AA320" s="36"/>
    </row>
    <row r="321" spans="16:27" x14ac:dyDescent="0.2">
      <c r="P321" s="36"/>
      <c r="Q321" s="40"/>
      <c r="R321" s="40"/>
      <c r="S321" s="40"/>
      <c r="T321" s="41"/>
      <c r="U321" s="41"/>
      <c r="V321" s="41"/>
      <c r="W321" s="36"/>
      <c r="X321" s="36"/>
      <c r="Y321" s="36"/>
      <c r="Z321" s="36"/>
      <c r="AA321" s="36"/>
    </row>
    <row r="322" spans="16:27" x14ac:dyDescent="0.2">
      <c r="P322" s="36"/>
      <c r="Q322" s="40"/>
      <c r="R322" s="40"/>
      <c r="S322" s="40"/>
      <c r="T322" s="41"/>
      <c r="U322" s="41"/>
      <c r="V322" s="41"/>
      <c r="W322" s="36"/>
      <c r="X322" s="36"/>
      <c r="Y322" s="36"/>
      <c r="Z322" s="36"/>
      <c r="AA322" s="36"/>
    </row>
    <row r="323" spans="16:27" x14ac:dyDescent="0.2">
      <c r="P323" s="36"/>
      <c r="Q323" s="40"/>
      <c r="R323" s="40"/>
      <c r="S323" s="40"/>
      <c r="T323" s="41"/>
      <c r="U323" s="41"/>
      <c r="V323" s="41"/>
      <c r="W323" s="36"/>
      <c r="X323" s="36"/>
      <c r="Y323" s="36"/>
      <c r="Z323" s="36"/>
      <c r="AA323" s="36"/>
    </row>
    <row r="324" spans="16:27" x14ac:dyDescent="0.2">
      <c r="P324" s="36"/>
      <c r="Q324" s="40"/>
      <c r="R324" s="40"/>
      <c r="S324" s="40"/>
      <c r="T324" s="41"/>
      <c r="U324" s="41"/>
      <c r="V324" s="41"/>
      <c r="W324" s="36"/>
      <c r="X324" s="36"/>
      <c r="Y324" s="36"/>
      <c r="Z324" s="36"/>
      <c r="AA324" s="36"/>
    </row>
    <row r="325" spans="16:27" x14ac:dyDescent="0.2">
      <c r="P325" s="36"/>
      <c r="Q325" s="40"/>
      <c r="R325" s="40"/>
      <c r="S325" s="40"/>
      <c r="T325" s="41"/>
      <c r="U325" s="41"/>
      <c r="V325" s="41"/>
      <c r="W325" s="36"/>
      <c r="X325" s="36"/>
      <c r="Y325" s="36"/>
      <c r="Z325" s="36"/>
      <c r="AA325" s="36"/>
    </row>
    <row r="326" spans="16:27" x14ac:dyDescent="0.2">
      <c r="P326" s="36"/>
      <c r="Q326" s="40"/>
      <c r="R326" s="40"/>
      <c r="S326" s="40"/>
      <c r="T326" s="41"/>
      <c r="U326" s="41"/>
      <c r="V326" s="41"/>
      <c r="W326" s="36"/>
      <c r="X326" s="36"/>
      <c r="Y326" s="36"/>
      <c r="Z326" s="36"/>
      <c r="AA326" s="36"/>
    </row>
    <row r="327" spans="16:27" x14ac:dyDescent="0.2">
      <c r="P327" s="36"/>
      <c r="Q327" s="40"/>
      <c r="R327" s="40"/>
      <c r="S327" s="40"/>
      <c r="T327" s="41"/>
      <c r="U327" s="41"/>
      <c r="V327" s="41"/>
      <c r="W327" s="36"/>
      <c r="X327" s="36"/>
      <c r="Y327" s="36"/>
      <c r="Z327" s="36"/>
      <c r="AA327" s="36"/>
    </row>
    <row r="328" spans="16:27" x14ac:dyDescent="0.2">
      <c r="P328" s="36"/>
      <c r="Q328" s="40"/>
      <c r="R328" s="40"/>
      <c r="S328" s="40"/>
      <c r="T328" s="41"/>
      <c r="U328" s="41"/>
      <c r="V328" s="41"/>
      <c r="W328" s="36"/>
      <c r="X328" s="36"/>
      <c r="Y328" s="36"/>
      <c r="Z328" s="36"/>
      <c r="AA328" s="36"/>
    </row>
    <row r="329" spans="16:27" x14ac:dyDescent="0.2">
      <c r="P329" s="36"/>
      <c r="Q329" s="40"/>
      <c r="R329" s="40"/>
      <c r="S329" s="40"/>
      <c r="T329" s="41"/>
      <c r="U329" s="41"/>
      <c r="V329" s="41"/>
      <c r="W329" s="36"/>
      <c r="X329" s="36"/>
      <c r="Y329" s="36"/>
      <c r="Z329" s="36"/>
      <c r="AA329" s="36"/>
    </row>
    <row r="330" spans="16:27" x14ac:dyDescent="0.2">
      <c r="P330" s="36"/>
      <c r="Q330" s="40"/>
      <c r="R330" s="40"/>
      <c r="S330" s="40"/>
      <c r="T330" s="41"/>
      <c r="U330" s="41"/>
      <c r="V330" s="41"/>
      <c r="W330" s="36"/>
      <c r="X330" s="36"/>
      <c r="Y330" s="36"/>
      <c r="Z330" s="36"/>
      <c r="AA330" s="36"/>
    </row>
    <row r="331" spans="16:27" x14ac:dyDescent="0.2">
      <c r="P331" s="36"/>
      <c r="Q331" s="40"/>
      <c r="R331" s="40"/>
      <c r="S331" s="40"/>
      <c r="T331" s="41"/>
      <c r="U331" s="41"/>
      <c r="V331" s="41"/>
      <c r="W331" s="36"/>
      <c r="X331" s="36"/>
      <c r="Y331" s="36"/>
      <c r="Z331" s="36"/>
      <c r="AA331" s="36"/>
    </row>
    <row r="332" spans="16:27" x14ac:dyDescent="0.2">
      <c r="P332" s="36"/>
      <c r="Q332" s="40"/>
      <c r="R332" s="40"/>
      <c r="S332" s="40"/>
      <c r="T332" s="41"/>
      <c r="U332" s="41"/>
      <c r="V332" s="41"/>
      <c r="W332" s="36"/>
      <c r="X332" s="36"/>
      <c r="Y332" s="36"/>
      <c r="Z332" s="36"/>
      <c r="AA332" s="36"/>
    </row>
    <row r="333" spans="16:27" x14ac:dyDescent="0.2">
      <c r="P333" s="36"/>
      <c r="Q333" s="40"/>
      <c r="R333" s="40"/>
      <c r="S333" s="40"/>
      <c r="T333" s="41"/>
      <c r="U333" s="41"/>
      <c r="V333" s="41"/>
      <c r="W333" s="36"/>
      <c r="X333" s="36"/>
      <c r="Y333" s="36"/>
      <c r="Z333" s="36"/>
      <c r="AA333" s="36"/>
    </row>
    <row r="334" spans="16:27" x14ac:dyDescent="0.2">
      <c r="P334" s="36"/>
      <c r="Q334" s="40"/>
      <c r="R334" s="40"/>
      <c r="S334" s="40"/>
      <c r="T334" s="41"/>
      <c r="U334" s="41"/>
      <c r="V334" s="41"/>
      <c r="W334" s="36"/>
      <c r="X334" s="36"/>
      <c r="Y334" s="36"/>
      <c r="Z334" s="36"/>
      <c r="AA334" s="36"/>
    </row>
    <row r="335" spans="16:27" x14ac:dyDescent="0.2">
      <c r="P335" s="36"/>
      <c r="Q335" s="40"/>
      <c r="R335" s="40"/>
      <c r="S335" s="40"/>
      <c r="T335" s="41"/>
      <c r="U335" s="41"/>
      <c r="V335" s="41"/>
      <c r="W335" s="36"/>
      <c r="X335" s="36"/>
      <c r="Y335" s="36"/>
      <c r="Z335" s="36"/>
      <c r="AA335" s="36"/>
    </row>
    <row r="336" spans="16:27" x14ac:dyDescent="0.2">
      <c r="P336" s="36"/>
      <c r="Q336" s="40"/>
      <c r="R336" s="40"/>
      <c r="S336" s="40"/>
      <c r="T336" s="41"/>
      <c r="U336" s="41"/>
      <c r="V336" s="41"/>
      <c r="W336" s="36"/>
      <c r="X336" s="36"/>
      <c r="Y336" s="36"/>
      <c r="Z336" s="36"/>
      <c r="AA336" s="36"/>
    </row>
    <row r="337" spans="16:27" x14ac:dyDescent="0.2">
      <c r="P337" s="36"/>
      <c r="Q337" s="40"/>
      <c r="R337" s="40"/>
      <c r="S337" s="40"/>
      <c r="T337" s="41"/>
      <c r="U337" s="41"/>
      <c r="V337" s="41"/>
      <c r="W337" s="36"/>
      <c r="X337" s="36"/>
      <c r="Y337" s="36"/>
      <c r="Z337" s="36"/>
      <c r="AA337" s="36"/>
    </row>
    <row r="338" spans="16:27" x14ac:dyDescent="0.2">
      <c r="P338" s="36"/>
      <c r="Q338" s="40"/>
      <c r="R338" s="40"/>
      <c r="S338" s="40"/>
      <c r="T338" s="41"/>
      <c r="U338" s="41"/>
      <c r="V338" s="41"/>
      <c r="W338" s="36"/>
      <c r="X338" s="36"/>
      <c r="Y338" s="36"/>
      <c r="Z338" s="36"/>
      <c r="AA338" s="36"/>
    </row>
    <row r="339" spans="16:27" x14ac:dyDescent="0.2">
      <c r="P339" s="36"/>
      <c r="Q339" s="40"/>
      <c r="R339" s="40"/>
      <c r="S339" s="40"/>
      <c r="T339" s="41"/>
      <c r="U339" s="41"/>
      <c r="V339" s="41"/>
      <c r="W339" s="36"/>
      <c r="X339" s="36"/>
      <c r="Y339" s="36"/>
      <c r="Z339" s="36"/>
      <c r="AA339" s="36"/>
    </row>
    <row r="340" spans="16:27" x14ac:dyDescent="0.2">
      <c r="P340" s="36"/>
      <c r="Q340" s="40"/>
      <c r="R340" s="40"/>
      <c r="S340" s="40"/>
      <c r="T340" s="41"/>
      <c r="U340" s="41"/>
      <c r="V340" s="41"/>
      <c r="W340" s="36"/>
      <c r="X340" s="36"/>
      <c r="Y340" s="36"/>
      <c r="Z340" s="36"/>
      <c r="AA340" s="36"/>
    </row>
    <row r="341" spans="16:27" x14ac:dyDescent="0.2">
      <c r="P341" s="36"/>
      <c r="Q341" s="40"/>
      <c r="R341" s="40"/>
      <c r="S341" s="40"/>
      <c r="T341" s="41"/>
      <c r="U341" s="41"/>
      <c r="V341" s="41"/>
      <c r="W341" s="36"/>
      <c r="X341" s="36"/>
      <c r="Y341" s="36"/>
      <c r="Z341" s="36"/>
      <c r="AA341" s="36"/>
    </row>
    <row r="342" spans="16:27" x14ac:dyDescent="0.2">
      <c r="P342" s="36"/>
      <c r="Q342" s="40"/>
      <c r="R342" s="40"/>
      <c r="S342" s="40"/>
      <c r="T342" s="41"/>
      <c r="U342" s="41"/>
      <c r="V342" s="41"/>
      <c r="W342" s="36"/>
      <c r="X342" s="36"/>
      <c r="Y342" s="36"/>
      <c r="Z342" s="36"/>
      <c r="AA342" s="36"/>
    </row>
    <row r="343" spans="16:27" x14ac:dyDescent="0.2">
      <c r="P343" s="36"/>
      <c r="Q343" s="40"/>
      <c r="R343" s="40"/>
      <c r="S343" s="40"/>
      <c r="T343" s="41"/>
      <c r="U343" s="41"/>
      <c r="V343" s="41"/>
      <c r="W343" s="36"/>
      <c r="X343" s="36"/>
      <c r="Y343" s="36"/>
      <c r="Z343" s="36"/>
      <c r="AA343" s="36"/>
    </row>
    <row r="344" spans="16:27" x14ac:dyDescent="0.2">
      <c r="P344" s="36"/>
      <c r="Q344" s="40"/>
      <c r="R344" s="40"/>
      <c r="S344" s="40"/>
      <c r="T344" s="41"/>
      <c r="U344" s="41"/>
      <c r="V344" s="41"/>
      <c r="W344" s="36"/>
      <c r="X344" s="36"/>
      <c r="Y344" s="36"/>
      <c r="Z344" s="36"/>
      <c r="AA344" s="36"/>
    </row>
    <row r="345" spans="16:27" x14ac:dyDescent="0.2">
      <c r="P345" s="36"/>
      <c r="Q345" s="40"/>
      <c r="R345" s="40"/>
      <c r="S345" s="40"/>
      <c r="T345" s="41"/>
      <c r="U345" s="41"/>
      <c r="V345" s="41"/>
      <c r="W345" s="36"/>
      <c r="X345" s="36"/>
      <c r="Y345" s="36"/>
      <c r="Z345" s="36"/>
      <c r="AA345" s="36"/>
    </row>
    <row r="346" spans="16:27" x14ac:dyDescent="0.2">
      <c r="P346" s="36"/>
      <c r="Q346" s="40"/>
      <c r="R346" s="40"/>
      <c r="S346" s="40"/>
      <c r="T346" s="41"/>
      <c r="U346" s="41"/>
      <c r="V346" s="41"/>
      <c r="W346" s="36"/>
      <c r="X346" s="36"/>
      <c r="Y346" s="36"/>
      <c r="Z346" s="36"/>
      <c r="AA346" s="36"/>
    </row>
    <row r="347" spans="16:27" x14ac:dyDescent="0.2">
      <c r="P347" s="36"/>
      <c r="Q347" s="40"/>
      <c r="R347" s="40"/>
      <c r="S347" s="40"/>
      <c r="T347" s="41"/>
      <c r="U347" s="41"/>
      <c r="V347" s="41"/>
      <c r="W347" s="36"/>
      <c r="X347" s="36"/>
      <c r="Y347" s="36"/>
      <c r="Z347" s="36"/>
      <c r="AA347" s="36"/>
    </row>
    <row r="348" spans="16:27" x14ac:dyDescent="0.2">
      <c r="P348" s="36"/>
      <c r="Q348" s="40"/>
      <c r="R348" s="40"/>
      <c r="S348" s="40"/>
      <c r="T348" s="41"/>
      <c r="U348" s="41"/>
      <c r="V348" s="41"/>
      <c r="W348" s="36"/>
      <c r="X348" s="36"/>
      <c r="Y348" s="36"/>
      <c r="Z348" s="36"/>
      <c r="AA348" s="36"/>
    </row>
    <row r="349" spans="16:27" x14ac:dyDescent="0.2">
      <c r="P349" s="36"/>
      <c r="Q349" s="40"/>
      <c r="R349" s="40"/>
      <c r="S349" s="40"/>
      <c r="T349" s="41"/>
      <c r="U349" s="41"/>
      <c r="V349" s="41"/>
      <c r="W349" s="36"/>
      <c r="X349" s="36"/>
      <c r="Y349" s="36"/>
      <c r="Z349" s="36"/>
      <c r="AA349" s="36"/>
    </row>
    <row r="350" spans="16:27" x14ac:dyDescent="0.2">
      <c r="P350" s="36"/>
      <c r="Q350" s="40"/>
      <c r="R350" s="40"/>
      <c r="S350" s="40"/>
      <c r="T350" s="41"/>
      <c r="U350" s="41"/>
      <c r="V350" s="41"/>
      <c r="W350" s="36"/>
      <c r="X350" s="36"/>
      <c r="Y350" s="36"/>
      <c r="Z350" s="36"/>
      <c r="AA350" s="36"/>
    </row>
    <row r="351" spans="16:27" x14ac:dyDescent="0.2">
      <c r="P351" s="36"/>
      <c r="Q351" s="40"/>
      <c r="R351" s="40"/>
      <c r="S351" s="40"/>
      <c r="T351" s="41"/>
      <c r="U351" s="41"/>
      <c r="V351" s="41"/>
      <c r="W351" s="36"/>
      <c r="X351" s="36"/>
      <c r="Y351" s="36"/>
      <c r="Z351" s="36"/>
      <c r="AA351" s="36"/>
    </row>
    <row r="352" spans="16:27" x14ac:dyDescent="0.2">
      <c r="P352" s="36"/>
      <c r="Q352" s="40"/>
      <c r="R352" s="40"/>
      <c r="S352" s="40"/>
      <c r="T352" s="41"/>
      <c r="U352" s="41"/>
      <c r="V352" s="41"/>
      <c r="W352" s="36"/>
      <c r="X352" s="36"/>
      <c r="Y352" s="36"/>
      <c r="Z352" s="36"/>
      <c r="AA352" s="36"/>
    </row>
    <row r="353" spans="16:27" x14ac:dyDescent="0.2">
      <c r="P353" s="36"/>
      <c r="Q353" s="40"/>
      <c r="R353" s="40"/>
      <c r="S353" s="40"/>
      <c r="T353" s="41"/>
      <c r="U353" s="41"/>
      <c r="V353" s="41"/>
      <c r="W353" s="36"/>
      <c r="X353" s="36"/>
      <c r="Y353" s="36"/>
      <c r="Z353" s="36"/>
      <c r="AA353" s="36"/>
    </row>
    <row r="354" spans="16:27" x14ac:dyDescent="0.2">
      <c r="P354" s="36"/>
      <c r="Q354" s="40"/>
      <c r="R354" s="40"/>
      <c r="S354" s="40"/>
      <c r="T354" s="41"/>
      <c r="U354" s="41"/>
      <c r="V354" s="41"/>
      <c r="W354" s="36"/>
      <c r="X354" s="36"/>
      <c r="Y354" s="36"/>
      <c r="Z354" s="36"/>
      <c r="AA354" s="36"/>
    </row>
    <row r="355" spans="16:27" x14ac:dyDescent="0.2">
      <c r="P355" s="36"/>
      <c r="Q355" s="40"/>
      <c r="R355" s="40"/>
      <c r="S355" s="40"/>
      <c r="T355" s="41"/>
      <c r="U355" s="41"/>
      <c r="V355" s="41"/>
      <c r="W355" s="36"/>
      <c r="X355" s="36"/>
      <c r="Y355" s="36"/>
      <c r="Z355" s="36"/>
      <c r="AA355" s="36"/>
    </row>
    <row r="356" spans="16:27" x14ac:dyDescent="0.2">
      <c r="P356" s="36"/>
      <c r="Q356" s="40"/>
      <c r="R356" s="40"/>
      <c r="S356" s="40"/>
      <c r="T356" s="41"/>
      <c r="U356" s="41"/>
      <c r="V356" s="41"/>
      <c r="W356" s="36"/>
      <c r="X356" s="36"/>
      <c r="Y356" s="36"/>
      <c r="Z356" s="36"/>
      <c r="AA356" s="36"/>
    </row>
    <row r="357" spans="16:27" x14ac:dyDescent="0.2">
      <c r="P357" s="36"/>
      <c r="Q357" s="40"/>
      <c r="R357" s="40"/>
      <c r="S357" s="40"/>
      <c r="T357" s="41"/>
      <c r="U357" s="41"/>
      <c r="V357" s="41"/>
      <c r="W357" s="36"/>
      <c r="X357" s="36"/>
      <c r="Y357" s="36"/>
      <c r="Z357" s="36"/>
      <c r="AA357" s="36"/>
    </row>
    <row r="358" spans="16:27" x14ac:dyDescent="0.2">
      <c r="P358" s="36"/>
      <c r="Q358" s="40"/>
      <c r="R358" s="40"/>
      <c r="S358" s="40"/>
      <c r="T358" s="41"/>
      <c r="U358" s="41"/>
      <c r="V358" s="41"/>
      <c r="W358" s="36"/>
      <c r="X358" s="36"/>
      <c r="Y358" s="36"/>
      <c r="Z358" s="36"/>
      <c r="AA358" s="36"/>
    </row>
    <row r="359" spans="16:27" x14ac:dyDescent="0.2">
      <c r="P359" s="36"/>
      <c r="Q359" s="40"/>
      <c r="R359" s="40"/>
      <c r="S359" s="40"/>
      <c r="T359" s="41"/>
      <c r="U359" s="41"/>
      <c r="V359" s="41"/>
      <c r="W359" s="36"/>
      <c r="X359" s="36"/>
      <c r="Y359" s="36"/>
      <c r="Z359" s="36"/>
      <c r="AA359" s="36"/>
    </row>
    <row r="360" spans="16:27" x14ac:dyDescent="0.2">
      <c r="P360" s="36"/>
      <c r="Q360" s="40"/>
      <c r="R360" s="40"/>
      <c r="S360" s="40"/>
      <c r="T360" s="41"/>
      <c r="U360" s="41"/>
      <c r="V360" s="41"/>
      <c r="W360" s="36"/>
      <c r="X360" s="36"/>
      <c r="Y360" s="36"/>
      <c r="Z360" s="36"/>
      <c r="AA360" s="36"/>
    </row>
    <row r="361" spans="16:27" x14ac:dyDescent="0.2">
      <c r="P361" s="36"/>
      <c r="Q361" s="40"/>
      <c r="R361" s="40"/>
      <c r="S361" s="40"/>
      <c r="T361" s="41"/>
      <c r="U361" s="41"/>
      <c r="V361" s="41"/>
      <c r="W361" s="36"/>
      <c r="X361" s="36"/>
      <c r="Y361" s="36"/>
      <c r="Z361" s="36"/>
      <c r="AA361" s="36"/>
    </row>
    <row r="362" spans="16:27" x14ac:dyDescent="0.2">
      <c r="P362" s="36"/>
      <c r="Q362" s="40"/>
      <c r="R362" s="40"/>
      <c r="S362" s="40"/>
      <c r="T362" s="41"/>
      <c r="U362" s="41"/>
      <c r="V362" s="41"/>
      <c r="W362" s="36"/>
      <c r="X362" s="36"/>
      <c r="Y362" s="36"/>
      <c r="Z362" s="36"/>
      <c r="AA362" s="36"/>
    </row>
    <row r="363" spans="16:27" x14ac:dyDescent="0.2">
      <c r="P363" s="36"/>
      <c r="Q363" s="40"/>
      <c r="R363" s="40"/>
      <c r="S363" s="40"/>
      <c r="T363" s="41"/>
      <c r="U363" s="41"/>
      <c r="V363" s="41"/>
      <c r="W363" s="36"/>
      <c r="X363" s="36"/>
      <c r="Y363" s="36"/>
      <c r="Z363" s="36"/>
      <c r="AA363" s="36"/>
    </row>
    <row r="364" spans="16:27" x14ac:dyDescent="0.2">
      <c r="P364" s="36"/>
      <c r="Q364" s="40"/>
      <c r="R364" s="40"/>
      <c r="S364" s="40"/>
      <c r="T364" s="41"/>
      <c r="U364" s="41"/>
      <c r="V364" s="41"/>
      <c r="W364" s="36"/>
      <c r="X364" s="36"/>
      <c r="Y364" s="36"/>
      <c r="Z364" s="36"/>
      <c r="AA364" s="36"/>
    </row>
    <row r="365" spans="16:27" x14ac:dyDescent="0.2">
      <c r="P365" s="36"/>
      <c r="Q365" s="40"/>
      <c r="R365" s="40"/>
      <c r="S365" s="40"/>
      <c r="T365" s="41"/>
      <c r="U365" s="41"/>
      <c r="V365" s="41"/>
      <c r="W365" s="36"/>
      <c r="X365" s="36"/>
      <c r="Y365" s="36"/>
      <c r="Z365" s="36"/>
      <c r="AA365" s="36"/>
    </row>
    <row r="366" spans="16:27" x14ac:dyDescent="0.2">
      <c r="P366" s="36"/>
      <c r="Q366" s="40"/>
      <c r="R366" s="40"/>
      <c r="S366" s="40"/>
      <c r="T366" s="41"/>
      <c r="U366" s="41"/>
      <c r="V366" s="41"/>
      <c r="W366" s="36"/>
      <c r="X366" s="36"/>
      <c r="Y366" s="36"/>
      <c r="Z366" s="36"/>
      <c r="AA366" s="36"/>
    </row>
    <row r="367" spans="16:27" x14ac:dyDescent="0.2">
      <c r="P367" s="36"/>
      <c r="Q367" s="40"/>
      <c r="R367" s="40"/>
      <c r="S367" s="40"/>
      <c r="T367" s="41"/>
      <c r="U367" s="41"/>
      <c r="V367" s="41"/>
      <c r="W367" s="36"/>
      <c r="X367" s="36"/>
      <c r="Y367" s="36"/>
      <c r="Z367" s="36"/>
      <c r="AA367" s="36"/>
    </row>
    <row r="368" spans="16:27" x14ac:dyDescent="0.2">
      <c r="P368" s="36"/>
      <c r="Q368" s="40"/>
      <c r="R368" s="40"/>
      <c r="S368" s="40"/>
      <c r="T368" s="41"/>
      <c r="U368" s="41"/>
      <c r="V368" s="41"/>
      <c r="W368" s="36"/>
      <c r="X368" s="36"/>
      <c r="Y368" s="36"/>
      <c r="Z368" s="36"/>
      <c r="AA368" s="36"/>
    </row>
    <row r="369" spans="16:27" x14ac:dyDescent="0.2">
      <c r="P369" s="36"/>
      <c r="Q369" s="40"/>
      <c r="R369" s="40"/>
      <c r="S369" s="40"/>
      <c r="T369" s="41"/>
      <c r="U369" s="41"/>
      <c r="V369" s="41"/>
      <c r="W369" s="36"/>
      <c r="X369" s="36"/>
      <c r="Y369" s="36"/>
      <c r="Z369" s="36"/>
      <c r="AA369" s="36"/>
    </row>
    <row r="370" spans="16:27" x14ac:dyDescent="0.2">
      <c r="P370" s="36"/>
      <c r="Q370" s="40"/>
      <c r="R370" s="40"/>
      <c r="S370" s="40"/>
      <c r="T370" s="41"/>
      <c r="U370" s="41"/>
      <c r="V370" s="41"/>
      <c r="W370" s="36"/>
      <c r="X370" s="36"/>
      <c r="Y370" s="36"/>
      <c r="Z370" s="36"/>
      <c r="AA370" s="36"/>
    </row>
    <row r="371" spans="16:27" x14ac:dyDescent="0.2">
      <c r="P371" s="36"/>
      <c r="Q371" s="40"/>
      <c r="R371" s="40"/>
      <c r="S371" s="40"/>
      <c r="T371" s="41"/>
      <c r="U371" s="41"/>
      <c r="V371" s="41"/>
      <c r="W371" s="36"/>
      <c r="X371" s="36"/>
      <c r="Y371" s="36"/>
      <c r="Z371" s="36"/>
      <c r="AA371" s="36"/>
    </row>
    <row r="372" spans="16:27" x14ac:dyDescent="0.2">
      <c r="P372" s="36"/>
      <c r="Q372" s="40"/>
      <c r="R372" s="40"/>
      <c r="S372" s="40"/>
      <c r="T372" s="41"/>
      <c r="U372" s="41"/>
      <c r="V372" s="41"/>
      <c r="W372" s="36"/>
      <c r="X372" s="36"/>
      <c r="Y372" s="36"/>
      <c r="Z372" s="36"/>
      <c r="AA372" s="36"/>
    </row>
    <row r="373" spans="16:27" x14ac:dyDescent="0.2">
      <c r="P373" s="36"/>
      <c r="Q373" s="40"/>
      <c r="R373" s="40"/>
      <c r="S373" s="40"/>
      <c r="T373" s="41"/>
      <c r="U373" s="41"/>
      <c r="V373" s="41"/>
      <c r="W373" s="36"/>
      <c r="X373" s="36"/>
      <c r="Y373" s="36"/>
      <c r="Z373" s="36"/>
      <c r="AA373" s="36"/>
    </row>
    <row r="374" spans="16:27" x14ac:dyDescent="0.2">
      <c r="P374" s="36"/>
      <c r="Q374" s="40"/>
      <c r="R374" s="40"/>
      <c r="S374" s="40"/>
      <c r="T374" s="41"/>
      <c r="U374" s="41"/>
      <c r="V374" s="41"/>
      <c r="W374" s="36"/>
      <c r="X374" s="36"/>
      <c r="Y374" s="36"/>
      <c r="Z374" s="36"/>
      <c r="AA374" s="36"/>
    </row>
    <row r="375" spans="16:27" x14ac:dyDescent="0.2">
      <c r="P375" s="36"/>
      <c r="Q375" s="40"/>
      <c r="R375" s="40"/>
      <c r="S375" s="40"/>
      <c r="T375" s="41"/>
      <c r="U375" s="41"/>
      <c r="V375" s="41"/>
      <c r="W375" s="36"/>
      <c r="X375" s="36"/>
      <c r="Y375" s="36"/>
      <c r="Z375" s="36"/>
      <c r="AA375" s="36"/>
    </row>
    <row r="376" spans="16:27" x14ac:dyDescent="0.2">
      <c r="P376" s="36"/>
      <c r="Q376" s="40"/>
      <c r="R376" s="40"/>
      <c r="S376" s="40"/>
      <c r="T376" s="41"/>
      <c r="U376" s="41"/>
      <c r="V376" s="41"/>
      <c r="W376" s="36"/>
      <c r="X376" s="36"/>
      <c r="Y376" s="36"/>
      <c r="Z376" s="36"/>
      <c r="AA376" s="36"/>
    </row>
    <row r="377" spans="16:27" x14ac:dyDescent="0.2">
      <c r="P377" s="36"/>
      <c r="Q377" s="40"/>
      <c r="R377" s="40"/>
      <c r="S377" s="40"/>
      <c r="T377" s="41"/>
      <c r="U377" s="41"/>
      <c r="V377" s="41"/>
      <c r="W377" s="36"/>
      <c r="X377" s="36"/>
      <c r="Y377" s="36"/>
      <c r="Z377" s="36"/>
      <c r="AA377" s="36"/>
    </row>
    <row r="378" spans="16:27" x14ac:dyDescent="0.2">
      <c r="P378" s="36"/>
      <c r="Q378" s="40"/>
      <c r="R378" s="40"/>
      <c r="S378" s="40"/>
      <c r="T378" s="41"/>
      <c r="U378" s="41"/>
      <c r="V378" s="41"/>
      <c r="W378" s="36"/>
      <c r="X378" s="36"/>
      <c r="Y378" s="36"/>
      <c r="Z378" s="36"/>
      <c r="AA378" s="36"/>
    </row>
    <row r="379" spans="16:27" x14ac:dyDescent="0.2">
      <c r="P379" s="36"/>
      <c r="Q379" s="40"/>
      <c r="R379" s="40"/>
      <c r="S379" s="40"/>
      <c r="T379" s="41"/>
      <c r="U379" s="41"/>
      <c r="V379" s="41"/>
      <c r="W379" s="36"/>
      <c r="X379" s="36"/>
      <c r="Y379" s="36"/>
      <c r="Z379" s="36"/>
      <c r="AA379" s="36"/>
    </row>
    <row r="380" spans="16:27" x14ac:dyDescent="0.2">
      <c r="P380" s="36"/>
      <c r="Q380" s="40"/>
      <c r="R380" s="40"/>
      <c r="S380" s="40"/>
      <c r="T380" s="41"/>
      <c r="U380" s="41"/>
      <c r="V380" s="41"/>
      <c r="W380" s="36"/>
      <c r="X380" s="36"/>
      <c r="Y380" s="36"/>
      <c r="Z380" s="36"/>
      <c r="AA380" s="36"/>
    </row>
    <row r="381" spans="16:27" x14ac:dyDescent="0.2">
      <c r="P381" s="36"/>
      <c r="Q381" s="40"/>
      <c r="R381" s="40"/>
      <c r="S381" s="40"/>
      <c r="T381" s="41"/>
      <c r="U381" s="41"/>
      <c r="V381" s="41"/>
      <c r="W381" s="36"/>
      <c r="X381" s="36"/>
      <c r="Y381" s="36"/>
      <c r="Z381" s="36"/>
      <c r="AA381" s="36"/>
    </row>
    <row r="382" spans="16:27" x14ac:dyDescent="0.2">
      <c r="P382" s="36"/>
      <c r="Q382" s="40"/>
      <c r="R382" s="40"/>
      <c r="S382" s="40"/>
      <c r="T382" s="41"/>
      <c r="U382" s="41"/>
      <c r="V382" s="41"/>
      <c r="W382" s="36"/>
      <c r="X382" s="36"/>
      <c r="Y382" s="36"/>
      <c r="Z382" s="36"/>
      <c r="AA382" s="36"/>
    </row>
    <row r="383" spans="16:27" x14ac:dyDescent="0.2">
      <c r="P383" s="36"/>
      <c r="Q383" s="40"/>
      <c r="R383" s="40"/>
      <c r="S383" s="40"/>
      <c r="T383" s="41"/>
      <c r="U383" s="41"/>
      <c r="V383" s="41"/>
      <c r="W383" s="36"/>
      <c r="X383" s="36"/>
      <c r="Y383" s="36"/>
      <c r="Z383" s="36"/>
      <c r="AA383" s="36"/>
    </row>
    <row r="384" spans="16:27" x14ac:dyDescent="0.2">
      <c r="P384" s="36"/>
      <c r="Q384" s="40"/>
      <c r="R384" s="40"/>
      <c r="S384" s="40"/>
      <c r="T384" s="41"/>
      <c r="U384" s="41"/>
      <c r="V384" s="41"/>
      <c r="W384" s="36"/>
      <c r="X384" s="36"/>
      <c r="Y384" s="36"/>
      <c r="Z384" s="36"/>
      <c r="AA384" s="36"/>
    </row>
    <row r="385" spans="16:27" x14ac:dyDescent="0.2">
      <c r="P385" s="36"/>
      <c r="Q385" s="40"/>
      <c r="R385" s="40"/>
      <c r="S385" s="40"/>
      <c r="T385" s="41"/>
      <c r="U385" s="41"/>
      <c r="V385" s="41"/>
      <c r="W385" s="36"/>
      <c r="X385" s="36"/>
      <c r="Y385" s="36"/>
      <c r="Z385" s="36"/>
      <c r="AA385" s="36"/>
    </row>
    <row r="386" spans="16:27" x14ac:dyDescent="0.2">
      <c r="P386" s="36"/>
      <c r="Q386" s="40"/>
      <c r="R386" s="40"/>
      <c r="S386" s="40"/>
      <c r="T386" s="41"/>
      <c r="U386" s="41"/>
      <c r="V386" s="41"/>
      <c r="W386" s="36"/>
      <c r="X386" s="36"/>
      <c r="Y386" s="36"/>
      <c r="Z386" s="36"/>
      <c r="AA386" s="36"/>
    </row>
    <row r="387" spans="16:27" x14ac:dyDescent="0.2">
      <c r="P387" s="36"/>
      <c r="Q387" s="40"/>
      <c r="R387" s="40"/>
      <c r="S387" s="40"/>
      <c r="T387" s="41"/>
      <c r="U387" s="41"/>
      <c r="V387" s="41"/>
      <c r="W387" s="36"/>
      <c r="X387" s="36"/>
      <c r="Y387" s="36"/>
      <c r="Z387" s="36"/>
      <c r="AA387" s="36"/>
    </row>
    <row r="388" spans="16:27" x14ac:dyDescent="0.2">
      <c r="P388" s="36"/>
      <c r="Q388" s="40"/>
      <c r="R388" s="40"/>
      <c r="S388" s="40"/>
      <c r="T388" s="41"/>
      <c r="U388" s="41"/>
      <c r="V388" s="41"/>
      <c r="W388" s="36"/>
      <c r="X388" s="36"/>
      <c r="Y388" s="36"/>
      <c r="Z388" s="36"/>
      <c r="AA388" s="36"/>
    </row>
    <row r="389" spans="16:27" x14ac:dyDescent="0.2">
      <c r="P389" s="36"/>
      <c r="Q389" s="40"/>
      <c r="R389" s="40"/>
      <c r="S389" s="40"/>
      <c r="T389" s="41"/>
      <c r="U389" s="41"/>
      <c r="V389" s="41"/>
      <c r="W389" s="36"/>
      <c r="X389" s="36"/>
      <c r="Y389" s="36"/>
      <c r="Z389" s="36"/>
      <c r="AA389" s="36"/>
    </row>
    <row r="390" spans="16:27" x14ac:dyDescent="0.2">
      <c r="P390" s="36"/>
      <c r="Q390" s="40"/>
      <c r="R390" s="40"/>
      <c r="S390" s="40"/>
      <c r="T390" s="41"/>
      <c r="U390" s="41"/>
      <c r="V390" s="41"/>
      <c r="W390" s="36"/>
      <c r="X390" s="36"/>
      <c r="Y390" s="36"/>
      <c r="Z390" s="36"/>
      <c r="AA390" s="36"/>
    </row>
    <row r="391" spans="16:27" x14ac:dyDescent="0.2">
      <c r="P391" s="36"/>
      <c r="Q391" s="40"/>
      <c r="R391" s="40"/>
      <c r="S391" s="40"/>
      <c r="T391" s="41"/>
      <c r="U391" s="41"/>
      <c r="V391" s="41"/>
      <c r="W391" s="36"/>
      <c r="X391" s="36"/>
      <c r="Y391" s="36"/>
      <c r="Z391" s="36"/>
      <c r="AA391" s="36"/>
    </row>
    <row r="392" spans="16:27" x14ac:dyDescent="0.2">
      <c r="P392" s="36"/>
      <c r="Q392" s="40"/>
      <c r="R392" s="40"/>
      <c r="S392" s="40"/>
      <c r="T392" s="41"/>
      <c r="U392" s="41"/>
      <c r="V392" s="41"/>
      <c r="W392" s="36"/>
      <c r="X392" s="36"/>
      <c r="Y392" s="36"/>
      <c r="Z392" s="36"/>
      <c r="AA392" s="36"/>
    </row>
    <row r="393" spans="16:27" x14ac:dyDescent="0.2">
      <c r="P393" s="36"/>
      <c r="Q393" s="40"/>
      <c r="R393" s="40"/>
      <c r="S393" s="40"/>
      <c r="T393" s="41"/>
      <c r="U393" s="41"/>
      <c r="V393" s="41"/>
      <c r="W393" s="36"/>
      <c r="X393" s="36"/>
      <c r="Y393" s="36"/>
      <c r="Z393" s="36"/>
      <c r="AA393" s="36"/>
    </row>
    <row r="394" spans="16:27" x14ac:dyDescent="0.2">
      <c r="P394" s="36"/>
      <c r="Q394" s="40"/>
      <c r="R394" s="40"/>
      <c r="S394" s="40"/>
      <c r="T394" s="41"/>
      <c r="U394" s="41"/>
      <c r="V394" s="41"/>
      <c r="W394" s="36"/>
      <c r="X394" s="36"/>
      <c r="Y394" s="36"/>
      <c r="Z394" s="36"/>
      <c r="AA394" s="36"/>
    </row>
    <row r="395" spans="16:27" x14ac:dyDescent="0.2">
      <c r="P395" s="36"/>
      <c r="Q395" s="40"/>
      <c r="R395" s="40"/>
      <c r="S395" s="40"/>
      <c r="T395" s="41"/>
      <c r="U395" s="41"/>
      <c r="V395" s="41"/>
      <c r="W395" s="36"/>
      <c r="X395" s="36"/>
      <c r="Y395" s="36"/>
      <c r="Z395" s="36"/>
      <c r="AA395" s="36"/>
    </row>
    <row r="396" spans="16:27" x14ac:dyDescent="0.2">
      <c r="P396" s="36"/>
      <c r="Q396" s="40"/>
      <c r="R396" s="40"/>
      <c r="S396" s="40"/>
      <c r="T396" s="41"/>
      <c r="U396" s="41"/>
      <c r="V396" s="41"/>
      <c r="W396" s="36"/>
      <c r="X396" s="36"/>
      <c r="Y396" s="36"/>
      <c r="Z396" s="36"/>
      <c r="AA396" s="36"/>
    </row>
    <row r="397" spans="16:27" x14ac:dyDescent="0.2">
      <c r="P397" s="36"/>
      <c r="Q397" s="40"/>
      <c r="R397" s="40"/>
      <c r="S397" s="40"/>
      <c r="T397" s="41"/>
      <c r="U397" s="41"/>
      <c r="V397" s="41"/>
      <c r="W397" s="36"/>
      <c r="X397" s="36"/>
      <c r="Y397" s="36"/>
      <c r="Z397" s="36"/>
      <c r="AA397" s="36"/>
    </row>
    <row r="398" spans="16:27" x14ac:dyDescent="0.2">
      <c r="P398" s="36"/>
      <c r="Q398" s="40"/>
      <c r="R398" s="40"/>
      <c r="S398" s="40"/>
      <c r="T398" s="41"/>
      <c r="U398" s="41"/>
      <c r="V398" s="41"/>
      <c r="W398" s="36"/>
      <c r="X398" s="36"/>
      <c r="Y398" s="36"/>
      <c r="Z398" s="36"/>
      <c r="AA398" s="36"/>
    </row>
    <row r="399" spans="16:27" x14ac:dyDescent="0.2">
      <c r="P399" s="36"/>
      <c r="Q399" s="40"/>
      <c r="R399" s="40"/>
      <c r="S399" s="40"/>
      <c r="T399" s="41"/>
      <c r="U399" s="41"/>
      <c r="V399" s="41"/>
      <c r="W399" s="36"/>
      <c r="X399" s="36"/>
      <c r="Y399" s="36"/>
      <c r="Z399" s="36"/>
      <c r="AA399" s="36"/>
    </row>
    <row r="400" spans="16:27" x14ac:dyDescent="0.2">
      <c r="P400" s="36"/>
      <c r="Q400" s="40"/>
      <c r="R400" s="40"/>
      <c r="S400" s="40"/>
      <c r="T400" s="41"/>
      <c r="U400" s="41"/>
      <c r="V400" s="41"/>
      <c r="W400" s="36"/>
      <c r="X400" s="36"/>
      <c r="Y400" s="36"/>
      <c r="Z400" s="36"/>
      <c r="AA400" s="36"/>
    </row>
    <row r="401" spans="16:27" x14ac:dyDescent="0.2">
      <c r="P401" s="36"/>
      <c r="Q401" s="40"/>
      <c r="R401" s="40"/>
      <c r="S401" s="40"/>
      <c r="T401" s="41"/>
      <c r="U401" s="41"/>
      <c r="V401" s="41"/>
      <c r="W401" s="36"/>
      <c r="X401" s="36"/>
      <c r="Y401" s="36"/>
      <c r="Z401" s="36"/>
      <c r="AA401" s="36"/>
    </row>
    <row r="402" spans="16:27" x14ac:dyDescent="0.2">
      <c r="P402" s="36"/>
      <c r="Q402" s="40"/>
      <c r="R402" s="40"/>
      <c r="S402" s="40"/>
      <c r="T402" s="41"/>
      <c r="U402" s="41"/>
      <c r="V402" s="41"/>
      <c r="W402" s="36"/>
      <c r="X402" s="36"/>
      <c r="Y402" s="36"/>
      <c r="Z402" s="36"/>
      <c r="AA402" s="36"/>
    </row>
    <row r="403" spans="16:27" x14ac:dyDescent="0.2">
      <c r="P403" s="36"/>
      <c r="Q403" s="40"/>
      <c r="R403" s="40"/>
      <c r="S403" s="40"/>
      <c r="T403" s="41"/>
      <c r="U403" s="41"/>
      <c r="V403" s="41"/>
      <c r="W403" s="36"/>
      <c r="X403" s="36"/>
      <c r="Y403" s="36"/>
      <c r="Z403" s="36"/>
      <c r="AA403" s="36"/>
    </row>
    <row r="404" spans="16:27" x14ac:dyDescent="0.2">
      <c r="P404" s="36"/>
      <c r="Q404" s="40"/>
      <c r="R404" s="40"/>
      <c r="S404" s="40"/>
      <c r="T404" s="41"/>
      <c r="U404" s="41"/>
      <c r="V404" s="41"/>
      <c r="W404" s="36"/>
      <c r="X404" s="36"/>
      <c r="Y404" s="36"/>
      <c r="Z404" s="36"/>
      <c r="AA404" s="36"/>
    </row>
    <row r="405" spans="16:27" x14ac:dyDescent="0.2">
      <c r="P405" s="36"/>
      <c r="Q405" s="40"/>
      <c r="R405" s="40"/>
      <c r="S405" s="40"/>
      <c r="T405" s="41"/>
      <c r="U405" s="41"/>
      <c r="V405" s="41"/>
      <c r="W405" s="36"/>
      <c r="X405" s="36"/>
      <c r="Y405" s="36"/>
      <c r="Z405" s="36"/>
      <c r="AA405" s="36"/>
    </row>
    <row r="406" spans="16:27" x14ac:dyDescent="0.2">
      <c r="P406" s="36"/>
      <c r="Q406" s="40"/>
      <c r="R406" s="40"/>
      <c r="S406" s="40"/>
      <c r="T406" s="41"/>
      <c r="U406" s="41"/>
      <c r="V406" s="41"/>
      <c r="W406" s="36"/>
      <c r="X406" s="36"/>
      <c r="Y406" s="36"/>
      <c r="Z406" s="36"/>
      <c r="AA406" s="36"/>
    </row>
    <row r="407" spans="16:27" x14ac:dyDescent="0.2">
      <c r="P407" s="36"/>
      <c r="Q407" s="40"/>
      <c r="R407" s="40"/>
      <c r="S407" s="40"/>
      <c r="T407" s="41"/>
      <c r="U407" s="41"/>
      <c r="V407" s="41"/>
      <c r="W407" s="36"/>
      <c r="X407" s="36"/>
      <c r="Y407" s="36"/>
      <c r="Z407" s="36"/>
      <c r="AA407" s="36"/>
    </row>
    <row r="408" spans="16:27" x14ac:dyDescent="0.2">
      <c r="P408" s="36"/>
      <c r="Q408" s="40"/>
      <c r="R408" s="40"/>
      <c r="S408" s="40"/>
      <c r="T408" s="41"/>
      <c r="U408" s="41"/>
      <c r="V408" s="41"/>
      <c r="W408" s="36"/>
      <c r="X408" s="36"/>
      <c r="Y408" s="36"/>
      <c r="Z408" s="36"/>
      <c r="AA408" s="36"/>
    </row>
    <row r="409" spans="16:27" x14ac:dyDescent="0.2">
      <c r="P409" s="36"/>
      <c r="Q409" s="40"/>
      <c r="R409" s="40"/>
      <c r="S409" s="40"/>
      <c r="T409" s="41"/>
      <c r="U409" s="41"/>
      <c r="V409" s="41"/>
      <c r="W409" s="36"/>
      <c r="X409" s="36"/>
      <c r="Y409" s="36"/>
      <c r="Z409" s="36"/>
      <c r="AA409" s="36"/>
    </row>
    <row r="410" spans="16:27" x14ac:dyDescent="0.2">
      <c r="P410" s="36"/>
      <c r="Q410" s="40"/>
      <c r="R410" s="40"/>
      <c r="S410" s="40"/>
      <c r="T410" s="41"/>
      <c r="U410" s="41"/>
      <c r="V410" s="41"/>
      <c r="W410" s="36"/>
      <c r="X410" s="36"/>
      <c r="Y410" s="36"/>
      <c r="Z410" s="36"/>
      <c r="AA410" s="36"/>
    </row>
    <row r="411" spans="16:27" x14ac:dyDescent="0.2">
      <c r="P411" s="36"/>
      <c r="Q411" s="40"/>
      <c r="R411" s="40"/>
      <c r="S411" s="40"/>
      <c r="T411" s="41"/>
      <c r="U411" s="41"/>
      <c r="V411" s="41"/>
      <c r="W411" s="36"/>
      <c r="X411" s="36"/>
      <c r="Y411" s="36"/>
      <c r="Z411" s="36"/>
      <c r="AA411" s="36"/>
    </row>
    <row r="412" spans="16:27" x14ac:dyDescent="0.2">
      <c r="P412" s="36"/>
      <c r="Q412" s="40"/>
      <c r="R412" s="40"/>
      <c r="S412" s="40"/>
      <c r="T412" s="41"/>
      <c r="U412" s="41"/>
      <c r="V412" s="41"/>
      <c r="W412" s="36"/>
      <c r="X412" s="36"/>
      <c r="Y412" s="36"/>
      <c r="Z412" s="36"/>
      <c r="AA412" s="36"/>
    </row>
    <row r="413" spans="16:27" x14ac:dyDescent="0.2">
      <c r="P413" s="36"/>
      <c r="Q413" s="40"/>
      <c r="R413" s="40"/>
      <c r="S413" s="40"/>
      <c r="T413" s="41"/>
      <c r="U413" s="41"/>
      <c r="V413" s="41"/>
      <c r="W413" s="36"/>
      <c r="X413" s="36"/>
      <c r="Y413" s="36"/>
      <c r="Z413" s="36"/>
      <c r="AA413" s="36"/>
    </row>
    <row r="414" spans="16:27" x14ac:dyDescent="0.2">
      <c r="P414" s="36"/>
      <c r="Q414" s="40"/>
      <c r="R414" s="40"/>
      <c r="S414" s="40"/>
      <c r="T414" s="41"/>
      <c r="U414" s="41"/>
      <c r="V414" s="41"/>
      <c r="W414" s="36"/>
      <c r="X414" s="36"/>
      <c r="Y414" s="36"/>
      <c r="Z414" s="36"/>
      <c r="AA414" s="36"/>
    </row>
    <row r="415" spans="16:27" x14ac:dyDescent="0.2">
      <c r="P415" s="36"/>
      <c r="Q415" s="40"/>
      <c r="R415" s="40"/>
      <c r="S415" s="40"/>
      <c r="T415" s="41"/>
      <c r="U415" s="41"/>
      <c r="V415" s="41"/>
      <c r="W415" s="36"/>
      <c r="X415" s="36"/>
      <c r="Y415" s="36"/>
      <c r="Z415" s="36"/>
      <c r="AA415" s="36"/>
    </row>
    <row r="416" spans="16:27" x14ac:dyDescent="0.2">
      <c r="P416" s="36"/>
      <c r="Q416" s="40"/>
      <c r="R416" s="40"/>
      <c r="S416" s="40"/>
      <c r="T416" s="41"/>
      <c r="U416" s="41"/>
      <c r="V416" s="41"/>
      <c r="W416" s="36"/>
      <c r="X416" s="36"/>
      <c r="Y416" s="36"/>
      <c r="Z416" s="36"/>
      <c r="AA416" s="36"/>
    </row>
    <row r="417" spans="16:27" x14ac:dyDescent="0.2">
      <c r="P417" s="36"/>
      <c r="Q417" s="40"/>
      <c r="R417" s="40"/>
      <c r="S417" s="40"/>
      <c r="T417" s="41"/>
      <c r="U417" s="41"/>
      <c r="V417" s="41"/>
      <c r="W417" s="36"/>
      <c r="X417" s="36"/>
      <c r="Y417" s="36"/>
      <c r="Z417" s="36"/>
      <c r="AA417" s="36"/>
    </row>
    <row r="418" spans="16:27" x14ac:dyDescent="0.2">
      <c r="P418" s="36"/>
      <c r="Q418" s="40"/>
      <c r="R418" s="40"/>
      <c r="S418" s="40"/>
      <c r="T418" s="41"/>
      <c r="U418" s="41"/>
      <c r="V418" s="41"/>
      <c r="W418" s="36"/>
      <c r="X418" s="36"/>
      <c r="Y418" s="36"/>
      <c r="Z418" s="36"/>
      <c r="AA418" s="36"/>
    </row>
    <row r="419" spans="16:27" x14ac:dyDescent="0.2">
      <c r="P419" s="36"/>
      <c r="Q419" s="40"/>
      <c r="R419" s="40"/>
      <c r="S419" s="40"/>
      <c r="T419" s="41"/>
      <c r="U419" s="41"/>
      <c r="V419" s="41"/>
      <c r="W419" s="36"/>
      <c r="X419" s="36"/>
      <c r="Y419" s="36"/>
      <c r="Z419" s="36"/>
      <c r="AA419" s="36"/>
    </row>
    <row r="420" spans="16:27" x14ac:dyDescent="0.2">
      <c r="P420" s="36"/>
      <c r="Q420" s="40"/>
      <c r="R420" s="40"/>
      <c r="S420" s="40"/>
      <c r="T420" s="41"/>
      <c r="U420" s="41"/>
      <c r="V420" s="41"/>
      <c r="W420" s="36"/>
      <c r="X420" s="36"/>
      <c r="Y420" s="36"/>
      <c r="Z420" s="36"/>
      <c r="AA420" s="36"/>
    </row>
    <row r="421" spans="16:27" x14ac:dyDescent="0.2">
      <c r="P421" s="36"/>
      <c r="Q421" s="40"/>
      <c r="R421" s="40"/>
      <c r="S421" s="40"/>
      <c r="T421" s="41"/>
      <c r="U421" s="41"/>
      <c r="V421" s="41"/>
      <c r="W421" s="36"/>
      <c r="X421" s="36"/>
      <c r="Y421" s="36"/>
      <c r="Z421" s="36"/>
      <c r="AA421" s="36"/>
    </row>
    <row r="422" spans="16:27" x14ac:dyDescent="0.2">
      <c r="P422" s="36"/>
      <c r="Q422" s="40"/>
      <c r="R422" s="40"/>
      <c r="S422" s="40"/>
      <c r="T422" s="41"/>
      <c r="U422" s="41"/>
      <c r="V422" s="41"/>
      <c r="W422" s="36"/>
      <c r="X422" s="36"/>
      <c r="Y422" s="36"/>
      <c r="Z422" s="36"/>
      <c r="AA422" s="36"/>
    </row>
    <row r="423" spans="16:27" x14ac:dyDescent="0.2">
      <c r="P423" s="36"/>
      <c r="Q423" s="40"/>
      <c r="R423" s="40"/>
      <c r="S423" s="40"/>
      <c r="T423" s="41"/>
      <c r="U423" s="41"/>
      <c r="V423" s="41"/>
      <c r="W423" s="36"/>
      <c r="X423" s="36"/>
      <c r="Y423" s="36"/>
      <c r="Z423" s="36"/>
      <c r="AA423" s="36"/>
    </row>
    <row r="424" spans="16:27" x14ac:dyDescent="0.2">
      <c r="P424" s="36"/>
      <c r="Q424" s="40"/>
      <c r="R424" s="40"/>
      <c r="S424" s="40"/>
      <c r="T424" s="41"/>
      <c r="U424" s="41"/>
      <c r="V424" s="41"/>
      <c r="W424" s="36"/>
      <c r="X424" s="36"/>
      <c r="Y424" s="36"/>
      <c r="Z424" s="36"/>
      <c r="AA424" s="36"/>
    </row>
    <row r="425" spans="16:27" x14ac:dyDescent="0.2">
      <c r="P425" s="36"/>
      <c r="Q425" s="40"/>
      <c r="R425" s="40"/>
      <c r="S425" s="40"/>
      <c r="T425" s="41"/>
      <c r="U425" s="41"/>
      <c r="V425" s="41"/>
      <c r="W425" s="36"/>
      <c r="X425" s="36"/>
      <c r="Y425" s="36"/>
      <c r="Z425" s="36"/>
      <c r="AA425" s="36"/>
    </row>
    <row r="426" spans="16:27" x14ac:dyDescent="0.2">
      <c r="P426" s="36"/>
      <c r="Q426" s="40"/>
      <c r="R426" s="40"/>
      <c r="S426" s="40"/>
      <c r="T426" s="41"/>
      <c r="U426" s="41"/>
      <c r="V426" s="41"/>
      <c r="W426" s="36"/>
      <c r="X426" s="36"/>
      <c r="Y426" s="36"/>
      <c r="Z426" s="36"/>
      <c r="AA426" s="36"/>
    </row>
    <row r="427" spans="16:27" x14ac:dyDescent="0.2">
      <c r="P427" s="36"/>
      <c r="Q427" s="40"/>
      <c r="R427" s="40"/>
      <c r="S427" s="40"/>
      <c r="T427" s="41"/>
      <c r="U427" s="41"/>
      <c r="V427" s="41"/>
      <c r="W427" s="36"/>
      <c r="X427" s="36"/>
      <c r="Y427" s="36"/>
      <c r="Z427" s="36"/>
      <c r="AA427" s="36"/>
    </row>
    <row r="428" spans="16:27" x14ac:dyDescent="0.2">
      <c r="P428" s="36"/>
      <c r="Q428" s="40"/>
      <c r="R428" s="40"/>
      <c r="S428" s="40"/>
      <c r="T428" s="41"/>
      <c r="U428" s="41"/>
      <c r="V428" s="41"/>
      <c r="W428" s="36"/>
      <c r="X428" s="36"/>
      <c r="Y428" s="36"/>
      <c r="Z428" s="36"/>
      <c r="AA428" s="36"/>
    </row>
    <row r="429" spans="16:27" x14ac:dyDescent="0.2">
      <c r="P429" s="36"/>
      <c r="Q429" s="40"/>
      <c r="R429" s="40"/>
      <c r="S429" s="40"/>
      <c r="T429" s="41"/>
      <c r="U429" s="41"/>
      <c r="V429" s="41"/>
      <c r="W429" s="36"/>
      <c r="X429" s="36"/>
      <c r="Y429" s="36"/>
      <c r="Z429" s="36"/>
      <c r="AA429" s="36"/>
    </row>
    <row r="430" spans="16:27" x14ac:dyDescent="0.2">
      <c r="P430" s="36"/>
      <c r="Q430" s="40"/>
      <c r="R430" s="40"/>
      <c r="S430" s="40"/>
      <c r="T430" s="41"/>
      <c r="U430" s="41"/>
      <c r="V430" s="41"/>
      <c r="W430" s="36"/>
      <c r="X430" s="36"/>
      <c r="Y430" s="36"/>
      <c r="Z430" s="36"/>
      <c r="AA430" s="36"/>
    </row>
    <row r="431" spans="16:27" x14ac:dyDescent="0.2">
      <c r="P431" s="36"/>
      <c r="Q431" s="40"/>
      <c r="R431" s="40"/>
      <c r="S431" s="40"/>
      <c r="T431" s="41"/>
      <c r="U431" s="41"/>
      <c r="V431" s="41"/>
      <c r="W431" s="36"/>
      <c r="X431" s="36"/>
      <c r="Y431" s="36"/>
      <c r="Z431" s="36"/>
      <c r="AA431" s="36"/>
    </row>
    <row r="432" spans="16:27" x14ac:dyDescent="0.2">
      <c r="P432" s="36"/>
      <c r="Q432" s="40"/>
      <c r="R432" s="40"/>
      <c r="S432" s="40"/>
      <c r="T432" s="41"/>
      <c r="U432" s="41"/>
      <c r="V432" s="41"/>
      <c r="W432" s="36"/>
      <c r="X432" s="36"/>
      <c r="Y432" s="36"/>
      <c r="Z432" s="36"/>
      <c r="AA432" s="36"/>
    </row>
    <row r="433" spans="16:27" x14ac:dyDescent="0.2">
      <c r="P433" s="36"/>
      <c r="Q433" s="40"/>
      <c r="R433" s="40"/>
      <c r="S433" s="40"/>
      <c r="T433" s="41"/>
      <c r="U433" s="41"/>
      <c r="V433" s="41"/>
      <c r="W433" s="36"/>
      <c r="X433" s="36"/>
      <c r="Y433" s="36"/>
      <c r="Z433" s="36"/>
      <c r="AA433" s="36"/>
    </row>
    <row r="434" spans="16:27" x14ac:dyDescent="0.2">
      <c r="P434" s="36"/>
      <c r="Q434" s="40"/>
      <c r="R434" s="40"/>
      <c r="S434" s="40"/>
      <c r="T434" s="41"/>
      <c r="U434" s="41"/>
      <c r="V434" s="41"/>
      <c r="W434" s="36"/>
      <c r="X434" s="36"/>
      <c r="Y434" s="36"/>
      <c r="Z434" s="36"/>
      <c r="AA434" s="36"/>
    </row>
    <row r="435" spans="16:27" x14ac:dyDescent="0.2">
      <c r="P435" s="36"/>
      <c r="Q435" s="40"/>
      <c r="R435" s="40"/>
      <c r="S435" s="40"/>
      <c r="T435" s="41"/>
      <c r="U435" s="41"/>
      <c r="V435" s="41"/>
      <c r="W435" s="36"/>
      <c r="X435" s="36"/>
      <c r="Y435" s="36"/>
      <c r="Z435" s="36"/>
      <c r="AA435" s="36"/>
    </row>
    <row r="436" spans="16:27" x14ac:dyDescent="0.2">
      <c r="P436" s="36"/>
      <c r="Q436" s="40"/>
      <c r="R436" s="40"/>
      <c r="S436" s="40"/>
      <c r="T436" s="41"/>
      <c r="U436" s="41"/>
      <c r="V436" s="41"/>
      <c r="W436" s="36"/>
      <c r="X436" s="36"/>
      <c r="Y436" s="36"/>
      <c r="Z436" s="36"/>
      <c r="AA436" s="36"/>
    </row>
    <row r="437" spans="16:27" x14ac:dyDescent="0.2">
      <c r="P437" s="36"/>
      <c r="Q437" s="40"/>
      <c r="R437" s="40"/>
      <c r="S437" s="40"/>
      <c r="T437" s="41"/>
      <c r="U437" s="41"/>
      <c r="V437" s="41"/>
      <c r="W437" s="36"/>
      <c r="X437" s="36"/>
      <c r="Y437" s="36"/>
      <c r="Z437" s="36"/>
      <c r="AA437" s="36"/>
    </row>
    <row r="438" spans="16:27" x14ac:dyDescent="0.2">
      <c r="P438" s="36"/>
      <c r="Q438" s="40"/>
      <c r="R438" s="40"/>
      <c r="S438" s="40"/>
      <c r="T438" s="41"/>
      <c r="U438" s="41"/>
      <c r="V438" s="41"/>
      <c r="W438" s="36"/>
      <c r="X438" s="36"/>
      <c r="Y438" s="36"/>
      <c r="Z438" s="36"/>
      <c r="AA438" s="36"/>
    </row>
    <row r="439" spans="16:27" x14ac:dyDescent="0.2">
      <c r="P439" s="36"/>
      <c r="Q439" s="40"/>
      <c r="R439" s="40"/>
      <c r="S439" s="40"/>
      <c r="T439" s="41"/>
      <c r="U439" s="41"/>
      <c r="V439" s="41"/>
      <c r="W439" s="36"/>
      <c r="X439" s="36"/>
      <c r="Y439" s="36"/>
      <c r="Z439" s="36"/>
      <c r="AA439" s="36"/>
    </row>
    <row r="440" spans="16:27" x14ac:dyDescent="0.2">
      <c r="P440" s="36"/>
      <c r="Q440" s="40"/>
      <c r="R440" s="40"/>
      <c r="S440" s="40"/>
      <c r="T440" s="41"/>
      <c r="U440" s="41"/>
      <c r="V440" s="41"/>
      <c r="W440" s="36"/>
      <c r="X440" s="36"/>
      <c r="Y440" s="36"/>
      <c r="Z440" s="36"/>
      <c r="AA440" s="36"/>
    </row>
    <row r="441" spans="16:27" x14ac:dyDescent="0.2">
      <c r="P441" s="36"/>
      <c r="Q441" s="40"/>
      <c r="R441" s="40"/>
      <c r="S441" s="40"/>
      <c r="T441" s="41"/>
      <c r="U441" s="41"/>
      <c r="V441" s="41"/>
      <c r="W441" s="36"/>
      <c r="X441" s="36"/>
      <c r="Y441" s="36"/>
      <c r="Z441" s="36"/>
      <c r="AA441" s="36"/>
    </row>
    <row r="442" spans="16:27" x14ac:dyDescent="0.2">
      <c r="P442" s="36"/>
      <c r="Q442" s="40"/>
      <c r="R442" s="40"/>
      <c r="S442" s="40"/>
      <c r="T442" s="41"/>
      <c r="U442" s="41"/>
      <c r="V442" s="41"/>
      <c r="W442" s="36"/>
      <c r="X442" s="36"/>
      <c r="Y442" s="36"/>
      <c r="Z442" s="36"/>
      <c r="AA442" s="36"/>
    </row>
    <row r="443" spans="16:27" x14ac:dyDescent="0.2">
      <c r="P443" s="36"/>
      <c r="Q443" s="40"/>
      <c r="R443" s="40"/>
      <c r="S443" s="40"/>
      <c r="T443" s="41"/>
      <c r="U443" s="41"/>
      <c r="V443" s="41"/>
      <c r="W443" s="36"/>
      <c r="X443" s="36"/>
      <c r="Y443" s="36"/>
      <c r="Z443" s="36"/>
      <c r="AA443" s="36"/>
    </row>
    <row r="444" spans="16:27" x14ac:dyDescent="0.2">
      <c r="P444" s="36"/>
      <c r="Q444" s="40"/>
      <c r="R444" s="40"/>
      <c r="S444" s="40"/>
      <c r="T444" s="41"/>
      <c r="U444" s="41"/>
      <c r="V444" s="41"/>
      <c r="W444" s="36"/>
      <c r="X444" s="36"/>
      <c r="Y444" s="36"/>
      <c r="Z444" s="36"/>
      <c r="AA444" s="36"/>
    </row>
    <row r="445" spans="16:27" x14ac:dyDescent="0.2">
      <c r="P445" s="36"/>
      <c r="Q445" s="40"/>
      <c r="R445" s="40"/>
      <c r="S445" s="40"/>
      <c r="T445" s="41"/>
      <c r="U445" s="41"/>
      <c r="V445" s="41"/>
      <c r="W445" s="36"/>
      <c r="X445" s="36"/>
      <c r="Y445" s="36"/>
      <c r="Z445" s="36"/>
      <c r="AA445" s="36"/>
    </row>
    <row r="446" spans="16:27" x14ac:dyDescent="0.2">
      <c r="P446" s="36"/>
      <c r="Q446" s="40"/>
      <c r="R446" s="40"/>
      <c r="S446" s="40"/>
      <c r="T446" s="41"/>
      <c r="U446" s="41"/>
      <c r="V446" s="41"/>
      <c r="W446" s="36"/>
      <c r="X446" s="36"/>
      <c r="Y446" s="36"/>
      <c r="Z446" s="36"/>
      <c r="AA446" s="36"/>
    </row>
    <row r="447" spans="16:27" x14ac:dyDescent="0.2">
      <c r="P447" s="36"/>
      <c r="Q447" s="40"/>
      <c r="R447" s="40"/>
      <c r="S447" s="40"/>
      <c r="T447" s="41"/>
      <c r="U447" s="41"/>
      <c r="V447" s="41"/>
      <c r="W447" s="36"/>
      <c r="X447" s="36"/>
      <c r="Y447" s="36"/>
      <c r="Z447" s="36"/>
      <c r="AA447" s="36"/>
    </row>
    <row r="448" spans="16:27" x14ac:dyDescent="0.2">
      <c r="P448" s="36"/>
      <c r="Q448" s="40"/>
      <c r="R448" s="40"/>
      <c r="S448" s="40"/>
      <c r="T448" s="41"/>
      <c r="U448" s="41"/>
      <c r="V448" s="41"/>
      <c r="W448" s="36"/>
      <c r="X448" s="36"/>
      <c r="Y448" s="36"/>
      <c r="Z448" s="36"/>
      <c r="AA448" s="36"/>
    </row>
    <row r="449" spans="16:27" x14ac:dyDescent="0.2">
      <c r="P449" s="36"/>
      <c r="Q449" s="40"/>
      <c r="R449" s="40"/>
      <c r="S449" s="40"/>
      <c r="T449" s="41"/>
      <c r="U449" s="41"/>
      <c r="V449" s="41"/>
      <c r="W449" s="36"/>
      <c r="X449" s="36"/>
      <c r="Y449" s="36"/>
      <c r="Z449" s="36"/>
      <c r="AA449" s="36"/>
    </row>
    <row r="450" spans="16:27" x14ac:dyDescent="0.2">
      <c r="P450" s="36"/>
      <c r="Q450" s="40"/>
      <c r="R450" s="40"/>
      <c r="S450" s="40"/>
      <c r="T450" s="41"/>
      <c r="U450" s="41"/>
      <c r="V450" s="41"/>
      <c r="W450" s="36"/>
      <c r="X450" s="36"/>
      <c r="Y450" s="36"/>
      <c r="Z450" s="36"/>
      <c r="AA450" s="36"/>
    </row>
    <row r="451" spans="16:27" x14ac:dyDescent="0.2">
      <c r="P451" s="36"/>
      <c r="Q451" s="40"/>
      <c r="R451" s="40"/>
      <c r="S451" s="40"/>
      <c r="T451" s="41"/>
      <c r="U451" s="41"/>
      <c r="V451" s="41"/>
      <c r="W451" s="36"/>
      <c r="X451" s="36"/>
      <c r="Y451" s="36"/>
      <c r="Z451" s="36"/>
      <c r="AA451" s="36"/>
    </row>
    <row r="452" spans="16:27" x14ac:dyDescent="0.2">
      <c r="P452" s="36"/>
      <c r="Q452" s="40"/>
      <c r="R452" s="40"/>
      <c r="S452" s="40"/>
      <c r="T452" s="41"/>
      <c r="U452" s="41"/>
      <c r="V452" s="41"/>
      <c r="W452" s="36"/>
      <c r="X452" s="36"/>
      <c r="Y452" s="36"/>
      <c r="Z452" s="36"/>
      <c r="AA452" s="36"/>
    </row>
    <row r="453" spans="16:27" x14ac:dyDescent="0.2">
      <c r="P453" s="36"/>
      <c r="Q453" s="40"/>
      <c r="R453" s="40"/>
      <c r="S453" s="40"/>
      <c r="T453" s="41"/>
      <c r="U453" s="41"/>
      <c r="V453" s="41"/>
      <c r="W453" s="36"/>
      <c r="X453" s="36"/>
      <c r="Y453" s="36"/>
      <c r="Z453" s="36"/>
      <c r="AA453" s="36"/>
    </row>
    <row r="454" spans="16:27" x14ac:dyDescent="0.2">
      <c r="P454" s="36"/>
      <c r="Q454" s="40"/>
      <c r="R454" s="40"/>
      <c r="S454" s="40"/>
      <c r="T454" s="41"/>
      <c r="U454" s="41"/>
      <c r="V454" s="41"/>
      <c r="W454" s="36"/>
      <c r="X454" s="36"/>
      <c r="Y454" s="36"/>
      <c r="Z454" s="36"/>
      <c r="AA454" s="36"/>
    </row>
    <row r="455" spans="16:27" x14ac:dyDescent="0.2">
      <c r="P455" s="36"/>
      <c r="Q455" s="40"/>
      <c r="R455" s="40"/>
      <c r="S455" s="40"/>
      <c r="T455" s="41"/>
      <c r="U455" s="41"/>
      <c r="V455" s="41"/>
      <c r="W455" s="36"/>
      <c r="X455" s="36"/>
      <c r="Y455" s="36"/>
      <c r="Z455" s="36"/>
      <c r="AA455" s="36"/>
    </row>
    <row r="456" spans="16:27" x14ac:dyDescent="0.2">
      <c r="P456" s="36"/>
      <c r="Q456" s="40"/>
      <c r="R456" s="40"/>
      <c r="S456" s="40"/>
      <c r="T456" s="41"/>
      <c r="U456" s="41"/>
      <c r="V456" s="41"/>
      <c r="W456" s="36"/>
      <c r="X456" s="36"/>
      <c r="Y456" s="36"/>
      <c r="Z456" s="36"/>
      <c r="AA456" s="36"/>
    </row>
    <row r="457" spans="16:27" x14ac:dyDescent="0.2">
      <c r="P457" s="36"/>
      <c r="Q457" s="40"/>
      <c r="R457" s="40"/>
      <c r="S457" s="40"/>
      <c r="T457" s="41"/>
      <c r="U457" s="41"/>
      <c r="V457" s="41"/>
      <c r="W457" s="36"/>
      <c r="X457" s="36"/>
      <c r="Y457" s="36"/>
      <c r="Z457" s="36"/>
      <c r="AA457" s="36"/>
    </row>
    <row r="458" spans="16:27" x14ac:dyDescent="0.2">
      <c r="P458" s="36"/>
      <c r="Q458" s="40"/>
      <c r="R458" s="40"/>
      <c r="S458" s="40"/>
      <c r="T458" s="41"/>
      <c r="U458" s="41"/>
      <c r="V458" s="41"/>
      <c r="W458" s="36"/>
      <c r="X458" s="36"/>
      <c r="Y458" s="36"/>
      <c r="Z458" s="36"/>
      <c r="AA458" s="36"/>
    </row>
    <row r="459" spans="16:27" x14ac:dyDescent="0.2">
      <c r="P459" s="36"/>
      <c r="Q459" s="40"/>
      <c r="R459" s="40"/>
      <c r="S459" s="40"/>
      <c r="T459" s="41"/>
      <c r="U459" s="41"/>
      <c r="V459" s="41"/>
      <c r="W459" s="36"/>
      <c r="X459" s="36"/>
      <c r="Y459" s="36"/>
      <c r="Z459" s="36"/>
      <c r="AA459" s="36"/>
    </row>
    <row r="460" spans="16:27" x14ac:dyDescent="0.2">
      <c r="P460" s="36"/>
      <c r="Q460" s="40"/>
      <c r="R460" s="40"/>
      <c r="S460" s="40"/>
      <c r="T460" s="41"/>
      <c r="U460" s="41"/>
      <c r="V460" s="41"/>
      <c r="W460" s="36"/>
      <c r="X460" s="36"/>
      <c r="Y460" s="36"/>
      <c r="Z460" s="36"/>
      <c r="AA460" s="36"/>
    </row>
    <row r="461" spans="16:27" x14ac:dyDescent="0.2">
      <c r="P461" s="36"/>
      <c r="Q461" s="40"/>
      <c r="R461" s="40"/>
      <c r="S461" s="40"/>
      <c r="T461" s="41"/>
      <c r="U461" s="41"/>
      <c r="V461" s="41"/>
      <c r="W461" s="36"/>
      <c r="X461" s="36"/>
      <c r="Y461" s="36"/>
      <c r="Z461" s="36"/>
      <c r="AA461" s="36"/>
    </row>
    <row r="462" spans="16:27" x14ac:dyDescent="0.2">
      <c r="P462" s="36"/>
      <c r="Q462" s="40"/>
      <c r="R462" s="40"/>
      <c r="S462" s="40"/>
      <c r="T462" s="41"/>
      <c r="U462" s="41"/>
      <c r="V462" s="41"/>
      <c r="W462" s="36"/>
      <c r="X462" s="36"/>
      <c r="Y462" s="36"/>
      <c r="Z462" s="36"/>
      <c r="AA462" s="36"/>
    </row>
    <row r="463" spans="16:27" x14ac:dyDescent="0.2">
      <c r="P463" s="36"/>
      <c r="Q463" s="40"/>
      <c r="R463" s="40"/>
      <c r="S463" s="40"/>
      <c r="T463" s="41"/>
      <c r="U463" s="41"/>
      <c r="V463" s="41"/>
      <c r="W463" s="36"/>
      <c r="X463" s="36"/>
      <c r="Y463" s="36"/>
      <c r="Z463" s="36"/>
      <c r="AA463" s="36"/>
    </row>
    <row r="464" spans="16:27" x14ac:dyDescent="0.2">
      <c r="P464" s="36"/>
      <c r="Q464" s="40"/>
      <c r="R464" s="40"/>
      <c r="S464" s="40"/>
      <c r="T464" s="41"/>
      <c r="U464" s="41"/>
      <c r="V464" s="41"/>
      <c r="W464" s="36"/>
      <c r="X464" s="36"/>
      <c r="Y464" s="36"/>
      <c r="Z464" s="36"/>
      <c r="AA464" s="36"/>
    </row>
    <row r="465" spans="16:27" x14ac:dyDescent="0.2">
      <c r="P465" s="36"/>
      <c r="Q465" s="40"/>
      <c r="R465" s="40"/>
      <c r="S465" s="40"/>
      <c r="T465" s="41"/>
      <c r="U465" s="41"/>
      <c r="V465" s="41"/>
      <c r="W465" s="36"/>
      <c r="X465" s="36"/>
      <c r="Y465" s="36"/>
      <c r="Z465" s="36"/>
      <c r="AA465" s="36"/>
    </row>
    <row r="466" spans="16:27" x14ac:dyDescent="0.2">
      <c r="P466" s="36"/>
      <c r="Q466" s="40"/>
      <c r="R466" s="40"/>
      <c r="S466" s="40"/>
      <c r="T466" s="41"/>
      <c r="U466" s="41"/>
      <c r="V466" s="41"/>
      <c r="W466" s="36"/>
      <c r="X466" s="36"/>
      <c r="Y466" s="36"/>
      <c r="Z466" s="36"/>
      <c r="AA466" s="36"/>
    </row>
    <row r="467" spans="16:27" x14ac:dyDescent="0.2">
      <c r="P467" s="36"/>
      <c r="Q467" s="40"/>
      <c r="R467" s="40"/>
      <c r="S467" s="40"/>
      <c r="T467" s="41"/>
      <c r="U467" s="41"/>
      <c r="V467" s="41"/>
      <c r="W467" s="36"/>
      <c r="X467" s="36"/>
      <c r="Y467" s="36"/>
      <c r="Z467" s="36"/>
      <c r="AA467" s="36"/>
    </row>
    <row r="468" spans="16:27" x14ac:dyDescent="0.2">
      <c r="P468" s="36"/>
      <c r="Q468" s="40"/>
      <c r="R468" s="40"/>
      <c r="S468" s="40"/>
      <c r="T468" s="41"/>
      <c r="U468" s="41"/>
      <c r="V468" s="41"/>
      <c r="W468" s="36"/>
      <c r="X468" s="36"/>
      <c r="Y468" s="36"/>
      <c r="Z468" s="36"/>
      <c r="AA468" s="36"/>
    </row>
    <row r="469" spans="16:27" x14ac:dyDescent="0.2">
      <c r="P469" s="36"/>
      <c r="Q469" s="40"/>
      <c r="R469" s="40"/>
      <c r="S469" s="40"/>
      <c r="T469" s="41"/>
      <c r="U469" s="41"/>
      <c r="V469" s="41"/>
      <c r="W469" s="36"/>
      <c r="X469" s="36"/>
      <c r="Y469" s="36"/>
      <c r="Z469" s="36"/>
      <c r="AA469" s="36"/>
    </row>
    <row r="470" spans="16:27" x14ac:dyDescent="0.2">
      <c r="P470" s="36"/>
      <c r="Q470" s="40"/>
      <c r="R470" s="40"/>
      <c r="S470" s="40"/>
      <c r="T470" s="41"/>
      <c r="U470" s="41"/>
      <c r="V470" s="41"/>
      <c r="W470" s="36"/>
      <c r="X470" s="36"/>
      <c r="Y470" s="36"/>
      <c r="Z470" s="36"/>
      <c r="AA470" s="36"/>
    </row>
    <row r="471" spans="16:27" x14ac:dyDescent="0.2">
      <c r="P471" s="36"/>
      <c r="Q471" s="40"/>
      <c r="R471" s="40"/>
      <c r="S471" s="40"/>
      <c r="T471" s="41"/>
      <c r="U471" s="41"/>
      <c r="V471" s="41"/>
      <c r="W471" s="36"/>
      <c r="X471" s="36"/>
      <c r="Y471" s="36"/>
      <c r="Z471" s="36"/>
      <c r="AA471" s="36"/>
    </row>
    <row r="472" spans="16:27" x14ac:dyDescent="0.2">
      <c r="P472" s="36"/>
      <c r="Q472" s="40"/>
      <c r="R472" s="40"/>
      <c r="S472" s="40"/>
      <c r="T472" s="41"/>
      <c r="U472" s="41"/>
      <c r="V472" s="41"/>
      <c r="W472" s="36"/>
      <c r="X472" s="36"/>
      <c r="Y472" s="36"/>
      <c r="Z472" s="36"/>
      <c r="AA472" s="36"/>
    </row>
    <row r="473" spans="16:27" x14ac:dyDescent="0.2">
      <c r="P473" s="36"/>
      <c r="Q473" s="40"/>
      <c r="R473" s="40"/>
      <c r="S473" s="40"/>
      <c r="T473" s="41"/>
      <c r="U473" s="41"/>
      <c r="V473" s="41"/>
      <c r="W473" s="36"/>
      <c r="X473" s="36"/>
      <c r="Y473" s="36"/>
      <c r="Z473" s="36"/>
      <c r="AA473" s="36"/>
    </row>
    <row r="474" spans="16:27" x14ac:dyDescent="0.2">
      <c r="P474" s="36"/>
      <c r="Q474" s="40"/>
      <c r="R474" s="40"/>
      <c r="S474" s="40"/>
      <c r="T474" s="41"/>
      <c r="U474" s="41"/>
      <c r="V474" s="41"/>
      <c r="W474" s="36"/>
      <c r="X474" s="36"/>
      <c r="Y474" s="36"/>
      <c r="Z474" s="36"/>
      <c r="AA474" s="36"/>
    </row>
    <row r="475" spans="16:27" x14ac:dyDescent="0.2">
      <c r="P475" s="36"/>
      <c r="Q475" s="40"/>
      <c r="R475" s="40"/>
      <c r="S475" s="40"/>
      <c r="T475" s="41"/>
      <c r="U475" s="41"/>
      <c r="V475" s="41"/>
      <c r="W475" s="36"/>
      <c r="X475" s="36"/>
      <c r="Y475" s="36"/>
      <c r="Z475" s="36"/>
      <c r="AA475" s="36"/>
    </row>
    <row r="476" spans="16:27" x14ac:dyDescent="0.2">
      <c r="P476" s="36"/>
      <c r="Q476" s="40"/>
      <c r="R476" s="40"/>
      <c r="S476" s="40"/>
      <c r="T476" s="41"/>
      <c r="U476" s="41"/>
      <c r="V476" s="41"/>
      <c r="W476" s="36"/>
      <c r="X476" s="36"/>
      <c r="Y476" s="36"/>
      <c r="Z476" s="36"/>
      <c r="AA476" s="36"/>
    </row>
    <row r="477" spans="16:27" x14ac:dyDescent="0.2">
      <c r="P477" s="36"/>
      <c r="Q477" s="40"/>
      <c r="R477" s="40"/>
      <c r="S477" s="40"/>
      <c r="T477" s="41"/>
      <c r="U477" s="41"/>
      <c r="V477" s="41"/>
      <c r="W477" s="36"/>
      <c r="X477" s="36"/>
      <c r="Y477" s="36"/>
      <c r="Z477" s="36"/>
      <c r="AA477" s="36"/>
    </row>
    <row r="478" spans="16:27" x14ac:dyDescent="0.2">
      <c r="P478" s="36"/>
      <c r="Q478" s="40"/>
      <c r="R478" s="40"/>
      <c r="S478" s="40"/>
      <c r="T478" s="41"/>
      <c r="U478" s="41"/>
      <c r="V478" s="41"/>
      <c r="W478" s="36"/>
      <c r="X478" s="36"/>
      <c r="Y478" s="36"/>
      <c r="Z478" s="36"/>
      <c r="AA478" s="36"/>
    </row>
    <row r="479" spans="16:27" x14ac:dyDescent="0.2">
      <c r="P479" s="36"/>
      <c r="Q479" s="40"/>
      <c r="R479" s="40"/>
      <c r="S479" s="40"/>
      <c r="T479" s="41"/>
      <c r="U479" s="41"/>
      <c r="V479" s="41"/>
      <c r="W479" s="36"/>
      <c r="X479" s="36"/>
      <c r="Y479" s="36"/>
      <c r="Z479" s="36"/>
      <c r="AA479" s="36"/>
    </row>
    <row r="480" spans="16:27" x14ac:dyDescent="0.2">
      <c r="P480" s="36"/>
      <c r="Q480" s="40"/>
      <c r="R480" s="40"/>
      <c r="S480" s="40"/>
      <c r="T480" s="41"/>
      <c r="U480" s="41"/>
      <c r="V480" s="41"/>
      <c r="W480" s="36"/>
      <c r="X480" s="36"/>
      <c r="Y480" s="36"/>
      <c r="Z480" s="36"/>
      <c r="AA480" s="36"/>
    </row>
    <row r="481" spans="16:27" x14ac:dyDescent="0.2">
      <c r="P481" s="36"/>
      <c r="Q481" s="40"/>
      <c r="R481" s="40"/>
      <c r="S481" s="40"/>
      <c r="T481" s="41"/>
      <c r="U481" s="41"/>
      <c r="V481" s="41"/>
      <c r="W481" s="36"/>
      <c r="X481" s="36"/>
      <c r="Y481" s="36"/>
      <c r="Z481" s="36"/>
      <c r="AA481" s="36"/>
    </row>
    <row r="482" spans="16:27" x14ac:dyDescent="0.2">
      <c r="P482" s="36"/>
      <c r="Q482" s="40"/>
      <c r="R482" s="40"/>
      <c r="S482" s="40"/>
      <c r="T482" s="41"/>
      <c r="U482" s="41"/>
      <c r="V482" s="41"/>
      <c r="W482" s="36"/>
      <c r="X482" s="36"/>
      <c r="Y482" s="36"/>
      <c r="Z482" s="36"/>
      <c r="AA482" s="36"/>
    </row>
    <row r="483" spans="16:27" x14ac:dyDescent="0.2">
      <c r="P483" s="36"/>
      <c r="Q483" s="40"/>
      <c r="R483" s="40"/>
      <c r="S483" s="40"/>
      <c r="T483" s="41"/>
      <c r="U483" s="41"/>
      <c r="V483" s="41"/>
      <c r="W483" s="36"/>
      <c r="X483" s="36"/>
      <c r="Y483" s="36"/>
      <c r="Z483" s="36"/>
      <c r="AA483" s="36"/>
    </row>
    <row r="484" spans="16:27" x14ac:dyDescent="0.2">
      <c r="P484" s="36"/>
      <c r="Q484" s="40"/>
      <c r="R484" s="40"/>
      <c r="S484" s="40"/>
      <c r="T484" s="41"/>
      <c r="U484" s="41"/>
      <c r="V484" s="41"/>
      <c r="W484" s="36"/>
      <c r="X484" s="36"/>
      <c r="Y484" s="36"/>
      <c r="Z484" s="36"/>
      <c r="AA484" s="36"/>
    </row>
    <row r="485" spans="16:27" x14ac:dyDescent="0.2">
      <c r="P485" s="36"/>
      <c r="Q485" s="40"/>
      <c r="R485" s="40"/>
      <c r="S485" s="40"/>
      <c r="T485" s="41"/>
      <c r="U485" s="41"/>
      <c r="V485" s="41"/>
      <c r="W485" s="36"/>
      <c r="X485" s="36"/>
      <c r="Y485" s="36"/>
      <c r="Z485" s="36"/>
      <c r="AA485" s="36"/>
    </row>
    <row r="486" spans="16:27" x14ac:dyDescent="0.2">
      <c r="P486" s="36"/>
      <c r="Q486" s="40"/>
      <c r="R486" s="40"/>
      <c r="S486" s="40"/>
      <c r="T486" s="41"/>
      <c r="U486" s="41"/>
      <c r="V486" s="41"/>
      <c r="W486" s="36"/>
      <c r="X486" s="36"/>
      <c r="Y486" s="36"/>
      <c r="Z486" s="36"/>
      <c r="AA486" s="36"/>
    </row>
    <row r="487" spans="16:27" x14ac:dyDescent="0.2">
      <c r="P487" s="36"/>
      <c r="Q487" s="40"/>
      <c r="R487" s="40"/>
      <c r="S487" s="40"/>
      <c r="T487" s="41"/>
      <c r="U487" s="41"/>
      <c r="V487" s="41"/>
      <c r="W487" s="36"/>
      <c r="X487" s="36"/>
      <c r="Y487" s="36"/>
      <c r="Z487" s="36"/>
      <c r="AA487" s="36"/>
    </row>
    <row r="488" spans="16:27" x14ac:dyDescent="0.2">
      <c r="P488" s="36"/>
      <c r="Q488" s="40"/>
      <c r="R488" s="40"/>
      <c r="S488" s="40"/>
      <c r="T488" s="41"/>
      <c r="U488" s="41"/>
      <c r="V488" s="41"/>
      <c r="W488" s="36"/>
      <c r="X488" s="36"/>
      <c r="Y488" s="36"/>
      <c r="Z488" s="36"/>
      <c r="AA488" s="36"/>
    </row>
    <row r="489" spans="16:27" x14ac:dyDescent="0.2">
      <c r="P489" s="36"/>
      <c r="Q489" s="40"/>
      <c r="R489" s="40"/>
      <c r="S489" s="40"/>
      <c r="T489" s="41"/>
      <c r="U489" s="41"/>
      <c r="V489" s="41"/>
      <c r="W489" s="36"/>
      <c r="X489" s="36"/>
      <c r="Y489" s="36"/>
      <c r="Z489" s="36"/>
      <c r="AA489" s="36"/>
    </row>
    <row r="490" spans="16:27" x14ac:dyDescent="0.2">
      <c r="P490" s="36"/>
      <c r="Q490" s="40"/>
      <c r="R490" s="40"/>
      <c r="S490" s="40"/>
      <c r="T490" s="41"/>
      <c r="U490" s="41"/>
      <c r="V490" s="41"/>
      <c r="W490" s="36"/>
      <c r="X490" s="36"/>
      <c r="Y490" s="36"/>
      <c r="Z490" s="36"/>
      <c r="AA490" s="36"/>
    </row>
    <row r="491" spans="16:27" x14ac:dyDescent="0.2">
      <c r="P491" s="36"/>
      <c r="Q491" s="40"/>
      <c r="R491" s="40"/>
      <c r="S491" s="40"/>
      <c r="T491" s="41"/>
      <c r="U491" s="41"/>
      <c r="V491" s="41"/>
      <c r="W491" s="36"/>
      <c r="X491" s="36"/>
      <c r="Y491" s="36"/>
      <c r="Z491" s="36"/>
      <c r="AA491" s="36"/>
    </row>
    <row r="492" spans="16:27" x14ac:dyDescent="0.2">
      <c r="P492" s="36"/>
      <c r="Q492" s="40"/>
      <c r="R492" s="40"/>
      <c r="S492" s="40"/>
      <c r="T492" s="41"/>
      <c r="U492" s="41"/>
      <c r="V492" s="41"/>
      <c r="W492" s="36"/>
      <c r="X492" s="36"/>
      <c r="Y492" s="36"/>
      <c r="Z492" s="36"/>
      <c r="AA492" s="36"/>
    </row>
    <row r="493" spans="16:27" x14ac:dyDescent="0.2">
      <c r="P493" s="36"/>
      <c r="Q493" s="40"/>
      <c r="R493" s="40"/>
      <c r="S493" s="40"/>
      <c r="T493" s="41"/>
      <c r="U493" s="41"/>
      <c r="V493" s="41"/>
      <c r="W493" s="36"/>
      <c r="X493" s="36"/>
      <c r="Y493" s="36"/>
      <c r="Z493" s="36"/>
      <c r="AA493" s="36"/>
    </row>
    <row r="494" spans="16:27" x14ac:dyDescent="0.2">
      <c r="P494" s="36"/>
      <c r="Q494" s="40"/>
      <c r="R494" s="40"/>
      <c r="S494" s="40"/>
      <c r="T494" s="41"/>
      <c r="U494" s="41"/>
      <c r="V494" s="41"/>
      <c r="W494" s="36"/>
      <c r="X494" s="36"/>
      <c r="Y494" s="36"/>
      <c r="Z494" s="36"/>
      <c r="AA494" s="36"/>
    </row>
    <row r="495" spans="16:27" x14ac:dyDescent="0.2">
      <c r="P495" s="36"/>
      <c r="Q495" s="40"/>
      <c r="R495" s="40"/>
      <c r="S495" s="40"/>
      <c r="T495" s="41"/>
      <c r="U495" s="41"/>
      <c r="V495" s="41"/>
      <c r="W495" s="36"/>
      <c r="X495" s="36"/>
      <c r="Y495" s="36"/>
      <c r="Z495" s="36"/>
      <c r="AA495" s="36"/>
    </row>
    <row r="496" spans="16:27" x14ac:dyDescent="0.2">
      <c r="P496" s="36"/>
      <c r="Q496" s="40"/>
      <c r="R496" s="40"/>
      <c r="S496" s="40"/>
      <c r="T496" s="41"/>
      <c r="U496" s="41"/>
      <c r="V496" s="41"/>
      <c r="W496" s="36"/>
      <c r="X496" s="36"/>
      <c r="Y496" s="36"/>
      <c r="Z496" s="36"/>
      <c r="AA496" s="36"/>
    </row>
    <row r="497" spans="16:27" x14ac:dyDescent="0.2">
      <c r="P497" s="36"/>
      <c r="Q497" s="40"/>
      <c r="R497" s="40"/>
      <c r="S497" s="40"/>
      <c r="T497" s="41"/>
      <c r="U497" s="41"/>
      <c r="V497" s="41"/>
      <c r="W497" s="36"/>
      <c r="X497" s="36"/>
      <c r="Y497" s="36"/>
      <c r="Z497" s="36"/>
      <c r="AA497" s="36"/>
    </row>
    <row r="498" spans="16:27" x14ac:dyDescent="0.2">
      <c r="P498" s="36"/>
      <c r="Q498" s="40"/>
      <c r="R498" s="40"/>
      <c r="S498" s="40"/>
      <c r="T498" s="41"/>
      <c r="U498" s="41"/>
      <c r="V498" s="41"/>
      <c r="W498" s="36"/>
      <c r="X498" s="36"/>
      <c r="Y498" s="36"/>
      <c r="Z498" s="36"/>
      <c r="AA498" s="36"/>
    </row>
    <row r="499" spans="16:27" x14ac:dyDescent="0.2">
      <c r="P499" s="36"/>
      <c r="Q499" s="40"/>
      <c r="R499" s="40"/>
      <c r="S499" s="40"/>
      <c r="T499" s="41"/>
      <c r="U499" s="41"/>
      <c r="V499" s="41"/>
      <c r="W499" s="36"/>
      <c r="X499" s="36"/>
      <c r="Y499" s="36"/>
      <c r="Z499" s="36"/>
      <c r="AA499" s="36"/>
    </row>
    <row r="500" spans="16:27" x14ac:dyDescent="0.2">
      <c r="P500" s="36"/>
      <c r="Q500" s="40"/>
      <c r="R500" s="40"/>
      <c r="S500" s="40"/>
      <c r="T500" s="41"/>
      <c r="U500" s="41"/>
      <c r="V500" s="41"/>
      <c r="W500" s="36"/>
      <c r="X500" s="36"/>
      <c r="Y500" s="36"/>
      <c r="Z500" s="36"/>
      <c r="AA500" s="36"/>
    </row>
    <row r="501" spans="16:27" x14ac:dyDescent="0.2">
      <c r="P501" s="36"/>
      <c r="Q501" s="40"/>
      <c r="R501" s="40"/>
      <c r="S501" s="40"/>
      <c r="T501" s="41"/>
      <c r="U501" s="41"/>
      <c r="V501" s="41"/>
      <c r="W501" s="36"/>
      <c r="X501" s="36"/>
      <c r="Y501" s="36"/>
      <c r="Z501" s="36"/>
      <c r="AA501" s="36"/>
    </row>
    <row r="502" spans="16:27" x14ac:dyDescent="0.2">
      <c r="P502" s="36"/>
      <c r="Q502" s="40"/>
      <c r="R502" s="40"/>
      <c r="S502" s="40"/>
      <c r="T502" s="41"/>
      <c r="U502" s="41"/>
      <c r="V502" s="41"/>
      <c r="W502" s="36"/>
      <c r="X502" s="36"/>
      <c r="Y502" s="36"/>
      <c r="Z502" s="36"/>
      <c r="AA502" s="36"/>
    </row>
    <row r="503" spans="16:27" x14ac:dyDescent="0.2">
      <c r="P503" s="36"/>
      <c r="Q503" s="40"/>
      <c r="R503" s="40"/>
      <c r="S503" s="40"/>
      <c r="T503" s="41"/>
      <c r="U503" s="41"/>
      <c r="V503" s="41"/>
      <c r="W503" s="36"/>
      <c r="X503" s="36"/>
      <c r="Y503" s="36"/>
      <c r="Z503" s="36"/>
      <c r="AA503" s="36"/>
    </row>
    <row r="504" spans="16:27" x14ac:dyDescent="0.2">
      <c r="P504" s="36"/>
      <c r="Q504" s="40"/>
      <c r="R504" s="40"/>
      <c r="S504" s="40"/>
      <c r="T504" s="41"/>
      <c r="U504" s="41"/>
      <c r="V504" s="41"/>
      <c r="W504" s="36"/>
      <c r="X504" s="36"/>
      <c r="Y504" s="36"/>
      <c r="Z504" s="36"/>
      <c r="AA504" s="36"/>
    </row>
    <row r="505" spans="16:27" x14ac:dyDescent="0.2">
      <c r="P505" s="36"/>
      <c r="Q505" s="40"/>
      <c r="R505" s="40"/>
      <c r="S505" s="40"/>
      <c r="T505" s="41"/>
      <c r="U505" s="41"/>
      <c r="V505" s="41"/>
      <c r="W505" s="36"/>
      <c r="X505" s="36"/>
      <c r="Y505" s="36"/>
      <c r="Z505" s="36"/>
      <c r="AA505" s="36"/>
    </row>
    <row r="506" spans="16:27" x14ac:dyDescent="0.2">
      <c r="P506" s="36"/>
      <c r="Q506" s="40"/>
      <c r="R506" s="40"/>
      <c r="S506" s="40"/>
      <c r="T506" s="41"/>
      <c r="U506" s="41"/>
      <c r="V506" s="41"/>
      <c r="W506" s="36"/>
      <c r="X506" s="36"/>
      <c r="Y506" s="36"/>
      <c r="Z506" s="36"/>
      <c r="AA506" s="36"/>
    </row>
    <row r="507" spans="16:27" x14ac:dyDescent="0.2">
      <c r="P507" s="36"/>
      <c r="Q507" s="40"/>
      <c r="R507" s="40"/>
      <c r="S507" s="40"/>
      <c r="T507" s="41"/>
      <c r="U507" s="41"/>
      <c r="V507" s="41"/>
      <c r="W507" s="36"/>
      <c r="X507" s="36"/>
      <c r="Y507" s="36"/>
      <c r="Z507" s="36"/>
      <c r="AA507" s="36"/>
    </row>
    <row r="508" spans="16:27" x14ac:dyDescent="0.2">
      <c r="P508" s="36"/>
      <c r="Q508" s="40"/>
      <c r="R508" s="40"/>
      <c r="S508" s="40"/>
      <c r="T508" s="41"/>
      <c r="U508" s="41"/>
      <c r="V508" s="41"/>
      <c r="W508" s="36"/>
      <c r="X508" s="36"/>
      <c r="Y508" s="36"/>
      <c r="Z508" s="36"/>
      <c r="AA508" s="36"/>
    </row>
    <row r="509" spans="16:27" x14ac:dyDescent="0.2">
      <c r="P509" s="36"/>
      <c r="Q509" s="40"/>
      <c r="R509" s="40"/>
      <c r="S509" s="40"/>
      <c r="T509" s="41"/>
      <c r="U509" s="41"/>
      <c r="V509" s="41"/>
      <c r="W509" s="36"/>
      <c r="X509" s="36"/>
      <c r="Y509" s="36"/>
      <c r="Z509" s="36"/>
      <c r="AA509" s="36"/>
    </row>
    <row r="510" spans="16:27" x14ac:dyDescent="0.2">
      <c r="P510" s="36"/>
      <c r="Q510" s="40"/>
      <c r="R510" s="40"/>
      <c r="S510" s="40"/>
      <c r="T510" s="41"/>
      <c r="U510" s="41"/>
      <c r="V510" s="41"/>
      <c r="W510" s="36"/>
      <c r="X510" s="36"/>
      <c r="Y510" s="36"/>
      <c r="Z510" s="36"/>
      <c r="AA510" s="36"/>
    </row>
    <row r="511" spans="16:27" x14ac:dyDescent="0.2">
      <c r="P511" s="36"/>
      <c r="Q511" s="40"/>
      <c r="R511" s="40"/>
      <c r="S511" s="40"/>
      <c r="T511" s="41"/>
      <c r="U511" s="41"/>
      <c r="V511" s="41"/>
      <c r="W511" s="36"/>
      <c r="X511" s="36"/>
      <c r="Y511" s="36"/>
      <c r="Z511" s="36"/>
      <c r="AA511" s="36"/>
    </row>
    <row r="512" spans="16:27" x14ac:dyDescent="0.2">
      <c r="P512" s="36"/>
      <c r="Q512" s="40"/>
      <c r="R512" s="40"/>
      <c r="S512" s="40"/>
      <c r="T512" s="41"/>
      <c r="U512" s="41"/>
      <c r="V512" s="41"/>
      <c r="W512" s="36"/>
      <c r="X512" s="36"/>
      <c r="Y512" s="36"/>
      <c r="Z512" s="36"/>
      <c r="AA512" s="36"/>
    </row>
    <row r="513" spans="16:27" x14ac:dyDescent="0.2">
      <c r="P513" s="36"/>
      <c r="Q513" s="40"/>
      <c r="R513" s="40"/>
      <c r="S513" s="40"/>
      <c r="T513" s="41"/>
      <c r="U513" s="41"/>
      <c r="V513" s="41"/>
      <c r="W513" s="36"/>
      <c r="X513" s="36"/>
      <c r="Y513" s="36"/>
      <c r="Z513" s="36"/>
      <c r="AA513" s="36"/>
    </row>
    <row r="514" spans="16:27" x14ac:dyDescent="0.2">
      <c r="P514" s="36"/>
      <c r="Q514" s="40"/>
      <c r="R514" s="40"/>
      <c r="S514" s="40"/>
      <c r="T514" s="41"/>
      <c r="U514" s="41"/>
      <c r="V514" s="41"/>
      <c r="W514" s="36"/>
      <c r="X514" s="36"/>
      <c r="Y514" s="36"/>
      <c r="Z514" s="36"/>
      <c r="AA514" s="36"/>
    </row>
    <row r="515" spans="16:27" x14ac:dyDescent="0.2">
      <c r="P515" s="36"/>
      <c r="Q515" s="40"/>
      <c r="R515" s="40"/>
      <c r="S515" s="40"/>
      <c r="T515" s="41"/>
      <c r="U515" s="41"/>
      <c r="V515" s="41"/>
      <c r="W515" s="36"/>
      <c r="X515" s="36"/>
      <c r="Y515" s="36"/>
      <c r="Z515" s="36"/>
      <c r="AA515" s="36"/>
    </row>
    <row r="516" spans="16:27" x14ac:dyDescent="0.2">
      <c r="P516" s="36"/>
      <c r="Q516" s="40"/>
      <c r="R516" s="40"/>
      <c r="S516" s="40"/>
      <c r="T516" s="41"/>
      <c r="U516" s="41"/>
      <c r="V516" s="41"/>
      <c r="W516" s="36"/>
      <c r="X516" s="36"/>
      <c r="Y516" s="36"/>
      <c r="Z516" s="36"/>
      <c r="AA516" s="36"/>
    </row>
    <row r="517" spans="16:27" x14ac:dyDescent="0.2">
      <c r="P517" s="36"/>
      <c r="Q517" s="40"/>
      <c r="R517" s="40"/>
      <c r="S517" s="40"/>
      <c r="T517" s="41"/>
      <c r="U517" s="41"/>
      <c r="V517" s="41"/>
      <c r="W517" s="36"/>
      <c r="X517" s="36"/>
      <c r="Y517" s="36"/>
      <c r="Z517" s="36"/>
      <c r="AA517" s="36"/>
    </row>
    <row r="518" spans="16:27" x14ac:dyDescent="0.2">
      <c r="P518" s="36"/>
      <c r="Q518" s="40"/>
      <c r="R518" s="40"/>
      <c r="S518" s="40"/>
      <c r="T518" s="41"/>
      <c r="U518" s="41"/>
      <c r="V518" s="41"/>
      <c r="W518" s="36"/>
      <c r="X518" s="36"/>
      <c r="Y518" s="36"/>
      <c r="Z518" s="36"/>
      <c r="AA518" s="36"/>
    </row>
    <row r="519" spans="16:27" x14ac:dyDescent="0.2">
      <c r="P519" s="36"/>
      <c r="Q519" s="40"/>
      <c r="R519" s="40"/>
      <c r="S519" s="40"/>
      <c r="T519" s="41"/>
      <c r="U519" s="41"/>
      <c r="V519" s="41"/>
      <c r="W519" s="36"/>
      <c r="X519" s="36"/>
      <c r="Y519" s="36"/>
      <c r="Z519" s="36"/>
      <c r="AA519" s="36"/>
    </row>
    <row r="520" spans="16:27" x14ac:dyDescent="0.2">
      <c r="P520" s="36"/>
      <c r="Q520" s="40"/>
      <c r="R520" s="40"/>
      <c r="S520" s="40"/>
      <c r="T520" s="41"/>
      <c r="U520" s="41"/>
      <c r="V520" s="41"/>
      <c r="W520" s="36"/>
      <c r="X520" s="36"/>
      <c r="Y520" s="36"/>
      <c r="Z520" s="36"/>
      <c r="AA520" s="36"/>
    </row>
    <row r="521" spans="16:27" x14ac:dyDescent="0.2">
      <c r="P521" s="36"/>
      <c r="Q521" s="40"/>
      <c r="R521" s="40"/>
      <c r="S521" s="40"/>
      <c r="T521" s="41"/>
      <c r="U521" s="41"/>
      <c r="V521" s="41"/>
      <c r="W521" s="36"/>
      <c r="X521" s="36"/>
      <c r="Y521" s="36"/>
      <c r="Z521" s="36"/>
      <c r="AA521" s="36"/>
    </row>
    <row r="522" spans="16:27" x14ac:dyDescent="0.2">
      <c r="P522" s="36"/>
      <c r="Q522" s="40"/>
      <c r="R522" s="40"/>
      <c r="S522" s="40"/>
      <c r="T522" s="41"/>
      <c r="U522" s="41"/>
      <c r="V522" s="41"/>
      <c r="W522" s="36"/>
      <c r="X522" s="36"/>
      <c r="Y522" s="36"/>
      <c r="Z522" s="36"/>
      <c r="AA522" s="36"/>
    </row>
    <row r="523" spans="16:27" x14ac:dyDescent="0.2">
      <c r="P523" s="36"/>
      <c r="Q523" s="40"/>
      <c r="R523" s="40"/>
      <c r="S523" s="40"/>
      <c r="T523" s="41"/>
      <c r="U523" s="41"/>
      <c r="V523" s="41"/>
      <c r="W523" s="36"/>
      <c r="X523" s="36"/>
      <c r="Y523" s="36"/>
      <c r="Z523" s="36"/>
      <c r="AA523" s="36"/>
    </row>
    <row r="524" spans="16:27" x14ac:dyDescent="0.2">
      <c r="P524" s="36"/>
      <c r="Q524" s="40"/>
      <c r="R524" s="40"/>
      <c r="S524" s="40"/>
      <c r="T524" s="41"/>
      <c r="U524" s="41"/>
      <c r="V524" s="41"/>
      <c r="W524" s="36"/>
      <c r="X524" s="36"/>
      <c r="Y524" s="36"/>
      <c r="Z524" s="36"/>
      <c r="AA524" s="36"/>
    </row>
    <row r="525" spans="16:27" x14ac:dyDescent="0.2">
      <c r="P525" s="36"/>
      <c r="Q525" s="40"/>
      <c r="R525" s="40"/>
      <c r="S525" s="40"/>
      <c r="T525" s="41"/>
      <c r="U525" s="41"/>
      <c r="V525" s="41"/>
      <c r="W525" s="36"/>
      <c r="X525" s="36"/>
      <c r="Y525" s="36"/>
      <c r="Z525" s="36"/>
      <c r="AA525" s="36"/>
    </row>
    <row r="526" spans="16:27" x14ac:dyDescent="0.2">
      <c r="P526" s="36"/>
      <c r="Q526" s="40"/>
      <c r="R526" s="40"/>
      <c r="S526" s="40"/>
      <c r="T526" s="41"/>
      <c r="U526" s="41"/>
      <c r="V526" s="41"/>
      <c r="W526" s="36"/>
      <c r="X526" s="36"/>
      <c r="Y526" s="36"/>
      <c r="Z526" s="36"/>
      <c r="AA526" s="36"/>
    </row>
    <row r="527" spans="16:27" x14ac:dyDescent="0.2">
      <c r="P527" s="36"/>
      <c r="Q527" s="40"/>
      <c r="R527" s="40"/>
      <c r="S527" s="40"/>
      <c r="T527" s="41"/>
      <c r="U527" s="41"/>
      <c r="V527" s="41"/>
      <c r="W527" s="36"/>
      <c r="X527" s="36"/>
      <c r="Y527" s="36"/>
      <c r="Z527" s="36"/>
      <c r="AA527" s="36"/>
    </row>
    <row r="528" spans="16:27" x14ac:dyDescent="0.2">
      <c r="P528" s="36"/>
      <c r="Q528" s="40"/>
      <c r="R528" s="40"/>
      <c r="S528" s="40"/>
      <c r="T528" s="41"/>
      <c r="U528" s="41"/>
      <c r="V528" s="41"/>
      <c r="W528" s="36"/>
      <c r="X528" s="36"/>
      <c r="Y528" s="36"/>
      <c r="Z528" s="36"/>
      <c r="AA528" s="36"/>
    </row>
    <row r="529" spans="16:27" x14ac:dyDescent="0.2">
      <c r="P529" s="36"/>
      <c r="Q529" s="40"/>
      <c r="R529" s="40"/>
      <c r="S529" s="40"/>
      <c r="T529" s="41"/>
      <c r="U529" s="41"/>
      <c r="V529" s="41"/>
      <c r="W529" s="36"/>
      <c r="X529" s="36"/>
      <c r="Y529" s="36"/>
      <c r="Z529" s="36"/>
      <c r="AA529" s="36"/>
    </row>
    <row r="530" spans="16:27" x14ac:dyDescent="0.2">
      <c r="P530" s="36"/>
      <c r="Q530" s="40"/>
      <c r="R530" s="40"/>
      <c r="S530" s="40"/>
      <c r="T530" s="41"/>
      <c r="U530" s="41"/>
      <c r="V530" s="41"/>
      <c r="W530" s="36"/>
      <c r="X530" s="36"/>
      <c r="Y530" s="36"/>
      <c r="Z530" s="36"/>
      <c r="AA530" s="36"/>
    </row>
    <row r="531" spans="16:27" x14ac:dyDescent="0.2">
      <c r="P531" s="36"/>
      <c r="Q531" s="40"/>
      <c r="R531" s="40"/>
      <c r="S531" s="40"/>
      <c r="T531" s="41"/>
      <c r="U531" s="41"/>
      <c r="V531" s="41"/>
      <c r="W531" s="36"/>
      <c r="X531" s="36"/>
      <c r="Y531" s="36"/>
      <c r="Z531" s="36"/>
      <c r="AA531" s="36"/>
    </row>
    <row r="532" spans="16:27" x14ac:dyDescent="0.2">
      <c r="P532" s="36"/>
      <c r="Q532" s="40"/>
      <c r="R532" s="40"/>
      <c r="S532" s="40"/>
      <c r="T532" s="41"/>
      <c r="U532" s="41"/>
      <c r="V532" s="41"/>
      <c r="W532" s="36"/>
      <c r="X532" s="36"/>
      <c r="Y532" s="36"/>
      <c r="Z532" s="36"/>
      <c r="AA532" s="36"/>
    </row>
    <row r="533" spans="16:27" x14ac:dyDescent="0.2">
      <c r="P533" s="36"/>
      <c r="Q533" s="40"/>
      <c r="R533" s="40"/>
      <c r="S533" s="40"/>
      <c r="T533" s="41"/>
      <c r="U533" s="41"/>
      <c r="V533" s="41"/>
      <c r="W533" s="36"/>
      <c r="X533" s="36"/>
      <c r="Y533" s="36"/>
      <c r="Z533" s="36"/>
      <c r="AA533" s="36"/>
    </row>
    <row r="534" spans="16:27" x14ac:dyDescent="0.2">
      <c r="P534" s="36"/>
      <c r="Q534" s="40"/>
      <c r="R534" s="40"/>
      <c r="S534" s="40"/>
      <c r="T534" s="41"/>
      <c r="U534" s="41"/>
      <c r="V534" s="41"/>
      <c r="W534" s="36"/>
      <c r="X534" s="36"/>
      <c r="Y534" s="36"/>
      <c r="Z534" s="36"/>
      <c r="AA534" s="36"/>
    </row>
    <row r="535" spans="16:27" x14ac:dyDescent="0.2">
      <c r="P535" s="36"/>
      <c r="Q535" s="40"/>
      <c r="R535" s="40"/>
      <c r="S535" s="40"/>
      <c r="T535" s="41"/>
      <c r="U535" s="41"/>
      <c r="V535" s="41"/>
      <c r="W535" s="36"/>
      <c r="X535" s="36"/>
      <c r="Y535" s="36"/>
      <c r="Z535" s="36"/>
      <c r="AA535" s="36"/>
    </row>
    <row r="536" spans="16:27" x14ac:dyDescent="0.2">
      <c r="P536" s="36"/>
      <c r="Q536" s="40"/>
      <c r="R536" s="40"/>
      <c r="S536" s="40"/>
      <c r="T536" s="41"/>
      <c r="U536" s="41"/>
      <c r="V536" s="41"/>
      <c r="W536" s="36"/>
      <c r="X536" s="36"/>
      <c r="Y536" s="36"/>
      <c r="Z536" s="36"/>
      <c r="AA536" s="36"/>
    </row>
    <row r="537" spans="16:27" x14ac:dyDescent="0.2">
      <c r="P537" s="36"/>
      <c r="Q537" s="40"/>
      <c r="R537" s="40"/>
      <c r="S537" s="40"/>
      <c r="T537" s="41"/>
      <c r="U537" s="41"/>
      <c r="V537" s="41"/>
      <c r="W537" s="36"/>
      <c r="X537" s="36"/>
      <c r="Y537" s="36"/>
      <c r="Z537" s="36"/>
      <c r="AA537" s="36"/>
    </row>
    <row r="538" spans="16:27" x14ac:dyDescent="0.2">
      <c r="P538" s="36"/>
      <c r="Q538" s="40"/>
      <c r="R538" s="40"/>
      <c r="S538" s="40"/>
      <c r="T538" s="41"/>
      <c r="U538" s="41"/>
      <c r="V538" s="41"/>
      <c r="W538" s="36"/>
      <c r="X538" s="36"/>
      <c r="Y538" s="36"/>
      <c r="Z538" s="36"/>
      <c r="AA538" s="36"/>
    </row>
    <row r="539" spans="16:27" x14ac:dyDescent="0.2">
      <c r="P539" s="36"/>
      <c r="Q539" s="40"/>
      <c r="R539" s="40"/>
      <c r="S539" s="40"/>
      <c r="T539" s="41"/>
      <c r="U539" s="41"/>
      <c r="V539" s="41"/>
      <c r="W539" s="36"/>
      <c r="X539" s="36"/>
      <c r="Y539" s="36"/>
      <c r="Z539" s="36"/>
      <c r="AA539" s="36"/>
    </row>
    <row r="540" spans="16:27" x14ac:dyDescent="0.2">
      <c r="P540" s="36"/>
      <c r="Q540" s="40"/>
      <c r="R540" s="40"/>
      <c r="S540" s="40"/>
      <c r="T540" s="41"/>
      <c r="U540" s="41"/>
      <c r="V540" s="41"/>
      <c r="W540" s="36"/>
      <c r="X540" s="36"/>
      <c r="Y540" s="36"/>
      <c r="Z540" s="36"/>
      <c r="AA540" s="36"/>
    </row>
    <row r="541" spans="16:27" x14ac:dyDescent="0.2">
      <c r="P541" s="36"/>
      <c r="Q541" s="40"/>
      <c r="R541" s="40"/>
      <c r="S541" s="40"/>
      <c r="T541" s="41"/>
      <c r="U541" s="41"/>
      <c r="V541" s="41"/>
      <c r="W541" s="36"/>
      <c r="X541" s="36"/>
      <c r="Y541" s="36"/>
      <c r="Z541" s="36"/>
      <c r="AA541" s="36"/>
    </row>
    <row r="542" spans="16:27" x14ac:dyDescent="0.2">
      <c r="P542" s="36"/>
      <c r="Q542" s="40"/>
      <c r="R542" s="40"/>
      <c r="S542" s="40"/>
      <c r="T542" s="41"/>
      <c r="U542" s="41"/>
      <c r="V542" s="41"/>
      <c r="W542" s="36"/>
      <c r="X542" s="36"/>
      <c r="Y542" s="36"/>
      <c r="Z542" s="36"/>
      <c r="AA542" s="36"/>
    </row>
    <row r="543" spans="16:27" x14ac:dyDescent="0.2">
      <c r="P543" s="36"/>
      <c r="Q543" s="40"/>
      <c r="R543" s="40"/>
      <c r="S543" s="40"/>
      <c r="T543" s="41"/>
      <c r="U543" s="41"/>
      <c r="V543" s="41"/>
      <c r="W543" s="36"/>
      <c r="X543" s="36"/>
      <c r="Y543" s="36"/>
      <c r="Z543" s="36"/>
      <c r="AA543" s="36"/>
    </row>
    <row r="544" spans="16:27" x14ac:dyDescent="0.2">
      <c r="P544" s="36"/>
      <c r="Q544" s="40"/>
      <c r="R544" s="40"/>
      <c r="S544" s="40"/>
      <c r="T544" s="41"/>
      <c r="U544" s="41"/>
      <c r="V544" s="41"/>
      <c r="W544" s="36"/>
      <c r="X544" s="36"/>
      <c r="Y544" s="36"/>
      <c r="Z544" s="36"/>
      <c r="AA544" s="36"/>
    </row>
    <row r="545" spans="16:27" x14ac:dyDescent="0.2">
      <c r="P545" s="36"/>
      <c r="Q545" s="40"/>
      <c r="R545" s="40"/>
      <c r="S545" s="40"/>
      <c r="T545" s="41"/>
      <c r="U545" s="41"/>
      <c r="V545" s="41"/>
      <c r="W545" s="36"/>
      <c r="X545" s="36"/>
      <c r="Y545" s="36"/>
      <c r="Z545" s="36"/>
      <c r="AA545" s="36"/>
    </row>
    <row r="546" spans="16:27" x14ac:dyDescent="0.2">
      <c r="P546" s="36"/>
      <c r="Q546" s="40"/>
      <c r="R546" s="40"/>
      <c r="S546" s="40"/>
      <c r="T546" s="41"/>
      <c r="U546" s="41"/>
      <c r="V546" s="41"/>
      <c r="W546" s="36"/>
      <c r="X546" s="36"/>
      <c r="Y546" s="36"/>
      <c r="Z546" s="36"/>
      <c r="AA546" s="36"/>
    </row>
    <row r="547" spans="16:27" x14ac:dyDescent="0.2">
      <c r="P547" s="36"/>
      <c r="Q547" s="40"/>
      <c r="R547" s="40"/>
      <c r="S547" s="40"/>
      <c r="T547" s="41"/>
      <c r="U547" s="41"/>
      <c r="V547" s="41"/>
      <c r="W547" s="36"/>
      <c r="X547" s="36"/>
      <c r="Y547" s="36"/>
      <c r="Z547" s="36"/>
      <c r="AA547" s="36"/>
    </row>
    <row r="548" spans="16:27" x14ac:dyDescent="0.2">
      <c r="P548" s="36"/>
      <c r="Q548" s="40"/>
      <c r="R548" s="40"/>
      <c r="S548" s="40"/>
      <c r="T548" s="41"/>
      <c r="U548" s="41"/>
      <c r="V548" s="41"/>
      <c r="W548" s="36"/>
      <c r="X548" s="36"/>
      <c r="Y548" s="36"/>
      <c r="Z548" s="36"/>
      <c r="AA548" s="36"/>
    </row>
    <row r="549" spans="16:27" x14ac:dyDescent="0.2">
      <c r="P549" s="36"/>
      <c r="Q549" s="40"/>
      <c r="R549" s="40"/>
      <c r="S549" s="40"/>
      <c r="T549" s="41"/>
      <c r="U549" s="41"/>
      <c r="V549" s="41"/>
      <c r="W549" s="36"/>
      <c r="X549" s="36"/>
      <c r="Y549" s="36"/>
      <c r="Z549" s="36"/>
      <c r="AA549" s="36"/>
    </row>
    <row r="550" spans="16:27" x14ac:dyDescent="0.2">
      <c r="P550" s="36"/>
      <c r="Q550" s="40"/>
      <c r="R550" s="40"/>
      <c r="S550" s="40"/>
      <c r="T550" s="41"/>
      <c r="U550" s="41"/>
      <c r="V550" s="41"/>
      <c r="W550" s="36"/>
      <c r="X550" s="36"/>
      <c r="Y550" s="36"/>
      <c r="Z550" s="36"/>
      <c r="AA550" s="36"/>
    </row>
    <row r="551" spans="16:27" x14ac:dyDescent="0.2">
      <c r="P551" s="36"/>
      <c r="Q551" s="40"/>
      <c r="R551" s="40"/>
      <c r="S551" s="40"/>
      <c r="T551" s="41"/>
      <c r="U551" s="41"/>
      <c r="V551" s="41"/>
      <c r="W551" s="36"/>
      <c r="X551" s="36"/>
      <c r="Y551" s="36"/>
      <c r="Z551" s="36"/>
      <c r="AA551" s="36"/>
    </row>
    <row r="552" spans="16:27" x14ac:dyDescent="0.2">
      <c r="P552" s="36"/>
      <c r="Q552" s="40"/>
      <c r="R552" s="40"/>
      <c r="S552" s="40"/>
      <c r="T552" s="41"/>
      <c r="U552" s="41"/>
      <c r="V552" s="41"/>
      <c r="W552" s="36"/>
      <c r="X552" s="36"/>
      <c r="Y552" s="36"/>
      <c r="Z552" s="36"/>
      <c r="AA552" s="36"/>
    </row>
    <row r="553" spans="16:27" x14ac:dyDescent="0.2">
      <c r="P553" s="36"/>
      <c r="Q553" s="40"/>
      <c r="R553" s="40"/>
      <c r="S553" s="40"/>
      <c r="T553" s="41"/>
      <c r="U553" s="41"/>
      <c r="V553" s="41"/>
      <c r="W553" s="36"/>
      <c r="X553" s="36"/>
      <c r="Y553" s="36"/>
      <c r="Z553" s="36"/>
      <c r="AA553" s="36"/>
    </row>
    <row r="554" spans="16:27" x14ac:dyDescent="0.2">
      <c r="P554" s="36"/>
      <c r="Q554" s="40"/>
      <c r="R554" s="40"/>
      <c r="S554" s="40"/>
      <c r="T554" s="41"/>
      <c r="U554" s="41"/>
      <c r="V554" s="41"/>
      <c r="W554" s="36"/>
      <c r="X554" s="36"/>
      <c r="Y554" s="36"/>
      <c r="Z554" s="36"/>
      <c r="AA554" s="36"/>
    </row>
    <row r="555" spans="16:27" x14ac:dyDescent="0.2">
      <c r="P555" s="36"/>
      <c r="Q555" s="40"/>
      <c r="R555" s="40"/>
      <c r="S555" s="40"/>
      <c r="T555" s="41"/>
      <c r="U555" s="41"/>
      <c r="V555" s="41"/>
      <c r="W555" s="36"/>
      <c r="X555" s="36"/>
      <c r="Y555" s="36"/>
      <c r="Z555" s="36"/>
      <c r="AA555" s="36"/>
    </row>
    <row r="556" spans="16:27" x14ac:dyDescent="0.2">
      <c r="P556" s="36"/>
      <c r="Q556" s="40"/>
      <c r="R556" s="40"/>
      <c r="S556" s="40"/>
      <c r="T556" s="41"/>
      <c r="U556" s="41"/>
      <c r="V556" s="41"/>
      <c r="W556" s="36"/>
      <c r="X556" s="36"/>
      <c r="Y556" s="36"/>
      <c r="Z556" s="36"/>
      <c r="AA556" s="36"/>
    </row>
    <row r="557" spans="16:27" x14ac:dyDescent="0.2">
      <c r="P557" s="36"/>
      <c r="Q557" s="40"/>
      <c r="R557" s="40"/>
      <c r="S557" s="40"/>
      <c r="T557" s="41"/>
      <c r="U557" s="41"/>
      <c r="V557" s="41"/>
      <c r="W557" s="36"/>
      <c r="X557" s="36"/>
      <c r="Y557" s="36"/>
      <c r="Z557" s="36"/>
      <c r="AA557" s="36"/>
    </row>
    <row r="558" spans="16:27" x14ac:dyDescent="0.2">
      <c r="P558" s="36"/>
      <c r="Q558" s="40"/>
      <c r="R558" s="40"/>
      <c r="S558" s="40"/>
      <c r="T558" s="41"/>
      <c r="U558" s="41"/>
      <c r="V558" s="41"/>
      <c r="W558" s="36"/>
      <c r="X558" s="36"/>
      <c r="Y558" s="36"/>
      <c r="Z558" s="36"/>
      <c r="AA558" s="36"/>
    </row>
    <row r="559" spans="16:27" x14ac:dyDescent="0.2">
      <c r="P559" s="36"/>
      <c r="Q559" s="40"/>
      <c r="R559" s="40"/>
      <c r="S559" s="40"/>
      <c r="T559" s="41"/>
      <c r="U559" s="41"/>
      <c r="V559" s="41"/>
      <c r="W559" s="36"/>
      <c r="X559" s="36"/>
      <c r="Y559" s="36"/>
      <c r="Z559" s="36"/>
      <c r="AA559" s="36"/>
    </row>
    <row r="560" spans="16:27" x14ac:dyDescent="0.2">
      <c r="P560" s="36"/>
      <c r="Q560" s="40"/>
      <c r="R560" s="40"/>
      <c r="S560" s="40"/>
      <c r="T560" s="41"/>
      <c r="U560" s="41"/>
      <c r="V560" s="41"/>
      <c r="W560" s="36"/>
      <c r="X560" s="36"/>
      <c r="Y560" s="36"/>
      <c r="Z560" s="36"/>
      <c r="AA560" s="36"/>
    </row>
    <row r="561" spans="16:27" x14ac:dyDescent="0.2">
      <c r="P561" s="36"/>
      <c r="Q561" s="40"/>
      <c r="R561" s="40"/>
      <c r="S561" s="40"/>
      <c r="T561" s="41"/>
      <c r="U561" s="41"/>
      <c r="V561" s="41"/>
      <c r="W561" s="36"/>
      <c r="X561" s="36"/>
      <c r="Y561" s="36"/>
      <c r="Z561" s="36"/>
      <c r="AA561" s="36"/>
    </row>
    <row r="562" spans="16:27" x14ac:dyDescent="0.2">
      <c r="P562" s="36"/>
      <c r="Q562" s="40"/>
      <c r="R562" s="40"/>
      <c r="S562" s="40"/>
      <c r="T562" s="41"/>
      <c r="U562" s="41"/>
      <c r="V562" s="41"/>
      <c r="W562" s="36"/>
      <c r="X562" s="36"/>
      <c r="Y562" s="36"/>
      <c r="Z562" s="36"/>
      <c r="AA562" s="36"/>
    </row>
    <row r="563" spans="16:27" x14ac:dyDescent="0.2">
      <c r="P563" s="36"/>
      <c r="Q563" s="40"/>
      <c r="R563" s="40"/>
      <c r="S563" s="40"/>
      <c r="T563" s="41"/>
      <c r="U563" s="41"/>
      <c r="V563" s="41"/>
      <c r="W563" s="36"/>
      <c r="X563" s="36"/>
      <c r="Y563" s="36"/>
      <c r="Z563" s="36"/>
      <c r="AA563" s="36"/>
    </row>
    <row r="564" spans="16:27" x14ac:dyDescent="0.2">
      <c r="P564" s="36"/>
      <c r="Q564" s="40"/>
      <c r="R564" s="40"/>
      <c r="S564" s="40"/>
      <c r="T564" s="41"/>
      <c r="U564" s="41"/>
      <c r="V564" s="41"/>
      <c r="W564" s="36"/>
      <c r="X564" s="36"/>
      <c r="Y564" s="36"/>
      <c r="Z564" s="36"/>
      <c r="AA564" s="36"/>
    </row>
    <row r="565" spans="16:27" x14ac:dyDescent="0.2">
      <c r="P565" s="36"/>
      <c r="Q565" s="40"/>
      <c r="R565" s="40"/>
      <c r="S565" s="40"/>
      <c r="T565" s="41"/>
      <c r="U565" s="41"/>
      <c r="V565" s="41"/>
      <c r="W565" s="36"/>
      <c r="X565" s="36"/>
      <c r="Y565" s="36"/>
      <c r="Z565" s="36"/>
      <c r="AA565" s="36"/>
    </row>
    <row r="566" spans="16:27" x14ac:dyDescent="0.2">
      <c r="P566" s="36"/>
      <c r="Q566" s="40"/>
      <c r="R566" s="40"/>
      <c r="S566" s="40"/>
      <c r="T566" s="41"/>
      <c r="U566" s="41"/>
      <c r="V566" s="41"/>
      <c r="W566" s="36"/>
      <c r="X566" s="36"/>
      <c r="Y566" s="36"/>
      <c r="Z566" s="36"/>
      <c r="AA566" s="36"/>
    </row>
    <row r="567" spans="16:27" x14ac:dyDescent="0.2">
      <c r="P567" s="36"/>
      <c r="Q567" s="40"/>
      <c r="R567" s="40"/>
      <c r="S567" s="40"/>
      <c r="T567" s="41"/>
      <c r="U567" s="41"/>
      <c r="V567" s="41"/>
      <c r="W567" s="36"/>
      <c r="X567" s="36"/>
      <c r="Y567" s="36"/>
      <c r="Z567" s="36"/>
      <c r="AA567" s="36"/>
    </row>
    <row r="568" spans="16:27" x14ac:dyDescent="0.2">
      <c r="P568" s="36"/>
      <c r="Q568" s="40"/>
      <c r="R568" s="40"/>
      <c r="S568" s="40"/>
      <c r="T568" s="41"/>
      <c r="U568" s="41"/>
      <c r="V568" s="41"/>
      <c r="W568" s="36"/>
      <c r="X568" s="36"/>
      <c r="Y568" s="36"/>
      <c r="Z568" s="36"/>
      <c r="AA568" s="36"/>
    </row>
    <row r="569" spans="16:27" x14ac:dyDescent="0.2">
      <c r="P569" s="36"/>
      <c r="Q569" s="40"/>
      <c r="R569" s="40"/>
      <c r="S569" s="40"/>
      <c r="T569" s="41"/>
      <c r="U569" s="41"/>
      <c r="V569" s="41"/>
      <c r="W569" s="36"/>
      <c r="X569" s="36"/>
      <c r="Y569" s="36"/>
      <c r="Z569" s="36"/>
      <c r="AA569" s="36"/>
    </row>
    <row r="570" spans="16:27" x14ac:dyDescent="0.2">
      <c r="P570" s="36"/>
      <c r="Q570" s="40"/>
      <c r="R570" s="40"/>
      <c r="S570" s="40"/>
      <c r="T570" s="41"/>
      <c r="U570" s="41"/>
      <c r="V570" s="41"/>
      <c r="W570" s="36"/>
      <c r="X570" s="36"/>
      <c r="Y570" s="36"/>
      <c r="Z570" s="36"/>
      <c r="AA570" s="36"/>
    </row>
    <row r="571" spans="16:27" x14ac:dyDescent="0.2">
      <c r="P571" s="36"/>
      <c r="Q571" s="40"/>
      <c r="R571" s="40"/>
      <c r="S571" s="40"/>
      <c r="T571" s="41"/>
      <c r="U571" s="41"/>
      <c r="V571" s="41"/>
      <c r="W571" s="36"/>
      <c r="X571" s="36"/>
      <c r="Y571" s="36"/>
      <c r="Z571" s="36"/>
      <c r="AA571" s="36"/>
    </row>
    <row r="572" spans="16:27" x14ac:dyDescent="0.2">
      <c r="P572" s="36"/>
      <c r="Q572" s="40"/>
      <c r="R572" s="40"/>
      <c r="S572" s="40"/>
      <c r="T572" s="41"/>
      <c r="U572" s="41"/>
      <c r="V572" s="41"/>
      <c r="W572" s="36"/>
      <c r="X572" s="36"/>
      <c r="Y572" s="36"/>
      <c r="Z572" s="36"/>
      <c r="AA572" s="36"/>
    </row>
    <row r="573" spans="16:27" x14ac:dyDescent="0.2">
      <c r="P573" s="36"/>
      <c r="Q573" s="40"/>
      <c r="R573" s="40"/>
      <c r="S573" s="40"/>
      <c r="T573" s="41"/>
      <c r="U573" s="41"/>
      <c r="V573" s="41"/>
      <c r="W573" s="36"/>
      <c r="X573" s="36"/>
      <c r="Y573" s="36"/>
      <c r="Z573" s="36"/>
      <c r="AA573" s="36"/>
    </row>
    <row r="574" spans="16:27" x14ac:dyDescent="0.2">
      <c r="P574" s="36"/>
      <c r="Q574" s="40"/>
      <c r="R574" s="40"/>
      <c r="S574" s="40"/>
      <c r="T574" s="41"/>
      <c r="U574" s="41"/>
      <c r="V574" s="41"/>
      <c r="W574" s="36"/>
      <c r="X574" s="36"/>
      <c r="Y574" s="36"/>
      <c r="Z574" s="36"/>
      <c r="AA574" s="36"/>
    </row>
    <row r="575" spans="16:27" x14ac:dyDescent="0.2">
      <c r="P575" s="36"/>
      <c r="Q575" s="40"/>
      <c r="R575" s="40"/>
      <c r="S575" s="40"/>
      <c r="T575" s="41"/>
      <c r="U575" s="41"/>
      <c r="V575" s="41"/>
      <c r="W575" s="36"/>
      <c r="X575" s="36"/>
      <c r="Y575" s="36"/>
      <c r="Z575" s="36"/>
      <c r="AA575" s="36"/>
    </row>
    <row r="576" spans="16:27" x14ac:dyDescent="0.2">
      <c r="P576" s="36"/>
      <c r="Q576" s="40"/>
      <c r="R576" s="40"/>
      <c r="S576" s="40"/>
      <c r="T576" s="41"/>
      <c r="U576" s="41"/>
      <c r="V576" s="41"/>
      <c r="W576" s="36"/>
      <c r="X576" s="36"/>
      <c r="Y576" s="36"/>
      <c r="Z576" s="36"/>
      <c r="AA576" s="36"/>
    </row>
    <row r="577" spans="16:27" x14ac:dyDescent="0.2">
      <c r="P577" s="36"/>
      <c r="Q577" s="40"/>
      <c r="R577" s="40"/>
      <c r="S577" s="40"/>
      <c r="T577" s="41"/>
      <c r="U577" s="41"/>
      <c r="V577" s="41"/>
      <c r="W577" s="36"/>
      <c r="X577" s="36"/>
      <c r="Y577" s="36"/>
      <c r="Z577" s="36"/>
      <c r="AA577" s="36"/>
    </row>
    <row r="578" spans="16:27" x14ac:dyDescent="0.2">
      <c r="P578" s="36"/>
      <c r="Q578" s="40"/>
      <c r="R578" s="40"/>
      <c r="S578" s="40"/>
      <c r="T578" s="41"/>
      <c r="U578" s="41"/>
      <c r="V578" s="41"/>
      <c r="W578" s="36"/>
      <c r="X578" s="36"/>
      <c r="Y578" s="36"/>
      <c r="Z578" s="36"/>
      <c r="AA578" s="36"/>
    </row>
    <row r="579" spans="16:27" x14ac:dyDescent="0.2">
      <c r="P579" s="36"/>
      <c r="Q579" s="40"/>
      <c r="R579" s="40"/>
      <c r="S579" s="40"/>
      <c r="T579" s="41"/>
      <c r="U579" s="41"/>
      <c r="V579" s="41"/>
      <c r="W579" s="36"/>
      <c r="X579" s="36"/>
      <c r="Y579" s="36"/>
      <c r="Z579" s="36"/>
      <c r="AA579" s="36"/>
    </row>
    <row r="580" spans="16:27" x14ac:dyDescent="0.2">
      <c r="P580" s="36"/>
      <c r="Q580" s="40"/>
      <c r="R580" s="40"/>
      <c r="S580" s="40"/>
      <c r="T580" s="41"/>
      <c r="U580" s="41"/>
      <c r="V580" s="41"/>
      <c r="W580" s="36"/>
      <c r="X580" s="36"/>
      <c r="Y580" s="36"/>
      <c r="Z580" s="36"/>
      <c r="AA580" s="36"/>
    </row>
    <row r="581" spans="16:27" x14ac:dyDescent="0.2">
      <c r="P581" s="36"/>
      <c r="Q581" s="40"/>
      <c r="R581" s="40"/>
      <c r="S581" s="40"/>
      <c r="T581" s="41"/>
      <c r="U581" s="41"/>
      <c r="V581" s="41"/>
      <c r="W581" s="36"/>
      <c r="X581" s="36"/>
      <c r="Y581" s="36"/>
      <c r="Z581" s="36"/>
      <c r="AA581" s="36"/>
    </row>
    <row r="582" spans="16:27" x14ac:dyDescent="0.2">
      <c r="P582" s="36"/>
      <c r="Q582" s="40"/>
      <c r="R582" s="40"/>
      <c r="S582" s="40"/>
      <c r="T582" s="41"/>
      <c r="U582" s="41"/>
      <c r="V582" s="41"/>
      <c r="W582" s="36"/>
      <c r="X582" s="36"/>
      <c r="Y582" s="36"/>
      <c r="Z582" s="36"/>
      <c r="AA582" s="36"/>
    </row>
    <row r="583" spans="16:27" x14ac:dyDescent="0.2">
      <c r="P583" s="36"/>
      <c r="Q583" s="40"/>
      <c r="R583" s="40"/>
      <c r="S583" s="40"/>
      <c r="T583" s="41"/>
      <c r="U583" s="41"/>
      <c r="V583" s="41"/>
      <c r="W583" s="36"/>
      <c r="X583" s="36"/>
      <c r="Y583" s="36"/>
      <c r="Z583" s="36"/>
      <c r="AA583" s="36"/>
    </row>
    <row r="584" spans="16:27" x14ac:dyDescent="0.2">
      <c r="P584" s="36"/>
      <c r="Q584" s="40"/>
      <c r="R584" s="40"/>
      <c r="S584" s="40"/>
      <c r="T584" s="41"/>
      <c r="U584" s="41"/>
      <c r="V584" s="41"/>
      <c r="W584" s="36"/>
      <c r="X584" s="36"/>
      <c r="Y584" s="36"/>
      <c r="Z584" s="36"/>
      <c r="AA584" s="36"/>
    </row>
    <row r="585" spans="16:27" x14ac:dyDescent="0.2">
      <c r="P585" s="36"/>
      <c r="Q585" s="40"/>
      <c r="R585" s="40"/>
      <c r="S585" s="40"/>
      <c r="T585" s="41"/>
      <c r="U585" s="41"/>
      <c r="V585" s="41"/>
      <c r="W585" s="36"/>
      <c r="X585" s="36"/>
      <c r="Y585" s="36"/>
      <c r="Z585" s="36"/>
      <c r="AA585" s="36"/>
    </row>
    <row r="586" spans="16:27" x14ac:dyDescent="0.2">
      <c r="P586" s="36"/>
      <c r="Q586" s="40"/>
      <c r="R586" s="40"/>
      <c r="S586" s="40"/>
      <c r="T586" s="41"/>
      <c r="U586" s="41"/>
      <c r="V586" s="41"/>
      <c r="W586" s="36"/>
      <c r="X586" s="36"/>
      <c r="Y586" s="36"/>
      <c r="Z586" s="36"/>
      <c r="AA586" s="36"/>
    </row>
    <row r="587" spans="16:27" x14ac:dyDescent="0.2">
      <c r="P587" s="36"/>
      <c r="Q587" s="40"/>
      <c r="R587" s="40"/>
      <c r="S587" s="40"/>
      <c r="T587" s="41"/>
      <c r="U587" s="41"/>
      <c r="V587" s="41"/>
      <c r="W587" s="36"/>
      <c r="X587" s="36"/>
      <c r="Y587" s="36"/>
      <c r="Z587" s="36"/>
      <c r="AA587" s="36"/>
    </row>
    <row r="588" spans="16:27" x14ac:dyDescent="0.2">
      <c r="P588" s="36"/>
      <c r="Q588" s="40"/>
      <c r="R588" s="40"/>
      <c r="S588" s="40"/>
      <c r="T588" s="41"/>
      <c r="U588" s="41"/>
      <c r="V588" s="41"/>
      <c r="W588" s="36"/>
      <c r="X588" s="36"/>
      <c r="Y588" s="36"/>
      <c r="Z588" s="36"/>
      <c r="AA588" s="36"/>
    </row>
    <row r="589" spans="16:27" x14ac:dyDescent="0.2">
      <c r="P589" s="36"/>
      <c r="Q589" s="40"/>
      <c r="R589" s="40"/>
      <c r="S589" s="40"/>
      <c r="T589" s="41"/>
      <c r="U589" s="41"/>
      <c r="V589" s="41"/>
      <c r="W589" s="36"/>
      <c r="X589" s="36"/>
      <c r="Y589" s="36"/>
      <c r="Z589" s="36"/>
      <c r="AA589" s="36"/>
    </row>
    <row r="590" spans="16:27" x14ac:dyDescent="0.2">
      <c r="P590" s="36"/>
      <c r="Q590" s="40"/>
      <c r="R590" s="40"/>
      <c r="S590" s="40"/>
      <c r="T590" s="41"/>
      <c r="U590" s="41"/>
      <c r="V590" s="41"/>
      <c r="W590" s="36"/>
      <c r="X590" s="36"/>
      <c r="Y590" s="36"/>
      <c r="Z590" s="36"/>
      <c r="AA590" s="36"/>
    </row>
    <row r="591" spans="16:27" x14ac:dyDescent="0.2">
      <c r="P591" s="36"/>
      <c r="Q591" s="40"/>
      <c r="R591" s="40"/>
      <c r="S591" s="40"/>
      <c r="T591" s="41"/>
      <c r="U591" s="41"/>
      <c r="V591" s="41"/>
      <c r="W591" s="36"/>
      <c r="X591" s="36"/>
      <c r="Y591" s="36"/>
      <c r="Z591" s="36"/>
      <c r="AA591" s="36"/>
    </row>
    <row r="592" spans="16:27" x14ac:dyDescent="0.2">
      <c r="P592" s="36"/>
      <c r="Q592" s="40"/>
      <c r="R592" s="40"/>
      <c r="S592" s="40"/>
      <c r="T592" s="41"/>
      <c r="U592" s="41"/>
      <c r="V592" s="41"/>
      <c r="W592" s="36"/>
      <c r="X592" s="36"/>
      <c r="Y592" s="36"/>
      <c r="Z592" s="36"/>
      <c r="AA592" s="36"/>
    </row>
    <row r="593" spans="16:27" x14ac:dyDescent="0.2">
      <c r="P593" s="36"/>
      <c r="Q593" s="40"/>
      <c r="R593" s="40"/>
      <c r="S593" s="40"/>
      <c r="T593" s="41"/>
      <c r="U593" s="41"/>
      <c r="V593" s="41"/>
      <c r="W593" s="36"/>
      <c r="X593" s="36"/>
      <c r="Y593" s="36"/>
      <c r="Z593" s="36"/>
      <c r="AA593" s="36"/>
    </row>
    <row r="594" spans="16:27" x14ac:dyDescent="0.2">
      <c r="P594" s="36"/>
      <c r="Q594" s="40"/>
      <c r="R594" s="40"/>
      <c r="S594" s="40"/>
      <c r="T594" s="41"/>
      <c r="U594" s="41"/>
      <c r="V594" s="41"/>
      <c r="W594" s="36"/>
      <c r="X594" s="36"/>
      <c r="Y594" s="36"/>
      <c r="Z594" s="36"/>
      <c r="AA594" s="36"/>
    </row>
    <row r="595" spans="16:27" x14ac:dyDescent="0.2">
      <c r="P595" s="36"/>
      <c r="Q595" s="40"/>
      <c r="R595" s="40"/>
      <c r="S595" s="40"/>
      <c r="T595" s="41"/>
      <c r="U595" s="41"/>
      <c r="V595" s="41"/>
      <c r="W595" s="36"/>
      <c r="X595" s="36"/>
      <c r="Y595" s="36"/>
      <c r="Z595" s="36"/>
      <c r="AA595" s="36"/>
    </row>
    <row r="596" spans="16:27" x14ac:dyDescent="0.2">
      <c r="P596" s="36"/>
      <c r="Q596" s="40"/>
      <c r="R596" s="40"/>
      <c r="S596" s="40"/>
      <c r="T596" s="41"/>
      <c r="U596" s="41"/>
      <c r="V596" s="41"/>
      <c r="W596" s="36"/>
      <c r="X596" s="36"/>
      <c r="Y596" s="36"/>
      <c r="Z596" s="36"/>
      <c r="AA596" s="36"/>
    </row>
    <row r="597" spans="16:27" x14ac:dyDescent="0.2">
      <c r="P597" s="36"/>
      <c r="Q597" s="40"/>
      <c r="R597" s="40"/>
      <c r="S597" s="40"/>
      <c r="T597" s="41"/>
      <c r="U597" s="41"/>
      <c r="V597" s="41"/>
      <c r="W597" s="36"/>
      <c r="X597" s="36"/>
      <c r="Y597" s="36"/>
      <c r="Z597" s="36"/>
      <c r="AA597" s="36"/>
    </row>
    <row r="598" spans="16:27" x14ac:dyDescent="0.2">
      <c r="P598" s="36"/>
      <c r="Q598" s="40"/>
      <c r="R598" s="40"/>
      <c r="S598" s="40"/>
      <c r="T598" s="41"/>
      <c r="U598" s="41"/>
      <c r="V598" s="41"/>
      <c r="W598" s="36"/>
      <c r="X598" s="36"/>
      <c r="Y598" s="36"/>
      <c r="Z598" s="36"/>
      <c r="AA598" s="36"/>
    </row>
    <row r="599" spans="16:27" x14ac:dyDescent="0.2">
      <c r="P599" s="36"/>
      <c r="Q599" s="40"/>
      <c r="R599" s="40"/>
      <c r="S599" s="40"/>
      <c r="T599" s="41"/>
      <c r="U599" s="41"/>
      <c r="V599" s="41"/>
      <c r="W599" s="36"/>
      <c r="X599" s="36"/>
      <c r="Y599" s="36"/>
      <c r="Z599" s="36"/>
      <c r="AA599" s="36"/>
    </row>
    <row r="600" spans="16:27" x14ac:dyDescent="0.2">
      <c r="P600" s="36"/>
      <c r="Q600" s="40"/>
      <c r="R600" s="40"/>
      <c r="S600" s="40"/>
      <c r="T600" s="41"/>
      <c r="U600" s="41"/>
      <c r="V600" s="41"/>
      <c r="W600" s="36"/>
      <c r="X600" s="36"/>
      <c r="Y600" s="36"/>
      <c r="Z600" s="36"/>
      <c r="AA600" s="36"/>
    </row>
    <row r="601" spans="16:27" x14ac:dyDescent="0.2">
      <c r="P601" s="36"/>
      <c r="Q601" s="40"/>
      <c r="R601" s="40"/>
      <c r="S601" s="40"/>
      <c r="T601" s="41"/>
      <c r="U601" s="41"/>
      <c r="V601" s="41"/>
      <c r="W601" s="36"/>
      <c r="X601" s="36"/>
      <c r="Y601" s="36"/>
      <c r="Z601" s="36"/>
      <c r="AA601" s="36"/>
    </row>
    <row r="602" spans="16:27" x14ac:dyDescent="0.2">
      <c r="P602" s="36"/>
      <c r="Q602" s="40"/>
      <c r="R602" s="40"/>
      <c r="S602" s="40"/>
      <c r="T602" s="41"/>
      <c r="U602" s="41"/>
      <c r="V602" s="41"/>
      <c r="W602" s="36"/>
      <c r="X602" s="36"/>
      <c r="Y602" s="36"/>
      <c r="Z602" s="36"/>
      <c r="AA602" s="36"/>
    </row>
    <row r="603" spans="16:27" x14ac:dyDescent="0.2">
      <c r="P603" s="36"/>
      <c r="Q603" s="40"/>
      <c r="R603" s="40"/>
      <c r="S603" s="40"/>
      <c r="T603" s="41"/>
      <c r="U603" s="41"/>
      <c r="V603" s="41"/>
      <c r="W603" s="36"/>
      <c r="X603" s="36"/>
      <c r="Y603" s="36"/>
      <c r="Z603" s="36"/>
      <c r="AA603" s="36"/>
    </row>
    <row r="604" spans="16:27" x14ac:dyDescent="0.2">
      <c r="P604" s="36"/>
      <c r="Q604" s="40"/>
      <c r="R604" s="40"/>
      <c r="S604" s="40"/>
      <c r="T604" s="41"/>
      <c r="U604" s="41"/>
      <c r="V604" s="41"/>
      <c r="W604" s="36"/>
      <c r="X604" s="36"/>
      <c r="Y604" s="36"/>
      <c r="Z604" s="36"/>
      <c r="AA604" s="36"/>
    </row>
    <row r="605" spans="16:27" x14ac:dyDescent="0.2">
      <c r="P605" s="36"/>
      <c r="Q605" s="40"/>
      <c r="R605" s="40"/>
      <c r="S605" s="40"/>
      <c r="T605" s="41"/>
      <c r="U605" s="41"/>
      <c r="V605" s="41"/>
      <c r="W605" s="36"/>
      <c r="X605" s="36"/>
      <c r="Y605" s="36"/>
      <c r="Z605" s="36"/>
      <c r="AA605" s="36"/>
    </row>
    <row r="606" spans="16:27" x14ac:dyDescent="0.2">
      <c r="P606" s="36"/>
      <c r="Q606" s="40"/>
      <c r="R606" s="40"/>
      <c r="S606" s="40"/>
      <c r="T606" s="41"/>
      <c r="U606" s="41"/>
      <c r="V606" s="41"/>
      <c r="W606" s="36"/>
      <c r="X606" s="36"/>
      <c r="Y606" s="36"/>
      <c r="Z606" s="36"/>
      <c r="AA606" s="36"/>
    </row>
    <row r="607" spans="16:27" x14ac:dyDescent="0.2">
      <c r="P607" s="36"/>
      <c r="Q607" s="40"/>
      <c r="R607" s="40"/>
      <c r="S607" s="40"/>
      <c r="T607" s="41"/>
      <c r="U607" s="41"/>
      <c r="V607" s="41"/>
      <c r="W607" s="36"/>
      <c r="X607" s="36"/>
      <c r="Y607" s="36"/>
      <c r="Z607" s="36"/>
      <c r="AA607" s="36"/>
    </row>
    <row r="608" spans="16:27" x14ac:dyDescent="0.2">
      <c r="P608" s="36"/>
      <c r="Q608" s="40"/>
      <c r="R608" s="40"/>
      <c r="S608" s="40"/>
      <c r="T608" s="41"/>
      <c r="U608" s="41"/>
      <c r="V608" s="41"/>
      <c r="W608" s="36"/>
      <c r="X608" s="36"/>
      <c r="Y608" s="36"/>
      <c r="Z608" s="36"/>
      <c r="AA608" s="36"/>
    </row>
    <row r="609" spans="16:27" x14ac:dyDescent="0.2">
      <c r="P609" s="36"/>
      <c r="Q609" s="40"/>
      <c r="R609" s="40"/>
      <c r="S609" s="40"/>
      <c r="T609" s="41"/>
      <c r="U609" s="41"/>
      <c r="V609" s="41"/>
      <c r="W609" s="36"/>
      <c r="X609" s="36"/>
      <c r="Y609" s="36"/>
      <c r="Z609" s="36"/>
      <c r="AA609" s="36"/>
    </row>
    <row r="610" spans="16:27" x14ac:dyDescent="0.2">
      <c r="P610" s="36"/>
      <c r="Q610" s="40"/>
      <c r="R610" s="40"/>
      <c r="S610" s="40"/>
      <c r="T610" s="41"/>
      <c r="U610" s="41"/>
      <c r="V610" s="41"/>
      <c r="W610" s="36"/>
      <c r="X610" s="36"/>
      <c r="Y610" s="36"/>
      <c r="Z610" s="36"/>
      <c r="AA610" s="36"/>
    </row>
    <row r="611" spans="16:27" x14ac:dyDescent="0.2">
      <c r="P611" s="36"/>
      <c r="Q611" s="40"/>
      <c r="R611" s="40"/>
      <c r="S611" s="40"/>
      <c r="T611" s="41"/>
      <c r="U611" s="41"/>
      <c r="V611" s="41"/>
      <c r="W611" s="36"/>
      <c r="X611" s="36"/>
      <c r="Y611" s="36"/>
      <c r="Z611" s="36"/>
      <c r="AA611" s="36"/>
    </row>
    <row r="612" spans="16:27" x14ac:dyDescent="0.2">
      <c r="P612" s="36"/>
      <c r="Q612" s="40"/>
      <c r="R612" s="40"/>
      <c r="S612" s="40"/>
      <c r="T612" s="41"/>
      <c r="U612" s="41"/>
      <c r="V612" s="41"/>
      <c r="W612" s="36"/>
      <c r="X612" s="36"/>
      <c r="Y612" s="36"/>
      <c r="Z612" s="36"/>
      <c r="AA612" s="36"/>
    </row>
    <row r="613" spans="16:27" x14ac:dyDescent="0.2">
      <c r="P613" s="36"/>
      <c r="Q613" s="40"/>
      <c r="R613" s="40"/>
      <c r="S613" s="40"/>
      <c r="T613" s="41"/>
      <c r="U613" s="41"/>
      <c r="V613" s="41"/>
      <c r="W613" s="36"/>
      <c r="X613" s="36"/>
      <c r="Y613" s="36"/>
      <c r="Z613" s="36"/>
      <c r="AA613" s="36"/>
    </row>
    <row r="614" spans="16:27" x14ac:dyDescent="0.2">
      <c r="P614" s="36"/>
      <c r="Q614" s="40"/>
      <c r="R614" s="40"/>
      <c r="S614" s="40"/>
      <c r="T614" s="41"/>
      <c r="U614" s="41"/>
      <c r="V614" s="41"/>
      <c r="W614" s="36"/>
      <c r="X614" s="36"/>
      <c r="Y614" s="36"/>
      <c r="Z614" s="36"/>
      <c r="AA614" s="36"/>
    </row>
    <row r="615" spans="16:27" x14ac:dyDescent="0.2">
      <c r="P615" s="36"/>
      <c r="Q615" s="40"/>
      <c r="R615" s="40"/>
      <c r="S615" s="40"/>
      <c r="T615" s="41"/>
      <c r="U615" s="41"/>
      <c r="V615" s="41"/>
      <c r="W615" s="36"/>
      <c r="X615" s="36"/>
      <c r="Y615" s="36"/>
      <c r="Z615" s="36"/>
      <c r="AA615" s="36"/>
    </row>
    <row r="616" spans="16:27" x14ac:dyDescent="0.2">
      <c r="P616" s="36"/>
      <c r="Q616" s="40"/>
      <c r="R616" s="40"/>
      <c r="S616" s="40"/>
      <c r="T616" s="41"/>
      <c r="U616" s="41"/>
      <c r="V616" s="41"/>
      <c r="W616" s="36"/>
      <c r="X616" s="36"/>
      <c r="Y616" s="36"/>
      <c r="Z616" s="36"/>
      <c r="AA616" s="36"/>
    </row>
    <row r="617" spans="16:27" x14ac:dyDescent="0.2">
      <c r="P617" s="36"/>
      <c r="Q617" s="40"/>
      <c r="R617" s="40"/>
      <c r="S617" s="40"/>
      <c r="T617" s="41"/>
      <c r="U617" s="41"/>
      <c r="V617" s="41"/>
      <c r="W617" s="36"/>
      <c r="X617" s="36"/>
      <c r="Y617" s="36"/>
      <c r="Z617" s="36"/>
      <c r="AA617" s="36"/>
    </row>
    <row r="618" spans="16:27" x14ac:dyDescent="0.2">
      <c r="P618" s="36"/>
      <c r="Q618" s="40"/>
      <c r="R618" s="40"/>
      <c r="S618" s="40"/>
      <c r="T618" s="41"/>
      <c r="U618" s="41"/>
      <c r="V618" s="41"/>
      <c r="W618" s="36"/>
      <c r="X618" s="36"/>
      <c r="Y618" s="36"/>
      <c r="Z618" s="36"/>
      <c r="AA618" s="36"/>
    </row>
    <row r="619" spans="16:27" x14ac:dyDescent="0.2">
      <c r="P619" s="36"/>
      <c r="Q619" s="40"/>
      <c r="R619" s="40"/>
      <c r="S619" s="40"/>
      <c r="T619" s="41"/>
      <c r="U619" s="41"/>
      <c r="V619" s="41"/>
      <c r="W619" s="36"/>
      <c r="X619" s="36"/>
      <c r="Y619" s="36"/>
      <c r="Z619" s="36"/>
      <c r="AA619" s="36"/>
    </row>
    <row r="620" spans="16:27" x14ac:dyDescent="0.2">
      <c r="P620" s="36"/>
      <c r="Q620" s="40"/>
      <c r="R620" s="40"/>
      <c r="S620" s="40"/>
      <c r="T620" s="41"/>
      <c r="U620" s="41"/>
      <c r="V620" s="41"/>
      <c r="W620" s="36"/>
      <c r="X620" s="36"/>
      <c r="Y620" s="36"/>
      <c r="Z620" s="36"/>
      <c r="AA620" s="36"/>
    </row>
    <row r="621" spans="16:27" x14ac:dyDescent="0.2">
      <c r="P621" s="36"/>
      <c r="Q621" s="40"/>
      <c r="R621" s="40"/>
      <c r="S621" s="40"/>
      <c r="T621" s="41"/>
      <c r="U621" s="41"/>
      <c r="V621" s="41"/>
      <c r="W621" s="36"/>
      <c r="X621" s="36"/>
      <c r="Y621" s="36"/>
      <c r="Z621" s="36"/>
      <c r="AA621" s="36"/>
    </row>
    <row r="622" spans="16:27" x14ac:dyDescent="0.2">
      <c r="P622" s="36"/>
      <c r="Q622" s="40"/>
      <c r="R622" s="40"/>
      <c r="S622" s="40"/>
      <c r="T622" s="41"/>
      <c r="U622" s="41"/>
      <c r="V622" s="41"/>
      <c r="W622" s="36"/>
      <c r="X622" s="36"/>
      <c r="Y622" s="36"/>
      <c r="Z622" s="36"/>
      <c r="AA622" s="36"/>
    </row>
    <row r="623" spans="16:27" x14ac:dyDescent="0.2">
      <c r="P623" s="36"/>
      <c r="Q623" s="40"/>
      <c r="R623" s="40"/>
      <c r="S623" s="40"/>
      <c r="T623" s="41"/>
      <c r="U623" s="41"/>
      <c r="V623" s="41"/>
      <c r="W623" s="36"/>
      <c r="X623" s="36"/>
      <c r="Y623" s="36"/>
      <c r="Z623" s="36"/>
      <c r="AA623" s="36"/>
    </row>
    <row r="624" spans="16:27" x14ac:dyDescent="0.2">
      <c r="P624" s="36"/>
      <c r="Q624" s="40"/>
      <c r="R624" s="40"/>
      <c r="S624" s="40"/>
      <c r="T624" s="41"/>
      <c r="U624" s="41"/>
      <c r="V624" s="41"/>
      <c r="W624" s="36"/>
      <c r="X624" s="36"/>
      <c r="Y624" s="36"/>
      <c r="Z624" s="36"/>
      <c r="AA624" s="36"/>
    </row>
    <row r="625" spans="16:27" x14ac:dyDescent="0.2">
      <c r="P625" s="36"/>
      <c r="Q625" s="40"/>
      <c r="R625" s="40"/>
      <c r="S625" s="40"/>
      <c r="T625" s="41"/>
      <c r="U625" s="41"/>
      <c r="V625" s="41"/>
      <c r="W625" s="36"/>
      <c r="X625" s="36"/>
      <c r="Y625" s="36"/>
      <c r="Z625" s="36"/>
      <c r="AA625" s="36"/>
    </row>
    <row r="626" spans="16:27" x14ac:dyDescent="0.2">
      <c r="P626" s="36"/>
      <c r="Q626" s="40"/>
      <c r="R626" s="40"/>
      <c r="S626" s="40"/>
      <c r="T626" s="41"/>
      <c r="U626" s="41"/>
      <c r="V626" s="41"/>
      <c r="W626" s="36"/>
      <c r="X626" s="36"/>
      <c r="Y626" s="36"/>
      <c r="Z626" s="36"/>
      <c r="AA626" s="36"/>
    </row>
    <row r="627" spans="16:27" x14ac:dyDescent="0.2">
      <c r="P627" s="36"/>
      <c r="Q627" s="40"/>
      <c r="R627" s="40"/>
      <c r="S627" s="40"/>
      <c r="T627" s="41"/>
      <c r="U627" s="41"/>
      <c r="V627" s="41"/>
      <c r="W627" s="36"/>
      <c r="X627" s="36"/>
      <c r="Y627" s="36"/>
      <c r="Z627" s="36"/>
      <c r="AA627" s="36"/>
    </row>
    <row r="628" spans="16:27" x14ac:dyDescent="0.2">
      <c r="P628" s="36"/>
      <c r="Q628" s="40"/>
      <c r="R628" s="40"/>
      <c r="S628" s="40"/>
      <c r="T628" s="41"/>
      <c r="U628" s="41"/>
      <c r="V628" s="41"/>
      <c r="W628" s="36"/>
      <c r="X628" s="36"/>
      <c r="Y628" s="36"/>
      <c r="Z628" s="36"/>
      <c r="AA628" s="36"/>
    </row>
    <row r="629" spans="16:27" x14ac:dyDescent="0.2">
      <c r="P629" s="36"/>
      <c r="Q629" s="40"/>
      <c r="R629" s="40"/>
      <c r="S629" s="40"/>
      <c r="T629" s="41"/>
      <c r="U629" s="41"/>
      <c r="V629" s="41"/>
      <c r="W629" s="36"/>
      <c r="X629" s="36"/>
      <c r="Y629" s="36"/>
      <c r="Z629" s="36"/>
      <c r="AA629" s="36"/>
    </row>
    <row r="630" spans="16:27" x14ac:dyDescent="0.2">
      <c r="P630" s="36"/>
      <c r="Q630" s="40"/>
      <c r="R630" s="40"/>
      <c r="S630" s="40"/>
      <c r="T630" s="41"/>
      <c r="U630" s="41"/>
      <c r="V630" s="41"/>
      <c r="W630" s="36"/>
      <c r="X630" s="36"/>
      <c r="Y630" s="36"/>
      <c r="Z630" s="36"/>
      <c r="AA630" s="36"/>
    </row>
    <row r="631" spans="16:27" x14ac:dyDescent="0.2">
      <c r="P631" s="36"/>
      <c r="Q631" s="40"/>
      <c r="R631" s="40"/>
      <c r="S631" s="40"/>
      <c r="T631" s="41"/>
      <c r="U631" s="41"/>
      <c r="V631" s="41"/>
      <c r="W631" s="36"/>
      <c r="X631" s="36"/>
      <c r="Y631" s="36"/>
      <c r="Z631" s="36"/>
      <c r="AA631" s="36"/>
    </row>
    <row r="632" spans="16:27" x14ac:dyDescent="0.2">
      <c r="P632" s="36"/>
      <c r="Q632" s="40"/>
      <c r="R632" s="40"/>
      <c r="S632" s="40"/>
      <c r="T632" s="41"/>
      <c r="U632" s="41"/>
      <c r="V632" s="41"/>
      <c r="W632" s="36"/>
      <c r="X632" s="36"/>
      <c r="Y632" s="36"/>
      <c r="Z632" s="36"/>
      <c r="AA632" s="36"/>
    </row>
    <row r="633" spans="16:27" x14ac:dyDescent="0.2">
      <c r="P633" s="36"/>
      <c r="Q633" s="40"/>
      <c r="R633" s="40"/>
      <c r="S633" s="40"/>
      <c r="T633" s="41"/>
      <c r="U633" s="41"/>
      <c r="V633" s="41"/>
      <c r="W633" s="36"/>
      <c r="X633" s="36"/>
      <c r="Y633" s="36"/>
      <c r="Z633" s="36"/>
      <c r="AA633" s="36"/>
    </row>
    <row r="634" spans="16:27" x14ac:dyDescent="0.2">
      <c r="P634" s="36"/>
      <c r="Q634" s="40"/>
      <c r="R634" s="40"/>
      <c r="S634" s="40"/>
      <c r="T634" s="41"/>
      <c r="U634" s="41"/>
      <c r="V634" s="41"/>
      <c r="W634" s="36"/>
      <c r="X634" s="36"/>
      <c r="Y634" s="36"/>
      <c r="Z634" s="36"/>
      <c r="AA634" s="36"/>
    </row>
    <row r="635" spans="16:27" x14ac:dyDescent="0.2">
      <c r="P635" s="36"/>
      <c r="Q635" s="40"/>
      <c r="R635" s="40"/>
      <c r="S635" s="40"/>
      <c r="T635" s="41"/>
      <c r="U635" s="41"/>
      <c r="V635" s="41"/>
      <c r="W635" s="36"/>
      <c r="X635" s="36"/>
      <c r="Y635" s="36"/>
      <c r="Z635" s="36"/>
      <c r="AA635" s="36"/>
    </row>
    <row r="636" spans="16:27" x14ac:dyDescent="0.2">
      <c r="P636" s="36"/>
      <c r="Q636" s="40"/>
      <c r="R636" s="40"/>
      <c r="S636" s="40"/>
      <c r="T636" s="41"/>
      <c r="U636" s="41"/>
      <c r="V636" s="41"/>
      <c r="W636" s="36"/>
      <c r="X636" s="36"/>
      <c r="Y636" s="36"/>
      <c r="Z636" s="36"/>
      <c r="AA636" s="36"/>
    </row>
    <row r="637" spans="16:27" x14ac:dyDescent="0.2">
      <c r="P637" s="36"/>
      <c r="Q637" s="40"/>
      <c r="R637" s="40"/>
      <c r="S637" s="40"/>
      <c r="T637" s="41"/>
      <c r="U637" s="41"/>
      <c r="V637" s="41"/>
      <c r="W637" s="36"/>
      <c r="X637" s="36"/>
      <c r="Y637" s="36"/>
      <c r="Z637" s="36"/>
      <c r="AA637" s="36"/>
    </row>
    <row r="638" spans="16:27" x14ac:dyDescent="0.2">
      <c r="P638" s="36"/>
      <c r="Q638" s="40"/>
      <c r="R638" s="40"/>
      <c r="S638" s="40"/>
      <c r="T638" s="41"/>
      <c r="U638" s="41"/>
      <c r="V638" s="41"/>
      <c r="W638" s="36"/>
      <c r="X638" s="36"/>
      <c r="Y638" s="36"/>
      <c r="Z638" s="36"/>
      <c r="AA638" s="36"/>
    </row>
    <row r="639" spans="16:27" x14ac:dyDescent="0.2">
      <c r="P639" s="36"/>
      <c r="Q639" s="40"/>
      <c r="R639" s="40"/>
      <c r="S639" s="40"/>
      <c r="T639" s="41"/>
      <c r="U639" s="41"/>
      <c r="V639" s="41"/>
      <c r="W639" s="36"/>
      <c r="X639" s="36"/>
      <c r="Y639" s="36"/>
      <c r="Z639" s="36"/>
      <c r="AA639" s="36"/>
    </row>
    <row r="640" spans="16:27" x14ac:dyDescent="0.2">
      <c r="P640" s="36"/>
      <c r="Q640" s="40"/>
      <c r="R640" s="40"/>
      <c r="S640" s="40"/>
      <c r="T640" s="41"/>
      <c r="U640" s="41"/>
      <c r="V640" s="41"/>
      <c r="W640" s="36"/>
      <c r="X640" s="36"/>
      <c r="Y640" s="36"/>
      <c r="Z640" s="36"/>
      <c r="AA640" s="36"/>
    </row>
    <row r="641" spans="16:27" x14ac:dyDescent="0.2">
      <c r="P641" s="36"/>
      <c r="Q641" s="40"/>
      <c r="R641" s="40"/>
      <c r="S641" s="40"/>
      <c r="T641" s="41"/>
      <c r="U641" s="41"/>
      <c r="V641" s="41"/>
      <c r="W641" s="36"/>
      <c r="X641" s="36"/>
      <c r="Y641" s="36"/>
      <c r="Z641" s="36"/>
      <c r="AA641" s="36"/>
    </row>
    <row r="642" spans="16:27" x14ac:dyDescent="0.2">
      <c r="P642" s="36"/>
      <c r="Q642" s="40"/>
      <c r="R642" s="40"/>
      <c r="S642" s="40"/>
      <c r="T642" s="41"/>
      <c r="U642" s="41"/>
      <c r="V642" s="41"/>
      <c r="W642" s="36"/>
      <c r="X642" s="36"/>
      <c r="Y642" s="36"/>
      <c r="Z642" s="36"/>
      <c r="AA642" s="36"/>
    </row>
    <row r="643" spans="16:27" x14ac:dyDescent="0.2">
      <c r="P643" s="36"/>
      <c r="Q643" s="40"/>
      <c r="R643" s="40"/>
      <c r="S643" s="40"/>
      <c r="T643" s="41"/>
      <c r="U643" s="41"/>
      <c r="V643" s="41"/>
      <c r="W643" s="36"/>
      <c r="X643" s="36"/>
      <c r="Y643" s="36"/>
      <c r="Z643" s="36"/>
      <c r="AA643" s="36"/>
    </row>
    <row r="644" spans="16:27" x14ac:dyDescent="0.2">
      <c r="P644" s="36"/>
      <c r="Q644" s="40"/>
      <c r="R644" s="40"/>
      <c r="S644" s="40"/>
      <c r="T644" s="41"/>
      <c r="U644" s="41"/>
      <c r="V644" s="41"/>
      <c r="W644" s="36"/>
      <c r="X644" s="36"/>
      <c r="Y644" s="36"/>
      <c r="Z644" s="36"/>
      <c r="AA644" s="36"/>
    </row>
    <row r="645" spans="16:27" x14ac:dyDescent="0.2">
      <c r="P645" s="36"/>
      <c r="Q645" s="40"/>
      <c r="R645" s="40"/>
      <c r="S645" s="40"/>
      <c r="T645" s="41"/>
      <c r="U645" s="41"/>
      <c r="V645" s="41"/>
      <c r="W645" s="36"/>
      <c r="X645" s="36"/>
      <c r="Y645" s="36"/>
      <c r="Z645" s="36"/>
      <c r="AA645" s="36"/>
    </row>
    <row r="646" spans="16:27" x14ac:dyDescent="0.2">
      <c r="P646" s="36"/>
      <c r="Q646" s="40"/>
      <c r="R646" s="40"/>
      <c r="S646" s="40"/>
      <c r="T646" s="41"/>
      <c r="U646" s="41"/>
      <c r="V646" s="41"/>
      <c r="W646" s="36"/>
      <c r="X646" s="36"/>
      <c r="Y646" s="36"/>
      <c r="Z646" s="36"/>
      <c r="AA646" s="36"/>
    </row>
    <row r="647" spans="16:27" x14ac:dyDescent="0.2">
      <c r="P647" s="36"/>
      <c r="Q647" s="40"/>
      <c r="R647" s="40"/>
      <c r="S647" s="40"/>
      <c r="T647" s="41"/>
      <c r="U647" s="41"/>
      <c r="V647" s="41"/>
      <c r="W647" s="36"/>
      <c r="X647" s="36"/>
      <c r="Y647" s="36"/>
      <c r="Z647" s="36"/>
      <c r="AA647" s="36"/>
    </row>
    <row r="648" spans="16:27" x14ac:dyDescent="0.2">
      <c r="P648" s="36"/>
      <c r="Q648" s="40"/>
      <c r="R648" s="40"/>
      <c r="S648" s="40"/>
      <c r="T648" s="41"/>
      <c r="U648" s="41"/>
      <c r="V648" s="41"/>
      <c r="W648" s="36"/>
      <c r="X648" s="36"/>
      <c r="Y648" s="36"/>
      <c r="Z648" s="36"/>
      <c r="AA648" s="36"/>
    </row>
    <row r="649" spans="16:27" x14ac:dyDescent="0.2">
      <c r="P649" s="36"/>
      <c r="Q649" s="40"/>
      <c r="R649" s="40"/>
      <c r="S649" s="40"/>
      <c r="T649" s="41"/>
      <c r="U649" s="41"/>
      <c r="V649" s="41"/>
      <c r="W649" s="36"/>
      <c r="X649" s="36"/>
      <c r="Y649" s="36"/>
      <c r="Z649" s="36"/>
      <c r="AA649" s="36"/>
    </row>
    <row r="650" spans="16:27" x14ac:dyDescent="0.2">
      <c r="P650" s="36"/>
      <c r="Q650" s="40"/>
      <c r="R650" s="40"/>
      <c r="S650" s="40"/>
      <c r="T650" s="41"/>
      <c r="U650" s="41"/>
      <c r="V650" s="41"/>
      <c r="W650" s="36"/>
      <c r="X650" s="36"/>
      <c r="Y650" s="36"/>
      <c r="Z650" s="36"/>
      <c r="AA650" s="36"/>
    </row>
    <row r="651" spans="16:27" x14ac:dyDescent="0.2">
      <c r="P651" s="36"/>
      <c r="Q651" s="40"/>
      <c r="R651" s="40"/>
      <c r="S651" s="40"/>
      <c r="T651" s="41"/>
      <c r="U651" s="41"/>
      <c r="V651" s="41"/>
      <c r="W651" s="36"/>
      <c r="X651" s="36"/>
      <c r="Y651" s="36"/>
      <c r="Z651" s="36"/>
      <c r="AA651" s="36"/>
    </row>
    <row r="652" spans="16:27" x14ac:dyDescent="0.2">
      <c r="P652" s="36"/>
      <c r="Q652" s="40"/>
      <c r="R652" s="40"/>
      <c r="S652" s="40"/>
      <c r="T652" s="41"/>
      <c r="U652" s="41"/>
      <c r="V652" s="41"/>
      <c r="W652" s="36"/>
      <c r="X652" s="36"/>
      <c r="Y652" s="36"/>
      <c r="Z652" s="36"/>
      <c r="AA652" s="36"/>
    </row>
    <row r="653" spans="16:27" x14ac:dyDescent="0.2">
      <c r="P653" s="36"/>
      <c r="Q653" s="40"/>
      <c r="R653" s="40"/>
      <c r="S653" s="40"/>
      <c r="T653" s="41"/>
      <c r="U653" s="41"/>
      <c r="V653" s="41"/>
      <c r="W653" s="36"/>
      <c r="X653" s="36"/>
      <c r="Y653" s="36"/>
      <c r="Z653" s="36"/>
      <c r="AA653" s="36"/>
    </row>
    <row r="654" spans="16:27" x14ac:dyDescent="0.2">
      <c r="P654" s="36"/>
      <c r="Q654" s="40"/>
      <c r="R654" s="40"/>
      <c r="S654" s="40"/>
      <c r="T654" s="41"/>
      <c r="U654" s="41"/>
      <c r="V654" s="41"/>
      <c r="W654" s="36"/>
      <c r="X654" s="36"/>
      <c r="Y654" s="36"/>
      <c r="Z654" s="36"/>
      <c r="AA654" s="36"/>
    </row>
    <row r="655" spans="16:27" x14ac:dyDescent="0.2">
      <c r="P655" s="36"/>
      <c r="Q655" s="40"/>
      <c r="R655" s="40"/>
      <c r="S655" s="40"/>
      <c r="T655" s="41"/>
      <c r="U655" s="41"/>
      <c r="V655" s="41"/>
      <c r="W655" s="36"/>
      <c r="X655" s="36"/>
      <c r="Y655" s="36"/>
      <c r="Z655" s="36"/>
      <c r="AA655" s="36"/>
    </row>
    <row r="656" spans="16:27" x14ac:dyDescent="0.2">
      <c r="P656" s="36"/>
      <c r="Q656" s="40"/>
      <c r="R656" s="40"/>
      <c r="S656" s="40"/>
      <c r="T656" s="41"/>
      <c r="U656" s="41"/>
      <c r="V656" s="41"/>
      <c r="W656" s="36"/>
      <c r="X656" s="36"/>
      <c r="Y656" s="36"/>
      <c r="Z656" s="36"/>
      <c r="AA656" s="36"/>
    </row>
    <row r="657" spans="16:27" x14ac:dyDescent="0.2">
      <c r="P657" s="36"/>
      <c r="Q657" s="40"/>
      <c r="R657" s="40"/>
      <c r="S657" s="40"/>
      <c r="T657" s="41"/>
      <c r="U657" s="41"/>
      <c r="V657" s="41"/>
      <c r="W657" s="36"/>
      <c r="X657" s="36"/>
      <c r="Y657" s="36"/>
      <c r="Z657" s="36"/>
      <c r="AA657" s="36"/>
    </row>
    <row r="658" spans="16:27" x14ac:dyDescent="0.2">
      <c r="P658" s="36"/>
      <c r="Q658" s="40"/>
      <c r="R658" s="40"/>
      <c r="S658" s="40"/>
      <c r="T658" s="41"/>
      <c r="U658" s="41"/>
      <c r="V658" s="41"/>
      <c r="W658" s="36"/>
      <c r="X658" s="36"/>
      <c r="Y658" s="36"/>
      <c r="Z658" s="36"/>
      <c r="AA658" s="36"/>
    </row>
    <row r="659" spans="16:27" x14ac:dyDescent="0.2">
      <c r="P659" s="36"/>
      <c r="Q659" s="40"/>
      <c r="R659" s="40"/>
      <c r="S659" s="40"/>
      <c r="T659" s="41"/>
      <c r="U659" s="41"/>
      <c r="V659" s="41"/>
      <c r="W659" s="36"/>
      <c r="X659" s="36"/>
      <c r="Y659" s="36"/>
      <c r="Z659" s="36"/>
      <c r="AA659" s="36"/>
    </row>
    <row r="660" spans="16:27" x14ac:dyDescent="0.2">
      <c r="P660" s="36"/>
      <c r="Q660" s="40"/>
      <c r="R660" s="40"/>
      <c r="S660" s="40"/>
      <c r="T660" s="41"/>
      <c r="U660" s="41"/>
      <c r="V660" s="41"/>
      <c r="W660" s="36"/>
      <c r="X660" s="36"/>
      <c r="Y660" s="36"/>
      <c r="Z660" s="36"/>
      <c r="AA660" s="36"/>
    </row>
    <row r="661" spans="16:27" x14ac:dyDescent="0.2">
      <c r="P661" s="36"/>
      <c r="Q661" s="40"/>
      <c r="R661" s="40"/>
      <c r="S661" s="40"/>
      <c r="T661" s="41"/>
      <c r="U661" s="41"/>
      <c r="V661" s="41"/>
      <c r="W661" s="36"/>
      <c r="X661" s="36"/>
      <c r="Y661" s="36"/>
      <c r="Z661" s="36"/>
      <c r="AA661" s="36"/>
    </row>
    <row r="662" spans="16:27" x14ac:dyDescent="0.2">
      <c r="P662" s="36"/>
      <c r="Q662" s="40"/>
      <c r="R662" s="40"/>
      <c r="S662" s="40"/>
      <c r="T662" s="41"/>
      <c r="U662" s="41"/>
      <c r="V662" s="41"/>
      <c r="W662" s="36"/>
      <c r="X662" s="36"/>
      <c r="Y662" s="36"/>
      <c r="Z662" s="36"/>
      <c r="AA662" s="36"/>
    </row>
    <row r="663" spans="16:27" x14ac:dyDescent="0.2">
      <c r="P663" s="36"/>
      <c r="Q663" s="40"/>
      <c r="R663" s="40"/>
      <c r="S663" s="40"/>
      <c r="T663" s="41"/>
      <c r="U663" s="41"/>
      <c r="V663" s="41"/>
      <c r="W663" s="36"/>
      <c r="X663" s="36"/>
      <c r="Y663" s="36"/>
      <c r="Z663" s="36"/>
      <c r="AA663" s="36"/>
    </row>
    <row r="664" spans="16:27" x14ac:dyDescent="0.2">
      <c r="P664" s="36"/>
      <c r="Q664" s="40"/>
      <c r="R664" s="40"/>
      <c r="S664" s="40"/>
      <c r="T664" s="41"/>
      <c r="U664" s="41"/>
      <c r="V664" s="41"/>
      <c r="W664" s="36"/>
      <c r="X664" s="36"/>
      <c r="Y664" s="36"/>
      <c r="Z664" s="36"/>
      <c r="AA664" s="36"/>
    </row>
    <row r="665" spans="16:27" x14ac:dyDescent="0.2">
      <c r="P665" s="36"/>
      <c r="Q665" s="40"/>
      <c r="R665" s="40"/>
      <c r="S665" s="40"/>
      <c r="T665" s="41"/>
      <c r="U665" s="41"/>
      <c r="V665" s="41"/>
      <c r="W665" s="36"/>
      <c r="X665" s="36"/>
      <c r="Y665" s="36"/>
      <c r="Z665" s="36"/>
      <c r="AA665" s="36"/>
    </row>
    <row r="666" spans="16:27" x14ac:dyDescent="0.2">
      <c r="P666" s="36"/>
      <c r="Q666" s="40"/>
      <c r="R666" s="40"/>
      <c r="S666" s="40"/>
      <c r="T666" s="41"/>
      <c r="U666" s="41"/>
      <c r="V666" s="41"/>
      <c r="W666" s="36"/>
      <c r="X666" s="36"/>
      <c r="Y666" s="36"/>
      <c r="Z666" s="36"/>
      <c r="AA666" s="36"/>
    </row>
    <row r="667" spans="16:27" x14ac:dyDescent="0.2">
      <c r="P667" s="36"/>
      <c r="Q667" s="40"/>
      <c r="R667" s="40"/>
      <c r="S667" s="40"/>
      <c r="T667" s="41"/>
      <c r="U667" s="41"/>
      <c r="V667" s="41"/>
      <c r="W667" s="36"/>
      <c r="X667" s="36"/>
      <c r="Y667" s="36"/>
      <c r="Z667" s="36"/>
      <c r="AA667" s="36"/>
    </row>
    <row r="668" spans="16:27" x14ac:dyDescent="0.2">
      <c r="P668" s="36"/>
      <c r="Q668" s="40"/>
      <c r="R668" s="40"/>
      <c r="S668" s="40"/>
      <c r="T668" s="41"/>
      <c r="U668" s="41"/>
      <c r="V668" s="41"/>
      <c r="W668" s="36"/>
      <c r="X668" s="36"/>
      <c r="Y668" s="36"/>
      <c r="Z668" s="36"/>
      <c r="AA668" s="36"/>
    </row>
    <row r="669" spans="16:27" x14ac:dyDescent="0.2">
      <c r="P669" s="36"/>
      <c r="Q669" s="40"/>
      <c r="R669" s="40"/>
      <c r="S669" s="40"/>
      <c r="T669" s="41"/>
      <c r="U669" s="41"/>
      <c r="V669" s="41"/>
      <c r="W669" s="36"/>
      <c r="X669" s="36"/>
      <c r="Y669" s="36"/>
      <c r="Z669" s="36"/>
      <c r="AA669" s="36"/>
    </row>
    <row r="670" spans="16:27" x14ac:dyDescent="0.2">
      <c r="P670" s="36"/>
      <c r="Q670" s="40"/>
      <c r="R670" s="40"/>
      <c r="S670" s="40"/>
      <c r="T670" s="41"/>
      <c r="U670" s="41"/>
      <c r="V670" s="41"/>
      <c r="W670" s="36"/>
      <c r="X670" s="36"/>
      <c r="Y670" s="36"/>
      <c r="Z670" s="36"/>
      <c r="AA670" s="36"/>
    </row>
    <row r="671" spans="16:27" x14ac:dyDescent="0.2">
      <c r="P671" s="36"/>
      <c r="Q671" s="40"/>
      <c r="R671" s="40"/>
      <c r="S671" s="40"/>
      <c r="T671" s="41"/>
      <c r="U671" s="41"/>
      <c r="V671" s="41"/>
      <c r="W671" s="36"/>
      <c r="X671" s="36"/>
      <c r="Y671" s="36"/>
      <c r="Z671" s="36"/>
      <c r="AA671" s="36"/>
    </row>
    <row r="672" spans="16:27" x14ac:dyDescent="0.2">
      <c r="P672" s="36"/>
      <c r="Q672" s="40"/>
      <c r="R672" s="40"/>
      <c r="S672" s="40"/>
      <c r="T672" s="41"/>
      <c r="U672" s="41"/>
      <c r="V672" s="41"/>
      <c r="W672" s="36"/>
      <c r="X672" s="36"/>
      <c r="Y672" s="36"/>
      <c r="Z672" s="36"/>
      <c r="AA672" s="36"/>
    </row>
    <row r="673" spans="16:27" x14ac:dyDescent="0.2">
      <c r="P673" s="36"/>
      <c r="Q673" s="40"/>
      <c r="R673" s="40"/>
      <c r="S673" s="40"/>
      <c r="T673" s="41"/>
      <c r="U673" s="41"/>
      <c r="V673" s="41"/>
      <c r="W673" s="36"/>
      <c r="X673" s="36"/>
      <c r="Y673" s="36"/>
      <c r="Z673" s="36"/>
      <c r="AA673" s="36"/>
    </row>
    <row r="674" spans="16:27" x14ac:dyDescent="0.2">
      <c r="P674" s="36"/>
      <c r="Q674" s="40"/>
      <c r="R674" s="40"/>
      <c r="S674" s="40"/>
      <c r="T674" s="41"/>
      <c r="U674" s="41"/>
      <c r="V674" s="41"/>
      <c r="W674" s="36"/>
      <c r="X674" s="36"/>
      <c r="Y674" s="36"/>
      <c r="Z674" s="36"/>
      <c r="AA674" s="36"/>
    </row>
    <row r="675" spans="16:27" x14ac:dyDescent="0.2">
      <c r="P675" s="36"/>
      <c r="Q675" s="40"/>
      <c r="R675" s="40"/>
      <c r="S675" s="40"/>
      <c r="T675" s="41"/>
      <c r="U675" s="41"/>
      <c r="V675" s="41"/>
      <c r="W675" s="36"/>
      <c r="X675" s="36"/>
      <c r="Y675" s="36"/>
      <c r="Z675" s="36"/>
      <c r="AA675" s="36"/>
    </row>
    <row r="676" spans="16:27" x14ac:dyDescent="0.2">
      <c r="P676" s="36"/>
      <c r="Q676" s="40"/>
      <c r="R676" s="40"/>
      <c r="S676" s="40"/>
      <c r="T676" s="41"/>
      <c r="U676" s="41"/>
      <c r="V676" s="41"/>
      <c r="W676" s="36"/>
      <c r="X676" s="36"/>
      <c r="Y676" s="36"/>
      <c r="Z676" s="36"/>
      <c r="AA676" s="36"/>
    </row>
    <row r="677" spans="16:27" x14ac:dyDescent="0.2">
      <c r="P677" s="36"/>
      <c r="Q677" s="40"/>
      <c r="R677" s="40"/>
      <c r="S677" s="40"/>
      <c r="T677" s="41"/>
      <c r="U677" s="41"/>
      <c r="V677" s="41"/>
      <c r="W677" s="36"/>
      <c r="X677" s="36"/>
      <c r="Y677" s="36"/>
      <c r="Z677" s="36"/>
      <c r="AA677" s="36"/>
    </row>
    <row r="678" spans="16:27" x14ac:dyDescent="0.2">
      <c r="P678" s="36"/>
      <c r="Q678" s="40"/>
      <c r="R678" s="40"/>
      <c r="S678" s="40"/>
      <c r="T678" s="41"/>
      <c r="U678" s="41"/>
      <c r="V678" s="41"/>
      <c r="W678" s="36"/>
      <c r="X678" s="36"/>
      <c r="Y678" s="36"/>
      <c r="Z678" s="36"/>
      <c r="AA678" s="36"/>
    </row>
    <row r="679" spans="16:27" x14ac:dyDescent="0.2">
      <c r="P679" s="36"/>
      <c r="Q679" s="40"/>
      <c r="R679" s="40"/>
      <c r="S679" s="40"/>
      <c r="T679" s="41"/>
      <c r="U679" s="41"/>
      <c r="V679" s="41"/>
      <c r="W679" s="36"/>
      <c r="X679" s="36"/>
      <c r="Y679" s="36"/>
      <c r="Z679" s="36"/>
      <c r="AA679" s="36"/>
    </row>
    <row r="680" spans="16:27" x14ac:dyDescent="0.2">
      <c r="P680" s="36"/>
      <c r="Q680" s="40"/>
      <c r="R680" s="40"/>
      <c r="S680" s="40"/>
      <c r="T680" s="41"/>
      <c r="U680" s="41"/>
      <c r="V680" s="41"/>
      <c r="W680" s="36"/>
      <c r="X680" s="36"/>
      <c r="Y680" s="36"/>
      <c r="Z680" s="36"/>
      <c r="AA680" s="36"/>
    </row>
    <row r="681" spans="16:27" x14ac:dyDescent="0.2">
      <c r="P681" s="36"/>
      <c r="Q681" s="40"/>
      <c r="R681" s="40"/>
      <c r="S681" s="40"/>
      <c r="T681" s="41"/>
      <c r="U681" s="41"/>
      <c r="V681" s="41"/>
      <c r="W681" s="36"/>
      <c r="X681" s="36"/>
      <c r="Y681" s="36"/>
      <c r="Z681" s="36"/>
      <c r="AA681" s="36"/>
    </row>
    <row r="682" spans="16:27" x14ac:dyDescent="0.2">
      <c r="P682" s="36"/>
      <c r="Q682" s="40"/>
      <c r="R682" s="40"/>
      <c r="S682" s="40"/>
      <c r="T682" s="41"/>
      <c r="U682" s="41"/>
      <c r="V682" s="41"/>
      <c r="W682" s="36"/>
      <c r="X682" s="36"/>
      <c r="Y682" s="36"/>
      <c r="Z682" s="36"/>
      <c r="AA682" s="36"/>
    </row>
    <row r="683" spans="16:27" x14ac:dyDescent="0.2">
      <c r="P683" s="36"/>
      <c r="Q683" s="40"/>
      <c r="R683" s="40"/>
      <c r="S683" s="40"/>
      <c r="T683" s="41"/>
      <c r="U683" s="41"/>
      <c r="V683" s="41"/>
      <c r="W683" s="36"/>
      <c r="X683" s="36"/>
      <c r="Y683" s="36"/>
      <c r="Z683" s="36"/>
      <c r="AA683" s="36"/>
    </row>
    <row r="684" spans="16:27" x14ac:dyDescent="0.2">
      <c r="P684" s="36"/>
      <c r="Q684" s="40"/>
      <c r="R684" s="40"/>
      <c r="S684" s="40"/>
      <c r="T684" s="41"/>
      <c r="U684" s="41"/>
      <c r="V684" s="41"/>
      <c r="W684" s="36"/>
      <c r="X684" s="36"/>
      <c r="Y684" s="36"/>
      <c r="Z684" s="36"/>
      <c r="AA684" s="36"/>
    </row>
    <row r="685" spans="16:27" x14ac:dyDescent="0.2">
      <c r="P685" s="36"/>
      <c r="Q685" s="40"/>
      <c r="R685" s="40"/>
      <c r="S685" s="40"/>
      <c r="T685" s="41"/>
      <c r="U685" s="41"/>
      <c r="V685" s="41"/>
      <c r="W685" s="36"/>
      <c r="X685" s="36"/>
      <c r="Y685" s="36"/>
      <c r="Z685" s="36"/>
      <c r="AA685" s="36"/>
    </row>
    <row r="686" spans="16:27" x14ac:dyDescent="0.2">
      <c r="P686" s="36"/>
      <c r="Q686" s="40"/>
      <c r="R686" s="40"/>
      <c r="S686" s="40"/>
      <c r="T686" s="41"/>
      <c r="U686" s="41"/>
      <c r="V686" s="41"/>
      <c r="W686" s="36"/>
      <c r="X686" s="36"/>
      <c r="Y686" s="36"/>
      <c r="Z686" s="36"/>
      <c r="AA686" s="36"/>
    </row>
    <row r="687" spans="16:27" x14ac:dyDescent="0.2">
      <c r="P687" s="36"/>
      <c r="Q687" s="40"/>
      <c r="R687" s="40"/>
      <c r="S687" s="40"/>
      <c r="T687" s="41"/>
      <c r="U687" s="41"/>
      <c r="V687" s="41"/>
      <c r="W687" s="36"/>
      <c r="X687" s="36"/>
      <c r="Y687" s="36"/>
      <c r="Z687" s="36"/>
      <c r="AA687" s="36"/>
    </row>
    <row r="688" spans="16:27" x14ac:dyDescent="0.2">
      <c r="P688" s="36"/>
      <c r="Q688" s="40"/>
      <c r="R688" s="40"/>
      <c r="S688" s="40"/>
      <c r="T688" s="41"/>
      <c r="U688" s="41"/>
      <c r="V688" s="41"/>
      <c r="W688" s="36"/>
      <c r="X688" s="36"/>
      <c r="Y688" s="36"/>
      <c r="Z688" s="36"/>
      <c r="AA688" s="36"/>
    </row>
    <row r="689" spans="16:27" x14ac:dyDescent="0.2">
      <c r="P689" s="36"/>
      <c r="Q689" s="40"/>
      <c r="R689" s="40"/>
      <c r="S689" s="40"/>
      <c r="T689" s="41"/>
      <c r="U689" s="41"/>
      <c r="V689" s="41"/>
      <c r="W689" s="36"/>
      <c r="X689" s="36"/>
      <c r="Y689" s="36"/>
      <c r="Z689" s="36"/>
      <c r="AA689" s="36"/>
    </row>
    <row r="690" spans="16:27" x14ac:dyDescent="0.2">
      <c r="P690" s="36"/>
      <c r="Q690" s="40"/>
      <c r="R690" s="40"/>
      <c r="S690" s="40"/>
      <c r="T690" s="41"/>
      <c r="U690" s="41"/>
      <c r="V690" s="41"/>
      <c r="W690" s="36"/>
      <c r="X690" s="36"/>
      <c r="Y690" s="36"/>
      <c r="Z690" s="36"/>
      <c r="AA690" s="36"/>
    </row>
    <row r="691" spans="16:27" x14ac:dyDescent="0.2">
      <c r="P691" s="36"/>
      <c r="Q691" s="40"/>
      <c r="R691" s="40"/>
      <c r="S691" s="40"/>
      <c r="T691" s="41"/>
      <c r="U691" s="41"/>
      <c r="V691" s="41"/>
      <c r="W691" s="36"/>
      <c r="X691" s="36"/>
      <c r="Y691" s="36"/>
      <c r="Z691" s="36"/>
      <c r="AA691" s="36"/>
    </row>
    <row r="692" spans="16:27" x14ac:dyDescent="0.2">
      <c r="P692" s="36"/>
      <c r="Q692" s="40"/>
      <c r="R692" s="40"/>
      <c r="S692" s="40"/>
      <c r="T692" s="41"/>
      <c r="U692" s="41"/>
      <c r="V692" s="41"/>
      <c r="W692" s="36"/>
      <c r="X692" s="36"/>
      <c r="Y692" s="36"/>
      <c r="Z692" s="36"/>
      <c r="AA692" s="36"/>
    </row>
    <row r="693" spans="16:27" x14ac:dyDescent="0.2">
      <c r="P693" s="36"/>
      <c r="Q693" s="40"/>
      <c r="R693" s="40"/>
      <c r="S693" s="40"/>
      <c r="T693" s="41"/>
      <c r="U693" s="41"/>
      <c r="V693" s="41"/>
      <c r="W693" s="36"/>
      <c r="X693" s="36"/>
      <c r="Y693" s="36"/>
      <c r="Z693" s="36"/>
      <c r="AA693" s="36"/>
    </row>
    <row r="694" spans="16:27" x14ac:dyDescent="0.2">
      <c r="P694" s="36"/>
      <c r="Q694" s="40"/>
      <c r="R694" s="40"/>
      <c r="S694" s="40"/>
      <c r="T694" s="41"/>
      <c r="U694" s="41"/>
      <c r="V694" s="41"/>
      <c r="W694" s="36"/>
      <c r="X694" s="36"/>
      <c r="Y694" s="36"/>
      <c r="Z694" s="36"/>
      <c r="AA694" s="36"/>
    </row>
    <row r="695" spans="16:27" x14ac:dyDescent="0.2">
      <c r="P695" s="36"/>
      <c r="Q695" s="40"/>
      <c r="R695" s="40"/>
      <c r="S695" s="40"/>
      <c r="T695" s="41"/>
      <c r="U695" s="41"/>
      <c r="V695" s="41"/>
      <c r="W695" s="36"/>
      <c r="X695" s="36"/>
      <c r="Y695" s="36"/>
      <c r="Z695" s="36"/>
      <c r="AA695" s="36"/>
    </row>
    <row r="696" spans="16:27" x14ac:dyDescent="0.2">
      <c r="P696" s="36"/>
      <c r="Q696" s="40"/>
      <c r="R696" s="40"/>
      <c r="S696" s="40"/>
      <c r="T696" s="41"/>
      <c r="U696" s="41"/>
      <c r="V696" s="41"/>
      <c r="W696" s="36"/>
      <c r="X696" s="36"/>
      <c r="Y696" s="36"/>
      <c r="Z696" s="36"/>
      <c r="AA696" s="36"/>
    </row>
    <row r="697" spans="16:27" x14ac:dyDescent="0.2">
      <c r="P697" s="36"/>
      <c r="Q697" s="40"/>
      <c r="R697" s="40"/>
      <c r="S697" s="40"/>
      <c r="T697" s="41"/>
      <c r="U697" s="41"/>
      <c r="V697" s="41"/>
      <c r="W697" s="36"/>
      <c r="X697" s="36"/>
      <c r="Y697" s="36"/>
      <c r="Z697" s="36"/>
      <c r="AA697" s="36"/>
    </row>
    <row r="698" spans="16:27" x14ac:dyDescent="0.2">
      <c r="P698" s="36"/>
      <c r="Q698" s="40"/>
      <c r="R698" s="40"/>
      <c r="S698" s="40"/>
      <c r="T698" s="41"/>
      <c r="U698" s="41"/>
      <c r="V698" s="41"/>
      <c r="W698" s="36"/>
      <c r="X698" s="36"/>
      <c r="Y698" s="36"/>
      <c r="Z698" s="36"/>
      <c r="AA698" s="36"/>
    </row>
    <row r="699" spans="16:27" x14ac:dyDescent="0.2">
      <c r="P699" s="36"/>
      <c r="Q699" s="40"/>
      <c r="R699" s="40"/>
      <c r="S699" s="40"/>
      <c r="T699" s="41"/>
      <c r="U699" s="41"/>
      <c r="V699" s="41"/>
      <c r="W699" s="36"/>
      <c r="X699" s="36"/>
      <c r="Y699" s="36"/>
      <c r="Z699" s="36"/>
      <c r="AA699" s="36"/>
    </row>
    <row r="700" spans="16:27" x14ac:dyDescent="0.2">
      <c r="P700" s="36"/>
      <c r="Q700" s="40"/>
      <c r="R700" s="40"/>
      <c r="S700" s="40"/>
      <c r="T700" s="41"/>
      <c r="U700" s="41"/>
      <c r="V700" s="41"/>
      <c r="W700" s="36"/>
      <c r="X700" s="36"/>
      <c r="Y700" s="36"/>
      <c r="Z700" s="36"/>
      <c r="AA700" s="36"/>
    </row>
    <row r="701" spans="16:27" x14ac:dyDescent="0.2">
      <c r="P701" s="36"/>
      <c r="Q701" s="40"/>
      <c r="R701" s="40"/>
      <c r="S701" s="40"/>
      <c r="T701" s="41"/>
      <c r="U701" s="41"/>
      <c r="V701" s="41"/>
      <c r="W701" s="36"/>
      <c r="X701" s="36"/>
      <c r="Y701" s="36"/>
      <c r="Z701" s="36"/>
      <c r="AA701" s="36"/>
    </row>
    <row r="702" spans="16:27" x14ac:dyDescent="0.2">
      <c r="P702" s="36"/>
      <c r="Q702" s="40"/>
      <c r="R702" s="40"/>
      <c r="S702" s="40"/>
      <c r="T702" s="41"/>
      <c r="U702" s="41"/>
      <c r="V702" s="41"/>
      <c r="W702" s="36"/>
      <c r="X702" s="36"/>
      <c r="Y702" s="36"/>
      <c r="Z702" s="36"/>
      <c r="AA702" s="36"/>
    </row>
    <row r="703" spans="16:27" x14ac:dyDescent="0.2">
      <c r="P703" s="36"/>
      <c r="Q703" s="40"/>
      <c r="R703" s="40"/>
      <c r="S703" s="40"/>
      <c r="T703" s="41"/>
      <c r="U703" s="41"/>
      <c r="V703" s="41"/>
      <c r="W703" s="36"/>
      <c r="X703" s="36"/>
      <c r="Y703" s="36"/>
      <c r="Z703" s="36"/>
      <c r="AA703" s="36"/>
    </row>
    <row r="704" spans="16:27" x14ac:dyDescent="0.2">
      <c r="P704" s="36"/>
      <c r="Q704" s="40"/>
      <c r="R704" s="40"/>
      <c r="S704" s="40"/>
      <c r="T704" s="41"/>
      <c r="U704" s="41"/>
      <c r="V704" s="41"/>
      <c r="W704" s="36"/>
      <c r="X704" s="36"/>
      <c r="Y704" s="36"/>
      <c r="Z704" s="36"/>
      <c r="AA704" s="36"/>
    </row>
    <row r="705" spans="16:27" x14ac:dyDescent="0.2">
      <c r="P705" s="36"/>
      <c r="Q705" s="40"/>
      <c r="R705" s="40"/>
      <c r="S705" s="40"/>
      <c r="T705" s="41"/>
      <c r="U705" s="41"/>
      <c r="V705" s="41"/>
      <c r="W705" s="36"/>
      <c r="X705" s="36"/>
      <c r="Y705" s="36"/>
      <c r="Z705" s="36"/>
      <c r="AA705" s="36"/>
    </row>
    <row r="706" spans="16:27" x14ac:dyDescent="0.2">
      <c r="P706" s="36"/>
      <c r="Q706" s="40"/>
      <c r="R706" s="40"/>
      <c r="S706" s="40"/>
      <c r="T706" s="41"/>
      <c r="U706" s="41"/>
      <c r="V706" s="41"/>
      <c r="W706" s="36"/>
      <c r="X706" s="36"/>
      <c r="Y706" s="36"/>
      <c r="Z706" s="36"/>
      <c r="AA706" s="36"/>
    </row>
    <row r="707" spans="16:27" x14ac:dyDescent="0.2">
      <c r="P707" s="36"/>
      <c r="Q707" s="40"/>
      <c r="R707" s="40"/>
      <c r="S707" s="40"/>
      <c r="T707" s="41"/>
      <c r="U707" s="41"/>
      <c r="V707" s="41"/>
      <c r="W707" s="36"/>
      <c r="X707" s="36"/>
      <c r="Y707" s="36"/>
      <c r="Z707" s="36"/>
      <c r="AA707" s="36"/>
    </row>
    <row r="708" spans="16:27" x14ac:dyDescent="0.2">
      <c r="P708" s="36"/>
      <c r="Q708" s="40"/>
      <c r="R708" s="40"/>
      <c r="S708" s="40"/>
      <c r="T708" s="41"/>
      <c r="U708" s="41"/>
      <c r="V708" s="41"/>
      <c r="W708" s="36"/>
      <c r="X708" s="36"/>
      <c r="Y708" s="36"/>
      <c r="Z708" s="36"/>
      <c r="AA708" s="36"/>
    </row>
    <row r="709" spans="16:27" x14ac:dyDescent="0.2">
      <c r="P709" s="36"/>
      <c r="Q709" s="40"/>
      <c r="R709" s="40"/>
      <c r="S709" s="40"/>
      <c r="T709" s="41"/>
      <c r="U709" s="41"/>
      <c r="V709" s="41"/>
      <c r="W709" s="36"/>
      <c r="X709" s="36"/>
      <c r="Y709" s="36"/>
      <c r="Z709" s="36"/>
      <c r="AA709" s="36"/>
    </row>
    <row r="710" spans="16:27" x14ac:dyDescent="0.2">
      <c r="P710" s="36"/>
      <c r="Q710" s="40"/>
      <c r="R710" s="40"/>
      <c r="S710" s="40"/>
      <c r="T710" s="41"/>
      <c r="U710" s="41"/>
      <c r="V710" s="41"/>
      <c r="W710" s="36"/>
      <c r="X710" s="36"/>
      <c r="Y710" s="36"/>
      <c r="Z710" s="36"/>
      <c r="AA710" s="36"/>
    </row>
    <row r="711" spans="16:27" x14ac:dyDescent="0.2">
      <c r="P711" s="36"/>
      <c r="Q711" s="40"/>
      <c r="R711" s="40"/>
      <c r="S711" s="40"/>
      <c r="T711" s="41"/>
      <c r="U711" s="41"/>
      <c r="V711" s="41"/>
      <c r="W711" s="36"/>
      <c r="X711" s="36"/>
      <c r="Y711" s="36"/>
      <c r="Z711" s="36"/>
      <c r="AA711" s="36"/>
    </row>
    <row r="712" spans="16:27" x14ac:dyDescent="0.2">
      <c r="P712" s="36"/>
      <c r="Q712" s="40"/>
      <c r="R712" s="40"/>
      <c r="S712" s="40"/>
      <c r="T712" s="41"/>
      <c r="U712" s="41"/>
      <c r="V712" s="41"/>
      <c r="W712" s="36"/>
      <c r="X712" s="36"/>
      <c r="Y712" s="36"/>
      <c r="Z712" s="36"/>
      <c r="AA712" s="36"/>
    </row>
    <row r="713" spans="16:27" x14ac:dyDescent="0.2">
      <c r="P713" s="36"/>
      <c r="Q713" s="40"/>
      <c r="R713" s="40"/>
      <c r="S713" s="40"/>
      <c r="T713" s="41"/>
      <c r="U713" s="41"/>
      <c r="V713" s="41"/>
      <c r="W713" s="36"/>
      <c r="X713" s="36"/>
      <c r="Y713" s="36"/>
      <c r="Z713" s="36"/>
      <c r="AA713" s="36"/>
    </row>
    <row r="714" spans="16:27" x14ac:dyDescent="0.2">
      <c r="P714" s="36"/>
      <c r="Q714" s="40"/>
      <c r="R714" s="40"/>
      <c r="S714" s="40"/>
      <c r="T714" s="41"/>
      <c r="U714" s="41"/>
      <c r="V714" s="41"/>
      <c r="W714" s="36"/>
      <c r="X714" s="36"/>
      <c r="Y714" s="36"/>
      <c r="Z714" s="36"/>
      <c r="AA714" s="36"/>
    </row>
    <row r="715" spans="16:27" x14ac:dyDescent="0.2">
      <c r="P715" s="36"/>
      <c r="Q715" s="40"/>
      <c r="R715" s="40"/>
      <c r="S715" s="40"/>
      <c r="T715" s="41"/>
      <c r="U715" s="41"/>
      <c r="V715" s="41"/>
      <c r="W715" s="36"/>
      <c r="X715" s="36"/>
      <c r="Y715" s="36"/>
      <c r="Z715" s="36"/>
      <c r="AA715" s="36"/>
    </row>
    <row r="716" spans="16:27" x14ac:dyDescent="0.2">
      <c r="P716" s="36"/>
      <c r="Q716" s="40"/>
      <c r="R716" s="40"/>
      <c r="S716" s="40"/>
      <c r="T716" s="41"/>
      <c r="U716" s="41"/>
      <c r="V716" s="41"/>
      <c r="W716" s="36"/>
      <c r="X716" s="36"/>
      <c r="Y716" s="36"/>
      <c r="Z716" s="36"/>
      <c r="AA716" s="36"/>
    </row>
    <row r="717" spans="16:27" x14ac:dyDescent="0.2">
      <c r="P717" s="36"/>
      <c r="Q717" s="40"/>
      <c r="R717" s="40"/>
      <c r="S717" s="40"/>
      <c r="T717" s="41"/>
      <c r="U717" s="41"/>
      <c r="V717" s="41"/>
      <c r="W717" s="36"/>
      <c r="X717" s="36"/>
      <c r="Y717" s="36"/>
      <c r="Z717" s="36"/>
      <c r="AA717" s="36"/>
    </row>
    <row r="718" spans="16:27" x14ac:dyDescent="0.2">
      <c r="P718" s="36"/>
      <c r="Q718" s="40"/>
      <c r="R718" s="40"/>
      <c r="S718" s="40"/>
      <c r="T718" s="41"/>
      <c r="U718" s="41"/>
      <c r="V718" s="41"/>
      <c r="W718" s="36"/>
      <c r="X718" s="36"/>
      <c r="Y718" s="36"/>
      <c r="Z718" s="36"/>
      <c r="AA718" s="36"/>
    </row>
    <row r="719" spans="16:27" x14ac:dyDescent="0.2">
      <c r="P719" s="36"/>
      <c r="Q719" s="40"/>
      <c r="R719" s="40"/>
      <c r="S719" s="40"/>
      <c r="T719" s="41"/>
      <c r="U719" s="41"/>
      <c r="V719" s="41"/>
      <c r="W719" s="36"/>
      <c r="X719" s="36"/>
      <c r="Y719" s="36"/>
      <c r="Z719" s="36"/>
      <c r="AA719" s="36"/>
    </row>
    <row r="720" spans="16:27" x14ac:dyDescent="0.2">
      <c r="P720" s="36"/>
      <c r="Q720" s="40"/>
      <c r="R720" s="40"/>
      <c r="S720" s="40"/>
      <c r="T720" s="41"/>
      <c r="U720" s="41"/>
      <c r="V720" s="41"/>
      <c r="W720" s="36"/>
      <c r="X720" s="36"/>
      <c r="Y720" s="36"/>
      <c r="Z720" s="36"/>
      <c r="AA720" s="36"/>
    </row>
    <row r="721" spans="16:27" x14ac:dyDescent="0.2">
      <c r="P721" s="36"/>
      <c r="Q721" s="40"/>
      <c r="R721" s="40"/>
      <c r="S721" s="40"/>
      <c r="T721" s="41"/>
      <c r="U721" s="41"/>
      <c r="V721" s="41"/>
      <c r="W721" s="36"/>
      <c r="X721" s="36"/>
      <c r="Y721" s="36"/>
      <c r="Z721" s="36"/>
      <c r="AA721" s="36"/>
    </row>
    <row r="722" spans="16:27" x14ac:dyDescent="0.2">
      <c r="P722" s="36"/>
      <c r="Q722" s="40"/>
      <c r="R722" s="40"/>
      <c r="S722" s="40"/>
      <c r="T722" s="41"/>
      <c r="U722" s="41"/>
      <c r="V722" s="41"/>
      <c r="W722" s="36"/>
      <c r="X722" s="36"/>
      <c r="Y722" s="36"/>
      <c r="Z722" s="36"/>
      <c r="AA722" s="36"/>
    </row>
    <row r="723" spans="16:27" x14ac:dyDescent="0.2">
      <c r="P723" s="36"/>
      <c r="Q723" s="40"/>
      <c r="R723" s="40"/>
      <c r="S723" s="40"/>
      <c r="T723" s="41"/>
      <c r="U723" s="41"/>
      <c r="V723" s="41"/>
      <c r="W723" s="36"/>
      <c r="X723" s="36"/>
      <c r="Y723" s="36"/>
      <c r="Z723" s="36"/>
      <c r="AA723" s="36"/>
    </row>
    <row r="724" spans="16:27" x14ac:dyDescent="0.2">
      <c r="P724" s="36"/>
      <c r="Q724" s="40"/>
      <c r="R724" s="40"/>
      <c r="S724" s="40"/>
      <c r="T724" s="41"/>
      <c r="U724" s="41"/>
      <c r="V724" s="41"/>
      <c r="W724" s="36"/>
      <c r="X724" s="36"/>
      <c r="Y724" s="36"/>
      <c r="Z724" s="36"/>
      <c r="AA724" s="36"/>
    </row>
    <row r="725" spans="16:27" x14ac:dyDescent="0.2">
      <c r="P725" s="36"/>
      <c r="Q725" s="40"/>
      <c r="R725" s="40"/>
      <c r="S725" s="40"/>
      <c r="T725" s="41"/>
      <c r="U725" s="41"/>
      <c r="V725" s="41"/>
      <c r="W725" s="36"/>
      <c r="X725" s="36"/>
      <c r="Y725" s="36"/>
      <c r="Z725" s="36"/>
      <c r="AA725" s="36"/>
    </row>
    <row r="726" spans="16:27" x14ac:dyDescent="0.2">
      <c r="P726" s="36"/>
      <c r="Q726" s="40"/>
      <c r="R726" s="40"/>
      <c r="S726" s="40"/>
      <c r="T726" s="41"/>
      <c r="U726" s="41"/>
      <c r="V726" s="41"/>
      <c r="W726" s="36"/>
      <c r="X726" s="36"/>
      <c r="Y726" s="36"/>
      <c r="Z726" s="36"/>
      <c r="AA726" s="36"/>
    </row>
    <row r="727" spans="16:27" x14ac:dyDescent="0.2">
      <c r="P727" s="36"/>
      <c r="Q727" s="40"/>
      <c r="R727" s="40"/>
      <c r="S727" s="40"/>
      <c r="T727" s="41"/>
      <c r="U727" s="41"/>
      <c r="V727" s="41"/>
      <c r="W727" s="36"/>
      <c r="X727" s="36"/>
      <c r="Y727" s="36"/>
      <c r="Z727" s="36"/>
      <c r="AA727" s="36"/>
    </row>
    <row r="728" spans="16:27" x14ac:dyDescent="0.2">
      <c r="P728" s="36"/>
      <c r="Q728" s="40"/>
      <c r="R728" s="40"/>
      <c r="S728" s="40"/>
      <c r="T728" s="41"/>
      <c r="U728" s="41"/>
      <c r="V728" s="41"/>
      <c r="W728" s="36"/>
      <c r="X728" s="36"/>
      <c r="Y728" s="36"/>
      <c r="Z728" s="36"/>
      <c r="AA728" s="36"/>
    </row>
    <row r="729" spans="16:27" x14ac:dyDescent="0.2">
      <c r="P729" s="36"/>
      <c r="Q729" s="40"/>
      <c r="R729" s="40"/>
      <c r="S729" s="40"/>
      <c r="T729" s="41"/>
      <c r="U729" s="41"/>
      <c r="V729" s="41"/>
      <c r="W729" s="36"/>
      <c r="X729" s="36"/>
      <c r="Y729" s="36"/>
      <c r="Z729" s="36"/>
      <c r="AA729" s="36"/>
    </row>
    <row r="730" spans="16:27" x14ac:dyDescent="0.2">
      <c r="P730" s="36"/>
      <c r="Q730" s="40"/>
      <c r="R730" s="40"/>
      <c r="S730" s="40"/>
      <c r="T730" s="41"/>
      <c r="U730" s="41"/>
      <c r="V730" s="41"/>
      <c r="W730" s="36"/>
      <c r="X730" s="36"/>
      <c r="Y730" s="36"/>
      <c r="Z730" s="36"/>
      <c r="AA730" s="36"/>
    </row>
    <row r="731" spans="16:27" x14ac:dyDescent="0.2">
      <c r="P731" s="36"/>
      <c r="Q731" s="40"/>
      <c r="R731" s="40"/>
      <c r="S731" s="40"/>
      <c r="T731" s="41"/>
      <c r="U731" s="41"/>
      <c r="V731" s="41"/>
      <c r="W731" s="36"/>
      <c r="X731" s="36"/>
      <c r="Y731" s="36"/>
      <c r="Z731" s="36"/>
      <c r="AA731" s="36"/>
    </row>
    <row r="732" spans="16:27" x14ac:dyDescent="0.2">
      <c r="P732" s="36"/>
      <c r="Q732" s="40"/>
      <c r="R732" s="40"/>
      <c r="S732" s="40"/>
      <c r="T732" s="41"/>
      <c r="U732" s="41"/>
      <c r="V732" s="41"/>
      <c r="W732" s="36"/>
      <c r="X732" s="36"/>
      <c r="Y732" s="36"/>
      <c r="Z732" s="36"/>
      <c r="AA732" s="36"/>
    </row>
    <row r="733" spans="16:27" x14ac:dyDescent="0.2">
      <c r="P733" s="36"/>
      <c r="Q733" s="40"/>
      <c r="R733" s="40"/>
      <c r="S733" s="40"/>
      <c r="T733" s="41"/>
      <c r="U733" s="41"/>
      <c r="V733" s="41"/>
      <c r="W733" s="36"/>
      <c r="X733" s="36"/>
      <c r="Y733" s="36"/>
      <c r="Z733" s="36"/>
      <c r="AA733" s="36"/>
    </row>
    <row r="734" spans="16:27" x14ac:dyDescent="0.2">
      <c r="P734" s="36"/>
      <c r="Q734" s="40"/>
      <c r="R734" s="40"/>
      <c r="S734" s="40"/>
      <c r="T734" s="41"/>
      <c r="U734" s="41"/>
      <c r="V734" s="41"/>
      <c r="W734" s="36"/>
      <c r="X734" s="36"/>
      <c r="Y734" s="36"/>
      <c r="Z734" s="36"/>
      <c r="AA734" s="36"/>
    </row>
    <row r="735" spans="16:27" x14ac:dyDescent="0.2">
      <c r="P735" s="36"/>
      <c r="Q735" s="40"/>
      <c r="R735" s="40"/>
      <c r="S735" s="40"/>
      <c r="T735" s="41"/>
      <c r="U735" s="41"/>
      <c r="V735" s="41"/>
      <c r="W735" s="36"/>
      <c r="X735" s="36"/>
      <c r="Y735" s="36"/>
      <c r="Z735" s="36"/>
      <c r="AA735" s="36"/>
    </row>
    <row r="736" spans="16:27" x14ac:dyDescent="0.2">
      <c r="P736" s="36"/>
      <c r="Q736" s="40"/>
      <c r="R736" s="40"/>
      <c r="S736" s="40"/>
      <c r="T736" s="41"/>
      <c r="U736" s="41"/>
      <c r="V736" s="41"/>
      <c r="W736" s="36"/>
      <c r="X736" s="36"/>
      <c r="Y736" s="36"/>
      <c r="Z736" s="36"/>
      <c r="AA736" s="36"/>
    </row>
    <row r="737" spans="16:27" x14ac:dyDescent="0.2">
      <c r="P737" s="36"/>
      <c r="Q737" s="40"/>
      <c r="R737" s="40"/>
      <c r="S737" s="40"/>
      <c r="T737" s="41"/>
      <c r="U737" s="41"/>
      <c r="V737" s="41"/>
      <c r="W737" s="36"/>
      <c r="X737" s="36"/>
      <c r="Y737" s="36"/>
      <c r="Z737" s="36"/>
      <c r="AA737" s="36"/>
    </row>
    <row r="738" spans="16:27" x14ac:dyDescent="0.2">
      <c r="P738" s="36"/>
      <c r="Q738" s="40"/>
      <c r="R738" s="40"/>
      <c r="S738" s="40"/>
      <c r="T738" s="41"/>
      <c r="U738" s="41"/>
      <c r="V738" s="41"/>
      <c r="W738" s="36"/>
      <c r="X738" s="36"/>
      <c r="Y738" s="36"/>
      <c r="Z738" s="36"/>
      <c r="AA738" s="36"/>
    </row>
    <row r="739" spans="16:27" x14ac:dyDescent="0.2">
      <c r="P739" s="36"/>
      <c r="Q739" s="40"/>
      <c r="R739" s="40"/>
      <c r="S739" s="40"/>
      <c r="T739" s="41"/>
      <c r="U739" s="41"/>
      <c r="V739" s="41"/>
      <c r="W739" s="36"/>
      <c r="X739" s="36"/>
      <c r="Y739" s="36"/>
      <c r="Z739" s="36"/>
      <c r="AA739" s="36"/>
    </row>
    <row r="740" spans="16:27" x14ac:dyDescent="0.2">
      <c r="P740" s="36"/>
      <c r="Q740" s="40"/>
      <c r="R740" s="40"/>
      <c r="S740" s="40"/>
      <c r="T740" s="41"/>
      <c r="U740" s="41"/>
      <c r="V740" s="41"/>
      <c r="W740" s="36"/>
      <c r="X740" s="36"/>
      <c r="Y740" s="36"/>
      <c r="Z740" s="36"/>
      <c r="AA740" s="36"/>
    </row>
    <row r="741" spans="16:27" x14ac:dyDescent="0.2">
      <c r="P741" s="36"/>
      <c r="Q741" s="40"/>
      <c r="R741" s="40"/>
      <c r="S741" s="40"/>
      <c r="T741" s="41"/>
      <c r="U741" s="41"/>
      <c r="V741" s="41"/>
      <c r="W741" s="36"/>
      <c r="X741" s="36"/>
      <c r="Y741" s="36"/>
      <c r="Z741" s="36"/>
      <c r="AA741" s="36"/>
    </row>
    <row r="742" spans="16:27" x14ac:dyDescent="0.2">
      <c r="P742" s="36"/>
      <c r="Q742" s="40"/>
      <c r="R742" s="40"/>
      <c r="S742" s="40"/>
      <c r="T742" s="41"/>
      <c r="U742" s="41"/>
      <c r="V742" s="41"/>
      <c r="W742" s="36"/>
      <c r="X742" s="36"/>
      <c r="Y742" s="36"/>
      <c r="Z742" s="36"/>
      <c r="AA742" s="36"/>
    </row>
    <row r="743" spans="16:27" x14ac:dyDescent="0.2">
      <c r="P743" s="36"/>
      <c r="Q743" s="40"/>
      <c r="R743" s="40"/>
      <c r="S743" s="40"/>
      <c r="T743" s="41"/>
      <c r="U743" s="41"/>
      <c r="V743" s="41"/>
      <c r="W743" s="36"/>
      <c r="X743" s="36"/>
      <c r="Y743" s="36"/>
      <c r="Z743" s="36"/>
      <c r="AA743" s="36"/>
    </row>
    <row r="744" spans="16:27" x14ac:dyDescent="0.2">
      <c r="P744" s="36"/>
      <c r="Q744" s="40"/>
      <c r="R744" s="40"/>
      <c r="S744" s="40"/>
      <c r="T744" s="41"/>
      <c r="U744" s="41"/>
      <c r="V744" s="41"/>
      <c r="W744" s="36"/>
      <c r="X744" s="36"/>
      <c r="Y744" s="36"/>
      <c r="Z744" s="36"/>
      <c r="AA744" s="36"/>
    </row>
    <row r="745" spans="16:27" x14ac:dyDescent="0.2">
      <c r="P745" s="36"/>
      <c r="Q745" s="40"/>
      <c r="R745" s="40"/>
      <c r="S745" s="40"/>
      <c r="T745" s="41"/>
      <c r="U745" s="41"/>
      <c r="V745" s="41"/>
      <c r="W745" s="36"/>
      <c r="X745" s="36"/>
      <c r="Y745" s="36"/>
      <c r="Z745" s="36"/>
      <c r="AA745" s="36"/>
    </row>
    <row r="746" spans="16:27" x14ac:dyDescent="0.2">
      <c r="P746" s="36"/>
      <c r="Q746" s="40"/>
      <c r="R746" s="40"/>
      <c r="S746" s="40"/>
      <c r="T746" s="41"/>
      <c r="U746" s="41"/>
      <c r="V746" s="41"/>
      <c r="W746" s="36"/>
      <c r="X746" s="36"/>
      <c r="Y746" s="36"/>
      <c r="Z746" s="36"/>
      <c r="AA746" s="36"/>
    </row>
    <row r="747" spans="16:27" x14ac:dyDescent="0.2">
      <c r="P747" s="36"/>
      <c r="Q747" s="40"/>
      <c r="R747" s="40"/>
      <c r="S747" s="40"/>
      <c r="T747" s="41"/>
      <c r="U747" s="41"/>
      <c r="V747" s="41"/>
      <c r="W747" s="36"/>
      <c r="X747" s="36"/>
      <c r="Y747" s="36"/>
      <c r="Z747" s="36"/>
      <c r="AA747" s="36"/>
    </row>
    <row r="748" spans="16:27" x14ac:dyDescent="0.2">
      <c r="P748" s="36"/>
      <c r="Q748" s="40"/>
      <c r="R748" s="40"/>
      <c r="S748" s="40"/>
      <c r="T748" s="41"/>
      <c r="U748" s="41"/>
      <c r="V748" s="41"/>
      <c r="W748" s="36"/>
      <c r="X748" s="36"/>
      <c r="Y748" s="36"/>
      <c r="Z748" s="36"/>
      <c r="AA748" s="36"/>
    </row>
    <row r="749" spans="16:27" x14ac:dyDescent="0.2">
      <c r="P749" s="36"/>
      <c r="Q749" s="40"/>
      <c r="R749" s="40"/>
      <c r="S749" s="40"/>
      <c r="T749" s="41"/>
      <c r="U749" s="41"/>
      <c r="V749" s="41"/>
      <c r="W749" s="36"/>
      <c r="X749" s="36"/>
      <c r="Y749" s="36"/>
      <c r="Z749" s="36"/>
      <c r="AA749" s="36"/>
    </row>
    <row r="750" spans="16:27" x14ac:dyDescent="0.2">
      <c r="P750" s="36"/>
      <c r="Q750" s="40"/>
      <c r="R750" s="40"/>
      <c r="S750" s="40"/>
      <c r="T750" s="41"/>
      <c r="U750" s="41"/>
      <c r="V750" s="41"/>
      <c r="W750" s="36"/>
      <c r="X750" s="36"/>
      <c r="Y750" s="36"/>
      <c r="Z750" s="36"/>
      <c r="AA750" s="36"/>
    </row>
    <row r="751" spans="16:27" x14ac:dyDescent="0.2">
      <c r="P751" s="36"/>
      <c r="Q751" s="40"/>
      <c r="R751" s="40"/>
      <c r="S751" s="40"/>
      <c r="T751" s="41"/>
      <c r="U751" s="41"/>
      <c r="V751" s="41"/>
      <c r="W751" s="36"/>
      <c r="X751" s="36"/>
      <c r="Y751" s="36"/>
      <c r="Z751" s="36"/>
      <c r="AA751" s="36"/>
    </row>
    <row r="752" spans="16:27" x14ac:dyDescent="0.2">
      <c r="P752" s="36"/>
      <c r="Q752" s="40"/>
      <c r="R752" s="40"/>
      <c r="S752" s="40"/>
      <c r="T752" s="41"/>
      <c r="U752" s="41"/>
      <c r="V752" s="41"/>
      <c r="W752" s="36"/>
      <c r="X752" s="36"/>
      <c r="Y752" s="36"/>
      <c r="Z752" s="36"/>
      <c r="AA752" s="36"/>
    </row>
    <row r="753" spans="16:27" x14ac:dyDescent="0.2">
      <c r="P753" s="36"/>
      <c r="Q753" s="40"/>
      <c r="R753" s="40"/>
      <c r="S753" s="40"/>
      <c r="T753" s="41"/>
      <c r="U753" s="41"/>
      <c r="V753" s="41"/>
      <c r="W753" s="36"/>
      <c r="X753" s="36"/>
      <c r="Y753" s="36"/>
      <c r="Z753" s="36"/>
      <c r="AA753" s="36"/>
    </row>
    <row r="754" spans="16:27" x14ac:dyDescent="0.2">
      <c r="P754" s="36"/>
      <c r="Q754" s="40"/>
      <c r="R754" s="40"/>
      <c r="S754" s="40"/>
      <c r="T754" s="41"/>
      <c r="U754" s="41"/>
      <c r="V754" s="41"/>
      <c r="W754" s="36"/>
      <c r="X754" s="36"/>
      <c r="Y754" s="36"/>
      <c r="Z754" s="36"/>
      <c r="AA754" s="36"/>
    </row>
    <row r="755" spans="16:27" x14ac:dyDescent="0.2">
      <c r="P755" s="36"/>
      <c r="Q755" s="40"/>
      <c r="R755" s="40"/>
      <c r="S755" s="40"/>
      <c r="T755" s="41"/>
      <c r="U755" s="41"/>
      <c r="V755" s="41"/>
      <c r="W755" s="36"/>
      <c r="X755" s="36"/>
      <c r="Y755" s="36"/>
      <c r="Z755" s="36"/>
      <c r="AA755" s="36"/>
    </row>
    <row r="756" spans="16:27" x14ac:dyDescent="0.2">
      <c r="P756" s="36"/>
      <c r="Q756" s="40"/>
      <c r="R756" s="40"/>
      <c r="S756" s="40"/>
      <c r="T756" s="41"/>
      <c r="U756" s="41"/>
      <c r="V756" s="41"/>
      <c r="W756" s="36"/>
      <c r="X756" s="36"/>
      <c r="Y756" s="36"/>
      <c r="Z756" s="36"/>
      <c r="AA756" s="36"/>
    </row>
    <row r="757" spans="16:27" x14ac:dyDescent="0.2">
      <c r="P757" s="36"/>
      <c r="Q757" s="40"/>
      <c r="R757" s="40"/>
      <c r="S757" s="40"/>
      <c r="T757" s="41"/>
      <c r="U757" s="41"/>
      <c r="V757" s="41"/>
      <c r="W757" s="36"/>
      <c r="X757" s="36"/>
      <c r="Y757" s="36"/>
      <c r="Z757" s="36"/>
      <c r="AA757" s="36"/>
    </row>
    <row r="758" spans="16:27" x14ac:dyDescent="0.2">
      <c r="P758" s="36"/>
      <c r="Q758" s="40"/>
      <c r="R758" s="40"/>
      <c r="S758" s="40"/>
      <c r="T758" s="41"/>
      <c r="U758" s="41"/>
      <c r="V758" s="41"/>
      <c r="W758" s="36"/>
      <c r="X758" s="36"/>
      <c r="Y758" s="36"/>
      <c r="Z758" s="36"/>
      <c r="AA758" s="36"/>
    </row>
    <row r="759" spans="16:27" x14ac:dyDescent="0.2">
      <c r="P759" s="36"/>
      <c r="Q759" s="40"/>
      <c r="R759" s="40"/>
      <c r="S759" s="40"/>
      <c r="T759" s="41"/>
      <c r="U759" s="41"/>
      <c r="V759" s="41"/>
      <c r="W759" s="36"/>
      <c r="X759" s="36"/>
      <c r="Y759" s="36"/>
      <c r="Z759" s="36"/>
      <c r="AA759" s="36"/>
    </row>
    <row r="760" spans="16:27" x14ac:dyDescent="0.2">
      <c r="P760" s="36"/>
      <c r="Q760" s="40"/>
      <c r="R760" s="40"/>
      <c r="S760" s="40"/>
      <c r="T760" s="41"/>
      <c r="U760" s="41"/>
      <c r="V760" s="41"/>
      <c r="W760" s="36"/>
      <c r="X760" s="36"/>
      <c r="Y760" s="36"/>
      <c r="Z760" s="36"/>
      <c r="AA760" s="36"/>
    </row>
    <row r="761" spans="16:27" x14ac:dyDescent="0.2">
      <c r="P761" s="36"/>
      <c r="Q761" s="40"/>
      <c r="R761" s="40"/>
      <c r="S761" s="40"/>
      <c r="T761" s="41"/>
      <c r="U761" s="41"/>
      <c r="V761" s="41"/>
      <c r="W761" s="36"/>
      <c r="X761" s="36"/>
      <c r="Y761" s="36"/>
      <c r="Z761" s="36"/>
      <c r="AA761" s="36"/>
    </row>
    <row r="762" spans="16:27" x14ac:dyDescent="0.2">
      <c r="P762" s="36"/>
      <c r="Q762" s="40"/>
      <c r="R762" s="40"/>
      <c r="S762" s="40"/>
      <c r="T762" s="41"/>
      <c r="U762" s="41"/>
      <c r="V762" s="41"/>
      <c r="W762" s="36"/>
      <c r="X762" s="36"/>
      <c r="Y762" s="36"/>
      <c r="Z762" s="36"/>
      <c r="AA762" s="36"/>
    </row>
    <row r="763" spans="16:27" x14ac:dyDescent="0.2">
      <c r="P763" s="36"/>
      <c r="Q763" s="40"/>
      <c r="R763" s="40"/>
      <c r="S763" s="40"/>
      <c r="T763" s="41"/>
      <c r="U763" s="41"/>
      <c r="V763" s="41"/>
      <c r="W763" s="36"/>
      <c r="X763" s="36"/>
      <c r="Y763" s="36"/>
      <c r="Z763" s="36"/>
      <c r="AA763" s="36"/>
    </row>
    <row r="764" spans="16:27" x14ac:dyDescent="0.2">
      <c r="P764" s="36"/>
      <c r="Q764" s="40"/>
      <c r="R764" s="40"/>
      <c r="S764" s="40"/>
      <c r="T764" s="41"/>
      <c r="U764" s="41"/>
      <c r="V764" s="41"/>
      <c r="W764" s="36"/>
      <c r="X764" s="36"/>
      <c r="Y764" s="36"/>
      <c r="Z764" s="36"/>
      <c r="AA764" s="36"/>
    </row>
    <row r="765" spans="16:27" x14ac:dyDescent="0.2">
      <c r="P765" s="36"/>
      <c r="Q765" s="40"/>
      <c r="R765" s="40"/>
      <c r="S765" s="40"/>
      <c r="T765" s="41"/>
      <c r="U765" s="41"/>
      <c r="V765" s="41"/>
      <c r="W765" s="36"/>
      <c r="X765" s="36"/>
      <c r="Y765" s="36"/>
      <c r="Z765" s="36"/>
      <c r="AA765" s="36"/>
    </row>
    <row r="766" spans="16:27" x14ac:dyDescent="0.2">
      <c r="P766" s="36"/>
      <c r="Q766" s="40"/>
      <c r="R766" s="40"/>
      <c r="S766" s="40"/>
      <c r="T766" s="41"/>
      <c r="U766" s="41"/>
      <c r="V766" s="41"/>
      <c r="W766" s="36"/>
      <c r="X766" s="36"/>
      <c r="Y766" s="36"/>
      <c r="Z766" s="36"/>
      <c r="AA766" s="36"/>
    </row>
    <row r="767" spans="16:27" x14ac:dyDescent="0.2">
      <c r="P767" s="36"/>
      <c r="Q767" s="40"/>
      <c r="R767" s="40"/>
      <c r="S767" s="40"/>
      <c r="T767" s="41"/>
      <c r="U767" s="41"/>
      <c r="V767" s="41"/>
      <c r="W767" s="36"/>
      <c r="X767" s="36"/>
      <c r="Y767" s="36"/>
      <c r="Z767" s="36"/>
      <c r="AA767" s="36"/>
    </row>
    <row r="768" spans="16:27" x14ac:dyDescent="0.2">
      <c r="P768" s="36"/>
      <c r="Q768" s="40"/>
      <c r="R768" s="40"/>
      <c r="S768" s="40"/>
      <c r="T768" s="41"/>
      <c r="U768" s="41"/>
      <c r="V768" s="41"/>
      <c r="W768" s="36"/>
      <c r="X768" s="36"/>
      <c r="Y768" s="36"/>
      <c r="Z768" s="36"/>
      <c r="AA768" s="36"/>
    </row>
    <row r="769" spans="16:27" x14ac:dyDescent="0.2">
      <c r="P769" s="36"/>
      <c r="Q769" s="40"/>
      <c r="R769" s="40"/>
      <c r="S769" s="40"/>
      <c r="T769" s="41"/>
      <c r="U769" s="41"/>
      <c r="V769" s="41"/>
      <c r="W769" s="36"/>
      <c r="X769" s="36"/>
      <c r="Y769" s="36"/>
      <c r="Z769" s="36"/>
      <c r="AA769" s="36"/>
    </row>
    <row r="770" spans="16:27" x14ac:dyDescent="0.2">
      <c r="P770" s="36"/>
      <c r="Q770" s="40"/>
      <c r="R770" s="40"/>
      <c r="S770" s="40"/>
      <c r="T770" s="41"/>
      <c r="U770" s="41"/>
      <c r="V770" s="41"/>
      <c r="W770" s="36"/>
      <c r="X770" s="36"/>
      <c r="Y770" s="36"/>
      <c r="Z770" s="36"/>
      <c r="AA770" s="36"/>
    </row>
    <row r="771" spans="16:27" x14ac:dyDescent="0.2">
      <c r="P771" s="36"/>
      <c r="Q771" s="40"/>
      <c r="R771" s="40"/>
      <c r="S771" s="40"/>
      <c r="T771" s="41"/>
      <c r="U771" s="41"/>
      <c r="V771" s="41"/>
      <c r="W771" s="36"/>
      <c r="X771" s="36"/>
      <c r="Y771" s="36"/>
      <c r="Z771" s="36"/>
      <c r="AA771" s="36"/>
    </row>
    <row r="772" spans="16:27" x14ac:dyDescent="0.2">
      <c r="P772" s="36"/>
      <c r="Q772" s="40"/>
      <c r="R772" s="40"/>
      <c r="S772" s="40"/>
      <c r="T772" s="41"/>
      <c r="U772" s="41"/>
      <c r="V772" s="41"/>
      <c r="W772" s="36"/>
      <c r="X772" s="36"/>
      <c r="Y772" s="36"/>
      <c r="Z772" s="36"/>
      <c r="AA772" s="36"/>
    </row>
    <row r="773" spans="16:27" x14ac:dyDescent="0.2">
      <c r="P773" s="36"/>
      <c r="Q773" s="40"/>
      <c r="R773" s="40"/>
      <c r="S773" s="40"/>
      <c r="T773" s="41"/>
      <c r="U773" s="41"/>
      <c r="V773" s="41"/>
      <c r="W773" s="36"/>
      <c r="X773" s="36"/>
      <c r="Y773" s="36"/>
      <c r="Z773" s="36"/>
      <c r="AA773" s="36"/>
    </row>
    <row r="774" spans="16:27" x14ac:dyDescent="0.2">
      <c r="P774" s="36"/>
      <c r="Q774" s="40"/>
      <c r="R774" s="40"/>
      <c r="S774" s="40"/>
      <c r="T774" s="41"/>
      <c r="U774" s="41"/>
      <c r="V774" s="41"/>
      <c r="W774" s="36"/>
      <c r="X774" s="36"/>
      <c r="Y774" s="36"/>
      <c r="Z774" s="36"/>
      <c r="AA774" s="36"/>
    </row>
    <row r="775" spans="16:27" x14ac:dyDescent="0.2">
      <c r="P775" s="36"/>
      <c r="Q775" s="40"/>
      <c r="R775" s="40"/>
      <c r="S775" s="40"/>
      <c r="T775" s="41"/>
      <c r="U775" s="41"/>
      <c r="V775" s="41"/>
      <c r="W775" s="36"/>
      <c r="X775" s="36"/>
      <c r="Y775" s="36"/>
      <c r="Z775" s="36"/>
      <c r="AA775" s="36"/>
    </row>
    <row r="776" spans="16:27" x14ac:dyDescent="0.2">
      <c r="P776" s="36"/>
      <c r="Q776" s="40"/>
      <c r="R776" s="40"/>
      <c r="S776" s="40"/>
      <c r="T776" s="41"/>
      <c r="U776" s="41"/>
      <c r="V776" s="41"/>
      <c r="W776" s="36"/>
      <c r="X776" s="36"/>
      <c r="Y776" s="36"/>
      <c r="Z776" s="36"/>
      <c r="AA776" s="36"/>
    </row>
    <row r="777" spans="16:27" x14ac:dyDescent="0.2">
      <c r="P777" s="36"/>
      <c r="Q777" s="40"/>
      <c r="R777" s="40"/>
      <c r="S777" s="40"/>
      <c r="T777" s="41"/>
      <c r="U777" s="41"/>
      <c r="V777" s="41"/>
      <c r="W777" s="36"/>
      <c r="X777" s="36"/>
      <c r="Y777" s="36"/>
      <c r="Z777" s="36"/>
      <c r="AA777" s="36"/>
    </row>
    <row r="778" spans="16:27" x14ac:dyDescent="0.2">
      <c r="P778" s="36"/>
      <c r="Q778" s="40"/>
      <c r="R778" s="40"/>
      <c r="S778" s="40"/>
      <c r="T778" s="41"/>
      <c r="U778" s="41"/>
      <c r="V778" s="41"/>
      <c r="W778" s="36"/>
      <c r="X778" s="36"/>
      <c r="Y778" s="36"/>
      <c r="Z778" s="36"/>
      <c r="AA778" s="36"/>
    </row>
    <row r="779" spans="16:27" x14ac:dyDescent="0.2">
      <c r="P779" s="36"/>
      <c r="Q779" s="40"/>
      <c r="R779" s="40"/>
      <c r="S779" s="40"/>
      <c r="T779" s="41"/>
      <c r="U779" s="41"/>
      <c r="V779" s="41"/>
      <c r="W779" s="36"/>
      <c r="X779" s="36"/>
      <c r="Y779" s="36"/>
      <c r="Z779" s="36"/>
      <c r="AA779" s="36"/>
    </row>
    <row r="780" spans="16:27" x14ac:dyDescent="0.2">
      <c r="P780" s="36"/>
      <c r="Q780" s="40"/>
      <c r="R780" s="40"/>
      <c r="S780" s="40"/>
      <c r="T780" s="41"/>
      <c r="U780" s="41"/>
      <c r="V780" s="41"/>
      <c r="W780" s="36"/>
      <c r="X780" s="36"/>
      <c r="Y780" s="36"/>
      <c r="Z780" s="36"/>
      <c r="AA780" s="36"/>
    </row>
    <row r="781" spans="16:27" x14ac:dyDescent="0.2">
      <c r="P781" s="36"/>
      <c r="Q781" s="40"/>
      <c r="R781" s="40"/>
      <c r="S781" s="40"/>
      <c r="T781" s="41"/>
      <c r="U781" s="41"/>
      <c r="V781" s="41"/>
      <c r="W781" s="36"/>
      <c r="X781" s="36"/>
      <c r="Y781" s="36"/>
      <c r="Z781" s="36"/>
      <c r="AA781" s="36"/>
    </row>
    <row r="782" spans="16:27" x14ac:dyDescent="0.2">
      <c r="P782" s="36"/>
      <c r="Q782" s="40"/>
      <c r="R782" s="40"/>
      <c r="S782" s="40"/>
      <c r="T782" s="41"/>
      <c r="U782" s="41"/>
      <c r="V782" s="41"/>
      <c r="W782" s="36"/>
      <c r="X782" s="36"/>
      <c r="Y782" s="36"/>
      <c r="Z782" s="36"/>
      <c r="AA782" s="36"/>
    </row>
    <row r="783" spans="16:27" x14ac:dyDescent="0.2">
      <c r="P783" s="36"/>
      <c r="Q783" s="40"/>
      <c r="R783" s="40"/>
      <c r="S783" s="40"/>
      <c r="T783" s="41"/>
      <c r="U783" s="41"/>
      <c r="V783" s="41"/>
      <c r="W783" s="36"/>
      <c r="X783" s="36"/>
      <c r="Y783" s="36"/>
      <c r="Z783" s="36"/>
      <c r="AA783" s="36"/>
    </row>
    <row r="784" spans="16:27" x14ac:dyDescent="0.2">
      <c r="P784" s="36"/>
      <c r="Q784" s="40"/>
      <c r="R784" s="40"/>
      <c r="S784" s="40"/>
      <c r="T784" s="41"/>
      <c r="U784" s="41"/>
      <c r="V784" s="41"/>
      <c r="W784" s="36"/>
      <c r="X784" s="36"/>
      <c r="Y784" s="36"/>
      <c r="Z784" s="36"/>
      <c r="AA784" s="36"/>
    </row>
    <row r="785" spans="16:27" x14ac:dyDescent="0.2">
      <c r="P785" s="36"/>
      <c r="Q785" s="40"/>
      <c r="R785" s="40"/>
      <c r="S785" s="40"/>
      <c r="T785" s="41"/>
      <c r="U785" s="41"/>
      <c r="V785" s="41"/>
      <c r="W785" s="36"/>
      <c r="X785" s="36"/>
      <c r="Y785" s="36"/>
      <c r="Z785" s="36"/>
      <c r="AA785" s="36"/>
    </row>
    <row r="786" spans="16:27" x14ac:dyDescent="0.2">
      <c r="P786" s="36"/>
      <c r="Q786" s="40"/>
      <c r="R786" s="40"/>
      <c r="S786" s="40"/>
      <c r="T786" s="41"/>
      <c r="U786" s="41"/>
      <c r="V786" s="41"/>
      <c r="W786" s="36"/>
      <c r="X786" s="36"/>
      <c r="Y786" s="36"/>
      <c r="Z786" s="36"/>
      <c r="AA786" s="36"/>
    </row>
    <row r="787" spans="16:27" x14ac:dyDescent="0.2">
      <c r="P787" s="36"/>
      <c r="Q787" s="40"/>
      <c r="R787" s="40"/>
      <c r="S787" s="40"/>
      <c r="T787" s="41"/>
      <c r="U787" s="41"/>
      <c r="V787" s="41"/>
      <c r="W787" s="36"/>
      <c r="X787" s="36"/>
      <c r="Y787" s="36"/>
      <c r="Z787" s="36"/>
      <c r="AA787" s="36"/>
    </row>
    <row r="788" spans="16:27" x14ac:dyDescent="0.2">
      <c r="P788" s="36"/>
      <c r="Q788" s="40"/>
      <c r="R788" s="40"/>
      <c r="S788" s="40"/>
      <c r="T788" s="41"/>
      <c r="U788" s="41"/>
      <c r="V788" s="41"/>
      <c r="W788" s="36"/>
      <c r="X788" s="36"/>
      <c r="Y788" s="36"/>
      <c r="Z788" s="36"/>
      <c r="AA788" s="36"/>
    </row>
    <row r="789" spans="16:27" x14ac:dyDescent="0.2">
      <c r="P789" s="36"/>
      <c r="Q789" s="40"/>
      <c r="R789" s="40"/>
      <c r="S789" s="40"/>
      <c r="T789" s="41"/>
      <c r="U789" s="41"/>
      <c r="V789" s="41"/>
      <c r="W789" s="36"/>
      <c r="X789" s="36"/>
      <c r="Y789" s="36"/>
      <c r="Z789" s="36"/>
      <c r="AA789" s="36"/>
    </row>
    <row r="790" spans="16:27" x14ac:dyDescent="0.2">
      <c r="P790" s="36"/>
      <c r="Q790" s="40"/>
      <c r="R790" s="40"/>
      <c r="S790" s="40"/>
      <c r="T790" s="41"/>
      <c r="U790" s="41"/>
      <c r="V790" s="41"/>
      <c r="W790" s="36"/>
      <c r="X790" s="36"/>
      <c r="Y790" s="36"/>
      <c r="Z790" s="36"/>
      <c r="AA790" s="36"/>
    </row>
    <row r="791" spans="16:27" x14ac:dyDescent="0.2">
      <c r="P791" s="36"/>
      <c r="Q791" s="40"/>
      <c r="R791" s="40"/>
      <c r="S791" s="40"/>
      <c r="T791" s="41"/>
      <c r="U791" s="41"/>
      <c r="V791" s="41"/>
      <c r="W791" s="36"/>
      <c r="X791" s="36"/>
      <c r="Y791" s="36"/>
      <c r="Z791" s="36"/>
      <c r="AA791" s="36"/>
    </row>
    <row r="792" spans="16:27" x14ac:dyDescent="0.2">
      <c r="P792" s="36"/>
      <c r="Q792" s="40"/>
      <c r="R792" s="40"/>
      <c r="S792" s="40"/>
      <c r="T792" s="41"/>
      <c r="U792" s="41"/>
      <c r="V792" s="41"/>
      <c r="W792" s="36"/>
      <c r="X792" s="36"/>
      <c r="Y792" s="36"/>
      <c r="Z792" s="36"/>
      <c r="AA792" s="36"/>
    </row>
    <row r="793" spans="16:27" x14ac:dyDescent="0.2">
      <c r="P793" s="36"/>
      <c r="Q793" s="40"/>
      <c r="R793" s="40"/>
      <c r="S793" s="40"/>
      <c r="T793" s="41"/>
      <c r="U793" s="41"/>
      <c r="V793" s="41"/>
      <c r="W793" s="36"/>
      <c r="X793" s="36"/>
      <c r="Y793" s="36"/>
      <c r="Z793" s="36"/>
      <c r="AA793" s="36"/>
    </row>
    <row r="794" spans="16:27" x14ac:dyDescent="0.2">
      <c r="P794" s="36"/>
      <c r="Q794" s="40"/>
      <c r="R794" s="40"/>
      <c r="S794" s="40"/>
      <c r="T794" s="41"/>
      <c r="U794" s="41"/>
      <c r="V794" s="41"/>
      <c r="W794" s="36"/>
      <c r="X794" s="36"/>
      <c r="Y794" s="36"/>
      <c r="Z794" s="36"/>
      <c r="AA794" s="36"/>
    </row>
    <row r="795" spans="16:27" x14ac:dyDescent="0.2">
      <c r="P795" s="36"/>
      <c r="Q795" s="40"/>
      <c r="R795" s="40"/>
      <c r="S795" s="40"/>
      <c r="T795" s="41"/>
      <c r="U795" s="41"/>
      <c r="V795" s="41"/>
      <c r="W795" s="36"/>
      <c r="X795" s="36"/>
      <c r="Y795" s="36"/>
      <c r="Z795" s="36"/>
      <c r="AA795" s="36"/>
    </row>
    <row r="796" spans="16:27" x14ac:dyDescent="0.2">
      <c r="P796" s="36"/>
      <c r="Q796" s="40"/>
      <c r="R796" s="40"/>
      <c r="S796" s="40"/>
      <c r="T796" s="41"/>
      <c r="U796" s="41"/>
      <c r="V796" s="41"/>
      <c r="W796" s="36"/>
      <c r="X796" s="36"/>
      <c r="Y796" s="36"/>
      <c r="Z796" s="36"/>
      <c r="AA796" s="36"/>
    </row>
    <row r="797" spans="16:27" x14ac:dyDescent="0.2">
      <c r="P797" s="36"/>
      <c r="Q797" s="40"/>
      <c r="R797" s="40"/>
      <c r="S797" s="40"/>
      <c r="T797" s="41"/>
      <c r="U797" s="41"/>
      <c r="V797" s="41"/>
      <c r="W797" s="36"/>
      <c r="X797" s="36"/>
      <c r="Y797" s="36"/>
      <c r="Z797" s="36"/>
      <c r="AA797" s="36"/>
    </row>
    <row r="798" spans="16:27" x14ac:dyDescent="0.2">
      <c r="P798" s="36"/>
      <c r="Q798" s="40"/>
      <c r="R798" s="40"/>
      <c r="S798" s="40"/>
      <c r="T798" s="41"/>
      <c r="U798" s="41"/>
      <c r="V798" s="41"/>
      <c r="W798" s="36"/>
      <c r="X798" s="36"/>
      <c r="Y798" s="36"/>
      <c r="Z798" s="36"/>
      <c r="AA798" s="36"/>
    </row>
    <row r="799" spans="16:27" x14ac:dyDescent="0.2">
      <c r="P799" s="36"/>
      <c r="Q799" s="40"/>
      <c r="R799" s="40"/>
      <c r="S799" s="40"/>
      <c r="T799" s="41"/>
      <c r="U799" s="41"/>
      <c r="V799" s="41"/>
      <c r="W799" s="36"/>
      <c r="X799" s="36"/>
      <c r="Y799" s="36"/>
      <c r="Z799" s="36"/>
      <c r="AA799" s="36"/>
    </row>
    <row r="800" spans="16:27" x14ac:dyDescent="0.2">
      <c r="P800" s="36"/>
      <c r="Q800" s="40"/>
      <c r="R800" s="40"/>
      <c r="S800" s="40"/>
      <c r="T800" s="41"/>
      <c r="U800" s="41"/>
      <c r="V800" s="41"/>
      <c r="W800" s="36"/>
      <c r="X800" s="36"/>
      <c r="Y800" s="36"/>
      <c r="Z800" s="36"/>
      <c r="AA800" s="36"/>
    </row>
    <row r="801" spans="16:27" x14ac:dyDescent="0.2">
      <c r="P801" s="36"/>
      <c r="Q801" s="40"/>
      <c r="R801" s="40"/>
      <c r="S801" s="40"/>
      <c r="T801" s="41"/>
      <c r="U801" s="41"/>
      <c r="V801" s="41"/>
      <c r="W801" s="36"/>
      <c r="X801" s="36"/>
      <c r="Y801" s="36"/>
      <c r="Z801" s="36"/>
      <c r="AA801" s="36"/>
    </row>
    <row r="802" spans="16:27" x14ac:dyDescent="0.2">
      <c r="P802" s="36"/>
      <c r="Q802" s="40"/>
      <c r="R802" s="40"/>
      <c r="S802" s="40"/>
      <c r="T802" s="41"/>
      <c r="U802" s="41"/>
      <c r="V802" s="41"/>
      <c r="W802" s="36"/>
      <c r="X802" s="36"/>
      <c r="Y802" s="36"/>
      <c r="Z802" s="36"/>
      <c r="AA802" s="36"/>
    </row>
    <row r="803" spans="16:27" x14ac:dyDescent="0.2">
      <c r="P803" s="36"/>
      <c r="Q803" s="40"/>
      <c r="R803" s="40"/>
      <c r="S803" s="40"/>
      <c r="T803" s="41"/>
      <c r="U803" s="41"/>
      <c r="V803" s="41"/>
      <c r="W803" s="36"/>
      <c r="X803" s="36"/>
      <c r="Y803" s="36"/>
      <c r="Z803" s="36"/>
      <c r="AA803" s="36"/>
    </row>
    <row r="804" spans="16:27" x14ac:dyDescent="0.2">
      <c r="P804" s="36"/>
      <c r="Q804" s="40"/>
      <c r="R804" s="40"/>
      <c r="S804" s="40"/>
      <c r="T804" s="41"/>
      <c r="U804" s="41"/>
      <c r="V804" s="41"/>
      <c r="W804" s="36"/>
      <c r="X804" s="36"/>
      <c r="Y804" s="36"/>
      <c r="Z804" s="36"/>
      <c r="AA804" s="36"/>
    </row>
    <row r="805" spans="16:27" x14ac:dyDescent="0.2">
      <c r="P805" s="36"/>
      <c r="Q805" s="40"/>
      <c r="R805" s="40"/>
      <c r="S805" s="40"/>
      <c r="T805" s="41"/>
      <c r="U805" s="41"/>
      <c r="V805" s="41"/>
      <c r="W805" s="36"/>
      <c r="X805" s="36"/>
      <c r="Y805" s="36"/>
      <c r="Z805" s="36"/>
      <c r="AA805" s="36"/>
    </row>
    <row r="806" spans="16:27" x14ac:dyDescent="0.2">
      <c r="P806" s="36"/>
      <c r="Q806" s="40"/>
      <c r="R806" s="40"/>
      <c r="S806" s="40"/>
      <c r="T806" s="41"/>
      <c r="U806" s="41"/>
      <c r="V806" s="41"/>
      <c r="W806" s="36"/>
      <c r="X806" s="36"/>
      <c r="Y806" s="36"/>
      <c r="Z806" s="36"/>
      <c r="AA806" s="36"/>
    </row>
    <row r="807" spans="16:27" x14ac:dyDescent="0.2">
      <c r="P807" s="36"/>
      <c r="Q807" s="40"/>
      <c r="R807" s="40"/>
      <c r="S807" s="40"/>
      <c r="T807" s="41"/>
      <c r="U807" s="41"/>
      <c r="V807" s="41"/>
      <c r="W807" s="36"/>
      <c r="X807" s="36"/>
      <c r="Y807" s="36"/>
      <c r="Z807" s="36"/>
      <c r="AA807" s="36"/>
    </row>
    <row r="808" spans="16:27" x14ac:dyDescent="0.2">
      <c r="P808" s="36"/>
      <c r="Q808" s="40"/>
      <c r="R808" s="40"/>
      <c r="S808" s="40"/>
      <c r="T808" s="41"/>
      <c r="U808" s="41"/>
      <c r="V808" s="41"/>
      <c r="W808" s="36"/>
      <c r="X808" s="36"/>
      <c r="Y808" s="36"/>
      <c r="Z808" s="36"/>
      <c r="AA808" s="36"/>
    </row>
    <row r="809" spans="16:27" x14ac:dyDescent="0.2">
      <c r="P809" s="36"/>
      <c r="Q809" s="40"/>
      <c r="R809" s="40"/>
      <c r="S809" s="40"/>
      <c r="T809" s="41"/>
      <c r="U809" s="41"/>
      <c r="V809" s="41"/>
      <c r="W809" s="36"/>
      <c r="X809" s="36"/>
      <c r="Y809" s="36"/>
      <c r="Z809" s="36"/>
      <c r="AA809" s="36"/>
    </row>
    <row r="810" spans="16:27" x14ac:dyDescent="0.2">
      <c r="P810" s="36"/>
      <c r="Q810" s="40"/>
      <c r="R810" s="40"/>
      <c r="S810" s="40"/>
      <c r="T810" s="41"/>
      <c r="U810" s="41"/>
      <c r="V810" s="41"/>
      <c r="W810" s="36"/>
      <c r="X810" s="36"/>
      <c r="Y810" s="36"/>
      <c r="Z810" s="36"/>
      <c r="AA810" s="36"/>
    </row>
    <row r="811" spans="16:27" x14ac:dyDescent="0.2">
      <c r="P811" s="36"/>
      <c r="Q811" s="40"/>
      <c r="R811" s="40"/>
      <c r="S811" s="40"/>
      <c r="T811" s="41"/>
      <c r="U811" s="41"/>
      <c r="V811" s="41"/>
      <c r="W811" s="36"/>
      <c r="X811" s="36"/>
      <c r="Y811" s="36"/>
      <c r="Z811" s="36"/>
      <c r="AA811" s="36"/>
    </row>
    <row r="812" spans="16:27" x14ac:dyDescent="0.2">
      <c r="P812" s="36"/>
      <c r="Q812" s="40"/>
      <c r="R812" s="40"/>
      <c r="S812" s="40"/>
      <c r="T812" s="41"/>
      <c r="U812" s="41"/>
      <c r="V812" s="41"/>
      <c r="W812" s="36"/>
      <c r="X812" s="36"/>
      <c r="Y812" s="36"/>
      <c r="Z812" s="36"/>
      <c r="AA812" s="36"/>
    </row>
    <row r="813" spans="16:27" x14ac:dyDescent="0.2">
      <c r="P813" s="36"/>
      <c r="Q813" s="40"/>
      <c r="R813" s="40"/>
      <c r="S813" s="40"/>
      <c r="T813" s="41"/>
      <c r="U813" s="41"/>
      <c r="V813" s="41"/>
      <c r="W813" s="36"/>
      <c r="X813" s="36"/>
      <c r="Y813" s="36"/>
      <c r="Z813" s="36"/>
      <c r="AA813" s="36"/>
    </row>
    <row r="814" spans="16:27" x14ac:dyDescent="0.2">
      <c r="P814" s="36"/>
      <c r="Q814" s="40"/>
      <c r="R814" s="40"/>
      <c r="S814" s="40"/>
      <c r="T814" s="41"/>
      <c r="U814" s="41"/>
      <c r="V814" s="41"/>
      <c r="W814" s="36"/>
      <c r="X814" s="36"/>
      <c r="Y814" s="36"/>
      <c r="Z814" s="36"/>
      <c r="AA814" s="36"/>
    </row>
    <row r="815" spans="16:27" x14ac:dyDescent="0.2">
      <c r="P815" s="36"/>
      <c r="Q815" s="40"/>
      <c r="R815" s="40"/>
      <c r="S815" s="40"/>
      <c r="T815" s="41"/>
      <c r="U815" s="41"/>
      <c r="V815" s="41"/>
      <c r="W815" s="36"/>
      <c r="X815" s="36"/>
      <c r="Y815" s="36"/>
      <c r="Z815" s="36"/>
      <c r="AA815" s="36"/>
    </row>
    <row r="816" spans="16:27" x14ac:dyDescent="0.2">
      <c r="P816" s="36"/>
      <c r="Q816" s="40"/>
      <c r="R816" s="40"/>
      <c r="S816" s="40"/>
      <c r="T816" s="41"/>
      <c r="U816" s="41"/>
      <c r="V816" s="41"/>
      <c r="W816" s="36"/>
      <c r="X816" s="36"/>
      <c r="Y816" s="36"/>
      <c r="Z816" s="36"/>
      <c r="AA816" s="36"/>
    </row>
    <row r="817" spans="16:27" x14ac:dyDescent="0.2">
      <c r="P817" s="36"/>
      <c r="Q817" s="40"/>
      <c r="R817" s="40"/>
      <c r="S817" s="40"/>
      <c r="T817" s="41"/>
      <c r="U817" s="41"/>
      <c r="V817" s="41"/>
      <c r="W817" s="36"/>
      <c r="X817" s="36"/>
      <c r="Y817" s="36"/>
      <c r="Z817" s="36"/>
      <c r="AA817" s="36"/>
    </row>
    <row r="818" spans="16:27" x14ac:dyDescent="0.2">
      <c r="P818" s="36"/>
      <c r="Q818" s="40"/>
      <c r="R818" s="40"/>
      <c r="S818" s="40"/>
      <c r="T818" s="41"/>
      <c r="U818" s="41"/>
      <c r="V818" s="41"/>
      <c r="W818" s="36"/>
      <c r="X818" s="36"/>
      <c r="Y818" s="36"/>
      <c r="Z818" s="36"/>
      <c r="AA818" s="36"/>
    </row>
    <row r="819" spans="16:27" x14ac:dyDescent="0.2">
      <c r="P819" s="36"/>
      <c r="Q819" s="40"/>
      <c r="R819" s="40"/>
      <c r="S819" s="40"/>
      <c r="T819" s="41"/>
      <c r="U819" s="41"/>
      <c r="V819" s="41"/>
      <c r="W819" s="36"/>
      <c r="X819" s="36"/>
      <c r="Y819" s="36"/>
      <c r="Z819" s="36"/>
      <c r="AA819" s="36"/>
    </row>
    <row r="820" spans="16:27" x14ac:dyDescent="0.2">
      <c r="P820" s="36"/>
      <c r="Q820" s="40"/>
      <c r="R820" s="40"/>
      <c r="S820" s="40"/>
      <c r="T820" s="41"/>
      <c r="U820" s="41"/>
      <c r="V820" s="41"/>
      <c r="W820" s="36"/>
      <c r="X820" s="36"/>
      <c r="Y820" s="36"/>
      <c r="Z820" s="36"/>
      <c r="AA820" s="36"/>
    </row>
    <row r="821" spans="16:27" x14ac:dyDescent="0.2">
      <c r="P821" s="36"/>
      <c r="Q821" s="40"/>
      <c r="R821" s="40"/>
      <c r="S821" s="40"/>
      <c r="T821" s="41"/>
      <c r="U821" s="41"/>
      <c r="V821" s="41"/>
      <c r="W821" s="36"/>
      <c r="X821" s="36"/>
      <c r="Y821" s="36"/>
      <c r="Z821" s="36"/>
      <c r="AA821" s="36"/>
    </row>
    <row r="822" spans="16:27" x14ac:dyDescent="0.2">
      <c r="P822" s="36"/>
      <c r="Q822" s="40"/>
      <c r="R822" s="40"/>
      <c r="S822" s="40"/>
      <c r="T822" s="41"/>
      <c r="U822" s="41"/>
      <c r="V822" s="41"/>
      <c r="W822" s="36"/>
      <c r="X822" s="36"/>
      <c r="Y822" s="36"/>
      <c r="Z822" s="36"/>
      <c r="AA822" s="36"/>
    </row>
    <row r="823" spans="16:27" x14ac:dyDescent="0.2">
      <c r="P823" s="36"/>
      <c r="Q823" s="40"/>
      <c r="R823" s="40"/>
      <c r="S823" s="40"/>
      <c r="T823" s="41"/>
      <c r="U823" s="41"/>
      <c r="V823" s="41"/>
      <c r="W823" s="36"/>
      <c r="X823" s="36"/>
      <c r="Y823" s="36"/>
      <c r="Z823" s="36"/>
      <c r="AA823" s="36"/>
    </row>
    <row r="824" spans="16:27" x14ac:dyDescent="0.2">
      <c r="P824" s="36"/>
      <c r="Q824" s="40"/>
      <c r="R824" s="40"/>
      <c r="S824" s="40"/>
      <c r="T824" s="41"/>
      <c r="U824" s="41"/>
      <c r="V824" s="41"/>
      <c r="W824" s="36"/>
      <c r="X824" s="36"/>
      <c r="Y824" s="36"/>
      <c r="Z824" s="36"/>
      <c r="AA824" s="36"/>
    </row>
    <row r="825" spans="16:27" x14ac:dyDescent="0.2">
      <c r="P825" s="36"/>
      <c r="Q825" s="40"/>
      <c r="R825" s="40"/>
      <c r="S825" s="40"/>
      <c r="T825" s="41"/>
      <c r="U825" s="41"/>
      <c r="V825" s="41"/>
      <c r="W825" s="36"/>
      <c r="X825" s="36"/>
      <c r="Y825" s="36"/>
      <c r="Z825" s="36"/>
      <c r="AA825" s="36"/>
    </row>
    <row r="826" spans="16:27" x14ac:dyDescent="0.2">
      <c r="P826" s="36"/>
      <c r="Q826" s="40"/>
      <c r="R826" s="40"/>
      <c r="S826" s="40"/>
      <c r="T826" s="41"/>
      <c r="U826" s="41"/>
      <c r="V826" s="41"/>
      <c r="W826" s="36"/>
      <c r="X826" s="36"/>
      <c r="Y826" s="36"/>
      <c r="Z826" s="36"/>
      <c r="AA826" s="36"/>
    </row>
    <row r="827" spans="16:27" x14ac:dyDescent="0.2">
      <c r="P827" s="36"/>
      <c r="Q827" s="40"/>
      <c r="R827" s="40"/>
      <c r="S827" s="40"/>
      <c r="T827" s="41"/>
      <c r="U827" s="41"/>
      <c r="V827" s="41"/>
      <c r="W827" s="36"/>
      <c r="X827" s="36"/>
      <c r="Y827" s="36"/>
      <c r="Z827" s="36"/>
      <c r="AA827" s="36"/>
    </row>
    <row r="828" spans="16:27" x14ac:dyDescent="0.2">
      <c r="P828" s="36"/>
      <c r="Q828" s="40"/>
      <c r="R828" s="40"/>
      <c r="S828" s="40"/>
      <c r="T828" s="41"/>
      <c r="U828" s="41"/>
      <c r="V828" s="41"/>
      <c r="W828" s="36"/>
      <c r="X828" s="36"/>
      <c r="Y828" s="36"/>
      <c r="Z828" s="36"/>
      <c r="AA828" s="36"/>
    </row>
    <row r="829" spans="16:27" x14ac:dyDescent="0.2">
      <c r="P829" s="36"/>
      <c r="Q829" s="40"/>
      <c r="R829" s="40"/>
      <c r="S829" s="40"/>
      <c r="T829" s="41"/>
      <c r="U829" s="41"/>
      <c r="V829" s="41"/>
      <c r="W829" s="36"/>
      <c r="X829" s="36"/>
      <c r="Y829" s="36"/>
      <c r="Z829" s="36"/>
      <c r="AA829" s="36"/>
    </row>
    <row r="830" spans="16:27" x14ac:dyDescent="0.2">
      <c r="P830" s="36"/>
      <c r="Q830" s="40"/>
      <c r="R830" s="40"/>
      <c r="S830" s="40"/>
      <c r="T830" s="41"/>
      <c r="U830" s="41"/>
      <c r="V830" s="41"/>
      <c r="W830" s="36"/>
      <c r="X830" s="36"/>
      <c r="Y830" s="36"/>
      <c r="Z830" s="36"/>
      <c r="AA830" s="36"/>
    </row>
    <row r="831" spans="16:27" x14ac:dyDescent="0.2">
      <c r="P831" s="36"/>
      <c r="Q831" s="40"/>
      <c r="R831" s="40"/>
      <c r="S831" s="40"/>
      <c r="T831" s="41"/>
      <c r="U831" s="41"/>
      <c r="V831" s="41"/>
      <c r="W831" s="36"/>
      <c r="X831" s="36"/>
      <c r="Y831" s="36"/>
      <c r="Z831" s="36"/>
      <c r="AA831" s="36"/>
    </row>
    <row r="832" spans="16:27" x14ac:dyDescent="0.2">
      <c r="P832" s="36"/>
      <c r="Q832" s="40"/>
      <c r="R832" s="40"/>
      <c r="S832" s="40"/>
      <c r="T832" s="41"/>
      <c r="U832" s="41"/>
      <c r="V832" s="41"/>
      <c r="W832" s="36"/>
      <c r="X832" s="36"/>
      <c r="Y832" s="36"/>
      <c r="Z832" s="36"/>
      <c r="AA832" s="36"/>
    </row>
    <row r="833" spans="16:27" x14ac:dyDescent="0.2">
      <c r="P833" s="36"/>
      <c r="Q833" s="40"/>
      <c r="R833" s="40"/>
      <c r="S833" s="40"/>
      <c r="T833" s="41"/>
      <c r="U833" s="41"/>
      <c r="V833" s="41"/>
      <c r="W833" s="36"/>
      <c r="X833" s="36"/>
      <c r="Y833" s="36"/>
      <c r="Z833" s="36"/>
      <c r="AA833" s="36"/>
    </row>
    <row r="834" spans="16:27" x14ac:dyDescent="0.2">
      <c r="P834" s="36"/>
      <c r="Q834" s="40"/>
      <c r="R834" s="40"/>
      <c r="S834" s="40"/>
      <c r="T834" s="41"/>
      <c r="U834" s="41"/>
      <c r="V834" s="41"/>
      <c r="W834" s="36"/>
      <c r="X834" s="36"/>
      <c r="Y834" s="36"/>
      <c r="Z834" s="36"/>
      <c r="AA834" s="36"/>
    </row>
    <row r="835" spans="16:27" x14ac:dyDescent="0.2">
      <c r="P835" s="36"/>
      <c r="Q835" s="40"/>
      <c r="R835" s="40"/>
      <c r="S835" s="40"/>
      <c r="T835" s="41"/>
      <c r="U835" s="41"/>
      <c r="V835" s="41"/>
      <c r="W835" s="36"/>
      <c r="X835" s="36"/>
      <c r="Y835" s="36"/>
      <c r="Z835" s="36"/>
      <c r="AA835" s="36"/>
    </row>
    <row r="836" spans="16:27" x14ac:dyDescent="0.2">
      <c r="P836" s="36"/>
      <c r="Q836" s="40"/>
      <c r="R836" s="40"/>
      <c r="S836" s="40"/>
      <c r="T836" s="41"/>
      <c r="U836" s="41"/>
      <c r="V836" s="41"/>
      <c r="W836" s="36"/>
      <c r="X836" s="36"/>
      <c r="Y836" s="36"/>
      <c r="Z836" s="36"/>
      <c r="AA836" s="36"/>
    </row>
    <row r="837" spans="16:27" x14ac:dyDescent="0.2">
      <c r="P837" s="36"/>
      <c r="Q837" s="40"/>
      <c r="R837" s="40"/>
      <c r="S837" s="40"/>
      <c r="T837" s="41"/>
      <c r="U837" s="41"/>
      <c r="V837" s="41"/>
      <c r="W837" s="36"/>
      <c r="X837" s="36"/>
      <c r="Y837" s="36"/>
      <c r="Z837" s="36"/>
      <c r="AA837" s="36"/>
    </row>
    <row r="838" spans="16:27" x14ac:dyDescent="0.2">
      <c r="P838" s="36"/>
      <c r="Q838" s="40"/>
      <c r="R838" s="40"/>
      <c r="S838" s="40"/>
      <c r="T838" s="41"/>
      <c r="U838" s="41"/>
      <c r="V838" s="41"/>
      <c r="W838" s="36"/>
      <c r="X838" s="36"/>
      <c r="Y838" s="36"/>
      <c r="Z838" s="36"/>
      <c r="AA838" s="36"/>
    </row>
    <row r="839" spans="16:27" x14ac:dyDescent="0.2">
      <c r="P839" s="36"/>
      <c r="Q839" s="40"/>
      <c r="R839" s="40"/>
      <c r="S839" s="40"/>
      <c r="T839" s="41"/>
      <c r="U839" s="41"/>
      <c r="V839" s="41"/>
      <c r="W839" s="36"/>
      <c r="X839" s="36"/>
      <c r="Y839" s="36"/>
      <c r="Z839" s="36"/>
      <c r="AA839" s="36"/>
    </row>
    <row r="840" spans="16:27" x14ac:dyDescent="0.2">
      <c r="P840" s="36"/>
      <c r="Q840" s="40"/>
      <c r="R840" s="40"/>
      <c r="S840" s="40"/>
      <c r="T840" s="41"/>
      <c r="U840" s="41"/>
      <c r="V840" s="41"/>
      <c r="W840" s="36"/>
      <c r="X840" s="36"/>
      <c r="Y840" s="36"/>
      <c r="Z840" s="36"/>
      <c r="AA840" s="36"/>
    </row>
    <row r="841" spans="16:27" x14ac:dyDescent="0.2">
      <c r="P841" s="36"/>
      <c r="Q841" s="40"/>
      <c r="R841" s="40"/>
      <c r="S841" s="40"/>
      <c r="T841" s="41"/>
      <c r="U841" s="41"/>
      <c r="V841" s="41"/>
      <c r="W841" s="36"/>
      <c r="X841" s="36"/>
      <c r="Y841" s="36"/>
      <c r="Z841" s="36"/>
      <c r="AA841" s="36"/>
    </row>
    <row r="842" spans="16:27" x14ac:dyDescent="0.2">
      <c r="P842" s="36"/>
      <c r="Q842" s="40"/>
      <c r="R842" s="40"/>
      <c r="S842" s="40"/>
      <c r="T842" s="41"/>
      <c r="U842" s="41"/>
      <c r="V842" s="41"/>
      <c r="W842" s="36"/>
      <c r="X842" s="36"/>
      <c r="Y842" s="36"/>
      <c r="Z842" s="36"/>
      <c r="AA842" s="36"/>
    </row>
    <row r="843" spans="16:27" x14ac:dyDescent="0.2">
      <c r="P843" s="36"/>
      <c r="Q843" s="40"/>
      <c r="R843" s="40"/>
      <c r="S843" s="40"/>
      <c r="T843" s="41"/>
      <c r="U843" s="41"/>
      <c r="V843" s="41"/>
      <c r="W843" s="36"/>
      <c r="X843" s="36"/>
      <c r="Y843" s="36"/>
      <c r="Z843" s="36"/>
      <c r="AA843" s="36"/>
    </row>
    <row r="844" spans="16:27" x14ac:dyDescent="0.2">
      <c r="P844" s="36"/>
      <c r="Q844" s="40"/>
      <c r="R844" s="40"/>
      <c r="S844" s="40"/>
      <c r="T844" s="41"/>
      <c r="U844" s="41"/>
      <c r="V844" s="41"/>
      <c r="W844" s="36"/>
      <c r="X844" s="36"/>
      <c r="Y844" s="36"/>
      <c r="Z844" s="36"/>
      <c r="AA844" s="36"/>
    </row>
    <row r="845" spans="16:27" x14ac:dyDescent="0.2">
      <c r="P845" s="36"/>
      <c r="Q845" s="40"/>
      <c r="R845" s="40"/>
      <c r="S845" s="40"/>
      <c r="T845" s="41"/>
      <c r="U845" s="41"/>
      <c r="V845" s="41"/>
      <c r="W845" s="36"/>
      <c r="X845" s="36"/>
      <c r="Y845" s="36"/>
      <c r="Z845" s="36"/>
      <c r="AA845" s="36"/>
    </row>
    <row r="846" spans="16:27" x14ac:dyDescent="0.2">
      <c r="P846" s="36"/>
      <c r="Q846" s="40"/>
      <c r="R846" s="40"/>
      <c r="S846" s="40"/>
      <c r="T846" s="41"/>
      <c r="U846" s="41"/>
      <c r="V846" s="41"/>
      <c r="W846" s="36"/>
      <c r="X846" s="36"/>
      <c r="Y846" s="36"/>
      <c r="Z846" s="36"/>
      <c r="AA846" s="36"/>
    </row>
    <row r="847" spans="16:27" x14ac:dyDescent="0.2">
      <c r="P847" s="36"/>
      <c r="Q847" s="40"/>
      <c r="R847" s="40"/>
      <c r="S847" s="40"/>
      <c r="T847" s="41"/>
      <c r="U847" s="41"/>
      <c r="V847" s="41"/>
      <c r="W847" s="36"/>
      <c r="X847" s="36"/>
      <c r="Y847" s="36"/>
      <c r="Z847" s="36"/>
      <c r="AA847" s="36"/>
    </row>
    <row r="848" spans="16:27" x14ac:dyDescent="0.2">
      <c r="P848" s="36"/>
      <c r="Q848" s="40"/>
      <c r="R848" s="40"/>
      <c r="S848" s="40"/>
      <c r="T848" s="41"/>
      <c r="U848" s="41"/>
      <c r="V848" s="41"/>
      <c r="W848" s="36"/>
      <c r="X848" s="36"/>
      <c r="Y848" s="36"/>
      <c r="Z848" s="36"/>
      <c r="AA848" s="36"/>
    </row>
    <row r="849" spans="16:27" x14ac:dyDescent="0.2">
      <c r="P849" s="36"/>
      <c r="Q849" s="40"/>
      <c r="R849" s="40"/>
      <c r="S849" s="40"/>
      <c r="T849" s="41"/>
      <c r="U849" s="41"/>
      <c r="V849" s="41"/>
      <c r="W849" s="36"/>
      <c r="X849" s="36"/>
      <c r="Y849" s="36"/>
      <c r="Z849" s="36"/>
      <c r="AA849" s="36"/>
    </row>
    <row r="850" spans="16:27" x14ac:dyDescent="0.2">
      <c r="P850" s="36"/>
      <c r="Q850" s="40"/>
      <c r="R850" s="40"/>
      <c r="S850" s="40"/>
      <c r="T850" s="41"/>
      <c r="U850" s="41"/>
      <c r="V850" s="41"/>
      <c r="W850" s="36"/>
      <c r="X850" s="36"/>
      <c r="Y850" s="36"/>
      <c r="Z850" s="36"/>
      <c r="AA850" s="36"/>
    </row>
    <row r="851" spans="16:27" x14ac:dyDescent="0.2">
      <c r="P851" s="36"/>
      <c r="Q851" s="40"/>
      <c r="R851" s="40"/>
      <c r="S851" s="40"/>
      <c r="T851" s="41"/>
      <c r="U851" s="41"/>
      <c r="V851" s="41"/>
      <c r="W851" s="36"/>
      <c r="X851" s="36"/>
      <c r="Y851" s="36"/>
      <c r="Z851" s="36"/>
      <c r="AA851" s="36"/>
    </row>
    <row r="852" spans="16:27" x14ac:dyDescent="0.2">
      <c r="P852" s="36"/>
      <c r="Q852" s="40"/>
      <c r="R852" s="40"/>
      <c r="S852" s="40"/>
      <c r="T852" s="41"/>
      <c r="U852" s="41"/>
      <c r="V852" s="41"/>
      <c r="W852" s="36"/>
      <c r="X852" s="36"/>
      <c r="Y852" s="36"/>
      <c r="Z852" s="36"/>
      <c r="AA852" s="36"/>
    </row>
    <row r="853" spans="16:27" x14ac:dyDescent="0.2">
      <c r="P853" s="36"/>
      <c r="Q853" s="40"/>
      <c r="R853" s="40"/>
      <c r="S853" s="40"/>
      <c r="T853" s="41"/>
      <c r="U853" s="41"/>
      <c r="V853" s="41"/>
      <c r="W853" s="36"/>
      <c r="X853" s="36"/>
      <c r="Y853" s="36"/>
      <c r="Z853" s="36"/>
      <c r="AA853" s="36"/>
    </row>
    <row r="854" spans="16:27" x14ac:dyDescent="0.2">
      <c r="P854" s="36"/>
      <c r="Q854" s="40"/>
      <c r="R854" s="40"/>
      <c r="S854" s="40"/>
      <c r="T854" s="41"/>
      <c r="U854" s="41"/>
      <c r="V854" s="41"/>
      <c r="W854" s="36"/>
      <c r="X854" s="36"/>
      <c r="Y854" s="36"/>
      <c r="Z854" s="36"/>
      <c r="AA854" s="36"/>
    </row>
    <row r="855" spans="16:27" x14ac:dyDescent="0.2">
      <c r="P855" s="36"/>
      <c r="Q855" s="40"/>
      <c r="R855" s="40"/>
      <c r="S855" s="40"/>
      <c r="T855" s="41"/>
      <c r="U855" s="41"/>
      <c r="V855" s="41"/>
      <c r="W855" s="36"/>
      <c r="X855" s="36"/>
      <c r="Y855" s="36"/>
      <c r="Z855" s="36"/>
      <c r="AA855" s="36"/>
    </row>
    <row r="856" spans="16:27" x14ac:dyDescent="0.2">
      <c r="P856" s="36"/>
      <c r="Q856" s="40"/>
      <c r="R856" s="40"/>
      <c r="S856" s="40"/>
      <c r="T856" s="41"/>
      <c r="U856" s="41"/>
      <c r="V856" s="41"/>
      <c r="W856" s="36"/>
      <c r="X856" s="36"/>
      <c r="Y856" s="36"/>
      <c r="Z856" s="36"/>
      <c r="AA856" s="36"/>
    </row>
    <row r="857" spans="16:27" x14ac:dyDescent="0.2">
      <c r="P857" s="36"/>
      <c r="Q857" s="40"/>
      <c r="R857" s="40"/>
      <c r="S857" s="40"/>
      <c r="T857" s="41"/>
      <c r="U857" s="41"/>
      <c r="V857" s="41"/>
      <c r="W857" s="36"/>
      <c r="X857" s="36"/>
      <c r="Y857" s="36"/>
      <c r="Z857" s="36"/>
      <c r="AA857" s="36"/>
    </row>
    <row r="858" spans="16:27" x14ac:dyDescent="0.2">
      <c r="P858" s="36"/>
      <c r="Q858" s="40"/>
      <c r="R858" s="40"/>
      <c r="S858" s="40"/>
      <c r="T858" s="41"/>
      <c r="U858" s="41"/>
      <c r="V858" s="41"/>
      <c r="W858" s="36"/>
      <c r="X858" s="36"/>
      <c r="Y858" s="36"/>
      <c r="Z858" s="36"/>
      <c r="AA858" s="36"/>
    </row>
    <row r="859" spans="16:27" x14ac:dyDescent="0.2">
      <c r="P859" s="36"/>
      <c r="Q859" s="40"/>
      <c r="R859" s="40"/>
      <c r="S859" s="40"/>
      <c r="T859" s="41"/>
      <c r="U859" s="41"/>
      <c r="V859" s="41"/>
      <c r="W859" s="36"/>
      <c r="X859" s="36"/>
      <c r="Y859" s="36"/>
      <c r="Z859" s="36"/>
      <c r="AA859" s="36"/>
    </row>
    <row r="860" spans="16:27" x14ac:dyDescent="0.2">
      <c r="P860" s="36"/>
      <c r="Q860" s="40"/>
      <c r="R860" s="40"/>
      <c r="S860" s="40"/>
      <c r="T860" s="41"/>
      <c r="U860" s="41"/>
      <c r="V860" s="41"/>
      <c r="W860" s="36"/>
      <c r="X860" s="36"/>
      <c r="Y860" s="36"/>
      <c r="Z860" s="36"/>
      <c r="AA860" s="36"/>
    </row>
    <row r="861" spans="16:27" x14ac:dyDescent="0.2">
      <c r="P861" s="36"/>
      <c r="Q861" s="40"/>
      <c r="R861" s="40"/>
      <c r="S861" s="40"/>
      <c r="T861" s="41"/>
      <c r="U861" s="41"/>
      <c r="V861" s="41"/>
      <c r="W861" s="36"/>
      <c r="X861" s="36"/>
      <c r="Y861" s="36"/>
      <c r="Z861" s="36"/>
      <c r="AA861" s="36"/>
    </row>
    <row r="862" spans="16:27" x14ac:dyDescent="0.2">
      <c r="P862" s="36"/>
      <c r="Q862" s="40"/>
      <c r="R862" s="40"/>
      <c r="S862" s="40"/>
      <c r="T862" s="41"/>
      <c r="U862" s="41"/>
      <c r="V862" s="41"/>
      <c r="W862" s="36"/>
      <c r="X862" s="36"/>
      <c r="Y862" s="36"/>
      <c r="Z862" s="36"/>
      <c r="AA862" s="36"/>
    </row>
    <row r="863" spans="16:27" x14ac:dyDescent="0.2">
      <c r="P863" s="36"/>
      <c r="Q863" s="40"/>
      <c r="R863" s="40"/>
      <c r="S863" s="40"/>
      <c r="T863" s="41"/>
      <c r="U863" s="41"/>
      <c r="V863" s="41"/>
      <c r="W863" s="36"/>
      <c r="X863" s="36"/>
      <c r="Y863" s="36"/>
      <c r="Z863" s="36"/>
      <c r="AA863" s="36"/>
    </row>
    <row r="864" spans="16:27" x14ac:dyDescent="0.2">
      <c r="P864" s="36"/>
      <c r="Q864" s="40"/>
      <c r="R864" s="40"/>
      <c r="S864" s="40"/>
      <c r="T864" s="41"/>
      <c r="U864" s="41"/>
      <c r="V864" s="41"/>
      <c r="W864" s="36"/>
      <c r="X864" s="36"/>
      <c r="Y864" s="36"/>
      <c r="Z864" s="36"/>
      <c r="AA864" s="36"/>
    </row>
    <row r="865" spans="16:27" x14ac:dyDescent="0.2">
      <c r="P865" s="36"/>
      <c r="Q865" s="40"/>
      <c r="R865" s="40"/>
      <c r="S865" s="40"/>
      <c r="T865" s="41"/>
      <c r="U865" s="41"/>
      <c r="V865" s="41"/>
      <c r="W865" s="36"/>
      <c r="X865" s="36"/>
      <c r="Y865" s="36"/>
      <c r="Z865" s="36"/>
      <c r="AA865" s="36"/>
    </row>
    <row r="866" spans="16:27" x14ac:dyDescent="0.2">
      <c r="P866" s="36"/>
      <c r="Q866" s="40"/>
      <c r="R866" s="40"/>
      <c r="S866" s="40"/>
      <c r="T866" s="41"/>
      <c r="U866" s="41"/>
      <c r="V866" s="41"/>
      <c r="W866" s="36"/>
      <c r="X866" s="36"/>
      <c r="Y866" s="36"/>
      <c r="Z866" s="36"/>
      <c r="AA866" s="36"/>
    </row>
    <row r="867" spans="16:27" x14ac:dyDescent="0.2">
      <c r="P867" s="36"/>
      <c r="Q867" s="40"/>
      <c r="R867" s="40"/>
      <c r="S867" s="40"/>
      <c r="T867" s="41"/>
      <c r="U867" s="41"/>
      <c r="V867" s="41"/>
      <c r="W867" s="36"/>
      <c r="X867" s="36"/>
      <c r="Y867" s="36"/>
      <c r="Z867" s="36"/>
      <c r="AA867" s="36"/>
    </row>
    <row r="868" spans="16:27" x14ac:dyDescent="0.2">
      <c r="P868" s="36"/>
      <c r="Q868" s="40"/>
      <c r="R868" s="40"/>
      <c r="S868" s="40"/>
      <c r="T868" s="41"/>
      <c r="U868" s="41"/>
      <c r="V868" s="41"/>
      <c r="W868" s="36"/>
      <c r="X868" s="36"/>
      <c r="Y868" s="36"/>
      <c r="Z868" s="36"/>
      <c r="AA868" s="36"/>
    </row>
    <row r="869" spans="16:27" x14ac:dyDescent="0.2">
      <c r="P869" s="36"/>
      <c r="Q869" s="40"/>
      <c r="R869" s="40"/>
      <c r="S869" s="40"/>
      <c r="T869" s="41"/>
      <c r="U869" s="41"/>
      <c r="V869" s="41"/>
      <c r="W869" s="36"/>
      <c r="X869" s="36"/>
      <c r="Y869" s="36"/>
      <c r="Z869" s="36"/>
      <c r="AA869" s="36"/>
    </row>
    <row r="870" spans="16:27" x14ac:dyDescent="0.2">
      <c r="P870" s="36"/>
      <c r="Q870" s="40"/>
      <c r="R870" s="40"/>
      <c r="S870" s="40"/>
      <c r="T870" s="41"/>
      <c r="U870" s="41"/>
      <c r="V870" s="41"/>
      <c r="W870" s="36"/>
      <c r="X870" s="36"/>
      <c r="Y870" s="36"/>
      <c r="Z870" s="36"/>
      <c r="AA870" s="36"/>
    </row>
    <row r="871" spans="16:27" x14ac:dyDescent="0.2">
      <c r="P871" s="36"/>
      <c r="Q871" s="40"/>
      <c r="R871" s="40"/>
      <c r="S871" s="40"/>
      <c r="T871" s="41"/>
      <c r="U871" s="41"/>
      <c r="V871" s="41"/>
      <c r="W871" s="36"/>
      <c r="X871" s="36"/>
      <c r="Y871" s="36"/>
      <c r="Z871" s="36"/>
      <c r="AA871" s="36"/>
    </row>
    <row r="872" spans="16:27" x14ac:dyDescent="0.2">
      <c r="P872" s="36"/>
      <c r="Q872" s="40"/>
      <c r="R872" s="40"/>
      <c r="S872" s="40"/>
      <c r="T872" s="41"/>
      <c r="U872" s="41"/>
      <c r="V872" s="41"/>
      <c r="W872" s="36"/>
      <c r="X872" s="36"/>
      <c r="Y872" s="36"/>
      <c r="Z872" s="36"/>
      <c r="AA872" s="36"/>
    </row>
    <row r="873" spans="16:27" x14ac:dyDescent="0.2">
      <c r="P873" s="36"/>
      <c r="Q873" s="40"/>
      <c r="R873" s="40"/>
      <c r="S873" s="40"/>
      <c r="T873" s="41"/>
      <c r="U873" s="41"/>
      <c r="V873" s="41"/>
      <c r="W873" s="36"/>
      <c r="X873" s="36"/>
      <c r="Y873" s="36"/>
      <c r="Z873" s="36"/>
      <c r="AA873" s="36"/>
    </row>
    <row r="874" spans="16:27" x14ac:dyDescent="0.2">
      <c r="P874" s="36"/>
      <c r="Q874" s="40"/>
      <c r="R874" s="40"/>
      <c r="S874" s="40"/>
      <c r="T874" s="41"/>
      <c r="U874" s="41"/>
      <c r="V874" s="41"/>
      <c r="W874" s="36"/>
      <c r="X874" s="36"/>
      <c r="Y874" s="36"/>
      <c r="Z874" s="36"/>
      <c r="AA874" s="36"/>
    </row>
    <row r="875" spans="16:27" x14ac:dyDescent="0.2">
      <c r="P875" s="36"/>
      <c r="Q875" s="40"/>
      <c r="R875" s="40"/>
      <c r="S875" s="40"/>
      <c r="T875" s="41"/>
      <c r="U875" s="41"/>
      <c r="V875" s="41"/>
      <c r="W875" s="36"/>
      <c r="X875" s="36"/>
      <c r="Y875" s="36"/>
      <c r="Z875" s="36"/>
      <c r="AA875" s="36"/>
    </row>
    <row r="876" spans="16:27" x14ac:dyDescent="0.2">
      <c r="P876" s="36"/>
      <c r="Q876" s="40"/>
      <c r="R876" s="40"/>
      <c r="S876" s="40"/>
      <c r="T876" s="41"/>
      <c r="U876" s="41"/>
      <c r="V876" s="41"/>
      <c r="W876" s="36"/>
      <c r="X876" s="36"/>
      <c r="Y876" s="36"/>
      <c r="Z876" s="36"/>
      <c r="AA876" s="36"/>
    </row>
    <row r="877" spans="16:27" x14ac:dyDescent="0.2">
      <c r="P877" s="36"/>
      <c r="Q877" s="40"/>
      <c r="R877" s="40"/>
      <c r="S877" s="40"/>
      <c r="T877" s="41"/>
      <c r="U877" s="41"/>
      <c r="V877" s="41"/>
      <c r="W877" s="36"/>
      <c r="X877" s="36"/>
      <c r="Y877" s="36"/>
      <c r="Z877" s="36"/>
      <c r="AA877" s="36"/>
    </row>
    <row r="878" spans="16:27" x14ac:dyDescent="0.2">
      <c r="P878" s="36"/>
      <c r="Q878" s="40"/>
      <c r="R878" s="40"/>
      <c r="S878" s="40"/>
      <c r="T878" s="41"/>
      <c r="U878" s="41"/>
      <c r="V878" s="41"/>
      <c r="W878" s="36"/>
      <c r="X878" s="36"/>
      <c r="Y878" s="36"/>
      <c r="Z878" s="36"/>
      <c r="AA878" s="36"/>
    </row>
    <row r="879" spans="16:27" x14ac:dyDescent="0.2">
      <c r="P879" s="36"/>
      <c r="Q879" s="40"/>
      <c r="R879" s="40"/>
      <c r="S879" s="40"/>
      <c r="T879" s="41"/>
      <c r="U879" s="41"/>
      <c r="V879" s="41"/>
      <c r="W879" s="36"/>
      <c r="X879" s="36"/>
      <c r="Y879" s="36"/>
      <c r="Z879" s="36"/>
      <c r="AA879" s="36"/>
    </row>
    <row r="880" spans="16:27" x14ac:dyDescent="0.2">
      <c r="P880" s="36"/>
      <c r="Q880" s="40"/>
      <c r="R880" s="40"/>
      <c r="S880" s="40"/>
      <c r="T880" s="41"/>
      <c r="U880" s="41"/>
      <c r="V880" s="41"/>
      <c r="W880" s="36"/>
      <c r="X880" s="36"/>
      <c r="Y880" s="36"/>
      <c r="Z880" s="36"/>
      <c r="AA880" s="36"/>
    </row>
    <row r="881" spans="16:27" x14ac:dyDescent="0.2">
      <c r="P881" s="36"/>
      <c r="Q881" s="40"/>
      <c r="R881" s="40"/>
      <c r="S881" s="40"/>
      <c r="T881" s="41"/>
      <c r="U881" s="41"/>
      <c r="V881" s="41"/>
      <c r="W881" s="36"/>
      <c r="X881" s="36"/>
      <c r="Y881" s="36"/>
      <c r="Z881" s="36"/>
      <c r="AA881" s="36"/>
    </row>
    <row r="882" spans="16:27" x14ac:dyDescent="0.2">
      <c r="P882" s="36"/>
      <c r="Q882" s="40"/>
      <c r="R882" s="40"/>
      <c r="S882" s="40"/>
      <c r="T882" s="41"/>
      <c r="U882" s="41"/>
      <c r="V882" s="41"/>
      <c r="W882" s="36"/>
      <c r="X882" s="36"/>
      <c r="Y882" s="36"/>
      <c r="Z882" s="36"/>
      <c r="AA882" s="36"/>
    </row>
    <row r="883" spans="16:27" x14ac:dyDescent="0.2">
      <c r="P883" s="36"/>
      <c r="Q883" s="40"/>
      <c r="R883" s="40"/>
      <c r="S883" s="40"/>
      <c r="T883" s="41"/>
      <c r="U883" s="41"/>
      <c r="V883" s="41"/>
      <c r="W883" s="36"/>
      <c r="X883" s="36"/>
      <c r="Y883" s="36"/>
      <c r="Z883" s="36"/>
      <c r="AA883" s="36"/>
    </row>
    <row r="884" spans="16:27" x14ac:dyDescent="0.2">
      <c r="P884" s="36"/>
      <c r="Q884" s="40"/>
      <c r="R884" s="40"/>
      <c r="S884" s="40"/>
      <c r="T884" s="41"/>
      <c r="U884" s="41"/>
      <c r="V884" s="41"/>
      <c r="W884" s="36"/>
      <c r="X884" s="36"/>
      <c r="Y884" s="36"/>
      <c r="Z884" s="36"/>
      <c r="AA884" s="36"/>
    </row>
    <row r="885" spans="16:27" x14ac:dyDescent="0.2">
      <c r="P885" s="36"/>
      <c r="Q885" s="40"/>
      <c r="R885" s="40"/>
      <c r="S885" s="40"/>
      <c r="T885" s="41"/>
      <c r="U885" s="41"/>
      <c r="V885" s="41"/>
      <c r="W885" s="36"/>
      <c r="X885" s="36"/>
      <c r="Y885" s="36"/>
      <c r="Z885" s="36"/>
      <c r="AA885" s="36"/>
    </row>
    <row r="886" spans="16:27" x14ac:dyDescent="0.2">
      <c r="P886" s="36"/>
      <c r="Q886" s="40"/>
      <c r="R886" s="40"/>
      <c r="S886" s="40"/>
      <c r="T886" s="41"/>
      <c r="U886" s="41"/>
      <c r="V886" s="41"/>
      <c r="W886" s="36"/>
      <c r="X886" s="36"/>
      <c r="Y886" s="36"/>
      <c r="Z886" s="36"/>
      <c r="AA886" s="36"/>
    </row>
    <row r="887" spans="16:27" x14ac:dyDescent="0.2">
      <c r="P887" s="36"/>
      <c r="Q887" s="40"/>
      <c r="R887" s="40"/>
      <c r="S887" s="40"/>
      <c r="T887" s="41"/>
      <c r="U887" s="41"/>
      <c r="V887" s="41"/>
      <c r="W887" s="36"/>
      <c r="X887" s="36"/>
      <c r="Y887" s="36"/>
      <c r="Z887" s="36"/>
      <c r="AA887" s="36"/>
    </row>
    <row r="888" spans="16:27" x14ac:dyDescent="0.2">
      <c r="P888" s="36"/>
      <c r="Q888" s="40"/>
      <c r="R888" s="40"/>
      <c r="S888" s="40"/>
      <c r="T888" s="41"/>
      <c r="U888" s="41"/>
      <c r="V888" s="41"/>
      <c r="W888" s="36"/>
      <c r="X888" s="36"/>
      <c r="Y888" s="36"/>
      <c r="Z888" s="36"/>
      <c r="AA888" s="36"/>
    </row>
    <row r="889" spans="16:27" x14ac:dyDescent="0.2">
      <c r="P889" s="36"/>
      <c r="Q889" s="40"/>
      <c r="R889" s="40"/>
      <c r="S889" s="40"/>
      <c r="T889" s="41"/>
      <c r="U889" s="41"/>
      <c r="V889" s="41"/>
      <c r="W889" s="36"/>
      <c r="X889" s="36"/>
      <c r="Y889" s="36"/>
      <c r="Z889" s="36"/>
      <c r="AA889" s="36"/>
    </row>
    <row r="890" spans="16:27" x14ac:dyDescent="0.2">
      <c r="P890" s="36"/>
      <c r="Q890" s="40"/>
      <c r="R890" s="40"/>
      <c r="S890" s="40"/>
      <c r="T890" s="41"/>
      <c r="U890" s="41"/>
      <c r="V890" s="41"/>
      <c r="W890" s="36"/>
      <c r="X890" s="36"/>
      <c r="Y890" s="36"/>
      <c r="Z890" s="36"/>
      <c r="AA890" s="36"/>
    </row>
    <row r="891" spans="16:27" x14ac:dyDescent="0.2">
      <c r="P891" s="36"/>
      <c r="Q891" s="40"/>
      <c r="R891" s="40"/>
      <c r="S891" s="40"/>
      <c r="T891" s="41"/>
      <c r="U891" s="41"/>
      <c r="V891" s="41"/>
      <c r="W891" s="36"/>
      <c r="X891" s="36"/>
      <c r="Y891" s="36"/>
      <c r="Z891" s="36"/>
      <c r="AA891" s="36"/>
    </row>
    <row r="892" spans="16:27" x14ac:dyDescent="0.2">
      <c r="P892" s="36"/>
      <c r="Q892" s="40"/>
      <c r="R892" s="40"/>
      <c r="S892" s="40"/>
      <c r="T892" s="41"/>
      <c r="U892" s="41"/>
      <c r="V892" s="41"/>
      <c r="W892" s="36"/>
      <c r="X892" s="36"/>
      <c r="Y892" s="36"/>
      <c r="Z892" s="36"/>
      <c r="AA892" s="36"/>
    </row>
    <row r="893" spans="16:27" x14ac:dyDescent="0.2">
      <c r="P893" s="36"/>
      <c r="Q893" s="40"/>
      <c r="R893" s="40"/>
      <c r="S893" s="40"/>
      <c r="T893" s="41"/>
      <c r="U893" s="41"/>
      <c r="V893" s="41"/>
      <c r="W893" s="36"/>
      <c r="X893" s="36"/>
      <c r="Y893" s="36"/>
      <c r="Z893" s="36"/>
      <c r="AA893" s="36"/>
    </row>
    <row r="894" spans="16:27" x14ac:dyDescent="0.2">
      <c r="P894" s="36"/>
      <c r="Q894" s="40"/>
      <c r="R894" s="40"/>
      <c r="S894" s="40"/>
      <c r="T894" s="41"/>
      <c r="U894" s="41"/>
      <c r="V894" s="41"/>
      <c r="W894" s="36"/>
      <c r="X894" s="36"/>
      <c r="Y894" s="36"/>
      <c r="Z894" s="36"/>
      <c r="AA894" s="36"/>
    </row>
    <row r="895" spans="16:27" x14ac:dyDescent="0.2">
      <c r="P895" s="36"/>
      <c r="Q895" s="40"/>
      <c r="R895" s="40"/>
      <c r="S895" s="40"/>
      <c r="T895" s="41"/>
      <c r="U895" s="41"/>
      <c r="V895" s="41"/>
      <c r="W895" s="36"/>
      <c r="X895" s="36"/>
      <c r="Y895" s="36"/>
      <c r="Z895" s="36"/>
      <c r="AA895" s="36"/>
    </row>
    <row r="896" spans="16:27" x14ac:dyDescent="0.2">
      <c r="P896" s="36"/>
      <c r="Q896" s="40"/>
      <c r="R896" s="40"/>
      <c r="S896" s="40"/>
      <c r="T896" s="41"/>
      <c r="U896" s="41"/>
      <c r="V896" s="41"/>
      <c r="W896" s="36"/>
      <c r="X896" s="36"/>
      <c r="Y896" s="36"/>
      <c r="Z896" s="36"/>
      <c r="AA896" s="36"/>
    </row>
    <row r="897" spans="16:27" x14ac:dyDescent="0.2">
      <c r="P897" s="36"/>
      <c r="Q897" s="40"/>
      <c r="R897" s="40"/>
      <c r="S897" s="40"/>
      <c r="T897" s="41"/>
      <c r="U897" s="41"/>
      <c r="V897" s="41"/>
      <c r="W897" s="36"/>
      <c r="X897" s="36"/>
      <c r="Y897" s="36"/>
      <c r="Z897" s="36"/>
      <c r="AA897" s="36"/>
    </row>
    <row r="898" spans="16:27" x14ac:dyDescent="0.2">
      <c r="P898" s="36"/>
      <c r="Q898" s="40"/>
      <c r="R898" s="40"/>
      <c r="S898" s="40"/>
      <c r="T898" s="41"/>
      <c r="U898" s="41"/>
      <c r="V898" s="41"/>
      <c r="W898" s="36"/>
      <c r="X898" s="36"/>
      <c r="Y898" s="36"/>
      <c r="Z898" s="36"/>
      <c r="AA898" s="36"/>
    </row>
    <row r="899" spans="16:27" x14ac:dyDescent="0.2">
      <c r="P899" s="36"/>
      <c r="Q899" s="40"/>
      <c r="R899" s="40"/>
      <c r="S899" s="40"/>
      <c r="T899" s="41"/>
      <c r="U899" s="41"/>
      <c r="V899" s="41"/>
      <c r="W899" s="36"/>
      <c r="X899" s="36"/>
      <c r="Y899" s="36"/>
      <c r="Z899" s="36"/>
      <c r="AA899" s="36"/>
    </row>
    <row r="900" spans="16:27" x14ac:dyDescent="0.2">
      <c r="P900" s="36"/>
      <c r="Q900" s="40"/>
      <c r="R900" s="40"/>
      <c r="S900" s="40"/>
      <c r="T900" s="41"/>
      <c r="U900" s="41"/>
      <c r="V900" s="41"/>
      <c r="W900" s="36"/>
      <c r="X900" s="36"/>
      <c r="Y900" s="36"/>
      <c r="Z900" s="36"/>
      <c r="AA900" s="36"/>
    </row>
    <row r="901" spans="16:27" x14ac:dyDescent="0.2">
      <c r="P901" s="36"/>
      <c r="Q901" s="40"/>
      <c r="R901" s="40"/>
      <c r="S901" s="40"/>
      <c r="T901" s="41"/>
      <c r="U901" s="41"/>
      <c r="V901" s="41"/>
      <c r="W901" s="36"/>
      <c r="X901" s="36"/>
      <c r="Y901" s="36"/>
      <c r="Z901" s="36"/>
      <c r="AA901" s="36"/>
    </row>
    <row r="902" spans="16:27" x14ac:dyDescent="0.2">
      <c r="P902" s="36"/>
      <c r="Q902" s="40"/>
      <c r="R902" s="40"/>
      <c r="S902" s="40"/>
      <c r="T902" s="41"/>
      <c r="U902" s="41"/>
      <c r="V902" s="41"/>
      <c r="W902" s="36"/>
      <c r="X902" s="36"/>
      <c r="Y902" s="36"/>
      <c r="Z902" s="36"/>
      <c r="AA902" s="36"/>
    </row>
    <row r="903" spans="16:27" x14ac:dyDescent="0.2">
      <c r="P903" s="36"/>
      <c r="Q903" s="40"/>
      <c r="R903" s="40"/>
      <c r="S903" s="40"/>
      <c r="T903" s="41"/>
      <c r="U903" s="41"/>
      <c r="V903" s="41"/>
      <c r="W903" s="36"/>
      <c r="X903" s="36"/>
      <c r="Y903" s="36"/>
      <c r="Z903" s="36"/>
      <c r="AA903" s="36"/>
    </row>
    <row r="904" spans="16:27" x14ac:dyDescent="0.2">
      <c r="P904" s="36"/>
      <c r="Q904" s="40"/>
      <c r="R904" s="40"/>
      <c r="S904" s="40"/>
      <c r="T904" s="41"/>
      <c r="U904" s="41"/>
      <c r="V904" s="41"/>
      <c r="W904" s="36"/>
      <c r="X904" s="36"/>
      <c r="Y904" s="36"/>
      <c r="Z904" s="36"/>
      <c r="AA904" s="36"/>
    </row>
    <row r="905" spans="16:27" x14ac:dyDescent="0.2">
      <c r="P905" s="36"/>
      <c r="Q905" s="40"/>
      <c r="R905" s="40"/>
      <c r="S905" s="40"/>
      <c r="T905" s="41"/>
      <c r="U905" s="41"/>
      <c r="V905" s="41"/>
      <c r="W905" s="36"/>
      <c r="X905" s="36"/>
      <c r="Y905" s="36"/>
      <c r="Z905" s="36"/>
      <c r="AA905" s="36"/>
    </row>
    <row r="906" spans="16:27" x14ac:dyDescent="0.2">
      <c r="P906" s="36"/>
      <c r="Q906" s="40"/>
      <c r="R906" s="40"/>
      <c r="S906" s="40"/>
      <c r="T906" s="41"/>
      <c r="U906" s="41"/>
      <c r="V906" s="41"/>
      <c r="W906" s="36"/>
      <c r="X906" s="36"/>
      <c r="Y906" s="36"/>
      <c r="Z906" s="36"/>
      <c r="AA906" s="36"/>
    </row>
    <row r="907" spans="16:27" x14ac:dyDescent="0.2">
      <c r="P907" s="36"/>
      <c r="Q907" s="40"/>
      <c r="R907" s="40"/>
      <c r="S907" s="40"/>
      <c r="T907" s="41"/>
      <c r="U907" s="41"/>
      <c r="V907" s="41"/>
      <c r="W907" s="36"/>
      <c r="X907" s="36"/>
      <c r="Y907" s="36"/>
      <c r="Z907" s="36"/>
      <c r="AA907" s="36"/>
    </row>
    <row r="908" spans="16:27" x14ac:dyDescent="0.2">
      <c r="P908" s="36"/>
      <c r="Q908" s="40"/>
      <c r="R908" s="40"/>
      <c r="S908" s="40"/>
      <c r="T908" s="41"/>
      <c r="U908" s="41"/>
      <c r="V908" s="41"/>
      <c r="W908" s="36"/>
      <c r="X908" s="36"/>
      <c r="Y908" s="36"/>
      <c r="Z908" s="36"/>
      <c r="AA908" s="36"/>
    </row>
    <row r="909" spans="16:27" x14ac:dyDescent="0.2">
      <c r="P909" s="36"/>
      <c r="Q909" s="40"/>
      <c r="R909" s="40"/>
      <c r="S909" s="40"/>
      <c r="T909" s="41"/>
      <c r="U909" s="41"/>
      <c r="V909" s="41"/>
      <c r="W909" s="36"/>
      <c r="X909" s="36"/>
      <c r="Y909" s="36"/>
      <c r="Z909" s="36"/>
      <c r="AA909" s="36"/>
    </row>
    <row r="910" spans="16:27" x14ac:dyDescent="0.2">
      <c r="P910" s="36"/>
      <c r="Q910" s="40"/>
      <c r="R910" s="40"/>
      <c r="S910" s="40"/>
      <c r="T910" s="41"/>
      <c r="U910" s="41"/>
      <c r="V910" s="41"/>
      <c r="W910" s="36"/>
      <c r="X910" s="36"/>
      <c r="Y910" s="36"/>
      <c r="Z910" s="36"/>
      <c r="AA910" s="36"/>
    </row>
    <row r="911" spans="16:27" x14ac:dyDescent="0.2">
      <c r="P911" s="36"/>
      <c r="Q911" s="40"/>
      <c r="R911" s="40"/>
      <c r="S911" s="40"/>
      <c r="T911" s="41"/>
      <c r="U911" s="41"/>
      <c r="V911" s="41"/>
      <c r="W911" s="36"/>
      <c r="X911" s="36"/>
      <c r="Y911" s="36"/>
      <c r="Z911" s="36"/>
      <c r="AA911" s="36"/>
    </row>
    <row r="912" spans="16:27" x14ac:dyDescent="0.2">
      <c r="P912" s="36"/>
      <c r="Q912" s="40"/>
      <c r="R912" s="40"/>
      <c r="S912" s="40"/>
      <c r="T912" s="41"/>
      <c r="U912" s="41"/>
      <c r="V912" s="41"/>
      <c r="W912" s="36"/>
      <c r="X912" s="36"/>
      <c r="Y912" s="36"/>
      <c r="Z912" s="36"/>
      <c r="AA912" s="36"/>
    </row>
    <row r="913" spans="16:27" x14ac:dyDescent="0.2">
      <c r="P913" s="36"/>
      <c r="Q913" s="40"/>
      <c r="R913" s="40"/>
      <c r="S913" s="40"/>
      <c r="T913" s="41"/>
      <c r="U913" s="41"/>
      <c r="V913" s="41"/>
      <c r="W913" s="36"/>
      <c r="X913" s="36"/>
      <c r="Y913" s="36"/>
      <c r="Z913" s="36"/>
      <c r="AA913" s="36"/>
    </row>
    <row r="914" spans="16:27" x14ac:dyDescent="0.2">
      <c r="P914" s="36"/>
      <c r="Q914" s="40"/>
      <c r="R914" s="40"/>
      <c r="S914" s="40"/>
      <c r="T914" s="41"/>
      <c r="U914" s="41"/>
      <c r="V914" s="41"/>
      <c r="W914" s="36"/>
      <c r="X914" s="36"/>
      <c r="Y914" s="36"/>
      <c r="Z914" s="36"/>
      <c r="AA914" s="36"/>
    </row>
    <row r="915" spans="16:27" x14ac:dyDescent="0.2">
      <c r="P915" s="36"/>
      <c r="Q915" s="40"/>
      <c r="R915" s="40"/>
      <c r="S915" s="40"/>
      <c r="T915" s="41"/>
      <c r="U915" s="41"/>
      <c r="V915" s="41"/>
      <c r="W915" s="36"/>
      <c r="X915" s="36"/>
      <c r="Y915" s="36"/>
      <c r="Z915" s="36"/>
      <c r="AA915" s="36"/>
    </row>
    <row r="916" spans="16:27" x14ac:dyDescent="0.2">
      <c r="P916" s="36"/>
      <c r="Q916" s="40"/>
      <c r="R916" s="40"/>
      <c r="S916" s="40"/>
      <c r="T916" s="41"/>
      <c r="U916" s="41"/>
      <c r="V916" s="41"/>
      <c r="W916" s="36"/>
      <c r="X916" s="36"/>
      <c r="Y916" s="36"/>
      <c r="Z916" s="36"/>
      <c r="AA916" s="36"/>
    </row>
    <row r="917" spans="16:27" x14ac:dyDescent="0.2">
      <c r="P917" s="36"/>
      <c r="Q917" s="40"/>
      <c r="R917" s="40"/>
      <c r="S917" s="40"/>
      <c r="T917" s="41"/>
      <c r="U917" s="41"/>
      <c r="V917" s="41"/>
      <c r="W917" s="36"/>
      <c r="X917" s="36"/>
      <c r="Y917" s="36"/>
      <c r="Z917" s="36"/>
      <c r="AA917" s="36"/>
    </row>
    <row r="918" spans="16:27" x14ac:dyDescent="0.2">
      <c r="P918" s="36"/>
      <c r="Q918" s="40"/>
      <c r="R918" s="40"/>
      <c r="S918" s="40"/>
      <c r="T918" s="41"/>
      <c r="U918" s="41"/>
      <c r="V918" s="41"/>
      <c r="W918" s="36"/>
      <c r="X918" s="36"/>
      <c r="Y918" s="36"/>
      <c r="Z918" s="36"/>
      <c r="AA918" s="36"/>
    </row>
    <row r="919" spans="16:27" x14ac:dyDescent="0.2">
      <c r="P919" s="36"/>
      <c r="Q919" s="40"/>
      <c r="R919" s="40"/>
      <c r="S919" s="40"/>
      <c r="T919" s="41"/>
      <c r="U919" s="41"/>
      <c r="V919" s="41"/>
      <c r="W919" s="36"/>
      <c r="X919" s="36"/>
      <c r="Y919" s="36"/>
      <c r="Z919" s="36"/>
      <c r="AA919" s="36"/>
    </row>
    <row r="920" spans="16:27" x14ac:dyDescent="0.2">
      <c r="P920" s="36"/>
      <c r="Q920" s="40"/>
      <c r="R920" s="40"/>
      <c r="S920" s="40"/>
      <c r="T920" s="41"/>
      <c r="U920" s="41"/>
      <c r="V920" s="41"/>
      <c r="W920" s="36"/>
      <c r="X920" s="36"/>
      <c r="Y920" s="36"/>
      <c r="Z920" s="36"/>
      <c r="AA920" s="36"/>
    </row>
    <row r="921" spans="16:27" x14ac:dyDescent="0.2">
      <c r="P921" s="36"/>
      <c r="Q921" s="40"/>
      <c r="R921" s="40"/>
      <c r="S921" s="40"/>
      <c r="T921" s="41"/>
      <c r="U921" s="41"/>
      <c r="V921" s="41"/>
      <c r="W921" s="36"/>
      <c r="X921" s="36"/>
      <c r="Y921" s="36"/>
      <c r="Z921" s="36"/>
      <c r="AA921" s="36"/>
    </row>
    <row r="922" spans="16:27" x14ac:dyDescent="0.2">
      <c r="P922" s="36"/>
      <c r="Q922" s="40"/>
      <c r="R922" s="40"/>
      <c r="S922" s="40"/>
      <c r="T922" s="41"/>
      <c r="U922" s="41"/>
      <c r="V922" s="41"/>
      <c r="W922" s="36"/>
      <c r="X922" s="36"/>
      <c r="Y922" s="36"/>
      <c r="Z922" s="36"/>
      <c r="AA922" s="36"/>
    </row>
    <row r="923" spans="16:27" x14ac:dyDescent="0.2">
      <c r="P923" s="36"/>
      <c r="Q923" s="40"/>
      <c r="R923" s="40"/>
      <c r="S923" s="40"/>
      <c r="T923" s="41"/>
      <c r="U923" s="41"/>
      <c r="V923" s="41"/>
      <c r="W923" s="36"/>
      <c r="X923" s="36"/>
      <c r="Y923" s="36"/>
      <c r="Z923" s="36"/>
      <c r="AA923" s="36"/>
    </row>
    <row r="924" spans="16:27" x14ac:dyDescent="0.2">
      <c r="P924" s="36"/>
      <c r="Q924" s="40"/>
      <c r="R924" s="40"/>
      <c r="S924" s="40"/>
      <c r="T924" s="41"/>
      <c r="U924" s="41"/>
      <c r="V924" s="41"/>
      <c r="W924" s="36"/>
      <c r="X924" s="36"/>
      <c r="Y924" s="36"/>
      <c r="Z924" s="36"/>
      <c r="AA924" s="36"/>
    </row>
    <row r="925" spans="16:27" x14ac:dyDescent="0.2">
      <c r="P925" s="36"/>
      <c r="Q925" s="40"/>
      <c r="R925" s="40"/>
      <c r="S925" s="40"/>
      <c r="T925" s="41"/>
      <c r="U925" s="41"/>
      <c r="V925" s="41"/>
      <c r="W925" s="36"/>
      <c r="X925" s="36"/>
      <c r="Y925" s="36"/>
      <c r="Z925" s="36"/>
      <c r="AA925" s="36"/>
    </row>
    <row r="926" spans="16:27" x14ac:dyDescent="0.2">
      <c r="P926" s="36"/>
      <c r="Q926" s="40"/>
      <c r="R926" s="40"/>
      <c r="S926" s="40"/>
      <c r="T926" s="41"/>
      <c r="U926" s="41"/>
      <c r="V926" s="41"/>
      <c r="W926" s="36"/>
      <c r="X926" s="36"/>
      <c r="Y926" s="36"/>
      <c r="Z926" s="36"/>
      <c r="AA926" s="36"/>
    </row>
    <row r="927" spans="16:27" x14ac:dyDescent="0.2">
      <c r="P927" s="36"/>
      <c r="Q927" s="40"/>
      <c r="R927" s="40"/>
      <c r="S927" s="40"/>
      <c r="T927" s="41"/>
      <c r="U927" s="41"/>
      <c r="V927" s="41"/>
      <c r="W927" s="36"/>
      <c r="X927" s="36"/>
      <c r="Y927" s="36"/>
      <c r="Z927" s="36"/>
      <c r="AA927" s="36"/>
    </row>
    <row r="928" spans="16:27" x14ac:dyDescent="0.2">
      <c r="P928" s="36"/>
      <c r="Q928" s="40"/>
      <c r="R928" s="40"/>
      <c r="S928" s="40"/>
      <c r="T928" s="41"/>
      <c r="U928" s="41"/>
      <c r="V928" s="41"/>
      <c r="W928" s="36"/>
      <c r="X928" s="36"/>
      <c r="Y928" s="36"/>
      <c r="Z928" s="36"/>
      <c r="AA928" s="36"/>
    </row>
    <row r="929" spans="16:27" x14ac:dyDescent="0.2">
      <c r="P929" s="36"/>
      <c r="Q929" s="40"/>
      <c r="R929" s="40"/>
      <c r="S929" s="40"/>
      <c r="T929" s="41"/>
      <c r="U929" s="41"/>
      <c r="V929" s="41"/>
      <c r="W929" s="36"/>
      <c r="X929" s="36"/>
      <c r="Y929" s="36"/>
      <c r="Z929" s="36"/>
      <c r="AA929" s="36"/>
    </row>
    <row r="930" spans="16:27" x14ac:dyDescent="0.2">
      <c r="P930" s="36"/>
      <c r="Q930" s="40"/>
      <c r="R930" s="40"/>
      <c r="S930" s="40"/>
      <c r="T930" s="41"/>
      <c r="U930" s="41"/>
      <c r="V930" s="41"/>
      <c r="W930" s="36"/>
      <c r="X930" s="36"/>
      <c r="Y930" s="36"/>
      <c r="Z930" s="36"/>
      <c r="AA930" s="36"/>
    </row>
    <row r="931" spans="16:27" x14ac:dyDescent="0.2">
      <c r="P931" s="36"/>
      <c r="Q931" s="40"/>
      <c r="R931" s="40"/>
      <c r="S931" s="40"/>
      <c r="T931" s="41"/>
      <c r="U931" s="41"/>
      <c r="V931" s="41"/>
      <c r="W931" s="36"/>
      <c r="X931" s="36"/>
      <c r="Y931" s="36"/>
      <c r="Z931" s="36"/>
      <c r="AA931" s="36"/>
    </row>
    <row r="932" spans="16:27" x14ac:dyDescent="0.2">
      <c r="P932" s="36"/>
      <c r="Q932" s="40"/>
      <c r="R932" s="40"/>
      <c r="S932" s="40"/>
      <c r="T932" s="41"/>
      <c r="U932" s="41"/>
      <c r="V932" s="41"/>
      <c r="W932" s="36"/>
      <c r="X932" s="36"/>
      <c r="Y932" s="36"/>
      <c r="Z932" s="36"/>
      <c r="AA932" s="36"/>
    </row>
    <row r="933" spans="16:27" x14ac:dyDescent="0.2">
      <c r="P933" s="36"/>
      <c r="Q933" s="40"/>
      <c r="R933" s="40"/>
      <c r="S933" s="40"/>
      <c r="T933" s="41"/>
      <c r="U933" s="41"/>
      <c r="V933" s="41"/>
      <c r="W933" s="36"/>
      <c r="X933" s="36"/>
      <c r="Y933" s="36"/>
      <c r="Z933" s="36"/>
      <c r="AA933" s="36"/>
    </row>
    <row r="934" spans="16:27" x14ac:dyDescent="0.2">
      <c r="P934" s="36"/>
      <c r="Q934" s="40"/>
      <c r="R934" s="40"/>
      <c r="S934" s="40"/>
      <c r="T934" s="41"/>
      <c r="U934" s="41"/>
      <c r="V934" s="41"/>
      <c r="W934" s="36"/>
      <c r="X934" s="36"/>
      <c r="Y934" s="36"/>
      <c r="Z934" s="36"/>
      <c r="AA934" s="36"/>
    </row>
    <row r="935" spans="16:27" x14ac:dyDescent="0.2">
      <c r="P935" s="36"/>
      <c r="Q935" s="40"/>
      <c r="R935" s="40"/>
      <c r="S935" s="40"/>
      <c r="T935" s="41"/>
      <c r="U935" s="41"/>
      <c r="V935" s="41"/>
      <c r="W935" s="36"/>
      <c r="X935" s="36"/>
      <c r="Y935" s="36"/>
      <c r="Z935" s="36"/>
      <c r="AA935" s="36"/>
    </row>
    <row r="936" spans="16:27" x14ac:dyDescent="0.2">
      <c r="P936" s="36"/>
      <c r="Q936" s="40"/>
      <c r="R936" s="40"/>
      <c r="S936" s="40"/>
      <c r="T936" s="41"/>
      <c r="U936" s="41"/>
      <c r="V936" s="41"/>
      <c r="W936" s="36"/>
      <c r="X936" s="36"/>
      <c r="Y936" s="36"/>
      <c r="Z936" s="36"/>
      <c r="AA936" s="36"/>
    </row>
    <row r="937" spans="16:27" x14ac:dyDescent="0.2">
      <c r="P937" s="36"/>
      <c r="Q937" s="40"/>
      <c r="R937" s="40"/>
      <c r="S937" s="40"/>
      <c r="T937" s="41"/>
      <c r="U937" s="41"/>
      <c r="V937" s="41"/>
      <c r="W937" s="36"/>
      <c r="X937" s="36"/>
      <c r="Y937" s="36"/>
      <c r="Z937" s="36"/>
      <c r="AA937" s="36"/>
    </row>
    <row r="938" spans="16:27" x14ac:dyDescent="0.2">
      <c r="P938" s="36"/>
      <c r="Q938" s="40"/>
      <c r="R938" s="40"/>
      <c r="S938" s="40"/>
      <c r="T938" s="41"/>
      <c r="U938" s="41"/>
      <c r="V938" s="41"/>
      <c r="W938" s="36"/>
      <c r="X938" s="36"/>
      <c r="Y938" s="36"/>
      <c r="Z938" s="36"/>
      <c r="AA938" s="36"/>
    </row>
    <row r="939" spans="16:27" x14ac:dyDescent="0.2">
      <c r="P939" s="36"/>
      <c r="Q939" s="40"/>
      <c r="R939" s="40"/>
      <c r="S939" s="40"/>
      <c r="T939" s="41"/>
      <c r="U939" s="41"/>
      <c r="V939" s="41"/>
      <c r="W939" s="36"/>
      <c r="X939" s="36"/>
      <c r="Y939" s="36"/>
      <c r="Z939" s="36"/>
      <c r="AA939" s="36"/>
    </row>
    <row r="940" spans="16:27" x14ac:dyDescent="0.2">
      <c r="P940" s="36"/>
      <c r="Q940" s="40"/>
      <c r="R940" s="40"/>
      <c r="S940" s="40"/>
      <c r="T940" s="41"/>
      <c r="U940" s="41"/>
      <c r="V940" s="41"/>
      <c r="W940" s="36"/>
      <c r="X940" s="36"/>
      <c r="Y940" s="36"/>
      <c r="Z940" s="36"/>
      <c r="AA940" s="36"/>
    </row>
    <row r="941" spans="16:27" x14ac:dyDescent="0.2">
      <c r="P941" s="36"/>
      <c r="Q941" s="40"/>
      <c r="R941" s="40"/>
      <c r="S941" s="40"/>
      <c r="T941" s="41"/>
      <c r="U941" s="41"/>
      <c r="V941" s="41"/>
      <c r="W941" s="36"/>
      <c r="X941" s="36"/>
      <c r="Y941" s="36"/>
      <c r="Z941" s="36"/>
      <c r="AA941" s="36"/>
    </row>
    <row r="942" spans="16:27" x14ac:dyDescent="0.2">
      <c r="P942" s="36"/>
      <c r="Q942" s="40"/>
      <c r="R942" s="40"/>
      <c r="S942" s="40"/>
      <c r="T942" s="41"/>
      <c r="U942" s="41"/>
      <c r="V942" s="41"/>
      <c r="W942" s="36"/>
      <c r="X942" s="36"/>
      <c r="Y942" s="36"/>
      <c r="Z942" s="36"/>
      <c r="AA942" s="36"/>
    </row>
    <row r="943" spans="16:27" x14ac:dyDescent="0.2">
      <c r="P943" s="36"/>
      <c r="Q943" s="40"/>
      <c r="R943" s="40"/>
      <c r="S943" s="40"/>
      <c r="T943" s="41"/>
      <c r="U943" s="41"/>
      <c r="V943" s="41"/>
      <c r="W943" s="36"/>
      <c r="X943" s="36"/>
      <c r="Y943" s="36"/>
      <c r="Z943" s="36"/>
      <c r="AA943" s="36"/>
    </row>
    <row r="944" spans="16:27" x14ac:dyDescent="0.2">
      <c r="P944" s="36"/>
      <c r="Q944" s="40"/>
      <c r="R944" s="40"/>
      <c r="S944" s="40"/>
      <c r="T944" s="41"/>
      <c r="U944" s="41"/>
      <c r="V944" s="41"/>
      <c r="W944" s="36"/>
      <c r="X944" s="36"/>
      <c r="Y944" s="36"/>
      <c r="Z944" s="36"/>
      <c r="AA944" s="36"/>
    </row>
    <row r="945" spans="16:27" x14ac:dyDescent="0.2">
      <c r="P945" s="36"/>
      <c r="Q945" s="40"/>
      <c r="R945" s="40"/>
      <c r="S945" s="40"/>
      <c r="T945" s="41"/>
      <c r="U945" s="41"/>
      <c r="V945" s="41"/>
      <c r="W945" s="36"/>
      <c r="X945" s="36"/>
      <c r="Y945" s="36"/>
      <c r="Z945" s="36"/>
      <c r="AA945" s="36"/>
    </row>
    <row r="946" spans="16:27" x14ac:dyDescent="0.2">
      <c r="P946" s="36"/>
      <c r="Q946" s="40"/>
      <c r="R946" s="40"/>
      <c r="S946" s="40"/>
      <c r="T946" s="41"/>
      <c r="U946" s="41"/>
      <c r="V946" s="41"/>
      <c r="W946" s="36"/>
      <c r="X946" s="36"/>
      <c r="Y946" s="36"/>
      <c r="Z946" s="36"/>
      <c r="AA946" s="36"/>
    </row>
    <row r="947" spans="16:27" x14ac:dyDescent="0.2">
      <c r="P947" s="36"/>
      <c r="Q947" s="40"/>
      <c r="R947" s="40"/>
      <c r="S947" s="40"/>
      <c r="T947" s="41"/>
      <c r="U947" s="41"/>
      <c r="V947" s="41"/>
      <c r="W947" s="36"/>
      <c r="X947" s="36"/>
      <c r="Y947" s="36"/>
      <c r="Z947" s="36"/>
      <c r="AA947" s="36"/>
    </row>
    <row r="948" spans="16:27" x14ac:dyDescent="0.2">
      <c r="P948" s="36"/>
      <c r="Q948" s="40"/>
      <c r="R948" s="40"/>
      <c r="S948" s="40"/>
      <c r="T948" s="41"/>
      <c r="U948" s="41"/>
      <c r="V948" s="41"/>
      <c r="W948" s="36"/>
      <c r="X948" s="36"/>
      <c r="Y948" s="36"/>
      <c r="Z948" s="36"/>
      <c r="AA948" s="36"/>
    </row>
    <row r="949" spans="16:27" x14ac:dyDescent="0.2">
      <c r="P949" s="36"/>
      <c r="Q949" s="40"/>
      <c r="R949" s="40"/>
      <c r="S949" s="40"/>
      <c r="T949" s="41"/>
      <c r="U949" s="41"/>
      <c r="V949" s="41"/>
      <c r="W949" s="36"/>
      <c r="X949" s="36"/>
      <c r="Y949" s="36"/>
      <c r="Z949" s="36"/>
      <c r="AA949" s="36"/>
    </row>
    <row r="950" spans="16:27" x14ac:dyDescent="0.2">
      <c r="P950" s="36"/>
      <c r="Q950" s="40"/>
      <c r="R950" s="40"/>
      <c r="S950" s="40"/>
      <c r="T950" s="41"/>
      <c r="U950" s="41"/>
      <c r="V950" s="41"/>
      <c r="W950" s="36"/>
      <c r="X950" s="36"/>
      <c r="Y950" s="36"/>
      <c r="Z950" s="36"/>
      <c r="AA950" s="36"/>
    </row>
    <row r="951" spans="16:27" x14ac:dyDescent="0.2">
      <c r="P951" s="36"/>
      <c r="Q951" s="40"/>
      <c r="R951" s="40"/>
      <c r="S951" s="40"/>
      <c r="T951" s="41"/>
      <c r="U951" s="41"/>
      <c r="V951" s="41"/>
      <c r="W951" s="36"/>
      <c r="X951" s="36"/>
      <c r="Y951" s="36"/>
      <c r="Z951" s="36"/>
      <c r="AA951" s="36"/>
    </row>
    <row r="952" spans="16:27" x14ac:dyDescent="0.2">
      <c r="P952" s="36"/>
      <c r="Q952" s="40"/>
      <c r="R952" s="40"/>
      <c r="S952" s="40"/>
      <c r="T952" s="41"/>
      <c r="U952" s="41"/>
      <c r="V952" s="41"/>
      <c r="W952" s="36"/>
      <c r="X952" s="36"/>
      <c r="Y952" s="36"/>
      <c r="Z952" s="36"/>
      <c r="AA952" s="36"/>
    </row>
    <row r="953" spans="16:27" x14ac:dyDescent="0.2">
      <c r="P953" s="36"/>
      <c r="Q953" s="40"/>
      <c r="R953" s="40"/>
      <c r="S953" s="40"/>
      <c r="T953" s="41"/>
      <c r="U953" s="41"/>
      <c r="V953" s="41"/>
      <c r="W953" s="36"/>
      <c r="X953" s="36"/>
      <c r="Y953" s="36"/>
      <c r="Z953" s="36"/>
      <c r="AA953" s="36"/>
    </row>
    <row r="954" spans="16:27" x14ac:dyDescent="0.2">
      <c r="P954" s="36"/>
      <c r="Q954" s="40"/>
      <c r="R954" s="40"/>
      <c r="S954" s="40"/>
      <c r="T954" s="41"/>
      <c r="U954" s="41"/>
      <c r="V954" s="41"/>
      <c r="W954" s="36"/>
      <c r="X954" s="36"/>
      <c r="Y954" s="36"/>
      <c r="Z954" s="36"/>
      <c r="AA954" s="36"/>
    </row>
    <row r="955" spans="16:27" x14ac:dyDescent="0.2">
      <c r="P955" s="36"/>
      <c r="Q955" s="40"/>
      <c r="R955" s="40"/>
      <c r="S955" s="40"/>
      <c r="T955" s="41"/>
      <c r="U955" s="41"/>
      <c r="V955" s="41"/>
      <c r="W955" s="36"/>
      <c r="X955" s="36"/>
      <c r="Y955" s="36"/>
      <c r="Z955" s="36"/>
      <c r="AA955" s="36"/>
    </row>
    <row r="956" spans="16:27" x14ac:dyDescent="0.2">
      <c r="P956" s="36"/>
      <c r="Q956" s="40"/>
      <c r="R956" s="40"/>
      <c r="S956" s="40"/>
      <c r="T956" s="41"/>
      <c r="U956" s="41"/>
      <c r="V956" s="41"/>
      <c r="W956" s="36"/>
      <c r="X956" s="36"/>
      <c r="Y956" s="36"/>
      <c r="Z956" s="36"/>
      <c r="AA956" s="36"/>
    </row>
    <row r="957" spans="16:27" x14ac:dyDescent="0.2">
      <c r="P957" s="36"/>
      <c r="Q957" s="40"/>
      <c r="R957" s="40"/>
      <c r="S957" s="40"/>
      <c r="T957" s="41"/>
      <c r="U957" s="41"/>
      <c r="V957" s="41"/>
      <c r="W957" s="36"/>
      <c r="X957" s="36"/>
      <c r="Y957" s="36"/>
      <c r="Z957" s="36"/>
      <c r="AA957" s="36"/>
    </row>
    <row r="958" spans="16:27" x14ac:dyDescent="0.2">
      <c r="P958" s="36"/>
      <c r="Q958" s="40"/>
      <c r="R958" s="40"/>
      <c r="S958" s="40"/>
      <c r="T958" s="41"/>
      <c r="U958" s="41"/>
      <c r="V958" s="41"/>
      <c r="W958" s="36"/>
      <c r="X958" s="36"/>
      <c r="Y958" s="36"/>
      <c r="Z958" s="36"/>
      <c r="AA958" s="36"/>
    </row>
    <row r="959" spans="16:27" x14ac:dyDescent="0.2">
      <c r="P959" s="36"/>
      <c r="Q959" s="40"/>
      <c r="R959" s="40"/>
      <c r="S959" s="40"/>
      <c r="T959" s="41"/>
      <c r="U959" s="41"/>
      <c r="V959" s="41"/>
      <c r="W959" s="36"/>
      <c r="X959" s="36"/>
      <c r="Y959" s="36"/>
      <c r="Z959" s="36"/>
      <c r="AA959" s="36"/>
    </row>
    <row r="960" spans="16:27" x14ac:dyDescent="0.2">
      <c r="P960" s="36"/>
      <c r="Q960" s="40"/>
      <c r="R960" s="40"/>
      <c r="S960" s="40"/>
      <c r="T960" s="41"/>
      <c r="U960" s="41"/>
      <c r="V960" s="41"/>
      <c r="W960" s="36"/>
      <c r="X960" s="36"/>
      <c r="Y960" s="36"/>
      <c r="Z960" s="36"/>
      <c r="AA960" s="36"/>
    </row>
    <row r="961" spans="16:27" x14ac:dyDescent="0.2">
      <c r="P961" s="36"/>
      <c r="Q961" s="40"/>
      <c r="R961" s="40"/>
      <c r="S961" s="40"/>
      <c r="T961" s="41"/>
      <c r="U961" s="41"/>
      <c r="V961" s="41"/>
      <c r="W961" s="36"/>
      <c r="X961" s="36"/>
      <c r="Y961" s="36"/>
      <c r="Z961" s="36"/>
      <c r="AA961" s="36"/>
    </row>
    <row r="962" spans="16:27" x14ac:dyDescent="0.2">
      <c r="P962" s="36"/>
      <c r="Q962" s="40"/>
      <c r="R962" s="40"/>
      <c r="S962" s="40"/>
      <c r="T962" s="41"/>
      <c r="U962" s="41"/>
      <c r="V962" s="41"/>
      <c r="W962" s="36"/>
      <c r="X962" s="36"/>
      <c r="Y962" s="36"/>
      <c r="Z962" s="36"/>
      <c r="AA962" s="36"/>
    </row>
    <row r="963" spans="16:27" x14ac:dyDescent="0.2">
      <c r="P963" s="36"/>
      <c r="Q963" s="40"/>
      <c r="R963" s="40"/>
      <c r="S963" s="40"/>
      <c r="T963" s="41"/>
      <c r="U963" s="41"/>
      <c r="V963" s="41"/>
      <c r="W963" s="36"/>
      <c r="X963" s="36"/>
      <c r="Y963" s="36"/>
      <c r="Z963" s="36"/>
      <c r="AA963" s="36"/>
    </row>
    <row r="964" spans="16:27" x14ac:dyDescent="0.2">
      <c r="P964" s="36"/>
      <c r="Q964" s="40"/>
      <c r="R964" s="40"/>
      <c r="S964" s="40"/>
      <c r="T964" s="41"/>
      <c r="U964" s="41"/>
      <c r="V964" s="41"/>
      <c r="W964" s="36"/>
      <c r="X964" s="36"/>
      <c r="Y964" s="36"/>
      <c r="Z964" s="36"/>
      <c r="AA964" s="36"/>
    </row>
    <row r="965" spans="16:27" x14ac:dyDescent="0.2">
      <c r="P965" s="36"/>
      <c r="Q965" s="40"/>
      <c r="R965" s="40"/>
      <c r="S965" s="40"/>
      <c r="T965" s="41"/>
      <c r="U965" s="41"/>
      <c r="V965" s="41"/>
      <c r="W965" s="36"/>
      <c r="X965" s="36"/>
      <c r="Y965" s="36"/>
      <c r="Z965" s="36"/>
      <c r="AA965" s="36"/>
    </row>
    <row r="966" spans="16:27" x14ac:dyDescent="0.2">
      <c r="P966" s="36"/>
      <c r="Q966" s="40"/>
      <c r="R966" s="40"/>
      <c r="S966" s="40"/>
      <c r="T966" s="41"/>
      <c r="U966" s="41"/>
      <c r="V966" s="41"/>
      <c r="W966" s="36"/>
      <c r="X966" s="36"/>
      <c r="Y966" s="36"/>
      <c r="Z966" s="36"/>
      <c r="AA966" s="36"/>
    </row>
    <row r="967" spans="16:27" x14ac:dyDescent="0.2">
      <c r="P967" s="36"/>
      <c r="Q967" s="40"/>
      <c r="R967" s="40"/>
      <c r="S967" s="40"/>
      <c r="T967" s="41"/>
      <c r="U967" s="41"/>
      <c r="V967" s="41"/>
      <c r="W967" s="36"/>
      <c r="X967" s="36"/>
      <c r="Y967" s="36"/>
      <c r="Z967" s="36"/>
      <c r="AA967" s="36"/>
    </row>
    <row r="968" spans="16:27" x14ac:dyDescent="0.2">
      <c r="P968" s="36"/>
      <c r="Q968" s="40"/>
      <c r="R968" s="40"/>
      <c r="S968" s="40"/>
      <c r="T968" s="41"/>
      <c r="U968" s="41"/>
      <c r="V968" s="41"/>
      <c r="W968" s="36"/>
      <c r="X968" s="36"/>
      <c r="Y968" s="36"/>
      <c r="Z968" s="36"/>
      <c r="AA968" s="36"/>
    </row>
    <row r="969" spans="16:27" x14ac:dyDescent="0.2">
      <c r="P969" s="36"/>
      <c r="Q969" s="40"/>
      <c r="R969" s="40"/>
      <c r="S969" s="40"/>
      <c r="T969" s="41"/>
      <c r="U969" s="41"/>
      <c r="V969" s="41"/>
      <c r="W969" s="36"/>
      <c r="X969" s="36"/>
      <c r="Y969" s="36"/>
      <c r="Z969" s="36"/>
      <c r="AA969" s="36"/>
    </row>
    <row r="970" spans="16:27" x14ac:dyDescent="0.2">
      <c r="P970" s="36"/>
      <c r="Q970" s="40"/>
      <c r="R970" s="40"/>
      <c r="S970" s="40"/>
      <c r="T970" s="41"/>
      <c r="U970" s="41"/>
      <c r="V970" s="41"/>
      <c r="W970" s="36"/>
      <c r="X970" s="36"/>
      <c r="Y970" s="36"/>
      <c r="Z970" s="36"/>
      <c r="AA970" s="36"/>
    </row>
    <row r="971" spans="16:27" x14ac:dyDescent="0.2">
      <c r="P971" s="36"/>
      <c r="Q971" s="40"/>
      <c r="R971" s="40"/>
      <c r="S971" s="40"/>
      <c r="T971" s="41"/>
      <c r="U971" s="41"/>
      <c r="V971" s="41"/>
      <c r="W971" s="36"/>
      <c r="X971" s="36"/>
      <c r="Y971" s="36"/>
      <c r="Z971" s="36"/>
      <c r="AA971" s="36"/>
    </row>
    <row r="972" spans="16:27" x14ac:dyDescent="0.2">
      <c r="P972" s="36"/>
      <c r="Q972" s="40"/>
      <c r="R972" s="40"/>
      <c r="S972" s="40"/>
      <c r="T972" s="41"/>
      <c r="U972" s="41"/>
      <c r="V972" s="41"/>
      <c r="W972" s="36"/>
      <c r="X972" s="36"/>
      <c r="Y972" s="36"/>
      <c r="Z972" s="36"/>
      <c r="AA972" s="36"/>
    </row>
    <row r="973" spans="16:27" x14ac:dyDescent="0.2">
      <c r="P973" s="36"/>
      <c r="Q973" s="40"/>
      <c r="R973" s="40"/>
      <c r="S973" s="40"/>
      <c r="T973" s="41"/>
      <c r="U973" s="41"/>
      <c r="V973" s="41"/>
      <c r="W973" s="36"/>
      <c r="X973" s="36"/>
      <c r="Y973" s="36"/>
      <c r="Z973" s="36"/>
      <c r="AA973" s="36"/>
    </row>
    <row r="974" spans="16:27" x14ac:dyDescent="0.2">
      <c r="P974" s="36"/>
      <c r="Q974" s="40"/>
      <c r="R974" s="40"/>
      <c r="S974" s="40"/>
      <c r="T974" s="41"/>
      <c r="U974" s="41"/>
      <c r="V974" s="41"/>
      <c r="W974" s="36"/>
      <c r="X974" s="36"/>
      <c r="Y974" s="36"/>
      <c r="Z974" s="36"/>
      <c r="AA974" s="36"/>
    </row>
    <row r="975" spans="16:27" x14ac:dyDescent="0.2">
      <c r="P975" s="36"/>
      <c r="Q975" s="40"/>
      <c r="R975" s="40"/>
      <c r="S975" s="40"/>
      <c r="T975" s="41"/>
      <c r="U975" s="41"/>
      <c r="V975" s="41"/>
      <c r="W975" s="36"/>
      <c r="X975" s="36"/>
      <c r="Y975" s="36"/>
      <c r="Z975" s="36"/>
      <c r="AA975" s="36"/>
    </row>
    <row r="976" spans="16:27" x14ac:dyDescent="0.2">
      <c r="P976" s="36"/>
      <c r="Q976" s="40"/>
      <c r="R976" s="40"/>
      <c r="S976" s="40"/>
      <c r="T976" s="41"/>
      <c r="U976" s="41"/>
      <c r="V976" s="41"/>
      <c r="W976" s="36"/>
      <c r="X976" s="36"/>
      <c r="Y976" s="36"/>
      <c r="Z976" s="36"/>
      <c r="AA976" s="36"/>
    </row>
    <row r="977" spans="16:27" x14ac:dyDescent="0.2">
      <c r="P977" s="36"/>
      <c r="Q977" s="40"/>
      <c r="R977" s="40"/>
      <c r="S977" s="40"/>
      <c r="T977" s="41"/>
      <c r="U977" s="41"/>
      <c r="V977" s="41"/>
      <c r="W977" s="36"/>
      <c r="X977" s="36"/>
      <c r="Y977" s="36"/>
      <c r="Z977" s="36"/>
      <c r="AA977" s="36"/>
    </row>
    <row r="978" spans="16:27" x14ac:dyDescent="0.2">
      <c r="P978" s="36"/>
      <c r="Q978" s="40"/>
      <c r="R978" s="40"/>
      <c r="S978" s="40"/>
      <c r="T978" s="41"/>
      <c r="U978" s="41"/>
      <c r="V978" s="41"/>
      <c r="W978" s="36"/>
      <c r="X978" s="36"/>
      <c r="Y978" s="36"/>
      <c r="Z978" s="36"/>
      <c r="AA978" s="36"/>
    </row>
    <row r="979" spans="16:27" x14ac:dyDescent="0.2">
      <c r="P979" s="36"/>
      <c r="Q979" s="40"/>
      <c r="R979" s="40"/>
      <c r="S979" s="40"/>
      <c r="T979" s="41"/>
      <c r="U979" s="41"/>
      <c r="V979" s="41"/>
      <c r="W979" s="36"/>
      <c r="X979" s="36"/>
      <c r="Y979" s="36"/>
      <c r="Z979" s="36"/>
      <c r="AA979" s="36"/>
    </row>
    <row r="980" spans="16:27" x14ac:dyDescent="0.2">
      <c r="P980" s="36"/>
      <c r="Q980" s="40"/>
      <c r="R980" s="40"/>
      <c r="S980" s="40"/>
      <c r="T980" s="41"/>
      <c r="U980" s="41"/>
      <c r="V980" s="41"/>
      <c r="W980" s="36"/>
      <c r="X980" s="36"/>
      <c r="Y980" s="36"/>
      <c r="Z980" s="36"/>
      <c r="AA980" s="36"/>
    </row>
    <row r="981" spans="16:27" x14ac:dyDescent="0.2">
      <c r="P981" s="36"/>
      <c r="Q981" s="40"/>
      <c r="R981" s="40"/>
      <c r="S981" s="40"/>
      <c r="T981" s="41"/>
      <c r="U981" s="41"/>
      <c r="V981" s="41"/>
      <c r="W981" s="36"/>
      <c r="X981" s="36"/>
      <c r="Y981" s="36"/>
      <c r="Z981" s="36"/>
      <c r="AA981" s="36"/>
    </row>
    <row r="982" spans="16:27" x14ac:dyDescent="0.2">
      <c r="P982" s="36"/>
      <c r="Q982" s="40"/>
      <c r="R982" s="40"/>
      <c r="S982" s="40"/>
      <c r="T982" s="41"/>
      <c r="U982" s="41"/>
      <c r="V982" s="41"/>
      <c r="W982" s="36"/>
      <c r="X982" s="36"/>
      <c r="Y982" s="36"/>
      <c r="Z982" s="36"/>
      <c r="AA982" s="36"/>
    </row>
    <row r="983" spans="16:27" x14ac:dyDescent="0.2">
      <c r="P983" s="36"/>
      <c r="Q983" s="40"/>
      <c r="R983" s="40"/>
      <c r="S983" s="40"/>
      <c r="T983" s="41"/>
      <c r="U983" s="41"/>
      <c r="V983" s="41"/>
      <c r="W983" s="36"/>
      <c r="X983" s="36"/>
      <c r="Y983" s="36"/>
      <c r="Z983" s="36"/>
      <c r="AA983" s="36"/>
    </row>
    <row r="984" spans="16:27" x14ac:dyDescent="0.2">
      <c r="P984" s="36"/>
      <c r="Q984" s="40"/>
      <c r="R984" s="40"/>
      <c r="S984" s="40"/>
      <c r="T984" s="41"/>
      <c r="U984" s="41"/>
      <c r="V984" s="41"/>
      <c r="W984" s="36"/>
      <c r="X984" s="36"/>
      <c r="Y984" s="36"/>
      <c r="Z984" s="36"/>
      <c r="AA984" s="36"/>
    </row>
    <row r="985" spans="16:27" x14ac:dyDescent="0.2">
      <c r="P985" s="36"/>
      <c r="Q985" s="40"/>
      <c r="R985" s="40"/>
      <c r="S985" s="40"/>
      <c r="T985" s="41"/>
      <c r="U985" s="41"/>
      <c r="V985" s="41"/>
      <c r="W985" s="36"/>
      <c r="X985" s="36"/>
      <c r="Y985" s="36"/>
      <c r="Z985" s="36"/>
      <c r="AA985" s="36"/>
    </row>
    <row r="986" spans="16:27" x14ac:dyDescent="0.2">
      <c r="P986" s="36"/>
      <c r="Q986" s="40"/>
      <c r="R986" s="40"/>
      <c r="S986" s="40"/>
      <c r="T986" s="41"/>
      <c r="U986" s="41"/>
      <c r="V986" s="41"/>
      <c r="W986" s="36"/>
      <c r="X986" s="36"/>
      <c r="Y986" s="36"/>
      <c r="Z986" s="36"/>
      <c r="AA986" s="36"/>
    </row>
    <row r="987" spans="16:27" x14ac:dyDescent="0.2">
      <c r="P987" s="36"/>
      <c r="Q987" s="40"/>
      <c r="R987" s="40"/>
      <c r="S987" s="40"/>
      <c r="T987" s="41"/>
      <c r="U987" s="41"/>
      <c r="V987" s="41"/>
      <c r="W987" s="36"/>
      <c r="X987" s="36"/>
      <c r="Y987" s="36"/>
      <c r="Z987" s="36"/>
      <c r="AA987" s="36"/>
    </row>
    <row r="988" spans="16:27" x14ac:dyDescent="0.2">
      <c r="P988" s="36"/>
      <c r="Q988" s="40"/>
      <c r="R988" s="40"/>
      <c r="S988" s="40"/>
      <c r="T988" s="41"/>
      <c r="U988" s="41"/>
      <c r="V988" s="41"/>
      <c r="W988" s="36"/>
      <c r="X988" s="36"/>
      <c r="Y988" s="36"/>
      <c r="Z988" s="36"/>
      <c r="AA988" s="36"/>
    </row>
    <row r="989" spans="16:27" x14ac:dyDescent="0.2">
      <c r="P989" s="36"/>
      <c r="Q989" s="40"/>
      <c r="R989" s="40"/>
      <c r="S989" s="40"/>
      <c r="T989" s="41"/>
      <c r="U989" s="41"/>
      <c r="V989" s="41"/>
      <c r="W989" s="36"/>
      <c r="X989" s="36"/>
      <c r="Y989" s="36"/>
      <c r="Z989" s="36"/>
      <c r="AA989" s="36"/>
    </row>
    <row r="990" spans="16:27" x14ac:dyDescent="0.2">
      <c r="P990" s="36"/>
      <c r="Q990" s="40"/>
      <c r="R990" s="40"/>
      <c r="S990" s="40"/>
      <c r="T990" s="41"/>
      <c r="U990" s="41"/>
      <c r="V990" s="41"/>
      <c r="W990" s="36"/>
      <c r="X990" s="36"/>
      <c r="Y990" s="36"/>
      <c r="Z990" s="36"/>
      <c r="AA990" s="36"/>
    </row>
    <row r="991" spans="16:27" x14ac:dyDescent="0.2">
      <c r="P991" s="36"/>
      <c r="Q991" s="40"/>
      <c r="R991" s="40"/>
      <c r="S991" s="40"/>
      <c r="T991" s="41"/>
      <c r="U991" s="41"/>
      <c r="V991" s="41"/>
      <c r="W991" s="36"/>
      <c r="X991" s="36"/>
      <c r="Y991" s="36"/>
      <c r="Z991" s="36"/>
      <c r="AA991" s="36"/>
    </row>
    <row r="992" spans="16:27" x14ac:dyDescent="0.2">
      <c r="P992" s="36"/>
      <c r="Q992" s="40"/>
      <c r="R992" s="40"/>
      <c r="S992" s="40"/>
      <c r="T992" s="41"/>
      <c r="U992" s="41"/>
      <c r="V992" s="41"/>
      <c r="W992" s="36"/>
      <c r="X992" s="36"/>
      <c r="Y992" s="36"/>
      <c r="Z992" s="36"/>
      <c r="AA992" s="36"/>
    </row>
    <row r="993" spans="16:27" x14ac:dyDescent="0.2">
      <c r="P993" s="36"/>
      <c r="Q993" s="40"/>
      <c r="R993" s="40"/>
      <c r="S993" s="40"/>
      <c r="T993" s="41"/>
      <c r="U993" s="41"/>
      <c r="V993" s="41"/>
      <c r="W993" s="36"/>
      <c r="X993" s="36"/>
      <c r="Y993" s="36"/>
      <c r="Z993" s="36"/>
      <c r="AA993" s="36"/>
    </row>
    <row r="994" spans="16:27" x14ac:dyDescent="0.2">
      <c r="P994" s="36"/>
      <c r="Q994" s="40"/>
      <c r="R994" s="40"/>
      <c r="S994" s="40"/>
      <c r="T994" s="41"/>
      <c r="U994" s="41"/>
      <c r="V994" s="41"/>
      <c r="W994" s="36"/>
      <c r="X994" s="36"/>
      <c r="Y994" s="36"/>
      <c r="Z994" s="36"/>
      <c r="AA994" s="36"/>
    </row>
    <row r="995" spans="16:27" x14ac:dyDescent="0.2">
      <c r="P995" s="36"/>
      <c r="Q995" s="40"/>
      <c r="R995" s="40"/>
      <c r="S995" s="40"/>
      <c r="T995" s="41"/>
      <c r="U995" s="41"/>
      <c r="V995" s="41"/>
      <c r="W995" s="36"/>
      <c r="X995" s="36"/>
      <c r="Y995" s="36"/>
      <c r="Z995" s="36"/>
      <c r="AA995" s="36"/>
    </row>
    <row r="996" spans="16:27" x14ac:dyDescent="0.2">
      <c r="P996" s="36"/>
      <c r="Q996" s="40"/>
      <c r="R996" s="40"/>
      <c r="S996" s="40"/>
      <c r="T996" s="41"/>
      <c r="U996" s="41"/>
      <c r="V996" s="41"/>
      <c r="W996" s="36"/>
      <c r="X996" s="36"/>
      <c r="Y996" s="36"/>
      <c r="Z996" s="36"/>
      <c r="AA996" s="36"/>
    </row>
    <row r="997" spans="16:27" x14ac:dyDescent="0.2">
      <c r="P997" s="36"/>
      <c r="Q997" s="40"/>
      <c r="R997" s="40"/>
      <c r="S997" s="40"/>
      <c r="T997" s="41"/>
      <c r="U997" s="41"/>
      <c r="V997" s="41"/>
      <c r="W997" s="36"/>
      <c r="X997" s="36"/>
      <c r="Y997" s="36"/>
      <c r="Z997" s="36"/>
      <c r="AA997" s="36"/>
    </row>
    <row r="998" spans="16:27" x14ac:dyDescent="0.2">
      <c r="P998" s="36"/>
      <c r="Q998" s="40"/>
      <c r="R998" s="40"/>
      <c r="S998" s="40"/>
      <c r="T998" s="41"/>
      <c r="U998" s="41"/>
      <c r="V998" s="41"/>
      <c r="W998" s="36"/>
      <c r="X998" s="36"/>
      <c r="Y998" s="36"/>
      <c r="Z998" s="36"/>
      <c r="AA998" s="36"/>
    </row>
    <row r="999" spans="16:27" x14ac:dyDescent="0.2">
      <c r="P999" s="36"/>
      <c r="Q999" s="40"/>
      <c r="R999" s="40"/>
      <c r="S999" s="40"/>
      <c r="T999" s="41"/>
      <c r="U999" s="41"/>
      <c r="V999" s="41"/>
      <c r="W999" s="36"/>
      <c r="X999" s="36"/>
      <c r="Y999" s="36"/>
      <c r="Z999" s="36"/>
      <c r="AA999" s="36"/>
    </row>
    <row r="1000" spans="16:27" x14ac:dyDescent="0.2">
      <c r="P1000" s="36"/>
      <c r="Q1000" s="40"/>
      <c r="R1000" s="40"/>
      <c r="S1000" s="40"/>
      <c r="T1000" s="41"/>
      <c r="U1000" s="41"/>
      <c r="V1000" s="41"/>
      <c r="W1000" s="36"/>
      <c r="X1000" s="36"/>
      <c r="Y1000" s="36"/>
      <c r="Z1000" s="36"/>
      <c r="AA1000" s="36"/>
    </row>
    <row r="1001" spans="16:27" x14ac:dyDescent="0.2">
      <c r="P1001" s="36"/>
      <c r="Q1001" s="40"/>
      <c r="R1001" s="40"/>
      <c r="S1001" s="40"/>
      <c r="T1001" s="41"/>
      <c r="U1001" s="41"/>
      <c r="V1001" s="41"/>
      <c r="W1001" s="36"/>
      <c r="X1001" s="36"/>
      <c r="Y1001" s="36"/>
      <c r="Z1001" s="36"/>
      <c r="AA1001" s="36"/>
    </row>
    <row r="1002" spans="16:27" x14ac:dyDescent="0.2">
      <c r="P1002" s="36"/>
      <c r="Q1002" s="40"/>
      <c r="R1002" s="40"/>
      <c r="S1002" s="40"/>
      <c r="T1002" s="41"/>
      <c r="U1002" s="41"/>
      <c r="V1002" s="41"/>
      <c r="W1002" s="36"/>
      <c r="X1002" s="36"/>
      <c r="Y1002" s="36"/>
      <c r="Z1002" s="36"/>
      <c r="AA1002" s="36"/>
    </row>
    <row r="1003" spans="16:27" x14ac:dyDescent="0.2">
      <c r="P1003" s="36"/>
      <c r="Q1003" s="40"/>
      <c r="R1003" s="40"/>
      <c r="S1003" s="40"/>
      <c r="T1003" s="41"/>
      <c r="U1003" s="41"/>
      <c r="V1003" s="41"/>
      <c r="W1003" s="36"/>
      <c r="X1003" s="36"/>
      <c r="Y1003" s="36"/>
      <c r="Z1003" s="36"/>
      <c r="AA1003" s="36"/>
    </row>
    <row r="1004" spans="16:27" x14ac:dyDescent="0.2">
      <c r="P1004" s="36"/>
      <c r="Q1004" s="40"/>
      <c r="R1004" s="40"/>
      <c r="S1004" s="40"/>
      <c r="T1004" s="41"/>
      <c r="U1004" s="41"/>
      <c r="V1004" s="41"/>
      <c r="W1004" s="36"/>
      <c r="X1004" s="36"/>
      <c r="Y1004" s="36"/>
      <c r="Z1004" s="36"/>
      <c r="AA1004" s="36"/>
    </row>
    <row r="1005" spans="16:27" x14ac:dyDescent="0.2">
      <c r="P1005" s="36"/>
      <c r="Q1005" s="40"/>
      <c r="R1005" s="40"/>
      <c r="S1005" s="40"/>
      <c r="T1005" s="41"/>
      <c r="U1005" s="41"/>
      <c r="V1005" s="41"/>
      <c r="W1005" s="36"/>
      <c r="X1005" s="36"/>
      <c r="Y1005" s="36"/>
      <c r="Z1005" s="36"/>
      <c r="AA1005" s="36"/>
    </row>
    <row r="1006" spans="16:27" x14ac:dyDescent="0.2">
      <c r="P1006" s="36"/>
      <c r="Q1006" s="40"/>
      <c r="R1006" s="40"/>
      <c r="S1006" s="40"/>
      <c r="T1006" s="41"/>
      <c r="U1006" s="41"/>
      <c r="V1006" s="41"/>
      <c r="W1006" s="36"/>
      <c r="X1006" s="36"/>
      <c r="Y1006" s="36"/>
      <c r="Z1006" s="36"/>
      <c r="AA1006" s="36"/>
    </row>
    <row r="1007" spans="16:27" x14ac:dyDescent="0.2">
      <c r="P1007" s="36"/>
      <c r="Q1007" s="40"/>
      <c r="R1007" s="40"/>
      <c r="S1007" s="40"/>
      <c r="T1007" s="41"/>
      <c r="U1007" s="41"/>
      <c r="V1007" s="41"/>
      <c r="W1007" s="36"/>
      <c r="X1007" s="36"/>
      <c r="Y1007" s="36"/>
      <c r="Z1007" s="36"/>
      <c r="AA1007" s="36"/>
    </row>
    <row r="1008" spans="16:27" x14ac:dyDescent="0.2">
      <c r="P1008" s="36"/>
      <c r="Q1008" s="40"/>
      <c r="R1008" s="40"/>
      <c r="S1008" s="40"/>
      <c r="T1008" s="41"/>
      <c r="U1008" s="41"/>
      <c r="V1008" s="41"/>
      <c r="W1008" s="36"/>
      <c r="X1008" s="36"/>
      <c r="Y1008" s="36"/>
      <c r="Z1008" s="36"/>
      <c r="AA1008" s="36"/>
    </row>
    <row r="1009" spans="16:27" x14ac:dyDescent="0.2">
      <c r="P1009" s="36"/>
      <c r="Q1009" s="40"/>
      <c r="R1009" s="40"/>
      <c r="S1009" s="40"/>
      <c r="T1009" s="41"/>
      <c r="U1009" s="41"/>
      <c r="V1009" s="41"/>
      <c r="W1009" s="36"/>
      <c r="X1009" s="36"/>
      <c r="Y1009" s="36"/>
      <c r="Z1009" s="36"/>
      <c r="AA1009" s="36"/>
    </row>
    <row r="1010" spans="16:27" x14ac:dyDescent="0.2">
      <c r="P1010" s="36"/>
      <c r="Q1010" s="40"/>
      <c r="R1010" s="40"/>
      <c r="S1010" s="40"/>
      <c r="T1010" s="41"/>
      <c r="U1010" s="41"/>
      <c r="V1010" s="41"/>
      <c r="W1010" s="36"/>
      <c r="X1010" s="36"/>
      <c r="Y1010" s="36"/>
      <c r="Z1010" s="36"/>
      <c r="AA1010" s="36"/>
    </row>
    <row r="1011" spans="16:27" x14ac:dyDescent="0.2">
      <c r="P1011" s="36"/>
      <c r="Q1011" s="40"/>
      <c r="R1011" s="40"/>
      <c r="S1011" s="40"/>
      <c r="T1011" s="41"/>
      <c r="U1011" s="41"/>
      <c r="V1011" s="41"/>
      <c r="W1011" s="36"/>
      <c r="X1011" s="36"/>
      <c r="Y1011" s="36"/>
      <c r="Z1011" s="36"/>
      <c r="AA1011" s="36"/>
    </row>
    <row r="1012" spans="16:27" x14ac:dyDescent="0.2">
      <c r="P1012" s="36"/>
      <c r="Q1012" s="40"/>
      <c r="R1012" s="40"/>
      <c r="S1012" s="40"/>
      <c r="T1012" s="41"/>
      <c r="U1012" s="41"/>
      <c r="V1012" s="41"/>
      <c r="W1012" s="36"/>
      <c r="X1012" s="36"/>
      <c r="Y1012" s="36"/>
      <c r="Z1012" s="36"/>
      <c r="AA1012" s="36"/>
    </row>
    <row r="1013" spans="16:27" x14ac:dyDescent="0.2">
      <c r="P1013" s="36"/>
      <c r="Q1013" s="40"/>
      <c r="R1013" s="40"/>
      <c r="S1013" s="40"/>
      <c r="T1013" s="41"/>
      <c r="U1013" s="41"/>
      <c r="V1013" s="41"/>
      <c r="W1013" s="36"/>
      <c r="X1013" s="36"/>
      <c r="Y1013" s="36"/>
      <c r="Z1013" s="36"/>
      <c r="AA1013" s="36"/>
    </row>
    <row r="1014" spans="16:27" x14ac:dyDescent="0.2">
      <c r="P1014" s="36"/>
      <c r="Q1014" s="40"/>
      <c r="R1014" s="40"/>
      <c r="S1014" s="40"/>
      <c r="T1014" s="41"/>
      <c r="U1014" s="41"/>
      <c r="V1014" s="41"/>
      <c r="W1014" s="36"/>
      <c r="X1014" s="36"/>
      <c r="Y1014" s="36"/>
      <c r="Z1014" s="36"/>
      <c r="AA1014" s="36"/>
    </row>
    <row r="1015" spans="16:27" x14ac:dyDescent="0.2">
      <c r="P1015" s="36"/>
      <c r="Q1015" s="40"/>
      <c r="R1015" s="40"/>
      <c r="S1015" s="40"/>
      <c r="T1015" s="41"/>
      <c r="U1015" s="41"/>
      <c r="V1015" s="41"/>
      <c r="W1015" s="36"/>
      <c r="X1015" s="36"/>
      <c r="Y1015" s="36"/>
      <c r="Z1015" s="36"/>
      <c r="AA1015" s="36"/>
    </row>
    <row r="1016" spans="16:27" x14ac:dyDescent="0.2">
      <c r="P1016" s="36"/>
      <c r="Q1016" s="40"/>
      <c r="R1016" s="40"/>
      <c r="S1016" s="40"/>
      <c r="T1016" s="41"/>
      <c r="U1016" s="41"/>
      <c r="V1016" s="41"/>
      <c r="W1016" s="36"/>
      <c r="X1016" s="36"/>
      <c r="Y1016" s="36"/>
      <c r="Z1016" s="36"/>
      <c r="AA1016" s="36"/>
    </row>
    <row r="1017" spans="16:27" x14ac:dyDescent="0.2">
      <c r="P1017" s="36"/>
      <c r="Q1017" s="40"/>
      <c r="R1017" s="40"/>
      <c r="S1017" s="40"/>
      <c r="T1017" s="41"/>
      <c r="U1017" s="41"/>
      <c r="V1017" s="41"/>
      <c r="W1017" s="36"/>
      <c r="X1017" s="36"/>
      <c r="Y1017" s="36"/>
      <c r="Z1017" s="36"/>
      <c r="AA1017" s="36"/>
    </row>
    <row r="1018" spans="16:27" x14ac:dyDescent="0.2">
      <c r="P1018" s="36"/>
      <c r="Q1018" s="40"/>
      <c r="R1018" s="40"/>
      <c r="S1018" s="40"/>
      <c r="T1018" s="41"/>
      <c r="U1018" s="41"/>
      <c r="V1018" s="41"/>
      <c r="W1018" s="36"/>
      <c r="X1018" s="36"/>
      <c r="Y1018" s="36"/>
      <c r="Z1018" s="36"/>
      <c r="AA1018" s="36"/>
    </row>
    <row r="1019" spans="16:27" x14ac:dyDescent="0.2">
      <c r="P1019" s="36"/>
      <c r="Q1019" s="40"/>
      <c r="R1019" s="40"/>
      <c r="S1019" s="40"/>
      <c r="T1019" s="41"/>
      <c r="U1019" s="41"/>
      <c r="V1019" s="41"/>
      <c r="W1019" s="36"/>
      <c r="X1019" s="36"/>
      <c r="Y1019" s="36"/>
      <c r="Z1019" s="36"/>
      <c r="AA1019" s="36"/>
    </row>
    <row r="1020" spans="16:27" x14ac:dyDescent="0.2">
      <c r="P1020" s="36"/>
      <c r="Q1020" s="40"/>
      <c r="R1020" s="40"/>
      <c r="S1020" s="40"/>
      <c r="T1020" s="41"/>
      <c r="U1020" s="41"/>
      <c r="V1020" s="41"/>
      <c r="W1020" s="36"/>
      <c r="X1020" s="36"/>
      <c r="Y1020" s="36"/>
      <c r="Z1020" s="36"/>
      <c r="AA1020" s="36"/>
    </row>
    <row r="1021" spans="16:27" x14ac:dyDescent="0.2">
      <c r="P1021" s="36"/>
      <c r="Q1021" s="40"/>
      <c r="R1021" s="40"/>
      <c r="S1021" s="40"/>
      <c r="T1021" s="41"/>
      <c r="U1021" s="41"/>
      <c r="V1021" s="41"/>
      <c r="W1021" s="36"/>
      <c r="X1021" s="36"/>
      <c r="Y1021" s="36"/>
      <c r="Z1021" s="36"/>
      <c r="AA1021" s="36"/>
    </row>
    <row r="1022" spans="16:27" x14ac:dyDescent="0.2">
      <c r="P1022" s="36"/>
      <c r="Q1022" s="40"/>
      <c r="R1022" s="40"/>
      <c r="S1022" s="40"/>
      <c r="T1022" s="41"/>
      <c r="U1022" s="41"/>
      <c r="V1022" s="41"/>
      <c r="W1022" s="36"/>
      <c r="X1022" s="36"/>
      <c r="Y1022" s="36"/>
      <c r="Z1022" s="36"/>
      <c r="AA1022" s="36"/>
    </row>
    <row r="1023" spans="16:27" x14ac:dyDescent="0.2">
      <c r="P1023" s="36"/>
      <c r="Q1023" s="40"/>
      <c r="R1023" s="40"/>
      <c r="S1023" s="40"/>
      <c r="T1023" s="41"/>
      <c r="U1023" s="41"/>
      <c r="V1023" s="41"/>
      <c r="W1023" s="36"/>
      <c r="X1023" s="36"/>
      <c r="Y1023" s="36"/>
      <c r="Z1023" s="36"/>
      <c r="AA1023" s="36"/>
    </row>
    <row r="1024" spans="16:27" x14ac:dyDescent="0.2">
      <c r="P1024" s="36"/>
      <c r="Q1024" s="40"/>
      <c r="R1024" s="40"/>
      <c r="S1024" s="40"/>
      <c r="T1024" s="41"/>
      <c r="U1024" s="41"/>
      <c r="V1024" s="41"/>
      <c r="W1024" s="36"/>
      <c r="X1024" s="36"/>
      <c r="Y1024" s="36"/>
      <c r="Z1024" s="36"/>
      <c r="AA1024" s="36"/>
    </row>
    <row r="1025" spans="16:27" x14ac:dyDescent="0.2">
      <c r="P1025" s="36"/>
      <c r="Q1025" s="40"/>
      <c r="R1025" s="40"/>
      <c r="S1025" s="40"/>
      <c r="T1025" s="41"/>
      <c r="U1025" s="41"/>
      <c r="V1025" s="41"/>
      <c r="W1025" s="36"/>
      <c r="X1025" s="36"/>
      <c r="Y1025" s="36"/>
      <c r="Z1025" s="36"/>
      <c r="AA1025" s="36"/>
    </row>
    <row r="1026" spans="16:27" x14ac:dyDescent="0.2">
      <c r="P1026" s="36"/>
      <c r="Q1026" s="40"/>
      <c r="R1026" s="40"/>
      <c r="S1026" s="40"/>
      <c r="T1026" s="41"/>
      <c r="U1026" s="41"/>
      <c r="V1026" s="41"/>
      <c r="W1026" s="36"/>
      <c r="X1026" s="36"/>
      <c r="Y1026" s="36"/>
      <c r="Z1026" s="36"/>
      <c r="AA1026" s="36"/>
    </row>
    <row r="1027" spans="16:27" x14ac:dyDescent="0.2">
      <c r="P1027" s="36"/>
      <c r="Q1027" s="40"/>
      <c r="R1027" s="40"/>
      <c r="S1027" s="40"/>
      <c r="T1027" s="41"/>
      <c r="U1027" s="41"/>
      <c r="V1027" s="41"/>
      <c r="W1027" s="36"/>
      <c r="X1027" s="36"/>
      <c r="Y1027" s="36"/>
      <c r="Z1027" s="36"/>
      <c r="AA1027" s="36"/>
    </row>
    <row r="1028" spans="16:27" x14ac:dyDescent="0.2">
      <c r="P1028" s="36"/>
      <c r="Q1028" s="40"/>
      <c r="R1028" s="40"/>
      <c r="S1028" s="40"/>
      <c r="T1028" s="41"/>
      <c r="U1028" s="41"/>
      <c r="V1028" s="41"/>
      <c r="W1028" s="36"/>
      <c r="X1028" s="36"/>
      <c r="Y1028" s="36"/>
      <c r="Z1028" s="36"/>
      <c r="AA1028" s="36"/>
    </row>
    <row r="1029" spans="16:27" x14ac:dyDescent="0.2">
      <c r="P1029" s="36"/>
      <c r="Q1029" s="40"/>
      <c r="R1029" s="40"/>
      <c r="S1029" s="40"/>
      <c r="T1029" s="41"/>
      <c r="U1029" s="41"/>
      <c r="V1029" s="41"/>
      <c r="W1029" s="36"/>
      <c r="X1029" s="36"/>
      <c r="Y1029" s="36"/>
      <c r="Z1029" s="36"/>
      <c r="AA1029" s="36"/>
    </row>
    <row r="1030" spans="16:27" x14ac:dyDescent="0.2">
      <c r="P1030" s="36"/>
      <c r="Q1030" s="40"/>
      <c r="R1030" s="40"/>
      <c r="S1030" s="40"/>
      <c r="T1030" s="41"/>
      <c r="U1030" s="41"/>
      <c r="V1030" s="41"/>
      <c r="W1030" s="36"/>
      <c r="X1030" s="36"/>
      <c r="Y1030" s="36"/>
      <c r="Z1030" s="36"/>
      <c r="AA1030" s="36"/>
    </row>
    <row r="1031" spans="16:27" x14ac:dyDescent="0.2">
      <c r="P1031" s="36"/>
      <c r="Q1031" s="40"/>
      <c r="R1031" s="40"/>
      <c r="S1031" s="40"/>
      <c r="T1031" s="41"/>
      <c r="U1031" s="41"/>
      <c r="V1031" s="41"/>
      <c r="W1031" s="36"/>
      <c r="X1031" s="36"/>
      <c r="Y1031" s="36"/>
      <c r="Z1031" s="36"/>
      <c r="AA1031" s="36"/>
    </row>
    <row r="1032" spans="16:27" x14ac:dyDescent="0.2">
      <c r="P1032" s="36"/>
      <c r="Q1032" s="40"/>
      <c r="R1032" s="40"/>
      <c r="S1032" s="40"/>
      <c r="T1032" s="41"/>
      <c r="U1032" s="41"/>
      <c r="V1032" s="41"/>
      <c r="W1032" s="36"/>
      <c r="X1032" s="36"/>
      <c r="Y1032" s="36"/>
      <c r="Z1032" s="36"/>
      <c r="AA1032" s="36"/>
    </row>
    <row r="1033" spans="16:27" x14ac:dyDescent="0.2">
      <c r="P1033" s="36"/>
      <c r="Q1033" s="40"/>
      <c r="R1033" s="40"/>
      <c r="S1033" s="40"/>
      <c r="T1033" s="41"/>
      <c r="U1033" s="41"/>
      <c r="V1033" s="41"/>
      <c r="W1033" s="36"/>
      <c r="X1033" s="36"/>
      <c r="Y1033" s="36"/>
      <c r="Z1033" s="36"/>
      <c r="AA1033" s="36"/>
    </row>
    <row r="1034" spans="16:27" x14ac:dyDescent="0.2">
      <c r="P1034" s="36"/>
      <c r="Q1034" s="40"/>
      <c r="R1034" s="40"/>
      <c r="S1034" s="40"/>
      <c r="T1034" s="41"/>
      <c r="U1034" s="41"/>
      <c r="V1034" s="41"/>
      <c r="W1034" s="36"/>
      <c r="X1034" s="36"/>
      <c r="Y1034" s="36"/>
      <c r="Z1034" s="36"/>
      <c r="AA1034" s="36"/>
    </row>
    <row r="1035" spans="16:27" x14ac:dyDescent="0.2">
      <c r="P1035" s="36"/>
      <c r="Q1035" s="40"/>
      <c r="R1035" s="40"/>
      <c r="S1035" s="40"/>
      <c r="T1035" s="41"/>
      <c r="U1035" s="41"/>
      <c r="V1035" s="41"/>
      <c r="W1035" s="36"/>
      <c r="X1035" s="36"/>
      <c r="Y1035" s="36"/>
      <c r="Z1035" s="36"/>
      <c r="AA1035" s="36"/>
    </row>
    <row r="1036" spans="16:27" x14ac:dyDescent="0.2">
      <c r="P1036" s="36"/>
      <c r="Q1036" s="40"/>
      <c r="R1036" s="40"/>
      <c r="S1036" s="40"/>
      <c r="T1036" s="41"/>
      <c r="U1036" s="41"/>
      <c r="V1036" s="41"/>
      <c r="W1036" s="36"/>
      <c r="X1036" s="36"/>
      <c r="Y1036" s="36"/>
      <c r="Z1036" s="36"/>
      <c r="AA1036" s="36"/>
    </row>
    <row r="1037" spans="16:27" x14ac:dyDescent="0.2">
      <c r="P1037" s="36"/>
      <c r="Q1037" s="40"/>
      <c r="R1037" s="40"/>
      <c r="S1037" s="40"/>
      <c r="T1037" s="41"/>
      <c r="U1037" s="41"/>
      <c r="V1037" s="41"/>
      <c r="W1037" s="36"/>
      <c r="X1037" s="36"/>
      <c r="Y1037" s="36"/>
      <c r="Z1037" s="36"/>
      <c r="AA1037" s="36"/>
    </row>
    <row r="1038" spans="16:27" x14ac:dyDescent="0.2">
      <c r="P1038" s="36"/>
      <c r="Q1038" s="40"/>
      <c r="R1038" s="40"/>
      <c r="S1038" s="40"/>
      <c r="T1038" s="41"/>
      <c r="U1038" s="41"/>
      <c r="V1038" s="41"/>
      <c r="W1038" s="36"/>
      <c r="X1038" s="36"/>
      <c r="Y1038" s="36"/>
      <c r="Z1038" s="36"/>
      <c r="AA1038" s="36"/>
    </row>
    <row r="1039" spans="16:27" x14ac:dyDescent="0.2">
      <c r="P1039" s="36"/>
      <c r="Q1039" s="40"/>
      <c r="R1039" s="40"/>
      <c r="S1039" s="40"/>
      <c r="T1039" s="41"/>
      <c r="U1039" s="41"/>
      <c r="V1039" s="41"/>
      <c r="W1039" s="36"/>
      <c r="X1039" s="36"/>
      <c r="Y1039" s="36"/>
      <c r="Z1039" s="36"/>
      <c r="AA1039" s="36"/>
    </row>
    <row r="1040" spans="16:27" x14ac:dyDescent="0.2">
      <c r="P1040" s="36"/>
      <c r="Q1040" s="40"/>
      <c r="R1040" s="40"/>
      <c r="S1040" s="40"/>
      <c r="T1040" s="41"/>
      <c r="U1040" s="41"/>
      <c r="V1040" s="41"/>
      <c r="W1040" s="36"/>
      <c r="X1040" s="36"/>
      <c r="Y1040" s="36"/>
      <c r="Z1040" s="36"/>
      <c r="AA1040" s="36"/>
    </row>
    <row r="1041" spans="16:27" x14ac:dyDescent="0.2">
      <c r="P1041" s="36"/>
      <c r="Q1041" s="40"/>
      <c r="R1041" s="40"/>
      <c r="S1041" s="40"/>
      <c r="T1041" s="41"/>
      <c r="U1041" s="41"/>
      <c r="V1041" s="41"/>
      <c r="W1041" s="36"/>
      <c r="X1041" s="36"/>
      <c r="Y1041" s="36"/>
      <c r="Z1041" s="36"/>
      <c r="AA1041" s="36"/>
    </row>
    <row r="1042" spans="16:27" x14ac:dyDescent="0.2">
      <c r="P1042" s="36"/>
      <c r="Q1042" s="40"/>
      <c r="R1042" s="40"/>
      <c r="S1042" s="40"/>
      <c r="T1042" s="41"/>
      <c r="U1042" s="41"/>
      <c r="V1042" s="41"/>
      <c r="W1042" s="36"/>
      <c r="X1042" s="36"/>
      <c r="Y1042" s="36"/>
      <c r="Z1042" s="36"/>
      <c r="AA1042" s="36"/>
    </row>
    <row r="1043" spans="16:27" x14ac:dyDescent="0.2">
      <c r="P1043" s="36"/>
      <c r="Q1043" s="40"/>
      <c r="R1043" s="40"/>
      <c r="S1043" s="40"/>
      <c r="T1043" s="41"/>
      <c r="U1043" s="41"/>
      <c r="V1043" s="41"/>
      <c r="W1043" s="36"/>
      <c r="X1043" s="36"/>
      <c r="Y1043" s="36"/>
      <c r="Z1043" s="36"/>
      <c r="AA1043" s="36"/>
    </row>
    <row r="1044" spans="16:27" x14ac:dyDescent="0.2">
      <c r="P1044" s="36"/>
      <c r="Q1044" s="40"/>
      <c r="R1044" s="40"/>
      <c r="S1044" s="40"/>
      <c r="T1044" s="41"/>
      <c r="U1044" s="41"/>
      <c r="V1044" s="41"/>
      <c r="W1044" s="36"/>
      <c r="X1044" s="36"/>
      <c r="Y1044" s="36"/>
      <c r="Z1044" s="36"/>
      <c r="AA1044" s="36"/>
    </row>
    <row r="1045" spans="16:27" x14ac:dyDescent="0.2">
      <c r="P1045" s="36"/>
      <c r="Q1045" s="40"/>
      <c r="R1045" s="40"/>
      <c r="S1045" s="40"/>
      <c r="T1045" s="41"/>
      <c r="U1045" s="41"/>
      <c r="V1045" s="41"/>
      <c r="W1045" s="36"/>
      <c r="X1045" s="36"/>
      <c r="Y1045" s="36"/>
      <c r="Z1045" s="36"/>
      <c r="AA1045" s="36"/>
    </row>
    <row r="1046" spans="16:27" x14ac:dyDescent="0.2">
      <c r="P1046" s="36"/>
      <c r="Q1046" s="40"/>
      <c r="R1046" s="40"/>
      <c r="S1046" s="40"/>
      <c r="T1046" s="41"/>
      <c r="U1046" s="41"/>
      <c r="V1046" s="41"/>
      <c r="W1046" s="36"/>
      <c r="X1046" s="36"/>
      <c r="Y1046" s="36"/>
      <c r="Z1046" s="36"/>
      <c r="AA1046" s="36"/>
    </row>
    <row r="1047" spans="16:27" x14ac:dyDescent="0.2">
      <c r="P1047" s="36"/>
      <c r="Q1047" s="40"/>
      <c r="R1047" s="40"/>
      <c r="S1047" s="40"/>
      <c r="T1047" s="41"/>
      <c r="U1047" s="41"/>
      <c r="V1047" s="41"/>
      <c r="W1047" s="36"/>
      <c r="X1047" s="36"/>
      <c r="Y1047" s="36"/>
      <c r="Z1047" s="36"/>
      <c r="AA1047" s="36"/>
    </row>
    <row r="1048" spans="16:27" x14ac:dyDescent="0.2">
      <c r="P1048" s="36"/>
      <c r="Q1048" s="40"/>
      <c r="R1048" s="40"/>
      <c r="S1048" s="40"/>
      <c r="T1048" s="41"/>
      <c r="U1048" s="41"/>
      <c r="V1048" s="41"/>
      <c r="W1048" s="36"/>
      <c r="X1048" s="36"/>
      <c r="Y1048" s="36"/>
      <c r="Z1048" s="36"/>
      <c r="AA1048" s="36"/>
    </row>
    <row r="1049" spans="16:27" x14ac:dyDescent="0.2">
      <c r="P1049" s="36"/>
      <c r="Q1049" s="40"/>
      <c r="R1049" s="40"/>
      <c r="S1049" s="40"/>
      <c r="T1049" s="41"/>
      <c r="U1049" s="41"/>
      <c r="V1049" s="41"/>
      <c r="W1049" s="36"/>
      <c r="X1049" s="36"/>
      <c r="Y1049" s="36"/>
      <c r="Z1049" s="36"/>
      <c r="AA1049" s="36"/>
    </row>
    <row r="1050" spans="16:27" x14ac:dyDescent="0.2">
      <c r="P1050" s="36"/>
      <c r="Q1050" s="40"/>
      <c r="R1050" s="40"/>
      <c r="S1050" s="40"/>
      <c r="T1050" s="41"/>
      <c r="U1050" s="41"/>
      <c r="V1050" s="41"/>
      <c r="W1050" s="36"/>
      <c r="X1050" s="36"/>
      <c r="Y1050" s="36"/>
      <c r="Z1050" s="36"/>
      <c r="AA1050" s="36"/>
    </row>
    <row r="1051" spans="16:27" x14ac:dyDescent="0.2">
      <c r="P1051" s="36"/>
      <c r="Q1051" s="40"/>
      <c r="R1051" s="40"/>
      <c r="S1051" s="40"/>
      <c r="T1051" s="41"/>
      <c r="U1051" s="41"/>
      <c r="V1051" s="41"/>
      <c r="W1051" s="36"/>
      <c r="X1051" s="36"/>
      <c r="Y1051" s="36"/>
      <c r="Z1051" s="36"/>
      <c r="AA1051" s="36"/>
    </row>
    <row r="1052" spans="16:27" x14ac:dyDescent="0.2">
      <c r="P1052" s="36"/>
      <c r="Q1052" s="40"/>
      <c r="R1052" s="40"/>
      <c r="S1052" s="40"/>
      <c r="T1052" s="41"/>
      <c r="U1052" s="41"/>
      <c r="V1052" s="41"/>
      <c r="W1052" s="36"/>
      <c r="X1052" s="36"/>
      <c r="Y1052" s="36"/>
      <c r="Z1052" s="36"/>
      <c r="AA1052" s="36"/>
    </row>
    <row r="1053" spans="16:27" x14ac:dyDescent="0.2">
      <c r="P1053" s="36"/>
      <c r="Q1053" s="40"/>
      <c r="R1053" s="40"/>
      <c r="S1053" s="40"/>
      <c r="T1053" s="41"/>
      <c r="U1053" s="41"/>
      <c r="V1053" s="41"/>
      <c r="W1053" s="36"/>
      <c r="X1053" s="36"/>
      <c r="Y1053" s="36"/>
      <c r="Z1053" s="36"/>
      <c r="AA1053" s="36"/>
    </row>
    <row r="1054" spans="16:27" x14ac:dyDescent="0.2">
      <c r="P1054" s="36"/>
      <c r="Q1054" s="40"/>
      <c r="R1054" s="40"/>
      <c r="S1054" s="40"/>
      <c r="T1054" s="41"/>
      <c r="U1054" s="41"/>
      <c r="V1054" s="41"/>
      <c r="W1054" s="36"/>
      <c r="X1054" s="36"/>
      <c r="Y1054" s="36"/>
      <c r="Z1054" s="36"/>
      <c r="AA1054" s="36"/>
    </row>
    <row r="1055" spans="16:27" x14ac:dyDescent="0.2">
      <c r="P1055" s="36"/>
      <c r="Q1055" s="40"/>
      <c r="R1055" s="40"/>
      <c r="S1055" s="40"/>
      <c r="T1055" s="41"/>
      <c r="U1055" s="41"/>
      <c r="V1055" s="41"/>
      <c r="W1055" s="36"/>
      <c r="X1055" s="36"/>
      <c r="Y1055" s="36"/>
      <c r="Z1055" s="36"/>
      <c r="AA1055" s="36"/>
    </row>
    <row r="1056" spans="16:27" x14ac:dyDescent="0.2">
      <c r="P1056" s="36"/>
      <c r="Q1056" s="40"/>
      <c r="R1056" s="40"/>
      <c r="S1056" s="40"/>
      <c r="T1056" s="41"/>
      <c r="U1056" s="41"/>
      <c r="V1056" s="41"/>
      <c r="W1056" s="36"/>
      <c r="X1056" s="36"/>
      <c r="Y1056" s="36"/>
      <c r="Z1056" s="36"/>
      <c r="AA1056" s="36"/>
    </row>
    <row r="1057" spans="16:27" x14ac:dyDescent="0.2">
      <c r="P1057" s="36"/>
      <c r="Q1057" s="40"/>
      <c r="R1057" s="40"/>
      <c r="S1057" s="40"/>
      <c r="T1057" s="41"/>
      <c r="U1057" s="41"/>
      <c r="V1057" s="41"/>
      <c r="W1057" s="36"/>
      <c r="X1057" s="36"/>
      <c r="Y1057" s="36"/>
      <c r="Z1057" s="36"/>
      <c r="AA1057" s="36"/>
    </row>
    <row r="1058" spans="16:27" x14ac:dyDescent="0.2">
      <c r="P1058" s="36"/>
      <c r="Q1058" s="40"/>
      <c r="R1058" s="40"/>
      <c r="S1058" s="40"/>
      <c r="T1058" s="41"/>
      <c r="U1058" s="41"/>
      <c r="V1058" s="41"/>
      <c r="W1058" s="36"/>
      <c r="X1058" s="36"/>
      <c r="Y1058" s="36"/>
      <c r="Z1058" s="36"/>
      <c r="AA1058" s="36"/>
    </row>
    <row r="1059" spans="16:27" x14ac:dyDescent="0.2">
      <c r="P1059" s="36"/>
      <c r="Q1059" s="40"/>
      <c r="R1059" s="40"/>
      <c r="S1059" s="40"/>
      <c r="T1059" s="41"/>
      <c r="U1059" s="41"/>
      <c r="V1059" s="41"/>
      <c r="W1059" s="36"/>
      <c r="X1059" s="36"/>
      <c r="Y1059" s="36"/>
      <c r="Z1059" s="36"/>
      <c r="AA1059" s="36"/>
    </row>
    <row r="1060" spans="16:27" x14ac:dyDescent="0.2">
      <c r="P1060" s="36"/>
      <c r="Q1060" s="40"/>
      <c r="R1060" s="40"/>
      <c r="S1060" s="40"/>
      <c r="T1060" s="41"/>
      <c r="U1060" s="41"/>
      <c r="V1060" s="41"/>
      <c r="W1060" s="36"/>
      <c r="X1060" s="36"/>
      <c r="Y1060" s="36"/>
      <c r="Z1060" s="36"/>
      <c r="AA1060" s="36"/>
    </row>
    <row r="1061" spans="16:27" x14ac:dyDescent="0.2">
      <c r="P1061" s="36"/>
      <c r="Q1061" s="40"/>
      <c r="R1061" s="40"/>
      <c r="S1061" s="40"/>
      <c r="T1061" s="41"/>
      <c r="U1061" s="41"/>
      <c r="V1061" s="41"/>
      <c r="W1061" s="36"/>
      <c r="X1061" s="36"/>
      <c r="Y1061" s="36"/>
      <c r="Z1061" s="36"/>
      <c r="AA1061" s="36"/>
    </row>
    <row r="1062" spans="16:27" x14ac:dyDescent="0.2">
      <c r="P1062" s="36"/>
      <c r="Q1062" s="40"/>
      <c r="R1062" s="40"/>
      <c r="S1062" s="40"/>
      <c r="T1062" s="41"/>
      <c r="U1062" s="41"/>
      <c r="V1062" s="41"/>
      <c r="W1062" s="36"/>
      <c r="X1062" s="36"/>
      <c r="Y1062" s="36"/>
      <c r="Z1062" s="36"/>
      <c r="AA1062" s="36"/>
    </row>
    <row r="1063" spans="16:27" x14ac:dyDescent="0.2">
      <c r="P1063" s="36"/>
      <c r="Q1063" s="40"/>
      <c r="R1063" s="40"/>
      <c r="S1063" s="40"/>
      <c r="T1063" s="41"/>
      <c r="U1063" s="41"/>
      <c r="V1063" s="41"/>
      <c r="W1063" s="36"/>
      <c r="X1063" s="36"/>
      <c r="Y1063" s="36"/>
      <c r="Z1063" s="36"/>
      <c r="AA1063" s="36"/>
    </row>
    <row r="1064" spans="16:27" x14ac:dyDescent="0.2">
      <c r="P1064" s="36"/>
      <c r="Q1064" s="40"/>
      <c r="R1064" s="40"/>
      <c r="S1064" s="40"/>
      <c r="T1064" s="41"/>
      <c r="U1064" s="41"/>
      <c r="V1064" s="41"/>
      <c r="W1064" s="36"/>
      <c r="X1064" s="36"/>
      <c r="Y1064" s="36"/>
      <c r="Z1064" s="36"/>
      <c r="AA1064" s="36"/>
    </row>
    <row r="1065" spans="16:27" x14ac:dyDescent="0.2">
      <c r="P1065" s="36"/>
      <c r="Q1065" s="40"/>
      <c r="R1065" s="40"/>
      <c r="S1065" s="40"/>
      <c r="T1065" s="41"/>
      <c r="U1065" s="41"/>
      <c r="V1065" s="41"/>
      <c r="W1065" s="36"/>
      <c r="X1065" s="36"/>
      <c r="Y1065" s="36"/>
      <c r="Z1065" s="36"/>
      <c r="AA1065" s="36"/>
    </row>
    <row r="1066" spans="16:27" x14ac:dyDescent="0.2">
      <c r="P1066" s="36"/>
      <c r="Q1066" s="40"/>
      <c r="R1066" s="40"/>
      <c r="S1066" s="40"/>
      <c r="T1066" s="41"/>
      <c r="U1066" s="41"/>
      <c r="V1066" s="41"/>
      <c r="W1066" s="36"/>
      <c r="X1066" s="36"/>
      <c r="Y1066" s="36"/>
      <c r="Z1066" s="36"/>
      <c r="AA1066" s="36"/>
    </row>
    <row r="1067" spans="16:27" x14ac:dyDescent="0.2">
      <c r="P1067" s="36"/>
      <c r="Q1067" s="40"/>
      <c r="R1067" s="40"/>
      <c r="S1067" s="40"/>
      <c r="T1067" s="41"/>
      <c r="U1067" s="41"/>
      <c r="V1067" s="41"/>
      <c r="W1067" s="36"/>
      <c r="X1067" s="36"/>
      <c r="Y1067" s="36"/>
      <c r="Z1067" s="36"/>
      <c r="AA1067" s="36"/>
    </row>
    <row r="1068" spans="16:27" x14ac:dyDescent="0.2">
      <c r="P1068" s="36"/>
      <c r="Q1068" s="40"/>
      <c r="R1068" s="40"/>
      <c r="S1068" s="40"/>
      <c r="T1068" s="41"/>
      <c r="U1068" s="41"/>
      <c r="V1068" s="41"/>
      <c r="W1068" s="36"/>
      <c r="X1068" s="36"/>
      <c r="Y1068" s="36"/>
      <c r="Z1068" s="36"/>
      <c r="AA1068" s="36"/>
    </row>
    <row r="1069" spans="16:27" x14ac:dyDescent="0.2">
      <c r="P1069" s="36"/>
      <c r="Q1069" s="40"/>
      <c r="R1069" s="40"/>
      <c r="S1069" s="40"/>
      <c r="T1069" s="41"/>
      <c r="U1069" s="41"/>
      <c r="V1069" s="41"/>
      <c r="W1069" s="36"/>
      <c r="X1069" s="36"/>
      <c r="Y1069" s="36"/>
      <c r="Z1069" s="36"/>
      <c r="AA1069" s="36"/>
    </row>
    <row r="1070" spans="16:27" x14ac:dyDescent="0.2">
      <c r="P1070" s="36"/>
      <c r="Q1070" s="40"/>
      <c r="R1070" s="40"/>
      <c r="S1070" s="40"/>
      <c r="T1070" s="41"/>
      <c r="U1070" s="41"/>
      <c r="V1070" s="41"/>
      <c r="W1070" s="36"/>
      <c r="X1070" s="36"/>
      <c r="Y1070" s="36"/>
      <c r="Z1070" s="36"/>
      <c r="AA1070" s="36"/>
    </row>
    <row r="1071" spans="16:27" x14ac:dyDescent="0.2">
      <c r="P1071" s="36"/>
      <c r="Q1071" s="40"/>
      <c r="R1071" s="40"/>
      <c r="S1071" s="40"/>
      <c r="T1071" s="41"/>
      <c r="U1071" s="41"/>
      <c r="V1071" s="41"/>
      <c r="W1071" s="36"/>
      <c r="X1071" s="36"/>
      <c r="Y1071" s="36"/>
      <c r="Z1071" s="36"/>
      <c r="AA1071" s="36"/>
    </row>
    <row r="1072" spans="16:27" x14ac:dyDescent="0.2">
      <c r="P1072" s="36"/>
      <c r="Q1072" s="40"/>
      <c r="R1072" s="40"/>
      <c r="S1072" s="40"/>
      <c r="T1072" s="41"/>
      <c r="U1072" s="41"/>
      <c r="V1072" s="41"/>
      <c r="W1072" s="36"/>
      <c r="X1072" s="36"/>
      <c r="Y1072" s="36"/>
      <c r="Z1072" s="36"/>
      <c r="AA1072" s="36"/>
    </row>
    <row r="1073" spans="16:27" x14ac:dyDescent="0.2">
      <c r="P1073" s="36"/>
      <c r="Q1073" s="40"/>
      <c r="R1073" s="40"/>
      <c r="S1073" s="40"/>
      <c r="T1073" s="41"/>
      <c r="U1073" s="41"/>
      <c r="V1073" s="41"/>
      <c r="W1073" s="36"/>
      <c r="X1073" s="36"/>
      <c r="Y1073" s="36"/>
      <c r="Z1073" s="36"/>
      <c r="AA1073" s="36"/>
    </row>
    <row r="1074" spans="16:27" x14ac:dyDescent="0.2">
      <c r="P1074" s="36"/>
      <c r="Q1074" s="40"/>
      <c r="R1074" s="40"/>
      <c r="S1074" s="40"/>
      <c r="T1074" s="41"/>
      <c r="U1074" s="41"/>
      <c r="V1074" s="41"/>
      <c r="W1074" s="36"/>
      <c r="X1074" s="36"/>
      <c r="Y1074" s="36"/>
      <c r="Z1074" s="36"/>
      <c r="AA1074" s="36"/>
    </row>
    <row r="1075" spans="16:27" x14ac:dyDescent="0.2">
      <c r="P1075" s="36"/>
      <c r="Q1075" s="40"/>
      <c r="R1075" s="40"/>
      <c r="S1075" s="40"/>
      <c r="T1075" s="41"/>
      <c r="U1075" s="41"/>
      <c r="V1075" s="41"/>
      <c r="W1075" s="36"/>
      <c r="X1075" s="36"/>
      <c r="Y1075" s="36"/>
      <c r="Z1075" s="36"/>
      <c r="AA1075" s="36"/>
    </row>
    <row r="1076" spans="16:27" x14ac:dyDescent="0.2">
      <c r="P1076" s="36"/>
      <c r="Q1076" s="40"/>
      <c r="R1076" s="40"/>
      <c r="S1076" s="40"/>
      <c r="T1076" s="41"/>
      <c r="U1076" s="41"/>
      <c r="V1076" s="41"/>
      <c r="W1076" s="36"/>
      <c r="X1076" s="36"/>
      <c r="Y1076" s="36"/>
      <c r="Z1076" s="36"/>
      <c r="AA1076" s="36"/>
    </row>
    <row r="1077" spans="16:27" x14ac:dyDescent="0.2">
      <c r="P1077" s="36"/>
      <c r="Q1077" s="40"/>
      <c r="R1077" s="40"/>
      <c r="S1077" s="40"/>
      <c r="T1077" s="41"/>
      <c r="U1077" s="41"/>
      <c r="V1077" s="41"/>
      <c r="W1077" s="36"/>
      <c r="X1077" s="36"/>
      <c r="Y1077" s="36"/>
      <c r="Z1077" s="36"/>
      <c r="AA1077" s="36"/>
    </row>
    <row r="1078" spans="16:27" x14ac:dyDescent="0.2">
      <c r="P1078" s="36"/>
      <c r="Q1078" s="40"/>
      <c r="R1078" s="40"/>
      <c r="S1078" s="40"/>
      <c r="T1078" s="41"/>
      <c r="U1078" s="41"/>
      <c r="V1078" s="41"/>
      <c r="W1078" s="36"/>
      <c r="X1078" s="36"/>
      <c r="Y1078" s="36"/>
      <c r="Z1078" s="36"/>
      <c r="AA1078" s="36"/>
    </row>
    <row r="1079" spans="16:27" x14ac:dyDescent="0.2">
      <c r="P1079" s="36"/>
      <c r="Q1079" s="40"/>
      <c r="R1079" s="40"/>
      <c r="S1079" s="40"/>
      <c r="T1079" s="41"/>
      <c r="U1079" s="41"/>
      <c r="V1079" s="41"/>
      <c r="W1079" s="36"/>
      <c r="X1079" s="36"/>
      <c r="Y1079" s="36"/>
      <c r="Z1079" s="36"/>
      <c r="AA1079" s="36"/>
    </row>
    <row r="1080" spans="16:27" x14ac:dyDescent="0.2">
      <c r="P1080" s="36"/>
      <c r="Q1080" s="40"/>
      <c r="R1080" s="40"/>
      <c r="S1080" s="40"/>
      <c r="T1080" s="41"/>
      <c r="U1080" s="41"/>
      <c r="V1080" s="41"/>
      <c r="W1080" s="36"/>
      <c r="X1080" s="36"/>
      <c r="Y1080" s="36"/>
      <c r="Z1080" s="36"/>
      <c r="AA1080" s="36"/>
    </row>
    <row r="1081" spans="16:27" x14ac:dyDescent="0.2">
      <c r="P1081" s="36"/>
      <c r="Q1081" s="40"/>
      <c r="R1081" s="40"/>
      <c r="S1081" s="40"/>
      <c r="T1081" s="41"/>
      <c r="U1081" s="41"/>
      <c r="V1081" s="41"/>
      <c r="W1081" s="36"/>
      <c r="X1081" s="36"/>
      <c r="Y1081" s="36"/>
      <c r="Z1081" s="36"/>
      <c r="AA1081" s="36"/>
    </row>
    <row r="1082" spans="16:27" x14ac:dyDescent="0.2">
      <c r="P1082" s="36"/>
      <c r="Q1082" s="40"/>
      <c r="R1082" s="40"/>
      <c r="S1082" s="40"/>
      <c r="T1082" s="41"/>
      <c r="U1082" s="41"/>
      <c r="V1082" s="41"/>
      <c r="W1082" s="36"/>
      <c r="X1082" s="36"/>
      <c r="Y1082" s="36"/>
      <c r="Z1082" s="36"/>
      <c r="AA1082" s="36"/>
    </row>
    <row r="1083" spans="16:27" x14ac:dyDescent="0.2">
      <c r="P1083" s="36"/>
      <c r="Q1083" s="40"/>
      <c r="R1083" s="40"/>
      <c r="S1083" s="40"/>
      <c r="T1083" s="41"/>
      <c r="U1083" s="41"/>
      <c r="V1083" s="41"/>
      <c r="W1083" s="36"/>
      <c r="X1083" s="36"/>
      <c r="Y1083" s="36"/>
      <c r="Z1083" s="36"/>
      <c r="AA1083" s="36"/>
    </row>
    <row r="1084" spans="16:27" x14ac:dyDescent="0.2">
      <c r="P1084" s="36"/>
      <c r="Q1084" s="40"/>
      <c r="R1084" s="40"/>
      <c r="S1084" s="40"/>
      <c r="T1084" s="41"/>
      <c r="U1084" s="41"/>
      <c r="V1084" s="41"/>
      <c r="W1084" s="36"/>
      <c r="X1084" s="36"/>
      <c r="Y1084" s="36"/>
      <c r="Z1084" s="36"/>
      <c r="AA1084" s="36"/>
    </row>
    <row r="1085" spans="16:27" x14ac:dyDescent="0.2">
      <c r="P1085" s="36"/>
      <c r="Q1085" s="40"/>
      <c r="R1085" s="40"/>
      <c r="S1085" s="40"/>
      <c r="T1085" s="41"/>
      <c r="U1085" s="41"/>
      <c r="V1085" s="41"/>
      <c r="W1085" s="36"/>
      <c r="X1085" s="36"/>
      <c r="Y1085" s="36"/>
      <c r="Z1085" s="36"/>
      <c r="AA1085" s="36"/>
    </row>
    <row r="1086" spans="16:27" x14ac:dyDescent="0.2">
      <c r="P1086" s="36"/>
      <c r="Q1086" s="40"/>
      <c r="R1086" s="40"/>
      <c r="S1086" s="40"/>
      <c r="T1086" s="41"/>
      <c r="U1086" s="41"/>
      <c r="V1086" s="41"/>
      <c r="W1086" s="36"/>
      <c r="X1086" s="36"/>
      <c r="Y1086" s="36"/>
      <c r="Z1086" s="36"/>
      <c r="AA1086" s="36"/>
    </row>
    <row r="1087" spans="16:27" x14ac:dyDescent="0.2">
      <c r="P1087" s="36"/>
      <c r="Q1087" s="40"/>
      <c r="R1087" s="40"/>
      <c r="S1087" s="40"/>
      <c r="T1087" s="41"/>
      <c r="U1087" s="41"/>
      <c r="V1087" s="41"/>
      <c r="W1087" s="36"/>
      <c r="X1087" s="36"/>
      <c r="Y1087" s="36"/>
      <c r="Z1087" s="36"/>
      <c r="AA1087" s="36"/>
    </row>
    <row r="1088" spans="16:27" x14ac:dyDescent="0.2">
      <c r="P1088" s="36"/>
      <c r="Q1088" s="40"/>
      <c r="R1088" s="40"/>
      <c r="S1088" s="40"/>
      <c r="T1088" s="41"/>
      <c r="U1088" s="41"/>
      <c r="V1088" s="41"/>
      <c r="W1088" s="36"/>
      <c r="X1088" s="36"/>
      <c r="Y1088" s="36"/>
      <c r="Z1088" s="36"/>
      <c r="AA1088" s="36"/>
    </row>
    <row r="1089" spans="16:27" x14ac:dyDescent="0.2">
      <c r="P1089" s="36"/>
      <c r="Q1089" s="40"/>
      <c r="R1089" s="40"/>
      <c r="S1089" s="40"/>
      <c r="T1089" s="41"/>
      <c r="U1089" s="41"/>
      <c r="V1089" s="41"/>
      <c r="W1089" s="36"/>
      <c r="X1089" s="36"/>
      <c r="Y1089" s="36"/>
      <c r="Z1089" s="36"/>
      <c r="AA1089" s="36"/>
    </row>
    <row r="1090" spans="16:27" x14ac:dyDescent="0.2">
      <c r="P1090" s="36"/>
      <c r="Q1090" s="40"/>
      <c r="R1090" s="40"/>
      <c r="S1090" s="40"/>
      <c r="T1090" s="41"/>
      <c r="U1090" s="41"/>
      <c r="V1090" s="41"/>
      <c r="W1090" s="36"/>
      <c r="X1090" s="36"/>
      <c r="Y1090" s="36"/>
      <c r="Z1090" s="36"/>
      <c r="AA1090" s="36"/>
    </row>
    <row r="1091" spans="16:27" x14ac:dyDescent="0.2">
      <c r="P1091" s="36"/>
      <c r="Q1091" s="40"/>
      <c r="R1091" s="40"/>
      <c r="S1091" s="40"/>
      <c r="T1091" s="41"/>
      <c r="U1091" s="41"/>
      <c r="V1091" s="41"/>
      <c r="W1091" s="36"/>
      <c r="X1091" s="36"/>
      <c r="Y1091" s="36"/>
      <c r="Z1091" s="36"/>
      <c r="AA1091" s="36"/>
    </row>
    <row r="1092" spans="16:27" x14ac:dyDescent="0.2">
      <c r="P1092" s="36"/>
      <c r="Q1092" s="40"/>
      <c r="R1092" s="40"/>
      <c r="S1092" s="40"/>
      <c r="T1092" s="41"/>
      <c r="U1092" s="41"/>
      <c r="V1092" s="41"/>
      <c r="W1092" s="36"/>
      <c r="X1092" s="36"/>
      <c r="Y1092" s="36"/>
      <c r="Z1092" s="36"/>
      <c r="AA1092" s="36"/>
    </row>
    <row r="1093" spans="16:27" x14ac:dyDescent="0.2">
      <c r="P1093" s="36"/>
      <c r="Q1093" s="40"/>
      <c r="R1093" s="40"/>
      <c r="S1093" s="40"/>
      <c r="T1093" s="41"/>
      <c r="U1093" s="41"/>
      <c r="V1093" s="41"/>
      <c r="W1093" s="36"/>
      <c r="X1093" s="36"/>
      <c r="Y1093" s="36"/>
      <c r="Z1093" s="36"/>
      <c r="AA1093" s="36"/>
    </row>
    <row r="1094" spans="16:27" x14ac:dyDescent="0.2">
      <c r="P1094" s="36"/>
      <c r="Q1094" s="40"/>
      <c r="R1094" s="40"/>
      <c r="S1094" s="40"/>
      <c r="T1094" s="41"/>
      <c r="U1094" s="41"/>
      <c r="V1094" s="41"/>
      <c r="W1094" s="36"/>
      <c r="X1094" s="36"/>
      <c r="Y1094" s="36"/>
      <c r="Z1094" s="36"/>
      <c r="AA1094" s="36"/>
    </row>
    <row r="1095" spans="16:27" x14ac:dyDescent="0.2">
      <c r="P1095" s="36"/>
      <c r="Q1095" s="40"/>
      <c r="R1095" s="40"/>
      <c r="S1095" s="40"/>
      <c r="T1095" s="41"/>
      <c r="U1095" s="41"/>
      <c r="V1095" s="41"/>
      <c r="W1095" s="36"/>
      <c r="X1095" s="36"/>
      <c r="Y1095" s="36"/>
      <c r="Z1095" s="36"/>
      <c r="AA1095" s="36"/>
    </row>
    <row r="1096" spans="16:27" x14ac:dyDescent="0.2">
      <c r="P1096" s="36"/>
      <c r="Q1096" s="40"/>
      <c r="R1096" s="40"/>
      <c r="S1096" s="40"/>
      <c r="T1096" s="41"/>
      <c r="U1096" s="41"/>
      <c r="V1096" s="41"/>
      <c r="W1096" s="36"/>
      <c r="X1096" s="36"/>
      <c r="Y1096" s="36"/>
      <c r="Z1096" s="36"/>
      <c r="AA1096" s="36"/>
    </row>
    <row r="1097" spans="16:27" x14ac:dyDescent="0.2">
      <c r="P1097" s="36"/>
      <c r="Q1097" s="40"/>
      <c r="R1097" s="40"/>
      <c r="S1097" s="40"/>
      <c r="T1097" s="41"/>
      <c r="U1097" s="41"/>
      <c r="V1097" s="41"/>
      <c r="W1097" s="36"/>
      <c r="X1097" s="36"/>
      <c r="Y1097" s="36"/>
      <c r="Z1097" s="36"/>
      <c r="AA1097" s="36"/>
    </row>
    <row r="1098" spans="16:27" x14ac:dyDescent="0.2">
      <c r="P1098" s="36"/>
      <c r="Q1098" s="40"/>
      <c r="R1098" s="40"/>
      <c r="S1098" s="40"/>
      <c r="T1098" s="41"/>
      <c r="U1098" s="41"/>
      <c r="V1098" s="41"/>
      <c r="W1098" s="36"/>
      <c r="X1098" s="36"/>
      <c r="Y1098" s="36"/>
      <c r="Z1098" s="36"/>
      <c r="AA1098" s="36"/>
    </row>
    <row r="1099" spans="16:27" x14ac:dyDescent="0.2">
      <c r="P1099" s="36"/>
      <c r="Q1099" s="40"/>
      <c r="R1099" s="40"/>
      <c r="S1099" s="40"/>
      <c r="T1099" s="41"/>
      <c r="U1099" s="41"/>
      <c r="V1099" s="41"/>
      <c r="W1099" s="36"/>
      <c r="X1099" s="36"/>
      <c r="Y1099" s="36"/>
      <c r="Z1099" s="36"/>
      <c r="AA1099" s="36"/>
    </row>
    <row r="1100" spans="16:27" x14ac:dyDescent="0.2">
      <c r="P1100" s="36"/>
      <c r="Q1100" s="40"/>
      <c r="R1100" s="40"/>
      <c r="S1100" s="40"/>
      <c r="T1100" s="41"/>
      <c r="U1100" s="41"/>
      <c r="V1100" s="41"/>
      <c r="W1100" s="36"/>
      <c r="X1100" s="36"/>
      <c r="Y1100" s="36"/>
      <c r="Z1100" s="36"/>
      <c r="AA1100" s="36"/>
    </row>
    <row r="1101" spans="16:27" x14ac:dyDescent="0.2">
      <c r="P1101" s="36"/>
      <c r="Q1101" s="40"/>
      <c r="R1101" s="40"/>
      <c r="S1101" s="40"/>
      <c r="T1101" s="41"/>
      <c r="U1101" s="41"/>
      <c r="V1101" s="41"/>
      <c r="W1101" s="36"/>
      <c r="X1101" s="36"/>
      <c r="Y1101" s="36"/>
      <c r="Z1101" s="36"/>
      <c r="AA1101" s="36"/>
    </row>
    <row r="1102" spans="16:27" x14ac:dyDescent="0.2">
      <c r="P1102" s="36"/>
      <c r="Q1102" s="40"/>
      <c r="R1102" s="40"/>
      <c r="S1102" s="40"/>
      <c r="T1102" s="41"/>
      <c r="U1102" s="41"/>
      <c r="V1102" s="41"/>
      <c r="W1102" s="36"/>
      <c r="X1102" s="36"/>
      <c r="Y1102" s="36"/>
      <c r="Z1102" s="36"/>
      <c r="AA1102" s="36"/>
    </row>
    <row r="1103" spans="16:27" x14ac:dyDescent="0.2">
      <c r="P1103" s="36"/>
      <c r="Q1103" s="40"/>
      <c r="R1103" s="40"/>
      <c r="S1103" s="40"/>
      <c r="T1103" s="41"/>
      <c r="U1103" s="41"/>
      <c r="V1103" s="41"/>
      <c r="W1103" s="36"/>
      <c r="X1103" s="36"/>
      <c r="Y1103" s="36"/>
      <c r="Z1103" s="36"/>
      <c r="AA1103" s="36"/>
    </row>
    <row r="1104" spans="16:27" x14ac:dyDescent="0.2">
      <c r="P1104" s="36"/>
      <c r="Q1104" s="40"/>
      <c r="R1104" s="40"/>
      <c r="S1104" s="40"/>
      <c r="T1104" s="41"/>
      <c r="U1104" s="41"/>
      <c r="V1104" s="41"/>
      <c r="W1104" s="36"/>
      <c r="X1104" s="36"/>
      <c r="Y1104" s="36"/>
      <c r="Z1104" s="36"/>
      <c r="AA1104" s="36"/>
    </row>
    <row r="1105" spans="16:27" x14ac:dyDescent="0.2">
      <c r="P1105" s="36"/>
      <c r="Q1105" s="40"/>
      <c r="R1105" s="40"/>
      <c r="S1105" s="40"/>
      <c r="T1105" s="41"/>
      <c r="U1105" s="41"/>
      <c r="V1105" s="41"/>
      <c r="W1105" s="36"/>
      <c r="X1105" s="36"/>
      <c r="Y1105" s="36"/>
      <c r="Z1105" s="36"/>
      <c r="AA1105" s="36"/>
    </row>
    <row r="1106" spans="16:27" x14ac:dyDescent="0.2">
      <c r="P1106" s="36"/>
      <c r="Q1106" s="40"/>
      <c r="R1106" s="40"/>
      <c r="S1106" s="40"/>
      <c r="T1106" s="41"/>
      <c r="U1106" s="41"/>
      <c r="V1106" s="41"/>
      <c r="W1106" s="36"/>
      <c r="X1106" s="36"/>
      <c r="Y1106" s="36"/>
      <c r="Z1106" s="36"/>
      <c r="AA1106" s="36"/>
    </row>
    <row r="1107" spans="16:27" x14ac:dyDescent="0.2">
      <c r="P1107" s="36"/>
      <c r="Q1107" s="40"/>
      <c r="R1107" s="40"/>
      <c r="S1107" s="40"/>
      <c r="T1107" s="41"/>
      <c r="U1107" s="41"/>
      <c r="V1107" s="41"/>
      <c r="W1107" s="36"/>
      <c r="X1107" s="36"/>
      <c r="Y1107" s="36"/>
      <c r="Z1107" s="36"/>
      <c r="AA1107" s="36"/>
    </row>
    <row r="1108" spans="16:27" x14ac:dyDescent="0.2">
      <c r="P1108" s="36"/>
      <c r="Q1108" s="40"/>
      <c r="R1108" s="40"/>
      <c r="S1108" s="40"/>
      <c r="T1108" s="41"/>
      <c r="U1108" s="41"/>
      <c r="V1108" s="41"/>
      <c r="W1108" s="36"/>
      <c r="X1108" s="36"/>
      <c r="Y1108" s="36"/>
      <c r="Z1108" s="36"/>
      <c r="AA1108" s="36"/>
    </row>
    <row r="1109" spans="16:27" x14ac:dyDescent="0.2">
      <c r="P1109" s="36"/>
      <c r="Q1109" s="40"/>
      <c r="R1109" s="40"/>
      <c r="S1109" s="40"/>
      <c r="T1109" s="41"/>
      <c r="U1109" s="41"/>
      <c r="V1109" s="41"/>
      <c r="W1109" s="36"/>
      <c r="X1109" s="36"/>
      <c r="Y1109" s="36"/>
      <c r="Z1109" s="36"/>
      <c r="AA1109" s="36"/>
    </row>
    <row r="1110" spans="16:27" x14ac:dyDescent="0.2">
      <c r="P1110" s="36"/>
      <c r="Q1110" s="40"/>
      <c r="R1110" s="40"/>
      <c r="S1110" s="40"/>
      <c r="T1110" s="41"/>
      <c r="U1110" s="41"/>
      <c r="V1110" s="41"/>
      <c r="W1110" s="36"/>
      <c r="X1110" s="36"/>
      <c r="Y1110" s="36"/>
      <c r="Z1110" s="36"/>
      <c r="AA1110" s="36"/>
    </row>
    <row r="1111" spans="16:27" x14ac:dyDescent="0.2">
      <c r="P1111" s="36"/>
      <c r="Q1111" s="40"/>
      <c r="R1111" s="40"/>
      <c r="S1111" s="40"/>
      <c r="T1111" s="41"/>
      <c r="U1111" s="41"/>
      <c r="V1111" s="41"/>
      <c r="W1111" s="36"/>
      <c r="X1111" s="36"/>
      <c r="Y1111" s="36"/>
      <c r="Z1111" s="36"/>
      <c r="AA1111" s="36"/>
    </row>
    <row r="1112" spans="16:27" x14ac:dyDescent="0.2">
      <c r="P1112" s="36"/>
      <c r="Q1112" s="40"/>
      <c r="R1112" s="40"/>
      <c r="S1112" s="40"/>
      <c r="T1112" s="41"/>
      <c r="U1112" s="41"/>
      <c r="V1112" s="41"/>
      <c r="W1112" s="36"/>
      <c r="X1112" s="36"/>
      <c r="Y1112" s="36"/>
      <c r="Z1112" s="36"/>
      <c r="AA1112" s="36"/>
    </row>
    <row r="1113" spans="16:27" x14ac:dyDescent="0.2">
      <c r="P1113" s="36"/>
      <c r="Q1113" s="40"/>
      <c r="R1113" s="40"/>
      <c r="S1113" s="40"/>
      <c r="T1113" s="41"/>
      <c r="U1113" s="41"/>
      <c r="V1113" s="41"/>
      <c r="W1113" s="36"/>
      <c r="X1113" s="36"/>
      <c r="Y1113" s="36"/>
      <c r="Z1113" s="36"/>
      <c r="AA1113" s="36"/>
    </row>
    <row r="1114" spans="16:27" x14ac:dyDescent="0.2">
      <c r="P1114" s="36"/>
      <c r="Q1114" s="40"/>
      <c r="R1114" s="40"/>
      <c r="S1114" s="40"/>
      <c r="T1114" s="41"/>
      <c r="U1114" s="41"/>
      <c r="V1114" s="41"/>
      <c r="W1114" s="36"/>
      <c r="X1114" s="36"/>
      <c r="Y1114" s="36"/>
      <c r="Z1114" s="36"/>
      <c r="AA1114" s="36"/>
    </row>
    <row r="1115" spans="16:27" x14ac:dyDescent="0.2">
      <c r="P1115" s="36"/>
      <c r="Q1115" s="40"/>
      <c r="R1115" s="40"/>
      <c r="S1115" s="40"/>
      <c r="T1115" s="41"/>
      <c r="U1115" s="41"/>
      <c r="V1115" s="41"/>
      <c r="W1115" s="36"/>
      <c r="X1115" s="36"/>
      <c r="Y1115" s="36"/>
      <c r="Z1115" s="36"/>
      <c r="AA1115" s="36"/>
    </row>
    <row r="1116" spans="16:27" x14ac:dyDescent="0.2">
      <c r="P1116" s="36"/>
      <c r="Q1116" s="40"/>
      <c r="R1116" s="40"/>
      <c r="S1116" s="40"/>
      <c r="T1116" s="41"/>
      <c r="U1116" s="41"/>
      <c r="V1116" s="41"/>
      <c r="W1116" s="36"/>
      <c r="X1116" s="36"/>
      <c r="Y1116" s="36"/>
      <c r="Z1116" s="36"/>
      <c r="AA1116" s="36"/>
    </row>
    <row r="1117" spans="16:27" x14ac:dyDescent="0.2">
      <c r="P1117" s="36"/>
      <c r="Q1117" s="40"/>
      <c r="R1117" s="40"/>
      <c r="S1117" s="40"/>
      <c r="T1117" s="41"/>
      <c r="U1117" s="41"/>
      <c r="V1117" s="41"/>
      <c r="W1117" s="36"/>
      <c r="X1117" s="36"/>
      <c r="Y1117" s="36"/>
      <c r="Z1117" s="36"/>
      <c r="AA1117" s="36"/>
    </row>
    <row r="1118" spans="16:27" x14ac:dyDescent="0.2">
      <c r="P1118" s="36"/>
      <c r="Q1118" s="40"/>
      <c r="R1118" s="40"/>
      <c r="S1118" s="40"/>
      <c r="T1118" s="41"/>
      <c r="U1118" s="41"/>
      <c r="V1118" s="41"/>
      <c r="W1118" s="36"/>
      <c r="X1118" s="36"/>
      <c r="Y1118" s="36"/>
      <c r="Z1118" s="36"/>
      <c r="AA1118" s="36"/>
    </row>
    <row r="1119" spans="16:27" x14ac:dyDescent="0.2">
      <c r="P1119" s="36"/>
      <c r="Q1119" s="40"/>
      <c r="R1119" s="40"/>
      <c r="S1119" s="40"/>
      <c r="T1119" s="41"/>
      <c r="U1119" s="41"/>
      <c r="V1119" s="41"/>
      <c r="W1119" s="36"/>
      <c r="X1119" s="36"/>
      <c r="Y1119" s="36"/>
      <c r="Z1119" s="36"/>
      <c r="AA1119" s="36"/>
    </row>
    <row r="1120" spans="16:27" x14ac:dyDescent="0.2">
      <c r="P1120" s="36"/>
      <c r="Q1120" s="40"/>
      <c r="R1120" s="40"/>
      <c r="S1120" s="40"/>
      <c r="T1120" s="41"/>
      <c r="U1120" s="41"/>
      <c r="V1120" s="41"/>
      <c r="W1120" s="36"/>
      <c r="X1120" s="36"/>
      <c r="Y1120" s="36"/>
      <c r="Z1120" s="36"/>
      <c r="AA1120" s="36"/>
    </row>
    <row r="1121" spans="16:27" x14ac:dyDescent="0.2">
      <c r="P1121" s="36"/>
      <c r="Q1121" s="40"/>
      <c r="R1121" s="40"/>
      <c r="S1121" s="40"/>
      <c r="T1121" s="41"/>
      <c r="U1121" s="41"/>
      <c r="V1121" s="41"/>
      <c r="W1121" s="36"/>
      <c r="X1121" s="36"/>
      <c r="Y1121" s="36"/>
      <c r="Z1121" s="36"/>
      <c r="AA1121" s="36"/>
    </row>
    <row r="1122" spans="16:27" x14ac:dyDescent="0.2">
      <c r="P1122" s="36"/>
      <c r="Q1122" s="40"/>
      <c r="R1122" s="40"/>
      <c r="S1122" s="40"/>
      <c r="T1122" s="41"/>
      <c r="U1122" s="41"/>
      <c r="V1122" s="41"/>
      <c r="W1122" s="36"/>
      <c r="X1122" s="36"/>
      <c r="Y1122" s="36"/>
      <c r="Z1122" s="36"/>
      <c r="AA1122" s="36"/>
    </row>
    <row r="1123" spans="16:27" x14ac:dyDescent="0.2">
      <c r="P1123" s="36"/>
      <c r="Q1123" s="40"/>
      <c r="R1123" s="40"/>
      <c r="S1123" s="40"/>
      <c r="T1123" s="41"/>
      <c r="U1123" s="41"/>
      <c r="V1123" s="41"/>
      <c r="W1123" s="36"/>
      <c r="X1123" s="36"/>
      <c r="Y1123" s="36"/>
      <c r="Z1123" s="36"/>
      <c r="AA1123" s="36"/>
    </row>
    <row r="1124" spans="16:27" x14ac:dyDescent="0.2">
      <c r="P1124" s="36"/>
      <c r="Q1124" s="40"/>
      <c r="R1124" s="40"/>
      <c r="S1124" s="40"/>
      <c r="T1124" s="41"/>
      <c r="U1124" s="41"/>
      <c r="V1124" s="41"/>
      <c r="W1124" s="36"/>
      <c r="X1124" s="36"/>
      <c r="Y1124" s="36"/>
      <c r="Z1124" s="36"/>
      <c r="AA1124" s="36"/>
    </row>
    <row r="1125" spans="16:27" x14ac:dyDescent="0.2">
      <c r="P1125" s="36"/>
      <c r="Q1125" s="40"/>
      <c r="R1125" s="40"/>
      <c r="S1125" s="40"/>
      <c r="T1125" s="41"/>
      <c r="U1125" s="41"/>
      <c r="V1125" s="41"/>
      <c r="W1125" s="36"/>
      <c r="X1125" s="36"/>
      <c r="Y1125" s="36"/>
      <c r="Z1125" s="36"/>
      <c r="AA1125" s="36"/>
    </row>
    <row r="1126" spans="16:27" x14ac:dyDescent="0.2">
      <c r="P1126" s="36"/>
      <c r="Q1126" s="40"/>
      <c r="R1126" s="40"/>
      <c r="S1126" s="40"/>
      <c r="T1126" s="41"/>
      <c r="U1126" s="41"/>
      <c r="V1126" s="41"/>
      <c r="W1126" s="36"/>
      <c r="X1126" s="36"/>
      <c r="Y1126" s="36"/>
      <c r="Z1126" s="36"/>
      <c r="AA1126" s="36"/>
    </row>
    <row r="1127" spans="16:27" x14ac:dyDescent="0.2">
      <c r="P1127" s="36"/>
      <c r="Q1127" s="40"/>
      <c r="R1127" s="40"/>
      <c r="S1127" s="40"/>
      <c r="T1127" s="41"/>
      <c r="U1127" s="41"/>
      <c r="V1127" s="41"/>
      <c r="W1127" s="36"/>
      <c r="X1127" s="36"/>
      <c r="Y1127" s="36"/>
      <c r="Z1127" s="36"/>
      <c r="AA1127" s="36"/>
    </row>
    <row r="1128" spans="16:27" x14ac:dyDescent="0.2">
      <c r="P1128" s="36"/>
      <c r="Q1128" s="40"/>
      <c r="R1128" s="40"/>
      <c r="S1128" s="40"/>
      <c r="T1128" s="41"/>
      <c r="U1128" s="41"/>
      <c r="V1128" s="41"/>
      <c r="W1128" s="36"/>
      <c r="X1128" s="36"/>
      <c r="Y1128" s="36"/>
      <c r="Z1128" s="36"/>
      <c r="AA1128" s="36"/>
    </row>
    <row r="1129" spans="16:27" x14ac:dyDescent="0.2">
      <c r="P1129" s="36"/>
      <c r="Q1129" s="40"/>
      <c r="R1129" s="40"/>
      <c r="S1129" s="40"/>
      <c r="T1129" s="41"/>
      <c r="U1129" s="41"/>
      <c r="V1129" s="41"/>
      <c r="W1129" s="36"/>
      <c r="X1129" s="36"/>
      <c r="Y1129" s="36"/>
      <c r="Z1129" s="36"/>
      <c r="AA1129" s="36"/>
    </row>
    <row r="1130" spans="16:27" x14ac:dyDescent="0.2">
      <c r="P1130" s="36"/>
      <c r="Q1130" s="40"/>
      <c r="R1130" s="40"/>
      <c r="S1130" s="40"/>
      <c r="T1130" s="41"/>
      <c r="U1130" s="41"/>
      <c r="V1130" s="41"/>
      <c r="W1130" s="36"/>
      <c r="X1130" s="36"/>
      <c r="Y1130" s="36"/>
      <c r="Z1130" s="36"/>
      <c r="AA1130" s="36"/>
    </row>
    <row r="1131" spans="16:27" x14ac:dyDescent="0.2">
      <c r="P1131" s="36"/>
      <c r="Q1131" s="40"/>
      <c r="R1131" s="40"/>
      <c r="S1131" s="40"/>
      <c r="T1131" s="41"/>
      <c r="U1131" s="41"/>
      <c r="V1131" s="41"/>
      <c r="W1131" s="36"/>
      <c r="X1131" s="36"/>
      <c r="Y1131" s="36"/>
      <c r="Z1131" s="36"/>
      <c r="AA1131" s="36"/>
    </row>
    <row r="1132" spans="16:27" x14ac:dyDescent="0.2">
      <c r="P1132" s="36"/>
      <c r="Q1132" s="40"/>
      <c r="R1132" s="40"/>
      <c r="S1132" s="40"/>
      <c r="T1132" s="41"/>
      <c r="U1132" s="41"/>
      <c r="V1132" s="41"/>
      <c r="W1132" s="36"/>
      <c r="X1132" s="36"/>
      <c r="Y1132" s="36"/>
      <c r="Z1132" s="36"/>
      <c r="AA1132" s="36"/>
    </row>
    <row r="1133" spans="16:27" x14ac:dyDescent="0.2">
      <c r="P1133" s="36"/>
      <c r="Q1133" s="40"/>
      <c r="R1133" s="40"/>
      <c r="S1133" s="40"/>
      <c r="T1133" s="41"/>
      <c r="U1133" s="41"/>
      <c r="V1133" s="41"/>
      <c r="W1133" s="36"/>
      <c r="X1133" s="36"/>
      <c r="Y1133" s="36"/>
      <c r="Z1133" s="36"/>
      <c r="AA1133" s="36"/>
    </row>
    <row r="1134" spans="16:27" x14ac:dyDescent="0.2">
      <c r="P1134" s="36"/>
      <c r="Q1134" s="40"/>
      <c r="R1134" s="40"/>
      <c r="S1134" s="40"/>
      <c r="T1134" s="41"/>
      <c r="U1134" s="41"/>
      <c r="V1134" s="41"/>
      <c r="W1134" s="36"/>
      <c r="X1134" s="36"/>
      <c r="Y1134" s="36"/>
      <c r="Z1134" s="36"/>
      <c r="AA1134" s="36"/>
    </row>
    <row r="1135" spans="16:27" x14ac:dyDescent="0.2">
      <c r="P1135" s="36"/>
      <c r="Q1135" s="40"/>
      <c r="R1135" s="40"/>
      <c r="S1135" s="40"/>
      <c r="T1135" s="41"/>
      <c r="U1135" s="41"/>
      <c r="V1135" s="41"/>
      <c r="W1135" s="36"/>
      <c r="X1135" s="36"/>
      <c r="Y1135" s="36"/>
      <c r="Z1135" s="36"/>
      <c r="AA1135" s="36"/>
    </row>
    <row r="1136" spans="16:27" x14ac:dyDescent="0.2">
      <c r="P1136" s="36"/>
      <c r="Q1136" s="40"/>
      <c r="R1136" s="40"/>
      <c r="S1136" s="40"/>
      <c r="T1136" s="41"/>
      <c r="U1136" s="41"/>
      <c r="V1136" s="41"/>
      <c r="W1136" s="36"/>
      <c r="X1136" s="36"/>
      <c r="Y1136" s="36"/>
      <c r="Z1136" s="36"/>
      <c r="AA1136" s="36"/>
    </row>
    <row r="1137" spans="16:27" x14ac:dyDescent="0.2">
      <c r="P1137" s="36"/>
      <c r="Q1137" s="40"/>
      <c r="R1137" s="40"/>
      <c r="S1137" s="40"/>
      <c r="T1137" s="41"/>
      <c r="U1137" s="41"/>
      <c r="V1137" s="41"/>
      <c r="W1137" s="36"/>
      <c r="X1137" s="36"/>
      <c r="Y1137" s="36"/>
      <c r="Z1137" s="36"/>
      <c r="AA1137" s="36"/>
    </row>
    <row r="1138" spans="16:27" x14ac:dyDescent="0.2">
      <c r="P1138" s="36"/>
      <c r="Q1138" s="40"/>
      <c r="R1138" s="40"/>
      <c r="S1138" s="40"/>
      <c r="T1138" s="41"/>
      <c r="U1138" s="41"/>
      <c r="V1138" s="41"/>
      <c r="W1138" s="36"/>
      <c r="X1138" s="36"/>
      <c r="Y1138" s="36"/>
      <c r="Z1138" s="36"/>
      <c r="AA1138" s="36"/>
    </row>
    <row r="1139" spans="16:27" x14ac:dyDescent="0.2">
      <c r="P1139" s="36"/>
      <c r="Q1139" s="40"/>
      <c r="R1139" s="40"/>
      <c r="S1139" s="40"/>
      <c r="T1139" s="41"/>
      <c r="U1139" s="41"/>
      <c r="V1139" s="41"/>
      <c r="W1139" s="36"/>
      <c r="X1139" s="36"/>
      <c r="Y1139" s="36"/>
      <c r="Z1139" s="36"/>
      <c r="AA1139" s="36"/>
    </row>
    <row r="1140" spans="16:27" x14ac:dyDescent="0.2">
      <c r="P1140" s="36"/>
      <c r="Q1140" s="40"/>
      <c r="R1140" s="40"/>
      <c r="S1140" s="40"/>
      <c r="T1140" s="41"/>
      <c r="U1140" s="41"/>
      <c r="V1140" s="41"/>
      <c r="W1140" s="36"/>
      <c r="X1140" s="36"/>
      <c r="Y1140" s="36"/>
      <c r="Z1140" s="36"/>
      <c r="AA1140" s="36"/>
    </row>
    <row r="1141" spans="16:27" x14ac:dyDescent="0.2">
      <c r="P1141" s="36"/>
      <c r="Q1141" s="40"/>
      <c r="R1141" s="40"/>
      <c r="S1141" s="40"/>
      <c r="T1141" s="41"/>
      <c r="U1141" s="41"/>
      <c r="V1141" s="41"/>
      <c r="W1141" s="36"/>
      <c r="X1141" s="36"/>
      <c r="Y1141" s="36"/>
      <c r="Z1141" s="36"/>
      <c r="AA1141" s="36"/>
    </row>
    <row r="1142" spans="16:27" x14ac:dyDescent="0.2">
      <c r="P1142" s="36"/>
      <c r="Q1142" s="40"/>
      <c r="R1142" s="40"/>
      <c r="S1142" s="40"/>
      <c r="T1142" s="41"/>
      <c r="U1142" s="41"/>
      <c r="V1142" s="41"/>
      <c r="W1142" s="36"/>
      <c r="X1142" s="36"/>
      <c r="Y1142" s="36"/>
      <c r="Z1142" s="36"/>
      <c r="AA1142" s="36"/>
    </row>
    <row r="1143" spans="16:27" x14ac:dyDescent="0.2">
      <c r="P1143" s="36"/>
      <c r="Q1143" s="40"/>
      <c r="R1143" s="40"/>
      <c r="S1143" s="40"/>
      <c r="T1143" s="41"/>
      <c r="U1143" s="41"/>
      <c r="V1143" s="41"/>
      <c r="W1143" s="36"/>
      <c r="X1143" s="36"/>
      <c r="Y1143" s="36"/>
      <c r="Z1143" s="36"/>
      <c r="AA1143" s="36"/>
    </row>
    <row r="1144" spans="16:27" x14ac:dyDescent="0.2">
      <c r="P1144" s="36"/>
      <c r="Q1144" s="40"/>
      <c r="R1144" s="40"/>
      <c r="S1144" s="40"/>
      <c r="T1144" s="41"/>
      <c r="U1144" s="41"/>
      <c r="V1144" s="41"/>
      <c r="W1144" s="36"/>
      <c r="X1144" s="36"/>
      <c r="Y1144" s="36"/>
      <c r="Z1144" s="36"/>
      <c r="AA1144" s="36"/>
    </row>
    <row r="1145" spans="16:27" x14ac:dyDescent="0.2">
      <c r="P1145" s="36"/>
      <c r="Q1145" s="40"/>
      <c r="R1145" s="40"/>
      <c r="S1145" s="40"/>
      <c r="T1145" s="41"/>
      <c r="U1145" s="41"/>
      <c r="V1145" s="41"/>
      <c r="W1145" s="36"/>
      <c r="X1145" s="36"/>
      <c r="Y1145" s="36"/>
      <c r="Z1145" s="36"/>
      <c r="AA1145" s="36"/>
    </row>
    <row r="1146" spans="16:27" x14ac:dyDescent="0.2">
      <c r="P1146" s="36"/>
      <c r="Q1146" s="40"/>
      <c r="R1146" s="40"/>
      <c r="S1146" s="40"/>
      <c r="T1146" s="41"/>
      <c r="U1146" s="41"/>
      <c r="V1146" s="41"/>
      <c r="W1146" s="36"/>
      <c r="X1146" s="36"/>
      <c r="Y1146" s="36"/>
      <c r="Z1146" s="36"/>
      <c r="AA1146" s="36"/>
    </row>
    <row r="1147" spans="16:27" x14ac:dyDescent="0.2">
      <c r="P1147" s="36"/>
      <c r="Q1147" s="40"/>
      <c r="R1147" s="40"/>
      <c r="S1147" s="40"/>
      <c r="T1147" s="41"/>
      <c r="U1147" s="41"/>
      <c r="V1147" s="41"/>
      <c r="W1147" s="36"/>
      <c r="X1147" s="36"/>
      <c r="Y1147" s="36"/>
      <c r="Z1147" s="36"/>
      <c r="AA1147" s="36"/>
    </row>
    <row r="1148" spans="16:27" x14ac:dyDescent="0.2">
      <c r="P1148" s="36"/>
      <c r="Q1148" s="40"/>
      <c r="R1148" s="40"/>
      <c r="S1148" s="40"/>
      <c r="T1148" s="41"/>
      <c r="U1148" s="41"/>
      <c r="V1148" s="41"/>
      <c r="W1148" s="36"/>
      <c r="X1148" s="36"/>
      <c r="Y1148" s="36"/>
      <c r="Z1148" s="36"/>
      <c r="AA1148" s="36"/>
    </row>
    <row r="1149" spans="16:27" x14ac:dyDescent="0.2">
      <c r="P1149" s="36"/>
      <c r="Q1149" s="40"/>
      <c r="R1149" s="40"/>
      <c r="S1149" s="40"/>
      <c r="T1149" s="41"/>
      <c r="U1149" s="41"/>
      <c r="V1149" s="41"/>
      <c r="W1149" s="36"/>
      <c r="X1149" s="36"/>
      <c r="Y1149" s="36"/>
      <c r="Z1149" s="36"/>
      <c r="AA1149" s="36"/>
    </row>
    <row r="1150" spans="16:27" x14ac:dyDescent="0.2">
      <c r="P1150" s="36"/>
      <c r="Q1150" s="40"/>
      <c r="R1150" s="40"/>
      <c r="S1150" s="40"/>
      <c r="T1150" s="41"/>
      <c r="U1150" s="41"/>
      <c r="V1150" s="41"/>
      <c r="W1150" s="36"/>
      <c r="X1150" s="36"/>
      <c r="Y1150" s="36"/>
      <c r="Z1150" s="36"/>
      <c r="AA1150" s="36"/>
    </row>
    <row r="1151" spans="16:27" x14ac:dyDescent="0.2">
      <c r="P1151" s="36"/>
      <c r="Q1151" s="40"/>
      <c r="R1151" s="40"/>
      <c r="S1151" s="40"/>
      <c r="T1151" s="41"/>
      <c r="U1151" s="41"/>
      <c r="V1151" s="41"/>
      <c r="W1151" s="36"/>
      <c r="X1151" s="36"/>
      <c r="Y1151" s="36"/>
      <c r="Z1151" s="36"/>
      <c r="AA1151" s="36"/>
    </row>
    <row r="1152" spans="16:27" x14ac:dyDescent="0.2">
      <c r="P1152" s="36"/>
      <c r="Q1152" s="40"/>
      <c r="R1152" s="40"/>
      <c r="S1152" s="40"/>
      <c r="T1152" s="41"/>
      <c r="U1152" s="41"/>
      <c r="V1152" s="41"/>
      <c r="W1152" s="36"/>
      <c r="X1152" s="36"/>
      <c r="Y1152" s="36"/>
      <c r="Z1152" s="36"/>
      <c r="AA1152" s="36"/>
    </row>
    <row r="1153" spans="16:27" x14ac:dyDescent="0.2">
      <c r="P1153" s="36"/>
      <c r="Q1153" s="40"/>
      <c r="R1153" s="40"/>
      <c r="S1153" s="40"/>
      <c r="T1153" s="41"/>
      <c r="U1153" s="41"/>
      <c r="V1153" s="41"/>
      <c r="W1153" s="36"/>
      <c r="X1153" s="36"/>
      <c r="Y1153" s="36"/>
      <c r="Z1153" s="36"/>
      <c r="AA1153" s="36"/>
    </row>
    <row r="1154" spans="16:27" x14ac:dyDescent="0.2">
      <c r="P1154" s="36"/>
      <c r="Q1154" s="40"/>
      <c r="R1154" s="40"/>
      <c r="S1154" s="40"/>
      <c r="T1154" s="41"/>
      <c r="U1154" s="41"/>
      <c r="V1154" s="41"/>
      <c r="W1154" s="36"/>
      <c r="X1154" s="36"/>
      <c r="Y1154" s="36"/>
      <c r="Z1154" s="36"/>
      <c r="AA1154" s="36"/>
    </row>
    <row r="1155" spans="16:27" x14ac:dyDescent="0.2">
      <c r="P1155" s="36"/>
      <c r="Q1155" s="40"/>
      <c r="R1155" s="40"/>
      <c r="S1155" s="40"/>
      <c r="T1155" s="41"/>
      <c r="U1155" s="41"/>
      <c r="V1155" s="41"/>
      <c r="W1155" s="36"/>
      <c r="X1155" s="36"/>
      <c r="Y1155" s="36"/>
      <c r="Z1155" s="36"/>
      <c r="AA1155" s="36"/>
    </row>
    <row r="1156" spans="16:27" x14ac:dyDescent="0.2">
      <c r="P1156" s="36"/>
      <c r="Q1156" s="40"/>
      <c r="R1156" s="40"/>
      <c r="S1156" s="40"/>
      <c r="T1156" s="41"/>
      <c r="U1156" s="41"/>
      <c r="V1156" s="41"/>
      <c r="W1156" s="36"/>
      <c r="X1156" s="36"/>
      <c r="Y1156" s="36"/>
      <c r="Z1156" s="36"/>
      <c r="AA1156" s="36"/>
    </row>
    <row r="1157" spans="16:27" x14ac:dyDescent="0.2">
      <c r="P1157" s="36"/>
      <c r="Q1157" s="40"/>
      <c r="R1157" s="40"/>
      <c r="S1157" s="40"/>
      <c r="T1157" s="41"/>
      <c r="U1157" s="41"/>
      <c r="V1157" s="41"/>
      <c r="W1157" s="36"/>
      <c r="X1157" s="36"/>
      <c r="Y1157" s="36"/>
      <c r="Z1157" s="36"/>
      <c r="AA1157" s="36"/>
    </row>
    <row r="1158" spans="16:27" x14ac:dyDescent="0.2">
      <c r="P1158" s="36"/>
      <c r="Q1158" s="40"/>
      <c r="R1158" s="40"/>
      <c r="S1158" s="40"/>
      <c r="T1158" s="41"/>
      <c r="U1158" s="41"/>
      <c r="V1158" s="41"/>
      <c r="W1158" s="36"/>
      <c r="X1158" s="36"/>
      <c r="Y1158" s="36"/>
      <c r="Z1158" s="36"/>
      <c r="AA1158" s="36"/>
    </row>
    <row r="1159" spans="16:27" x14ac:dyDescent="0.2">
      <c r="P1159" s="36"/>
      <c r="Q1159" s="40"/>
      <c r="R1159" s="40"/>
      <c r="S1159" s="40"/>
      <c r="T1159" s="41"/>
      <c r="U1159" s="41"/>
      <c r="V1159" s="41"/>
      <c r="W1159" s="36"/>
      <c r="X1159" s="36"/>
      <c r="Y1159" s="36"/>
      <c r="Z1159" s="36"/>
      <c r="AA1159" s="36"/>
    </row>
    <row r="1160" spans="16:27" x14ac:dyDescent="0.2">
      <c r="P1160" s="36"/>
      <c r="Q1160" s="40"/>
      <c r="R1160" s="40"/>
      <c r="S1160" s="40"/>
      <c r="T1160" s="41"/>
      <c r="U1160" s="41"/>
      <c r="V1160" s="41"/>
      <c r="W1160" s="36"/>
      <c r="X1160" s="36"/>
      <c r="Y1160" s="36"/>
      <c r="Z1160" s="36"/>
      <c r="AA1160" s="36"/>
    </row>
    <row r="1161" spans="16:27" x14ac:dyDescent="0.2">
      <c r="P1161" s="36"/>
      <c r="Q1161" s="40"/>
      <c r="R1161" s="40"/>
      <c r="S1161" s="40"/>
      <c r="T1161" s="41"/>
      <c r="U1161" s="41"/>
      <c r="V1161" s="41"/>
      <c r="W1161" s="36"/>
      <c r="X1161" s="36"/>
      <c r="Y1161" s="36"/>
      <c r="Z1161" s="36"/>
      <c r="AA1161" s="36"/>
    </row>
    <row r="1162" spans="16:27" x14ac:dyDescent="0.2">
      <c r="P1162" s="36"/>
      <c r="Q1162" s="40"/>
      <c r="R1162" s="40"/>
      <c r="S1162" s="40"/>
      <c r="T1162" s="41"/>
      <c r="U1162" s="41"/>
      <c r="V1162" s="41"/>
      <c r="W1162" s="36"/>
      <c r="X1162" s="36"/>
      <c r="Y1162" s="36"/>
      <c r="Z1162" s="36"/>
      <c r="AA1162" s="36"/>
    </row>
    <row r="1163" spans="16:27" x14ac:dyDescent="0.2">
      <c r="P1163" s="36"/>
      <c r="Q1163" s="40"/>
      <c r="R1163" s="40"/>
      <c r="S1163" s="40"/>
      <c r="T1163" s="41"/>
      <c r="U1163" s="41"/>
      <c r="V1163" s="41"/>
      <c r="W1163" s="36"/>
      <c r="X1163" s="36"/>
      <c r="Y1163" s="36"/>
      <c r="Z1163" s="36"/>
      <c r="AA1163" s="36"/>
    </row>
    <row r="1164" spans="16:27" x14ac:dyDescent="0.2">
      <c r="P1164" s="36"/>
      <c r="Q1164" s="40"/>
      <c r="R1164" s="40"/>
      <c r="S1164" s="40"/>
      <c r="T1164" s="41"/>
      <c r="U1164" s="41"/>
      <c r="V1164" s="41"/>
      <c r="W1164" s="36"/>
      <c r="X1164" s="36"/>
      <c r="Y1164" s="36"/>
      <c r="Z1164" s="36"/>
      <c r="AA1164" s="36"/>
    </row>
    <row r="1165" spans="16:27" x14ac:dyDescent="0.2">
      <c r="P1165" s="36"/>
      <c r="Q1165" s="40"/>
      <c r="R1165" s="40"/>
      <c r="S1165" s="40"/>
      <c r="T1165" s="41"/>
      <c r="U1165" s="41"/>
      <c r="V1165" s="41"/>
      <c r="W1165" s="36"/>
      <c r="X1165" s="36"/>
      <c r="Y1165" s="36"/>
      <c r="Z1165" s="36"/>
      <c r="AA1165" s="36"/>
    </row>
    <row r="1166" spans="16:27" x14ac:dyDescent="0.2">
      <c r="P1166" s="36"/>
      <c r="Q1166" s="40"/>
      <c r="R1166" s="40"/>
      <c r="S1166" s="40"/>
      <c r="T1166" s="41"/>
      <c r="U1166" s="41"/>
      <c r="V1166" s="41"/>
      <c r="W1166" s="36"/>
      <c r="X1166" s="36"/>
      <c r="Y1166" s="36"/>
      <c r="Z1166" s="36"/>
      <c r="AA1166" s="36"/>
    </row>
    <row r="1167" spans="16:27" x14ac:dyDescent="0.2">
      <c r="P1167" s="36"/>
      <c r="Q1167" s="40"/>
      <c r="R1167" s="40"/>
      <c r="S1167" s="40"/>
      <c r="T1167" s="41"/>
      <c r="U1167" s="41"/>
      <c r="V1167" s="41"/>
      <c r="W1167" s="36"/>
      <c r="X1167" s="36"/>
      <c r="Y1167" s="36"/>
      <c r="Z1167" s="36"/>
      <c r="AA1167" s="36"/>
    </row>
    <row r="1168" spans="16:27" x14ac:dyDescent="0.2">
      <c r="P1168" s="36"/>
      <c r="Q1168" s="40"/>
      <c r="R1168" s="40"/>
      <c r="S1168" s="40"/>
      <c r="T1168" s="41"/>
      <c r="U1168" s="41"/>
      <c r="V1168" s="41"/>
      <c r="W1168" s="36"/>
      <c r="X1168" s="36"/>
      <c r="Y1168" s="36"/>
      <c r="Z1168" s="36"/>
      <c r="AA1168" s="36"/>
    </row>
    <row r="1169" spans="16:27" x14ac:dyDescent="0.2">
      <c r="P1169" s="36"/>
      <c r="Q1169" s="40"/>
      <c r="R1169" s="40"/>
      <c r="S1169" s="40"/>
      <c r="T1169" s="41"/>
      <c r="U1169" s="41"/>
      <c r="V1169" s="41"/>
      <c r="W1169" s="36"/>
      <c r="X1169" s="36"/>
      <c r="Y1169" s="36"/>
      <c r="Z1169" s="36"/>
      <c r="AA1169" s="36"/>
    </row>
    <row r="1170" spans="16:27" x14ac:dyDescent="0.2">
      <c r="P1170" s="36"/>
      <c r="Q1170" s="40"/>
      <c r="R1170" s="40"/>
      <c r="S1170" s="40"/>
      <c r="T1170" s="41"/>
      <c r="U1170" s="41"/>
      <c r="V1170" s="41"/>
      <c r="W1170" s="36"/>
      <c r="X1170" s="36"/>
      <c r="Y1170" s="36"/>
      <c r="Z1170" s="36"/>
      <c r="AA1170" s="36"/>
    </row>
    <row r="1171" spans="16:27" x14ac:dyDescent="0.2">
      <c r="P1171" s="36"/>
      <c r="Q1171" s="40"/>
      <c r="R1171" s="40"/>
      <c r="S1171" s="40"/>
      <c r="T1171" s="41"/>
      <c r="U1171" s="41"/>
      <c r="V1171" s="41"/>
      <c r="W1171" s="36"/>
      <c r="X1171" s="36"/>
      <c r="Y1171" s="36"/>
      <c r="Z1171" s="36"/>
      <c r="AA1171" s="36"/>
    </row>
    <row r="1172" spans="16:27" x14ac:dyDescent="0.2">
      <c r="P1172" s="36"/>
      <c r="Q1172" s="40"/>
      <c r="R1172" s="40"/>
      <c r="S1172" s="40"/>
      <c r="T1172" s="41"/>
      <c r="U1172" s="41"/>
      <c r="V1172" s="41"/>
      <c r="W1172" s="36"/>
      <c r="X1172" s="36"/>
      <c r="Y1172" s="36"/>
      <c r="Z1172" s="36"/>
      <c r="AA1172" s="36"/>
    </row>
    <row r="1173" spans="16:27" x14ac:dyDescent="0.2">
      <c r="P1173" s="36"/>
      <c r="Q1173" s="40"/>
      <c r="R1173" s="40"/>
      <c r="S1173" s="40"/>
      <c r="T1173" s="41"/>
      <c r="U1173" s="41"/>
      <c r="V1173" s="41"/>
      <c r="W1173" s="36"/>
      <c r="X1173" s="36"/>
      <c r="Y1173" s="36"/>
      <c r="Z1173" s="36"/>
      <c r="AA1173" s="36"/>
    </row>
    <row r="1174" spans="16:27" x14ac:dyDescent="0.2">
      <c r="P1174" s="36"/>
      <c r="Q1174" s="40"/>
      <c r="R1174" s="40"/>
      <c r="S1174" s="40"/>
      <c r="T1174" s="41"/>
      <c r="U1174" s="41"/>
      <c r="V1174" s="41"/>
      <c r="W1174" s="36"/>
      <c r="X1174" s="36"/>
      <c r="Y1174" s="36"/>
      <c r="Z1174" s="36"/>
      <c r="AA1174" s="36"/>
    </row>
    <row r="1175" spans="16:27" x14ac:dyDescent="0.2">
      <c r="P1175" s="36"/>
      <c r="Q1175" s="40"/>
      <c r="R1175" s="40"/>
      <c r="S1175" s="40"/>
      <c r="T1175" s="41"/>
      <c r="U1175" s="41"/>
      <c r="V1175" s="41"/>
      <c r="W1175" s="36"/>
      <c r="X1175" s="36"/>
      <c r="Y1175" s="36"/>
      <c r="Z1175" s="36"/>
      <c r="AA1175" s="36"/>
    </row>
    <row r="1176" spans="16:27" x14ac:dyDescent="0.2">
      <c r="P1176" s="36"/>
      <c r="Q1176" s="40"/>
      <c r="R1176" s="40"/>
      <c r="S1176" s="40"/>
      <c r="T1176" s="41"/>
      <c r="U1176" s="41"/>
      <c r="V1176" s="41"/>
      <c r="W1176" s="36"/>
      <c r="X1176" s="36"/>
      <c r="Y1176" s="36"/>
      <c r="Z1176" s="36"/>
      <c r="AA1176" s="36"/>
    </row>
    <row r="1177" spans="16:27" x14ac:dyDescent="0.2">
      <c r="P1177" s="36"/>
      <c r="Q1177" s="40"/>
      <c r="R1177" s="40"/>
      <c r="S1177" s="40"/>
      <c r="T1177" s="41"/>
      <c r="U1177" s="41"/>
      <c r="V1177" s="41"/>
      <c r="W1177" s="36"/>
      <c r="X1177" s="36"/>
      <c r="Y1177" s="36"/>
      <c r="Z1177" s="36"/>
      <c r="AA1177" s="36"/>
    </row>
    <row r="1178" spans="16:27" x14ac:dyDescent="0.2">
      <c r="P1178" s="36"/>
      <c r="Q1178" s="40"/>
      <c r="R1178" s="40"/>
      <c r="S1178" s="40"/>
      <c r="T1178" s="41"/>
      <c r="U1178" s="41"/>
      <c r="V1178" s="41"/>
      <c r="W1178" s="36"/>
      <c r="X1178" s="36"/>
      <c r="Y1178" s="36"/>
      <c r="Z1178" s="36"/>
      <c r="AA1178" s="36"/>
    </row>
    <row r="1179" spans="16:27" x14ac:dyDescent="0.2">
      <c r="P1179" s="36"/>
      <c r="Q1179" s="40"/>
      <c r="R1179" s="40"/>
      <c r="S1179" s="40"/>
      <c r="T1179" s="41"/>
      <c r="U1179" s="41"/>
      <c r="V1179" s="41"/>
      <c r="W1179" s="36"/>
      <c r="X1179" s="36"/>
      <c r="Y1179" s="36"/>
      <c r="Z1179" s="36"/>
      <c r="AA1179" s="36"/>
    </row>
    <row r="1180" spans="16:27" x14ac:dyDescent="0.2">
      <c r="P1180" s="36"/>
      <c r="Q1180" s="40"/>
      <c r="R1180" s="40"/>
      <c r="S1180" s="40"/>
      <c r="T1180" s="41"/>
      <c r="U1180" s="41"/>
      <c r="V1180" s="41"/>
      <c r="W1180" s="36"/>
      <c r="X1180" s="36"/>
      <c r="Y1180" s="36"/>
      <c r="Z1180" s="36"/>
      <c r="AA1180" s="36"/>
    </row>
    <row r="1181" spans="16:27" x14ac:dyDescent="0.2">
      <c r="P1181" s="36"/>
      <c r="Q1181" s="40"/>
      <c r="R1181" s="40"/>
      <c r="S1181" s="40"/>
      <c r="T1181" s="41"/>
      <c r="U1181" s="41"/>
      <c r="V1181" s="41"/>
      <c r="W1181" s="36"/>
      <c r="X1181" s="36"/>
      <c r="Y1181" s="36"/>
      <c r="Z1181" s="36"/>
      <c r="AA1181" s="36"/>
    </row>
    <row r="1182" spans="16:27" x14ac:dyDescent="0.2">
      <c r="P1182" s="36"/>
      <c r="Q1182" s="40"/>
      <c r="R1182" s="40"/>
      <c r="S1182" s="40"/>
      <c r="T1182" s="41"/>
      <c r="U1182" s="41"/>
      <c r="V1182" s="41"/>
      <c r="W1182" s="36"/>
      <c r="X1182" s="36"/>
      <c r="Y1182" s="36"/>
      <c r="Z1182" s="36"/>
      <c r="AA1182" s="36"/>
    </row>
    <row r="1183" spans="16:27" x14ac:dyDescent="0.2">
      <c r="P1183" s="36"/>
      <c r="Q1183" s="40"/>
      <c r="R1183" s="40"/>
      <c r="S1183" s="40"/>
      <c r="T1183" s="41"/>
      <c r="U1183" s="41"/>
      <c r="V1183" s="41"/>
      <c r="W1183" s="36"/>
      <c r="X1183" s="36"/>
      <c r="Y1183" s="36"/>
      <c r="Z1183" s="36"/>
      <c r="AA1183" s="36"/>
    </row>
    <row r="1184" spans="16:27" x14ac:dyDescent="0.2">
      <c r="P1184" s="36"/>
      <c r="Q1184" s="40"/>
      <c r="R1184" s="40"/>
      <c r="S1184" s="40"/>
      <c r="T1184" s="41"/>
      <c r="U1184" s="41"/>
      <c r="V1184" s="41"/>
      <c r="W1184" s="36"/>
      <c r="X1184" s="36"/>
      <c r="Y1184" s="36"/>
      <c r="Z1184" s="36"/>
      <c r="AA1184" s="36"/>
    </row>
    <row r="1185" spans="16:27" x14ac:dyDescent="0.2">
      <c r="P1185" s="36"/>
      <c r="Q1185" s="40"/>
      <c r="R1185" s="40"/>
      <c r="S1185" s="40"/>
      <c r="T1185" s="41"/>
      <c r="U1185" s="41"/>
      <c r="V1185" s="41"/>
      <c r="W1185" s="36"/>
      <c r="X1185" s="36"/>
      <c r="Y1185" s="36"/>
      <c r="Z1185" s="36"/>
      <c r="AA1185" s="36"/>
    </row>
    <row r="1186" spans="16:27" x14ac:dyDescent="0.2">
      <c r="P1186" s="36"/>
      <c r="Q1186" s="40"/>
      <c r="R1186" s="40"/>
      <c r="S1186" s="40"/>
      <c r="T1186" s="41"/>
      <c r="U1186" s="41"/>
      <c r="V1186" s="41"/>
      <c r="W1186" s="36"/>
      <c r="X1186" s="36"/>
      <c r="Y1186" s="36"/>
      <c r="Z1186" s="36"/>
      <c r="AA1186" s="36"/>
    </row>
    <row r="1187" spans="16:27" x14ac:dyDescent="0.2">
      <c r="P1187" s="36"/>
      <c r="Q1187" s="40"/>
      <c r="R1187" s="40"/>
      <c r="S1187" s="40"/>
      <c r="T1187" s="41"/>
      <c r="U1187" s="41"/>
      <c r="V1187" s="41"/>
      <c r="W1187" s="36"/>
      <c r="X1187" s="36"/>
      <c r="Y1187" s="36"/>
      <c r="Z1187" s="36"/>
      <c r="AA1187" s="36"/>
    </row>
    <row r="1188" spans="16:27" x14ac:dyDescent="0.2">
      <c r="P1188" s="36"/>
      <c r="Q1188" s="40"/>
      <c r="R1188" s="40"/>
      <c r="S1188" s="40"/>
      <c r="T1188" s="41"/>
      <c r="U1188" s="41"/>
      <c r="V1188" s="41"/>
      <c r="W1188" s="36"/>
      <c r="X1188" s="36"/>
      <c r="Y1188" s="36"/>
      <c r="Z1188" s="36"/>
      <c r="AA1188" s="36"/>
    </row>
    <row r="1189" spans="16:27" x14ac:dyDescent="0.2">
      <c r="P1189" s="36"/>
      <c r="Q1189" s="40"/>
      <c r="R1189" s="40"/>
      <c r="S1189" s="40"/>
      <c r="T1189" s="41"/>
      <c r="U1189" s="41"/>
      <c r="V1189" s="41"/>
      <c r="W1189" s="36"/>
      <c r="X1189" s="36"/>
      <c r="Y1189" s="36"/>
      <c r="Z1189" s="36"/>
      <c r="AA1189" s="36"/>
    </row>
    <row r="1190" spans="16:27" x14ac:dyDescent="0.2">
      <c r="P1190" s="36"/>
      <c r="Q1190" s="40"/>
      <c r="R1190" s="40"/>
      <c r="S1190" s="40"/>
      <c r="T1190" s="41"/>
      <c r="U1190" s="41"/>
      <c r="V1190" s="41"/>
      <c r="W1190" s="36"/>
      <c r="X1190" s="36"/>
      <c r="Y1190" s="36"/>
      <c r="Z1190" s="36"/>
      <c r="AA1190" s="36"/>
    </row>
    <row r="1191" spans="16:27" x14ac:dyDescent="0.2">
      <c r="P1191" s="36"/>
      <c r="Q1191" s="40"/>
      <c r="R1191" s="40"/>
      <c r="S1191" s="40"/>
      <c r="T1191" s="41"/>
      <c r="U1191" s="41"/>
      <c r="V1191" s="41"/>
      <c r="W1191" s="36"/>
      <c r="X1191" s="36"/>
      <c r="Y1191" s="36"/>
      <c r="Z1191" s="36"/>
      <c r="AA1191" s="36"/>
    </row>
    <row r="1192" spans="16:27" x14ac:dyDescent="0.2">
      <c r="P1192" s="36"/>
      <c r="Q1192" s="40"/>
      <c r="R1192" s="40"/>
      <c r="S1192" s="40"/>
      <c r="T1192" s="41"/>
      <c r="U1192" s="41"/>
      <c r="V1192" s="41"/>
      <c r="W1192" s="36"/>
      <c r="X1192" s="36"/>
      <c r="Y1192" s="36"/>
      <c r="Z1192" s="36"/>
      <c r="AA1192" s="36"/>
    </row>
    <row r="1193" spans="16:27" x14ac:dyDescent="0.2">
      <c r="P1193" s="36"/>
      <c r="Q1193" s="40"/>
      <c r="R1193" s="40"/>
      <c r="S1193" s="40"/>
      <c r="T1193" s="41"/>
      <c r="U1193" s="41"/>
      <c r="V1193" s="41"/>
      <c r="W1193" s="36"/>
      <c r="X1193" s="36"/>
      <c r="Y1193" s="36"/>
      <c r="Z1193" s="36"/>
      <c r="AA1193" s="36"/>
    </row>
    <row r="1194" spans="16:27" x14ac:dyDescent="0.2">
      <c r="P1194" s="36"/>
      <c r="Q1194" s="40"/>
      <c r="R1194" s="40"/>
      <c r="S1194" s="40"/>
      <c r="T1194" s="41"/>
      <c r="U1194" s="41"/>
      <c r="V1194" s="41"/>
      <c r="W1194" s="36"/>
      <c r="X1194" s="36"/>
      <c r="Y1194" s="36"/>
      <c r="Z1194" s="36"/>
      <c r="AA1194" s="36"/>
    </row>
    <row r="1195" spans="16:27" x14ac:dyDescent="0.2">
      <c r="P1195" s="36"/>
      <c r="Q1195" s="40"/>
      <c r="R1195" s="40"/>
      <c r="S1195" s="40"/>
      <c r="T1195" s="41"/>
      <c r="U1195" s="41"/>
      <c r="V1195" s="41"/>
      <c r="W1195" s="36"/>
      <c r="X1195" s="36"/>
      <c r="Y1195" s="36"/>
      <c r="Z1195" s="36"/>
      <c r="AA1195" s="36"/>
    </row>
    <row r="1196" spans="16:27" x14ac:dyDescent="0.2">
      <c r="P1196" s="36"/>
      <c r="Q1196" s="40"/>
      <c r="R1196" s="40"/>
      <c r="S1196" s="40"/>
      <c r="T1196" s="41"/>
      <c r="U1196" s="41"/>
      <c r="V1196" s="41"/>
      <c r="W1196" s="36"/>
      <c r="X1196" s="36"/>
      <c r="Y1196" s="36"/>
      <c r="Z1196" s="36"/>
      <c r="AA1196" s="36"/>
    </row>
    <row r="1197" spans="16:27" x14ac:dyDescent="0.2">
      <c r="P1197" s="36"/>
      <c r="Q1197" s="40"/>
      <c r="R1197" s="40"/>
      <c r="S1197" s="40"/>
      <c r="T1197" s="41"/>
      <c r="U1197" s="41"/>
      <c r="V1197" s="41"/>
      <c r="W1197" s="36"/>
      <c r="X1197" s="36"/>
      <c r="Y1197" s="36"/>
      <c r="Z1197" s="36"/>
      <c r="AA1197" s="36"/>
    </row>
    <row r="1198" spans="16:27" x14ac:dyDescent="0.2">
      <c r="P1198" s="36"/>
      <c r="Q1198" s="40"/>
      <c r="R1198" s="40"/>
      <c r="S1198" s="40"/>
      <c r="T1198" s="41"/>
      <c r="U1198" s="41"/>
      <c r="V1198" s="41"/>
      <c r="W1198" s="36"/>
      <c r="X1198" s="36"/>
      <c r="Y1198" s="36"/>
      <c r="Z1198" s="36"/>
      <c r="AA1198" s="36"/>
    </row>
    <row r="1199" spans="16:27" x14ac:dyDescent="0.2">
      <c r="P1199" s="36"/>
      <c r="Q1199" s="40"/>
      <c r="R1199" s="40"/>
      <c r="S1199" s="40"/>
      <c r="T1199" s="41"/>
      <c r="U1199" s="41"/>
      <c r="V1199" s="41"/>
      <c r="W1199" s="36"/>
      <c r="X1199" s="36"/>
      <c r="Y1199" s="36"/>
      <c r="Z1199" s="36"/>
      <c r="AA1199" s="36"/>
    </row>
    <row r="1200" spans="16:27" x14ac:dyDescent="0.2">
      <c r="P1200" s="36"/>
      <c r="Q1200" s="40"/>
      <c r="R1200" s="40"/>
      <c r="S1200" s="40"/>
      <c r="T1200" s="41"/>
      <c r="U1200" s="41"/>
      <c r="V1200" s="41"/>
      <c r="W1200" s="36"/>
      <c r="X1200" s="36"/>
      <c r="Y1200" s="36"/>
      <c r="Z1200" s="36"/>
      <c r="AA1200" s="36"/>
    </row>
    <row r="1201" spans="16:27" x14ac:dyDescent="0.2">
      <c r="P1201" s="36"/>
      <c r="Q1201" s="40"/>
      <c r="R1201" s="40"/>
      <c r="S1201" s="40"/>
      <c r="T1201" s="41"/>
      <c r="U1201" s="41"/>
      <c r="V1201" s="41"/>
      <c r="W1201" s="36"/>
      <c r="X1201" s="36"/>
      <c r="Y1201" s="36"/>
      <c r="Z1201" s="36"/>
      <c r="AA1201" s="36"/>
    </row>
    <row r="1202" spans="16:27" x14ac:dyDescent="0.2">
      <c r="P1202" s="36"/>
      <c r="Q1202" s="40"/>
      <c r="R1202" s="40"/>
      <c r="S1202" s="40"/>
      <c r="T1202" s="41"/>
      <c r="U1202" s="41"/>
      <c r="V1202" s="41"/>
      <c r="W1202" s="36"/>
      <c r="X1202" s="36"/>
      <c r="Y1202" s="36"/>
      <c r="Z1202" s="36"/>
      <c r="AA1202" s="36"/>
    </row>
    <row r="1203" spans="16:27" x14ac:dyDescent="0.2">
      <c r="P1203" s="36"/>
      <c r="Q1203" s="40"/>
      <c r="R1203" s="40"/>
      <c r="S1203" s="40"/>
      <c r="T1203" s="41"/>
      <c r="U1203" s="41"/>
      <c r="V1203" s="41"/>
      <c r="W1203" s="36"/>
      <c r="X1203" s="36"/>
      <c r="Y1203" s="36"/>
      <c r="Z1203" s="36"/>
      <c r="AA1203" s="36"/>
    </row>
    <row r="1204" spans="16:27" x14ac:dyDescent="0.2">
      <c r="P1204" s="36"/>
      <c r="Q1204" s="40"/>
      <c r="R1204" s="40"/>
      <c r="S1204" s="40"/>
      <c r="T1204" s="41"/>
      <c r="U1204" s="41"/>
      <c r="V1204" s="41"/>
      <c r="W1204" s="36"/>
      <c r="X1204" s="36"/>
      <c r="Y1204" s="36"/>
      <c r="Z1204" s="36"/>
      <c r="AA1204" s="36"/>
    </row>
    <row r="1205" spans="16:27" x14ac:dyDescent="0.2">
      <c r="P1205" s="36"/>
      <c r="Q1205" s="40"/>
      <c r="R1205" s="40"/>
      <c r="S1205" s="40"/>
      <c r="T1205" s="41"/>
      <c r="U1205" s="41"/>
      <c r="V1205" s="41"/>
      <c r="W1205" s="36"/>
      <c r="X1205" s="36"/>
      <c r="Y1205" s="36"/>
      <c r="Z1205" s="36"/>
      <c r="AA1205" s="36"/>
    </row>
    <row r="1206" spans="16:27" x14ac:dyDescent="0.2">
      <c r="P1206" s="36"/>
      <c r="Q1206" s="40"/>
      <c r="R1206" s="40"/>
      <c r="S1206" s="40"/>
      <c r="T1206" s="41"/>
      <c r="U1206" s="41"/>
      <c r="V1206" s="41"/>
      <c r="W1206" s="36"/>
      <c r="X1206" s="36"/>
      <c r="Y1206" s="36"/>
      <c r="Z1206" s="36"/>
      <c r="AA1206" s="36"/>
    </row>
    <row r="1207" spans="16:27" x14ac:dyDescent="0.2">
      <c r="P1207" s="36"/>
      <c r="Q1207" s="40"/>
      <c r="R1207" s="40"/>
      <c r="S1207" s="40"/>
      <c r="T1207" s="41"/>
      <c r="U1207" s="41"/>
      <c r="V1207" s="41"/>
      <c r="W1207" s="36"/>
      <c r="X1207" s="36"/>
      <c r="Y1207" s="36"/>
      <c r="Z1207" s="36"/>
      <c r="AA1207" s="36"/>
    </row>
    <row r="1208" spans="16:27" x14ac:dyDescent="0.2">
      <c r="P1208" s="36"/>
      <c r="Q1208" s="40"/>
      <c r="R1208" s="40"/>
      <c r="S1208" s="40"/>
      <c r="T1208" s="41"/>
      <c r="U1208" s="41"/>
      <c r="V1208" s="41"/>
      <c r="W1208" s="36"/>
      <c r="X1208" s="36"/>
      <c r="Y1208" s="36"/>
      <c r="Z1208" s="36"/>
      <c r="AA1208" s="36"/>
    </row>
    <row r="1209" spans="16:27" x14ac:dyDescent="0.2">
      <c r="P1209" s="36"/>
      <c r="Q1209" s="40"/>
      <c r="R1209" s="40"/>
      <c r="S1209" s="40"/>
      <c r="T1209" s="41"/>
      <c r="U1209" s="41"/>
      <c r="V1209" s="41"/>
      <c r="W1209" s="36"/>
      <c r="X1209" s="36"/>
      <c r="Y1209" s="36"/>
      <c r="Z1209" s="36"/>
      <c r="AA1209" s="36"/>
    </row>
    <row r="1210" spans="16:27" x14ac:dyDescent="0.2">
      <c r="P1210" s="36"/>
      <c r="Q1210" s="40"/>
      <c r="R1210" s="40"/>
      <c r="S1210" s="40"/>
      <c r="T1210" s="41"/>
      <c r="U1210" s="41"/>
      <c r="V1210" s="41"/>
      <c r="W1210" s="36"/>
      <c r="X1210" s="36"/>
      <c r="Y1210" s="36"/>
      <c r="Z1210" s="36"/>
      <c r="AA1210" s="36"/>
    </row>
    <row r="1211" spans="16:27" x14ac:dyDescent="0.2">
      <c r="P1211" s="36"/>
      <c r="Q1211" s="40"/>
      <c r="R1211" s="40"/>
      <c r="S1211" s="40"/>
      <c r="T1211" s="41"/>
      <c r="U1211" s="41"/>
      <c r="V1211" s="41"/>
      <c r="W1211" s="36"/>
      <c r="X1211" s="36"/>
      <c r="Y1211" s="36"/>
      <c r="Z1211" s="36"/>
      <c r="AA1211" s="36"/>
    </row>
    <row r="1212" spans="16:27" x14ac:dyDescent="0.2">
      <c r="P1212" s="36"/>
      <c r="Q1212" s="40"/>
      <c r="R1212" s="40"/>
      <c r="S1212" s="40"/>
      <c r="T1212" s="41"/>
      <c r="U1212" s="41"/>
      <c r="V1212" s="41"/>
      <c r="W1212" s="36"/>
      <c r="X1212" s="36"/>
      <c r="Y1212" s="36"/>
      <c r="Z1212" s="36"/>
      <c r="AA1212" s="36"/>
    </row>
    <row r="1213" spans="16:27" x14ac:dyDescent="0.2">
      <c r="P1213" s="36"/>
      <c r="Q1213" s="40"/>
      <c r="R1213" s="40"/>
      <c r="S1213" s="40"/>
      <c r="T1213" s="41"/>
      <c r="U1213" s="41"/>
      <c r="V1213" s="41"/>
      <c r="W1213" s="36"/>
      <c r="X1213" s="36"/>
      <c r="Y1213" s="36"/>
      <c r="Z1213" s="36"/>
      <c r="AA1213" s="36"/>
    </row>
    <row r="1214" spans="16:27" x14ac:dyDescent="0.2">
      <c r="P1214" s="36"/>
      <c r="Q1214" s="40"/>
      <c r="R1214" s="40"/>
      <c r="S1214" s="40"/>
      <c r="T1214" s="41"/>
      <c r="U1214" s="41"/>
      <c r="V1214" s="41"/>
      <c r="W1214" s="36"/>
      <c r="X1214" s="36"/>
      <c r="Y1214" s="36"/>
      <c r="Z1214" s="36"/>
      <c r="AA1214" s="36"/>
    </row>
    <row r="1215" spans="16:27" x14ac:dyDescent="0.2">
      <c r="P1215" s="36"/>
      <c r="Q1215" s="40"/>
      <c r="R1215" s="40"/>
      <c r="S1215" s="40"/>
      <c r="T1215" s="41"/>
      <c r="U1215" s="41"/>
      <c r="V1215" s="41"/>
      <c r="W1215" s="36"/>
      <c r="X1215" s="36"/>
      <c r="Y1215" s="36"/>
      <c r="Z1215" s="36"/>
      <c r="AA1215" s="36"/>
    </row>
    <row r="1216" spans="16:27" x14ac:dyDescent="0.2">
      <c r="P1216" s="36"/>
      <c r="Q1216" s="40"/>
      <c r="R1216" s="40"/>
      <c r="S1216" s="40"/>
      <c r="T1216" s="41"/>
      <c r="U1216" s="41"/>
      <c r="V1216" s="41"/>
      <c r="W1216" s="36"/>
      <c r="X1216" s="36"/>
      <c r="Y1216" s="36"/>
      <c r="Z1216" s="36"/>
      <c r="AA1216" s="36"/>
    </row>
    <row r="1217" spans="16:27" x14ac:dyDescent="0.2">
      <c r="P1217" s="36"/>
      <c r="Q1217" s="40"/>
      <c r="R1217" s="40"/>
      <c r="S1217" s="40"/>
      <c r="T1217" s="41"/>
      <c r="U1217" s="41"/>
      <c r="V1217" s="41"/>
      <c r="W1217" s="36"/>
      <c r="X1217" s="36"/>
      <c r="Y1217" s="36"/>
      <c r="Z1217" s="36"/>
      <c r="AA1217" s="36"/>
    </row>
    <row r="1218" spans="16:27" x14ac:dyDescent="0.2">
      <c r="P1218" s="36"/>
      <c r="Q1218" s="40"/>
      <c r="R1218" s="40"/>
      <c r="S1218" s="40"/>
      <c r="T1218" s="41"/>
      <c r="U1218" s="41"/>
      <c r="V1218" s="41"/>
      <c r="W1218" s="36"/>
      <c r="X1218" s="36"/>
      <c r="Y1218" s="36"/>
      <c r="Z1218" s="36"/>
      <c r="AA1218" s="36"/>
    </row>
    <row r="1219" spans="16:27" x14ac:dyDescent="0.2">
      <c r="P1219" s="36"/>
      <c r="Q1219" s="40"/>
      <c r="R1219" s="40"/>
      <c r="S1219" s="40"/>
      <c r="T1219" s="41"/>
      <c r="U1219" s="41"/>
      <c r="V1219" s="41"/>
      <c r="W1219" s="36"/>
      <c r="X1219" s="36"/>
      <c r="Y1219" s="36"/>
      <c r="Z1219" s="36"/>
      <c r="AA1219" s="36"/>
    </row>
    <row r="1220" spans="16:27" x14ac:dyDescent="0.2">
      <c r="P1220" s="36"/>
      <c r="Q1220" s="40"/>
      <c r="R1220" s="40"/>
      <c r="S1220" s="40"/>
      <c r="T1220" s="41"/>
      <c r="U1220" s="41"/>
      <c r="V1220" s="41"/>
      <c r="W1220" s="36"/>
      <c r="X1220" s="36"/>
      <c r="Y1220" s="36"/>
      <c r="Z1220" s="36"/>
      <c r="AA1220" s="36"/>
    </row>
    <row r="1221" spans="16:27" x14ac:dyDescent="0.2">
      <c r="P1221" s="36"/>
      <c r="Q1221" s="40"/>
      <c r="R1221" s="40"/>
      <c r="S1221" s="40"/>
      <c r="T1221" s="41"/>
      <c r="U1221" s="41"/>
      <c r="V1221" s="41"/>
      <c r="W1221" s="36"/>
      <c r="X1221" s="36"/>
      <c r="Y1221" s="36"/>
      <c r="Z1221" s="36"/>
      <c r="AA1221" s="36"/>
    </row>
    <row r="1222" spans="16:27" x14ac:dyDescent="0.2">
      <c r="P1222" s="36"/>
      <c r="Q1222" s="40"/>
      <c r="R1222" s="40"/>
      <c r="S1222" s="40"/>
      <c r="T1222" s="41"/>
      <c r="U1222" s="41"/>
      <c r="V1222" s="41"/>
      <c r="W1222" s="36"/>
      <c r="X1222" s="36"/>
      <c r="Y1222" s="36"/>
      <c r="Z1222" s="36"/>
      <c r="AA1222" s="36"/>
    </row>
    <row r="1223" spans="16:27" x14ac:dyDescent="0.2">
      <c r="P1223" s="36"/>
      <c r="Q1223" s="40"/>
      <c r="R1223" s="40"/>
      <c r="S1223" s="40"/>
      <c r="T1223" s="41"/>
      <c r="U1223" s="41"/>
      <c r="V1223" s="41"/>
      <c r="W1223" s="36"/>
      <c r="X1223" s="36"/>
      <c r="Y1223" s="36"/>
      <c r="Z1223" s="36"/>
      <c r="AA1223" s="36"/>
    </row>
    <row r="1224" spans="16:27" x14ac:dyDescent="0.2">
      <c r="P1224" s="36"/>
      <c r="Q1224" s="40"/>
      <c r="R1224" s="40"/>
      <c r="S1224" s="40"/>
      <c r="T1224" s="41"/>
      <c r="U1224" s="41"/>
      <c r="V1224" s="41"/>
      <c r="W1224" s="36"/>
      <c r="X1224" s="36"/>
      <c r="Y1224" s="36"/>
      <c r="Z1224" s="36"/>
      <c r="AA1224" s="36"/>
    </row>
    <row r="1225" spans="16:27" x14ac:dyDescent="0.2">
      <c r="P1225" s="36"/>
      <c r="Q1225" s="40"/>
      <c r="R1225" s="40"/>
      <c r="S1225" s="40"/>
      <c r="T1225" s="41"/>
      <c r="U1225" s="41"/>
      <c r="V1225" s="41"/>
      <c r="W1225" s="36"/>
      <c r="X1225" s="36"/>
      <c r="Y1225" s="36"/>
      <c r="Z1225" s="36"/>
      <c r="AA1225" s="36"/>
    </row>
    <row r="1226" spans="16:27" x14ac:dyDescent="0.2">
      <c r="P1226" s="36"/>
      <c r="Q1226" s="40"/>
      <c r="R1226" s="40"/>
      <c r="S1226" s="40"/>
      <c r="T1226" s="41"/>
      <c r="U1226" s="41"/>
      <c r="V1226" s="41"/>
      <c r="W1226" s="36"/>
      <c r="X1226" s="36"/>
      <c r="Y1226" s="36"/>
      <c r="Z1226" s="36"/>
      <c r="AA1226" s="36"/>
    </row>
    <row r="1227" spans="16:27" x14ac:dyDescent="0.2">
      <c r="P1227" s="36"/>
      <c r="Q1227" s="40"/>
      <c r="R1227" s="40"/>
      <c r="S1227" s="40"/>
      <c r="T1227" s="41"/>
      <c r="U1227" s="41"/>
      <c r="V1227" s="41"/>
      <c r="W1227" s="36"/>
      <c r="X1227" s="36"/>
      <c r="Y1227" s="36"/>
      <c r="Z1227" s="36"/>
      <c r="AA1227" s="36"/>
    </row>
    <row r="1228" spans="16:27" x14ac:dyDescent="0.2">
      <c r="P1228" s="36"/>
      <c r="Q1228" s="40"/>
      <c r="R1228" s="40"/>
      <c r="S1228" s="40"/>
      <c r="T1228" s="41"/>
      <c r="U1228" s="41"/>
      <c r="V1228" s="41"/>
      <c r="W1228" s="36"/>
      <c r="X1228" s="36"/>
      <c r="Y1228" s="36"/>
      <c r="Z1228" s="36"/>
      <c r="AA1228" s="36"/>
    </row>
    <row r="1229" spans="16:27" x14ac:dyDescent="0.2">
      <c r="P1229" s="36"/>
      <c r="Q1229" s="40"/>
      <c r="R1229" s="40"/>
      <c r="S1229" s="40"/>
      <c r="T1229" s="41"/>
      <c r="U1229" s="41"/>
      <c r="V1229" s="41"/>
      <c r="W1229" s="36"/>
      <c r="X1229" s="36"/>
      <c r="Y1229" s="36"/>
      <c r="Z1229" s="36"/>
      <c r="AA1229" s="36"/>
    </row>
    <row r="1230" spans="16:27" x14ac:dyDescent="0.2">
      <c r="P1230" s="36"/>
      <c r="Q1230" s="40"/>
      <c r="R1230" s="40"/>
      <c r="S1230" s="40"/>
      <c r="T1230" s="41"/>
      <c r="U1230" s="41"/>
      <c r="V1230" s="41"/>
      <c r="W1230" s="36"/>
      <c r="X1230" s="36"/>
      <c r="Y1230" s="36"/>
      <c r="Z1230" s="36"/>
      <c r="AA1230" s="36"/>
    </row>
    <row r="1231" spans="16:27" x14ac:dyDescent="0.2">
      <c r="P1231" s="36"/>
      <c r="Q1231" s="40"/>
      <c r="R1231" s="40"/>
      <c r="S1231" s="40"/>
      <c r="T1231" s="41"/>
      <c r="U1231" s="41"/>
      <c r="V1231" s="41"/>
      <c r="W1231" s="36"/>
      <c r="X1231" s="36"/>
      <c r="Y1231" s="36"/>
      <c r="Z1231" s="36"/>
      <c r="AA1231" s="36"/>
    </row>
    <row r="1232" spans="16:27" x14ac:dyDescent="0.2">
      <c r="P1232" s="36"/>
      <c r="Q1232" s="40"/>
      <c r="R1232" s="40"/>
      <c r="S1232" s="40"/>
      <c r="T1232" s="41"/>
      <c r="U1232" s="41"/>
      <c r="V1232" s="41"/>
      <c r="W1232" s="36"/>
      <c r="X1232" s="36"/>
      <c r="Y1232" s="36"/>
      <c r="Z1232" s="36"/>
      <c r="AA1232" s="36"/>
    </row>
    <row r="1233" spans="16:27" x14ac:dyDescent="0.2">
      <c r="P1233" s="36"/>
      <c r="Q1233" s="40"/>
      <c r="R1233" s="40"/>
      <c r="S1233" s="40"/>
      <c r="T1233" s="41"/>
      <c r="U1233" s="41"/>
      <c r="V1233" s="41"/>
      <c r="W1233" s="36"/>
      <c r="X1233" s="36"/>
      <c r="Y1233" s="36"/>
      <c r="Z1233" s="36"/>
      <c r="AA1233" s="36"/>
    </row>
    <row r="1234" spans="16:27" x14ac:dyDescent="0.2">
      <c r="P1234" s="36"/>
      <c r="Q1234" s="40"/>
      <c r="R1234" s="40"/>
      <c r="S1234" s="40"/>
      <c r="T1234" s="41"/>
      <c r="U1234" s="41"/>
      <c r="V1234" s="41"/>
      <c r="W1234" s="36"/>
      <c r="X1234" s="36"/>
      <c r="Y1234" s="36"/>
      <c r="Z1234" s="36"/>
      <c r="AA1234" s="36"/>
    </row>
    <row r="1235" spans="16:27" x14ac:dyDescent="0.2">
      <c r="P1235" s="36"/>
      <c r="Q1235" s="40"/>
      <c r="R1235" s="40"/>
      <c r="S1235" s="40"/>
      <c r="T1235" s="41"/>
      <c r="U1235" s="41"/>
      <c r="V1235" s="41"/>
      <c r="W1235" s="36"/>
      <c r="X1235" s="36"/>
      <c r="Y1235" s="36"/>
      <c r="Z1235" s="36"/>
      <c r="AA1235" s="36"/>
    </row>
    <row r="1236" spans="16:27" x14ac:dyDescent="0.2">
      <c r="P1236" s="36"/>
      <c r="Q1236" s="40"/>
      <c r="R1236" s="40"/>
      <c r="S1236" s="40"/>
      <c r="T1236" s="41"/>
      <c r="U1236" s="41"/>
      <c r="V1236" s="41"/>
      <c r="W1236" s="36"/>
      <c r="X1236" s="36"/>
      <c r="Y1236" s="36"/>
      <c r="Z1236" s="36"/>
      <c r="AA1236" s="36"/>
    </row>
    <row r="1237" spans="16:27" x14ac:dyDescent="0.2">
      <c r="P1237" s="36"/>
      <c r="Q1237" s="40"/>
      <c r="R1237" s="40"/>
      <c r="S1237" s="40"/>
      <c r="T1237" s="41"/>
      <c r="U1237" s="41"/>
      <c r="V1237" s="41"/>
      <c r="W1237" s="36"/>
      <c r="X1237" s="36"/>
      <c r="Y1237" s="36"/>
      <c r="Z1237" s="36"/>
      <c r="AA1237" s="36"/>
    </row>
    <row r="1238" spans="16:27" x14ac:dyDescent="0.2">
      <c r="P1238" s="36"/>
      <c r="Q1238" s="40"/>
      <c r="R1238" s="40"/>
      <c r="S1238" s="40"/>
      <c r="T1238" s="41"/>
      <c r="U1238" s="41"/>
      <c r="V1238" s="41"/>
      <c r="W1238" s="36"/>
      <c r="X1238" s="36"/>
      <c r="Y1238" s="36"/>
      <c r="Z1238" s="36"/>
      <c r="AA1238" s="36"/>
    </row>
    <row r="1239" spans="16:27" x14ac:dyDescent="0.2">
      <c r="P1239" s="36"/>
      <c r="Q1239" s="40"/>
      <c r="R1239" s="40"/>
      <c r="S1239" s="40"/>
      <c r="T1239" s="41"/>
      <c r="U1239" s="41"/>
      <c r="V1239" s="41"/>
      <c r="W1239" s="36"/>
      <c r="X1239" s="36"/>
      <c r="Y1239" s="36"/>
      <c r="Z1239" s="36"/>
      <c r="AA1239" s="36"/>
    </row>
    <row r="1240" spans="16:27" x14ac:dyDescent="0.2">
      <c r="P1240" s="36"/>
      <c r="Q1240" s="40"/>
      <c r="R1240" s="40"/>
      <c r="S1240" s="40"/>
      <c r="T1240" s="41"/>
      <c r="U1240" s="41"/>
      <c r="V1240" s="41"/>
      <c r="W1240" s="36"/>
      <c r="X1240" s="36"/>
      <c r="Y1240" s="36"/>
      <c r="Z1240" s="36"/>
      <c r="AA1240" s="36"/>
    </row>
    <row r="1241" spans="16:27" x14ac:dyDescent="0.2">
      <c r="P1241" s="36"/>
      <c r="Q1241" s="40"/>
      <c r="R1241" s="40"/>
      <c r="S1241" s="40"/>
      <c r="T1241" s="41"/>
      <c r="U1241" s="41"/>
      <c r="V1241" s="41"/>
      <c r="W1241" s="36"/>
      <c r="X1241" s="36"/>
      <c r="Y1241" s="36"/>
      <c r="Z1241" s="36"/>
      <c r="AA1241" s="36"/>
    </row>
    <row r="1242" spans="16:27" x14ac:dyDescent="0.2">
      <c r="P1242" s="36"/>
      <c r="Q1242" s="40"/>
      <c r="R1242" s="40"/>
      <c r="S1242" s="40"/>
      <c r="T1242" s="41"/>
      <c r="U1242" s="41"/>
      <c r="V1242" s="41"/>
      <c r="W1242" s="36"/>
      <c r="X1242" s="36"/>
      <c r="Y1242" s="36"/>
      <c r="Z1242" s="36"/>
      <c r="AA1242" s="36"/>
    </row>
    <row r="1243" spans="16:27" x14ac:dyDescent="0.2">
      <c r="P1243" s="36"/>
      <c r="Q1243" s="40"/>
      <c r="R1243" s="40"/>
      <c r="S1243" s="40"/>
      <c r="T1243" s="41"/>
      <c r="U1243" s="41"/>
      <c r="V1243" s="41"/>
      <c r="W1243" s="36"/>
      <c r="X1243" s="36"/>
      <c r="Y1243" s="36"/>
      <c r="Z1243" s="36"/>
      <c r="AA1243" s="36"/>
    </row>
    <row r="1244" spans="16:27" x14ac:dyDescent="0.2">
      <c r="P1244" s="36"/>
      <c r="Q1244" s="40"/>
      <c r="R1244" s="40"/>
      <c r="S1244" s="40"/>
      <c r="T1244" s="41"/>
      <c r="U1244" s="41"/>
      <c r="V1244" s="41"/>
      <c r="W1244" s="36"/>
      <c r="X1244" s="36"/>
      <c r="Y1244" s="36"/>
      <c r="Z1244" s="36"/>
      <c r="AA1244" s="36"/>
    </row>
    <row r="1245" spans="16:27" x14ac:dyDescent="0.2">
      <c r="P1245" s="36"/>
      <c r="Q1245" s="40"/>
      <c r="R1245" s="40"/>
      <c r="S1245" s="40"/>
      <c r="T1245" s="41"/>
      <c r="U1245" s="41"/>
      <c r="V1245" s="41"/>
      <c r="W1245" s="36"/>
      <c r="X1245" s="36"/>
      <c r="Y1245" s="36"/>
      <c r="Z1245" s="36"/>
      <c r="AA1245" s="36"/>
    </row>
    <row r="1246" spans="16:27" x14ac:dyDescent="0.2">
      <c r="P1246" s="36"/>
      <c r="Q1246" s="40"/>
      <c r="R1246" s="40"/>
      <c r="S1246" s="40"/>
      <c r="T1246" s="41"/>
      <c r="U1246" s="41"/>
      <c r="V1246" s="41"/>
      <c r="W1246" s="36"/>
      <c r="X1246" s="36"/>
      <c r="Y1246" s="36"/>
      <c r="Z1246" s="36"/>
      <c r="AA1246" s="36"/>
    </row>
    <row r="1247" spans="16:27" x14ac:dyDescent="0.2">
      <c r="P1247" s="36"/>
      <c r="Q1247" s="40"/>
      <c r="R1247" s="40"/>
      <c r="S1247" s="40"/>
      <c r="T1247" s="41"/>
      <c r="U1247" s="41"/>
      <c r="V1247" s="41"/>
      <c r="W1247" s="36"/>
      <c r="X1247" s="36"/>
      <c r="Y1247" s="36"/>
      <c r="Z1247" s="36"/>
      <c r="AA1247" s="36"/>
    </row>
    <row r="1248" spans="16:27" x14ac:dyDescent="0.2">
      <c r="P1248" s="36"/>
      <c r="Q1248" s="40"/>
      <c r="R1248" s="40"/>
      <c r="S1248" s="40"/>
      <c r="T1248" s="41"/>
      <c r="U1248" s="41"/>
      <c r="V1248" s="41"/>
      <c r="W1248" s="36"/>
      <c r="X1248" s="36"/>
      <c r="Y1248" s="36"/>
      <c r="Z1248" s="36"/>
      <c r="AA1248" s="36"/>
    </row>
    <row r="1249" spans="16:27" x14ac:dyDescent="0.2">
      <c r="P1249" s="36"/>
      <c r="Q1249" s="40"/>
      <c r="R1249" s="40"/>
      <c r="S1249" s="40"/>
      <c r="T1249" s="41"/>
      <c r="U1249" s="41"/>
      <c r="V1249" s="41"/>
      <c r="W1249" s="36"/>
      <c r="X1249" s="36"/>
      <c r="Y1249" s="36"/>
      <c r="Z1249" s="36"/>
      <c r="AA1249" s="36"/>
    </row>
    <row r="1250" spans="16:27" x14ac:dyDescent="0.2">
      <c r="P1250" s="36"/>
      <c r="Q1250" s="40"/>
      <c r="R1250" s="40"/>
      <c r="S1250" s="40"/>
      <c r="T1250" s="41"/>
      <c r="U1250" s="41"/>
      <c r="V1250" s="41"/>
      <c r="W1250" s="36"/>
      <c r="X1250" s="36"/>
      <c r="Y1250" s="36"/>
      <c r="Z1250" s="36"/>
      <c r="AA1250" s="36"/>
    </row>
    <row r="1251" spans="16:27" x14ac:dyDescent="0.2">
      <c r="P1251" s="36"/>
      <c r="Q1251" s="40"/>
      <c r="R1251" s="40"/>
      <c r="S1251" s="40"/>
      <c r="T1251" s="41"/>
      <c r="U1251" s="41"/>
      <c r="V1251" s="41"/>
      <c r="W1251" s="36"/>
      <c r="X1251" s="36"/>
      <c r="Y1251" s="36"/>
      <c r="Z1251" s="36"/>
      <c r="AA1251" s="36"/>
    </row>
    <row r="1252" spans="16:27" x14ac:dyDescent="0.2">
      <c r="P1252" s="36"/>
      <c r="Q1252" s="40"/>
      <c r="R1252" s="40"/>
      <c r="S1252" s="40"/>
      <c r="T1252" s="41"/>
      <c r="U1252" s="41"/>
      <c r="V1252" s="41"/>
      <c r="W1252" s="36"/>
      <c r="X1252" s="36"/>
      <c r="Y1252" s="36"/>
      <c r="Z1252" s="36"/>
      <c r="AA1252" s="36"/>
    </row>
    <row r="1253" spans="16:27" x14ac:dyDescent="0.2">
      <c r="P1253" s="36"/>
      <c r="Q1253" s="40"/>
      <c r="R1253" s="40"/>
      <c r="S1253" s="40"/>
      <c r="T1253" s="41"/>
      <c r="U1253" s="41"/>
      <c r="V1253" s="41"/>
      <c r="W1253" s="36"/>
      <c r="X1253" s="36"/>
      <c r="Y1253" s="36"/>
      <c r="Z1253" s="36"/>
      <c r="AA1253" s="36"/>
    </row>
    <row r="1254" spans="16:27" x14ac:dyDescent="0.2">
      <c r="P1254" s="36"/>
      <c r="Q1254" s="40"/>
      <c r="R1254" s="40"/>
      <c r="S1254" s="40"/>
      <c r="T1254" s="41"/>
      <c r="U1254" s="41"/>
      <c r="V1254" s="41"/>
      <c r="W1254" s="36"/>
      <c r="X1254" s="36"/>
      <c r="Y1254" s="36"/>
      <c r="Z1254" s="36"/>
      <c r="AA1254" s="36"/>
    </row>
    <row r="1255" spans="16:27" x14ac:dyDescent="0.2">
      <c r="P1255" s="36"/>
      <c r="Q1255" s="40"/>
      <c r="R1255" s="40"/>
      <c r="S1255" s="40"/>
      <c r="T1255" s="41"/>
      <c r="U1255" s="41"/>
      <c r="V1255" s="41"/>
      <c r="W1255" s="36"/>
      <c r="X1255" s="36"/>
      <c r="Y1255" s="36"/>
      <c r="Z1255" s="36"/>
      <c r="AA1255" s="36"/>
    </row>
    <row r="1256" spans="16:27" x14ac:dyDescent="0.2">
      <c r="P1256" s="36"/>
      <c r="Q1256" s="40"/>
      <c r="R1256" s="40"/>
      <c r="S1256" s="40"/>
      <c r="T1256" s="41"/>
      <c r="U1256" s="41"/>
      <c r="V1256" s="41"/>
      <c r="W1256" s="36"/>
      <c r="X1256" s="36"/>
      <c r="Y1256" s="36"/>
      <c r="Z1256" s="36"/>
      <c r="AA1256" s="36"/>
    </row>
    <row r="1257" spans="16:27" x14ac:dyDescent="0.2">
      <c r="P1257" s="36"/>
      <c r="Q1257" s="40"/>
      <c r="R1257" s="40"/>
      <c r="S1257" s="40"/>
      <c r="T1257" s="41"/>
      <c r="U1257" s="41"/>
      <c r="V1257" s="41"/>
      <c r="W1257" s="36"/>
      <c r="X1257" s="36"/>
      <c r="Y1257" s="36"/>
      <c r="Z1257" s="36"/>
      <c r="AA1257" s="36"/>
    </row>
    <row r="1258" spans="16:27" x14ac:dyDescent="0.2">
      <c r="P1258" s="36"/>
      <c r="Q1258" s="40"/>
      <c r="R1258" s="40"/>
      <c r="S1258" s="40"/>
      <c r="T1258" s="41"/>
      <c r="U1258" s="41"/>
      <c r="V1258" s="41"/>
      <c r="W1258" s="36"/>
      <c r="X1258" s="36"/>
      <c r="Y1258" s="36"/>
      <c r="Z1258" s="36"/>
      <c r="AA1258" s="36"/>
    </row>
    <row r="1259" spans="16:27" x14ac:dyDescent="0.2">
      <c r="P1259" s="36"/>
      <c r="Q1259" s="40"/>
      <c r="R1259" s="40"/>
      <c r="S1259" s="40"/>
      <c r="T1259" s="41"/>
      <c r="U1259" s="41"/>
      <c r="V1259" s="41"/>
      <c r="W1259" s="36"/>
      <c r="X1259" s="36"/>
      <c r="Y1259" s="36"/>
      <c r="Z1259" s="36"/>
      <c r="AA1259" s="36"/>
    </row>
    <row r="1260" spans="16:27" x14ac:dyDescent="0.2">
      <c r="P1260" s="36"/>
      <c r="Q1260" s="40"/>
      <c r="R1260" s="40"/>
      <c r="S1260" s="40"/>
      <c r="T1260" s="41"/>
      <c r="U1260" s="41"/>
      <c r="V1260" s="41"/>
      <c r="W1260" s="36"/>
      <c r="X1260" s="36"/>
      <c r="Y1260" s="36"/>
      <c r="Z1260" s="36"/>
      <c r="AA1260" s="36"/>
    </row>
    <row r="1261" spans="16:27" x14ac:dyDescent="0.2">
      <c r="P1261" s="36"/>
      <c r="Q1261" s="40"/>
      <c r="R1261" s="40"/>
      <c r="S1261" s="40"/>
      <c r="T1261" s="41"/>
      <c r="U1261" s="41"/>
      <c r="V1261" s="41"/>
      <c r="W1261" s="36"/>
      <c r="X1261" s="36"/>
      <c r="Y1261" s="36"/>
      <c r="Z1261" s="36"/>
      <c r="AA1261" s="36"/>
    </row>
    <row r="1262" spans="16:27" x14ac:dyDescent="0.2">
      <c r="P1262" s="36"/>
      <c r="Q1262" s="40"/>
      <c r="R1262" s="40"/>
      <c r="S1262" s="40"/>
      <c r="T1262" s="41"/>
      <c r="U1262" s="41"/>
      <c r="V1262" s="41"/>
      <c r="W1262" s="36"/>
      <c r="X1262" s="36"/>
      <c r="Y1262" s="36"/>
      <c r="Z1262" s="36"/>
      <c r="AA1262" s="36"/>
    </row>
    <row r="1263" spans="16:27" x14ac:dyDescent="0.2">
      <c r="P1263" s="36"/>
      <c r="Q1263" s="40"/>
      <c r="R1263" s="40"/>
      <c r="S1263" s="40"/>
      <c r="T1263" s="41"/>
      <c r="U1263" s="41"/>
      <c r="V1263" s="41"/>
      <c r="W1263" s="36"/>
      <c r="X1263" s="36"/>
      <c r="Y1263" s="36"/>
      <c r="Z1263" s="36"/>
      <c r="AA1263" s="36"/>
    </row>
    <row r="1264" spans="16:27" x14ac:dyDescent="0.2">
      <c r="P1264" s="36"/>
      <c r="Q1264" s="40"/>
      <c r="R1264" s="40"/>
      <c r="S1264" s="40"/>
      <c r="T1264" s="41"/>
      <c r="U1264" s="41"/>
      <c r="V1264" s="41"/>
      <c r="W1264" s="36"/>
      <c r="X1264" s="36"/>
      <c r="Y1264" s="36"/>
      <c r="Z1264" s="36"/>
      <c r="AA1264" s="36"/>
    </row>
    <row r="1265" spans="16:27" x14ac:dyDescent="0.2">
      <c r="P1265" s="36"/>
      <c r="Q1265" s="40"/>
      <c r="R1265" s="40"/>
      <c r="S1265" s="40"/>
      <c r="T1265" s="41"/>
      <c r="U1265" s="41"/>
      <c r="V1265" s="41"/>
      <c r="W1265" s="36"/>
      <c r="X1265" s="36"/>
      <c r="Y1265" s="36"/>
      <c r="Z1265" s="36"/>
      <c r="AA1265" s="36"/>
    </row>
    <row r="1266" spans="16:27" x14ac:dyDescent="0.2">
      <c r="P1266" s="36"/>
      <c r="Q1266" s="40"/>
      <c r="R1266" s="40"/>
      <c r="S1266" s="40"/>
      <c r="T1266" s="41"/>
      <c r="U1266" s="41"/>
      <c r="V1266" s="41"/>
      <c r="W1266" s="36"/>
      <c r="X1266" s="36"/>
      <c r="Y1266" s="36"/>
      <c r="Z1266" s="36"/>
      <c r="AA1266" s="36"/>
    </row>
    <row r="1267" spans="16:27" x14ac:dyDescent="0.2">
      <c r="P1267" s="36"/>
      <c r="Q1267" s="40"/>
      <c r="R1267" s="40"/>
      <c r="S1267" s="40"/>
      <c r="T1267" s="41"/>
      <c r="U1267" s="41"/>
      <c r="V1267" s="41"/>
      <c r="W1267" s="36"/>
      <c r="X1267" s="36"/>
      <c r="Y1267" s="36"/>
      <c r="Z1267" s="36"/>
      <c r="AA1267" s="36"/>
    </row>
    <row r="1268" spans="16:27" x14ac:dyDescent="0.2">
      <c r="P1268" s="36"/>
      <c r="Q1268" s="40"/>
      <c r="R1268" s="40"/>
      <c r="S1268" s="40"/>
      <c r="T1268" s="41"/>
      <c r="U1268" s="41"/>
      <c r="V1268" s="41"/>
      <c r="W1268" s="36"/>
      <c r="X1268" s="36"/>
      <c r="Y1268" s="36"/>
      <c r="Z1268" s="36"/>
      <c r="AA1268" s="36"/>
    </row>
    <row r="1269" spans="16:27" x14ac:dyDescent="0.2">
      <c r="P1269" s="36"/>
      <c r="Q1269" s="40"/>
      <c r="R1269" s="40"/>
      <c r="S1269" s="40"/>
      <c r="T1269" s="41"/>
      <c r="U1269" s="41"/>
      <c r="V1269" s="41"/>
      <c r="W1269" s="36"/>
      <c r="X1269" s="36"/>
      <c r="Y1269" s="36"/>
      <c r="Z1269" s="36"/>
      <c r="AA1269" s="36"/>
    </row>
    <row r="1270" spans="16:27" x14ac:dyDescent="0.2">
      <c r="P1270" s="36"/>
      <c r="Q1270" s="40"/>
      <c r="R1270" s="40"/>
      <c r="S1270" s="40"/>
      <c r="T1270" s="41"/>
      <c r="U1270" s="41"/>
      <c r="V1270" s="41"/>
      <c r="W1270" s="36"/>
      <c r="X1270" s="36"/>
      <c r="Y1270" s="36"/>
      <c r="Z1270" s="36"/>
      <c r="AA1270" s="36"/>
    </row>
    <row r="1271" spans="16:27" x14ac:dyDescent="0.2">
      <c r="P1271" s="36"/>
      <c r="Q1271" s="40"/>
      <c r="R1271" s="40"/>
      <c r="S1271" s="40"/>
      <c r="T1271" s="41"/>
      <c r="U1271" s="41"/>
      <c r="V1271" s="41"/>
      <c r="W1271" s="36"/>
      <c r="X1271" s="36"/>
      <c r="Y1271" s="36"/>
      <c r="Z1271" s="36"/>
      <c r="AA1271" s="36"/>
    </row>
    <row r="1272" spans="16:27" x14ac:dyDescent="0.2">
      <c r="P1272" s="36"/>
      <c r="Q1272" s="40"/>
      <c r="R1272" s="40"/>
      <c r="S1272" s="40"/>
      <c r="T1272" s="41"/>
      <c r="U1272" s="41"/>
      <c r="V1272" s="41"/>
      <c r="W1272" s="36"/>
      <c r="X1272" s="36"/>
      <c r="Y1272" s="36"/>
      <c r="Z1272" s="36"/>
      <c r="AA1272" s="36"/>
    </row>
    <row r="1273" spans="16:27" x14ac:dyDescent="0.2">
      <c r="P1273" s="36"/>
      <c r="Q1273" s="40"/>
      <c r="R1273" s="40"/>
      <c r="S1273" s="40"/>
      <c r="T1273" s="41"/>
      <c r="U1273" s="41"/>
      <c r="V1273" s="41"/>
      <c r="W1273" s="36"/>
      <c r="X1273" s="36"/>
      <c r="Y1273" s="36"/>
      <c r="Z1273" s="36"/>
      <c r="AA1273" s="36"/>
    </row>
    <row r="1274" spans="16:27" x14ac:dyDescent="0.2">
      <c r="P1274" s="36"/>
      <c r="Q1274" s="40"/>
      <c r="R1274" s="40"/>
      <c r="S1274" s="40"/>
      <c r="T1274" s="41"/>
      <c r="U1274" s="41"/>
      <c r="V1274" s="41"/>
      <c r="W1274" s="36"/>
      <c r="X1274" s="36"/>
      <c r="Y1274" s="36"/>
      <c r="Z1274" s="36"/>
      <c r="AA1274" s="36"/>
    </row>
    <row r="1275" spans="16:27" x14ac:dyDescent="0.2">
      <c r="P1275" s="36"/>
      <c r="Q1275" s="40"/>
      <c r="R1275" s="40"/>
      <c r="S1275" s="40"/>
      <c r="T1275" s="41"/>
      <c r="U1275" s="41"/>
      <c r="V1275" s="41"/>
      <c r="W1275" s="36"/>
      <c r="X1275" s="36"/>
      <c r="Y1275" s="36"/>
      <c r="Z1275" s="36"/>
      <c r="AA1275" s="36"/>
    </row>
    <row r="1276" spans="16:27" x14ac:dyDescent="0.2">
      <c r="P1276" s="36"/>
      <c r="Q1276" s="40"/>
      <c r="R1276" s="40"/>
      <c r="S1276" s="40"/>
      <c r="T1276" s="41"/>
      <c r="U1276" s="41"/>
      <c r="V1276" s="41"/>
      <c r="W1276" s="36"/>
      <c r="X1276" s="36"/>
      <c r="Y1276" s="36"/>
      <c r="Z1276" s="36"/>
      <c r="AA1276" s="36"/>
    </row>
    <row r="1277" spans="16:27" x14ac:dyDescent="0.2">
      <c r="P1277" s="36"/>
      <c r="Q1277" s="40"/>
      <c r="R1277" s="40"/>
      <c r="S1277" s="40"/>
      <c r="T1277" s="41"/>
      <c r="U1277" s="41"/>
      <c r="V1277" s="41"/>
      <c r="W1277" s="36"/>
      <c r="X1277" s="36"/>
      <c r="Y1277" s="36"/>
      <c r="Z1277" s="36"/>
      <c r="AA1277" s="36"/>
    </row>
    <row r="1278" spans="16:27" x14ac:dyDescent="0.2">
      <c r="P1278" s="36"/>
      <c r="Q1278" s="40"/>
      <c r="R1278" s="40"/>
      <c r="S1278" s="40"/>
      <c r="T1278" s="41"/>
      <c r="U1278" s="41"/>
      <c r="V1278" s="41"/>
      <c r="W1278" s="36"/>
      <c r="X1278" s="36"/>
      <c r="Y1278" s="36"/>
      <c r="Z1278" s="36"/>
      <c r="AA1278" s="36"/>
    </row>
    <row r="1279" spans="16:27" x14ac:dyDescent="0.2">
      <c r="P1279" s="36"/>
      <c r="Q1279" s="40"/>
      <c r="R1279" s="40"/>
      <c r="S1279" s="40"/>
      <c r="T1279" s="41"/>
      <c r="U1279" s="41"/>
      <c r="V1279" s="41"/>
      <c r="W1279" s="36"/>
      <c r="X1279" s="36"/>
      <c r="Y1279" s="36"/>
      <c r="Z1279" s="36"/>
      <c r="AA1279" s="36"/>
    </row>
    <row r="1280" spans="16:27" x14ac:dyDescent="0.2">
      <c r="P1280" s="36"/>
      <c r="Q1280" s="40"/>
      <c r="R1280" s="40"/>
      <c r="S1280" s="40"/>
      <c r="T1280" s="41"/>
      <c r="U1280" s="41"/>
      <c r="V1280" s="41"/>
      <c r="W1280" s="36"/>
      <c r="X1280" s="36"/>
      <c r="Y1280" s="36"/>
      <c r="Z1280" s="36"/>
      <c r="AA1280" s="36"/>
    </row>
    <row r="1281" spans="16:27" x14ac:dyDescent="0.2">
      <c r="P1281" s="36"/>
      <c r="Q1281" s="40"/>
      <c r="R1281" s="40"/>
      <c r="S1281" s="40"/>
      <c r="T1281" s="41"/>
      <c r="U1281" s="41"/>
      <c r="V1281" s="41"/>
      <c r="W1281" s="36"/>
      <c r="X1281" s="36"/>
      <c r="Y1281" s="36"/>
      <c r="Z1281" s="36"/>
      <c r="AA1281" s="36"/>
    </row>
    <row r="1282" spans="16:27" x14ac:dyDescent="0.2">
      <c r="P1282" s="36"/>
      <c r="Q1282" s="40"/>
      <c r="R1282" s="40"/>
      <c r="S1282" s="40"/>
      <c r="T1282" s="41"/>
      <c r="U1282" s="41"/>
      <c r="V1282" s="41"/>
      <c r="W1282" s="36"/>
      <c r="X1282" s="36"/>
      <c r="Y1282" s="36"/>
      <c r="Z1282" s="36"/>
      <c r="AA1282" s="36"/>
    </row>
    <row r="1283" spans="16:27" x14ac:dyDescent="0.2">
      <c r="P1283" s="36"/>
      <c r="Q1283" s="40"/>
      <c r="R1283" s="40"/>
      <c r="S1283" s="40"/>
      <c r="T1283" s="41"/>
      <c r="U1283" s="41"/>
      <c r="V1283" s="41"/>
      <c r="W1283" s="36"/>
      <c r="X1283" s="36"/>
      <c r="Y1283" s="36"/>
      <c r="Z1283" s="36"/>
      <c r="AA1283" s="36"/>
    </row>
    <row r="1284" spans="16:27" x14ac:dyDescent="0.2">
      <c r="P1284" s="36"/>
      <c r="Q1284" s="40"/>
      <c r="R1284" s="40"/>
      <c r="S1284" s="40"/>
      <c r="T1284" s="41"/>
      <c r="U1284" s="41"/>
      <c r="V1284" s="41"/>
      <c r="W1284" s="36"/>
      <c r="X1284" s="36"/>
      <c r="Y1284" s="36"/>
      <c r="Z1284" s="36"/>
      <c r="AA1284" s="36"/>
    </row>
    <row r="1285" spans="16:27" x14ac:dyDescent="0.2">
      <c r="P1285" s="36"/>
      <c r="Q1285" s="40"/>
      <c r="R1285" s="40"/>
      <c r="S1285" s="40"/>
      <c r="T1285" s="41"/>
      <c r="U1285" s="41"/>
      <c r="V1285" s="41"/>
      <c r="W1285" s="36"/>
      <c r="X1285" s="36"/>
      <c r="Y1285" s="36"/>
      <c r="Z1285" s="36"/>
      <c r="AA1285" s="36"/>
    </row>
    <row r="1286" spans="16:27" x14ac:dyDescent="0.2">
      <c r="P1286" s="36"/>
      <c r="Q1286" s="40"/>
      <c r="R1286" s="40"/>
      <c r="S1286" s="40"/>
      <c r="T1286" s="41"/>
      <c r="U1286" s="41"/>
      <c r="V1286" s="41"/>
      <c r="W1286" s="36"/>
      <c r="X1286" s="36"/>
      <c r="Y1286" s="36"/>
      <c r="Z1286" s="36"/>
      <c r="AA1286" s="36"/>
    </row>
    <row r="1287" spans="16:27" x14ac:dyDescent="0.2">
      <c r="P1287" s="36"/>
      <c r="Q1287" s="40"/>
      <c r="R1287" s="40"/>
      <c r="S1287" s="40"/>
      <c r="T1287" s="41"/>
      <c r="U1287" s="41"/>
      <c r="V1287" s="41"/>
      <c r="W1287" s="36"/>
      <c r="X1287" s="36"/>
      <c r="Y1287" s="36"/>
      <c r="Z1287" s="36"/>
      <c r="AA1287" s="36"/>
    </row>
    <row r="1288" spans="16:27" x14ac:dyDescent="0.2">
      <c r="P1288" s="36"/>
      <c r="Q1288" s="40"/>
      <c r="R1288" s="40"/>
      <c r="S1288" s="40"/>
      <c r="T1288" s="41"/>
      <c r="U1288" s="41"/>
      <c r="V1288" s="41"/>
      <c r="W1288" s="36"/>
      <c r="X1288" s="36"/>
      <c r="Y1288" s="36"/>
      <c r="Z1288" s="36"/>
      <c r="AA1288" s="36"/>
    </row>
    <row r="1289" spans="16:27" x14ac:dyDescent="0.2">
      <c r="P1289" s="36"/>
      <c r="Q1289" s="40"/>
      <c r="R1289" s="40"/>
      <c r="S1289" s="40"/>
      <c r="T1289" s="41"/>
      <c r="U1289" s="41"/>
      <c r="V1289" s="41"/>
      <c r="W1289" s="36"/>
      <c r="X1289" s="36"/>
      <c r="Y1289" s="36"/>
      <c r="Z1289" s="36"/>
      <c r="AA1289" s="36"/>
    </row>
    <row r="1290" spans="16:27" x14ac:dyDescent="0.2">
      <c r="P1290" s="36"/>
      <c r="Q1290" s="40"/>
      <c r="R1290" s="40"/>
      <c r="S1290" s="40"/>
      <c r="T1290" s="41"/>
      <c r="U1290" s="41"/>
      <c r="V1290" s="41"/>
      <c r="W1290" s="36"/>
      <c r="X1290" s="36"/>
      <c r="Y1290" s="36"/>
      <c r="Z1290" s="36"/>
      <c r="AA1290" s="36"/>
    </row>
    <row r="1291" spans="16:27" x14ac:dyDescent="0.2">
      <c r="P1291" s="36"/>
      <c r="Q1291" s="40"/>
      <c r="R1291" s="40"/>
      <c r="S1291" s="40"/>
      <c r="T1291" s="41"/>
      <c r="U1291" s="41"/>
      <c r="V1291" s="41"/>
      <c r="W1291" s="36"/>
      <c r="X1291" s="36"/>
      <c r="Y1291" s="36"/>
      <c r="Z1291" s="36"/>
      <c r="AA1291" s="36"/>
    </row>
    <row r="1292" spans="16:27" x14ac:dyDescent="0.2">
      <c r="P1292" s="36"/>
      <c r="Q1292" s="40"/>
      <c r="R1292" s="40"/>
      <c r="S1292" s="40"/>
      <c r="T1292" s="41"/>
      <c r="U1292" s="41"/>
      <c r="V1292" s="41"/>
      <c r="W1292" s="36"/>
      <c r="X1292" s="36"/>
      <c r="Y1292" s="36"/>
      <c r="Z1292" s="36"/>
      <c r="AA1292" s="36"/>
    </row>
    <row r="1293" spans="16:27" x14ac:dyDescent="0.2">
      <c r="P1293" s="36"/>
      <c r="Q1293" s="40"/>
      <c r="R1293" s="40"/>
      <c r="S1293" s="40"/>
      <c r="T1293" s="41"/>
      <c r="U1293" s="41"/>
      <c r="V1293" s="41"/>
      <c r="W1293" s="36"/>
      <c r="X1293" s="36"/>
      <c r="Y1293" s="36"/>
      <c r="Z1293" s="36"/>
      <c r="AA1293" s="36"/>
    </row>
    <row r="1294" spans="16:27" x14ac:dyDescent="0.2">
      <c r="P1294" s="36"/>
      <c r="Q1294" s="40"/>
      <c r="R1294" s="40"/>
      <c r="S1294" s="40"/>
      <c r="T1294" s="41"/>
      <c r="U1294" s="41"/>
      <c r="V1294" s="41"/>
      <c r="W1294" s="36"/>
      <c r="X1294" s="36"/>
      <c r="Y1294" s="36"/>
      <c r="Z1294" s="36"/>
      <c r="AA1294" s="36"/>
    </row>
    <row r="1295" spans="16:27" x14ac:dyDescent="0.2">
      <c r="P1295" s="36"/>
      <c r="Q1295" s="40"/>
      <c r="R1295" s="40"/>
      <c r="S1295" s="40"/>
      <c r="T1295" s="41"/>
      <c r="U1295" s="41"/>
      <c r="V1295" s="41"/>
      <c r="W1295" s="36"/>
      <c r="X1295" s="36"/>
      <c r="Y1295" s="36"/>
      <c r="Z1295" s="36"/>
      <c r="AA1295" s="36"/>
    </row>
    <row r="1296" spans="16:27" x14ac:dyDescent="0.2">
      <c r="P1296" s="36"/>
      <c r="Q1296" s="40"/>
      <c r="R1296" s="40"/>
      <c r="S1296" s="40"/>
      <c r="T1296" s="41"/>
      <c r="U1296" s="41"/>
      <c r="V1296" s="41"/>
      <c r="W1296" s="36"/>
      <c r="X1296" s="36"/>
      <c r="Y1296" s="36"/>
      <c r="Z1296" s="36"/>
      <c r="AA1296" s="36"/>
    </row>
    <row r="1297" spans="16:27" x14ac:dyDescent="0.2">
      <c r="P1297" s="36"/>
      <c r="Q1297" s="40"/>
      <c r="R1297" s="40"/>
      <c r="S1297" s="40"/>
      <c r="T1297" s="41"/>
      <c r="U1297" s="41"/>
      <c r="V1297" s="41"/>
      <c r="W1297" s="36"/>
      <c r="X1297" s="36"/>
      <c r="Y1297" s="36"/>
      <c r="Z1297" s="36"/>
      <c r="AA1297" s="36"/>
    </row>
    <row r="1298" spans="16:27" x14ac:dyDescent="0.2">
      <c r="P1298" s="36"/>
      <c r="Q1298" s="40"/>
      <c r="R1298" s="40"/>
      <c r="S1298" s="40"/>
      <c r="T1298" s="41"/>
      <c r="U1298" s="41"/>
      <c r="V1298" s="41"/>
      <c r="W1298" s="36"/>
      <c r="X1298" s="36"/>
      <c r="Y1298" s="36"/>
      <c r="Z1298" s="36"/>
      <c r="AA1298" s="36"/>
    </row>
    <row r="1299" spans="16:27" x14ac:dyDescent="0.2">
      <c r="P1299" s="36"/>
      <c r="Q1299" s="40"/>
      <c r="R1299" s="40"/>
      <c r="S1299" s="40"/>
      <c r="T1299" s="41"/>
      <c r="U1299" s="41"/>
      <c r="V1299" s="41"/>
      <c r="W1299" s="36"/>
      <c r="X1299" s="36"/>
      <c r="Y1299" s="36"/>
      <c r="Z1299" s="36"/>
      <c r="AA1299" s="36"/>
    </row>
    <row r="1300" spans="16:27" x14ac:dyDescent="0.2">
      <c r="P1300" s="36"/>
      <c r="Q1300" s="40"/>
      <c r="R1300" s="40"/>
      <c r="S1300" s="40"/>
      <c r="T1300" s="41"/>
      <c r="U1300" s="41"/>
      <c r="V1300" s="41"/>
      <c r="W1300" s="36"/>
      <c r="X1300" s="36"/>
      <c r="Y1300" s="36"/>
      <c r="Z1300" s="36"/>
      <c r="AA1300" s="36"/>
    </row>
    <row r="1301" spans="16:27" x14ac:dyDescent="0.2">
      <c r="P1301" s="36"/>
      <c r="Q1301" s="40"/>
      <c r="R1301" s="40"/>
      <c r="S1301" s="40"/>
      <c r="T1301" s="41"/>
      <c r="U1301" s="41"/>
      <c r="V1301" s="41"/>
      <c r="W1301" s="36"/>
      <c r="X1301" s="36"/>
      <c r="Y1301" s="36"/>
      <c r="Z1301" s="36"/>
      <c r="AA1301" s="36"/>
    </row>
    <row r="1302" spans="16:27" x14ac:dyDescent="0.2">
      <c r="P1302" s="36"/>
      <c r="Q1302" s="40"/>
      <c r="R1302" s="40"/>
      <c r="S1302" s="40"/>
      <c r="T1302" s="41"/>
      <c r="U1302" s="41"/>
      <c r="V1302" s="41"/>
      <c r="W1302" s="36"/>
      <c r="X1302" s="36"/>
      <c r="Y1302" s="36"/>
      <c r="Z1302" s="36"/>
      <c r="AA1302" s="36"/>
    </row>
    <row r="1303" spans="16:27" x14ac:dyDescent="0.2">
      <c r="P1303" s="36"/>
      <c r="Q1303" s="40"/>
      <c r="R1303" s="40"/>
      <c r="S1303" s="40"/>
      <c r="T1303" s="41"/>
      <c r="U1303" s="41"/>
      <c r="V1303" s="41"/>
      <c r="W1303" s="36"/>
      <c r="X1303" s="36"/>
      <c r="Y1303" s="36"/>
      <c r="Z1303" s="36"/>
      <c r="AA1303" s="36"/>
    </row>
    <row r="1304" spans="16:27" x14ac:dyDescent="0.2">
      <c r="P1304" s="36"/>
      <c r="Q1304" s="40"/>
      <c r="R1304" s="40"/>
      <c r="S1304" s="40"/>
      <c r="T1304" s="41"/>
      <c r="U1304" s="41"/>
      <c r="V1304" s="41"/>
      <c r="W1304" s="36"/>
      <c r="X1304" s="36"/>
      <c r="Y1304" s="36"/>
      <c r="Z1304" s="36"/>
      <c r="AA1304" s="36"/>
    </row>
    <row r="1305" spans="16:27" x14ac:dyDescent="0.2">
      <c r="P1305" s="36"/>
      <c r="Q1305" s="40"/>
      <c r="R1305" s="40"/>
      <c r="S1305" s="40"/>
      <c r="T1305" s="41"/>
      <c r="U1305" s="41"/>
      <c r="V1305" s="41"/>
      <c r="W1305" s="36"/>
      <c r="X1305" s="36"/>
      <c r="Y1305" s="36"/>
      <c r="Z1305" s="36"/>
      <c r="AA1305" s="36"/>
    </row>
    <row r="1306" spans="16:27" x14ac:dyDescent="0.2">
      <c r="P1306" s="36"/>
      <c r="Q1306" s="40"/>
      <c r="R1306" s="40"/>
      <c r="S1306" s="40"/>
      <c r="T1306" s="41"/>
      <c r="U1306" s="41"/>
      <c r="V1306" s="41"/>
      <c r="W1306" s="36"/>
      <c r="X1306" s="36"/>
      <c r="Y1306" s="36"/>
      <c r="Z1306" s="36"/>
      <c r="AA1306" s="36"/>
    </row>
    <row r="1307" spans="16:27" x14ac:dyDescent="0.2">
      <c r="P1307" s="36"/>
      <c r="Q1307" s="40"/>
      <c r="R1307" s="40"/>
      <c r="S1307" s="40"/>
      <c r="T1307" s="41"/>
      <c r="U1307" s="41"/>
      <c r="V1307" s="41"/>
      <c r="W1307" s="36"/>
      <c r="X1307" s="36"/>
      <c r="Y1307" s="36"/>
      <c r="Z1307" s="36"/>
      <c r="AA1307" s="36"/>
    </row>
    <row r="1308" spans="16:27" x14ac:dyDescent="0.2">
      <c r="P1308" s="36"/>
      <c r="Q1308" s="40"/>
      <c r="R1308" s="40"/>
      <c r="S1308" s="40"/>
      <c r="T1308" s="41"/>
      <c r="U1308" s="41"/>
      <c r="V1308" s="41"/>
      <c r="W1308" s="36"/>
      <c r="X1308" s="36"/>
      <c r="Y1308" s="36"/>
      <c r="Z1308" s="36"/>
      <c r="AA1308" s="36"/>
    </row>
    <row r="1309" spans="16:27" x14ac:dyDescent="0.2">
      <c r="P1309" s="36"/>
      <c r="Q1309" s="40"/>
      <c r="R1309" s="40"/>
      <c r="S1309" s="40"/>
      <c r="T1309" s="41"/>
      <c r="U1309" s="41"/>
      <c r="V1309" s="41"/>
      <c r="W1309" s="36"/>
      <c r="X1309" s="36"/>
      <c r="Y1309" s="36"/>
      <c r="Z1309" s="36"/>
      <c r="AA1309" s="36"/>
    </row>
    <row r="1310" spans="16:27" x14ac:dyDescent="0.2">
      <c r="P1310" s="36"/>
      <c r="Q1310" s="40"/>
      <c r="R1310" s="40"/>
      <c r="S1310" s="40"/>
      <c r="T1310" s="41"/>
      <c r="U1310" s="41"/>
      <c r="V1310" s="41"/>
      <c r="W1310" s="36"/>
      <c r="X1310" s="36"/>
      <c r="Y1310" s="36"/>
      <c r="Z1310" s="36"/>
      <c r="AA1310" s="36"/>
    </row>
    <row r="1311" spans="16:27" x14ac:dyDescent="0.2">
      <c r="P1311" s="36"/>
      <c r="Q1311" s="40"/>
      <c r="R1311" s="40"/>
      <c r="S1311" s="40"/>
      <c r="T1311" s="41"/>
      <c r="U1311" s="41"/>
      <c r="V1311" s="36"/>
      <c r="W1311" s="36"/>
      <c r="X1311" s="36"/>
      <c r="Y1311" s="36"/>
      <c r="Z1311" s="36"/>
      <c r="AA1311" s="36"/>
    </row>
    <row r="1312" spans="16:27" x14ac:dyDescent="0.2">
      <c r="P1312" s="36"/>
      <c r="Q1312" s="40"/>
      <c r="R1312" s="40"/>
      <c r="S1312" s="40"/>
      <c r="T1312" s="41"/>
      <c r="U1312" s="41"/>
      <c r="V1312" s="36"/>
      <c r="W1312" s="36"/>
      <c r="X1312" s="36"/>
      <c r="Y1312" s="36"/>
      <c r="Z1312" s="36"/>
      <c r="AA1312" s="36"/>
    </row>
    <row r="1313" spans="16:27" x14ac:dyDescent="0.2">
      <c r="P1313" s="36"/>
      <c r="Q1313" s="40"/>
      <c r="R1313" s="40"/>
      <c r="S1313" s="40"/>
      <c r="T1313" s="41"/>
      <c r="U1313" s="41"/>
      <c r="V1313" s="36"/>
      <c r="W1313" s="36"/>
      <c r="X1313" s="36"/>
      <c r="Y1313" s="36"/>
      <c r="Z1313" s="36"/>
      <c r="AA1313" s="36"/>
    </row>
    <row r="1314" spans="16:27" x14ac:dyDescent="0.2">
      <c r="P1314" s="36"/>
      <c r="Q1314" s="40"/>
      <c r="R1314" s="40"/>
      <c r="S1314" s="40"/>
      <c r="T1314" s="41"/>
      <c r="U1314" s="41"/>
      <c r="V1314" s="36"/>
      <c r="W1314" s="36"/>
      <c r="X1314" s="36"/>
      <c r="Y1314" s="36"/>
      <c r="Z1314" s="36"/>
      <c r="AA1314" s="36"/>
    </row>
    <row r="1315" spans="16:27" x14ac:dyDescent="0.2">
      <c r="P1315" s="36"/>
      <c r="Q1315" s="40"/>
      <c r="R1315" s="40"/>
      <c r="S1315" s="40"/>
      <c r="T1315" s="41"/>
      <c r="U1315" s="41"/>
      <c r="V1315" s="36"/>
      <c r="W1315" s="36"/>
      <c r="X1315" s="36"/>
      <c r="Y1315" s="36"/>
      <c r="Z1315" s="36"/>
      <c r="AA1315" s="36"/>
    </row>
    <row r="1316" spans="16:27" x14ac:dyDescent="0.2">
      <c r="P1316" s="36"/>
      <c r="Q1316" s="40"/>
      <c r="R1316" s="40"/>
      <c r="S1316" s="40"/>
      <c r="T1316" s="41"/>
      <c r="U1316" s="41"/>
      <c r="V1316" s="36"/>
      <c r="W1316" s="36"/>
      <c r="X1316" s="36"/>
      <c r="Y1316" s="36"/>
      <c r="Z1316" s="36"/>
      <c r="AA1316" s="36"/>
    </row>
    <row r="1317" spans="16:27" x14ac:dyDescent="0.2">
      <c r="P1317" s="36"/>
      <c r="Q1317" s="40"/>
      <c r="R1317" s="40"/>
      <c r="S1317" s="40"/>
      <c r="T1317" s="41"/>
      <c r="U1317" s="41"/>
      <c r="V1317" s="36"/>
      <c r="W1317" s="36"/>
      <c r="X1317" s="36"/>
      <c r="Y1317" s="36"/>
      <c r="Z1317" s="36"/>
      <c r="AA1317" s="36"/>
    </row>
    <row r="1318" spans="16:27" x14ac:dyDescent="0.2">
      <c r="P1318" s="36"/>
      <c r="Q1318" s="40"/>
      <c r="R1318" s="40"/>
      <c r="S1318" s="40"/>
      <c r="T1318" s="41"/>
      <c r="U1318" s="41"/>
      <c r="V1318" s="36"/>
      <c r="W1318" s="36"/>
      <c r="X1318" s="36"/>
      <c r="Y1318" s="36"/>
      <c r="Z1318" s="36"/>
      <c r="AA1318" s="36"/>
    </row>
    <row r="1319" spans="16:27" x14ac:dyDescent="0.2">
      <c r="P1319" s="36"/>
      <c r="Q1319" s="40"/>
      <c r="R1319" s="40"/>
      <c r="S1319" s="40"/>
      <c r="T1319" s="41"/>
      <c r="U1319" s="41"/>
      <c r="V1319" s="36"/>
      <c r="W1319" s="36"/>
      <c r="X1319" s="36"/>
      <c r="Y1319" s="36"/>
      <c r="Z1319" s="36"/>
      <c r="AA1319" s="36"/>
    </row>
    <row r="1320" spans="16:27" x14ac:dyDescent="0.2">
      <c r="P1320" s="36"/>
      <c r="Q1320" s="40"/>
      <c r="R1320" s="40"/>
      <c r="S1320" s="40"/>
      <c r="T1320" s="41"/>
      <c r="U1320" s="41"/>
      <c r="V1320" s="36"/>
      <c r="W1320" s="36"/>
      <c r="X1320" s="36"/>
      <c r="Y1320" s="36"/>
      <c r="Z1320" s="36"/>
      <c r="AA1320" s="36"/>
    </row>
    <row r="1321" spans="16:27" x14ac:dyDescent="0.2">
      <c r="P1321" s="36"/>
      <c r="Q1321" s="40"/>
      <c r="R1321" s="40"/>
      <c r="S1321" s="40"/>
      <c r="T1321" s="41"/>
      <c r="U1321" s="41"/>
      <c r="V1321" s="36"/>
      <c r="W1321" s="36"/>
      <c r="X1321" s="36"/>
      <c r="Y1321" s="36"/>
      <c r="Z1321" s="36"/>
      <c r="AA1321" s="36"/>
    </row>
    <row r="1322" spans="16:27" x14ac:dyDescent="0.2">
      <c r="P1322" s="36"/>
      <c r="Q1322" s="40"/>
      <c r="R1322" s="40"/>
      <c r="S1322" s="40"/>
      <c r="T1322" s="41"/>
      <c r="U1322" s="41"/>
      <c r="V1322" s="36"/>
      <c r="W1322" s="36"/>
      <c r="X1322" s="36"/>
      <c r="Y1322" s="36"/>
      <c r="Z1322" s="36"/>
      <c r="AA1322" s="36"/>
    </row>
    <row r="1323" spans="16:27" x14ac:dyDescent="0.2">
      <c r="P1323" s="36"/>
      <c r="Q1323" s="40"/>
      <c r="R1323" s="40"/>
      <c r="S1323" s="40"/>
      <c r="T1323" s="41"/>
      <c r="U1323" s="41"/>
      <c r="V1323" s="36"/>
      <c r="W1323" s="36"/>
      <c r="X1323" s="36"/>
      <c r="Y1323" s="36"/>
      <c r="Z1323" s="36"/>
      <c r="AA1323" s="36"/>
    </row>
    <row r="1324" spans="16:27" x14ac:dyDescent="0.2">
      <c r="P1324" s="36"/>
      <c r="Q1324" s="40"/>
      <c r="R1324" s="40"/>
      <c r="S1324" s="40"/>
      <c r="T1324" s="41"/>
      <c r="U1324" s="41"/>
      <c r="V1324" s="36"/>
      <c r="W1324" s="36"/>
      <c r="X1324" s="36"/>
      <c r="Y1324" s="36"/>
      <c r="Z1324" s="36"/>
      <c r="AA1324" s="36"/>
    </row>
    <row r="1325" spans="16:27" x14ac:dyDescent="0.2">
      <c r="P1325" s="36"/>
      <c r="Q1325" s="40"/>
      <c r="R1325" s="40"/>
      <c r="S1325" s="40"/>
      <c r="T1325" s="41"/>
      <c r="U1325" s="41"/>
      <c r="V1325" s="36"/>
      <c r="W1325" s="36"/>
      <c r="X1325" s="36"/>
      <c r="Y1325" s="36"/>
      <c r="Z1325" s="36"/>
      <c r="AA1325" s="36"/>
    </row>
    <row r="1326" spans="16:27" x14ac:dyDescent="0.2">
      <c r="P1326" s="36"/>
      <c r="Q1326" s="40"/>
      <c r="R1326" s="40"/>
      <c r="S1326" s="40"/>
      <c r="T1326" s="41"/>
      <c r="U1326" s="41"/>
      <c r="V1326" s="36"/>
      <c r="W1326" s="36"/>
      <c r="X1326" s="36"/>
      <c r="Y1326" s="36"/>
      <c r="Z1326" s="36"/>
      <c r="AA1326" s="36"/>
    </row>
    <row r="1327" spans="16:27" x14ac:dyDescent="0.2">
      <c r="P1327" s="36"/>
      <c r="Q1327" s="40"/>
      <c r="R1327" s="40"/>
      <c r="S1327" s="40"/>
      <c r="T1327" s="41"/>
      <c r="U1327" s="41"/>
      <c r="V1327" s="36"/>
      <c r="W1327" s="36"/>
      <c r="X1327" s="36"/>
      <c r="Y1327" s="36"/>
      <c r="Z1327" s="36"/>
      <c r="AA1327" s="36"/>
    </row>
    <row r="1328" spans="16:27" x14ac:dyDescent="0.2">
      <c r="P1328" s="36"/>
      <c r="Q1328" s="40"/>
      <c r="R1328" s="40"/>
      <c r="S1328" s="40"/>
      <c r="T1328" s="41"/>
      <c r="U1328" s="41"/>
      <c r="V1328" s="36"/>
      <c r="W1328" s="36"/>
      <c r="X1328" s="36"/>
      <c r="Y1328" s="36"/>
      <c r="Z1328" s="36"/>
      <c r="AA1328" s="36"/>
    </row>
    <row r="1329" spans="16:27" x14ac:dyDescent="0.2">
      <c r="P1329" s="36"/>
      <c r="Q1329" s="40"/>
      <c r="R1329" s="40"/>
      <c r="S1329" s="40"/>
      <c r="T1329" s="41"/>
      <c r="U1329" s="41"/>
      <c r="V1329" s="36"/>
      <c r="W1329" s="36"/>
      <c r="X1329" s="36"/>
      <c r="Y1329" s="36"/>
      <c r="Z1329" s="36"/>
      <c r="AA1329" s="36"/>
    </row>
    <row r="1330" spans="16:27" x14ac:dyDescent="0.2">
      <c r="P1330" s="36"/>
      <c r="Q1330" s="40"/>
      <c r="R1330" s="40"/>
      <c r="S1330" s="40"/>
      <c r="T1330" s="41"/>
      <c r="U1330" s="41"/>
      <c r="V1330" s="36"/>
      <c r="W1330" s="36"/>
      <c r="X1330" s="36"/>
      <c r="Y1330" s="36"/>
      <c r="Z1330" s="36"/>
      <c r="AA1330" s="36"/>
    </row>
    <row r="1331" spans="16:27" x14ac:dyDescent="0.2">
      <c r="P1331" s="36"/>
      <c r="Q1331" s="40"/>
      <c r="R1331" s="40"/>
      <c r="S1331" s="40"/>
      <c r="T1331" s="41"/>
      <c r="U1331" s="41"/>
      <c r="V1331" s="36"/>
      <c r="W1331" s="36"/>
      <c r="X1331" s="36"/>
      <c r="Y1331" s="36"/>
      <c r="Z1331" s="36"/>
      <c r="AA1331" s="36"/>
    </row>
    <row r="1332" spans="16:27" x14ac:dyDescent="0.2">
      <c r="P1332" s="36"/>
      <c r="Q1332" s="40"/>
      <c r="R1332" s="40"/>
      <c r="S1332" s="40"/>
      <c r="T1332" s="41"/>
      <c r="U1332" s="41"/>
      <c r="V1332" s="36"/>
      <c r="W1332" s="36"/>
      <c r="X1332" s="36"/>
      <c r="Y1332" s="36"/>
      <c r="Z1332" s="36"/>
      <c r="AA1332" s="36"/>
    </row>
    <row r="1333" spans="16:27" x14ac:dyDescent="0.2">
      <c r="P1333" s="36"/>
      <c r="Q1333" s="40"/>
      <c r="R1333" s="40"/>
      <c r="S1333" s="40"/>
      <c r="T1333" s="41"/>
      <c r="U1333" s="41"/>
      <c r="V1333" s="36"/>
      <c r="W1333" s="36"/>
      <c r="X1333" s="36"/>
      <c r="Y1333" s="36"/>
      <c r="Z1333" s="36"/>
      <c r="AA1333" s="36"/>
    </row>
    <row r="1334" spans="16:27" x14ac:dyDescent="0.2">
      <c r="P1334" s="36"/>
      <c r="Q1334" s="40"/>
      <c r="R1334" s="40"/>
      <c r="S1334" s="40"/>
      <c r="T1334" s="41"/>
      <c r="U1334" s="41"/>
      <c r="V1334" s="36"/>
      <c r="W1334" s="36"/>
      <c r="X1334" s="36"/>
      <c r="Y1334" s="36"/>
      <c r="Z1334" s="36"/>
      <c r="AA1334" s="36"/>
    </row>
    <row r="1335" spans="16:27" x14ac:dyDescent="0.2">
      <c r="P1335" s="36"/>
      <c r="Q1335" s="40"/>
      <c r="R1335" s="40"/>
      <c r="S1335" s="40"/>
      <c r="T1335" s="41"/>
      <c r="U1335" s="41"/>
      <c r="V1335" s="36"/>
      <c r="W1335" s="36"/>
      <c r="X1335" s="36"/>
      <c r="Y1335" s="36"/>
      <c r="Z1335" s="36"/>
      <c r="AA1335" s="36"/>
    </row>
    <row r="1336" spans="16:27" x14ac:dyDescent="0.2">
      <c r="P1336" s="36"/>
      <c r="Q1336" s="40"/>
      <c r="R1336" s="40"/>
      <c r="S1336" s="40"/>
      <c r="T1336" s="41"/>
      <c r="U1336" s="41"/>
      <c r="V1336" s="36"/>
      <c r="W1336" s="36"/>
      <c r="X1336" s="36"/>
      <c r="Y1336" s="36"/>
      <c r="Z1336" s="36"/>
      <c r="AA1336" s="36"/>
    </row>
    <row r="1337" spans="16:27" x14ac:dyDescent="0.2">
      <c r="P1337" s="36"/>
      <c r="Q1337" s="40"/>
      <c r="R1337" s="40"/>
      <c r="S1337" s="40"/>
      <c r="T1337" s="41"/>
      <c r="U1337" s="41"/>
      <c r="V1337" s="36"/>
      <c r="W1337" s="36"/>
      <c r="X1337" s="36"/>
      <c r="Y1337" s="36"/>
      <c r="Z1337" s="36"/>
      <c r="AA1337" s="36"/>
    </row>
    <row r="1338" spans="16:27" x14ac:dyDescent="0.2">
      <c r="P1338" s="36"/>
      <c r="Q1338" s="40"/>
      <c r="R1338" s="40"/>
      <c r="S1338" s="40"/>
      <c r="T1338" s="41"/>
      <c r="U1338" s="41"/>
      <c r="V1338" s="36"/>
      <c r="W1338" s="36"/>
      <c r="X1338" s="36"/>
      <c r="Y1338" s="36"/>
      <c r="Z1338" s="36"/>
      <c r="AA1338" s="36"/>
    </row>
    <row r="1339" spans="16:27" x14ac:dyDescent="0.2">
      <c r="P1339" s="36"/>
      <c r="Q1339" s="40"/>
      <c r="R1339" s="40"/>
      <c r="S1339" s="40"/>
      <c r="T1339" s="41"/>
      <c r="U1339" s="41"/>
      <c r="V1339" s="36"/>
      <c r="W1339" s="36"/>
      <c r="X1339" s="36"/>
      <c r="Y1339" s="36"/>
      <c r="Z1339" s="36"/>
      <c r="AA1339" s="36"/>
    </row>
    <row r="1340" spans="16:27" x14ac:dyDescent="0.2">
      <c r="P1340" s="36"/>
      <c r="Q1340" s="40"/>
      <c r="R1340" s="40"/>
      <c r="S1340" s="40"/>
      <c r="T1340" s="41"/>
      <c r="U1340" s="41"/>
      <c r="V1340" s="36"/>
      <c r="W1340" s="36"/>
      <c r="X1340" s="36"/>
      <c r="Y1340" s="36"/>
      <c r="Z1340" s="36"/>
      <c r="AA1340" s="36"/>
    </row>
    <row r="1341" spans="16:27" x14ac:dyDescent="0.2">
      <c r="P1341" s="36"/>
      <c r="Q1341" s="40"/>
      <c r="R1341" s="40"/>
      <c r="S1341" s="40"/>
      <c r="T1341" s="41"/>
      <c r="U1341" s="41"/>
      <c r="V1341" s="36"/>
      <c r="W1341" s="36"/>
      <c r="X1341" s="36"/>
      <c r="Y1341" s="36"/>
      <c r="Z1341" s="36"/>
      <c r="AA1341" s="36"/>
    </row>
    <row r="1342" spans="16:27" x14ac:dyDescent="0.2">
      <c r="P1342" s="36"/>
      <c r="Q1342" s="40"/>
      <c r="R1342" s="40"/>
      <c r="S1342" s="40"/>
      <c r="T1342" s="41"/>
      <c r="U1342" s="41"/>
      <c r="V1342" s="36"/>
      <c r="W1342" s="36"/>
      <c r="X1342" s="36"/>
      <c r="Y1342" s="36"/>
      <c r="Z1342" s="36"/>
      <c r="AA1342" s="36"/>
    </row>
    <row r="1343" spans="16:27" x14ac:dyDescent="0.2">
      <c r="P1343" s="36"/>
      <c r="Q1343" s="40"/>
      <c r="R1343" s="40"/>
      <c r="S1343" s="40"/>
      <c r="T1343" s="41"/>
      <c r="U1343" s="41"/>
      <c r="V1343" s="36"/>
      <c r="W1343" s="36"/>
      <c r="X1343" s="36"/>
      <c r="Y1343" s="36"/>
      <c r="Z1343" s="36"/>
      <c r="AA1343" s="36"/>
    </row>
    <row r="1344" spans="16:27" x14ac:dyDescent="0.2">
      <c r="P1344" s="36"/>
      <c r="Q1344" s="40"/>
      <c r="R1344" s="40"/>
      <c r="S1344" s="40"/>
      <c r="T1344" s="41"/>
      <c r="U1344" s="41"/>
      <c r="V1344" s="36"/>
      <c r="W1344" s="36"/>
      <c r="X1344" s="36"/>
      <c r="Y1344" s="36"/>
      <c r="Z1344" s="36"/>
      <c r="AA1344" s="36"/>
    </row>
    <row r="1345" spans="16:27" x14ac:dyDescent="0.2">
      <c r="P1345" s="36"/>
      <c r="Q1345" s="40"/>
      <c r="R1345" s="40"/>
      <c r="S1345" s="40"/>
      <c r="T1345" s="41"/>
      <c r="U1345" s="41"/>
      <c r="V1345" s="36"/>
      <c r="W1345" s="36"/>
      <c r="X1345" s="36"/>
      <c r="Y1345" s="36"/>
      <c r="Z1345" s="36"/>
      <c r="AA1345" s="36"/>
    </row>
    <row r="1346" spans="16:27" x14ac:dyDescent="0.2">
      <c r="P1346" s="36"/>
      <c r="Q1346" s="40"/>
      <c r="R1346" s="40"/>
      <c r="S1346" s="40"/>
      <c r="T1346" s="41"/>
      <c r="U1346" s="41"/>
      <c r="V1346" s="36"/>
      <c r="W1346" s="36"/>
      <c r="X1346" s="36"/>
      <c r="Y1346" s="36"/>
      <c r="Z1346" s="36"/>
      <c r="AA1346" s="36"/>
    </row>
    <row r="1347" spans="16:27" x14ac:dyDescent="0.2">
      <c r="P1347" s="36"/>
      <c r="Q1347" s="40"/>
      <c r="R1347" s="40"/>
      <c r="S1347" s="40"/>
      <c r="T1347" s="41"/>
      <c r="U1347" s="41"/>
      <c r="V1347" s="36"/>
      <c r="W1347" s="36"/>
      <c r="X1347" s="36"/>
      <c r="Y1347" s="36"/>
      <c r="Z1347" s="36"/>
      <c r="AA1347" s="36"/>
    </row>
    <row r="1348" spans="16:27" x14ac:dyDescent="0.2">
      <c r="P1348" s="36"/>
      <c r="Q1348" s="40"/>
      <c r="R1348" s="40"/>
      <c r="S1348" s="40"/>
      <c r="T1348" s="41"/>
      <c r="U1348" s="41"/>
      <c r="V1348" s="36"/>
      <c r="W1348" s="36"/>
      <c r="X1348" s="36"/>
      <c r="Y1348" s="36"/>
      <c r="Z1348" s="36"/>
      <c r="AA1348" s="36"/>
    </row>
    <row r="1349" spans="16:27" x14ac:dyDescent="0.2">
      <c r="P1349" s="36"/>
      <c r="Q1349" s="40"/>
      <c r="R1349" s="40"/>
      <c r="S1349" s="40"/>
      <c r="T1349" s="41"/>
      <c r="U1349" s="41"/>
      <c r="V1349" s="36"/>
      <c r="W1349" s="36"/>
      <c r="X1349" s="36"/>
      <c r="Y1349" s="36"/>
      <c r="Z1349" s="36"/>
      <c r="AA1349" s="36"/>
    </row>
    <row r="1350" spans="16:27" x14ac:dyDescent="0.2">
      <c r="P1350" s="36"/>
      <c r="Q1350" s="40"/>
      <c r="R1350" s="40"/>
      <c r="S1350" s="40"/>
      <c r="T1350" s="41"/>
      <c r="U1350" s="41"/>
      <c r="V1350" s="36"/>
      <c r="W1350" s="36"/>
      <c r="X1350" s="36"/>
      <c r="Y1350" s="36"/>
      <c r="Z1350" s="36"/>
      <c r="AA1350" s="36"/>
    </row>
    <row r="1351" spans="16:27" x14ac:dyDescent="0.2">
      <c r="P1351" s="36"/>
      <c r="Q1351" s="40"/>
      <c r="R1351" s="40"/>
      <c r="S1351" s="40"/>
      <c r="T1351" s="41"/>
      <c r="U1351" s="41"/>
      <c r="V1351" s="36"/>
      <c r="W1351" s="36"/>
      <c r="X1351" s="36"/>
      <c r="Y1351" s="36"/>
      <c r="Z1351" s="36"/>
      <c r="AA1351" s="36"/>
    </row>
    <row r="1352" spans="16:27" x14ac:dyDescent="0.2">
      <c r="P1352" s="36"/>
      <c r="Q1352" s="40"/>
      <c r="R1352" s="40"/>
      <c r="S1352" s="40"/>
      <c r="T1352" s="41"/>
      <c r="U1352" s="41"/>
      <c r="V1352" s="36"/>
      <c r="W1352" s="36"/>
      <c r="X1352" s="36"/>
      <c r="Y1352" s="36"/>
      <c r="Z1352" s="36"/>
      <c r="AA1352" s="36"/>
    </row>
    <row r="1353" spans="16:27" x14ac:dyDescent="0.2">
      <c r="P1353" s="36"/>
      <c r="Q1353" s="40"/>
      <c r="R1353" s="40"/>
      <c r="S1353" s="40"/>
      <c r="T1353" s="41"/>
      <c r="U1353" s="41"/>
      <c r="V1353" s="36"/>
      <c r="W1353" s="36"/>
      <c r="X1353" s="36"/>
      <c r="Y1353" s="36"/>
      <c r="Z1353" s="36"/>
      <c r="AA1353" s="36"/>
    </row>
    <row r="1354" spans="16:27" x14ac:dyDescent="0.2">
      <c r="P1354" s="36"/>
      <c r="Q1354" s="40"/>
      <c r="R1354" s="40"/>
      <c r="S1354" s="40"/>
      <c r="T1354" s="41"/>
      <c r="U1354" s="41"/>
      <c r="V1354" s="36"/>
      <c r="W1354" s="36"/>
      <c r="X1354" s="36"/>
      <c r="Y1354" s="36"/>
      <c r="Z1354" s="36"/>
      <c r="AA1354" s="36"/>
    </row>
    <row r="1355" spans="16:27" x14ac:dyDescent="0.2">
      <c r="P1355" s="36"/>
      <c r="Q1355" s="40"/>
      <c r="R1355" s="40"/>
      <c r="S1355" s="40"/>
      <c r="T1355" s="41"/>
      <c r="U1355" s="41"/>
      <c r="V1355" s="36"/>
      <c r="W1355" s="36"/>
      <c r="X1355" s="36"/>
      <c r="Y1355" s="36"/>
      <c r="Z1355" s="36"/>
      <c r="AA1355" s="36"/>
    </row>
    <row r="1356" spans="16:27" x14ac:dyDescent="0.2">
      <c r="P1356" s="36"/>
      <c r="Q1356" s="40"/>
      <c r="R1356" s="40"/>
      <c r="S1356" s="40"/>
      <c r="T1356" s="41"/>
      <c r="U1356" s="41"/>
      <c r="V1356" s="36"/>
      <c r="W1356" s="36"/>
      <c r="X1356" s="36"/>
      <c r="Y1356" s="36"/>
      <c r="Z1356" s="36"/>
      <c r="AA1356" s="36"/>
    </row>
    <row r="1357" spans="16:27" x14ac:dyDescent="0.2">
      <c r="P1357" s="36"/>
      <c r="Q1357" s="40"/>
      <c r="R1357" s="40"/>
      <c r="S1357" s="40"/>
      <c r="T1357" s="41"/>
      <c r="U1357" s="41"/>
      <c r="V1357" s="36"/>
      <c r="W1357" s="36"/>
      <c r="X1357" s="36"/>
      <c r="Y1357" s="36"/>
      <c r="Z1357" s="36"/>
      <c r="AA1357" s="36"/>
    </row>
    <row r="1358" spans="16:27" x14ac:dyDescent="0.2">
      <c r="P1358" s="36"/>
      <c r="Q1358" s="40"/>
      <c r="R1358" s="40"/>
      <c r="S1358" s="40"/>
      <c r="T1358" s="41"/>
      <c r="U1358" s="41"/>
      <c r="V1358" s="36"/>
      <c r="W1358" s="36"/>
      <c r="X1358" s="36"/>
      <c r="Y1358" s="36"/>
      <c r="Z1358" s="36"/>
      <c r="AA1358" s="36"/>
    </row>
    <row r="1359" spans="16:27" x14ac:dyDescent="0.2">
      <c r="P1359" s="36"/>
      <c r="Q1359" s="40"/>
      <c r="R1359" s="40"/>
      <c r="S1359" s="40"/>
      <c r="T1359" s="41"/>
      <c r="U1359" s="41"/>
      <c r="V1359" s="36"/>
      <c r="W1359" s="36"/>
      <c r="X1359" s="36"/>
      <c r="Y1359" s="36"/>
      <c r="Z1359" s="36"/>
      <c r="AA1359" s="36"/>
    </row>
    <row r="1360" spans="16:27" x14ac:dyDescent="0.2">
      <c r="P1360" s="36"/>
      <c r="Q1360" s="40"/>
      <c r="R1360" s="40"/>
      <c r="S1360" s="40"/>
      <c r="T1360" s="41"/>
      <c r="U1360" s="41"/>
      <c r="V1360" s="36"/>
      <c r="W1360" s="36"/>
      <c r="X1360" s="36"/>
      <c r="Y1360" s="36"/>
      <c r="Z1360" s="36"/>
      <c r="AA1360" s="36"/>
    </row>
    <row r="1361" spans="16:27" x14ac:dyDescent="0.2">
      <c r="P1361" s="36"/>
      <c r="Q1361" s="40"/>
      <c r="R1361" s="40"/>
      <c r="S1361" s="40"/>
      <c r="T1361" s="41"/>
      <c r="U1361" s="41"/>
      <c r="V1361" s="36"/>
      <c r="W1361" s="36"/>
      <c r="X1361" s="36"/>
      <c r="Y1361" s="36"/>
      <c r="Z1361" s="36"/>
      <c r="AA1361" s="36"/>
    </row>
    <row r="1362" spans="16:27" x14ac:dyDescent="0.2">
      <c r="P1362" s="36"/>
      <c r="Q1362" s="40"/>
      <c r="R1362" s="40"/>
      <c r="S1362" s="40"/>
      <c r="T1362" s="41"/>
      <c r="U1362" s="41"/>
      <c r="V1362" s="36"/>
      <c r="W1362" s="36"/>
      <c r="X1362" s="36"/>
      <c r="Y1362" s="36"/>
      <c r="Z1362" s="36"/>
      <c r="AA1362" s="36"/>
    </row>
    <row r="1363" spans="16:27" x14ac:dyDescent="0.2">
      <c r="P1363" s="36"/>
      <c r="Q1363" s="40"/>
      <c r="R1363" s="40"/>
      <c r="S1363" s="40"/>
      <c r="T1363" s="41"/>
      <c r="U1363" s="41"/>
      <c r="V1363" s="36"/>
      <c r="W1363" s="36"/>
      <c r="X1363" s="36"/>
      <c r="Y1363" s="36"/>
      <c r="Z1363" s="36"/>
      <c r="AA1363" s="36"/>
    </row>
    <row r="1364" spans="16:27" x14ac:dyDescent="0.2">
      <c r="P1364" s="36"/>
      <c r="Q1364" s="40"/>
      <c r="R1364" s="40"/>
      <c r="S1364" s="40"/>
      <c r="T1364" s="41"/>
      <c r="U1364" s="41"/>
      <c r="V1364" s="36"/>
      <c r="W1364" s="36"/>
      <c r="X1364" s="36"/>
      <c r="Y1364" s="36"/>
      <c r="Z1364" s="36"/>
      <c r="AA1364" s="36"/>
    </row>
    <row r="1365" spans="16:27" x14ac:dyDescent="0.2">
      <c r="P1365" s="36"/>
      <c r="Q1365" s="40"/>
      <c r="R1365" s="40"/>
      <c r="S1365" s="40"/>
      <c r="T1365" s="41"/>
      <c r="U1365" s="41"/>
      <c r="V1365" s="36"/>
      <c r="W1365" s="36"/>
      <c r="X1365" s="36"/>
      <c r="Y1365" s="36"/>
      <c r="Z1365" s="36"/>
      <c r="AA1365" s="36"/>
    </row>
    <row r="1366" spans="16:27" x14ac:dyDescent="0.2">
      <c r="P1366" s="36"/>
      <c r="Q1366" s="40"/>
      <c r="R1366" s="40"/>
      <c r="S1366" s="40"/>
      <c r="T1366" s="41"/>
      <c r="U1366" s="41"/>
      <c r="V1366" s="36"/>
      <c r="W1366" s="36"/>
      <c r="X1366" s="36"/>
      <c r="Y1366" s="36"/>
      <c r="Z1366" s="36"/>
      <c r="AA1366" s="36"/>
    </row>
    <row r="1367" spans="16:27" x14ac:dyDescent="0.2">
      <c r="P1367" s="36"/>
      <c r="Q1367" s="40"/>
      <c r="R1367" s="40"/>
      <c r="S1367" s="40"/>
      <c r="T1367" s="41"/>
      <c r="U1367" s="41"/>
      <c r="V1367" s="36"/>
      <c r="W1367" s="36"/>
      <c r="X1367" s="36"/>
      <c r="Y1367" s="36"/>
      <c r="Z1367" s="36"/>
      <c r="AA1367" s="36"/>
    </row>
    <row r="1368" spans="16:27" x14ac:dyDescent="0.2">
      <c r="P1368" s="36"/>
      <c r="Q1368" s="40"/>
      <c r="R1368" s="40"/>
      <c r="S1368" s="40"/>
      <c r="T1368" s="41"/>
      <c r="U1368" s="41"/>
      <c r="V1368" s="36"/>
      <c r="W1368" s="36"/>
      <c r="X1368" s="36"/>
      <c r="Y1368" s="36"/>
      <c r="Z1368" s="36"/>
      <c r="AA1368" s="36"/>
    </row>
    <row r="1369" spans="16:27" x14ac:dyDescent="0.2">
      <c r="P1369" s="36"/>
      <c r="Q1369" s="40"/>
      <c r="R1369" s="40"/>
      <c r="S1369" s="40"/>
      <c r="T1369" s="41"/>
      <c r="U1369" s="41"/>
      <c r="V1369" s="36"/>
      <c r="W1369" s="36"/>
      <c r="X1369" s="36"/>
      <c r="Y1369" s="36"/>
      <c r="Z1369" s="36"/>
      <c r="AA1369" s="36"/>
    </row>
    <row r="1370" spans="16:27" x14ac:dyDescent="0.2">
      <c r="P1370" s="36"/>
      <c r="Q1370" s="40"/>
      <c r="R1370" s="40"/>
      <c r="S1370" s="40"/>
      <c r="T1370" s="41"/>
      <c r="U1370" s="41"/>
      <c r="V1370" s="36"/>
      <c r="W1370" s="36"/>
      <c r="X1370" s="36"/>
      <c r="Y1370" s="36"/>
      <c r="Z1370" s="36"/>
      <c r="AA1370" s="36"/>
    </row>
    <row r="1371" spans="16:27" x14ac:dyDescent="0.2">
      <c r="P1371" s="36"/>
      <c r="Q1371" s="40"/>
      <c r="R1371" s="40"/>
      <c r="S1371" s="40"/>
      <c r="T1371" s="41"/>
      <c r="U1371" s="41"/>
      <c r="V1371" s="36"/>
      <c r="W1371" s="36"/>
      <c r="X1371" s="36"/>
      <c r="Y1371" s="36"/>
      <c r="Z1371" s="36"/>
      <c r="AA1371" s="36"/>
    </row>
    <row r="1372" spans="16:27" x14ac:dyDescent="0.2">
      <c r="P1372" s="36"/>
      <c r="Q1372" s="40"/>
      <c r="R1372" s="40"/>
      <c r="S1372" s="40"/>
      <c r="T1372" s="41"/>
      <c r="U1372" s="41"/>
      <c r="V1372" s="36"/>
      <c r="W1372" s="36"/>
      <c r="X1372" s="36"/>
      <c r="Y1372" s="36"/>
      <c r="Z1372" s="36"/>
      <c r="AA1372" s="36"/>
    </row>
    <row r="1373" spans="16:27" x14ac:dyDescent="0.2">
      <c r="P1373" s="36"/>
      <c r="Q1373" s="40"/>
      <c r="R1373" s="40"/>
      <c r="S1373" s="40"/>
      <c r="T1373" s="41"/>
      <c r="U1373" s="41"/>
      <c r="V1373" s="36"/>
      <c r="W1373" s="36"/>
      <c r="X1373" s="36"/>
      <c r="Y1373" s="36"/>
      <c r="Z1373" s="36"/>
      <c r="AA1373" s="36"/>
    </row>
    <row r="1374" spans="16:27" x14ac:dyDescent="0.2">
      <c r="P1374" s="36"/>
      <c r="Q1374" s="40"/>
      <c r="R1374" s="40"/>
      <c r="S1374" s="40"/>
      <c r="T1374" s="41"/>
      <c r="U1374" s="41"/>
      <c r="V1374" s="36"/>
      <c r="W1374" s="36"/>
      <c r="X1374" s="36"/>
      <c r="Y1374" s="36"/>
      <c r="Z1374" s="36"/>
      <c r="AA1374" s="36"/>
    </row>
    <row r="1375" spans="16:27" x14ac:dyDescent="0.2"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</row>
    <row r="1376" spans="16:27" x14ac:dyDescent="0.2"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</row>
    <row r="1377" spans="16:27" x14ac:dyDescent="0.2"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</row>
    <row r="1378" spans="16:27" x14ac:dyDescent="0.2"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</row>
    <row r="1379" spans="16:27" x14ac:dyDescent="0.2"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</row>
    <row r="1380" spans="16:27" x14ac:dyDescent="0.2"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</row>
    <row r="1381" spans="16:27" x14ac:dyDescent="0.2"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</row>
    <row r="1382" spans="16:27" x14ac:dyDescent="0.2"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</row>
    <row r="1383" spans="16:27" x14ac:dyDescent="0.2"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</row>
    <row r="1384" spans="16:27" x14ac:dyDescent="0.2"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</row>
    <row r="1385" spans="16:27" x14ac:dyDescent="0.2"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</row>
    <row r="1386" spans="16:27" x14ac:dyDescent="0.2"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</row>
    <row r="1387" spans="16:27" x14ac:dyDescent="0.2"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</row>
    <row r="1388" spans="16:27" x14ac:dyDescent="0.2"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</row>
    <row r="1389" spans="16:27" x14ac:dyDescent="0.2"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</row>
    <row r="1390" spans="16:27" x14ac:dyDescent="0.2"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</row>
    <row r="1391" spans="16:27" x14ac:dyDescent="0.2"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</row>
    <row r="1392" spans="16:27" x14ac:dyDescent="0.2"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</row>
    <row r="1393" spans="16:27" x14ac:dyDescent="0.2"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</row>
    <row r="1394" spans="16:27" x14ac:dyDescent="0.2"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</row>
    <row r="1395" spans="16:27" x14ac:dyDescent="0.2"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</row>
    <row r="1396" spans="16:27" x14ac:dyDescent="0.2"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</row>
    <row r="1397" spans="16:27" x14ac:dyDescent="0.2"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</row>
    <row r="1398" spans="16:27" x14ac:dyDescent="0.2"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</row>
    <row r="1399" spans="16:27" x14ac:dyDescent="0.2"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</row>
    <row r="1400" spans="16:27" x14ac:dyDescent="0.2"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</row>
    <row r="1401" spans="16:27" x14ac:dyDescent="0.2"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</row>
    <row r="1402" spans="16:27" x14ac:dyDescent="0.2"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</row>
    <row r="1403" spans="16:27" x14ac:dyDescent="0.2"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</row>
    <row r="1404" spans="16:27" x14ac:dyDescent="0.2"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</row>
    <row r="1405" spans="16:27" x14ac:dyDescent="0.2"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</row>
    <row r="1406" spans="16:27" x14ac:dyDescent="0.2"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</row>
    <row r="1407" spans="16:27" x14ac:dyDescent="0.2"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</row>
    <row r="1408" spans="16:27" x14ac:dyDescent="0.2"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</row>
    <row r="1409" spans="16:27" x14ac:dyDescent="0.2"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</row>
    <row r="1410" spans="16:27" x14ac:dyDescent="0.2"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</row>
    <row r="1411" spans="16:27" x14ac:dyDescent="0.2"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</row>
    <row r="1412" spans="16:27" x14ac:dyDescent="0.2"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</row>
    <row r="1413" spans="16:27" x14ac:dyDescent="0.2"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</row>
    <row r="1414" spans="16:27" x14ac:dyDescent="0.2"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</row>
    <row r="1415" spans="16:27" x14ac:dyDescent="0.2"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</row>
    <row r="1416" spans="16:27" x14ac:dyDescent="0.2"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</row>
    <row r="1417" spans="16:27" x14ac:dyDescent="0.2"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</row>
    <row r="1418" spans="16:27" x14ac:dyDescent="0.2"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</row>
    <row r="1419" spans="16:27" x14ac:dyDescent="0.2"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</row>
    <row r="1420" spans="16:27" x14ac:dyDescent="0.2"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</row>
    <row r="1421" spans="16:27" x14ac:dyDescent="0.2"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</row>
    <row r="1422" spans="16:27" x14ac:dyDescent="0.2"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</row>
    <row r="1423" spans="16:27" x14ac:dyDescent="0.2"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</row>
    <row r="1424" spans="16:27" x14ac:dyDescent="0.2"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</row>
    <row r="1425" spans="16:27" x14ac:dyDescent="0.2"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</row>
    <row r="1426" spans="16:27" x14ac:dyDescent="0.2"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</row>
    <row r="1427" spans="16:27" x14ac:dyDescent="0.2"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</row>
    <row r="1428" spans="16:27" x14ac:dyDescent="0.2"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</row>
    <row r="1429" spans="16:27" x14ac:dyDescent="0.2"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</row>
    <row r="1430" spans="16:27" x14ac:dyDescent="0.2"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</row>
    <row r="1431" spans="16:27" x14ac:dyDescent="0.2"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</row>
    <row r="1432" spans="16:27" x14ac:dyDescent="0.2"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</row>
    <row r="1433" spans="16:27" x14ac:dyDescent="0.2"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</row>
    <row r="1434" spans="16:27" x14ac:dyDescent="0.2"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</row>
    <row r="1435" spans="16:27" x14ac:dyDescent="0.2"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</row>
    <row r="1436" spans="16:27" x14ac:dyDescent="0.2"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</row>
    <row r="1437" spans="16:27" x14ac:dyDescent="0.2"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</row>
    <row r="1438" spans="16:27" x14ac:dyDescent="0.2"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</row>
    <row r="1439" spans="16:27" x14ac:dyDescent="0.2"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</row>
    <row r="1440" spans="16:27" x14ac:dyDescent="0.2"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</row>
    <row r="1441" spans="16:27" x14ac:dyDescent="0.2"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</row>
    <row r="1442" spans="16:27" x14ac:dyDescent="0.2"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</row>
    <row r="1443" spans="16:27" x14ac:dyDescent="0.2"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</row>
    <row r="1444" spans="16:27" x14ac:dyDescent="0.2"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</row>
    <row r="1445" spans="16:27" x14ac:dyDescent="0.2"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</row>
    <row r="1446" spans="16:27" x14ac:dyDescent="0.2"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</row>
    <row r="1447" spans="16:27" x14ac:dyDescent="0.2"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</row>
    <row r="1448" spans="16:27" x14ac:dyDescent="0.2"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</row>
    <row r="1449" spans="16:27" x14ac:dyDescent="0.2"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</row>
    <row r="1450" spans="16:27" x14ac:dyDescent="0.2"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</row>
    <row r="1451" spans="16:27" x14ac:dyDescent="0.2"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</row>
    <row r="1452" spans="16:27" x14ac:dyDescent="0.2"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</row>
    <row r="1453" spans="16:27" x14ac:dyDescent="0.2"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</row>
    <row r="1454" spans="16:27" x14ac:dyDescent="0.2"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</row>
    <row r="1455" spans="16:27" x14ac:dyDescent="0.2"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</row>
    <row r="1456" spans="16:27" x14ac:dyDescent="0.2"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</row>
    <row r="1457" spans="16:27" x14ac:dyDescent="0.2"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</row>
    <row r="1458" spans="16:27" x14ac:dyDescent="0.2"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</row>
    <row r="1459" spans="16:27" x14ac:dyDescent="0.2"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</row>
    <row r="1460" spans="16:27" x14ac:dyDescent="0.2"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</row>
    <row r="1461" spans="16:27" x14ac:dyDescent="0.2"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</row>
    <row r="1462" spans="16:27" x14ac:dyDescent="0.2"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</row>
    <row r="1463" spans="16:27" x14ac:dyDescent="0.2"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</row>
    <row r="1464" spans="16:27" x14ac:dyDescent="0.2"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</row>
    <row r="1465" spans="16:27" x14ac:dyDescent="0.2"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</row>
    <row r="1466" spans="16:27" x14ac:dyDescent="0.2"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</row>
    <row r="1467" spans="16:27" x14ac:dyDescent="0.2"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</row>
    <row r="1468" spans="16:27" x14ac:dyDescent="0.2"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</row>
    <row r="1469" spans="16:27" x14ac:dyDescent="0.2"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</row>
    <row r="1470" spans="16:27" x14ac:dyDescent="0.2"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</row>
    <row r="1471" spans="16:27" x14ac:dyDescent="0.2"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</row>
    <row r="1472" spans="16:27" x14ac:dyDescent="0.2"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</row>
    <row r="1473" spans="16:27" x14ac:dyDescent="0.2"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</row>
    <row r="1474" spans="16:27" x14ac:dyDescent="0.2"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</row>
    <row r="1475" spans="16:27" x14ac:dyDescent="0.2"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</row>
    <row r="1476" spans="16:27" x14ac:dyDescent="0.2"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</row>
    <row r="1477" spans="16:27" x14ac:dyDescent="0.2"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</row>
    <row r="1478" spans="16:27" x14ac:dyDescent="0.2"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</row>
    <row r="1479" spans="16:27" x14ac:dyDescent="0.2"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</row>
    <row r="1480" spans="16:27" x14ac:dyDescent="0.2"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</row>
    <row r="1481" spans="16:27" x14ac:dyDescent="0.2"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</row>
    <row r="1482" spans="16:27" x14ac:dyDescent="0.2"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</row>
    <row r="1483" spans="16:27" x14ac:dyDescent="0.2"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</row>
    <row r="1484" spans="16:27" x14ac:dyDescent="0.2"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</row>
    <row r="1485" spans="16:27" x14ac:dyDescent="0.2"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</row>
    <row r="1486" spans="16:27" x14ac:dyDescent="0.2"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</row>
    <row r="1487" spans="16:27" x14ac:dyDescent="0.2"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</row>
    <row r="1488" spans="16:27" x14ac:dyDescent="0.2"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</row>
    <row r="1489" spans="16:27" x14ac:dyDescent="0.2"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</row>
    <row r="1490" spans="16:27" x14ac:dyDescent="0.2"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</row>
    <row r="1491" spans="16:27" x14ac:dyDescent="0.2"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</row>
    <row r="1492" spans="16:27" x14ac:dyDescent="0.2"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</row>
    <row r="1493" spans="16:27" x14ac:dyDescent="0.2"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</row>
    <row r="1494" spans="16:27" x14ac:dyDescent="0.2"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</row>
    <row r="1495" spans="16:27" x14ac:dyDescent="0.2"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</row>
    <row r="1496" spans="16:27" x14ac:dyDescent="0.2"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</row>
    <row r="1497" spans="16:27" x14ac:dyDescent="0.2"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</row>
    <row r="1498" spans="16:27" x14ac:dyDescent="0.2"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</row>
    <row r="1499" spans="16:27" x14ac:dyDescent="0.2"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</row>
    <row r="1500" spans="16:27" x14ac:dyDescent="0.2"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</row>
    <row r="1501" spans="16:27" x14ac:dyDescent="0.2"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</row>
    <row r="1502" spans="16:27" x14ac:dyDescent="0.2"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</row>
    <row r="1503" spans="16:27" x14ac:dyDescent="0.2"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</row>
    <row r="1504" spans="16:27" x14ac:dyDescent="0.2"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</row>
    <row r="1505" spans="16:27" x14ac:dyDescent="0.2"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</row>
    <row r="1506" spans="16:27" x14ac:dyDescent="0.2"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</row>
    <row r="1507" spans="16:27" x14ac:dyDescent="0.2"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</row>
    <row r="1508" spans="16:27" x14ac:dyDescent="0.2"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</row>
    <row r="1509" spans="16:27" x14ac:dyDescent="0.2"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</row>
    <row r="1510" spans="16:27" x14ac:dyDescent="0.2"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</row>
    <row r="1511" spans="16:27" x14ac:dyDescent="0.2"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</row>
    <row r="1512" spans="16:27" x14ac:dyDescent="0.2"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</row>
    <row r="1513" spans="16:27" x14ac:dyDescent="0.2"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</row>
    <row r="1514" spans="16:27" x14ac:dyDescent="0.2"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</row>
    <row r="1515" spans="16:27" x14ac:dyDescent="0.2"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</row>
    <row r="1516" spans="16:27" x14ac:dyDescent="0.2"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</row>
    <row r="1517" spans="16:27" x14ac:dyDescent="0.2"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</row>
    <row r="1518" spans="16:27" x14ac:dyDescent="0.2"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</row>
    <row r="1519" spans="16:27" x14ac:dyDescent="0.2"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</row>
    <row r="1520" spans="16:27" x14ac:dyDescent="0.2"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</row>
    <row r="1521" spans="16:27" x14ac:dyDescent="0.2"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</row>
    <row r="1522" spans="16:27" x14ac:dyDescent="0.2"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</row>
    <row r="1523" spans="16:27" x14ac:dyDescent="0.2"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</row>
    <row r="1524" spans="16:27" x14ac:dyDescent="0.2"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</row>
    <row r="1525" spans="16:27" x14ac:dyDescent="0.2"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</row>
    <row r="1526" spans="16:27" x14ac:dyDescent="0.2"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</row>
    <row r="1527" spans="16:27" x14ac:dyDescent="0.2"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</row>
    <row r="1528" spans="16:27" x14ac:dyDescent="0.2"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</row>
    <row r="1529" spans="16:27" x14ac:dyDescent="0.2"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</row>
    <row r="1530" spans="16:27" x14ac:dyDescent="0.2"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</row>
    <row r="1531" spans="16:27" x14ac:dyDescent="0.2"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</row>
    <row r="1532" spans="16:27" x14ac:dyDescent="0.2"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</row>
    <row r="1533" spans="16:27" x14ac:dyDescent="0.2"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</row>
    <row r="1534" spans="16:27" x14ac:dyDescent="0.2"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</row>
    <row r="1535" spans="16:27" x14ac:dyDescent="0.2"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</row>
    <row r="1536" spans="16:27" x14ac:dyDescent="0.2"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</row>
    <row r="1537" spans="16:27" x14ac:dyDescent="0.2"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</row>
    <row r="1538" spans="16:27" x14ac:dyDescent="0.2"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</row>
    <row r="1539" spans="16:27" x14ac:dyDescent="0.2"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</row>
    <row r="1540" spans="16:27" x14ac:dyDescent="0.2"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</row>
    <row r="1541" spans="16:27" x14ac:dyDescent="0.2"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</row>
    <row r="1542" spans="16:27" x14ac:dyDescent="0.2"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</row>
    <row r="1543" spans="16:27" x14ac:dyDescent="0.2"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</row>
    <row r="1544" spans="16:27" x14ac:dyDescent="0.2"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</row>
    <row r="1545" spans="16:27" x14ac:dyDescent="0.2"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</row>
    <row r="1546" spans="16:27" x14ac:dyDescent="0.2"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</row>
    <row r="1547" spans="16:27" x14ac:dyDescent="0.2"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</row>
    <row r="1548" spans="16:27" x14ac:dyDescent="0.2"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</row>
    <row r="1549" spans="16:27" x14ac:dyDescent="0.2"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</row>
    <row r="1550" spans="16:27" x14ac:dyDescent="0.2"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</row>
    <row r="1551" spans="16:27" x14ac:dyDescent="0.2"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</row>
    <row r="1552" spans="16:27" x14ac:dyDescent="0.2"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</row>
    <row r="1553" spans="16:27" x14ac:dyDescent="0.2"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</row>
    <row r="1554" spans="16:27" x14ac:dyDescent="0.2"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</row>
    <row r="1555" spans="16:27" x14ac:dyDescent="0.2"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</row>
    <row r="1556" spans="16:27" x14ac:dyDescent="0.2"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</row>
    <row r="1557" spans="16:27" x14ac:dyDescent="0.2"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</row>
    <row r="1558" spans="16:27" x14ac:dyDescent="0.2"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</row>
    <row r="1559" spans="16:27" x14ac:dyDescent="0.2"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</row>
    <row r="1560" spans="16:27" x14ac:dyDescent="0.2"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</row>
    <row r="1561" spans="16:27" x14ac:dyDescent="0.2"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</row>
    <row r="1562" spans="16:27" x14ac:dyDescent="0.2"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</row>
    <row r="1563" spans="16:27" x14ac:dyDescent="0.2"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</row>
    <row r="1564" spans="16:27" x14ac:dyDescent="0.2"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</row>
    <row r="1565" spans="16:27" x14ac:dyDescent="0.2"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</row>
    <row r="1566" spans="16:27" x14ac:dyDescent="0.2"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</row>
    <row r="1567" spans="16:27" x14ac:dyDescent="0.2"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</row>
    <row r="1568" spans="16:27" x14ac:dyDescent="0.2"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</row>
    <row r="1569" spans="16:27" x14ac:dyDescent="0.2"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</row>
    <row r="1570" spans="16:27" x14ac:dyDescent="0.2"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</row>
    <row r="1571" spans="16:27" x14ac:dyDescent="0.2"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</row>
    <row r="1572" spans="16:27" x14ac:dyDescent="0.2"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</row>
    <row r="1573" spans="16:27" x14ac:dyDescent="0.2"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</row>
    <row r="1574" spans="16:27" x14ac:dyDescent="0.2"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</row>
    <row r="1575" spans="16:27" x14ac:dyDescent="0.2"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</row>
    <row r="1576" spans="16:27" x14ac:dyDescent="0.2"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</row>
    <row r="1577" spans="16:27" x14ac:dyDescent="0.2"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</row>
    <row r="1578" spans="16:27" x14ac:dyDescent="0.2"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</row>
    <row r="1579" spans="16:27" x14ac:dyDescent="0.2"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</row>
    <row r="1580" spans="16:27" x14ac:dyDescent="0.2"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</row>
    <row r="1581" spans="16:27" x14ac:dyDescent="0.2"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</row>
    <row r="1582" spans="16:27" x14ac:dyDescent="0.2"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</row>
    <row r="1583" spans="16:27" x14ac:dyDescent="0.2"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</row>
    <row r="1584" spans="16:27" x14ac:dyDescent="0.2"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</row>
    <row r="1585" spans="16:27" x14ac:dyDescent="0.2"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</row>
    <row r="1586" spans="16:27" x14ac:dyDescent="0.2"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</row>
    <row r="1587" spans="16:27" x14ac:dyDescent="0.2"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</row>
    <row r="1588" spans="16:27" x14ac:dyDescent="0.2">
      <c r="P1588" s="36"/>
      <c r="Q1588" s="36"/>
      <c r="R1588" s="36"/>
      <c r="S1588" s="36"/>
      <c r="T1588" s="36"/>
      <c r="U1588" s="36"/>
      <c r="V1588" s="36"/>
      <c r="W1588" s="36"/>
      <c r="X1588" s="36"/>
      <c r="Y1588" s="36"/>
      <c r="Z1588" s="36"/>
      <c r="AA1588" s="36"/>
    </row>
    <row r="1589" spans="16:27" x14ac:dyDescent="0.2">
      <c r="P1589" s="36"/>
      <c r="Q1589" s="36"/>
      <c r="R1589" s="36"/>
      <c r="S1589" s="36"/>
      <c r="T1589" s="36"/>
      <c r="U1589" s="36"/>
      <c r="V1589" s="36"/>
      <c r="W1589" s="36"/>
      <c r="X1589" s="36"/>
      <c r="Y1589" s="36"/>
      <c r="Z1589" s="36"/>
      <c r="AA1589" s="36"/>
    </row>
    <row r="1590" spans="16:27" x14ac:dyDescent="0.2">
      <c r="P1590" s="36"/>
      <c r="Q1590" s="36"/>
      <c r="R1590" s="36"/>
      <c r="S1590" s="36"/>
      <c r="T1590" s="36"/>
      <c r="U1590" s="36"/>
      <c r="V1590" s="36"/>
      <c r="W1590" s="36"/>
      <c r="X1590" s="36"/>
      <c r="Y1590" s="36"/>
      <c r="Z1590" s="36"/>
      <c r="AA1590" s="36"/>
    </row>
    <row r="1591" spans="16:27" x14ac:dyDescent="0.2">
      <c r="P1591" s="36"/>
      <c r="Q1591" s="36"/>
      <c r="R1591" s="36"/>
      <c r="S1591" s="36"/>
      <c r="T1591" s="36"/>
      <c r="U1591" s="36"/>
      <c r="V1591" s="36"/>
      <c r="W1591" s="36"/>
      <c r="X1591" s="36"/>
      <c r="Y1591" s="36"/>
      <c r="Z1591" s="36"/>
      <c r="AA1591" s="36"/>
    </row>
    <row r="1592" spans="16:27" x14ac:dyDescent="0.2">
      <c r="P1592" s="36"/>
      <c r="Q1592" s="36"/>
      <c r="R1592" s="36"/>
      <c r="S1592" s="36"/>
      <c r="T1592" s="36"/>
      <c r="U1592" s="36"/>
      <c r="V1592" s="36"/>
      <c r="W1592" s="36"/>
      <c r="X1592" s="36"/>
      <c r="Y1592" s="36"/>
      <c r="Z1592" s="36"/>
      <c r="AA1592" s="36"/>
    </row>
    <row r="1593" spans="16:27" x14ac:dyDescent="0.2">
      <c r="P1593" s="36"/>
      <c r="Q1593" s="36"/>
      <c r="R1593" s="36"/>
      <c r="S1593" s="36"/>
      <c r="T1593" s="36"/>
      <c r="U1593" s="36"/>
      <c r="V1593" s="36"/>
      <c r="W1593" s="36"/>
      <c r="X1593" s="36"/>
      <c r="Y1593" s="36"/>
      <c r="Z1593" s="36"/>
      <c r="AA1593" s="36"/>
    </row>
    <row r="1594" spans="16:27" x14ac:dyDescent="0.2">
      <c r="P1594" s="36"/>
      <c r="Q1594" s="36"/>
      <c r="R1594" s="36"/>
      <c r="S1594" s="36"/>
      <c r="T1594" s="36"/>
      <c r="U1594" s="36"/>
      <c r="V1594" s="36"/>
      <c r="W1594" s="36"/>
      <c r="X1594" s="36"/>
      <c r="Y1594" s="36"/>
      <c r="Z1594" s="36"/>
      <c r="AA1594" s="36"/>
    </row>
    <row r="1595" spans="16:27" x14ac:dyDescent="0.2">
      <c r="P1595" s="36"/>
      <c r="Q1595" s="36"/>
      <c r="R1595" s="36"/>
      <c r="S1595" s="36"/>
      <c r="T1595" s="36"/>
      <c r="U1595" s="36"/>
      <c r="V1595" s="36"/>
      <c r="W1595" s="36"/>
      <c r="X1595" s="36"/>
      <c r="Y1595" s="36"/>
      <c r="Z1595" s="36"/>
      <c r="AA1595" s="36"/>
    </row>
    <row r="1596" spans="16:27" x14ac:dyDescent="0.2">
      <c r="P1596" s="36"/>
      <c r="Q1596" s="36"/>
      <c r="R1596" s="36"/>
      <c r="S1596" s="36"/>
      <c r="T1596" s="36"/>
      <c r="U1596" s="36"/>
      <c r="V1596" s="36"/>
      <c r="W1596" s="36"/>
      <c r="X1596" s="36"/>
      <c r="Y1596" s="36"/>
      <c r="Z1596" s="36"/>
      <c r="AA1596" s="36"/>
    </row>
    <row r="1597" spans="16:27" x14ac:dyDescent="0.2">
      <c r="P1597" s="36"/>
      <c r="Q1597" s="36"/>
      <c r="R1597" s="36"/>
      <c r="S1597" s="36"/>
      <c r="T1597" s="36"/>
      <c r="U1597" s="36"/>
      <c r="V1597" s="36"/>
      <c r="W1597" s="36"/>
      <c r="X1597" s="36"/>
      <c r="Y1597" s="36"/>
      <c r="Z1597" s="36"/>
      <c r="AA1597" s="36"/>
    </row>
    <row r="1598" spans="16:27" x14ac:dyDescent="0.2">
      <c r="P1598" s="36"/>
      <c r="Q1598" s="36"/>
      <c r="R1598" s="36"/>
      <c r="S1598" s="36"/>
      <c r="T1598" s="36"/>
      <c r="U1598" s="36"/>
      <c r="V1598" s="36"/>
      <c r="W1598" s="36"/>
      <c r="X1598" s="36"/>
      <c r="Y1598" s="36"/>
      <c r="Z1598" s="36"/>
      <c r="AA1598" s="36"/>
    </row>
    <row r="1599" spans="16:27" x14ac:dyDescent="0.2"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</row>
    <row r="1600" spans="16:27" x14ac:dyDescent="0.2"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</row>
    <row r="1601" spans="16:27" x14ac:dyDescent="0.2"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</row>
    <row r="1602" spans="16:27" x14ac:dyDescent="0.2"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</row>
    <row r="1603" spans="16:27" x14ac:dyDescent="0.2"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</row>
    <row r="1604" spans="16:27" x14ac:dyDescent="0.2"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</row>
    <row r="1605" spans="16:27" x14ac:dyDescent="0.2"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</row>
    <row r="1606" spans="16:27" x14ac:dyDescent="0.2"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</row>
    <row r="1607" spans="16:27" x14ac:dyDescent="0.2"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</row>
    <row r="1608" spans="16:27" x14ac:dyDescent="0.2"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</row>
    <row r="1609" spans="16:27" x14ac:dyDescent="0.2"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</row>
    <row r="1610" spans="16:27" x14ac:dyDescent="0.2"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</row>
    <row r="1611" spans="16:27" x14ac:dyDescent="0.2"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</row>
    <row r="1612" spans="16:27" x14ac:dyDescent="0.2"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</row>
    <row r="1613" spans="16:27" x14ac:dyDescent="0.2"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</row>
    <row r="1614" spans="16:27" x14ac:dyDescent="0.2"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</row>
    <row r="1615" spans="16:27" x14ac:dyDescent="0.2"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</row>
    <row r="1616" spans="16:27" x14ac:dyDescent="0.2"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</row>
    <row r="1617" spans="16:27" x14ac:dyDescent="0.2"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</row>
    <row r="1618" spans="16:27" x14ac:dyDescent="0.2"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Length4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9</xdr:row>
                    <xdr:rowOff>123825</xdr:rowOff>
                  </from>
                  <to>
                    <xdr:col>29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Length1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</xdr:row>
                    <xdr:rowOff>276225</xdr:rowOff>
                  </from>
                  <to>
                    <xdr:col>29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Length7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18</xdr:row>
                    <xdr:rowOff>0</xdr:rowOff>
                  </from>
                  <to>
                    <xdr:col>29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Length2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4</xdr:row>
                    <xdr:rowOff>38100</xdr:rowOff>
                  </from>
                  <to>
                    <xdr:col>29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3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7</xdr:row>
                    <xdr:rowOff>0</xdr:rowOff>
                  </from>
                  <to>
                    <xdr:col>29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5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12</xdr:row>
                    <xdr:rowOff>66675</xdr:rowOff>
                  </from>
                  <to>
                    <xdr:col>29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6">
              <controlPr defaultSize="0" print="0" autoFill="0" autoPict="0" macro="[0]!grphUpdate">
                <anchor moveWithCells="1">
                  <from>
                    <xdr:col>27</xdr:col>
                    <xdr:colOff>114300</xdr:colOff>
                    <xdr:row>15</xdr:row>
                    <xdr:rowOff>19050</xdr:rowOff>
                  </from>
                  <to>
                    <xdr:col>29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General Settings</vt:lpstr>
      <vt:lpstr>1M Basis</vt:lpstr>
      <vt:lpstr>3M Basis</vt:lpstr>
      <vt:lpstr>6M Basis</vt:lpstr>
      <vt:lpstr>12M Basis</vt:lpstr>
      <vt:lpstr>AllTriggers</vt:lpstr>
      <vt:lpstr>Calendar</vt:lpstr>
      <vt:lpstr>'12M Basis'!ContBasis</vt:lpstr>
      <vt:lpstr>'1M Basis'!ContBasis</vt:lpstr>
      <vt:lpstr>'3M Basis'!ContBasis</vt:lpstr>
      <vt:lpstr>'6M Basis'!ContBasis</vt:lpstr>
      <vt:lpstr>Currency</vt:lpstr>
      <vt:lpstr>'12M Basis'!DataTable</vt:lpstr>
      <vt:lpstr>'1M Basis'!DataTable</vt:lpstr>
      <vt:lpstr>'3M Basis'!DataTable</vt:lpstr>
      <vt:lpstr>'6M Basis'!DataTable</vt:lpstr>
      <vt:lpstr>DayCounter</vt:lpstr>
      <vt:lpstr>'12M Basis'!Error_ContBasis</vt:lpstr>
      <vt:lpstr>'1M Basis'!Error_ContBasis</vt:lpstr>
      <vt:lpstr>'3M Basis'!Error_ContBasis</vt:lpstr>
      <vt:lpstr>'6M Basis'!Error_ContBasis</vt:lpstr>
      <vt:lpstr>'12M Basis'!Error_SimpleBasis</vt:lpstr>
      <vt:lpstr>'1M Basis'!Error_SimpleBasis</vt:lpstr>
      <vt:lpstr>'3M Basis'!Error_SimpleBasis</vt:lpstr>
      <vt:lpstr>EvaluationDate</vt:lpstr>
      <vt:lpstr>IborType</vt:lpstr>
      <vt:lpstr>'12M Basis'!Index</vt:lpstr>
      <vt:lpstr>'1M Basis'!Index</vt:lpstr>
      <vt:lpstr>'3M Basis'!Index</vt:lpstr>
      <vt:lpstr>'6M Basis'!Index</vt:lpstr>
      <vt:lpstr>InterestRatesTrigger</vt:lpstr>
      <vt:lpstr>OisCurve</vt:lpstr>
      <vt:lpstr>SettlementDate</vt:lpstr>
      <vt:lpstr>'12M Basis'!SimpleBasis</vt:lpstr>
      <vt:lpstr>'1M Basis'!SimpleBasis</vt:lpstr>
      <vt:lpstr>'3M Basis'!SimpleBasis</vt:lpstr>
      <vt:lpstr>'6M Basis'!SimpleBasis</vt:lpstr>
      <vt:lpstr>'12M Basis'!TenorBasis6M</vt:lpstr>
      <vt:lpstr>'1M Basis'!TenorBasis6M</vt:lpstr>
      <vt:lpstr>'3M Basis'!TenorBasis6M</vt:lpstr>
      <vt:lpstr>'6M Basis'!TenorBasis6M</vt:lpstr>
      <vt:lpstr>Trigger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2014-12-24T10:07:57Z</dcterms:created>
  <dcterms:modified xsi:type="dcterms:W3CDTF">2015-11-11T18:31:12Z</dcterms:modified>
</cp:coreProperties>
</file>