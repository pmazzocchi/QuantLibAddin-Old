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quantlib\QuantLibXL\Data2\XLS\EUR\"/>
    </mc:Choice>
  </mc:AlternateContent>
  <bookViews>
    <workbookView xWindow="21975" yWindow="-240" windowWidth="9300" windowHeight="12990"/>
  </bookViews>
  <sheets>
    <sheet name="General Settings" sheetId="4" r:id="rId1"/>
    <sheet name="1M Basis" sheetId="10" r:id="rId2"/>
    <sheet name="3M Basis" sheetId="11" r:id="rId3"/>
    <sheet name="6M Basis" sheetId="9" r:id="rId4"/>
    <sheet name="12M Basis" sheetId="12" r:id="rId5"/>
  </sheets>
  <externalReferences>
    <externalReference r:id="rId6"/>
  </externalReferences>
  <definedNames>
    <definedName name="AllTriggers">'General Settings'!$I$4:$I$8</definedName>
    <definedName name="Calendar">'General Settings'!$D$5</definedName>
    <definedName name="ContBasis" localSheetId="4">'12M Basis'!$M$8:$M$11</definedName>
    <definedName name="ContBasis" localSheetId="1">'1M Basis'!$M$8:$M$11</definedName>
    <definedName name="ContBasis" localSheetId="2">'3M Basis'!$M$8:$M$11</definedName>
    <definedName name="ContBasis" localSheetId="3">'6M Basis'!$M$8:$M$11</definedName>
    <definedName name="Currency">'General Settings'!$D$4</definedName>
    <definedName name="DataTable" localSheetId="4">'12M Basis'!$A$3:$J$16</definedName>
    <definedName name="DataTable" localSheetId="1">'1M Basis'!$A$3:$J$9</definedName>
    <definedName name="DataTable" localSheetId="2">'3M Basis'!$A$3:$J$16</definedName>
    <definedName name="DataTable" localSheetId="3">'6M Basis'!$A$3:$J$16</definedName>
    <definedName name="DayCounter">'General Settings'!$D$9</definedName>
    <definedName name="Error_ContBasis" localSheetId="4">'12M Basis'!$M$16</definedName>
    <definedName name="Error_ContBasis" localSheetId="1">'1M Basis'!$M$16</definedName>
    <definedName name="Error_ContBasis" localSheetId="2">'3M Basis'!$M$16</definedName>
    <definedName name="Error_ContBasis" localSheetId="3">'6M Basis'!$M$16</definedName>
    <definedName name="EvaluationDate">'General Settings'!$I$5</definedName>
    <definedName name="IborType">'General Settings'!$D$6</definedName>
    <definedName name="Index" localSheetId="4">'12M Basis'!$M$4</definedName>
    <definedName name="Index" localSheetId="1">'1M Basis'!$M$4</definedName>
    <definedName name="Index" localSheetId="2">'3M Basis'!$M$4</definedName>
    <definedName name="Index" localSheetId="3">'6M Basis'!$M$4</definedName>
    <definedName name="InterestRatesTrigger">'General Settings'!$I$7</definedName>
    <definedName name="OisCurve">'General Settings'!$D$8</definedName>
    <definedName name="SettlementDate">'General Settings'!$I$6</definedName>
    <definedName name="SimpleBasis" localSheetId="4">'12M Basis'!$M$29:$M$32</definedName>
    <definedName name="SimpleBasis" localSheetId="1">'1M Basis'!$M$29:$M$32</definedName>
    <definedName name="SimpleBasis" localSheetId="2">'3M Basis'!$M$29:$M$32</definedName>
    <definedName name="SimpleBasis" localSheetId="3">'6M Basis'!$M$29:$M$32</definedName>
    <definedName name="solver_adj" localSheetId="4" hidden="1">'12M Basis'!$M$29:$M$32</definedName>
    <definedName name="solver_adj" localSheetId="1" hidden="1">'1M Basis'!$M$29:$M$32</definedName>
    <definedName name="solver_adj" localSheetId="2" hidden="1">'3M Basis'!$M$29:$M$32</definedName>
    <definedName name="solver_adj" localSheetId="3" hidden="1">'6M Basis'!$M$29:$M$32</definedName>
    <definedName name="solver_cvg" localSheetId="4" hidden="1">0.0000000000001</definedName>
    <definedName name="solver_cvg" localSheetId="1" hidden="1">0.0000000000001</definedName>
    <definedName name="solver_cvg" localSheetId="2" hidden="1">0.0000000000001</definedName>
    <definedName name="solver_cvg" localSheetId="3" hidden="1">0.0000000000001</definedName>
    <definedName name="solver_drv" localSheetId="4" hidden="1">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4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4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4" hidden="1">2147483647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4" hidden="1">'12M Basis'!$M$10</definedName>
    <definedName name="solver_lhs1" localSheetId="1" hidden="1">'1M Basis'!$M$10</definedName>
    <definedName name="solver_lhs1" localSheetId="2" hidden="1">'3M Basis'!$M$10</definedName>
    <definedName name="solver_lhs1" localSheetId="3" hidden="1">'6M Basis'!$M$10</definedName>
    <definedName name="solver_lhs2" localSheetId="4" hidden="1">'12M Basis'!$M$10</definedName>
    <definedName name="solver_lhs2" localSheetId="1" hidden="1">'1M Basis'!$M$10</definedName>
    <definedName name="solver_lhs2" localSheetId="2" hidden="1">'3M Basis'!$M$10</definedName>
    <definedName name="solver_lhs2" localSheetId="3" hidden="1">'6M Basis'!$M$10</definedName>
    <definedName name="solver_lhs3" localSheetId="4" hidden="1">'12M Basis'!$M$10</definedName>
    <definedName name="solver_lhs3" localSheetId="1" hidden="1">'1M Basis'!$M$10</definedName>
    <definedName name="solver_lhs3" localSheetId="2" hidden="1">'3M Basis'!$M$10</definedName>
    <definedName name="solver_lhs3" localSheetId="3" hidden="1">'6M Basis'!$M$10</definedName>
    <definedName name="solver_mip" localSheetId="4" hidden="1">2147483647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4" hidden="1">30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4" hidden="1">0.075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4" hidden="1">2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4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4" hidden="1">2147483647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4" hidden="1">0</definedName>
    <definedName name="solver_num" localSheetId="1" hidden="1">0</definedName>
    <definedName name="solver_num" localSheetId="2" hidden="1">0</definedName>
    <definedName name="solver_num" localSheetId="3" hidden="1">0</definedName>
    <definedName name="solver_nwt" localSheetId="4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4" hidden="1">'12M Basis'!#REF!</definedName>
    <definedName name="solver_opt" localSheetId="1" hidden="1">'1M Basis'!#REF!</definedName>
    <definedName name="solver_opt" localSheetId="2" hidden="1">'3M Basis'!#REF!</definedName>
    <definedName name="solver_opt" localSheetId="3" hidden="1">'6M Basis'!#REF!</definedName>
    <definedName name="solver_pre" localSheetId="4" hidden="1">0.000001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4" hidden="1">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4" hidden="1">3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2" localSheetId="4" hidden="1">3</definedName>
    <definedName name="solver_rel2" localSheetId="1" hidden="1">3</definedName>
    <definedName name="solver_rel2" localSheetId="2" hidden="1">3</definedName>
    <definedName name="solver_rel2" localSheetId="3" hidden="1">3</definedName>
    <definedName name="solver_rel3" localSheetId="4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hs1" localSheetId="4" hidden="1">0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2" localSheetId="4" hidden="1">0</definedName>
    <definedName name="solver_rhs2" localSheetId="1" hidden="1">0</definedName>
    <definedName name="solver_rhs2" localSheetId="2" hidden="1">0</definedName>
    <definedName name="solver_rhs2" localSheetId="3" hidden="1">0</definedName>
    <definedName name="solver_rhs3" localSheetId="4" hidden="1">0</definedName>
    <definedName name="solver_rhs3" localSheetId="1" hidden="1">0</definedName>
    <definedName name="solver_rhs3" localSheetId="2" hidden="1">0</definedName>
    <definedName name="solver_rhs3" localSheetId="3" hidden="1">0</definedName>
    <definedName name="solver_rlx" localSheetId="4" hidden="1">2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4" hidden="1">0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4" hidden="1">1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4" hidden="1">2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4" hidden="1">100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4" hidden="1">2147483647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4" hidden="1">0.01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4" hidden="1">2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4" hidden="1">0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4" hidden="1">3</definedName>
    <definedName name="solver_ver" localSheetId="1" hidden="1">3</definedName>
    <definedName name="solver_ver" localSheetId="2" hidden="1">3</definedName>
    <definedName name="solver_ver" localSheetId="3" hidden="1">3</definedName>
    <definedName name="TenorBasis1M" localSheetId="1">'1M Basis'!$M$24</definedName>
    <definedName name="TenorBasis1Y" localSheetId="4">'12M Basis'!$M$24</definedName>
    <definedName name="TenorBasis3M" localSheetId="2">'3M Basis'!$M$24</definedName>
    <definedName name="TenorBasis6M" localSheetId="3">'6M Basis'!$M$24</definedName>
    <definedName name="Trigger">'General Settings'!$I$4</definedName>
  </definedNames>
  <calcPr calcId="152511"/>
</workbook>
</file>

<file path=xl/calcChain.xml><?xml version="1.0" encoding="utf-8"?>
<calcChain xmlns="http://schemas.openxmlformats.org/spreadsheetml/2006/main">
  <c r="Z78" i="12" l="1"/>
  <c r="Z77" i="12"/>
  <c r="Z76" i="12"/>
  <c r="Z75" i="12"/>
  <c r="Z74" i="12"/>
  <c r="Z73" i="12"/>
  <c r="Z72" i="12"/>
  <c r="Z71" i="12"/>
  <c r="Z70" i="12"/>
  <c r="Z69" i="12"/>
  <c r="Z68" i="12"/>
  <c r="Z67" i="12"/>
  <c r="Z66" i="12"/>
  <c r="Z65" i="12"/>
  <c r="Z64" i="12"/>
  <c r="Z63" i="12"/>
  <c r="Z62" i="12"/>
  <c r="Z61" i="12"/>
  <c r="Z60" i="12"/>
  <c r="Z59" i="12"/>
  <c r="Z58" i="12"/>
  <c r="Z57" i="12"/>
  <c r="Z56" i="12"/>
  <c r="Z55" i="12"/>
  <c r="Z54" i="12"/>
  <c r="Z53" i="12"/>
  <c r="Z52" i="12"/>
  <c r="Z51" i="12"/>
  <c r="Z50" i="12"/>
  <c r="Z49" i="12"/>
  <c r="Z48" i="12"/>
  <c r="Z47" i="12"/>
  <c r="Z46" i="12"/>
  <c r="Z45" i="12"/>
  <c r="Z44" i="12"/>
  <c r="Z43" i="12"/>
  <c r="Z42" i="12"/>
  <c r="Z41" i="12"/>
  <c r="Z40" i="12"/>
  <c r="Z39" i="12"/>
  <c r="Z38" i="12"/>
  <c r="Z37" i="12"/>
  <c r="Z36" i="12"/>
  <c r="Z35" i="12"/>
  <c r="Z34" i="12"/>
  <c r="Z33" i="12"/>
  <c r="Z32" i="12"/>
  <c r="Z31" i="12"/>
  <c r="Z30" i="12"/>
  <c r="Z29" i="12"/>
  <c r="Z28" i="12"/>
  <c r="Z27" i="12"/>
  <c r="Z26" i="12"/>
  <c r="Z25" i="12"/>
  <c r="Z24" i="12"/>
  <c r="Z23" i="12"/>
  <c r="Z22" i="12"/>
  <c r="Z21" i="12"/>
  <c r="Z20" i="12"/>
  <c r="Z19" i="12"/>
  <c r="Z18" i="12"/>
  <c r="Z17" i="12"/>
  <c r="Z16" i="12"/>
  <c r="Z15" i="12"/>
  <c r="Z14" i="12"/>
  <c r="Z13" i="12"/>
  <c r="Z12" i="12"/>
  <c r="Z11" i="12"/>
  <c r="Z10" i="12"/>
  <c r="Z9" i="12"/>
  <c r="E9" i="12"/>
  <c r="Z8" i="12"/>
  <c r="E8" i="12"/>
  <c r="Z7" i="12"/>
  <c r="E7" i="12"/>
  <c r="Z6" i="12"/>
  <c r="E6" i="12"/>
  <c r="Z5" i="12"/>
  <c r="L5" i="12"/>
  <c r="E5" i="12"/>
  <c r="Z4" i="12"/>
  <c r="E4" i="12"/>
  <c r="Z3" i="12"/>
  <c r="Q3" i="12"/>
  <c r="E3" i="12"/>
  <c r="V2" i="12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201" i="11"/>
  <c r="Z202" i="11"/>
  <c r="Z203" i="11"/>
  <c r="Z204" i="11"/>
  <c r="Z205" i="11"/>
  <c r="Z206" i="11"/>
  <c r="Z207" i="11"/>
  <c r="Z208" i="11"/>
  <c r="Z209" i="11"/>
  <c r="Z210" i="11"/>
  <c r="Z211" i="11"/>
  <c r="Z212" i="11"/>
  <c r="Z213" i="11"/>
  <c r="Z214" i="11"/>
  <c r="Z215" i="11"/>
  <c r="Z216" i="11"/>
  <c r="Z217" i="11"/>
  <c r="Z218" i="11"/>
  <c r="Z219" i="11"/>
  <c r="Z220" i="11"/>
  <c r="Z221" i="11"/>
  <c r="Z222" i="11"/>
  <c r="Z223" i="11"/>
  <c r="Z224" i="11"/>
  <c r="Z225" i="11"/>
  <c r="Z226" i="11"/>
  <c r="Z227" i="11"/>
  <c r="Z228" i="11"/>
  <c r="Z229" i="11"/>
  <c r="Z230" i="11"/>
  <c r="Z231" i="11"/>
  <c r="Z232" i="11"/>
  <c r="Z233" i="11"/>
  <c r="Z234" i="11"/>
  <c r="Z235" i="11"/>
  <c r="Z236" i="11"/>
  <c r="Z237" i="11"/>
  <c r="Z238" i="11"/>
  <c r="Z239" i="11"/>
  <c r="Z240" i="11"/>
  <c r="Z241" i="11"/>
  <c r="Z242" i="11"/>
  <c r="Z243" i="11"/>
  <c r="Z244" i="11"/>
  <c r="Z245" i="11"/>
  <c r="Z246" i="11"/>
  <c r="Z247" i="11"/>
  <c r="Z248" i="11"/>
  <c r="Z249" i="11"/>
  <c r="Z250" i="11"/>
  <c r="Z251" i="11"/>
  <c r="Z252" i="11"/>
  <c r="Z253" i="11"/>
  <c r="Z24" i="11"/>
  <c r="Z23" i="11"/>
  <c r="Z22" i="11"/>
  <c r="Z21" i="11"/>
  <c r="Z20" i="11"/>
  <c r="Z19" i="11"/>
  <c r="Z18" i="11"/>
  <c r="Z17" i="11"/>
  <c r="Z16" i="11"/>
  <c r="Z15" i="11"/>
  <c r="Z14" i="11"/>
  <c r="Z13" i="11"/>
  <c r="Z12" i="11"/>
  <c r="Z11" i="11"/>
  <c r="Z10" i="11"/>
  <c r="Z9" i="11"/>
  <c r="E9" i="11"/>
  <c r="Z8" i="11"/>
  <c r="E8" i="11"/>
  <c r="Z7" i="11"/>
  <c r="E7" i="11"/>
  <c r="Z6" i="11"/>
  <c r="E6" i="11"/>
  <c r="Z5" i="11"/>
  <c r="L5" i="11"/>
  <c r="E5" i="11"/>
  <c r="Z4" i="11"/>
  <c r="E4" i="11"/>
  <c r="Z3" i="11"/>
  <c r="Q3" i="11"/>
  <c r="E3" i="11"/>
  <c r="V2" i="11"/>
  <c r="Z420" i="10"/>
  <c r="Z421" i="10"/>
  <c r="Z422" i="10"/>
  <c r="Z423" i="10"/>
  <c r="Z424" i="10"/>
  <c r="Z425" i="10"/>
  <c r="Z426" i="10"/>
  <c r="Z427" i="10"/>
  <c r="Z428" i="10"/>
  <c r="Z429" i="10"/>
  <c r="Z430" i="10"/>
  <c r="Z431" i="10"/>
  <c r="Z432" i="10"/>
  <c r="Z433" i="10"/>
  <c r="Z434" i="10"/>
  <c r="Z435" i="10"/>
  <c r="Z436" i="10"/>
  <c r="Z437" i="10"/>
  <c r="Z438" i="10"/>
  <c r="Z439" i="10"/>
  <c r="Z440" i="10"/>
  <c r="Z441" i="10"/>
  <c r="Z442" i="10"/>
  <c r="Z443" i="10"/>
  <c r="Z444" i="10"/>
  <c r="Z445" i="10"/>
  <c r="Z446" i="10"/>
  <c r="Z447" i="10"/>
  <c r="Z448" i="10"/>
  <c r="Z449" i="10"/>
  <c r="Z450" i="10"/>
  <c r="Z451" i="10"/>
  <c r="Z452" i="10"/>
  <c r="Z453" i="10"/>
  <c r="Z454" i="10"/>
  <c r="Z455" i="10"/>
  <c r="Z456" i="10"/>
  <c r="Z457" i="10"/>
  <c r="Z458" i="10"/>
  <c r="Z459" i="10"/>
  <c r="Z460" i="10"/>
  <c r="Z461" i="10"/>
  <c r="Z462" i="10"/>
  <c r="Z463" i="10"/>
  <c r="Z464" i="10"/>
  <c r="Z465" i="10"/>
  <c r="Z466" i="10"/>
  <c r="Z467" i="10"/>
  <c r="Z468" i="10"/>
  <c r="Z469" i="10"/>
  <c r="Z470" i="10"/>
  <c r="Z471" i="10"/>
  <c r="Z472" i="10"/>
  <c r="Z473" i="10"/>
  <c r="Z474" i="10"/>
  <c r="Z475" i="10"/>
  <c r="Z476" i="10"/>
  <c r="Z477" i="10"/>
  <c r="Z478" i="10"/>
  <c r="Z479" i="10"/>
  <c r="Z480" i="10"/>
  <c r="Z481" i="10"/>
  <c r="Z482" i="10"/>
  <c r="Z483" i="10"/>
  <c r="Z484" i="10"/>
  <c r="Z485" i="10"/>
  <c r="Z486" i="10"/>
  <c r="Z487" i="10"/>
  <c r="Z488" i="10"/>
  <c r="Z489" i="10"/>
  <c r="Z490" i="10"/>
  <c r="Z491" i="10"/>
  <c r="Z492" i="10"/>
  <c r="Z493" i="10"/>
  <c r="Z494" i="10"/>
  <c r="Z495" i="10"/>
  <c r="Z496" i="10"/>
  <c r="Z497" i="10"/>
  <c r="Z498" i="10"/>
  <c r="Z499" i="10"/>
  <c r="Z500" i="10"/>
  <c r="Z501" i="10"/>
  <c r="Z502" i="10"/>
  <c r="Z503" i="10"/>
  <c r="Z504" i="10"/>
  <c r="Z505" i="10"/>
  <c r="Z506" i="10"/>
  <c r="Z507" i="10"/>
  <c r="Z508" i="10"/>
  <c r="Z509" i="10"/>
  <c r="Z510" i="10"/>
  <c r="Z511" i="10"/>
  <c r="Z512" i="10"/>
  <c r="Z513" i="10"/>
  <c r="Z514" i="10"/>
  <c r="Z515" i="10"/>
  <c r="Z516" i="10"/>
  <c r="Z517" i="10"/>
  <c r="Z518" i="10"/>
  <c r="Z519" i="10"/>
  <c r="Z520" i="10"/>
  <c r="Z521" i="10"/>
  <c r="Z522" i="10"/>
  <c r="Z523" i="10"/>
  <c r="Z524" i="10"/>
  <c r="Z525" i="10"/>
  <c r="Z526" i="10"/>
  <c r="Z527" i="10"/>
  <c r="Z528" i="10"/>
  <c r="Z529" i="10"/>
  <c r="Z530" i="10"/>
  <c r="Z531" i="10"/>
  <c r="Z532" i="10"/>
  <c r="Z533" i="10"/>
  <c r="Z534" i="10"/>
  <c r="Z535" i="10"/>
  <c r="Z536" i="10"/>
  <c r="Z537" i="10"/>
  <c r="Z538" i="10"/>
  <c r="Z539" i="10"/>
  <c r="Z540" i="10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64" i="10"/>
  <c r="Z565" i="10"/>
  <c r="Z566" i="10"/>
  <c r="Z567" i="10"/>
  <c r="Z568" i="10"/>
  <c r="Z569" i="10"/>
  <c r="Z570" i="10"/>
  <c r="Z571" i="10"/>
  <c r="Z572" i="10"/>
  <c r="Z573" i="10"/>
  <c r="Z574" i="10"/>
  <c r="Z575" i="10"/>
  <c r="Z576" i="10"/>
  <c r="Z577" i="10"/>
  <c r="Z578" i="10"/>
  <c r="Z579" i="10"/>
  <c r="Z580" i="10"/>
  <c r="Z581" i="10"/>
  <c r="Z582" i="10"/>
  <c r="Z583" i="10"/>
  <c r="Z584" i="10"/>
  <c r="Z585" i="10"/>
  <c r="Z586" i="10"/>
  <c r="Z587" i="10"/>
  <c r="Z588" i="10"/>
  <c r="Z589" i="10"/>
  <c r="Z590" i="10"/>
  <c r="Z591" i="10"/>
  <c r="Z592" i="10"/>
  <c r="Z593" i="10"/>
  <c r="Z594" i="10"/>
  <c r="Z595" i="10"/>
  <c r="Z596" i="10"/>
  <c r="Z597" i="10"/>
  <c r="Z598" i="10"/>
  <c r="Z599" i="10"/>
  <c r="Z600" i="10"/>
  <c r="Z601" i="10"/>
  <c r="Z602" i="10"/>
  <c r="Z603" i="10"/>
  <c r="Z604" i="10"/>
  <c r="Z605" i="10"/>
  <c r="Z606" i="10"/>
  <c r="Z607" i="10"/>
  <c r="Z608" i="10"/>
  <c r="Z609" i="10"/>
  <c r="Z610" i="10"/>
  <c r="Z611" i="10"/>
  <c r="Z612" i="10"/>
  <c r="Z613" i="10"/>
  <c r="Z614" i="10"/>
  <c r="Z615" i="10"/>
  <c r="Z616" i="10"/>
  <c r="Z617" i="10"/>
  <c r="Z618" i="10"/>
  <c r="Z619" i="10"/>
  <c r="Z620" i="10"/>
  <c r="Z621" i="10"/>
  <c r="Z622" i="10"/>
  <c r="Z623" i="10"/>
  <c r="Z624" i="10"/>
  <c r="Z625" i="10"/>
  <c r="Z626" i="10"/>
  <c r="Z627" i="10"/>
  <c r="Z628" i="10"/>
  <c r="Z629" i="10"/>
  <c r="Z630" i="10"/>
  <c r="Z631" i="10"/>
  <c r="Z632" i="10"/>
  <c r="Z633" i="10"/>
  <c r="Z634" i="10"/>
  <c r="Z635" i="10"/>
  <c r="Z636" i="10"/>
  <c r="Z637" i="10"/>
  <c r="Z638" i="10"/>
  <c r="Z639" i="10"/>
  <c r="Z640" i="10"/>
  <c r="Z641" i="10"/>
  <c r="Z642" i="10"/>
  <c r="Z643" i="10"/>
  <c r="Z644" i="10"/>
  <c r="Z645" i="10"/>
  <c r="Z646" i="10"/>
  <c r="Z647" i="10"/>
  <c r="Z648" i="10"/>
  <c r="Z649" i="10"/>
  <c r="Z650" i="10"/>
  <c r="Z651" i="10"/>
  <c r="Z652" i="10"/>
  <c r="Z653" i="10"/>
  <c r="Z654" i="10"/>
  <c r="Z655" i="10"/>
  <c r="Z656" i="10"/>
  <c r="Z657" i="10"/>
  <c r="Z658" i="10"/>
  <c r="Z659" i="10"/>
  <c r="Z660" i="10"/>
  <c r="Z661" i="10"/>
  <c r="Z662" i="10"/>
  <c r="Z663" i="10"/>
  <c r="Z664" i="10"/>
  <c r="Z665" i="10"/>
  <c r="Z666" i="10"/>
  <c r="Z667" i="10"/>
  <c r="Z668" i="10"/>
  <c r="Z669" i="10"/>
  <c r="Z670" i="10"/>
  <c r="Z671" i="10"/>
  <c r="Z672" i="10"/>
  <c r="Z673" i="10"/>
  <c r="Z674" i="10"/>
  <c r="Z675" i="10"/>
  <c r="Z676" i="10"/>
  <c r="Z677" i="10"/>
  <c r="Z678" i="10"/>
  <c r="Z679" i="10"/>
  <c r="Z680" i="10"/>
  <c r="Z681" i="10"/>
  <c r="Z682" i="10"/>
  <c r="Z683" i="10"/>
  <c r="Z684" i="10"/>
  <c r="Z685" i="10"/>
  <c r="Z686" i="10"/>
  <c r="Z687" i="10"/>
  <c r="Z688" i="10"/>
  <c r="Z689" i="10"/>
  <c r="Z690" i="10"/>
  <c r="Z691" i="10"/>
  <c r="Z692" i="10"/>
  <c r="Z693" i="10"/>
  <c r="Z694" i="10"/>
  <c r="Z695" i="10"/>
  <c r="Z696" i="10"/>
  <c r="Z697" i="10"/>
  <c r="Z698" i="10"/>
  <c r="Z699" i="10"/>
  <c r="Z700" i="10"/>
  <c r="Z701" i="10"/>
  <c r="Z702" i="10"/>
  <c r="Z703" i="10"/>
  <c r="Z704" i="10"/>
  <c r="Z705" i="10"/>
  <c r="Z706" i="10"/>
  <c r="Z707" i="10"/>
  <c r="Z708" i="10"/>
  <c r="Z709" i="10"/>
  <c r="Z710" i="10"/>
  <c r="Z711" i="10"/>
  <c r="Z712" i="10"/>
  <c r="Z713" i="10"/>
  <c r="Z714" i="10"/>
  <c r="Z715" i="10"/>
  <c r="Z716" i="10"/>
  <c r="Z717" i="10"/>
  <c r="Z718" i="10"/>
  <c r="Z719" i="10"/>
  <c r="Z720" i="10"/>
  <c r="Z721" i="10"/>
  <c r="Z397" i="10"/>
  <c r="Z398" i="10"/>
  <c r="Z399" i="10"/>
  <c r="Z400" i="10"/>
  <c r="Z401" i="10"/>
  <c r="Z402" i="10"/>
  <c r="Z403" i="10"/>
  <c r="Z404" i="10"/>
  <c r="Z405" i="10"/>
  <c r="Z406" i="10"/>
  <c r="Z407" i="10"/>
  <c r="Z408" i="10"/>
  <c r="Z409" i="10"/>
  <c r="Z410" i="10"/>
  <c r="Z411" i="10"/>
  <c r="Z412" i="10"/>
  <c r="Z413" i="10"/>
  <c r="Z414" i="10"/>
  <c r="Z415" i="10"/>
  <c r="Z416" i="10"/>
  <c r="Z417" i="10"/>
  <c r="Z418" i="10"/>
  <c r="Z419" i="10"/>
  <c r="Z135" i="10"/>
  <c r="Z136" i="10"/>
  <c r="Z137" i="10"/>
  <c r="Z138" i="10"/>
  <c r="Z139" i="10"/>
  <c r="Z140" i="10"/>
  <c r="Z141" i="10"/>
  <c r="Z142" i="10"/>
  <c r="Z143" i="10"/>
  <c r="Z144" i="10"/>
  <c r="Z145" i="10"/>
  <c r="Z146" i="10"/>
  <c r="Z147" i="10"/>
  <c r="Z148" i="10"/>
  <c r="Z149" i="10"/>
  <c r="Z150" i="10"/>
  <c r="Z151" i="10"/>
  <c r="Z152" i="10"/>
  <c r="Z153" i="10"/>
  <c r="Z154" i="10"/>
  <c r="Z155" i="10"/>
  <c r="Z156" i="10"/>
  <c r="Z157" i="10"/>
  <c r="Z158" i="10"/>
  <c r="Z159" i="10"/>
  <c r="Z160" i="10"/>
  <c r="Z161" i="10"/>
  <c r="Z162" i="10"/>
  <c r="Z163" i="10"/>
  <c r="Z164" i="10"/>
  <c r="Z165" i="10"/>
  <c r="Z166" i="10"/>
  <c r="Z167" i="10"/>
  <c r="Z168" i="10"/>
  <c r="Z169" i="10"/>
  <c r="Z170" i="10"/>
  <c r="Z171" i="10"/>
  <c r="Z172" i="10"/>
  <c r="Z173" i="10"/>
  <c r="Z174" i="10"/>
  <c r="Z175" i="10"/>
  <c r="Z176" i="10"/>
  <c r="Z177" i="10"/>
  <c r="Z178" i="10"/>
  <c r="Z179" i="10"/>
  <c r="Z180" i="10"/>
  <c r="Z181" i="10"/>
  <c r="Z182" i="10"/>
  <c r="Z183" i="10"/>
  <c r="Z184" i="10"/>
  <c r="Z185" i="10"/>
  <c r="Z186" i="10"/>
  <c r="Z187" i="10"/>
  <c r="Z188" i="10"/>
  <c r="Z189" i="10"/>
  <c r="Z190" i="10"/>
  <c r="Z191" i="10"/>
  <c r="Z192" i="10"/>
  <c r="Z193" i="10"/>
  <c r="Z194" i="10"/>
  <c r="Z195" i="10"/>
  <c r="Z196" i="10"/>
  <c r="Z197" i="10"/>
  <c r="Z198" i="10"/>
  <c r="Z199" i="10"/>
  <c r="Z200" i="10"/>
  <c r="Z201" i="10"/>
  <c r="Z202" i="10"/>
  <c r="Z203" i="10"/>
  <c r="Z204" i="10"/>
  <c r="Z205" i="10"/>
  <c r="Z206" i="10"/>
  <c r="Z207" i="10"/>
  <c r="Z208" i="10"/>
  <c r="Z209" i="10"/>
  <c r="Z210" i="10"/>
  <c r="Z211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59" i="10"/>
  <c r="Z260" i="10"/>
  <c r="Z261" i="10"/>
  <c r="Z262" i="10"/>
  <c r="Z263" i="10"/>
  <c r="Z264" i="10"/>
  <c r="Z265" i="10"/>
  <c r="Z266" i="10"/>
  <c r="Z267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359" i="10"/>
  <c r="Z360" i="10"/>
  <c r="Z361" i="10"/>
  <c r="Z362" i="10"/>
  <c r="Z363" i="10"/>
  <c r="Z364" i="10"/>
  <c r="Z365" i="10"/>
  <c r="Z366" i="10"/>
  <c r="Z367" i="10"/>
  <c r="Z368" i="10"/>
  <c r="Z369" i="10"/>
  <c r="Z370" i="10"/>
  <c r="Z371" i="10"/>
  <c r="Z372" i="10"/>
  <c r="Z373" i="10"/>
  <c r="Z374" i="10"/>
  <c r="Z375" i="10"/>
  <c r="Z376" i="10"/>
  <c r="Z377" i="10"/>
  <c r="Z378" i="10"/>
  <c r="Z379" i="10"/>
  <c r="Z380" i="10"/>
  <c r="Z381" i="10"/>
  <c r="Z382" i="10"/>
  <c r="Z383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134" i="10"/>
  <c r="Z133" i="10"/>
  <c r="Z132" i="10"/>
  <c r="Z131" i="10"/>
  <c r="Z130" i="10"/>
  <c r="Z129" i="10"/>
  <c r="Z128" i="10"/>
  <c r="Z127" i="10"/>
  <c r="Z126" i="10"/>
  <c r="Z125" i="10"/>
  <c r="Z124" i="10"/>
  <c r="Z123" i="10"/>
  <c r="Z122" i="10"/>
  <c r="Z121" i="10"/>
  <c r="Z120" i="10"/>
  <c r="Z119" i="10"/>
  <c r="Z118" i="10"/>
  <c r="Z117" i="10"/>
  <c r="Z116" i="10"/>
  <c r="Z115" i="10"/>
  <c r="Z114" i="10"/>
  <c r="Z113" i="10"/>
  <c r="Z112" i="10"/>
  <c r="Z111" i="10"/>
  <c r="Z110" i="10"/>
  <c r="Z109" i="10"/>
  <c r="Z108" i="10"/>
  <c r="Z107" i="10"/>
  <c r="Z106" i="10"/>
  <c r="Z105" i="10"/>
  <c r="Z104" i="10"/>
  <c r="Z103" i="10"/>
  <c r="Z102" i="10"/>
  <c r="Z101" i="10"/>
  <c r="Z100" i="10"/>
  <c r="Z99" i="10"/>
  <c r="Z98" i="10"/>
  <c r="Z97" i="10"/>
  <c r="Z96" i="10"/>
  <c r="Z95" i="10"/>
  <c r="Z94" i="10"/>
  <c r="Z93" i="10"/>
  <c r="Z92" i="10"/>
  <c r="Z91" i="10"/>
  <c r="Z90" i="10"/>
  <c r="Z89" i="10"/>
  <c r="Z88" i="10"/>
  <c r="Z87" i="10"/>
  <c r="Z86" i="10"/>
  <c r="Z85" i="10"/>
  <c r="Z84" i="10"/>
  <c r="Z83" i="10"/>
  <c r="Z82" i="10"/>
  <c r="Z81" i="10"/>
  <c r="Z80" i="10"/>
  <c r="Z79" i="10"/>
  <c r="Z78" i="10"/>
  <c r="Z77" i="10"/>
  <c r="Z76" i="10"/>
  <c r="Z75" i="10"/>
  <c r="Z74" i="10"/>
  <c r="Z73" i="10"/>
  <c r="Z72" i="10"/>
  <c r="Z71" i="10"/>
  <c r="Z70" i="10"/>
  <c r="Z69" i="10"/>
  <c r="Z68" i="10"/>
  <c r="Z67" i="10"/>
  <c r="Z66" i="10"/>
  <c r="Z65" i="10"/>
  <c r="Z64" i="10"/>
  <c r="Z63" i="10"/>
  <c r="Z62" i="10"/>
  <c r="Z61" i="10"/>
  <c r="Z60" i="10"/>
  <c r="Z59" i="10"/>
  <c r="Z58" i="10"/>
  <c r="Z57" i="10"/>
  <c r="Z56" i="10"/>
  <c r="Z55" i="10"/>
  <c r="Z54" i="10"/>
  <c r="Z53" i="10"/>
  <c r="Z52" i="10"/>
  <c r="Z51" i="10"/>
  <c r="Z50" i="10"/>
  <c r="Z49" i="10"/>
  <c r="Z48" i="10"/>
  <c r="Z47" i="10"/>
  <c r="Z46" i="10"/>
  <c r="Z45" i="10"/>
  <c r="Z44" i="10"/>
  <c r="Z43" i="10"/>
  <c r="Z42" i="10"/>
  <c r="Z41" i="10"/>
  <c r="Z40" i="10"/>
  <c r="Z39" i="10"/>
  <c r="Z38" i="10"/>
  <c r="Z37" i="10"/>
  <c r="Z36" i="10"/>
  <c r="Z35" i="10"/>
  <c r="Z34" i="10"/>
  <c r="Z33" i="10"/>
  <c r="Z32" i="10"/>
  <c r="Z31" i="10"/>
  <c r="Z30" i="10"/>
  <c r="Z29" i="10"/>
  <c r="Z28" i="10"/>
  <c r="Z27" i="10"/>
  <c r="Z26" i="10"/>
  <c r="Z25" i="10"/>
  <c r="Z24" i="10"/>
  <c r="Z23" i="10"/>
  <c r="Z22" i="10"/>
  <c r="Z21" i="10"/>
  <c r="Z20" i="10"/>
  <c r="Z19" i="10"/>
  <c r="Z18" i="10"/>
  <c r="Z17" i="10"/>
  <c r="Z16" i="10"/>
  <c r="Z15" i="10"/>
  <c r="Z14" i="10"/>
  <c r="Z13" i="10"/>
  <c r="Z12" i="10"/>
  <c r="Z11" i="10"/>
  <c r="Z10" i="10"/>
  <c r="Z9" i="10"/>
  <c r="E9" i="10"/>
  <c r="Z8" i="10"/>
  <c r="E8" i="10"/>
  <c r="Z7" i="10"/>
  <c r="E7" i="10"/>
  <c r="Z6" i="10"/>
  <c r="E6" i="10"/>
  <c r="Z5" i="10"/>
  <c r="L5" i="10"/>
  <c r="E5" i="10"/>
  <c r="Z4" i="10"/>
  <c r="E4" i="10"/>
  <c r="Z3" i="10"/>
  <c r="Q3" i="10"/>
  <c r="E3" i="10"/>
  <c r="V2" i="10"/>
  <c r="A9" i="12"/>
  <c r="A7" i="12"/>
  <c r="M5" i="12"/>
  <c r="B4" i="12"/>
  <c r="B5" i="12"/>
  <c r="A4" i="12"/>
  <c r="A8" i="12"/>
  <c r="A6" i="12"/>
  <c r="A5" i="12"/>
  <c r="B3" i="12"/>
  <c r="Q4" i="12"/>
  <c r="A3" i="12"/>
  <c r="Q25" i="11"/>
  <c r="A3" i="11"/>
  <c r="A9" i="11"/>
  <c r="A7" i="11"/>
  <c r="M5" i="11"/>
  <c r="B4" i="11"/>
  <c r="B5" i="11"/>
  <c r="A4" i="11"/>
  <c r="A8" i="11"/>
  <c r="Q4" i="11"/>
  <c r="B3" i="11"/>
  <c r="A6" i="11"/>
  <c r="A5" i="11"/>
  <c r="B5" i="10"/>
  <c r="A4" i="10"/>
  <c r="B3" i="10"/>
  <c r="A3" i="10"/>
  <c r="A8" i="10"/>
  <c r="A6" i="10"/>
  <c r="A5" i="10"/>
  <c r="A7" i="10"/>
  <c r="Q4" i="10"/>
  <c r="M5" i="10"/>
  <c r="B4" i="10"/>
  <c r="A9" i="10"/>
  <c r="B6" i="12" l="1"/>
  <c r="B6" i="11"/>
  <c r="B6" i="10"/>
  <c r="Z135" i="9"/>
  <c r="Z127" i="9"/>
  <c r="Z119" i="9"/>
  <c r="Z111" i="9"/>
  <c r="Z103" i="9"/>
  <c r="Z95" i="9"/>
  <c r="Z87" i="9"/>
  <c r="Z79" i="9"/>
  <c r="Z71" i="9"/>
  <c r="Z63" i="9"/>
  <c r="Z55" i="9"/>
  <c r="Z47" i="9"/>
  <c r="Z39" i="9"/>
  <c r="Z31" i="9"/>
  <c r="Z23" i="9"/>
  <c r="Z15" i="9"/>
  <c r="Z7" i="9"/>
  <c r="Z6" i="9"/>
  <c r="Z116" i="9"/>
  <c r="Z100" i="9"/>
  <c r="Z76" i="9"/>
  <c r="Z52" i="9"/>
  <c r="Z28" i="9"/>
  <c r="Z131" i="9"/>
  <c r="Z107" i="9"/>
  <c r="Z91" i="9"/>
  <c r="Z67" i="9"/>
  <c r="Z43" i="9"/>
  <c r="Z27" i="9"/>
  <c r="Z122" i="9"/>
  <c r="Z106" i="9"/>
  <c r="Z82" i="9"/>
  <c r="Z58" i="9"/>
  <c r="Z34" i="9"/>
  <c r="Z10" i="9"/>
  <c r="Z113" i="9"/>
  <c r="Z89" i="9"/>
  <c r="Z65" i="9"/>
  <c r="Z49" i="9"/>
  <c r="Z25" i="9"/>
  <c r="Z128" i="9"/>
  <c r="Z104" i="9"/>
  <c r="Z80" i="9"/>
  <c r="Z56" i="9"/>
  <c r="Z32" i="9"/>
  <c r="Z134" i="9"/>
  <c r="Z126" i="9"/>
  <c r="Z118" i="9"/>
  <c r="Z110" i="9"/>
  <c r="Z102" i="9"/>
  <c r="Z94" i="9"/>
  <c r="Z86" i="9"/>
  <c r="Z78" i="9"/>
  <c r="Z70" i="9"/>
  <c r="Z62" i="9"/>
  <c r="Z54" i="9"/>
  <c r="Z46" i="9"/>
  <c r="Z38" i="9"/>
  <c r="Z30" i="9"/>
  <c r="Z22" i="9"/>
  <c r="Z14" i="9"/>
  <c r="Z124" i="9"/>
  <c r="Z92" i="9"/>
  <c r="Z68" i="9"/>
  <c r="Z44" i="9"/>
  <c r="Z12" i="9"/>
  <c r="Z115" i="9"/>
  <c r="Z83" i="9"/>
  <c r="Z51" i="9"/>
  <c r="Z19" i="9"/>
  <c r="Z114" i="9"/>
  <c r="Z90" i="9"/>
  <c r="Z66" i="9"/>
  <c r="Z42" i="9"/>
  <c r="Z18" i="9"/>
  <c r="Z121" i="9"/>
  <c r="Z97" i="9"/>
  <c r="Z73" i="9"/>
  <c r="Z33" i="9"/>
  <c r="Z9" i="9"/>
  <c r="Z112" i="9"/>
  <c r="Z88" i="9"/>
  <c r="Z64" i="9"/>
  <c r="Z48" i="9"/>
  <c r="Z16" i="9"/>
  <c r="Z133" i="9"/>
  <c r="Z125" i="9"/>
  <c r="Z117" i="9"/>
  <c r="Z109" i="9"/>
  <c r="Z101" i="9"/>
  <c r="Z93" i="9"/>
  <c r="Z85" i="9"/>
  <c r="Z77" i="9"/>
  <c r="Z69" i="9"/>
  <c r="Z61" i="9"/>
  <c r="Z53" i="9"/>
  <c r="Z45" i="9"/>
  <c r="Z37" i="9"/>
  <c r="Z29" i="9"/>
  <c r="Z21" i="9"/>
  <c r="Z13" i="9"/>
  <c r="Z5" i="9"/>
  <c r="Z132" i="9"/>
  <c r="Z108" i="9"/>
  <c r="Z84" i="9"/>
  <c r="Z60" i="9"/>
  <c r="Z36" i="9"/>
  <c r="Z20" i="9"/>
  <c r="Z123" i="9"/>
  <c r="Z99" i="9"/>
  <c r="Z75" i="9"/>
  <c r="Z59" i="9"/>
  <c r="Z35" i="9"/>
  <c r="Z130" i="9"/>
  <c r="Z98" i="9"/>
  <c r="Z74" i="9"/>
  <c r="Z50" i="9"/>
  <c r="Z26" i="9"/>
  <c r="Z129" i="9"/>
  <c r="Z105" i="9"/>
  <c r="Z81" i="9"/>
  <c r="Z57" i="9"/>
  <c r="Z41" i="9"/>
  <c r="Z17" i="9"/>
  <c r="Z120" i="9"/>
  <c r="Z96" i="9"/>
  <c r="Z72" i="9"/>
  <c r="Z40" i="9"/>
  <c r="Z24" i="9"/>
  <c r="Z11" i="9"/>
  <c r="Z8" i="9"/>
  <c r="Z4" i="9"/>
  <c r="Z3" i="9"/>
  <c r="Q5" i="12"/>
  <c r="B7" i="12"/>
  <c r="Q26" i="11"/>
  <c r="Q5" i="11"/>
  <c r="B7" i="11"/>
  <c r="Q5" i="10"/>
  <c r="B7" i="10"/>
  <c r="M5" i="9"/>
  <c r="B8" i="12" l="1"/>
  <c r="B9" i="12" s="1"/>
  <c r="B8" i="11"/>
  <c r="B9" i="11" s="1"/>
  <c r="B8" i="10"/>
  <c r="B9" i="10" s="1"/>
  <c r="E16" i="9"/>
  <c r="E15" i="9"/>
  <c r="E14" i="9"/>
  <c r="E13" i="9"/>
  <c r="E12" i="9"/>
  <c r="E11" i="9"/>
  <c r="E10" i="9"/>
  <c r="E9" i="9"/>
  <c r="E8" i="9"/>
  <c r="E7" i="9"/>
  <c r="L5" i="9"/>
  <c r="E6" i="9"/>
  <c r="E5" i="9"/>
  <c r="E4" i="9"/>
  <c r="Q3" i="9"/>
  <c r="E3" i="9"/>
  <c r="V2" i="9"/>
  <c r="Q6" i="12"/>
  <c r="Q27" i="11"/>
  <c r="Q6" i="11"/>
  <c r="Q6" i="10"/>
  <c r="A12" i="9"/>
  <c r="A8" i="9"/>
  <c r="A10" i="9"/>
  <c r="A15" i="9"/>
  <c r="A11" i="9"/>
  <c r="A7" i="9"/>
  <c r="A6" i="9"/>
  <c r="A3" i="9"/>
  <c r="B4" i="9"/>
  <c r="B10" i="9"/>
  <c r="B5" i="9"/>
  <c r="A14" i="9"/>
  <c r="A13" i="9"/>
  <c r="A4" i="9"/>
  <c r="Q4" i="9"/>
  <c r="B11" i="9"/>
  <c r="A9" i="9"/>
  <c r="A16" i="9"/>
  <c r="A5" i="9"/>
  <c r="B12" i="9"/>
  <c r="B3" i="9"/>
  <c r="B13" i="9" l="1"/>
  <c r="B6" i="9"/>
  <c r="Q7" i="12"/>
  <c r="Q28" i="11"/>
  <c r="Q7" i="11"/>
  <c r="Q7" i="10"/>
  <c r="B7" i="9"/>
  <c r="Q5" i="9"/>
  <c r="B14" i="9"/>
  <c r="B8" i="9" l="1"/>
  <c r="B9" i="9" s="1"/>
  <c r="B15" i="9"/>
  <c r="B16" i="9" s="1"/>
  <c r="D6" i="4"/>
  <c r="Q8" i="12"/>
  <c r="Q29" i="11"/>
  <c r="Q8" i="11"/>
  <c r="Q8" i="10"/>
  <c r="I5" i="4"/>
  <c r="Q6" i="9"/>
  <c r="R3" i="12" l="1"/>
  <c r="M4" i="11"/>
  <c r="M4" i="12"/>
  <c r="R3" i="11"/>
  <c r="R3" i="10"/>
  <c r="M4" i="9"/>
  <c r="M4" i="10"/>
  <c r="R3" i="9"/>
  <c r="U3" i="12"/>
  <c r="Q9" i="12"/>
  <c r="S3" i="12"/>
  <c r="V3" i="12"/>
  <c r="Q30" i="11"/>
  <c r="S3" i="11"/>
  <c r="V3" i="11"/>
  <c r="U3" i="11"/>
  <c r="Q9" i="11"/>
  <c r="U3" i="10"/>
  <c r="Q9" i="10"/>
  <c r="S3" i="10"/>
  <c r="T3" i="10"/>
  <c r="Y3" i="10" s="1"/>
  <c r="V3" i="10"/>
  <c r="S3" i="9"/>
  <c r="Q7" i="9"/>
  <c r="B1" i="4"/>
  <c r="I6" i="4"/>
  <c r="R4" i="9"/>
  <c r="R7" i="9"/>
  <c r="R5" i="9"/>
  <c r="X3" i="9"/>
  <c r="R6" i="9"/>
  <c r="R6" i="10"/>
  <c r="R8" i="10"/>
  <c r="X3" i="10"/>
  <c r="R4" i="10"/>
  <c r="R5" i="10"/>
  <c r="R7" i="10"/>
  <c r="R9" i="10"/>
  <c r="S6" i="10"/>
  <c r="V6" i="10"/>
  <c r="U6" i="10"/>
  <c r="S8" i="10"/>
  <c r="V8" i="10"/>
  <c r="U8" i="10"/>
  <c r="S4" i="10"/>
  <c r="V4" i="10"/>
  <c r="U4" i="10"/>
  <c r="S5" i="10"/>
  <c r="V5" i="10"/>
  <c r="U5" i="10"/>
  <c r="S7" i="10"/>
  <c r="V7" i="10"/>
  <c r="U7" i="10"/>
  <c r="S9" i="10"/>
  <c r="V9" i="10"/>
  <c r="U9" i="10"/>
  <c r="X6" i="10"/>
  <c r="T6" i="10"/>
  <c r="Y6" i="10"/>
  <c r="X8" i="10"/>
  <c r="T8" i="10"/>
  <c r="Y8" i="10"/>
  <c r="X4" i="10"/>
  <c r="T4" i="10"/>
  <c r="Y4" i="10"/>
  <c r="X5" i="10"/>
  <c r="T5" i="10"/>
  <c r="Y5" i="10"/>
  <c r="X7" i="10"/>
  <c r="T7" i="10"/>
  <c r="Y7" i="10"/>
  <c r="X9" i="10"/>
  <c r="T9" i="10"/>
  <c r="Y9" i="10"/>
  <c r="T3" i="11"/>
  <c r="Y3" i="11"/>
  <c r="R7" i="11"/>
  <c r="R4" i="11"/>
  <c r="R5" i="11"/>
  <c r="R9" i="11"/>
  <c r="R6" i="11"/>
  <c r="R8" i="11"/>
  <c r="X3" i="11"/>
  <c r="S7" i="11"/>
  <c r="V7" i="11"/>
  <c r="U7" i="11"/>
  <c r="S4" i="11"/>
  <c r="V4" i="11"/>
  <c r="U4" i="11"/>
  <c r="S5" i="11"/>
  <c r="V5" i="11"/>
  <c r="U5" i="11"/>
  <c r="S9" i="11"/>
  <c r="V9" i="11"/>
  <c r="U9" i="11"/>
  <c r="S6" i="11"/>
  <c r="V6" i="11"/>
  <c r="U6" i="11"/>
  <c r="S8" i="11"/>
  <c r="V8" i="11"/>
  <c r="U8" i="11"/>
  <c r="X7" i="11"/>
  <c r="T7" i="11"/>
  <c r="Y7" i="11"/>
  <c r="X4" i="11"/>
  <c r="T4" i="11"/>
  <c r="Y4" i="11"/>
  <c r="X5" i="11"/>
  <c r="T5" i="11"/>
  <c r="Y5" i="11"/>
  <c r="X9" i="11"/>
  <c r="T9" i="11"/>
  <c r="Y9" i="11"/>
  <c r="X6" i="11"/>
  <c r="T6" i="11"/>
  <c r="Y6" i="11"/>
  <c r="X8" i="11"/>
  <c r="T8" i="11"/>
  <c r="Y8" i="11"/>
  <c r="R30" i="11"/>
  <c r="V30" i="11"/>
  <c r="S30" i="11"/>
  <c r="U30" i="11"/>
  <c r="X30" i="11"/>
  <c r="T30" i="11"/>
  <c r="Y30" i="11" s="1"/>
  <c r="T3" i="12"/>
  <c r="Y3" i="12"/>
  <c r="R29" i="11"/>
  <c r="R28" i="11"/>
  <c r="R27" i="11"/>
  <c r="R26" i="11"/>
  <c r="R25" i="11"/>
  <c r="X3" i="12"/>
  <c r="R4" i="12"/>
  <c r="R5" i="12"/>
  <c r="R7" i="12"/>
  <c r="R9" i="12"/>
  <c r="R6" i="12"/>
  <c r="R8" i="12"/>
  <c r="S29" i="11"/>
  <c r="V29" i="11"/>
  <c r="U29" i="11"/>
  <c r="S28" i="11"/>
  <c r="V28" i="11"/>
  <c r="U28" i="11"/>
  <c r="V27" i="11"/>
  <c r="S27" i="11"/>
  <c r="U27" i="11"/>
  <c r="V26" i="11"/>
  <c r="S26" i="11"/>
  <c r="U26" i="11"/>
  <c r="V25" i="11"/>
  <c r="S25" i="11"/>
  <c r="U25" i="11"/>
  <c r="S4" i="12"/>
  <c r="V4" i="12"/>
  <c r="U4" i="12"/>
  <c r="S5" i="12"/>
  <c r="V5" i="12"/>
  <c r="U5" i="12"/>
  <c r="S7" i="12"/>
  <c r="V7" i="12"/>
  <c r="U7" i="12"/>
  <c r="S9" i="12"/>
  <c r="V9" i="12"/>
  <c r="U9" i="12"/>
  <c r="V6" i="12"/>
  <c r="S6" i="12"/>
  <c r="U6" i="12"/>
  <c r="V8" i="12"/>
  <c r="S8" i="12"/>
  <c r="U8" i="12"/>
  <c r="X29" i="11"/>
  <c r="T29" i="11"/>
  <c r="Y29" i="11"/>
  <c r="X28" i="11"/>
  <c r="T28" i="11"/>
  <c r="Y28" i="11"/>
  <c r="X27" i="11"/>
  <c r="T27" i="11"/>
  <c r="Y27" i="11" s="1"/>
  <c r="X26" i="11"/>
  <c r="T26" i="11"/>
  <c r="Y26" i="11" s="1"/>
  <c r="X25" i="11"/>
  <c r="T25" i="11"/>
  <c r="Y25" i="11" s="1"/>
  <c r="X4" i="12"/>
  <c r="T4" i="12"/>
  <c r="Y4" i="12"/>
  <c r="X5" i="12"/>
  <c r="T5" i="12"/>
  <c r="Y5" i="12"/>
  <c r="X7" i="12"/>
  <c r="T7" i="12"/>
  <c r="Y7" i="12"/>
  <c r="X9" i="12"/>
  <c r="T9" i="12"/>
  <c r="Y9" i="12"/>
  <c r="X6" i="12"/>
  <c r="T6" i="12"/>
  <c r="Y6" i="12"/>
  <c r="X8" i="12"/>
  <c r="T8" i="12"/>
  <c r="Y8" i="12"/>
  <c r="W8" i="12" l="1"/>
  <c r="W6" i="12"/>
  <c r="W9" i="12"/>
  <c r="W7" i="12"/>
  <c r="W5" i="12"/>
  <c r="W4" i="12"/>
  <c r="W25" i="11"/>
  <c r="W26" i="11"/>
  <c r="W27" i="11"/>
  <c r="W28" i="11"/>
  <c r="W29" i="11"/>
  <c r="W3" i="12"/>
  <c r="D8" i="12"/>
  <c r="D6" i="12"/>
  <c r="D5" i="12"/>
  <c r="D3" i="12"/>
  <c r="D9" i="12"/>
  <c r="D7" i="12"/>
  <c r="D4" i="12"/>
  <c r="W30" i="11"/>
  <c r="W8" i="11"/>
  <c r="W6" i="11"/>
  <c r="W9" i="11"/>
  <c r="W5" i="11"/>
  <c r="W4" i="11"/>
  <c r="W7" i="11"/>
  <c r="W3" i="11"/>
  <c r="D4" i="11"/>
  <c r="D8" i="11"/>
  <c r="D6" i="11"/>
  <c r="D5" i="11"/>
  <c r="D3" i="11"/>
  <c r="D9" i="11"/>
  <c r="D7" i="11"/>
  <c r="W9" i="10"/>
  <c r="W7" i="10"/>
  <c r="W5" i="10"/>
  <c r="W4" i="10"/>
  <c r="W8" i="10"/>
  <c r="W6" i="10"/>
  <c r="W3" i="10"/>
  <c r="D3" i="10"/>
  <c r="D9" i="10"/>
  <c r="D7" i="10"/>
  <c r="D4" i="10"/>
  <c r="D8" i="10"/>
  <c r="D5" i="10"/>
  <c r="D6" i="10"/>
  <c r="D8" i="9"/>
  <c r="D11" i="9"/>
  <c r="D14" i="9"/>
  <c r="D5" i="9"/>
  <c r="D3" i="9"/>
  <c r="D4" i="9"/>
  <c r="D13" i="9"/>
  <c r="D9" i="9"/>
  <c r="D6" i="9"/>
  <c r="D12" i="9"/>
  <c r="D15" i="9"/>
  <c r="D7" i="9"/>
  <c r="D16" i="9"/>
  <c r="D10" i="9"/>
  <c r="Q10" i="12"/>
  <c r="Q31" i="11"/>
  <c r="Q10" i="11"/>
  <c r="Q10" i="10"/>
  <c r="S6" i="9"/>
  <c r="S4" i="9"/>
  <c r="X6" i="9"/>
  <c r="Q8" i="9"/>
  <c r="R8" i="9" s="1"/>
  <c r="S7" i="9"/>
  <c r="X7" i="9" s="1"/>
  <c r="T3" i="9"/>
  <c r="T7" i="9"/>
  <c r="T6" i="9"/>
  <c r="X4" i="9"/>
  <c r="S5" i="9"/>
  <c r="T5" i="9" s="1"/>
  <c r="Y3" i="9"/>
  <c r="X5" i="9"/>
  <c r="T4" i="9"/>
  <c r="S8" i="9"/>
  <c r="T8" i="9"/>
  <c r="X8" i="9"/>
  <c r="R10" i="10"/>
  <c r="S10" i="10"/>
  <c r="V10" i="10"/>
  <c r="U10" i="10"/>
  <c r="X10" i="10"/>
  <c r="T10" i="10"/>
  <c r="Y10" i="10"/>
  <c r="R10" i="11"/>
  <c r="S10" i="11"/>
  <c r="V10" i="11"/>
  <c r="U10" i="11"/>
  <c r="X10" i="11"/>
  <c r="T10" i="11"/>
  <c r="Y10" i="11"/>
  <c r="R31" i="11"/>
  <c r="U31" i="11"/>
  <c r="V31" i="11"/>
  <c r="S31" i="11"/>
  <c r="X31" i="11"/>
  <c r="T31" i="11"/>
  <c r="Y31" i="11" s="1"/>
  <c r="R10" i="12"/>
  <c r="S10" i="12"/>
  <c r="V10" i="12"/>
  <c r="U10" i="12"/>
  <c r="X10" i="12"/>
  <c r="T10" i="12"/>
  <c r="Y10" i="12"/>
  <c r="W10" i="12" l="1"/>
  <c r="W31" i="11"/>
  <c r="W10" i="11"/>
  <c r="W10" i="10"/>
  <c r="I8" i="4"/>
  <c r="I7" i="4"/>
  <c r="Q11" i="12"/>
  <c r="Q32" i="11"/>
  <c r="Q11" i="11"/>
  <c r="Q11" i="10"/>
  <c r="Y4" i="9"/>
  <c r="Y5" i="9"/>
  <c r="Q9" i="9"/>
  <c r="Y8" i="9"/>
  <c r="Y6" i="9"/>
  <c r="R9" i="9"/>
  <c r="U9" i="9"/>
  <c r="V8" i="9"/>
  <c r="Y7" i="9"/>
  <c r="S9" i="9"/>
  <c r="U8" i="9"/>
  <c r="V6" i="9"/>
  <c r="U6" i="9"/>
  <c r="U5" i="9"/>
  <c r="V5" i="9"/>
  <c r="V7" i="9"/>
  <c r="U7" i="9"/>
  <c r="V4" i="9"/>
  <c r="U4" i="9"/>
  <c r="U3" i="9"/>
  <c r="V3" i="9"/>
  <c r="T9" i="9"/>
  <c r="X9" i="9"/>
  <c r="R11" i="10"/>
  <c r="S11" i="10"/>
  <c r="V11" i="10"/>
  <c r="U11" i="10"/>
  <c r="X11" i="10"/>
  <c r="T11" i="10"/>
  <c r="Y11" i="10"/>
  <c r="R11" i="11"/>
  <c r="S11" i="11"/>
  <c r="V11" i="11"/>
  <c r="U11" i="11"/>
  <c r="X11" i="11"/>
  <c r="T11" i="11"/>
  <c r="Y11" i="11"/>
  <c r="R32" i="11"/>
  <c r="U32" i="11"/>
  <c r="S32" i="11"/>
  <c r="V32" i="11"/>
  <c r="X32" i="11"/>
  <c r="T32" i="11"/>
  <c r="Y32" i="11"/>
  <c r="R11" i="12"/>
  <c r="V11" i="12"/>
  <c r="S11" i="12"/>
  <c r="U11" i="12"/>
  <c r="X11" i="12"/>
  <c r="T11" i="12"/>
  <c r="Y11" i="12"/>
  <c r="W11" i="12" l="1"/>
  <c r="W32" i="11"/>
  <c r="W11" i="11"/>
  <c r="W11" i="10"/>
  <c r="W6" i="9"/>
  <c r="W3" i="9"/>
  <c r="W8" i="9"/>
  <c r="W5" i="9"/>
  <c r="W4" i="9"/>
  <c r="W7" i="9"/>
  <c r="Q12" i="12"/>
  <c r="Q33" i="11"/>
  <c r="Q12" i="11"/>
  <c r="Q12" i="10"/>
  <c r="Y9" i="9"/>
  <c r="V9" i="9"/>
  <c r="Q10" i="9"/>
  <c r="R10" i="9"/>
  <c r="U10" i="9"/>
  <c r="S10" i="9"/>
  <c r="T10" i="9"/>
  <c r="X10" i="9"/>
  <c r="R12" i="10"/>
  <c r="S12" i="10"/>
  <c r="V12" i="10"/>
  <c r="U12" i="10"/>
  <c r="X12" i="10"/>
  <c r="T12" i="10"/>
  <c r="Y12" i="10"/>
  <c r="R12" i="11"/>
  <c r="S12" i="11"/>
  <c r="V12" i="11"/>
  <c r="U12" i="11"/>
  <c r="X12" i="11"/>
  <c r="T12" i="11"/>
  <c r="Y12" i="11"/>
  <c r="R33" i="11"/>
  <c r="S33" i="11"/>
  <c r="V33" i="11"/>
  <c r="U33" i="11"/>
  <c r="X33" i="11"/>
  <c r="T33" i="11"/>
  <c r="Y33" i="11"/>
  <c r="R12" i="12"/>
  <c r="S12" i="12"/>
  <c r="V12" i="12"/>
  <c r="U12" i="12"/>
  <c r="X12" i="12"/>
  <c r="T12" i="12"/>
  <c r="Y12" i="12"/>
  <c r="W12" i="12" l="1"/>
  <c r="W33" i="11"/>
  <c r="W12" i="11"/>
  <c r="W12" i="10"/>
  <c r="W9" i="9"/>
  <c r="Q13" i="12"/>
  <c r="Q34" i="11"/>
  <c r="Q13" i="11"/>
  <c r="Q13" i="10"/>
  <c r="Y10" i="9"/>
  <c r="V10" i="9"/>
  <c r="Q11" i="9"/>
  <c r="R11" i="9"/>
  <c r="U11" i="9"/>
  <c r="S11" i="9"/>
  <c r="T11" i="9"/>
  <c r="X11" i="9"/>
  <c r="R13" i="10"/>
  <c r="S13" i="10"/>
  <c r="V13" i="10"/>
  <c r="U13" i="10"/>
  <c r="X13" i="10"/>
  <c r="T13" i="10"/>
  <c r="Y13" i="10"/>
  <c r="R13" i="11"/>
  <c r="S13" i="11"/>
  <c r="V13" i="11"/>
  <c r="U13" i="11"/>
  <c r="X13" i="11"/>
  <c r="T13" i="11"/>
  <c r="Y13" i="11"/>
  <c r="R34" i="11"/>
  <c r="V34" i="11"/>
  <c r="S34" i="11"/>
  <c r="U34" i="11"/>
  <c r="X34" i="11"/>
  <c r="T34" i="11"/>
  <c r="Y34" i="11" s="1"/>
  <c r="R13" i="12"/>
  <c r="S13" i="12"/>
  <c r="V13" i="12"/>
  <c r="U13" i="12"/>
  <c r="X13" i="12"/>
  <c r="T13" i="12"/>
  <c r="Y13" i="12"/>
  <c r="W13" i="12" l="1"/>
  <c r="W34" i="11"/>
  <c r="W13" i="11"/>
  <c r="W13" i="10"/>
  <c r="W10" i="9"/>
  <c r="Q14" i="12"/>
  <c r="Q35" i="11"/>
  <c r="Q14" i="11"/>
  <c r="Q14" i="10"/>
  <c r="V11" i="9"/>
  <c r="Y11" i="9"/>
  <c r="Q12" i="9"/>
  <c r="R12" i="9"/>
  <c r="S12" i="9"/>
  <c r="U12" i="9"/>
  <c r="X12" i="9"/>
  <c r="T12" i="9"/>
  <c r="R14" i="10"/>
  <c r="S14" i="10"/>
  <c r="V14" i="10"/>
  <c r="U14" i="10"/>
  <c r="X14" i="10"/>
  <c r="T14" i="10"/>
  <c r="Y14" i="10"/>
  <c r="R14" i="11"/>
  <c r="V14" i="11"/>
  <c r="S14" i="11"/>
  <c r="U14" i="11"/>
  <c r="X14" i="11"/>
  <c r="T14" i="11"/>
  <c r="Y14" i="11"/>
  <c r="R35" i="11"/>
  <c r="U35" i="11"/>
  <c r="V35" i="11"/>
  <c r="S35" i="11"/>
  <c r="X35" i="11"/>
  <c r="T35" i="11"/>
  <c r="Y35" i="11" s="1"/>
  <c r="R14" i="12"/>
  <c r="V14" i="12"/>
  <c r="S14" i="12"/>
  <c r="U14" i="12"/>
  <c r="X14" i="12"/>
  <c r="T14" i="12"/>
  <c r="Y14" i="12"/>
  <c r="W14" i="12" l="1"/>
  <c r="W35" i="11"/>
  <c r="W14" i="11"/>
  <c r="W14" i="10"/>
  <c r="W11" i="9"/>
  <c r="Q15" i="12"/>
  <c r="Q36" i="11"/>
  <c r="Q15" i="11"/>
  <c r="Q15" i="10"/>
  <c r="Y12" i="9"/>
  <c r="V12" i="9"/>
  <c r="Q13" i="9"/>
  <c r="R13" i="9"/>
  <c r="S13" i="9"/>
  <c r="U13" i="9"/>
  <c r="T13" i="9"/>
  <c r="X13" i="9"/>
  <c r="R15" i="10"/>
  <c r="S15" i="10"/>
  <c r="V15" i="10"/>
  <c r="U15" i="10"/>
  <c r="X15" i="10"/>
  <c r="T15" i="10"/>
  <c r="Y15" i="10"/>
  <c r="R15" i="11"/>
  <c r="S15" i="11"/>
  <c r="V15" i="11"/>
  <c r="U15" i="11"/>
  <c r="X15" i="11"/>
  <c r="T15" i="11"/>
  <c r="Y15" i="11"/>
  <c r="R36" i="11"/>
  <c r="U36" i="11"/>
  <c r="S36" i="11"/>
  <c r="V36" i="11"/>
  <c r="X36" i="11"/>
  <c r="T36" i="11"/>
  <c r="Y36" i="11"/>
  <c r="R15" i="12"/>
  <c r="S15" i="12"/>
  <c r="V15" i="12"/>
  <c r="U15" i="12"/>
  <c r="X15" i="12"/>
  <c r="T15" i="12"/>
  <c r="Y15" i="12"/>
  <c r="W15" i="12" l="1"/>
  <c r="W36" i="11"/>
  <c r="W15" i="11"/>
  <c r="W15" i="10"/>
  <c r="W12" i="9"/>
  <c r="Q16" i="12"/>
  <c r="Q37" i="11"/>
  <c r="Q16" i="11"/>
  <c r="Q16" i="10"/>
  <c r="Q14" i="9"/>
  <c r="V13" i="9"/>
  <c r="Y13" i="9"/>
  <c r="R14" i="9"/>
  <c r="U14" i="9"/>
  <c r="S14" i="9"/>
  <c r="X14" i="9"/>
  <c r="T14" i="9"/>
  <c r="R16" i="10"/>
  <c r="V16" i="10"/>
  <c r="S16" i="10"/>
  <c r="U16" i="10"/>
  <c r="X16" i="10"/>
  <c r="T16" i="10"/>
  <c r="Y16" i="10"/>
  <c r="R16" i="11"/>
  <c r="S16" i="11"/>
  <c r="V16" i="11"/>
  <c r="U16" i="11"/>
  <c r="X16" i="11"/>
  <c r="T16" i="11"/>
  <c r="Y16" i="11"/>
  <c r="R37" i="11"/>
  <c r="S37" i="11"/>
  <c r="V37" i="11"/>
  <c r="U37" i="11"/>
  <c r="X37" i="11"/>
  <c r="T37" i="11"/>
  <c r="Y37" i="11"/>
  <c r="R16" i="12"/>
  <c r="V16" i="12"/>
  <c r="S16" i="12"/>
  <c r="U16" i="12"/>
  <c r="X16" i="12"/>
  <c r="T16" i="12"/>
  <c r="Y16" i="12"/>
  <c r="W16" i="12" l="1"/>
  <c r="W37" i="11"/>
  <c r="W16" i="11"/>
  <c r="W16" i="10"/>
  <c r="W13" i="9"/>
  <c r="Q17" i="12"/>
  <c r="Q38" i="11"/>
  <c r="Q17" i="11"/>
  <c r="Q17" i="10"/>
  <c r="Y14" i="9"/>
  <c r="V14" i="9"/>
  <c r="Q15" i="9"/>
  <c r="R15" i="9"/>
  <c r="S15" i="9"/>
  <c r="U15" i="9"/>
  <c r="T15" i="9"/>
  <c r="X15" i="9"/>
  <c r="R17" i="10"/>
  <c r="S17" i="10"/>
  <c r="V17" i="10"/>
  <c r="U17" i="10"/>
  <c r="X17" i="10"/>
  <c r="T17" i="10"/>
  <c r="Y17" i="10"/>
  <c r="R17" i="11"/>
  <c r="V17" i="11"/>
  <c r="S17" i="11"/>
  <c r="U17" i="11"/>
  <c r="X17" i="11"/>
  <c r="T17" i="11"/>
  <c r="Y17" i="11"/>
  <c r="R38" i="11"/>
  <c r="V38" i="11"/>
  <c r="S38" i="11"/>
  <c r="U38" i="11"/>
  <c r="X38" i="11"/>
  <c r="T38" i="11"/>
  <c r="Y38" i="11" s="1"/>
  <c r="R17" i="12"/>
  <c r="S17" i="12"/>
  <c r="V17" i="12"/>
  <c r="U17" i="12"/>
  <c r="X17" i="12"/>
  <c r="T17" i="12"/>
  <c r="Y17" i="12"/>
  <c r="W17" i="12" l="1"/>
  <c r="W38" i="11"/>
  <c r="W17" i="11"/>
  <c r="W17" i="10"/>
  <c r="W14" i="9"/>
  <c r="Q18" i="12"/>
  <c r="Q39" i="11"/>
  <c r="Q18" i="11"/>
  <c r="Q18" i="10"/>
  <c r="Y15" i="9"/>
  <c r="V15" i="9"/>
  <c r="Q16" i="9"/>
  <c r="R16" i="9"/>
  <c r="S16" i="9"/>
  <c r="U16" i="9"/>
  <c r="X16" i="9"/>
  <c r="T16" i="9"/>
  <c r="R18" i="10"/>
  <c r="S18" i="10"/>
  <c r="V18" i="10"/>
  <c r="U18" i="10"/>
  <c r="X18" i="10"/>
  <c r="T18" i="10"/>
  <c r="Y18" i="10"/>
  <c r="R18" i="11"/>
  <c r="S18" i="11"/>
  <c r="V18" i="11"/>
  <c r="U18" i="11"/>
  <c r="X18" i="11"/>
  <c r="T18" i="11"/>
  <c r="Y18" i="11"/>
  <c r="R39" i="11"/>
  <c r="U39" i="11"/>
  <c r="V39" i="11"/>
  <c r="S39" i="11"/>
  <c r="X39" i="11"/>
  <c r="T39" i="11"/>
  <c r="Y39" i="11" s="1"/>
  <c r="R18" i="12"/>
  <c r="S18" i="12"/>
  <c r="V18" i="12"/>
  <c r="U18" i="12"/>
  <c r="X18" i="12"/>
  <c r="T18" i="12"/>
  <c r="Y18" i="12"/>
  <c r="W18" i="12" l="1"/>
  <c r="W39" i="11"/>
  <c r="W18" i="11"/>
  <c r="W18" i="10"/>
  <c r="W15" i="9"/>
  <c r="Q19" i="12"/>
  <c r="Q40" i="11"/>
  <c r="Q19" i="11"/>
  <c r="Q19" i="10"/>
  <c r="Y16" i="9"/>
  <c r="V16" i="9"/>
  <c r="Q17" i="9"/>
  <c r="R17" i="9"/>
  <c r="U17" i="9"/>
  <c r="S17" i="9"/>
  <c r="T17" i="9"/>
  <c r="X17" i="9"/>
  <c r="R19" i="10"/>
  <c r="V19" i="10"/>
  <c r="S19" i="10"/>
  <c r="U19" i="10"/>
  <c r="X19" i="10"/>
  <c r="T19" i="10"/>
  <c r="Y19" i="10"/>
  <c r="R19" i="11"/>
  <c r="S19" i="11"/>
  <c r="V19" i="11"/>
  <c r="U19" i="11"/>
  <c r="X19" i="11"/>
  <c r="T19" i="11"/>
  <c r="Y19" i="11"/>
  <c r="R40" i="11"/>
  <c r="U40" i="11"/>
  <c r="S40" i="11"/>
  <c r="V40" i="11"/>
  <c r="X40" i="11"/>
  <c r="T40" i="11"/>
  <c r="Y40" i="11"/>
  <c r="R19" i="12"/>
  <c r="V19" i="12"/>
  <c r="S19" i="12"/>
  <c r="U19" i="12"/>
  <c r="X19" i="12"/>
  <c r="T19" i="12"/>
  <c r="Y19" i="12"/>
  <c r="W19" i="12" l="1"/>
  <c r="W40" i="11"/>
  <c r="W19" i="11"/>
  <c r="W19" i="10"/>
  <c r="W16" i="9"/>
  <c r="Q20" i="12"/>
  <c r="Q41" i="11"/>
  <c r="Q20" i="11"/>
  <c r="Q20" i="10"/>
  <c r="Y17" i="9"/>
  <c r="V17" i="9"/>
  <c r="Q18" i="9"/>
  <c r="R18" i="9"/>
  <c r="U18" i="9"/>
  <c r="S18" i="9"/>
  <c r="X18" i="9"/>
  <c r="T18" i="9"/>
  <c r="R20" i="10"/>
  <c r="S20" i="10"/>
  <c r="V20" i="10"/>
  <c r="U20" i="10"/>
  <c r="X20" i="10"/>
  <c r="T20" i="10"/>
  <c r="Y20" i="10"/>
  <c r="R20" i="11"/>
  <c r="V20" i="11"/>
  <c r="S20" i="11"/>
  <c r="U20" i="11"/>
  <c r="X20" i="11"/>
  <c r="T20" i="11"/>
  <c r="Y20" i="11"/>
  <c r="R41" i="11"/>
  <c r="S41" i="11"/>
  <c r="V41" i="11"/>
  <c r="U41" i="11"/>
  <c r="X41" i="11"/>
  <c r="T41" i="11"/>
  <c r="Y41" i="11"/>
  <c r="R20" i="12"/>
  <c r="S20" i="12"/>
  <c r="V20" i="12"/>
  <c r="U20" i="12"/>
  <c r="X20" i="12"/>
  <c r="T20" i="12"/>
  <c r="Y20" i="12"/>
  <c r="W20" i="12" l="1"/>
  <c r="W41" i="11"/>
  <c r="W20" i="11"/>
  <c r="W20" i="10"/>
  <c r="W17" i="9"/>
  <c r="Q21" i="12"/>
  <c r="Q42" i="11"/>
  <c r="Q21" i="11"/>
  <c r="Q21" i="10"/>
  <c r="Y18" i="9"/>
  <c r="V18" i="9"/>
  <c r="Q19" i="9"/>
  <c r="R19" i="9"/>
  <c r="S19" i="9"/>
  <c r="U19" i="9"/>
  <c r="X19" i="9"/>
  <c r="T19" i="9"/>
  <c r="R21" i="10"/>
  <c r="V21" i="10"/>
  <c r="S21" i="10"/>
  <c r="U21" i="10"/>
  <c r="X21" i="10"/>
  <c r="T21" i="10"/>
  <c r="Y21" i="10"/>
  <c r="R21" i="11"/>
  <c r="S21" i="11"/>
  <c r="V21" i="11"/>
  <c r="U21" i="11"/>
  <c r="X21" i="11"/>
  <c r="T21" i="11"/>
  <c r="Y21" i="11"/>
  <c r="R42" i="11"/>
  <c r="V42" i="11"/>
  <c r="S42" i="11"/>
  <c r="U42" i="11"/>
  <c r="X42" i="11"/>
  <c r="T42" i="11"/>
  <c r="Y42" i="11" s="1"/>
  <c r="R21" i="12"/>
  <c r="V21" i="12"/>
  <c r="S21" i="12"/>
  <c r="U21" i="12"/>
  <c r="X21" i="12"/>
  <c r="T21" i="12"/>
  <c r="Y21" i="12"/>
  <c r="W21" i="12" l="1"/>
  <c r="W42" i="11"/>
  <c r="W21" i="11"/>
  <c r="W21" i="10"/>
  <c r="W18" i="9"/>
  <c r="Q22" i="12"/>
  <c r="Q43" i="11"/>
  <c r="Q22" i="11"/>
  <c r="Q22" i="10"/>
  <c r="V19" i="9"/>
  <c r="Y19" i="9"/>
  <c r="Q20" i="9"/>
  <c r="R20" i="9"/>
  <c r="S20" i="9"/>
  <c r="U20" i="9"/>
  <c r="T20" i="9"/>
  <c r="X20" i="9"/>
  <c r="R22" i="10"/>
  <c r="S22" i="10"/>
  <c r="V22" i="10"/>
  <c r="U22" i="10"/>
  <c r="X22" i="10"/>
  <c r="T22" i="10"/>
  <c r="Y22" i="10"/>
  <c r="R22" i="11"/>
  <c r="V22" i="11"/>
  <c r="S22" i="11"/>
  <c r="U22" i="11"/>
  <c r="X22" i="11"/>
  <c r="T22" i="11"/>
  <c r="Y22" i="11"/>
  <c r="R43" i="11"/>
  <c r="U43" i="11"/>
  <c r="V43" i="11"/>
  <c r="S43" i="11"/>
  <c r="X43" i="11"/>
  <c r="T43" i="11"/>
  <c r="Y43" i="11" s="1"/>
  <c r="R22" i="12"/>
  <c r="S22" i="12"/>
  <c r="V22" i="12"/>
  <c r="U22" i="12"/>
  <c r="X22" i="12"/>
  <c r="T22" i="12"/>
  <c r="Y22" i="12"/>
  <c r="W22" i="12" l="1"/>
  <c r="W43" i="11"/>
  <c r="W22" i="11"/>
  <c r="W22" i="10"/>
  <c r="W19" i="9"/>
  <c r="Q23" i="12"/>
  <c r="Q44" i="11"/>
  <c r="Q23" i="11"/>
  <c r="Q23" i="10"/>
  <c r="V20" i="9"/>
  <c r="Y20" i="9"/>
  <c r="Q21" i="9"/>
  <c r="R21" i="9"/>
  <c r="S21" i="9"/>
  <c r="U21" i="9"/>
  <c r="T21" i="9"/>
  <c r="X21" i="9"/>
  <c r="R23" i="10"/>
  <c r="V23" i="10"/>
  <c r="S23" i="10"/>
  <c r="U23" i="10"/>
  <c r="X23" i="10"/>
  <c r="T23" i="10"/>
  <c r="Y23" i="10"/>
  <c r="R23" i="11"/>
  <c r="S23" i="11"/>
  <c r="V23" i="11"/>
  <c r="U23" i="11"/>
  <c r="X23" i="11"/>
  <c r="T23" i="11"/>
  <c r="Y23" i="11"/>
  <c r="R44" i="11"/>
  <c r="U44" i="11"/>
  <c r="S44" i="11"/>
  <c r="V44" i="11"/>
  <c r="X44" i="11"/>
  <c r="T44" i="11"/>
  <c r="Y44" i="11"/>
  <c r="R23" i="12"/>
  <c r="V23" i="12"/>
  <c r="S23" i="12"/>
  <c r="U23" i="12"/>
  <c r="X23" i="12"/>
  <c r="T23" i="12"/>
  <c r="Y23" i="12"/>
  <c r="W23" i="12" l="1"/>
  <c r="W44" i="11"/>
  <c r="W23" i="11"/>
  <c r="W23" i="10"/>
  <c r="W20" i="9"/>
  <c r="Q24" i="12"/>
  <c r="Q45" i="11"/>
  <c r="Q24" i="11"/>
  <c r="Q24" i="10"/>
  <c r="Y21" i="9"/>
  <c r="V21" i="9"/>
  <c r="Q22" i="9"/>
  <c r="R22" i="9"/>
  <c r="U22" i="9"/>
  <c r="S22" i="9"/>
  <c r="T22" i="9"/>
  <c r="X22" i="9"/>
  <c r="R24" i="10"/>
  <c r="S24" i="10"/>
  <c r="V24" i="10"/>
  <c r="U24" i="10"/>
  <c r="X24" i="10"/>
  <c r="T24" i="10"/>
  <c r="Y24" i="10"/>
  <c r="R24" i="11"/>
  <c r="V24" i="11"/>
  <c r="S24" i="11"/>
  <c r="U24" i="11"/>
  <c r="X24" i="11"/>
  <c r="T24" i="11"/>
  <c r="Y24" i="11"/>
  <c r="R45" i="11"/>
  <c r="S45" i="11"/>
  <c r="V45" i="11"/>
  <c r="U45" i="11"/>
  <c r="X45" i="11"/>
  <c r="T45" i="11"/>
  <c r="Y45" i="11"/>
  <c r="R24" i="12"/>
  <c r="S24" i="12"/>
  <c r="V24" i="12"/>
  <c r="U24" i="12"/>
  <c r="X24" i="12"/>
  <c r="T24" i="12"/>
  <c r="Y24" i="12"/>
  <c r="W24" i="12" l="1"/>
  <c r="W45" i="11"/>
  <c r="W24" i="11"/>
  <c r="W24" i="10"/>
  <c r="W21" i="9"/>
  <c r="Q25" i="12"/>
  <c r="Q46" i="11"/>
  <c r="Q25" i="10"/>
  <c r="V22" i="9"/>
  <c r="Q23" i="9"/>
  <c r="Y22" i="9"/>
  <c r="R23" i="9"/>
  <c r="S23" i="9"/>
  <c r="U23" i="9"/>
  <c r="T23" i="9"/>
  <c r="X23" i="9"/>
  <c r="R25" i="10"/>
  <c r="S25" i="10"/>
  <c r="V25" i="10"/>
  <c r="U25" i="10"/>
  <c r="X25" i="10"/>
  <c r="T25" i="10"/>
  <c r="Y25" i="10"/>
  <c r="R46" i="11"/>
  <c r="V46" i="11"/>
  <c r="S46" i="11"/>
  <c r="U46" i="11"/>
  <c r="X46" i="11"/>
  <c r="T46" i="11"/>
  <c r="Y46" i="11" s="1"/>
  <c r="R25" i="12"/>
  <c r="S25" i="12"/>
  <c r="V25" i="12"/>
  <c r="U25" i="12"/>
  <c r="X25" i="12"/>
  <c r="T25" i="12"/>
  <c r="Y25" i="12"/>
  <c r="W25" i="12" l="1"/>
  <c r="W46" i="11"/>
  <c r="W25" i="10"/>
  <c r="W22" i="9"/>
  <c r="Q26" i="12"/>
  <c r="Q47" i="11"/>
  <c r="Q26" i="10"/>
  <c r="Y23" i="9"/>
  <c r="Q24" i="9"/>
  <c r="V23" i="9"/>
  <c r="R24" i="9"/>
  <c r="S24" i="9"/>
  <c r="U24" i="9"/>
  <c r="T24" i="9"/>
  <c r="X24" i="9"/>
  <c r="R26" i="10"/>
  <c r="V26" i="10"/>
  <c r="S26" i="10"/>
  <c r="U26" i="10"/>
  <c r="X26" i="10"/>
  <c r="T26" i="10"/>
  <c r="Y26" i="10"/>
  <c r="R47" i="11"/>
  <c r="U47" i="11"/>
  <c r="V47" i="11"/>
  <c r="S47" i="11"/>
  <c r="X47" i="11"/>
  <c r="T47" i="11"/>
  <c r="Y47" i="11" s="1"/>
  <c r="R26" i="12"/>
  <c r="V26" i="12"/>
  <c r="S26" i="12"/>
  <c r="U26" i="12"/>
  <c r="X26" i="12"/>
  <c r="T26" i="12"/>
  <c r="Y26" i="12"/>
  <c r="W26" i="12" l="1"/>
  <c r="W47" i="11"/>
  <c r="W26" i="10"/>
  <c r="W23" i="9"/>
  <c r="Q27" i="12"/>
  <c r="Q48" i="11"/>
  <c r="Q27" i="10"/>
  <c r="Q25" i="9"/>
  <c r="V24" i="9"/>
  <c r="Y24" i="9"/>
  <c r="R25" i="9"/>
  <c r="U25" i="9"/>
  <c r="S25" i="9"/>
  <c r="T25" i="9"/>
  <c r="X25" i="9"/>
  <c r="R27" i="10"/>
  <c r="S27" i="10"/>
  <c r="V27" i="10"/>
  <c r="U27" i="10"/>
  <c r="X27" i="10"/>
  <c r="T27" i="10"/>
  <c r="Y27" i="10"/>
  <c r="R48" i="11"/>
  <c r="U48" i="11"/>
  <c r="S48" i="11"/>
  <c r="V48" i="11"/>
  <c r="X48" i="11"/>
  <c r="T48" i="11"/>
  <c r="Y48" i="11"/>
  <c r="R27" i="12"/>
  <c r="S27" i="12"/>
  <c r="V27" i="12"/>
  <c r="U27" i="12"/>
  <c r="X27" i="12"/>
  <c r="T27" i="12"/>
  <c r="Y27" i="12"/>
  <c r="W27" i="12" l="1"/>
  <c r="W48" i="11"/>
  <c r="W27" i="10"/>
  <c r="W24" i="9"/>
  <c r="Q28" i="12"/>
  <c r="Q49" i="11"/>
  <c r="Q28" i="10"/>
  <c r="Q26" i="9"/>
  <c r="V25" i="9"/>
  <c r="Y25" i="9"/>
  <c r="R26" i="9"/>
  <c r="S26" i="9"/>
  <c r="U26" i="9"/>
  <c r="X26" i="9"/>
  <c r="T26" i="9"/>
  <c r="R28" i="10"/>
  <c r="S28" i="10"/>
  <c r="V28" i="10"/>
  <c r="U28" i="10"/>
  <c r="X28" i="10"/>
  <c r="T28" i="10"/>
  <c r="Y28" i="10"/>
  <c r="R49" i="11"/>
  <c r="S49" i="11"/>
  <c r="V49" i="11"/>
  <c r="U49" i="11"/>
  <c r="X49" i="11"/>
  <c r="T49" i="11"/>
  <c r="Y49" i="11"/>
  <c r="R28" i="12"/>
  <c r="S28" i="12"/>
  <c r="V28" i="12"/>
  <c r="U28" i="12"/>
  <c r="X28" i="12"/>
  <c r="T28" i="12"/>
  <c r="Y28" i="12"/>
  <c r="W28" i="12" l="1"/>
  <c r="W49" i="11"/>
  <c r="W28" i="10"/>
  <c r="W25" i="9"/>
  <c r="Q29" i="12"/>
  <c r="Q50" i="11"/>
  <c r="Q29" i="10"/>
  <c r="Y26" i="9"/>
  <c r="V26" i="9"/>
  <c r="Q27" i="9"/>
  <c r="R27" i="9"/>
  <c r="S27" i="9"/>
  <c r="U27" i="9"/>
  <c r="X27" i="9"/>
  <c r="T27" i="9"/>
  <c r="R29" i="10"/>
  <c r="V29" i="10"/>
  <c r="S29" i="10"/>
  <c r="U29" i="10"/>
  <c r="X29" i="10"/>
  <c r="T29" i="10"/>
  <c r="Y29" i="10"/>
  <c r="R50" i="11"/>
  <c r="V50" i="11"/>
  <c r="S50" i="11"/>
  <c r="U50" i="11"/>
  <c r="X50" i="11"/>
  <c r="T50" i="11"/>
  <c r="Y50" i="11" s="1"/>
  <c r="R29" i="12"/>
  <c r="V29" i="12"/>
  <c r="S29" i="12"/>
  <c r="U29" i="12"/>
  <c r="X29" i="12"/>
  <c r="T29" i="12"/>
  <c r="Y29" i="12"/>
  <c r="W29" i="12" l="1"/>
  <c r="W50" i="11"/>
  <c r="W29" i="10"/>
  <c r="W26" i="9"/>
  <c r="Q30" i="12"/>
  <c r="Q51" i="11"/>
  <c r="Q30" i="10"/>
  <c r="Q28" i="9"/>
  <c r="V27" i="9"/>
  <c r="Y27" i="9"/>
  <c r="R28" i="9"/>
  <c r="S28" i="9"/>
  <c r="U28" i="9"/>
  <c r="T28" i="9"/>
  <c r="X28" i="9"/>
  <c r="R30" i="10"/>
  <c r="S30" i="10"/>
  <c r="V30" i="10"/>
  <c r="U30" i="10"/>
  <c r="X30" i="10"/>
  <c r="T30" i="10"/>
  <c r="Y30" i="10"/>
  <c r="R51" i="11"/>
  <c r="U51" i="11"/>
  <c r="V51" i="11"/>
  <c r="S51" i="11"/>
  <c r="X51" i="11"/>
  <c r="T51" i="11"/>
  <c r="Y51" i="11" s="1"/>
  <c r="R30" i="12"/>
  <c r="S30" i="12"/>
  <c r="V30" i="12"/>
  <c r="U30" i="12"/>
  <c r="X30" i="12"/>
  <c r="T30" i="12"/>
  <c r="Y30" i="12"/>
  <c r="W30" i="12" l="1"/>
  <c r="W51" i="11"/>
  <c r="W30" i="10"/>
  <c r="W27" i="9"/>
  <c r="Q31" i="12"/>
  <c r="Q52" i="11"/>
  <c r="Q31" i="10"/>
  <c r="Q29" i="9"/>
  <c r="Y28" i="9"/>
  <c r="V28" i="9"/>
  <c r="R29" i="9"/>
  <c r="S29" i="9"/>
  <c r="U29" i="9"/>
  <c r="T29" i="9"/>
  <c r="X29" i="9"/>
  <c r="R31" i="10"/>
  <c r="S31" i="10"/>
  <c r="V31" i="10"/>
  <c r="U31" i="10"/>
  <c r="X31" i="10"/>
  <c r="T31" i="10"/>
  <c r="Y31" i="10"/>
  <c r="R52" i="11"/>
  <c r="U52" i="11"/>
  <c r="S52" i="11"/>
  <c r="V52" i="11"/>
  <c r="X52" i="11"/>
  <c r="T52" i="11"/>
  <c r="Y52" i="11"/>
  <c r="R31" i="12"/>
  <c r="S31" i="12"/>
  <c r="V31" i="12"/>
  <c r="U31" i="12"/>
  <c r="X31" i="12"/>
  <c r="T31" i="12"/>
  <c r="Y31" i="12"/>
  <c r="W31" i="12" l="1"/>
  <c r="W52" i="11"/>
  <c r="W31" i="10"/>
  <c r="W28" i="9"/>
  <c r="Q32" i="12"/>
  <c r="Q53" i="11"/>
  <c r="Q32" i="10"/>
  <c r="Y29" i="9"/>
  <c r="Q30" i="9"/>
  <c r="V29" i="9"/>
  <c r="R30" i="9"/>
  <c r="S30" i="9"/>
  <c r="U30" i="9"/>
  <c r="T30" i="9"/>
  <c r="X30" i="9"/>
  <c r="R32" i="10"/>
  <c r="S32" i="10"/>
  <c r="V32" i="10"/>
  <c r="U32" i="10"/>
  <c r="X32" i="10"/>
  <c r="T32" i="10"/>
  <c r="Y32" i="10"/>
  <c r="R53" i="11"/>
  <c r="S53" i="11"/>
  <c r="V53" i="11"/>
  <c r="U53" i="11"/>
  <c r="X53" i="11"/>
  <c r="T53" i="11"/>
  <c r="Y53" i="11"/>
  <c r="R32" i="12"/>
  <c r="S32" i="12"/>
  <c r="V32" i="12"/>
  <c r="U32" i="12"/>
  <c r="X32" i="12"/>
  <c r="T32" i="12"/>
  <c r="Y32" i="12"/>
  <c r="W32" i="12" l="1"/>
  <c r="W53" i="11"/>
  <c r="W32" i="10"/>
  <c r="W29" i="9"/>
  <c r="Q33" i="12"/>
  <c r="Q54" i="11"/>
  <c r="Q33" i="10"/>
  <c r="V30" i="9"/>
  <c r="Q31" i="9"/>
  <c r="Y30" i="9"/>
  <c r="R31" i="9"/>
  <c r="S31" i="9"/>
  <c r="U31" i="9"/>
  <c r="X31" i="9"/>
  <c r="T31" i="9"/>
  <c r="R33" i="10"/>
  <c r="V33" i="10"/>
  <c r="S33" i="10"/>
  <c r="U33" i="10"/>
  <c r="X33" i="10"/>
  <c r="T33" i="10"/>
  <c r="Y33" i="10"/>
  <c r="R54" i="11"/>
  <c r="V54" i="11"/>
  <c r="S54" i="11"/>
  <c r="U54" i="11"/>
  <c r="X54" i="11"/>
  <c r="T54" i="11"/>
  <c r="Y54" i="11" s="1"/>
  <c r="R33" i="12"/>
  <c r="V33" i="12"/>
  <c r="S33" i="12"/>
  <c r="U33" i="12"/>
  <c r="X33" i="12"/>
  <c r="T33" i="12"/>
  <c r="Y33" i="12"/>
  <c r="W33" i="12" l="1"/>
  <c r="W54" i="11"/>
  <c r="W33" i="10"/>
  <c r="W30" i="9"/>
  <c r="Q34" i="12"/>
  <c r="Q55" i="11"/>
  <c r="Q34" i="10"/>
  <c r="Y31" i="9"/>
  <c r="V31" i="9"/>
  <c r="Q32" i="9"/>
  <c r="R32" i="9"/>
  <c r="S32" i="9"/>
  <c r="U32" i="9"/>
  <c r="T32" i="9"/>
  <c r="X32" i="9"/>
  <c r="R34" i="10"/>
  <c r="S34" i="10"/>
  <c r="V34" i="10"/>
  <c r="U34" i="10"/>
  <c r="X34" i="10"/>
  <c r="T34" i="10"/>
  <c r="Y34" i="10"/>
  <c r="R55" i="11"/>
  <c r="U55" i="11"/>
  <c r="V55" i="11"/>
  <c r="S55" i="11"/>
  <c r="X55" i="11"/>
  <c r="T55" i="11"/>
  <c r="Y55" i="11" s="1"/>
  <c r="R34" i="12"/>
  <c r="S34" i="12"/>
  <c r="V34" i="12"/>
  <c r="U34" i="12"/>
  <c r="X34" i="12"/>
  <c r="T34" i="12"/>
  <c r="Y34" i="12"/>
  <c r="W34" i="12" l="1"/>
  <c r="W55" i="11"/>
  <c r="W34" i="10"/>
  <c r="W31" i="9"/>
  <c r="Q35" i="12"/>
  <c r="Q56" i="11"/>
  <c r="Q35" i="10"/>
  <c r="Y32" i="9"/>
  <c r="V32" i="9"/>
  <c r="Q33" i="9"/>
  <c r="R33" i="9"/>
  <c r="U33" i="9"/>
  <c r="S33" i="9"/>
  <c r="T33" i="9"/>
  <c r="X33" i="9"/>
  <c r="R35" i="10"/>
  <c r="S35" i="10"/>
  <c r="V35" i="10"/>
  <c r="U35" i="10"/>
  <c r="X35" i="10"/>
  <c r="T35" i="10"/>
  <c r="Y35" i="10"/>
  <c r="R56" i="11"/>
  <c r="U56" i="11"/>
  <c r="S56" i="11"/>
  <c r="V56" i="11"/>
  <c r="X56" i="11"/>
  <c r="T56" i="11"/>
  <c r="Y56" i="11"/>
  <c r="R35" i="12"/>
  <c r="S35" i="12"/>
  <c r="V35" i="12"/>
  <c r="U35" i="12"/>
  <c r="X35" i="12"/>
  <c r="T35" i="12"/>
  <c r="Y35" i="12"/>
  <c r="W35" i="12" l="1"/>
  <c r="W56" i="11"/>
  <c r="W35" i="10"/>
  <c r="W32" i="9"/>
  <c r="Q36" i="12"/>
  <c r="Q57" i="11"/>
  <c r="Q36" i="10"/>
  <c r="Y33" i="9"/>
  <c r="V33" i="9"/>
  <c r="Q34" i="9"/>
  <c r="R34" i="9"/>
  <c r="S34" i="9"/>
  <c r="U34" i="9"/>
  <c r="T34" i="9"/>
  <c r="X34" i="9"/>
  <c r="R36" i="10"/>
  <c r="S36" i="10"/>
  <c r="V36" i="10"/>
  <c r="U36" i="10"/>
  <c r="X36" i="10"/>
  <c r="T36" i="10"/>
  <c r="Y36" i="10"/>
  <c r="R57" i="11"/>
  <c r="S57" i="11"/>
  <c r="V57" i="11"/>
  <c r="U57" i="11"/>
  <c r="X57" i="11"/>
  <c r="T57" i="11"/>
  <c r="Y57" i="11"/>
  <c r="R36" i="12"/>
  <c r="S36" i="12"/>
  <c r="V36" i="12"/>
  <c r="U36" i="12"/>
  <c r="X36" i="12"/>
  <c r="T36" i="12"/>
  <c r="Y36" i="12"/>
  <c r="W36" i="12" l="1"/>
  <c r="W57" i="11"/>
  <c r="W36" i="10"/>
  <c r="W33" i="9"/>
  <c r="Q37" i="12"/>
  <c r="Q58" i="11"/>
  <c r="Q37" i="10"/>
  <c r="V34" i="9"/>
  <c r="Q35" i="9"/>
  <c r="Y34" i="9"/>
  <c r="R35" i="9"/>
  <c r="U35" i="9"/>
  <c r="S35" i="9"/>
  <c r="T35" i="9"/>
  <c r="X35" i="9"/>
  <c r="R37" i="10"/>
  <c r="V37" i="10"/>
  <c r="S37" i="10"/>
  <c r="U37" i="10"/>
  <c r="X37" i="10"/>
  <c r="T37" i="10"/>
  <c r="Y37" i="10"/>
  <c r="R58" i="11"/>
  <c r="V58" i="11"/>
  <c r="S58" i="11"/>
  <c r="U58" i="11"/>
  <c r="X58" i="11"/>
  <c r="T58" i="11"/>
  <c r="Y58" i="11" s="1"/>
  <c r="R37" i="12"/>
  <c r="V37" i="12"/>
  <c r="S37" i="12"/>
  <c r="U37" i="12"/>
  <c r="X37" i="12"/>
  <c r="T37" i="12"/>
  <c r="Y37" i="12"/>
  <c r="W37" i="12" l="1"/>
  <c r="W58" i="11"/>
  <c r="W37" i="10"/>
  <c r="W34" i="9"/>
  <c r="Q38" i="12"/>
  <c r="Q59" i="11"/>
  <c r="Q38" i="10"/>
  <c r="Y35" i="9"/>
  <c r="V35" i="9"/>
  <c r="Q36" i="9"/>
  <c r="R36" i="9"/>
  <c r="S36" i="9"/>
  <c r="U36" i="9"/>
  <c r="X36" i="9"/>
  <c r="T36" i="9"/>
  <c r="R38" i="10"/>
  <c r="S38" i="10"/>
  <c r="V38" i="10"/>
  <c r="U38" i="10"/>
  <c r="X38" i="10"/>
  <c r="T38" i="10"/>
  <c r="Y38" i="10"/>
  <c r="R59" i="11"/>
  <c r="U59" i="11"/>
  <c r="V59" i="11"/>
  <c r="S59" i="11"/>
  <c r="X59" i="11"/>
  <c r="T59" i="11"/>
  <c r="Y59" i="11" s="1"/>
  <c r="R38" i="12"/>
  <c r="S38" i="12"/>
  <c r="V38" i="12"/>
  <c r="U38" i="12"/>
  <c r="X38" i="12"/>
  <c r="T38" i="12"/>
  <c r="Y38" i="12"/>
  <c r="W38" i="12" l="1"/>
  <c r="W59" i="11"/>
  <c r="W38" i="10"/>
  <c r="W35" i="9"/>
  <c r="Q39" i="12"/>
  <c r="Q60" i="11"/>
  <c r="Q39" i="10"/>
  <c r="Q37" i="9"/>
  <c r="V36" i="9"/>
  <c r="Y36" i="9"/>
  <c r="R37" i="9"/>
  <c r="S37" i="9"/>
  <c r="U37" i="9"/>
  <c r="T37" i="9"/>
  <c r="X37" i="9"/>
  <c r="R39" i="10"/>
  <c r="S39" i="10"/>
  <c r="V39" i="10"/>
  <c r="U39" i="10"/>
  <c r="X39" i="10"/>
  <c r="T39" i="10"/>
  <c r="Y39" i="10"/>
  <c r="R60" i="11"/>
  <c r="U60" i="11"/>
  <c r="S60" i="11"/>
  <c r="V60" i="11"/>
  <c r="T60" i="11"/>
  <c r="Y60" i="11" s="1"/>
  <c r="X60" i="11"/>
  <c r="R39" i="12"/>
  <c r="S39" i="12"/>
  <c r="V39" i="12"/>
  <c r="U39" i="12"/>
  <c r="X39" i="12"/>
  <c r="T39" i="12"/>
  <c r="Y39" i="12"/>
  <c r="W39" i="12" l="1"/>
  <c r="W60" i="11"/>
  <c r="W39" i="10"/>
  <c r="W36" i="9"/>
  <c r="Q40" i="12"/>
  <c r="Q61" i="11"/>
  <c r="Q40" i="10"/>
  <c r="Y37" i="9"/>
  <c r="V37" i="9"/>
  <c r="Q38" i="9"/>
  <c r="R38" i="9"/>
  <c r="U38" i="9"/>
  <c r="S38" i="9"/>
  <c r="T38" i="9"/>
  <c r="X38" i="9"/>
  <c r="R40" i="10"/>
  <c r="S40" i="10"/>
  <c r="V40" i="10"/>
  <c r="U40" i="10"/>
  <c r="X40" i="10"/>
  <c r="T40" i="10"/>
  <c r="Y40" i="10"/>
  <c r="R61" i="11"/>
  <c r="S61" i="11"/>
  <c r="V61" i="11"/>
  <c r="U61" i="11"/>
  <c r="X61" i="11"/>
  <c r="T61" i="11"/>
  <c r="Y61" i="11" s="1"/>
  <c r="R40" i="12"/>
  <c r="S40" i="12"/>
  <c r="V40" i="12"/>
  <c r="U40" i="12"/>
  <c r="X40" i="12"/>
  <c r="T40" i="12"/>
  <c r="Y40" i="12"/>
  <c r="J3" i="12"/>
  <c r="I3" i="12"/>
  <c r="J4" i="12"/>
  <c r="I4" i="12"/>
  <c r="J5" i="12"/>
  <c r="I5" i="12"/>
  <c r="J7" i="12"/>
  <c r="I7" i="12"/>
  <c r="J6" i="12"/>
  <c r="I6" i="12"/>
  <c r="W40" i="12" l="1"/>
  <c r="W61" i="11"/>
  <c r="W40" i="10"/>
  <c r="W37" i="9"/>
  <c r="Q41" i="12"/>
  <c r="Q62" i="11"/>
  <c r="Q41" i="10"/>
  <c r="V38" i="9"/>
  <c r="Q39" i="9"/>
  <c r="Y38" i="9"/>
  <c r="R39" i="9"/>
  <c r="S39" i="9"/>
  <c r="U39" i="9"/>
  <c r="T39" i="9"/>
  <c r="X39" i="9"/>
  <c r="R41" i="10"/>
  <c r="V41" i="10"/>
  <c r="S41" i="10"/>
  <c r="U41" i="10"/>
  <c r="X41" i="10"/>
  <c r="T41" i="10"/>
  <c r="Y41" i="10"/>
  <c r="R62" i="11"/>
  <c r="V62" i="11"/>
  <c r="U62" i="11"/>
  <c r="S62" i="11"/>
  <c r="X62" i="11"/>
  <c r="T62" i="11"/>
  <c r="Y62" i="11" s="1"/>
  <c r="R41" i="12"/>
  <c r="V41" i="12"/>
  <c r="S41" i="12"/>
  <c r="U41" i="12"/>
  <c r="X41" i="12"/>
  <c r="T41" i="12"/>
  <c r="Y41" i="12"/>
  <c r="W41" i="12" l="1"/>
  <c r="W62" i="11"/>
  <c r="W41" i="10"/>
  <c r="W38" i="9"/>
  <c r="Q42" i="12"/>
  <c r="Q63" i="11"/>
  <c r="Q42" i="10"/>
  <c r="Q40" i="9"/>
  <c r="V39" i="9"/>
  <c r="Y39" i="9"/>
  <c r="R40" i="9"/>
  <c r="U40" i="9"/>
  <c r="S40" i="9"/>
  <c r="T40" i="9"/>
  <c r="X40" i="9"/>
  <c r="R42" i="10"/>
  <c r="S42" i="10"/>
  <c r="V42" i="10"/>
  <c r="U42" i="10"/>
  <c r="X42" i="10"/>
  <c r="T42" i="10"/>
  <c r="Y42" i="10"/>
  <c r="R63" i="11"/>
  <c r="U63" i="11"/>
  <c r="S63" i="11"/>
  <c r="V63" i="11"/>
  <c r="X63" i="11"/>
  <c r="T63" i="11"/>
  <c r="Y63" i="11" s="1"/>
  <c r="R42" i="12"/>
  <c r="S42" i="12"/>
  <c r="V42" i="12"/>
  <c r="U42" i="12"/>
  <c r="X42" i="12"/>
  <c r="T42" i="12"/>
  <c r="Y42" i="12"/>
  <c r="W42" i="12" l="1"/>
  <c r="W63" i="11"/>
  <c r="W42" i="10"/>
  <c r="W39" i="9"/>
  <c r="Q43" i="12"/>
  <c r="Q64" i="11"/>
  <c r="Q43" i="10"/>
  <c r="V40" i="9"/>
  <c r="Q41" i="9"/>
  <c r="Y40" i="9"/>
  <c r="R41" i="9"/>
  <c r="S41" i="9"/>
  <c r="U41" i="9"/>
  <c r="X41" i="9"/>
  <c r="T41" i="9"/>
  <c r="R43" i="10"/>
  <c r="S43" i="10"/>
  <c r="V43" i="10"/>
  <c r="U43" i="10"/>
  <c r="X43" i="10"/>
  <c r="T43" i="10"/>
  <c r="Y43" i="10"/>
  <c r="R64" i="11"/>
  <c r="S64" i="11"/>
  <c r="V64" i="11"/>
  <c r="U64" i="11"/>
  <c r="X64" i="11"/>
  <c r="T64" i="11"/>
  <c r="Y64" i="11"/>
  <c r="R43" i="12"/>
  <c r="S43" i="12"/>
  <c r="V43" i="12"/>
  <c r="U43" i="12"/>
  <c r="X43" i="12"/>
  <c r="T43" i="12"/>
  <c r="Y43" i="12"/>
  <c r="W43" i="12" l="1"/>
  <c r="W64" i="11"/>
  <c r="W43" i="10"/>
  <c r="W40" i="9"/>
  <c r="Q44" i="12"/>
  <c r="Q65" i="11"/>
  <c r="Q44" i="10"/>
  <c r="Q42" i="9"/>
  <c r="V41" i="9"/>
  <c r="Y41" i="9"/>
  <c r="R42" i="9"/>
  <c r="S42" i="9"/>
  <c r="U42" i="9"/>
  <c r="X42" i="9"/>
  <c r="T42" i="9"/>
  <c r="R44" i="10"/>
  <c r="S44" i="10"/>
  <c r="V44" i="10"/>
  <c r="U44" i="10"/>
  <c r="X44" i="10"/>
  <c r="T44" i="10"/>
  <c r="Y44" i="10"/>
  <c r="R65" i="11"/>
  <c r="S65" i="11"/>
  <c r="V65" i="11"/>
  <c r="U65" i="11"/>
  <c r="X65" i="11"/>
  <c r="T65" i="11"/>
  <c r="Y65" i="11" s="1"/>
  <c r="R44" i="12"/>
  <c r="S44" i="12"/>
  <c r="V44" i="12"/>
  <c r="U44" i="12"/>
  <c r="X44" i="12"/>
  <c r="T44" i="12"/>
  <c r="Y44" i="12"/>
  <c r="W44" i="12" l="1"/>
  <c r="W65" i="11"/>
  <c r="W44" i="10"/>
  <c r="W41" i="9"/>
  <c r="Q45" i="12"/>
  <c r="Q66" i="11"/>
  <c r="Q45" i="10"/>
  <c r="Y42" i="9"/>
  <c r="V42" i="9"/>
  <c r="Q43" i="9"/>
  <c r="R43" i="9"/>
  <c r="S43" i="9"/>
  <c r="U43" i="9"/>
  <c r="X43" i="9"/>
  <c r="T43" i="9"/>
  <c r="R45" i="10"/>
  <c r="V45" i="10"/>
  <c r="S45" i="10"/>
  <c r="U45" i="10"/>
  <c r="X45" i="10"/>
  <c r="T45" i="10"/>
  <c r="Y45" i="10"/>
  <c r="R66" i="11"/>
  <c r="V66" i="11"/>
  <c r="U66" i="11"/>
  <c r="S66" i="11"/>
  <c r="X66" i="11"/>
  <c r="T66" i="11"/>
  <c r="Y66" i="11" s="1"/>
  <c r="R45" i="12"/>
  <c r="V45" i="12"/>
  <c r="S45" i="12"/>
  <c r="U45" i="12"/>
  <c r="X45" i="12"/>
  <c r="T45" i="12"/>
  <c r="Y45" i="12"/>
  <c r="W45" i="12" l="1"/>
  <c r="W66" i="11"/>
  <c r="W45" i="10"/>
  <c r="W42" i="9"/>
  <c r="Q46" i="12"/>
  <c r="Q67" i="11"/>
  <c r="Q46" i="10"/>
  <c r="Q44" i="9"/>
  <c r="Y43" i="9"/>
  <c r="V43" i="9"/>
  <c r="R44" i="9"/>
  <c r="S44" i="9"/>
  <c r="U44" i="9"/>
  <c r="T44" i="9"/>
  <c r="X44" i="9"/>
  <c r="R46" i="10"/>
  <c r="S46" i="10"/>
  <c r="V46" i="10"/>
  <c r="U46" i="10"/>
  <c r="X46" i="10"/>
  <c r="T46" i="10"/>
  <c r="Y46" i="10"/>
  <c r="R67" i="11"/>
  <c r="U67" i="11"/>
  <c r="S67" i="11"/>
  <c r="V67" i="11"/>
  <c r="X67" i="11"/>
  <c r="T67" i="11"/>
  <c r="Y67" i="11" s="1"/>
  <c r="R46" i="12"/>
  <c r="S46" i="12"/>
  <c r="V46" i="12"/>
  <c r="U46" i="12"/>
  <c r="X46" i="12"/>
  <c r="T46" i="12"/>
  <c r="Y46" i="12"/>
  <c r="W46" i="12" l="1"/>
  <c r="W67" i="11"/>
  <c r="W46" i="10"/>
  <c r="W43" i="9"/>
  <c r="Q47" i="12"/>
  <c r="Q68" i="11"/>
  <c r="Q47" i="10"/>
  <c r="V44" i="9"/>
  <c r="Q45" i="9"/>
  <c r="Y44" i="9"/>
  <c r="R45" i="9"/>
  <c r="S45" i="9"/>
  <c r="U45" i="9"/>
  <c r="T45" i="9"/>
  <c r="X45" i="9"/>
  <c r="R47" i="10"/>
  <c r="V47" i="10"/>
  <c r="S47" i="10"/>
  <c r="U47" i="10"/>
  <c r="X47" i="10"/>
  <c r="T47" i="10"/>
  <c r="Y47" i="10"/>
  <c r="R68" i="11"/>
  <c r="V68" i="11"/>
  <c r="S68" i="11"/>
  <c r="U68" i="11"/>
  <c r="T68" i="11"/>
  <c r="X68" i="11"/>
  <c r="Y68" i="11"/>
  <c r="R47" i="12"/>
  <c r="S47" i="12"/>
  <c r="V47" i="12"/>
  <c r="U47" i="12"/>
  <c r="X47" i="12"/>
  <c r="T47" i="12"/>
  <c r="Y47" i="12"/>
  <c r="W47" i="12" l="1"/>
  <c r="W68" i="11"/>
  <c r="W47" i="10"/>
  <c r="W44" i="9"/>
  <c r="Q48" i="12"/>
  <c r="Q69" i="11"/>
  <c r="Q48" i="10"/>
  <c r="V45" i="9"/>
  <c r="Q46" i="9"/>
  <c r="Y45" i="9"/>
  <c r="R46" i="9"/>
  <c r="S46" i="9"/>
  <c r="U46" i="9"/>
  <c r="X46" i="9"/>
  <c r="T46" i="9"/>
  <c r="R48" i="10"/>
  <c r="S48" i="10"/>
  <c r="V48" i="10"/>
  <c r="U48" i="10"/>
  <c r="X48" i="10"/>
  <c r="T48" i="10"/>
  <c r="Y48" i="10"/>
  <c r="R69" i="11"/>
  <c r="U69" i="11"/>
  <c r="S69" i="11"/>
  <c r="V69" i="11"/>
  <c r="X69" i="11"/>
  <c r="T69" i="11"/>
  <c r="Y69" i="11" s="1"/>
  <c r="R48" i="12"/>
  <c r="S48" i="12"/>
  <c r="V48" i="12"/>
  <c r="U48" i="12"/>
  <c r="X48" i="12"/>
  <c r="T48" i="12"/>
  <c r="Y48" i="12"/>
  <c r="W48" i="12" l="1"/>
  <c r="W69" i="11"/>
  <c r="W48" i="10"/>
  <c r="W45" i="9"/>
  <c r="Q49" i="12"/>
  <c r="Q70" i="11"/>
  <c r="Q49" i="10"/>
  <c r="Y46" i="9"/>
  <c r="V46" i="9"/>
  <c r="Q47" i="9"/>
  <c r="R47" i="9"/>
  <c r="S47" i="9"/>
  <c r="U47" i="9"/>
  <c r="T47" i="9"/>
  <c r="X47" i="9"/>
  <c r="R49" i="10"/>
  <c r="S49" i="10"/>
  <c r="V49" i="10"/>
  <c r="U49" i="10"/>
  <c r="X49" i="10"/>
  <c r="T49" i="10"/>
  <c r="Y49" i="10"/>
  <c r="R70" i="11"/>
  <c r="V70" i="11"/>
  <c r="U70" i="11"/>
  <c r="S70" i="11"/>
  <c r="X70" i="11"/>
  <c r="T70" i="11"/>
  <c r="Y70" i="11"/>
  <c r="R49" i="12"/>
  <c r="V49" i="12"/>
  <c r="S49" i="12"/>
  <c r="U49" i="12"/>
  <c r="X49" i="12"/>
  <c r="T49" i="12"/>
  <c r="Y49" i="12"/>
  <c r="W49" i="12" l="1"/>
  <c r="W70" i="11"/>
  <c r="W49" i="10"/>
  <c r="W46" i="9"/>
  <c r="Q50" i="12"/>
  <c r="Q71" i="11"/>
  <c r="Q50" i="10"/>
  <c r="Y47" i="9"/>
  <c r="V47" i="9"/>
  <c r="Q48" i="9"/>
  <c r="R48" i="9"/>
  <c r="U48" i="9"/>
  <c r="S48" i="9"/>
  <c r="X48" i="9"/>
  <c r="T48" i="9"/>
  <c r="R50" i="10"/>
  <c r="S50" i="10"/>
  <c r="V50" i="10"/>
  <c r="U50" i="10"/>
  <c r="X50" i="10"/>
  <c r="T50" i="10"/>
  <c r="Y50" i="10"/>
  <c r="R71" i="11"/>
  <c r="S71" i="11"/>
  <c r="U71" i="11"/>
  <c r="V71" i="11"/>
  <c r="X71" i="11"/>
  <c r="T71" i="11"/>
  <c r="Y71" i="11" s="1"/>
  <c r="R50" i="12"/>
  <c r="S50" i="12"/>
  <c r="V50" i="12"/>
  <c r="U50" i="12"/>
  <c r="X50" i="12"/>
  <c r="T50" i="12"/>
  <c r="Y50" i="12"/>
  <c r="W50" i="12" l="1"/>
  <c r="W71" i="11"/>
  <c r="W50" i="10"/>
  <c r="W47" i="9"/>
  <c r="Q51" i="12"/>
  <c r="Q72" i="11"/>
  <c r="Q51" i="10"/>
  <c r="V48" i="9"/>
  <c r="Q49" i="9"/>
  <c r="Y48" i="9"/>
  <c r="R49" i="9"/>
  <c r="S49" i="9"/>
  <c r="U49" i="9"/>
  <c r="X49" i="9"/>
  <c r="T49" i="9"/>
  <c r="R51" i="10"/>
  <c r="V51" i="10"/>
  <c r="S51" i="10"/>
  <c r="U51" i="10"/>
  <c r="X51" i="10"/>
  <c r="T51" i="10"/>
  <c r="Y51" i="10"/>
  <c r="R72" i="11"/>
  <c r="V72" i="11"/>
  <c r="U72" i="11"/>
  <c r="S72" i="11"/>
  <c r="X72" i="11"/>
  <c r="T72" i="11"/>
  <c r="Y72" i="11" s="1"/>
  <c r="R51" i="12"/>
  <c r="V51" i="12"/>
  <c r="S51" i="12"/>
  <c r="U51" i="12"/>
  <c r="X51" i="12"/>
  <c r="T51" i="12"/>
  <c r="Y51" i="12"/>
  <c r="W51" i="12" l="1"/>
  <c r="W72" i="11"/>
  <c r="W51" i="10"/>
  <c r="W48" i="9"/>
  <c r="Q52" i="12"/>
  <c r="Q73" i="11"/>
  <c r="Q52" i="10"/>
  <c r="Q50" i="9"/>
  <c r="Y49" i="9"/>
  <c r="V49" i="9"/>
  <c r="R50" i="9"/>
  <c r="S50" i="9"/>
  <c r="U50" i="9"/>
  <c r="T50" i="9"/>
  <c r="X50" i="9"/>
  <c r="R52" i="10"/>
  <c r="S52" i="10"/>
  <c r="V52" i="10"/>
  <c r="U52" i="10"/>
  <c r="X52" i="10"/>
  <c r="T52" i="10"/>
  <c r="Y52" i="10"/>
  <c r="R73" i="11"/>
  <c r="U73" i="11"/>
  <c r="S73" i="11"/>
  <c r="V73" i="11"/>
  <c r="T73" i="11"/>
  <c r="Y73" i="11" s="1"/>
  <c r="X73" i="11"/>
  <c r="R52" i="12"/>
  <c r="S52" i="12"/>
  <c r="V52" i="12"/>
  <c r="U52" i="12"/>
  <c r="X52" i="12"/>
  <c r="T52" i="12"/>
  <c r="Y52" i="12"/>
  <c r="W52" i="12" l="1"/>
  <c r="W73" i="11"/>
  <c r="W52" i="10"/>
  <c r="W49" i="9"/>
  <c r="Q53" i="12"/>
  <c r="Q74" i="11"/>
  <c r="Q53" i="10"/>
  <c r="Q51" i="9"/>
  <c r="Y50" i="9"/>
  <c r="V50" i="9"/>
  <c r="R51" i="9"/>
  <c r="S51" i="9"/>
  <c r="U51" i="9"/>
  <c r="T51" i="9"/>
  <c r="X51" i="9"/>
  <c r="R53" i="10"/>
  <c r="S53" i="10"/>
  <c r="V53" i="10"/>
  <c r="U53" i="10"/>
  <c r="X53" i="10"/>
  <c r="T53" i="10"/>
  <c r="Y53" i="10"/>
  <c r="R74" i="11"/>
  <c r="V74" i="11"/>
  <c r="S74" i="11"/>
  <c r="U74" i="11"/>
  <c r="T74" i="11"/>
  <c r="X74" i="11"/>
  <c r="Y74" i="11"/>
  <c r="R53" i="12"/>
  <c r="V53" i="12"/>
  <c r="S53" i="12"/>
  <c r="U53" i="12"/>
  <c r="X53" i="12"/>
  <c r="T53" i="12"/>
  <c r="Y53" i="12"/>
  <c r="W53" i="12" l="1"/>
  <c r="W74" i="11"/>
  <c r="W53" i="10"/>
  <c r="W50" i="9"/>
  <c r="Q54" i="12"/>
  <c r="Q75" i="11"/>
  <c r="Q54" i="10"/>
  <c r="Q52" i="9"/>
  <c r="Y51" i="9"/>
  <c r="V51" i="9"/>
  <c r="R52" i="9"/>
  <c r="S52" i="9"/>
  <c r="U52" i="9"/>
  <c r="T52" i="9"/>
  <c r="X52" i="9"/>
  <c r="R54" i="10"/>
  <c r="S54" i="10"/>
  <c r="V54" i="10"/>
  <c r="U54" i="10"/>
  <c r="X54" i="10"/>
  <c r="T54" i="10"/>
  <c r="Y54" i="10"/>
  <c r="R75" i="11"/>
  <c r="U75" i="11"/>
  <c r="S75" i="11"/>
  <c r="V75" i="11"/>
  <c r="X75" i="11"/>
  <c r="T75" i="11"/>
  <c r="Y75" i="11" s="1"/>
  <c r="R54" i="12"/>
  <c r="S54" i="12"/>
  <c r="V54" i="12"/>
  <c r="U54" i="12"/>
  <c r="X54" i="12"/>
  <c r="T54" i="12"/>
  <c r="Y54" i="12"/>
  <c r="W54" i="12" l="1"/>
  <c r="W75" i="11"/>
  <c r="W54" i="10"/>
  <c r="W51" i="9"/>
  <c r="Q55" i="12"/>
  <c r="Q76" i="11"/>
  <c r="Q55" i="10"/>
  <c r="Q53" i="9"/>
  <c r="Y52" i="9"/>
  <c r="V52" i="9"/>
  <c r="R53" i="9"/>
  <c r="S53" i="9"/>
  <c r="U53" i="9"/>
  <c r="T53" i="9"/>
  <c r="X53" i="9"/>
  <c r="R55" i="10"/>
  <c r="V55" i="10"/>
  <c r="S55" i="10"/>
  <c r="U55" i="10"/>
  <c r="X55" i="10"/>
  <c r="T55" i="10"/>
  <c r="Y55" i="10"/>
  <c r="R76" i="11"/>
  <c r="V76" i="11"/>
  <c r="U76" i="11"/>
  <c r="S76" i="11"/>
  <c r="X76" i="11"/>
  <c r="T76" i="11"/>
  <c r="Y76" i="11" s="1"/>
  <c r="R55" i="12"/>
  <c r="S55" i="12"/>
  <c r="V55" i="12"/>
  <c r="U55" i="12"/>
  <c r="X55" i="12"/>
  <c r="T55" i="12"/>
  <c r="Y55" i="12"/>
  <c r="W55" i="12" l="1"/>
  <c r="W76" i="11"/>
  <c r="W55" i="10"/>
  <c r="W52" i="9"/>
  <c r="Q56" i="12"/>
  <c r="Q77" i="11"/>
  <c r="Q56" i="10"/>
  <c r="Q54" i="9"/>
  <c r="Y53" i="9"/>
  <c r="V53" i="9"/>
  <c r="R54" i="9"/>
  <c r="S54" i="9"/>
  <c r="U54" i="9"/>
  <c r="X54" i="9"/>
  <c r="T54" i="9"/>
  <c r="R56" i="10"/>
  <c r="S56" i="10"/>
  <c r="V56" i="10"/>
  <c r="U56" i="10"/>
  <c r="X56" i="10"/>
  <c r="T56" i="10"/>
  <c r="Y56" i="10"/>
  <c r="R77" i="11"/>
  <c r="U77" i="11"/>
  <c r="S77" i="11"/>
  <c r="V77" i="11"/>
  <c r="X77" i="11"/>
  <c r="T77" i="11"/>
  <c r="Y77" i="11" s="1"/>
  <c r="R56" i="12"/>
  <c r="S56" i="12"/>
  <c r="V56" i="12"/>
  <c r="U56" i="12"/>
  <c r="X56" i="12"/>
  <c r="T56" i="12"/>
  <c r="Y56" i="12"/>
  <c r="W56" i="12" l="1"/>
  <c r="W77" i="11"/>
  <c r="W56" i="10"/>
  <c r="W53" i="9"/>
  <c r="Q57" i="12"/>
  <c r="Q78" i="11"/>
  <c r="Q57" i="10"/>
  <c r="Q55" i="9"/>
  <c r="Y54" i="9"/>
  <c r="V54" i="9"/>
  <c r="R55" i="9"/>
  <c r="S55" i="9"/>
  <c r="U55" i="9"/>
  <c r="T55" i="9"/>
  <c r="X55" i="9"/>
  <c r="R57" i="10"/>
  <c r="S57" i="10"/>
  <c r="V57" i="10"/>
  <c r="U57" i="10"/>
  <c r="X57" i="10"/>
  <c r="T57" i="10"/>
  <c r="Y57" i="10"/>
  <c r="R78" i="11"/>
  <c r="S78" i="11"/>
  <c r="V78" i="11"/>
  <c r="U78" i="11"/>
  <c r="X78" i="11"/>
  <c r="T78" i="11"/>
  <c r="Y78" i="11"/>
  <c r="R57" i="12"/>
  <c r="V57" i="12"/>
  <c r="S57" i="12"/>
  <c r="U57" i="12"/>
  <c r="X57" i="12"/>
  <c r="T57" i="12"/>
  <c r="Y57" i="12"/>
  <c r="W57" i="12" l="1"/>
  <c r="W78" i="11"/>
  <c r="W57" i="10"/>
  <c r="W54" i="9"/>
  <c r="Q58" i="12"/>
  <c r="Q79" i="11"/>
  <c r="Q58" i="10"/>
  <c r="Q56" i="9"/>
  <c r="Y55" i="9"/>
  <c r="V55" i="9"/>
  <c r="R56" i="9"/>
  <c r="S56" i="9"/>
  <c r="U56" i="9"/>
  <c r="X56" i="9"/>
  <c r="T56" i="9"/>
  <c r="R58" i="10"/>
  <c r="S58" i="10"/>
  <c r="V58" i="10"/>
  <c r="U58" i="10"/>
  <c r="X58" i="10"/>
  <c r="T58" i="10"/>
  <c r="Y58" i="10"/>
  <c r="R79" i="11"/>
  <c r="S79" i="11"/>
  <c r="V79" i="11"/>
  <c r="U79" i="11"/>
  <c r="X79" i="11"/>
  <c r="T79" i="11"/>
  <c r="Y79" i="11" s="1"/>
  <c r="R58" i="12"/>
  <c r="S58" i="12"/>
  <c r="V58" i="12"/>
  <c r="U58" i="12"/>
  <c r="X58" i="12"/>
  <c r="T58" i="12"/>
  <c r="Y58" i="12"/>
  <c r="W58" i="12" l="1"/>
  <c r="W79" i="11"/>
  <c r="W58" i="10"/>
  <c r="W55" i="9"/>
  <c r="Q59" i="12"/>
  <c r="Q80" i="11"/>
  <c r="Q59" i="10"/>
  <c r="Q57" i="9"/>
  <c r="Y56" i="9"/>
  <c r="V56" i="9"/>
  <c r="R57" i="9"/>
  <c r="S57" i="9"/>
  <c r="U57" i="9"/>
  <c r="T57" i="9"/>
  <c r="X57" i="9"/>
  <c r="R59" i="10"/>
  <c r="V59" i="10"/>
  <c r="S59" i="10"/>
  <c r="U59" i="10"/>
  <c r="X59" i="10"/>
  <c r="T59" i="10"/>
  <c r="Y59" i="10"/>
  <c r="R80" i="11"/>
  <c r="V80" i="11"/>
  <c r="U80" i="11"/>
  <c r="S80" i="11"/>
  <c r="X80" i="11"/>
  <c r="T80" i="11"/>
  <c r="Y80" i="11" s="1"/>
  <c r="R59" i="12"/>
  <c r="S59" i="12"/>
  <c r="V59" i="12"/>
  <c r="U59" i="12"/>
  <c r="X59" i="12"/>
  <c r="T59" i="12"/>
  <c r="Y59" i="12"/>
  <c r="I8" i="12"/>
  <c r="J8" i="12"/>
  <c r="W59" i="12" l="1"/>
  <c r="W80" i="11"/>
  <c r="W59" i="10"/>
  <c r="W56" i="9"/>
  <c r="Q60" i="12"/>
  <c r="Q81" i="11"/>
  <c r="Q60" i="10"/>
  <c r="Q58" i="9"/>
  <c r="Y57" i="9"/>
  <c r="V57" i="9"/>
  <c r="R58" i="9"/>
  <c r="S58" i="9"/>
  <c r="U58" i="9"/>
  <c r="T58" i="9"/>
  <c r="X58" i="9"/>
  <c r="R60" i="10"/>
  <c r="S60" i="10"/>
  <c r="V60" i="10"/>
  <c r="U60" i="10"/>
  <c r="X60" i="10"/>
  <c r="T60" i="10"/>
  <c r="Y60" i="10"/>
  <c r="R81" i="11"/>
  <c r="U81" i="11"/>
  <c r="S81" i="11"/>
  <c r="V81" i="11"/>
  <c r="X81" i="11"/>
  <c r="T81" i="11"/>
  <c r="Y81" i="11" s="1"/>
  <c r="R60" i="12"/>
  <c r="S60" i="12"/>
  <c r="V60" i="12"/>
  <c r="U60" i="12"/>
  <c r="X60" i="12"/>
  <c r="T60" i="12"/>
  <c r="Y60" i="12"/>
  <c r="W60" i="12" l="1"/>
  <c r="W81" i="11"/>
  <c r="W60" i="10"/>
  <c r="W57" i="9"/>
  <c r="Q61" i="12"/>
  <c r="Q82" i="11"/>
  <c r="Q61" i="10"/>
  <c r="Y58" i="9"/>
  <c r="V58" i="9"/>
  <c r="Q59" i="9"/>
  <c r="R59" i="9"/>
  <c r="S59" i="9"/>
  <c r="U59" i="9"/>
  <c r="T59" i="9"/>
  <c r="X59" i="9"/>
  <c r="R61" i="10"/>
  <c r="S61" i="10"/>
  <c r="V61" i="10"/>
  <c r="U61" i="10"/>
  <c r="X61" i="10"/>
  <c r="T61" i="10"/>
  <c r="Y61" i="10"/>
  <c r="R82" i="11"/>
  <c r="S82" i="11"/>
  <c r="V82" i="11"/>
  <c r="U82" i="11"/>
  <c r="X82" i="11"/>
  <c r="T82" i="11"/>
  <c r="Y82" i="11"/>
  <c r="R61" i="12"/>
  <c r="V61" i="12"/>
  <c r="S61" i="12"/>
  <c r="U61" i="12"/>
  <c r="X61" i="12"/>
  <c r="T61" i="12"/>
  <c r="Y61" i="12"/>
  <c r="W61" i="12" l="1"/>
  <c r="W82" i="11"/>
  <c r="W61" i="10"/>
  <c r="W58" i="9"/>
  <c r="Q62" i="12"/>
  <c r="Q83" i="11"/>
  <c r="Q62" i="10"/>
  <c r="Q60" i="9"/>
  <c r="Y59" i="9"/>
  <c r="V59" i="9"/>
  <c r="R60" i="9"/>
  <c r="S60" i="9"/>
  <c r="U60" i="9"/>
  <c r="T60" i="9"/>
  <c r="X60" i="9"/>
  <c r="R62" i="10"/>
  <c r="S62" i="10"/>
  <c r="V62" i="10"/>
  <c r="U62" i="10"/>
  <c r="X62" i="10"/>
  <c r="T62" i="10"/>
  <c r="Y62" i="10"/>
  <c r="R83" i="11"/>
  <c r="S83" i="11"/>
  <c r="V83" i="11"/>
  <c r="U83" i="11"/>
  <c r="X83" i="11"/>
  <c r="T83" i="11"/>
  <c r="Y83" i="11" s="1"/>
  <c r="R62" i="12"/>
  <c r="S62" i="12"/>
  <c r="V62" i="12"/>
  <c r="U62" i="12"/>
  <c r="X62" i="12"/>
  <c r="T62" i="12"/>
  <c r="Y62" i="12"/>
  <c r="W62" i="12" l="1"/>
  <c r="W83" i="11"/>
  <c r="W62" i="10"/>
  <c r="W59" i="9"/>
  <c r="Q63" i="12"/>
  <c r="Q84" i="11"/>
  <c r="Q63" i="10"/>
  <c r="Q61" i="9"/>
  <c r="Y60" i="9"/>
  <c r="V60" i="9"/>
  <c r="R61" i="9"/>
  <c r="S61" i="9"/>
  <c r="U61" i="9"/>
  <c r="X61" i="9"/>
  <c r="T61" i="9"/>
  <c r="R63" i="10"/>
  <c r="V63" i="10"/>
  <c r="S63" i="10"/>
  <c r="U63" i="10"/>
  <c r="X63" i="10"/>
  <c r="T63" i="10"/>
  <c r="Y63" i="10"/>
  <c r="R84" i="11"/>
  <c r="V84" i="11"/>
  <c r="U84" i="11"/>
  <c r="S84" i="11"/>
  <c r="X84" i="11"/>
  <c r="T84" i="11"/>
  <c r="Y84" i="11" s="1"/>
  <c r="R63" i="12"/>
  <c r="S63" i="12"/>
  <c r="V63" i="12"/>
  <c r="U63" i="12"/>
  <c r="X63" i="12"/>
  <c r="T63" i="12"/>
  <c r="Y63" i="12"/>
  <c r="W63" i="12" l="1"/>
  <c r="W84" i="11"/>
  <c r="W63" i="10"/>
  <c r="W60" i="9"/>
  <c r="Q64" i="12"/>
  <c r="Q85" i="11"/>
  <c r="Q64" i="10"/>
  <c r="Y61" i="9"/>
  <c r="V61" i="9"/>
  <c r="Q62" i="9"/>
  <c r="R62" i="9"/>
  <c r="S62" i="9"/>
  <c r="U62" i="9"/>
  <c r="X62" i="9"/>
  <c r="T62" i="9"/>
  <c r="R64" i="10"/>
  <c r="S64" i="10"/>
  <c r="V64" i="10"/>
  <c r="U64" i="10"/>
  <c r="X64" i="10"/>
  <c r="T64" i="10"/>
  <c r="Y64" i="10"/>
  <c r="R85" i="11"/>
  <c r="U85" i="11"/>
  <c r="S85" i="11"/>
  <c r="V85" i="11"/>
  <c r="X85" i="11"/>
  <c r="T85" i="11"/>
  <c r="Y85" i="11" s="1"/>
  <c r="R64" i="12"/>
  <c r="S64" i="12"/>
  <c r="V64" i="12"/>
  <c r="U64" i="12"/>
  <c r="X64" i="12"/>
  <c r="T64" i="12"/>
  <c r="Y64" i="12"/>
  <c r="W64" i="12" l="1"/>
  <c r="W85" i="11"/>
  <c r="W64" i="10"/>
  <c r="W61" i="9"/>
  <c r="Q65" i="12"/>
  <c r="Q86" i="11"/>
  <c r="Q65" i="10"/>
  <c r="Y62" i="9"/>
  <c r="V62" i="9"/>
  <c r="Q63" i="9"/>
  <c r="R63" i="9"/>
  <c r="S63" i="9"/>
  <c r="U63" i="9"/>
  <c r="T63" i="9"/>
  <c r="X63" i="9"/>
  <c r="R65" i="10"/>
  <c r="S65" i="10"/>
  <c r="V65" i="10"/>
  <c r="U65" i="10"/>
  <c r="X65" i="10"/>
  <c r="T65" i="10"/>
  <c r="Y65" i="10"/>
  <c r="R86" i="11"/>
  <c r="S86" i="11"/>
  <c r="V86" i="11"/>
  <c r="U86" i="11"/>
  <c r="X86" i="11"/>
  <c r="T86" i="11"/>
  <c r="Y86" i="11"/>
  <c r="R65" i="12"/>
  <c r="V65" i="12"/>
  <c r="S65" i="12"/>
  <c r="U65" i="12"/>
  <c r="X65" i="12"/>
  <c r="T65" i="12"/>
  <c r="Y65" i="12"/>
  <c r="W65" i="12" l="1"/>
  <c r="W86" i="11"/>
  <c r="W65" i="10"/>
  <c r="W62" i="9"/>
  <c r="Q66" i="12"/>
  <c r="Q87" i="11"/>
  <c r="Q66" i="10"/>
  <c r="Y63" i="9"/>
  <c r="V63" i="9"/>
  <c r="Q64" i="9"/>
  <c r="R64" i="9"/>
  <c r="S64" i="9"/>
  <c r="U64" i="9"/>
  <c r="T64" i="9"/>
  <c r="X64" i="9"/>
  <c r="R66" i="10"/>
  <c r="S66" i="10"/>
  <c r="V66" i="10"/>
  <c r="U66" i="10"/>
  <c r="X66" i="10"/>
  <c r="T66" i="10"/>
  <c r="Y66" i="10"/>
  <c r="R87" i="11"/>
  <c r="S87" i="11"/>
  <c r="V87" i="11"/>
  <c r="U87" i="11"/>
  <c r="X87" i="11"/>
  <c r="T87" i="11"/>
  <c r="Y87" i="11" s="1"/>
  <c r="R66" i="12"/>
  <c r="S66" i="12"/>
  <c r="V66" i="12"/>
  <c r="U66" i="12"/>
  <c r="X66" i="12"/>
  <c r="T66" i="12"/>
  <c r="Y66" i="12"/>
  <c r="W66" i="12" l="1"/>
  <c r="W87" i="11"/>
  <c r="W66" i="10"/>
  <c r="W63" i="9"/>
  <c r="Q67" i="12"/>
  <c r="Q88" i="11"/>
  <c r="Q67" i="10"/>
  <c r="Q65" i="9"/>
  <c r="Y64" i="9"/>
  <c r="V64" i="9"/>
  <c r="R65" i="9"/>
  <c r="S65" i="9"/>
  <c r="U65" i="9"/>
  <c r="X65" i="9"/>
  <c r="T65" i="9"/>
  <c r="R67" i="10"/>
  <c r="V67" i="10"/>
  <c r="S67" i="10"/>
  <c r="U67" i="10"/>
  <c r="X67" i="10"/>
  <c r="T67" i="10"/>
  <c r="Y67" i="10"/>
  <c r="R88" i="11"/>
  <c r="V88" i="11"/>
  <c r="U88" i="11"/>
  <c r="S88" i="11"/>
  <c r="X88" i="11"/>
  <c r="T88" i="11"/>
  <c r="Y88" i="11" s="1"/>
  <c r="R67" i="12"/>
  <c r="S67" i="12"/>
  <c r="V67" i="12"/>
  <c r="U67" i="12"/>
  <c r="X67" i="12"/>
  <c r="T67" i="12"/>
  <c r="Y67" i="12"/>
  <c r="W67" i="12" l="1"/>
  <c r="W88" i="11"/>
  <c r="W67" i="10"/>
  <c r="W64" i="9"/>
  <c r="Q68" i="12"/>
  <c r="Q89" i="11"/>
  <c r="Q68" i="10"/>
  <c r="Y65" i="9"/>
  <c r="Q66" i="9"/>
  <c r="V65" i="9"/>
  <c r="R66" i="9"/>
  <c r="S66" i="9"/>
  <c r="U66" i="9"/>
  <c r="X66" i="9"/>
  <c r="T66" i="9"/>
  <c r="R68" i="10"/>
  <c r="V68" i="10"/>
  <c r="S68" i="10"/>
  <c r="U68" i="10"/>
  <c r="X68" i="10"/>
  <c r="T68" i="10"/>
  <c r="Y68" i="10"/>
  <c r="R89" i="11"/>
  <c r="U89" i="11"/>
  <c r="S89" i="11"/>
  <c r="V89" i="11"/>
  <c r="X89" i="11"/>
  <c r="T89" i="11"/>
  <c r="Y89" i="11" s="1"/>
  <c r="R68" i="12"/>
  <c r="S68" i="12"/>
  <c r="V68" i="12"/>
  <c r="U68" i="12"/>
  <c r="X68" i="12"/>
  <c r="T68" i="12"/>
  <c r="Y68" i="12"/>
  <c r="W68" i="12" l="1"/>
  <c r="W89" i="11"/>
  <c r="W68" i="10"/>
  <c r="W65" i="9"/>
  <c r="Q69" i="12"/>
  <c r="Q90" i="11"/>
  <c r="Q69" i="10"/>
  <c r="Y66" i="9"/>
  <c r="V66" i="9"/>
  <c r="Q67" i="9"/>
  <c r="R67" i="9"/>
  <c r="U67" i="9"/>
  <c r="S67" i="9"/>
  <c r="X67" i="9"/>
  <c r="T67" i="9"/>
  <c r="R69" i="10"/>
  <c r="V69" i="10"/>
  <c r="S69" i="10"/>
  <c r="U69" i="10"/>
  <c r="X69" i="10"/>
  <c r="T69" i="10"/>
  <c r="Y69" i="10"/>
  <c r="R90" i="11"/>
  <c r="S90" i="11"/>
  <c r="V90" i="11"/>
  <c r="U90" i="11"/>
  <c r="X90" i="11"/>
  <c r="T90" i="11"/>
  <c r="Y90" i="11"/>
  <c r="R69" i="12"/>
  <c r="V69" i="12"/>
  <c r="S69" i="12"/>
  <c r="U69" i="12"/>
  <c r="X69" i="12"/>
  <c r="T69" i="12"/>
  <c r="Y69" i="12"/>
  <c r="W69" i="12" l="1"/>
  <c r="W90" i="11"/>
  <c r="W69" i="10"/>
  <c r="W66" i="9"/>
  <c r="Q70" i="12"/>
  <c r="Q91" i="11"/>
  <c r="Q70" i="10"/>
  <c r="Q68" i="9"/>
  <c r="Y67" i="9"/>
  <c r="V67" i="9"/>
  <c r="R68" i="9"/>
  <c r="U68" i="9"/>
  <c r="S68" i="9"/>
  <c r="X68" i="9"/>
  <c r="T68" i="9"/>
  <c r="R70" i="10"/>
  <c r="S70" i="10"/>
  <c r="V70" i="10"/>
  <c r="U70" i="10"/>
  <c r="X70" i="10"/>
  <c r="T70" i="10"/>
  <c r="Y70" i="10"/>
  <c r="R91" i="11"/>
  <c r="S91" i="11"/>
  <c r="V91" i="11"/>
  <c r="U91" i="11"/>
  <c r="X91" i="11"/>
  <c r="T91" i="11"/>
  <c r="Y91" i="11" s="1"/>
  <c r="R70" i="12"/>
  <c r="S70" i="12"/>
  <c r="V70" i="12"/>
  <c r="U70" i="12"/>
  <c r="X70" i="12"/>
  <c r="T70" i="12"/>
  <c r="Y70" i="12"/>
  <c r="W70" i="12" l="1"/>
  <c r="W91" i="11"/>
  <c r="W70" i="10"/>
  <c r="W67" i="9"/>
  <c r="Q71" i="12"/>
  <c r="Q92" i="11"/>
  <c r="Q71" i="10"/>
  <c r="Y68" i="9"/>
  <c r="V68" i="9"/>
  <c r="Q69" i="9"/>
  <c r="R69" i="9"/>
  <c r="U69" i="9"/>
  <c r="S69" i="9"/>
  <c r="X69" i="9"/>
  <c r="T69" i="9"/>
  <c r="R71" i="10"/>
  <c r="S71" i="10"/>
  <c r="V71" i="10"/>
  <c r="U71" i="10"/>
  <c r="X71" i="10"/>
  <c r="T71" i="10"/>
  <c r="Y71" i="10"/>
  <c r="R92" i="11"/>
  <c r="V92" i="11"/>
  <c r="U92" i="11"/>
  <c r="S92" i="11"/>
  <c r="X92" i="11"/>
  <c r="T92" i="11"/>
  <c r="Y92" i="11" s="1"/>
  <c r="R71" i="12"/>
  <c r="S71" i="12"/>
  <c r="V71" i="12"/>
  <c r="U71" i="12"/>
  <c r="X71" i="12"/>
  <c r="T71" i="12"/>
  <c r="Y71" i="12"/>
  <c r="W71" i="12" l="1"/>
  <c r="W92" i="11"/>
  <c r="W71" i="10"/>
  <c r="W68" i="9"/>
  <c r="Q72" i="12"/>
  <c r="Q93" i="11"/>
  <c r="Q72" i="10"/>
  <c r="Y69" i="9"/>
  <c r="J4" i="9"/>
  <c r="J14" i="9"/>
  <c r="J5" i="9"/>
  <c r="I11" i="9"/>
  <c r="J7" i="9"/>
  <c r="V69" i="9"/>
  <c r="J6" i="9"/>
  <c r="I14" i="9"/>
  <c r="J3" i="9"/>
  <c r="I12" i="9"/>
  <c r="J12" i="9"/>
  <c r="J10" i="9"/>
  <c r="I6" i="9"/>
  <c r="I7" i="9"/>
  <c r="J11" i="9"/>
  <c r="I10" i="9"/>
  <c r="I4" i="9"/>
  <c r="I13" i="9"/>
  <c r="I3" i="9"/>
  <c r="I5" i="9"/>
  <c r="J13" i="9"/>
  <c r="Q70" i="9"/>
  <c r="R70" i="9"/>
  <c r="U70" i="9"/>
  <c r="S70" i="9"/>
  <c r="X70" i="9"/>
  <c r="T70" i="9"/>
  <c r="R72" i="10"/>
  <c r="V72" i="10"/>
  <c r="S72" i="10"/>
  <c r="U72" i="10"/>
  <c r="X72" i="10"/>
  <c r="T72" i="10"/>
  <c r="Y72" i="10"/>
  <c r="R93" i="11"/>
  <c r="U93" i="11"/>
  <c r="S93" i="11"/>
  <c r="V93" i="11"/>
  <c r="X93" i="11"/>
  <c r="T93" i="11"/>
  <c r="Y93" i="11" s="1"/>
  <c r="R72" i="12"/>
  <c r="S72" i="12"/>
  <c r="V72" i="12"/>
  <c r="U72" i="12"/>
  <c r="X72" i="12"/>
  <c r="T72" i="12"/>
  <c r="Y72" i="12"/>
  <c r="W72" i="12" l="1"/>
  <c r="W93" i="11"/>
  <c r="W72" i="10"/>
  <c r="G13" i="9"/>
  <c r="F5" i="9"/>
  <c r="F3" i="9"/>
  <c r="F13" i="9"/>
  <c r="F4" i="9"/>
  <c r="F10" i="9"/>
  <c r="G11" i="9"/>
  <c r="F7" i="9"/>
  <c r="F6" i="9"/>
  <c r="G10" i="9"/>
  <c r="G12" i="9"/>
  <c r="F12" i="9"/>
  <c r="G3" i="9"/>
  <c r="F14" i="9"/>
  <c r="G6" i="9"/>
  <c r="W69" i="9"/>
  <c r="G7" i="9"/>
  <c r="H7" i="9" s="1"/>
  <c r="F11" i="9"/>
  <c r="H11" i="9" s="1"/>
  <c r="G5" i="9"/>
  <c r="G14" i="9"/>
  <c r="G4" i="9"/>
  <c r="H4" i="9" s="1"/>
  <c r="Q73" i="12"/>
  <c r="Q94" i="11"/>
  <c r="Q73" i="10"/>
  <c r="Y70" i="9"/>
  <c r="V70" i="9"/>
  <c r="Q71" i="9"/>
  <c r="R71" i="9"/>
  <c r="S71" i="9"/>
  <c r="U71" i="9"/>
  <c r="X71" i="9"/>
  <c r="T71" i="9"/>
  <c r="R73" i="10"/>
  <c r="V73" i="10"/>
  <c r="S73" i="10"/>
  <c r="U73" i="10"/>
  <c r="X73" i="10"/>
  <c r="T73" i="10"/>
  <c r="Y73" i="10"/>
  <c r="R94" i="11"/>
  <c r="S94" i="11"/>
  <c r="V94" i="11"/>
  <c r="U94" i="11"/>
  <c r="X94" i="11"/>
  <c r="T94" i="11"/>
  <c r="Y94" i="11"/>
  <c r="R73" i="12"/>
  <c r="V73" i="12"/>
  <c r="S73" i="12"/>
  <c r="U73" i="12"/>
  <c r="X73" i="12"/>
  <c r="T73" i="12"/>
  <c r="Y73" i="12"/>
  <c r="W73" i="12" l="1"/>
  <c r="H14" i="9"/>
  <c r="W94" i="11"/>
  <c r="W73" i="10"/>
  <c r="H6" i="9"/>
  <c r="H12" i="9"/>
  <c r="W70" i="9"/>
  <c r="H13" i="9"/>
  <c r="H10" i="9"/>
  <c r="H3" i="9"/>
  <c r="H5" i="9"/>
  <c r="Q74" i="12"/>
  <c r="Q95" i="11"/>
  <c r="Q74" i="10"/>
  <c r="Y71" i="9"/>
  <c r="Q72" i="9"/>
  <c r="V71" i="9"/>
  <c r="R72" i="9"/>
  <c r="S72" i="9"/>
  <c r="U72" i="9"/>
  <c r="T72" i="9"/>
  <c r="X72" i="9"/>
  <c r="R74" i="10"/>
  <c r="S74" i="10"/>
  <c r="V74" i="10"/>
  <c r="U74" i="10"/>
  <c r="X74" i="10"/>
  <c r="T74" i="10"/>
  <c r="Y74" i="10"/>
  <c r="R95" i="11"/>
  <c r="S95" i="11"/>
  <c r="V95" i="11"/>
  <c r="U95" i="11"/>
  <c r="T95" i="11"/>
  <c r="X95" i="11"/>
  <c r="Y95" i="11"/>
  <c r="R74" i="12"/>
  <c r="S74" i="12"/>
  <c r="V74" i="12"/>
  <c r="U74" i="12"/>
  <c r="X74" i="12"/>
  <c r="T74" i="12"/>
  <c r="Y74" i="12"/>
  <c r="W74" i="12" l="1"/>
  <c r="W95" i="11"/>
  <c r="W74" i="10"/>
  <c r="W71" i="9"/>
  <c r="Q75" i="12"/>
  <c r="Q96" i="11"/>
  <c r="Q75" i="10"/>
  <c r="Y72" i="9"/>
  <c r="V72" i="9"/>
  <c r="Q73" i="9"/>
  <c r="R73" i="9"/>
  <c r="S73" i="9"/>
  <c r="U73" i="9"/>
  <c r="T73" i="9"/>
  <c r="X73" i="9"/>
  <c r="R75" i="10"/>
  <c r="S75" i="10"/>
  <c r="V75" i="10"/>
  <c r="U75" i="10"/>
  <c r="X75" i="10"/>
  <c r="T75" i="10"/>
  <c r="Y75" i="10"/>
  <c r="R96" i="11"/>
  <c r="V96" i="11"/>
  <c r="U96" i="11"/>
  <c r="S96" i="11"/>
  <c r="X96" i="11"/>
  <c r="T96" i="11"/>
  <c r="Y96" i="11" s="1"/>
  <c r="R75" i="12"/>
  <c r="S75" i="12"/>
  <c r="V75" i="12"/>
  <c r="U75" i="12"/>
  <c r="X75" i="12"/>
  <c r="T75" i="12"/>
  <c r="Y75" i="12"/>
  <c r="W75" i="12" l="1"/>
  <c r="W96" i="11"/>
  <c r="W75" i="10"/>
  <c r="W72" i="9"/>
  <c r="Q76" i="12"/>
  <c r="Q97" i="11"/>
  <c r="Q76" i="10"/>
  <c r="Y73" i="9"/>
  <c r="V73" i="9"/>
  <c r="Q74" i="9"/>
  <c r="R74" i="9"/>
  <c r="S74" i="9"/>
  <c r="U74" i="9"/>
  <c r="X74" i="9"/>
  <c r="T74" i="9"/>
  <c r="R76" i="10"/>
  <c r="V76" i="10"/>
  <c r="S76" i="10"/>
  <c r="U76" i="10"/>
  <c r="X76" i="10"/>
  <c r="T76" i="10"/>
  <c r="Y76" i="10"/>
  <c r="R97" i="11"/>
  <c r="V97" i="11"/>
  <c r="U97" i="11"/>
  <c r="S97" i="11"/>
  <c r="T97" i="11"/>
  <c r="Y97" i="11" s="1"/>
  <c r="X97" i="11"/>
  <c r="R76" i="12"/>
  <c r="S76" i="12"/>
  <c r="V76" i="12"/>
  <c r="U76" i="12"/>
  <c r="X76" i="12"/>
  <c r="T76" i="12"/>
  <c r="Y76" i="12"/>
  <c r="W76" i="12" l="1"/>
  <c r="W97" i="11"/>
  <c r="W76" i="10"/>
  <c r="W73" i="9"/>
  <c r="Q77" i="12"/>
  <c r="Q98" i="11"/>
  <c r="Q77" i="10"/>
  <c r="V74" i="9"/>
  <c r="Q75" i="9"/>
  <c r="Y74" i="9"/>
  <c r="R75" i="9"/>
  <c r="S75" i="9"/>
  <c r="U75" i="9"/>
  <c r="X75" i="9"/>
  <c r="T75" i="9"/>
  <c r="R77" i="10"/>
  <c r="S77" i="10"/>
  <c r="V77" i="10"/>
  <c r="U77" i="10"/>
  <c r="X77" i="10"/>
  <c r="T77" i="10"/>
  <c r="Y77" i="10"/>
  <c r="R98" i="11"/>
  <c r="U98" i="11"/>
  <c r="S98" i="11"/>
  <c r="V98" i="11"/>
  <c r="T98" i="11"/>
  <c r="Y98" i="11" s="1"/>
  <c r="X98" i="11"/>
  <c r="R77" i="12"/>
  <c r="V77" i="12"/>
  <c r="S77" i="12"/>
  <c r="U77" i="12"/>
  <c r="X77" i="12"/>
  <c r="T77" i="12"/>
  <c r="Y77" i="12"/>
  <c r="W77" i="12" l="1"/>
  <c r="W98" i="11"/>
  <c r="W77" i="10"/>
  <c r="W74" i="9"/>
  <c r="Q78" i="12"/>
  <c r="Q99" i="11"/>
  <c r="Q78" i="10"/>
  <c r="Y75" i="9"/>
  <c r="V75" i="9"/>
  <c r="Q76" i="9"/>
  <c r="R76" i="9"/>
  <c r="S76" i="9"/>
  <c r="U76" i="9"/>
  <c r="T76" i="9"/>
  <c r="X76" i="9"/>
  <c r="R78" i="10"/>
  <c r="S78" i="10"/>
  <c r="V78" i="10"/>
  <c r="U78" i="10"/>
  <c r="X78" i="10"/>
  <c r="T78" i="10"/>
  <c r="Y78" i="10"/>
  <c r="R99" i="11"/>
  <c r="S99" i="11"/>
  <c r="V99" i="11"/>
  <c r="U99" i="11"/>
  <c r="X99" i="11"/>
  <c r="T99" i="11"/>
  <c r="Y99" i="11"/>
  <c r="R78" i="12"/>
  <c r="S78" i="12"/>
  <c r="V78" i="12"/>
  <c r="U78" i="12"/>
  <c r="X78" i="12"/>
  <c r="T78" i="12"/>
  <c r="Y78" i="12"/>
  <c r="W78" i="12" l="1"/>
  <c r="W99" i="11"/>
  <c r="W78" i="10"/>
  <c r="W75" i="9"/>
  <c r="I9" i="12"/>
  <c r="J9" i="12"/>
  <c r="Q100" i="11"/>
  <c r="Q79" i="10"/>
  <c r="Y76" i="9"/>
  <c r="Q77" i="9"/>
  <c r="V76" i="9"/>
  <c r="R77" i="9"/>
  <c r="U77" i="9"/>
  <c r="S77" i="9"/>
  <c r="X77" i="9"/>
  <c r="T77" i="9"/>
  <c r="R79" i="10"/>
  <c r="S79" i="10"/>
  <c r="V79" i="10"/>
  <c r="U79" i="10"/>
  <c r="X79" i="10"/>
  <c r="T79" i="10"/>
  <c r="Y79" i="10"/>
  <c r="R100" i="11"/>
  <c r="V100" i="11"/>
  <c r="U100" i="11"/>
  <c r="S100" i="11"/>
  <c r="X100" i="11"/>
  <c r="T100" i="11"/>
  <c r="Y100" i="11" s="1"/>
  <c r="W100" i="11" l="1"/>
  <c r="W79" i="10"/>
  <c r="W76" i="9"/>
  <c r="Q101" i="11"/>
  <c r="Q80" i="10"/>
  <c r="Y77" i="9"/>
  <c r="V77" i="9"/>
  <c r="Q78" i="9"/>
  <c r="R78" i="9"/>
  <c r="S78" i="9"/>
  <c r="U78" i="9"/>
  <c r="X78" i="9"/>
  <c r="T78" i="9"/>
  <c r="R80" i="10"/>
  <c r="V80" i="10"/>
  <c r="S80" i="10"/>
  <c r="U80" i="10"/>
  <c r="X80" i="10"/>
  <c r="T80" i="10"/>
  <c r="Y80" i="10"/>
  <c r="R101" i="11"/>
  <c r="V101" i="11"/>
  <c r="U101" i="11"/>
  <c r="S101" i="11"/>
  <c r="T101" i="11"/>
  <c r="Y101" i="11" s="1"/>
  <c r="X101" i="11"/>
  <c r="W101" i="11" l="1"/>
  <c r="W80" i="10"/>
  <c r="W77" i="9"/>
  <c r="Q102" i="11"/>
  <c r="Q81" i="10"/>
  <c r="Y78" i="9"/>
  <c r="Q79" i="9"/>
  <c r="V78" i="9"/>
  <c r="R79" i="9"/>
  <c r="S79" i="9"/>
  <c r="U79" i="9"/>
  <c r="X79" i="9"/>
  <c r="T79" i="9"/>
  <c r="R81" i="10"/>
  <c r="S81" i="10"/>
  <c r="V81" i="10"/>
  <c r="U81" i="10"/>
  <c r="X81" i="10"/>
  <c r="T81" i="10"/>
  <c r="Y81" i="10"/>
  <c r="R102" i="11"/>
  <c r="V102" i="11"/>
  <c r="U102" i="11"/>
  <c r="S102" i="11"/>
  <c r="X102" i="11"/>
  <c r="T102" i="11"/>
  <c r="Y102" i="11" s="1"/>
  <c r="W102" i="11" l="1"/>
  <c r="W81" i="10"/>
  <c r="W78" i="9"/>
  <c r="Q103" i="11"/>
  <c r="Q82" i="10"/>
  <c r="Y79" i="9"/>
  <c r="Q80" i="9"/>
  <c r="V79" i="9"/>
  <c r="R80" i="9"/>
  <c r="U80" i="9"/>
  <c r="S80" i="9"/>
  <c r="X80" i="9"/>
  <c r="T80" i="9"/>
  <c r="R82" i="10"/>
  <c r="S82" i="10"/>
  <c r="V82" i="10"/>
  <c r="U82" i="10"/>
  <c r="X82" i="10"/>
  <c r="T82" i="10"/>
  <c r="Y82" i="10"/>
  <c r="R103" i="11"/>
  <c r="U103" i="11"/>
  <c r="S103" i="11"/>
  <c r="V103" i="11"/>
  <c r="X103" i="11"/>
  <c r="T103" i="11"/>
  <c r="Y103" i="11" s="1"/>
  <c r="W103" i="11" l="1"/>
  <c r="W82" i="10"/>
  <c r="W79" i="9"/>
  <c r="Q104" i="11"/>
  <c r="Q83" i="10"/>
  <c r="Y80" i="9"/>
  <c r="Q81" i="9"/>
  <c r="V80" i="9"/>
  <c r="R81" i="9"/>
  <c r="S81" i="9"/>
  <c r="U81" i="9"/>
  <c r="X81" i="9"/>
  <c r="T81" i="9"/>
  <c r="R83" i="10"/>
  <c r="S83" i="10"/>
  <c r="V83" i="10"/>
  <c r="U83" i="10"/>
  <c r="X83" i="10"/>
  <c r="T83" i="10"/>
  <c r="Y83" i="10"/>
  <c r="R104" i="11"/>
  <c r="S104" i="11"/>
  <c r="V104" i="11"/>
  <c r="U104" i="11"/>
  <c r="X104" i="11"/>
  <c r="T104" i="11"/>
  <c r="Y104" i="11"/>
  <c r="W104" i="11" l="1"/>
  <c r="W83" i="10"/>
  <c r="W80" i="9"/>
  <c r="Q105" i="11"/>
  <c r="Q84" i="10"/>
  <c r="V81" i="9"/>
  <c r="Q82" i="9"/>
  <c r="Y81" i="9"/>
  <c r="R82" i="9"/>
  <c r="U82" i="9"/>
  <c r="S82" i="9"/>
  <c r="X82" i="9"/>
  <c r="T82" i="9"/>
  <c r="R84" i="10"/>
  <c r="V84" i="10"/>
  <c r="S84" i="10"/>
  <c r="U84" i="10"/>
  <c r="X84" i="10"/>
  <c r="T84" i="10"/>
  <c r="Y84" i="10"/>
  <c r="R105" i="11"/>
  <c r="S105" i="11"/>
  <c r="V105" i="11"/>
  <c r="U105" i="11"/>
  <c r="X105" i="11"/>
  <c r="T105" i="11"/>
  <c r="Y105" i="11" s="1"/>
  <c r="W105" i="11" l="1"/>
  <c r="W84" i="10"/>
  <c r="W81" i="9"/>
  <c r="Q106" i="11"/>
  <c r="Q85" i="10"/>
  <c r="Y82" i="9"/>
  <c r="V82" i="9"/>
  <c r="Q83" i="9"/>
  <c r="R83" i="9"/>
  <c r="S83" i="9"/>
  <c r="U83" i="9"/>
  <c r="X83" i="9"/>
  <c r="T83" i="9"/>
  <c r="R85" i="10"/>
  <c r="S85" i="10"/>
  <c r="V85" i="10"/>
  <c r="U85" i="10"/>
  <c r="X85" i="10"/>
  <c r="T85" i="10"/>
  <c r="Y85" i="10"/>
  <c r="R106" i="11"/>
  <c r="V106" i="11"/>
  <c r="U106" i="11"/>
  <c r="S106" i="11"/>
  <c r="X106" i="11"/>
  <c r="T106" i="11"/>
  <c r="Y106" i="11" s="1"/>
  <c r="W106" i="11" l="1"/>
  <c r="W85" i="10"/>
  <c r="W82" i="9"/>
  <c r="Q107" i="11"/>
  <c r="Q86" i="10"/>
  <c r="Y83" i="9"/>
  <c r="V83" i="9"/>
  <c r="Q84" i="9"/>
  <c r="R84" i="9"/>
  <c r="S84" i="9"/>
  <c r="U84" i="9"/>
  <c r="X84" i="9"/>
  <c r="T84" i="9"/>
  <c r="R86" i="10"/>
  <c r="S86" i="10"/>
  <c r="V86" i="10"/>
  <c r="U86" i="10"/>
  <c r="X86" i="10"/>
  <c r="T86" i="10"/>
  <c r="Y86" i="10"/>
  <c r="R107" i="11"/>
  <c r="U107" i="11"/>
  <c r="S107" i="11"/>
  <c r="V107" i="11"/>
  <c r="X107" i="11"/>
  <c r="T107" i="11"/>
  <c r="Y107" i="11" s="1"/>
  <c r="W107" i="11" l="1"/>
  <c r="W86" i="10"/>
  <c r="W83" i="9"/>
  <c r="Q108" i="11"/>
  <c r="Q87" i="10"/>
  <c r="V84" i="9"/>
  <c r="Q85" i="9"/>
  <c r="Y84" i="9"/>
  <c r="R85" i="9"/>
  <c r="S85" i="9"/>
  <c r="U85" i="9"/>
  <c r="X85" i="9"/>
  <c r="T85" i="9"/>
  <c r="R87" i="10"/>
  <c r="S87" i="10"/>
  <c r="V87" i="10"/>
  <c r="U87" i="10"/>
  <c r="X87" i="10"/>
  <c r="T87" i="10"/>
  <c r="Y87" i="10"/>
  <c r="R108" i="11"/>
  <c r="S108" i="11"/>
  <c r="V108" i="11"/>
  <c r="U108" i="11"/>
  <c r="X108" i="11"/>
  <c r="T108" i="11"/>
  <c r="Y108" i="11"/>
  <c r="W108" i="11" l="1"/>
  <c r="W87" i="10"/>
  <c r="W84" i="9"/>
  <c r="Q109" i="11"/>
  <c r="Q88" i="10"/>
  <c r="V85" i="9"/>
  <c r="Y85" i="9"/>
  <c r="Q86" i="9"/>
  <c r="R86" i="9"/>
  <c r="S86" i="9"/>
  <c r="U86" i="9"/>
  <c r="T86" i="9"/>
  <c r="X86" i="9"/>
  <c r="R88" i="10"/>
  <c r="V88" i="10"/>
  <c r="S88" i="10"/>
  <c r="U88" i="10"/>
  <c r="X88" i="10"/>
  <c r="T88" i="10"/>
  <c r="Y88" i="10"/>
  <c r="R109" i="11"/>
  <c r="S109" i="11"/>
  <c r="V109" i="11"/>
  <c r="U109" i="11"/>
  <c r="X109" i="11"/>
  <c r="T109" i="11"/>
  <c r="Y109" i="11" s="1"/>
  <c r="W109" i="11" l="1"/>
  <c r="W88" i="10"/>
  <c r="W85" i="9"/>
  <c r="Q110" i="11"/>
  <c r="Q89" i="10"/>
  <c r="Q87" i="9"/>
  <c r="V86" i="9"/>
  <c r="Y86" i="9"/>
  <c r="R87" i="9"/>
  <c r="S87" i="9"/>
  <c r="U87" i="9"/>
  <c r="T87" i="9"/>
  <c r="X87" i="9"/>
  <c r="R89" i="10"/>
  <c r="S89" i="10"/>
  <c r="V89" i="10"/>
  <c r="U89" i="10"/>
  <c r="X89" i="10"/>
  <c r="T89" i="10"/>
  <c r="Y89" i="10"/>
  <c r="R110" i="11"/>
  <c r="V110" i="11"/>
  <c r="U110" i="11"/>
  <c r="S110" i="11"/>
  <c r="X110" i="11"/>
  <c r="T110" i="11"/>
  <c r="Y110" i="11" s="1"/>
  <c r="W110" i="11" l="1"/>
  <c r="W89" i="10"/>
  <c r="W86" i="9"/>
  <c r="Q111" i="11"/>
  <c r="Q90" i="10"/>
  <c r="Y87" i="9"/>
  <c r="V87" i="9"/>
  <c r="Q88" i="9"/>
  <c r="R88" i="9"/>
  <c r="S88" i="9"/>
  <c r="U88" i="9"/>
  <c r="X88" i="9"/>
  <c r="T88" i="9"/>
  <c r="R90" i="10"/>
  <c r="S90" i="10"/>
  <c r="V90" i="10"/>
  <c r="U90" i="10"/>
  <c r="X90" i="10"/>
  <c r="T90" i="10"/>
  <c r="Y90" i="10"/>
  <c r="R111" i="11"/>
  <c r="U111" i="11"/>
  <c r="S111" i="11"/>
  <c r="V111" i="11"/>
  <c r="X111" i="11"/>
  <c r="T111" i="11"/>
  <c r="Y111" i="11" s="1"/>
  <c r="W111" i="11" l="1"/>
  <c r="W90" i="10"/>
  <c r="W87" i="9"/>
  <c r="Q112" i="11"/>
  <c r="Q91" i="10"/>
  <c r="Y88" i="9"/>
  <c r="Q89" i="9"/>
  <c r="V88" i="9"/>
  <c r="R89" i="9"/>
  <c r="S89" i="9"/>
  <c r="U89" i="9"/>
  <c r="X89" i="9"/>
  <c r="T89" i="9"/>
  <c r="R91" i="10"/>
  <c r="S91" i="10"/>
  <c r="V91" i="10"/>
  <c r="U91" i="10"/>
  <c r="X91" i="10"/>
  <c r="T91" i="10"/>
  <c r="Y91" i="10"/>
  <c r="R112" i="11"/>
  <c r="S112" i="11"/>
  <c r="V112" i="11"/>
  <c r="U112" i="11"/>
  <c r="X112" i="11"/>
  <c r="T112" i="11"/>
  <c r="Y112" i="11"/>
  <c r="W112" i="11" l="1"/>
  <c r="W91" i="10"/>
  <c r="W88" i="9"/>
  <c r="Q113" i="11"/>
  <c r="Q92" i="10"/>
  <c r="Q90" i="9"/>
  <c r="Y89" i="9"/>
  <c r="V89" i="9"/>
  <c r="R90" i="9"/>
  <c r="S90" i="9"/>
  <c r="U90" i="9"/>
  <c r="X90" i="9"/>
  <c r="T90" i="9"/>
  <c r="R92" i="10"/>
  <c r="V92" i="10"/>
  <c r="S92" i="10"/>
  <c r="U92" i="10"/>
  <c r="X92" i="10"/>
  <c r="T92" i="10"/>
  <c r="Y92" i="10"/>
  <c r="R113" i="11"/>
  <c r="S113" i="11"/>
  <c r="V113" i="11"/>
  <c r="U113" i="11"/>
  <c r="X113" i="11"/>
  <c r="T113" i="11"/>
  <c r="Y113" i="11" s="1"/>
  <c r="W113" i="11" l="1"/>
  <c r="W92" i="10"/>
  <c r="W89" i="9"/>
  <c r="Q114" i="11"/>
  <c r="Q93" i="10"/>
  <c r="Y90" i="9"/>
  <c r="V90" i="9"/>
  <c r="Q91" i="9"/>
  <c r="R91" i="9"/>
  <c r="S91" i="9"/>
  <c r="U91" i="9"/>
  <c r="X91" i="9"/>
  <c r="T91" i="9"/>
  <c r="R93" i="10"/>
  <c r="S93" i="10"/>
  <c r="V93" i="10"/>
  <c r="U93" i="10"/>
  <c r="X93" i="10"/>
  <c r="T93" i="10"/>
  <c r="Y93" i="10"/>
  <c r="R114" i="11"/>
  <c r="V114" i="11"/>
  <c r="U114" i="11"/>
  <c r="S114" i="11"/>
  <c r="X114" i="11"/>
  <c r="T114" i="11"/>
  <c r="Y114" i="11" s="1"/>
  <c r="W114" i="11" l="1"/>
  <c r="W93" i="10"/>
  <c r="W90" i="9"/>
  <c r="Q115" i="11"/>
  <c r="Q94" i="10"/>
  <c r="V91" i="9"/>
  <c r="Y91" i="9"/>
  <c r="Q92" i="9"/>
  <c r="R92" i="9"/>
  <c r="S92" i="9"/>
  <c r="U92" i="9"/>
  <c r="T92" i="9"/>
  <c r="X92" i="9"/>
  <c r="R94" i="10"/>
  <c r="S94" i="10"/>
  <c r="V94" i="10"/>
  <c r="U94" i="10"/>
  <c r="X94" i="10"/>
  <c r="T94" i="10"/>
  <c r="Y94" i="10"/>
  <c r="R115" i="11"/>
  <c r="U115" i="11"/>
  <c r="S115" i="11"/>
  <c r="V115" i="11"/>
  <c r="X115" i="11"/>
  <c r="T115" i="11"/>
  <c r="Y115" i="11" s="1"/>
  <c r="W115" i="11" l="1"/>
  <c r="W94" i="10"/>
  <c r="W91" i="9"/>
  <c r="Q116" i="11"/>
  <c r="Q95" i="10"/>
  <c r="Y92" i="9"/>
  <c r="Q93" i="9"/>
  <c r="V92" i="9"/>
  <c r="R93" i="9"/>
  <c r="U93" i="9"/>
  <c r="S93" i="9"/>
  <c r="T93" i="9"/>
  <c r="X93" i="9"/>
  <c r="R95" i="10"/>
  <c r="S95" i="10"/>
  <c r="V95" i="10"/>
  <c r="U95" i="10"/>
  <c r="X95" i="10"/>
  <c r="T95" i="10"/>
  <c r="Y95" i="10"/>
  <c r="R116" i="11"/>
  <c r="S116" i="11"/>
  <c r="V116" i="11"/>
  <c r="U116" i="11"/>
  <c r="X116" i="11"/>
  <c r="T116" i="11"/>
  <c r="Y116" i="11"/>
  <c r="W116" i="11" l="1"/>
  <c r="W95" i="10"/>
  <c r="W92" i="9"/>
  <c r="Q117" i="11"/>
  <c r="Q96" i="10"/>
  <c r="Y93" i="9"/>
  <c r="Q94" i="9"/>
  <c r="V93" i="9"/>
  <c r="R94" i="9"/>
  <c r="S94" i="9"/>
  <c r="U94" i="9"/>
  <c r="X94" i="9"/>
  <c r="T94" i="9"/>
  <c r="R96" i="10"/>
  <c r="V96" i="10"/>
  <c r="S96" i="10"/>
  <c r="U96" i="10"/>
  <c r="X96" i="10"/>
  <c r="T96" i="10"/>
  <c r="Y96" i="10"/>
  <c r="R117" i="11"/>
  <c r="S117" i="11"/>
  <c r="V117" i="11"/>
  <c r="U117" i="11"/>
  <c r="X117" i="11"/>
  <c r="T117" i="11"/>
  <c r="Y117" i="11" s="1"/>
  <c r="W117" i="11" l="1"/>
  <c r="W96" i="10"/>
  <c r="W93" i="9"/>
  <c r="Q118" i="11"/>
  <c r="Q97" i="10"/>
  <c r="Q95" i="9"/>
  <c r="V94" i="9"/>
  <c r="Y94" i="9"/>
  <c r="R95" i="9"/>
  <c r="S95" i="9"/>
  <c r="U95" i="9"/>
  <c r="X95" i="9"/>
  <c r="T95" i="9"/>
  <c r="R97" i="10"/>
  <c r="S97" i="10"/>
  <c r="V97" i="10"/>
  <c r="U97" i="10"/>
  <c r="X97" i="10"/>
  <c r="T97" i="10"/>
  <c r="Y97" i="10"/>
  <c r="R118" i="11"/>
  <c r="V118" i="11"/>
  <c r="U118" i="11"/>
  <c r="S118" i="11"/>
  <c r="X118" i="11"/>
  <c r="T118" i="11"/>
  <c r="Y118" i="11" s="1"/>
  <c r="W118" i="11" l="1"/>
  <c r="W97" i="10"/>
  <c r="W94" i="9"/>
  <c r="Q119" i="11"/>
  <c r="Q98" i="10"/>
  <c r="Y95" i="9"/>
  <c r="V95" i="9"/>
  <c r="Q96" i="9"/>
  <c r="R96" i="9"/>
  <c r="S96" i="9"/>
  <c r="U96" i="9"/>
  <c r="X96" i="9"/>
  <c r="T96" i="9"/>
  <c r="R98" i="10"/>
  <c r="S98" i="10"/>
  <c r="V98" i="10"/>
  <c r="U98" i="10"/>
  <c r="X98" i="10"/>
  <c r="T98" i="10"/>
  <c r="Y98" i="10"/>
  <c r="R119" i="11"/>
  <c r="U119" i="11"/>
  <c r="S119" i="11"/>
  <c r="V119" i="11"/>
  <c r="X119" i="11"/>
  <c r="T119" i="11"/>
  <c r="Y119" i="11" s="1"/>
  <c r="W119" i="11" l="1"/>
  <c r="W98" i="10"/>
  <c r="W95" i="9"/>
  <c r="Q120" i="11"/>
  <c r="Q99" i="10"/>
  <c r="Y96" i="9"/>
  <c r="V96" i="9"/>
  <c r="Q97" i="9"/>
  <c r="R97" i="9"/>
  <c r="S97" i="9"/>
  <c r="U97" i="9"/>
  <c r="X97" i="9"/>
  <c r="T97" i="9"/>
  <c r="R99" i="10"/>
  <c r="S99" i="10"/>
  <c r="V99" i="10"/>
  <c r="U99" i="10"/>
  <c r="X99" i="10"/>
  <c r="T99" i="10"/>
  <c r="Y99" i="10"/>
  <c r="R120" i="11"/>
  <c r="S120" i="11"/>
  <c r="V120" i="11"/>
  <c r="U120" i="11"/>
  <c r="X120" i="11"/>
  <c r="T120" i="11"/>
  <c r="Y120" i="11"/>
  <c r="W120" i="11" l="1"/>
  <c r="W99" i="10"/>
  <c r="W96" i="9"/>
  <c r="Q121" i="11"/>
  <c r="Q100" i="10"/>
  <c r="Q98" i="9"/>
  <c r="V97" i="9"/>
  <c r="Y97" i="9"/>
  <c r="R98" i="9"/>
  <c r="S98" i="9"/>
  <c r="U98" i="9"/>
  <c r="X98" i="9"/>
  <c r="T98" i="9"/>
  <c r="R100" i="10"/>
  <c r="S100" i="10"/>
  <c r="V100" i="10"/>
  <c r="U100" i="10"/>
  <c r="X100" i="10"/>
  <c r="T100" i="10"/>
  <c r="Y100" i="10"/>
  <c r="R121" i="11"/>
  <c r="S121" i="11"/>
  <c r="V121" i="11"/>
  <c r="U121" i="11"/>
  <c r="X121" i="11"/>
  <c r="T121" i="11"/>
  <c r="Y121" i="11" s="1"/>
  <c r="W121" i="11" l="1"/>
  <c r="W100" i="10"/>
  <c r="W97" i="9"/>
  <c r="Q122" i="11"/>
  <c r="Q101" i="10"/>
  <c r="Y98" i="9"/>
  <c r="V98" i="9"/>
  <c r="Q99" i="9"/>
  <c r="R99" i="9"/>
  <c r="S99" i="9"/>
  <c r="U99" i="9"/>
  <c r="X99" i="9"/>
  <c r="T99" i="9"/>
  <c r="R101" i="10"/>
  <c r="S101" i="10"/>
  <c r="V101" i="10"/>
  <c r="U101" i="10"/>
  <c r="X101" i="10"/>
  <c r="T101" i="10"/>
  <c r="Y101" i="10"/>
  <c r="R122" i="11"/>
  <c r="V122" i="11"/>
  <c r="U122" i="11"/>
  <c r="S122" i="11"/>
  <c r="X122" i="11"/>
  <c r="T122" i="11"/>
  <c r="Y122" i="11" s="1"/>
  <c r="W122" i="11" l="1"/>
  <c r="W101" i="10"/>
  <c r="W98" i="9"/>
  <c r="Q123" i="11"/>
  <c r="Q102" i="10"/>
  <c r="Y99" i="9"/>
  <c r="Q100" i="9"/>
  <c r="V99" i="9"/>
  <c r="R100" i="9"/>
  <c r="S100" i="9"/>
  <c r="U100" i="9"/>
  <c r="X100" i="9"/>
  <c r="T100" i="9"/>
  <c r="R102" i="10"/>
  <c r="V102" i="10"/>
  <c r="S102" i="10"/>
  <c r="U102" i="10"/>
  <c r="X102" i="10"/>
  <c r="T102" i="10"/>
  <c r="Y102" i="10"/>
  <c r="R123" i="11"/>
  <c r="U123" i="11"/>
  <c r="S123" i="11"/>
  <c r="V123" i="11"/>
  <c r="X123" i="11"/>
  <c r="T123" i="11"/>
  <c r="Y123" i="11" s="1"/>
  <c r="W123" i="11" l="1"/>
  <c r="W102" i="10"/>
  <c r="W99" i="9"/>
  <c r="Q124" i="11"/>
  <c r="Q103" i="10"/>
  <c r="Y100" i="9"/>
  <c r="V100" i="9"/>
  <c r="Q101" i="9"/>
  <c r="R101" i="9"/>
  <c r="S101" i="9"/>
  <c r="U101" i="9"/>
  <c r="T101" i="9"/>
  <c r="X101" i="9"/>
  <c r="R103" i="10"/>
  <c r="S103" i="10"/>
  <c r="V103" i="10"/>
  <c r="U103" i="10"/>
  <c r="X103" i="10"/>
  <c r="T103" i="10"/>
  <c r="Y103" i="10"/>
  <c r="R124" i="11"/>
  <c r="S124" i="11"/>
  <c r="V124" i="11"/>
  <c r="U124" i="11"/>
  <c r="X124" i="11"/>
  <c r="T124" i="11"/>
  <c r="Y124" i="11"/>
  <c r="W124" i="11" l="1"/>
  <c r="W103" i="10"/>
  <c r="W100" i="9"/>
  <c r="Q125" i="11"/>
  <c r="Q104" i="10"/>
  <c r="Y101" i="9"/>
  <c r="V101" i="9"/>
  <c r="Q102" i="9"/>
  <c r="R102" i="9"/>
  <c r="S102" i="9"/>
  <c r="U102" i="9"/>
  <c r="T102" i="9"/>
  <c r="X102" i="9"/>
  <c r="R104" i="10"/>
  <c r="S104" i="10"/>
  <c r="V104" i="10"/>
  <c r="U104" i="10"/>
  <c r="X104" i="10"/>
  <c r="T104" i="10"/>
  <c r="Y104" i="10"/>
  <c r="R125" i="11"/>
  <c r="S125" i="11"/>
  <c r="V125" i="11"/>
  <c r="U125" i="11"/>
  <c r="X125" i="11"/>
  <c r="T125" i="11"/>
  <c r="Y125" i="11" s="1"/>
  <c r="W125" i="11" l="1"/>
  <c r="W104" i="10"/>
  <c r="W101" i="9"/>
  <c r="Q126" i="11"/>
  <c r="Q105" i="10"/>
  <c r="Y102" i="9"/>
  <c r="J15" i="9"/>
  <c r="I15" i="9"/>
  <c r="V102" i="9"/>
  <c r="J8" i="9"/>
  <c r="Q103" i="9"/>
  <c r="I8" i="9"/>
  <c r="R103" i="9"/>
  <c r="S103" i="9"/>
  <c r="U103" i="9"/>
  <c r="T103" i="9"/>
  <c r="X103" i="9"/>
  <c r="R105" i="10"/>
  <c r="S105" i="10"/>
  <c r="V105" i="10"/>
  <c r="U105" i="10"/>
  <c r="X105" i="10"/>
  <c r="T105" i="10"/>
  <c r="Y105" i="10"/>
  <c r="R126" i="11"/>
  <c r="V126" i="11"/>
  <c r="U126" i="11"/>
  <c r="S126" i="11"/>
  <c r="X126" i="11"/>
  <c r="T126" i="11"/>
  <c r="Y126" i="11" s="1"/>
  <c r="W126" i="11" l="1"/>
  <c r="W105" i="10"/>
  <c r="F8" i="9"/>
  <c r="G8" i="9"/>
  <c r="W102" i="9"/>
  <c r="F15" i="9"/>
  <c r="G15" i="9"/>
  <c r="Q127" i="11"/>
  <c r="Q106" i="10"/>
  <c r="Y103" i="9"/>
  <c r="Q104" i="9"/>
  <c r="V103" i="9"/>
  <c r="R104" i="9"/>
  <c r="S104" i="9"/>
  <c r="U104" i="9"/>
  <c r="X104" i="9"/>
  <c r="T104" i="9"/>
  <c r="R106" i="10"/>
  <c r="V106" i="10"/>
  <c r="S106" i="10"/>
  <c r="U106" i="10"/>
  <c r="X106" i="10"/>
  <c r="T106" i="10"/>
  <c r="Y106" i="10"/>
  <c r="R127" i="11"/>
  <c r="U127" i="11"/>
  <c r="S127" i="11"/>
  <c r="V127" i="11"/>
  <c r="X127" i="11"/>
  <c r="T127" i="11"/>
  <c r="Y127" i="11" s="1"/>
  <c r="H8" i="9" l="1"/>
  <c r="W127" i="11"/>
  <c r="W106" i="10"/>
  <c r="H15" i="9"/>
  <c r="W103" i="9"/>
  <c r="Q128" i="11"/>
  <c r="Q107" i="10"/>
  <c r="Y104" i="9"/>
  <c r="V104" i="9"/>
  <c r="Q105" i="9"/>
  <c r="R105" i="9"/>
  <c r="U105" i="9"/>
  <c r="S105" i="9"/>
  <c r="X105" i="9"/>
  <c r="T105" i="9"/>
  <c r="R107" i="10"/>
  <c r="S107" i="10"/>
  <c r="V107" i="10"/>
  <c r="U107" i="10"/>
  <c r="X107" i="10"/>
  <c r="T107" i="10"/>
  <c r="Y107" i="10"/>
  <c r="R128" i="11"/>
  <c r="S128" i="11"/>
  <c r="V128" i="11"/>
  <c r="U128" i="11"/>
  <c r="X128" i="11"/>
  <c r="T128" i="11"/>
  <c r="Y128" i="11"/>
  <c r="J5" i="11"/>
  <c r="I5" i="11"/>
  <c r="J7" i="11"/>
  <c r="I7" i="11"/>
  <c r="J6" i="11"/>
  <c r="I6" i="11"/>
  <c r="J3" i="11"/>
  <c r="I3" i="11"/>
  <c r="J4" i="11"/>
  <c r="I4" i="11"/>
  <c r="F4" i="11" l="1"/>
  <c r="G4" i="11"/>
  <c r="F3" i="11"/>
  <c r="G3" i="11"/>
  <c r="F6" i="11"/>
  <c r="G6" i="11"/>
  <c r="F7" i="11"/>
  <c r="G7" i="11"/>
  <c r="F5" i="11"/>
  <c r="G5" i="11"/>
  <c r="W128" i="11"/>
  <c r="W107" i="10"/>
  <c r="W104" i="9"/>
  <c r="Q129" i="11"/>
  <c r="Q108" i="10"/>
  <c r="Y105" i="9"/>
  <c r="V105" i="9"/>
  <c r="Q106" i="9"/>
  <c r="R106" i="9"/>
  <c r="S106" i="9"/>
  <c r="U106" i="9"/>
  <c r="X106" i="9"/>
  <c r="T106" i="9"/>
  <c r="R108" i="10"/>
  <c r="S108" i="10"/>
  <c r="V108" i="10"/>
  <c r="U108" i="10"/>
  <c r="X108" i="10"/>
  <c r="T108" i="10"/>
  <c r="Y108" i="10"/>
  <c r="R129" i="11"/>
  <c r="S129" i="11"/>
  <c r="V129" i="11"/>
  <c r="U129" i="11"/>
  <c r="X129" i="11"/>
  <c r="T129" i="11"/>
  <c r="Y129" i="11" s="1"/>
  <c r="H7" i="11" l="1"/>
  <c r="H3" i="11"/>
  <c r="H5" i="11"/>
  <c r="H6" i="11"/>
  <c r="H4" i="11"/>
  <c r="W129" i="11"/>
  <c r="W108" i="10"/>
  <c r="W105" i="9"/>
  <c r="Q130" i="11"/>
  <c r="Q109" i="10"/>
  <c r="Q107" i="9"/>
  <c r="V106" i="9"/>
  <c r="Y106" i="9"/>
  <c r="R107" i="9"/>
  <c r="S107" i="9"/>
  <c r="U107" i="9"/>
  <c r="X107" i="9"/>
  <c r="T107" i="9"/>
  <c r="R109" i="10"/>
  <c r="S109" i="10"/>
  <c r="V109" i="10"/>
  <c r="U109" i="10"/>
  <c r="X109" i="10"/>
  <c r="T109" i="10"/>
  <c r="Y109" i="10"/>
  <c r="R130" i="11"/>
  <c r="V130" i="11"/>
  <c r="U130" i="11"/>
  <c r="S130" i="11"/>
  <c r="X130" i="11"/>
  <c r="T130" i="11"/>
  <c r="Y130" i="11" s="1"/>
  <c r="W130" i="11" l="1"/>
  <c r="W109" i="10"/>
  <c r="W106" i="9"/>
  <c r="Q131" i="11"/>
  <c r="Q110" i="10"/>
  <c r="Y107" i="9"/>
  <c r="V107" i="9"/>
  <c r="Q108" i="9"/>
  <c r="R108" i="9"/>
  <c r="S108" i="9"/>
  <c r="U108" i="9"/>
  <c r="T108" i="9"/>
  <c r="X108" i="9"/>
  <c r="R110" i="10"/>
  <c r="V110" i="10"/>
  <c r="S110" i="10"/>
  <c r="U110" i="10"/>
  <c r="X110" i="10"/>
  <c r="T110" i="10"/>
  <c r="Y110" i="10"/>
  <c r="R131" i="11"/>
  <c r="U131" i="11"/>
  <c r="S131" i="11"/>
  <c r="V131" i="11"/>
  <c r="X131" i="11"/>
  <c r="T131" i="11"/>
  <c r="Y131" i="11" s="1"/>
  <c r="W131" i="11" l="1"/>
  <c r="W110" i="10"/>
  <c r="W107" i="9"/>
  <c r="Q132" i="11"/>
  <c r="Q111" i="10"/>
  <c r="Y108" i="9"/>
  <c r="Q109" i="9"/>
  <c r="V108" i="9"/>
  <c r="R109" i="9"/>
  <c r="S109" i="9"/>
  <c r="U109" i="9"/>
  <c r="X109" i="9"/>
  <c r="T109" i="9"/>
  <c r="R111" i="10"/>
  <c r="S111" i="10"/>
  <c r="V111" i="10"/>
  <c r="U111" i="10"/>
  <c r="X111" i="10"/>
  <c r="T111" i="10"/>
  <c r="Y111" i="10"/>
  <c r="R132" i="11"/>
  <c r="S132" i="11"/>
  <c r="V132" i="11"/>
  <c r="U132" i="11"/>
  <c r="X132" i="11"/>
  <c r="T132" i="11"/>
  <c r="Y132" i="11"/>
  <c r="W132" i="11" l="1"/>
  <c r="W111" i="10"/>
  <c r="W108" i="9"/>
  <c r="Q133" i="11"/>
  <c r="Q112" i="10"/>
  <c r="Y109" i="9"/>
  <c r="V109" i="9"/>
  <c r="Q110" i="9"/>
  <c r="R110" i="9"/>
  <c r="U110" i="9"/>
  <c r="S110" i="9"/>
  <c r="X110" i="9"/>
  <c r="T110" i="9"/>
  <c r="R112" i="10"/>
  <c r="S112" i="10"/>
  <c r="V112" i="10"/>
  <c r="U112" i="10"/>
  <c r="X112" i="10"/>
  <c r="T112" i="10"/>
  <c r="Y112" i="10"/>
  <c r="R133" i="11"/>
  <c r="S133" i="11"/>
  <c r="V133" i="11"/>
  <c r="U133" i="11"/>
  <c r="X133" i="11"/>
  <c r="T133" i="11"/>
  <c r="Y133" i="11" s="1"/>
  <c r="W133" i="11" l="1"/>
  <c r="W112" i="10"/>
  <c r="W109" i="9"/>
  <c r="Q134" i="11"/>
  <c r="Q113" i="10"/>
  <c r="Q111" i="9"/>
  <c r="Y110" i="9"/>
  <c r="V110" i="9"/>
  <c r="R111" i="9"/>
  <c r="S111" i="9"/>
  <c r="U111" i="9"/>
  <c r="X111" i="9"/>
  <c r="T111" i="9"/>
  <c r="R113" i="10"/>
  <c r="S113" i="10"/>
  <c r="V113" i="10"/>
  <c r="U113" i="10"/>
  <c r="X113" i="10"/>
  <c r="T113" i="10"/>
  <c r="Y113" i="10"/>
  <c r="R134" i="11"/>
  <c r="V134" i="11"/>
  <c r="U134" i="11"/>
  <c r="S134" i="11"/>
  <c r="X134" i="11"/>
  <c r="T134" i="11"/>
  <c r="Y134" i="11" s="1"/>
  <c r="W134" i="11" l="1"/>
  <c r="W113" i="10"/>
  <c r="W110" i="9"/>
  <c r="Q135" i="11"/>
  <c r="Q114" i="10"/>
  <c r="Y111" i="9"/>
  <c r="V111" i="9"/>
  <c r="Q112" i="9"/>
  <c r="R112" i="9"/>
  <c r="S112" i="9"/>
  <c r="U112" i="9"/>
  <c r="X112" i="9"/>
  <c r="T112" i="9"/>
  <c r="R114" i="10"/>
  <c r="V114" i="10"/>
  <c r="S114" i="10"/>
  <c r="U114" i="10"/>
  <c r="X114" i="10"/>
  <c r="T114" i="10"/>
  <c r="Y114" i="10"/>
  <c r="R135" i="11"/>
  <c r="U135" i="11"/>
  <c r="S135" i="11"/>
  <c r="V135" i="11"/>
  <c r="X135" i="11"/>
  <c r="T135" i="11"/>
  <c r="Y135" i="11" s="1"/>
  <c r="W135" i="11" l="1"/>
  <c r="W114" i="10"/>
  <c r="W111" i="9"/>
  <c r="Q136" i="11"/>
  <c r="Q115" i="10"/>
  <c r="Y112" i="9"/>
  <c r="Q113" i="9"/>
  <c r="V112" i="9"/>
  <c r="R113" i="9"/>
  <c r="S113" i="9"/>
  <c r="U113" i="9"/>
  <c r="T113" i="9"/>
  <c r="X113" i="9"/>
  <c r="R115" i="10"/>
  <c r="S115" i="10"/>
  <c r="V115" i="10"/>
  <c r="U115" i="10"/>
  <c r="X115" i="10"/>
  <c r="T115" i="10"/>
  <c r="Y115" i="10"/>
  <c r="R136" i="11"/>
  <c r="S136" i="11"/>
  <c r="V136" i="11"/>
  <c r="U136" i="11"/>
  <c r="X136" i="11"/>
  <c r="T136" i="11"/>
  <c r="Y136" i="11"/>
  <c r="W136" i="11" l="1"/>
  <c r="W115" i="10"/>
  <c r="W112" i="9"/>
  <c r="Q137" i="11"/>
  <c r="Q116" i="10"/>
  <c r="Y113" i="9"/>
  <c r="Q114" i="9"/>
  <c r="V113" i="9"/>
  <c r="R114" i="9"/>
  <c r="S114" i="9"/>
  <c r="U114" i="9"/>
  <c r="X114" i="9"/>
  <c r="T114" i="9"/>
  <c r="R116" i="10"/>
  <c r="S116" i="10"/>
  <c r="V116" i="10"/>
  <c r="U116" i="10"/>
  <c r="X116" i="10"/>
  <c r="T116" i="10"/>
  <c r="Y116" i="10"/>
  <c r="R137" i="11"/>
  <c r="S137" i="11"/>
  <c r="V137" i="11"/>
  <c r="U137" i="11"/>
  <c r="X137" i="11"/>
  <c r="T137" i="11"/>
  <c r="Y137" i="11" s="1"/>
  <c r="W137" i="11" l="1"/>
  <c r="W116" i="10"/>
  <c r="W113" i="9"/>
  <c r="Q138" i="11"/>
  <c r="Q117" i="10"/>
  <c r="Y114" i="9"/>
  <c r="V114" i="9"/>
  <c r="Q115" i="9"/>
  <c r="R115" i="9"/>
  <c r="S115" i="9"/>
  <c r="U115" i="9"/>
  <c r="T115" i="9"/>
  <c r="X115" i="9"/>
  <c r="R117" i="10"/>
  <c r="S117" i="10"/>
  <c r="V117" i="10"/>
  <c r="U117" i="10"/>
  <c r="X117" i="10"/>
  <c r="T117" i="10"/>
  <c r="Y117" i="10"/>
  <c r="R138" i="11"/>
  <c r="V138" i="11"/>
  <c r="U138" i="11"/>
  <c r="S138" i="11"/>
  <c r="X138" i="11"/>
  <c r="T138" i="11"/>
  <c r="Y138" i="11" s="1"/>
  <c r="W138" i="11" l="1"/>
  <c r="W117" i="10"/>
  <c r="W114" i="9"/>
  <c r="Q139" i="11"/>
  <c r="Q118" i="10"/>
  <c r="V115" i="9"/>
  <c r="Y115" i="9"/>
  <c r="Q116" i="9"/>
  <c r="R116" i="9"/>
  <c r="U116" i="9"/>
  <c r="S116" i="9"/>
  <c r="X116" i="9"/>
  <c r="T116" i="9"/>
  <c r="R118" i="10"/>
  <c r="V118" i="10"/>
  <c r="S118" i="10"/>
  <c r="U118" i="10"/>
  <c r="X118" i="10"/>
  <c r="T118" i="10"/>
  <c r="Y118" i="10"/>
  <c r="R139" i="11"/>
  <c r="U139" i="11"/>
  <c r="S139" i="11"/>
  <c r="V139" i="11"/>
  <c r="X139" i="11"/>
  <c r="T139" i="11"/>
  <c r="Y139" i="11" s="1"/>
  <c r="W139" i="11" l="1"/>
  <c r="W118" i="10"/>
  <c r="W115" i="9"/>
  <c r="Q140" i="11"/>
  <c r="Q119" i="10"/>
  <c r="Y116" i="9"/>
  <c r="Q117" i="9"/>
  <c r="V116" i="9"/>
  <c r="R117" i="9"/>
  <c r="U117" i="9"/>
  <c r="S117" i="9"/>
  <c r="X117" i="9"/>
  <c r="T117" i="9"/>
  <c r="R119" i="10"/>
  <c r="S119" i="10"/>
  <c r="V119" i="10"/>
  <c r="U119" i="10"/>
  <c r="X119" i="10"/>
  <c r="T119" i="10"/>
  <c r="Y119" i="10"/>
  <c r="R140" i="11"/>
  <c r="S140" i="11"/>
  <c r="V140" i="11"/>
  <c r="U140" i="11"/>
  <c r="X140" i="11"/>
  <c r="T140" i="11"/>
  <c r="Y140" i="11"/>
  <c r="W140" i="11" l="1"/>
  <c r="W119" i="10"/>
  <c r="W116" i="9"/>
  <c r="Q141" i="11"/>
  <c r="Q120" i="10"/>
  <c r="Q118" i="9"/>
  <c r="Y117" i="9"/>
  <c r="V117" i="9"/>
  <c r="R118" i="9"/>
  <c r="S118" i="9"/>
  <c r="U118" i="9"/>
  <c r="T118" i="9"/>
  <c r="X118" i="9"/>
  <c r="R120" i="10"/>
  <c r="S120" i="10"/>
  <c r="V120" i="10"/>
  <c r="U120" i="10"/>
  <c r="X120" i="10"/>
  <c r="T120" i="10"/>
  <c r="Y120" i="10"/>
  <c r="R141" i="11"/>
  <c r="S141" i="11"/>
  <c r="V141" i="11"/>
  <c r="U141" i="11"/>
  <c r="X141" i="11"/>
  <c r="T141" i="11"/>
  <c r="Y141" i="11" s="1"/>
  <c r="W141" i="11" l="1"/>
  <c r="W120" i="10"/>
  <c r="W117" i="9"/>
  <c r="Q142" i="11"/>
  <c r="Q121" i="10"/>
  <c r="Q119" i="9"/>
  <c r="Y118" i="9"/>
  <c r="V118" i="9"/>
  <c r="R119" i="9"/>
  <c r="U119" i="9"/>
  <c r="S119" i="9"/>
  <c r="T119" i="9"/>
  <c r="X119" i="9"/>
  <c r="R121" i="10"/>
  <c r="S121" i="10"/>
  <c r="V121" i="10"/>
  <c r="U121" i="10"/>
  <c r="X121" i="10"/>
  <c r="T121" i="10"/>
  <c r="Y121" i="10"/>
  <c r="R142" i="11"/>
  <c r="V142" i="11"/>
  <c r="U142" i="11"/>
  <c r="S142" i="11"/>
  <c r="T142" i="11"/>
  <c r="X142" i="11"/>
  <c r="Y142" i="11"/>
  <c r="W142" i="11" l="1"/>
  <c r="W121" i="10"/>
  <c r="W118" i="9"/>
  <c r="Q143" i="11"/>
  <c r="Q122" i="10"/>
  <c r="Y119" i="9"/>
  <c r="V119" i="9"/>
  <c r="Q120" i="9"/>
  <c r="R120" i="9"/>
  <c r="S120" i="9"/>
  <c r="U120" i="9"/>
  <c r="X120" i="9"/>
  <c r="T120" i="9"/>
  <c r="R122" i="10"/>
  <c r="V122" i="10"/>
  <c r="S122" i="10"/>
  <c r="U122" i="10"/>
  <c r="X122" i="10"/>
  <c r="T122" i="10"/>
  <c r="Y122" i="10"/>
  <c r="R143" i="11"/>
  <c r="U143" i="11"/>
  <c r="S143" i="11"/>
  <c r="V143" i="11"/>
  <c r="X143" i="11"/>
  <c r="T143" i="11"/>
  <c r="Y143" i="11" s="1"/>
  <c r="W143" i="11" l="1"/>
  <c r="W122" i="10"/>
  <c r="W119" i="9"/>
  <c r="Q144" i="11"/>
  <c r="Q123" i="10"/>
  <c r="Y120" i="9"/>
  <c r="Q121" i="9"/>
  <c r="V120" i="9"/>
  <c r="R121" i="9"/>
  <c r="S121" i="9"/>
  <c r="U121" i="9"/>
  <c r="X121" i="9"/>
  <c r="T121" i="9"/>
  <c r="R123" i="10"/>
  <c r="S123" i="10"/>
  <c r="V123" i="10"/>
  <c r="U123" i="10"/>
  <c r="X123" i="10"/>
  <c r="T123" i="10"/>
  <c r="Y123" i="10"/>
  <c r="R144" i="11"/>
  <c r="V144" i="11"/>
  <c r="S144" i="11"/>
  <c r="U144" i="11"/>
  <c r="X144" i="11"/>
  <c r="T144" i="11"/>
  <c r="Y144" i="11"/>
  <c r="W144" i="11" l="1"/>
  <c r="W123" i="10"/>
  <c r="W120" i="9"/>
  <c r="Q145" i="11"/>
  <c r="Q124" i="10"/>
  <c r="Y121" i="9"/>
  <c r="V121" i="9"/>
  <c r="Q122" i="9"/>
  <c r="R122" i="9"/>
  <c r="S122" i="9"/>
  <c r="U122" i="9"/>
  <c r="X122" i="9"/>
  <c r="T122" i="9"/>
  <c r="R124" i="10"/>
  <c r="S124" i="10"/>
  <c r="V124" i="10"/>
  <c r="U124" i="10"/>
  <c r="X124" i="10"/>
  <c r="T124" i="10"/>
  <c r="Y124" i="10"/>
  <c r="R145" i="11"/>
  <c r="S145" i="11"/>
  <c r="U145" i="11"/>
  <c r="V145" i="11"/>
  <c r="X145" i="11"/>
  <c r="T145" i="11"/>
  <c r="Y145" i="11" s="1"/>
  <c r="W145" i="11" l="1"/>
  <c r="W124" i="10"/>
  <c r="W121" i="9"/>
  <c r="Q146" i="11"/>
  <c r="Q125" i="10"/>
  <c r="Q123" i="9"/>
  <c r="V122" i="9"/>
  <c r="Y122" i="9"/>
  <c r="R123" i="9"/>
  <c r="S123" i="9"/>
  <c r="U123" i="9"/>
  <c r="T123" i="9"/>
  <c r="X123" i="9"/>
  <c r="R125" i="10"/>
  <c r="S125" i="10"/>
  <c r="V125" i="10"/>
  <c r="U125" i="10"/>
  <c r="X125" i="10"/>
  <c r="T125" i="10"/>
  <c r="Y125" i="10"/>
  <c r="R146" i="11"/>
  <c r="V146" i="11"/>
  <c r="U146" i="11"/>
  <c r="S146" i="11"/>
  <c r="T146" i="11"/>
  <c r="X146" i="11"/>
  <c r="Y146" i="11"/>
  <c r="W146" i="11" l="1"/>
  <c r="W125" i="10"/>
  <c r="W122" i="9"/>
  <c r="Q147" i="11"/>
  <c r="Q126" i="10"/>
  <c r="Y123" i="9"/>
  <c r="V123" i="9"/>
  <c r="Q124" i="9"/>
  <c r="R124" i="9"/>
  <c r="S124" i="9"/>
  <c r="U124" i="9"/>
  <c r="T124" i="9"/>
  <c r="X124" i="9"/>
  <c r="R126" i="10"/>
  <c r="V126" i="10"/>
  <c r="S126" i="10"/>
  <c r="U126" i="10"/>
  <c r="X126" i="10"/>
  <c r="T126" i="10"/>
  <c r="Y126" i="10"/>
  <c r="R147" i="11"/>
  <c r="U147" i="11"/>
  <c r="S147" i="11"/>
  <c r="V147" i="11"/>
  <c r="X147" i="11"/>
  <c r="T147" i="11"/>
  <c r="Y147" i="11" s="1"/>
  <c r="W147" i="11" l="1"/>
  <c r="W126" i="10"/>
  <c r="W123" i="9"/>
  <c r="Q148" i="11"/>
  <c r="Q127" i="10"/>
  <c r="V124" i="9"/>
  <c r="Y124" i="9"/>
  <c r="Q125" i="9"/>
  <c r="R125" i="9"/>
  <c r="S125" i="9"/>
  <c r="U125" i="9"/>
  <c r="X125" i="9"/>
  <c r="T125" i="9"/>
  <c r="R127" i="10"/>
  <c r="S127" i="10"/>
  <c r="V127" i="10"/>
  <c r="U127" i="10"/>
  <c r="X127" i="10"/>
  <c r="T127" i="10"/>
  <c r="Y127" i="10"/>
  <c r="R148" i="11"/>
  <c r="V148" i="11"/>
  <c r="S148" i="11"/>
  <c r="U148" i="11"/>
  <c r="X148" i="11"/>
  <c r="T148" i="11"/>
  <c r="Y148" i="11"/>
  <c r="W148" i="11" l="1"/>
  <c r="W127" i="10"/>
  <c r="W124" i="9"/>
  <c r="Q149" i="11"/>
  <c r="Q128" i="10"/>
  <c r="V125" i="9"/>
  <c r="Y125" i="9"/>
  <c r="Q126" i="9"/>
  <c r="R126" i="9"/>
  <c r="S126" i="9"/>
  <c r="U126" i="9"/>
  <c r="T126" i="9"/>
  <c r="X126" i="9"/>
  <c r="R128" i="10"/>
  <c r="S128" i="10"/>
  <c r="V128" i="10"/>
  <c r="U128" i="10"/>
  <c r="X128" i="10"/>
  <c r="T128" i="10"/>
  <c r="Y128" i="10"/>
  <c r="R149" i="11"/>
  <c r="S149" i="11"/>
  <c r="U149" i="11"/>
  <c r="V149" i="11"/>
  <c r="X149" i="11"/>
  <c r="T149" i="11"/>
  <c r="Y149" i="11" s="1"/>
  <c r="W149" i="11" l="1"/>
  <c r="W128" i="10"/>
  <c r="W125" i="9"/>
  <c r="Q150" i="11"/>
  <c r="Q129" i="10"/>
  <c r="Y126" i="9"/>
  <c r="Q127" i="9"/>
  <c r="V126" i="9"/>
  <c r="R127" i="9"/>
  <c r="S127" i="9"/>
  <c r="U127" i="9"/>
  <c r="T127" i="9"/>
  <c r="X127" i="9"/>
  <c r="R129" i="10"/>
  <c r="S129" i="10"/>
  <c r="V129" i="10"/>
  <c r="U129" i="10"/>
  <c r="X129" i="10"/>
  <c r="T129" i="10"/>
  <c r="Y129" i="10"/>
  <c r="R150" i="11"/>
  <c r="V150" i="11"/>
  <c r="U150" i="11"/>
  <c r="S150" i="11"/>
  <c r="T150" i="11"/>
  <c r="X150" i="11"/>
  <c r="Y150" i="11"/>
  <c r="W150" i="11" l="1"/>
  <c r="W129" i="10"/>
  <c r="W126" i="9"/>
  <c r="Q151" i="11"/>
  <c r="Q130" i="10"/>
  <c r="Y127" i="9"/>
  <c r="V127" i="9"/>
  <c r="Q128" i="9"/>
  <c r="R128" i="9"/>
  <c r="S128" i="9"/>
  <c r="U128" i="9"/>
  <c r="X128" i="9"/>
  <c r="T128" i="9"/>
  <c r="R130" i="10"/>
  <c r="V130" i="10"/>
  <c r="S130" i="10"/>
  <c r="U130" i="10"/>
  <c r="X130" i="10"/>
  <c r="T130" i="10"/>
  <c r="Y130" i="10"/>
  <c r="R151" i="11"/>
  <c r="U151" i="11"/>
  <c r="S151" i="11"/>
  <c r="V151" i="11"/>
  <c r="X151" i="11"/>
  <c r="T151" i="11"/>
  <c r="Y151" i="11" s="1"/>
  <c r="W151" i="11" l="1"/>
  <c r="W130" i="10"/>
  <c r="W127" i="9"/>
  <c r="Q152" i="11"/>
  <c r="Q131" i="10"/>
  <c r="Y128" i="9"/>
  <c r="V128" i="9"/>
  <c r="Q129" i="9"/>
  <c r="R129" i="9"/>
  <c r="S129" i="9"/>
  <c r="U129" i="9"/>
  <c r="T129" i="9"/>
  <c r="X129" i="9"/>
  <c r="R131" i="10"/>
  <c r="S131" i="10"/>
  <c r="V131" i="10"/>
  <c r="U131" i="10"/>
  <c r="X131" i="10"/>
  <c r="T131" i="10"/>
  <c r="Y131" i="10"/>
  <c r="R152" i="11"/>
  <c r="V152" i="11"/>
  <c r="S152" i="11"/>
  <c r="U152" i="11"/>
  <c r="X152" i="11"/>
  <c r="T152" i="11"/>
  <c r="Y152" i="11"/>
  <c r="W152" i="11" l="1"/>
  <c r="W131" i="10"/>
  <c r="W128" i="9"/>
  <c r="Q153" i="11"/>
  <c r="Q132" i="10"/>
  <c r="Y129" i="9"/>
  <c r="Q130" i="9"/>
  <c r="V129" i="9"/>
  <c r="R130" i="9"/>
  <c r="S130" i="9"/>
  <c r="U130" i="9"/>
  <c r="T130" i="9"/>
  <c r="X130" i="9"/>
  <c r="R132" i="10"/>
  <c r="S132" i="10"/>
  <c r="V132" i="10"/>
  <c r="U132" i="10"/>
  <c r="X132" i="10"/>
  <c r="T132" i="10"/>
  <c r="Y132" i="10"/>
  <c r="R153" i="11"/>
  <c r="S153" i="11"/>
  <c r="U153" i="11"/>
  <c r="V153" i="11"/>
  <c r="X153" i="11"/>
  <c r="T153" i="11"/>
  <c r="Y153" i="11" s="1"/>
  <c r="W153" i="11" l="1"/>
  <c r="W132" i="10"/>
  <c r="W129" i="9"/>
  <c r="Q154" i="11"/>
  <c r="Q133" i="10"/>
  <c r="Y130" i="9"/>
  <c r="Q131" i="9"/>
  <c r="V130" i="9"/>
  <c r="R131" i="9"/>
  <c r="S131" i="9"/>
  <c r="U131" i="9"/>
  <c r="T131" i="9"/>
  <c r="X131" i="9"/>
  <c r="R133" i="10"/>
  <c r="S133" i="10"/>
  <c r="V133" i="10"/>
  <c r="U133" i="10"/>
  <c r="X133" i="10"/>
  <c r="T133" i="10"/>
  <c r="Y133" i="10"/>
  <c r="R154" i="11"/>
  <c r="V154" i="11"/>
  <c r="U154" i="11"/>
  <c r="S154" i="11"/>
  <c r="T154" i="11"/>
  <c r="X154" i="11"/>
  <c r="Y154" i="11"/>
  <c r="W154" i="11" l="1"/>
  <c r="W133" i="10"/>
  <c r="W130" i="9"/>
  <c r="Q155" i="11"/>
  <c r="Q134" i="10"/>
  <c r="Q135" i="10" s="1"/>
  <c r="Y131" i="9"/>
  <c r="V131" i="9"/>
  <c r="Q132" i="9"/>
  <c r="R132" i="9"/>
  <c r="S132" i="9"/>
  <c r="U132" i="9"/>
  <c r="T132" i="9"/>
  <c r="X132" i="9"/>
  <c r="R134" i="10"/>
  <c r="V134" i="10"/>
  <c r="S134" i="10"/>
  <c r="U134" i="10"/>
  <c r="X134" i="10"/>
  <c r="T134" i="10"/>
  <c r="Y134" i="10"/>
  <c r="Q136" i="10"/>
  <c r="R135" i="10"/>
  <c r="Q137" i="10"/>
  <c r="R136" i="10"/>
  <c r="S135" i="10"/>
  <c r="V135" i="10"/>
  <c r="U135" i="10"/>
  <c r="Q138" i="10"/>
  <c r="R137" i="10"/>
  <c r="U136" i="10"/>
  <c r="V136" i="10"/>
  <c r="S136" i="10"/>
  <c r="X135" i="10"/>
  <c r="T135" i="10"/>
  <c r="Y135" i="10" s="1"/>
  <c r="Q139" i="10"/>
  <c r="R138" i="10"/>
  <c r="S137" i="10"/>
  <c r="U137" i="10"/>
  <c r="V137" i="10"/>
  <c r="T136" i="10"/>
  <c r="Y136" i="10" s="1"/>
  <c r="X136" i="10"/>
  <c r="Q140" i="10"/>
  <c r="R139" i="10"/>
  <c r="V138" i="10"/>
  <c r="S138" i="10"/>
  <c r="U138" i="10"/>
  <c r="T137" i="10"/>
  <c r="Y137" i="10" s="1"/>
  <c r="X137" i="10"/>
  <c r="Q141" i="10"/>
  <c r="R140" i="10"/>
  <c r="U139" i="10"/>
  <c r="V139" i="10"/>
  <c r="S139" i="10"/>
  <c r="T138" i="10"/>
  <c r="Y138" i="10" s="1"/>
  <c r="X138" i="10"/>
  <c r="Q142" i="10"/>
  <c r="R141" i="10"/>
  <c r="U140" i="10"/>
  <c r="V140" i="10"/>
  <c r="S140" i="10"/>
  <c r="T139" i="10"/>
  <c r="Y139" i="10" s="1"/>
  <c r="X139" i="10"/>
  <c r="Q143" i="10"/>
  <c r="R142" i="10"/>
  <c r="S141" i="10"/>
  <c r="U141" i="10"/>
  <c r="V141" i="10"/>
  <c r="T140" i="10"/>
  <c r="Y140" i="10" s="1"/>
  <c r="X140" i="10"/>
  <c r="Q144" i="10"/>
  <c r="R143" i="10"/>
  <c r="V142" i="10"/>
  <c r="S142" i="10"/>
  <c r="U142" i="10"/>
  <c r="T141" i="10"/>
  <c r="Y141" i="10" s="1"/>
  <c r="X141" i="10"/>
  <c r="Q145" i="10"/>
  <c r="R144" i="10"/>
  <c r="U143" i="10"/>
  <c r="V143" i="10"/>
  <c r="S143" i="10"/>
  <c r="T142" i="10"/>
  <c r="Y142" i="10" s="1"/>
  <c r="X142" i="10"/>
  <c r="Q146" i="10"/>
  <c r="R145" i="10"/>
  <c r="U144" i="10"/>
  <c r="V144" i="10"/>
  <c r="S144" i="10"/>
  <c r="T143" i="10"/>
  <c r="Y143" i="10" s="1"/>
  <c r="X143" i="10"/>
  <c r="Q147" i="10"/>
  <c r="R146" i="10"/>
  <c r="S145" i="10"/>
  <c r="U145" i="10"/>
  <c r="V145" i="10"/>
  <c r="T144" i="10"/>
  <c r="Y144" i="10" s="1"/>
  <c r="X144" i="10"/>
  <c r="Q148" i="10"/>
  <c r="R147" i="10"/>
  <c r="V146" i="10"/>
  <c r="S146" i="10"/>
  <c r="U146" i="10"/>
  <c r="T145" i="10"/>
  <c r="Y145" i="10" s="1"/>
  <c r="X145" i="10"/>
  <c r="Q149" i="10"/>
  <c r="R148" i="10"/>
  <c r="U147" i="10"/>
  <c r="V147" i="10"/>
  <c r="S147" i="10"/>
  <c r="T146" i="10"/>
  <c r="Y146" i="10" s="1"/>
  <c r="X146" i="10"/>
  <c r="Q150" i="10"/>
  <c r="R149" i="10"/>
  <c r="U148" i="10"/>
  <c r="V148" i="10"/>
  <c r="S148" i="10"/>
  <c r="T147" i="10"/>
  <c r="Y147" i="10" s="1"/>
  <c r="X147" i="10"/>
  <c r="Q151" i="10"/>
  <c r="R150" i="10"/>
  <c r="S149" i="10"/>
  <c r="U149" i="10"/>
  <c r="V149" i="10"/>
  <c r="T148" i="10"/>
  <c r="Y148" i="10" s="1"/>
  <c r="X148" i="10"/>
  <c r="Q152" i="10"/>
  <c r="R151" i="10"/>
  <c r="V150" i="10"/>
  <c r="S150" i="10"/>
  <c r="U150" i="10"/>
  <c r="T149" i="10"/>
  <c r="Y149" i="10" s="1"/>
  <c r="X149" i="10"/>
  <c r="Q153" i="10"/>
  <c r="R152" i="10"/>
  <c r="U151" i="10"/>
  <c r="V151" i="10"/>
  <c r="S151" i="10"/>
  <c r="T150" i="10"/>
  <c r="Y150" i="10" s="1"/>
  <c r="X150" i="10"/>
  <c r="Q154" i="10"/>
  <c r="R153" i="10"/>
  <c r="U152" i="10"/>
  <c r="V152" i="10"/>
  <c r="S152" i="10"/>
  <c r="T151" i="10"/>
  <c r="Y151" i="10" s="1"/>
  <c r="X151" i="10"/>
  <c r="Q155" i="10"/>
  <c r="R154" i="10"/>
  <c r="S153" i="10"/>
  <c r="U153" i="10"/>
  <c r="V153" i="10"/>
  <c r="T152" i="10"/>
  <c r="Y152" i="10" s="1"/>
  <c r="X152" i="10"/>
  <c r="Q156" i="10"/>
  <c r="R155" i="10"/>
  <c r="V154" i="10"/>
  <c r="S154" i="10"/>
  <c r="U154" i="10"/>
  <c r="T153" i="10"/>
  <c r="Y153" i="10" s="1"/>
  <c r="X153" i="10"/>
  <c r="Q157" i="10"/>
  <c r="R156" i="10"/>
  <c r="U155" i="10"/>
  <c r="V155" i="10"/>
  <c r="S155" i="10"/>
  <c r="T154" i="10"/>
  <c r="Y154" i="10" s="1"/>
  <c r="X154" i="10"/>
  <c r="Q158" i="10"/>
  <c r="R157" i="10"/>
  <c r="U156" i="10"/>
  <c r="V156" i="10"/>
  <c r="S156" i="10"/>
  <c r="T155" i="10"/>
  <c r="Y155" i="10" s="1"/>
  <c r="X155" i="10"/>
  <c r="Q159" i="10"/>
  <c r="R158" i="10"/>
  <c r="S157" i="10"/>
  <c r="U157" i="10"/>
  <c r="V157" i="10"/>
  <c r="T156" i="10"/>
  <c r="Y156" i="10" s="1"/>
  <c r="X156" i="10"/>
  <c r="Q160" i="10"/>
  <c r="R159" i="10"/>
  <c r="V158" i="10"/>
  <c r="S158" i="10"/>
  <c r="U158" i="10"/>
  <c r="T157" i="10"/>
  <c r="Y157" i="10" s="1"/>
  <c r="X157" i="10"/>
  <c r="Q161" i="10"/>
  <c r="R160" i="10"/>
  <c r="U159" i="10"/>
  <c r="V159" i="10"/>
  <c r="S159" i="10"/>
  <c r="T158" i="10"/>
  <c r="Y158" i="10" s="1"/>
  <c r="X158" i="10"/>
  <c r="Q162" i="10"/>
  <c r="R161" i="10"/>
  <c r="U160" i="10"/>
  <c r="V160" i="10"/>
  <c r="S160" i="10"/>
  <c r="T159" i="10"/>
  <c r="Y159" i="10" s="1"/>
  <c r="X159" i="10"/>
  <c r="Q163" i="10"/>
  <c r="R162" i="10"/>
  <c r="S161" i="10"/>
  <c r="U161" i="10"/>
  <c r="V161" i="10"/>
  <c r="T160" i="10"/>
  <c r="Y160" i="10" s="1"/>
  <c r="X160" i="10"/>
  <c r="Q164" i="10"/>
  <c r="R163" i="10"/>
  <c r="V162" i="10"/>
  <c r="S162" i="10"/>
  <c r="U162" i="10"/>
  <c r="T161" i="10"/>
  <c r="Y161" i="10" s="1"/>
  <c r="X161" i="10"/>
  <c r="Q165" i="10"/>
  <c r="R164" i="10"/>
  <c r="U163" i="10"/>
  <c r="V163" i="10"/>
  <c r="S163" i="10"/>
  <c r="T162" i="10"/>
  <c r="Y162" i="10" s="1"/>
  <c r="X162" i="10"/>
  <c r="Q166" i="10"/>
  <c r="R165" i="10"/>
  <c r="U164" i="10"/>
  <c r="V164" i="10"/>
  <c r="S164" i="10"/>
  <c r="T163" i="10"/>
  <c r="Y163" i="10" s="1"/>
  <c r="X163" i="10"/>
  <c r="Q167" i="10"/>
  <c r="R166" i="10"/>
  <c r="S165" i="10"/>
  <c r="U165" i="10"/>
  <c r="V165" i="10"/>
  <c r="T164" i="10"/>
  <c r="Y164" i="10" s="1"/>
  <c r="X164" i="10"/>
  <c r="Q168" i="10"/>
  <c r="R167" i="10"/>
  <c r="V166" i="10"/>
  <c r="S166" i="10"/>
  <c r="U166" i="10"/>
  <c r="T165" i="10"/>
  <c r="Y165" i="10" s="1"/>
  <c r="X165" i="10"/>
  <c r="Q169" i="10"/>
  <c r="R168" i="10"/>
  <c r="U167" i="10"/>
  <c r="V167" i="10"/>
  <c r="S167" i="10"/>
  <c r="T166" i="10"/>
  <c r="Y166" i="10" s="1"/>
  <c r="X166" i="10"/>
  <c r="Q170" i="10"/>
  <c r="R169" i="10"/>
  <c r="U168" i="10"/>
  <c r="V168" i="10"/>
  <c r="S168" i="10"/>
  <c r="T167" i="10"/>
  <c r="Y167" i="10" s="1"/>
  <c r="X167" i="10"/>
  <c r="Q171" i="10"/>
  <c r="R170" i="10"/>
  <c r="S169" i="10"/>
  <c r="U169" i="10"/>
  <c r="V169" i="10"/>
  <c r="T168" i="10"/>
  <c r="Y168" i="10" s="1"/>
  <c r="X168" i="10"/>
  <c r="Q172" i="10"/>
  <c r="R171" i="10"/>
  <c r="V170" i="10"/>
  <c r="S170" i="10"/>
  <c r="U170" i="10"/>
  <c r="T169" i="10"/>
  <c r="Y169" i="10" s="1"/>
  <c r="X169" i="10"/>
  <c r="Q173" i="10"/>
  <c r="R172" i="10"/>
  <c r="U171" i="10"/>
  <c r="V171" i="10"/>
  <c r="S171" i="10"/>
  <c r="T170" i="10"/>
  <c r="Y170" i="10" s="1"/>
  <c r="X170" i="10"/>
  <c r="Q174" i="10"/>
  <c r="R173" i="10"/>
  <c r="U172" i="10"/>
  <c r="V172" i="10"/>
  <c r="S172" i="10"/>
  <c r="X171" i="10"/>
  <c r="T171" i="10"/>
  <c r="Y171" i="10" s="1"/>
  <c r="Q175" i="10"/>
  <c r="R174" i="10"/>
  <c r="S173" i="10"/>
  <c r="U173" i="10"/>
  <c r="V173" i="10"/>
  <c r="T172" i="10"/>
  <c r="Y172" i="10" s="1"/>
  <c r="X172" i="10"/>
  <c r="Q176" i="10"/>
  <c r="R175" i="10"/>
  <c r="V174" i="10"/>
  <c r="S174" i="10"/>
  <c r="U174" i="10"/>
  <c r="T173" i="10"/>
  <c r="Y173" i="10" s="1"/>
  <c r="X173" i="10"/>
  <c r="Q177" i="10"/>
  <c r="R176" i="10"/>
  <c r="U175" i="10"/>
  <c r="V175" i="10"/>
  <c r="S175" i="10"/>
  <c r="T174" i="10"/>
  <c r="Y174" i="10" s="1"/>
  <c r="X174" i="10"/>
  <c r="Q178" i="10"/>
  <c r="R177" i="10"/>
  <c r="U176" i="10"/>
  <c r="V176" i="10"/>
  <c r="S176" i="10"/>
  <c r="X175" i="10"/>
  <c r="T175" i="10"/>
  <c r="Y175" i="10" s="1"/>
  <c r="Q179" i="10"/>
  <c r="R178" i="10"/>
  <c r="S177" i="10"/>
  <c r="U177" i="10"/>
  <c r="V177" i="10"/>
  <c r="T176" i="10"/>
  <c r="Y176" i="10" s="1"/>
  <c r="X176" i="10"/>
  <c r="Q180" i="10"/>
  <c r="R179" i="10"/>
  <c r="V178" i="10"/>
  <c r="S178" i="10"/>
  <c r="U178" i="10"/>
  <c r="T177" i="10"/>
  <c r="Y177" i="10" s="1"/>
  <c r="X177" i="10"/>
  <c r="Q181" i="10"/>
  <c r="R180" i="10"/>
  <c r="U179" i="10"/>
  <c r="V179" i="10"/>
  <c r="S179" i="10"/>
  <c r="T178" i="10"/>
  <c r="Y178" i="10" s="1"/>
  <c r="X178" i="10"/>
  <c r="Q182" i="10"/>
  <c r="R181" i="10"/>
  <c r="U180" i="10"/>
  <c r="V180" i="10"/>
  <c r="S180" i="10"/>
  <c r="X179" i="10"/>
  <c r="T179" i="10"/>
  <c r="Y179" i="10" s="1"/>
  <c r="Q183" i="10"/>
  <c r="R182" i="10"/>
  <c r="S181" i="10"/>
  <c r="U181" i="10"/>
  <c r="V181" i="10"/>
  <c r="T180" i="10"/>
  <c r="Y180" i="10" s="1"/>
  <c r="X180" i="10"/>
  <c r="Q184" i="10"/>
  <c r="R183" i="10"/>
  <c r="V182" i="10"/>
  <c r="S182" i="10"/>
  <c r="U182" i="10"/>
  <c r="T181" i="10"/>
  <c r="Y181" i="10" s="1"/>
  <c r="X181" i="10"/>
  <c r="Q185" i="10"/>
  <c r="R184" i="10"/>
  <c r="U183" i="10"/>
  <c r="V183" i="10"/>
  <c r="S183" i="10"/>
  <c r="T182" i="10"/>
  <c r="Y182" i="10" s="1"/>
  <c r="X182" i="10"/>
  <c r="Q186" i="10"/>
  <c r="R185" i="10"/>
  <c r="U184" i="10"/>
  <c r="V184" i="10"/>
  <c r="S184" i="10"/>
  <c r="X183" i="10"/>
  <c r="T183" i="10"/>
  <c r="Y183" i="10" s="1"/>
  <c r="Q187" i="10"/>
  <c r="R186" i="10"/>
  <c r="S185" i="10"/>
  <c r="U185" i="10"/>
  <c r="V185" i="10"/>
  <c r="T184" i="10"/>
  <c r="Y184" i="10" s="1"/>
  <c r="X184" i="10"/>
  <c r="Q188" i="10"/>
  <c r="R187" i="10"/>
  <c r="V186" i="10"/>
  <c r="S186" i="10"/>
  <c r="U186" i="10"/>
  <c r="T185" i="10"/>
  <c r="Y185" i="10" s="1"/>
  <c r="X185" i="10"/>
  <c r="Q189" i="10"/>
  <c r="R188" i="10"/>
  <c r="U187" i="10"/>
  <c r="V187" i="10"/>
  <c r="S187" i="10"/>
  <c r="T186" i="10"/>
  <c r="Y186" i="10" s="1"/>
  <c r="X186" i="10"/>
  <c r="Q190" i="10"/>
  <c r="R189" i="10"/>
  <c r="U188" i="10"/>
  <c r="V188" i="10"/>
  <c r="S188" i="10"/>
  <c r="X187" i="10"/>
  <c r="T187" i="10"/>
  <c r="Y187" i="10" s="1"/>
  <c r="Q191" i="10"/>
  <c r="R190" i="10"/>
  <c r="S189" i="10"/>
  <c r="U189" i="10"/>
  <c r="V189" i="10"/>
  <c r="T188" i="10"/>
  <c r="Y188" i="10" s="1"/>
  <c r="X188" i="10"/>
  <c r="Q192" i="10"/>
  <c r="R191" i="10"/>
  <c r="V190" i="10"/>
  <c r="S190" i="10"/>
  <c r="U190" i="10"/>
  <c r="T189" i="10"/>
  <c r="Y189" i="10" s="1"/>
  <c r="X189" i="10"/>
  <c r="Q193" i="10"/>
  <c r="R192" i="10"/>
  <c r="U191" i="10"/>
  <c r="V191" i="10"/>
  <c r="S191" i="10"/>
  <c r="T190" i="10"/>
  <c r="Y190" i="10" s="1"/>
  <c r="X190" i="10"/>
  <c r="Q194" i="10"/>
  <c r="R193" i="10"/>
  <c r="U192" i="10"/>
  <c r="V192" i="10"/>
  <c r="S192" i="10"/>
  <c r="X191" i="10"/>
  <c r="T191" i="10"/>
  <c r="Y191" i="10" s="1"/>
  <c r="Q195" i="10"/>
  <c r="R194" i="10"/>
  <c r="S193" i="10"/>
  <c r="U193" i="10"/>
  <c r="V193" i="10"/>
  <c r="T192" i="10"/>
  <c r="Y192" i="10" s="1"/>
  <c r="X192" i="10"/>
  <c r="Q196" i="10"/>
  <c r="R195" i="10"/>
  <c r="V194" i="10"/>
  <c r="S194" i="10"/>
  <c r="U194" i="10"/>
  <c r="T193" i="10"/>
  <c r="Y193" i="10" s="1"/>
  <c r="X193" i="10"/>
  <c r="Q197" i="10"/>
  <c r="R196" i="10"/>
  <c r="S195" i="10"/>
  <c r="U195" i="10"/>
  <c r="V195" i="10"/>
  <c r="T194" i="10"/>
  <c r="Y194" i="10" s="1"/>
  <c r="X194" i="10"/>
  <c r="Q198" i="10"/>
  <c r="R197" i="10"/>
  <c r="V196" i="10"/>
  <c r="S196" i="10"/>
  <c r="U196" i="10"/>
  <c r="T195" i="10"/>
  <c r="Y195" i="10" s="1"/>
  <c r="X195" i="10"/>
  <c r="Q199" i="10"/>
  <c r="R198" i="10"/>
  <c r="U197" i="10"/>
  <c r="S197" i="10"/>
  <c r="V197" i="10"/>
  <c r="X196" i="10"/>
  <c r="T196" i="10"/>
  <c r="Y196" i="10" s="1"/>
  <c r="Q200" i="10"/>
  <c r="R199" i="10"/>
  <c r="V198" i="10"/>
  <c r="S198" i="10"/>
  <c r="U198" i="10"/>
  <c r="X197" i="10"/>
  <c r="T197" i="10"/>
  <c r="Y197" i="10" s="1"/>
  <c r="Q201" i="10"/>
  <c r="R200" i="10"/>
  <c r="S199" i="10"/>
  <c r="U199" i="10"/>
  <c r="V199" i="10"/>
  <c r="T198" i="10"/>
  <c r="Y198" i="10" s="1"/>
  <c r="X198" i="10"/>
  <c r="Q202" i="10"/>
  <c r="R201" i="10"/>
  <c r="V200" i="10"/>
  <c r="S200" i="10"/>
  <c r="U200" i="10"/>
  <c r="T199" i="10"/>
  <c r="Y199" i="10" s="1"/>
  <c r="X199" i="10"/>
  <c r="Q203" i="10"/>
  <c r="R202" i="10"/>
  <c r="U201" i="10"/>
  <c r="S201" i="10"/>
  <c r="V201" i="10"/>
  <c r="X200" i="10"/>
  <c r="T200" i="10"/>
  <c r="Y200" i="10" s="1"/>
  <c r="Q204" i="10"/>
  <c r="R203" i="10"/>
  <c r="V202" i="10"/>
  <c r="S202" i="10"/>
  <c r="U202" i="10"/>
  <c r="X201" i="10"/>
  <c r="T201" i="10"/>
  <c r="Y201" i="10" s="1"/>
  <c r="Q205" i="10"/>
  <c r="R204" i="10"/>
  <c r="S203" i="10"/>
  <c r="U203" i="10"/>
  <c r="V203" i="10"/>
  <c r="T202" i="10"/>
  <c r="Y202" i="10" s="1"/>
  <c r="X202" i="10"/>
  <c r="Q206" i="10"/>
  <c r="R205" i="10"/>
  <c r="V204" i="10"/>
  <c r="S204" i="10"/>
  <c r="U204" i="10"/>
  <c r="T203" i="10"/>
  <c r="Y203" i="10" s="1"/>
  <c r="X203" i="10"/>
  <c r="Q207" i="10"/>
  <c r="R206" i="10"/>
  <c r="U205" i="10"/>
  <c r="S205" i="10"/>
  <c r="V205" i="10"/>
  <c r="X204" i="10"/>
  <c r="T204" i="10"/>
  <c r="Y204" i="10" s="1"/>
  <c r="Q208" i="10"/>
  <c r="R207" i="10"/>
  <c r="V206" i="10"/>
  <c r="S206" i="10"/>
  <c r="U206" i="10"/>
  <c r="X205" i="10"/>
  <c r="T205" i="10"/>
  <c r="Y205" i="10" s="1"/>
  <c r="Q209" i="10"/>
  <c r="R208" i="10"/>
  <c r="S207" i="10"/>
  <c r="U207" i="10"/>
  <c r="V207" i="10"/>
  <c r="T206" i="10"/>
  <c r="Y206" i="10" s="1"/>
  <c r="X206" i="10"/>
  <c r="Q210" i="10"/>
  <c r="R209" i="10"/>
  <c r="V208" i="10"/>
  <c r="S208" i="10"/>
  <c r="U208" i="10"/>
  <c r="T207" i="10"/>
  <c r="Y207" i="10" s="1"/>
  <c r="X207" i="10"/>
  <c r="Q211" i="10"/>
  <c r="R210" i="10"/>
  <c r="U209" i="10"/>
  <c r="V209" i="10"/>
  <c r="S209" i="10"/>
  <c r="T208" i="10"/>
  <c r="Y208" i="10" s="1"/>
  <c r="X208" i="10"/>
  <c r="Q212" i="10"/>
  <c r="R211" i="10"/>
  <c r="U210" i="10"/>
  <c r="V210" i="10"/>
  <c r="S210" i="10"/>
  <c r="T209" i="10"/>
  <c r="Y209" i="10" s="1"/>
  <c r="X209" i="10"/>
  <c r="Q213" i="10"/>
  <c r="R212" i="10"/>
  <c r="S211" i="10"/>
  <c r="U211" i="10"/>
  <c r="V211" i="10"/>
  <c r="T210" i="10"/>
  <c r="Y210" i="10" s="1"/>
  <c r="X210" i="10"/>
  <c r="Q214" i="10"/>
  <c r="R213" i="10"/>
  <c r="V212" i="10"/>
  <c r="S212" i="10"/>
  <c r="U212" i="10"/>
  <c r="T211" i="10"/>
  <c r="Y211" i="10" s="1"/>
  <c r="X211" i="10"/>
  <c r="Q215" i="10"/>
  <c r="R214" i="10"/>
  <c r="U213" i="10"/>
  <c r="V213" i="10"/>
  <c r="S213" i="10"/>
  <c r="T212" i="10"/>
  <c r="Y212" i="10" s="1"/>
  <c r="X212" i="10"/>
  <c r="Q216" i="10"/>
  <c r="R215" i="10"/>
  <c r="U214" i="10"/>
  <c r="V214" i="10"/>
  <c r="S214" i="10"/>
  <c r="T213" i="10"/>
  <c r="Y213" i="10" s="1"/>
  <c r="X213" i="10"/>
  <c r="Q217" i="10"/>
  <c r="R216" i="10"/>
  <c r="S215" i="10"/>
  <c r="U215" i="10"/>
  <c r="V215" i="10"/>
  <c r="T214" i="10"/>
  <c r="Y214" i="10" s="1"/>
  <c r="X214" i="10"/>
  <c r="Q218" i="10"/>
  <c r="R217" i="10"/>
  <c r="V216" i="10"/>
  <c r="S216" i="10"/>
  <c r="U216" i="10"/>
  <c r="T215" i="10"/>
  <c r="Y215" i="10" s="1"/>
  <c r="X215" i="10"/>
  <c r="Q219" i="10"/>
  <c r="R218" i="10"/>
  <c r="U217" i="10"/>
  <c r="V217" i="10"/>
  <c r="S217" i="10"/>
  <c r="T216" i="10"/>
  <c r="Y216" i="10" s="1"/>
  <c r="X216" i="10"/>
  <c r="Q220" i="10"/>
  <c r="R219" i="10"/>
  <c r="U218" i="10"/>
  <c r="V218" i="10"/>
  <c r="S218" i="10"/>
  <c r="T217" i="10"/>
  <c r="Y217" i="10" s="1"/>
  <c r="X217" i="10"/>
  <c r="Q221" i="10"/>
  <c r="R220" i="10"/>
  <c r="S219" i="10"/>
  <c r="U219" i="10"/>
  <c r="V219" i="10"/>
  <c r="T218" i="10"/>
  <c r="Y218" i="10" s="1"/>
  <c r="X218" i="10"/>
  <c r="Q222" i="10"/>
  <c r="R221" i="10"/>
  <c r="V220" i="10"/>
  <c r="S220" i="10"/>
  <c r="U220" i="10"/>
  <c r="T219" i="10"/>
  <c r="Y219" i="10" s="1"/>
  <c r="X219" i="10"/>
  <c r="Q223" i="10"/>
  <c r="R222" i="10"/>
  <c r="V221" i="10"/>
  <c r="S221" i="10"/>
  <c r="U221" i="10"/>
  <c r="T220" i="10"/>
  <c r="Y220" i="10" s="1"/>
  <c r="X220" i="10"/>
  <c r="Q224" i="10"/>
  <c r="R223" i="10"/>
  <c r="U222" i="10"/>
  <c r="V222" i="10"/>
  <c r="S222" i="10"/>
  <c r="X221" i="10"/>
  <c r="T221" i="10"/>
  <c r="Y221" i="10" s="1"/>
  <c r="Q225" i="10"/>
  <c r="R224" i="10"/>
  <c r="U223" i="10"/>
  <c r="S223" i="10"/>
  <c r="V223" i="10"/>
  <c r="X222" i="10"/>
  <c r="T222" i="10"/>
  <c r="Y222" i="10" s="1"/>
  <c r="Q226" i="10"/>
  <c r="R225" i="10"/>
  <c r="S224" i="10"/>
  <c r="U224" i="10"/>
  <c r="V224" i="10"/>
  <c r="T223" i="10"/>
  <c r="Y223" i="10" s="1"/>
  <c r="X223" i="10"/>
  <c r="Q227" i="10"/>
  <c r="R226" i="10"/>
  <c r="V225" i="10"/>
  <c r="S225" i="10"/>
  <c r="U225" i="10"/>
  <c r="T224" i="10"/>
  <c r="Y224" i="10" s="1"/>
  <c r="X224" i="10"/>
  <c r="Q228" i="10"/>
  <c r="R227" i="10"/>
  <c r="U226" i="10"/>
  <c r="S226" i="10"/>
  <c r="V226" i="10"/>
  <c r="X225" i="10"/>
  <c r="T225" i="10"/>
  <c r="Y225" i="10" s="1"/>
  <c r="Q229" i="10"/>
  <c r="R228" i="10"/>
  <c r="S227" i="10"/>
  <c r="U227" i="10"/>
  <c r="V227" i="10"/>
  <c r="X226" i="10"/>
  <c r="T226" i="10"/>
  <c r="Y226" i="10" s="1"/>
  <c r="Q230" i="10"/>
  <c r="R229" i="10"/>
  <c r="V228" i="10"/>
  <c r="S228" i="10"/>
  <c r="U228" i="10"/>
  <c r="T227" i="10"/>
  <c r="Y227" i="10" s="1"/>
  <c r="X227" i="10"/>
  <c r="Q231" i="10"/>
  <c r="R230" i="10"/>
  <c r="U229" i="10"/>
  <c r="V229" i="10"/>
  <c r="S229" i="10"/>
  <c r="T228" i="10"/>
  <c r="Y228" i="10" s="1"/>
  <c r="X228" i="10"/>
  <c r="Q232" i="10"/>
  <c r="R231" i="10"/>
  <c r="U230" i="10"/>
  <c r="V230" i="10"/>
  <c r="S230" i="10"/>
  <c r="T229" i="10"/>
  <c r="Y229" i="10" s="1"/>
  <c r="X229" i="10"/>
  <c r="Q233" i="10"/>
  <c r="R232" i="10"/>
  <c r="S231" i="10"/>
  <c r="U231" i="10"/>
  <c r="V231" i="10"/>
  <c r="T230" i="10"/>
  <c r="Y230" i="10" s="1"/>
  <c r="X230" i="10"/>
  <c r="Q234" i="10"/>
  <c r="R233" i="10"/>
  <c r="V232" i="10"/>
  <c r="S232" i="10"/>
  <c r="U232" i="10"/>
  <c r="T231" i="10"/>
  <c r="Y231" i="10" s="1"/>
  <c r="X231" i="10"/>
  <c r="Q235" i="10"/>
  <c r="R234" i="10"/>
  <c r="U233" i="10"/>
  <c r="V233" i="10"/>
  <c r="S233" i="10"/>
  <c r="T232" i="10"/>
  <c r="Y232" i="10" s="1"/>
  <c r="X232" i="10"/>
  <c r="Q236" i="10"/>
  <c r="R235" i="10"/>
  <c r="U234" i="10"/>
  <c r="V234" i="10"/>
  <c r="S234" i="10"/>
  <c r="T233" i="10"/>
  <c r="Y233" i="10" s="1"/>
  <c r="X233" i="10"/>
  <c r="Q237" i="10"/>
  <c r="R236" i="10"/>
  <c r="S235" i="10"/>
  <c r="U235" i="10"/>
  <c r="V235" i="10"/>
  <c r="T234" i="10"/>
  <c r="Y234" i="10" s="1"/>
  <c r="X234" i="10"/>
  <c r="Q238" i="10"/>
  <c r="R237" i="10"/>
  <c r="V236" i="10"/>
  <c r="S236" i="10"/>
  <c r="U236" i="10"/>
  <c r="T235" i="10"/>
  <c r="Y235" i="10" s="1"/>
  <c r="X235" i="10"/>
  <c r="Q239" i="10"/>
  <c r="R238" i="10"/>
  <c r="U237" i="10"/>
  <c r="V237" i="10"/>
  <c r="S237" i="10"/>
  <c r="T236" i="10"/>
  <c r="Y236" i="10" s="1"/>
  <c r="X236" i="10"/>
  <c r="Q240" i="10"/>
  <c r="R239" i="10"/>
  <c r="U238" i="10"/>
  <c r="V238" i="10"/>
  <c r="S238" i="10"/>
  <c r="T237" i="10"/>
  <c r="Y237" i="10" s="1"/>
  <c r="X237" i="10"/>
  <c r="Q241" i="10"/>
  <c r="R240" i="10"/>
  <c r="S239" i="10"/>
  <c r="U239" i="10"/>
  <c r="V239" i="10"/>
  <c r="T238" i="10"/>
  <c r="Y238" i="10" s="1"/>
  <c r="X238" i="10"/>
  <c r="Q242" i="10"/>
  <c r="R241" i="10"/>
  <c r="V240" i="10"/>
  <c r="S240" i="10"/>
  <c r="U240" i="10"/>
  <c r="T239" i="10"/>
  <c r="Y239" i="10" s="1"/>
  <c r="X239" i="10"/>
  <c r="Q243" i="10"/>
  <c r="R242" i="10"/>
  <c r="U241" i="10"/>
  <c r="V241" i="10"/>
  <c r="S241" i="10"/>
  <c r="T240" i="10"/>
  <c r="Y240" i="10" s="1"/>
  <c r="X240" i="10"/>
  <c r="Q244" i="10"/>
  <c r="R243" i="10"/>
  <c r="U242" i="10"/>
  <c r="V242" i="10"/>
  <c r="S242" i="10"/>
  <c r="T241" i="10"/>
  <c r="Y241" i="10" s="1"/>
  <c r="X241" i="10"/>
  <c r="Q245" i="10"/>
  <c r="R244" i="10"/>
  <c r="S243" i="10"/>
  <c r="U243" i="10"/>
  <c r="V243" i="10"/>
  <c r="T242" i="10"/>
  <c r="Y242" i="10" s="1"/>
  <c r="X242" i="10"/>
  <c r="Q246" i="10"/>
  <c r="R245" i="10"/>
  <c r="V244" i="10"/>
  <c r="S244" i="10"/>
  <c r="U244" i="10"/>
  <c r="T243" i="10"/>
  <c r="Y243" i="10" s="1"/>
  <c r="X243" i="10"/>
  <c r="Q247" i="10"/>
  <c r="R246" i="10"/>
  <c r="U245" i="10"/>
  <c r="V245" i="10"/>
  <c r="S245" i="10"/>
  <c r="T244" i="10"/>
  <c r="Y244" i="10" s="1"/>
  <c r="X244" i="10"/>
  <c r="Q248" i="10"/>
  <c r="R247" i="10"/>
  <c r="U246" i="10"/>
  <c r="V246" i="10"/>
  <c r="S246" i="10"/>
  <c r="T245" i="10"/>
  <c r="Y245" i="10" s="1"/>
  <c r="X245" i="10"/>
  <c r="Q249" i="10"/>
  <c r="R248" i="10"/>
  <c r="S247" i="10"/>
  <c r="U247" i="10"/>
  <c r="V247" i="10"/>
  <c r="T246" i="10"/>
  <c r="Y246" i="10" s="1"/>
  <c r="X246" i="10"/>
  <c r="Q250" i="10"/>
  <c r="R249" i="10"/>
  <c r="V248" i="10"/>
  <c r="S248" i="10"/>
  <c r="U248" i="10"/>
  <c r="T247" i="10"/>
  <c r="Y247" i="10" s="1"/>
  <c r="X247" i="10"/>
  <c r="Q251" i="10"/>
  <c r="R250" i="10"/>
  <c r="U249" i="10"/>
  <c r="V249" i="10"/>
  <c r="S249" i="10"/>
  <c r="T248" i="10"/>
  <c r="Y248" i="10" s="1"/>
  <c r="X248" i="10"/>
  <c r="Q252" i="10"/>
  <c r="R251" i="10"/>
  <c r="U250" i="10"/>
  <c r="V250" i="10"/>
  <c r="S250" i="10"/>
  <c r="T249" i="10"/>
  <c r="Y249" i="10" s="1"/>
  <c r="X249" i="10"/>
  <c r="Q253" i="10"/>
  <c r="R252" i="10"/>
  <c r="S251" i="10"/>
  <c r="U251" i="10"/>
  <c r="V251" i="10"/>
  <c r="T250" i="10"/>
  <c r="Y250" i="10" s="1"/>
  <c r="X250" i="10"/>
  <c r="Q254" i="10"/>
  <c r="R253" i="10"/>
  <c r="V252" i="10"/>
  <c r="S252" i="10"/>
  <c r="U252" i="10"/>
  <c r="T251" i="10"/>
  <c r="Y251" i="10" s="1"/>
  <c r="X251" i="10"/>
  <c r="Q255" i="10"/>
  <c r="R254" i="10"/>
  <c r="U253" i="10"/>
  <c r="V253" i="10"/>
  <c r="S253" i="10"/>
  <c r="T252" i="10"/>
  <c r="Y252" i="10" s="1"/>
  <c r="X252" i="10"/>
  <c r="Q256" i="10"/>
  <c r="R255" i="10"/>
  <c r="U254" i="10"/>
  <c r="V254" i="10"/>
  <c r="S254" i="10"/>
  <c r="T253" i="10"/>
  <c r="Y253" i="10" s="1"/>
  <c r="X253" i="10"/>
  <c r="Q257" i="10"/>
  <c r="R256" i="10"/>
  <c r="S255" i="10"/>
  <c r="U255" i="10"/>
  <c r="V255" i="10"/>
  <c r="T254" i="10"/>
  <c r="Y254" i="10" s="1"/>
  <c r="X254" i="10"/>
  <c r="Q258" i="10"/>
  <c r="R257" i="10"/>
  <c r="V256" i="10"/>
  <c r="S256" i="10"/>
  <c r="U256" i="10"/>
  <c r="T255" i="10"/>
  <c r="Y255" i="10" s="1"/>
  <c r="X255" i="10"/>
  <c r="Q259" i="10"/>
  <c r="R258" i="10"/>
  <c r="U257" i="10"/>
  <c r="V257" i="10"/>
  <c r="S257" i="10"/>
  <c r="T256" i="10"/>
  <c r="Y256" i="10" s="1"/>
  <c r="X256" i="10"/>
  <c r="Q260" i="10"/>
  <c r="R259" i="10"/>
  <c r="U258" i="10"/>
  <c r="V258" i="10"/>
  <c r="S258" i="10"/>
  <c r="T257" i="10"/>
  <c r="Y257" i="10" s="1"/>
  <c r="X257" i="10"/>
  <c r="Q261" i="10"/>
  <c r="R260" i="10"/>
  <c r="S259" i="10"/>
  <c r="U259" i="10"/>
  <c r="V259" i="10"/>
  <c r="T258" i="10"/>
  <c r="Y258" i="10" s="1"/>
  <c r="X258" i="10"/>
  <c r="Q262" i="10"/>
  <c r="R261" i="10"/>
  <c r="V260" i="10"/>
  <c r="S260" i="10"/>
  <c r="U260" i="10"/>
  <c r="T259" i="10"/>
  <c r="Y259" i="10" s="1"/>
  <c r="X259" i="10"/>
  <c r="Q263" i="10"/>
  <c r="R262" i="10"/>
  <c r="U261" i="10"/>
  <c r="V261" i="10"/>
  <c r="S261" i="10"/>
  <c r="T260" i="10"/>
  <c r="Y260" i="10" s="1"/>
  <c r="X260" i="10"/>
  <c r="Q264" i="10"/>
  <c r="R263" i="10"/>
  <c r="U262" i="10"/>
  <c r="V262" i="10"/>
  <c r="S262" i="10"/>
  <c r="T261" i="10"/>
  <c r="Y261" i="10" s="1"/>
  <c r="X261" i="10"/>
  <c r="Q265" i="10"/>
  <c r="R265" i="10" s="1"/>
  <c r="R264" i="10"/>
  <c r="S263" i="10"/>
  <c r="U263" i="10"/>
  <c r="V263" i="10"/>
  <c r="T262" i="10"/>
  <c r="Y262" i="10" s="1"/>
  <c r="X262" i="10"/>
  <c r="U265" i="10"/>
  <c r="V265" i="10"/>
  <c r="S265" i="10"/>
  <c r="V264" i="10"/>
  <c r="S264" i="10"/>
  <c r="U264" i="10"/>
  <c r="T263" i="10"/>
  <c r="Y263" i="10" s="1"/>
  <c r="X263" i="10"/>
  <c r="T265" i="10"/>
  <c r="Y265" i="10" s="1"/>
  <c r="X265" i="10"/>
  <c r="T264" i="10"/>
  <c r="Y264" i="10" s="1"/>
  <c r="X264" i="10"/>
  <c r="R155" i="11"/>
  <c r="U155" i="11"/>
  <c r="S155" i="11"/>
  <c r="V155" i="11"/>
  <c r="X155" i="11"/>
  <c r="T155" i="11"/>
  <c r="Y155" i="11" s="1"/>
  <c r="W155" i="11" l="1"/>
  <c r="W264" i="10"/>
  <c r="W263" i="10"/>
  <c r="W262" i="10"/>
  <c r="W261" i="10"/>
  <c r="W260" i="10"/>
  <c r="W259" i="10"/>
  <c r="W258" i="10"/>
  <c r="W257" i="10"/>
  <c r="W256" i="10"/>
  <c r="W255" i="10"/>
  <c r="W254" i="10"/>
  <c r="W253" i="10"/>
  <c r="W252" i="10"/>
  <c r="W251" i="10"/>
  <c r="W250" i="10"/>
  <c r="W249" i="10"/>
  <c r="W248" i="10"/>
  <c r="W247" i="10"/>
  <c r="W246" i="10"/>
  <c r="W245" i="10"/>
  <c r="W244" i="10"/>
  <c r="W243" i="10"/>
  <c r="W242" i="10"/>
  <c r="W241" i="10"/>
  <c r="W240" i="10"/>
  <c r="W239" i="10"/>
  <c r="W238" i="10"/>
  <c r="W237" i="10"/>
  <c r="W236" i="10"/>
  <c r="W235" i="10"/>
  <c r="W234" i="10"/>
  <c r="W233" i="10"/>
  <c r="W232" i="10"/>
  <c r="W231" i="10"/>
  <c r="W230" i="10"/>
  <c r="W229" i="10"/>
  <c r="W228" i="10"/>
  <c r="W227" i="10"/>
  <c r="W226" i="10"/>
  <c r="W225" i="10"/>
  <c r="W224" i="10"/>
  <c r="W223" i="10"/>
  <c r="W222" i="10"/>
  <c r="W221" i="10"/>
  <c r="W220" i="10"/>
  <c r="W219" i="10"/>
  <c r="W218" i="10"/>
  <c r="W217" i="10"/>
  <c r="W216" i="10"/>
  <c r="W215" i="10"/>
  <c r="W214" i="10"/>
  <c r="W213" i="10"/>
  <c r="W212" i="10"/>
  <c r="W211" i="10"/>
  <c r="W210" i="10"/>
  <c r="W209" i="10"/>
  <c r="W208" i="10"/>
  <c r="W207" i="10"/>
  <c r="W206" i="10"/>
  <c r="W205" i="10"/>
  <c r="W204" i="10"/>
  <c r="W203" i="10"/>
  <c r="W202" i="10"/>
  <c r="W201" i="10"/>
  <c r="W200" i="10"/>
  <c r="W199" i="10"/>
  <c r="W198" i="10"/>
  <c r="W197" i="10"/>
  <c r="W196" i="10"/>
  <c r="W195" i="10"/>
  <c r="W194" i="10"/>
  <c r="W193" i="10"/>
  <c r="W192" i="10"/>
  <c r="W191" i="10"/>
  <c r="W190" i="10"/>
  <c r="W189" i="10"/>
  <c r="W188" i="10"/>
  <c r="W187" i="10"/>
  <c r="W186" i="10"/>
  <c r="W185" i="10"/>
  <c r="W184" i="10"/>
  <c r="W183" i="10"/>
  <c r="W182" i="10"/>
  <c r="W181" i="10"/>
  <c r="W180" i="10"/>
  <c r="W179" i="10"/>
  <c r="W178" i="10"/>
  <c r="W177" i="10"/>
  <c r="W176" i="10"/>
  <c r="W175" i="10"/>
  <c r="W174" i="10"/>
  <c r="W173" i="10"/>
  <c r="W172" i="10"/>
  <c r="W171" i="10"/>
  <c r="W170" i="10"/>
  <c r="W169" i="10"/>
  <c r="W168" i="10"/>
  <c r="W167" i="10"/>
  <c r="W166" i="10"/>
  <c r="W165" i="10"/>
  <c r="W164" i="10"/>
  <c r="W163" i="10"/>
  <c r="W162" i="10"/>
  <c r="W161" i="10"/>
  <c r="W160" i="10"/>
  <c r="W159" i="10"/>
  <c r="W158" i="10"/>
  <c r="W157" i="10"/>
  <c r="W156" i="10"/>
  <c r="W155" i="10"/>
  <c r="W154" i="10"/>
  <c r="W153" i="10"/>
  <c r="W152" i="10"/>
  <c r="W151" i="10"/>
  <c r="W150" i="10"/>
  <c r="W149" i="10"/>
  <c r="W148" i="10"/>
  <c r="W147" i="10"/>
  <c r="W146" i="10"/>
  <c r="W145" i="10"/>
  <c r="W144" i="10"/>
  <c r="W143" i="10"/>
  <c r="W142" i="10"/>
  <c r="W141" i="10"/>
  <c r="W140" i="10"/>
  <c r="W139" i="10"/>
  <c r="W138" i="10"/>
  <c r="W137" i="10"/>
  <c r="W136" i="10"/>
  <c r="W135" i="10"/>
  <c r="W265" i="10"/>
  <c r="W134" i="10"/>
  <c r="W131" i="9"/>
  <c r="Q156" i="11"/>
  <c r="Q266" i="10"/>
  <c r="Q133" i="9"/>
  <c r="V132" i="9"/>
  <c r="Y132" i="9"/>
  <c r="R133" i="9"/>
  <c r="S133" i="9"/>
  <c r="U133" i="9"/>
  <c r="T133" i="9"/>
  <c r="X133" i="9"/>
  <c r="R266" i="10"/>
  <c r="S266" i="10"/>
  <c r="V266" i="10"/>
  <c r="U266" i="10"/>
  <c r="X266" i="10"/>
  <c r="T266" i="10"/>
  <c r="Y266" i="10" s="1"/>
  <c r="R156" i="11"/>
  <c r="V156" i="11"/>
  <c r="S156" i="11"/>
  <c r="U156" i="11"/>
  <c r="X156" i="11"/>
  <c r="T156" i="11"/>
  <c r="Y156" i="11"/>
  <c r="W156" i="11" l="1"/>
  <c r="W266" i="10"/>
  <c r="W132" i="9"/>
  <c r="Q157" i="11"/>
  <c r="Q267" i="10"/>
  <c r="Y133" i="9"/>
  <c r="V133" i="9"/>
  <c r="Q134" i="9"/>
  <c r="R134" i="9"/>
  <c r="S134" i="9"/>
  <c r="U134" i="9"/>
  <c r="X134" i="9"/>
  <c r="T134" i="9"/>
  <c r="R267" i="10"/>
  <c r="V267" i="10"/>
  <c r="U267" i="10"/>
  <c r="S267" i="10"/>
  <c r="X267" i="10"/>
  <c r="T267" i="10"/>
  <c r="Y267" i="10" s="1"/>
  <c r="R157" i="11"/>
  <c r="S157" i="11"/>
  <c r="U157" i="11"/>
  <c r="V157" i="11"/>
  <c r="X157" i="11"/>
  <c r="T157" i="11"/>
  <c r="Y157" i="11" s="1"/>
  <c r="W157" i="11" l="1"/>
  <c r="W267" i="10"/>
  <c r="W133" i="9"/>
  <c r="Q158" i="11"/>
  <c r="Q268" i="10"/>
  <c r="V134" i="9"/>
  <c r="Q135" i="9"/>
  <c r="Y134" i="9"/>
  <c r="R268" i="10"/>
  <c r="U268" i="10"/>
  <c r="S268" i="10"/>
  <c r="V268" i="10"/>
  <c r="X268" i="10"/>
  <c r="T268" i="10"/>
  <c r="Y268" i="10" s="1"/>
  <c r="R158" i="11"/>
  <c r="V158" i="11"/>
  <c r="U158" i="11"/>
  <c r="S158" i="11"/>
  <c r="T158" i="11"/>
  <c r="X158" i="11"/>
  <c r="Y158" i="11"/>
  <c r="W158" i="11" l="1"/>
  <c r="W268" i="10"/>
  <c r="W134" i="9"/>
  <c r="Q159" i="11"/>
  <c r="Q269" i="10"/>
  <c r="R135" i="9"/>
  <c r="S135" i="9"/>
  <c r="U135" i="9"/>
  <c r="X135" i="9"/>
  <c r="T135" i="9"/>
  <c r="R269" i="10"/>
  <c r="S269" i="10"/>
  <c r="V269" i="10"/>
  <c r="U269" i="10"/>
  <c r="X269" i="10"/>
  <c r="T269" i="10"/>
  <c r="Y269" i="10"/>
  <c r="R159" i="11"/>
  <c r="U159" i="11"/>
  <c r="S159" i="11"/>
  <c r="V159" i="11"/>
  <c r="X159" i="11"/>
  <c r="T159" i="11"/>
  <c r="Y159" i="11" s="1"/>
  <c r="W159" i="11" l="1"/>
  <c r="W269" i="10"/>
  <c r="Q160" i="11"/>
  <c r="Q270" i="10"/>
  <c r="Y135" i="9"/>
  <c r="V135" i="9"/>
  <c r="R270" i="10"/>
  <c r="S270" i="10"/>
  <c r="V270" i="10"/>
  <c r="U270" i="10"/>
  <c r="X270" i="10"/>
  <c r="T270" i="10"/>
  <c r="Y270" i="10" s="1"/>
  <c r="R160" i="11"/>
  <c r="V160" i="11"/>
  <c r="S160" i="11"/>
  <c r="U160" i="11"/>
  <c r="X160" i="11"/>
  <c r="T160" i="11"/>
  <c r="Y160" i="11"/>
  <c r="W160" i="11" l="1"/>
  <c r="W270" i="10"/>
  <c r="W135" i="9"/>
  <c r="Q161" i="11"/>
  <c r="Q271" i="10"/>
  <c r="J16" i="9"/>
  <c r="J9" i="9"/>
  <c r="I9" i="9"/>
  <c r="I16" i="9"/>
  <c r="M14" i="9"/>
  <c r="M15" i="9"/>
  <c r="M21" i="9"/>
  <c r="M22" i="9"/>
  <c r="M17" i="9"/>
  <c r="M20" i="9"/>
  <c r="M16" i="9"/>
  <c r="M23" i="9"/>
  <c r="R271" i="10"/>
  <c r="V271" i="10"/>
  <c r="U271" i="10"/>
  <c r="S271" i="10"/>
  <c r="X271" i="10"/>
  <c r="T271" i="10"/>
  <c r="Y271" i="10" s="1"/>
  <c r="R161" i="11"/>
  <c r="S161" i="11"/>
  <c r="U161" i="11"/>
  <c r="V161" i="11"/>
  <c r="X161" i="11"/>
  <c r="T161" i="11"/>
  <c r="Y161" i="11" s="1"/>
  <c r="W161" i="11" l="1"/>
  <c r="W271" i="10"/>
  <c r="F16" i="9"/>
  <c r="F9" i="9"/>
  <c r="G9" i="9"/>
  <c r="G16" i="9"/>
  <c r="Q162" i="11"/>
  <c r="Q272" i="10"/>
  <c r="R272" i="10"/>
  <c r="U272" i="10"/>
  <c r="S272" i="10"/>
  <c r="V272" i="10"/>
  <c r="X272" i="10"/>
  <c r="T272" i="10"/>
  <c r="Y272" i="10" s="1"/>
  <c r="R162" i="11"/>
  <c r="V162" i="11"/>
  <c r="U162" i="11"/>
  <c r="S162" i="11"/>
  <c r="X162" i="11"/>
  <c r="T162" i="11"/>
  <c r="Y162" i="11" s="1"/>
  <c r="W162" i="11" l="1"/>
  <c r="W272" i="10"/>
  <c r="H16" i="9"/>
  <c r="H9" i="9"/>
  <c r="Q163" i="11"/>
  <c r="Q273" i="10"/>
  <c r="R273" i="10"/>
  <c r="S273" i="10"/>
  <c r="V273" i="10"/>
  <c r="U273" i="10"/>
  <c r="X273" i="10"/>
  <c r="T273" i="10"/>
  <c r="Y273" i="10"/>
  <c r="R163" i="11"/>
  <c r="U163" i="11"/>
  <c r="S163" i="11"/>
  <c r="V163" i="11"/>
  <c r="X163" i="11"/>
  <c r="T163" i="11"/>
  <c r="Y163" i="11" s="1"/>
  <c r="W163" i="11" l="1"/>
  <c r="W273" i="10"/>
  <c r="Q164" i="11"/>
  <c r="Q274" i="10"/>
  <c r="R274" i="10"/>
  <c r="S274" i="10"/>
  <c r="V274" i="10"/>
  <c r="U274" i="10"/>
  <c r="X274" i="10"/>
  <c r="T274" i="10"/>
  <c r="Y274" i="10" s="1"/>
  <c r="R164" i="11"/>
  <c r="S164" i="11"/>
  <c r="V164" i="11"/>
  <c r="U164" i="11"/>
  <c r="X164" i="11"/>
  <c r="T164" i="11"/>
  <c r="Y164" i="11"/>
  <c r="W164" i="11" l="1"/>
  <c r="W274" i="10"/>
  <c r="Q165" i="11"/>
  <c r="Q275" i="10"/>
  <c r="R275" i="10"/>
  <c r="V275" i="10"/>
  <c r="U275" i="10"/>
  <c r="S275" i="10"/>
  <c r="X275" i="10"/>
  <c r="T275" i="10"/>
  <c r="Y275" i="10" s="1"/>
  <c r="R165" i="11"/>
  <c r="S165" i="11"/>
  <c r="V165" i="11"/>
  <c r="U165" i="11"/>
  <c r="X165" i="11"/>
  <c r="T165" i="11"/>
  <c r="Y165" i="11" s="1"/>
  <c r="W165" i="11" l="1"/>
  <c r="W275" i="10"/>
  <c r="Q166" i="11"/>
  <c r="Q276" i="10"/>
  <c r="R276" i="10"/>
  <c r="U276" i="10"/>
  <c r="S276" i="10"/>
  <c r="V276" i="10"/>
  <c r="X276" i="10"/>
  <c r="T276" i="10"/>
  <c r="Y276" i="10" s="1"/>
  <c r="R166" i="11"/>
  <c r="V166" i="11"/>
  <c r="U166" i="11"/>
  <c r="S166" i="11"/>
  <c r="X166" i="11"/>
  <c r="T166" i="11"/>
  <c r="Y166" i="11" s="1"/>
  <c r="W166" i="11" l="1"/>
  <c r="W276" i="10"/>
  <c r="Q167" i="11"/>
  <c r="Q277" i="10"/>
  <c r="R277" i="10"/>
  <c r="S277" i="10"/>
  <c r="V277" i="10"/>
  <c r="U277" i="10"/>
  <c r="X277" i="10"/>
  <c r="T277" i="10"/>
  <c r="Y277" i="10"/>
  <c r="R167" i="11"/>
  <c r="U167" i="11"/>
  <c r="S167" i="11"/>
  <c r="V167" i="11"/>
  <c r="X167" i="11"/>
  <c r="T167" i="11"/>
  <c r="Y167" i="11" s="1"/>
  <c r="W167" i="11" l="1"/>
  <c r="W277" i="10"/>
  <c r="Q168" i="11"/>
  <c r="Q278" i="10"/>
  <c r="R278" i="10"/>
  <c r="S278" i="10"/>
  <c r="V278" i="10"/>
  <c r="U278" i="10"/>
  <c r="X278" i="10"/>
  <c r="T278" i="10"/>
  <c r="Y278" i="10" s="1"/>
  <c r="R168" i="11"/>
  <c r="S168" i="11"/>
  <c r="V168" i="11"/>
  <c r="U168" i="11"/>
  <c r="X168" i="11"/>
  <c r="T168" i="11"/>
  <c r="Y168" i="11"/>
  <c r="W168" i="11" l="1"/>
  <c r="W278" i="10"/>
  <c r="Q169" i="11"/>
  <c r="Q279" i="10"/>
  <c r="R279" i="10"/>
  <c r="V279" i="10"/>
  <c r="U279" i="10"/>
  <c r="S279" i="10"/>
  <c r="X279" i="10"/>
  <c r="T279" i="10"/>
  <c r="Y279" i="10" s="1"/>
  <c r="R169" i="11"/>
  <c r="S169" i="11"/>
  <c r="V169" i="11"/>
  <c r="U169" i="11"/>
  <c r="X169" i="11"/>
  <c r="T169" i="11"/>
  <c r="Y169" i="11" s="1"/>
  <c r="W169" i="11" l="1"/>
  <c r="W279" i="10"/>
  <c r="Q170" i="11"/>
  <c r="Q280" i="10"/>
  <c r="R280" i="10"/>
  <c r="U280" i="10"/>
  <c r="S280" i="10"/>
  <c r="V280" i="10"/>
  <c r="X280" i="10"/>
  <c r="T280" i="10"/>
  <c r="Y280" i="10" s="1"/>
  <c r="R170" i="11"/>
  <c r="V170" i="11"/>
  <c r="U170" i="11"/>
  <c r="S170" i="11"/>
  <c r="X170" i="11"/>
  <c r="T170" i="11"/>
  <c r="Y170" i="11" s="1"/>
  <c r="W170" i="11" l="1"/>
  <c r="W280" i="10"/>
  <c r="Q171" i="11"/>
  <c r="Q281" i="10"/>
  <c r="R281" i="10"/>
  <c r="S281" i="10"/>
  <c r="V281" i="10"/>
  <c r="U281" i="10"/>
  <c r="X281" i="10"/>
  <c r="T281" i="10"/>
  <c r="Y281" i="10"/>
  <c r="R171" i="11"/>
  <c r="U171" i="11"/>
  <c r="S171" i="11"/>
  <c r="V171" i="11"/>
  <c r="X171" i="11"/>
  <c r="T171" i="11"/>
  <c r="Y171" i="11" s="1"/>
  <c r="W171" i="11" l="1"/>
  <c r="W281" i="10"/>
  <c r="Q172" i="11"/>
  <c r="Q282" i="10"/>
  <c r="R282" i="10"/>
  <c r="S282" i="10"/>
  <c r="V282" i="10"/>
  <c r="U282" i="10"/>
  <c r="X282" i="10"/>
  <c r="T282" i="10"/>
  <c r="Y282" i="10" s="1"/>
  <c r="R172" i="11"/>
  <c r="S172" i="11"/>
  <c r="V172" i="11"/>
  <c r="U172" i="11"/>
  <c r="X172" i="11"/>
  <c r="T172" i="11"/>
  <c r="Y172" i="11"/>
  <c r="W172" i="11" l="1"/>
  <c r="W282" i="10"/>
  <c r="Q173" i="11"/>
  <c r="Q283" i="10"/>
  <c r="R283" i="10"/>
  <c r="U283" i="10"/>
  <c r="V283" i="10"/>
  <c r="S283" i="10"/>
  <c r="T283" i="10"/>
  <c r="Y283" i="10" s="1"/>
  <c r="X283" i="10"/>
  <c r="R173" i="11"/>
  <c r="S173" i="11"/>
  <c r="V173" i="11"/>
  <c r="U173" i="11"/>
  <c r="X173" i="11"/>
  <c r="T173" i="11"/>
  <c r="Y173" i="11" s="1"/>
  <c r="W173" i="11" l="1"/>
  <c r="W283" i="10"/>
  <c r="Q174" i="11"/>
  <c r="Q284" i="10"/>
  <c r="R284" i="10"/>
  <c r="S284" i="10"/>
  <c r="V284" i="10"/>
  <c r="U284" i="10"/>
  <c r="X284" i="10"/>
  <c r="T284" i="10"/>
  <c r="Y284" i="10" s="1"/>
  <c r="R174" i="11"/>
  <c r="V174" i="11"/>
  <c r="U174" i="11"/>
  <c r="S174" i="11"/>
  <c r="X174" i="11"/>
  <c r="T174" i="11"/>
  <c r="Y174" i="11" s="1"/>
  <c r="W174" i="11" l="1"/>
  <c r="W284" i="10"/>
  <c r="Q175" i="11"/>
  <c r="Q285" i="10"/>
  <c r="R285" i="10"/>
  <c r="V285" i="10"/>
  <c r="U285" i="10"/>
  <c r="S285" i="10"/>
  <c r="X285" i="10"/>
  <c r="T285" i="10"/>
  <c r="Y285" i="10" s="1"/>
  <c r="R175" i="11"/>
  <c r="U175" i="11"/>
  <c r="S175" i="11"/>
  <c r="V175" i="11"/>
  <c r="X175" i="11"/>
  <c r="T175" i="11"/>
  <c r="Y175" i="11" s="1"/>
  <c r="W175" i="11" l="1"/>
  <c r="W285" i="10"/>
  <c r="Q176" i="11"/>
  <c r="Q286" i="10"/>
  <c r="R286" i="10"/>
  <c r="U286" i="10"/>
  <c r="S286" i="10"/>
  <c r="V286" i="10"/>
  <c r="X286" i="10"/>
  <c r="T286" i="10"/>
  <c r="Y286" i="10" s="1"/>
  <c r="R176" i="11"/>
  <c r="S176" i="11"/>
  <c r="V176" i="11"/>
  <c r="U176" i="11"/>
  <c r="X176" i="11"/>
  <c r="T176" i="11"/>
  <c r="Y176" i="11"/>
  <c r="W176" i="11" l="1"/>
  <c r="W286" i="10"/>
  <c r="Q177" i="11"/>
  <c r="Q287" i="10"/>
  <c r="R287" i="10"/>
  <c r="S287" i="10"/>
  <c r="V287" i="10"/>
  <c r="U287" i="10"/>
  <c r="X287" i="10"/>
  <c r="T287" i="10"/>
  <c r="Y287" i="10"/>
  <c r="R177" i="11"/>
  <c r="S177" i="11"/>
  <c r="V177" i="11"/>
  <c r="U177" i="11"/>
  <c r="X177" i="11"/>
  <c r="T177" i="11"/>
  <c r="Y177" i="11" s="1"/>
  <c r="W177" i="11" l="1"/>
  <c r="W287" i="10"/>
  <c r="Q178" i="11"/>
  <c r="Q288" i="10"/>
  <c r="R288" i="10"/>
  <c r="S288" i="10"/>
  <c r="V288" i="10"/>
  <c r="U288" i="10"/>
  <c r="X288" i="10"/>
  <c r="T288" i="10"/>
  <c r="Y288" i="10" s="1"/>
  <c r="R178" i="11"/>
  <c r="V178" i="11"/>
  <c r="U178" i="11"/>
  <c r="S178" i="11"/>
  <c r="X178" i="11"/>
  <c r="T178" i="11"/>
  <c r="Y178" i="11" s="1"/>
  <c r="W178" i="11" l="1"/>
  <c r="W288" i="10"/>
  <c r="Q179" i="11"/>
  <c r="Q289" i="10"/>
  <c r="R289" i="10"/>
  <c r="V289" i="10"/>
  <c r="U289" i="10"/>
  <c r="S289" i="10"/>
  <c r="X289" i="10"/>
  <c r="T289" i="10"/>
  <c r="Y289" i="10" s="1"/>
  <c r="R179" i="11"/>
  <c r="U179" i="11"/>
  <c r="S179" i="11"/>
  <c r="V179" i="11"/>
  <c r="X179" i="11"/>
  <c r="T179" i="11"/>
  <c r="Y179" i="11" s="1"/>
  <c r="W179" i="11" l="1"/>
  <c r="W289" i="10"/>
  <c r="Q180" i="11"/>
  <c r="Q290" i="10"/>
  <c r="R290" i="10"/>
  <c r="U290" i="10"/>
  <c r="S290" i="10"/>
  <c r="V290" i="10"/>
  <c r="X290" i="10"/>
  <c r="T290" i="10"/>
  <c r="Y290" i="10" s="1"/>
  <c r="R180" i="11"/>
  <c r="S180" i="11"/>
  <c r="V180" i="11"/>
  <c r="U180" i="11"/>
  <c r="X180" i="11"/>
  <c r="T180" i="11"/>
  <c r="Y180" i="11"/>
  <c r="W180" i="11" l="1"/>
  <c r="W290" i="10"/>
  <c r="Q181" i="11"/>
  <c r="Q291" i="10"/>
  <c r="R291" i="10"/>
  <c r="S291" i="10"/>
  <c r="V291" i="10"/>
  <c r="U291" i="10"/>
  <c r="X291" i="10"/>
  <c r="T291" i="10"/>
  <c r="Y291" i="10"/>
  <c r="R181" i="11"/>
  <c r="S181" i="11"/>
  <c r="V181" i="11"/>
  <c r="U181" i="11"/>
  <c r="X181" i="11"/>
  <c r="T181" i="11"/>
  <c r="Y181" i="11" s="1"/>
  <c r="W181" i="11" l="1"/>
  <c r="W291" i="10"/>
  <c r="Q182" i="11"/>
  <c r="Q292" i="10"/>
  <c r="R292" i="10"/>
  <c r="S292" i="10"/>
  <c r="V292" i="10"/>
  <c r="U292" i="10"/>
  <c r="X292" i="10"/>
  <c r="T292" i="10"/>
  <c r="Y292" i="10" s="1"/>
  <c r="R182" i="11"/>
  <c r="V182" i="11"/>
  <c r="U182" i="11"/>
  <c r="S182" i="11"/>
  <c r="X182" i="11"/>
  <c r="T182" i="11"/>
  <c r="Y182" i="11" s="1"/>
  <c r="W182" i="11" l="1"/>
  <c r="W292" i="10"/>
  <c r="Q183" i="11"/>
  <c r="Q293" i="10"/>
  <c r="R293" i="10"/>
  <c r="V293" i="10"/>
  <c r="U293" i="10"/>
  <c r="S293" i="10"/>
  <c r="X293" i="10"/>
  <c r="T293" i="10"/>
  <c r="Y293" i="10" s="1"/>
  <c r="R183" i="11"/>
  <c r="U183" i="11"/>
  <c r="S183" i="11"/>
  <c r="V183" i="11"/>
  <c r="X183" i="11"/>
  <c r="T183" i="11"/>
  <c r="Y183" i="11" s="1"/>
  <c r="W183" i="11" l="1"/>
  <c r="W293" i="10"/>
  <c r="Q184" i="11"/>
  <c r="Q294" i="10"/>
  <c r="R294" i="10"/>
  <c r="U294" i="10"/>
  <c r="S294" i="10"/>
  <c r="V294" i="10"/>
  <c r="X294" i="10"/>
  <c r="T294" i="10"/>
  <c r="Y294" i="10" s="1"/>
  <c r="R184" i="11"/>
  <c r="S184" i="11"/>
  <c r="V184" i="11"/>
  <c r="U184" i="11"/>
  <c r="X184" i="11"/>
  <c r="T184" i="11"/>
  <c r="Y184" i="11"/>
  <c r="W184" i="11" l="1"/>
  <c r="W294" i="10"/>
  <c r="Q185" i="11"/>
  <c r="Q295" i="10"/>
  <c r="R295" i="10"/>
  <c r="V295" i="10"/>
  <c r="S295" i="10"/>
  <c r="U295" i="10"/>
  <c r="X295" i="10"/>
  <c r="T295" i="10"/>
  <c r="Y295" i="10"/>
  <c r="R185" i="11"/>
  <c r="S185" i="11"/>
  <c r="V185" i="11"/>
  <c r="U185" i="11"/>
  <c r="X185" i="11"/>
  <c r="T185" i="11"/>
  <c r="Y185" i="11" s="1"/>
  <c r="W185" i="11" l="1"/>
  <c r="W295" i="10"/>
  <c r="Q186" i="11"/>
  <c r="Q296" i="10"/>
  <c r="R296" i="10"/>
  <c r="U296" i="10"/>
  <c r="S296" i="10"/>
  <c r="V296" i="10"/>
  <c r="X296" i="10"/>
  <c r="T296" i="10"/>
  <c r="Y296" i="10" s="1"/>
  <c r="R186" i="11"/>
  <c r="V186" i="11"/>
  <c r="U186" i="11"/>
  <c r="S186" i="11"/>
  <c r="X186" i="11"/>
  <c r="T186" i="11"/>
  <c r="Y186" i="11" s="1"/>
  <c r="W186" i="11" l="1"/>
  <c r="W296" i="10"/>
  <c r="Q187" i="11"/>
  <c r="Q297" i="10"/>
  <c r="R297" i="10"/>
  <c r="V297" i="10"/>
  <c r="U297" i="10"/>
  <c r="S297" i="10"/>
  <c r="T297" i="10"/>
  <c r="X297" i="10"/>
  <c r="Y297" i="10"/>
  <c r="R187" i="11"/>
  <c r="U187" i="11"/>
  <c r="S187" i="11"/>
  <c r="V187" i="11"/>
  <c r="X187" i="11"/>
  <c r="T187" i="11"/>
  <c r="Y187" i="11" s="1"/>
  <c r="W187" i="11" l="1"/>
  <c r="W297" i="10"/>
  <c r="Q188" i="11"/>
  <c r="Q298" i="10"/>
  <c r="R298" i="10"/>
  <c r="S298" i="10"/>
  <c r="U298" i="10"/>
  <c r="V298" i="10"/>
  <c r="X298" i="10"/>
  <c r="T298" i="10"/>
  <c r="Y298" i="10" s="1"/>
  <c r="R188" i="11"/>
  <c r="S188" i="11"/>
  <c r="V188" i="11"/>
  <c r="U188" i="11"/>
  <c r="X188" i="11"/>
  <c r="T188" i="11"/>
  <c r="Y188" i="11"/>
  <c r="W188" i="11" l="1"/>
  <c r="W298" i="10"/>
  <c r="Q189" i="11"/>
  <c r="Q299" i="10"/>
  <c r="R299" i="10"/>
  <c r="V299" i="10"/>
  <c r="S299" i="10"/>
  <c r="U299" i="10"/>
  <c r="X299" i="10"/>
  <c r="T299" i="10"/>
  <c r="Y299" i="10"/>
  <c r="R189" i="11"/>
  <c r="S189" i="11"/>
  <c r="V189" i="11"/>
  <c r="U189" i="11"/>
  <c r="X189" i="11"/>
  <c r="T189" i="11"/>
  <c r="Y189" i="11" s="1"/>
  <c r="W189" i="11" l="1"/>
  <c r="W299" i="10"/>
  <c r="Q190" i="11"/>
  <c r="Q300" i="10"/>
  <c r="R300" i="10"/>
  <c r="U300" i="10"/>
  <c r="S300" i="10"/>
  <c r="V300" i="10"/>
  <c r="X300" i="10"/>
  <c r="T300" i="10"/>
  <c r="Y300" i="10" s="1"/>
  <c r="R190" i="11"/>
  <c r="V190" i="11"/>
  <c r="U190" i="11"/>
  <c r="S190" i="11"/>
  <c r="X190" i="11"/>
  <c r="T190" i="11"/>
  <c r="Y190" i="11" s="1"/>
  <c r="W190" i="11" l="1"/>
  <c r="W300" i="10"/>
  <c r="Q191" i="11"/>
  <c r="Q301" i="10"/>
  <c r="R301" i="10"/>
  <c r="V301" i="10"/>
  <c r="U301" i="10"/>
  <c r="S301" i="10"/>
  <c r="X301" i="10"/>
  <c r="T301" i="10"/>
  <c r="Y301" i="10"/>
  <c r="R191" i="11"/>
  <c r="U191" i="11"/>
  <c r="S191" i="11"/>
  <c r="V191" i="11"/>
  <c r="X191" i="11"/>
  <c r="T191" i="11"/>
  <c r="Y191" i="11" s="1"/>
  <c r="I8" i="11"/>
  <c r="J8" i="11"/>
  <c r="G8" i="11" l="1"/>
  <c r="F8" i="11"/>
  <c r="W191" i="11"/>
  <c r="W301" i="10"/>
  <c r="Q192" i="11"/>
  <c r="Q302" i="10"/>
  <c r="R302" i="10"/>
  <c r="S302" i="10"/>
  <c r="U302" i="10"/>
  <c r="V302" i="10"/>
  <c r="X302" i="10"/>
  <c r="T302" i="10"/>
  <c r="Y302" i="10" s="1"/>
  <c r="R192" i="11"/>
  <c r="S192" i="11"/>
  <c r="V192" i="11"/>
  <c r="U192" i="11"/>
  <c r="X192" i="11"/>
  <c r="T192" i="11"/>
  <c r="Y192" i="11"/>
  <c r="H8" i="11" l="1"/>
  <c r="W192" i="11"/>
  <c r="W302" i="10"/>
  <c r="Q193" i="11"/>
  <c r="Q303" i="10"/>
  <c r="R303" i="10"/>
  <c r="V303" i="10"/>
  <c r="S303" i="10"/>
  <c r="U303" i="10"/>
  <c r="T303" i="10"/>
  <c r="X303" i="10"/>
  <c r="Y303" i="10"/>
  <c r="R193" i="11"/>
  <c r="S193" i="11"/>
  <c r="V193" i="11"/>
  <c r="U193" i="11"/>
  <c r="X193" i="11"/>
  <c r="T193" i="11"/>
  <c r="Y193" i="11" s="1"/>
  <c r="W193" i="11" l="1"/>
  <c r="W303" i="10"/>
  <c r="Q194" i="11"/>
  <c r="Q304" i="10"/>
  <c r="R304" i="10"/>
  <c r="U304" i="10"/>
  <c r="S304" i="10"/>
  <c r="V304" i="10"/>
  <c r="X304" i="10"/>
  <c r="T304" i="10"/>
  <c r="Y304" i="10" s="1"/>
  <c r="R194" i="11"/>
  <c r="V194" i="11"/>
  <c r="U194" i="11"/>
  <c r="S194" i="11"/>
  <c r="X194" i="11"/>
  <c r="T194" i="11"/>
  <c r="Y194" i="11" s="1"/>
  <c r="W194" i="11" l="1"/>
  <c r="W304" i="10"/>
  <c r="Q195" i="11"/>
  <c r="Q305" i="10"/>
  <c r="R305" i="10"/>
  <c r="V305" i="10"/>
  <c r="U305" i="10"/>
  <c r="S305" i="10"/>
  <c r="X305" i="10"/>
  <c r="T305" i="10"/>
  <c r="Y305" i="10"/>
  <c r="R195" i="11"/>
  <c r="U195" i="11"/>
  <c r="S195" i="11"/>
  <c r="V195" i="11"/>
  <c r="X195" i="11"/>
  <c r="T195" i="11"/>
  <c r="Y195" i="11" s="1"/>
  <c r="W195" i="11" l="1"/>
  <c r="W305" i="10"/>
  <c r="Q196" i="11"/>
  <c r="Q306" i="10"/>
  <c r="R306" i="10"/>
  <c r="S306" i="10"/>
  <c r="U306" i="10"/>
  <c r="V306" i="10"/>
  <c r="X306" i="10"/>
  <c r="T306" i="10"/>
  <c r="Y306" i="10" s="1"/>
  <c r="R196" i="11"/>
  <c r="S196" i="11"/>
  <c r="V196" i="11"/>
  <c r="U196" i="11"/>
  <c r="X196" i="11"/>
  <c r="T196" i="11"/>
  <c r="Y196" i="11"/>
  <c r="W196" i="11" l="1"/>
  <c r="W306" i="10"/>
  <c r="Q197" i="11"/>
  <c r="Q307" i="10"/>
  <c r="R307" i="10"/>
  <c r="V307" i="10"/>
  <c r="S307" i="10"/>
  <c r="U307" i="10"/>
  <c r="T307" i="10"/>
  <c r="X307" i="10"/>
  <c r="Y307" i="10"/>
  <c r="R197" i="11"/>
  <c r="S197" i="11"/>
  <c r="V197" i="11"/>
  <c r="U197" i="11"/>
  <c r="X197" i="11"/>
  <c r="T197" i="11"/>
  <c r="Y197" i="11" s="1"/>
  <c r="W197" i="11" l="1"/>
  <c r="W307" i="10"/>
  <c r="Q198" i="11"/>
  <c r="Q308" i="10"/>
  <c r="R308" i="10"/>
  <c r="U308" i="10"/>
  <c r="S308" i="10"/>
  <c r="V308" i="10"/>
  <c r="X308" i="10"/>
  <c r="T308" i="10"/>
  <c r="Y308" i="10" s="1"/>
  <c r="R198" i="11"/>
  <c r="V198" i="11"/>
  <c r="U198" i="11"/>
  <c r="S198" i="11"/>
  <c r="X198" i="11"/>
  <c r="T198" i="11"/>
  <c r="Y198" i="11" s="1"/>
  <c r="W198" i="11" l="1"/>
  <c r="W308" i="10"/>
  <c r="Q199" i="11"/>
  <c r="Q309" i="10"/>
  <c r="R309" i="10"/>
  <c r="V309" i="10"/>
  <c r="U309" i="10"/>
  <c r="S309" i="10"/>
  <c r="X309" i="10"/>
  <c r="T309" i="10"/>
  <c r="Y309" i="10"/>
  <c r="R199" i="11"/>
  <c r="U199" i="11"/>
  <c r="S199" i="11"/>
  <c r="V199" i="11"/>
  <c r="X199" i="11"/>
  <c r="T199" i="11"/>
  <c r="Y199" i="11" s="1"/>
  <c r="W199" i="11" l="1"/>
  <c r="W309" i="10"/>
  <c r="Q200" i="11"/>
  <c r="Q310" i="10"/>
  <c r="R310" i="10"/>
  <c r="S310" i="10"/>
  <c r="U310" i="10"/>
  <c r="V310" i="10"/>
  <c r="X310" i="10"/>
  <c r="T310" i="10"/>
  <c r="Y310" i="10" s="1"/>
  <c r="R200" i="11"/>
  <c r="S200" i="11"/>
  <c r="V200" i="11"/>
  <c r="U200" i="11"/>
  <c r="X200" i="11"/>
  <c r="T200" i="11"/>
  <c r="Y200" i="11"/>
  <c r="W200" i="11" l="1"/>
  <c r="W310" i="10"/>
  <c r="Q201" i="11"/>
  <c r="Q311" i="10"/>
  <c r="R311" i="10"/>
  <c r="V311" i="10"/>
  <c r="S311" i="10"/>
  <c r="U311" i="10"/>
  <c r="T311" i="10"/>
  <c r="X311" i="10"/>
  <c r="Y311" i="10"/>
  <c r="R201" i="11"/>
  <c r="S201" i="11"/>
  <c r="V201" i="11"/>
  <c r="U201" i="11"/>
  <c r="X201" i="11"/>
  <c r="T201" i="11"/>
  <c r="Y201" i="11" s="1"/>
  <c r="W201" i="11" l="1"/>
  <c r="W311" i="10"/>
  <c r="Q202" i="11"/>
  <c r="Q312" i="10"/>
  <c r="R312" i="10"/>
  <c r="S312" i="10"/>
  <c r="V312" i="10"/>
  <c r="U312" i="10"/>
  <c r="X312" i="10"/>
  <c r="T312" i="10"/>
  <c r="Y312" i="10" s="1"/>
  <c r="R202" i="11"/>
  <c r="V202" i="11"/>
  <c r="U202" i="11"/>
  <c r="S202" i="11"/>
  <c r="X202" i="11"/>
  <c r="T202" i="11"/>
  <c r="Y202" i="11" s="1"/>
  <c r="W202" i="11" l="1"/>
  <c r="W312" i="10"/>
  <c r="Q203" i="11"/>
  <c r="Q313" i="10"/>
  <c r="R313" i="10"/>
  <c r="V313" i="10"/>
  <c r="U313" i="10"/>
  <c r="S313" i="10"/>
  <c r="T313" i="10"/>
  <c r="Y313" i="10" s="1"/>
  <c r="X313" i="10"/>
  <c r="R203" i="11"/>
  <c r="U203" i="11"/>
  <c r="S203" i="11"/>
  <c r="V203" i="11"/>
  <c r="T203" i="11"/>
  <c r="Y203" i="11"/>
  <c r="X203" i="11"/>
  <c r="W203" i="11" l="1"/>
  <c r="W313" i="10"/>
  <c r="Q204" i="11"/>
  <c r="Q314" i="10"/>
  <c r="R314" i="10"/>
  <c r="S314" i="10"/>
  <c r="U314" i="10"/>
  <c r="V314" i="10"/>
  <c r="T314" i="10"/>
  <c r="Y314" i="10"/>
  <c r="X314" i="10"/>
  <c r="R204" i="11"/>
  <c r="S204" i="11"/>
  <c r="V204" i="11"/>
  <c r="U204" i="11"/>
  <c r="T204" i="11"/>
  <c r="X204" i="11"/>
  <c r="Y204" i="11"/>
  <c r="W204" i="11" l="1"/>
  <c r="W314" i="10"/>
  <c r="Q205" i="11"/>
  <c r="Q315" i="10"/>
  <c r="R315" i="10"/>
  <c r="V315" i="10"/>
  <c r="S315" i="10"/>
  <c r="U315" i="10"/>
  <c r="T315" i="10"/>
  <c r="X315" i="10"/>
  <c r="Y315" i="10"/>
  <c r="R205" i="11"/>
  <c r="V205" i="11"/>
  <c r="S205" i="11"/>
  <c r="U205" i="11"/>
  <c r="X205" i="11"/>
  <c r="T205" i="11"/>
  <c r="Y205" i="11" s="1"/>
  <c r="W205" i="11" l="1"/>
  <c r="W315" i="10"/>
  <c r="Q206" i="11"/>
  <c r="Q316" i="10"/>
  <c r="R316" i="10"/>
  <c r="S316" i="10"/>
  <c r="V316" i="10"/>
  <c r="U316" i="10"/>
  <c r="X316" i="10"/>
  <c r="T316" i="10"/>
  <c r="Y316" i="10" s="1"/>
  <c r="R206" i="11"/>
  <c r="V206" i="11"/>
  <c r="U206" i="11"/>
  <c r="S206" i="11"/>
  <c r="X206" i="11"/>
  <c r="T206" i="11"/>
  <c r="Y206" i="11" s="1"/>
  <c r="W206" i="11" l="1"/>
  <c r="W316" i="10"/>
  <c r="Q207" i="11"/>
  <c r="Q317" i="10"/>
  <c r="R317" i="10"/>
  <c r="V317" i="10"/>
  <c r="U317" i="10"/>
  <c r="S317" i="10"/>
  <c r="T317" i="10"/>
  <c r="Y317" i="10" s="1"/>
  <c r="X317" i="10"/>
  <c r="R207" i="11"/>
  <c r="U207" i="11"/>
  <c r="S207" i="11"/>
  <c r="V207" i="11"/>
  <c r="T207" i="11"/>
  <c r="Y207" i="11"/>
  <c r="X207" i="11"/>
  <c r="W207" i="11" l="1"/>
  <c r="W317" i="10"/>
  <c r="Q208" i="11"/>
  <c r="Q318" i="10"/>
  <c r="R318" i="10"/>
  <c r="S318" i="10"/>
  <c r="U318" i="10"/>
  <c r="V318" i="10"/>
  <c r="T318" i="10"/>
  <c r="Y318" i="10" s="1"/>
  <c r="X318" i="10"/>
  <c r="R208" i="11"/>
  <c r="S208" i="11"/>
  <c r="V208" i="11"/>
  <c r="U208" i="11"/>
  <c r="T208" i="11"/>
  <c r="X208" i="11"/>
  <c r="Y208" i="11"/>
  <c r="W208" i="11" l="1"/>
  <c r="W318" i="10"/>
  <c r="Q209" i="11"/>
  <c r="Q319" i="10"/>
  <c r="R319" i="10"/>
  <c r="V319" i="10"/>
  <c r="S319" i="10"/>
  <c r="U319" i="10"/>
  <c r="T319" i="10"/>
  <c r="X319" i="10"/>
  <c r="Y319" i="10"/>
  <c r="R209" i="11"/>
  <c r="V209" i="11"/>
  <c r="S209" i="11"/>
  <c r="U209" i="11"/>
  <c r="X209" i="11"/>
  <c r="T209" i="11"/>
  <c r="Y209" i="11" s="1"/>
  <c r="W209" i="11" l="1"/>
  <c r="W319" i="10"/>
  <c r="Q210" i="11"/>
  <c r="Q320" i="10"/>
  <c r="R320" i="10"/>
  <c r="S320" i="10"/>
  <c r="V320" i="10"/>
  <c r="U320" i="10"/>
  <c r="X320" i="10"/>
  <c r="T320" i="10"/>
  <c r="Y320" i="10" s="1"/>
  <c r="R210" i="11"/>
  <c r="V210" i="11"/>
  <c r="U210" i="11"/>
  <c r="S210" i="11"/>
  <c r="X210" i="11"/>
  <c r="T210" i="11"/>
  <c r="Y210" i="11" s="1"/>
  <c r="W210" i="11" l="1"/>
  <c r="W320" i="10"/>
  <c r="Q211" i="11"/>
  <c r="Q321" i="10"/>
  <c r="R321" i="10"/>
  <c r="V321" i="10"/>
  <c r="U321" i="10"/>
  <c r="S321" i="10"/>
  <c r="T321" i="10"/>
  <c r="Y321" i="10" s="1"/>
  <c r="X321" i="10"/>
  <c r="R211" i="11"/>
  <c r="U211" i="11"/>
  <c r="S211" i="11"/>
  <c r="V211" i="11"/>
  <c r="X211" i="11"/>
  <c r="T211" i="11"/>
  <c r="Y211" i="11" s="1"/>
  <c r="W211" i="11" l="1"/>
  <c r="W321" i="10"/>
  <c r="Q212" i="11"/>
  <c r="Q322" i="10"/>
  <c r="R322" i="10"/>
  <c r="S322" i="10"/>
  <c r="U322" i="10"/>
  <c r="V322" i="10"/>
  <c r="T322" i="10"/>
  <c r="Y322" i="10"/>
  <c r="X322" i="10"/>
  <c r="R212" i="11"/>
  <c r="S212" i="11"/>
  <c r="V212" i="11"/>
  <c r="U212" i="11"/>
  <c r="X212" i="11"/>
  <c r="T212" i="11"/>
  <c r="Y212" i="11"/>
  <c r="W212" i="11" l="1"/>
  <c r="W322" i="10"/>
  <c r="Q213" i="11"/>
  <c r="Q323" i="10"/>
  <c r="R323" i="10"/>
  <c r="V323" i="10"/>
  <c r="S323" i="10"/>
  <c r="U323" i="10"/>
  <c r="T323" i="10"/>
  <c r="X323" i="10"/>
  <c r="Y323" i="10"/>
  <c r="R213" i="11"/>
  <c r="S213" i="11"/>
  <c r="V213" i="11"/>
  <c r="U213" i="11"/>
  <c r="X213" i="11"/>
  <c r="T213" i="11"/>
  <c r="Y213" i="11" s="1"/>
  <c r="W213" i="11" l="1"/>
  <c r="W323" i="10"/>
  <c r="Q214" i="11"/>
  <c r="Q324" i="10"/>
  <c r="R324" i="10"/>
  <c r="S324" i="10"/>
  <c r="V324" i="10"/>
  <c r="U324" i="10"/>
  <c r="X324" i="10"/>
  <c r="T324" i="10"/>
  <c r="Y324" i="10" s="1"/>
  <c r="R214" i="11"/>
  <c r="V214" i="11"/>
  <c r="U214" i="11"/>
  <c r="S214" i="11"/>
  <c r="X214" i="11"/>
  <c r="T214" i="11"/>
  <c r="Y214" i="11" s="1"/>
  <c r="W214" i="11" l="1"/>
  <c r="W324" i="10"/>
  <c r="Q215" i="11"/>
  <c r="Q325" i="10"/>
  <c r="R325" i="10"/>
  <c r="V325" i="10"/>
  <c r="U325" i="10"/>
  <c r="S325" i="10"/>
  <c r="T325" i="10"/>
  <c r="Y325" i="10" s="1"/>
  <c r="X325" i="10"/>
  <c r="R215" i="11"/>
  <c r="U215" i="11"/>
  <c r="S215" i="11"/>
  <c r="V215" i="11"/>
  <c r="X215" i="11"/>
  <c r="T215" i="11"/>
  <c r="Y215" i="11" s="1"/>
  <c r="W215" i="11" l="1"/>
  <c r="W325" i="10"/>
  <c r="Q216" i="11"/>
  <c r="Q326" i="10"/>
  <c r="R326" i="10"/>
  <c r="S326" i="10"/>
  <c r="U326" i="10"/>
  <c r="V326" i="10"/>
  <c r="T326" i="10"/>
  <c r="Y326" i="10" s="1"/>
  <c r="X326" i="10"/>
  <c r="R216" i="11"/>
  <c r="S216" i="11"/>
  <c r="V216" i="11"/>
  <c r="U216" i="11"/>
  <c r="T216" i="11"/>
  <c r="X216" i="11"/>
  <c r="Y216" i="11"/>
  <c r="W216" i="11" l="1"/>
  <c r="W326" i="10"/>
  <c r="Q217" i="11"/>
  <c r="Q327" i="10"/>
  <c r="R327" i="10"/>
  <c r="V327" i="10"/>
  <c r="S327" i="10"/>
  <c r="U327" i="10"/>
  <c r="T327" i="10"/>
  <c r="X327" i="10"/>
  <c r="Y327" i="10"/>
  <c r="R217" i="11"/>
  <c r="S217" i="11"/>
  <c r="V217" i="11"/>
  <c r="U217" i="11"/>
  <c r="X217" i="11"/>
  <c r="T217" i="11"/>
  <c r="Y217" i="11" s="1"/>
  <c r="W217" i="11" l="1"/>
  <c r="W327" i="10"/>
  <c r="Q218" i="11"/>
  <c r="Q328" i="10"/>
  <c r="R328" i="10"/>
  <c r="S328" i="10"/>
  <c r="V328" i="10"/>
  <c r="U328" i="10"/>
  <c r="X328" i="10"/>
  <c r="T328" i="10"/>
  <c r="Y328" i="10" s="1"/>
  <c r="R218" i="11"/>
  <c r="V218" i="11"/>
  <c r="U218" i="11"/>
  <c r="S218" i="11"/>
  <c r="X218" i="11"/>
  <c r="T218" i="11"/>
  <c r="Y218" i="11" s="1"/>
  <c r="W218" i="11" l="1"/>
  <c r="W328" i="10"/>
  <c r="Q219" i="11"/>
  <c r="Q329" i="10"/>
  <c r="R329" i="10"/>
  <c r="V329" i="10"/>
  <c r="U329" i="10"/>
  <c r="S329" i="10"/>
  <c r="T329" i="10"/>
  <c r="Y329" i="10" s="1"/>
  <c r="X329" i="10"/>
  <c r="R219" i="11"/>
  <c r="U219" i="11"/>
  <c r="S219" i="11"/>
  <c r="V219" i="11"/>
  <c r="X219" i="11"/>
  <c r="T219" i="11"/>
  <c r="Y219" i="11" s="1"/>
  <c r="W219" i="11" l="1"/>
  <c r="W329" i="10"/>
  <c r="Q220" i="11"/>
  <c r="Q330" i="10"/>
  <c r="R330" i="10"/>
  <c r="S330" i="10"/>
  <c r="U330" i="10"/>
  <c r="V330" i="10"/>
  <c r="T330" i="10"/>
  <c r="Y330" i="10"/>
  <c r="X330" i="10"/>
  <c r="R220" i="11"/>
  <c r="S220" i="11"/>
  <c r="V220" i="11"/>
  <c r="U220" i="11"/>
  <c r="T220" i="11"/>
  <c r="X220" i="11"/>
  <c r="Y220" i="11"/>
  <c r="W220" i="11" l="1"/>
  <c r="W330" i="10"/>
  <c r="Q221" i="11"/>
  <c r="Q331" i="10"/>
  <c r="R331" i="10"/>
  <c r="V331" i="10"/>
  <c r="S331" i="10"/>
  <c r="U331" i="10"/>
  <c r="T331" i="10"/>
  <c r="X331" i="10"/>
  <c r="Y331" i="10"/>
  <c r="R221" i="11"/>
  <c r="S221" i="11"/>
  <c r="V221" i="11"/>
  <c r="U221" i="11"/>
  <c r="X221" i="11"/>
  <c r="T221" i="11"/>
  <c r="Y221" i="11" s="1"/>
  <c r="W221" i="11" l="1"/>
  <c r="W331" i="10"/>
  <c r="Q222" i="11"/>
  <c r="Q332" i="10"/>
  <c r="R332" i="10"/>
  <c r="S332" i="10"/>
  <c r="V332" i="10"/>
  <c r="U332" i="10"/>
  <c r="X332" i="10"/>
  <c r="T332" i="10"/>
  <c r="Y332" i="10" s="1"/>
  <c r="R222" i="11"/>
  <c r="V222" i="11"/>
  <c r="U222" i="11"/>
  <c r="S222" i="11"/>
  <c r="X222" i="11"/>
  <c r="T222" i="11"/>
  <c r="Y222" i="11" s="1"/>
  <c r="W222" i="11" l="1"/>
  <c r="W332" i="10"/>
  <c r="Q223" i="11"/>
  <c r="Q333" i="10"/>
  <c r="R333" i="10"/>
  <c r="V333" i="10"/>
  <c r="U333" i="10"/>
  <c r="S333" i="10"/>
  <c r="T333" i="10"/>
  <c r="Y333" i="10" s="1"/>
  <c r="X333" i="10"/>
  <c r="R223" i="11"/>
  <c r="U223" i="11"/>
  <c r="S223" i="11"/>
  <c r="V223" i="11"/>
  <c r="X223" i="11"/>
  <c r="T223" i="11"/>
  <c r="Y223" i="11" s="1"/>
  <c r="W223" i="11" l="1"/>
  <c r="W333" i="10"/>
  <c r="Q224" i="11"/>
  <c r="Q334" i="10"/>
  <c r="R334" i="10"/>
  <c r="S334" i="10"/>
  <c r="U334" i="10"/>
  <c r="V334" i="10"/>
  <c r="T334" i="10"/>
  <c r="Y334" i="10" s="1"/>
  <c r="X334" i="10"/>
  <c r="R224" i="11"/>
  <c r="S224" i="11"/>
  <c r="V224" i="11"/>
  <c r="U224" i="11"/>
  <c r="X224" i="11"/>
  <c r="T224" i="11"/>
  <c r="Y224" i="11"/>
  <c r="W224" i="11" l="1"/>
  <c r="W334" i="10"/>
  <c r="Q225" i="11"/>
  <c r="Q335" i="10"/>
  <c r="R335" i="10"/>
  <c r="V335" i="10"/>
  <c r="S335" i="10"/>
  <c r="U335" i="10"/>
  <c r="T335" i="10"/>
  <c r="X335" i="10"/>
  <c r="Y335" i="10"/>
  <c r="R225" i="11"/>
  <c r="S225" i="11"/>
  <c r="V225" i="11"/>
  <c r="U225" i="11"/>
  <c r="X225" i="11"/>
  <c r="T225" i="11"/>
  <c r="Y225" i="11" s="1"/>
  <c r="W225" i="11" l="1"/>
  <c r="W335" i="10"/>
  <c r="Q226" i="11"/>
  <c r="Q336" i="10"/>
  <c r="R336" i="10"/>
  <c r="S336" i="10"/>
  <c r="V336" i="10"/>
  <c r="U336" i="10"/>
  <c r="X336" i="10"/>
  <c r="T336" i="10"/>
  <c r="Y336" i="10" s="1"/>
  <c r="R226" i="11"/>
  <c r="V226" i="11"/>
  <c r="U226" i="11"/>
  <c r="S226" i="11"/>
  <c r="X226" i="11"/>
  <c r="T226" i="11"/>
  <c r="Y226" i="11" s="1"/>
  <c r="W226" i="11" l="1"/>
  <c r="W336" i="10"/>
  <c r="Q227" i="11"/>
  <c r="Q337" i="10"/>
  <c r="R337" i="10"/>
  <c r="V337" i="10"/>
  <c r="U337" i="10"/>
  <c r="S337" i="10"/>
  <c r="T337" i="10"/>
  <c r="Y337" i="10" s="1"/>
  <c r="X337" i="10"/>
  <c r="R227" i="11"/>
  <c r="U227" i="11"/>
  <c r="S227" i="11"/>
  <c r="V227" i="11"/>
  <c r="X227" i="11"/>
  <c r="T227" i="11"/>
  <c r="Y227" i="11" s="1"/>
  <c r="W227" i="11" l="1"/>
  <c r="W337" i="10"/>
  <c r="Q228" i="11"/>
  <c r="Q338" i="10"/>
  <c r="R338" i="10"/>
  <c r="S338" i="10"/>
  <c r="V338" i="10"/>
  <c r="U338" i="10"/>
  <c r="X338" i="10"/>
  <c r="T338" i="10"/>
  <c r="Y338" i="10" s="1"/>
  <c r="R228" i="11"/>
  <c r="S228" i="11"/>
  <c r="V228" i="11"/>
  <c r="U228" i="11"/>
  <c r="T228" i="11"/>
  <c r="X228" i="11"/>
  <c r="Y228" i="11"/>
  <c r="W228" i="11" l="1"/>
  <c r="W338" i="10"/>
  <c r="Q229" i="11"/>
  <c r="Q339" i="10"/>
  <c r="R339" i="10"/>
  <c r="V339" i="10"/>
  <c r="U339" i="10"/>
  <c r="S339" i="10"/>
  <c r="X339" i="10"/>
  <c r="T339" i="10"/>
  <c r="Y339" i="10" s="1"/>
  <c r="R229" i="11"/>
  <c r="S229" i="11"/>
  <c r="V229" i="11"/>
  <c r="U229" i="11"/>
  <c r="X229" i="11"/>
  <c r="T229" i="11"/>
  <c r="Y229" i="11" s="1"/>
  <c r="W229" i="11" l="1"/>
  <c r="W339" i="10"/>
  <c r="Q230" i="11"/>
  <c r="Q340" i="10"/>
  <c r="R340" i="10"/>
  <c r="U340" i="10"/>
  <c r="S340" i="10"/>
  <c r="V340" i="10"/>
  <c r="X340" i="10"/>
  <c r="T340" i="10"/>
  <c r="Y340" i="10" s="1"/>
  <c r="R230" i="11"/>
  <c r="V230" i="11"/>
  <c r="U230" i="11"/>
  <c r="S230" i="11"/>
  <c r="X230" i="11"/>
  <c r="T230" i="11"/>
  <c r="Y230" i="11" s="1"/>
  <c r="W230" i="11" l="1"/>
  <c r="W340" i="10"/>
  <c r="Q231" i="11"/>
  <c r="Q341" i="10"/>
  <c r="R341" i="10"/>
  <c r="S341" i="10"/>
  <c r="V341" i="10"/>
  <c r="U341" i="10"/>
  <c r="T341" i="10"/>
  <c r="X341" i="10"/>
  <c r="Y341" i="10"/>
  <c r="R231" i="11"/>
  <c r="U231" i="11"/>
  <c r="S231" i="11"/>
  <c r="V231" i="11"/>
  <c r="X231" i="11"/>
  <c r="T231" i="11"/>
  <c r="Y231" i="11" s="1"/>
  <c r="W231" i="11" l="1"/>
  <c r="W341" i="10"/>
  <c r="Q232" i="11"/>
  <c r="Q342" i="10"/>
  <c r="R342" i="10"/>
  <c r="S342" i="10"/>
  <c r="V342" i="10"/>
  <c r="U342" i="10"/>
  <c r="X342" i="10"/>
  <c r="T342" i="10"/>
  <c r="Y342" i="10" s="1"/>
  <c r="R232" i="11"/>
  <c r="S232" i="11"/>
  <c r="V232" i="11"/>
  <c r="U232" i="11"/>
  <c r="X232" i="11"/>
  <c r="T232" i="11"/>
  <c r="Y232" i="11"/>
  <c r="W232" i="11" l="1"/>
  <c r="W342" i="10"/>
  <c r="Q233" i="11"/>
  <c r="Q343" i="10"/>
  <c r="R343" i="10"/>
  <c r="V343" i="10"/>
  <c r="U343" i="10"/>
  <c r="S343" i="10"/>
  <c r="X343" i="10"/>
  <c r="T343" i="10"/>
  <c r="Y343" i="10" s="1"/>
  <c r="R233" i="11"/>
  <c r="S233" i="11"/>
  <c r="V233" i="11"/>
  <c r="U233" i="11"/>
  <c r="X233" i="11"/>
  <c r="T233" i="11"/>
  <c r="Y233" i="11" s="1"/>
  <c r="W233" i="11" l="1"/>
  <c r="W343" i="10"/>
  <c r="Q234" i="11"/>
  <c r="Q344" i="10"/>
  <c r="R344" i="10"/>
  <c r="U344" i="10"/>
  <c r="S344" i="10"/>
  <c r="V344" i="10"/>
  <c r="X344" i="10"/>
  <c r="T344" i="10"/>
  <c r="Y344" i="10" s="1"/>
  <c r="R234" i="11"/>
  <c r="V234" i="11"/>
  <c r="U234" i="11"/>
  <c r="S234" i="11"/>
  <c r="X234" i="11"/>
  <c r="T234" i="11"/>
  <c r="Y234" i="11" s="1"/>
  <c r="W234" i="11" l="1"/>
  <c r="W344" i="10"/>
  <c r="Q235" i="11"/>
  <c r="Q345" i="10"/>
  <c r="R345" i="10"/>
  <c r="S345" i="10"/>
  <c r="V345" i="10"/>
  <c r="U345" i="10"/>
  <c r="T345" i="10"/>
  <c r="X345" i="10"/>
  <c r="Y345" i="10"/>
  <c r="R235" i="11"/>
  <c r="U235" i="11"/>
  <c r="S235" i="11"/>
  <c r="V235" i="11"/>
  <c r="X235" i="11"/>
  <c r="T235" i="11"/>
  <c r="Y235" i="11" s="1"/>
  <c r="W235" i="11" l="1"/>
  <c r="W345" i="10"/>
  <c r="Q236" i="11"/>
  <c r="Q346" i="10"/>
  <c r="R346" i="10"/>
  <c r="S346" i="10"/>
  <c r="V346" i="10"/>
  <c r="U346" i="10"/>
  <c r="X346" i="10"/>
  <c r="T346" i="10"/>
  <c r="Y346" i="10" s="1"/>
  <c r="R236" i="11"/>
  <c r="S236" i="11"/>
  <c r="V236" i="11"/>
  <c r="U236" i="11"/>
  <c r="X236" i="11"/>
  <c r="T236" i="11"/>
  <c r="Y236" i="11"/>
  <c r="W236" i="11" l="1"/>
  <c r="W346" i="10"/>
  <c r="Q237" i="11"/>
  <c r="Q347" i="10"/>
  <c r="R347" i="10"/>
  <c r="V347" i="10"/>
  <c r="U347" i="10"/>
  <c r="S347" i="10"/>
  <c r="X347" i="10"/>
  <c r="T347" i="10"/>
  <c r="Y347" i="10" s="1"/>
  <c r="R237" i="11"/>
  <c r="S237" i="11"/>
  <c r="V237" i="11"/>
  <c r="U237" i="11"/>
  <c r="X237" i="11"/>
  <c r="T237" i="11"/>
  <c r="Y237" i="11" s="1"/>
  <c r="W237" i="11" l="1"/>
  <c r="W347" i="10"/>
  <c r="Q238" i="11"/>
  <c r="Q348" i="10"/>
  <c r="R348" i="10"/>
  <c r="U348" i="10"/>
  <c r="S348" i="10"/>
  <c r="V348" i="10"/>
  <c r="X348" i="10"/>
  <c r="T348" i="10"/>
  <c r="Y348" i="10" s="1"/>
  <c r="R238" i="11"/>
  <c r="V238" i="11"/>
  <c r="U238" i="11"/>
  <c r="S238" i="11"/>
  <c r="X238" i="11"/>
  <c r="T238" i="11"/>
  <c r="Y238" i="11" s="1"/>
  <c r="W238" i="11" l="1"/>
  <c r="W348" i="10"/>
  <c r="Q239" i="11"/>
  <c r="Q349" i="10"/>
  <c r="R349" i="10"/>
  <c r="S349" i="10"/>
  <c r="V349" i="10"/>
  <c r="U349" i="10"/>
  <c r="T349" i="10"/>
  <c r="X349" i="10"/>
  <c r="Y349" i="10"/>
  <c r="R239" i="11"/>
  <c r="U239" i="11"/>
  <c r="S239" i="11"/>
  <c r="V239" i="11"/>
  <c r="X239" i="11"/>
  <c r="T239" i="11"/>
  <c r="Y239" i="11" s="1"/>
  <c r="W239" i="11" l="1"/>
  <c r="W349" i="10"/>
  <c r="Q240" i="11"/>
  <c r="Q350" i="10"/>
  <c r="R350" i="10"/>
  <c r="S350" i="10"/>
  <c r="V350" i="10"/>
  <c r="U350" i="10"/>
  <c r="X350" i="10"/>
  <c r="T350" i="10"/>
  <c r="Y350" i="10" s="1"/>
  <c r="R240" i="11"/>
  <c r="S240" i="11"/>
  <c r="V240" i="11"/>
  <c r="U240" i="11"/>
  <c r="T240" i="11"/>
  <c r="X240" i="11"/>
  <c r="Y240" i="11"/>
  <c r="W240" i="11" l="1"/>
  <c r="W350" i="10"/>
  <c r="Q241" i="11"/>
  <c r="Q351" i="10"/>
  <c r="R351" i="10"/>
  <c r="V351" i="10"/>
  <c r="U351" i="10"/>
  <c r="S351" i="10"/>
  <c r="X351" i="10"/>
  <c r="T351" i="10"/>
  <c r="Y351" i="10" s="1"/>
  <c r="R241" i="11"/>
  <c r="S241" i="11"/>
  <c r="V241" i="11"/>
  <c r="U241" i="11"/>
  <c r="X241" i="11"/>
  <c r="T241" i="11"/>
  <c r="Y241" i="11" s="1"/>
  <c r="W241" i="11" l="1"/>
  <c r="W351" i="10"/>
  <c r="Q242" i="11"/>
  <c r="Q352" i="10"/>
  <c r="R352" i="10"/>
  <c r="U352" i="10"/>
  <c r="S352" i="10"/>
  <c r="V352" i="10"/>
  <c r="X352" i="10"/>
  <c r="T352" i="10"/>
  <c r="Y352" i="10" s="1"/>
  <c r="R242" i="11"/>
  <c r="V242" i="11"/>
  <c r="U242" i="11"/>
  <c r="S242" i="11"/>
  <c r="X242" i="11"/>
  <c r="T242" i="11"/>
  <c r="Y242" i="11" s="1"/>
  <c r="W242" i="11" l="1"/>
  <c r="W352" i="10"/>
  <c r="Q243" i="11"/>
  <c r="Q353" i="10"/>
  <c r="R353" i="10"/>
  <c r="S353" i="10"/>
  <c r="V353" i="10"/>
  <c r="U353" i="10"/>
  <c r="T353" i="10"/>
  <c r="X353" i="10"/>
  <c r="Y353" i="10"/>
  <c r="R243" i="11"/>
  <c r="U243" i="11"/>
  <c r="S243" i="11"/>
  <c r="V243" i="11"/>
  <c r="X243" i="11"/>
  <c r="T243" i="11"/>
  <c r="Y243" i="11" s="1"/>
  <c r="W243" i="11" l="1"/>
  <c r="W353" i="10"/>
  <c r="Q244" i="11"/>
  <c r="Q354" i="10"/>
  <c r="R354" i="10"/>
  <c r="S354" i="10"/>
  <c r="V354" i="10"/>
  <c r="U354" i="10"/>
  <c r="X354" i="10"/>
  <c r="T354" i="10"/>
  <c r="Y354" i="10" s="1"/>
  <c r="R244" i="11"/>
  <c r="S244" i="11"/>
  <c r="V244" i="11"/>
  <c r="U244" i="11"/>
  <c r="T244" i="11"/>
  <c r="X244" i="11"/>
  <c r="Y244" i="11"/>
  <c r="W244" i="11" l="1"/>
  <c r="W354" i="10"/>
  <c r="Q245" i="11"/>
  <c r="Q355" i="10"/>
  <c r="R355" i="10"/>
  <c r="V355" i="10"/>
  <c r="U355" i="10"/>
  <c r="S355" i="10"/>
  <c r="X355" i="10"/>
  <c r="T355" i="10"/>
  <c r="Y355" i="10" s="1"/>
  <c r="R245" i="11"/>
  <c r="S245" i="11"/>
  <c r="V245" i="11"/>
  <c r="U245" i="11"/>
  <c r="X245" i="11"/>
  <c r="T245" i="11"/>
  <c r="Y245" i="11" s="1"/>
  <c r="W245" i="11" l="1"/>
  <c r="W355" i="10"/>
  <c r="Q246" i="11"/>
  <c r="Q356" i="10"/>
  <c r="R356" i="10"/>
  <c r="U356" i="10"/>
  <c r="S356" i="10"/>
  <c r="V356" i="10"/>
  <c r="X356" i="10"/>
  <c r="T356" i="10"/>
  <c r="Y356" i="10" s="1"/>
  <c r="R246" i="11"/>
  <c r="V246" i="11"/>
  <c r="U246" i="11"/>
  <c r="S246" i="11"/>
  <c r="X246" i="11"/>
  <c r="T246" i="11"/>
  <c r="Y246" i="11" s="1"/>
  <c r="W246" i="11" l="1"/>
  <c r="W356" i="10"/>
  <c r="Q247" i="11"/>
  <c r="Q357" i="10"/>
  <c r="R357" i="10"/>
  <c r="S357" i="10"/>
  <c r="V357" i="10"/>
  <c r="U357" i="10"/>
  <c r="T357" i="10"/>
  <c r="X357" i="10"/>
  <c r="Y357" i="10"/>
  <c r="R247" i="11"/>
  <c r="U247" i="11"/>
  <c r="S247" i="11"/>
  <c r="V247" i="11"/>
  <c r="X247" i="11"/>
  <c r="T247" i="11"/>
  <c r="Y247" i="11" s="1"/>
  <c r="W247" i="11" l="1"/>
  <c r="W357" i="10"/>
  <c r="Q248" i="11"/>
  <c r="Q358" i="10"/>
  <c r="R358" i="10"/>
  <c r="S358" i="10"/>
  <c r="V358" i="10"/>
  <c r="U358" i="10"/>
  <c r="X358" i="10"/>
  <c r="T358" i="10"/>
  <c r="Y358" i="10" s="1"/>
  <c r="R248" i="11"/>
  <c r="S248" i="11"/>
  <c r="V248" i="11"/>
  <c r="U248" i="11"/>
  <c r="X248" i="11"/>
  <c r="T248" i="11"/>
  <c r="Y248" i="11"/>
  <c r="W248" i="11" l="1"/>
  <c r="W358" i="10"/>
  <c r="Q249" i="11"/>
  <c r="Q359" i="10"/>
  <c r="R359" i="10"/>
  <c r="V359" i="10"/>
  <c r="U359" i="10"/>
  <c r="S359" i="10"/>
  <c r="X359" i="10"/>
  <c r="T359" i="10"/>
  <c r="Y359" i="10" s="1"/>
  <c r="R249" i="11"/>
  <c r="S249" i="11"/>
  <c r="V249" i="11"/>
  <c r="U249" i="11"/>
  <c r="X249" i="11"/>
  <c r="T249" i="11"/>
  <c r="Y249" i="11" s="1"/>
  <c r="W249" i="11" l="1"/>
  <c r="W359" i="10"/>
  <c r="Q250" i="11"/>
  <c r="Q360" i="10"/>
  <c r="R360" i="10"/>
  <c r="U360" i="10"/>
  <c r="S360" i="10"/>
  <c r="V360" i="10"/>
  <c r="X360" i="10"/>
  <c r="T360" i="10"/>
  <c r="Y360" i="10" s="1"/>
  <c r="R250" i="11"/>
  <c r="V250" i="11"/>
  <c r="U250" i="11"/>
  <c r="S250" i="11"/>
  <c r="X250" i="11"/>
  <c r="T250" i="11"/>
  <c r="Y250" i="11" s="1"/>
  <c r="W250" i="11" l="1"/>
  <c r="W360" i="10"/>
  <c r="Q251" i="11"/>
  <c r="Q361" i="10"/>
  <c r="R361" i="10"/>
  <c r="S361" i="10"/>
  <c r="V361" i="10"/>
  <c r="U361" i="10"/>
  <c r="T361" i="10"/>
  <c r="X361" i="10"/>
  <c r="Y361" i="10"/>
  <c r="R251" i="11"/>
  <c r="U251" i="11"/>
  <c r="S251" i="11"/>
  <c r="V251" i="11"/>
  <c r="X251" i="11"/>
  <c r="T251" i="11"/>
  <c r="Y251" i="11" s="1"/>
  <c r="W251" i="11" l="1"/>
  <c r="W361" i="10"/>
  <c r="Q252" i="11"/>
  <c r="Q362" i="10"/>
  <c r="R362" i="10"/>
  <c r="S362" i="10"/>
  <c r="V362" i="10"/>
  <c r="U362" i="10"/>
  <c r="X362" i="10"/>
  <c r="T362" i="10"/>
  <c r="Y362" i="10" s="1"/>
  <c r="I3" i="10"/>
  <c r="I4" i="10"/>
  <c r="I6" i="10"/>
  <c r="I7" i="10"/>
  <c r="I5" i="10"/>
  <c r="J5" i="10"/>
  <c r="J6" i="10"/>
  <c r="J3" i="10"/>
  <c r="J7" i="10"/>
  <c r="J4" i="10"/>
  <c r="R252" i="11"/>
  <c r="S252" i="11"/>
  <c r="V252" i="11"/>
  <c r="U252" i="11"/>
  <c r="X252" i="11"/>
  <c r="T252" i="11"/>
  <c r="Y252" i="11"/>
  <c r="W252" i="11" l="1"/>
  <c r="F5" i="10"/>
  <c r="G5" i="10"/>
  <c r="F7" i="10"/>
  <c r="G7" i="10"/>
  <c r="G6" i="10"/>
  <c r="F6" i="10"/>
  <c r="F4" i="10"/>
  <c r="G4" i="10"/>
  <c r="F3" i="10"/>
  <c r="G3" i="10"/>
  <c r="W362" i="10"/>
  <c r="Q253" i="11"/>
  <c r="Q363" i="10"/>
  <c r="R363" i="10"/>
  <c r="V363" i="10"/>
  <c r="U363" i="10"/>
  <c r="S363" i="10"/>
  <c r="X363" i="10"/>
  <c r="T363" i="10"/>
  <c r="Y363" i="10" s="1"/>
  <c r="R253" i="11"/>
  <c r="S253" i="11"/>
  <c r="V253" i="11"/>
  <c r="U253" i="11"/>
  <c r="X253" i="11"/>
  <c r="T253" i="11"/>
  <c r="Y253" i="11" s="1"/>
  <c r="H6" i="10" l="1"/>
  <c r="W253" i="11"/>
  <c r="H4" i="10"/>
  <c r="H7" i="10"/>
  <c r="H3" i="10"/>
  <c r="H5" i="10"/>
  <c r="W363" i="10"/>
  <c r="J9" i="11"/>
  <c r="I9" i="11"/>
  <c r="M14" i="11"/>
  <c r="Q364" i="10"/>
  <c r="R364" i="10"/>
  <c r="U364" i="10"/>
  <c r="S364" i="10"/>
  <c r="V364" i="10"/>
  <c r="X364" i="10"/>
  <c r="T364" i="10"/>
  <c r="Y364" i="10" s="1"/>
  <c r="M16" i="11"/>
  <c r="M17" i="11"/>
  <c r="M15" i="11"/>
  <c r="M20" i="11"/>
  <c r="M22" i="11"/>
  <c r="M21" i="11"/>
  <c r="M23" i="11"/>
  <c r="F9" i="11" l="1"/>
  <c r="G9" i="11"/>
  <c r="H9" i="11" s="1"/>
  <c r="W364" i="10"/>
  <c r="Q365" i="10"/>
  <c r="R365" i="10"/>
  <c r="S365" i="10"/>
  <c r="V365" i="10"/>
  <c r="U365" i="10"/>
  <c r="T365" i="10"/>
  <c r="X365" i="10"/>
  <c r="Y365" i="10"/>
  <c r="W365" i="10" l="1"/>
  <c r="Q366" i="10"/>
  <c r="R366" i="10"/>
  <c r="S366" i="10"/>
  <c r="V366" i="10"/>
  <c r="U366" i="10"/>
  <c r="X366" i="10"/>
  <c r="T366" i="10"/>
  <c r="Y366" i="10" s="1"/>
  <c r="W366" i="10" l="1"/>
  <c r="Q367" i="10"/>
  <c r="R367" i="10"/>
  <c r="V367" i="10"/>
  <c r="U367" i="10"/>
  <c r="S367" i="10"/>
  <c r="X367" i="10"/>
  <c r="T367" i="10"/>
  <c r="Y367" i="10" s="1"/>
  <c r="W367" i="10" l="1"/>
  <c r="Q368" i="10"/>
  <c r="R368" i="10"/>
  <c r="U368" i="10"/>
  <c r="S368" i="10"/>
  <c r="V368" i="10"/>
  <c r="X368" i="10"/>
  <c r="T368" i="10"/>
  <c r="Y368" i="10" s="1"/>
  <c r="W368" i="10" l="1"/>
  <c r="Q369" i="10"/>
  <c r="R369" i="10"/>
  <c r="S369" i="10"/>
  <c r="V369" i="10"/>
  <c r="U369" i="10"/>
  <c r="T369" i="10"/>
  <c r="X369" i="10"/>
  <c r="Y369" i="10"/>
  <c r="W369" i="10" l="1"/>
  <c r="Q370" i="10"/>
  <c r="R370" i="10"/>
  <c r="S370" i="10"/>
  <c r="V370" i="10"/>
  <c r="U370" i="10"/>
  <c r="X370" i="10"/>
  <c r="T370" i="10"/>
  <c r="Y370" i="10" s="1"/>
  <c r="W370" i="10" l="1"/>
  <c r="Q371" i="10"/>
  <c r="R371" i="10"/>
  <c r="V371" i="10"/>
  <c r="U371" i="10"/>
  <c r="S371" i="10"/>
  <c r="X371" i="10"/>
  <c r="T371" i="10"/>
  <c r="Y371" i="10" s="1"/>
  <c r="W371" i="10" l="1"/>
  <c r="Q372" i="10"/>
  <c r="R372" i="10"/>
  <c r="U372" i="10"/>
  <c r="S372" i="10"/>
  <c r="V372" i="10"/>
  <c r="X372" i="10"/>
  <c r="T372" i="10"/>
  <c r="Y372" i="10" s="1"/>
  <c r="W372" i="10" l="1"/>
  <c r="Q373" i="10"/>
  <c r="R373" i="10"/>
  <c r="S373" i="10"/>
  <c r="V373" i="10"/>
  <c r="U373" i="10"/>
  <c r="T373" i="10"/>
  <c r="X373" i="10"/>
  <c r="Y373" i="10"/>
  <c r="W373" i="10" l="1"/>
  <c r="Q374" i="10"/>
  <c r="R374" i="10"/>
  <c r="S374" i="10"/>
  <c r="V374" i="10"/>
  <c r="U374" i="10"/>
  <c r="X374" i="10"/>
  <c r="T374" i="10"/>
  <c r="Y374" i="10" s="1"/>
  <c r="W374" i="10" l="1"/>
  <c r="Q375" i="10"/>
  <c r="R375" i="10"/>
  <c r="V375" i="10"/>
  <c r="U375" i="10"/>
  <c r="S375" i="10"/>
  <c r="X375" i="10"/>
  <c r="T375" i="10"/>
  <c r="Y375" i="10" s="1"/>
  <c r="W375" i="10" l="1"/>
  <c r="Q376" i="10"/>
  <c r="R376" i="10"/>
  <c r="U376" i="10"/>
  <c r="S376" i="10"/>
  <c r="V376" i="10"/>
  <c r="X376" i="10"/>
  <c r="T376" i="10"/>
  <c r="Y376" i="10" s="1"/>
  <c r="W376" i="10" l="1"/>
  <c r="Q377" i="10"/>
  <c r="R377" i="10"/>
  <c r="S377" i="10"/>
  <c r="V377" i="10"/>
  <c r="U377" i="10"/>
  <c r="T377" i="10"/>
  <c r="X377" i="10"/>
  <c r="Y377" i="10"/>
  <c r="W377" i="10" l="1"/>
  <c r="Q378" i="10"/>
  <c r="R378" i="10"/>
  <c r="S378" i="10"/>
  <c r="V378" i="10"/>
  <c r="U378" i="10"/>
  <c r="X378" i="10"/>
  <c r="T378" i="10"/>
  <c r="Y378" i="10" s="1"/>
  <c r="W378" i="10" l="1"/>
  <c r="Q379" i="10"/>
  <c r="R379" i="10"/>
  <c r="V379" i="10"/>
  <c r="U379" i="10"/>
  <c r="S379" i="10"/>
  <c r="X379" i="10"/>
  <c r="T379" i="10"/>
  <c r="Y379" i="10" s="1"/>
  <c r="W379" i="10" l="1"/>
  <c r="Q380" i="10"/>
  <c r="R380" i="10"/>
  <c r="U380" i="10"/>
  <c r="S380" i="10"/>
  <c r="V380" i="10"/>
  <c r="X380" i="10"/>
  <c r="T380" i="10"/>
  <c r="Y380" i="10" s="1"/>
  <c r="W380" i="10" l="1"/>
  <c r="Q381" i="10"/>
  <c r="R381" i="10"/>
  <c r="S381" i="10"/>
  <c r="V381" i="10"/>
  <c r="U381" i="10"/>
  <c r="T381" i="10"/>
  <c r="X381" i="10"/>
  <c r="Y381" i="10"/>
  <c r="W381" i="10" l="1"/>
  <c r="Q382" i="10"/>
  <c r="R382" i="10"/>
  <c r="S382" i="10"/>
  <c r="V382" i="10"/>
  <c r="U382" i="10"/>
  <c r="X382" i="10"/>
  <c r="T382" i="10"/>
  <c r="Y382" i="10" s="1"/>
  <c r="W382" i="10" l="1"/>
  <c r="Q383" i="10"/>
  <c r="R383" i="10"/>
  <c r="V383" i="10"/>
  <c r="U383" i="10"/>
  <c r="S383" i="10"/>
  <c r="X383" i="10"/>
  <c r="T383" i="10"/>
  <c r="Y383" i="10" s="1"/>
  <c r="W383" i="10" l="1"/>
  <c r="Q384" i="10"/>
  <c r="R384" i="10"/>
  <c r="U384" i="10"/>
  <c r="S384" i="10"/>
  <c r="V384" i="10"/>
  <c r="X384" i="10"/>
  <c r="T384" i="10"/>
  <c r="Y384" i="10" s="1"/>
  <c r="G8" i="12" l="1"/>
  <c r="F8" i="12"/>
  <c r="F4" i="12"/>
  <c r="G5" i="12"/>
  <c r="G7" i="12"/>
  <c r="H7" i="12" s="1"/>
  <c r="F7" i="12"/>
  <c r="F3" i="12"/>
  <c r="F5" i="12"/>
  <c r="F6" i="12"/>
  <c r="G4" i="12"/>
  <c r="G3" i="12"/>
  <c r="H3" i="12" s="1"/>
  <c r="G6" i="12"/>
  <c r="W384" i="10"/>
  <c r="Q385" i="10"/>
  <c r="R385" i="10"/>
  <c r="S385" i="10"/>
  <c r="V385" i="10"/>
  <c r="U385" i="10"/>
  <c r="X385" i="10"/>
  <c r="T385" i="10"/>
  <c r="Y385" i="10"/>
  <c r="H8" i="12" l="1"/>
  <c r="H6" i="12"/>
  <c r="H5" i="12"/>
  <c r="H4" i="12"/>
  <c r="F9" i="12"/>
  <c r="G9" i="12"/>
  <c r="W385" i="10"/>
  <c r="Q386" i="10"/>
  <c r="R386" i="10"/>
  <c r="V386" i="10"/>
  <c r="S386" i="10"/>
  <c r="U386" i="10"/>
  <c r="T386" i="10"/>
  <c r="X386" i="10"/>
  <c r="Y386" i="10"/>
  <c r="H9" i="12" l="1"/>
  <c r="W386" i="10"/>
  <c r="Q387" i="10"/>
  <c r="R387" i="10"/>
  <c r="U387" i="10"/>
  <c r="S387" i="10"/>
  <c r="V387" i="10"/>
  <c r="X387" i="10"/>
  <c r="T387" i="10"/>
  <c r="Y387" i="10" s="1"/>
  <c r="W387" i="10" l="1"/>
  <c r="Q388" i="10"/>
  <c r="R388" i="10"/>
  <c r="S388" i="10"/>
  <c r="U388" i="10"/>
  <c r="V388" i="10"/>
  <c r="X388" i="10"/>
  <c r="T388" i="10"/>
  <c r="Y388" i="10" s="1"/>
  <c r="W388" i="10" l="1"/>
  <c r="Q389" i="10"/>
  <c r="R389" i="10"/>
  <c r="S389" i="10"/>
  <c r="V389" i="10"/>
  <c r="U389" i="10"/>
  <c r="X389" i="10"/>
  <c r="T389" i="10"/>
  <c r="Y389" i="10"/>
  <c r="W389" i="10" l="1"/>
  <c r="Q390" i="10"/>
  <c r="R390" i="10"/>
  <c r="V390" i="10"/>
  <c r="U390" i="10"/>
  <c r="S390" i="10"/>
  <c r="X390" i="10"/>
  <c r="T390" i="10"/>
  <c r="Y390" i="10" s="1"/>
  <c r="W390" i="10" l="1"/>
  <c r="Q391" i="10"/>
  <c r="R391" i="10"/>
  <c r="V391" i="10"/>
  <c r="U391" i="10"/>
  <c r="S391" i="10"/>
  <c r="X391" i="10"/>
  <c r="T391" i="10"/>
  <c r="Y391" i="10" s="1"/>
  <c r="W391" i="10" l="1"/>
  <c r="Q392" i="10"/>
  <c r="R392" i="10"/>
  <c r="U392" i="10"/>
  <c r="S392" i="10"/>
  <c r="V392" i="10"/>
  <c r="X392" i="10"/>
  <c r="T392" i="10"/>
  <c r="Y392" i="10"/>
  <c r="W392" i="10" l="1"/>
  <c r="Q393" i="10"/>
  <c r="R393" i="10"/>
  <c r="S393" i="10"/>
  <c r="V393" i="10"/>
  <c r="U393" i="10"/>
  <c r="X393" i="10"/>
  <c r="T393" i="10"/>
  <c r="Y393" i="10"/>
  <c r="W393" i="10" l="1"/>
  <c r="Q394" i="10"/>
  <c r="R394" i="10"/>
  <c r="V394" i="10"/>
  <c r="U394" i="10"/>
  <c r="S394" i="10"/>
  <c r="X394" i="10"/>
  <c r="T394" i="10"/>
  <c r="Y394" i="10" s="1"/>
  <c r="W394" i="10" l="1"/>
  <c r="Q395" i="10"/>
  <c r="R395" i="10"/>
  <c r="V395" i="10"/>
  <c r="U395" i="10"/>
  <c r="S395" i="10"/>
  <c r="X395" i="10"/>
  <c r="T395" i="10"/>
  <c r="Y395" i="10" s="1"/>
  <c r="W395" i="10" l="1"/>
  <c r="Q396" i="10"/>
  <c r="Q397" i="10" s="1"/>
  <c r="R396" i="10"/>
  <c r="S396" i="10"/>
  <c r="U396" i="10"/>
  <c r="V396" i="10"/>
  <c r="X396" i="10"/>
  <c r="T396" i="10"/>
  <c r="Y396" i="10" s="1"/>
  <c r="Q398" i="10"/>
  <c r="R397" i="10"/>
  <c r="Q399" i="10"/>
  <c r="R398" i="10"/>
  <c r="V397" i="10"/>
  <c r="S397" i="10"/>
  <c r="U397" i="10"/>
  <c r="Q400" i="10"/>
  <c r="R399" i="10"/>
  <c r="V398" i="10"/>
  <c r="S398" i="10"/>
  <c r="U398" i="10"/>
  <c r="T397" i="10"/>
  <c r="Y397" i="10"/>
  <c r="X397" i="10"/>
  <c r="Q401" i="10"/>
  <c r="R400" i="10"/>
  <c r="V399" i="10"/>
  <c r="S399" i="10"/>
  <c r="U399" i="10"/>
  <c r="T398" i="10"/>
  <c r="Y398" i="10" s="1"/>
  <c r="X398" i="10"/>
  <c r="Q402" i="10"/>
  <c r="R401" i="10"/>
  <c r="S400" i="10"/>
  <c r="V400" i="10"/>
  <c r="U400" i="10"/>
  <c r="T399" i="10"/>
  <c r="Y399" i="10" s="1"/>
  <c r="X399" i="10"/>
  <c r="Q403" i="10"/>
  <c r="R402" i="10"/>
  <c r="S401" i="10"/>
  <c r="V401" i="10"/>
  <c r="U401" i="10"/>
  <c r="T400" i="10"/>
  <c r="Y400" i="10"/>
  <c r="X400" i="10"/>
  <c r="Q404" i="10"/>
  <c r="R403" i="10"/>
  <c r="S402" i="10"/>
  <c r="U402" i="10"/>
  <c r="V402" i="10"/>
  <c r="T401" i="10"/>
  <c r="Y401" i="10"/>
  <c r="X401" i="10"/>
  <c r="Q405" i="10"/>
  <c r="R404" i="10"/>
  <c r="S403" i="10"/>
  <c r="U403" i="10"/>
  <c r="V403" i="10"/>
  <c r="T402" i="10"/>
  <c r="Y402" i="10" s="1"/>
  <c r="X402" i="10"/>
  <c r="Q406" i="10"/>
  <c r="R405" i="10"/>
  <c r="V404" i="10"/>
  <c r="S404" i="10"/>
  <c r="U404" i="10"/>
  <c r="T403" i="10"/>
  <c r="Y403" i="10" s="1"/>
  <c r="X403" i="10"/>
  <c r="Q407" i="10"/>
  <c r="R406" i="10"/>
  <c r="U405" i="10"/>
  <c r="V405" i="10"/>
  <c r="S405" i="10"/>
  <c r="T404" i="10"/>
  <c r="Y404" i="10" s="1"/>
  <c r="X404" i="10"/>
  <c r="Q408" i="10"/>
  <c r="R407" i="10"/>
  <c r="U406" i="10"/>
  <c r="V406" i="10"/>
  <c r="S406" i="10"/>
  <c r="X405" i="10"/>
  <c r="T405" i="10"/>
  <c r="Y405" i="10" s="1"/>
  <c r="Q409" i="10"/>
  <c r="R408" i="10"/>
  <c r="S407" i="10"/>
  <c r="V407" i="10"/>
  <c r="U407" i="10"/>
  <c r="T406" i="10"/>
  <c r="Y406" i="10" s="1"/>
  <c r="X406" i="10"/>
  <c r="Q410" i="10"/>
  <c r="R409" i="10"/>
  <c r="V408" i="10"/>
  <c r="S408" i="10"/>
  <c r="U408" i="10"/>
  <c r="T407" i="10"/>
  <c r="Y407" i="10" s="1"/>
  <c r="X407" i="10"/>
  <c r="Q411" i="10"/>
  <c r="R410" i="10"/>
  <c r="U409" i="10"/>
  <c r="V409" i="10"/>
  <c r="S409" i="10"/>
  <c r="T408" i="10"/>
  <c r="Y408" i="10" s="1"/>
  <c r="X408" i="10"/>
  <c r="Q412" i="10"/>
  <c r="R411" i="10"/>
  <c r="U410" i="10"/>
  <c r="S410" i="10"/>
  <c r="V410" i="10"/>
  <c r="T409" i="10"/>
  <c r="Y409" i="10" s="1"/>
  <c r="X409" i="10"/>
  <c r="Q413" i="10"/>
  <c r="R412" i="10"/>
  <c r="S411" i="10"/>
  <c r="V411" i="10"/>
  <c r="U411" i="10"/>
  <c r="T410" i="10"/>
  <c r="Y410" i="10" s="1"/>
  <c r="X410" i="10"/>
  <c r="Q414" i="10"/>
  <c r="R413" i="10"/>
  <c r="V412" i="10"/>
  <c r="U412" i="10"/>
  <c r="S412" i="10"/>
  <c r="T411" i="10"/>
  <c r="Y411" i="10" s="1"/>
  <c r="X411" i="10"/>
  <c r="Q415" i="10"/>
  <c r="R414" i="10"/>
  <c r="U413" i="10"/>
  <c r="V413" i="10"/>
  <c r="S413" i="10"/>
  <c r="T412" i="10"/>
  <c r="Y412" i="10" s="1"/>
  <c r="X412" i="10"/>
  <c r="Q416" i="10"/>
  <c r="R415" i="10"/>
  <c r="U414" i="10"/>
  <c r="S414" i="10"/>
  <c r="V414" i="10"/>
  <c r="X413" i="10"/>
  <c r="T413" i="10"/>
  <c r="Y413" i="10" s="1"/>
  <c r="Q417" i="10"/>
  <c r="R416" i="10"/>
  <c r="S415" i="10"/>
  <c r="V415" i="10"/>
  <c r="U415" i="10"/>
  <c r="T414" i="10"/>
  <c r="Y414" i="10" s="1"/>
  <c r="X414" i="10"/>
  <c r="Q418" i="10"/>
  <c r="R417" i="10"/>
  <c r="V416" i="10"/>
  <c r="S416" i="10"/>
  <c r="U416" i="10"/>
  <c r="T415" i="10"/>
  <c r="Y415" i="10" s="1"/>
  <c r="X415" i="10"/>
  <c r="Q419" i="10"/>
  <c r="R418" i="10"/>
  <c r="U417" i="10"/>
  <c r="V417" i="10"/>
  <c r="S417" i="10"/>
  <c r="T416" i="10"/>
  <c r="Y416" i="10" s="1"/>
  <c r="X416" i="10"/>
  <c r="Q420" i="10"/>
  <c r="R419" i="10"/>
  <c r="U418" i="10"/>
  <c r="S418" i="10"/>
  <c r="V418" i="10"/>
  <c r="T417" i="10"/>
  <c r="Y417" i="10" s="1"/>
  <c r="X417" i="10"/>
  <c r="Q421" i="10"/>
  <c r="R420" i="10"/>
  <c r="S419" i="10"/>
  <c r="U419" i="10"/>
  <c r="V419" i="10"/>
  <c r="T418" i="10"/>
  <c r="Y418" i="10" s="1"/>
  <c r="X418" i="10"/>
  <c r="Q422" i="10"/>
  <c r="R421" i="10"/>
  <c r="V420" i="10"/>
  <c r="S420" i="10"/>
  <c r="U420" i="10"/>
  <c r="T419" i="10"/>
  <c r="Y419" i="10" s="1"/>
  <c r="X419" i="10"/>
  <c r="Q423" i="10"/>
  <c r="R422" i="10"/>
  <c r="S421" i="10"/>
  <c r="V421" i="10"/>
  <c r="U421" i="10"/>
  <c r="T420" i="10"/>
  <c r="Y420" i="10" s="1"/>
  <c r="X420" i="10"/>
  <c r="Q424" i="10"/>
  <c r="R423" i="10"/>
  <c r="V422" i="10"/>
  <c r="S422" i="10"/>
  <c r="U422" i="10"/>
  <c r="T421" i="10"/>
  <c r="Y421" i="10" s="1"/>
  <c r="X421" i="10"/>
  <c r="Q425" i="10"/>
  <c r="R424" i="10"/>
  <c r="S423" i="10"/>
  <c r="V423" i="10"/>
  <c r="U423" i="10"/>
  <c r="T422" i="10"/>
  <c r="Y422" i="10" s="1"/>
  <c r="X422" i="10"/>
  <c r="Q426" i="10"/>
  <c r="R425" i="10"/>
  <c r="S424" i="10"/>
  <c r="V424" i="10"/>
  <c r="U424" i="10"/>
  <c r="T423" i="10"/>
  <c r="Y423" i="10" s="1"/>
  <c r="X423" i="10"/>
  <c r="Q427" i="10"/>
  <c r="R426" i="10"/>
  <c r="U425" i="10"/>
  <c r="V425" i="10"/>
  <c r="S425" i="10"/>
  <c r="T424" i="10"/>
  <c r="Y424" i="10"/>
  <c r="X424" i="10"/>
  <c r="Q428" i="10"/>
  <c r="R427" i="10"/>
  <c r="S426" i="10"/>
  <c r="U426" i="10"/>
  <c r="V426" i="10"/>
  <c r="T425" i="10"/>
  <c r="Y425" i="10" s="1"/>
  <c r="X425" i="10"/>
  <c r="Q429" i="10"/>
  <c r="R428" i="10"/>
  <c r="V427" i="10"/>
  <c r="S427" i="10"/>
  <c r="U427" i="10"/>
  <c r="T426" i="10"/>
  <c r="Y426" i="10" s="1"/>
  <c r="X426" i="10"/>
  <c r="Q430" i="10"/>
  <c r="R429" i="10"/>
  <c r="U428" i="10"/>
  <c r="V428" i="10"/>
  <c r="S428" i="10"/>
  <c r="T427" i="10"/>
  <c r="Y427" i="10" s="1"/>
  <c r="X427" i="10"/>
  <c r="Q431" i="10"/>
  <c r="R430" i="10"/>
  <c r="U429" i="10"/>
  <c r="V429" i="10"/>
  <c r="S429" i="10"/>
  <c r="T428" i="10"/>
  <c r="Y428" i="10" s="1"/>
  <c r="X428" i="10"/>
  <c r="Q432" i="10"/>
  <c r="R431" i="10"/>
  <c r="S430" i="10"/>
  <c r="U430" i="10"/>
  <c r="V430" i="10"/>
  <c r="T429" i="10"/>
  <c r="Y429" i="10" s="1"/>
  <c r="X429" i="10"/>
  <c r="Q433" i="10"/>
  <c r="R432" i="10"/>
  <c r="V431" i="10"/>
  <c r="S431" i="10"/>
  <c r="U431" i="10"/>
  <c r="T430" i="10"/>
  <c r="Y430" i="10" s="1"/>
  <c r="X430" i="10"/>
  <c r="Q434" i="10"/>
  <c r="R433" i="10"/>
  <c r="U432" i="10"/>
  <c r="V432" i="10"/>
  <c r="S432" i="10"/>
  <c r="T431" i="10"/>
  <c r="Y431" i="10" s="1"/>
  <c r="X431" i="10"/>
  <c r="Q435" i="10"/>
  <c r="R434" i="10"/>
  <c r="U433" i="10"/>
  <c r="V433" i="10"/>
  <c r="S433" i="10"/>
  <c r="T432" i="10"/>
  <c r="Y432" i="10" s="1"/>
  <c r="X432" i="10"/>
  <c r="Q436" i="10"/>
  <c r="R435" i="10"/>
  <c r="S434" i="10"/>
  <c r="U434" i="10"/>
  <c r="V434" i="10"/>
  <c r="T433" i="10"/>
  <c r="Y433" i="10" s="1"/>
  <c r="X433" i="10"/>
  <c r="Q437" i="10"/>
  <c r="R436" i="10"/>
  <c r="V435" i="10"/>
  <c r="S435" i="10"/>
  <c r="U435" i="10"/>
  <c r="T434" i="10"/>
  <c r="Y434" i="10" s="1"/>
  <c r="X434" i="10"/>
  <c r="Q438" i="10"/>
  <c r="R437" i="10"/>
  <c r="U436" i="10"/>
  <c r="V436" i="10"/>
  <c r="S436" i="10"/>
  <c r="T435" i="10"/>
  <c r="Y435" i="10" s="1"/>
  <c r="X435" i="10"/>
  <c r="Q439" i="10"/>
  <c r="R438" i="10"/>
  <c r="U437" i="10"/>
  <c r="V437" i="10"/>
  <c r="S437" i="10"/>
  <c r="T436" i="10"/>
  <c r="Y436" i="10" s="1"/>
  <c r="X436" i="10"/>
  <c r="Q440" i="10"/>
  <c r="R439" i="10"/>
  <c r="S438" i="10"/>
  <c r="U438" i="10"/>
  <c r="V438" i="10"/>
  <c r="T437" i="10"/>
  <c r="Y437" i="10" s="1"/>
  <c r="X437" i="10"/>
  <c r="Q441" i="10"/>
  <c r="R440" i="10"/>
  <c r="V439" i="10"/>
  <c r="S439" i="10"/>
  <c r="U439" i="10"/>
  <c r="T438" i="10"/>
  <c r="Y438" i="10" s="1"/>
  <c r="X438" i="10"/>
  <c r="Q442" i="10"/>
  <c r="R441" i="10"/>
  <c r="U440" i="10"/>
  <c r="V440" i="10"/>
  <c r="S440" i="10"/>
  <c r="T439" i="10"/>
  <c r="Y439" i="10" s="1"/>
  <c r="X439" i="10"/>
  <c r="Q443" i="10"/>
  <c r="R442" i="10"/>
  <c r="U441" i="10"/>
  <c r="V441" i="10"/>
  <c r="S441" i="10"/>
  <c r="T440" i="10"/>
  <c r="Y440" i="10" s="1"/>
  <c r="X440" i="10"/>
  <c r="Q444" i="10"/>
  <c r="R443" i="10"/>
  <c r="S442" i="10"/>
  <c r="U442" i="10"/>
  <c r="V442" i="10"/>
  <c r="T441" i="10"/>
  <c r="Y441" i="10" s="1"/>
  <c r="X441" i="10"/>
  <c r="Q445" i="10"/>
  <c r="R444" i="10"/>
  <c r="V443" i="10"/>
  <c r="S443" i="10"/>
  <c r="U443" i="10"/>
  <c r="T442" i="10"/>
  <c r="Y442" i="10" s="1"/>
  <c r="X442" i="10"/>
  <c r="Q446" i="10"/>
  <c r="R445" i="10"/>
  <c r="U444" i="10"/>
  <c r="V444" i="10"/>
  <c r="S444" i="10"/>
  <c r="T443" i="10"/>
  <c r="Y443" i="10" s="1"/>
  <c r="X443" i="10"/>
  <c r="Q447" i="10"/>
  <c r="R446" i="10"/>
  <c r="U445" i="10"/>
  <c r="V445" i="10"/>
  <c r="S445" i="10"/>
  <c r="T444" i="10"/>
  <c r="Y444" i="10" s="1"/>
  <c r="X444" i="10"/>
  <c r="Q448" i="10"/>
  <c r="R447" i="10"/>
  <c r="S446" i="10"/>
  <c r="U446" i="10"/>
  <c r="V446" i="10"/>
  <c r="T445" i="10"/>
  <c r="Y445" i="10" s="1"/>
  <c r="X445" i="10"/>
  <c r="Q449" i="10"/>
  <c r="R448" i="10"/>
  <c r="V447" i="10"/>
  <c r="S447" i="10"/>
  <c r="U447" i="10"/>
  <c r="T446" i="10"/>
  <c r="Y446" i="10" s="1"/>
  <c r="X446" i="10"/>
  <c r="Q450" i="10"/>
  <c r="R449" i="10"/>
  <c r="U448" i="10"/>
  <c r="V448" i="10"/>
  <c r="S448" i="10"/>
  <c r="T447" i="10"/>
  <c r="Y447" i="10" s="1"/>
  <c r="X447" i="10"/>
  <c r="Q451" i="10"/>
  <c r="R450" i="10"/>
  <c r="U449" i="10"/>
  <c r="V449" i="10"/>
  <c r="S449" i="10"/>
  <c r="T448" i="10"/>
  <c r="Y448" i="10" s="1"/>
  <c r="X448" i="10"/>
  <c r="Q452" i="10"/>
  <c r="R451" i="10"/>
  <c r="S450" i="10"/>
  <c r="U450" i="10"/>
  <c r="V450" i="10"/>
  <c r="T449" i="10"/>
  <c r="Y449" i="10" s="1"/>
  <c r="X449" i="10"/>
  <c r="Q453" i="10"/>
  <c r="R452" i="10"/>
  <c r="V451" i="10"/>
  <c r="S451" i="10"/>
  <c r="U451" i="10"/>
  <c r="T450" i="10"/>
  <c r="Y450" i="10" s="1"/>
  <c r="X450" i="10"/>
  <c r="Q454" i="10"/>
  <c r="R453" i="10"/>
  <c r="U452" i="10"/>
  <c r="V452" i="10"/>
  <c r="S452" i="10"/>
  <c r="T451" i="10"/>
  <c r="Y451" i="10" s="1"/>
  <c r="X451" i="10"/>
  <c r="Q455" i="10"/>
  <c r="R454" i="10"/>
  <c r="U453" i="10"/>
  <c r="V453" i="10"/>
  <c r="S453" i="10"/>
  <c r="T452" i="10"/>
  <c r="Y452" i="10" s="1"/>
  <c r="X452" i="10"/>
  <c r="Q456" i="10"/>
  <c r="R455" i="10"/>
  <c r="S454" i="10"/>
  <c r="U454" i="10"/>
  <c r="V454" i="10"/>
  <c r="T453" i="10"/>
  <c r="Y453" i="10" s="1"/>
  <c r="X453" i="10"/>
  <c r="Q457" i="10"/>
  <c r="R456" i="10"/>
  <c r="S455" i="10"/>
  <c r="U455" i="10"/>
  <c r="V455" i="10"/>
  <c r="T454" i="10"/>
  <c r="Y454" i="10" s="1"/>
  <c r="X454" i="10"/>
  <c r="Q458" i="10"/>
  <c r="R457" i="10"/>
  <c r="S456" i="10"/>
  <c r="V456" i="10"/>
  <c r="U456" i="10"/>
  <c r="T455" i="10"/>
  <c r="Y455" i="10" s="1"/>
  <c r="X455" i="10"/>
  <c r="Q459" i="10"/>
  <c r="R458" i="10"/>
  <c r="U457" i="10"/>
  <c r="V457" i="10"/>
  <c r="S457" i="10"/>
  <c r="T456" i="10"/>
  <c r="Y456" i="10" s="1"/>
  <c r="X456" i="10"/>
  <c r="Q460" i="10"/>
  <c r="R459" i="10"/>
  <c r="U458" i="10"/>
  <c r="V458" i="10"/>
  <c r="S458" i="10"/>
  <c r="T457" i="10"/>
  <c r="Y457" i="10" s="1"/>
  <c r="X457" i="10"/>
  <c r="Q461" i="10"/>
  <c r="R460" i="10"/>
  <c r="S459" i="10"/>
  <c r="U459" i="10"/>
  <c r="V459" i="10"/>
  <c r="T458" i="10"/>
  <c r="Y458" i="10" s="1"/>
  <c r="X458" i="10"/>
  <c r="Q462" i="10"/>
  <c r="R461" i="10"/>
  <c r="V460" i="10"/>
  <c r="S460" i="10"/>
  <c r="U460" i="10"/>
  <c r="T459" i="10"/>
  <c r="Y459" i="10" s="1"/>
  <c r="X459" i="10"/>
  <c r="Q463" i="10"/>
  <c r="R462" i="10"/>
  <c r="U461" i="10"/>
  <c r="V461" i="10"/>
  <c r="S461" i="10"/>
  <c r="T460" i="10"/>
  <c r="Y460" i="10" s="1"/>
  <c r="X460" i="10"/>
  <c r="Q464" i="10"/>
  <c r="R463" i="10"/>
  <c r="U462" i="10"/>
  <c r="V462" i="10"/>
  <c r="S462" i="10"/>
  <c r="T461" i="10"/>
  <c r="Y461" i="10" s="1"/>
  <c r="X461" i="10"/>
  <c r="Q465" i="10"/>
  <c r="R464" i="10"/>
  <c r="S463" i="10"/>
  <c r="U463" i="10"/>
  <c r="V463" i="10"/>
  <c r="T462" i="10"/>
  <c r="Y462" i="10" s="1"/>
  <c r="X462" i="10"/>
  <c r="Q466" i="10"/>
  <c r="R465" i="10"/>
  <c r="V464" i="10"/>
  <c r="S464" i="10"/>
  <c r="U464" i="10"/>
  <c r="T463" i="10"/>
  <c r="Y463" i="10" s="1"/>
  <c r="X463" i="10"/>
  <c r="Q467" i="10"/>
  <c r="R466" i="10"/>
  <c r="U465" i="10"/>
  <c r="V465" i="10"/>
  <c r="S465" i="10"/>
  <c r="T464" i="10"/>
  <c r="Y464" i="10" s="1"/>
  <c r="X464" i="10"/>
  <c r="Q468" i="10"/>
  <c r="R467" i="10"/>
  <c r="U466" i="10"/>
  <c r="V466" i="10"/>
  <c r="S466" i="10"/>
  <c r="T465" i="10"/>
  <c r="Y465" i="10" s="1"/>
  <c r="X465" i="10"/>
  <c r="Q469" i="10"/>
  <c r="R468" i="10"/>
  <c r="S467" i="10"/>
  <c r="U467" i="10"/>
  <c r="V467" i="10"/>
  <c r="T466" i="10"/>
  <c r="Y466" i="10" s="1"/>
  <c r="X466" i="10"/>
  <c r="Q470" i="10"/>
  <c r="R469" i="10"/>
  <c r="V468" i="10"/>
  <c r="S468" i="10"/>
  <c r="U468" i="10"/>
  <c r="T467" i="10"/>
  <c r="Y467" i="10" s="1"/>
  <c r="X467" i="10"/>
  <c r="Q471" i="10"/>
  <c r="R470" i="10"/>
  <c r="U469" i="10"/>
  <c r="V469" i="10"/>
  <c r="S469" i="10"/>
  <c r="T468" i="10"/>
  <c r="Y468" i="10" s="1"/>
  <c r="X468" i="10"/>
  <c r="Q472" i="10"/>
  <c r="R471" i="10"/>
  <c r="U470" i="10"/>
  <c r="V470" i="10"/>
  <c r="S470" i="10"/>
  <c r="T469" i="10"/>
  <c r="Y469" i="10" s="1"/>
  <c r="X469" i="10"/>
  <c r="Q473" i="10"/>
  <c r="R472" i="10"/>
  <c r="S471" i="10"/>
  <c r="U471" i="10"/>
  <c r="V471" i="10"/>
  <c r="T470" i="10"/>
  <c r="Y470" i="10" s="1"/>
  <c r="X470" i="10"/>
  <c r="Q474" i="10"/>
  <c r="R473" i="10"/>
  <c r="V472" i="10"/>
  <c r="S472" i="10"/>
  <c r="U472" i="10"/>
  <c r="T471" i="10"/>
  <c r="Y471" i="10" s="1"/>
  <c r="X471" i="10"/>
  <c r="Q475" i="10"/>
  <c r="R474" i="10"/>
  <c r="U473" i="10"/>
  <c r="V473" i="10"/>
  <c r="S473" i="10"/>
  <c r="T472" i="10"/>
  <c r="Y472" i="10" s="1"/>
  <c r="X472" i="10"/>
  <c r="Q476" i="10"/>
  <c r="R475" i="10"/>
  <c r="U474" i="10"/>
  <c r="V474" i="10"/>
  <c r="S474" i="10"/>
  <c r="T473" i="10"/>
  <c r="Y473" i="10" s="1"/>
  <c r="X473" i="10"/>
  <c r="Q477" i="10"/>
  <c r="R476" i="10"/>
  <c r="S475" i="10"/>
  <c r="U475" i="10"/>
  <c r="V475" i="10"/>
  <c r="T474" i="10"/>
  <c r="Y474" i="10" s="1"/>
  <c r="X474" i="10"/>
  <c r="Q478" i="10"/>
  <c r="R477" i="10"/>
  <c r="V476" i="10"/>
  <c r="S476" i="10"/>
  <c r="U476" i="10"/>
  <c r="T475" i="10"/>
  <c r="Y475" i="10" s="1"/>
  <c r="X475" i="10"/>
  <c r="Q479" i="10"/>
  <c r="R478" i="10"/>
  <c r="U477" i="10"/>
  <c r="V477" i="10"/>
  <c r="S477" i="10"/>
  <c r="T476" i="10"/>
  <c r="Y476" i="10" s="1"/>
  <c r="X476" i="10"/>
  <c r="Q480" i="10"/>
  <c r="R479" i="10"/>
  <c r="U478" i="10"/>
  <c r="V478" i="10"/>
  <c r="S478" i="10"/>
  <c r="T477" i="10"/>
  <c r="Y477" i="10" s="1"/>
  <c r="X477" i="10"/>
  <c r="Q481" i="10"/>
  <c r="R480" i="10"/>
  <c r="S479" i="10"/>
  <c r="U479" i="10"/>
  <c r="V479" i="10"/>
  <c r="T478" i="10"/>
  <c r="Y478" i="10" s="1"/>
  <c r="X478" i="10"/>
  <c r="Q482" i="10"/>
  <c r="R481" i="10"/>
  <c r="V480" i="10"/>
  <c r="S480" i="10"/>
  <c r="U480" i="10"/>
  <c r="T479" i="10"/>
  <c r="Y479" i="10" s="1"/>
  <c r="X479" i="10"/>
  <c r="Q483" i="10"/>
  <c r="R482" i="10"/>
  <c r="U481" i="10"/>
  <c r="V481" i="10"/>
  <c r="S481" i="10"/>
  <c r="T480" i="10"/>
  <c r="Y480" i="10" s="1"/>
  <c r="X480" i="10"/>
  <c r="Q484" i="10"/>
  <c r="R483" i="10"/>
  <c r="U482" i="10"/>
  <c r="V482" i="10"/>
  <c r="S482" i="10"/>
  <c r="T481" i="10"/>
  <c r="Y481" i="10" s="1"/>
  <c r="X481" i="10"/>
  <c r="Q485" i="10"/>
  <c r="R484" i="10"/>
  <c r="S483" i="10"/>
  <c r="U483" i="10"/>
  <c r="V483" i="10"/>
  <c r="T482" i="10"/>
  <c r="Y482" i="10" s="1"/>
  <c r="X482" i="10"/>
  <c r="Q486" i="10"/>
  <c r="R485" i="10"/>
  <c r="V484" i="10"/>
  <c r="S484" i="10"/>
  <c r="U484" i="10"/>
  <c r="T483" i="10"/>
  <c r="Y483" i="10" s="1"/>
  <c r="X483" i="10"/>
  <c r="Q487" i="10"/>
  <c r="R486" i="10"/>
  <c r="U485" i="10"/>
  <c r="V485" i="10"/>
  <c r="S485" i="10"/>
  <c r="T484" i="10"/>
  <c r="Y484" i="10" s="1"/>
  <c r="X484" i="10"/>
  <c r="Q488" i="10"/>
  <c r="R487" i="10"/>
  <c r="U486" i="10"/>
  <c r="V486" i="10"/>
  <c r="S486" i="10"/>
  <c r="T485" i="10"/>
  <c r="Y485" i="10" s="1"/>
  <c r="X485" i="10"/>
  <c r="Q489" i="10"/>
  <c r="R488" i="10"/>
  <c r="S487" i="10"/>
  <c r="U487" i="10"/>
  <c r="V487" i="10"/>
  <c r="T486" i="10"/>
  <c r="Y486" i="10" s="1"/>
  <c r="X486" i="10"/>
  <c r="Q490" i="10"/>
  <c r="R489" i="10"/>
  <c r="V488" i="10"/>
  <c r="S488" i="10"/>
  <c r="U488" i="10"/>
  <c r="T487" i="10"/>
  <c r="Y487" i="10" s="1"/>
  <c r="X487" i="10"/>
  <c r="Q491" i="10"/>
  <c r="R490" i="10"/>
  <c r="U489" i="10"/>
  <c r="V489" i="10"/>
  <c r="S489" i="10"/>
  <c r="T488" i="10"/>
  <c r="Y488" i="10" s="1"/>
  <c r="X488" i="10"/>
  <c r="Q492" i="10"/>
  <c r="R491" i="10"/>
  <c r="U490" i="10"/>
  <c r="V490" i="10"/>
  <c r="S490" i="10"/>
  <c r="T489" i="10"/>
  <c r="Y489" i="10" s="1"/>
  <c r="X489" i="10"/>
  <c r="Q493" i="10"/>
  <c r="R492" i="10"/>
  <c r="S491" i="10"/>
  <c r="U491" i="10"/>
  <c r="V491" i="10"/>
  <c r="T490" i="10"/>
  <c r="Y490" i="10" s="1"/>
  <c r="X490" i="10"/>
  <c r="Q494" i="10"/>
  <c r="R493" i="10"/>
  <c r="S492" i="10"/>
  <c r="U492" i="10"/>
  <c r="V492" i="10"/>
  <c r="T491" i="10"/>
  <c r="Y491" i="10" s="1"/>
  <c r="X491" i="10"/>
  <c r="Q495" i="10"/>
  <c r="R494" i="10"/>
  <c r="S493" i="10"/>
  <c r="U493" i="10"/>
  <c r="V493" i="10"/>
  <c r="T492" i="10"/>
  <c r="Y492" i="10" s="1"/>
  <c r="X492" i="10"/>
  <c r="Q496" i="10"/>
  <c r="R495" i="10"/>
  <c r="V494" i="10"/>
  <c r="S494" i="10"/>
  <c r="U494" i="10"/>
  <c r="T493" i="10"/>
  <c r="Y493" i="10" s="1"/>
  <c r="X493" i="10"/>
  <c r="Q497" i="10"/>
  <c r="R496" i="10"/>
  <c r="U495" i="10"/>
  <c r="V495" i="10"/>
  <c r="S495" i="10"/>
  <c r="T494" i="10"/>
  <c r="Y494" i="10" s="1"/>
  <c r="X494" i="10"/>
  <c r="Q498" i="10"/>
  <c r="R497" i="10"/>
  <c r="U496" i="10"/>
  <c r="V496" i="10"/>
  <c r="S496" i="10"/>
  <c r="T495" i="10"/>
  <c r="Y495" i="10" s="1"/>
  <c r="X495" i="10"/>
  <c r="Q499" i="10"/>
  <c r="R498" i="10"/>
  <c r="S497" i="10"/>
  <c r="U497" i="10"/>
  <c r="V497" i="10"/>
  <c r="T496" i="10"/>
  <c r="Y496" i="10" s="1"/>
  <c r="X496" i="10"/>
  <c r="Q500" i="10"/>
  <c r="R499" i="10"/>
  <c r="V498" i="10"/>
  <c r="S498" i="10"/>
  <c r="U498" i="10"/>
  <c r="T497" i="10"/>
  <c r="Y497" i="10" s="1"/>
  <c r="X497" i="10"/>
  <c r="Q501" i="10"/>
  <c r="R500" i="10"/>
  <c r="U499" i="10"/>
  <c r="V499" i="10"/>
  <c r="S499" i="10"/>
  <c r="T498" i="10"/>
  <c r="Y498" i="10" s="1"/>
  <c r="X498" i="10"/>
  <c r="Q502" i="10"/>
  <c r="R501" i="10"/>
  <c r="U500" i="10"/>
  <c r="V500" i="10"/>
  <c r="S500" i="10"/>
  <c r="T499" i="10"/>
  <c r="Y499" i="10" s="1"/>
  <c r="X499" i="10"/>
  <c r="Q503" i="10"/>
  <c r="R502" i="10"/>
  <c r="S501" i="10"/>
  <c r="U501" i="10"/>
  <c r="V501" i="10"/>
  <c r="T500" i="10"/>
  <c r="Y500" i="10" s="1"/>
  <c r="X500" i="10"/>
  <c r="Q504" i="10"/>
  <c r="R503" i="10"/>
  <c r="V502" i="10"/>
  <c r="S502" i="10"/>
  <c r="U502" i="10"/>
  <c r="T501" i="10"/>
  <c r="Y501" i="10" s="1"/>
  <c r="X501" i="10"/>
  <c r="Q505" i="10"/>
  <c r="R504" i="10"/>
  <c r="U503" i="10"/>
  <c r="V503" i="10"/>
  <c r="S503" i="10"/>
  <c r="T502" i="10"/>
  <c r="Y502" i="10" s="1"/>
  <c r="X502" i="10"/>
  <c r="Q506" i="10"/>
  <c r="R505" i="10"/>
  <c r="U504" i="10"/>
  <c r="V504" i="10"/>
  <c r="S504" i="10"/>
  <c r="T503" i="10"/>
  <c r="Y503" i="10" s="1"/>
  <c r="X503" i="10"/>
  <c r="Q507" i="10"/>
  <c r="R506" i="10"/>
  <c r="S505" i="10"/>
  <c r="U505" i="10"/>
  <c r="V505" i="10"/>
  <c r="T504" i="10"/>
  <c r="Y504" i="10" s="1"/>
  <c r="X504" i="10"/>
  <c r="Q508" i="10"/>
  <c r="R507" i="10"/>
  <c r="V506" i="10"/>
  <c r="S506" i="10"/>
  <c r="U506" i="10"/>
  <c r="T505" i="10"/>
  <c r="Y505" i="10" s="1"/>
  <c r="X505" i="10"/>
  <c r="Q509" i="10"/>
  <c r="R508" i="10"/>
  <c r="U507" i="10"/>
  <c r="V507" i="10"/>
  <c r="S507" i="10"/>
  <c r="T506" i="10"/>
  <c r="Y506" i="10" s="1"/>
  <c r="X506" i="10"/>
  <c r="Q510" i="10"/>
  <c r="R509" i="10"/>
  <c r="U508" i="10"/>
  <c r="V508" i="10"/>
  <c r="S508" i="10"/>
  <c r="T507" i="10"/>
  <c r="Y507" i="10" s="1"/>
  <c r="X507" i="10"/>
  <c r="Q511" i="10"/>
  <c r="R510" i="10"/>
  <c r="S509" i="10"/>
  <c r="U509" i="10"/>
  <c r="V509" i="10"/>
  <c r="T508" i="10"/>
  <c r="Y508" i="10" s="1"/>
  <c r="X508" i="10"/>
  <c r="Q512" i="10"/>
  <c r="R511" i="10"/>
  <c r="V510" i="10"/>
  <c r="S510" i="10"/>
  <c r="U510" i="10"/>
  <c r="T509" i="10"/>
  <c r="Y509" i="10" s="1"/>
  <c r="X509" i="10"/>
  <c r="Q513" i="10"/>
  <c r="R512" i="10"/>
  <c r="U511" i="10"/>
  <c r="V511" i="10"/>
  <c r="S511" i="10"/>
  <c r="T510" i="10"/>
  <c r="Y510" i="10" s="1"/>
  <c r="X510" i="10"/>
  <c r="Q514" i="10"/>
  <c r="R513" i="10"/>
  <c r="U512" i="10"/>
  <c r="V512" i="10"/>
  <c r="S512" i="10"/>
  <c r="T511" i="10"/>
  <c r="Y511" i="10" s="1"/>
  <c r="X511" i="10"/>
  <c r="Q515" i="10"/>
  <c r="R514" i="10"/>
  <c r="S513" i="10"/>
  <c r="U513" i="10"/>
  <c r="V513" i="10"/>
  <c r="T512" i="10"/>
  <c r="Y512" i="10" s="1"/>
  <c r="X512" i="10"/>
  <c r="Q516" i="10"/>
  <c r="R515" i="10"/>
  <c r="V514" i="10"/>
  <c r="S514" i="10"/>
  <c r="U514" i="10"/>
  <c r="T513" i="10"/>
  <c r="Y513" i="10" s="1"/>
  <c r="X513" i="10"/>
  <c r="Q517" i="10"/>
  <c r="R516" i="10"/>
  <c r="U515" i="10"/>
  <c r="V515" i="10"/>
  <c r="S515" i="10"/>
  <c r="T514" i="10"/>
  <c r="Y514" i="10" s="1"/>
  <c r="X514" i="10"/>
  <c r="Q518" i="10"/>
  <c r="R517" i="10"/>
  <c r="U516" i="10"/>
  <c r="V516" i="10"/>
  <c r="S516" i="10"/>
  <c r="T515" i="10"/>
  <c r="Y515" i="10" s="1"/>
  <c r="X515" i="10"/>
  <c r="Q519" i="10"/>
  <c r="R518" i="10"/>
  <c r="S517" i="10"/>
  <c r="U517" i="10"/>
  <c r="V517" i="10"/>
  <c r="T516" i="10"/>
  <c r="Y516" i="10" s="1"/>
  <c r="X516" i="10"/>
  <c r="Q520" i="10"/>
  <c r="R519" i="10"/>
  <c r="V518" i="10"/>
  <c r="S518" i="10"/>
  <c r="U518" i="10"/>
  <c r="T517" i="10"/>
  <c r="Y517" i="10" s="1"/>
  <c r="X517" i="10"/>
  <c r="Q521" i="10"/>
  <c r="R520" i="10"/>
  <c r="U519" i="10"/>
  <c r="V519" i="10"/>
  <c r="S519" i="10"/>
  <c r="T518" i="10"/>
  <c r="Y518" i="10" s="1"/>
  <c r="X518" i="10"/>
  <c r="Q522" i="10"/>
  <c r="R521" i="10"/>
  <c r="U520" i="10"/>
  <c r="V520" i="10"/>
  <c r="S520" i="10"/>
  <c r="T519" i="10"/>
  <c r="Y519" i="10" s="1"/>
  <c r="X519" i="10"/>
  <c r="Q523" i="10"/>
  <c r="R522" i="10"/>
  <c r="S521" i="10"/>
  <c r="U521" i="10"/>
  <c r="V521" i="10"/>
  <c r="T520" i="10"/>
  <c r="Y520" i="10" s="1"/>
  <c r="X520" i="10"/>
  <c r="Q524" i="10"/>
  <c r="R523" i="10"/>
  <c r="V522" i="10"/>
  <c r="S522" i="10"/>
  <c r="U522" i="10"/>
  <c r="T521" i="10"/>
  <c r="Y521" i="10" s="1"/>
  <c r="X521" i="10"/>
  <c r="Q525" i="10"/>
  <c r="R524" i="10"/>
  <c r="U523" i="10"/>
  <c r="V523" i="10"/>
  <c r="S523" i="10"/>
  <c r="T522" i="10"/>
  <c r="Y522" i="10" s="1"/>
  <c r="X522" i="10"/>
  <c r="Q526" i="10"/>
  <c r="R525" i="10"/>
  <c r="U524" i="10"/>
  <c r="V524" i="10"/>
  <c r="S524" i="10"/>
  <c r="T523" i="10"/>
  <c r="Y523" i="10" s="1"/>
  <c r="X523" i="10"/>
  <c r="Q527" i="10"/>
  <c r="R526" i="10"/>
  <c r="U525" i="10"/>
  <c r="V525" i="10"/>
  <c r="S525" i="10"/>
  <c r="T524" i="10"/>
  <c r="Y524" i="10" s="1"/>
  <c r="X524" i="10"/>
  <c r="Q528" i="10"/>
  <c r="R527" i="10"/>
  <c r="S526" i="10"/>
  <c r="U526" i="10"/>
  <c r="V526" i="10"/>
  <c r="T525" i="10"/>
  <c r="Y525" i="10" s="1"/>
  <c r="X525" i="10"/>
  <c r="Q529" i="10"/>
  <c r="R528" i="10"/>
  <c r="S527" i="10"/>
  <c r="U527" i="10"/>
  <c r="V527" i="10"/>
  <c r="T526" i="10"/>
  <c r="Y526" i="10" s="1"/>
  <c r="X526" i="10"/>
  <c r="Q530" i="10"/>
  <c r="R529" i="10"/>
  <c r="V528" i="10"/>
  <c r="S528" i="10"/>
  <c r="U528" i="10"/>
  <c r="T527" i="10"/>
  <c r="Y527" i="10" s="1"/>
  <c r="X527" i="10"/>
  <c r="Q531" i="10"/>
  <c r="R530" i="10"/>
  <c r="U529" i="10"/>
  <c r="V529" i="10"/>
  <c r="S529" i="10"/>
  <c r="T528" i="10"/>
  <c r="Y528" i="10" s="1"/>
  <c r="X528" i="10"/>
  <c r="Q532" i="10"/>
  <c r="R531" i="10"/>
  <c r="U530" i="10"/>
  <c r="V530" i="10"/>
  <c r="S530" i="10"/>
  <c r="T529" i="10"/>
  <c r="Y529" i="10" s="1"/>
  <c r="X529" i="10"/>
  <c r="Q533" i="10"/>
  <c r="R532" i="10"/>
  <c r="S531" i="10"/>
  <c r="U531" i="10"/>
  <c r="V531" i="10"/>
  <c r="T530" i="10"/>
  <c r="Y530" i="10" s="1"/>
  <c r="X530" i="10"/>
  <c r="Q534" i="10"/>
  <c r="R533" i="10"/>
  <c r="V532" i="10"/>
  <c r="S532" i="10"/>
  <c r="U532" i="10"/>
  <c r="T531" i="10"/>
  <c r="Y531" i="10" s="1"/>
  <c r="X531" i="10"/>
  <c r="Q535" i="10"/>
  <c r="R534" i="10"/>
  <c r="U533" i="10"/>
  <c r="V533" i="10"/>
  <c r="S533" i="10"/>
  <c r="T532" i="10"/>
  <c r="Y532" i="10" s="1"/>
  <c r="X532" i="10"/>
  <c r="Q536" i="10"/>
  <c r="R535" i="10"/>
  <c r="U534" i="10"/>
  <c r="V534" i="10"/>
  <c r="S534" i="10"/>
  <c r="T533" i="10"/>
  <c r="Y533" i="10" s="1"/>
  <c r="X533" i="10"/>
  <c r="Q537" i="10"/>
  <c r="R536" i="10"/>
  <c r="S535" i="10"/>
  <c r="U535" i="10"/>
  <c r="V535" i="10"/>
  <c r="T534" i="10"/>
  <c r="Y534" i="10" s="1"/>
  <c r="X534" i="10"/>
  <c r="Q538" i="10"/>
  <c r="R537" i="10"/>
  <c r="V536" i="10"/>
  <c r="S536" i="10"/>
  <c r="U536" i="10"/>
  <c r="T535" i="10"/>
  <c r="Y535" i="10" s="1"/>
  <c r="X535" i="10"/>
  <c r="Q539" i="10"/>
  <c r="R538" i="10"/>
  <c r="U537" i="10"/>
  <c r="V537" i="10"/>
  <c r="S537" i="10"/>
  <c r="T536" i="10"/>
  <c r="Y536" i="10" s="1"/>
  <c r="X536" i="10"/>
  <c r="Q540" i="10"/>
  <c r="R539" i="10"/>
  <c r="U538" i="10"/>
  <c r="V538" i="10"/>
  <c r="S538" i="10"/>
  <c r="T537" i="10"/>
  <c r="Y537" i="10" s="1"/>
  <c r="X537" i="10"/>
  <c r="Q541" i="10"/>
  <c r="R540" i="10"/>
  <c r="S539" i="10"/>
  <c r="U539" i="10"/>
  <c r="V539" i="10"/>
  <c r="T538" i="10"/>
  <c r="Y538" i="10" s="1"/>
  <c r="X538" i="10"/>
  <c r="Q542" i="10"/>
  <c r="R541" i="10"/>
  <c r="V540" i="10"/>
  <c r="S540" i="10"/>
  <c r="U540" i="10"/>
  <c r="T539" i="10"/>
  <c r="Y539" i="10" s="1"/>
  <c r="X539" i="10"/>
  <c r="Q543" i="10"/>
  <c r="R542" i="10"/>
  <c r="U541" i="10"/>
  <c r="V541" i="10"/>
  <c r="S541" i="10"/>
  <c r="T540" i="10"/>
  <c r="Y540" i="10" s="1"/>
  <c r="X540" i="10"/>
  <c r="Q544" i="10"/>
  <c r="R543" i="10"/>
  <c r="U542" i="10"/>
  <c r="V542" i="10"/>
  <c r="S542" i="10"/>
  <c r="T541" i="10"/>
  <c r="Y541" i="10" s="1"/>
  <c r="X541" i="10"/>
  <c r="Q545" i="10"/>
  <c r="R544" i="10"/>
  <c r="S543" i="10"/>
  <c r="U543" i="10"/>
  <c r="V543" i="10"/>
  <c r="T542" i="10"/>
  <c r="Y542" i="10" s="1"/>
  <c r="X542" i="10"/>
  <c r="Q546" i="10"/>
  <c r="R545" i="10"/>
  <c r="V544" i="10"/>
  <c r="S544" i="10"/>
  <c r="U544" i="10"/>
  <c r="T543" i="10"/>
  <c r="Y543" i="10" s="1"/>
  <c r="X543" i="10"/>
  <c r="Q547" i="10"/>
  <c r="R546" i="10"/>
  <c r="U545" i="10"/>
  <c r="V545" i="10"/>
  <c r="S545" i="10"/>
  <c r="T544" i="10"/>
  <c r="Y544" i="10" s="1"/>
  <c r="X544" i="10"/>
  <c r="Q548" i="10"/>
  <c r="R547" i="10"/>
  <c r="U546" i="10"/>
  <c r="V546" i="10"/>
  <c r="S546" i="10"/>
  <c r="X545" i="10"/>
  <c r="T545" i="10"/>
  <c r="Y545" i="10" s="1"/>
  <c r="Q549" i="10"/>
  <c r="R548" i="10"/>
  <c r="S547" i="10"/>
  <c r="U547" i="10"/>
  <c r="V547" i="10"/>
  <c r="T546" i="10"/>
  <c r="Y546" i="10" s="1"/>
  <c r="X546" i="10"/>
  <c r="Q550" i="10"/>
  <c r="R549" i="10"/>
  <c r="V548" i="10"/>
  <c r="S548" i="10"/>
  <c r="U548" i="10"/>
  <c r="T547" i="10"/>
  <c r="Y547" i="10" s="1"/>
  <c r="X547" i="10"/>
  <c r="Q551" i="10"/>
  <c r="R550" i="10"/>
  <c r="U549" i="10"/>
  <c r="V549" i="10"/>
  <c r="S549" i="10"/>
  <c r="T548" i="10"/>
  <c r="Y548" i="10" s="1"/>
  <c r="X548" i="10"/>
  <c r="Q552" i="10"/>
  <c r="R551" i="10"/>
  <c r="U550" i="10"/>
  <c r="V550" i="10"/>
  <c r="S550" i="10"/>
  <c r="X549" i="10"/>
  <c r="T549" i="10"/>
  <c r="Y549" i="10" s="1"/>
  <c r="Q553" i="10"/>
  <c r="R552" i="10"/>
  <c r="S551" i="10"/>
  <c r="U551" i="10"/>
  <c r="V551" i="10"/>
  <c r="T550" i="10"/>
  <c r="Y550" i="10" s="1"/>
  <c r="X550" i="10"/>
  <c r="Q554" i="10"/>
  <c r="R553" i="10"/>
  <c r="V552" i="10"/>
  <c r="S552" i="10"/>
  <c r="U552" i="10"/>
  <c r="T551" i="10"/>
  <c r="Y551" i="10" s="1"/>
  <c r="X551" i="10"/>
  <c r="Q555" i="10"/>
  <c r="R554" i="10"/>
  <c r="U553" i="10"/>
  <c r="V553" i="10"/>
  <c r="S553" i="10"/>
  <c r="T552" i="10"/>
  <c r="Y552" i="10" s="1"/>
  <c r="X552" i="10"/>
  <c r="Q556" i="10"/>
  <c r="R555" i="10"/>
  <c r="U554" i="10"/>
  <c r="V554" i="10"/>
  <c r="S554" i="10"/>
  <c r="X553" i="10"/>
  <c r="T553" i="10"/>
  <c r="Y553" i="10" s="1"/>
  <c r="Q557" i="10"/>
  <c r="R556" i="10"/>
  <c r="S555" i="10"/>
  <c r="U555" i="10"/>
  <c r="V555" i="10"/>
  <c r="T554" i="10"/>
  <c r="Y554" i="10" s="1"/>
  <c r="X554" i="10"/>
  <c r="Q558" i="10"/>
  <c r="R557" i="10"/>
  <c r="V556" i="10"/>
  <c r="S556" i="10"/>
  <c r="U556" i="10"/>
  <c r="T555" i="10"/>
  <c r="Y555" i="10" s="1"/>
  <c r="X555" i="10"/>
  <c r="Q559" i="10"/>
  <c r="R558" i="10"/>
  <c r="U557" i="10"/>
  <c r="V557" i="10"/>
  <c r="S557" i="10"/>
  <c r="T556" i="10"/>
  <c r="Y556" i="10" s="1"/>
  <c r="X556" i="10"/>
  <c r="Q560" i="10"/>
  <c r="R559" i="10"/>
  <c r="U558" i="10"/>
  <c r="V558" i="10"/>
  <c r="S558" i="10"/>
  <c r="X557" i="10"/>
  <c r="T557" i="10"/>
  <c r="Y557" i="10" s="1"/>
  <c r="Q561" i="10"/>
  <c r="R560" i="10"/>
  <c r="S559" i="10"/>
  <c r="U559" i="10"/>
  <c r="V559" i="10"/>
  <c r="T558" i="10"/>
  <c r="Y558" i="10" s="1"/>
  <c r="X558" i="10"/>
  <c r="Q562" i="10"/>
  <c r="R561" i="10"/>
  <c r="V560" i="10"/>
  <c r="S560" i="10"/>
  <c r="U560" i="10"/>
  <c r="T559" i="10"/>
  <c r="Y559" i="10" s="1"/>
  <c r="X559" i="10"/>
  <c r="Q563" i="10"/>
  <c r="R562" i="10"/>
  <c r="U561" i="10"/>
  <c r="V561" i="10"/>
  <c r="S561" i="10"/>
  <c r="T560" i="10"/>
  <c r="Y560" i="10" s="1"/>
  <c r="X560" i="10"/>
  <c r="Q564" i="10"/>
  <c r="R563" i="10"/>
  <c r="U562" i="10"/>
  <c r="V562" i="10"/>
  <c r="S562" i="10"/>
  <c r="X561" i="10"/>
  <c r="T561" i="10"/>
  <c r="Y561" i="10" s="1"/>
  <c r="Q565" i="10"/>
  <c r="R564" i="10"/>
  <c r="U563" i="10"/>
  <c r="V563" i="10"/>
  <c r="S563" i="10"/>
  <c r="T562" i="10"/>
  <c r="Y562" i="10" s="1"/>
  <c r="X562" i="10"/>
  <c r="Q566" i="10"/>
  <c r="R565" i="10"/>
  <c r="S564" i="10"/>
  <c r="U564" i="10"/>
  <c r="V564" i="10"/>
  <c r="X563" i="10"/>
  <c r="T563" i="10"/>
  <c r="Y563" i="10" s="1"/>
  <c r="Q567" i="10"/>
  <c r="R566" i="10"/>
  <c r="U565" i="10"/>
  <c r="V565" i="10"/>
  <c r="S565" i="10"/>
  <c r="T564" i="10"/>
  <c r="Y564" i="10" s="1"/>
  <c r="X564" i="10"/>
  <c r="Q568" i="10"/>
  <c r="R567" i="10"/>
  <c r="S566" i="10"/>
  <c r="U566" i="10"/>
  <c r="V566" i="10"/>
  <c r="T565" i="10"/>
  <c r="Y565" i="10" s="1"/>
  <c r="X565" i="10"/>
  <c r="Q569" i="10"/>
  <c r="R568" i="10"/>
  <c r="V567" i="10"/>
  <c r="S567" i="10"/>
  <c r="U567" i="10"/>
  <c r="T566" i="10"/>
  <c r="Y566" i="10" s="1"/>
  <c r="X566" i="10"/>
  <c r="Q570" i="10"/>
  <c r="R569" i="10"/>
  <c r="U568" i="10"/>
  <c r="V568" i="10"/>
  <c r="S568" i="10"/>
  <c r="T567" i="10"/>
  <c r="Y567" i="10" s="1"/>
  <c r="X567" i="10"/>
  <c r="Q571" i="10"/>
  <c r="R570" i="10"/>
  <c r="U569" i="10"/>
  <c r="V569" i="10"/>
  <c r="S569" i="10"/>
  <c r="T568" i="10"/>
  <c r="Y568" i="10" s="1"/>
  <c r="X568" i="10"/>
  <c r="Q572" i="10"/>
  <c r="R571" i="10"/>
  <c r="S570" i="10"/>
  <c r="U570" i="10"/>
  <c r="V570" i="10"/>
  <c r="T569" i="10"/>
  <c r="Y569" i="10" s="1"/>
  <c r="X569" i="10"/>
  <c r="Q573" i="10"/>
  <c r="R572" i="10"/>
  <c r="V571" i="10"/>
  <c r="S571" i="10"/>
  <c r="U571" i="10"/>
  <c r="T570" i="10"/>
  <c r="Y570" i="10" s="1"/>
  <c r="X570" i="10"/>
  <c r="Q574" i="10"/>
  <c r="R573" i="10"/>
  <c r="U572" i="10"/>
  <c r="V572" i="10"/>
  <c r="S572" i="10"/>
  <c r="T571" i="10"/>
  <c r="Y571" i="10" s="1"/>
  <c r="X571" i="10"/>
  <c r="Q575" i="10"/>
  <c r="R574" i="10"/>
  <c r="U573" i="10"/>
  <c r="V573" i="10"/>
  <c r="S573" i="10"/>
  <c r="T572" i="10"/>
  <c r="Y572" i="10" s="1"/>
  <c r="X572" i="10"/>
  <c r="Q576" i="10"/>
  <c r="R575" i="10"/>
  <c r="S574" i="10"/>
  <c r="U574" i="10"/>
  <c r="V574" i="10"/>
  <c r="T573" i="10"/>
  <c r="Y573" i="10" s="1"/>
  <c r="X573" i="10"/>
  <c r="Q577" i="10"/>
  <c r="R576" i="10"/>
  <c r="V575" i="10"/>
  <c r="S575" i="10"/>
  <c r="U575" i="10"/>
  <c r="T574" i="10"/>
  <c r="Y574" i="10" s="1"/>
  <c r="X574" i="10"/>
  <c r="Q578" i="10"/>
  <c r="R577" i="10"/>
  <c r="U576" i="10"/>
  <c r="V576" i="10"/>
  <c r="S576" i="10"/>
  <c r="T575" i="10"/>
  <c r="Y575" i="10" s="1"/>
  <c r="X575" i="10"/>
  <c r="Q579" i="10"/>
  <c r="R578" i="10"/>
  <c r="U577" i="10"/>
  <c r="V577" i="10"/>
  <c r="S577" i="10"/>
  <c r="T576" i="10"/>
  <c r="Y576" i="10" s="1"/>
  <c r="X576" i="10"/>
  <c r="Q580" i="10"/>
  <c r="R579" i="10"/>
  <c r="S578" i="10"/>
  <c r="U578" i="10"/>
  <c r="V578" i="10"/>
  <c r="T577" i="10"/>
  <c r="Y577" i="10" s="1"/>
  <c r="X577" i="10"/>
  <c r="Q581" i="10"/>
  <c r="R580" i="10"/>
  <c r="V579" i="10"/>
  <c r="S579" i="10"/>
  <c r="U579" i="10"/>
  <c r="T578" i="10"/>
  <c r="Y578" i="10" s="1"/>
  <c r="X578" i="10"/>
  <c r="Q582" i="10"/>
  <c r="R581" i="10"/>
  <c r="U580" i="10"/>
  <c r="V580" i="10"/>
  <c r="S580" i="10"/>
  <c r="T579" i="10"/>
  <c r="Y579" i="10" s="1"/>
  <c r="X579" i="10"/>
  <c r="Q583" i="10"/>
  <c r="R582" i="10"/>
  <c r="U581" i="10"/>
  <c r="V581" i="10"/>
  <c r="S581" i="10"/>
  <c r="T580" i="10"/>
  <c r="Y580" i="10" s="1"/>
  <c r="X580" i="10"/>
  <c r="Q584" i="10"/>
  <c r="R583" i="10"/>
  <c r="S582" i="10"/>
  <c r="U582" i="10"/>
  <c r="V582" i="10"/>
  <c r="T581" i="10"/>
  <c r="Y581" i="10" s="1"/>
  <c r="X581" i="10"/>
  <c r="Q585" i="10"/>
  <c r="R584" i="10"/>
  <c r="V583" i="10"/>
  <c r="S583" i="10"/>
  <c r="U583" i="10"/>
  <c r="T582" i="10"/>
  <c r="Y582" i="10" s="1"/>
  <c r="X582" i="10"/>
  <c r="Q586" i="10"/>
  <c r="R585" i="10"/>
  <c r="U584" i="10"/>
  <c r="V584" i="10"/>
  <c r="S584" i="10"/>
  <c r="T583" i="10"/>
  <c r="Y583" i="10" s="1"/>
  <c r="X583" i="10"/>
  <c r="Q587" i="10"/>
  <c r="R586" i="10"/>
  <c r="U585" i="10"/>
  <c r="V585" i="10"/>
  <c r="S585" i="10"/>
  <c r="T584" i="10"/>
  <c r="Y584" i="10" s="1"/>
  <c r="X584" i="10"/>
  <c r="Q588" i="10"/>
  <c r="R587" i="10"/>
  <c r="S586" i="10"/>
  <c r="U586" i="10"/>
  <c r="V586" i="10"/>
  <c r="T585" i="10"/>
  <c r="Y585" i="10" s="1"/>
  <c r="X585" i="10"/>
  <c r="Q589" i="10"/>
  <c r="R588" i="10"/>
  <c r="V587" i="10"/>
  <c r="S587" i="10"/>
  <c r="U587" i="10"/>
  <c r="T586" i="10"/>
  <c r="Y586" i="10" s="1"/>
  <c r="X586" i="10"/>
  <c r="Q590" i="10"/>
  <c r="R589" i="10"/>
  <c r="U588" i="10"/>
  <c r="V588" i="10"/>
  <c r="S588" i="10"/>
  <c r="T587" i="10"/>
  <c r="Y587" i="10" s="1"/>
  <c r="X587" i="10"/>
  <c r="Q591" i="10"/>
  <c r="R590" i="10"/>
  <c r="U589" i="10"/>
  <c r="V589" i="10"/>
  <c r="S589" i="10"/>
  <c r="T588" i="10"/>
  <c r="Y588" i="10" s="1"/>
  <c r="X588" i="10"/>
  <c r="Q592" i="10"/>
  <c r="R591" i="10"/>
  <c r="S590" i="10"/>
  <c r="U590" i="10"/>
  <c r="V590" i="10"/>
  <c r="T589" i="10"/>
  <c r="Y589" i="10" s="1"/>
  <c r="X589" i="10"/>
  <c r="Q593" i="10"/>
  <c r="R592" i="10"/>
  <c r="V591" i="10"/>
  <c r="S591" i="10"/>
  <c r="U591" i="10"/>
  <c r="T590" i="10"/>
  <c r="Y590" i="10" s="1"/>
  <c r="X590" i="10"/>
  <c r="Q594" i="10"/>
  <c r="R593" i="10"/>
  <c r="U592" i="10"/>
  <c r="V592" i="10"/>
  <c r="S592" i="10"/>
  <c r="T591" i="10"/>
  <c r="Y591" i="10" s="1"/>
  <c r="X591" i="10"/>
  <c r="Q595" i="10"/>
  <c r="R594" i="10"/>
  <c r="U593" i="10"/>
  <c r="V593" i="10"/>
  <c r="S593" i="10"/>
  <c r="T592" i="10"/>
  <c r="Y592" i="10" s="1"/>
  <c r="X592" i="10"/>
  <c r="Q596" i="10"/>
  <c r="R595" i="10"/>
  <c r="S594" i="10"/>
  <c r="U594" i="10"/>
  <c r="V594" i="10"/>
  <c r="T593" i="10"/>
  <c r="Y593" i="10" s="1"/>
  <c r="X593" i="10"/>
  <c r="Q597" i="10"/>
  <c r="R596" i="10"/>
  <c r="V595" i="10"/>
  <c r="S595" i="10"/>
  <c r="U595" i="10"/>
  <c r="T594" i="10"/>
  <c r="Y594" i="10" s="1"/>
  <c r="X594" i="10"/>
  <c r="Q598" i="10"/>
  <c r="R597" i="10"/>
  <c r="U596" i="10"/>
  <c r="V596" i="10"/>
  <c r="S596" i="10"/>
  <c r="T595" i="10"/>
  <c r="Y595" i="10" s="1"/>
  <c r="X595" i="10"/>
  <c r="Q599" i="10"/>
  <c r="R598" i="10"/>
  <c r="U597" i="10"/>
  <c r="V597" i="10"/>
  <c r="S597" i="10"/>
  <c r="T596" i="10"/>
  <c r="Y596" i="10" s="1"/>
  <c r="X596" i="10"/>
  <c r="Q600" i="10"/>
  <c r="R599" i="10"/>
  <c r="S598" i="10"/>
  <c r="U598" i="10"/>
  <c r="V598" i="10"/>
  <c r="T597" i="10"/>
  <c r="Y597" i="10" s="1"/>
  <c r="X597" i="10"/>
  <c r="Q601" i="10"/>
  <c r="R600" i="10"/>
  <c r="V599" i="10"/>
  <c r="S599" i="10"/>
  <c r="U599" i="10"/>
  <c r="T598" i="10"/>
  <c r="Y598" i="10" s="1"/>
  <c r="X598" i="10"/>
  <c r="Q602" i="10"/>
  <c r="R601" i="10"/>
  <c r="U600" i="10"/>
  <c r="V600" i="10"/>
  <c r="S600" i="10"/>
  <c r="T599" i="10"/>
  <c r="Y599" i="10" s="1"/>
  <c r="X599" i="10"/>
  <c r="Q603" i="10"/>
  <c r="R602" i="10"/>
  <c r="U601" i="10"/>
  <c r="V601" i="10"/>
  <c r="S601" i="10"/>
  <c r="T600" i="10"/>
  <c r="Y600" i="10" s="1"/>
  <c r="X600" i="10"/>
  <c r="Q604" i="10"/>
  <c r="R603" i="10"/>
  <c r="S602" i="10"/>
  <c r="U602" i="10"/>
  <c r="V602" i="10"/>
  <c r="T601" i="10"/>
  <c r="Y601" i="10" s="1"/>
  <c r="X601" i="10"/>
  <c r="Q605" i="10"/>
  <c r="R604" i="10"/>
  <c r="V603" i="10"/>
  <c r="S603" i="10"/>
  <c r="U603" i="10"/>
  <c r="T602" i="10"/>
  <c r="Y602" i="10" s="1"/>
  <c r="X602" i="10"/>
  <c r="Q606" i="10"/>
  <c r="R605" i="10"/>
  <c r="U604" i="10"/>
  <c r="V604" i="10"/>
  <c r="S604" i="10"/>
  <c r="T603" i="10"/>
  <c r="Y603" i="10" s="1"/>
  <c r="X603" i="10"/>
  <c r="Q607" i="10"/>
  <c r="R606" i="10"/>
  <c r="U605" i="10"/>
  <c r="V605" i="10"/>
  <c r="S605" i="10"/>
  <c r="T604" i="10"/>
  <c r="Y604" i="10" s="1"/>
  <c r="X604" i="10"/>
  <c r="Q608" i="10"/>
  <c r="R607" i="10"/>
  <c r="S606" i="10"/>
  <c r="U606" i="10"/>
  <c r="V606" i="10"/>
  <c r="T605" i="10"/>
  <c r="Y605" i="10" s="1"/>
  <c r="X605" i="10"/>
  <c r="Q609" i="10"/>
  <c r="R608" i="10"/>
  <c r="V607" i="10"/>
  <c r="S607" i="10"/>
  <c r="U607" i="10"/>
  <c r="T606" i="10"/>
  <c r="Y606" i="10" s="1"/>
  <c r="X606" i="10"/>
  <c r="Q610" i="10"/>
  <c r="R609" i="10"/>
  <c r="U608" i="10"/>
  <c r="V608" i="10"/>
  <c r="S608" i="10"/>
  <c r="T607" i="10"/>
  <c r="Y607" i="10" s="1"/>
  <c r="X607" i="10"/>
  <c r="Q611" i="10"/>
  <c r="R610" i="10"/>
  <c r="U609" i="10"/>
  <c r="V609" i="10"/>
  <c r="S609" i="10"/>
  <c r="T608" i="10"/>
  <c r="Y608" i="10" s="1"/>
  <c r="X608" i="10"/>
  <c r="Q612" i="10"/>
  <c r="R611" i="10"/>
  <c r="S610" i="10"/>
  <c r="U610" i="10"/>
  <c r="V610" i="10"/>
  <c r="T609" i="10"/>
  <c r="Y609" i="10" s="1"/>
  <c r="X609" i="10"/>
  <c r="Q613" i="10"/>
  <c r="R612" i="10"/>
  <c r="V611" i="10"/>
  <c r="S611" i="10"/>
  <c r="U611" i="10"/>
  <c r="T610" i="10"/>
  <c r="Y610" i="10" s="1"/>
  <c r="X610" i="10"/>
  <c r="Q614" i="10"/>
  <c r="R613" i="10"/>
  <c r="U612" i="10"/>
  <c r="V612" i="10"/>
  <c r="S612" i="10"/>
  <c r="T611" i="10"/>
  <c r="Y611" i="10" s="1"/>
  <c r="X611" i="10"/>
  <c r="Q615" i="10"/>
  <c r="R614" i="10"/>
  <c r="U613" i="10"/>
  <c r="V613" i="10"/>
  <c r="S613" i="10"/>
  <c r="T612" i="10"/>
  <c r="Y612" i="10" s="1"/>
  <c r="X612" i="10"/>
  <c r="Q616" i="10"/>
  <c r="R615" i="10"/>
  <c r="S614" i="10"/>
  <c r="U614" i="10"/>
  <c r="V614" i="10"/>
  <c r="T613" i="10"/>
  <c r="Y613" i="10" s="1"/>
  <c r="X613" i="10"/>
  <c r="Q617" i="10"/>
  <c r="R616" i="10"/>
  <c r="V615" i="10"/>
  <c r="S615" i="10"/>
  <c r="U615" i="10"/>
  <c r="T614" i="10"/>
  <c r="Y614" i="10" s="1"/>
  <c r="X614" i="10"/>
  <c r="Q618" i="10"/>
  <c r="R617" i="10"/>
  <c r="U616" i="10"/>
  <c r="V616" i="10"/>
  <c r="S616" i="10"/>
  <c r="T615" i="10"/>
  <c r="Y615" i="10" s="1"/>
  <c r="X615" i="10"/>
  <c r="Q619" i="10"/>
  <c r="R618" i="10"/>
  <c r="U617" i="10"/>
  <c r="V617" i="10"/>
  <c r="S617" i="10"/>
  <c r="T616" i="10"/>
  <c r="Y616" i="10" s="1"/>
  <c r="X616" i="10"/>
  <c r="Q620" i="10"/>
  <c r="R619" i="10"/>
  <c r="S618" i="10"/>
  <c r="U618" i="10"/>
  <c r="V618" i="10"/>
  <c r="T617" i="10"/>
  <c r="Y617" i="10" s="1"/>
  <c r="X617" i="10"/>
  <c r="Q621" i="10"/>
  <c r="R620" i="10"/>
  <c r="V619" i="10"/>
  <c r="S619" i="10"/>
  <c r="U619" i="10"/>
  <c r="T618" i="10"/>
  <c r="Y618" i="10" s="1"/>
  <c r="X618" i="10"/>
  <c r="Q622" i="10"/>
  <c r="R621" i="10"/>
  <c r="U620" i="10"/>
  <c r="V620" i="10"/>
  <c r="S620" i="10"/>
  <c r="T619" i="10"/>
  <c r="Y619" i="10" s="1"/>
  <c r="X619" i="10"/>
  <c r="Q623" i="10"/>
  <c r="R622" i="10"/>
  <c r="U621" i="10"/>
  <c r="V621" i="10"/>
  <c r="S621" i="10"/>
  <c r="T620" i="10"/>
  <c r="Y620" i="10" s="1"/>
  <c r="X620" i="10"/>
  <c r="Q624" i="10"/>
  <c r="R623" i="10"/>
  <c r="U622" i="10"/>
  <c r="V622" i="10"/>
  <c r="S622" i="10"/>
  <c r="T621" i="10"/>
  <c r="Y621" i="10" s="1"/>
  <c r="X621" i="10"/>
  <c r="Q625" i="10"/>
  <c r="R624" i="10"/>
  <c r="S623" i="10"/>
  <c r="V623" i="10"/>
  <c r="U623" i="10"/>
  <c r="T622" i="10"/>
  <c r="Y622" i="10" s="1"/>
  <c r="X622" i="10"/>
  <c r="Q626" i="10"/>
  <c r="R625" i="10"/>
  <c r="V624" i="10"/>
  <c r="S624" i="10"/>
  <c r="U624" i="10"/>
  <c r="T623" i="10"/>
  <c r="Y623" i="10" s="1"/>
  <c r="X623" i="10"/>
  <c r="Q627" i="10"/>
  <c r="R626" i="10"/>
  <c r="U625" i="10"/>
  <c r="V625" i="10"/>
  <c r="S625" i="10"/>
  <c r="T624" i="10"/>
  <c r="Y624" i="10" s="1"/>
  <c r="X624" i="10"/>
  <c r="Q628" i="10"/>
  <c r="R627" i="10"/>
  <c r="U626" i="10"/>
  <c r="S626" i="10"/>
  <c r="V626" i="10"/>
  <c r="T625" i="10"/>
  <c r="Y625" i="10" s="1"/>
  <c r="X625" i="10"/>
  <c r="Q629" i="10"/>
  <c r="R628" i="10"/>
  <c r="S627" i="10"/>
  <c r="V627" i="10"/>
  <c r="U627" i="10"/>
  <c r="T626" i="10"/>
  <c r="Y626" i="10" s="1"/>
  <c r="X626" i="10"/>
  <c r="Q630" i="10"/>
  <c r="R629" i="10"/>
  <c r="V628" i="10"/>
  <c r="S628" i="10"/>
  <c r="U628" i="10"/>
  <c r="T627" i="10"/>
  <c r="Y627" i="10" s="1"/>
  <c r="X627" i="10"/>
  <c r="Q631" i="10"/>
  <c r="R630" i="10"/>
  <c r="U629" i="10"/>
  <c r="S629" i="10"/>
  <c r="V629" i="10"/>
  <c r="X628" i="10"/>
  <c r="T628" i="10"/>
  <c r="Y628" i="10" s="1"/>
  <c r="Q632" i="10"/>
  <c r="R631" i="10"/>
  <c r="S630" i="10"/>
  <c r="U630" i="10"/>
  <c r="V630" i="10"/>
  <c r="X629" i="10"/>
  <c r="T629" i="10"/>
  <c r="Y629" i="10" s="1"/>
  <c r="Q633" i="10"/>
  <c r="R632" i="10"/>
  <c r="V631" i="10"/>
  <c r="S631" i="10"/>
  <c r="U631" i="10"/>
  <c r="T630" i="10"/>
  <c r="Y630" i="10" s="1"/>
  <c r="X630" i="10"/>
  <c r="Q634" i="10"/>
  <c r="R633" i="10"/>
  <c r="U632" i="10"/>
  <c r="V632" i="10"/>
  <c r="S632" i="10"/>
  <c r="T631" i="10"/>
  <c r="Y631" i="10" s="1"/>
  <c r="X631" i="10"/>
  <c r="Q635" i="10"/>
  <c r="R634" i="10"/>
  <c r="U633" i="10"/>
  <c r="V633" i="10"/>
  <c r="S633" i="10"/>
  <c r="T632" i="10"/>
  <c r="Y632" i="10" s="1"/>
  <c r="X632" i="10"/>
  <c r="Q636" i="10"/>
  <c r="R635" i="10"/>
  <c r="S634" i="10"/>
  <c r="U634" i="10"/>
  <c r="V634" i="10"/>
  <c r="T633" i="10"/>
  <c r="Y633" i="10" s="1"/>
  <c r="X633" i="10"/>
  <c r="Q637" i="10"/>
  <c r="R636" i="10"/>
  <c r="V635" i="10"/>
  <c r="S635" i="10"/>
  <c r="U635" i="10"/>
  <c r="T634" i="10"/>
  <c r="Y634" i="10" s="1"/>
  <c r="X634" i="10"/>
  <c r="Q638" i="10"/>
  <c r="R637" i="10"/>
  <c r="U636" i="10"/>
  <c r="V636" i="10"/>
  <c r="S636" i="10"/>
  <c r="T635" i="10"/>
  <c r="Y635" i="10" s="1"/>
  <c r="X635" i="10"/>
  <c r="Q639" i="10"/>
  <c r="R638" i="10"/>
  <c r="U637" i="10"/>
  <c r="V637" i="10"/>
  <c r="S637" i="10"/>
  <c r="T636" i="10"/>
  <c r="Y636" i="10" s="1"/>
  <c r="X636" i="10"/>
  <c r="Q640" i="10"/>
  <c r="R639" i="10"/>
  <c r="S638" i="10"/>
  <c r="U638" i="10"/>
  <c r="V638" i="10"/>
  <c r="T637" i="10"/>
  <c r="Y637" i="10" s="1"/>
  <c r="X637" i="10"/>
  <c r="Q641" i="10"/>
  <c r="R640" i="10"/>
  <c r="V639" i="10"/>
  <c r="S639" i="10"/>
  <c r="U639" i="10"/>
  <c r="T638" i="10"/>
  <c r="Y638" i="10" s="1"/>
  <c r="X638" i="10"/>
  <c r="Q642" i="10"/>
  <c r="R641" i="10"/>
  <c r="U640" i="10"/>
  <c r="V640" i="10"/>
  <c r="S640" i="10"/>
  <c r="T639" i="10"/>
  <c r="Y639" i="10" s="1"/>
  <c r="X639" i="10"/>
  <c r="Q643" i="10"/>
  <c r="R642" i="10"/>
  <c r="U641" i="10"/>
  <c r="V641" i="10"/>
  <c r="S641" i="10"/>
  <c r="T640" i="10"/>
  <c r="Y640" i="10" s="1"/>
  <c r="X640" i="10"/>
  <c r="Q644" i="10"/>
  <c r="R643" i="10"/>
  <c r="S642" i="10"/>
  <c r="U642" i="10"/>
  <c r="V642" i="10"/>
  <c r="T641" i="10"/>
  <c r="Y641" i="10" s="1"/>
  <c r="X641" i="10"/>
  <c r="Q645" i="10"/>
  <c r="R644" i="10"/>
  <c r="V643" i="10"/>
  <c r="S643" i="10"/>
  <c r="U643" i="10"/>
  <c r="T642" i="10"/>
  <c r="Y642" i="10" s="1"/>
  <c r="X642" i="10"/>
  <c r="Q646" i="10"/>
  <c r="R645" i="10"/>
  <c r="U644" i="10"/>
  <c r="V644" i="10"/>
  <c r="S644" i="10"/>
  <c r="T643" i="10"/>
  <c r="Y643" i="10" s="1"/>
  <c r="X643" i="10"/>
  <c r="Q647" i="10"/>
  <c r="R646" i="10"/>
  <c r="U645" i="10"/>
  <c r="V645" i="10"/>
  <c r="S645" i="10"/>
  <c r="T644" i="10"/>
  <c r="Y644" i="10" s="1"/>
  <c r="X644" i="10"/>
  <c r="Q648" i="10"/>
  <c r="R647" i="10"/>
  <c r="S646" i="10"/>
  <c r="U646" i="10"/>
  <c r="V646" i="10"/>
  <c r="T645" i="10"/>
  <c r="Y645" i="10" s="1"/>
  <c r="X645" i="10"/>
  <c r="Q649" i="10"/>
  <c r="R648" i="10"/>
  <c r="V647" i="10"/>
  <c r="S647" i="10"/>
  <c r="U647" i="10"/>
  <c r="T646" i="10"/>
  <c r="Y646" i="10" s="1"/>
  <c r="X646" i="10"/>
  <c r="Q650" i="10"/>
  <c r="R649" i="10"/>
  <c r="U648" i="10"/>
  <c r="V648" i="10"/>
  <c r="S648" i="10"/>
  <c r="T647" i="10"/>
  <c r="Y647" i="10" s="1"/>
  <c r="X647" i="10"/>
  <c r="Q651" i="10"/>
  <c r="R650" i="10"/>
  <c r="U649" i="10"/>
  <c r="V649" i="10"/>
  <c r="S649" i="10"/>
  <c r="T648" i="10"/>
  <c r="Y648" i="10" s="1"/>
  <c r="X648" i="10"/>
  <c r="Q652" i="10"/>
  <c r="R651" i="10"/>
  <c r="S650" i="10"/>
  <c r="U650" i="10"/>
  <c r="V650" i="10"/>
  <c r="T649" i="10"/>
  <c r="Y649" i="10" s="1"/>
  <c r="X649" i="10"/>
  <c r="Q653" i="10"/>
  <c r="R652" i="10"/>
  <c r="V651" i="10"/>
  <c r="S651" i="10"/>
  <c r="U651" i="10"/>
  <c r="T650" i="10"/>
  <c r="Y650" i="10" s="1"/>
  <c r="X650" i="10"/>
  <c r="Q654" i="10"/>
  <c r="R653" i="10"/>
  <c r="U652" i="10"/>
  <c r="V652" i="10"/>
  <c r="S652" i="10"/>
  <c r="T651" i="10"/>
  <c r="Y651" i="10" s="1"/>
  <c r="X651" i="10"/>
  <c r="Q655" i="10"/>
  <c r="R654" i="10"/>
  <c r="U653" i="10"/>
  <c r="V653" i="10"/>
  <c r="S653" i="10"/>
  <c r="T652" i="10"/>
  <c r="Y652" i="10" s="1"/>
  <c r="X652" i="10"/>
  <c r="Q656" i="10"/>
  <c r="R655" i="10"/>
  <c r="S654" i="10"/>
  <c r="U654" i="10"/>
  <c r="V654" i="10"/>
  <c r="T653" i="10"/>
  <c r="Y653" i="10" s="1"/>
  <c r="X653" i="10"/>
  <c r="Q657" i="10"/>
  <c r="R656" i="10"/>
  <c r="V655" i="10"/>
  <c r="S655" i="10"/>
  <c r="U655" i="10"/>
  <c r="T654" i="10"/>
  <c r="Y654" i="10" s="1"/>
  <c r="X654" i="10"/>
  <c r="Q658" i="10"/>
  <c r="R657" i="10"/>
  <c r="U656" i="10"/>
  <c r="V656" i="10"/>
  <c r="S656" i="10"/>
  <c r="T655" i="10"/>
  <c r="Y655" i="10" s="1"/>
  <c r="X655" i="10"/>
  <c r="Q659" i="10"/>
  <c r="R658" i="10"/>
  <c r="U657" i="10"/>
  <c r="V657" i="10"/>
  <c r="S657" i="10"/>
  <c r="T656" i="10"/>
  <c r="Y656" i="10" s="1"/>
  <c r="X656" i="10"/>
  <c r="Q660" i="10"/>
  <c r="R659" i="10"/>
  <c r="S658" i="10"/>
  <c r="U658" i="10"/>
  <c r="V658" i="10"/>
  <c r="T657" i="10"/>
  <c r="Y657" i="10" s="1"/>
  <c r="X657" i="10"/>
  <c r="Q661" i="10"/>
  <c r="R660" i="10"/>
  <c r="V659" i="10"/>
  <c r="S659" i="10"/>
  <c r="U659" i="10"/>
  <c r="T658" i="10"/>
  <c r="Y658" i="10" s="1"/>
  <c r="X658" i="10"/>
  <c r="Q662" i="10"/>
  <c r="R661" i="10"/>
  <c r="U660" i="10"/>
  <c r="V660" i="10"/>
  <c r="S660" i="10"/>
  <c r="T659" i="10"/>
  <c r="Y659" i="10" s="1"/>
  <c r="X659" i="10"/>
  <c r="Q663" i="10"/>
  <c r="R662" i="10"/>
  <c r="U661" i="10"/>
  <c r="V661" i="10"/>
  <c r="S661" i="10"/>
  <c r="T660" i="10"/>
  <c r="Y660" i="10" s="1"/>
  <c r="X660" i="10"/>
  <c r="Q664" i="10"/>
  <c r="R663" i="10"/>
  <c r="S662" i="10"/>
  <c r="U662" i="10"/>
  <c r="V662" i="10"/>
  <c r="T661" i="10"/>
  <c r="Y661" i="10" s="1"/>
  <c r="X661" i="10"/>
  <c r="Q665" i="10"/>
  <c r="R664" i="10"/>
  <c r="V663" i="10"/>
  <c r="S663" i="10"/>
  <c r="U663" i="10"/>
  <c r="T662" i="10"/>
  <c r="Y662" i="10" s="1"/>
  <c r="X662" i="10"/>
  <c r="Q666" i="10"/>
  <c r="R665" i="10"/>
  <c r="U664" i="10"/>
  <c r="V664" i="10"/>
  <c r="S664" i="10"/>
  <c r="T663" i="10"/>
  <c r="Y663" i="10" s="1"/>
  <c r="X663" i="10"/>
  <c r="Q667" i="10"/>
  <c r="R666" i="10"/>
  <c r="U665" i="10"/>
  <c r="V665" i="10"/>
  <c r="S665" i="10"/>
  <c r="T664" i="10"/>
  <c r="Y664" i="10" s="1"/>
  <c r="X664" i="10"/>
  <c r="Q668" i="10"/>
  <c r="R667" i="10"/>
  <c r="S666" i="10"/>
  <c r="U666" i="10"/>
  <c r="V666" i="10"/>
  <c r="T665" i="10"/>
  <c r="Y665" i="10" s="1"/>
  <c r="X665" i="10"/>
  <c r="Q669" i="10"/>
  <c r="R668" i="10"/>
  <c r="V667" i="10"/>
  <c r="S667" i="10"/>
  <c r="U667" i="10"/>
  <c r="T666" i="10"/>
  <c r="Y666" i="10" s="1"/>
  <c r="X666" i="10"/>
  <c r="Q670" i="10"/>
  <c r="R669" i="10"/>
  <c r="U668" i="10"/>
  <c r="V668" i="10"/>
  <c r="S668" i="10"/>
  <c r="T667" i="10"/>
  <c r="Y667" i="10" s="1"/>
  <c r="X667" i="10"/>
  <c r="Q671" i="10"/>
  <c r="R670" i="10"/>
  <c r="U669" i="10"/>
  <c r="V669" i="10"/>
  <c r="S669" i="10"/>
  <c r="T668" i="10"/>
  <c r="Y668" i="10" s="1"/>
  <c r="X668" i="10"/>
  <c r="Q672" i="10"/>
  <c r="R671" i="10"/>
  <c r="S670" i="10"/>
  <c r="U670" i="10"/>
  <c r="V670" i="10"/>
  <c r="T669" i="10"/>
  <c r="Y669" i="10" s="1"/>
  <c r="X669" i="10"/>
  <c r="Q673" i="10"/>
  <c r="R672" i="10"/>
  <c r="V671" i="10"/>
  <c r="S671" i="10"/>
  <c r="U671" i="10"/>
  <c r="T670" i="10"/>
  <c r="Y670" i="10" s="1"/>
  <c r="X670" i="10"/>
  <c r="Q674" i="10"/>
  <c r="R673" i="10"/>
  <c r="U672" i="10"/>
  <c r="V672" i="10"/>
  <c r="S672" i="10"/>
  <c r="T671" i="10"/>
  <c r="Y671" i="10" s="1"/>
  <c r="X671" i="10"/>
  <c r="Q675" i="10"/>
  <c r="R674" i="10"/>
  <c r="U673" i="10"/>
  <c r="V673" i="10"/>
  <c r="S673" i="10"/>
  <c r="T672" i="10"/>
  <c r="Y672" i="10" s="1"/>
  <c r="X672" i="10"/>
  <c r="Q676" i="10"/>
  <c r="R675" i="10"/>
  <c r="S674" i="10"/>
  <c r="U674" i="10"/>
  <c r="V674" i="10"/>
  <c r="T673" i="10"/>
  <c r="Y673" i="10" s="1"/>
  <c r="X673" i="10"/>
  <c r="Q677" i="10"/>
  <c r="R676" i="10"/>
  <c r="V675" i="10"/>
  <c r="S675" i="10"/>
  <c r="U675" i="10"/>
  <c r="T674" i="10"/>
  <c r="Y674" i="10" s="1"/>
  <c r="X674" i="10"/>
  <c r="Q678" i="10"/>
  <c r="R677" i="10"/>
  <c r="U676" i="10"/>
  <c r="V676" i="10"/>
  <c r="S676" i="10"/>
  <c r="T675" i="10"/>
  <c r="Y675" i="10" s="1"/>
  <c r="X675" i="10"/>
  <c r="Q679" i="10"/>
  <c r="R678" i="10"/>
  <c r="U677" i="10"/>
  <c r="V677" i="10"/>
  <c r="S677" i="10"/>
  <c r="T676" i="10"/>
  <c r="Y676" i="10" s="1"/>
  <c r="X676" i="10"/>
  <c r="Q680" i="10"/>
  <c r="R679" i="10"/>
  <c r="S678" i="10"/>
  <c r="U678" i="10"/>
  <c r="V678" i="10"/>
  <c r="T677" i="10"/>
  <c r="Y677" i="10" s="1"/>
  <c r="X677" i="10"/>
  <c r="Q681" i="10"/>
  <c r="R681" i="10" s="1"/>
  <c r="R680" i="10"/>
  <c r="V679" i="10"/>
  <c r="S679" i="10"/>
  <c r="U679" i="10"/>
  <c r="T678" i="10"/>
  <c r="Y678" i="10" s="1"/>
  <c r="X678" i="10"/>
  <c r="U681" i="10"/>
  <c r="V681" i="10"/>
  <c r="S681" i="10"/>
  <c r="U680" i="10"/>
  <c r="V680" i="10"/>
  <c r="S680" i="10"/>
  <c r="T679" i="10"/>
  <c r="Y679" i="10" s="1"/>
  <c r="X679" i="10"/>
  <c r="T681" i="10"/>
  <c r="Y681" i="10" s="1"/>
  <c r="X681" i="10"/>
  <c r="T680" i="10"/>
  <c r="Y680" i="10" s="1"/>
  <c r="X680" i="10"/>
  <c r="I8" i="10"/>
  <c r="J8" i="10"/>
  <c r="F8" i="10" l="1"/>
  <c r="G8" i="10"/>
  <c r="W680" i="10"/>
  <c r="W679" i="10"/>
  <c r="W678" i="10"/>
  <c r="W677" i="10"/>
  <c r="W676" i="10"/>
  <c r="W675" i="10"/>
  <c r="W674" i="10"/>
  <c r="W673" i="10"/>
  <c r="W672" i="10"/>
  <c r="W671" i="10"/>
  <c r="W670" i="10"/>
  <c r="W669" i="10"/>
  <c r="W668" i="10"/>
  <c r="W667" i="10"/>
  <c r="W666" i="10"/>
  <c r="W665" i="10"/>
  <c r="W664" i="10"/>
  <c r="W663" i="10"/>
  <c r="W662" i="10"/>
  <c r="W661" i="10"/>
  <c r="W660" i="10"/>
  <c r="W659" i="10"/>
  <c r="W658" i="10"/>
  <c r="W657" i="10"/>
  <c r="W656" i="10"/>
  <c r="W655" i="10"/>
  <c r="W654" i="10"/>
  <c r="W653" i="10"/>
  <c r="W652" i="10"/>
  <c r="W651" i="10"/>
  <c r="W650" i="10"/>
  <c r="W649" i="10"/>
  <c r="W648" i="10"/>
  <c r="W647" i="10"/>
  <c r="W646" i="10"/>
  <c r="W645" i="10"/>
  <c r="W644" i="10"/>
  <c r="W643" i="10"/>
  <c r="W642" i="10"/>
  <c r="W641" i="10"/>
  <c r="W640" i="10"/>
  <c r="W639" i="10"/>
  <c r="W638" i="10"/>
  <c r="W637" i="10"/>
  <c r="W636" i="10"/>
  <c r="W635" i="10"/>
  <c r="W634" i="10"/>
  <c r="W633" i="10"/>
  <c r="W632" i="10"/>
  <c r="W631" i="10"/>
  <c r="W630" i="10"/>
  <c r="W629" i="10"/>
  <c r="W628" i="10"/>
  <c r="W627" i="10"/>
  <c r="W626" i="10"/>
  <c r="W625" i="10"/>
  <c r="W624" i="10"/>
  <c r="W623" i="10"/>
  <c r="W622" i="10"/>
  <c r="W621" i="10"/>
  <c r="W620" i="10"/>
  <c r="W619" i="10"/>
  <c r="W618" i="10"/>
  <c r="W617" i="10"/>
  <c r="W616" i="10"/>
  <c r="W615" i="10"/>
  <c r="W614" i="10"/>
  <c r="W613" i="10"/>
  <c r="W612" i="10"/>
  <c r="W611" i="10"/>
  <c r="W610" i="10"/>
  <c r="W609" i="10"/>
  <c r="W608" i="10"/>
  <c r="W607" i="10"/>
  <c r="W606" i="10"/>
  <c r="W605" i="10"/>
  <c r="W604" i="10"/>
  <c r="W603" i="10"/>
  <c r="W602" i="10"/>
  <c r="W601" i="10"/>
  <c r="W600" i="10"/>
  <c r="W599" i="10"/>
  <c r="W598" i="10"/>
  <c r="W597" i="10"/>
  <c r="W596" i="10"/>
  <c r="W595" i="10"/>
  <c r="W594" i="10"/>
  <c r="W593" i="10"/>
  <c r="W592" i="10"/>
  <c r="W591" i="10"/>
  <c r="W590" i="10"/>
  <c r="W589" i="10"/>
  <c r="W588" i="10"/>
  <c r="W587" i="10"/>
  <c r="W586" i="10"/>
  <c r="W585" i="10"/>
  <c r="W584" i="10"/>
  <c r="W583" i="10"/>
  <c r="W582" i="10"/>
  <c r="W581" i="10"/>
  <c r="W580" i="10"/>
  <c r="W579" i="10"/>
  <c r="W578" i="10"/>
  <c r="W577" i="10"/>
  <c r="W576" i="10"/>
  <c r="W575" i="10"/>
  <c r="W574" i="10"/>
  <c r="W573" i="10"/>
  <c r="W572" i="10"/>
  <c r="W571" i="10"/>
  <c r="W570" i="10"/>
  <c r="W569" i="10"/>
  <c r="W568" i="10"/>
  <c r="W567" i="10"/>
  <c r="W566" i="10"/>
  <c r="W565" i="10"/>
  <c r="W564" i="10"/>
  <c r="W563" i="10"/>
  <c r="W562" i="10"/>
  <c r="W561" i="10"/>
  <c r="W560" i="10"/>
  <c r="W559" i="10"/>
  <c r="W558" i="10"/>
  <c r="W557" i="10"/>
  <c r="W556" i="10"/>
  <c r="W555" i="10"/>
  <c r="W554" i="10"/>
  <c r="W553" i="10"/>
  <c r="W552" i="10"/>
  <c r="W551" i="10"/>
  <c r="W550" i="10"/>
  <c r="W549" i="10"/>
  <c r="W548" i="10"/>
  <c r="W547" i="10"/>
  <c r="W546" i="10"/>
  <c r="W545" i="10"/>
  <c r="W544" i="10"/>
  <c r="W543" i="10"/>
  <c r="W542" i="10"/>
  <c r="W541" i="10"/>
  <c r="W540" i="10"/>
  <c r="W539" i="10"/>
  <c r="W538" i="10"/>
  <c r="W537" i="10"/>
  <c r="W536" i="10"/>
  <c r="W535" i="10"/>
  <c r="W534" i="10"/>
  <c r="W533" i="10"/>
  <c r="W532" i="10"/>
  <c r="W531" i="10"/>
  <c r="W530" i="10"/>
  <c r="W529" i="10"/>
  <c r="W528" i="10"/>
  <c r="W527" i="10"/>
  <c r="W526" i="10"/>
  <c r="W525" i="10"/>
  <c r="W524" i="10"/>
  <c r="W523" i="10"/>
  <c r="W522" i="10"/>
  <c r="W521" i="10"/>
  <c r="W520" i="10"/>
  <c r="W519" i="10"/>
  <c r="W518" i="10"/>
  <c r="W517" i="10"/>
  <c r="W516" i="10"/>
  <c r="W515" i="10"/>
  <c r="W514" i="10"/>
  <c r="W513" i="10"/>
  <c r="W512" i="10"/>
  <c r="W511" i="10"/>
  <c r="W510" i="10"/>
  <c r="W509" i="10"/>
  <c r="W508" i="10"/>
  <c r="W507" i="10"/>
  <c r="W506" i="10"/>
  <c r="W505" i="10"/>
  <c r="W504" i="10"/>
  <c r="W503" i="10"/>
  <c r="W502" i="10"/>
  <c r="W501" i="10"/>
  <c r="W500" i="10"/>
  <c r="W499" i="10"/>
  <c r="W498" i="10"/>
  <c r="W497" i="10"/>
  <c r="W496" i="10"/>
  <c r="W495" i="10"/>
  <c r="W494" i="10"/>
  <c r="W493" i="10"/>
  <c r="W492" i="10"/>
  <c r="W491" i="10"/>
  <c r="W490" i="10"/>
  <c r="W489" i="10"/>
  <c r="W488" i="10"/>
  <c r="W487" i="10"/>
  <c r="W486" i="10"/>
  <c r="W485" i="10"/>
  <c r="W484" i="10"/>
  <c r="W483" i="10"/>
  <c r="W482" i="10"/>
  <c r="W481" i="10"/>
  <c r="W480" i="10"/>
  <c r="W479" i="10"/>
  <c r="W478" i="10"/>
  <c r="W477" i="10"/>
  <c r="W476" i="10"/>
  <c r="W475" i="10"/>
  <c r="W474" i="10"/>
  <c r="W473" i="10"/>
  <c r="W472" i="10"/>
  <c r="W471" i="10"/>
  <c r="W470" i="10"/>
  <c r="W469" i="10"/>
  <c r="W468" i="10"/>
  <c r="W467" i="10"/>
  <c r="W466" i="10"/>
  <c r="W465" i="10"/>
  <c r="W464" i="10"/>
  <c r="W463" i="10"/>
  <c r="W462" i="10"/>
  <c r="W461" i="10"/>
  <c r="W460" i="10"/>
  <c r="W459" i="10"/>
  <c r="W458" i="10"/>
  <c r="W457" i="10"/>
  <c r="W456" i="10"/>
  <c r="W455" i="10"/>
  <c r="W454" i="10"/>
  <c r="W453" i="10"/>
  <c r="W452" i="10"/>
  <c r="W451" i="10"/>
  <c r="W450" i="10"/>
  <c r="W449" i="10"/>
  <c r="W448" i="10"/>
  <c r="W447" i="10"/>
  <c r="W446" i="10"/>
  <c r="W445" i="10"/>
  <c r="W444" i="10"/>
  <c r="W443" i="10"/>
  <c r="W442" i="10"/>
  <c r="W441" i="10"/>
  <c r="W440" i="10"/>
  <c r="W439" i="10"/>
  <c r="W438" i="10"/>
  <c r="W437" i="10"/>
  <c r="W436" i="10"/>
  <c r="W435" i="10"/>
  <c r="W434" i="10"/>
  <c r="W433" i="10"/>
  <c r="W432" i="10"/>
  <c r="W431" i="10"/>
  <c r="W430" i="10"/>
  <c r="W429" i="10"/>
  <c r="W428" i="10"/>
  <c r="W427" i="10"/>
  <c r="W426" i="10"/>
  <c r="W425" i="10"/>
  <c r="W424" i="10"/>
  <c r="W423" i="10"/>
  <c r="W422" i="10"/>
  <c r="W421" i="10"/>
  <c r="W420" i="10"/>
  <c r="W419" i="10"/>
  <c r="W418" i="10"/>
  <c r="W417" i="10"/>
  <c r="W416" i="10"/>
  <c r="W415" i="10"/>
  <c r="W414" i="10"/>
  <c r="W413" i="10"/>
  <c r="W412" i="10"/>
  <c r="W411" i="10"/>
  <c r="W410" i="10"/>
  <c r="W409" i="10"/>
  <c r="W408" i="10"/>
  <c r="W407" i="10"/>
  <c r="W406" i="10"/>
  <c r="W405" i="10"/>
  <c r="W404" i="10"/>
  <c r="W403" i="10"/>
  <c r="W402" i="10"/>
  <c r="W401" i="10"/>
  <c r="W400" i="10"/>
  <c r="W399" i="10"/>
  <c r="W398" i="10"/>
  <c r="W397" i="10"/>
  <c r="W681" i="10"/>
  <c r="W396" i="10"/>
  <c r="Q682" i="10"/>
  <c r="R682" i="10"/>
  <c r="V682" i="10"/>
  <c r="U682" i="10"/>
  <c r="S682" i="10"/>
  <c r="X682" i="10"/>
  <c r="T682" i="10"/>
  <c r="Y682" i="10" s="1"/>
  <c r="H8" i="10" l="1"/>
  <c r="W682" i="10"/>
  <c r="Q683" i="10"/>
  <c r="R683" i="10"/>
  <c r="U683" i="10"/>
  <c r="S683" i="10"/>
  <c r="V683" i="10"/>
  <c r="X683" i="10"/>
  <c r="T683" i="10"/>
  <c r="Y683" i="10" s="1"/>
  <c r="W683" i="10" l="1"/>
  <c r="Q684" i="10"/>
  <c r="R684" i="10"/>
  <c r="S684" i="10"/>
  <c r="V684" i="10"/>
  <c r="U684" i="10"/>
  <c r="X684" i="10"/>
  <c r="T684" i="10"/>
  <c r="Y684" i="10"/>
  <c r="W684" i="10" l="1"/>
  <c r="Q685" i="10"/>
  <c r="R685" i="10"/>
  <c r="S685" i="10"/>
  <c r="V685" i="10"/>
  <c r="U685" i="10"/>
  <c r="X685" i="10"/>
  <c r="T685" i="10"/>
  <c r="Y685" i="10" s="1"/>
  <c r="W685" i="10" l="1"/>
  <c r="Q686" i="10"/>
  <c r="R686" i="10"/>
  <c r="V686" i="10"/>
  <c r="U686" i="10"/>
  <c r="S686" i="10"/>
  <c r="X686" i="10"/>
  <c r="T686" i="10"/>
  <c r="Y686" i="10" s="1"/>
  <c r="W686" i="10" l="1"/>
  <c r="Q687" i="10"/>
  <c r="R687" i="10"/>
  <c r="U687" i="10"/>
  <c r="S687" i="10"/>
  <c r="V687" i="10"/>
  <c r="X687" i="10"/>
  <c r="T687" i="10"/>
  <c r="Y687" i="10" s="1"/>
  <c r="W687" i="10" l="1"/>
  <c r="Q688" i="10"/>
  <c r="R688" i="10"/>
  <c r="S688" i="10"/>
  <c r="V688" i="10"/>
  <c r="U688" i="10"/>
  <c r="X688" i="10"/>
  <c r="T688" i="10"/>
  <c r="Y688" i="10"/>
  <c r="W688" i="10" l="1"/>
  <c r="Q689" i="10"/>
  <c r="R689" i="10"/>
  <c r="S689" i="10"/>
  <c r="V689" i="10"/>
  <c r="U689" i="10"/>
  <c r="X689" i="10"/>
  <c r="T689" i="10"/>
  <c r="Y689" i="10" s="1"/>
  <c r="W689" i="10" l="1"/>
  <c r="Q690" i="10"/>
  <c r="R690" i="10"/>
  <c r="V690" i="10"/>
  <c r="U690" i="10"/>
  <c r="S690" i="10"/>
  <c r="X690" i="10"/>
  <c r="T690" i="10"/>
  <c r="Y690" i="10" s="1"/>
  <c r="W690" i="10" l="1"/>
  <c r="Q691" i="10"/>
  <c r="R691" i="10"/>
  <c r="U691" i="10"/>
  <c r="S691" i="10"/>
  <c r="V691" i="10"/>
  <c r="X691" i="10"/>
  <c r="T691" i="10"/>
  <c r="Y691" i="10" s="1"/>
  <c r="W691" i="10" l="1"/>
  <c r="Q692" i="10"/>
  <c r="R692" i="10"/>
  <c r="S692" i="10"/>
  <c r="V692" i="10"/>
  <c r="U692" i="10"/>
  <c r="X692" i="10"/>
  <c r="T692" i="10"/>
  <c r="Y692" i="10"/>
  <c r="W692" i="10" l="1"/>
  <c r="Q693" i="10"/>
  <c r="R693" i="10"/>
  <c r="S693" i="10"/>
  <c r="V693" i="10"/>
  <c r="U693" i="10"/>
  <c r="X693" i="10"/>
  <c r="T693" i="10"/>
  <c r="Y693" i="10" s="1"/>
  <c r="W693" i="10" l="1"/>
  <c r="Q694" i="10"/>
  <c r="R694" i="10"/>
  <c r="V694" i="10"/>
  <c r="U694" i="10"/>
  <c r="S694" i="10"/>
  <c r="X694" i="10"/>
  <c r="T694" i="10"/>
  <c r="Y694" i="10" s="1"/>
  <c r="W694" i="10" l="1"/>
  <c r="Q695" i="10"/>
  <c r="R695" i="10"/>
  <c r="U695" i="10"/>
  <c r="S695" i="10"/>
  <c r="V695" i="10"/>
  <c r="X695" i="10"/>
  <c r="T695" i="10"/>
  <c r="Y695" i="10" s="1"/>
  <c r="W695" i="10" l="1"/>
  <c r="Q696" i="10"/>
  <c r="R696" i="10"/>
  <c r="V696" i="10"/>
  <c r="U696" i="10"/>
  <c r="S696" i="10"/>
  <c r="X696" i="10"/>
  <c r="T696" i="10"/>
  <c r="Y696" i="10" s="1"/>
  <c r="W696" i="10" l="1"/>
  <c r="Q697" i="10"/>
  <c r="R697" i="10"/>
  <c r="V697" i="10"/>
  <c r="U697" i="10"/>
  <c r="S697" i="10"/>
  <c r="T697" i="10"/>
  <c r="Y697" i="10" s="1"/>
  <c r="X697" i="10"/>
  <c r="W697" i="10" l="1"/>
  <c r="Q698" i="10"/>
  <c r="R698" i="10"/>
  <c r="S698" i="10"/>
  <c r="U698" i="10"/>
  <c r="V698" i="10"/>
  <c r="T698" i="10"/>
  <c r="Y698" i="10" s="1"/>
  <c r="X698" i="10"/>
  <c r="W698" i="10" l="1"/>
  <c r="Q699" i="10"/>
  <c r="R699" i="10"/>
  <c r="U699" i="10"/>
  <c r="S699" i="10"/>
  <c r="V699" i="10"/>
  <c r="X699" i="10"/>
  <c r="T699" i="10"/>
  <c r="Y699" i="10" s="1"/>
  <c r="W699" i="10" l="1"/>
  <c r="Q700" i="10"/>
  <c r="R700" i="10"/>
  <c r="S700" i="10"/>
  <c r="V700" i="10"/>
  <c r="U700" i="10"/>
  <c r="X700" i="10"/>
  <c r="T700" i="10"/>
  <c r="Y700" i="10"/>
  <c r="W700" i="10" l="1"/>
  <c r="Q701" i="10"/>
  <c r="R701" i="10"/>
  <c r="S701" i="10"/>
  <c r="V701" i="10"/>
  <c r="U701" i="10"/>
  <c r="X701" i="10"/>
  <c r="T701" i="10"/>
  <c r="Y701" i="10" s="1"/>
  <c r="W701" i="10" l="1"/>
  <c r="Q702" i="10"/>
  <c r="R702" i="10"/>
  <c r="V702" i="10"/>
  <c r="U702" i="10"/>
  <c r="S702" i="10"/>
  <c r="X702" i="10"/>
  <c r="T702" i="10"/>
  <c r="Y702" i="10" s="1"/>
  <c r="W702" i="10" l="1"/>
  <c r="Q703" i="10"/>
  <c r="R703" i="10"/>
  <c r="U703" i="10"/>
  <c r="S703" i="10"/>
  <c r="V703" i="10"/>
  <c r="X703" i="10"/>
  <c r="T703" i="10"/>
  <c r="Y703" i="10" s="1"/>
  <c r="W703" i="10" l="1"/>
  <c r="Q704" i="10"/>
  <c r="R704" i="10"/>
  <c r="S704" i="10"/>
  <c r="V704" i="10"/>
  <c r="U704" i="10"/>
  <c r="X704" i="10"/>
  <c r="T704" i="10"/>
  <c r="Y704" i="10"/>
  <c r="W704" i="10" l="1"/>
  <c r="Q705" i="10"/>
  <c r="R705" i="10"/>
  <c r="S705" i="10"/>
  <c r="V705" i="10"/>
  <c r="U705" i="10"/>
  <c r="X705" i="10"/>
  <c r="T705" i="10"/>
  <c r="Y705" i="10" s="1"/>
  <c r="W705" i="10" l="1"/>
  <c r="Q706" i="10"/>
  <c r="R706" i="10"/>
  <c r="V706" i="10"/>
  <c r="U706" i="10"/>
  <c r="S706" i="10"/>
  <c r="X706" i="10"/>
  <c r="T706" i="10"/>
  <c r="Y706" i="10" s="1"/>
  <c r="W706" i="10" l="1"/>
  <c r="Q707" i="10"/>
  <c r="R707" i="10"/>
  <c r="U707" i="10"/>
  <c r="S707" i="10"/>
  <c r="V707" i="10"/>
  <c r="X707" i="10"/>
  <c r="T707" i="10"/>
  <c r="Y707" i="10" s="1"/>
  <c r="W707" i="10" l="1"/>
  <c r="Q708" i="10"/>
  <c r="R708" i="10"/>
  <c r="S708" i="10"/>
  <c r="V708" i="10"/>
  <c r="U708" i="10"/>
  <c r="X708" i="10"/>
  <c r="T708" i="10"/>
  <c r="Y708" i="10"/>
  <c r="W708" i="10" l="1"/>
  <c r="Q709" i="10"/>
  <c r="R709" i="10"/>
  <c r="S709" i="10"/>
  <c r="V709" i="10"/>
  <c r="U709" i="10"/>
  <c r="X709" i="10"/>
  <c r="T709" i="10"/>
  <c r="Y709" i="10" s="1"/>
  <c r="W709" i="10" l="1"/>
  <c r="Q710" i="10"/>
  <c r="R710" i="10"/>
  <c r="V710" i="10"/>
  <c r="U710" i="10"/>
  <c r="S710" i="10"/>
  <c r="X710" i="10"/>
  <c r="T710" i="10"/>
  <c r="Y710" i="10" s="1"/>
  <c r="W710" i="10" l="1"/>
  <c r="Q711" i="10"/>
  <c r="R711" i="10"/>
  <c r="U711" i="10"/>
  <c r="S711" i="10"/>
  <c r="V711" i="10"/>
  <c r="X711" i="10"/>
  <c r="T711" i="10"/>
  <c r="Y711" i="10" s="1"/>
  <c r="W711" i="10" l="1"/>
  <c r="Q712" i="10"/>
  <c r="R712" i="10"/>
  <c r="S712" i="10"/>
  <c r="V712" i="10"/>
  <c r="U712" i="10"/>
  <c r="X712" i="10"/>
  <c r="T712" i="10"/>
  <c r="Y712" i="10"/>
  <c r="W712" i="10" l="1"/>
  <c r="Q713" i="10"/>
  <c r="R713" i="10"/>
  <c r="S713" i="10"/>
  <c r="V713" i="10"/>
  <c r="U713" i="10"/>
  <c r="X713" i="10"/>
  <c r="T713" i="10"/>
  <c r="Y713" i="10" s="1"/>
  <c r="W713" i="10" l="1"/>
  <c r="Q714" i="10"/>
  <c r="R714" i="10"/>
  <c r="V714" i="10"/>
  <c r="U714" i="10"/>
  <c r="S714" i="10"/>
  <c r="X714" i="10"/>
  <c r="T714" i="10"/>
  <c r="Y714" i="10" s="1"/>
  <c r="W714" i="10" l="1"/>
  <c r="Q715" i="10"/>
  <c r="R715" i="10"/>
  <c r="U715" i="10"/>
  <c r="S715" i="10"/>
  <c r="V715" i="10"/>
  <c r="X715" i="10"/>
  <c r="T715" i="10"/>
  <c r="Y715" i="10" s="1"/>
  <c r="W715" i="10" l="1"/>
  <c r="Q716" i="10"/>
  <c r="R716" i="10"/>
  <c r="S716" i="10"/>
  <c r="V716" i="10"/>
  <c r="U716" i="10"/>
  <c r="X716" i="10"/>
  <c r="T716" i="10"/>
  <c r="Y716" i="10"/>
  <c r="W716" i="10" l="1"/>
  <c r="Q717" i="10"/>
  <c r="R717" i="10"/>
  <c r="S717" i="10"/>
  <c r="V717" i="10"/>
  <c r="U717" i="10"/>
  <c r="X717" i="10"/>
  <c r="T717" i="10"/>
  <c r="Y717" i="10" s="1"/>
  <c r="W717" i="10" l="1"/>
  <c r="Q718" i="10"/>
  <c r="R718" i="10"/>
  <c r="V718" i="10"/>
  <c r="U718" i="10"/>
  <c r="S718" i="10"/>
  <c r="X718" i="10"/>
  <c r="T718" i="10"/>
  <c r="Y718" i="10" s="1"/>
  <c r="W718" i="10" l="1"/>
  <c r="Q719" i="10"/>
  <c r="R719" i="10"/>
  <c r="U719" i="10"/>
  <c r="S719" i="10"/>
  <c r="V719" i="10"/>
  <c r="X719" i="10"/>
  <c r="T719" i="10"/>
  <c r="Y719" i="10" s="1"/>
  <c r="W719" i="10" l="1"/>
  <c r="Q720" i="10"/>
  <c r="R720" i="10"/>
  <c r="S720" i="10"/>
  <c r="V720" i="10"/>
  <c r="U720" i="10"/>
  <c r="X720" i="10"/>
  <c r="T720" i="10"/>
  <c r="Y720" i="10"/>
  <c r="W720" i="10" l="1"/>
  <c r="Q721" i="10"/>
  <c r="R721" i="10"/>
  <c r="S721" i="10"/>
  <c r="V721" i="10"/>
  <c r="U721" i="10"/>
  <c r="X721" i="10"/>
  <c r="T721" i="10"/>
  <c r="Y721" i="10" s="1"/>
  <c r="W721" i="10" l="1"/>
  <c r="J9" i="10"/>
  <c r="I9" i="10"/>
  <c r="F9" i="10" l="1"/>
  <c r="G9" i="10"/>
  <c r="H9" i="10" s="1"/>
  <c r="M24" i="9" l="1"/>
  <c r="AA106" i="9"/>
  <c r="AA44" i="9"/>
  <c r="AA84" i="9"/>
  <c r="AA133" i="9"/>
  <c r="AA96" i="9"/>
  <c r="AA60" i="9"/>
  <c r="AA38" i="9"/>
  <c r="AA27" i="9"/>
  <c r="AA80" i="9"/>
  <c r="AA111" i="9"/>
  <c r="AA51" i="9"/>
  <c r="AA109" i="9"/>
  <c r="AA91" i="9"/>
  <c r="AA120" i="9"/>
  <c r="AA128" i="9"/>
  <c r="AA127" i="9"/>
  <c r="AA121" i="9"/>
  <c r="AA50" i="9"/>
  <c r="AA61" i="9"/>
  <c r="AA64" i="9"/>
  <c r="AA72" i="9"/>
  <c r="AA129" i="9"/>
  <c r="AA45" i="9"/>
  <c r="AA21" i="9"/>
  <c r="AA107" i="9"/>
  <c r="AA104" i="9"/>
  <c r="AA132" i="9"/>
  <c r="AA35" i="9"/>
  <c r="AA71" i="9"/>
  <c r="AA83" i="9"/>
  <c r="AA92" i="9"/>
  <c r="AA19" i="9"/>
  <c r="AA10" i="9"/>
  <c r="AA13" i="9"/>
  <c r="AA108" i="9"/>
  <c r="AA82" i="9"/>
  <c r="AA34" i="9"/>
  <c r="AA110" i="9"/>
  <c r="AA89" i="9"/>
  <c r="M28" i="9" a="1"/>
  <c r="AA30" i="9"/>
  <c r="AA11" i="9"/>
  <c r="AA16" i="9"/>
  <c r="AA124" i="9"/>
  <c r="AA125" i="9"/>
  <c r="AA70" i="9"/>
  <c r="AA32" i="9"/>
  <c r="AA100" i="9"/>
  <c r="AA28" i="9"/>
  <c r="AA55" i="9"/>
  <c r="AA118" i="9"/>
  <c r="AA14" i="9"/>
  <c r="AA117" i="9"/>
  <c r="AA94" i="9"/>
  <c r="AA42" i="9"/>
  <c r="AA97" i="9"/>
  <c r="AA59" i="9"/>
  <c r="AA95" i="9"/>
  <c r="AA58" i="9"/>
  <c r="AA119" i="9"/>
  <c r="AA3" i="9"/>
  <c r="AA25" i="9"/>
  <c r="AA98" i="9"/>
  <c r="AA73" i="9"/>
  <c r="AA41" i="9"/>
  <c r="AA24" i="9"/>
  <c r="AA49" i="9"/>
  <c r="AA134" i="9"/>
  <c r="AA33" i="9"/>
  <c r="AA62" i="9"/>
  <c r="AA15" i="9"/>
  <c r="AA36" i="9"/>
  <c r="AA115" i="9"/>
  <c r="AA77" i="9"/>
  <c r="AA56" i="9"/>
  <c r="AA68" i="9"/>
  <c r="AA47" i="9"/>
  <c r="AA112" i="9"/>
  <c r="AA75" i="9"/>
  <c r="AA48" i="9"/>
  <c r="AA37" i="9"/>
  <c r="AA81" i="9"/>
  <c r="AA4" i="9"/>
  <c r="AA102" i="9"/>
  <c r="AA8" i="9"/>
  <c r="AA76" i="9"/>
  <c r="AA17" i="9"/>
  <c r="AA87" i="9"/>
  <c r="AA67" i="9"/>
  <c r="AA54" i="9"/>
  <c r="AA93" i="9"/>
  <c r="AA6" i="9"/>
  <c r="AA23" i="9"/>
  <c r="AA99" i="9"/>
  <c r="AA65" i="9"/>
  <c r="AA57" i="9"/>
  <c r="AA9" i="9"/>
  <c r="AA103" i="9"/>
  <c r="AA40" i="9"/>
  <c r="AA86" i="9"/>
  <c r="AA122" i="9"/>
  <c r="AA52" i="9"/>
  <c r="AA135" i="9"/>
  <c r="AA46" i="9"/>
  <c r="AA113" i="9"/>
  <c r="AA126" i="9"/>
  <c r="AA79" i="9"/>
  <c r="AA85" i="9"/>
  <c r="AA26" i="9"/>
  <c r="AA12" i="9"/>
  <c r="AA20" i="9"/>
  <c r="AA18" i="9"/>
  <c r="AA123" i="9"/>
  <c r="AA7" i="9"/>
  <c r="AA74" i="9"/>
  <c r="AA53" i="9"/>
  <c r="AA66" i="9"/>
  <c r="AA88" i="9"/>
  <c r="AA105" i="9"/>
  <c r="AA116" i="9"/>
  <c r="AA43" i="9"/>
  <c r="AA114" i="9"/>
  <c r="AA131" i="9"/>
  <c r="AA90" i="9"/>
  <c r="AA5" i="9"/>
  <c r="AA63" i="9"/>
  <c r="AA22" i="9"/>
  <c r="AA101" i="9"/>
  <c r="AA69" i="9"/>
  <c r="AA39" i="9"/>
  <c r="AA29" i="9"/>
  <c r="AA130" i="9"/>
  <c r="AA31" i="9"/>
  <c r="AA78" i="9"/>
  <c r="AB24" i="9" l="1"/>
  <c r="AC24" i="9" s="1"/>
  <c r="AB103" i="9"/>
  <c r="AC103" i="9" s="1"/>
  <c r="AB41" i="9"/>
  <c r="AC41" i="9" s="1"/>
  <c r="AB9" i="9"/>
  <c r="AC9" i="9" s="1"/>
  <c r="AB57" i="9"/>
  <c r="AC57" i="9" s="1"/>
  <c r="AB65" i="9"/>
  <c r="AC65" i="9" s="1"/>
  <c r="AB99" i="9"/>
  <c r="AC99" i="9" s="1"/>
  <c r="AB23" i="9"/>
  <c r="AC23" i="9"/>
  <c r="AB6" i="9"/>
  <c r="AC6" i="9" s="1"/>
  <c r="AB93" i="9"/>
  <c r="AC93" i="9" s="1"/>
  <c r="AB54" i="9"/>
  <c r="AC54" i="9" s="1"/>
  <c r="AB67" i="9"/>
  <c r="AC67" i="9" s="1"/>
  <c r="AB87" i="9"/>
  <c r="AC87" i="9" s="1"/>
  <c r="AB17" i="9"/>
  <c r="AC17" i="9" s="1"/>
  <c r="AB76" i="9"/>
  <c r="AC76" i="9" s="1"/>
  <c r="AB8" i="9"/>
  <c r="AC8" i="9" s="1"/>
  <c r="AB102" i="9"/>
  <c r="AC102" i="9" s="1"/>
  <c r="AB4" i="9"/>
  <c r="AC4" i="9" s="1"/>
  <c r="AB81" i="9"/>
  <c r="AC81" i="9" s="1"/>
  <c r="AB37" i="9"/>
  <c r="AC37" i="9" s="1"/>
  <c r="AB48" i="9"/>
  <c r="AC48" i="9" s="1"/>
  <c r="AB75" i="9"/>
  <c r="AC75" i="9" s="1"/>
  <c r="AB112" i="9"/>
  <c r="AC112" i="9" s="1"/>
  <c r="AB47" i="9"/>
  <c r="AC47" i="9" s="1"/>
  <c r="AB68" i="9"/>
  <c r="AC68" i="9" s="1"/>
  <c r="M30" i="9"/>
  <c r="AB89" i="9"/>
  <c r="AC89" i="9" s="1"/>
  <c r="AB110" i="9"/>
  <c r="AC110" i="9" s="1"/>
  <c r="AB34" i="9"/>
  <c r="AC34" i="9" s="1"/>
  <c r="AB82" i="9"/>
  <c r="AC82" i="9" s="1"/>
  <c r="AB108" i="9"/>
  <c r="AC108" i="9" s="1"/>
  <c r="AB13" i="9"/>
  <c r="AC13" i="9" s="1"/>
  <c r="AB10" i="9"/>
  <c r="AC10" i="9" s="1"/>
  <c r="AB19" i="9"/>
  <c r="AC19" i="9" s="1"/>
  <c r="AB73" i="9"/>
  <c r="AC73" i="9"/>
  <c r="AB98" i="9"/>
  <c r="AC98" i="9" s="1"/>
  <c r="AB25" i="9"/>
  <c r="AC25" i="9" s="1"/>
  <c r="AB3" i="9"/>
  <c r="AC3" i="9" s="1"/>
  <c r="AB119" i="9"/>
  <c r="AC119" i="9" s="1"/>
  <c r="AB58" i="9"/>
  <c r="AC58" i="9" s="1"/>
  <c r="AB95" i="9"/>
  <c r="AC95" i="9" s="1"/>
  <c r="AB59" i="9"/>
  <c r="AC59" i="9" s="1"/>
  <c r="AB97" i="9"/>
  <c r="AC97" i="9" s="1"/>
  <c r="AB42" i="9"/>
  <c r="AC42" i="9" s="1"/>
  <c r="AB94" i="9"/>
  <c r="AC94" i="9" s="1"/>
  <c r="AB117" i="9"/>
  <c r="AC117" i="9" s="1"/>
  <c r="AB14" i="9"/>
  <c r="AC14" i="9" s="1"/>
  <c r="AB118" i="9"/>
  <c r="AC118" i="9" s="1"/>
  <c r="AB55" i="9"/>
  <c r="AC55" i="9" s="1"/>
  <c r="AB28" i="9"/>
  <c r="AC28" i="9" s="1"/>
  <c r="AB100" i="9"/>
  <c r="AC100" i="9" s="1"/>
  <c r="AB32" i="9"/>
  <c r="AC32" i="9" s="1"/>
  <c r="AB70" i="9"/>
  <c r="AC70" i="9" s="1"/>
  <c r="AB125" i="9"/>
  <c r="AC125" i="9" s="1"/>
  <c r="AB124" i="9"/>
  <c r="AC124" i="9" s="1"/>
  <c r="AB16" i="9"/>
  <c r="AC16" i="9" s="1"/>
  <c r="AB11" i="9"/>
  <c r="AC11" i="9" s="1"/>
  <c r="AB30" i="9"/>
  <c r="AC30" i="9" s="1"/>
  <c r="M31" i="9"/>
  <c r="AB45" i="9"/>
  <c r="AC45" i="9" s="1"/>
  <c r="AB21" i="9"/>
  <c r="AC21" i="9" s="1"/>
  <c r="AB107" i="9"/>
  <c r="AC107" i="9" s="1"/>
  <c r="AB104" i="9"/>
  <c r="AC104" i="9" s="1"/>
  <c r="AB132" i="9"/>
  <c r="AC132" i="9" s="1"/>
  <c r="AB35" i="9"/>
  <c r="AC35" i="9" s="1"/>
  <c r="AB71" i="9"/>
  <c r="AC71" i="9" s="1"/>
  <c r="AB83" i="9"/>
  <c r="AC83" i="9" s="1"/>
  <c r="AB92" i="9"/>
  <c r="AC92" i="9" s="1"/>
  <c r="AB78" i="9"/>
  <c r="AC78" i="9" s="1"/>
  <c r="AB106" i="9"/>
  <c r="AC106" i="9" s="1"/>
  <c r="AB31" i="9"/>
  <c r="AC31" i="9"/>
  <c r="AB44" i="9"/>
  <c r="AC44" i="9" s="1"/>
  <c r="AB84" i="9"/>
  <c r="AC84" i="9" s="1"/>
  <c r="AB133" i="9"/>
  <c r="AC133" i="9" s="1"/>
  <c r="AB96" i="9"/>
  <c r="AC96" i="9" s="1"/>
  <c r="AB60" i="9"/>
  <c r="AC60" i="9" s="1"/>
  <c r="AB38" i="9"/>
  <c r="AC38" i="9" s="1"/>
  <c r="AB27" i="9"/>
  <c r="AC27" i="9" s="1"/>
  <c r="AB80" i="9"/>
  <c r="AC80" i="9" s="1"/>
  <c r="AB111" i="9"/>
  <c r="AC111" i="9" s="1"/>
  <c r="AB51" i="9"/>
  <c r="AC51" i="9" s="1"/>
  <c r="AB109" i="9"/>
  <c r="AC109" i="9" s="1"/>
  <c r="AB91" i="9"/>
  <c r="AC91" i="9" s="1"/>
  <c r="AB120" i="9"/>
  <c r="AC120" i="9" s="1"/>
  <c r="AB128" i="9"/>
  <c r="AC128" i="9" s="1"/>
  <c r="AB127" i="9"/>
  <c r="AC127" i="9" s="1"/>
  <c r="AB121" i="9"/>
  <c r="AC121" i="9" s="1"/>
  <c r="AB50" i="9"/>
  <c r="AC50" i="9" s="1"/>
  <c r="AB61" i="9"/>
  <c r="AC61" i="9" s="1"/>
  <c r="AB64" i="9"/>
  <c r="AC64" i="9" s="1"/>
  <c r="AB72" i="9"/>
  <c r="AC72" i="9" s="1"/>
  <c r="AB129" i="9"/>
  <c r="AC129" i="9" s="1"/>
  <c r="M29" i="9"/>
  <c r="AB79" i="9"/>
  <c r="AC79" i="9" s="1"/>
  <c r="AB126" i="9"/>
  <c r="AC126" i="9" s="1"/>
  <c r="AB113" i="9"/>
  <c r="AC113" i="9" s="1"/>
  <c r="AB46" i="9"/>
  <c r="AC46" i="9" s="1"/>
  <c r="AB135" i="9"/>
  <c r="AC135" i="9" s="1"/>
  <c r="AB52" i="9"/>
  <c r="AC52" i="9" s="1"/>
  <c r="AB122" i="9"/>
  <c r="AC122" i="9" s="1"/>
  <c r="AB86" i="9"/>
  <c r="AC86" i="9" s="1"/>
  <c r="AB40" i="9"/>
  <c r="AC40" i="9" s="1"/>
  <c r="AB130" i="9"/>
  <c r="AC130" i="9" s="1"/>
  <c r="AB29" i="9"/>
  <c r="AC29" i="9" s="1"/>
  <c r="AB39" i="9"/>
  <c r="AC39" i="9"/>
  <c r="AB69" i="9"/>
  <c r="AC69" i="9"/>
  <c r="AB101" i="9"/>
  <c r="AC101" i="9"/>
  <c r="AB22" i="9"/>
  <c r="AC22" i="9" s="1"/>
  <c r="AB63" i="9"/>
  <c r="AC63" i="9" s="1"/>
  <c r="AB5" i="9"/>
  <c r="AC5" i="9" s="1"/>
  <c r="AB90" i="9"/>
  <c r="AC90" i="9" s="1"/>
  <c r="AB131" i="9"/>
  <c r="AC131" i="9" s="1"/>
  <c r="AB114" i="9"/>
  <c r="AC114" i="9" s="1"/>
  <c r="AB43" i="9"/>
  <c r="AC43" i="9" s="1"/>
  <c r="AB116" i="9"/>
  <c r="AC116" i="9" s="1"/>
  <c r="AB105" i="9"/>
  <c r="AC105" i="9" s="1"/>
  <c r="AB88" i="9"/>
  <c r="AC88" i="9" s="1"/>
  <c r="AB66" i="9"/>
  <c r="AC66" i="9" s="1"/>
  <c r="AB53" i="9"/>
  <c r="AC53" i="9" s="1"/>
  <c r="AB74" i="9"/>
  <c r="AC74" i="9" s="1"/>
  <c r="AB7" i="9"/>
  <c r="AC7" i="9" s="1"/>
  <c r="AB123" i="9"/>
  <c r="AC123" i="9" s="1"/>
  <c r="AB18" i="9"/>
  <c r="AC18" i="9" s="1"/>
  <c r="AB20" i="9"/>
  <c r="AC20" i="9" s="1"/>
  <c r="AB12" i="9"/>
  <c r="AC12" i="9" s="1"/>
  <c r="AB26" i="9"/>
  <c r="AC26" i="9" s="1"/>
  <c r="AB85" i="9"/>
  <c r="AC85" i="9" s="1"/>
  <c r="M28" i="9"/>
  <c r="AB56" i="9"/>
  <c r="AC56" i="9" s="1"/>
  <c r="AB77" i="9"/>
  <c r="AC77" i="9" s="1"/>
  <c r="AB115" i="9"/>
  <c r="AC115" i="9" s="1"/>
  <c r="AB36" i="9"/>
  <c r="AC36" i="9" s="1"/>
  <c r="AB15" i="9"/>
  <c r="AC15" i="9" s="1"/>
  <c r="AB62" i="9"/>
  <c r="AC62" i="9" s="1"/>
  <c r="AB33" i="9"/>
  <c r="AC33" i="9" s="1"/>
  <c r="AB134" i="9"/>
  <c r="AC134" i="9" s="1"/>
  <c r="AB49" i="9"/>
  <c r="AC49" i="9" s="1"/>
  <c r="M14" i="10"/>
  <c r="M24" i="11"/>
  <c r="AA22" i="11"/>
  <c r="AA208" i="11"/>
  <c r="AA253" i="11"/>
  <c r="AA249" i="11"/>
  <c r="AA245" i="11"/>
  <c r="AA241" i="11"/>
  <c r="AA237" i="11"/>
  <c r="AA233" i="11"/>
  <c r="AA229" i="11"/>
  <c r="AA225" i="11"/>
  <c r="AA221" i="11"/>
  <c r="AA217" i="11"/>
  <c r="AA213" i="11"/>
  <c r="AA204" i="11"/>
  <c r="AA252" i="11"/>
  <c r="AA248" i="11"/>
  <c r="AA244" i="11"/>
  <c r="AA240" i="11"/>
  <c r="AA236" i="11"/>
  <c r="AA232" i="11"/>
  <c r="AA228" i="11"/>
  <c r="AA224" i="11"/>
  <c r="AA220" i="11"/>
  <c r="AA216" i="11"/>
  <c r="AA212" i="11"/>
  <c r="AA209" i="11"/>
  <c r="AA205" i="11"/>
  <c r="AA96" i="11"/>
  <c r="AA251" i="11"/>
  <c r="AA247" i="11"/>
  <c r="AA243" i="11"/>
  <c r="AA239" i="11"/>
  <c r="AA235" i="11"/>
  <c r="AA231" i="11"/>
  <c r="AA227" i="11"/>
  <c r="AA223" i="11"/>
  <c r="AA219" i="11"/>
  <c r="AA215" i="11"/>
  <c r="AA211" i="11"/>
  <c r="AA201" i="11"/>
  <c r="AA197" i="11"/>
  <c r="AA193" i="11"/>
  <c r="AA189" i="11"/>
  <c r="AA185" i="11"/>
  <c r="AA181" i="11"/>
  <c r="AA177" i="11"/>
  <c r="AA173" i="11"/>
  <c r="AA169" i="11"/>
  <c r="AA165" i="11"/>
  <c r="AA250" i="11"/>
  <c r="AA246" i="11"/>
  <c r="AA242" i="11"/>
  <c r="AA238" i="11"/>
  <c r="AA234" i="11"/>
  <c r="AA230" i="11"/>
  <c r="AA226" i="11"/>
  <c r="AA222" i="11"/>
  <c r="AA218" i="11"/>
  <c r="AA214" i="11"/>
  <c r="AA210" i="11"/>
  <c r="AA200" i="11"/>
  <c r="AA196" i="11"/>
  <c r="AA192" i="11"/>
  <c r="AA188" i="11"/>
  <c r="AA184" i="11"/>
  <c r="AA180" i="11"/>
  <c r="AA176" i="11"/>
  <c r="AA172" i="11"/>
  <c r="AA168" i="11"/>
  <c r="AA164" i="11"/>
  <c r="AA159" i="11"/>
  <c r="AA155" i="11"/>
  <c r="AA151" i="11"/>
  <c r="AA147" i="11"/>
  <c r="AA143" i="11"/>
  <c r="AA98" i="11"/>
  <c r="AA207" i="11"/>
  <c r="AA203" i="11"/>
  <c r="AA199" i="11"/>
  <c r="AA195" i="11"/>
  <c r="AA191" i="11"/>
  <c r="AA187" i="11"/>
  <c r="AA183" i="11"/>
  <c r="AA179" i="11"/>
  <c r="AA175" i="11"/>
  <c r="AA171" i="11"/>
  <c r="AA167" i="11"/>
  <c r="AA163" i="11"/>
  <c r="AA100" i="11"/>
  <c r="AA206" i="11"/>
  <c r="AA202" i="11"/>
  <c r="AA198" i="11"/>
  <c r="AA194" i="11"/>
  <c r="AA190" i="11"/>
  <c r="AA186" i="11"/>
  <c r="AA182" i="11"/>
  <c r="AA178" i="11"/>
  <c r="AA174" i="11"/>
  <c r="AA170" i="11"/>
  <c r="AA166" i="11"/>
  <c r="AA162" i="11"/>
  <c r="AA161" i="11"/>
  <c r="AA157" i="11"/>
  <c r="AA153" i="11"/>
  <c r="AA149" i="11"/>
  <c r="AA145" i="11"/>
  <c r="AA141" i="11"/>
  <c r="AA137" i="11"/>
  <c r="AA133" i="11"/>
  <c r="AA129" i="11"/>
  <c r="AA125" i="11"/>
  <c r="AA121" i="11"/>
  <c r="AA117" i="11"/>
  <c r="AA113" i="11"/>
  <c r="AA109" i="11"/>
  <c r="AA105" i="11"/>
  <c r="AA160" i="11"/>
  <c r="AA156" i="11"/>
  <c r="AA152" i="11"/>
  <c r="AA148" i="11"/>
  <c r="AA144" i="11"/>
  <c r="AA140" i="11"/>
  <c r="AA136" i="11"/>
  <c r="AA132" i="11"/>
  <c r="AA128" i="11"/>
  <c r="AA124" i="11"/>
  <c r="AA120" i="11"/>
  <c r="AA116" i="11"/>
  <c r="AA112" i="11"/>
  <c r="AA108" i="11"/>
  <c r="AA104" i="11"/>
  <c r="AA95" i="11"/>
  <c r="AA139" i="11"/>
  <c r="AA135" i="11"/>
  <c r="AA131" i="11"/>
  <c r="AA127" i="11"/>
  <c r="AA123" i="11"/>
  <c r="AA119" i="11"/>
  <c r="AA115" i="11"/>
  <c r="AA111" i="11"/>
  <c r="AA107" i="11"/>
  <c r="AA103" i="11"/>
  <c r="AA99" i="11"/>
  <c r="AA158" i="11"/>
  <c r="AA154" i="11"/>
  <c r="AA150" i="11"/>
  <c r="AA146" i="11"/>
  <c r="AA142" i="11"/>
  <c r="AA138" i="11"/>
  <c r="AA134" i="11"/>
  <c r="AA130" i="11"/>
  <c r="AA126" i="11"/>
  <c r="AA122" i="11"/>
  <c r="AA118" i="11"/>
  <c r="AA114" i="11"/>
  <c r="AA110" i="11"/>
  <c r="AA106" i="11"/>
  <c r="AA102" i="11"/>
  <c r="AA91" i="11"/>
  <c r="AA87" i="11"/>
  <c r="AA83" i="11"/>
  <c r="AA79" i="11"/>
  <c r="AA94" i="11"/>
  <c r="AA90" i="11"/>
  <c r="AA86" i="11"/>
  <c r="AA82" i="11"/>
  <c r="AA78" i="11"/>
  <c r="AA74" i="11"/>
  <c r="AA69" i="11"/>
  <c r="AA101" i="11"/>
  <c r="AA97" i="11"/>
  <c r="AA93" i="11"/>
  <c r="AA89" i="11"/>
  <c r="AA85" i="11"/>
  <c r="AA81" i="11"/>
  <c r="AA77" i="11"/>
  <c r="AA65" i="11"/>
  <c r="AA61" i="11"/>
  <c r="AA60" i="11"/>
  <c r="AA92" i="11"/>
  <c r="AA88" i="11"/>
  <c r="AA84" i="11"/>
  <c r="AA80" i="11"/>
  <c r="AA75" i="11"/>
  <c r="AA73" i="11"/>
  <c r="AA71" i="11"/>
  <c r="AA76" i="11"/>
  <c r="AA72" i="11"/>
  <c r="AA68" i="11"/>
  <c r="AA64" i="11"/>
  <c r="AA67" i="11"/>
  <c r="AA63" i="11"/>
  <c r="AA57" i="11"/>
  <c r="AA53" i="11"/>
  <c r="AA49" i="11"/>
  <c r="AA45" i="11"/>
  <c r="AA41" i="11"/>
  <c r="AA37" i="11"/>
  <c r="AA33" i="11"/>
  <c r="AA29" i="11"/>
  <c r="AA25" i="11"/>
  <c r="AA70" i="11"/>
  <c r="AA66" i="11"/>
  <c r="AA62" i="11"/>
  <c r="AA58" i="11"/>
  <c r="AA54" i="11"/>
  <c r="AA50" i="11"/>
  <c r="AA46" i="11"/>
  <c r="AA42" i="11"/>
  <c r="AA38" i="11"/>
  <c r="AA34" i="11"/>
  <c r="AA30" i="11"/>
  <c r="AA26" i="11"/>
  <c r="AA56" i="11"/>
  <c r="AA52" i="11"/>
  <c r="AA48" i="11"/>
  <c r="AA44" i="11"/>
  <c r="AA40" i="11"/>
  <c r="AA36" i="11"/>
  <c r="AA32" i="11"/>
  <c r="AA28" i="11"/>
  <c r="AA59" i="11"/>
  <c r="AA55" i="11"/>
  <c r="AA51" i="11"/>
  <c r="AA47" i="11"/>
  <c r="AA43" i="11"/>
  <c r="AA39" i="11"/>
  <c r="AA35" i="11"/>
  <c r="AA31" i="11"/>
  <c r="AA27" i="11"/>
  <c r="AB27" i="11" l="1"/>
  <c r="AC27" i="11" s="1"/>
  <c r="AB31" i="11"/>
  <c r="AC31" i="11" s="1"/>
  <c r="AB35" i="11"/>
  <c r="AC35" i="11" s="1"/>
  <c r="AB39" i="11"/>
  <c r="AC39" i="11" s="1"/>
  <c r="AB43" i="11"/>
  <c r="AC43" i="11" s="1"/>
  <c r="AB47" i="11"/>
  <c r="AC47" i="11" s="1"/>
  <c r="AB51" i="11"/>
  <c r="AC51" i="11" s="1"/>
  <c r="AB55" i="11"/>
  <c r="AC55" i="11" s="1"/>
  <c r="AB59" i="11"/>
  <c r="AC59" i="11" s="1"/>
  <c r="AB28" i="11"/>
  <c r="AC28" i="11" s="1"/>
  <c r="AB32" i="11"/>
  <c r="AC32" i="11" s="1"/>
  <c r="AB36" i="11"/>
  <c r="AC36" i="11" s="1"/>
  <c r="AB40" i="11"/>
  <c r="AC40" i="11" s="1"/>
  <c r="AB44" i="11"/>
  <c r="AC44" i="11" s="1"/>
  <c r="AB48" i="11"/>
  <c r="AC48" i="11" s="1"/>
  <c r="AB52" i="11"/>
  <c r="AC52" i="11" s="1"/>
  <c r="AB56" i="11"/>
  <c r="AC56" i="11" s="1"/>
  <c r="AB26" i="11"/>
  <c r="AC26" i="11" s="1"/>
  <c r="AB30" i="11"/>
  <c r="AC30" i="11" s="1"/>
  <c r="AB34" i="11"/>
  <c r="AC34" i="11" s="1"/>
  <c r="AB38" i="11"/>
  <c r="AC38" i="11" s="1"/>
  <c r="AB42" i="11"/>
  <c r="AC42" i="11" s="1"/>
  <c r="AB46" i="11"/>
  <c r="AC46" i="11" s="1"/>
  <c r="AB50" i="11"/>
  <c r="AC50" i="11" s="1"/>
  <c r="AB54" i="11"/>
  <c r="AC54" i="11" s="1"/>
  <c r="AB58" i="11"/>
  <c r="AC58" i="11" s="1"/>
  <c r="AB62" i="11"/>
  <c r="AC62" i="11" s="1"/>
  <c r="AB66" i="11"/>
  <c r="AC66" i="11" s="1"/>
  <c r="AB70" i="11"/>
  <c r="AC70" i="11" s="1"/>
  <c r="AB25" i="11"/>
  <c r="AC25" i="11" s="1"/>
  <c r="AB29" i="11"/>
  <c r="AC29" i="11" s="1"/>
  <c r="AB33" i="11"/>
  <c r="AC33" i="11" s="1"/>
  <c r="AB37" i="11"/>
  <c r="AC37" i="11" s="1"/>
  <c r="AB41" i="11"/>
  <c r="AC41" i="11" s="1"/>
  <c r="AB45" i="11"/>
  <c r="AC45" i="11" s="1"/>
  <c r="AB49" i="11"/>
  <c r="AC49" i="11" s="1"/>
  <c r="AB53" i="11"/>
  <c r="AC53" i="11" s="1"/>
  <c r="AB57" i="11"/>
  <c r="AC57" i="11" s="1"/>
  <c r="AB63" i="11"/>
  <c r="AC63" i="11" s="1"/>
  <c r="AB67" i="11"/>
  <c r="AC67" i="11" s="1"/>
  <c r="AB64" i="11"/>
  <c r="AC64" i="11" s="1"/>
  <c r="AB68" i="11"/>
  <c r="AC68" i="11" s="1"/>
  <c r="AB72" i="11"/>
  <c r="AC72" i="11" s="1"/>
  <c r="AB76" i="11"/>
  <c r="AC76" i="11" s="1"/>
  <c r="AB71" i="11"/>
  <c r="AC71" i="11" s="1"/>
  <c r="AB73" i="11"/>
  <c r="AC73" i="11" s="1"/>
  <c r="AB75" i="11"/>
  <c r="AC75" i="11" s="1"/>
  <c r="AB80" i="11"/>
  <c r="AC80" i="11" s="1"/>
  <c r="AB84" i="11"/>
  <c r="AC84" i="11" s="1"/>
  <c r="AB88" i="11"/>
  <c r="AC88" i="11" s="1"/>
  <c r="AB92" i="11"/>
  <c r="AC92" i="11" s="1"/>
  <c r="AB60" i="11"/>
  <c r="AC60" i="11" s="1"/>
  <c r="AB61" i="11"/>
  <c r="AC61" i="11" s="1"/>
  <c r="AB65" i="11"/>
  <c r="AC65" i="11" s="1"/>
  <c r="AB77" i="11"/>
  <c r="AC77" i="11" s="1"/>
  <c r="AB81" i="11"/>
  <c r="AC81" i="11" s="1"/>
  <c r="AB85" i="11"/>
  <c r="AC85" i="11" s="1"/>
  <c r="AB89" i="11"/>
  <c r="AC89" i="11" s="1"/>
  <c r="AB93" i="11"/>
  <c r="AC93" i="11" s="1"/>
  <c r="AB97" i="11"/>
  <c r="AC97" i="11" s="1"/>
  <c r="AB101" i="11"/>
  <c r="AC101" i="11" s="1"/>
  <c r="AB69" i="11"/>
  <c r="AC69" i="11" s="1"/>
  <c r="AB74" i="11"/>
  <c r="AC74" i="11" s="1"/>
  <c r="AB78" i="11"/>
  <c r="AC78" i="11" s="1"/>
  <c r="AB82" i="11"/>
  <c r="AC82" i="11" s="1"/>
  <c r="AB86" i="11"/>
  <c r="AC86" i="11" s="1"/>
  <c r="AB90" i="11"/>
  <c r="AC90" i="11" s="1"/>
  <c r="AB94" i="11"/>
  <c r="AC94" i="11" s="1"/>
  <c r="AB79" i="11"/>
  <c r="AC79" i="11" s="1"/>
  <c r="AB83" i="11"/>
  <c r="AC83" i="11" s="1"/>
  <c r="AB87" i="11"/>
  <c r="AC87" i="11" s="1"/>
  <c r="AB91" i="11"/>
  <c r="AC91" i="11" s="1"/>
  <c r="AB102" i="11"/>
  <c r="AC102" i="11" s="1"/>
  <c r="AB106" i="11"/>
  <c r="AC106" i="11" s="1"/>
  <c r="AB110" i="11"/>
  <c r="AC110" i="11" s="1"/>
  <c r="AB114" i="11"/>
  <c r="AC114" i="11" s="1"/>
  <c r="AB118" i="11"/>
  <c r="AC118" i="11" s="1"/>
  <c r="AB122" i="11"/>
  <c r="AC122" i="11" s="1"/>
  <c r="AB126" i="11"/>
  <c r="AC126" i="11" s="1"/>
  <c r="AB130" i="11"/>
  <c r="AC130" i="11" s="1"/>
  <c r="AB134" i="11"/>
  <c r="AC134" i="11" s="1"/>
  <c r="AB138" i="11"/>
  <c r="AC138" i="11" s="1"/>
  <c r="AB142" i="11"/>
  <c r="AC142" i="11" s="1"/>
  <c r="AB146" i="11"/>
  <c r="AC146" i="11" s="1"/>
  <c r="AB150" i="11"/>
  <c r="AC150" i="11" s="1"/>
  <c r="AB154" i="11"/>
  <c r="AC154" i="11" s="1"/>
  <c r="AB158" i="11"/>
  <c r="AC158" i="11" s="1"/>
  <c r="AB99" i="11"/>
  <c r="AC99" i="11" s="1"/>
  <c r="AB103" i="11"/>
  <c r="AC103" i="11" s="1"/>
  <c r="AB107" i="11"/>
  <c r="AC107" i="11" s="1"/>
  <c r="AB111" i="11"/>
  <c r="AC111" i="11" s="1"/>
  <c r="AB115" i="11"/>
  <c r="AC115" i="11" s="1"/>
  <c r="AB119" i="11"/>
  <c r="AC119" i="11" s="1"/>
  <c r="AB123" i="11"/>
  <c r="AC123" i="11" s="1"/>
  <c r="AB127" i="11"/>
  <c r="AC127" i="11" s="1"/>
  <c r="AB131" i="11"/>
  <c r="AC131" i="11" s="1"/>
  <c r="AB135" i="11"/>
  <c r="AC135" i="11" s="1"/>
  <c r="AB139" i="11"/>
  <c r="AC139" i="11" s="1"/>
  <c r="AB95" i="11"/>
  <c r="AC95" i="11" s="1"/>
  <c r="AB104" i="11"/>
  <c r="AC104" i="11" s="1"/>
  <c r="AB108" i="11"/>
  <c r="AC108" i="11" s="1"/>
  <c r="AB112" i="11"/>
  <c r="AC112" i="11" s="1"/>
  <c r="AB116" i="11"/>
  <c r="AC116" i="11" s="1"/>
  <c r="AB120" i="11"/>
  <c r="AC120" i="11" s="1"/>
  <c r="AB124" i="11"/>
  <c r="AC124" i="11" s="1"/>
  <c r="AB128" i="11"/>
  <c r="AC128" i="11" s="1"/>
  <c r="AB132" i="11"/>
  <c r="AC132" i="11" s="1"/>
  <c r="AB136" i="11"/>
  <c r="AC136" i="11" s="1"/>
  <c r="AB140" i="11"/>
  <c r="AC140" i="11" s="1"/>
  <c r="AB144" i="11"/>
  <c r="AC144" i="11" s="1"/>
  <c r="AB148" i="11"/>
  <c r="AC148" i="11" s="1"/>
  <c r="AB152" i="11"/>
  <c r="AC152" i="11" s="1"/>
  <c r="AB156" i="11"/>
  <c r="AC156" i="11" s="1"/>
  <c r="AB160" i="11"/>
  <c r="AC160" i="11" s="1"/>
  <c r="AB105" i="11"/>
  <c r="AC105" i="11" s="1"/>
  <c r="AB109" i="11"/>
  <c r="AC109" i="11" s="1"/>
  <c r="AB113" i="11"/>
  <c r="AC113" i="11" s="1"/>
  <c r="AB117" i="11"/>
  <c r="AC117" i="11" s="1"/>
  <c r="AB121" i="11"/>
  <c r="AC121" i="11" s="1"/>
  <c r="AB125" i="11"/>
  <c r="AC125" i="11" s="1"/>
  <c r="AB129" i="11"/>
  <c r="AC129" i="11" s="1"/>
  <c r="AB133" i="11"/>
  <c r="AC133" i="11" s="1"/>
  <c r="AB137" i="11"/>
  <c r="AC137" i="11" s="1"/>
  <c r="AB141" i="11"/>
  <c r="AC141" i="11" s="1"/>
  <c r="AB145" i="11"/>
  <c r="AC145" i="11" s="1"/>
  <c r="AB149" i="11"/>
  <c r="AC149" i="11" s="1"/>
  <c r="AB153" i="11"/>
  <c r="AC153" i="11" s="1"/>
  <c r="AB157" i="11"/>
  <c r="AC157" i="11" s="1"/>
  <c r="AB161" i="11"/>
  <c r="AC161" i="11" s="1"/>
  <c r="AB162" i="11"/>
  <c r="AC162" i="11" s="1"/>
  <c r="AB166" i="11"/>
  <c r="AC166" i="11" s="1"/>
  <c r="AB170" i="11"/>
  <c r="AC170" i="11" s="1"/>
  <c r="AB174" i="11"/>
  <c r="AC174" i="11" s="1"/>
  <c r="AB178" i="11"/>
  <c r="AC178" i="11" s="1"/>
  <c r="AB182" i="11"/>
  <c r="AC182" i="11" s="1"/>
  <c r="AB186" i="11"/>
  <c r="AC186" i="11" s="1"/>
  <c r="AB190" i="11"/>
  <c r="AC190" i="11" s="1"/>
  <c r="AB194" i="11"/>
  <c r="AC194" i="11" s="1"/>
  <c r="AB198" i="11"/>
  <c r="AC198" i="11" s="1"/>
  <c r="AB202" i="11"/>
  <c r="AC202" i="11" s="1"/>
  <c r="AB206" i="11"/>
  <c r="AC206" i="11" s="1"/>
  <c r="AB100" i="11"/>
  <c r="AC100" i="11" s="1"/>
  <c r="AB163" i="11"/>
  <c r="AC163" i="11" s="1"/>
  <c r="AB167" i="11"/>
  <c r="AC167" i="11" s="1"/>
  <c r="AB171" i="11"/>
  <c r="AC171" i="11" s="1"/>
  <c r="AB175" i="11"/>
  <c r="AC175" i="11" s="1"/>
  <c r="AB179" i="11"/>
  <c r="AC179" i="11" s="1"/>
  <c r="AB183" i="11"/>
  <c r="AC183" i="11" s="1"/>
  <c r="AB187" i="11"/>
  <c r="AC187" i="11" s="1"/>
  <c r="AB191" i="11"/>
  <c r="AC191" i="11" s="1"/>
  <c r="AB195" i="11"/>
  <c r="AC195" i="11" s="1"/>
  <c r="AB199" i="11"/>
  <c r="AC199" i="11" s="1"/>
  <c r="AB203" i="11"/>
  <c r="AC203" i="11" s="1"/>
  <c r="AB207" i="11"/>
  <c r="AC207" i="11" s="1"/>
  <c r="AB98" i="11"/>
  <c r="AC98" i="11" s="1"/>
  <c r="AB143" i="11"/>
  <c r="AC143" i="11" s="1"/>
  <c r="AB147" i="11"/>
  <c r="AC147" i="11" s="1"/>
  <c r="AB151" i="11"/>
  <c r="AC151" i="11" s="1"/>
  <c r="AB155" i="11"/>
  <c r="AC155" i="11" s="1"/>
  <c r="AB159" i="11"/>
  <c r="AC159" i="11" s="1"/>
  <c r="AB164" i="11"/>
  <c r="AC164" i="11" s="1"/>
  <c r="AB168" i="11"/>
  <c r="AC168" i="11" s="1"/>
  <c r="AB172" i="11"/>
  <c r="AC172" i="11" s="1"/>
  <c r="AB176" i="11"/>
  <c r="AC176" i="11" s="1"/>
  <c r="AB180" i="11"/>
  <c r="AC180" i="11" s="1"/>
  <c r="AB184" i="11"/>
  <c r="AC184" i="11" s="1"/>
  <c r="AB188" i="11"/>
  <c r="AC188" i="11" s="1"/>
  <c r="AB192" i="11"/>
  <c r="AC192" i="11" s="1"/>
  <c r="AB196" i="11"/>
  <c r="AC196" i="11" s="1"/>
  <c r="AB200" i="11"/>
  <c r="AC200" i="11" s="1"/>
  <c r="AB210" i="11"/>
  <c r="AC210" i="11" s="1"/>
  <c r="AB214" i="11"/>
  <c r="AC214" i="11" s="1"/>
  <c r="AB218" i="11"/>
  <c r="AC218" i="11" s="1"/>
  <c r="AB222" i="11"/>
  <c r="AC222" i="11" s="1"/>
  <c r="AB226" i="11"/>
  <c r="AC226" i="11" s="1"/>
  <c r="AB230" i="11"/>
  <c r="AC230" i="11" s="1"/>
  <c r="AB234" i="11"/>
  <c r="AC234" i="11" s="1"/>
  <c r="AB238" i="11"/>
  <c r="AC238" i="11" s="1"/>
  <c r="AB242" i="11"/>
  <c r="AC242" i="11" s="1"/>
  <c r="AB246" i="11"/>
  <c r="AC246" i="11" s="1"/>
  <c r="AB250" i="11"/>
  <c r="AC250" i="11" s="1"/>
  <c r="AB165" i="11"/>
  <c r="AC165" i="11" s="1"/>
  <c r="AB169" i="11"/>
  <c r="AC169" i="11" s="1"/>
  <c r="AB173" i="11"/>
  <c r="AC173" i="11" s="1"/>
  <c r="AB177" i="11"/>
  <c r="AC177" i="11" s="1"/>
  <c r="AB181" i="11"/>
  <c r="AC181" i="11" s="1"/>
  <c r="AB185" i="11"/>
  <c r="AC185" i="11" s="1"/>
  <c r="AB189" i="11"/>
  <c r="AC189" i="11" s="1"/>
  <c r="AB193" i="11"/>
  <c r="AC193" i="11" s="1"/>
  <c r="AB197" i="11"/>
  <c r="AC197" i="11" s="1"/>
  <c r="AB201" i="11"/>
  <c r="AC201" i="11" s="1"/>
  <c r="AB211" i="11"/>
  <c r="AC211" i="11" s="1"/>
  <c r="AB215" i="11"/>
  <c r="AC215" i="11" s="1"/>
  <c r="AB219" i="11"/>
  <c r="AC219" i="11" s="1"/>
  <c r="AB223" i="11"/>
  <c r="AC223" i="11" s="1"/>
  <c r="AB227" i="11"/>
  <c r="AC227" i="11" s="1"/>
  <c r="AB231" i="11"/>
  <c r="AC231" i="11" s="1"/>
  <c r="AB235" i="11"/>
  <c r="AC235" i="11" s="1"/>
  <c r="AB239" i="11"/>
  <c r="AC239" i="11" s="1"/>
  <c r="AB243" i="11"/>
  <c r="AC243" i="11" s="1"/>
  <c r="AB247" i="11"/>
  <c r="AC247" i="11" s="1"/>
  <c r="AB251" i="11"/>
  <c r="AC251" i="11" s="1"/>
  <c r="AB96" i="11"/>
  <c r="AC96" i="11" s="1"/>
  <c r="AB205" i="11"/>
  <c r="AC205" i="11" s="1"/>
  <c r="AB209" i="11"/>
  <c r="AC209" i="11" s="1"/>
  <c r="AB212" i="11"/>
  <c r="AC212" i="11" s="1"/>
  <c r="AB216" i="11"/>
  <c r="AC216" i="11" s="1"/>
  <c r="AB220" i="11"/>
  <c r="AC220" i="11" s="1"/>
  <c r="AB224" i="11"/>
  <c r="AC224" i="11" s="1"/>
  <c r="AB228" i="11"/>
  <c r="AC228" i="11" s="1"/>
  <c r="AB232" i="11"/>
  <c r="AC232" i="11" s="1"/>
  <c r="AB236" i="11"/>
  <c r="AC236" i="11" s="1"/>
  <c r="AB240" i="11"/>
  <c r="AC240" i="11" s="1"/>
  <c r="AB244" i="11"/>
  <c r="AC244" i="11" s="1"/>
  <c r="AB248" i="11"/>
  <c r="AC248" i="11" s="1"/>
  <c r="AB252" i="11"/>
  <c r="AC252" i="11" s="1"/>
  <c r="AB204" i="11"/>
  <c r="AC204" i="11" s="1"/>
  <c r="AB213" i="11"/>
  <c r="AC213" i="11" s="1"/>
  <c r="AB217" i="11"/>
  <c r="AC217" i="11" s="1"/>
  <c r="AB221" i="11"/>
  <c r="AC221" i="11" s="1"/>
  <c r="AB225" i="11"/>
  <c r="AC225" i="11" s="1"/>
  <c r="AB229" i="11"/>
  <c r="AC229" i="11" s="1"/>
  <c r="AB233" i="11"/>
  <c r="AC233" i="11" s="1"/>
  <c r="AB237" i="11"/>
  <c r="AC237" i="11" s="1"/>
  <c r="AB241" i="11"/>
  <c r="AC241" i="11" s="1"/>
  <c r="AB245" i="11"/>
  <c r="AC245" i="11" s="1"/>
  <c r="AB249" i="11"/>
  <c r="AC249" i="11" s="1"/>
  <c r="AB253" i="11"/>
  <c r="AC253" i="11" s="1"/>
  <c r="AB208" i="11"/>
  <c r="AC208" i="11" s="1"/>
  <c r="AB22" i="11"/>
  <c r="AC22" i="11" s="1"/>
  <c r="AA14" i="11"/>
  <c r="AB14" i="11"/>
  <c r="AC14" i="11" s="1"/>
  <c r="AA20" i="11"/>
  <c r="AB20" i="11"/>
  <c r="AC20" i="11" s="1"/>
  <c r="AA24" i="11"/>
  <c r="AB24" i="11"/>
  <c r="AC24" i="11" s="1"/>
  <c r="AA17" i="11"/>
  <c r="AB17" i="11"/>
  <c r="AC17" i="11" s="1"/>
  <c r="AA4" i="11"/>
  <c r="AB4" i="11"/>
  <c r="AC4" i="11" s="1"/>
  <c r="AA5" i="11"/>
  <c r="AB5" i="11"/>
  <c r="AC5" i="11" s="1"/>
  <c r="AA7" i="11"/>
  <c r="AB7" i="11"/>
  <c r="AC7" i="11" s="1"/>
  <c r="AA9" i="11"/>
  <c r="AB9" i="11"/>
  <c r="AC9" i="11" s="1"/>
  <c r="AA11" i="11"/>
  <c r="AB11" i="11"/>
  <c r="AC11" i="11" s="1"/>
  <c r="AA13" i="11"/>
  <c r="AB13" i="11"/>
  <c r="AC13" i="11" s="1"/>
  <c r="AA18" i="11"/>
  <c r="AB18" i="11"/>
  <c r="AC18" i="11" s="1"/>
  <c r="AA3" i="11"/>
  <c r="AB3" i="11"/>
  <c r="AC3" i="11" s="1"/>
  <c r="AA16" i="11"/>
  <c r="AB16" i="11"/>
  <c r="AC16" i="11" s="1"/>
  <c r="AA19" i="11"/>
  <c r="AB19" i="11"/>
  <c r="AC19" i="11" s="1"/>
  <c r="AA21" i="11"/>
  <c r="AB21" i="11"/>
  <c r="AC21" i="11" s="1"/>
  <c r="AA23" i="11"/>
  <c r="AB23" i="11"/>
  <c r="AC23" i="11" s="1"/>
  <c r="M28" i="11" a="1"/>
  <c r="M29" i="11"/>
  <c r="M30" i="11"/>
  <c r="M31" i="11"/>
  <c r="M28" i="11"/>
  <c r="AA6" i="11"/>
  <c r="AB6" i="11"/>
  <c r="AC6" i="11" s="1"/>
  <c r="AA8" i="11"/>
  <c r="AB8" i="11"/>
  <c r="AC8" i="11" s="1"/>
  <c r="AA10" i="11"/>
  <c r="AB10" i="11"/>
  <c r="AC10" i="11" s="1"/>
  <c r="AA12" i="11"/>
  <c r="AB12" i="11"/>
  <c r="AC12" i="11" s="1"/>
  <c r="AA15" i="11"/>
  <c r="AB15" i="11"/>
  <c r="AC15" i="11" s="1"/>
  <c r="M16" i="10"/>
  <c r="M15" i="10"/>
  <c r="M17" i="10"/>
  <c r="M20" i="10"/>
  <c r="M22" i="10"/>
  <c r="M23" i="10"/>
  <c r="M21" i="10"/>
  <c r="M24" i="10"/>
  <c r="AA68" i="10"/>
  <c r="AA350" i="10"/>
  <c r="AA346" i="10"/>
  <c r="AA342" i="10"/>
  <c r="AA338" i="10"/>
  <c r="AA394" i="10"/>
  <c r="AA390" i="10"/>
  <c r="AA393" i="10"/>
  <c r="AA389" i="10"/>
  <c r="AA386" i="10"/>
  <c r="AA382" i="10"/>
  <c r="AA378" i="10"/>
  <c r="AA374" i="10"/>
  <c r="AA370" i="10"/>
  <c r="AA366" i="10"/>
  <c r="AA362" i="10"/>
  <c r="AA358" i="10"/>
  <c r="AA354" i="10"/>
  <c r="AA396" i="10"/>
  <c r="AA392" i="10"/>
  <c r="AA388" i="10"/>
  <c r="AA385" i="10"/>
  <c r="AA331" i="10"/>
  <c r="AA323" i="10"/>
  <c r="AA315" i="10"/>
  <c r="AA335" i="10"/>
  <c r="AA327" i="10"/>
  <c r="AA319" i="10"/>
  <c r="AA311" i="10"/>
  <c r="AA395" i="10"/>
  <c r="AA391" i="10"/>
  <c r="AA387" i="10"/>
  <c r="AA381" i="10"/>
  <c r="AA377" i="10"/>
  <c r="AA373" i="10"/>
  <c r="AA369" i="10"/>
  <c r="AA365" i="10"/>
  <c r="AA361" i="10"/>
  <c r="AA357" i="10"/>
  <c r="AA353" i="10"/>
  <c r="AA349" i="10"/>
  <c r="AA345" i="10"/>
  <c r="AA341" i="10"/>
  <c r="AA308" i="10"/>
  <c r="AA304" i="10"/>
  <c r="AA300" i="10"/>
  <c r="AA298" i="10"/>
  <c r="AA384" i="10"/>
  <c r="AA380" i="10"/>
  <c r="AA376" i="10"/>
  <c r="AA372" i="10"/>
  <c r="AA368" i="10"/>
  <c r="AA364" i="10"/>
  <c r="AA360" i="10"/>
  <c r="AA356" i="10"/>
  <c r="AA352" i="10"/>
  <c r="AA348" i="10"/>
  <c r="AA344" i="10"/>
  <c r="AA340" i="10"/>
  <c r="AA336" i="10"/>
  <c r="AA334" i="10"/>
  <c r="AA332" i="10"/>
  <c r="AA330" i="10"/>
  <c r="AA328" i="10"/>
  <c r="AA326" i="10"/>
  <c r="AA324" i="10"/>
  <c r="AA322" i="10"/>
  <c r="AA320" i="10"/>
  <c r="AA318" i="10"/>
  <c r="AA316" i="10"/>
  <c r="AA314" i="10"/>
  <c r="AA312" i="10"/>
  <c r="AA383" i="10"/>
  <c r="AA379" i="10"/>
  <c r="AA375" i="10"/>
  <c r="AA371" i="10"/>
  <c r="AA367" i="10"/>
  <c r="AA363" i="10"/>
  <c r="AA359" i="10"/>
  <c r="AA355" i="10"/>
  <c r="AA351" i="10"/>
  <c r="AA347" i="10"/>
  <c r="AA343" i="10"/>
  <c r="AA339" i="10"/>
  <c r="AA310" i="10"/>
  <c r="AA306" i="10"/>
  <c r="AA302" i="10"/>
  <c r="AA296" i="10"/>
  <c r="AA292" i="10"/>
  <c r="AA288" i="10"/>
  <c r="AA284" i="10"/>
  <c r="AA282" i="10"/>
  <c r="AA307" i="10"/>
  <c r="AA303" i="10"/>
  <c r="AA299" i="10"/>
  <c r="AA295" i="10"/>
  <c r="AA291" i="10"/>
  <c r="AA287" i="10"/>
  <c r="AA294" i="10"/>
  <c r="AA290" i="10"/>
  <c r="AA286" i="10"/>
  <c r="AA278" i="10"/>
  <c r="AA274" i="10"/>
  <c r="AA270" i="10"/>
  <c r="AA266" i="10"/>
  <c r="AA262" i="10"/>
  <c r="AA258" i="10"/>
  <c r="AA254" i="10"/>
  <c r="AA250" i="10"/>
  <c r="AA246" i="10"/>
  <c r="AA242" i="10"/>
  <c r="AA238" i="10"/>
  <c r="AA234" i="10"/>
  <c r="AA230" i="10"/>
  <c r="AA226" i="10"/>
  <c r="AA337" i="10"/>
  <c r="AA333" i="10"/>
  <c r="AA329" i="10"/>
  <c r="AA325" i="10"/>
  <c r="AA321" i="10"/>
  <c r="AA317" i="10"/>
  <c r="AA313" i="10"/>
  <c r="AA309" i="10"/>
  <c r="AA305" i="10"/>
  <c r="AA301" i="10"/>
  <c r="AA297" i="10"/>
  <c r="AA293" i="10"/>
  <c r="AA289" i="10"/>
  <c r="AA285" i="10"/>
  <c r="AA281" i="10"/>
  <c r="AA277" i="10"/>
  <c r="AA273" i="10"/>
  <c r="AA269" i="10"/>
  <c r="AA265" i="10"/>
  <c r="AA261" i="10"/>
  <c r="AA257" i="10"/>
  <c r="AA253" i="10"/>
  <c r="AA249" i="10"/>
  <c r="AA245" i="10"/>
  <c r="AA241" i="10"/>
  <c r="AA237" i="10"/>
  <c r="AA233" i="10"/>
  <c r="AA229" i="10"/>
  <c r="AA222" i="10"/>
  <c r="AA168" i="10"/>
  <c r="AA160" i="10"/>
  <c r="AA152" i="10"/>
  <c r="AA144" i="10"/>
  <c r="AA136" i="10"/>
  <c r="AA280" i="10"/>
  <c r="AA276" i="10"/>
  <c r="AA272" i="10"/>
  <c r="AA268" i="10"/>
  <c r="AA264" i="10"/>
  <c r="AA260" i="10"/>
  <c r="AA256" i="10"/>
  <c r="AA252" i="10"/>
  <c r="AA248" i="10"/>
  <c r="AA244" i="10"/>
  <c r="AA240" i="10"/>
  <c r="AA236" i="10"/>
  <c r="AA232" i="10"/>
  <c r="AA228" i="10"/>
  <c r="AA223" i="10"/>
  <c r="AA218" i="10"/>
  <c r="AA214" i="10"/>
  <c r="AA210" i="10"/>
  <c r="AA283" i="10"/>
  <c r="AA279" i="10"/>
  <c r="AA275" i="10"/>
  <c r="AA271" i="10"/>
  <c r="AA267" i="10"/>
  <c r="AA263" i="10"/>
  <c r="AA259" i="10"/>
  <c r="AA255" i="10"/>
  <c r="AA251" i="10"/>
  <c r="AA247" i="10"/>
  <c r="AA243" i="10"/>
  <c r="AA239" i="10"/>
  <c r="AA235" i="10"/>
  <c r="AA231" i="10"/>
  <c r="AA227" i="10"/>
  <c r="AA225" i="10"/>
  <c r="AA164" i="10"/>
  <c r="AA156" i="10"/>
  <c r="AA148" i="10"/>
  <c r="AA140" i="10"/>
  <c r="AA221" i="10"/>
  <c r="AA217" i="10"/>
  <c r="AA213" i="10"/>
  <c r="AA209" i="10"/>
  <c r="AA205" i="10"/>
  <c r="AA201" i="10"/>
  <c r="AA197" i="10"/>
  <c r="AA193" i="10"/>
  <c r="AA192" i="10"/>
  <c r="AA188" i="10"/>
  <c r="AA184" i="10"/>
  <c r="AA180" i="10"/>
  <c r="AA176" i="10"/>
  <c r="AA172" i="10"/>
  <c r="AA224" i="10"/>
  <c r="AA220" i="10"/>
  <c r="AA216" i="10"/>
  <c r="AA212" i="10"/>
  <c r="AA208" i="10"/>
  <c r="AA219" i="10"/>
  <c r="AA215" i="10"/>
  <c r="AA211" i="10"/>
  <c r="AA207" i="10"/>
  <c r="AA206" i="10"/>
  <c r="AA204" i="10"/>
  <c r="AA202" i="10"/>
  <c r="AA200" i="10"/>
  <c r="AA198" i="10"/>
  <c r="AA196" i="10"/>
  <c r="AA194" i="10"/>
  <c r="AA203" i="10"/>
  <c r="AA199" i="10"/>
  <c r="AA195" i="10"/>
  <c r="AA191" i="10"/>
  <c r="AA187" i="10"/>
  <c r="AA183" i="10"/>
  <c r="AA179" i="10"/>
  <c r="AA175" i="10"/>
  <c r="AA171" i="10"/>
  <c r="AA190" i="10"/>
  <c r="AA186" i="10"/>
  <c r="AA182" i="10"/>
  <c r="AA178" i="10"/>
  <c r="AA174" i="10"/>
  <c r="AA189" i="10"/>
  <c r="AA185" i="10"/>
  <c r="AA181" i="10"/>
  <c r="AA177" i="10"/>
  <c r="AA173" i="10"/>
  <c r="AA167" i="10"/>
  <c r="AA163" i="10"/>
  <c r="AA159" i="10"/>
  <c r="AA155" i="10"/>
  <c r="AA151" i="10"/>
  <c r="AA147" i="10"/>
  <c r="AA143" i="10"/>
  <c r="AA139" i="10"/>
  <c r="AA135" i="10"/>
  <c r="AA170" i="10"/>
  <c r="AA166" i="10"/>
  <c r="AA162" i="10"/>
  <c r="AA158" i="10"/>
  <c r="AA154" i="10"/>
  <c r="AA150" i="10"/>
  <c r="AA146" i="10"/>
  <c r="AA142" i="10"/>
  <c r="AA138" i="10"/>
  <c r="AA169" i="10"/>
  <c r="AA165" i="10"/>
  <c r="AA161" i="10"/>
  <c r="AA157" i="10"/>
  <c r="AA153" i="10"/>
  <c r="AA149" i="10"/>
  <c r="AA145" i="10"/>
  <c r="AA141" i="10"/>
  <c r="AA137" i="10"/>
  <c r="AA721" i="10"/>
  <c r="AA720" i="10"/>
  <c r="AA719" i="10"/>
  <c r="AA718" i="10"/>
  <c r="AA717" i="10"/>
  <c r="AA716" i="10"/>
  <c r="AA715" i="10"/>
  <c r="AA714" i="10"/>
  <c r="AA713" i="10"/>
  <c r="AA712" i="10"/>
  <c r="AA711" i="10"/>
  <c r="AA710" i="10"/>
  <c r="AA709" i="10"/>
  <c r="AA708" i="10"/>
  <c r="AA707" i="10"/>
  <c r="AA706" i="10"/>
  <c r="AA705" i="10"/>
  <c r="AA704" i="10"/>
  <c r="AA703" i="10"/>
  <c r="AA702" i="10"/>
  <c r="AA701" i="10"/>
  <c r="AA700" i="10"/>
  <c r="AA699" i="10"/>
  <c r="AA698" i="10"/>
  <c r="AA697" i="10"/>
  <c r="AA696" i="10"/>
  <c r="AA695" i="10"/>
  <c r="AA694" i="10"/>
  <c r="AA693" i="10"/>
  <c r="AA692" i="10"/>
  <c r="AA691" i="10"/>
  <c r="AA690" i="10"/>
  <c r="AA689" i="10"/>
  <c r="AA688" i="10"/>
  <c r="AA687" i="10"/>
  <c r="AA686" i="10"/>
  <c r="AA685" i="10"/>
  <c r="AA684" i="10"/>
  <c r="AA683" i="10"/>
  <c r="AA682" i="10"/>
  <c r="AA681" i="10"/>
  <c r="AA680" i="10"/>
  <c r="AA679" i="10"/>
  <c r="AA678" i="10"/>
  <c r="AA677" i="10"/>
  <c r="AA676" i="10"/>
  <c r="AA675" i="10"/>
  <c r="AA674" i="10"/>
  <c r="AA673" i="10"/>
  <c r="AA672" i="10"/>
  <c r="AA671" i="10"/>
  <c r="AA670" i="10"/>
  <c r="AA669" i="10"/>
  <c r="AA668" i="10"/>
  <c r="AA667" i="10"/>
  <c r="AA666" i="10"/>
  <c r="AA665" i="10"/>
  <c r="AA664" i="10"/>
  <c r="AA663" i="10"/>
  <c r="AA662" i="10"/>
  <c r="AA661" i="10"/>
  <c r="AA660" i="10"/>
  <c r="AA659" i="10"/>
  <c r="AA658" i="10"/>
  <c r="AA657" i="10"/>
  <c r="AA656" i="10"/>
  <c r="AA655" i="10"/>
  <c r="AA654" i="10"/>
  <c r="AA653" i="10"/>
  <c r="AA652" i="10"/>
  <c r="AA651" i="10"/>
  <c r="AA650" i="10"/>
  <c r="AA649" i="10"/>
  <c r="AA648" i="10"/>
  <c r="AA647" i="10"/>
  <c r="AA646" i="10"/>
  <c r="AA645" i="10"/>
  <c r="AA644" i="10"/>
  <c r="AA643" i="10"/>
  <c r="AA642" i="10"/>
  <c r="AA641" i="10"/>
  <c r="AA640" i="10"/>
  <c r="AA639" i="10"/>
  <c r="AA638" i="10"/>
  <c r="AA637" i="10"/>
  <c r="AA636" i="10"/>
  <c r="AA635" i="10"/>
  <c r="AA634" i="10"/>
  <c r="AA633" i="10"/>
  <c r="AA632" i="10"/>
  <c r="AA631" i="10"/>
  <c r="AA630" i="10"/>
  <c r="AA629" i="10"/>
  <c r="AA628" i="10"/>
  <c r="AA627" i="10"/>
  <c r="AA626" i="10"/>
  <c r="AA625" i="10"/>
  <c r="AA624" i="10"/>
  <c r="AA623" i="10"/>
  <c r="AA622" i="10"/>
  <c r="AA621" i="10"/>
  <c r="AA620" i="10"/>
  <c r="AA619" i="10"/>
  <c r="AA618" i="10"/>
  <c r="AA617" i="10"/>
  <c r="AA616" i="10"/>
  <c r="AA615" i="10"/>
  <c r="AA614" i="10"/>
  <c r="AA613" i="10"/>
  <c r="AA612" i="10"/>
  <c r="AA611" i="10"/>
  <c r="AA610" i="10"/>
  <c r="AA609" i="10"/>
  <c r="AA608" i="10"/>
  <c r="AA607" i="10"/>
  <c r="AA606" i="10"/>
  <c r="AA605" i="10"/>
  <c r="AA604" i="10"/>
  <c r="AA603" i="10"/>
  <c r="AA602" i="10"/>
  <c r="AA601" i="10"/>
  <c r="AA600" i="10"/>
  <c r="AA599" i="10"/>
  <c r="AA598" i="10"/>
  <c r="AA597" i="10"/>
  <c r="AA596" i="10"/>
  <c r="AA595" i="10"/>
  <c r="AA594" i="10"/>
  <c r="AA593" i="10"/>
  <c r="AA592" i="10"/>
  <c r="AA591" i="10"/>
  <c r="AA590" i="10"/>
  <c r="AA589" i="10"/>
  <c r="AA588" i="10"/>
  <c r="AA587" i="10"/>
  <c r="AA586" i="10"/>
  <c r="AA585" i="10"/>
  <c r="AA584" i="10"/>
  <c r="AA583" i="10"/>
  <c r="AA582" i="10"/>
  <c r="AA581" i="10"/>
  <c r="AA580" i="10"/>
  <c r="AA579" i="10"/>
  <c r="AA578" i="10"/>
  <c r="AA577" i="10"/>
  <c r="AA576" i="10"/>
  <c r="AA575" i="10"/>
  <c r="AA574" i="10"/>
  <c r="AA573" i="10"/>
  <c r="AA572" i="10"/>
  <c r="AA571" i="10"/>
  <c r="AA570" i="10"/>
  <c r="AA569" i="10"/>
  <c r="AA568" i="10"/>
  <c r="AA567" i="10"/>
  <c r="AA566" i="10"/>
  <c r="AA565" i="10"/>
  <c r="AA564" i="10"/>
  <c r="AA563" i="10"/>
  <c r="AA562" i="10"/>
  <c r="AA561" i="10"/>
  <c r="AA560" i="10"/>
  <c r="AA559" i="10"/>
  <c r="AA558" i="10"/>
  <c r="AA557" i="10"/>
  <c r="AA556" i="10"/>
  <c r="AA555" i="10"/>
  <c r="AA554" i="10"/>
  <c r="AA553" i="10"/>
  <c r="AA552" i="10"/>
  <c r="AA551" i="10"/>
  <c r="AA550" i="10"/>
  <c r="AA549" i="10"/>
  <c r="AA548" i="10"/>
  <c r="AA547" i="10"/>
  <c r="AA546" i="10"/>
  <c r="AA545" i="10"/>
  <c r="AA544" i="10"/>
  <c r="AA543" i="10"/>
  <c r="AA542" i="10"/>
  <c r="AA541" i="10"/>
  <c r="AA540" i="10"/>
  <c r="AA539" i="10"/>
  <c r="AA538" i="10"/>
  <c r="AA537" i="10"/>
  <c r="AA536" i="10"/>
  <c r="AA535" i="10"/>
  <c r="AA534" i="10"/>
  <c r="AA533" i="10"/>
  <c r="AA532" i="10"/>
  <c r="AA531" i="10"/>
  <c r="AA530" i="10"/>
  <c r="AA529" i="10"/>
  <c r="AA528" i="10"/>
  <c r="AA527" i="10"/>
  <c r="AA526" i="10"/>
  <c r="AA525" i="10"/>
  <c r="AA524" i="10"/>
  <c r="AA523" i="10"/>
  <c r="AA522" i="10"/>
  <c r="AA521" i="10"/>
  <c r="AA520" i="10"/>
  <c r="AA519" i="10"/>
  <c r="AA518" i="10"/>
  <c r="AA517" i="10"/>
  <c r="AA516" i="10"/>
  <c r="AA515" i="10"/>
  <c r="AA514" i="10"/>
  <c r="AA513" i="10"/>
  <c r="AA512" i="10"/>
  <c r="AA511" i="10"/>
  <c r="AA510" i="10"/>
  <c r="AA509" i="10"/>
  <c r="AA508" i="10"/>
  <c r="AA507" i="10"/>
  <c r="AA506" i="10"/>
  <c r="AA505" i="10"/>
  <c r="AA504" i="10"/>
  <c r="AA503" i="10"/>
  <c r="AA502" i="10"/>
  <c r="AA501" i="10"/>
  <c r="AA500" i="10"/>
  <c r="AA499" i="10"/>
  <c r="AA498" i="10"/>
  <c r="AA497" i="10"/>
  <c r="AA496" i="10"/>
  <c r="AA495" i="10"/>
  <c r="AA494" i="10"/>
  <c r="AA493" i="10"/>
  <c r="AA492" i="10"/>
  <c r="AA491" i="10"/>
  <c r="AA490" i="10"/>
  <c r="AA489" i="10"/>
  <c r="AA488" i="10"/>
  <c r="AA487" i="10"/>
  <c r="AA486" i="10"/>
  <c r="AA485" i="10"/>
  <c r="AA484" i="10"/>
  <c r="AA483" i="10"/>
  <c r="AA482" i="10"/>
  <c r="AA481" i="10"/>
  <c r="AA480" i="10"/>
  <c r="AA479" i="10"/>
  <c r="AA478" i="10"/>
  <c r="AA477" i="10"/>
  <c r="AA476" i="10"/>
  <c r="AA475" i="10"/>
  <c r="AA474" i="10"/>
  <c r="AA473" i="10"/>
  <c r="AA472" i="10"/>
  <c r="AA471" i="10"/>
  <c r="AA470" i="10"/>
  <c r="AA469" i="10"/>
  <c r="AA468" i="10"/>
  <c r="AA467" i="10"/>
  <c r="AA466" i="10"/>
  <c r="AA465" i="10"/>
  <c r="AA464" i="10"/>
  <c r="AA463" i="10"/>
  <c r="AA462" i="10"/>
  <c r="AA461" i="10"/>
  <c r="AA460" i="10"/>
  <c r="AA459" i="10"/>
  <c r="AA458" i="10"/>
  <c r="AA457" i="10"/>
  <c r="AA456" i="10"/>
  <c r="AA455" i="10"/>
  <c r="AA454" i="10"/>
  <c r="AA453" i="10"/>
  <c r="AA452" i="10"/>
  <c r="AA451" i="10"/>
  <c r="AA450" i="10"/>
  <c r="AA449" i="10"/>
  <c r="AA448" i="10"/>
  <c r="AA447" i="10"/>
  <c r="AA446" i="10"/>
  <c r="AA445" i="10"/>
  <c r="AA444" i="10"/>
  <c r="AA443" i="10"/>
  <c r="AA442" i="10"/>
  <c r="AA419" i="10"/>
  <c r="AA441" i="10"/>
  <c r="AA418" i="10"/>
  <c r="AA440" i="10"/>
  <c r="AA417" i="10"/>
  <c r="AA439" i="10"/>
  <c r="AA416" i="10"/>
  <c r="AA438" i="10"/>
  <c r="AA415" i="10"/>
  <c r="AA437" i="10"/>
  <c r="AA414" i="10"/>
  <c r="AA436" i="10"/>
  <c r="AA413" i="10"/>
  <c r="AA435" i="10"/>
  <c r="AA412" i="10"/>
  <c r="AA434" i="10"/>
  <c r="AA411" i="10"/>
  <c r="AA433" i="10"/>
  <c r="AA410" i="10"/>
  <c r="AA432" i="10"/>
  <c r="AA409" i="10"/>
  <c r="AA431" i="10"/>
  <c r="AA408" i="10"/>
  <c r="AA430" i="10"/>
  <c r="AA407" i="10"/>
  <c r="AA429" i="10"/>
  <c r="AA406" i="10"/>
  <c r="AA428" i="10"/>
  <c r="AA405" i="10"/>
  <c r="AA427" i="10"/>
  <c r="AA404" i="10"/>
  <c r="AA426" i="10"/>
  <c r="AA403" i="10"/>
  <c r="AA425" i="10"/>
  <c r="AA402" i="10"/>
  <c r="AA424" i="10"/>
  <c r="AA401" i="10"/>
  <c r="AA423" i="10"/>
  <c r="AA400" i="10"/>
  <c r="AA422" i="10"/>
  <c r="AA399" i="10"/>
  <c r="AA421" i="10"/>
  <c r="AA398" i="10"/>
  <c r="AA397" i="10"/>
  <c r="AA420" i="10"/>
  <c r="AB420" i="10"/>
  <c r="AC420" i="10" s="1"/>
  <c r="AB399" i="10"/>
  <c r="AC399" i="10" s="1"/>
  <c r="AB401" i="10"/>
  <c r="AC401" i="10" s="1"/>
  <c r="AB403" i="10"/>
  <c r="AC403" i="10" s="1"/>
  <c r="AB405" i="10"/>
  <c r="AC405" i="10" s="1"/>
  <c r="AB407" i="10"/>
  <c r="AC407" i="10" s="1"/>
  <c r="AB409" i="10"/>
  <c r="AC409" i="10" s="1"/>
  <c r="AB411" i="10"/>
  <c r="AC411" i="10" s="1"/>
  <c r="AB413" i="10"/>
  <c r="AC413" i="10" s="1"/>
  <c r="AB415" i="10"/>
  <c r="AC415" i="10" s="1"/>
  <c r="AB417" i="10"/>
  <c r="AC417" i="10" s="1"/>
  <c r="AB419" i="10"/>
  <c r="AC419" i="10" s="1"/>
  <c r="AB445" i="10"/>
  <c r="AC445" i="10" s="1"/>
  <c r="AB449" i="10"/>
  <c r="AC449" i="10" s="1"/>
  <c r="AB453" i="10"/>
  <c r="AC453" i="10" s="1"/>
  <c r="AB457" i="10"/>
  <c r="AC457" i="10" s="1"/>
  <c r="AB461" i="10"/>
  <c r="AC461" i="10" s="1"/>
  <c r="AB465" i="10"/>
  <c r="AC465" i="10" s="1"/>
  <c r="AB469" i="10"/>
  <c r="AC469" i="10" s="1"/>
  <c r="AB473" i="10"/>
  <c r="AC473" i="10" s="1"/>
  <c r="AB477" i="10"/>
  <c r="AC477" i="10" s="1"/>
  <c r="AB481" i="10"/>
  <c r="AC481" i="10" s="1"/>
  <c r="AB397" i="10"/>
  <c r="AC397" i="10" s="1"/>
  <c r="AB422" i="10"/>
  <c r="AC422" i="10" s="1"/>
  <c r="AB424" i="10"/>
  <c r="AC424" i="10" s="1"/>
  <c r="AB426" i="10"/>
  <c r="AC426" i="10" s="1"/>
  <c r="AB428" i="10"/>
  <c r="AC428" i="10" s="1"/>
  <c r="AB430" i="10"/>
  <c r="AC430" i="10" s="1"/>
  <c r="AB432" i="10"/>
  <c r="AC432" i="10" s="1"/>
  <c r="AB434" i="10"/>
  <c r="AC434" i="10" s="1"/>
  <c r="AB436" i="10"/>
  <c r="AC436" i="10" s="1"/>
  <c r="AB438" i="10"/>
  <c r="AC438" i="10" s="1"/>
  <c r="AB440" i="10"/>
  <c r="AC440" i="10" s="1"/>
  <c r="AB442" i="10"/>
  <c r="AC442" i="10" s="1"/>
  <c r="AB446" i="10"/>
  <c r="AC446" i="10" s="1"/>
  <c r="AB450" i="10"/>
  <c r="AC450" i="10" s="1"/>
  <c r="AB454" i="10"/>
  <c r="AC454" i="10" s="1"/>
  <c r="AB458" i="10"/>
  <c r="AC458" i="10" s="1"/>
  <c r="AB462" i="10"/>
  <c r="AC462" i="10" s="1"/>
  <c r="AB466" i="10"/>
  <c r="AC466" i="10" s="1"/>
  <c r="AB470" i="10"/>
  <c r="AC470" i="10" s="1"/>
  <c r="AB474" i="10"/>
  <c r="AC474" i="10" s="1"/>
  <c r="AB478" i="10"/>
  <c r="AC478" i="10" s="1"/>
  <c r="AB482" i="10"/>
  <c r="AC482" i="10" s="1"/>
  <c r="AB398" i="10"/>
  <c r="AC398" i="10" s="1"/>
  <c r="AB400" i="10"/>
  <c r="AC400" i="10" s="1"/>
  <c r="AB402" i="10"/>
  <c r="AC402" i="10" s="1"/>
  <c r="AB404" i="10"/>
  <c r="AC404" i="10" s="1"/>
  <c r="AB406" i="10"/>
  <c r="AC406" i="10" s="1"/>
  <c r="AB408" i="10"/>
  <c r="AC408" i="10" s="1"/>
  <c r="AB410" i="10"/>
  <c r="AC410" i="10" s="1"/>
  <c r="AB412" i="10"/>
  <c r="AC412" i="10" s="1"/>
  <c r="AB414" i="10"/>
  <c r="AC414" i="10" s="1"/>
  <c r="AB416" i="10"/>
  <c r="AC416" i="10" s="1"/>
  <c r="AB418" i="10"/>
  <c r="AC418" i="10" s="1"/>
  <c r="AB443" i="10"/>
  <c r="AC443" i="10" s="1"/>
  <c r="AB447" i="10"/>
  <c r="AC447" i="10" s="1"/>
  <c r="AB451" i="10"/>
  <c r="AC451" i="10" s="1"/>
  <c r="AB455" i="10"/>
  <c r="AC455" i="10" s="1"/>
  <c r="AB459" i="10"/>
  <c r="AC459" i="10" s="1"/>
  <c r="AB463" i="10"/>
  <c r="AC463" i="10" s="1"/>
  <c r="AB467" i="10"/>
  <c r="AC467" i="10" s="1"/>
  <c r="AB471" i="10"/>
  <c r="AC471" i="10" s="1"/>
  <c r="AB475" i="10"/>
  <c r="AC475" i="10" s="1"/>
  <c r="AB479" i="10"/>
  <c r="AC479" i="10" s="1"/>
  <c r="AB483" i="10"/>
  <c r="AC483" i="10" s="1"/>
  <c r="AB487" i="10"/>
  <c r="AC487" i="10" s="1"/>
  <c r="AB491" i="10"/>
  <c r="AC491" i="10" s="1"/>
  <c r="AB495" i="10"/>
  <c r="AC495" i="10" s="1"/>
  <c r="AB499" i="10"/>
  <c r="AC499" i="10" s="1"/>
  <c r="AB503" i="10"/>
  <c r="AC503" i="10" s="1"/>
  <c r="AB507" i="10"/>
  <c r="AC507" i="10" s="1"/>
  <c r="AB511" i="10"/>
  <c r="AC511" i="10" s="1"/>
  <c r="AB515" i="10"/>
  <c r="AC515" i="10" s="1"/>
  <c r="AB519" i="10"/>
  <c r="AC519" i="10" s="1"/>
  <c r="AB523" i="10"/>
  <c r="AC523" i="10" s="1"/>
  <c r="AB527" i="10"/>
  <c r="AC527" i="10" s="1"/>
  <c r="AB531" i="10"/>
  <c r="AC531" i="10" s="1"/>
  <c r="AB535" i="10"/>
  <c r="AC535" i="10" s="1"/>
  <c r="AB539" i="10"/>
  <c r="AC539" i="10" s="1"/>
  <c r="AB543" i="10"/>
  <c r="AC543" i="10" s="1"/>
  <c r="AB547" i="10"/>
  <c r="AC547" i="10" s="1"/>
  <c r="AB551" i="10"/>
  <c r="AC551" i="10" s="1"/>
  <c r="AB555" i="10"/>
  <c r="AC555" i="10" s="1"/>
  <c r="AB559" i="10"/>
  <c r="AC559" i="10" s="1"/>
  <c r="AB563" i="10"/>
  <c r="AC563" i="10" s="1"/>
  <c r="AB567" i="10"/>
  <c r="AC567" i="10" s="1"/>
  <c r="AB571" i="10"/>
  <c r="AC571" i="10" s="1"/>
  <c r="AB575" i="10"/>
  <c r="AC575" i="10" s="1"/>
  <c r="AB579" i="10"/>
  <c r="AC579" i="10" s="1"/>
  <c r="AB583" i="10"/>
  <c r="AC583" i="10" s="1"/>
  <c r="AB587" i="10"/>
  <c r="AC587" i="10" s="1"/>
  <c r="AB591" i="10"/>
  <c r="AC591" i="10" s="1"/>
  <c r="AB595" i="10"/>
  <c r="AC595" i="10" s="1"/>
  <c r="AB599" i="10"/>
  <c r="AC599" i="10" s="1"/>
  <c r="AB603" i="10"/>
  <c r="AC603" i="10" s="1"/>
  <c r="AB607" i="10"/>
  <c r="AC607" i="10" s="1"/>
  <c r="AB611" i="10"/>
  <c r="AC611" i="10" s="1"/>
  <c r="AB615" i="10"/>
  <c r="AC615" i="10" s="1"/>
  <c r="AB619" i="10"/>
  <c r="AC619" i="10" s="1"/>
  <c r="AB623" i="10"/>
  <c r="AC623" i="10" s="1"/>
  <c r="AB627" i="10"/>
  <c r="AC627" i="10" s="1"/>
  <c r="AB631" i="10"/>
  <c r="AC631" i="10" s="1"/>
  <c r="AB635" i="10"/>
  <c r="AC635" i="10" s="1"/>
  <c r="AB639" i="10"/>
  <c r="AC639" i="10" s="1"/>
  <c r="AB643" i="10"/>
  <c r="AC643" i="10" s="1"/>
  <c r="AB647" i="10"/>
  <c r="AC647" i="10" s="1"/>
  <c r="AB651" i="10"/>
  <c r="AC651" i="10" s="1"/>
  <c r="AB655" i="10"/>
  <c r="AC655" i="10" s="1"/>
  <c r="AB659" i="10"/>
  <c r="AC659" i="10" s="1"/>
  <c r="AB663" i="10"/>
  <c r="AC663" i="10" s="1"/>
  <c r="AB667" i="10"/>
  <c r="AC667" i="10" s="1"/>
  <c r="AB671" i="10"/>
  <c r="AC671" i="10" s="1"/>
  <c r="AB675" i="10"/>
  <c r="AC675" i="10" s="1"/>
  <c r="AB679" i="10"/>
  <c r="AC679" i="10" s="1"/>
  <c r="AB683" i="10"/>
  <c r="AC683" i="10" s="1"/>
  <c r="AB687" i="10"/>
  <c r="AC687" i="10" s="1"/>
  <c r="AB691" i="10"/>
  <c r="AC691" i="10" s="1"/>
  <c r="AB695" i="10"/>
  <c r="AC695" i="10" s="1"/>
  <c r="AB699" i="10"/>
  <c r="AC699" i="10" s="1"/>
  <c r="AB703" i="10"/>
  <c r="AC703" i="10" s="1"/>
  <c r="AB707" i="10"/>
  <c r="AC707" i="10" s="1"/>
  <c r="AB711" i="10"/>
  <c r="AC711" i="10" s="1"/>
  <c r="AB715" i="10"/>
  <c r="AC715" i="10" s="1"/>
  <c r="AB719" i="10"/>
  <c r="AC719" i="10" s="1"/>
  <c r="AB141" i="10"/>
  <c r="AC141" i="10" s="1"/>
  <c r="AB157" i="10"/>
  <c r="AC157" i="10" s="1"/>
  <c r="AB138" i="10"/>
  <c r="AC138" i="10" s="1"/>
  <c r="AB154" i="10"/>
  <c r="AC154" i="10" s="1"/>
  <c r="AB170" i="10"/>
  <c r="AC170" i="10" s="1"/>
  <c r="AB421" i="10"/>
  <c r="AC421" i="10" s="1"/>
  <c r="AB423" i="10"/>
  <c r="AC423" i="10" s="1"/>
  <c r="AB425" i="10"/>
  <c r="AC425" i="10" s="1"/>
  <c r="AB427" i="10"/>
  <c r="AC427" i="10" s="1"/>
  <c r="AB429" i="10"/>
  <c r="AC429" i="10" s="1"/>
  <c r="AB431" i="10"/>
  <c r="AC431" i="10" s="1"/>
  <c r="AB433" i="10"/>
  <c r="AC433" i="10" s="1"/>
  <c r="AB435" i="10"/>
  <c r="AC435" i="10" s="1"/>
  <c r="AB437" i="10"/>
  <c r="AC437" i="10" s="1"/>
  <c r="AB439" i="10"/>
  <c r="AC439" i="10" s="1"/>
  <c r="AB441" i="10"/>
  <c r="AC441" i="10" s="1"/>
  <c r="AB444" i="10"/>
  <c r="AC444" i="10" s="1"/>
  <c r="AB448" i="10"/>
  <c r="AC448" i="10" s="1"/>
  <c r="AB452" i="10"/>
  <c r="AC452" i="10" s="1"/>
  <c r="AB456" i="10"/>
  <c r="AC456" i="10" s="1"/>
  <c r="AB460" i="10"/>
  <c r="AC460" i="10" s="1"/>
  <c r="AB464" i="10"/>
  <c r="AC464" i="10" s="1"/>
  <c r="AB468" i="10"/>
  <c r="AC468" i="10" s="1"/>
  <c r="AB472" i="10"/>
  <c r="AC472" i="10" s="1"/>
  <c r="AB476" i="10"/>
  <c r="AC476" i="10" s="1"/>
  <c r="AB480" i="10"/>
  <c r="AC480" i="10" s="1"/>
  <c r="AB484" i="10"/>
  <c r="AC484" i="10" s="1"/>
  <c r="AB488" i="10"/>
  <c r="AC488" i="10" s="1"/>
  <c r="AB492" i="10"/>
  <c r="AC492" i="10" s="1"/>
  <c r="AB496" i="10"/>
  <c r="AC496" i="10" s="1"/>
  <c r="AB500" i="10"/>
  <c r="AC500" i="10" s="1"/>
  <c r="AB504" i="10"/>
  <c r="AC504" i="10" s="1"/>
  <c r="AB508" i="10"/>
  <c r="AC508" i="10" s="1"/>
  <c r="AB512" i="10"/>
  <c r="AC512" i="10" s="1"/>
  <c r="AB516" i="10"/>
  <c r="AC516" i="10" s="1"/>
  <c r="AB520" i="10"/>
  <c r="AC520" i="10" s="1"/>
  <c r="AB524" i="10"/>
  <c r="AC524" i="10" s="1"/>
  <c r="AB528" i="10"/>
  <c r="AC528" i="10" s="1"/>
  <c r="AB532" i="10"/>
  <c r="AC532" i="10" s="1"/>
  <c r="AB536" i="10"/>
  <c r="AC536" i="10" s="1"/>
  <c r="AB540" i="10"/>
  <c r="AC540" i="10" s="1"/>
  <c r="AB544" i="10"/>
  <c r="AC544" i="10" s="1"/>
  <c r="AB548" i="10"/>
  <c r="AC548" i="10" s="1"/>
  <c r="AB552" i="10"/>
  <c r="AC552" i="10" s="1"/>
  <c r="AB556" i="10"/>
  <c r="AC556" i="10" s="1"/>
  <c r="AB560" i="10"/>
  <c r="AC560" i="10" s="1"/>
  <c r="AB564" i="10"/>
  <c r="AC564" i="10"/>
  <c r="AB568" i="10"/>
  <c r="AC568" i="10"/>
  <c r="AB572" i="10"/>
  <c r="AC572" i="10"/>
  <c r="AB576" i="10"/>
  <c r="AC576" i="10"/>
  <c r="AB580" i="10"/>
  <c r="AC580" i="10"/>
  <c r="AB584" i="10"/>
  <c r="AC584" i="10"/>
  <c r="AB588" i="10"/>
  <c r="AC588" i="10"/>
  <c r="AB592" i="10"/>
  <c r="AC592" i="10"/>
  <c r="AB596" i="10"/>
  <c r="AC596" i="10"/>
  <c r="AB600" i="10"/>
  <c r="AC600" i="10"/>
  <c r="AB604" i="10"/>
  <c r="AC604" i="10"/>
  <c r="AB608" i="10"/>
  <c r="AC608" i="10"/>
  <c r="AB612" i="10"/>
  <c r="AC612" i="10"/>
  <c r="AB616" i="10"/>
  <c r="AC616" i="10"/>
  <c r="AB620" i="10"/>
  <c r="AC620" i="10"/>
  <c r="AB624" i="10"/>
  <c r="AC624" i="10"/>
  <c r="AB628" i="10"/>
  <c r="AC628" i="10"/>
  <c r="AB632" i="10"/>
  <c r="AC632" i="10"/>
  <c r="AB636" i="10"/>
  <c r="AC636" i="10"/>
  <c r="AB640" i="10"/>
  <c r="AC640" i="10"/>
  <c r="AB644" i="10"/>
  <c r="AC644" i="10"/>
  <c r="AB648" i="10"/>
  <c r="AC648" i="10"/>
  <c r="AB652" i="10"/>
  <c r="AC652" i="10"/>
  <c r="AB656" i="10"/>
  <c r="AC656" i="10"/>
  <c r="AB660" i="10"/>
  <c r="AC660" i="10"/>
  <c r="AB664" i="10"/>
  <c r="AC664" i="10"/>
  <c r="AB668" i="10"/>
  <c r="AC668" i="10"/>
  <c r="AB672" i="10"/>
  <c r="AC672" i="10"/>
  <c r="AB676" i="10"/>
  <c r="AC676" i="10"/>
  <c r="AB680" i="10"/>
  <c r="AC680" i="10"/>
  <c r="AB684" i="10"/>
  <c r="AC684" i="10"/>
  <c r="AB688" i="10"/>
  <c r="AC688" i="10"/>
  <c r="AB692" i="10"/>
  <c r="AC692" i="10"/>
  <c r="AB696" i="10"/>
  <c r="AC696" i="10"/>
  <c r="AB700" i="10"/>
  <c r="AC700" i="10"/>
  <c r="AB704" i="10"/>
  <c r="AC704" i="10"/>
  <c r="AB708" i="10"/>
  <c r="AC708" i="10"/>
  <c r="AB712" i="10"/>
  <c r="AC712" i="10"/>
  <c r="AB716" i="10"/>
  <c r="AC716" i="10"/>
  <c r="AB720" i="10"/>
  <c r="AC720" i="10"/>
  <c r="AB145" i="10"/>
  <c r="AC145" i="10"/>
  <c r="AB161" i="10"/>
  <c r="AC161" i="10"/>
  <c r="AB142" i="10"/>
  <c r="AC142" i="10"/>
  <c r="AB158" i="10"/>
  <c r="AC158" i="10"/>
  <c r="AB485" i="10"/>
  <c r="AC485" i="10"/>
  <c r="AB493" i="10"/>
  <c r="AC493" i="10"/>
  <c r="AB501" i="10"/>
  <c r="AC501" i="10"/>
  <c r="AB509" i="10"/>
  <c r="AC509" i="10"/>
  <c r="AB517" i="10"/>
  <c r="AC517" i="10"/>
  <c r="AB525" i="10"/>
  <c r="AC525" i="10"/>
  <c r="AB533" i="10"/>
  <c r="AC533" i="10"/>
  <c r="AB541" i="10"/>
  <c r="AC541" i="10"/>
  <c r="AB549" i="10"/>
  <c r="AC549" i="10"/>
  <c r="AB557" i="10"/>
  <c r="AC557" i="10"/>
  <c r="AB565" i="10"/>
  <c r="AC565" i="10"/>
  <c r="AB573" i="10"/>
  <c r="AC573" i="10"/>
  <c r="AB581" i="10"/>
  <c r="AC581" i="10"/>
  <c r="AB589" i="10"/>
  <c r="AC589" i="10"/>
  <c r="AB597" i="10"/>
  <c r="AC597" i="10"/>
  <c r="AB605" i="10"/>
  <c r="AC605" i="10"/>
  <c r="AB613" i="10"/>
  <c r="AC613" i="10"/>
  <c r="AB621" i="10"/>
  <c r="AC621" i="10"/>
  <c r="AB629" i="10"/>
  <c r="AC629" i="10"/>
  <c r="AB637" i="10"/>
  <c r="AC637" i="10"/>
  <c r="AB645" i="10"/>
  <c r="AC645" i="10"/>
  <c r="AB653" i="10"/>
  <c r="AC653" i="10"/>
  <c r="AB661" i="10"/>
  <c r="AC661" i="10"/>
  <c r="AB669" i="10"/>
  <c r="AC669" i="10"/>
  <c r="AB693" i="10"/>
  <c r="AC693" i="10"/>
  <c r="AB701" i="10"/>
  <c r="AC701" i="10"/>
  <c r="AB709" i="10"/>
  <c r="AC709" i="10"/>
  <c r="AB146" i="10"/>
  <c r="AC146" i="10"/>
  <c r="AB191" i="10"/>
  <c r="AC191" i="10"/>
  <c r="AB247" i="10"/>
  <c r="AC247" i="10"/>
  <c r="AB301" i="10"/>
  <c r="AC301" i="10"/>
  <c r="AB380" i="10"/>
  <c r="AC380" i="10"/>
  <c r="AB328" i="10"/>
  <c r="AC328" i="10"/>
  <c r="AB369" i="10"/>
  <c r="AC369" i="10"/>
  <c r="AB378" i="10"/>
  <c r="AC378" i="10"/>
  <c r="AB486" i="10"/>
  <c r="AC486" i="10"/>
  <c r="AB494" i="10"/>
  <c r="AC494" i="10"/>
  <c r="AB502" i="10"/>
  <c r="AC502" i="10"/>
  <c r="AB510" i="10"/>
  <c r="AC510" i="10"/>
  <c r="AB518" i="10"/>
  <c r="AC518" i="10"/>
  <c r="AB526" i="10"/>
  <c r="AC526" i="10"/>
  <c r="AB534" i="10"/>
  <c r="AC534" i="10"/>
  <c r="AB542" i="10"/>
  <c r="AC542" i="10"/>
  <c r="AB550" i="10"/>
  <c r="AC550" i="10"/>
  <c r="AB558" i="10"/>
  <c r="AC558" i="10"/>
  <c r="AB566" i="10"/>
  <c r="AC566" i="10"/>
  <c r="AB574" i="10"/>
  <c r="AC574" i="10"/>
  <c r="AB582" i="10"/>
  <c r="AC582" i="10"/>
  <c r="AB590" i="10"/>
  <c r="AC590" i="10"/>
  <c r="AB598" i="10"/>
  <c r="AC598" i="10"/>
  <c r="AB606" i="10"/>
  <c r="AC606" i="10"/>
  <c r="AB614" i="10"/>
  <c r="AC614" i="10"/>
  <c r="AB622" i="10"/>
  <c r="AC622" i="10"/>
  <c r="AB630" i="10"/>
  <c r="AC630" i="10"/>
  <c r="AB638" i="10"/>
  <c r="AC638" i="10"/>
  <c r="AB646" i="10"/>
  <c r="AC646" i="10"/>
  <c r="AB654" i="10"/>
  <c r="AC654" i="10"/>
  <c r="AB662" i="10"/>
  <c r="AC662" i="10"/>
  <c r="AB670" i="10"/>
  <c r="AC670" i="10"/>
  <c r="AB678" i="10"/>
  <c r="AC678" i="10"/>
  <c r="AB686" i="10"/>
  <c r="AC686" i="10"/>
  <c r="AB694" i="10"/>
  <c r="AC694" i="10"/>
  <c r="AB702" i="10"/>
  <c r="AC702" i="10"/>
  <c r="AB710" i="10"/>
  <c r="AC710" i="10"/>
  <c r="AB718" i="10"/>
  <c r="AC718" i="10"/>
  <c r="AB153" i="10"/>
  <c r="AC153" i="10"/>
  <c r="AB150" i="10"/>
  <c r="AC150" i="10"/>
  <c r="AB139" i="10"/>
  <c r="AC139" i="10"/>
  <c r="AB155" i="10"/>
  <c r="AC155" i="10"/>
  <c r="AB173" i="10"/>
  <c r="AC173" i="10"/>
  <c r="AB189" i="10"/>
  <c r="AC189" i="10"/>
  <c r="AB186" i="10"/>
  <c r="AC186" i="10"/>
  <c r="AB179" i="10"/>
  <c r="AC179" i="10"/>
  <c r="AB195" i="10"/>
  <c r="AC195" i="10"/>
  <c r="AB196" i="10"/>
  <c r="AC196" i="10"/>
  <c r="AB204" i="10"/>
  <c r="AC204" i="10"/>
  <c r="AB215" i="10"/>
  <c r="AC215" i="10"/>
  <c r="AB216" i="10"/>
  <c r="AC216" i="10"/>
  <c r="AB176" i="10"/>
  <c r="AC176" i="10"/>
  <c r="AB192" i="10"/>
  <c r="AC192" i="10"/>
  <c r="AB205" i="10"/>
  <c r="AC205" i="10"/>
  <c r="AB221" i="10"/>
  <c r="AC221" i="10"/>
  <c r="AB164" i="10"/>
  <c r="AC164" i="10"/>
  <c r="AB235" i="10"/>
  <c r="AC235" i="10"/>
  <c r="AB251" i="10"/>
  <c r="AC251" i="10"/>
  <c r="AB267" i="10"/>
  <c r="AC267" i="10"/>
  <c r="AB283" i="10"/>
  <c r="AC283" i="10"/>
  <c r="AB223" i="10"/>
  <c r="AC223" i="10"/>
  <c r="AB240" i="10"/>
  <c r="AC240" i="10"/>
  <c r="AB256" i="10"/>
  <c r="AC256" i="10"/>
  <c r="AB272" i="10"/>
  <c r="AC272" i="10"/>
  <c r="AB222" i="10"/>
  <c r="AC222" i="10"/>
  <c r="AB257" i="10"/>
  <c r="AC257" i="10"/>
  <c r="AB289" i="10"/>
  <c r="AC289" i="10"/>
  <c r="AB337" i="10"/>
  <c r="AC337" i="10"/>
  <c r="AB295" i="10"/>
  <c r="AC295" i="10"/>
  <c r="AB371" i="10"/>
  <c r="AC371" i="10"/>
  <c r="AB368" i="10"/>
  <c r="AC368" i="10"/>
  <c r="AB353" i="10"/>
  <c r="AC353" i="10"/>
  <c r="AB392" i="10"/>
  <c r="AC392" i="10"/>
  <c r="AB489" i="10"/>
  <c r="AC489" i="10"/>
  <c r="AB497" i="10"/>
  <c r="AC497" i="10"/>
  <c r="AB505" i="10"/>
  <c r="AC505" i="10"/>
  <c r="AB513" i="10"/>
  <c r="AC513" i="10"/>
  <c r="AB521" i="10"/>
  <c r="AC521" i="10"/>
  <c r="AB529" i="10"/>
  <c r="AC529" i="10"/>
  <c r="AB537" i="10"/>
  <c r="AC537" i="10"/>
  <c r="AB545" i="10"/>
  <c r="AC545" i="10"/>
  <c r="AB553" i="10"/>
  <c r="AC553" i="10"/>
  <c r="AB561" i="10"/>
  <c r="AC561" i="10"/>
  <c r="AB569" i="10"/>
  <c r="AC569" i="10"/>
  <c r="AB577" i="10"/>
  <c r="AC577" i="10"/>
  <c r="AB585" i="10"/>
  <c r="AC585" i="10"/>
  <c r="AB593" i="10"/>
  <c r="AC593" i="10"/>
  <c r="AB601" i="10"/>
  <c r="AC601" i="10"/>
  <c r="AB609" i="10"/>
  <c r="AC609" i="10"/>
  <c r="AB617" i="10"/>
  <c r="AC617" i="10"/>
  <c r="AB625" i="10"/>
  <c r="AC625" i="10"/>
  <c r="AB633" i="10"/>
  <c r="AC633" i="10"/>
  <c r="AB641" i="10"/>
  <c r="AC641" i="10"/>
  <c r="AB649" i="10"/>
  <c r="AC649" i="10"/>
  <c r="AB657" i="10"/>
  <c r="AC657" i="10"/>
  <c r="AB665" i="10"/>
  <c r="AC665" i="10"/>
  <c r="AB673" i="10"/>
  <c r="AC673" i="10"/>
  <c r="AB681" i="10"/>
  <c r="AC681" i="10"/>
  <c r="AB689" i="10"/>
  <c r="AC689" i="10"/>
  <c r="AB697" i="10"/>
  <c r="AC697" i="10"/>
  <c r="AB705" i="10"/>
  <c r="AC705" i="10"/>
  <c r="AB713" i="10"/>
  <c r="AC713" i="10"/>
  <c r="AB721" i="10"/>
  <c r="AC721" i="10"/>
  <c r="AB165" i="10"/>
  <c r="AC165" i="10"/>
  <c r="AB162" i="10"/>
  <c r="AC162" i="10"/>
  <c r="AB143" i="10"/>
  <c r="AC143" i="10"/>
  <c r="AB159" i="10"/>
  <c r="AC159" i="10"/>
  <c r="AB177" i="10"/>
  <c r="AC177" i="10"/>
  <c r="AB174" i="10"/>
  <c r="AC174" i="10"/>
  <c r="AB190" i="10"/>
  <c r="AC190" i="10"/>
  <c r="AB183" i="10"/>
  <c r="AC183" i="10"/>
  <c r="AB199" i="10"/>
  <c r="AC199" i="10"/>
  <c r="AB198" i="10"/>
  <c r="AC198" i="10"/>
  <c r="AB206" i="10"/>
  <c r="AC206" i="10"/>
  <c r="AB219" i="10"/>
  <c r="AC219" i="10"/>
  <c r="AB220" i="10"/>
  <c r="AC220" i="10"/>
  <c r="AB180" i="10"/>
  <c r="AC180" i="10"/>
  <c r="AB193" i="10"/>
  <c r="AC193" i="10"/>
  <c r="AB209" i="10"/>
  <c r="AC209" i="10"/>
  <c r="AB140" i="10"/>
  <c r="AC140" i="10"/>
  <c r="AB225" i="10"/>
  <c r="AC225" i="10"/>
  <c r="AB239" i="10"/>
  <c r="AC239" i="10"/>
  <c r="AB255" i="10"/>
  <c r="AC255" i="10"/>
  <c r="AB271" i="10"/>
  <c r="AC271" i="10"/>
  <c r="AB210" i="10"/>
  <c r="AC210" i="10"/>
  <c r="AB228" i="10"/>
  <c r="AC228" i="10"/>
  <c r="AB244" i="10"/>
  <c r="AC244" i="10"/>
  <c r="AB260" i="10"/>
  <c r="AC260" i="10"/>
  <c r="AB276" i="10"/>
  <c r="AC276" i="10"/>
  <c r="AB152" i="10"/>
  <c r="AC152" i="10"/>
  <c r="AB229" i="10"/>
  <c r="AC229" i="10"/>
  <c r="AB245" i="10"/>
  <c r="AC245" i="10"/>
  <c r="AB261" i="10"/>
  <c r="AC261" i="10"/>
  <c r="AB277" i="10"/>
  <c r="AC277" i="10"/>
  <c r="AB293" i="10"/>
  <c r="AC293" i="10"/>
  <c r="AB309" i="10"/>
  <c r="AC309" i="10"/>
  <c r="AB325" i="10"/>
  <c r="AC325" i="10"/>
  <c r="AB226" i="10"/>
  <c r="AC226" i="10"/>
  <c r="AB242" i="10"/>
  <c r="AC242" i="10"/>
  <c r="AB258" i="10"/>
  <c r="AC258" i="10"/>
  <c r="AB274" i="10"/>
  <c r="AC274" i="10"/>
  <c r="AB294" i="10"/>
  <c r="AC294" i="10"/>
  <c r="AB299" i="10"/>
  <c r="AC299" i="10"/>
  <c r="AB284" i="10"/>
  <c r="AC284" i="10"/>
  <c r="AB302" i="10"/>
  <c r="AC302" i="10"/>
  <c r="AB343" i="10"/>
  <c r="AC343" i="10"/>
  <c r="AB359" i="10"/>
  <c r="AC359" i="10"/>
  <c r="AB375" i="10"/>
  <c r="AC375" i="10"/>
  <c r="AB314" i="10"/>
  <c r="AC314" i="10"/>
  <c r="AB322" i="10"/>
  <c r="AC322" i="10"/>
  <c r="AB330" i="10"/>
  <c r="AC330" i="10"/>
  <c r="AB340" i="10"/>
  <c r="AC340" i="10"/>
  <c r="AB356" i="10"/>
  <c r="AC356" i="10"/>
  <c r="AB372" i="10"/>
  <c r="AC372" i="10"/>
  <c r="AB298" i="10"/>
  <c r="AC298" i="10"/>
  <c r="AB341" i="10"/>
  <c r="AC341" i="10"/>
  <c r="AB357" i="10"/>
  <c r="AC357" i="10"/>
  <c r="AB373" i="10"/>
  <c r="AC373" i="10"/>
  <c r="AB391" i="10"/>
  <c r="AC391" i="10"/>
  <c r="AB327" i="10"/>
  <c r="AC327" i="10"/>
  <c r="AB331" i="10"/>
  <c r="AC331" i="10"/>
  <c r="AB396" i="10"/>
  <c r="AC396" i="10"/>
  <c r="AB366" i="10"/>
  <c r="AC366" i="10"/>
  <c r="AB382" i="10"/>
  <c r="AC382" i="10"/>
  <c r="AB390" i="10"/>
  <c r="AC390" i="10"/>
  <c r="AB346" i="10"/>
  <c r="AC346" i="10"/>
  <c r="AB677" i="10"/>
  <c r="AC677" i="10"/>
  <c r="AB149" i="10"/>
  <c r="AC149" i="10"/>
  <c r="AB151" i="10"/>
  <c r="AC151" i="10"/>
  <c r="AB185" i="10"/>
  <c r="AC185" i="10"/>
  <c r="AB175" i="10"/>
  <c r="AC175" i="10"/>
  <c r="AB202" i="10"/>
  <c r="AC202" i="10"/>
  <c r="AB212" i="10"/>
  <c r="AC212" i="10"/>
  <c r="AB188" i="10"/>
  <c r="AC188" i="10"/>
  <c r="AB217" i="10"/>
  <c r="AC217" i="10"/>
  <c r="AB231" i="10"/>
  <c r="AC231" i="10"/>
  <c r="AB279" i="10"/>
  <c r="AC279" i="10"/>
  <c r="AB236" i="10"/>
  <c r="AC236" i="10"/>
  <c r="AB268" i="10"/>
  <c r="AC268" i="10"/>
  <c r="AB168" i="10"/>
  <c r="AC168" i="10"/>
  <c r="AB253" i="10"/>
  <c r="AC253" i="10"/>
  <c r="AB285" i="10"/>
  <c r="AC285" i="10"/>
  <c r="AB333" i="10"/>
  <c r="AC333" i="10"/>
  <c r="AB250" i="10"/>
  <c r="AC250" i="10"/>
  <c r="AB286" i="10"/>
  <c r="AC286" i="10"/>
  <c r="AB307" i="10"/>
  <c r="AC307" i="10"/>
  <c r="AB310" i="10"/>
  <c r="AC310" i="10"/>
  <c r="AB367" i="10"/>
  <c r="AC367" i="10"/>
  <c r="AB318" i="10"/>
  <c r="AC318" i="10"/>
  <c r="AB334" i="10"/>
  <c r="AC334" i="10"/>
  <c r="AB348" i="10"/>
  <c r="AC348" i="10"/>
  <c r="AB304" i="10"/>
  <c r="AC304" i="10"/>
  <c r="AB365" i="10"/>
  <c r="AC365" i="10"/>
  <c r="AB311" i="10"/>
  <c r="AC311" i="10"/>
  <c r="AB388" i="10"/>
  <c r="AC388" i="10"/>
  <c r="AB374" i="10"/>
  <c r="AC374" i="10"/>
  <c r="AB389" i="10"/>
  <c r="AC389" i="10"/>
  <c r="AB68" i="10"/>
  <c r="AC68" i="10"/>
  <c r="AB241" i="10"/>
  <c r="AC241" i="10"/>
  <c r="AB305" i="10"/>
  <c r="AC305" i="10"/>
  <c r="AB238" i="10"/>
  <c r="AC238" i="10"/>
  <c r="AB270" i="10"/>
  <c r="AC270" i="10"/>
  <c r="AB282" i="10"/>
  <c r="AC282" i="10"/>
  <c r="AB339" i="10"/>
  <c r="AC339" i="10"/>
  <c r="AB312" i="10"/>
  <c r="AC312" i="10"/>
  <c r="AB336" i="10"/>
  <c r="AC336" i="10"/>
  <c r="AB384" i="10"/>
  <c r="AC384" i="10"/>
  <c r="AB319" i="10"/>
  <c r="AC319" i="10"/>
  <c r="AB362" i="10"/>
  <c r="AC362" i="10"/>
  <c r="AB393" i="10"/>
  <c r="AC393" i="10"/>
  <c r="AB490" i="10"/>
  <c r="AC490" i="10"/>
  <c r="AB498" i="10"/>
  <c r="AC498" i="10"/>
  <c r="AB506" i="10"/>
  <c r="AC506" i="10"/>
  <c r="AB514" i="10"/>
  <c r="AC514" i="10"/>
  <c r="AB522" i="10"/>
  <c r="AC522" i="10"/>
  <c r="AB530" i="10"/>
  <c r="AC530" i="10"/>
  <c r="AB538" i="10"/>
  <c r="AC538" i="10"/>
  <c r="AB546" i="10"/>
  <c r="AC546" i="10"/>
  <c r="AB554" i="10"/>
  <c r="AC554" i="10"/>
  <c r="AB562" i="10"/>
  <c r="AC562" i="10"/>
  <c r="AB570" i="10"/>
  <c r="AC570" i="10"/>
  <c r="AB578" i="10"/>
  <c r="AC578" i="10"/>
  <c r="AB586" i="10"/>
  <c r="AC586" i="10"/>
  <c r="AB594" i="10"/>
  <c r="AC594" i="10"/>
  <c r="AB602" i="10"/>
  <c r="AC602" i="10"/>
  <c r="AB610" i="10"/>
  <c r="AC610" i="10"/>
  <c r="AB618" i="10"/>
  <c r="AC618" i="10"/>
  <c r="AB626" i="10"/>
  <c r="AC626" i="10"/>
  <c r="AB634" i="10"/>
  <c r="AC634" i="10"/>
  <c r="AB642" i="10"/>
  <c r="AC642" i="10"/>
  <c r="AB650" i="10"/>
  <c r="AC650" i="10"/>
  <c r="AB658" i="10"/>
  <c r="AC658" i="10"/>
  <c r="AB666" i="10"/>
  <c r="AC666" i="10"/>
  <c r="AB674" i="10"/>
  <c r="AC674" i="10"/>
  <c r="AB682" i="10"/>
  <c r="AC682" i="10"/>
  <c r="AB690" i="10"/>
  <c r="AC690" i="10"/>
  <c r="AB698" i="10"/>
  <c r="AC698" i="10"/>
  <c r="AB706" i="10"/>
  <c r="AC706" i="10"/>
  <c r="AB714" i="10"/>
  <c r="AC714" i="10"/>
  <c r="AB137" i="10"/>
  <c r="AC137" i="10"/>
  <c r="AB169" i="10"/>
  <c r="AC169" i="10"/>
  <c r="AB166" i="10"/>
  <c r="AC166" i="10"/>
  <c r="AB147" i="10"/>
  <c r="AC147" i="10"/>
  <c r="AB163" i="10"/>
  <c r="AC163" i="10"/>
  <c r="AB181" i="10"/>
  <c r="AC181" i="10"/>
  <c r="AB178" i="10"/>
  <c r="AC178" i="10"/>
  <c r="AB171" i="10"/>
  <c r="AC171" i="10"/>
  <c r="AB187" i="10"/>
  <c r="AC187" i="10"/>
  <c r="AB203" i="10"/>
  <c r="AC203" i="10"/>
  <c r="AB200" i="10"/>
  <c r="AC200" i="10"/>
  <c r="AB207" i="10"/>
  <c r="AC207" i="10"/>
  <c r="AB208" i="10"/>
  <c r="AC208" i="10"/>
  <c r="AB224" i="10"/>
  <c r="AC224" i="10"/>
  <c r="AB184" i="10"/>
  <c r="AC184" i="10"/>
  <c r="AB197" i="10"/>
  <c r="AC197" i="10"/>
  <c r="AB213" i="10"/>
  <c r="AC213" i="10"/>
  <c r="AB148" i="10"/>
  <c r="AC148" i="10"/>
  <c r="AB227" i="10"/>
  <c r="AC227" i="10"/>
  <c r="AB243" i="10"/>
  <c r="AC243" i="10"/>
  <c r="AB259" i="10"/>
  <c r="AC259" i="10"/>
  <c r="AB275" i="10"/>
  <c r="AC275" i="10"/>
  <c r="AB214" i="10"/>
  <c r="AC214" i="10"/>
  <c r="AB232" i="10"/>
  <c r="AC232" i="10"/>
  <c r="AB248" i="10"/>
  <c r="AC248" i="10"/>
  <c r="AB264" i="10"/>
  <c r="AC264" i="10"/>
  <c r="AB280" i="10"/>
  <c r="AC280" i="10"/>
  <c r="AB160" i="10"/>
  <c r="AC160" i="10"/>
  <c r="AB233" i="10"/>
  <c r="AC233" i="10"/>
  <c r="AB249" i="10"/>
  <c r="AC249" i="10"/>
  <c r="AB265" i="10"/>
  <c r="AC265" i="10"/>
  <c r="AB281" i="10"/>
  <c r="AC281" i="10"/>
  <c r="AB297" i="10"/>
  <c r="AC297" i="10"/>
  <c r="AB313" i="10"/>
  <c r="AC313" i="10"/>
  <c r="AB329" i="10"/>
  <c r="AC329" i="10"/>
  <c r="AB230" i="10"/>
  <c r="AC230" i="10"/>
  <c r="AB246" i="10"/>
  <c r="AC246" i="10"/>
  <c r="AB262" i="10"/>
  <c r="AC262" i="10"/>
  <c r="AB278" i="10"/>
  <c r="AC278" i="10"/>
  <c r="AB287" i="10"/>
  <c r="AC287" i="10"/>
  <c r="AB303" i="10"/>
  <c r="AC303" i="10"/>
  <c r="AB288" i="10"/>
  <c r="AC288" i="10"/>
  <c r="AB306" i="10"/>
  <c r="AC306" i="10"/>
  <c r="AB347" i="10"/>
  <c r="AC347" i="10"/>
  <c r="AB363" i="10"/>
  <c r="AC363" i="10"/>
  <c r="AB379" i="10"/>
  <c r="AC379" i="10"/>
  <c r="AB316" i="10"/>
  <c r="AC316" i="10"/>
  <c r="AB324" i="10"/>
  <c r="AC324" i="10"/>
  <c r="AB332" i="10"/>
  <c r="AC332" i="10"/>
  <c r="AB344" i="10"/>
  <c r="AC344" i="10"/>
  <c r="AB360" i="10"/>
  <c r="AC360" i="10"/>
  <c r="AB376" i="10"/>
  <c r="AC376" i="10"/>
  <c r="AB300" i="10"/>
  <c r="AC300" i="10"/>
  <c r="AB345" i="10"/>
  <c r="AC345" i="10"/>
  <c r="AB361" i="10"/>
  <c r="AC361" i="10"/>
  <c r="AB377" i="10"/>
  <c r="AC377" i="10"/>
  <c r="AB395" i="10"/>
  <c r="AC395" i="10"/>
  <c r="AB335" i="10"/>
  <c r="AC335" i="10"/>
  <c r="AB385" i="10"/>
  <c r="AC385" i="10"/>
  <c r="AB354" i="10"/>
  <c r="AC354" i="10"/>
  <c r="AB370" i="10"/>
  <c r="AC370" i="10"/>
  <c r="AB386" i="10"/>
  <c r="AC386" i="10"/>
  <c r="AB394" i="10"/>
  <c r="AC394" i="10"/>
  <c r="AB350" i="10"/>
  <c r="AC350" i="10"/>
  <c r="AB685" i="10"/>
  <c r="AC685" i="10"/>
  <c r="AB717" i="10"/>
  <c r="AC717" i="10"/>
  <c r="AB135" i="10"/>
  <c r="AC135" i="10"/>
  <c r="AB167" i="10"/>
  <c r="AC167" i="10"/>
  <c r="AB182" i="10"/>
  <c r="AC182" i="10"/>
  <c r="AB194" i="10"/>
  <c r="AC194" i="10"/>
  <c r="AB211" i="10"/>
  <c r="AC211" i="10"/>
  <c r="AB172" i="10"/>
  <c r="AC172" i="10"/>
  <c r="AB201" i="10"/>
  <c r="AC201" i="10"/>
  <c r="AB156" i="10"/>
  <c r="AC156" i="10"/>
  <c r="AB263" i="10"/>
  <c r="AC263" i="10"/>
  <c r="AB218" i="10"/>
  <c r="AC218" i="10"/>
  <c r="AB252" i="10"/>
  <c r="AC252" i="10"/>
  <c r="AB136" i="10"/>
  <c r="AC136" i="10"/>
  <c r="AB237" i="10"/>
  <c r="AC237" i="10"/>
  <c r="AB269" i="10"/>
  <c r="AC269" i="10"/>
  <c r="AB317" i="10"/>
  <c r="AC317" i="10"/>
  <c r="AB234" i="10"/>
  <c r="AC234" i="10"/>
  <c r="AB266" i="10"/>
  <c r="AC266" i="10"/>
  <c r="AB291" i="10"/>
  <c r="AC291" i="10"/>
  <c r="AB292" i="10"/>
  <c r="AC292" i="10"/>
  <c r="AB351" i="10"/>
  <c r="AC351" i="10"/>
  <c r="AB383" i="10"/>
  <c r="AC383" i="10"/>
  <c r="AB326" i="10"/>
  <c r="AC326" i="10"/>
  <c r="AB364" i="10"/>
  <c r="AC364" i="10"/>
  <c r="AB349" i="10"/>
  <c r="AC349" i="10"/>
  <c r="AB381" i="10"/>
  <c r="AC381" i="10"/>
  <c r="AB315" i="10"/>
  <c r="AC315" i="10"/>
  <c r="AB358" i="10"/>
  <c r="AC358" i="10"/>
  <c r="AB338" i="10"/>
  <c r="AC338" i="10"/>
  <c r="AB144" i="10"/>
  <c r="AC144" i="10"/>
  <c r="AB273" i="10"/>
  <c r="AC273" i="10"/>
  <c r="AB321" i="10"/>
  <c r="AC321" i="10"/>
  <c r="AB254" i="10"/>
  <c r="AC254" i="10"/>
  <c r="AB290" i="10"/>
  <c r="AC290" i="10"/>
  <c r="AB296" i="10"/>
  <c r="AC296" i="10"/>
  <c r="AB355" i="10"/>
  <c r="AC355" i="10"/>
  <c r="AB320" i="10"/>
  <c r="AC320" i="10"/>
  <c r="AB352" i="10"/>
  <c r="AC352" i="10"/>
  <c r="AB308" i="10"/>
  <c r="AC308" i="10"/>
  <c r="AB387" i="10"/>
  <c r="AC387" i="10"/>
  <c r="AB323" i="10"/>
  <c r="AC323" i="10"/>
  <c r="AB342" i="10"/>
  <c r="AC342" i="10"/>
  <c r="AA16" i="10"/>
  <c r="AB16" i="10"/>
  <c r="AC16" i="10" s="1"/>
  <c r="AA26" i="10"/>
  <c r="AB26" i="10"/>
  <c r="AC26" i="10" s="1"/>
  <c r="M28" i="10" a="1"/>
  <c r="M29" i="10"/>
  <c r="M28" i="10"/>
  <c r="M30" i="10"/>
  <c r="M31" i="10"/>
  <c r="AA51" i="10"/>
  <c r="AB51" i="10"/>
  <c r="AC51" i="10" s="1"/>
  <c r="AA19" i="10"/>
  <c r="AB19" i="10"/>
  <c r="AC19" i="10"/>
  <c r="AA29" i="10"/>
  <c r="AB29" i="10"/>
  <c r="AC29" i="10" s="1"/>
  <c r="AA33" i="10"/>
  <c r="AB33" i="10"/>
  <c r="AC33" i="10" s="1"/>
  <c r="AA37" i="10"/>
  <c r="AB37" i="10"/>
  <c r="AC37" i="10" s="1"/>
  <c r="AA41" i="10"/>
  <c r="AB41" i="10"/>
  <c r="AC41" i="10"/>
  <c r="AA45" i="10"/>
  <c r="AB45" i="10"/>
  <c r="AC45" i="10"/>
  <c r="AA55" i="10"/>
  <c r="AB55" i="10"/>
  <c r="AC55" i="10" s="1"/>
  <c r="AA59" i="10"/>
  <c r="AB59" i="10"/>
  <c r="AC59" i="10" s="1"/>
  <c r="AA63" i="10"/>
  <c r="AB63" i="10"/>
  <c r="AC63" i="10"/>
  <c r="AA67" i="10"/>
  <c r="AB67" i="10"/>
  <c r="AC67" i="10"/>
  <c r="AA23" i="10"/>
  <c r="AB23" i="10"/>
  <c r="AC23" i="10"/>
  <c r="AA3" i="10"/>
  <c r="AB3" i="10"/>
  <c r="AC3" i="10"/>
  <c r="AA21" i="10"/>
  <c r="AB21" i="10"/>
  <c r="AC21" i="10"/>
  <c r="AA47" i="10"/>
  <c r="AB47" i="10"/>
  <c r="AC47" i="10"/>
  <c r="AA6" i="10"/>
  <c r="AB6" i="10"/>
  <c r="AC6" i="10"/>
  <c r="AA8" i="10"/>
  <c r="AB8" i="10"/>
  <c r="AC8" i="10"/>
  <c r="AA10" i="10"/>
  <c r="AB10" i="10"/>
  <c r="AC10" i="10"/>
  <c r="AA12" i="10"/>
  <c r="AB12" i="10"/>
  <c r="AC12" i="10"/>
  <c r="AA15" i="10"/>
  <c r="AB15" i="10"/>
  <c r="AC15" i="10"/>
  <c r="AA27" i="10"/>
  <c r="AB27" i="10"/>
  <c r="AC27" i="10" s="1"/>
  <c r="AA30" i="10"/>
  <c r="AB30" i="10"/>
  <c r="AC30" i="10"/>
  <c r="AA34" i="10"/>
  <c r="AB34" i="10"/>
  <c r="AC34" i="10"/>
  <c r="AA38" i="10"/>
  <c r="AB38" i="10"/>
  <c r="AC38" i="10"/>
  <c r="AA42" i="10"/>
  <c r="AB42" i="10"/>
  <c r="AC42" i="10"/>
  <c r="AA14" i="10"/>
  <c r="AB14" i="10"/>
  <c r="AC14" i="10"/>
  <c r="AA17" i="10"/>
  <c r="AB17" i="10"/>
  <c r="AC17" i="10"/>
  <c r="AA20" i="10"/>
  <c r="AB20" i="10"/>
  <c r="AC20" i="10"/>
  <c r="AA22" i="10"/>
  <c r="AB22" i="10"/>
  <c r="AC22" i="10"/>
  <c r="AA24" i="10"/>
  <c r="AB24" i="10"/>
  <c r="AC24" i="10"/>
  <c r="AA31" i="10"/>
  <c r="AB31" i="10"/>
  <c r="AC31" i="10"/>
  <c r="AA35" i="10"/>
  <c r="AB35" i="10"/>
  <c r="AC35" i="10"/>
  <c r="AA39" i="10"/>
  <c r="AB39" i="10"/>
  <c r="AC39" i="10"/>
  <c r="AA43" i="10"/>
  <c r="AB43" i="10"/>
  <c r="AC43" i="10"/>
  <c r="AA72" i="10"/>
  <c r="AB72" i="10"/>
  <c r="AC72" i="10"/>
  <c r="AA4" i="10"/>
  <c r="AB4" i="10"/>
  <c r="AC4" i="10"/>
  <c r="AA5" i="10"/>
  <c r="AB5" i="10"/>
  <c r="AC5" i="10"/>
  <c r="AA7" i="10"/>
  <c r="AB7" i="10"/>
  <c r="AC7" i="10"/>
  <c r="AA9" i="10"/>
  <c r="AB9" i="10"/>
  <c r="AC9" i="10"/>
  <c r="AA11" i="10"/>
  <c r="AB11" i="10"/>
  <c r="AC11" i="10"/>
  <c r="AA13" i="10"/>
  <c r="AB13" i="10"/>
  <c r="AC13" i="10"/>
  <c r="AA18" i="10"/>
  <c r="AB18" i="10"/>
  <c r="AC18" i="10"/>
  <c r="AA25" i="10"/>
  <c r="AB25" i="10"/>
  <c r="AC25" i="10"/>
  <c r="AA28" i="10"/>
  <c r="AB28" i="10"/>
  <c r="AC28" i="10"/>
  <c r="AA32" i="10"/>
  <c r="AB32" i="10"/>
  <c r="AC32" i="10" s="1"/>
  <c r="AA36" i="10"/>
  <c r="AB36" i="10"/>
  <c r="AC36" i="10"/>
  <c r="AA40" i="10"/>
  <c r="AB40" i="10"/>
  <c r="AC40" i="10"/>
  <c r="AA44" i="10"/>
  <c r="AB44" i="10"/>
  <c r="AC44" i="10"/>
  <c r="AA48" i="10"/>
  <c r="AB48" i="10"/>
  <c r="AC48" i="10"/>
  <c r="AA52" i="10"/>
  <c r="AB52" i="10"/>
  <c r="AC52" i="10"/>
  <c r="AA70" i="10"/>
  <c r="AB70" i="10"/>
  <c r="AC70" i="10"/>
  <c r="AA56" i="10"/>
  <c r="AB56" i="10"/>
  <c r="AC56" i="10"/>
  <c r="AA60" i="10"/>
  <c r="AB60" i="10"/>
  <c r="AC60" i="10"/>
  <c r="AA64" i="10"/>
  <c r="AB64" i="10"/>
  <c r="AC64" i="10"/>
  <c r="AA49" i="10"/>
  <c r="AB49" i="10"/>
  <c r="AC49" i="10"/>
  <c r="AA53" i="10"/>
  <c r="AB53" i="10"/>
  <c r="AC53" i="10"/>
  <c r="AA57" i="10"/>
  <c r="AB57" i="10"/>
  <c r="AC57" i="10"/>
  <c r="AA61" i="10"/>
  <c r="AB61" i="10"/>
  <c r="AC61" i="10"/>
  <c r="AA65" i="10"/>
  <c r="AB65" i="10"/>
  <c r="AC65" i="10"/>
  <c r="AA69" i="10"/>
  <c r="AB69" i="10"/>
  <c r="AC69" i="10"/>
  <c r="AA73" i="10"/>
  <c r="AB73" i="10"/>
  <c r="AC73" i="10"/>
  <c r="AA102" i="10"/>
  <c r="AB102" i="10"/>
  <c r="AC102" i="10"/>
  <c r="AA106" i="10"/>
  <c r="AB106" i="10"/>
  <c r="AC106" i="10"/>
  <c r="AA110" i="10"/>
  <c r="AB110" i="10"/>
  <c r="AC110" i="10"/>
  <c r="AA114" i="10"/>
  <c r="AB114" i="10"/>
  <c r="AC114" i="10"/>
  <c r="AA118" i="10"/>
  <c r="AB118" i="10"/>
  <c r="AC118" i="10"/>
  <c r="AA122" i="10"/>
  <c r="AB122" i="10"/>
  <c r="AC122" i="10"/>
  <c r="AA126" i="10"/>
  <c r="AB126" i="10"/>
  <c r="AC126" i="10"/>
  <c r="AA130" i="10"/>
  <c r="AB130" i="10"/>
  <c r="AC130" i="10"/>
  <c r="AA134" i="10"/>
  <c r="AB134" i="10"/>
  <c r="AC134" i="10"/>
  <c r="AA46" i="10"/>
  <c r="AB46" i="10"/>
  <c r="AC46" i="10"/>
  <c r="AA50" i="10"/>
  <c r="AB50" i="10"/>
  <c r="AC50" i="10"/>
  <c r="AA54" i="10"/>
  <c r="AB54" i="10"/>
  <c r="AC54" i="10"/>
  <c r="AA58" i="10"/>
  <c r="AB58" i="10"/>
  <c r="AC58" i="10"/>
  <c r="AA62" i="10"/>
  <c r="AB62" i="10"/>
  <c r="AC62" i="10" s="1"/>
  <c r="AA66" i="10"/>
  <c r="AB66" i="10"/>
  <c r="AC66" i="10"/>
  <c r="AA76" i="10"/>
  <c r="AB76" i="10"/>
  <c r="AC76" i="10" s="1"/>
  <c r="AA80" i="10"/>
  <c r="AB80" i="10"/>
  <c r="AC80" i="10"/>
  <c r="AA84" i="10"/>
  <c r="AB84" i="10"/>
  <c r="AC84" i="10"/>
  <c r="AA88" i="10"/>
  <c r="AB88" i="10"/>
  <c r="AC88" i="10"/>
  <c r="AA92" i="10"/>
  <c r="AB92" i="10"/>
  <c r="AC92" i="10"/>
  <c r="AA96" i="10"/>
  <c r="AB96" i="10"/>
  <c r="AC96" i="10"/>
  <c r="AA77" i="10"/>
  <c r="AB77" i="10"/>
  <c r="AC77" i="10"/>
  <c r="AA81" i="10"/>
  <c r="AB81" i="10"/>
  <c r="AC81" i="10"/>
  <c r="AA85" i="10"/>
  <c r="AB85" i="10"/>
  <c r="AC85" i="10"/>
  <c r="AA89" i="10"/>
  <c r="AB89" i="10"/>
  <c r="AC89" i="10"/>
  <c r="AA93" i="10"/>
  <c r="AB93" i="10"/>
  <c r="AC93" i="10"/>
  <c r="AA97" i="10"/>
  <c r="AB97" i="10"/>
  <c r="AC97" i="10"/>
  <c r="AA74" i="10"/>
  <c r="AB74" i="10"/>
  <c r="AC74" i="10"/>
  <c r="AA78" i="10"/>
  <c r="AB78" i="10"/>
  <c r="AC78" i="10"/>
  <c r="AA82" i="10"/>
  <c r="AB82" i="10"/>
  <c r="AC82" i="10"/>
  <c r="AA86" i="10"/>
  <c r="AB86" i="10"/>
  <c r="AC86" i="10"/>
  <c r="AA90" i="10"/>
  <c r="AB90" i="10"/>
  <c r="AC90" i="10"/>
  <c r="AA94" i="10"/>
  <c r="AB94" i="10"/>
  <c r="AC94" i="10"/>
  <c r="AA98" i="10"/>
  <c r="AB98" i="10"/>
  <c r="AC98" i="10"/>
  <c r="AA71" i="10"/>
  <c r="AB71" i="10"/>
  <c r="AC71" i="10"/>
  <c r="AA75" i="10"/>
  <c r="AB75" i="10"/>
  <c r="AC75" i="10"/>
  <c r="AA79" i="10"/>
  <c r="AB79" i="10"/>
  <c r="AC79" i="10"/>
  <c r="AA83" i="10"/>
  <c r="AB83" i="10"/>
  <c r="AC83" i="10"/>
  <c r="AA87" i="10"/>
  <c r="AB87" i="10"/>
  <c r="AC87" i="10"/>
  <c r="AA91" i="10"/>
  <c r="AB91" i="10"/>
  <c r="AC91" i="10"/>
  <c r="AA95" i="10"/>
  <c r="AB95" i="10"/>
  <c r="AC95" i="10"/>
  <c r="AA99" i="10"/>
  <c r="AB99" i="10"/>
  <c r="AC99" i="10"/>
  <c r="AA103" i="10"/>
  <c r="AB103" i="10"/>
  <c r="AC103" i="10"/>
  <c r="AA107" i="10"/>
  <c r="AB107" i="10"/>
  <c r="AC107" i="10"/>
  <c r="AA111" i="10"/>
  <c r="AB111" i="10"/>
  <c r="AC111" i="10"/>
  <c r="AA115" i="10"/>
  <c r="AB115" i="10"/>
  <c r="AC115" i="10"/>
  <c r="AA119" i="10"/>
  <c r="AB119" i="10"/>
  <c r="AC119" i="10"/>
  <c r="AA123" i="10"/>
  <c r="AB123" i="10"/>
  <c r="AC123" i="10"/>
  <c r="AA127" i="10"/>
  <c r="AB127" i="10"/>
  <c r="AC127" i="10"/>
  <c r="AA131" i="10"/>
  <c r="AB131" i="10"/>
  <c r="AC131" i="10"/>
  <c r="AA100" i="10"/>
  <c r="AB100" i="10"/>
  <c r="AC100" i="10"/>
  <c r="AA104" i="10"/>
  <c r="AB104" i="10"/>
  <c r="AC104" i="10"/>
  <c r="AA108" i="10"/>
  <c r="AB108" i="10"/>
  <c r="AC108" i="10"/>
  <c r="AA112" i="10"/>
  <c r="AB112" i="10"/>
  <c r="AC112" i="10"/>
  <c r="AA116" i="10"/>
  <c r="AB116" i="10"/>
  <c r="AC116" i="10"/>
  <c r="AA120" i="10"/>
  <c r="AB120" i="10"/>
  <c r="AC120" i="10"/>
  <c r="AA124" i="10"/>
  <c r="AB124" i="10"/>
  <c r="AC124" i="10"/>
  <c r="AA128" i="10"/>
  <c r="AB128" i="10"/>
  <c r="AC128" i="10"/>
  <c r="AA132" i="10"/>
  <c r="AB132" i="10"/>
  <c r="AC132" i="10"/>
  <c r="AA101" i="10"/>
  <c r="AB101" i="10"/>
  <c r="AC101" i="10"/>
  <c r="AA105" i="10"/>
  <c r="AB105" i="10"/>
  <c r="AC105" i="10"/>
  <c r="AA109" i="10"/>
  <c r="AB109" i="10"/>
  <c r="AC109" i="10"/>
  <c r="AA113" i="10"/>
  <c r="AB113" i="10"/>
  <c r="AC113" i="10"/>
  <c r="AA117" i="10"/>
  <c r="AB117" i="10"/>
  <c r="AC117" i="10"/>
  <c r="AA121" i="10"/>
  <c r="AB121" i="10"/>
  <c r="AC121" i="10"/>
  <c r="AA125" i="10"/>
  <c r="AB125" i="10"/>
  <c r="AC125" i="10"/>
  <c r="AA129" i="10"/>
  <c r="AB129" i="10"/>
  <c r="AC129" i="10"/>
  <c r="AA133" i="10"/>
  <c r="AB133" i="10"/>
  <c r="AC133" i="10"/>
  <c r="M14" i="12"/>
  <c r="M16" i="12"/>
  <c r="M15" i="12"/>
  <c r="M21" i="12"/>
  <c r="M23" i="12"/>
  <c r="M17" i="12"/>
  <c r="M20" i="12"/>
  <c r="M22" i="12"/>
  <c r="M24" i="12"/>
  <c r="AA11" i="12"/>
  <c r="AB11" i="12"/>
  <c r="AC11" i="12"/>
  <c r="AA14" i="12"/>
  <c r="AB14" i="12"/>
  <c r="AC14" i="12"/>
  <c r="AA16" i="12"/>
  <c r="AB16" i="12"/>
  <c r="AC16" i="12"/>
  <c r="AA26" i="12"/>
  <c r="AB26" i="12"/>
  <c r="AC26" i="12"/>
  <c r="M28" i="12" a="1"/>
  <c r="M31" i="12"/>
  <c r="M28" i="12"/>
  <c r="M29" i="12"/>
  <c r="M30" i="12"/>
  <c r="AA23" i="12"/>
  <c r="AB23" i="12"/>
  <c r="AC23" i="12"/>
  <c r="AA6" i="12"/>
  <c r="AB6" i="12"/>
  <c r="AC6" i="12"/>
  <c r="AA19" i="12"/>
  <c r="AB19" i="12"/>
  <c r="AC19" i="12"/>
  <c r="AA29" i="12"/>
  <c r="AB29" i="12"/>
  <c r="AC29" i="12"/>
  <c r="AA33" i="12"/>
  <c r="AB33" i="12"/>
  <c r="AC33" i="12"/>
  <c r="AA37" i="12"/>
  <c r="AB37" i="12"/>
  <c r="AC37" i="12"/>
  <c r="AA41" i="12"/>
  <c r="AB41" i="12"/>
  <c r="AC41" i="12"/>
  <c r="AA45" i="12"/>
  <c r="AB45" i="12"/>
  <c r="AC45" i="12"/>
  <c r="AA49" i="12"/>
  <c r="AB49" i="12"/>
  <c r="AC49" i="12"/>
  <c r="AA50" i="12"/>
  <c r="AB50" i="12"/>
  <c r="AC50" i="12"/>
  <c r="AA8" i="12"/>
  <c r="AB8" i="12"/>
  <c r="AC8" i="12"/>
  <c r="AA21" i="12"/>
  <c r="AB21" i="12"/>
  <c r="AC21" i="12"/>
  <c r="AA12" i="12"/>
  <c r="AB12" i="12"/>
  <c r="AC12" i="12"/>
  <c r="AA27" i="12"/>
  <c r="AB27" i="12"/>
  <c r="AC27" i="12"/>
  <c r="AA30" i="12"/>
  <c r="AB30" i="12"/>
  <c r="AC30" i="12"/>
  <c r="AA34" i="12"/>
  <c r="AB34" i="12"/>
  <c r="AC34" i="12"/>
  <c r="AA38" i="12"/>
  <c r="AB38" i="12"/>
  <c r="AC38" i="12"/>
  <c r="AA42" i="12"/>
  <c r="AB42" i="12"/>
  <c r="AC42" i="12"/>
  <c r="AA46" i="12"/>
  <c r="AB46" i="12"/>
  <c r="AC46" i="12"/>
  <c r="AA57" i="12"/>
  <c r="AB57" i="12"/>
  <c r="AC57" i="12"/>
  <c r="AA61" i="12"/>
  <c r="AB61" i="12"/>
  <c r="AC61" i="12"/>
  <c r="AA65" i="12"/>
  <c r="AB65" i="12"/>
  <c r="AC65" i="12"/>
  <c r="AA69" i="12"/>
  <c r="AB69" i="12"/>
  <c r="AC69" i="12"/>
  <c r="AA73" i="12"/>
  <c r="AB73" i="12"/>
  <c r="AC73" i="12"/>
  <c r="AA77" i="12"/>
  <c r="AB77" i="12"/>
  <c r="AC77" i="12"/>
  <c r="AA4" i="12"/>
  <c r="AB4" i="12"/>
  <c r="AC4" i="12"/>
  <c r="AA5" i="12"/>
  <c r="AB5" i="12"/>
  <c r="AC5" i="12"/>
  <c r="AA7" i="12"/>
  <c r="AB7" i="12"/>
  <c r="AC7" i="12"/>
  <c r="AA9" i="12"/>
  <c r="AB9" i="12"/>
  <c r="AC9" i="12"/>
  <c r="AA13" i="12"/>
  <c r="AB13" i="12"/>
  <c r="AC13" i="12"/>
  <c r="AA15" i="12"/>
  <c r="AB15" i="12"/>
  <c r="AC15" i="12"/>
  <c r="AA17" i="12"/>
  <c r="AB17" i="12"/>
  <c r="AC17" i="12"/>
  <c r="AA20" i="12"/>
  <c r="AB20" i="12"/>
  <c r="AC20" i="12"/>
  <c r="AA22" i="12"/>
  <c r="AB22" i="12"/>
  <c r="AC22" i="12"/>
  <c r="AA24" i="12"/>
  <c r="AB24" i="12"/>
  <c r="AC24" i="12"/>
  <c r="AA31" i="12"/>
  <c r="AB31" i="12"/>
  <c r="AC31" i="12"/>
  <c r="AA35" i="12"/>
  <c r="AB35" i="12"/>
  <c r="AC35" i="12"/>
  <c r="AA39" i="12"/>
  <c r="AB39" i="12"/>
  <c r="AC39" i="12"/>
  <c r="AA43" i="12"/>
  <c r="AB43" i="12"/>
  <c r="AC43" i="12"/>
  <c r="AA47" i="12"/>
  <c r="AB47" i="12"/>
  <c r="AC47" i="12"/>
  <c r="AA51" i="12"/>
  <c r="AB51" i="12"/>
  <c r="AC51" i="12"/>
  <c r="AA53" i="12"/>
  <c r="AB53" i="12"/>
  <c r="AC53" i="12"/>
  <c r="AA3" i="12"/>
  <c r="AB3" i="12"/>
  <c r="AC3" i="12"/>
  <c r="AA10" i="12"/>
  <c r="AB10" i="12"/>
  <c r="AC10" i="12"/>
  <c r="AA18" i="12"/>
  <c r="AB18" i="12"/>
  <c r="AC18" i="12"/>
  <c r="AA25" i="12"/>
  <c r="AB25" i="12"/>
  <c r="AC25" i="12"/>
  <c r="AA28" i="12"/>
  <c r="AB28" i="12"/>
  <c r="AC28" i="12"/>
  <c r="AA32" i="12"/>
  <c r="AB32" i="12"/>
  <c r="AC32" i="12"/>
  <c r="AA36" i="12"/>
  <c r="AB36" i="12"/>
  <c r="AC36" i="12"/>
  <c r="AA40" i="12"/>
  <c r="AB40" i="12"/>
  <c r="AC40" i="12"/>
  <c r="AA44" i="12"/>
  <c r="AB44" i="12"/>
  <c r="AC44" i="12"/>
  <c r="AA48" i="12"/>
  <c r="AB48" i="12"/>
  <c r="AC48" i="12"/>
  <c r="AA54" i="12"/>
  <c r="AB54" i="12"/>
  <c r="AC54" i="12"/>
  <c r="AA58" i="12"/>
  <c r="AB58" i="12"/>
  <c r="AC58" i="12"/>
  <c r="AA62" i="12"/>
  <c r="AB62" i="12"/>
  <c r="AC62" i="12"/>
  <c r="AA66" i="12"/>
  <c r="AB66" i="12"/>
  <c r="AC66" i="12"/>
  <c r="AA70" i="12"/>
  <c r="AB70" i="12"/>
  <c r="AC70" i="12"/>
  <c r="AA74" i="12"/>
  <c r="AB74" i="12"/>
  <c r="AC74" i="12"/>
  <c r="AA78" i="12"/>
  <c r="AB78" i="12"/>
  <c r="AC78" i="12"/>
  <c r="AA55" i="12"/>
  <c r="AB55" i="12"/>
  <c r="AC55" i="12"/>
  <c r="AA59" i="12"/>
  <c r="AB59" i="12"/>
  <c r="AC59" i="12"/>
  <c r="AA63" i="12"/>
  <c r="AB63" i="12"/>
  <c r="AC63" i="12"/>
  <c r="AA67" i="12"/>
  <c r="AB67" i="12"/>
  <c r="AC67" i="12"/>
  <c r="AA71" i="12"/>
  <c r="AB71" i="12"/>
  <c r="AC71" i="12"/>
  <c r="AA75" i="12"/>
  <c r="AB75" i="12"/>
  <c r="AC75" i="12"/>
  <c r="AA52" i="12"/>
  <c r="AB52" i="12"/>
  <c r="AC52" i="12"/>
  <c r="AA56" i="12"/>
  <c r="AB56" i="12"/>
  <c r="AC56" i="12"/>
  <c r="AA60" i="12"/>
  <c r="AB60" i="12"/>
  <c r="AC60" i="12"/>
  <c r="AA64" i="12"/>
  <c r="AB64" i="12"/>
  <c r="AC64" i="12"/>
  <c r="AA68" i="12"/>
  <c r="AB68" i="12"/>
  <c r="AC68" i="12"/>
  <c r="AA72" i="12"/>
  <c r="AB72" i="12"/>
  <c r="AC72" i="12"/>
  <c r="AA76" i="12"/>
  <c r="AB76" i="12"/>
  <c r="AC76" i="12"/>
</calcChain>
</file>

<file path=xl/comments1.xml><?xml version="1.0" encoding="utf-8"?>
<comments xmlns="http://schemas.openxmlformats.org/spreadsheetml/2006/main">
  <authors>
    <author>MAZZOCCHI PAOLO</author>
  </authors>
  <commentList>
    <comment ref="M8" authorId="0" shapeId="0">
      <text>
        <r>
          <rPr>
            <b/>
            <sz val="9"/>
            <color indexed="81"/>
            <rFont val="Tahoma"/>
            <family val="2"/>
          </rPr>
          <t>insert here the guess parameters</t>
        </r>
      </text>
    </comment>
  </commentList>
</comments>
</file>

<file path=xl/comments2.xml><?xml version="1.0" encoding="utf-8"?>
<comments xmlns="http://schemas.openxmlformats.org/spreadsheetml/2006/main">
  <authors>
    <author>MAZZOCCHI PAOLO</author>
  </authors>
  <commentList>
    <comment ref="M8" authorId="0" shapeId="0">
      <text>
        <r>
          <rPr>
            <b/>
            <sz val="9"/>
            <color indexed="81"/>
            <rFont val="Tahoma"/>
            <family val="2"/>
          </rPr>
          <t>insert here the guess parameters</t>
        </r>
      </text>
    </comment>
  </commentList>
</comments>
</file>

<file path=xl/comments3.xml><?xml version="1.0" encoding="utf-8"?>
<comments xmlns="http://schemas.openxmlformats.org/spreadsheetml/2006/main">
  <authors>
    <author>MAZZOCCHI PAOLO</author>
  </authors>
  <commentList>
    <comment ref="M8" authorId="0" shapeId="0">
      <text>
        <r>
          <rPr>
            <b/>
            <sz val="9"/>
            <color indexed="81"/>
            <rFont val="Tahoma"/>
            <family val="2"/>
          </rPr>
          <t>insert here the guess parameters</t>
        </r>
      </text>
    </comment>
  </commentList>
</comments>
</file>

<file path=xl/comments4.xml><?xml version="1.0" encoding="utf-8"?>
<comments xmlns="http://schemas.openxmlformats.org/spreadsheetml/2006/main">
  <authors>
    <author>MAZZOCCHI PAOLO</author>
  </authors>
  <commentList>
    <comment ref="M8" authorId="0" shapeId="0">
      <text>
        <r>
          <rPr>
            <b/>
            <sz val="9"/>
            <color indexed="81"/>
            <rFont val="Tahoma"/>
            <family val="2"/>
          </rPr>
          <t>insert here the guess parameters</t>
        </r>
      </text>
    </comment>
  </commentList>
</comments>
</file>

<file path=xl/sharedStrings.xml><?xml version="1.0" encoding="utf-8"?>
<sst xmlns="http://schemas.openxmlformats.org/spreadsheetml/2006/main" count="206" uniqueCount="64">
  <si>
    <t>3M</t>
  </si>
  <si>
    <t>EUR</t>
  </si>
  <si>
    <t>IborType</t>
  </si>
  <si>
    <t>General Settings</t>
  </si>
  <si>
    <t>Currency</t>
  </si>
  <si>
    <t>Calendar</t>
  </si>
  <si>
    <t>TARGET</t>
  </si>
  <si>
    <t>OvenightIndex</t>
  </si>
  <si>
    <t>Eonia</t>
  </si>
  <si>
    <t>Discounting</t>
  </si>
  <si>
    <t>EURON</t>
  </si>
  <si>
    <t>Daycounter</t>
  </si>
  <si>
    <t>Actual/360</t>
  </si>
  <si>
    <t>Triggers</t>
  </si>
  <si>
    <t>SettlementDate</t>
  </si>
  <si>
    <t>Trigger</t>
  </si>
  <si>
    <t>Evaluation Date</t>
  </si>
  <si>
    <t>Interest Rates Trigger</t>
  </si>
  <si>
    <t>LastFixingsTrigger</t>
  </si>
  <si>
    <t>1M</t>
  </si>
  <si>
    <t>Index</t>
  </si>
  <si>
    <t>Tenor</t>
  </si>
  <si>
    <t>fixing date</t>
  </si>
  <si>
    <t>value date</t>
  </si>
  <si>
    <t>F ON</t>
  </si>
  <si>
    <t>Time Axis</t>
  </si>
  <si>
    <t>Rate Axis</t>
  </si>
  <si>
    <t>Years</t>
  </si>
  <si>
    <t>Min</t>
  </si>
  <si>
    <t>Months</t>
  </si>
  <si>
    <t>Max</t>
  </si>
  <si>
    <t>Major unit</t>
  </si>
  <si>
    <t>Min value</t>
  </si>
  <si>
    <t>Max value</t>
  </si>
  <si>
    <t>6M</t>
  </si>
  <si>
    <t>error</t>
  </si>
  <si>
    <t>Market Basis</t>
  </si>
  <si>
    <t>Time</t>
  </si>
  <si>
    <t>compute</t>
  </si>
  <si>
    <t>a guess</t>
  </si>
  <si>
    <t>b guess</t>
  </si>
  <si>
    <t>c guess</t>
  </si>
  <si>
    <t>d guess</t>
  </si>
  <si>
    <t>Weights</t>
  </si>
  <si>
    <t>calibration</t>
  </si>
  <si>
    <t>a</t>
  </si>
  <si>
    <t>b</t>
  </si>
  <si>
    <t>c</t>
  </si>
  <si>
    <t>d</t>
  </si>
  <si>
    <t>Tenor Basis</t>
  </si>
  <si>
    <t>ABCD Tenor Basis</t>
  </si>
  <si>
    <t>1Y</t>
  </si>
  <si>
    <t>ABCD Cont Basis</t>
  </si>
  <si>
    <t>Maturity</t>
  </si>
  <si>
    <t>Year Fraction</t>
  </si>
  <si>
    <t>max error</t>
  </si>
  <si>
    <t>k</t>
  </si>
  <si>
    <t>F 6M from Basis</t>
  </si>
  <si>
    <t>Use Weights</t>
  </si>
  <si>
    <t>Is Fixed</t>
  </si>
  <si>
    <t>Calibrated Basis</t>
  </si>
  <si>
    <t>F 3M from Basis</t>
  </si>
  <si>
    <t>F 1M from Basis</t>
  </si>
  <si>
    <t>F 1Y from 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</si>
</sst>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\,\ dd\-mmm\-yyyy\ h:mm:ss"/>
    <numFmt numFmtId="165" formatCode="ddd\,\ d\-mmm\-yyyy"/>
    <numFmt numFmtId="166" formatCode="0.0000%"/>
    <numFmt numFmtId="167" formatCode="0.0000"/>
    <numFmt numFmtId="168" formatCode="ddd\,\ dd\-mmm\-yyyy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sz val="8"/>
      <name val="Arial"/>
      <family val="2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theme="0"/>
      <name val="Courier New"/>
      <family val="3"/>
    </font>
    <font>
      <sz val="12"/>
      <name val="Courier New"/>
      <family val="3"/>
    </font>
    <font>
      <b/>
      <sz val="9"/>
      <color indexed="81"/>
      <name val="Tahoma"/>
      <family val="2"/>
    </font>
    <font>
      <b/>
      <sz val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0" fontId="3" fillId="0" borderId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7">
    <xf numFmtId="0" fontId="0" fillId="0" borderId="0" xfId="0"/>
    <xf numFmtId="0" fontId="2" fillId="2" borderId="0" xfId="1" applyFont="1" applyFill="1" applyBorder="1"/>
    <xf numFmtId="0" fontId="2" fillId="2" borderId="1" xfId="1" applyFont="1" applyFill="1" applyBorder="1" applyAlignment="1">
      <alignment horizontal="center"/>
    </xf>
    <xf numFmtId="164" fontId="2" fillId="2" borderId="1" xfId="1" applyNumberFormat="1" applyFont="1" applyFill="1" applyBorder="1" applyAlignment="1">
      <alignment horizontal="center"/>
    </xf>
    <xf numFmtId="165" fontId="2" fillId="2" borderId="1" xfId="4" applyNumberFormat="1" applyFont="1" applyFill="1" applyBorder="1" applyAlignment="1">
      <alignment horizontal="center"/>
    </xf>
    <xf numFmtId="165" fontId="2" fillId="2" borderId="2" xfId="4" applyNumberFormat="1" applyFont="1" applyFill="1" applyBorder="1" applyAlignment="1">
      <alignment horizontal="center"/>
    </xf>
    <xf numFmtId="168" fontId="2" fillId="2" borderId="2" xfId="4" applyNumberFormat="1" applyFont="1" applyFill="1" applyBorder="1" applyAlignment="1">
      <alignment horizontal="center"/>
    </xf>
    <xf numFmtId="168" fontId="2" fillId="2" borderId="1" xfId="1" applyNumberFormat="1" applyFont="1" applyFill="1" applyBorder="1" applyAlignment="1">
      <alignment horizontal="center"/>
    </xf>
    <xf numFmtId="1" fontId="2" fillId="2" borderId="1" xfId="4" applyNumberFormat="1" applyFont="1" applyFill="1" applyBorder="1" applyAlignment="1">
      <alignment horizontal="center"/>
    </xf>
    <xf numFmtId="1" fontId="2" fillId="2" borderId="2" xfId="4" applyNumberFormat="1" applyFont="1" applyFill="1" applyBorder="1" applyAlignment="1">
      <alignment horizontal="center"/>
    </xf>
    <xf numFmtId="168" fontId="2" fillId="5" borderId="5" xfId="3" applyNumberFormat="1" applyFont="1" applyFill="1" applyBorder="1"/>
    <xf numFmtId="0" fontId="2" fillId="3" borderId="5" xfId="3" applyFont="1" applyFill="1" applyBorder="1"/>
    <xf numFmtId="0" fontId="2" fillId="5" borderId="7" xfId="3" applyNumberFormat="1" applyFont="1" applyFill="1" applyBorder="1"/>
    <xf numFmtId="0" fontId="5" fillId="5" borderId="7" xfId="0" applyFont="1" applyFill="1" applyBorder="1"/>
    <xf numFmtId="0" fontId="6" fillId="4" borderId="1" xfId="3" applyFont="1" applyFill="1" applyBorder="1" applyAlignment="1">
      <alignment horizontal="centerContinuous"/>
    </xf>
    <xf numFmtId="0" fontId="6" fillId="4" borderId="1" xfId="3" applyFont="1" applyFill="1" applyBorder="1" applyAlignment="1">
      <alignment horizontal="center" vertical="center" wrapText="1"/>
    </xf>
    <xf numFmtId="0" fontId="2" fillId="5" borderId="6" xfId="3" applyNumberFormat="1" applyFont="1" applyFill="1" applyBorder="1"/>
    <xf numFmtId="0" fontId="2" fillId="5" borderId="5" xfId="3" applyNumberFormat="1" applyFont="1" applyFill="1" applyBorder="1"/>
    <xf numFmtId="0" fontId="2" fillId="5" borderId="5" xfId="3" applyFont="1" applyFill="1" applyBorder="1"/>
    <xf numFmtId="0" fontId="2" fillId="5" borderId="4" xfId="3" applyFont="1" applyFill="1" applyBorder="1"/>
    <xf numFmtId="168" fontId="2" fillId="5" borderId="4" xfId="3" applyNumberFormat="1" applyFont="1" applyFill="1" applyBorder="1"/>
    <xf numFmtId="0" fontId="2" fillId="3" borderId="4" xfId="3" applyFont="1" applyFill="1" applyBorder="1"/>
    <xf numFmtId="0" fontId="5" fillId="5" borderId="8" xfId="0" applyFont="1" applyFill="1" applyBorder="1"/>
    <xf numFmtId="0" fontId="2" fillId="5" borderId="9" xfId="3" applyNumberFormat="1" applyFont="1" applyFill="1" applyBorder="1"/>
    <xf numFmtId="0" fontId="2" fillId="5" borderId="4" xfId="3" applyNumberFormat="1" applyFont="1" applyFill="1" applyBorder="1"/>
    <xf numFmtId="0" fontId="2" fillId="5" borderId="8" xfId="3" applyNumberFormat="1" applyFont="1" applyFill="1" applyBorder="1"/>
    <xf numFmtId="0" fontId="5" fillId="0" borderId="3" xfId="0" applyFont="1" applyBorder="1"/>
    <xf numFmtId="0" fontId="5" fillId="0" borderId="5" xfId="0" applyFont="1" applyBorder="1"/>
    <xf numFmtId="168" fontId="5" fillId="0" borderId="5" xfId="0" applyNumberFormat="1" applyFont="1" applyBorder="1"/>
    <xf numFmtId="167" fontId="5" fillId="0" borderId="5" xfId="0" applyNumberFormat="1" applyFont="1" applyBorder="1"/>
    <xf numFmtId="166" fontId="5" fillId="0" borderId="5" xfId="0" applyNumberFormat="1" applyFont="1" applyBorder="1"/>
    <xf numFmtId="168" fontId="5" fillId="0" borderId="4" xfId="0" applyNumberFormat="1" applyFont="1" applyBorder="1"/>
    <xf numFmtId="166" fontId="5" fillId="0" borderId="4" xfId="0" applyNumberFormat="1" applyFont="1" applyBorder="1"/>
    <xf numFmtId="0" fontId="5" fillId="6" borderId="0" xfId="0" applyFont="1" applyFill="1"/>
    <xf numFmtId="166" fontId="5" fillId="6" borderId="0" xfId="0" applyNumberFormat="1" applyFont="1" applyFill="1"/>
    <xf numFmtId="0" fontId="5" fillId="0" borderId="1" xfId="0" applyFont="1" applyBorder="1"/>
    <xf numFmtId="0" fontId="5" fillId="6" borderId="0" xfId="0" applyFont="1" applyFill="1" applyBorder="1"/>
    <xf numFmtId="0" fontId="5" fillId="6" borderId="10" xfId="0" applyFont="1" applyFill="1" applyBorder="1"/>
    <xf numFmtId="168" fontId="5" fillId="6" borderId="10" xfId="0" applyNumberFormat="1" applyFont="1" applyFill="1" applyBorder="1"/>
    <xf numFmtId="166" fontId="5" fillId="6" borderId="10" xfId="0" applyNumberFormat="1" applyFont="1" applyFill="1" applyBorder="1"/>
    <xf numFmtId="168" fontId="5" fillId="6" borderId="0" xfId="0" applyNumberFormat="1" applyFont="1" applyFill="1" applyBorder="1"/>
    <xf numFmtId="166" fontId="5" fillId="6" borderId="0" xfId="0" applyNumberFormat="1" applyFont="1" applyFill="1" applyBorder="1"/>
    <xf numFmtId="167" fontId="5" fillId="6" borderId="0" xfId="0" applyNumberFormat="1" applyFont="1" applyFill="1"/>
    <xf numFmtId="166" fontId="5" fillId="0" borderId="1" xfId="0" applyNumberFormat="1" applyFont="1" applyBorder="1"/>
    <xf numFmtId="0" fontId="2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/>
    <xf numFmtId="0" fontId="2" fillId="2" borderId="7" xfId="1" applyFont="1" applyFill="1" applyBorder="1"/>
    <xf numFmtId="0" fontId="2" fillId="2" borderId="11" xfId="1" applyFont="1" applyFill="1" applyBorder="1"/>
    <xf numFmtId="0" fontId="2" fillId="3" borderId="8" xfId="1" applyFont="1" applyFill="1" applyBorder="1"/>
    <xf numFmtId="0" fontId="2" fillId="3" borderId="12" xfId="1" applyFont="1" applyFill="1" applyBorder="1"/>
    <xf numFmtId="0" fontId="2" fillId="2" borderId="13" xfId="1" applyFont="1" applyFill="1" applyBorder="1"/>
    <xf numFmtId="0" fontId="7" fillId="7" borderId="14" xfId="2" applyFont="1" applyFill="1" applyBorder="1" applyAlignment="1">
      <alignment horizontal="centerContinuous" vertical="center"/>
    </xf>
    <xf numFmtId="0" fontId="7" fillId="7" borderId="15" xfId="2" applyFont="1" applyFill="1" applyBorder="1" applyAlignment="1">
      <alignment horizontal="centerContinuous" vertical="center"/>
    </xf>
    <xf numFmtId="0" fontId="7" fillId="7" borderId="16" xfId="2" applyFont="1" applyFill="1" applyBorder="1" applyAlignment="1">
      <alignment horizontal="centerContinuous" vertical="center"/>
    </xf>
    <xf numFmtId="0" fontId="7" fillId="7" borderId="17" xfId="2" applyFont="1" applyFill="1" applyBorder="1" applyAlignment="1">
      <alignment horizontal="centerContinuous" vertical="center"/>
    </xf>
    <xf numFmtId="0" fontId="7" fillId="7" borderId="18" xfId="2" applyFont="1" applyFill="1" applyBorder="1" applyAlignment="1">
      <alignment horizontal="centerContinuous" vertical="center"/>
    </xf>
    <xf numFmtId="0" fontId="7" fillId="7" borderId="19" xfId="2" applyFont="1" applyFill="1" applyBorder="1" applyAlignment="1">
      <alignment horizontal="centerContinuous" vertical="center"/>
    </xf>
    <xf numFmtId="0" fontId="2" fillId="2" borderId="17" xfId="0" applyFont="1" applyFill="1" applyBorder="1"/>
    <xf numFmtId="0" fontId="2" fillId="2" borderId="10" xfId="0" applyFont="1" applyFill="1" applyBorder="1"/>
    <xf numFmtId="0" fontId="2" fillId="2" borderId="20" xfId="0" applyFont="1" applyFill="1" applyBorder="1"/>
    <xf numFmtId="0" fontId="2" fillId="2" borderId="7" xfId="0" applyFont="1" applyFill="1" applyBorder="1"/>
    <xf numFmtId="0" fontId="2" fillId="2" borderId="11" xfId="0" applyFont="1" applyFill="1" applyBorder="1"/>
    <xf numFmtId="168" fontId="2" fillId="2" borderId="8" xfId="4" applyNumberFormat="1" applyFont="1" applyFill="1" applyBorder="1" applyAlignment="1">
      <alignment horizontal="center"/>
    </xf>
    <xf numFmtId="168" fontId="2" fillId="2" borderId="12" xfId="4" applyNumberFormat="1" applyFont="1" applyFill="1" applyBorder="1" applyAlignment="1">
      <alignment horizontal="center"/>
    </xf>
    <xf numFmtId="168" fontId="2" fillId="2" borderId="13" xfId="4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right"/>
    </xf>
    <xf numFmtId="0" fontId="2" fillId="6" borderId="1" xfId="1" applyFont="1" applyFill="1" applyBorder="1" applyAlignment="1">
      <alignment horizontal="right" vertical="center"/>
    </xf>
    <xf numFmtId="0" fontId="2" fillId="6" borderId="0" xfId="1" applyFont="1" applyFill="1"/>
    <xf numFmtId="0" fontId="7" fillId="6" borderId="0" xfId="1" applyFont="1" applyFill="1"/>
    <xf numFmtId="0" fontId="2" fillId="6" borderId="0" xfId="2" applyFont="1" applyFill="1"/>
    <xf numFmtId="0" fontId="2" fillId="6" borderId="0" xfId="1" applyFont="1" applyFill="1" applyBorder="1"/>
    <xf numFmtId="0" fontId="5" fillId="7" borderId="14" xfId="0" applyFont="1" applyFill="1" applyBorder="1" applyAlignment="1">
      <alignment horizontal="centerContinuous"/>
    </xf>
    <xf numFmtId="0" fontId="5" fillId="7" borderId="2" xfId="0" applyFont="1" applyFill="1" applyBorder="1" applyAlignment="1">
      <alignment horizontal="centerContinuous"/>
    </xf>
    <xf numFmtId="167" fontId="5" fillId="0" borderId="4" xfId="0" applyNumberFormat="1" applyFont="1" applyBorder="1"/>
    <xf numFmtId="166" fontId="5" fillId="8" borderId="5" xfId="0" applyNumberFormat="1" applyFont="1" applyFill="1" applyBorder="1"/>
    <xf numFmtId="166" fontId="5" fillId="8" borderId="4" xfId="0" applyNumberFormat="1" applyFont="1" applyFill="1" applyBorder="1"/>
    <xf numFmtId="167" fontId="5" fillId="8" borderId="5" xfId="0" applyNumberFormat="1" applyFont="1" applyFill="1" applyBorder="1"/>
    <xf numFmtId="167" fontId="5" fillId="8" borderId="4" xfId="0" applyNumberFormat="1" applyFont="1" applyFill="1" applyBorder="1"/>
    <xf numFmtId="166" fontId="5" fillId="8" borderId="1" xfId="0" applyNumberFormat="1" applyFont="1" applyFill="1" applyBorder="1"/>
    <xf numFmtId="167" fontId="5" fillId="8" borderId="1" xfId="0" applyNumberFormat="1" applyFont="1" applyFill="1" applyBorder="1"/>
    <xf numFmtId="166" fontId="5" fillId="9" borderId="1" xfId="0" applyNumberFormat="1" applyFont="1" applyFill="1" applyBorder="1"/>
    <xf numFmtId="167" fontId="5" fillId="9" borderId="1" xfId="0" applyNumberFormat="1" applyFont="1" applyFill="1" applyBorder="1"/>
    <xf numFmtId="0" fontId="5" fillId="0" borderId="1" xfId="0" applyFont="1" applyBorder="1" applyAlignment="1">
      <alignment horizontal="center"/>
    </xf>
    <xf numFmtId="0" fontId="5" fillId="0" borderId="4" xfId="0" applyFont="1" applyBorder="1"/>
    <xf numFmtId="0" fontId="9" fillId="7" borderId="1" xfId="3" applyFont="1" applyFill="1" applyBorder="1" applyAlignment="1">
      <alignment horizontal="centerContinuous"/>
    </xf>
    <xf numFmtId="0" fontId="9" fillId="7" borderId="1" xfId="3" applyFont="1" applyFill="1" applyBorder="1" applyAlignment="1">
      <alignment horizontal="center" vertical="center" wrapText="1"/>
    </xf>
    <xf numFmtId="168" fontId="2" fillId="7" borderId="1" xfId="1" applyNumberFormat="1" applyFont="1" applyFill="1" applyBorder="1" applyAlignment="1">
      <alignment horizontal="center"/>
    </xf>
  </cellXfs>
  <cellStyles count="6">
    <cellStyle name="Normal" xfId="0" builtinId="0"/>
    <cellStyle name="Normal 2 2" xfId="3"/>
    <cellStyle name="Normal_InterestRateQuotesFeed" xfId="1"/>
    <cellStyle name="Normal_SwaptionATMVols" xfId="2"/>
    <cellStyle name="Percent 2" xfId="5"/>
    <cellStyle name="Percent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'1M Basis'!$W$2</c:f>
              <c:strCache>
                <c:ptCount val="1"/>
                <c:pt idx="0">
                  <c:v>Market 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'1M Basis'!$S$3:$S$852</c:f>
              <c:numCache>
                <c:formatCode>ddd\,\ dd\-mmm\-yyyy</c:formatCode>
                <c:ptCount val="850"/>
                <c:pt idx="0">
                  <c:v>42279</c:v>
                </c:pt>
                <c:pt idx="1">
                  <c:v>42312</c:v>
                </c:pt>
                <c:pt idx="2">
                  <c:v>42342</c:v>
                </c:pt>
                <c:pt idx="3">
                  <c:v>42375</c:v>
                </c:pt>
                <c:pt idx="4">
                  <c:v>42404</c:v>
                </c:pt>
                <c:pt idx="5">
                  <c:v>42433</c:v>
                </c:pt>
                <c:pt idx="6">
                  <c:v>42466</c:v>
                </c:pt>
                <c:pt idx="7">
                  <c:v>42494</c:v>
                </c:pt>
                <c:pt idx="8">
                  <c:v>42527</c:v>
                </c:pt>
                <c:pt idx="9">
                  <c:v>42557</c:v>
                </c:pt>
                <c:pt idx="10">
                  <c:v>42586</c:v>
                </c:pt>
                <c:pt idx="11">
                  <c:v>42619</c:v>
                </c:pt>
                <c:pt idx="12">
                  <c:v>42648</c:v>
                </c:pt>
                <c:pt idx="13">
                  <c:v>42678</c:v>
                </c:pt>
                <c:pt idx="14">
                  <c:v>42710</c:v>
                </c:pt>
                <c:pt idx="15">
                  <c:v>42739</c:v>
                </c:pt>
                <c:pt idx="16">
                  <c:v>42772</c:v>
                </c:pt>
                <c:pt idx="17">
                  <c:v>42800</c:v>
                </c:pt>
                <c:pt idx="18">
                  <c:v>42830</c:v>
                </c:pt>
                <c:pt idx="19">
                  <c:v>42859</c:v>
                </c:pt>
                <c:pt idx="20">
                  <c:v>42892</c:v>
                </c:pt>
                <c:pt idx="21">
                  <c:v>42921</c:v>
                </c:pt>
                <c:pt idx="22">
                  <c:v>42951</c:v>
                </c:pt>
                <c:pt idx="23">
                  <c:v>42984</c:v>
                </c:pt>
                <c:pt idx="24">
                  <c:v>43012</c:v>
                </c:pt>
                <c:pt idx="25">
                  <c:v>43045</c:v>
                </c:pt>
                <c:pt idx="26">
                  <c:v>43075</c:v>
                </c:pt>
                <c:pt idx="27">
                  <c:v>43104</c:v>
                </c:pt>
                <c:pt idx="28">
                  <c:v>43137</c:v>
                </c:pt>
                <c:pt idx="29">
                  <c:v>43165</c:v>
                </c:pt>
                <c:pt idx="30">
                  <c:v>43195</c:v>
                </c:pt>
                <c:pt idx="31">
                  <c:v>43224</c:v>
                </c:pt>
                <c:pt idx="32">
                  <c:v>43257</c:v>
                </c:pt>
                <c:pt idx="33">
                  <c:v>43285</c:v>
                </c:pt>
                <c:pt idx="34">
                  <c:v>43318</c:v>
                </c:pt>
                <c:pt idx="35">
                  <c:v>43348</c:v>
                </c:pt>
                <c:pt idx="36">
                  <c:v>43377</c:v>
                </c:pt>
                <c:pt idx="37">
                  <c:v>43410</c:v>
                </c:pt>
                <c:pt idx="38">
                  <c:v>43439</c:v>
                </c:pt>
                <c:pt idx="39">
                  <c:v>43469</c:v>
                </c:pt>
                <c:pt idx="40">
                  <c:v>43502</c:v>
                </c:pt>
                <c:pt idx="41">
                  <c:v>43530</c:v>
                </c:pt>
                <c:pt idx="42">
                  <c:v>43559</c:v>
                </c:pt>
                <c:pt idx="43">
                  <c:v>43591</c:v>
                </c:pt>
                <c:pt idx="44">
                  <c:v>43621</c:v>
                </c:pt>
                <c:pt idx="45">
                  <c:v>43650</c:v>
                </c:pt>
                <c:pt idx="46">
                  <c:v>43683</c:v>
                </c:pt>
                <c:pt idx="47">
                  <c:v>43712</c:v>
                </c:pt>
                <c:pt idx="48">
                  <c:v>43742</c:v>
                </c:pt>
                <c:pt idx="49">
                  <c:v>43775</c:v>
                </c:pt>
                <c:pt idx="50">
                  <c:v>43803</c:v>
                </c:pt>
                <c:pt idx="51">
                  <c:v>43836</c:v>
                </c:pt>
                <c:pt idx="52">
                  <c:v>43866</c:v>
                </c:pt>
                <c:pt idx="53">
                  <c:v>43894</c:v>
                </c:pt>
                <c:pt idx="54">
                  <c:v>43927</c:v>
                </c:pt>
                <c:pt idx="55">
                  <c:v>43957</c:v>
                </c:pt>
                <c:pt idx="56">
                  <c:v>43986</c:v>
                </c:pt>
                <c:pt idx="57">
                  <c:v>44018</c:v>
                </c:pt>
                <c:pt idx="58">
                  <c:v>44048</c:v>
                </c:pt>
                <c:pt idx="59">
                  <c:v>44078</c:v>
                </c:pt>
                <c:pt idx="60">
                  <c:v>44110</c:v>
                </c:pt>
                <c:pt idx="61">
                  <c:v>44139</c:v>
                </c:pt>
                <c:pt idx="62">
                  <c:v>44169</c:v>
                </c:pt>
                <c:pt idx="63">
                  <c:v>44202</c:v>
                </c:pt>
                <c:pt idx="64">
                  <c:v>44231</c:v>
                </c:pt>
                <c:pt idx="65">
                  <c:v>44259</c:v>
                </c:pt>
                <c:pt idx="66">
                  <c:v>44294</c:v>
                </c:pt>
                <c:pt idx="67">
                  <c:v>44321</c:v>
                </c:pt>
                <c:pt idx="68">
                  <c:v>44351</c:v>
                </c:pt>
                <c:pt idx="69">
                  <c:v>44383</c:v>
                </c:pt>
                <c:pt idx="70">
                  <c:v>44412</c:v>
                </c:pt>
                <c:pt idx="71">
                  <c:v>44445</c:v>
                </c:pt>
                <c:pt idx="72">
                  <c:v>44475</c:v>
                </c:pt>
                <c:pt idx="73">
                  <c:v>44504</c:v>
                </c:pt>
                <c:pt idx="74">
                  <c:v>44536</c:v>
                </c:pt>
                <c:pt idx="75">
                  <c:v>44566</c:v>
                </c:pt>
                <c:pt idx="76">
                  <c:v>44596</c:v>
                </c:pt>
                <c:pt idx="77">
                  <c:v>44624</c:v>
                </c:pt>
                <c:pt idx="78">
                  <c:v>44657</c:v>
                </c:pt>
                <c:pt idx="79">
                  <c:v>44685</c:v>
                </c:pt>
                <c:pt idx="80">
                  <c:v>44718</c:v>
                </c:pt>
                <c:pt idx="81">
                  <c:v>44748</c:v>
                </c:pt>
                <c:pt idx="82">
                  <c:v>44777</c:v>
                </c:pt>
                <c:pt idx="83">
                  <c:v>44810</c:v>
                </c:pt>
                <c:pt idx="84">
                  <c:v>44839</c:v>
                </c:pt>
                <c:pt idx="85">
                  <c:v>44869</c:v>
                </c:pt>
                <c:pt idx="86">
                  <c:v>44901</c:v>
                </c:pt>
                <c:pt idx="87">
                  <c:v>44930</c:v>
                </c:pt>
                <c:pt idx="88">
                  <c:v>44963</c:v>
                </c:pt>
                <c:pt idx="89">
                  <c:v>44991</c:v>
                </c:pt>
                <c:pt idx="90">
                  <c:v>45021</c:v>
                </c:pt>
                <c:pt idx="91">
                  <c:v>45050</c:v>
                </c:pt>
                <c:pt idx="92">
                  <c:v>45083</c:v>
                </c:pt>
                <c:pt idx="93">
                  <c:v>45112</c:v>
                </c:pt>
                <c:pt idx="94">
                  <c:v>45142</c:v>
                </c:pt>
                <c:pt idx="95">
                  <c:v>45175</c:v>
                </c:pt>
                <c:pt idx="96">
                  <c:v>45203</c:v>
                </c:pt>
                <c:pt idx="97">
                  <c:v>45236</c:v>
                </c:pt>
                <c:pt idx="98">
                  <c:v>45266</c:v>
                </c:pt>
                <c:pt idx="99">
                  <c:v>45295</c:v>
                </c:pt>
                <c:pt idx="100">
                  <c:v>45328</c:v>
                </c:pt>
                <c:pt idx="101">
                  <c:v>45357</c:v>
                </c:pt>
                <c:pt idx="102">
                  <c:v>45386</c:v>
                </c:pt>
                <c:pt idx="103">
                  <c:v>45418</c:v>
                </c:pt>
                <c:pt idx="104">
                  <c:v>45448</c:v>
                </c:pt>
                <c:pt idx="105">
                  <c:v>45477</c:v>
                </c:pt>
                <c:pt idx="106">
                  <c:v>45510</c:v>
                </c:pt>
                <c:pt idx="107">
                  <c:v>45539</c:v>
                </c:pt>
                <c:pt idx="108">
                  <c:v>45569</c:v>
                </c:pt>
                <c:pt idx="109">
                  <c:v>45602</c:v>
                </c:pt>
                <c:pt idx="110">
                  <c:v>45630</c:v>
                </c:pt>
                <c:pt idx="111">
                  <c:v>45663</c:v>
                </c:pt>
                <c:pt idx="112">
                  <c:v>45693</c:v>
                </c:pt>
                <c:pt idx="113">
                  <c:v>45721</c:v>
                </c:pt>
                <c:pt idx="114">
                  <c:v>45751</c:v>
                </c:pt>
                <c:pt idx="115">
                  <c:v>45783</c:v>
                </c:pt>
                <c:pt idx="116">
                  <c:v>45812</c:v>
                </c:pt>
                <c:pt idx="117">
                  <c:v>45842</c:v>
                </c:pt>
                <c:pt idx="118">
                  <c:v>45875</c:v>
                </c:pt>
                <c:pt idx="119">
                  <c:v>45904</c:v>
                </c:pt>
                <c:pt idx="120">
                  <c:v>45936</c:v>
                </c:pt>
                <c:pt idx="121">
                  <c:v>45966</c:v>
                </c:pt>
                <c:pt idx="122">
                  <c:v>45995</c:v>
                </c:pt>
                <c:pt idx="123">
                  <c:v>46028</c:v>
                </c:pt>
                <c:pt idx="124">
                  <c:v>46057</c:v>
                </c:pt>
                <c:pt idx="125">
                  <c:v>46085</c:v>
                </c:pt>
                <c:pt idx="126">
                  <c:v>46120</c:v>
                </c:pt>
                <c:pt idx="127">
                  <c:v>46148</c:v>
                </c:pt>
                <c:pt idx="128">
                  <c:v>46177</c:v>
                </c:pt>
                <c:pt idx="129">
                  <c:v>46209</c:v>
                </c:pt>
                <c:pt idx="130">
                  <c:v>46239</c:v>
                </c:pt>
                <c:pt idx="131">
                  <c:v>46269</c:v>
                </c:pt>
                <c:pt idx="132">
                  <c:v>46301</c:v>
                </c:pt>
                <c:pt idx="133">
                  <c:v>46330</c:v>
                </c:pt>
                <c:pt idx="134">
                  <c:v>46360</c:v>
                </c:pt>
                <c:pt idx="135">
                  <c:v>46393</c:v>
                </c:pt>
                <c:pt idx="136">
                  <c:v>46422</c:v>
                </c:pt>
                <c:pt idx="137">
                  <c:v>46450</c:v>
                </c:pt>
                <c:pt idx="138">
                  <c:v>46483</c:v>
                </c:pt>
                <c:pt idx="139">
                  <c:v>46512</c:v>
                </c:pt>
                <c:pt idx="140">
                  <c:v>46542</c:v>
                </c:pt>
                <c:pt idx="141">
                  <c:v>46574</c:v>
                </c:pt>
                <c:pt idx="142">
                  <c:v>46603</c:v>
                </c:pt>
                <c:pt idx="143">
                  <c:v>46636</c:v>
                </c:pt>
                <c:pt idx="144">
                  <c:v>46666</c:v>
                </c:pt>
                <c:pt idx="145">
                  <c:v>46695</c:v>
                </c:pt>
                <c:pt idx="146">
                  <c:v>46727</c:v>
                </c:pt>
                <c:pt idx="147">
                  <c:v>46757</c:v>
                </c:pt>
                <c:pt idx="148">
                  <c:v>46787</c:v>
                </c:pt>
                <c:pt idx="149">
                  <c:v>46818</c:v>
                </c:pt>
                <c:pt idx="150">
                  <c:v>46848</c:v>
                </c:pt>
                <c:pt idx="151">
                  <c:v>46877</c:v>
                </c:pt>
                <c:pt idx="152">
                  <c:v>46910</c:v>
                </c:pt>
                <c:pt idx="153">
                  <c:v>46939</c:v>
                </c:pt>
                <c:pt idx="154">
                  <c:v>46969</c:v>
                </c:pt>
                <c:pt idx="155">
                  <c:v>47002</c:v>
                </c:pt>
                <c:pt idx="156">
                  <c:v>47030</c:v>
                </c:pt>
                <c:pt idx="157">
                  <c:v>47063</c:v>
                </c:pt>
                <c:pt idx="158">
                  <c:v>47093</c:v>
                </c:pt>
                <c:pt idx="159">
                  <c:v>47122</c:v>
                </c:pt>
                <c:pt idx="160">
                  <c:v>47155</c:v>
                </c:pt>
                <c:pt idx="161">
                  <c:v>47183</c:v>
                </c:pt>
                <c:pt idx="162">
                  <c:v>47213</c:v>
                </c:pt>
                <c:pt idx="163">
                  <c:v>47242</c:v>
                </c:pt>
                <c:pt idx="164">
                  <c:v>47275</c:v>
                </c:pt>
                <c:pt idx="165">
                  <c:v>47303</c:v>
                </c:pt>
                <c:pt idx="166">
                  <c:v>47336</c:v>
                </c:pt>
                <c:pt idx="167">
                  <c:v>47366</c:v>
                </c:pt>
                <c:pt idx="168">
                  <c:v>47395</c:v>
                </c:pt>
                <c:pt idx="169">
                  <c:v>47428</c:v>
                </c:pt>
                <c:pt idx="170">
                  <c:v>47457</c:v>
                </c:pt>
                <c:pt idx="171">
                  <c:v>47487</c:v>
                </c:pt>
                <c:pt idx="172">
                  <c:v>47520</c:v>
                </c:pt>
                <c:pt idx="173">
                  <c:v>47548</c:v>
                </c:pt>
                <c:pt idx="174">
                  <c:v>47577</c:v>
                </c:pt>
                <c:pt idx="175">
                  <c:v>47609</c:v>
                </c:pt>
                <c:pt idx="176">
                  <c:v>47639</c:v>
                </c:pt>
                <c:pt idx="177">
                  <c:v>47668</c:v>
                </c:pt>
                <c:pt idx="178">
                  <c:v>47701</c:v>
                </c:pt>
                <c:pt idx="179">
                  <c:v>47730</c:v>
                </c:pt>
                <c:pt idx="180">
                  <c:v>47760</c:v>
                </c:pt>
                <c:pt idx="181">
                  <c:v>47793</c:v>
                </c:pt>
                <c:pt idx="182">
                  <c:v>47821</c:v>
                </c:pt>
                <c:pt idx="183">
                  <c:v>47854</c:v>
                </c:pt>
                <c:pt idx="184">
                  <c:v>47884</c:v>
                </c:pt>
                <c:pt idx="185">
                  <c:v>47912</c:v>
                </c:pt>
                <c:pt idx="186">
                  <c:v>47942</c:v>
                </c:pt>
                <c:pt idx="187">
                  <c:v>47974</c:v>
                </c:pt>
                <c:pt idx="188">
                  <c:v>48003</c:v>
                </c:pt>
                <c:pt idx="189">
                  <c:v>48033</c:v>
                </c:pt>
                <c:pt idx="190">
                  <c:v>48066</c:v>
                </c:pt>
                <c:pt idx="191">
                  <c:v>48095</c:v>
                </c:pt>
                <c:pt idx="192">
                  <c:v>48127</c:v>
                </c:pt>
                <c:pt idx="193">
                  <c:v>48157</c:v>
                </c:pt>
                <c:pt idx="194">
                  <c:v>48186</c:v>
                </c:pt>
                <c:pt idx="195">
                  <c:v>48219</c:v>
                </c:pt>
                <c:pt idx="196">
                  <c:v>48248</c:v>
                </c:pt>
                <c:pt idx="197">
                  <c:v>48277</c:v>
                </c:pt>
                <c:pt idx="198">
                  <c:v>48310</c:v>
                </c:pt>
                <c:pt idx="199">
                  <c:v>48339</c:v>
                </c:pt>
                <c:pt idx="200">
                  <c:v>48369</c:v>
                </c:pt>
                <c:pt idx="201">
                  <c:v>48401</c:v>
                </c:pt>
                <c:pt idx="202">
                  <c:v>48430</c:v>
                </c:pt>
                <c:pt idx="203">
                  <c:v>48463</c:v>
                </c:pt>
                <c:pt idx="204">
                  <c:v>48493</c:v>
                </c:pt>
                <c:pt idx="205">
                  <c:v>48522</c:v>
                </c:pt>
                <c:pt idx="206">
                  <c:v>48554</c:v>
                </c:pt>
                <c:pt idx="207">
                  <c:v>48584</c:v>
                </c:pt>
                <c:pt idx="208">
                  <c:v>48614</c:v>
                </c:pt>
                <c:pt idx="209">
                  <c:v>48642</c:v>
                </c:pt>
                <c:pt idx="210">
                  <c:v>48675</c:v>
                </c:pt>
                <c:pt idx="211">
                  <c:v>48703</c:v>
                </c:pt>
                <c:pt idx="212">
                  <c:v>48736</c:v>
                </c:pt>
                <c:pt idx="213">
                  <c:v>48766</c:v>
                </c:pt>
                <c:pt idx="214">
                  <c:v>48795</c:v>
                </c:pt>
                <c:pt idx="215">
                  <c:v>48828</c:v>
                </c:pt>
                <c:pt idx="216">
                  <c:v>48857</c:v>
                </c:pt>
                <c:pt idx="217">
                  <c:v>48887</c:v>
                </c:pt>
                <c:pt idx="218">
                  <c:v>48919</c:v>
                </c:pt>
                <c:pt idx="219">
                  <c:v>48948</c:v>
                </c:pt>
                <c:pt idx="220">
                  <c:v>48981</c:v>
                </c:pt>
                <c:pt idx="221">
                  <c:v>49009</c:v>
                </c:pt>
                <c:pt idx="222">
                  <c:v>49039</c:v>
                </c:pt>
                <c:pt idx="223">
                  <c:v>49068</c:v>
                </c:pt>
                <c:pt idx="224">
                  <c:v>49101</c:v>
                </c:pt>
                <c:pt idx="225">
                  <c:v>49130</c:v>
                </c:pt>
                <c:pt idx="226">
                  <c:v>49160</c:v>
                </c:pt>
                <c:pt idx="227">
                  <c:v>49193</c:v>
                </c:pt>
                <c:pt idx="228">
                  <c:v>49221</c:v>
                </c:pt>
                <c:pt idx="229">
                  <c:v>49254</c:v>
                </c:pt>
                <c:pt idx="230">
                  <c:v>49284</c:v>
                </c:pt>
                <c:pt idx="231">
                  <c:v>49313</c:v>
                </c:pt>
                <c:pt idx="232">
                  <c:v>49346</c:v>
                </c:pt>
                <c:pt idx="233">
                  <c:v>49374</c:v>
                </c:pt>
                <c:pt idx="234">
                  <c:v>49403</c:v>
                </c:pt>
                <c:pt idx="235">
                  <c:v>49433</c:v>
                </c:pt>
                <c:pt idx="236">
                  <c:v>49466</c:v>
                </c:pt>
                <c:pt idx="237">
                  <c:v>49494</c:v>
                </c:pt>
                <c:pt idx="238">
                  <c:v>49527</c:v>
                </c:pt>
                <c:pt idx="239">
                  <c:v>49557</c:v>
                </c:pt>
                <c:pt idx="240">
                  <c:v>49586</c:v>
                </c:pt>
                <c:pt idx="241">
                  <c:v>49619</c:v>
                </c:pt>
                <c:pt idx="242">
                  <c:v>49648</c:v>
                </c:pt>
                <c:pt idx="243">
                  <c:v>49678</c:v>
                </c:pt>
                <c:pt idx="244">
                  <c:v>49711</c:v>
                </c:pt>
                <c:pt idx="245">
                  <c:v>49739</c:v>
                </c:pt>
                <c:pt idx="246">
                  <c:v>49769</c:v>
                </c:pt>
                <c:pt idx="247">
                  <c:v>49801</c:v>
                </c:pt>
                <c:pt idx="248">
                  <c:v>49830</c:v>
                </c:pt>
                <c:pt idx="249">
                  <c:v>49860</c:v>
                </c:pt>
                <c:pt idx="250">
                  <c:v>49893</c:v>
                </c:pt>
                <c:pt idx="251">
                  <c:v>49922</c:v>
                </c:pt>
                <c:pt idx="252">
                  <c:v>49954</c:v>
                </c:pt>
                <c:pt idx="253">
                  <c:v>49984</c:v>
                </c:pt>
                <c:pt idx="254">
                  <c:v>50013</c:v>
                </c:pt>
                <c:pt idx="255">
                  <c:v>50046</c:v>
                </c:pt>
                <c:pt idx="256">
                  <c:v>50075</c:v>
                </c:pt>
                <c:pt idx="257">
                  <c:v>50103</c:v>
                </c:pt>
                <c:pt idx="258">
                  <c:v>50138</c:v>
                </c:pt>
                <c:pt idx="259">
                  <c:v>50166</c:v>
                </c:pt>
                <c:pt idx="260">
                  <c:v>50195</c:v>
                </c:pt>
                <c:pt idx="261">
                  <c:v>50227</c:v>
                </c:pt>
                <c:pt idx="262">
                  <c:v>50257</c:v>
                </c:pt>
                <c:pt idx="263">
                  <c:v>50287</c:v>
                </c:pt>
                <c:pt idx="264">
                  <c:v>50319</c:v>
                </c:pt>
                <c:pt idx="265">
                  <c:v>50348</c:v>
                </c:pt>
                <c:pt idx="266">
                  <c:v>50378</c:v>
                </c:pt>
                <c:pt idx="267">
                  <c:v>50411</c:v>
                </c:pt>
                <c:pt idx="268">
                  <c:v>50440</c:v>
                </c:pt>
                <c:pt idx="269">
                  <c:v>50468</c:v>
                </c:pt>
                <c:pt idx="270">
                  <c:v>50501</c:v>
                </c:pt>
                <c:pt idx="271">
                  <c:v>50530</c:v>
                </c:pt>
                <c:pt idx="272">
                  <c:v>50560</c:v>
                </c:pt>
                <c:pt idx="273">
                  <c:v>50592</c:v>
                </c:pt>
                <c:pt idx="274">
                  <c:v>50621</c:v>
                </c:pt>
                <c:pt idx="275">
                  <c:v>50654</c:v>
                </c:pt>
                <c:pt idx="276">
                  <c:v>50684</c:v>
                </c:pt>
                <c:pt idx="277">
                  <c:v>50713</c:v>
                </c:pt>
                <c:pt idx="278">
                  <c:v>50745</c:v>
                </c:pt>
                <c:pt idx="279">
                  <c:v>50775</c:v>
                </c:pt>
                <c:pt idx="280">
                  <c:v>50805</c:v>
                </c:pt>
                <c:pt idx="281">
                  <c:v>50833</c:v>
                </c:pt>
                <c:pt idx="282">
                  <c:v>50866</c:v>
                </c:pt>
                <c:pt idx="283">
                  <c:v>50894</c:v>
                </c:pt>
                <c:pt idx="284">
                  <c:v>50927</c:v>
                </c:pt>
                <c:pt idx="285">
                  <c:v>50957</c:v>
                </c:pt>
                <c:pt idx="286">
                  <c:v>50986</c:v>
                </c:pt>
                <c:pt idx="287">
                  <c:v>51019</c:v>
                </c:pt>
                <c:pt idx="288">
                  <c:v>51048</c:v>
                </c:pt>
                <c:pt idx="289">
                  <c:v>51078</c:v>
                </c:pt>
                <c:pt idx="290">
                  <c:v>51110</c:v>
                </c:pt>
                <c:pt idx="291">
                  <c:v>51139</c:v>
                </c:pt>
                <c:pt idx="292">
                  <c:v>51172</c:v>
                </c:pt>
                <c:pt idx="293">
                  <c:v>51201</c:v>
                </c:pt>
                <c:pt idx="294">
                  <c:v>51231</c:v>
                </c:pt>
                <c:pt idx="295">
                  <c:v>51260</c:v>
                </c:pt>
                <c:pt idx="296">
                  <c:v>51293</c:v>
                </c:pt>
                <c:pt idx="297">
                  <c:v>51321</c:v>
                </c:pt>
                <c:pt idx="298">
                  <c:v>51354</c:v>
                </c:pt>
                <c:pt idx="299">
                  <c:v>51384</c:v>
                </c:pt>
                <c:pt idx="300">
                  <c:v>51413</c:v>
                </c:pt>
                <c:pt idx="301">
                  <c:v>51446</c:v>
                </c:pt>
                <c:pt idx="302">
                  <c:v>51475</c:v>
                </c:pt>
                <c:pt idx="303">
                  <c:v>51505</c:v>
                </c:pt>
                <c:pt idx="304">
                  <c:v>51538</c:v>
                </c:pt>
                <c:pt idx="305">
                  <c:v>51566</c:v>
                </c:pt>
                <c:pt idx="306">
                  <c:v>51595</c:v>
                </c:pt>
                <c:pt idx="307">
                  <c:v>51627</c:v>
                </c:pt>
                <c:pt idx="308">
                  <c:v>51657</c:v>
                </c:pt>
                <c:pt idx="309">
                  <c:v>51686</c:v>
                </c:pt>
                <c:pt idx="310">
                  <c:v>51719</c:v>
                </c:pt>
                <c:pt idx="311">
                  <c:v>51748</c:v>
                </c:pt>
                <c:pt idx="312">
                  <c:v>51778</c:v>
                </c:pt>
                <c:pt idx="313">
                  <c:v>51811</c:v>
                </c:pt>
                <c:pt idx="314">
                  <c:v>51839</c:v>
                </c:pt>
                <c:pt idx="315">
                  <c:v>51872</c:v>
                </c:pt>
                <c:pt idx="316">
                  <c:v>51902</c:v>
                </c:pt>
                <c:pt idx="317">
                  <c:v>51930</c:v>
                </c:pt>
                <c:pt idx="318">
                  <c:v>51964</c:v>
                </c:pt>
                <c:pt idx="319">
                  <c:v>51992</c:v>
                </c:pt>
                <c:pt idx="320">
                  <c:v>52021</c:v>
                </c:pt>
                <c:pt idx="321">
                  <c:v>52051</c:v>
                </c:pt>
                <c:pt idx="322">
                  <c:v>52084</c:v>
                </c:pt>
                <c:pt idx="323">
                  <c:v>52113</c:v>
                </c:pt>
                <c:pt idx="324">
                  <c:v>52145</c:v>
                </c:pt>
                <c:pt idx="325">
                  <c:v>52175</c:v>
                </c:pt>
                <c:pt idx="326">
                  <c:v>52204</c:v>
                </c:pt>
                <c:pt idx="327">
                  <c:v>52237</c:v>
                </c:pt>
                <c:pt idx="328">
                  <c:v>52266</c:v>
                </c:pt>
                <c:pt idx="329">
                  <c:v>52294</c:v>
                </c:pt>
                <c:pt idx="330">
                  <c:v>52327</c:v>
                </c:pt>
                <c:pt idx="331">
                  <c:v>52357</c:v>
                </c:pt>
                <c:pt idx="332">
                  <c:v>52386</c:v>
                </c:pt>
                <c:pt idx="333">
                  <c:v>52418</c:v>
                </c:pt>
                <c:pt idx="334">
                  <c:v>52448</c:v>
                </c:pt>
                <c:pt idx="335">
                  <c:v>52478</c:v>
                </c:pt>
                <c:pt idx="336">
                  <c:v>52510</c:v>
                </c:pt>
                <c:pt idx="337">
                  <c:v>52539</c:v>
                </c:pt>
                <c:pt idx="338">
                  <c:v>52569</c:v>
                </c:pt>
                <c:pt idx="339">
                  <c:v>52602</c:v>
                </c:pt>
                <c:pt idx="340">
                  <c:v>52631</c:v>
                </c:pt>
                <c:pt idx="341">
                  <c:v>52660</c:v>
                </c:pt>
                <c:pt idx="342">
                  <c:v>52693</c:v>
                </c:pt>
                <c:pt idx="343">
                  <c:v>52721</c:v>
                </c:pt>
                <c:pt idx="344">
                  <c:v>52754</c:v>
                </c:pt>
                <c:pt idx="345">
                  <c:v>52784</c:v>
                </c:pt>
                <c:pt idx="346">
                  <c:v>52813</c:v>
                </c:pt>
                <c:pt idx="347">
                  <c:v>52846</c:v>
                </c:pt>
                <c:pt idx="348">
                  <c:v>52875</c:v>
                </c:pt>
                <c:pt idx="349">
                  <c:v>52905</c:v>
                </c:pt>
                <c:pt idx="350">
                  <c:v>52937</c:v>
                </c:pt>
                <c:pt idx="351">
                  <c:v>52966</c:v>
                </c:pt>
                <c:pt idx="352">
                  <c:v>52999</c:v>
                </c:pt>
                <c:pt idx="353">
                  <c:v>53027</c:v>
                </c:pt>
                <c:pt idx="354">
                  <c:v>53057</c:v>
                </c:pt>
                <c:pt idx="355">
                  <c:v>53086</c:v>
                </c:pt>
                <c:pt idx="356">
                  <c:v>53119</c:v>
                </c:pt>
                <c:pt idx="357">
                  <c:v>53148</c:v>
                </c:pt>
                <c:pt idx="358">
                  <c:v>53178</c:v>
                </c:pt>
                <c:pt idx="359">
                  <c:v>53211</c:v>
                </c:pt>
                <c:pt idx="360">
                  <c:v>53239</c:v>
                </c:pt>
                <c:pt idx="361">
                  <c:v>53272</c:v>
                </c:pt>
                <c:pt idx="362">
                  <c:v>53302</c:v>
                </c:pt>
                <c:pt idx="363">
                  <c:v>53331</c:v>
                </c:pt>
                <c:pt idx="364">
                  <c:v>53364</c:v>
                </c:pt>
                <c:pt idx="365">
                  <c:v>53392</c:v>
                </c:pt>
                <c:pt idx="366">
                  <c:v>53421</c:v>
                </c:pt>
                <c:pt idx="367">
                  <c:v>53451</c:v>
                </c:pt>
                <c:pt idx="368">
                  <c:v>53484</c:v>
                </c:pt>
                <c:pt idx="369">
                  <c:v>53512</c:v>
                </c:pt>
                <c:pt idx="370">
                  <c:v>53545</c:v>
                </c:pt>
                <c:pt idx="371">
                  <c:v>53575</c:v>
                </c:pt>
                <c:pt idx="372">
                  <c:v>53604</c:v>
                </c:pt>
                <c:pt idx="373">
                  <c:v>53637</c:v>
                </c:pt>
                <c:pt idx="374">
                  <c:v>53666</c:v>
                </c:pt>
                <c:pt idx="375">
                  <c:v>53696</c:v>
                </c:pt>
                <c:pt idx="376">
                  <c:v>53729</c:v>
                </c:pt>
                <c:pt idx="377">
                  <c:v>53757</c:v>
                </c:pt>
                <c:pt idx="378">
                  <c:v>53786</c:v>
                </c:pt>
                <c:pt idx="379">
                  <c:v>53818</c:v>
                </c:pt>
                <c:pt idx="380">
                  <c:v>53848</c:v>
                </c:pt>
                <c:pt idx="381">
                  <c:v>53877</c:v>
                </c:pt>
                <c:pt idx="382">
                  <c:v>53910</c:v>
                </c:pt>
                <c:pt idx="383">
                  <c:v>53939</c:v>
                </c:pt>
                <c:pt idx="384">
                  <c:v>53969</c:v>
                </c:pt>
                <c:pt idx="385">
                  <c:v>54002</c:v>
                </c:pt>
                <c:pt idx="386">
                  <c:v>54030</c:v>
                </c:pt>
                <c:pt idx="387">
                  <c:v>54063</c:v>
                </c:pt>
                <c:pt idx="388">
                  <c:v>54093</c:v>
                </c:pt>
                <c:pt idx="389">
                  <c:v>54121</c:v>
                </c:pt>
                <c:pt idx="390">
                  <c:v>54156</c:v>
                </c:pt>
                <c:pt idx="391">
                  <c:v>54184</c:v>
                </c:pt>
                <c:pt idx="392">
                  <c:v>54213</c:v>
                </c:pt>
                <c:pt idx="393">
                  <c:v>54245</c:v>
                </c:pt>
                <c:pt idx="394">
                  <c:v>54275</c:v>
                </c:pt>
                <c:pt idx="395">
                  <c:v>54305</c:v>
                </c:pt>
                <c:pt idx="396">
                  <c:v>54337</c:v>
                </c:pt>
                <c:pt idx="397">
                  <c:v>54366</c:v>
                </c:pt>
                <c:pt idx="398">
                  <c:v>54396</c:v>
                </c:pt>
                <c:pt idx="399">
                  <c:v>54429</c:v>
                </c:pt>
                <c:pt idx="400">
                  <c:v>54458</c:v>
                </c:pt>
                <c:pt idx="401">
                  <c:v>54486</c:v>
                </c:pt>
                <c:pt idx="402">
                  <c:v>54519</c:v>
                </c:pt>
                <c:pt idx="403">
                  <c:v>54548</c:v>
                </c:pt>
                <c:pt idx="404">
                  <c:v>54578</c:v>
                </c:pt>
                <c:pt idx="405">
                  <c:v>54610</c:v>
                </c:pt>
                <c:pt idx="406">
                  <c:v>54639</c:v>
                </c:pt>
                <c:pt idx="407">
                  <c:v>54672</c:v>
                </c:pt>
                <c:pt idx="408">
                  <c:v>54702</c:v>
                </c:pt>
                <c:pt idx="409">
                  <c:v>54731</c:v>
                </c:pt>
                <c:pt idx="410">
                  <c:v>54763</c:v>
                </c:pt>
                <c:pt idx="411">
                  <c:v>54793</c:v>
                </c:pt>
                <c:pt idx="412">
                  <c:v>54823</c:v>
                </c:pt>
                <c:pt idx="413">
                  <c:v>54851</c:v>
                </c:pt>
                <c:pt idx="414">
                  <c:v>54884</c:v>
                </c:pt>
                <c:pt idx="415">
                  <c:v>54912</c:v>
                </c:pt>
                <c:pt idx="416">
                  <c:v>54945</c:v>
                </c:pt>
                <c:pt idx="417">
                  <c:v>54975</c:v>
                </c:pt>
                <c:pt idx="418">
                  <c:v>55004</c:v>
                </c:pt>
                <c:pt idx="419">
                  <c:v>55037</c:v>
                </c:pt>
                <c:pt idx="420">
                  <c:v>55066</c:v>
                </c:pt>
                <c:pt idx="421">
                  <c:v>55096</c:v>
                </c:pt>
                <c:pt idx="422">
                  <c:v>55128</c:v>
                </c:pt>
                <c:pt idx="423">
                  <c:v>55157</c:v>
                </c:pt>
                <c:pt idx="424">
                  <c:v>55190</c:v>
                </c:pt>
                <c:pt idx="425">
                  <c:v>55218</c:v>
                </c:pt>
                <c:pt idx="426">
                  <c:v>55249</c:v>
                </c:pt>
                <c:pt idx="427">
                  <c:v>55277</c:v>
                </c:pt>
                <c:pt idx="428">
                  <c:v>55310</c:v>
                </c:pt>
                <c:pt idx="429">
                  <c:v>55339</c:v>
                </c:pt>
                <c:pt idx="430">
                  <c:v>55369</c:v>
                </c:pt>
                <c:pt idx="431">
                  <c:v>55402</c:v>
                </c:pt>
                <c:pt idx="432">
                  <c:v>55430</c:v>
                </c:pt>
                <c:pt idx="433">
                  <c:v>55463</c:v>
                </c:pt>
                <c:pt idx="434">
                  <c:v>55493</c:v>
                </c:pt>
                <c:pt idx="435">
                  <c:v>55522</c:v>
                </c:pt>
                <c:pt idx="436">
                  <c:v>55555</c:v>
                </c:pt>
                <c:pt idx="437">
                  <c:v>55584</c:v>
                </c:pt>
                <c:pt idx="438">
                  <c:v>55613</c:v>
                </c:pt>
                <c:pt idx="439">
                  <c:v>55645</c:v>
                </c:pt>
                <c:pt idx="440">
                  <c:v>55675</c:v>
                </c:pt>
                <c:pt idx="441">
                  <c:v>55704</c:v>
                </c:pt>
                <c:pt idx="442">
                  <c:v>55737</c:v>
                </c:pt>
                <c:pt idx="443">
                  <c:v>55766</c:v>
                </c:pt>
                <c:pt idx="444">
                  <c:v>55796</c:v>
                </c:pt>
                <c:pt idx="445">
                  <c:v>55829</c:v>
                </c:pt>
                <c:pt idx="446">
                  <c:v>55857</c:v>
                </c:pt>
                <c:pt idx="447">
                  <c:v>55890</c:v>
                </c:pt>
                <c:pt idx="448">
                  <c:v>55920</c:v>
                </c:pt>
                <c:pt idx="449">
                  <c:v>55948</c:v>
                </c:pt>
                <c:pt idx="450">
                  <c:v>55982</c:v>
                </c:pt>
                <c:pt idx="451">
                  <c:v>56010</c:v>
                </c:pt>
                <c:pt idx="452">
                  <c:v>56039</c:v>
                </c:pt>
                <c:pt idx="453">
                  <c:v>56069</c:v>
                </c:pt>
                <c:pt idx="454">
                  <c:v>56102</c:v>
                </c:pt>
                <c:pt idx="455">
                  <c:v>56131</c:v>
                </c:pt>
                <c:pt idx="456">
                  <c:v>56163</c:v>
                </c:pt>
                <c:pt idx="457">
                  <c:v>56193</c:v>
                </c:pt>
                <c:pt idx="458">
                  <c:v>56222</c:v>
                </c:pt>
                <c:pt idx="459">
                  <c:v>56255</c:v>
                </c:pt>
                <c:pt idx="460">
                  <c:v>56284</c:v>
                </c:pt>
                <c:pt idx="461">
                  <c:v>56312</c:v>
                </c:pt>
                <c:pt idx="462">
                  <c:v>56345</c:v>
                </c:pt>
                <c:pt idx="463">
                  <c:v>56375</c:v>
                </c:pt>
                <c:pt idx="464">
                  <c:v>56404</c:v>
                </c:pt>
                <c:pt idx="465">
                  <c:v>56436</c:v>
                </c:pt>
                <c:pt idx="466">
                  <c:v>56466</c:v>
                </c:pt>
                <c:pt idx="467">
                  <c:v>56496</c:v>
                </c:pt>
                <c:pt idx="468">
                  <c:v>56528</c:v>
                </c:pt>
                <c:pt idx="469">
                  <c:v>56557</c:v>
                </c:pt>
                <c:pt idx="470">
                  <c:v>56587</c:v>
                </c:pt>
                <c:pt idx="471">
                  <c:v>56620</c:v>
                </c:pt>
                <c:pt idx="472">
                  <c:v>56649</c:v>
                </c:pt>
                <c:pt idx="473">
                  <c:v>56677</c:v>
                </c:pt>
                <c:pt idx="474">
                  <c:v>56710</c:v>
                </c:pt>
                <c:pt idx="475">
                  <c:v>56739</c:v>
                </c:pt>
                <c:pt idx="476">
                  <c:v>56769</c:v>
                </c:pt>
                <c:pt idx="477">
                  <c:v>56801</c:v>
                </c:pt>
                <c:pt idx="478">
                  <c:v>56830</c:v>
                </c:pt>
                <c:pt idx="479">
                  <c:v>56863</c:v>
                </c:pt>
                <c:pt idx="480">
                  <c:v>56893</c:v>
                </c:pt>
                <c:pt idx="481">
                  <c:v>56922</c:v>
                </c:pt>
                <c:pt idx="482">
                  <c:v>56954</c:v>
                </c:pt>
                <c:pt idx="483">
                  <c:v>56984</c:v>
                </c:pt>
                <c:pt idx="484">
                  <c:v>57014</c:v>
                </c:pt>
                <c:pt idx="485">
                  <c:v>57045</c:v>
                </c:pt>
                <c:pt idx="486">
                  <c:v>57076</c:v>
                </c:pt>
                <c:pt idx="487">
                  <c:v>57104</c:v>
                </c:pt>
                <c:pt idx="488">
                  <c:v>57137</c:v>
                </c:pt>
                <c:pt idx="489">
                  <c:v>57166</c:v>
                </c:pt>
                <c:pt idx="490">
                  <c:v>57196</c:v>
                </c:pt>
                <c:pt idx="491">
                  <c:v>57229</c:v>
                </c:pt>
                <c:pt idx="492">
                  <c:v>57257</c:v>
                </c:pt>
                <c:pt idx="493">
                  <c:v>57290</c:v>
                </c:pt>
                <c:pt idx="494">
                  <c:v>57320</c:v>
                </c:pt>
                <c:pt idx="495">
                  <c:v>57349</c:v>
                </c:pt>
                <c:pt idx="496">
                  <c:v>57382</c:v>
                </c:pt>
                <c:pt idx="497">
                  <c:v>57410</c:v>
                </c:pt>
                <c:pt idx="498">
                  <c:v>57439</c:v>
                </c:pt>
                <c:pt idx="499">
                  <c:v>57469</c:v>
                </c:pt>
                <c:pt idx="500">
                  <c:v>57502</c:v>
                </c:pt>
                <c:pt idx="501">
                  <c:v>57530</c:v>
                </c:pt>
                <c:pt idx="502">
                  <c:v>57563</c:v>
                </c:pt>
                <c:pt idx="503">
                  <c:v>57593</c:v>
                </c:pt>
                <c:pt idx="504">
                  <c:v>57622</c:v>
                </c:pt>
                <c:pt idx="505">
                  <c:v>57655</c:v>
                </c:pt>
                <c:pt idx="506">
                  <c:v>57684</c:v>
                </c:pt>
                <c:pt idx="507">
                  <c:v>57714</c:v>
                </c:pt>
                <c:pt idx="508">
                  <c:v>57747</c:v>
                </c:pt>
                <c:pt idx="509">
                  <c:v>57775</c:v>
                </c:pt>
                <c:pt idx="510">
                  <c:v>57804</c:v>
                </c:pt>
                <c:pt idx="511">
                  <c:v>57836</c:v>
                </c:pt>
                <c:pt idx="512">
                  <c:v>57866</c:v>
                </c:pt>
                <c:pt idx="513">
                  <c:v>57895</c:v>
                </c:pt>
                <c:pt idx="514">
                  <c:v>57928</c:v>
                </c:pt>
                <c:pt idx="515">
                  <c:v>57957</c:v>
                </c:pt>
                <c:pt idx="516">
                  <c:v>57987</c:v>
                </c:pt>
                <c:pt idx="517">
                  <c:v>58020</c:v>
                </c:pt>
                <c:pt idx="518">
                  <c:v>58048</c:v>
                </c:pt>
                <c:pt idx="519">
                  <c:v>58081</c:v>
                </c:pt>
                <c:pt idx="520">
                  <c:v>58111</c:v>
                </c:pt>
                <c:pt idx="521">
                  <c:v>58139</c:v>
                </c:pt>
                <c:pt idx="522">
                  <c:v>58169</c:v>
                </c:pt>
                <c:pt idx="523">
                  <c:v>58201</c:v>
                </c:pt>
                <c:pt idx="524">
                  <c:v>58230</c:v>
                </c:pt>
                <c:pt idx="525">
                  <c:v>58260</c:v>
                </c:pt>
                <c:pt idx="526">
                  <c:v>58293</c:v>
                </c:pt>
                <c:pt idx="527">
                  <c:v>58322</c:v>
                </c:pt>
                <c:pt idx="528">
                  <c:v>58354</c:v>
                </c:pt>
                <c:pt idx="529">
                  <c:v>58384</c:v>
                </c:pt>
                <c:pt idx="530">
                  <c:v>58413</c:v>
                </c:pt>
                <c:pt idx="531">
                  <c:v>58446</c:v>
                </c:pt>
                <c:pt idx="532">
                  <c:v>58475</c:v>
                </c:pt>
                <c:pt idx="533">
                  <c:v>58504</c:v>
                </c:pt>
                <c:pt idx="534">
                  <c:v>58537</c:v>
                </c:pt>
                <c:pt idx="535">
                  <c:v>58566</c:v>
                </c:pt>
                <c:pt idx="536">
                  <c:v>58596</c:v>
                </c:pt>
                <c:pt idx="537">
                  <c:v>58628</c:v>
                </c:pt>
                <c:pt idx="538">
                  <c:v>58657</c:v>
                </c:pt>
                <c:pt idx="539">
                  <c:v>58690</c:v>
                </c:pt>
                <c:pt idx="540">
                  <c:v>58720</c:v>
                </c:pt>
                <c:pt idx="541">
                  <c:v>58749</c:v>
                </c:pt>
                <c:pt idx="542">
                  <c:v>58781</c:v>
                </c:pt>
                <c:pt idx="543">
                  <c:v>58811</c:v>
                </c:pt>
                <c:pt idx="544">
                  <c:v>58841</c:v>
                </c:pt>
                <c:pt idx="545">
                  <c:v>58869</c:v>
                </c:pt>
                <c:pt idx="546">
                  <c:v>58902</c:v>
                </c:pt>
                <c:pt idx="547">
                  <c:v>58930</c:v>
                </c:pt>
                <c:pt idx="548">
                  <c:v>58963</c:v>
                </c:pt>
                <c:pt idx="549">
                  <c:v>58993</c:v>
                </c:pt>
                <c:pt idx="550">
                  <c:v>59022</c:v>
                </c:pt>
                <c:pt idx="551">
                  <c:v>59055</c:v>
                </c:pt>
                <c:pt idx="552">
                  <c:v>59084</c:v>
                </c:pt>
                <c:pt idx="553">
                  <c:v>59114</c:v>
                </c:pt>
                <c:pt idx="554">
                  <c:v>59146</c:v>
                </c:pt>
                <c:pt idx="555">
                  <c:v>59175</c:v>
                </c:pt>
                <c:pt idx="556">
                  <c:v>59208</c:v>
                </c:pt>
                <c:pt idx="557">
                  <c:v>59236</c:v>
                </c:pt>
                <c:pt idx="558">
                  <c:v>59266</c:v>
                </c:pt>
                <c:pt idx="559">
                  <c:v>59295</c:v>
                </c:pt>
                <c:pt idx="560">
                  <c:v>59328</c:v>
                </c:pt>
                <c:pt idx="561">
                  <c:v>59357</c:v>
                </c:pt>
                <c:pt idx="562">
                  <c:v>59387</c:v>
                </c:pt>
                <c:pt idx="563">
                  <c:v>59420</c:v>
                </c:pt>
                <c:pt idx="564">
                  <c:v>59448</c:v>
                </c:pt>
                <c:pt idx="565">
                  <c:v>59481</c:v>
                </c:pt>
                <c:pt idx="566">
                  <c:v>59511</c:v>
                </c:pt>
                <c:pt idx="567">
                  <c:v>59540</c:v>
                </c:pt>
                <c:pt idx="568">
                  <c:v>59573</c:v>
                </c:pt>
                <c:pt idx="569">
                  <c:v>59601</c:v>
                </c:pt>
                <c:pt idx="570">
                  <c:v>59630</c:v>
                </c:pt>
                <c:pt idx="571">
                  <c:v>59660</c:v>
                </c:pt>
                <c:pt idx="572">
                  <c:v>59693</c:v>
                </c:pt>
                <c:pt idx="573">
                  <c:v>59721</c:v>
                </c:pt>
                <c:pt idx="574">
                  <c:v>59754</c:v>
                </c:pt>
                <c:pt idx="575">
                  <c:v>59784</c:v>
                </c:pt>
                <c:pt idx="576">
                  <c:v>59813</c:v>
                </c:pt>
                <c:pt idx="577">
                  <c:v>59846</c:v>
                </c:pt>
                <c:pt idx="578">
                  <c:v>59875</c:v>
                </c:pt>
                <c:pt idx="579">
                  <c:v>59905</c:v>
                </c:pt>
                <c:pt idx="580">
                  <c:v>59938</c:v>
                </c:pt>
                <c:pt idx="581">
                  <c:v>59966</c:v>
                </c:pt>
                <c:pt idx="582">
                  <c:v>60000</c:v>
                </c:pt>
                <c:pt idx="583">
                  <c:v>60028</c:v>
                </c:pt>
                <c:pt idx="584">
                  <c:v>60057</c:v>
                </c:pt>
                <c:pt idx="585">
                  <c:v>60087</c:v>
                </c:pt>
                <c:pt idx="586">
                  <c:v>60120</c:v>
                </c:pt>
                <c:pt idx="587">
                  <c:v>60149</c:v>
                </c:pt>
                <c:pt idx="588">
                  <c:v>60181</c:v>
                </c:pt>
                <c:pt idx="589">
                  <c:v>60211</c:v>
                </c:pt>
                <c:pt idx="590">
                  <c:v>60240</c:v>
                </c:pt>
                <c:pt idx="591">
                  <c:v>60273</c:v>
                </c:pt>
                <c:pt idx="592">
                  <c:v>60302</c:v>
                </c:pt>
                <c:pt idx="593">
                  <c:v>60330</c:v>
                </c:pt>
                <c:pt idx="594">
                  <c:v>60363</c:v>
                </c:pt>
                <c:pt idx="595">
                  <c:v>60393</c:v>
                </c:pt>
                <c:pt idx="596">
                  <c:v>60422</c:v>
                </c:pt>
                <c:pt idx="597">
                  <c:v>60454</c:v>
                </c:pt>
                <c:pt idx="598">
                  <c:v>60484</c:v>
                </c:pt>
                <c:pt idx="599">
                  <c:v>60514</c:v>
                </c:pt>
                <c:pt idx="600">
                  <c:v>60546</c:v>
                </c:pt>
                <c:pt idx="601">
                  <c:v>60575</c:v>
                </c:pt>
                <c:pt idx="602">
                  <c:v>60605</c:v>
                </c:pt>
                <c:pt idx="603">
                  <c:v>60638</c:v>
                </c:pt>
                <c:pt idx="604">
                  <c:v>60667</c:v>
                </c:pt>
                <c:pt idx="605">
                  <c:v>60695</c:v>
                </c:pt>
                <c:pt idx="606">
                  <c:v>60728</c:v>
                </c:pt>
                <c:pt idx="607">
                  <c:v>60757</c:v>
                </c:pt>
                <c:pt idx="608">
                  <c:v>60787</c:v>
                </c:pt>
                <c:pt idx="609">
                  <c:v>60819</c:v>
                </c:pt>
                <c:pt idx="610">
                  <c:v>60848</c:v>
                </c:pt>
                <c:pt idx="611">
                  <c:v>60881</c:v>
                </c:pt>
                <c:pt idx="612">
                  <c:v>60911</c:v>
                </c:pt>
                <c:pt idx="613">
                  <c:v>60940</c:v>
                </c:pt>
                <c:pt idx="614">
                  <c:v>60972</c:v>
                </c:pt>
                <c:pt idx="615">
                  <c:v>61002</c:v>
                </c:pt>
                <c:pt idx="616">
                  <c:v>61032</c:v>
                </c:pt>
                <c:pt idx="617">
                  <c:v>61060</c:v>
                </c:pt>
                <c:pt idx="618">
                  <c:v>61094</c:v>
                </c:pt>
                <c:pt idx="619">
                  <c:v>61121</c:v>
                </c:pt>
                <c:pt idx="620">
                  <c:v>61154</c:v>
                </c:pt>
                <c:pt idx="621">
                  <c:v>61184</c:v>
                </c:pt>
                <c:pt idx="622">
                  <c:v>61213</c:v>
                </c:pt>
                <c:pt idx="623">
                  <c:v>61246</c:v>
                </c:pt>
                <c:pt idx="624">
                  <c:v>61275</c:v>
                </c:pt>
                <c:pt idx="625">
                  <c:v>61305</c:v>
                </c:pt>
                <c:pt idx="626">
                  <c:v>61337</c:v>
                </c:pt>
                <c:pt idx="627">
                  <c:v>61366</c:v>
                </c:pt>
                <c:pt idx="628">
                  <c:v>61399</c:v>
                </c:pt>
                <c:pt idx="629">
                  <c:v>61428</c:v>
                </c:pt>
                <c:pt idx="630">
                  <c:v>61457</c:v>
                </c:pt>
                <c:pt idx="631">
                  <c:v>61487</c:v>
                </c:pt>
                <c:pt idx="632">
                  <c:v>61520</c:v>
                </c:pt>
                <c:pt idx="633">
                  <c:v>61548</c:v>
                </c:pt>
                <c:pt idx="634">
                  <c:v>61581</c:v>
                </c:pt>
                <c:pt idx="635">
                  <c:v>61611</c:v>
                </c:pt>
                <c:pt idx="636">
                  <c:v>61640</c:v>
                </c:pt>
                <c:pt idx="637">
                  <c:v>61673</c:v>
                </c:pt>
                <c:pt idx="638">
                  <c:v>61702</c:v>
                </c:pt>
                <c:pt idx="639">
                  <c:v>61732</c:v>
                </c:pt>
                <c:pt idx="640">
                  <c:v>61765</c:v>
                </c:pt>
                <c:pt idx="641">
                  <c:v>61793</c:v>
                </c:pt>
                <c:pt idx="642">
                  <c:v>61822</c:v>
                </c:pt>
                <c:pt idx="643">
                  <c:v>61854</c:v>
                </c:pt>
                <c:pt idx="644">
                  <c:v>61884</c:v>
                </c:pt>
                <c:pt idx="645">
                  <c:v>61913</c:v>
                </c:pt>
                <c:pt idx="646">
                  <c:v>61946</c:v>
                </c:pt>
                <c:pt idx="647">
                  <c:v>61975</c:v>
                </c:pt>
                <c:pt idx="648">
                  <c:v>62005</c:v>
                </c:pt>
                <c:pt idx="649">
                  <c:v>62038</c:v>
                </c:pt>
                <c:pt idx="650">
                  <c:v>62066</c:v>
                </c:pt>
                <c:pt idx="651">
                  <c:v>62099</c:v>
                </c:pt>
                <c:pt idx="652">
                  <c:v>62129</c:v>
                </c:pt>
                <c:pt idx="653">
                  <c:v>62157</c:v>
                </c:pt>
                <c:pt idx="654">
                  <c:v>62187</c:v>
                </c:pt>
                <c:pt idx="655">
                  <c:v>62219</c:v>
                </c:pt>
                <c:pt idx="656">
                  <c:v>62248</c:v>
                </c:pt>
                <c:pt idx="657">
                  <c:v>62278</c:v>
                </c:pt>
                <c:pt idx="658">
                  <c:v>62311</c:v>
                </c:pt>
                <c:pt idx="659">
                  <c:v>62340</c:v>
                </c:pt>
                <c:pt idx="660">
                  <c:v>62372</c:v>
                </c:pt>
                <c:pt idx="661">
                  <c:v>62402</c:v>
                </c:pt>
                <c:pt idx="662">
                  <c:v>62431</c:v>
                </c:pt>
                <c:pt idx="663">
                  <c:v>62464</c:v>
                </c:pt>
                <c:pt idx="664">
                  <c:v>62493</c:v>
                </c:pt>
                <c:pt idx="665">
                  <c:v>62521</c:v>
                </c:pt>
                <c:pt idx="666">
                  <c:v>62554</c:v>
                </c:pt>
                <c:pt idx="667">
                  <c:v>62584</c:v>
                </c:pt>
                <c:pt idx="668">
                  <c:v>62613</c:v>
                </c:pt>
                <c:pt idx="669">
                  <c:v>62645</c:v>
                </c:pt>
                <c:pt idx="670">
                  <c:v>62675</c:v>
                </c:pt>
                <c:pt idx="671">
                  <c:v>62705</c:v>
                </c:pt>
                <c:pt idx="672">
                  <c:v>62737</c:v>
                </c:pt>
                <c:pt idx="673">
                  <c:v>62766</c:v>
                </c:pt>
                <c:pt idx="674">
                  <c:v>62796</c:v>
                </c:pt>
                <c:pt idx="675">
                  <c:v>62829</c:v>
                </c:pt>
                <c:pt idx="676">
                  <c:v>62858</c:v>
                </c:pt>
                <c:pt idx="677">
                  <c:v>62887</c:v>
                </c:pt>
                <c:pt idx="678">
                  <c:v>62920</c:v>
                </c:pt>
                <c:pt idx="679">
                  <c:v>62948</c:v>
                </c:pt>
                <c:pt idx="680">
                  <c:v>62981</c:v>
                </c:pt>
                <c:pt idx="681">
                  <c:v>63011</c:v>
                </c:pt>
                <c:pt idx="682">
                  <c:v>63040</c:v>
                </c:pt>
                <c:pt idx="683">
                  <c:v>63073</c:v>
                </c:pt>
                <c:pt idx="684">
                  <c:v>63102</c:v>
                </c:pt>
                <c:pt idx="685">
                  <c:v>63132</c:v>
                </c:pt>
                <c:pt idx="686">
                  <c:v>63164</c:v>
                </c:pt>
                <c:pt idx="687">
                  <c:v>63193</c:v>
                </c:pt>
                <c:pt idx="688">
                  <c:v>63226</c:v>
                </c:pt>
                <c:pt idx="689">
                  <c:v>63254</c:v>
                </c:pt>
                <c:pt idx="690">
                  <c:v>63284</c:v>
                </c:pt>
                <c:pt idx="691">
                  <c:v>63313</c:v>
                </c:pt>
                <c:pt idx="692">
                  <c:v>63346</c:v>
                </c:pt>
                <c:pt idx="693">
                  <c:v>63375</c:v>
                </c:pt>
                <c:pt idx="694">
                  <c:v>63405</c:v>
                </c:pt>
                <c:pt idx="695">
                  <c:v>63438</c:v>
                </c:pt>
                <c:pt idx="696">
                  <c:v>63466</c:v>
                </c:pt>
                <c:pt idx="697">
                  <c:v>63499</c:v>
                </c:pt>
                <c:pt idx="698">
                  <c:v>63529</c:v>
                </c:pt>
                <c:pt idx="699">
                  <c:v>63558</c:v>
                </c:pt>
                <c:pt idx="700">
                  <c:v>63591</c:v>
                </c:pt>
                <c:pt idx="701">
                  <c:v>63619</c:v>
                </c:pt>
                <c:pt idx="702">
                  <c:v>63648</c:v>
                </c:pt>
                <c:pt idx="703">
                  <c:v>63678</c:v>
                </c:pt>
                <c:pt idx="704">
                  <c:v>63711</c:v>
                </c:pt>
                <c:pt idx="705">
                  <c:v>63739</c:v>
                </c:pt>
                <c:pt idx="706">
                  <c:v>63772</c:v>
                </c:pt>
                <c:pt idx="707">
                  <c:v>63802</c:v>
                </c:pt>
                <c:pt idx="708">
                  <c:v>63831</c:v>
                </c:pt>
                <c:pt idx="709">
                  <c:v>63864</c:v>
                </c:pt>
                <c:pt idx="710">
                  <c:v>63893</c:v>
                </c:pt>
                <c:pt idx="711">
                  <c:v>63923</c:v>
                </c:pt>
                <c:pt idx="712">
                  <c:v>63956</c:v>
                </c:pt>
                <c:pt idx="713">
                  <c:v>63984</c:v>
                </c:pt>
                <c:pt idx="714">
                  <c:v>64013</c:v>
                </c:pt>
                <c:pt idx="715">
                  <c:v>64045</c:v>
                </c:pt>
                <c:pt idx="716">
                  <c:v>64075</c:v>
                </c:pt>
                <c:pt idx="717">
                  <c:v>64104</c:v>
                </c:pt>
                <c:pt idx="718">
                  <c:v>64137</c:v>
                </c:pt>
              </c:numCache>
            </c:numRef>
          </c:cat>
          <c:val>
            <c:numRef>
              <c:f>'1M Basis'!$W$3:$W$721</c:f>
              <c:numCache>
                <c:formatCode>0.0000%</c:formatCode>
                <c:ptCount val="719"/>
                <c:pt idx="0">
                  <c:v>2.6600000004586215E-4</c:v>
                </c:pt>
                <c:pt idx="1">
                  <c:v>2.5512791602944063E-4</c:v>
                </c:pt>
                <c:pt idx="2">
                  <c:v>2.3155098293210991E-4</c:v>
                </c:pt>
                <c:pt idx="3">
                  <c:v>3.3722583320824656E-4</c:v>
                </c:pt>
                <c:pt idx="4">
                  <c:v>3.6335973893604056E-4</c:v>
                </c:pt>
                <c:pt idx="5">
                  <c:v>4.3622997234482597E-4</c:v>
                </c:pt>
                <c:pt idx="6">
                  <c:v>4.5831222116232695E-4</c:v>
                </c:pt>
                <c:pt idx="7">
                  <c:v>3.4497810854264548E-4</c:v>
                </c:pt>
                <c:pt idx="8">
                  <c:v>3.665977922202579E-4</c:v>
                </c:pt>
                <c:pt idx="9">
                  <c:v>4.1385366642271936E-4</c:v>
                </c:pt>
                <c:pt idx="10">
                  <c:v>4.124912280145665E-4</c:v>
                </c:pt>
                <c:pt idx="11">
                  <c:v>5.2617559284584559E-4</c:v>
                </c:pt>
                <c:pt idx="12">
                  <c:v>5.434732289932851E-4</c:v>
                </c:pt>
                <c:pt idx="13">
                  <c:v>5.3402568467566841E-4</c:v>
                </c:pt>
                <c:pt idx="14">
                  <c:v>4.8992697687927529E-4</c:v>
                </c:pt>
                <c:pt idx="15">
                  <c:v>5.3223973897872662E-4</c:v>
                </c:pt>
                <c:pt idx="16">
                  <c:v>4.9438455835302902E-4</c:v>
                </c:pt>
                <c:pt idx="17">
                  <c:v>4.8417057948568418E-4</c:v>
                </c:pt>
                <c:pt idx="18">
                  <c:v>4.9355351248481227E-4</c:v>
                </c:pt>
                <c:pt idx="19">
                  <c:v>5.042340855329619E-4</c:v>
                </c:pt>
                <c:pt idx="20">
                  <c:v>5.1315752318359387E-4</c:v>
                </c:pt>
                <c:pt idx="21">
                  <c:v>5.1888542748573297E-4</c:v>
                </c:pt>
                <c:pt idx="22">
                  <c:v>5.1985119360446156E-4</c:v>
                </c:pt>
                <c:pt idx="23">
                  <c:v>5.1576790728580235E-4</c:v>
                </c:pt>
                <c:pt idx="24">
                  <c:v>5.0937125394339745E-4</c:v>
                </c:pt>
                <c:pt idx="25">
                  <c:v>5.0412483137440844E-4</c:v>
                </c:pt>
                <c:pt idx="26">
                  <c:v>5.0096936445622538E-4</c:v>
                </c:pt>
                <c:pt idx="27">
                  <c:v>4.9956583376281616E-4</c:v>
                </c:pt>
                <c:pt idx="28">
                  <c:v>4.9928269245848506E-4</c:v>
                </c:pt>
                <c:pt idx="29">
                  <c:v>4.9992092677531019E-4</c:v>
                </c:pt>
                <c:pt idx="30">
                  <c:v>5.0115781026344175E-4</c:v>
                </c:pt>
                <c:pt idx="31">
                  <c:v>5.0255101646586259E-4</c:v>
                </c:pt>
                <c:pt idx="32">
                  <c:v>5.0406238640654522E-4</c:v>
                </c:pt>
                <c:pt idx="33">
                  <c:v>5.0502943113544575E-4</c:v>
                </c:pt>
                <c:pt idx="34">
                  <c:v>5.0528188354156153E-4</c:v>
                </c:pt>
                <c:pt idx="35">
                  <c:v>5.0444872454402656E-4</c:v>
                </c:pt>
                <c:pt idx="36">
                  <c:v>5.0357801415323866E-4</c:v>
                </c:pt>
                <c:pt idx="37">
                  <c:v>5.0644436211921828E-4</c:v>
                </c:pt>
                <c:pt idx="38">
                  <c:v>5.1315537568783691E-4</c:v>
                </c:pt>
                <c:pt idx="39">
                  <c:v>5.2253463866545869E-4</c:v>
                </c:pt>
                <c:pt idx="40">
                  <c:v>5.35563543250715E-4</c:v>
                </c:pt>
                <c:pt idx="41">
                  <c:v>5.5054365422645482E-4</c:v>
                </c:pt>
                <c:pt idx="42">
                  <c:v>5.6605607243520595E-4</c:v>
                </c:pt>
                <c:pt idx="43">
                  <c:v>5.8443961208125067E-4</c:v>
                </c:pt>
                <c:pt idx="44">
                  <c:v>6.0233691660283029E-4</c:v>
                </c:pt>
                <c:pt idx="45">
                  <c:v>6.2072813822977579E-4</c:v>
                </c:pt>
                <c:pt idx="46">
                  <c:v>6.4025582185409016E-4</c:v>
                </c:pt>
                <c:pt idx="47">
                  <c:v>6.5656886312570606E-4</c:v>
                </c:pt>
                <c:pt idx="48">
                  <c:v>6.7205659211377541E-4</c:v>
                </c:pt>
                <c:pt idx="49">
                  <c:v>6.8379591870382228E-4</c:v>
                </c:pt>
                <c:pt idx="50">
                  <c:v>6.8981088684532711E-4</c:v>
                </c:pt>
                <c:pt idx="51">
                  <c:v>6.9144508317674214E-4</c:v>
                </c:pt>
                <c:pt idx="52">
                  <c:v>6.8855908384116843E-4</c:v>
                </c:pt>
                <c:pt idx="53">
                  <c:v>6.8124608656542057E-4</c:v>
                </c:pt>
                <c:pt idx="54">
                  <c:v>6.6892229488324517E-4</c:v>
                </c:pt>
                <c:pt idx="55">
                  <c:v>6.5187193758314398E-4</c:v>
                </c:pt>
                <c:pt idx="56">
                  <c:v>6.3244124598349494E-4</c:v>
                </c:pt>
                <c:pt idx="57">
                  <c:v>6.0658821378748329E-4</c:v>
                </c:pt>
                <c:pt idx="58">
                  <c:v>5.767146191779848E-4</c:v>
                </c:pt>
                <c:pt idx="59">
                  <c:v>5.4485073040643622E-4</c:v>
                </c:pt>
                <c:pt idx="60">
                  <c:v>5.0759825744973053E-4</c:v>
                </c:pt>
                <c:pt idx="61">
                  <c:v>4.7788670294579561E-4</c:v>
                </c:pt>
                <c:pt idx="62">
                  <c:v>4.5053571707171815E-4</c:v>
                </c:pt>
                <c:pt idx="63">
                  <c:v>4.2499606174427676E-4</c:v>
                </c:pt>
                <c:pt idx="64">
                  <c:v>4.0826149290668773E-4</c:v>
                </c:pt>
                <c:pt idx="65">
                  <c:v>3.9245682870775976E-4</c:v>
                </c:pt>
                <c:pt idx="66">
                  <c:v>3.7821473502813729E-4</c:v>
                </c:pt>
                <c:pt idx="67">
                  <c:v>3.6942364376780709E-4</c:v>
                </c:pt>
                <c:pt idx="68">
                  <c:v>3.6222220956865468E-4</c:v>
                </c:pt>
                <c:pt idx="69">
                  <c:v>3.5647474482194269E-4</c:v>
                </c:pt>
                <c:pt idx="70">
                  <c:v>3.5282017573463019E-4</c:v>
                </c:pt>
                <c:pt idx="71">
                  <c:v>3.5031110898486872E-4</c:v>
                </c:pt>
                <c:pt idx="72">
                  <c:v>3.4907695130602726E-4</c:v>
                </c:pt>
                <c:pt idx="73">
                  <c:v>3.4906203198653563E-4</c:v>
                </c:pt>
                <c:pt idx="74">
                  <c:v>3.5021364460043405E-4</c:v>
                </c:pt>
                <c:pt idx="75">
                  <c:v>3.5239462190972404E-4</c:v>
                </c:pt>
                <c:pt idx="76">
                  <c:v>3.5492214515090229E-4</c:v>
                </c:pt>
                <c:pt idx="77">
                  <c:v>3.5829840649522979E-4</c:v>
                </c:pt>
                <c:pt idx="78">
                  <c:v>3.6243554704640246E-4</c:v>
                </c:pt>
                <c:pt idx="79">
                  <c:v>3.6649167205511819E-4</c:v>
                </c:pt>
                <c:pt idx="80">
                  <c:v>3.7081688116380462E-4</c:v>
                </c:pt>
                <c:pt idx="81">
                  <c:v>3.7509613284989612E-4</c:v>
                </c:pt>
                <c:pt idx="82">
                  <c:v>3.7865090901256782E-4</c:v>
                </c:pt>
                <c:pt idx="83">
                  <c:v>3.8213560851119155E-4</c:v>
                </c:pt>
                <c:pt idx="84">
                  <c:v>3.8514413111605077E-4</c:v>
                </c:pt>
                <c:pt idx="85">
                  <c:v>3.8826436172983807E-4</c:v>
                </c:pt>
                <c:pt idx="86">
                  <c:v>3.9224665337208968E-4</c:v>
                </c:pt>
                <c:pt idx="87">
                  <c:v>3.9646643713485766E-4</c:v>
                </c:pt>
                <c:pt idx="88">
                  <c:v>4.0106251881555366E-4</c:v>
                </c:pt>
                <c:pt idx="89">
                  <c:v>4.0601706626205991E-4</c:v>
                </c:pt>
                <c:pt idx="90">
                  <c:v>4.1125178080303471E-4</c:v>
                </c:pt>
                <c:pt idx="91">
                  <c:v>4.1695849069683932E-4</c:v>
                </c:pt>
                <c:pt idx="92">
                  <c:v>4.233102591921778E-4</c:v>
                </c:pt>
                <c:pt idx="93">
                  <c:v>4.2974966646625035E-4</c:v>
                </c:pt>
                <c:pt idx="94">
                  <c:v>4.360250513111355E-4</c:v>
                </c:pt>
                <c:pt idx="95">
                  <c:v>4.4333081963632281E-4</c:v>
                </c:pt>
                <c:pt idx="96">
                  <c:v>4.5026110362349041E-4</c:v>
                </c:pt>
                <c:pt idx="97">
                  <c:v>4.5771016324813729E-4</c:v>
                </c:pt>
                <c:pt idx="98">
                  <c:v>4.6520902408854307E-4</c:v>
                </c:pt>
                <c:pt idx="99">
                  <c:v>4.7163324371185533E-4</c:v>
                </c:pt>
                <c:pt idx="100">
                  <c:v>4.7812652815982723E-4</c:v>
                </c:pt>
                <c:pt idx="101">
                  <c:v>4.8380541084146536E-4</c:v>
                </c:pt>
                <c:pt idx="102">
                  <c:v>4.8797328899868875E-4</c:v>
                </c:pt>
                <c:pt idx="103">
                  <c:v>4.9125570659133699E-4</c:v>
                </c:pt>
                <c:pt idx="104">
                  <c:v>4.928302669853224E-4</c:v>
                </c:pt>
                <c:pt idx="105">
                  <c:v>4.9275961607586627E-4</c:v>
                </c:pt>
                <c:pt idx="106">
                  <c:v>4.9039205802963934E-4</c:v>
                </c:pt>
                <c:pt idx="107">
                  <c:v>4.8616943851254035E-4</c:v>
                </c:pt>
                <c:pt idx="108">
                  <c:v>4.7942184150090786E-4</c:v>
                </c:pt>
                <c:pt idx="109">
                  <c:v>4.7024576837539911E-4</c:v>
                </c:pt>
                <c:pt idx="110">
                  <c:v>4.6055065815312282E-4</c:v>
                </c:pt>
                <c:pt idx="111">
                  <c:v>4.4862299072279815E-4</c:v>
                </c:pt>
                <c:pt idx="112">
                  <c:v>4.3701841517584938E-4</c:v>
                </c:pt>
                <c:pt idx="113">
                  <c:v>4.2395909516379504E-4</c:v>
                </c:pt>
                <c:pt idx="114">
                  <c:v>4.1084399718927661E-4</c:v>
                </c:pt>
                <c:pt idx="115">
                  <c:v>3.9599056758815587E-4</c:v>
                </c:pt>
                <c:pt idx="116">
                  <c:v>3.8256271290304511E-4</c:v>
                </c:pt>
                <c:pt idx="117">
                  <c:v>3.6824855640439982E-4</c:v>
                </c:pt>
                <c:pt idx="118">
                  <c:v>3.5258484074434521E-4</c:v>
                </c:pt>
                <c:pt idx="119">
                  <c:v>3.3983780976798439E-4</c:v>
                </c:pt>
                <c:pt idx="120">
                  <c:v>3.2738867405455313E-4</c:v>
                </c:pt>
                <c:pt idx="121">
                  <c:v>3.1978631407447722E-4</c:v>
                </c:pt>
                <c:pt idx="122">
                  <c:v>3.1657940673945895E-4</c:v>
                </c:pt>
                <c:pt idx="123">
                  <c:v>3.1801024515656223E-4</c:v>
                </c:pt>
                <c:pt idx="124">
                  <c:v>3.2317736537176497E-4</c:v>
                </c:pt>
                <c:pt idx="125">
                  <c:v>3.336442596343428E-4</c:v>
                </c:pt>
                <c:pt idx="126">
                  <c:v>3.4951222705625895E-4</c:v>
                </c:pt>
                <c:pt idx="127">
                  <c:v>3.6824569927192477E-4</c:v>
                </c:pt>
                <c:pt idx="128">
                  <c:v>3.9007763121101657E-4</c:v>
                </c:pt>
                <c:pt idx="129">
                  <c:v>4.1856922293869933E-4</c:v>
                </c:pt>
                <c:pt idx="130">
                  <c:v>4.5113290489950941E-4</c:v>
                </c:pt>
                <c:pt idx="131">
                  <c:v>4.853801292479705E-4</c:v>
                </c:pt>
                <c:pt idx="132">
                  <c:v>5.2532489386396264E-4</c:v>
                </c:pt>
                <c:pt idx="133">
                  <c:v>5.571858918891337E-4</c:v>
                </c:pt>
                <c:pt idx="134">
                  <c:v>5.8632184914423485E-4</c:v>
                </c:pt>
                <c:pt idx="135">
                  <c:v>6.1267685342304354E-4</c:v>
                </c:pt>
                <c:pt idx="136">
                  <c:v>6.2856274611508209E-4</c:v>
                </c:pt>
                <c:pt idx="137">
                  <c:v>6.4190039242212338E-4</c:v>
                </c:pt>
                <c:pt idx="138">
                  <c:v>6.502942193931105E-4</c:v>
                </c:pt>
                <c:pt idx="139">
                  <c:v>6.5285970059392184E-4</c:v>
                </c:pt>
                <c:pt idx="140">
                  <c:v>6.5014815204006079E-4</c:v>
                </c:pt>
                <c:pt idx="141">
                  <c:v>6.4143317673864483E-4</c:v>
                </c:pt>
                <c:pt idx="142">
                  <c:v>6.2775705594491499E-4</c:v>
                </c:pt>
                <c:pt idx="143">
                  <c:v>6.074799393731567E-4</c:v>
                </c:pt>
                <c:pt idx="144">
                  <c:v>5.8274007524420149E-4</c:v>
                </c:pt>
                <c:pt idx="145">
                  <c:v>5.6001057030630186E-4</c:v>
                </c:pt>
                <c:pt idx="146">
                  <c:v>5.3548268094510965E-4</c:v>
                </c:pt>
                <c:pt idx="147">
                  <c:v>5.1205617055606958E-4</c:v>
                </c:pt>
                <c:pt idx="148">
                  <c:v>4.9059552289781871E-4</c:v>
                </c:pt>
                <c:pt idx="149">
                  <c:v>4.6834611731537412E-4</c:v>
                </c:pt>
                <c:pt idx="150">
                  <c:v>4.4776287803127701E-4</c:v>
                </c:pt>
                <c:pt idx="151">
                  <c:v>4.2754236738440365E-4</c:v>
                </c:pt>
                <c:pt idx="152">
                  <c:v>4.0658636054757835E-4</c:v>
                </c:pt>
                <c:pt idx="153">
                  <c:v>3.8744063361452127E-4</c:v>
                </c:pt>
                <c:pt idx="154">
                  <c:v>3.6977564259093459E-4</c:v>
                </c:pt>
                <c:pt idx="155">
                  <c:v>3.5078664465704179E-4</c:v>
                </c:pt>
                <c:pt idx="156">
                  <c:v>3.3436017365495729E-4</c:v>
                </c:pt>
                <c:pt idx="157">
                  <c:v>3.1746972673651896E-4</c:v>
                </c:pt>
                <c:pt idx="158">
                  <c:v>3.0152252660494219E-4</c:v>
                </c:pt>
                <c:pt idx="159">
                  <c:v>2.8774463123715233E-4</c:v>
                </c:pt>
                <c:pt idx="160">
                  <c:v>2.7350478720965243E-4</c:v>
                </c:pt>
                <c:pt idx="161">
                  <c:v>2.6086027520529423E-4</c:v>
                </c:pt>
                <c:pt idx="162">
                  <c:v>2.4856991383714888E-4</c:v>
                </c:pt>
                <c:pt idx="163">
                  <c:v>2.3782198049076414E-4</c:v>
                </c:pt>
                <c:pt idx="164">
                  <c:v>2.2649208843894542E-4</c:v>
                </c:pt>
                <c:pt idx="165">
                  <c:v>2.1713398973378581E-4</c:v>
                </c:pt>
                <c:pt idx="166">
                  <c:v>2.0785460163880165E-4</c:v>
                </c:pt>
                <c:pt idx="167">
                  <c:v>2.0020537529674698E-4</c:v>
                </c:pt>
                <c:pt idx="168">
                  <c:v>1.9336082216131478E-4</c:v>
                </c:pt>
                <c:pt idx="169">
                  <c:v>1.8701294210021757E-4</c:v>
                </c:pt>
                <c:pt idx="170">
                  <c:v>1.8201400432667214E-4</c:v>
                </c:pt>
                <c:pt idx="171">
                  <c:v>1.7810468595173129E-4</c:v>
                </c:pt>
                <c:pt idx="172">
                  <c:v>1.7486782778939822E-4</c:v>
                </c:pt>
                <c:pt idx="173">
                  <c:v>1.7286052481050099E-4</c:v>
                </c:pt>
                <c:pt idx="174">
                  <c:v>1.7184047580387496E-4</c:v>
                </c:pt>
                <c:pt idx="175">
                  <c:v>1.7177314543146902E-4</c:v>
                </c:pt>
                <c:pt idx="176">
                  <c:v>1.7273231321279781E-4</c:v>
                </c:pt>
                <c:pt idx="177">
                  <c:v>1.7477641099883368E-4</c:v>
                </c:pt>
                <c:pt idx="178">
                  <c:v>1.7813984463285748E-4</c:v>
                </c:pt>
                <c:pt idx="179">
                  <c:v>1.8212040788245787E-4</c:v>
                </c:pt>
                <c:pt idx="180">
                  <c:v>1.8715780352861894E-4</c:v>
                </c:pt>
                <c:pt idx="181">
                  <c:v>1.9220721936719087E-4</c:v>
                </c:pt>
                <c:pt idx="182">
                  <c:v>1.9637473264711922E-4</c:v>
                </c:pt>
                <c:pt idx="183">
                  <c:v>2.0037268616710999E-4</c:v>
                </c:pt>
                <c:pt idx="184">
                  <c:v>2.0352038020579957E-4</c:v>
                </c:pt>
                <c:pt idx="185">
                  <c:v>2.0657170390479124E-4</c:v>
                </c:pt>
                <c:pt idx="186">
                  <c:v>2.0903057010720691E-4</c:v>
                </c:pt>
                <c:pt idx="187">
                  <c:v>2.1136162916911283E-4</c:v>
                </c:pt>
                <c:pt idx="188">
                  <c:v>2.1308260265584522E-4</c:v>
                </c:pt>
                <c:pt idx="189">
                  <c:v>2.1460231722766551E-4</c:v>
                </c:pt>
                <c:pt idx="190">
                  <c:v>2.159045470867052E-4</c:v>
                </c:pt>
                <c:pt idx="191">
                  <c:v>2.1665481978710988E-4</c:v>
                </c:pt>
                <c:pt idx="192">
                  <c:v>2.171701483753806E-4</c:v>
                </c:pt>
                <c:pt idx="193">
                  <c:v>2.1736641901348719E-4</c:v>
                </c:pt>
                <c:pt idx="194">
                  <c:v>2.1733128982709404E-4</c:v>
                </c:pt>
                <c:pt idx="195">
                  <c:v>2.1696828029183976E-4</c:v>
                </c:pt>
                <c:pt idx="196">
                  <c:v>2.1641506844238476E-4</c:v>
                </c:pt>
                <c:pt idx="197">
                  <c:v>2.1564570554244433E-4</c:v>
                </c:pt>
                <c:pt idx="198">
                  <c:v>2.1454409385324169E-4</c:v>
                </c:pt>
                <c:pt idx="199">
                  <c:v>2.1333956000578816E-4</c:v>
                </c:pt>
                <c:pt idx="200">
                  <c:v>2.1196440639338274E-4</c:v>
                </c:pt>
                <c:pt idx="201">
                  <c:v>2.1028881938746011E-4</c:v>
                </c:pt>
                <c:pt idx="202">
                  <c:v>2.0858074375079E-4</c:v>
                </c:pt>
                <c:pt idx="203">
                  <c:v>2.065817924963298E-4</c:v>
                </c:pt>
                <c:pt idx="204">
                  <c:v>2.0451123928404841E-4</c:v>
                </c:pt>
                <c:pt idx="205">
                  <c:v>2.024936238237407E-4</c:v>
                </c:pt>
                <c:pt idx="206">
                  <c:v>2.0016534846139383E-4</c:v>
                </c:pt>
                <c:pt idx="207">
                  <c:v>1.9781909187812502E-4</c:v>
                </c:pt>
                <c:pt idx="208">
                  <c:v>1.9560814097343074E-4</c:v>
                </c:pt>
                <c:pt idx="209">
                  <c:v>1.9327509393187933E-4</c:v>
                </c:pt>
                <c:pt idx="210">
                  <c:v>1.9061835604894384E-4</c:v>
                </c:pt>
                <c:pt idx="211">
                  <c:v>1.8822310554772806E-4</c:v>
                </c:pt>
                <c:pt idx="212">
                  <c:v>1.8559481528157562E-4</c:v>
                </c:pt>
                <c:pt idx="213">
                  <c:v>1.8303369330962063E-4</c:v>
                </c:pt>
                <c:pt idx="214">
                  <c:v>1.8070039264905802E-4</c:v>
                </c:pt>
                <c:pt idx="215">
                  <c:v>1.7811147447321929E-4</c:v>
                </c:pt>
                <c:pt idx="216">
                  <c:v>1.757446676913868E-4</c:v>
                </c:pt>
                <c:pt idx="217">
                  <c:v>1.7351103467559345E-4</c:v>
                </c:pt>
                <c:pt idx="218">
                  <c:v>1.7115417929376708E-4</c:v>
                </c:pt>
                <c:pt idx="219">
                  <c:v>1.69060872356009E-4</c:v>
                </c:pt>
                <c:pt idx="220">
                  <c:v>1.6698080148020572E-4</c:v>
                </c:pt>
                <c:pt idx="221">
                  <c:v>1.651620049086984E-4</c:v>
                </c:pt>
                <c:pt idx="222">
                  <c:v>1.6344082153008088E-4</c:v>
                </c:pt>
                <c:pt idx="223">
                  <c:v>1.6186855398808708E-4</c:v>
                </c:pt>
                <c:pt idx="224">
                  <c:v>1.6033908896861959E-4</c:v>
                </c:pt>
                <c:pt idx="225">
                  <c:v>1.591171678416714E-4</c:v>
                </c:pt>
                <c:pt idx="226">
                  <c:v>1.5810123218864755E-4</c:v>
                </c:pt>
                <c:pt idx="227">
                  <c:v>1.5720831363630339E-4</c:v>
                </c:pt>
                <c:pt idx="228">
                  <c:v>1.566612872906277E-4</c:v>
                </c:pt>
                <c:pt idx="229">
                  <c:v>1.5628037424963992E-4</c:v>
                </c:pt>
                <c:pt idx="230">
                  <c:v>1.5623345150928003E-4</c:v>
                </c:pt>
                <c:pt idx="231">
                  <c:v>1.5641546140310325E-4</c:v>
                </c:pt>
                <c:pt idx="232">
                  <c:v>1.5687992519624119E-4</c:v>
                </c:pt>
                <c:pt idx="233">
                  <c:v>1.5767776595108918E-4</c:v>
                </c:pt>
                <c:pt idx="234">
                  <c:v>1.5870218818037074E-4</c:v>
                </c:pt>
                <c:pt idx="235">
                  <c:v>1.6014422262869421E-4</c:v>
                </c:pt>
                <c:pt idx="236">
                  <c:v>1.6205148261150271E-4</c:v>
                </c:pt>
                <c:pt idx="237">
                  <c:v>1.641810629049445E-4</c:v>
                </c:pt>
                <c:pt idx="238">
                  <c:v>1.6684951426933561E-4</c:v>
                </c:pt>
                <c:pt idx="239">
                  <c:v>1.6970642677005543E-4</c:v>
                </c:pt>
                <c:pt idx="240">
                  <c:v>1.7280921236484392E-4</c:v>
                </c:pt>
                <c:pt idx="241">
                  <c:v>1.7557079447083623E-4</c:v>
                </c:pt>
                <c:pt idx="242">
                  <c:v>1.7763400412171976E-4</c:v>
                </c:pt>
                <c:pt idx="243">
                  <c:v>1.7903656431717332E-4</c:v>
                </c:pt>
                <c:pt idx="244">
                  <c:v>1.8001412783856183E-4</c:v>
                </c:pt>
                <c:pt idx="245">
                  <c:v>1.8045117180146356E-4</c:v>
                </c:pt>
                <c:pt idx="246">
                  <c:v>1.8037106984003515E-4</c:v>
                </c:pt>
                <c:pt idx="247">
                  <c:v>1.7979687616420312E-4</c:v>
                </c:pt>
                <c:pt idx="248">
                  <c:v>1.7885498382064213E-4</c:v>
                </c:pt>
                <c:pt idx="249">
                  <c:v>1.7744174965748233E-4</c:v>
                </c:pt>
                <c:pt idx="250">
                  <c:v>1.7538668663083165E-4</c:v>
                </c:pt>
                <c:pt idx="251">
                  <c:v>1.7327174303111148E-4</c:v>
                </c:pt>
                <c:pt idx="252">
                  <c:v>1.7056223281741723E-4</c:v>
                </c:pt>
                <c:pt idx="253">
                  <c:v>1.676904312102323E-4</c:v>
                </c:pt>
                <c:pt idx="254">
                  <c:v>1.6448052780282385E-4</c:v>
                </c:pt>
                <c:pt idx="255">
                  <c:v>1.6065264242270255E-4</c:v>
                </c:pt>
                <c:pt idx="256">
                  <c:v>1.5715187543285936E-4</c:v>
                </c:pt>
                <c:pt idx="257">
                  <c:v>1.530157636809408E-4</c:v>
                </c:pt>
                <c:pt idx="258">
                  <c:v>1.4827900201552779E-4</c:v>
                </c:pt>
                <c:pt idx="259">
                  <c:v>1.43874762559483E-4</c:v>
                </c:pt>
                <c:pt idx="260">
                  <c:v>1.3942646727660435E-4</c:v>
                </c:pt>
                <c:pt idx="261">
                  <c:v>1.3433909181199966E-4</c:v>
                </c:pt>
                <c:pt idx="262">
                  <c:v>1.2919602756592333E-4</c:v>
                </c:pt>
                <c:pt idx="263">
                  <c:v>1.2424654742468344E-4</c:v>
                </c:pt>
                <c:pt idx="264">
                  <c:v>1.1868931762318638E-4</c:v>
                </c:pt>
                <c:pt idx="265">
                  <c:v>1.1365971819454757E-4</c:v>
                </c:pt>
                <c:pt idx="266">
                  <c:v>1.0823012036264776E-4</c:v>
                </c:pt>
                <c:pt idx="267">
                  <c:v>1.0213766403795524E-4</c:v>
                </c:pt>
                <c:pt idx="268">
                  <c:v>9.7347267375664376E-5</c:v>
                </c:pt>
                <c:pt idx="269">
                  <c:v>9.1972843436205487E-5</c:v>
                </c:pt>
                <c:pt idx="270">
                  <c:v>8.6244003839830441E-5</c:v>
                </c:pt>
                <c:pt idx="271">
                  <c:v>8.0854994554225429E-5</c:v>
                </c:pt>
                <c:pt idx="272">
                  <c:v>7.5780134141969352E-5</c:v>
                </c:pt>
                <c:pt idx="273">
                  <c:v>7.0288290741286896E-5</c:v>
                </c:pt>
                <c:pt idx="274">
                  <c:v>6.5263136858364351E-5</c:v>
                </c:pt>
                <c:pt idx="275">
                  <c:v>6.0115634691548792E-5</c:v>
                </c:pt>
                <c:pt idx="276">
                  <c:v>5.515943787786845E-5</c:v>
                </c:pt>
                <c:pt idx="277">
                  <c:v>5.0833334154509746E-5</c:v>
                </c:pt>
                <c:pt idx="278">
                  <c:v>4.6261939948510217E-5</c:v>
                </c:pt>
                <c:pt idx="279">
                  <c:v>4.2008539815216461E-5</c:v>
                </c:pt>
                <c:pt idx="280">
                  <c:v>3.8434798492430547E-5</c:v>
                </c:pt>
                <c:pt idx="281">
                  <c:v>3.4866398823591924E-5</c:v>
                </c:pt>
                <c:pt idx="282">
                  <c:v>3.1242172481071862E-5</c:v>
                </c:pt>
                <c:pt idx="283">
                  <c:v>2.8270584513379049E-5</c:v>
                </c:pt>
                <c:pt idx="284">
                  <c:v>2.5432644800815751E-5</c:v>
                </c:pt>
                <c:pt idx="285">
                  <c:v>2.2991112616147294E-5</c:v>
                </c:pt>
                <c:pt idx="286">
                  <c:v>2.1125365067264923E-5</c:v>
                </c:pt>
                <c:pt idx="287">
                  <c:v>1.9449346130961942E-5</c:v>
                </c:pt>
                <c:pt idx="288">
                  <c:v>1.8298391088416785E-5</c:v>
                </c:pt>
                <c:pt idx="289">
                  <c:v>1.7609770289713986E-5</c:v>
                </c:pt>
                <c:pt idx="290">
                  <c:v>1.7347856377220028E-5</c:v>
                </c:pt>
                <c:pt idx="291">
                  <c:v>1.7598853823939248E-5</c:v>
                </c:pt>
                <c:pt idx="292">
                  <c:v>1.8367926776804641E-5</c:v>
                </c:pt>
                <c:pt idx="293">
                  <c:v>1.9653067057628232E-5</c:v>
                </c:pt>
                <c:pt idx="294">
                  <c:v>2.1511856381217775E-5</c:v>
                </c:pt>
                <c:pt idx="295">
                  <c:v>2.3768285355369942E-5</c:v>
                </c:pt>
                <c:pt idx="296">
                  <c:v>2.6983327737539753E-5</c:v>
                </c:pt>
                <c:pt idx="297">
                  <c:v>3.0526890365836085E-5</c:v>
                </c:pt>
                <c:pt idx="298">
                  <c:v>3.5038956072082003E-5</c:v>
                </c:pt>
                <c:pt idx="299">
                  <c:v>3.985281422735909E-5</c:v>
                </c:pt>
                <c:pt idx="300">
                  <c:v>4.5175431563071466E-5</c:v>
                </c:pt>
                <c:pt idx="301">
                  <c:v>5.0547140379997302E-5</c:v>
                </c:pt>
                <c:pt idx="302">
                  <c:v>5.5254320689777925E-5</c:v>
                </c:pt>
                <c:pt idx="303">
                  <c:v>5.9353644071872061E-5</c:v>
                </c:pt>
                <c:pt idx="304">
                  <c:v>6.3401973805341308E-5</c:v>
                </c:pt>
                <c:pt idx="305">
                  <c:v>6.6943231770043993E-5</c:v>
                </c:pt>
                <c:pt idx="306">
                  <c:v>6.990191910805077E-5</c:v>
                </c:pt>
                <c:pt idx="307">
                  <c:v>7.2795926863263721E-5</c:v>
                </c:pt>
                <c:pt idx="308">
                  <c:v>7.5154955589518124E-5</c:v>
                </c:pt>
                <c:pt idx="309">
                  <c:v>7.721960628925828E-5</c:v>
                </c:pt>
                <c:pt idx="310">
                  <c:v>7.9069919504806685E-5</c:v>
                </c:pt>
                <c:pt idx="311">
                  <c:v>8.0374196575583312E-5</c:v>
                </c:pt>
                <c:pt idx="312">
                  <c:v>8.1453229443886194E-5</c:v>
                </c:pt>
                <c:pt idx="313">
                  <c:v>8.2240250593557107E-5</c:v>
                </c:pt>
                <c:pt idx="314">
                  <c:v>8.2652282690725762E-5</c:v>
                </c:pt>
                <c:pt idx="315">
                  <c:v>8.2758571832906164E-5</c:v>
                </c:pt>
                <c:pt idx="316">
                  <c:v>8.2569758293540158E-5</c:v>
                </c:pt>
                <c:pt idx="317">
                  <c:v>8.2095897484797328E-5</c:v>
                </c:pt>
                <c:pt idx="318">
                  <c:v>8.1269699122366035E-5</c:v>
                </c:pt>
                <c:pt idx="319">
                  <c:v>8.0286194374014005E-5</c:v>
                </c:pt>
                <c:pt idx="320">
                  <c:v>7.9059867407416107E-5</c:v>
                </c:pt>
                <c:pt idx="321">
                  <c:v>7.7496207920534771E-5</c:v>
                </c:pt>
                <c:pt idx="322">
                  <c:v>7.5451564571985333E-5</c:v>
                </c:pt>
                <c:pt idx="323">
                  <c:v>7.3492175315381658E-5</c:v>
                </c:pt>
                <c:pt idx="324">
                  <c:v>7.1080995422538942E-5</c:v>
                </c:pt>
                <c:pt idx="325">
                  <c:v>6.8595913043090206E-5</c:v>
                </c:pt>
                <c:pt idx="326">
                  <c:v>6.5857160789772884E-5</c:v>
                </c:pt>
                <c:pt idx="327">
                  <c:v>6.2643805680837397E-5</c:v>
                </c:pt>
                <c:pt idx="328">
                  <c:v>5.9732726239554446E-5</c:v>
                </c:pt>
                <c:pt idx="329">
                  <c:v>5.6324743853216827E-5</c:v>
                </c:pt>
                <c:pt idx="330">
                  <c:v>5.2583430868224923E-5</c:v>
                </c:pt>
                <c:pt idx="331">
                  <c:v>4.8649383469590718E-5</c:v>
                </c:pt>
                <c:pt idx="332">
                  <c:v>4.4916962367025359E-5</c:v>
                </c:pt>
                <c:pt idx="333">
                  <c:v>4.0614717968144587E-5</c:v>
                </c:pt>
                <c:pt idx="334">
                  <c:v>3.6210091608783121E-5</c:v>
                </c:pt>
                <c:pt idx="335">
                  <c:v>3.1936508387519352E-5</c:v>
                </c:pt>
                <c:pt idx="336">
                  <c:v>2.7063619495127852E-5</c:v>
                </c:pt>
                <c:pt idx="337">
                  <c:v>2.2589155745933454E-5</c:v>
                </c:pt>
                <c:pt idx="338">
                  <c:v>1.7669210948560374E-5</c:v>
                </c:pt>
                <c:pt idx="339">
                  <c:v>1.2031789707576263E-5</c:v>
                </c:pt>
                <c:pt idx="340">
                  <c:v>7.4466099355754989E-6</c:v>
                </c:pt>
                <c:pt idx="341">
                  <c:v>2.2471034658820555E-6</c:v>
                </c:pt>
                <c:pt idx="342">
                  <c:v>-3.5021238256049969E-6</c:v>
                </c:pt>
                <c:pt idx="343">
                  <c:v>-8.8204548876931466E-6</c:v>
                </c:pt>
                <c:pt idx="344">
                  <c:v>-1.4590273285541855E-5</c:v>
                </c:pt>
                <c:pt idx="345">
                  <c:v>-2.0454823081389115E-5</c:v>
                </c:pt>
                <c:pt idx="346">
                  <c:v>-2.5827740486317197E-5</c:v>
                </c:pt>
                <c:pt idx="347">
                  <c:v>-3.1930550510317346E-5</c:v>
                </c:pt>
                <c:pt idx="348">
                  <c:v>-3.7817774097734583E-5</c:v>
                </c:pt>
                <c:pt idx="349">
                  <c:v>-4.3457512226206113E-5</c:v>
                </c:pt>
                <c:pt idx="350">
                  <c:v>-4.9733144763709422E-5</c:v>
                </c:pt>
                <c:pt idx="351">
                  <c:v>-5.566021927724471E-5</c:v>
                </c:pt>
                <c:pt idx="352">
                  <c:v>-6.1699848744441177E-5</c:v>
                </c:pt>
                <c:pt idx="353">
                  <c:v>-6.7584056903139192E-5</c:v>
                </c:pt>
                <c:pt idx="354">
                  <c:v>-7.3472940888663629E-5</c:v>
                </c:pt>
                <c:pt idx="355">
                  <c:v>-7.9479868069498583E-5</c:v>
                </c:pt>
                <c:pt idx="356">
                  <c:v>-8.5875539167723502E-5</c:v>
                </c:pt>
                <c:pt idx="357">
                  <c:v>-9.1982784763511988E-5</c:v>
                </c:pt>
                <c:pt idx="358">
                  <c:v>-9.7759219795398242E-5</c:v>
                </c:pt>
                <c:pt idx="359">
                  <c:v>-1.0421424673623392E-4</c:v>
                </c:pt>
                <c:pt idx="360">
                  <c:v>-1.0999497973784855E-4</c:v>
                </c:pt>
                <c:pt idx="361">
                  <c:v>-1.1584553977428413E-4</c:v>
                </c:pt>
                <c:pt idx="362">
                  <c:v>-1.2138073513089445E-4</c:v>
                </c:pt>
                <c:pt idx="363">
                  <c:v>-1.2608622596499419E-4</c:v>
                </c:pt>
                <c:pt idx="364">
                  <c:v>-1.3088477538352426E-4</c:v>
                </c:pt>
                <c:pt idx="365">
                  <c:v>-1.3519088176669816E-4</c:v>
                </c:pt>
                <c:pt idx="366">
                  <c:v>-1.3906661736040604E-4</c:v>
                </c:pt>
                <c:pt idx="367">
                  <c:v>-1.4293936666298634E-4</c:v>
                </c:pt>
                <c:pt idx="368">
                  <c:v>-1.4673590566349759E-4</c:v>
                </c:pt>
                <c:pt idx="369">
                  <c:v>-1.4992222899498468E-4</c:v>
                </c:pt>
                <c:pt idx="370">
                  <c:v>-1.5305288426572389E-4</c:v>
                </c:pt>
                <c:pt idx="371">
                  <c:v>-1.5567373819358465E-4</c:v>
                </c:pt>
                <c:pt idx="372">
                  <c:v>-1.5809576736997011E-4</c:v>
                </c:pt>
                <c:pt idx="373">
                  <c:v>-1.6037010725522549E-4</c:v>
                </c:pt>
                <c:pt idx="374">
                  <c:v>-1.6229831355700497E-4</c:v>
                </c:pt>
                <c:pt idx="375">
                  <c:v>-1.6386313933102609E-4</c:v>
                </c:pt>
                <c:pt idx="376">
                  <c:v>-1.652977085665943E-4</c:v>
                </c:pt>
                <c:pt idx="377">
                  <c:v>-1.6648361837971574E-4</c:v>
                </c:pt>
                <c:pt idx="378">
                  <c:v>-1.6733546267133637E-4</c:v>
                </c:pt>
                <c:pt idx="379">
                  <c:v>-1.6803407907428972E-4</c:v>
                </c:pt>
                <c:pt idx="380">
                  <c:v>-1.684604209968299E-4</c:v>
                </c:pt>
                <c:pt idx="381">
                  <c:v>-1.6869231211663616E-4</c:v>
                </c:pt>
                <c:pt idx="382">
                  <c:v>-1.6867640844075993E-4</c:v>
                </c:pt>
                <c:pt idx="383">
                  <c:v>-1.6845481007443652E-4</c:v>
                </c:pt>
                <c:pt idx="384">
                  <c:v>-1.6802153143136503E-4</c:v>
                </c:pt>
                <c:pt idx="385">
                  <c:v>-1.6731297090988306E-4</c:v>
                </c:pt>
                <c:pt idx="386">
                  <c:v>-1.66491172969397E-4</c:v>
                </c:pt>
                <c:pt idx="387">
                  <c:v>-1.6535134790675483E-4</c:v>
                </c:pt>
                <c:pt idx="388">
                  <c:v>-1.641288169291228E-4</c:v>
                </c:pt>
                <c:pt idx="389">
                  <c:v>-1.6269958124759398E-4</c:v>
                </c:pt>
                <c:pt idx="390">
                  <c:v>-1.6088070343123206E-4</c:v>
                </c:pt>
                <c:pt idx="391">
                  <c:v>-1.591135268341759E-4</c:v>
                </c:pt>
                <c:pt idx="392">
                  <c:v>-1.5722227134695732E-4</c:v>
                </c:pt>
                <c:pt idx="393">
                  <c:v>-1.5495480567834403E-4</c:v>
                </c:pt>
                <c:pt idx="394">
                  <c:v>-1.525637550740689E-4</c:v>
                </c:pt>
                <c:pt idx="395">
                  <c:v>-1.5014860665506224E-4</c:v>
                </c:pt>
                <c:pt idx="396">
                  <c:v>-1.4732757973847863E-4</c:v>
                </c:pt>
                <c:pt idx="397">
                  <c:v>-1.4466407196689346E-4</c:v>
                </c:pt>
                <c:pt idx="398">
                  <c:v>-1.4167824525439417E-4</c:v>
                </c:pt>
                <c:pt idx="399">
                  <c:v>-1.3818039921499256E-4</c:v>
                </c:pt>
                <c:pt idx="400">
                  <c:v>-1.3529548053892171E-4</c:v>
                </c:pt>
                <c:pt idx="401">
                  <c:v>-1.3195529713905252E-4</c:v>
                </c:pt>
                <c:pt idx="402">
                  <c:v>-1.2821659143469333E-4</c:v>
                </c:pt>
                <c:pt idx="403">
                  <c:v>-1.24545387913148E-4</c:v>
                </c:pt>
                <c:pt idx="404">
                  <c:v>-1.2091509931633562E-4</c:v>
                </c:pt>
                <c:pt idx="405">
                  <c:v>-1.1679413925797834E-4</c:v>
                </c:pt>
                <c:pt idx="406">
                  <c:v>-1.1282419615777674E-4</c:v>
                </c:pt>
                <c:pt idx="407">
                  <c:v>-1.0851783981813412E-4</c:v>
                </c:pt>
                <c:pt idx="408">
                  <c:v>-1.0412405489096908E-4</c:v>
                </c:pt>
                <c:pt idx="409">
                  <c:v>-1.0003984790563081E-4</c:v>
                </c:pt>
                <c:pt idx="410">
                  <c:v>-9.5428074198839613E-5</c:v>
                </c:pt>
                <c:pt idx="411">
                  <c:v>-9.080444666732454E-5</c:v>
                </c:pt>
                <c:pt idx="412">
                  <c:v>-8.6603122573247759E-5</c:v>
                </c:pt>
                <c:pt idx="413">
                  <c:v>-8.2049983831728596E-5</c:v>
                </c:pt>
                <c:pt idx="414">
                  <c:v>-7.6934047607224443E-5</c:v>
                </c:pt>
                <c:pt idx="415">
                  <c:v>-7.2228882213436554E-5</c:v>
                </c:pt>
                <c:pt idx="416">
                  <c:v>-6.711527653102678E-5</c:v>
                </c:pt>
                <c:pt idx="417">
                  <c:v>-6.1948354724738336E-5</c:v>
                </c:pt>
                <c:pt idx="418">
                  <c:v>-5.7208728921620544E-5</c:v>
                </c:pt>
                <c:pt idx="419">
                  <c:v>-5.1827834075091062E-5</c:v>
                </c:pt>
                <c:pt idx="420">
                  <c:v>-4.6656664686881011E-5</c:v>
                </c:pt>
                <c:pt idx="421">
                  <c:v>-4.1687702518387534E-5</c:v>
                </c:pt>
                <c:pt idx="422">
                  <c:v>-3.6164873289605548E-5</c:v>
                </c:pt>
                <c:pt idx="423">
                  <c:v>-3.0952408846894597E-5</c:v>
                </c:pt>
                <c:pt idx="424">
                  <c:v>-2.5612924621221111E-5</c:v>
                </c:pt>
                <c:pt idx="425">
                  <c:v>-2.0430046415899003E-5</c:v>
                </c:pt>
                <c:pt idx="426">
                  <c:v>-1.4868961861758123E-5</c:v>
                </c:pt>
                <c:pt idx="427">
                  <c:v>-9.9081093704600498E-6</c:v>
                </c:pt>
                <c:pt idx="428">
                  <c:v>-4.2234682871011842E-6</c:v>
                </c:pt>
                <c:pt idx="429">
                  <c:v>1.2042101376671249E-6</c:v>
                </c:pt>
                <c:pt idx="430">
                  <c:v>6.3696409643553692E-6</c:v>
                </c:pt>
                <c:pt idx="431">
                  <c:v>1.215871839477245E-5</c:v>
                </c:pt>
                <c:pt idx="432">
                  <c:v>1.7411780591881226E-5</c:v>
                </c:pt>
                <c:pt idx="433">
                  <c:v>2.3007620171711096E-5</c:v>
                </c:pt>
                <c:pt idx="434">
                  <c:v>2.8594642566496381E-5</c:v>
                </c:pt>
                <c:pt idx="435">
                  <c:v>3.3629200489326827E-5</c:v>
                </c:pt>
                <c:pt idx="436">
                  <c:v>3.9167355168833254E-5</c:v>
                </c:pt>
                <c:pt idx="437">
                  <c:v>4.4600177379163983E-5</c:v>
                </c:pt>
                <c:pt idx="438">
                  <c:v>4.9558300972973868E-5</c:v>
                </c:pt>
                <c:pt idx="439">
                  <c:v>5.5001167065965931E-5</c:v>
                </c:pt>
                <c:pt idx="440">
                  <c:v>6.0058392120865278E-5</c:v>
                </c:pt>
                <c:pt idx="441">
                  <c:v>6.5164951484897315E-5</c:v>
                </c:pt>
                <c:pt idx="442">
                  <c:v>7.0634579725871449E-5</c:v>
                </c:pt>
                <c:pt idx="443">
                  <c:v>7.5379236348815937E-5</c:v>
                </c:pt>
                <c:pt idx="444">
                  <c:v>8.0405535471020362E-5</c:v>
                </c:pt>
                <c:pt idx="445">
                  <c:v>8.5684726665924416E-5</c:v>
                </c:pt>
                <c:pt idx="446">
                  <c:v>9.0422402598216642E-5</c:v>
                </c:pt>
                <c:pt idx="447">
                  <c:v>9.5466096970867748E-5</c:v>
                </c:pt>
                <c:pt idx="448">
                  <c:v>9.9880737235276407E-5</c:v>
                </c:pt>
                <c:pt idx="449">
                  <c:v>1.0463667050466911E-4</c:v>
                </c:pt>
                <c:pt idx="450">
                  <c:v>1.0941163525579611E-4</c:v>
                </c:pt>
                <c:pt idx="451">
                  <c:v>1.1359782851673439E-4</c:v>
                </c:pt>
                <c:pt idx="452">
                  <c:v>1.1769152291396523E-4</c:v>
                </c:pt>
                <c:pt idx="453">
                  <c:v>1.2198444874082955E-4</c:v>
                </c:pt>
                <c:pt idx="454">
                  <c:v>1.2665051144076372E-4</c:v>
                </c:pt>
                <c:pt idx="455">
                  <c:v>1.3044405356127386E-4</c:v>
                </c:pt>
                <c:pt idx="456">
                  <c:v>1.3452070257713444E-4</c:v>
                </c:pt>
                <c:pt idx="457">
                  <c:v>1.3822272629404608E-4</c:v>
                </c:pt>
                <c:pt idx="458">
                  <c:v>1.4188437944540055E-4</c:v>
                </c:pt>
                <c:pt idx="459">
                  <c:v>1.456946116474081E-4</c:v>
                </c:pt>
                <c:pt idx="460">
                  <c:v>1.4878883453877528E-4</c:v>
                </c:pt>
                <c:pt idx="461">
                  <c:v>1.5213565075601274E-4</c:v>
                </c:pt>
                <c:pt idx="462">
                  <c:v>1.5539807700903907E-4</c:v>
                </c:pt>
                <c:pt idx="463">
                  <c:v>1.5853795711380514E-4</c:v>
                </c:pt>
                <c:pt idx="464">
                  <c:v>1.6121866618451497E-4</c:v>
                </c:pt>
                <c:pt idx="465">
                  <c:v>1.6402367291745018E-4</c:v>
                </c:pt>
                <c:pt idx="466">
                  <c:v>1.6663470620317984E-4</c:v>
                </c:pt>
                <c:pt idx="467">
                  <c:v>1.6889992728290337E-4</c:v>
                </c:pt>
                <c:pt idx="468">
                  <c:v>1.7123460406254926E-4</c:v>
                </c:pt>
                <c:pt idx="469">
                  <c:v>1.7314639638588147E-4</c:v>
                </c:pt>
                <c:pt idx="470">
                  <c:v>1.7503214148771595E-4</c:v>
                </c:pt>
                <c:pt idx="471">
                  <c:v>1.7692359020977932E-4</c:v>
                </c:pt>
                <c:pt idx="472">
                  <c:v>1.7819517516702403E-4</c:v>
                </c:pt>
                <c:pt idx="473">
                  <c:v>1.7951927536508094E-4</c:v>
                </c:pt>
                <c:pt idx="474">
                  <c:v>1.8068258143255633E-4</c:v>
                </c:pt>
                <c:pt idx="475">
                  <c:v>1.8161521585533837E-4</c:v>
                </c:pt>
                <c:pt idx="476">
                  <c:v>1.8228057293761223E-4</c:v>
                </c:pt>
                <c:pt idx="477">
                  <c:v>1.8280719942196863E-4</c:v>
                </c:pt>
                <c:pt idx="478">
                  <c:v>1.8309779874815454E-4</c:v>
                </c:pt>
                <c:pt idx="479">
                  <c:v>1.831349068952548E-4</c:v>
                </c:pt>
                <c:pt idx="480">
                  <c:v>1.8090421315619665E-4</c:v>
                </c:pt>
                <c:pt idx="481">
                  <c:v>1.7731972226792125E-4</c:v>
                </c:pt>
                <c:pt idx="482">
                  <c:v>1.7312337746861438E-4</c:v>
                </c:pt>
                <c:pt idx="483">
                  <c:v>1.6877563396552539E-4</c:v>
                </c:pt>
                <c:pt idx="484">
                  <c:v>1.6448234509381862E-4</c:v>
                </c:pt>
                <c:pt idx="485">
                  <c:v>1.5969215012281469E-4</c:v>
                </c:pt>
                <c:pt idx="486">
                  <c:v>1.5461146843559481E-4</c:v>
                </c:pt>
                <c:pt idx="487">
                  <c:v>1.4991174417083863E-4</c:v>
                </c:pt>
                <c:pt idx="488">
                  <c:v>1.4433175848349578E-4</c:v>
                </c:pt>
                <c:pt idx="489">
                  <c:v>1.3884400746455583E-4</c:v>
                </c:pt>
                <c:pt idx="490">
                  <c:v>1.3343699100504085E-4</c:v>
                </c:pt>
                <c:pt idx="491">
                  <c:v>1.2719602581601208E-4</c:v>
                </c:pt>
                <c:pt idx="492">
                  <c:v>1.2138131578883979E-4</c:v>
                </c:pt>
                <c:pt idx="493">
                  <c:v>1.1498220792294234E-4</c:v>
                </c:pt>
                <c:pt idx="494">
                  <c:v>1.084393307900066E-4</c:v>
                </c:pt>
                <c:pt idx="495">
                  <c:v>1.0237028137183302E-4</c:v>
                </c:pt>
                <c:pt idx="496">
                  <c:v>9.5619861742841927E-5</c:v>
                </c:pt>
                <c:pt idx="497">
                  <c:v>8.9085942297900331E-5</c:v>
                </c:pt>
                <c:pt idx="498">
                  <c:v>8.2647306180128055E-5</c:v>
                </c:pt>
                <c:pt idx="499">
                  <c:v>7.5642598417226259E-5</c:v>
                </c:pt>
                <c:pt idx="500">
                  <c:v>6.8045082000978141E-5</c:v>
                </c:pt>
                <c:pt idx="501">
                  <c:v>6.1047562706790723E-5</c:v>
                </c:pt>
                <c:pt idx="502">
                  <c:v>5.3337458586596304E-5</c:v>
                </c:pt>
                <c:pt idx="503">
                  <c:v>4.6136472916735727E-5</c:v>
                </c:pt>
                <c:pt idx="504">
                  <c:v>3.8729613890953196E-5</c:v>
                </c:pt>
                <c:pt idx="505">
                  <c:v>3.0734120046282953E-5</c:v>
                </c:pt>
                <c:pt idx="506">
                  <c:v>2.3036877058079525E-5</c:v>
                </c:pt>
                <c:pt idx="507">
                  <c:v>1.5648500188552086E-5</c:v>
                </c:pt>
                <c:pt idx="508">
                  <c:v>7.5569717597877978E-6</c:v>
                </c:pt>
                <c:pt idx="509">
                  <c:v>-3.3762028324620108E-7</c:v>
                </c:pt>
                <c:pt idx="510">
                  <c:v>-7.7623369382218144E-6</c:v>
                </c:pt>
                <c:pt idx="511">
                  <c:v>-1.6015414584192797E-5</c:v>
                </c:pt>
                <c:pt idx="512">
                  <c:v>-2.3782926260373927E-5</c:v>
                </c:pt>
                <c:pt idx="513">
                  <c:v>-3.1717489916982533E-5</c:v>
                </c:pt>
                <c:pt idx="514">
                  <c:v>-4.0339981553881923E-5</c:v>
                </c:pt>
                <c:pt idx="515">
                  <c:v>-4.7920333413387084E-5</c:v>
                </c:pt>
                <c:pt idx="516">
                  <c:v>-5.6050158344322226E-5</c:v>
                </c:pt>
                <c:pt idx="517">
                  <c:v>-6.4718407467800887E-5</c:v>
                </c:pt>
                <c:pt idx="518">
                  <c:v>-7.2596951572669044E-5</c:v>
                </c:pt>
                <c:pt idx="519">
                  <c:v>-8.1126149844353013E-5</c:v>
                </c:pt>
                <c:pt idx="520">
                  <c:v>-8.870796070560745E-5</c:v>
                </c:pt>
                <c:pt idx="521">
                  <c:v>-9.6828431757470246E-5</c:v>
                </c:pt>
                <c:pt idx="522">
                  <c:v>-1.0450784321807023E-4</c:v>
                </c:pt>
                <c:pt idx="523">
                  <c:v>-1.1295690462729061E-4</c:v>
                </c:pt>
                <c:pt idx="524">
                  <c:v>-1.2044454120196946E-4</c:v>
                </c:pt>
                <c:pt idx="525">
                  <c:v>-1.2842409311212589E-4</c:v>
                </c:pt>
                <c:pt idx="526">
                  <c:v>-1.3726565444052014E-4</c:v>
                </c:pt>
                <c:pt idx="527">
                  <c:v>-1.4461271370391771E-4</c:v>
                </c:pt>
                <c:pt idx="528">
                  <c:v>-1.5266995206106998E-4</c:v>
                </c:pt>
                <c:pt idx="529">
                  <c:v>-1.6014867343727701E-4</c:v>
                </c:pt>
                <c:pt idx="530">
                  <c:v>-1.6769713722164514E-4</c:v>
                </c:pt>
                <c:pt idx="531">
                  <c:v>-1.7577017570983948E-4</c:v>
                </c:pt>
                <c:pt idx="532">
                  <c:v>-1.8263905676933062E-4</c:v>
                </c:pt>
                <c:pt idx="533">
                  <c:v>-1.9005958343393248E-4</c:v>
                </c:pt>
                <c:pt idx="534">
                  <c:v>-1.9770830990495369E-4</c:v>
                </c:pt>
                <c:pt idx="535">
                  <c:v>-2.0491802425097287E-4</c:v>
                </c:pt>
                <c:pt idx="536">
                  <c:v>-2.1163896172345792E-4</c:v>
                </c:pt>
                <c:pt idx="537">
                  <c:v>-2.1894302667116103E-4</c:v>
                </c:pt>
                <c:pt idx="538">
                  <c:v>-2.2567786369604402E-4</c:v>
                </c:pt>
                <c:pt idx="539">
                  <c:v>-2.325775159235377E-4</c:v>
                </c:pt>
                <c:pt idx="540">
                  <c:v>-2.3936968926511863E-4</c:v>
                </c:pt>
                <c:pt idx="541">
                  <c:v>-2.4535570606970536E-4</c:v>
                </c:pt>
                <c:pt idx="542">
                  <c:v>-2.5181796949593632E-4</c:v>
                </c:pt>
                <c:pt idx="543">
                  <c:v>-2.5803488627735259E-4</c:v>
                </c:pt>
                <c:pt idx="544">
                  <c:v>-2.633564801863518E-4</c:v>
                </c:pt>
                <c:pt idx="545">
                  <c:v>-2.6897448453812312E-4</c:v>
                </c:pt>
                <c:pt idx="546">
                  <c:v>-2.7493896029717746E-4</c:v>
                </c:pt>
                <c:pt idx="547">
                  <c:v>-2.8020391150866512E-4</c:v>
                </c:pt>
                <c:pt idx="548">
                  <c:v>-2.85579702784311E-4</c:v>
                </c:pt>
                <c:pt idx="549">
                  <c:v>-2.9079528036213276E-4</c:v>
                </c:pt>
                <c:pt idx="550">
                  <c:v>-2.9529708187953085E-4</c:v>
                </c:pt>
                <c:pt idx="551">
                  <c:v>-3.0012622865083216E-4</c:v>
                </c:pt>
                <c:pt idx="552">
                  <c:v>-3.0455037633345811E-4</c:v>
                </c:pt>
                <c:pt idx="553">
                  <c:v>-3.0850905335163409E-4</c:v>
                </c:pt>
                <c:pt idx="554">
                  <c:v>-3.1265682596990502E-4</c:v>
                </c:pt>
                <c:pt idx="555">
                  <c:v>-3.1632866296553257E-4</c:v>
                </c:pt>
                <c:pt idx="556">
                  <c:v>-3.1975891476917519E-4</c:v>
                </c:pt>
                <c:pt idx="557">
                  <c:v>-3.2291243248875993E-4</c:v>
                </c:pt>
                <c:pt idx="558">
                  <c:v>-3.2579196141924172E-4</c:v>
                </c:pt>
                <c:pt idx="559">
                  <c:v>-3.2849880186786029E-4</c:v>
                </c:pt>
                <c:pt idx="560">
                  <c:v>-3.3106360114132372E-4</c:v>
                </c:pt>
                <c:pt idx="561">
                  <c:v>-3.3327454356731241E-4</c:v>
                </c:pt>
                <c:pt idx="562">
                  <c:v>-3.3507221460674953E-4</c:v>
                </c:pt>
                <c:pt idx="563">
                  <c:v>-3.3679145359766238E-4</c:v>
                </c:pt>
                <c:pt idx="564">
                  <c:v>-3.3810198457182722E-4</c:v>
                </c:pt>
                <c:pt idx="565">
                  <c:v>-3.3913401113228048E-4</c:v>
                </c:pt>
                <c:pt idx="566">
                  <c:v>-3.3989774247541668E-4</c:v>
                </c:pt>
                <c:pt idx="567">
                  <c:v>-3.4026707175394133E-4</c:v>
                </c:pt>
                <c:pt idx="568">
                  <c:v>-3.4032572184087249E-4</c:v>
                </c:pt>
                <c:pt idx="569">
                  <c:v>-3.4013583224290836E-4</c:v>
                </c:pt>
                <c:pt idx="570">
                  <c:v>-3.3962160411693532E-4</c:v>
                </c:pt>
                <c:pt idx="571">
                  <c:v>-3.3876551270764499E-4</c:v>
                </c:pt>
                <c:pt idx="572">
                  <c:v>-3.3745632183279639E-4</c:v>
                </c:pt>
                <c:pt idx="573">
                  <c:v>-3.3596117481205987E-4</c:v>
                </c:pt>
                <c:pt idx="574">
                  <c:v>-3.3391361718745557E-4</c:v>
                </c:pt>
                <c:pt idx="575">
                  <c:v>-3.3168065956434845E-4</c:v>
                </c:pt>
                <c:pt idx="576">
                  <c:v>-3.2908383530205754E-4</c:v>
                </c:pt>
                <c:pt idx="577">
                  <c:v>-3.2587606041634132E-4</c:v>
                </c:pt>
                <c:pt idx="578">
                  <c:v>-3.2247180749193742E-4</c:v>
                </c:pt>
                <c:pt idx="579">
                  <c:v>-3.1883178048407006E-4</c:v>
                </c:pt>
                <c:pt idx="580">
                  <c:v>-3.1440356264387029E-4</c:v>
                </c:pt>
                <c:pt idx="581">
                  <c:v>-3.0983167062547529E-4</c:v>
                </c:pt>
                <c:pt idx="582">
                  <c:v>-3.0451813488951984E-4</c:v>
                </c:pt>
                <c:pt idx="583">
                  <c:v>-2.9944073464664885E-4</c:v>
                </c:pt>
                <c:pt idx="584">
                  <c:v>-2.9398010750281145E-4</c:v>
                </c:pt>
                <c:pt idx="585">
                  <c:v>-2.8774072802891133E-4</c:v>
                </c:pt>
                <c:pt idx="586">
                  <c:v>-2.8028146434796661E-4</c:v>
                </c:pt>
                <c:pt idx="587">
                  <c:v>-2.7358788441733672E-4</c:v>
                </c:pt>
                <c:pt idx="588">
                  <c:v>-2.657380358522983E-4</c:v>
                </c:pt>
                <c:pt idx="589">
                  <c:v>-2.5794931678113642E-4</c:v>
                </c:pt>
                <c:pt idx="590">
                  <c:v>-2.4960932871881392E-4</c:v>
                </c:pt>
                <c:pt idx="591">
                  <c:v>-2.4004548009713168E-4</c:v>
                </c:pt>
                <c:pt idx="592">
                  <c:v>-2.3152230627797137E-4</c:v>
                </c:pt>
                <c:pt idx="593">
                  <c:v>-2.2166550734342184E-4</c:v>
                </c:pt>
                <c:pt idx="594">
                  <c:v>-2.1093001166772041E-4</c:v>
                </c:pt>
                <c:pt idx="595">
                  <c:v>-1.9970377537829702E-4</c:v>
                </c:pt>
                <c:pt idx="596">
                  <c:v>-1.8907081413999105E-4</c:v>
                </c:pt>
                <c:pt idx="597">
                  <c:v>-1.7680863386801415E-4</c:v>
                </c:pt>
                <c:pt idx="598">
                  <c:v>-1.6422276400085423E-4</c:v>
                </c:pt>
                <c:pt idx="599">
                  <c:v>-1.5202273276355809E-4</c:v>
                </c:pt>
                <c:pt idx="600">
                  <c:v>-1.4754183035572792E-4</c:v>
                </c:pt>
                <c:pt idx="601">
                  <c:v>-1.4890998819350187E-4</c:v>
                </c:pt>
                <c:pt idx="602">
                  <c:v>-1.5025895749578438E-4</c:v>
                </c:pt>
                <c:pt idx="603">
                  <c:v>-1.5161751357679019E-4</c:v>
                </c:pt>
                <c:pt idx="604">
                  <c:v>-1.525382259561156E-4</c:v>
                </c:pt>
                <c:pt idx="605">
                  <c:v>-1.5351394487106429E-4</c:v>
                </c:pt>
                <c:pt idx="606">
                  <c:v>-1.5439610474388132E-4</c:v>
                </c:pt>
                <c:pt idx="607">
                  <c:v>-1.5513855540095697E-4</c:v>
                </c:pt>
                <c:pt idx="608">
                  <c:v>-1.5571265905066009E-4</c:v>
                </c:pt>
                <c:pt idx="609">
                  <c:v>-1.5623614559509558E-4</c:v>
                </c:pt>
                <c:pt idx="610">
                  <c:v>-1.5662376668340236E-4</c:v>
                </c:pt>
                <c:pt idx="611">
                  <c:v>-1.5689005779329079E-4</c:v>
                </c:pt>
                <c:pt idx="612">
                  <c:v>-1.5706980575089929E-4</c:v>
                </c:pt>
                <c:pt idx="613">
                  <c:v>-1.5711564918835519E-4</c:v>
                </c:pt>
                <c:pt idx="614">
                  <c:v>-1.5706009889036518E-4</c:v>
                </c:pt>
                <c:pt idx="615">
                  <c:v>-1.5691305137172616E-4</c:v>
                </c:pt>
                <c:pt idx="616">
                  <c:v>-1.5666109568458937E-4</c:v>
                </c:pt>
                <c:pt idx="617">
                  <c:v>-1.563418945205175E-4</c:v>
                </c:pt>
                <c:pt idx="618">
                  <c:v>-1.5584355860798205E-4</c:v>
                </c:pt>
                <c:pt idx="619">
                  <c:v>-1.5535893405446526E-4</c:v>
                </c:pt>
                <c:pt idx="620">
                  <c:v>-1.5468983097388644E-4</c:v>
                </c:pt>
                <c:pt idx="621">
                  <c:v>-1.5395353231281543E-4</c:v>
                </c:pt>
                <c:pt idx="622">
                  <c:v>-1.5318662347107992E-4</c:v>
                </c:pt>
                <c:pt idx="623">
                  <c:v>-1.5223030904909507E-4</c:v>
                </c:pt>
                <c:pt idx="624">
                  <c:v>-1.512558651153087E-4</c:v>
                </c:pt>
                <c:pt idx="625">
                  <c:v>-1.5022787673459395E-4</c:v>
                </c:pt>
                <c:pt idx="626">
                  <c:v>-1.4901912803088474E-4</c:v>
                </c:pt>
                <c:pt idx="627">
                  <c:v>-1.4781632825876766E-4</c:v>
                </c:pt>
                <c:pt idx="628">
                  <c:v>-1.4646507051874896E-4</c:v>
                </c:pt>
                <c:pt idx="629">
                  <c:v>-1.4511189525613991E-4</c:v>
                </c:pt>
                <c:pt idx="630">
                  <c:v>-1.437464215312545E-4</c:v>
                </c:pt>
                <c:pt idx="631">
                  <c:v>-1.4222585529428781E-4</c:v>
                </c:pt>
                <c:pt idx="632">
                  <c:v>-1.405191262975336E-4</c:v>
                </c:pt>
                <c:pt idx="633">
                  <c:v>-1.3892186506613349E-4</c:v>
                </c:pt>
                <c:pt idx="634">
                  <c:v>-1.3709525072084193E-4</c:v>
                </c:pt>
                <c:pt idx="635">
                  <c:v>-1.3535335791381442E-4</c:v>
                </c:pt>
                <c:pt idx="636">
                  <c:v>-1.3353661361931168E-4</c:v>
                </c:pt>
                <c:pt idx="637">
                  <c:v>-1.3151640391662056E-4</c:v>
                </c:pt>
                <c:pt idx="638">
                  <c:v>-1.2955374605832549E-4</c:v>
                </c:pt>
                <c:pt idx="639">
                  <c:v>-1.2761448796275165E-4</c:v>
                </c:pt>
                <c:pt idx="640">
                  <c:v>-1.2544971749691748E-4</c:v>
                </c:pt>
                <c:pt idx="641">
                  <c:v>-1.2333502719967353E-4</c:v>
                </c:pt>
                <c:pt idx="642">
                  <c:v>-1.2128972490366152E-4</c:v>
                </c:pt>
                <c:pt idx="643">
                  <c:v>-1.1898112780178889E-4</c:v>
                </c:pt>
                <c:pt idx="644">
                  <c:v>-1.1677460384262872E-4</c:v>
                </c:pt>
                <c:pt idx="645">
                  <c:v>-1.1450068948981595E-4</c:v>
                </c:pt>
                <c:pt idx="646">
                  <c:v>-1.1197885785597592E-4</c:v>
                </c:pt>
                <c:pt idx="647">
                  <c:v>-1.0972973084300008E-4</c:v>
                </c:pt>
                <c:pt idx="648">
                  <c:v>-1.0729397165312911E-4</c:v>
                </c:pt>
                <c:pt idx="649">
                  <c:v>-1.0465113261837189E-4</c:v>
                </c:pt>
                <c:pt idx="650">
                  <c:v>-1.0223301025614681E-4</c:v>
                </c:pt>
                <c:pt idx="651">
                  <c:v>-9.9557216403771756E-5</c:v>
                </c:pt>
                <c:pt idx="652">
                  <c:v>-9.714236822658609E-5</c:v>
                </c:pt>
                <c:pt idx="653">
                  <c:v>-9.4558940973078764E-5</c:v>
                </c:pt>
                <c:pt idx="654">
                  <c:v>-9.2055488896196705E-5</c:v>
                </c:pt>
                <c:pt idx="655">
                  <c:v>-8.9275090030215692E-5</c:v>
                </c:pt>
                <c:pt idx="656">
                  <c:v>-8.6775107438263888E-5</c:v>
                </c:pt>
                <c:pt idx="657">
                  <c:v>-8.4086501627419E-5</c:v>
                </c:pt>
                <c:pt idx="658">
                  <c:v>-8.1070222796726307E-5</c:v>
                </c:pt>
                <c:pt idx="659">
                  <c:v>-7.8518475089273121E-5</c:v>
                </c:pt>
                <c:pt idx="660">
                  <c:v>-7.5684180484049055E-5</c:v>
                </c:pt>
                <c:pt idx="661">
                  <c:v>-7.3017983491574512E-5</c:v>
                </c:pt>
                <c:pt idx="662">
                  <c:v>-7.0304590664149735E-5</c:v>
                </c:pt>
                <c:pt idx="663">
                  <c:v>-6.7347850310789381E-5</c:v>
                </c:pt>
                <c:pt idx="664">
                  <c:v>-6.483541666974825E-5</c:v>
                </c:pt>
                <c:pt idx="665">
                  <c:v>-6.2064219904008761E-5</c:v>
                </c:pt>
                <c:pt idx="666">
                  <c:v>-5.9180848896112082E-5</c:v>
                </c:pt>
                <c:pt idx="667">
                  <c:v>-5.6310046085366813E-5</c:v>
                </c:pt>
                <c:pt idx="668">
                  <c:v>-5.3706181522006347E-5</c:v>
                </c:pt>
                <c:pt idx="669">
                  <c:v>-5.0832205175422446E-5</c:v>
                </c:pt>
                <c:pt idx="670">
                  <c:v>-4.8015103267896181E-5</c:v>
                </c:pt>
                <c:pt idx="671">
                  <c:v>-4.5379791813326617E-5</c:v>
                </c:pt>
                <c:pt idx="672">
                  <c:v>-4.2485740811899764E-5</c:v>
                </c:pt>
                <c:pt idx="673">
                  <c:v>-3.991727156016367E-5</c:v>
                </c:pt>
                <c:pt idx="674">
                  <c:v>-3.7184615585371741E-5</c:v>
                </c:pt>
                <c:pt idx="675">
                  <c:v>-3.4157443048566521E-5</c:v>
                </c:pt>
                <c:pt idx="676">
                  <c:v>-3.1761687795702279E-5</c:v>
                </c:pt>
                <c:pt idx="677">
                  <c:v>-2.9125617357905753E-5</c:v>
                </c:pt>
                <c:pt idx="678">
                  <c:v>-2.6289375764321221E-5</c:v>
                </c:pt>
                <c:pt idx="679">
                  <c:v>-2.3741692883176915E-5</c:v>
                </c:pt>
                <c:pt idx="680">
                  <c:v>-2.1041462681559153E-5</c:v>
                </c:pt>
                <c:pt idx="681">
                  <c:v>-1.8375487383825301E-5</c:v>
                </c:pt>
                <c:pt idx="682">
                  <c:v>-1.5987278121354365E-5</c:v>
                </c:pt>
                <c:pt idx="683">
                  <c:v>-1.3337974671401298E-5</c:v>
                </c:pt>
                <c:pt idx="684">
                  <c:v>-1.0849698894461676E-5</c:v>
                </c:pt>
                <c:pt idx="685">
                  <c:v>-8.513898388877103E-6</c:v>
                </c:pt>
                <c:pt idx="686">
                  <c:v>-5.9765778674444187E-6</c:v>
                </c:pt>
                <c:pt idx="687">
                  <c:v>-3.6374753948301836E-6</c:v>
                </c:pt>
                <c:pt idx="688">
                  <c:v>-1.2986770830166611E-6</c:v>
                </c:pt>
                <c:pt idx="689">
                  <c:v>9.2099808038023645E-7</c:v>
                </c:pt>
                <c:pt idx="690">
                  <c:v>3.0990546049380896E-6</c:v>
                </c:pt>
                <c:pt idx="691">
                  <c:v>5.2690204324634671E-6</c:v>
                </c:pt>
                <c:pt idx="692">
                  <c:v>7.5312212386435817E-6</c:v>
                </c:pt>
                <c:pt idx="693">
                  <c:v>9.6359588986818373E-6</c:v>
                </c:pt>
                <c:pt idx="694">
                  <c:v>1.1587158909783304E-5</c:v>
                </c:pt>
                <c:pt idx="695">
                  <c:v>1.3714982088686156E-5</c:v>
                </c:pt>
                <c:pt idx="696">
                  <c:v>1.5592010669251977E-5</c:v>
                </c:pt>
                <c:pt idx="697">
                  <c:v>1.7532867000902286E-5</c:v>
                </c:pt>
                <c:pt idx="698">
                  <c:v>1.941170027386363E-5</c:v>
                </c:pt>
                <c:pt idx="699">
                  <c:v>2.105187763112859E-5</c:v>
                </c:pt>
                <c:pt idx="700">
                  <c:v>2.2769526167389781E-5</c:v>
                </c:pt>
                <c:pt idx="701">
                  <c:v>2.4344591591651463E-5</c:v>
                </c:pt>
                <c:pt idx="702">
                  <c:v>2.5802478281988783E-5</c:v>
                </c:pt>
                <c:pt idx="703">
                  <c:v>2.7296000174986332E-5</c:v>
                </c:pt>
                <c:pt idx="704">
                  <c:v>2.8805862796410509E-5</c:v>
                </c:pt>
                <c:pt idx="705">
                  <c:v>3.0106553323088966E-5</c:v>
                </c:pt>
                <c:pt idx="706">
                  <c:v>3.1431641044748701E-5</c:v>
                </c:pt>
                <c:pt idx="707">
                  <c:v>3.2577253854526589E-5</c:v>
                </c:pt>
                <c:pt idx="708">
                  <c:v>3.3668066767023053E-5</c:v>
                </c:pt>
                <c:pt idx="709">
                  <c:v>3.4739264470395881E-5</c:v>
                </c:pt>
                <c:pt idx="710">
                  <c:v>3.5678932746434702E-5</c:v>
                </c:pt>
                <c:pt idx="711">
                  <c:v>3.6486813377097083E-5</c:v>
                </c:pt>
                <c:pt idx="712">
                  <c:v>3.7272570524278514E-5</c:v>
                </c:pt>
                <c:pt idx="713">
                  <c:v>3.7962110908902613E-5</c:v>
                </c:pt>
                <c:pt idx="714">
                  <c:v>3.849420019741423E-5</c:v>
                </c:pt>
                <c:pt idx="715">
                  <c:v>3.8999122625477112E-5</c:v>
                </c:pt>
                <c:pt idx="716">
                  <c:v>3.9378722448191184E-5</c:v>
                </c:pt>
                <c:pt idx="717">
                  <c:v>3.9674145696222407E-5</c:v>
                </c:pt>
                <c:pt idx="718">
                  <c:v>3.988084717175544E-5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'1M Basis'!$AA$2</c:f>
              <c:strCache>
                <c:ptCount val="1"/>
                <c:pt idx="0">
                  <c:v>Calibrated Basis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val>
            <c:numRef>
              <c:f>'1M Basis'!$AA$3:$AA$721</c:f>
              <c:numCache>
                <c:formatCode>0.0000%</c:formatCode>
                <c:ptCount val="719"/>
                <c:pt idx="0">
                  <c:v>3.0939413701211465E-4</c:v>
                </c:pt>
                <c:pt idx="1">
                  <c:v>3.2245207197917423E-4</c:v>
                </c:pt>
                <c:pt idx="2">
                  <c:v>3.3389977861191536E-4</c:v>
                </c:pt>
                <c:pt idx="3">
                  <c:v>3.4603800592417609E-4</c:v>
                </c:pt>
                <c:pt idx="4">
                  <c:v>3.563211797343055E-4</c:v>
                </c:pt>
                <c:pt idx="5">
                  <c:v>3.662536125263425E-4</c:v>
                </c:pt>
                <c:pt idx="6">
                  <c:v>3.7713922825508846E-4</c:v>
                </c:pt>
                <c:pt idx="7">
                  <c:v>3.860355205646778E-4</c:v>
                </c:pt>
                <c:pt idx="8">
                  <c:v>3.9612934155836547E-4</c:v>
                </c:pt>
                <c:pt idx="9">
                  <c:v>4.0494689701134969E-4</c:v>
                </c:pt>
                <c:pt idx="10">
                  <c:v>4.1315352857349317E-4</c:v>
                </c:pt>
                <c:pt idx="11">
                  <c:v>4.2212202350524618E-4</c:v>
                </c:pt>
                <c:pt idx="12">
                  <c:v>4.2968585686084949E-4</c:v>
                </c:pt>
                <c:pt idx="13">
                  <c:v>4.3720535322046446E-4</c:v>
                </c:pt>
                <c:pt idx="14">
                  <c:v>4.4489220454853009E-4</c:v>
                </c:pt>
                <c:pt idx="15">
                  <c:v>4.5156774377952711E-4</c:v>
                </c:pt>
                <c:pt idx="16">
                  <c:v>4.58836154615636E-4</c:v>
                </c:pt>
                <c:pt idx="17">
                  <c:v>4.6473605983451738E-4</c:v>
                </c:pt>
                <c:pt idx="18">
                  <c:v>4.7079170363291379E-4</c:v>
                </c:pt>
                <c:pt idx="19">
                  <c:v>4.7639027623590626E-4</c:v>
                </c:pt>
                <c:pt idx="20">
                  <c:v>4.8246336306688762E-4</c:v>
                </c:pt>
                <c:pt idx="21">
                  <c:v>4.8754507345198742E-4</c:v>
                </c:pt>
                <c:pt idx="22">
                  <c:v>4.925569592462367E-4</c:v>
                </c:pt>
                <c:pt idx="23">
                  <c:v>4.9778934213577175E-4</c:v>
                </c:pt>
                <c:pt idx="24">
                  <c:v>5.0200402728000693E-4</c:v>
                </c:pt>
                <c:pt idx="25">
                  <c:v>5.0671304096510479E-4</c:v>
                </c:pt>
                <c:pt idx="26">
                  <c:v>5.1075748615119951E-4</c:v>
                </c:pt>
                <c:pt idx="27">
                  <c:v>5.1445844791074059E-4</c:v>
                </c:pt>
                <c:pt idx="28">
                  <c:v>5.1842669672844176E-4</c:v>
                </c:pt>
                <c:pt idx="29">
                  <c:v>5.2159574755655639E-4</c:v>
                </c:pt>
                <c:pt idx="30">
                  <c:v>5.2479461520548907E-4</c:v>
                </c:pt>
                <c:pt idx="31">
                  <c:v>5.2769829403448746E-4</c:v>
                </c:pt>
                <c:pt idx="32">
                  <c:v>5.3078283366552836E-4</c:v>
                </c:pt>
                <c:pt idx="33">
                  <c:v>5.3322132265703516E-4</c:v>
                </c:pt>
                <c:pt idx="34">
                  <c:v>5.3589027102245016E-4</c:v>
                </c:pt>
                <c:pt idx="35">
                  <c:v>5.3812912820893428E-4</c:v>
                </c:pt>
                <c:pt idx="36">
                  <c:v>5.4012813347558656E-4</c:v>
                </c:pt>
                <c:pt idx="37">
                  <c:v>5.4221053499368878E-4</c:v>
                </c:pt>
                <c:pt idx="38">
                  <c:v>5.4387597124176657E-4</c:v>
                </c:pt>
                <c:pt idx="39">
                  <c:v>5.4544119473177955E-4</c:v>
                </c:pt>
                <c:pt idx="40">
                  <c:v>5.4698277576363237E-4</c:v>
                </c:pt>
                <c:pt idx="41">
                  <c:v>5.4814674586667323E-4</c:v>
                </c:pt>
                <c:pt idx="42">
                  <c:v>5.4921661273796751E-4</c:v>
                </c:pt>
                <c:pt idx="43">
                  <c:v>5.5024119947642608E-4</c:v>
                </c:pt>
                <c:pt idx="44">
                  <c:v>5.510572066408935E-4</c:v>
                </c:pt>
                <c:pt idx="45">
                  <c:v>5.5171670825319606E-4</c:v>
                </c:pt>
                <c:pt idx="46">
                  <c:v>5.5231688000460821E-4</c:v>
                </c:pt>
                <c:pt idx="47">
                  <c:v>5.5271590642871123E-4</c:v>
                </c:pt>
                <c:pt idx="48">
                  <c:v>5.5300587961238995E-4</c:v>
                </c:pt>
                <c:pt idx="49">
                  <c:v>5.5318471482946685E-4</c:v>
                </c:pt>
                <c:pt idx="50">
                  <c:v>5.5322460069529803E-4</c:v>
                </c:pt>
                <c:pt idx="51">
                  <c:v>5.5314368119607391E-4</c:v>
                </c:pt>
                <c:pt idx="52">
                  <c:v>5.5295347256959816E-4</c:v>
                </c:pt>
                <c:pt idx="53">
                  <c:v>5.5267863039079319E-4</c:v>
                </c:pt>
                <c:pt idx="54">
                  <c:v>5.5223761773215158E-4</c:v>
                </c:pt>
                <c:pt idx="55">
                  <c:v>5.5173000479397192E-4</c:v>
                </c:pt>
                <c:pt idx="56">
                  <c:v>5.5114563006252023E-4</c:v>
                </c:pt>
                <c:pt idx="57">
                  <c:v>5.5039713033514588E-4</c:v>
                </c:pt>
                <c:pt idx="58">
                  <c:v>5.4959961290753051E-4</c:v>
                </c:pt>
                <c:pt idx="59">
                  <c:v>5.4871224538386473E-4</c:v>
                </c:pt>
                <c:pt idx="60">
                  <c:v>5.4766976495881458E-4</c:v>
                </c:pt>
                <c:pt idx="61">
                  <c:v>5.466421165376121E-4</c:v>
                </c:pt>
                <c:pt idx="62">
                  <c:v>5.454986834233954E-4</c:v>
                </c:pt>
                <c:pt idx="63">
                  <c:v>5.4414954745150043E-4</c:v>
                </c:pt>
                <c:pt idx="64">
                  <c:v>5.4288748208891451E-4</c:v>
                </c:pt>
                <c:pt idx="65">
                  <c:v>5.4160323088059826E-4</c:v>
                </c:pt>
                <c:pt idx="66">
                  <c:v>5.3991012738716895E-4</c:v>
                </c:pt>
                <c:pt idx="67">
                  <c:v>5.3853954050037654E-4</c:v>
                </c:pt>
                <c:pt idx="68">
                  <c:v>5.3695301626493813E-4</c:v>
                </c:pt>
                <c:pt idx="69">
                  <c:v>5.3518930377102606E-4</c:v>
                </c:pt>
                <c:pt idx="70">
                  <c:v>5.3352942427991267E-4</c:v>
                </c:pt>
                <c:pt idx="71">
                  <c:v>5.3157197527635544E-4</c:v>
                </c:pt>
                <c:pt idx="72">
                  <c:v>5.2973131877781792E-4</c:v>
                </c:pt>
                <c:pt idx="73">
                  <c:v>5.2789862590503392E-4</c:v>
                </c:pt>
                <c:pt idx="74">
                  <c:v>5.2581760698806098E-4</c:v>
                </c:pt>
                <c:pt idx="75">
                  <c:v>5.238127076389184E-4</c:v>
                </c:pt>
                <c:pt idx="76">
                  <c:v>5.2175753946500194E-4</c:v>
                </c:pt>
                <c:pt idx="77">
                  <c:v>5.1979566051250676E-4</c:v>
                </c:pt>
                <c:pt idx="78">
                  <c:v>5.1743129407407168E-4</c:v>
                </c:pt>
                <c:pt idx="79">
                  <c:v>5.1538257117570276E-4</c:v>
                </c:pt>
                <c:pt idx="80">
                  <c:v>5.1291981823452086E-4</c:v>
                </c:pt>
                <c:pt idx="81">
                  <c:v>5.1063749540764133E-4</c:v>
                </c:pt>
                <c:pt idx="82">
                  <c:v>5.0839350545446539E-4</c:v>
                </c:pt>
                <c:pt idx="83">
                  <c:v>5.0579672716040609E-4</c:v>
                </c:pt>
                <c:pt idx="84">
                  <c:v>5.034782627532132E-4</c:v>
                </c:pt>
                <c:pt idx="85">
                  <c:v>5.0104550698917426E-4</c:v>
                </c:pt>
                <c:pt idx="86">
                  <c:v>4.9841373125346052E-4</c:v>
                </c:pt>
                <c:pt idx="87">
                  <c:v>4.9599728529070174E-4</c:v>
                </c:pt>
                <c:pt idx="88">
                  <c:v>4.9321290455102125E-4</c:v>
                </c:pt>
                <c:pt idx="89">
                  <c:v>4.9082280210889831E-4</c:v>
                </c:pt>
                <c:pt idx="90">
                  <c:v>4.8823518341004687E-4</c:v>
                </c:pt>
                <c:pt idx="91">
                  <c:v>4.857086814646769E-4</c:v>
                </c:pt>
                <c:pt idx="92">
                  <c:v>4.828051315867582E-4</c:v>
                </c:pt>
                <c:pt idx="93">
                  <c:v>4.8022969130018239E-4</c:v>
                </c:pt>
                <c:pt idx="94">
                  <c:v>4.7754320753444767E-4</c:v>
                </c:pt>
                <c:pt idx="95">
                  <c:v>4.745633655373086E-4</c:v>
                </c:pt>
                <c:pt idx="96">
                  <c:v>4.7201582953282307E-4</c:v>
                </c:pt>
                <c:pt idx="97">
                  <c:v>4.6899208798239491E-4</c:v>
                </c:pt>
                <c:pt idx="98">
                  <c:v>4.6622441568872959E-4</c:v>
                </c:pt>
                <c:pt idx="99">
                  <c:v>4.6353300998744725E-4</c:v>
                </c:pt>
                <c:pt idx="100">
                  <c:v>4.6045247315384431E-4</c:v>
                </c:pt>
                <c:pt idx="101">
                  <c:v>4.5773063278557296E-4</c:v>
                </c:pt>
                <c:pt idx="102">
                  <c:v>4.549959787278553E-4</c:v>
                </c:pt>
                <c:pt idx="103">
                  <c:v>4.5196460916135001E-4</c:v>
                </c:pt>
                <c:pt idx="104">
                  <c:v>4.4911051721258376E-4</c:v>
                </c:pt>
                <c:pt idx="105">
                  <c:v>4.4634123812024927E-4</c:v>
                </c:pt>
                <c:pt idx="106">
                  <c:v>4.4317868409664572E-4</c:v>
                </c:pt>
                <c:pt idx="107">
                  <c:v>4.4039041458864264E-4</c:v>
                </c:pt>
                <c:pt idx="108">
                  <c:v>4.3749793581158498E-4</c:v>
                </c:pt>
                <c:pt idx="109">
                  <c:v>4.3430771321989855E-4</c:v>
                </c:pt>
                <c:pt idx="110">
                  <c:v>4.3159464795365822E-4</c:v>
                </c:pt>
                <c:pt idx="111">
                  <c:v>4.2839069976928815E-4</c:v>
                </c:pt>
                <c:pt idx="112">
                  <c:v>4.2547280969576777E-4</c:v>
                </c:pt>
                <c:pt idx="113">
                  <c:v>4.2274564258971151E-4</c:v>
                </c:pt>
                <c:pt idx="114">
                  <c:v>4.1982028192390816E-4</c:v>
                </c:pt>
                <c:pt idx="115">
                  <c:v>4.1669679494995616E-4</c:v>
                </c:pt>
                <c:pt idx="116">
                  <c:v>4.1386404386471617E-4</c:v>
                </c:pt>
                <c:pt idx="117">
                  <c:v>4.1093217604660365E-4</c:v>
                </c:pt>
                <c:pt idx="118">
                  <c:v>4.0770619226747709E-4</c:v>
                </c:pt>
                <c:pt idx="119">
                  <c:v>4.0487106943107082E-4</c:v>
                </c:pt>
                <c:pt idx="120">
                  <c:v>4.0174316132816896E-4</c:v>
                </c:pt>
                <c:pt idx="121">
                  <c:v>3.9881184033267969E-4</c:v>
                </c:pt>
                <c:pt idx="122">
                  <c:v>3.9597978324840474E-4</c:v>
                </c:pt>
                <c:pt idx="123">
                  <c:v>3.9275959746199536E-4</c:v>
                </c:pt>
                <c:pt idx="124">
                  <c:v>3.8993247613852569E-4</c:v>
                </c:pt>
                <c:pt idx="125">
                  <c:v>3.872057349365096E-4</c:v>
                </c:pt>
                <c:pt idx="126">
                  <c:v>3.83801937861053E-4</c:v>
                </c:pt>
                <c:pt idx="127">
                  <c:v>3.810830890811017E-4</c:v>
                </c:pt>
                <c:pt idx="128">
                  <c:v>3.7827150976494766E-4</c:v>
                </c:pt>
                <c:pt idx="129">
                  <c:v>3.7517473267064885E-4</c:v>
                </c:pt>
                <c:pt idx="130">
                  <c:v>3.722773588933996E-4</c:v>
                </c:pt>
                <c:pt idx="131">
                  <c:v>3.6938609270180259E-4</c:v>
                </c:pt>
                <c:pt idx="132">
                  <c:v>3.6630927845785122E-4</c:v>
                </c:pt>
                <c:pt idx="133">
                  <c:v>3.6352774025648951E-4</c:v>
                </c:pt>
                <c:pt idx="134">
                  <c:v>3.6065750503346992E-4</c:v>
                </c:pt>
                <c:pt idx="135">
                  <c:v>3.5750917163203134E-4</c:v>
                </c:pt>
                <c:pt idx="136">
                  <c:v>3.547505473907436E-4</c:v>
                </c:pt>
                <c:pt idx="137">
                  <c:v>3.5209454596179813E-4</c:v>
                </c:pt>
                <c:pt idx="138">
                  <c:v>3.4897409804026145E-4</c:v>
                </c:pt>
                <c:pt idx="139">
                  <c:v>3.4624100513212179E-4</c:v>
                </c:pt>
                <c:pt idx="140">
                  <c:v>3.4342296563264819E-4</c:v>
                </c:pt>
                <c:pt idx="141">
                  <c:v>3.4042782232117949E-4</c:v>
                </c:pt>
                <c:pt idx="142">
                  <c:v>3.3772336800280315E-4</c:v>
                </c:pt>
                <c:pt idx="143">
                  <c:v>3.346576692027842E-4</c:v>
                </c:pt>
                <c:pt idx="144">
                  <c:v>3.3188185162630199E-4</c:v>
                </c:pt>
                <c:pt idx="145">
                  <c:v>3.2920894190157924E-4</c:v>
                </c:pt>
                <c:pt idx="146">
                  <c:v>3.2627164734278516E-4</c:v>
                </c:pt>
                <c:pt idx="147">
                  <c:v>3.2352974244217639E-4</c:v>
                </c:pt>
                <c:pt idx="148">
                  <c:v>3.2079950724324294E-4</c:v>
                </c:pt>
                <c:pt idx="149">
                  <c:v>3.1799076530416947E-4</c:v>
                </c:pt>
                <c:pt idx="150">
                  <c:v>3.15284950207223E-4</c:v>
                </c:pt>
                <c:pt idx="151">
                  <c:v>3.1268104919702832E-4</c:v>
                </c:pt>
                <c:pt idx="152">
                  <c:v>3.0973223789368973E-4</c:v>
                </c:pt>
                <c:pt idx="153">
                  <c:v>3.0715357417176076E-4</c:v>
                </c:pt>
                <c:pt idx="154">
                  <c:v>3.0449869431303935E-4</c:v>
                </c:pt>
                <c:pt idx="155">
                  <c:v>3.0159345555966986E-4</c:v>
                </c:pt>
                <c:pt idx="156">
                  <c:v>2.9914099550767227E-4</c:v>
                </c:pt>
                <c:pt idx="157">
                  <c:v>2.962656234005948E-4</c:v>
                </c:pt>
                <c:pt idx="158">
                  <c:v>2.9366592049233803E-4</c:v>
                </c:pt>
                <c:pt idx="159">
                  <c:v>2.9116593639715098E-4</c:v>
                </c:pt>
                <c:pt idx="160">
                  <c:v>2.8833690775318624E-4</c:v>
                </c:pt>
                <c:pt idx="161">
                  <c:v>2.8594981898138322E-4</c:v>
                </c:pt>
                <c:pt idx="162">
                  <c:v>2.8340589482298294E-4</c:v>
                </c:pt>
                <c:pt idx="163">
                  <c:v>2.8096032058253461E-4</c:v>
                </c:pt>
                <c:pt idx="164">
                  <c:v>2.7819376260842225E-4</c:v>
                </c:pt>
                <c:pt idx="165">
                  <c:v>2.758601191887588E-4</c:v>
                </c:pt>
                <c:pt idx="166">
                  <c:v>2.7312606353318409E-4</c:v>
                </c:pt>
                <c:pt idx="167">
                  <c:v>2.7065597182452815E-4</c:v>
                </c:pt>
                <c:pt idx="168">
                  <c:v>2.6828225633393656E-4</c:v>
                </c:pt>
                <c:pt idx="169">
                  <c:v>2.655980168775087E-4</c:v>
                </c:pt>
                <c:pt idx="170">
                  <c:v>2.6325405643126405E-4</c:v>
                </c:pt>
                <c:pt idx="171">
                  <c:v>2.608440266776953E-4</c:v>
                </c:pt>
                <c:pt idx="172">
                  <c:v>2.5821040599934372E-4</c:v>
                </c:pt>
                <c:pt idx="173">
                  <c:v>2.5599018296238054E-4</c:v>
                </c:pt>
                <c:pt idx="174">
                  <c:v>2.537046202557246E-4</c:v>
                </c:pt>
                <c:pt idx="175">
                  <c:v>2.5119915406367877E-4</c:v>
                </c:pt>
                <c:pt idx="176">
                  <c:v>2.4886608404586097E-4</c:v>
                </c:pt>
                <c:pt idx="177">
                  <c:v>2.4662536297580365E-4</c:v>
                </c:pt>
                <c:pt idx="178">
                  <c:v>2.440930564119039E-4</c:v>
                </c:pt>
                <c:pt idx="179">
                  <c:v>2.418830915582079E-4</c:v>
                </c:pt>
                <c:pt idx="180">
                  <c:v>2.3961210708039305E-4</c:v>
                </c:pt>
                <c:pt idx="181">
                  <c:v>2.3713189205148768E-4</c:v>
                </c:pt>
                <c:pt idx="182">
                  <c:v>2.3504216773639197E-4</c:v>
                </c:pt>
                <c:pt idx="183">
                  <c:v>2.32596625259022E-4</c:v>
                </c:pt>
                <c:pt idx="184">
                  <c:v>2.3038970702860597E-4</c:v>
                </c:pt>
                <c:pt idx="185">
                  <c:v>2.2834393436152323E-4</c:v>
                </c:pt>
                <c:pt idx="186">
                  <c:v>2.2616706091326639E-4</c:v>
                </c:pt>
                <c:pt idx="187">
                  <c:v>2.2386219978190027E-4</c:v>
                </c:pt>
                <c:pt idx="188">
                  <c:v>2.2178870012227409E-4</c:v>
                </c:pt>
                <c:pt idx="189">
                  <c:v>2.1965898727896514E-4</c:v>
                </c:pt>
                <c:pt idx="190">
                  <c:v>2.1733425182181212E-4</c:v>
                </c:pt>
                <c:pt idx="191">
                  <c:v>2.1530681616148775E-4</c:v>
                </c:pt>
                <c:pt idx="192">
                  <c:v>2.1308647477796287E-4</c:v>
                </c:pt>
                <c:pt idx="193">
                  <c:v>2.1102092509976618E-4</c:v>
                </c:pt>
                <c:pt idx="194">
                  <c:v>2.0903894722509536E-4</c:v>
                </c:pt>
                <c:pt idx="195">
                  <c:v>2.0680117172617858E-4</c:v>
                </c:pt>
                <c:pt idx="196">
                  <c:v>2.0485006648352549E-4</c:v>
                </c:pt>
                <c:pt idx="197">
                  <c:v>2.0291336680981149E-4</c:v>
                </c:pt>
                <c:pt idx="198">
                  <c:v>2.0072702709488375E-4</c:v>
                </c:pt>
                <c:pt idx="199">
                  <c:v>1.9882103848529092E-4</c:v>
                </c:pt>
                <c:pt idx="200">
                  <c:v>1.9686439469938929E-4</c:v>
                </c:pt>
                <c:pt idx="201">
                  <c:v>1.9479415953445968E-4</c:v>
                </c:pt>
                <c:pt idx="202">
                  <c:v>1.9293299751625456E-4</c:v>
                </c:pt>
                <c:pt idx="203">
                  <c:v>1.9083241260328088E-4</c:v>
                </c:pt>
                <c:pt idx="204">
                  <c:v>1.889387165800306E-4</c:v>
                </c:pt>
                <c:pt idx="205">
                  <c:v>1.871225200325163E-4</c:v>
                </c:pt>
                <c:pt idx="206">
                  <c:v>1.8513479284241419E-4</c:v>
                </c:pt>
                <c:pt idx="207">
                  <c:v>1.8328683065142067E-4</c:v>
                </c:pt>
                <c:pt idx="208">
                  <c:v>1.8145384970751541E-4</c:v>
                </c:pt>
                <c:pt idx="209">
                  <c:v>1.7975653947116508E-4</c:v>
                </c:pt>
                <c:pt idx="210">
                  <c:v>1.7777277825875394E-4</c:v>
                </c:pt>
                <c:pt idx="211">
                  <c:v>1.7610365556892073E-4</c:v>
                </c:pt>
                <c:pt idx="212">
                  <c:v>1.7415299179324587E-4</c:v>
                </c:pt>
                <c:pt idx="213">
                  <c:v>1.7239510831867086E-4</c:v>
                </c:pt>
                <c:pt idx="214">
                  <c:v>1.7070974882976719E-4</c:v>
                </c:pt>
                <c:pt idx="215">
                  <c:v>1.6880851175722297E-4</c:v>
                </c:pt>
                <c:pt idx="216">
                  <c:v>1.6715224172312359E-4</c:v>
                </c:pt>
                <c:pt idx="217">
                  <c:v>1.6545308465454653E-4</c:v>
                </c:pt>
                <c:pt idx="218">
                  <c:v>1.6365652565448091E-4</c:v>
                </c:pt>
                <c:pt idx="219">
                  <c:v>1.6204248494568481E-4</c:v>
                </c:pt>
                <c:pt idx="220">
                  <c:v>1.6022203746115206E-4</c:v>
                </c:pt>
                <c:pt idx="221">
                  <c:v>1.5869089221433921E-4</c:v>
                </c:pt>
                <c:pt idx="222">
                  <c:v>1.5706404271813832E-4</c:v>
                </c:pt>
                <c:pt idx="223">
                  <c:v>1.5550479406253748E-4</c:v>
                </c:pt>
                <c:pt idx="224">
                  <c:v>1.53746386608463E-4</c:v>
                </c:pt>
                <c:pt idx="225">
                  <c:v>1.5221502983199013E-4</c:v>
                </c:pt>
                <c:pt idx="226">
                  <c:v>1.5064448976282303E-4</c:v>
                </c:pt>
                <c:pt idx="227">
                  <c:v>1.4893281075180369E-4</c:v>
                </c:pt>
                <c:pt idx="228">
                  <c:v>1.4749348211656532E-4</c:v>
                </c:pt>
                <c:pt idx="229">
                  <c:v>1.4581237189285732E-4</c:v>
                </c:pt>
                <c:pt idx="230">
                  <c:v>1.4429832100754531E-4</c:v>
                </c:pt>
                <c:pt idx="231">
                  <c:v>1.4284754889973847E-4</c:v>
                </c:pt>
                <c:pt idx="232">
                  <c:v>1.4121190094696219E-4</c:v>
                </c:pt>
                <c:pt idx="233">
                  <c:v>1.3983672060726321E-4</c:v>
                </c:pt>
                <c:pt idx="234">
                  <c:v>1.3842459119708388E-4</c:v>
                </c:pt>
                <c:pt idx="235">
                  <c:v>1.3697671965567153E-4</c:v>
                </c:pt>
                <c:pt idx="236">
                  <c:v>1.3539918213092441E-4</c:v>
                </c:pt>
                <c:pt idx="237">
                  <c:v>1.3407301307425253E-4</c:v>
                </c:pt>
                <c:pt idx="238">
                  <c:v>1.3252448866252163E-4</c:v>
                </c:pt>
                <c:pt idx="239">
                  <c:v>1.3113023207894103E-4</c:v>
                </c:pt>
                <c:pt idx="240">
                  <c:v>1.2979458837086179E-4</c:v>
                </c:pt>
                <c:pt idx="241">
                  <c:v>1.2828913916005448E-4</c:v>
                </c:pt>
                <c:pt idx="242">
                  <c:v>1.2697876075109559E-4</c:v>
                </c:pt>
                <c:pt idx="243">
                  <c:v>1.2563551189600407E-4</c:v>
                </c:pt>
                <c:pt idx="244">
                  <c:v>1.2417230760545543E-4</c:v>
                </c:pt>
                <c:pt idx="245">
                  <c:v>1.2294252831475852E-4</c:v>
                </c:pt>
                <c:pt idx="246">
                  <c:v>1.2163677523779084E-4</c:v>
                </c:pt>
                <c:pt idx="247">
                  <c:v>1.2025741385200396E-4</c:v>
                </c:pt>
                <c:pt idx="248">
                  <c:v>1.1901927162240798E-4</c:v>
                </c:pt>
                <c:pt idx="249">
                  <c:v>1.1775026417171945E-4</c:v>
                </c:pt>
                <c:pt idx="250">
                  <c:v>1.163681535891721E-4</c:v>
                </c:pt>
                <c:pt idx="251">
                  <c:v>1.1516542039878479E-4</c:v>
                </c:pt>
                <c:pt idx="252">
                  <c:v>1.1385103708218992E-4</c:v>
                </c:pt>
                <c:pt idx="253">
                  <c:v>1.1263088537415689E-4</c:v>
                </c:pt>
                <c:pt idx="254">
                  <c:v>1.1146244095982349E-4</c:v>
                </c:pt>
                <c:pt idx="255">
                  <c:v>1.1014593228987363E-4</c:v>
                </c:pt>
                <c:pt idx="256">
                  <c:v>1.0900042972968485E-4</c:v>
                </c:pt>
                <c:pt idx="257">
                  <c:v>1.0790449942369E-4</c:v>
                </c:pt>
                <c:pt idx="258">
                  <c:v>1.0654839883581294E-4</c:v>
                </c:pt>
                <c:pt idx="259">
                  <c:v>1.0547448657341243E-4</c:v>
                </c:pt>
                <c:pt idx="260">
                  <c:v>1.0437242104742923E-4</c:v>
                </c:pt>
                <c:pt idx="261">
                  <c:v>1.0316830641507204E-4</c:v>
                </c:pt>
                <c:pt idx="262">
                  <c:v>1.0205075717493678E-4</c:v>
                </c:pt>
                <c:pt idx="263">
                  <c:v>1.0094406746958823E-4</c:v>
                </c:pt>
                <c:pt idx="264">
                  <c:v>9.9775475709099878E-5</c:v>
                </c:pt>
                <c:pt idx="265">
                  <c:v>9.8726948247961072E-5</c:v>
                </c:pt>
                <c:pt idx="266">
                  <c:v>9.7652698185909064E-5</c:v>
                </c:pt>
                <c:pt idx="267">
                  <c:v>9.6483181787458585E-5</c:v>
                </c:pt>
                <c:pt idx="268">
                  <c:v>9.5465857131437503E-5</c:v>
                </c:pt>
                <c:pt idx="269">
                  <c:v>9.4492800774728254E-5</c:v>
                </c:pt>
                <c:pt idx="270">
                  <c:v>9.3357482534955726E-5</c:v>
                </c:pt>
                <c:pt idx="271">
                  <c:v>9.2369967991798448E-5</c:v>
                </c:pt>
                <c:pt idx="272">
                  <c:v>9.1358350866396486E-5</c:v>
                </c:pt>
                <c:pt idx="273">
                  <c:v>9.0290355591609602E-5</c:v>
                </c:pt>
                <c:pt idx="274">
                  <c:v>8.9332269339329422E-5</c:v>
                </c:pt>
                <c:pt idx="275">
                  <c:v>8.8253254949415905E-5</c:v>
                </c:pt>
                <c:pt idx="276">
                  <c:v>8.7282613348191351E-5</c:v>
                </c:pt>
                <c:pt idx="277">
                  <c:v>8.6353556221585912E-5</c:v>
                </c:pt>
                <c:pt idx="278">
                  <c:v>8.5338832771705221E-5</c:v>
                </c:pt>
                <c:pt idx="279">
                  <c:v>8.4397397999279867E-5</c:v>
                </c:pt>
                <c:pt idx="280">
                  <c:v>8.3465433045824949E-5</c:v>
                </c:pt>
                <c:pt idx="281">
                  <c:v>8.2604073925717772E-5</c:v>
                </c:pt>
                <c:pt idx="282">
                  <c:v>8.1599317350533618E-5</c:v>
                </c:pt>
                <c:pt idx="283">
                  <c:v>8.0755562140096769E-5</c:v>
                </c:pt>
                <c:pt idx="284">
                  <c:v>7.9771376815547426E-5</c:v>
                </c:pt>
                <c:pt idx="285">
                  <c:v>7.8886195870055476E-5</c:v>
                </c:pt>
                <c:pt idx="286">
                  <c:v>7.8039076579489199E-5</c:v>
                </c:pt>
                <c:pt idx="287">
                  <c:v>7.7085255310455772E-5</c:v>
                </c:pt>
                <c:pt idx="288">
                  <c:v>7.6255884722492364E-5</c:v>
                </c:pt>
                <c:pt idx="289">
                  <c:v>7.5406537507383657E-5</c:v>
                </c:pt>
                <c:pt idx="290">
                  <c:v>7.4510148100828113E-5</c:v>
                </c:pt>
                <c:pt idx="291">
                  <c:v>7.3706263465282213E-5</c:v>
                </c:pt>
                <c:pt idx="292">
                  <c:v>7.2801203983357464E-5</c:v>
                </c:pt>
                <c:pt idx="293">
                  <c:v>7.2014303123141231E-5</c:v>
                </c:pt>
                <c:pt idx="294">
                  <c:v>7.1208516376731142E-5</c:v>
                </c:pt>
                <c:pt idx="295">
                  <c:v>7.0437494647773889E-5</c:v>
                </c:pt>
                <c:pt idx="296">
                  <c:v>6.9569493551115353E-5</c:v>
                </c:pt>
                <c:pt idx="297">
                  <c:v>6.8840759648996591E-5</c:v>
                </c:pt>
                <c:pt idx="298">
                  <c:v>6.7990946479743543E-5</c:v>
                </c:pt>
                <c:pt idx="299">
                  <c:v>6.7226811511152977E-5</c:v>
                </c:pt>
                <c:pt idx="300">
                  <c:v>6.6495703093581639E-5</c:v>
                </c:pt>
                <c:pt idx="301">
                  <c:v>6.5672704314446247E-5</c:v>
                </c:pt>
                <c:pt idx="302">
                  <c:v>6.4957258738079256E-5</c:v>
                </c:pt>
                <c:pt idx="303">
                  <c:v>6.422474645807527E-5</c:v>
                </c:pt>
                <c:pt idx="304">
                  <c:v>6.3427831883902625E-5</c:v>
                </c:pt>
                <c:pt idx="305">
                  <c:v>6.2758865251801249E-5</c:v>
                </c:pt>
                <c:pt idx="306">
                  <c:v>6.2072915016911536E-5</c:v>
                </c:pt>
                <c:pt idx="307">
                  <c:v>6.1324088576006255E-5</c:v>
                </c:pt>
                <c:pt idx="308">
                  <c:v>6.0629695806975268E-5</c:v>
                </c:pt>
                <c:pt idx="309">
                  <c:v>5.9965405076385588E-5</c:v>
                </c:pt>
                <c:pt idx="310">
                  <c:v>5.9217727402907757E-5</c:v>
                </c:pt>
                <c:pt idx="311">
                  <c:v>5.856785052559699E-5</c:v>
                </c:pt>
                <c:pt idx="312">
                  <c:v>5.7902558892328389E-5</c:v>
                </c:pt>
                <c:pt idx="313">
                  <c:v>5.7178876194319966E-5</c:v>
                </c:pt>
                <c:pt idx="314">
                  <c:v>5.6571465411933193E-5</c:v>
                </c:pt>
                <c:pt idx="315">
                  <c:v>5.5863318160830754E-5</c:v>
                </c:pt>
                <c:pt idx="316">
                  <c:v>5.5226736795886431E-5</c:v>
                </c:pt>
                <c:pt idx="317">
                  <c:v>5.4638712758703019E-5</c:v>
                </c:pt>
                <c:pt idx="318">
                  <c:v>5.3932549392050128E-5</c:v>
                </c:pt>
                <c:pt idx="319">
                  <c:v>5.3357419804943532E-5</c:v>
                </c:pt>
                <c:pt idx="320">
                  <c:v>5.276780145286921E-5</c:v>
                </c:pt>
                <c:pt idx="321">
                  <c:v>5.216427203083093E-5</c:v>
                </c:pt>
                <c:pt idx="322">
                  <c:v>5.1507857991450023E-5</c:v>
                </c:pt>
                <c:pt idx="323">
                  <c:v>5.0937405368883524E-5</c:v>
                </c:pt>
                <c:pt idx="324">
                  <c:v>5.031481514290846E-5</c:v>
                </c:pt>
                <c:pt idx="325">
                  <c:v>4.9737624193474911E-5</c:v>
                </c:pt>
                <c:pt idx="326">
                  <c:v>4.9185582799634545E-5</c:v>
                </c:pt>
                <c:pt idx="327">
                  <c:v>4.8564395322925726E-5</c:v>
                </c:pt>
                <c:pt idx="328">
                  <c:v>4.8024592784821487E-5</c:v>
                </c:pt>
                <c:pt idx="329">
                  <c:v>4.75087572917768E-5</c:v>
                </c:pt>
                <c:pt idx="330">
                  <c:v>4.6907494825532413E-5</c:v>
                </c:pt>
                <c:pt idx="331">
                  <c:v>4.6367108977166462E-5</c:v>
                </c:pt>
                <c:pt idx="332">
                  <c:v>4.5850307726007582E-5</c:v>
                </c:pt>
                <c:pt idx="333">
                  <c:v>4.5286338210324343E-5</c:v>
                </c:pt>
                <c:pt idx="334">
                  <c:v>4.476355489128968E-5</c:v>
                </c:pt>
                <c:pt idx="335">
                  <c:v>4.424646065725069E-5</c:v>
                </c:pt>
                <c:pt idx="336">
                  <c:v>4.3701101274044822E-5</c:v>
                </c:pt>
                <c:pt idx="337">
                  <c:v>4.3212349427044732E-5</c:v>
                </c:pt>
                <c:pt idx="338">
                  <c:v>4.271217267496861E-5</c:v>
                </c:pt>
                <c:pt idx="339">
                  <c:v>4.2168290265713748E-5</c:v>
                </c:pt>
                <c:pt idx="340">
                  <c:v>4.1695736711916745E-5</c:v>
                </c:pt>
                <c:pt idx="341">
                  <c:v>4.1228187609669932E-5</c:v>
                </c:pt>
                <c:pt idx="342">
                  <c:v>4.0702175347357603E-5</c:v>
                </c:pt>
                <c:pt idx="343">
                  <c:v>4.0260842688326214E-5</c:v>
                </c:pt>
                <c:pt idx="344">
                  <c:v>3.9746509740051427E-5</c:v>
                </c:pt>
                <c:pt idx="345">
                  <c:v>3.9284333433749692E-5</c:v>
                </c:pt>
                <c:pt idx="346">
                  <c:v>3.8842400778264341E-5</c:v>
                </c:pt>
                <c:pt idx="347">
                  <c:v>3.8345237602784649E-5</c:v>
                </c:pt>
                <c:pt idx="348">
                  <c:v>3.7913317225743728E-5</c:v>
                </c:pt>
                <c:pt idx="349">
                  <c:v>3.7471355652974987E-5</c:v>
                </c:pt>
                <c:pt idx="350">
                  <c:v>3.7005313858267442E-5</c:v>
                </c:pt>
                <c:pt idx="351">
                  <c:v>3.6587714919550393E-5</c:v>
                </c:pt>
                <c:pt idx="352">
                  <c:v>3.6117953523274905E-5</c:v>
                </c:pt>
                <c:pt idx="353">
                  <c:v>3.5723861230618528E-5</c:v>
                </c:pt>
                <c:pt idx="354">
                  <c:v>3.530614981806E-5</c:v>
                </c:pt>
                <c:pt idx="355">
                  <c:v>3.4906773145158241E-5</c:v>
                </c:pt>
                <c:pt idx="356">
                  <c:v>3.4457529790243853E-5</c:v>
                </c:pt>
                <c:pt idx="357">
                  <c:v>3.4067279910478006E-5</c:v>
                </c:pt>
                <c:pt idx="358">
                  <c:v>3.36679954852034E-5</c:v>
                </c:pt>
                <c:pt idx="359">
                  <c:v>3.3233922648780333E-5</c:v>
                </c:pt>
                <c:pt idx="360">
                  <c:v>3.2869797423695137E-5</c:v>
                </c:pt>
                <c:pt idx="361">
                  <c:v>3.244552225598983E-5</c:v>
                </c:pt>
                <c:pt idx="362">
                  <c:v>3.206434466996993E-5</c:v>
                </c:pt>
                <c:pt idx="363">
                  <c:v>3.1699928182095225E-5</c:v>
                </c:pt>
                <c:pt idx="364">
                  <c:v>3.1290045343158373E-5</c:v>
                </c:pt>
                <c:pt idx="365">
                  <c:v>3.0946229915480885E-5</c:v>
                </c:pt>
                <c:pt idx="366">
                  <c:v>3.0593931944153403E-5</c:v>
                </c:pt>
                <c:pt idx="367">
                  <c:v>3.0233510311579737E-5</c:v>
                </c:pt>
                <c:pt idx="368">
                  <c:v>2.9841723475615209E-5</c:v>
                </c:pt>
                <c:pt idx="369">
                  <c:v>2.9513100222422992E-5</c:v>
                </c:pt>
                <c:pt idx="370">
                  <c:v>2.9130226362522992E-5</c:v>
                </c:pt>
                <c:pt idx="371">
                  <c:v>2.8786276626594066E-5</c:v>
                </c:pt>
                <c:pt idx="372">
                  <c:v>2.8457479524552958E-5</c:v>
                </c:pt>
                <c:pt idx="373">
                  <c:v>2.8087693593142021E-5</c:v>
                </c:pt>
                <c:pt idx="374">
                  <c:v>2.7766523289069172E-5</c:v>
                </c:pt>
                <c:pt idx="375">
                  <c:v>2.7437972113540502E-5</c:v>
                </c:pt>
                <c:pt idx="376">
                  <c:v>2.708085806543288E-5</c:v>
                </c:pt>
                <c:pt idx="377">
                  <c:v>2.6781340972718325E-5</c:v>
                </c:pt>
                <c:pt idx="378">
                  <c:v>2.6474467678028375E-5</c:v>
                </c:pt>
                <c:pt idx="379">
                  <c:v>2.6139752840779098E-5</c:v>
                </c:pt>
                <c:pt idx="380">
                  <c:v>2.5829637910485258E-5</c:v>
                </c:pt>
                <c:pt idx="381">
                  <c:v>2.553320933921208E-5</c:v>
                </c:pt>
                <c:pt idx="382">
                  <c:v>2.5199855639213162E-5</c:v>
                </c:pt>
                <c:pt idx="383">
                  <c:v>2.4910352483911698E-5</c:v>
                </c:pt>
                <c:pt idx="384">
                  <c:v>2.4614220045437978E-5</c:v>
                </c:pt>
                <c:pt idx="385">
                  <c:v>2.4292370579159895E-5</c:v>
                </c:pt>
                <c:pt idx="386">
                  <c:v>2.4022452641422873E-5</c:v>
                </c:pt>
                <c:pt idx="387">
                  <c:v>2.3708025406922589E-5</c:v>
                </c:pt>
                <c:pt idx="388">
                  <c:v>2.3425609902394461E-5</c:v>
                </c:pt>
                <c:pt idx="389">
                  <c:v>2.3164935311220272E-5</c:v>
                </c:pt>
                <c:pt idx="390">
                  <c:v>2.2843003766340106E-5</c:v>
                </c:pt>
                <c:pt idx="391">
                  <c:v>2.2588553969340524E-5</c:v>
                </c:pt>
                <c:pt idx="392">
                  <c:v>2.2327885511906854E-5</c:v>
                </c:pt>
                <c:pt idx="393">
                  <c:v>2.2043603109666262E-5</c:v>
                </c:pt>
                <c:pt idx="394">
                  <c:v>2.1780247403247972E-5</c:v>
                </c:pt>
                <c:pt idx="395">
                  <c:v>2.1519915177782537E-5</c:v>
                </c:pt>
                <c:pt idx="396">
                  <c:v>2.1245523286089692E-5</c:v>
                </c:pt>
                <c:pt idx="397">
                  <c:v>2.0999762211133023E-5</c:v>
                </c:pt>
                <c:pt idx="398">
                  <c:v>2.0748403049540244E-5</c:v>
                </c:pt>
                <c:pt idx="399">
                  <c:v>2.047524919312829E-5</c:v>
                </c:pt>
                <c:pt idx="400">
                  <c:v>2.0238062511218432E-5</c:v>
                </c:pt>
                <c:pt idx="401">
                  <c:v>2.0011563732925018E-5</c:v>
                </c:pt>
                <c:pt idx="402">
                  <c:v>1.9747748995088589E-5</c:v>
                </c:pt>
                <c:pt idx="403">
                  <c:v>1.9518677328210654E-5</c:v>
                </c:pt>
                <c:pt idx="404">
                  <c:v>1.9284398810809548E-5</c:v>
                </c:pt>
                <c:pt idx="405">
                  <c:v>1.9037486152391226E-5</c:v>
                </c:pt>
                <c:pt idx="406">
                  <c:v>1.8816353222728614E-5</c:v>
                </c:pt>
                <c:pt idx="407">
                  <c:v>1.8567728243520514E-5</c:v>
                </c:pt>
                <c:pt idx="408">
                  <c:v>1.8344454094719765E-5</c:v>
                </c:pt>
                <c:pt idx="409">
                  <c:v>1.8131082829384607E-5</c:v>
                </c:pt>
                <c:pt idx="410">
                  <c:v>1.7898414555252055E-5</c:v>
                </c:pt>
                <c:pt idx="411">
                  <c:v>1.7682903772064197E-5</c:v>
                </c:pt>
                <c:pt idx="412">
                  <c:v>1.7469895929989955E-5</c:v>
                </c:pt>
                <c:pt idx="413">
                  <c:v>1.7273322551220104E-5</c:v>
                </c:pt>
                <c:pt idx="414">
                  <c:v>1.704438503017866E-5</c:v>
                </c:pt>
                <c:pt idx="415">
                  <c:v>1.6852433072828962E-5</c:v>
                </c:pt>
                <c:pt idx="416">
                  <c:v>1.6628881236079718E-5</c:v>
                </c:pt>
                <c:pt idx="417">
                  <c:v>1.6428137921732367E-5</c:v>
                </c:pt>
                <c:pt idx="418">
                  <c:v>1.6236310863128931E-5</c:v>
                </c:pt>
                <c:pt idx="419">
                  <c:v>1.6020655252049027E-5</c:v>
                </c:pt>
                <c:pt idx="420">
                  <c:v>1.5833425373472302E-5</c:v>
                </c:pt>
                <c:pt idx="421">
                  <c:v>1.5641963878784342E-5</c:v>
                </c:pt>
                <c:pt idx="422">
                  <c:v>1.5440203880637014E-5</c:v>
                </c:pt>
                <c:pt idx="423">
                  <c:v>1.5259532619758533E-5</c:v>
                </c:pt>
                <c:pt idx="424">
                  <c:v>1.5056426134994597E-5</c:v>
                </c:pt>
                <c:pt idx="425">
                  <c:v>1.4886144727123719E-5</c:v>
                </c:pt>
                <c:pt idx="426">
                  <c:v>1.4699790583414658E-5</c:v>
                </c:pt>
                <c:pt idx="427">
                  <c:v>1.4533411119840966E-5</c:v>
                </c:pt>
                <c:pt idx="428">
                  <c:v>1.4339658523999516E-5</c:v>
                </c:pt>
                <c:pt idx="429">
                  <c:v>1.4171455619436636E-5</c:v>
                </c:pt>
                <c:pt idx="430">
                  <c:v>1.3999461785190523E-5</c:v>
                </c:pt>
                <c:pt idx="431">
                  <c:v>1.3812601525132863E-5</c:v>
                </c:pt>
                <c:pt idx="432">
                  <c:v>1.3655948376759862E-5</c:v>
                </c:pt>
                <c:pt idx="433">
                  <c:v>1.3473528665753213E-5</c:v>
                </c:pt>
                <c:pt idx="434">
                  <c:v>1.3309741422805248E-5</c:v>
                </c:pt>
                <c:pt idx="435">
                  <c:v>1.315324729200325E-5</c:v>
                </c:pt>
                <c:pt idx="436">
                  <c:v>1.2977335127034982E-5</c:v>
                </c:pt>
                <c:pt idx="437">
                  <c:v>1.2824628655141549E-5</c:v>
                </c:pt>
                <c:pt idx="438">
                  <c:v>1.2673663666492053E-5</c:v>
                </c:pt>
                <c:pt idx="439">
                  <c:v>1.2509079887314066E-5</c:v>
                </c:pt>
                <c:pt idx="440">
                  <c:v>1.2356664996360063E-5</c:v>
                </c:pt>
                <c:pt idx="441">
                  <c:v>1.2211042461499747E-5</c:v>
                </c:pt>
                <c:pt idx="442">
                  <c:v>1.2047357472276157E-5</c:v>
                </c:pt>
                <c:pt idx="443">
                  <c:v>1.1905270927643657E-5</c:v>
                </c:pt>
                <c:pt idx="444">
                  <c:v>1.1759995312172411E-5</c:v>
                </c:pt>
                <c:pt idx="445">
                  <c:v>1.1602177972511421E-5</c:v>
                </c:pt>
                <c:pt idx="446">
                  <c:v>1.1469885131287853E-5</c:v>
                </c:pt>
                <c:pt idx="447">
                  <c:v>1.1315846848888488E-5</c:v>
                </c:pt>
                <c:pt idx="448">
                  <c:v>1.1177555334275862E-5</c:v>
                </c:pt>
                <c:pt idx="449">
                  <c:v>1.1049963993898269E-5</c:v>
                </c:pt>
                <c:pt idx="450">
                  <c:v>1.0896931378656039E-5</c:v>
                </c:pt>
                <c:pt idx="451">
                  <c:v>1.0772451210750113E-5</c:v>
                </c:pt>
                <c:pt idx="452">
                  <c:v>1.0644981118788666E-5</c:v>
                </c:pt>
                <c:pt idx="453">
                  <c:v>1.0514657181998319E-5</c:v>
                </c:pt>
                <c:pt idx="454">
                  <c:v>1.0373090576675636E-5</c:v>
                </c:pt>
                <c:pt idx="455">
                  <c:v>1.0250213339849784E-5</c:v>
                </c:pt>
                <c:pt idx="456">
                  <c:v>1.0116265676819402E-5</c:v>
                </c:pt>
                <c:pt idx="457">
                  <c:v>9.9922353538025684E-6</c:v>
                </c:pt>
                <c:pt idx="458">
                  <c:v>9.8737447369005922E-6</c:v>
                </c:pt>
                <c:pt idx="459">
                  <c:v>9.7405714594064236E-6</c:v>
                </c:pt>
                <c:pt idx="460">
                  <c:v>9.6249830582818302E-6</c:v>
                </c:pt>
                <c:pt idx="461">
                  <c:v>9.5146463730242649E-6</c:v>
                </c:pt>
                <c:pt idx="462">
                  <c:v>9.3861850683410702E-6</c:v>
                </c:pt>
                <c:pt idx="463">
                  <c:v>9.2708667930388608E-6</c:v>
                </c:pt>
                <c:pt idx="464">
                  <c:v>9.1607029037524442E-6</c:v>
                </c:pt>
                <c:pt idx="465">
                  <c:v>9.040620408072621E-6</c:v>
                </c:pt>
                <c:pt idx="466">
                  <c:v>8.9294347155152927E-6</c:v>
                </c:pt>
                <c:pt idx="467">
                  <c:v>8.8195799395693539E-6</c:v>
                </c:pt>
                <c:pt idx="468">
                  <c:v>8.7038512152230767E-6</c:v>
                </c:pt>
                <c:pt idx="469">
                  <c:v>8.600249604004636E-6</c:v>
                </c:pt>
                <c:pt idx="470">
                  <c:v>8.4943388889328803E-6</c:v>
                </c:pt>
                <c:pt idx="471">
                  <c:v>8.3793035242726142E-6</c:v>
                </c:pt>
                <c:pt idx="472">
                  <c:v>8.2794650924626182E-6</c:v>
                </c:pt>
                <c:pt idx="473">
                  <c:v>8.1841689636072418E-6</c:v>
                </c:pt>
                <c:pt idx="474">
                  <c:v>8.0732265361294298E-6</c:v>
                </c:pt>
                <c:pt idx="475">
                  <c:v>7.9769419613378364E-6</c:v>
                </c:pt>
                <c:pt idx="476">
                  <c:v>7.8785145682756927E-6</c:v>
                </c:pt>
                <c:pt idx="477">
                  <c:v>7.7748295786070711E-6</c:v>
                </c:pt>
                <c:pt idx="478">
                  <c:v>7.682014321674384E-6</c:v>
                </c:pt>
                <c:pt idx="479">
                  <c:v>7.5777100848747657E-6</c:v>
                </c:pt>
                <c:pt idx="480">
                  <c:v>7.4840866650264506E-6</c:v>
                </c:pt>
                <c:pt idx="481">
                  <c:v>7.394656237030528E-6</c:v>
                </c:pt>
                <c:pt idx="482">
                  <c:v>7.2971832484289464E-6</c:v>
                </c:pt>
                <c:pt idx="483">
                  <c:v>7.2069406661150503E-6</c:v>
                </c:pt>
                <c:pt idx="484">
                  <c:v>7.1177866041190081E-6</c:v>
                </c:pt>
                <c:pt idx="485">
                  <c:v>7.0267908287504504E-6</c:v>
                </c:pt>
                <c:pt idx="486">
                  <c:v>6.9369299898660707E-6</c:v>
                </c:pt>
                <c:pt idx="487">
                  <c:v>6.8567294891932688E-6</c:v>
                </c:pt>
                <c:pt idx="488">
                  <c:v>6.7633682756034963E-6</c:v>
                </c:pt>
                <c:pt idx="489">
                  <c:v>6.6823482946597824E-6</c:v>
                </c:pt>
                <c:pt idx="490">
                  <c:v>6.5995312414784985E-6</c:v>
                </c:pt>
                <c:pt idx="491">
                  <c:v>6.5095892238341291E-6</c:v>
                </c:pt>
                <c:pt idx="492">
                  <c:v>6.4342138669409929E-6</c:v>
                </c:pt>
                <c:pt idx="493">
                  <c:v>6.3464718775768198E-6</c:v>
                </c:pt>
                <c:pt idx="494">
                  <c:v>6.2677207343782699E-6</c:v>
                </c:pt>
                <c:pt idx="495">
                  <c:v>6.1925018709405621E-6</c:v>
                </c:pt>
                <c:pt idx="496">
                  <c:v>6.1079798671276273E-6</c:v>
                </c:pt>
                <c:pt idx="497">
                  <c:v>6.0371485329505358E-6</c:v>
                </c:pt>
                <c:pt idx="498">
                  <c:v>5.9646332925985818E-6</c:v>
                </c:pt>
                <c:pt idx="499">
                  <c:v>5.8905128944984358E-6</c:v>
                </c:pt>
                <c:pt idx="500">
                  <c:v>5.810019506664663E-6</c:v>
                </c:pt>
                <c:pt idx="501">
                  <c:v>5.7425655704113151E-6</c:v>
                </c:pt>
                <c:pt idx="502">
                  <c:v>5.6640481844006752E-6</c:v>
                </c:pt>
                <c:pt idx="503">
                  <c:v>5.593579672609132E-6</c:v>
                </c:pt>
                <c:pt idx="504">
                  <c:v>5.5262748410726547E-6</c:v>
                </c:pt>
                <c:pt idx="505">
                  <c:v>5.4506491002317065E-6</c:v>
                </c:pt>
                <c:pt idx="506">
                  <c:v>5.3850258810221976E-6</c:v>
                </c:pt>
                <c:pt idx="507">
                  <c:v>5.3179526218741894E-6</c:v>
                </c:pt>
                <c:pt idx="508">
                  <c:v>5.2451152518645821E-6</c:v>
                </c:pt>
                <c:pt idx="509">
                  <c:v>5.1840794920463621E-6</c:v>
                </c:pt>
                <c:pt idx="510">
                  <c:v>5.1215961179093318E-6</c:v>
                </c:pt>
                <c:pt idx="511">
                  <c:v>5.0535035220798429E-6</c:v>
                </c:pt>
                <c:pt idx="512">
                  <c:v>4.9904712747530543E-6</c:v>
                </c:pt>
                <c:pt idx="513">
                  <c:v>4.9302713562610224E-6</c:v>
                </c:pt>
                <c:pt idx="514">
                  <c:v>4.8626318472355445E-6</c:v>
                </c:pt>
                <c:pt idx="515">
                  <c:v>4.8039411120197739E-6</c:v>
                </c:pt>
                <c:pt idx="516">
                  <c:v>4.7439559777073501E-6</c:v>
                </c:pt>
                <c:pt idx="517">
                  <c:v>4.6788187053252509E-6</c:v>
                </c:pt>
                <c:pt idx="518">
                  <c:v>4.6242377134401967E-6</c:v>
                </c:pt>
                <c:pt idx="519">
                  <c:v>4.5607097542609376E-6</c:v>
                </c:pt>
                <c:pt idx="520">
                  <c:v>4.5036988270904977E-6</c:v>
                </c:pt>
                <c:pt idx="521">
                  <c:v>4.4511183361199094E-6</c:v>
                </c:pt>
                <c:pt idx="522">
                  <c:v>4.3954489382344695E-6</c:v>
                </c:pt>
                <c:pt idx="523">
                  <c:v>4.336819557382572E-6</c:v>
                </c:pt>
                <c:pt idx="524">
                  <c:v>4.2843485132085352E-6</c:v>
                </c:pt>
                <c:pt idx="525">
                  <c:v>4.2307223564897555E-6</c:v>
                </c:pt>
                <c:pt idx="526">
                  <c:v>4.1724926760628443E-6</c:v>
                </c:pt>
                <c:pt idx="527">
                  <c:v>4.1219696331740212E-6</c:v>
                </c:pt>
                <c:pt idx="528">
                  <c:v>4.0669153403891025E-6</c:v>
                </c:pt>
                <c:pt idx="529">
                  <c:v>4.0159564524805643E-6</c:v>
                </c:pt>
                <c:pt idx="530">
                  <c:v>3.9672910075793292E-6</c:v>
                </c:pt>
                <c:pt idx="531">
                  <c:v>3.9126156795145347E-6</c:v>
                </c:pt>
                <c:pt idx="532">
                  <c:v>3.8651776346614021E-6</c:v>
                </c:pt>
                <c:pt idx="533">
                  <c:v>3.8183033102869924E-6</c:v>
                </c:pt>
                <c:pt idx="534">
                  <c:v>3.765640986216922E-6</c:v>
                </c:pt>
                <c:pt idx="535">
                  <c:v>3.7199500847970408E-6</c:v>
                </c:pt>
                <c:pt idx="536">
                  <c:v>3.6732555028594134E-6</c:v>
                </c:pt>
                <c:pt idx="537">
                  <c:v>3.6240811966453452E-6</c:v>
                </c:pt>
                <c:pt idx="538">
                  <c:v>3.5800747661036798E-6</c:v>
                </c:pt>
                <c:pt idx="539">
                  <c:v>3.5306355337656684E-6</c:v>
                </c:pt>
                <c:pt idx="540">
                  <c:v>3.4862720416062114E-6</c:v>
                </c:pt>
                <c:pt idx="541">
                  <c:v>3.4439070918550537E-6</c:v>
                </c:pt>
                <c:pt idx="542">
                  <c:v>3.3977453339396663E-6</c:v>
                </c:pt>
                <c:pt idx="543">
                  <c:v>3.355020073391338E-6</c:v>
                </c:pt>
                <c:pt idx="544">
                  <c:v>3.3128218603450376E-6</c:v>
                </c:pt>
                <c:pt idx="545">
                  <c:v>3.2739067854868001E-6</c:v>
                </c:pt>
                <c:pt idx="546">
                  <c:v>3.2286179944588354E-6</c:v>
                </c:pt>
                <c:pt idx="547">
                  <c:v>3.1906735544134035E-6</c:v>
                </c:pt>
                <c:pt idx="548">
                  <c:v>3.1465147340386744E-6</c:v>
                </c:pt>
                <c:pt idx="549">
                  <c:v>3.1068910435618874E-6</c:v>
                </c:pt>
                <c:pt idx="550">
                  <c:v>3.0690537154292787E-6</c:v>
                </c:pt>
                <c:pt idx="551">
                  <c:v>3.0265473161647291E-6</c:v>
                </c:pt>
                <c:pt idx="552">
                  <c:v>2.989670536647911E-6</c:v>
                </c:pt>
                <c:pt idx="553">
                  <c:v>2.9519862456405503E-6</c:v>
                </c:pt>
                <c:pt idx="554">
                  <c:v>2.9123035352907117E-6</c:v>
                </c:pt>
                <c:pt idx="555">
                  <c:v>2.8767936667061119E-6</c:v>
                </c:pt>
                <c:pt idx="556">
                  <c:v>2.8369027401868018E-6</c:v>
                </c:pt>
                <c:pt idx="557">
                  <c:v>2.8034821499918814E-6</c:v>
                </c:pt>
                <c:pt idx="558">
                  <c:v>2.7681033096191407E-6</c:v>
                </c:pt>
                <c:pt idx="559">
                  <c:v>2.7343206182396162E-6</c:v>
                </c:pt>
                <c:pt idx="560">
                  <c:v>2.6963705530993035E-6</c:v>
                </c:pt>
                <c:pt idx="561">
                  <c:v>2.6634478358711511E-6</c:v>
                </c:pt>
                <c:pt idx="562">
                  <c:v>2.6298053308647951E-6</c:v>
                </c:pt>
                <c:pt idx="563">
                  <c:v>2.5932805451651154E-6</c:v>
                </c:pt>
                <c:pt idx="564">
                  <c:v>2.5626809279667195E-6</c:v>
                </c:pt>
                <c:pt idx="565">
                  <c:v>2.5270722095475304E-6</c:v>
                </c:pt>
                <c:pt idx="566">
                  <c:v>2.4951227152454269E-6</c:v>
                </c:pt>
                <c:pt idx="567">
                  <c:v>2.4646155593749263E-6</c:v>
                </c:pt>
                <c:pt idx="568">
                  <c:v>2.4303461608133447E-6</c:v>
                </c:pt>
                <c:pt idx="569">
                  <c:v>2.4016365986759789E-6</c:v>
                </c:pt>
                <c:pt idx="570">
                  <c:v>2.3722530431467202E-6</c:v>
                </c:pt>
                <c:pt idx="571">
                  <c:v>2.3422280581657768E-6</c:v>
                </c:pt>
                <c:pt idx="572">
                  <c:v>2.3096318526746133E-6</c:v>
                </c:pt>
                <c:pt idx="573">
                  <c:v>2.2823244251946665E-6</c:v>
                </c:pt>
                <c:pt idx="574">
                  <c:v>2.2505478833908562E-6</c:v>
                </c:pt>
                <c:pt idx="575">
                  <c:v>2.2220377438303209E-6</c:v>
                </c:pt>
                <c:pt idx="576">
                  <c:v>2.1948155484769463E-6</c:v>
                </c:pt>
                <c:pt idx="577">
                  <c:v>2.164237248869293E-6</c:v>
                </c:pt>
                <c:pt idx="578">
                  <c:v>2.1377114498057949E-6</c:v>
                </c:pt>
                <c:pt idx="579">
                  <c:v>2.1106073745535246E-6</c:v>
                </c:pt>
                <c:pt idx="580">
                  <c:v>2.0811831026672659E-6</c:v>
                </c:pt>
                <c:pt idx="581">
                  <c:v>2.056533676888781E-6</c:v>
                </c:pt>
                <c:pt idx="582">
                  <c:v>2.0269879730285557E-6</c:v>
                </c:pt>
                <c:pt idx="583">
                  <c:v>2.0029700083379333E-6</c:v>
                </c:pt>
                <c:pt idx="584">
                  <c:v>1.9783893579560209E-6</c:v>
                </c:pt>
                <c:pt idx="585">
                  <c:v>1.9532733525947462E-6</c:v>
                </c:pt>
                <c:pt idx="586">
                  <c:v>1.9260079315643704E-6</c:v>
                </c:pt>
                <c:pt idx="587">
                  <c:v>1.9023567272875313E-6</c:v>
                </c:pt>
                <c:pt idx="588">
                  <c:v>1.8765903684789382E-6</c:v>
                </c:pt>
                <c:pt idx="589">
                  <c:v>1.8527463962655036E-6</c:v>
                </c:pt>
                <c:pt idx="590">
                  <c:v>1.829980667760662E-6</c:v>
                </c:pt>
                <c:pt idx="591">
                  <c:v>1.8044095383750483E-6</c:v>
                </c:pt>
                <c:pt idx="592">
                  <c:v>1.7822284273896194E-6</c:v>
                </c:pt>
                <c:pt idx="593">
                  <c:v>1.7610668745427616E-6</c:v>
                </c:pt>
                <c:pt idx="594">
                  <c:v>1.7364437738699163E-6</c:v>
                </c:pt>
                <c:pt idx="595">
                  <c:v>1.7143533569401882E-6</c:v>
                </c:pt>
                <c:pt idx="596">
                  <c:v>1.6932623024315946E-6</c:v>
                </c:pt>
                <c:pt idx="597">
                  <c:v>1.6702857543312137E-6</c:v>
                </c:pt>
                <c:pt idx="598">
                  <c:v>1.6490241092723384E-6</c:v>
                </c:pt>
                <c:pt idx="599">
                  <c:v>1.6280289502420383E-6</c:v>
                </c:pt>
                <c:pt idx="600">
                  <c:v>1.6059241536134873E-6</c:v>
                </c:pt>
                <c:pt idx="601">
                  <c:v>1.5861470779547757E-6</c:v>
                </c:pt>
                <c:pt idx="602">
                  <c:v>1.5659403990856181E-6</c:v>
                </c:pt>
                <c:pt idx="603">
                  <c:v>1.5440057496235454E-6</c:v>
                </c:pt>
                <c:pt idx="604">
                  <c:v>1.5249797992745326E-6</c:v>
                </c:pt>
                <c:pt idx="605">
                  <c:v>1.5068290580777499E-6</c:v>
                </c:pt>
                <c:pt idx="606">
                  <c:v>1.4857101106456166E-6</c:v>
                </c:pt>
                <c:pt idx="607">
                  <c:v>1.4673918735031536E-6</c:v>
                </c:pt>
                <c:pt idx="608">
                  <c:v>1.4486760756772671E-6</c:v>
                </c:pt>
                <c:pt idx="609">
                  <c:v>1.4289716964376397E-6</c:v>
                </c:pt>
                <c:pt idx="610">
                  <c:v>1.4113427801165965E-6</c:v>
                </c:pt>
                <c:pt idx="611">
                  <c:v>1.391542798822074E-6</c:v>
                </c:pt>
                <c:pt idx="612">
                  <c:v>1.3737804295170424E-6</c:v>
                </c:pt>
                <c:pt idx="613">
                  <c:v>1.3568225361607276E-6</c:v>
                </c:pt>
                <c:pt idx="614">
                  <c:v>1.3383496687771554E-6</c:v>
                </c:pt>
                <c:pt idx="615">
                  <c:v>1.3212565227783462E-6</c:v>
                </c:pt>
                <c:pt idx="616">
                  <c:v>1.304378530221785E-6</c:v>
                </c:pt>
                <c:pt idx="617">
                  <c:v>1.2888175084854914E-6</c:v>
                </c:pt>
                <c:pt idx="618">
                  <c:v>1.2701677637768029E-6</c:v>
                </c:pt>
                <c:pt idx="619">
                  <c:v>1.2555473565973818E-6</c:v>
                </c:pt>
                <c:pt idx="620">
                  <c:v>1.2379030617821051E-6</c:v>
                </c:pt>
                <c:pt idx="621">
                  <c:v>1.2220749970541232E-6</c:v>
                </c:pt>
                <c:pt idx="622">
                  <c:v>1.2069642108054151E-6</c:v>
                </c:pt>
                <c:pt idx="623">
                  <c:v>1.1899931230421627E-6</c:v>
                </c:pt>
                <c:pt idx="624">
                  <c:v>1.1752734737647782E-6</c:v>
                </c:pt>
                <c:pt idx="625">
                  <c:v>1.1602351394044953E-6</c:v>
                </c:pt>
                <c:pt idx="626">
                  <c:v>1.1444033246027497E-6</c:v>
                </c:pt>
                <c:pt idx="627">
                  <c:v>1.1302398253939914E-6</c:v>
                </c:pt>
                <c:pt idx="628">
                  <c:v>1.1143328925240084E-6</c:v>
                </c:pt>
                <c:pt idx="629">
                  <c:v>1.1005364371899633E-6</c:v>
                </c:pt>
                <c:pt idx="630">
                  <c:v>1.0869084414797194E-6</c:v>
                </c:pt>
                <c:pt idx="631">
                  <c:v>1.0729856375743172E-6</c:v>
                </c:pt>
                <c:pt idx="632">
                  <c:v>1.0578736397266607E-6</c:v>
                </c:pt>
                <c:pt idx="633">
                  <c:v>1.0452160899189441E-6</c:v>
                </c:pt>
                <c:pt idx="634">
                  <c:v>1.03048991724565E-6</c:v>
                </c:pt>
                <c:pt idx="635">
                  <c:v>1.0172801713570622E-6</c:v>
                </c:pt>
                <c:pt idx="636">
                  <c:v>1.0046695630207086E-6</c:v>
                </c:pt>
                <c:pt idx="637">
                  <c:v>9.905070553972404E-7</c:v>
                </c:pt>
                <c:pt idx="638">
                  <c:v>9.7822391277004669E-7</c:v>
                </c:pt>
                <c:pt idx="639">
                  <c:v>9.6567534143684807E-7</c:v>
                </c:pt>
                <c:pt idx="640">
                  <c:v>9.5205528534634432E-7</c:v>
                </c:pt>
                <c:pt idx="641">
                  <c:v>9.406476282533985E-7</c:v>
                </c:pt>
                <c:pt idx="642">
                  <c:v>9.2897472690451708E-7</c:v>
                </c:pt>
                <c:pt idx="643">
                  <c:v>9.162601059334062E-7</c:v>
                </c:pt>
                <c:pt idx="644">
                  <c:v>9.0449616603240086E-7</c:v>
                </c:pt>
                <c:pt idx="645">
                  <c:v>8.9326606893992391E-7</c:v>
                </c:pt>
                <c:pt idx="646">
                  <c:v>8.8065429258595409E-7</c:v>
                </c:pt>
                <c:pt idx="647">
                  <c:v>8.6971638471080511E-7</c:v>
                </c:pt>
                <c:pt idx="648">
                  <c:v>8.5854239411132433E-7</c:v>
                </c:pt>
                <c:pt idx="649">
                  <c:v>8.4641460944718184E-7</c:v>
                </c:pt>
                <c:pt idx="650">
                  <c:v>8.3625708219189606E-7</c:v>
                </c:pt>
                <c:pt idx="651">
                  <c:v>8.2444008626450164E-7</c:v>
                </c:pt>
                <c:pt idx="652">
                  <c:v>8.1384047655868082E-7</c:v>
                </c:pt>
                <c:pt idx="653">
                  <c:v>8.0406892700206697E-7</c:v>
                </c:pt>
                <c:pt idx="654">
                  <c:v>7.9372791329680347E-7</c:v>
                </c:pt>
                <c:pt idx="655">
                  <c:v>7.8284219246003926E-7</c:v>
                </c:pt>
                <c:pt idx="656">
                  <c:v>7.7310439194142101E-7</c:v>
                </c:pt>
                <c:pt idx="657">
                  <c:v>7.6315665061541257E-7</c:v>
                </c:pt>
                <c:pt idx="658">
                  <c:v>7.5236006183361791E-7</c:v>
                </c:pt>
                <c:pt idx="659">
                  <c:v>7.4299674056481486E-7</c:v>
                </c:pt>
                <c:pt idx="660">
                  <c:v>7.3279829460543888E-7</c:v>
                </c:pt>
                <c:pt idx="661">
                  <c:v>7.2336284554936147E-7</c:v>
                </c:pt>
                <c:pt idx="662">
                  <c:v>7.1435598253158367E-7</c:v>
                </c:pt>
                <c:pt idx="663">
                  <c:v>7.0424145384673446E-7</c:v>
                </c:pt>
                <c:pt idx="664">
                  <c:v>6.9546976838592078E-7</c:v>
                </c:pt>
                <c:pt idx="665">
                  <c:v>6.8710296883544651E-7</c:v>
                </c:pt>
                <c:pt idx="666">
                  <c:v>6.7736965249764307E-7</c:v>
                </c:pt>
                <c:pt idx="667">
                  <c:v>6.6863942657053621E-7</c:v>
                </c:pt>
                <c:pt idx="668">
                  <c:v>6.6030588142370452E-7</c:v>
                </c:pt>
                <c:pt idx="669">
                  <c:v>6.5122927504116358E-7</c:v>
                </c:pt>
                <c:pt idx="670">
                  <c:v>6.4283193821747373E-7</c:v>
                </c:pt>
                <c:pt idx="671">
                  <c:v>6.3454158129379188E-7</c:v>
                </c:pt>
                <c:pt idx="672">
                  <c:v>6.258149375048925E-7</c:v>
                </c:pt>
                <c:pt idx="673">
                  <c:v>6.1800888888546728E-7</c:v>
                </c:pt>
                <c:pt idx="674">
                  <c:v>6.1003489503895233E-7</c:v>
                </c:pt>
                <c:pt idx="675">
                  <c:v>6.0138087711318876E-7</c:v>
                </c:pt>
                <c:pt idx="676">
                  <c:v>5.9387603866506438E-7</c:v>
                </c:pt>
                <c:pt idx="677">
                  <c:v>5.8646375199726221E-7</c:v>
                </c:pt>
                <c:pt idx="678">
                  <c:v>5.7814023169586918E-7</c:v>
                </c:pt>
                <c:pt idx="679">
                  <c:v>5.7116947313710461E-7</c:v>
                </c:pt>
                <c:pt idx="680">
                  <c:v>5.6306050218711914E-7</c:v>
                </c:pt>
                <c:pt idx="681">
                  <c:v>5.5578749285701214E-7</c:v>
                </c:pt>
                <c:pt idx="682">
                  <c:v>5.4884519420503531E-7</c:v>
                </c:pt>
                <c:pt idx="683">
                  <c:v>5.4104954080438634E-7</c:v>
                </c:pt>
                <c:pt idx="684">
                  <c:v>5.3428922291385229E-7</c:v>
                </c:pt>
                <c:pt idx="685">
                  <c:v>5.2738364539679691E-7</c:v>
                </c:pt>
                <c:pt idx="686">
                  <c:v>5.2011491938972284E-7</c:v>
                </c:pt>
                <c:pt idx="687">
                  <c:v>5.1361322020403461E-7</c:v>
                </c:pt>
                <c:pt idx="688">
                  <c:v>5.0631241799344669E-7</c:v>
                </c:pt>
                <c:pt idx="689">
                  <c:v>5.0019831624540601E-7</c:v>
                </c:pt>
                <c:pt idx="690">
                  <c:v>4.9372847452374004E-7</c:v>
                </c:pt>
                <c:pt idx="691">
                  <c:v>4.8755295557016543E-7</c:v>
                </c:pt>
                <c:pt idx="692">
                  <c:v>4.8061849150068218E-7</c:v>
                </c:pt>
                <c:pt idx="693">
                  <c:v>4.7460512411658702E-7</c:v>
                </c:pt>
                <c:pt idx="694">
                  <c:v>4.6846267782001082E-7</c:v>
                </c:pt>
                <c:pt idx="695">
                  <c:v>4.6179674552366977E-7</c:v>
                </c:pt>
                <c:pt idx="696">
                  <c:v>4.562144141621706E-7</c:v>
                </c:pt>
                <c:pt idx="697">
                  <c:v>4.4972085047303798E-7</c:v>
                </c:pt>
                <c:pt idx="698">
                  <c:v>4.4389696610248681E-7</c:v>
                </c:pt>
                <c:pt idx="699">
                  <c:v>4.383381234655802E-7</c:v>
                </c:pt>
                <c:pt idx="700">
                  <c:v>4.3209624553361424E-7</c:v>
                </c:pt>
                <c:pt idx="701">
                  <c:v>4.2686909788258537E-7</c:v>
                </c:pt>
                <c:pt idx="702">
                  <c:v>4.2152119204324316E-7</c:v>
                </c:pt>
                <c:pt idx="703">
                  <c:v>4.160586048640347E-7</c:v>
                </c:pt>
                <c:pt idx="704">
                  <c:v>4.1013060300909168E-7</c:v>
                </c:pt>
                <c:pt idx="705">
                  <c:v>4.0516635132810427E-7</c:v>
                </c:pt>
                <c:pt idx="706">
                  <c:v>3.9939188216431172E-7</c:v>
                </c:pt>
                <c:pt idx="707">
                  <c:v>3.9421304554815633E-7</c:v>
                </c:pt>
                <c:pt idx="708">
                  <c:v>3.8926999579348805E-7</c:v>
                </c:pt>
                <c:pt idx="709">
                  <c:v>3.8371969410154167E-7</c:v>
                </c:pt>
                <c:pt idx="710">
                  <c:v>3.7890682959747288E-7</c:v>
                </c:pt>
                <c:pt idx="711">
                  <c:v>3.7399084634872646E-7</c:v>
                </c:pt>
                <c:pt idx="712">
                  <c:v>3.6865612219934765E-7</c:v>
                </c:pt>
                <c:pt idx="713">
                  <c:v>3.6418877879845465E-7</c:v>
                </c:pt>
                <c:pt idx="714">
                  <c:v>3.5961834913975237E-7</c:v>
                </c:pt>
                <c:pt idx="715">
                  <c:v>3.5464095551552667E-7</c:v>
                </c:pt>
                <c:pt idx="716">
                  <c:v>3.5003658097760838E-7</c:v>
                </c:pt>
                <c:pt idx="717">
                  <c:v>3.4564192594357417E-7</c:v>
                </c:pt>
                <c:pt idx="718">
                  <c:v>3.4070749170947738E-7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918720"/>
        <c:axId val="929917152"/>
      </c:lineChart>
      <c:dateAx>
        <c:axId val="92991872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it-IT"/>
          </a:p>
        </c:txPr>
        <c:crossAx val="929917152"/>
        <c:crosses val="autoZero"/>
        <c:auto val="1"/>
        <c:lblOffset val="100"/>
        <c:baseTimeUnit val="days"/>
        <c:majorUnit val="36"/>
        <c:majorTimeUnit val="months"/>
      </c:dateAx>
      <c:valAx>
        <c:axId val="92991715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29918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'3M Basis'!$W$2</c:f>
              <c:strCache>
                <c:ptCount val="1"/>
                <c:pt idx="0">
                  <c:v>Market 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'3M Basis'!$S$3:$S$1310</c:f>
              <c:numCache>
                <c:formatCode>ddd\,\ dd\-mmm\-yyyy</c:formatCode>
                <c:ptCount val="1308"/>
                <c:pt idx="0">
                  <c:v>42279</c:v>
                </c:pt>
                <c:pt idx="1">
                  <c:v>42312</c:v>
                </c:pt>
                <c:pt idx="2">
                  <c:v>42342</c:v>
                </c:pt>
                <c:pt idx="3">
                  <c:v>42375</c:v>
                </c:pt>
                <c:pt idx="4">
                  <c:v>42404</c:v>
                </c:pt>
                <c:pt idx="5">
                  <c:v>42433</c:v>
                </c:pt>
                <c:pt idx="6">
                  <c:v>42466</c:v>
                </c:pt>
                <c:pt idx="7">
                  <c:v>42494</c:v>
                </c:pt>
                <c:pt idx="8">
                  <c:v>42527</c:v>
                </c:pt>
                <c:pt idx="9">
                  <c:v>42557</c:v>
                </c:pt>
                <c:pt idx="10">
                  <c:v>42586</c:v>
                </c:pt>
                <c:pt idx="11">
                  <c:v>42619</c:v>
                </c:pt>
                <c:pt idx="12">
                  <c:v>42648</c:v>
                </c:pt>
                <c:pt idx="13">
                  <c:v>42678</c:v>
                </c:pt>
                <c:pt idx="14">
                  <c:v>42710</c:v>
                </c:pt>
                <c:pt idx="15">
                  <c:v>42739</c:v>
                </c:pt>
                <c:pt idx="16">
                  <c:v>42772</c:v>
                </c:pt>
                <c:pt idx="17">
                  <c:v>42800</c:v>
                </c:pt>
                <c:pt idx="18">
                  <c:v>42830</c:v>
                </c:pt>
                <c:pt idx="19">
                  <c:v>42921</c:v>
                </c:pt>
                <c:pt idx="20">
                  <c:v>43012</c:v>
                </c:pt>
                <c:pt idx="21">
                  <c:v>43104</c:v>
                </c:pt>
                <c:pt idx="22">
                  <c:v>43195</c:v>
                </c:pt>
                <c:pt idx="23">
                  <c:v>43285</c:v>
                </c:pt>
                <c:pt idx="24">
                  <c:v>43377</c:v>
                </c:pt>
                <c:pt idx="25">
                  <c:v>43469</c:v>
                </c:pt>
                <c:pt idx="26">
                  <c:v>43559</c:v>
                </c:pt>
                <c:pt idx="27">
                  <c:v>43650</c:v>
                </c:pt>
                <c:pt idx="28">
                  <c:v>43742</c:v>
                </c:pt>
                <c:pt idx="29">
                  <c:v>43836</c:v>
                </c:pt>
                <c:pt idx="30">
                  <c:v>43927</c:v>
                </c:pt>
                <c:pt idx="31">
                  <c:v>44018</c:v>
                </c:pt>
                <c:pt idx="32">
                  <c:v>44110</c:v>
                </c:pt>
                <c:pt idx="33">
                  <c:v>44202</c:v>
                </c:pt>
                <c:pt idx="34">
                  <c:v>44294</c:v>
                </c:pt>
                <c:pt idx="35">
                  <c:v>44383</c:v>
                </c:pt>
                <c:pt idx="36">
                  <c:v>44475</c:v>
                </c:pt>
                <c:pt idx="37">
                  <c:v>44566</c:v>
                </c:pt>
                <c:pt idx="38">
                  <c:v>44657</c:v>
                </c:pt>
                <c:pt idx="39">
                  <c:v>44748</c:v>
                </c:pt>
                <c:pt idx="40">
                  <c:v>44839</c:v>
                </c:pt>
                <c:pt idx="41">
                  <c:v>44930</c:v>
                </c:pt>
                <c:pt idx="42">
                  <c:v>45021</c:v>
                </c:pt>
                <c:pt idx="43">
                  <c:v>45112</c:v>
                </c:pt>
                <c:pt idx="44">
                  <c:v>45203</c:v>
                </c:pt>
                <c:pt idx="45">
                  <c:v>45295</c:v>
                </c:pt>
                <c:pt idx="46">
                  <c:v>45386</c:v>
                </c:pt>
                <c:pt idx="47">
                  <c:v>45477</c:v>
                </c:pt>
                <c:pt idx="48">
                  <c:v>45569</c:v>
                </c:pt>
                <c:pt idx="49">
                  <c:v>45663</c:v>
                </c:pt>
                <c:pt idx="50">
                  <c:v>45751</c:v>
                </c:pt>
                <c:pt idx="51">
                  <c:v>45842</c:v>
                </c:pt>
                <c:pt idx="52">
                  <c:v>45936</c:v>
                </c:pt>
                <c:pt idx="53">
                  <c:v>46028</c:v>
                </c:pt>
                <c:pt idx="54">
                  <c:v>46120</c:v>
                </c:pt>
                <c:pt idx="55">
                  <c:v>46209</c:v>
                </c:pt>
                <c:pt idx="56">
                  <c:v>46301</c:v>
                </c:pt>
                <c:pt idx="57">
                  <c:v>46393</c:v>
                </c:pt>
                <c:pt idx="58">
                  <c:v>46483</c:v>
                </c:pt>
                <c:pt idx="59">
                  <c:v>46574</c:v>
                </c:pt>
                <c:pt idx="60">
                  <c:v>46666</c:v>
                </c:pt>
                <c:pt idx="61">
                  <c:v>46757</c:v>
                </c:pt>
                <c:pt idx="62">
                  <c:v>46848</c:v>
                </c:pt>
                <c:pt idx="63">
                  <c:v>46939</c:v>
                </c:pt>
                <c:pt idx="64">
                  <c:v>47030</c:v>
                </c:pt>
                <c:pt idx="65">
                  <c:v>47122</c:v>
                </c:pt>
                <c:pt idx="66">
                  <c:v>47213</c:v>
                </c:pt>
                <c:pt idx="67">
                  <c:v>47303</c:v>
                </c:pt>
                <c:pt idx="68">
                  <c:v>47395</c:v>
                </c:pt>
                <c:pt idx="69">
                  <c:v>47487</c:v>
                </c:pt>
                <c:pt idx="70">
                  <c:v>47577</c:v>
                </c:pt>
                <c:pt idx="71">
                  <c:v>47668</c:v>
                </c:pt>
                <c:pt idx="72">
                  <c:v>47760</c:v>
                </c:pt>
                <c:pt idx="73">
                  <c:v>47854</c:v>
                </c:pt>
                <c:pt idx="74">
                  <c:v>47942</c:v>
                </c:pt>
                <c:pt idx="75">
                  <c:v>48033</c:v>
                </c:pt>
                <c:pt idx="76">
                  <c:v>48127</c:v>
                </c:pt>
                <c:pt idx="77">
                  <c:v>48219</c:v>
                </c:pt>
                <c:pt idx="78">
                  <c:v>48310</c:v>
                </c:pt>
                <c:pt idx="79">
                  <c:v>48401</c:v>
                </c:pt>
                <c:pt idx="80">
                  <c:v>48493</c:v>
                </c:pt>
                <c:pt idx="81">
                  <c:v>48584</c:v>
                </c:pt>
                <c:pt idx="82">
                  <c:v>48675</c:v>
                </c:pt>
                <c:pt idx="83">
                  <c:v>48766</c:v>
                </c:pt>
                <c:pt idx="84">
                  <c:v>48857</c:v>
                </c:pt>
                <c:pt idx="85">
                  <c:v>48948</c:v>
                </c:pt>
                <c:pt idx="86">
                  <c:v>49039</c:v>
                </c:pt>
                <c:pt idx="87">
                  <c:v>49130</c:v>
                </c:pt>
                <c:pt idx="88">
                  <c:v>49221</c:v>
                </c:pt>
                <c:pt idx="89">
                  <c:v>49313</c:v>
                </c:pt>
                <c:pt idx="90">
                  <c:v>49403</c:v>
                </c:pt>
                <c:pt idx="91">
                  <c:v>49494</c:v>
                </c:pt>
                <c:pt idx="92">
                  <c:v>49586</c:v>
                </c:pt>
                <c:pt idx="93">
                  <c:v>49678</c:v>
                </c:pt>
                <c:pt idx="94">
                  <c:v>49769</c:v>
                </c:pt>
                <c:pt idx="95">
                  <c:v>49860</c:v>
                </c:pt>
                <c:pt idx="96">
                  <c:v>49954</c:v>
                </c:pt>
                <c:pt idx="97">
                  <c:v>50046</c:v>
                </c:pt>
                <c:pt idx="98">
                  <c:v>50138</c:v>
                </c:pt>
                <c:pt idx="99">
                  <c:v>50227</c:v>
                </c:pt>
                <c:pt idx="100">
                  <c:v>50319</c:v>
                </c:pt>
                <c:pt idx="101">
                  <c:v>50411</c:v>
                </c:pt>
                <c:pt idx="102">
                  <c:v>50501</c:v>
                </c:pt>
                <c:pt idx="103">
                  <c:v>50592</c:v>
                </c:pt>
                <c:pt idx="104">
                  <c:v>50684</c:v>
                </c:pt>
                <c:pt idx="105">
                  <c:v>50775</c:v>
                </c:pt>
                <c:pt idx="106">
                  <c:v>50866</c:v>
                </c:pt>
                <c:pt idx="107">
                  <c:v>50957</c:v>
                </c:pt>
                <c:pt idx="108">
                  <c:v>51048</c:v>
                </c:pt>
                <c:pt idx="109">
                  <c:v>51139</c:v>
                </c:pt>
                <c:pt idx="110">
                  <c:v>51231</c:v>
                </c:pt>
                <c:pt idx="111">
                  <c:v>51321</c:v>
                </c:pt>
                <c:pt idx="112">
                  <c:v>51413</c:v>
                </c:pt>
                <c:pt idx="113">
                  <c:v>51505</c:v>
                </c:pt>
                <c:pt idx="114">
                  <c:v>51595</c:v>
                </c:pt>
                <c:pt idx="115">
                  <c:v>51686</c:v>
                </c:pt>
                <c:pt idx="116">
                  <c:v>51778</c:v>
                </c:pt>
                <c:pt idx="117">
                  <c:v>51872</c:v>
                </c:pt>
                <c:pt idx="118">
                  <c:v>51964</c:v>
                </c:pt>
                <c:pt idx="119">
                  <c:v>52051</c:v>
                </c:pt>
                <c:pt idx="120">
                  <c:v>52145</c:v>
                </c:pt>
                <c:pt idx="121">
                  <c:v>52237</c:v>
                </c:pt>
                <c:pt idx="122">
                  <c:v>52327</c:v>
                </c:pt>
                <c:pt idx="123">
                  <c:v>52418</c:v>
                </c:pt>
                <c:pt idx="124">
                  <c:v>52510</c:v>
                </c:pt>
                <c:pt idx="125">
                  <c:v>52602</c:v>
                </c:pt>
                <c:pt idx="126">
                  <c:v>52693</c:v>
                </c:pt>
                <c:pt idx="127">
                  <c:v>52784</c:v>
                </c:pt>
                <c:pt idx="128">
                  <c:v>52875</c:v>
                </c:pt>
                <c:pt idx="129">
                  <c:v>52966</c:v>
                </c:pt>
                <c:pt idx="130">
                  <c:v>53057</c:v>
                </c:pt>
                <c:pt idx="131">
                  <c:v>53148</c:v>
                </c:pt>
                <c:pt idx="132">
                  <c:v>53239</c:v>
                </c:pt>
                <c:pt idx="133">
                  <c:v>53331</c:v>
                </c:pt>
                <c:pt idx="134">
                  <c:v>53421</c:v>
                </c:pt>
                <c:pt idx="135">
                  <c:v>53512</c:v>
                </c:pt>
                <c:pt idx="136">
                  <c:v>53604</c:v>
                </c:pt>
                <c:pt idx="137">
                  <c:v>53696</c:v>
                </c:pt>
                <c:pt idx="138">
                  <c:v>53786</c:v>
                </c:pt>
                <c:pt idx="139">
                  <c:v>53877</c:v>
                </c:pt>
                <c:pt idx="140">
                  <c:v>53969</c:v>
                </c:pt>
                <c:pt idx="141">
                  <c:v>54063</c:v>
                </c:pt>
                <c:pt idx="142">
                  <c:v>54156</c:v>
                </c:pt>
                <c:pt idx="143">
                  <c:v>54245</c:v>
                </c:pt>
                <c:pt idx="144">
                  <c:v>54337</c:v>
                </c:pt>
                <c:pt idx="145">
                  <c:v>54429</c:v>
                </c:pt>
                <c:pt idx="146">
                  <c:v>54519</c:v>
                </c:pt>
                <c:pt idx="147">
                  <c:v>54610</c:v>
                </c:pt>
                <c:pt idx="148">
                  <c:v>54702</c:v>
                </c:pt>
                <c:pt idx="149">
                  <c:v>54793</c:v>
                </c:pt>
                <c:pt idx="150">
                  <c:v>54884</c:v>
                </c:pt>
                <c:pt idx="151">
                  <c:v>54975</c:v>
                </c:pt>
                <c:pt idx="152">
                  <c:v>55066</c:v>
                </c:pt>
                <c:pt idx="153">
                  <c:v>55157</c:v>
                </c:pt>
                <c:pt idx="154">
                  <c:v>55249</c:v>
                </c:pt>
                <c:pt idx="155">
                  <c:v>55339</c:v>
                </c:pt>
                <c:pt idx="156">
                  <c:v>55430</c:v>
                </c:pt>
                <c:pt idx="157">
                  <c:v>55522</c:v>
                </c:pt>
                <c:pt idx="158">
                  <c:v>55613</c:v>
                </c:pt>
                <c:pt idx="159">
                  <c:v>55704</c:v>
                </c:pt>
                <c:pt idx="160">
                  <c:v>55796</c:v>
                </c:pt>
                <c:pt idx="161">
                  <c:v>55890</c:v>
                </c:pt>
                <c:pt idx="162">
                  <c:v>55982</c:v>
                </c:pt>
                <c:pt idx="163">
                  <c:v>56069</c:v>
                </c:pt>
                <c:pt idx="164">
                  <c:v>56163</c:v>
                </c:pt>
                <c:pt idx="165">
                  <c:v>56255</c:v>
                </c:pt>
                <c:pt idx="166">
                  <c:v>56345</c:v>
                </c:pt>
                <c:pt idx="167">
                  <c:v>56436</c:v>
                </c:pt>
                <c:pt idx="168">
                  <c:v>56528</c:v>
                </c:pt>
                <c:pt idx="169">
                  <c:v>56620</c:v>
                </c:pt>
                <c:pt idx="170">
                  <c:v>56710</c:v>
                </c:pt>
                <c:pt idx="171">
                  <c:v>56801</c:v>
                </c:pt>
                <c:pt idx="172">
                  <c:v>56893</c:v>
                </c:pt>
                <c:pt idx="173">
                  <c:v>56984</c:v>
                </c:pt>
                <c:pt idx="174">
                  <c:v>57076</c:v>
                </c:pt>
                <c:pt idx="175">
                  <c:v>57166</c:v>
                </c:pt>
                <c:pt idx="176">
                  <c:v>57257</c:v>
                </c:pt>
                <c:pt idx="177">
                  <c:v>57349</c:v>
                </c:pt>
                <c:pt idx="178">
                  <c:v>57439</c:v>
                </c:pt>
                <c:pt idx="179">
                  <c:v>57530</c:v>
                </c:pt>
                <c:pt idx="180">
                  <c:v>57622</c:v>
                </c:pt>
                <c:pt idx="181">
                  <c:v>57714</c:v>
                </c:pt>
                <c:pt idx="182">
                  <c:v>57804</c:v>
                </c:pt>
                <c:pt idx="183">
                  <c:v>57895</c:v>
                </c:pt>
                <c:pt idx="184">
                  <c:v>57987</c:v>
                </c:pt>
                <c:pt idx="185">
                  <c:v>58081</c:v>
                </c:pt>
                <c:pt idx="186">
                  <c:v>58169</c:v>
                </c:pt>
                <c:pt idx="187">
                  <c:v>58260</c:v>
                </c:pt>
                <c:pt idx="188">
                  <c:v>58354</c:v>
                </c:pt>
                <c:pt idx="189">
                  <c:v>58446</c:v>
                </c:pt>
                <c:pt idx="190">
                  <c:v>58537</c:v>
                </c:pt>
                <c:pt idx="191">
                  <c:v>58628</c:v>
                </c:pt>
                <c:pt idx="192">
                  <c:v>58720</c:v>
                </c:pt>
                <c:pt idx="193">
                  <c:v>58811</c:v>
                </c:pt>
                <c:pt idx="194">
                  <c:v>58902</c:v>
                </c:pt>
                <c:pt idx="195">
                  <c:v>58993</c:v>
                </c:pt>
                <c:pt idx="196">
                  <c:v>59084</c:v>
                </c:pt>
                <c:pt idx="197">
                  <c:v>59175</c:v>
                </c:pt>
                <c:pt idx="198">
                  <c:v>59266</c:v>
                </c:pt>
                <c:pt idx="199">
                  <c:v>59357</c:v>
                </c:pt>
                <c:pt idx="200">
                  <c:v>59448</c:v>
                </c:pt>
                <c:pt idx="201">
                  <c:v>59540</c:v>
                </c:pt>
                <c:pt idx="202">
                  <c:v>59630</c:v>
                </c:pt>
                <c:pt idx="203">
                  <c:v>59721</c:v>
                </c:pt>
                <c:pt idx="204">
                  <c:v>59813</c:v>
                </c:pt>
                <c:pt idx="205">
                  <c:v>59905</c:v>
                </c:pt>
                <c:pt idx="206">
                  <c:v>60000</c:v>
                </c:pt>
                <c:pt idx="207">
                  <c:v>60087</c:v>
                </c:pt>
                <c:pt idx="208">
                  <c:v>60181</c:v>
                </c:pt>
                <c:pt idx="209">
                  <c:v>60273</c:v>
                </c:pt>
                <c:pt idx="210">
                  <c:v>60363</c:v>
                </c:pt>
                <c:pt idx="211">
                  <c:v>60454</c:v>
                </c:pt>
                <c:pt idx="212">
                  <c:v>60546</c:v>
                </c:pt>
                <c:pt idx="213">
                  <c:v>60638</c:v>
                </c:pt>
                <c:pt idx="214">
                  <c:v>60728</c:v>
                </c:pt>
                <c:pt idx="215">
                  <c:v>60819</c:v>
                </c:pt>
                <c:pt idx="216">
                  <c:v>60911</c:v>
                </c:pt>
                <c:pt idx="217">
                  <c:v>61002</c:v>
                </c:pt>
                <c:pt idx="218">
                  <c:v>61094</c:v>
                </c:pt>
                <c:pt idx="219">
                  <c:v>61184</c:v>
                </c:pt>
                <c:pt idx="220">
                  <c:v>61275</c:v>
                </c:pt>
                <c:pt idx="221">
                  <c:v>61366</c:v>
                </c:pt>
                <c:pt idx="222">
                  <c:v>61457</c:v>
                </c:pt>
                <c:pt idx="223">
                  <c:v>61548</c:v>
                </c:pt>
                <c:pt idx="224">
                  <c:v>61640</c:v>
                </c:pt>
                <c:pt idx="225">
                  <c:v>61732</c:v>
                </c:pt>
                <c:pt idx="226">
                  <c:v>61822</c:v>
                </c:pt>
                <c:pt idx="227">
                  <c:v>61913</c:v>
                </c:pt>
                <c:pt idx="228">
                  <c:v>62005</c:v>
                </c:pt>
                <c:pt idx="229">
                  <c:v>62099</c:v>
                </c:pt>
                <c:pt idx="230">
                  <c:v>62187</c:v>
                </c:pt>
                <c:pt idx="231">
                  <c:v>62278</c:v>
                </c:pt>
                <c:pt idx="232">
                  <c:v>62372</c:v>
                </c:pt>
                <c:pt idx="233">
                  <c:v>62464</c:v>
                </c:pt>
                <c:pt idx="234">
                  <c:v>62554</c:v>
                </c:pt>
                <c:pt idx="235">
                  <c:v>62645</c:v>
                </c:pt>
                <c:pt idx="236">
                  <c:v>62737</c:v>
                </c:pt>
                <c:pt idx="237">
                  <c:v>62829</c:v>
                </c:pt>
                <c:pt idx="238">
                  <c:v>62920</c:v>
                </c:pt>
                <c:pt idx="239">
                  <c:v>63011</c:v>
                </c:pt>
                <c:pt idx="240">
                  <c:v>63102</c:v>
                </c:pt>
                <c:pt idx="241">
                  <c:v>63193</c:v>
                </c:pt>
                <c:pt idx="242">
                  <c:v>63284</c:v>
                </c:pt>
                <c:pt idx="243">
                  <c:v>63375</c:v>
                </c:pt>
                <c:pt idx="244">
                  <c:v>63466</c:v>
                </c:pt>
                <c:pt idx="245">
                  <c:v>63558</c:v>
                </c:pt>
                <c:pt idx="246">
                  <c:v>63648</c:v>
                </c:pt>
                <c:pt idx="247">
                  <c:v>63739</c:v>
                </c:pt>
                <c:pt idx="248">
                  <c:v>63831</c:v>
                </c:pt>
                <c:pt idx="249">
                  <c:v>63923</c:v>
                </c:pt>
                <c:pt idx="250">
                  <c:v>64013</c:v>
                </c:pt>
              </c:numCache>
            </c:numRef>
          </c:cat>
          <c:val>
            <c:numRef>
              <c:f>'3M Basis'!$W$3:$W$253</c:f>
              <c:numCache>
                <c:formatCode>0.0000%</c:formatCode>
                <c:ptCount val="251"/>
                <c:pt idx="0">
                  <c:v>9.8946447470969713E-4</c:v>
                </c:pt>
                <c:pt idx="1">
                  <c:v>1.0615591803397884E-3</c:v>
                </c:pt>
                <c:pt idx="2">
                  <c:v>1.0976617538830111E-3</c:v>
                </c:pt>
                <c:pt idx="3">
                  <c:v>1.1327841682475779E-3</c:v>
                </c:pt>
                <c:pt idx="4">
                  <c:v>1.1585430855958201E-3</c:v>
                </c:pt>
                <c:pt idx="5">
                  <c:v>1.2139020553339308E-3</c:v>
                </c:pt>
                <c:pt idx="6">
                  <c:v>1.254855967025033E-3</c:v>
                </c:pt>
                <c:pt idx="7">
                  <c:v>1.2648549593625327E-3</c:v>
                </c:pt>
                <c:pt idx="8">
                  <c:v>1.2666390433678449E-3</c:v>
                </c:pt>
                <c:pt idx="9">
                  <c:v>1.2823595361240955E-3</c:v>
                </c:pt>
                <c:pt idx="10">
                  <c:v>1.3080024788893739E-3</c:v>
                </c:pt>
                <c:pt idx="11">
                  <c:v>1.3354828742104469E-3</c:v>
                </c:pt>
                <c:pt idx="12">
                  <c:v>1.356121516370917E-3</c:v>
                </c:pt>
                <c:pt idx="13">
                  <c:v>1.3599974388069356E-3</c:v>
                </c:pt>
                <c:pt idx="14">
                  <c:v>1.3611054946229828E-3</c:v>
                </c:pt>
                <c:pt idx="15">
                  <c:v>1.3613776669960664E-3</c:v>
                </c:pt>
                <c:pt idx="16">
                  <c:v>1.3954201887444396E-3</c:v>
                </c:pt>
                <c:pt idx="17">
                  <c:v>1.4412428993514023E-3</c:v>
                </c:pt>
                <c:pt idx="18">
                  <c:v>1.4848669593145428E-3</c:v>
                </c:pt>
                <c:pt idx="19">
                  <c:v>1.5283343631082278E-3</c:v>
                </c:pt>
                <c:pt idx="20">
                  <c:v>1.5325068956364141E-3</c:v>
                </c:pt>
                <c:pt idx="21">
                  <c:v>1.6529975216603709E-3</c:v>
                </c:pt>
                <c:pt idx="22">
                  <c:v>1.744836515594944E-3</c:v>
                </c:pt>
                <c:pt idx="23">
                  <c:v>1.778013626140708E-3</c:v>
                </c:pt>
                <c:pt idx="24">
                  <c:v>1.766165771575454E-3</c:v>
                </c:pt>
                <c:pt idx="25">
                  <c:v>1.7575607779658498E-3</c:v>
                </c:pt>
                <c:pt idx="26">
                  <c:v>1.7635052609550998E-3</c:v>
                </c:pt>
                <c:pt idx="27">
                  <c:v>1.784150759888861E-3</c:v>
                </c:pt>
                <c:pt idx="28">
                  <c:v>1.8105657035298447E-3</c:v>
                </c:pt>
                <c:pt idx="29">
                  <c:v>1.807049630401565E-3</c:v>
                </c:pt>
                <c:pt idx="30">
                  <c:v>1.7666135452575719E-3</c:v>
                </c:pt>
                <c:pt idx="31">
                  <c:v>1.6889820054813553E-3</c:v>
                </c:pt>
                <c:pt idx="32">
                  <c:v>1.5870489114245675E-3</c:v>
                </c:pt>
                <c:pt idx="33">
                  <c:v>1.5091717768056512E-3</c:v>
                </c:pt>
                <c:pt idx="34">
                  <c:v>1.4642778805412232E-3</c:v>
                </c:pt>
                <c:pt idx="35">
                  <c:v>1.453555906364954E-3</c:v>
                </c:pt>
                <c:pt idx="36">
                  <c:v>1.4687287692458448E-3</c:v>
                </c:pt>
                <c:pt idx="37">
                  <c:v>1.4830149443518792E-3</c:v>
                </c:pt>
                <c:pt idx="38">
                  <c:v>1.4908493512493428E-3</c:v>
                </c:pt>
                <c:pt idx="39">
                  <c:v>1.4918102730054426E-3</c:v>
                </c:pt>
                <c:pt idx="40">
                  <c:v>1.4865416743533068E-3</c:v>
                </c:pt>
                <c:pt idx="41">
                  <c:v>1.4774857289188148E-3</c:v>
                </c:pt>
                <c:pt idx="42">
                  <c:v>1.4651980384629473E-3</c:v>
                </c:pt>
                <c:pt idx="43">
                  <c:v>1.4496348566574238E-3</c:v>
                </c:pt>
                <c:pt idx="44">
                  <c:v>1.4341006348763379E-3</c:v>
                </c:pt>
                <c:pt idx="45">
                  <c:v>1.4304183181512962E-3</c:v>
                </c:pt>
                <c:pt idx="46">
                  <c:v>1.4415514392101918E-3</c:v>
                </c:pt>
                <c:pt idx="47">
                  <c:v>1.4676322268394049E-3</c:v>
                </c:pt>
                <c:pt idx="48">
                  <c:v>1.4995116424639347E-3</c:v>
                </c:pt>
                <c:pt idx="49">
                  <c:v>1.5002317210350523E-3</c:v>
                </c:pt>
                <c:pt idx="50">
                  <c:v>1.4648085874095634E-3</c:v>
                </c:pt>
                <c:pt idx="51">
                  <c:v>1.389605766034363E-3</c:v>
                </c:pt>
                <c:pt idx="52">
                  <c:v>1.2907840114840183E-3</c:v>
                </c:pt>
                <c:pt idx="53">
                  <c:v>1.228202652963719E-3</c:v>
                </c:pt>
                <c:pt idx="54">
                  <c:v>1.2128852722908638E-3</c:v>
                </c:pt>
                <c:pt idx="55">
                  <c:v>1.2438032563621484E-3</c:v>
                </c:pt>
                <c:pt idx="56">
                  <c:v>1.3065405831210186E-3</c:v>
                </c:pt>
                <c:pt idx="57">
                  <c:v>1.3447525523124781E-3</c:v>
                </c:pt>
                <c:pt idx="58">
                  <c:v>1.3474641182165958E-3</c:v>
                </c:pt>
                <c:pt idx="59">
                  <c:v>1.3142987879891238E-3</c:v>
                </c:pt>
                <c:pt idx="60">
                  <c:v>1.2518071954788525E-3</c:v>
                </c:pt>
                <c:pt idx="61">
                  <c:v>1.1884187093578573E-3</c:v>
                </c:pt>
                <c:pt idx="62">
                  <c:v>1.1292166016116205E-3</c:v>
                </c:pt>
                <c:pt idx="63">
                  <c:v>1.0742667995453925E-3</c:v>
                </c:pt>
                <c:pt idx="64">
                  <c:v>1.0240378733123133E-3</c:v>
                </c:pt>
                <c:pt idx="65">
                  <c:v>9.7816548632678746E-4</c:v>
                </c:pt>
                <c:pt idx="66">
                  <c:v>9.3674021229158203E-4</c:v>
                </c:pt>
                <c:pt idx="67">
                  <c:v>9.0021803049347357E-4</c:v>
                </c:pt>
                <c:pt idx="68">
                  <c:v>8.675725000093816E-4</c:v>
                </c:pt>
                <c:pt idx="69">
                  <c:v>8.3968130330802637E-4</c:v>
                </c:pt>
                <c:pt idx="70">
                  <c:v>8.165449405120942E-4</c:v>
                </c:pt>
                <c:pt idx="71">
                  <c:v>7.9765451207006524E-4</c:v>
                </c:pt>
                <c:pt idx="72">
                  <c:v>7.8228511231231632E-4</c:v>
                </c:pt>
                <c:pt idx="73">
                  <c:v>7.6744901511749397E-4</c:v>
                </c:pt>
                <c:pt idx="74">
                  <c:v>7.5342044736652347E-4</c:v>
                </c:pt>
                <c:pt idx="75">
                  <c:v>7.3875566738543924E-4</c:v>
                </c:pt>
                <c:pt idx="76">
                  <c:v>7.2375658360490647E-4</c:v>
                </c:pt>
                <c:pt idx="77">
                  <c:v>7.0899771445984833E-4</c:v>
                </c:pt>
                <c:pt idx="78">
                  <c:v>6.9431656989694598E-4</c:v>
                </c:pt>
                <c:pt idx="79">
                  <c:v>6.7954876790372876E-4</c:v>
                </c:pt>
                <c:pt idx="80">
                  <c:v>6.646176958501962E-4</c:v>
                </c:pt>
                <c:pt idx="81">
                  <c:v>6.4989803040660377E-4</c:v>
                </c:pt>
                <c:pt idx="82">
                  <c:v>6.3499836081820984E-4</c:v>
                </c:pt>
                <c:pt idx="83">
                  <c:v>6.2005331239804035E-4</c:v>
                </c:pt>
                <c:pt idx="84">
                  <c:v>6.0511300066070847E-4</c:v>
                </c:pt>
                <c:pt idx="85">
                  <c:v>5.9023269471847328E-4</c:v>
                </c:pt>
                <c:pt idx="86">
                  <c:v>5.7515719342633026E-4</c:v>
                </c:pt>
                <c:pt idx="87">
                  <c:v>5.600366309977331E-4</c:v>
                </c:pt>
                <c:pt idx="88">
                  <c:v>5.4492629845514021E-4</c:v>
                </c:pt>
                <c:pt idx="89">
                  <c:v>5.2971988281402815E-4</c:v>
                </c:pt>
                <c:pt idx="90">
                  <c:v>5.1463656189939047E-4</c:v>
                </c:pt>
                <c:pt idx="91">
                  <c:v>4.9934181564929847E-4</c:v>
                </c:pt>
                <c:pt idx="92">
                  <c:v>4.8409513895682557E-4</c:v>
                </c:pt>
                <c:pt idx="93">
                  <c:v>4.6980851036042964E-4</c:v>
                </c:pt>
                <c:pt idx="94">
                  <c:v>4.5668862809499638E-4</c:v>
                </c:pt>
                <c:pt idx="95">
                  <c:v>4.4450614754445658E-4</c:v>
                </c:pt>
                <c:pt idx="96">
                  <c:v>4.3325086242954752E-4</c:v>
                </c:pt>
                <c:pt idx="97">
                  <c:v>4.2328099192108157E-4</c:v>
                </c:pt>
                <c:pt idx="98">
                  <c:v>4.143588950470227E-4</c:v>
                </c:pt>
                <c:pt idx="99">
                  <c:v>4.0673858161185267E-4</c:v>
                </c:pt>
                <c:pt idx="100">
                  <c:v>3.9995345607477667E-4</c:v>
                </c:pt>
                <c:pt idx="101">
                  <c:v>3.9427039436379374E-4</c:v>
                </c:pt>
                <c:pt idx="102">
                  <c:v>3.8972570667265838E-4</c:v>
                </c:pt>
                <c:pt idx="103">
                  <c:v>3.8619528791351831E-4</c:v>
                </c:pt>
                <c:pt idx="104">
                  <c:v>3.8370705444903085E-4</c:v>
                </c:pt>
                <c:pt idx="105">
                  <c:v>3.8228537836459964E-4</c:v>
                </c:pt>
                <c:pt idx="106">
                  <c:v>3.8195567464915578E-4</c:v>
                </c:pt>
                <c:pt idx="107">
                  <c:v>3.8269653646409024E-4</c:v>
                </c:pt>
                <c:pt idx="108">
                  <c:v>3.8447793031651765E-4</c:v>
                </c:pt>
                <c:pt idx="109">
                  <c:v>3.8728240247633272E-4</c:v>
                </c:pt>
                <c:pt idx="110">
                  <c:v>3.912245069196494E-4</c:v>
                </c:pt>
                <c:pt idx="111">
                  <c:v>3.9617589213659932E-4</c:v>
                </c:pt>
                <c:pt idx="112">
                  <c:v>4.0195451776764771E-4</c:v>
                </c:pt>
                <c:pt idx="113">
                  <c:v>4.0725363147586791E-4</c:v>
                </c:pt>
                <c:pt idx="114">
                  <c:v>4.1192797274400977E-4</c:v>
                </c:pt>
                <c:pt idx="115">
                  <c:v>4.1600067220981529E-4</c:v>
                </c:pt>
                <c:pt idx="116">
                  <c:v>4.1948362975389487E-4</c:v>
                </c:pt>
                <c:pt idx="117">
                  <c:v>4.2222108251666057E-4</c:v>
                </c:pt>
                <c:pt idx="118">
                  <c:v>4.2426818762208995E-4</c:v>
                </c:pt>
                <c:pt idx="119">
                  <c:v>4.2569025073191206E-4</c:v>
                </c:pt>
                <c:pt idx="120">
                  <c:v>4.2643550344715828E-4</c:v>
                </c:pt>
                <c:pt idx="121">
                  <c:v>4.2650716442604875E-4</c:v>
                </c:pt>
                <c:pt idx="122">
                  <c:v>4.2598471868970575E-4</c:v>
                </c:pt>
                <c:pt idx="123">
                  <c:v>4.2480304548356794E-4</c:v>
                </c:pt>
                <c:pt idx="124">
                  <c:v>4.2293572194603349E-4</c:v>
                </c:pt>
                <c:pt idx="125">
                  <c:v>4.2040321243472234E-4</c:v>
                </c:pt>
                <c:pt idx="126">
                  <c:v>4.1724977842058988E-4</c:v>
                </c:pt>
                <c:pt idx="127">
                  <c:v>4.1344043756205012E-4</c:v>
                </c:pt>
                <c:pt idx="128">
                  <c:v>4.0898385166955598E-4</c:v>
                </c:pt>
                <c:pt idx="129">
                  <c:v>4.0390472787876774E-4</c:v>
                </c:pt>
                <c:pt idx="130">
                  <c:v>3.9813863005038266E-4</c:v>
                </c:pt>
                <c:pt idx="131">
                  <c:v>3.9171510206796774E-4</c:v>
                </c:pt>
                <c:pt idx="132">
                  <c:v>3.8479329512643677E-4</c:v>
                </c:pt>
                <c:pt idx="133">
                  <c:v>3.7781455768204353E-4</c:v>
                </c:pt>
                <c:pt idx="134">
                  <c:v>3.7101070510484925E-4</c:v>
                </c:pt>
                <c:pt idx="135">
                  <c:v>3.6422068622479417E-4</c:v>
                </c:pt>
                <c:pt idx="136">
                  <c:v>3.5746860762942388E-4</c:v>
                </c:pt>
                <c:pt idx="137">
                  <c:v>3.5084951611441539E-4</c:v>
                </c:pt>
                <c:pt idx="138">
                  <c:v>3.4440059413035594E-4</c:v>
                </c:pt>
                <c:pt idx="139">
                  <c:v>3.3796953596080224E-4</c:v>
                </c:pt>
                <c:pt idx="140">
                  <c:v>3.3153914957140436E-4</c:v>
                </c:pt>
                <c:pt idx="141">
                  <c:v>3.2514484157347701E-4</c:v>
                </c:pt>
                <c:pt idx="142">
                  <c:v>3.1889218950311403E-4</c:v>
                </c:pt>
                <c:pt idx="143">
                  <c:v>3.1295738655524527E-4</c:v>
                </c:pt>
                <c:pt idx="144">
                  <c:v>3.0693279897165381E-4</c:v>
                </c:pt>
                <c:pt idx="145">
                  <c:v>3.0103761453315059E-4</c:v>
                </c:pt>
                <c:pt idx="146">
                  <c:v>2.9530272287953303E-4</c:v>
                </c:pt>
                <c:pt idx="147">
                  <c:v>2.8959379680369192E-4</c:v>
                </c:pt>
                <c:pt idx="148">
                  <c:v>2.8393210380231113E-4</c:v>
                </c:pt>
                <c:pt idx="149">
                  <c:v>2.784581014161347E-4</c:v>
                </c:pt>
                <c:pt idx="150">
                  <c:v>2.7301927024653283E-4</c:v>
                </c:pt>
                <c:pt idx="151">
                  <c:v>2.6767049820109433E-4</c:v>
                </c:pt>
                <c:pt idx="152">
                  <c:v>2.6242915698352839E-4</c:v>
                </c:pt>
                <c:pt idx="153">
                  <c:v>2.5731167311970893E-4</c:v>
                </c:pt>
                <c:pt idx="154">
                  <c:v>2.521771237525873E-4</c:v>
                </c:pt>
                <c:pt idx="155">
                  <c:v>2.4724298072614954E-4</c:v>
                </c:pt>
                <c:pt idx="156">
                  <c:v>2.4236026258069379E-4</c:v>
                </c:pt>
                <c:pt idx="157">
                  <c:v>2.3753121584899062E-4</c:v>
                </c:pt>
                <c:pt idx="158">
                  <c:v>2.3282864750722755E-4</c:v>
                </c:pt>
                <c:pt idx="159">
                  <c:v>2.2820015262132835E-4</c:v>
                </c:pt>
                <c:pt idx="160">
                  <c:v>2.2359730428210892E-4</c:v>
                </c:pt>
                <c:pt idx="161">
                  <c:v>2.1905139602902517E-4</c:v>
                </c:pt>
                <c:pt idx="162">
                  <c:v>2.1467969651549866E-4</c:v>
                </c:pt>
                <c:pt idx="163">
                  <c:v>2.105718105049198E-4</c:v>
                </c:pt>
                <c:pt idx="164">
                  <c:v>2.0630257360953509E-4</c:v>
                </c:pt>
                <c:pt idx="165">
                  <c:v>2.0221650046270412E-4</c:v>
                </c:pt>
                <c:pt idx="166">
                  <c:v>1.9826615362846141E-4</c:v>
                </c:pt>
                <c:pt idx="167">
                  <c:v>1.9436192840215603E-4</c:v>
                </c:pt>
                <c:pt idx="168">
                  <c:v>1.9052008301859331E-4</c:v>
                </c:pt>
                <c:pt idx="169">
                  <c:v>1.8679603468196859E-4</c:v>
                </c:pt>
                <c:pt idx="170">
                  <c:v>1.8320310372128661E-4</c:v>
                </c:pt>
                <c:pt idx="171">
                  <c:v>1.7966030600442134E-4</c:v>
                </c:pt>
                <c:pt idx="172">
                  <c:v>1.7618909093599332E-4</c:v>
                </c:pt>
                <c:pt idx="173">
                  <c:v>1.7288698604338466E-4</c:v>
                </c:pt>
                <c:pt idx="174">
                  <c:v>1.6966317150762106E-4</c:v>
                </c:pt>
                <c:pt idx="175">
                  <c:v>1.6662219264242627E-4</c:v>
                </c:pt>
                <c:pt idx="176">
                  <c:v>1.636824626021615E-4</c:v>
                </c:pt>
                <c:pt idx="177">
                  <c:v>1.6085594380133017E-4</c:v>
                </c:pt>
                <c:pt idx="178">
                  <c:v>1.5818560265184849E-4</c:v>
                </c:pt>
                <c:pt idx="179">
                  <c:v>1.5561060938676374E-4</c:v>
                </c:pt>
                <c:pt idx="180">
                  <c:v>1.5314288429466895E-4</c:v>
                </c:pt>
                <c:pt idx="181">
                  <c:v>1.5081685051221427E-4</c:v>
                </c:pt>
                <c:pt idx="182">
                  <c:v>1.4864252683128784E-4</c:v>
                </c:pt>
                <c:pt idx="183">
                  <c:v>1.4656901898169039E-4</c:v>
                </c:pt>
                <c:pt idx="184">
                  <c:v>1.4459496856196637E-4</c:v>
                </c:pt>
                <c:pt idx="185">
                  <c:v>1.4273639454211694E-4</c:v>
                </c:pt>
                <c:pt idx="186">
                  <c:v>1.4110131805823885E-4</c:v>
                </c:pt>
                <c:pt idx="187">
                  <c:v>1.3952175799288036E-4</c:v>
                </c:pt>
                <c:pt idx="188">
                  <c:v>1.3804011694924095E-4</c:v>
                </c:pt>
                <c:pt idx="189">
                  <c:v>1.3671369174673466E-4</c:v>
                </c:pt>
                <c:pt idx="190">
                  <c:v>1.3552367332798215E-4</c:v>
                </c:pt>
                <c:pt idx="191">
                  <c:v>1.3445680893371496E-4</c:v>
                </c:pt>
                <c:pt idx="192">
                  <c:v>1.3350641152251076E-4</c:v>
                </c:pt>
                <c:pt idx="193">
                  <c:v>1.3269107754343423E-4</c:v>
                </c:pt>
                <c:pt idx="194">
                  <c:v>1.3199977620047439E-4</c:v>
                </c:pt>
                <c:pt idx="195">
                  <c:v>1.3143408317184933E-4</c:v>
                </c:pt>
                <c:pt idx="196">
                  <c:v>1.3099189736648711E-4</c:v>
                </c:pt>
                <c:pt idx="197">
                  <c:v>1.3066844034881342E-4</c:v>
                </c:pt>
                <c:pt idx="198">
                  <c:v>1.30476931021287E-4</c:v>
                </c:pt>
                <c:pt idx="199">
                  <c:v>1.3041107010367849E-4</c:v>
                </c:pt>
                <c:pt idx="200">
                  <c:v>1.304660358599722E-4</c:v>
                </c:pt>
                <c:pt idx="201">
                  <c:v>1.3063687687075998E-4</c:v>
                </c:pt>
                <c:pt idx="202">
                  <c:v>1.3094260366283347E-4</c:v>
                </c:pt>
                <c:pt idx="203">
                  <c:v>1.3137668265099205E-4</c:v>
                </c:pt>
                <c:pt idx="204">
                  <c:v>1.3193558658456013E-4</c:v>
                </c:pt>
                <c:pt idx="205">
                  <c:v>1.326467699268169E-4</c:v>
                </c:pt>
                <c:pt idx="206">
                  <c:v>1.3345406250240763E-4</c:v>
                </c:pt>
                <c:pt idx="207">
                  <c:v>1.3437261298378071E-4</c:v>
                </c:pt>
                <c:pt idx="208">
                  <c:v>1.354418423303045E-4</c:v>
                </c:pt>
                <c:pt idx="209">
                  <c:v>1.3661335540504638E-4</c:v>
                </c:pt>
                <c:pt idx="210">
                  <c:v>1.3791528793192197E-4</c:v>
                </c:pt>
                <c:pt idx="211">
                  <c:v>1.3935675582977224E-4</c:v>
                </c:pt>
                <c:pt idx="212">
                  <c:v>1.4089671910406422E-4</c:v>
                </c:pt>
                <c:pt idx="213">
                  <c:v>1.4239578687735843E-4</c:v>
                </c:pt>
                <c:pt idx="214">
                  <c:v>1.4386242904731658E-4</c:v>
                </c:pt>
                <c:pt idx="215">
                  <c:v>1.4530664150001239E-4</c:v>
                </c:pt>
                <c:pt idx="216">
                  <c:v>1.4671462851047201E-4</c:v>
                </c:pt>
                <c:pt idx="217">
                  <c:v>1.4804379402200141E-4</c:v>
                </c:pt>
                <c:pt idx="218">
                  <c:v>1.4938592049176282E-4</c:v>
                </c:pt>
                <c:pt idx="219">
                  <c:v>1.5066073558027589E-4</c:v>
                </c:pt>
                <c:pt idx="220">
                  <c:v>1.5189898752560223E-4</c:v>
                </c:pt>
                <c:pt idx="221">
                  <c:v>1.5308684558166738E-4</c:v>
                </c:pt>
                <c:pt idx="222">
                  <c:v>1.542481040881661E-4</c:v>
                </c:pt>
                <c:pt idx="223">
                  <c:v>1.5538233248590418E-4</c:v>
                </c:pt>
                <c:pt idx="224">
                  <c:v>1.5647799459303502E-4</c:v>
                </c:pt>
                <c:pt idx="225">
                  <c:v>1.5751173315159406E-4</c:v>
                </c:pt>
                <c:pt idx="226">
                  <c:v>1.5851823214678602E-4</c:v>
                </c:pt>
                <c:pt idx="227">
                  <c:v>1.5949711362781005E-4</c:v>
                </c:pt>
                <c:pt idx="228">
                  <c:v>1.6045787685781826E-4</c:v>
                </c:pt>
                <c:pt idx="229">
                  <c:v>1.6134454174896416E-4</c:v>
                </c:pt>
                <c:pt idx="230">
                  <c:v>1.6216758236045278E-4</c:v>
                </c:pt>
                <c:pt idx="231">
                  <c:v>1.6301165033135931E-4</c:v>
                </c:pt>
                <c:pt idx="232">
                  <c:v>1.6379027257962774E-4</c:v>
                </c:pt>
                <c:pt idx="233">
                  <c:v>1.6451266966122091E-4</c:v>
                </c:pt>
                <c:pt idx="234">
                  <c:v>1.652108378173197E-4</c:v>
                </c:pt>
                <c:pt idx="235">
                  <c:v>1.6587791844450105E-4</c:v>
                </c:pt>
                <c:pt idx="236">
                  <c:v>1.6650315970761186E-4</c:v>
                </c:pt>
                <c:pt idx="237">
                  <c:v>1.6707964357888863E-4</c:v>
                </c:pt>
                <c:pt idx="238">
                  <c:v>1.6762039554429203E-4</c:v>
                </c:pt>
                <c:pt idx="239">
                  <c:v>1.6813146102139485E-4</c:v>
                </c:pt>
                <c:pt idx="240">
                  <c:v>1.6859479419843899E-4</c:v>
                </c:pt>
                <c:pt idx="241">
                  <c:v>1.6900237484840375E-4</c:v>
                </c:pt>
                <c:pt idx="242">
                  <c:v>1.6939721246997212E-4</c:v>
                </c:pt>
                <c:pt idx="243">
                  <c:v>1.6975304890015294E-4</c:v>
                </c:pt>
                <c:pt idx="244">
                  <c:v>1.7006188109649177E-4</c:v>
                </c:pt>
                <c:pt idx="245">
                  <c:v>1.7031924119859099E-4</c:v>
                </c:pt>
                <c:pt idx="246">
                  <c:v>1.7055605607039191E-4</c:v>
                </c:pt>
                <c:pt idx="247">
                  <c:v>1.7075660469340233E-4</c:v>
                </c:pt>
                <c:pt idx="248">
                  <c:v>1.7091240007782206E-4</c:v>
                </c:pt>
                <c:pt idx="249">
                  <c:v>1.7101472358493908E-4</c:v>
                </c:pt>
                <c:pt idx="250">
                  <c:v>1.7109749766349054E-4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'3M Basis'!$AA$2</c:f>
              <c:strCache>
                <c:ptCount val="1"/>
                <c:pt idx="0">
                  <c:v>Calibrated Basis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val>
            <c:numRef>
              <c:f>'3M Basis'!$AA$3:$AA$253</c:f>
              <c:numCache>
                <c:formatCode>0.0000%</c:formatCode>
                <c:ptCount val="251"/>
                <c:pt idx="0">
                  <c:v>1.0504274936596202E-3</c:v>
                </c:pt>
                <c:pt idx="1">
                  <c:v>1.0837810386732515E-3</c:v>
                </c:pt>
                <c:pt idx="2">
                  <c:v>1.1130523715295858E-3</c:v>
                </c:pt>
                <c:pt idx="3">
                  <c:v>1.1441225692935121E-3</c:v>
                </c:pt>
                <c:pt idx="4">
                  <c:v>1.1704726972672332E-3</c:v>
                </c:pt>
                <c:pt idx="5">
                  <c:v>1.1959501624821912E-3</c:v>
                </c:pt>
                <c:pt idx="6">
                  <c:v>1.223903831482148E-3</c:v>
                </c:pt>
                <c:pt idx="7">
                  <c:v>1.2467747408724649E-3</c:v>
                </c:pt>
                <c:pt idx="8">
                  <c:v>1.2727541371780758E-3</c:v>
                </c:pt>
                <c:pt idx="9">
                  <c:v>1.2954763319158328E-3</c:v>
                </c:pt>
                <c:pt idx="10">
                  <c:v>1.3166489422933377E-3</c:v>
                </c:pt>
                <c:pt idx="11">
                  <c:v>1.339816263477513E-3</c:v>
                </c:pt>
                <c:pt idx="12">
                  <c:v>1.3593804163444328E-3</c:v>
                </c:pt>
                <c:pt idx="13">
                  <c:v>1.3788545681132627E-3</c:v>
                </c:pt>
                <c:pt idx="14">
                  <c:v>1.3987894869732704E-3</c:v>
                </c:pt>
                <c:pt idx="15">
                  <c:v>1.416125865898973E-3</c:v>
                </c:pt>
                <c:pt idx="16">
                  <c:v>1.4350296139353483E-3</c:v>
                </c:pt>
                <c:pt idx="17">
                  <c:v>1.4503971061245896E-3</c:v>
                </c:pt>
                <c:pt idx="18">
                  <c:v>1.4661934973434375E-3</c:v>
                </c:pt>
                <c:pt idx="19">
                  <c:v>1.5100366833913415E-3</c:v>
                </c:pt>
                <c:pt idx="20">
                  <c:v>1.5480827969556006E-3</c:v>
                </c:pt>
                <c:pt idx="21">
                  <c:v>1.5810648625726943E-3</c:v>
                </c:pt>
                <c:pt idx="22">
                  <c:v>1.6086486565916073E-3</c:v>
                </c:pt>
                <c:pt idx="23">
                  <c:v>1.6313507653625101E-3</c:v>
                </c:pt>
                <c:pt idx="24">
                  <c:v>1.6501911421941888E-3</c:v>
                </c:pt>
                <c:pt idx="25">
                  <c:v>1.6649419056545198E-3</c:v>
                </c:pt>
                <c:pt idx="26">
                  <c:v>1.6757102723108214E-3</c:v>
                </c:pt>
                <c:pt idx="27">
                  <c:v>1.6831945967987058E-3</c:v>
                </c:pt>
                <c:pt idx="28">
                  <c:v>1.6875495123672771E-3</c:v>
                </c:pt>
                <c:pt idx="29">
                  <c:v>1.6889285427783541E-3</c:v>
                </c:pt>
                <c:pt idx="30">
                  <c:v>1.6875462417369597E-3</c:v>
                </c:pt>
                <c:pt idx="31">
                  <c:v>1.6837107391797852E-3</c:v>
                </c:pt>
                <c:pt idx="32">
                  <c:v>1.6775475712169766E-3</c:v>
                </c:pt>
                <c:pt idx="33">
                  <c:v>1.6692834824973456E-3</c:v>
                </c:pt>
                <c:pt idx="34">
                  <c:v>1.6591038330978215E-3</c:v>
                </c:pt>
                <c:pt idx="35">
                  <c:v>1.6475967166856309E-3</c:v>
                </c:pt>
                <c:pt idx="36">
                  <c:v>1.6341446118666382E-3</c:v>
                </c:pt>
                <c:pt idx="37">
                  <c:v>1.6194291135765105E-3</c:v>
                </c:pt>
                <c:pt idx="38">
                  <c:v>1.6034500600014081E-3</c:v>
                </c:pt>
                <c:pt idx="39">
                  <c:v>1.5863363067354194E-3</c:v>
                </c:pt>
                <c:pt idx="40">
                  <c:v>1.5682082463473663E-3</c:v>
                </c:pt>
                <c:pt idx="41">
                  <c:v>1.5491782866038995E-3</c:v>
                </c:pt>
                <c:pt idx="42">
                  <c:v>1.5293513036691592E-3</c:v>
                </c:pt>
                <c:pt idx="43">
                  <c:v>1.5088250715304908E-3</c:v>
                </c:pt>
                <c:pt idx="44">
                  <c:v>1.4876906688392534E-3</c:v>
                </c:pt>
                <c:pt idx="45">
                  <c:v>1.4657922577958693E-3</c:v>
                </c:pt>
                <c:pt idx="46">
                  <c:v>1.4436854063955098E-3</c:v>
                </c:pt>
                <c:pt idx="47">
                  <c:v>1.4212079761903446E-3</c:v>
                </c:pt>
                <c:pt idx="48">
                  <c:v>1.3981760899609836E-3</c:v>
                </c:pt>
                <c:pt idx="49">
                  <c:v>1.3743915708067569E-3</c:v>
                </c:pt>
                <c:pt idx="50">
                  <c:v>1.3519509113276138E-3</c:v>
                </c:pt>
                <c:pt idx="51">
                  <c:v>1.3286208716333688E-3</c:v>
                </c:pt>
                <c:pt idx="52">
                  <c:v>1.3044410760327651E-3</c:v>
                </c:pt>
                <c:pt idx="53">
                  <c:v>1.2807443792532645E-3</c:v>
                </c:pt>
                <c:pt idx="54">
                  <c:v>1.2570604552951917E-3</c:v>
                </c:pt>
                <c:pt idx="55">
                  <c:v>1.2341985743412548E-3</c:v>
                </c:pt>
                <c:pt idx="56">
                  <c:v>1.2106531128975614E-3</c:v>
                </c:pt>
                <c:pt idx="57">
                  <c:v>1.187229280186847E-3</c:v>
                </c:pt>
                <c:pt idx="58">
                  <c:v>1.1644617524704821E-3</c:v>
                </c:pt>
                <c:pt idx="59">
                  <c:v>1.1416159851908609E-3</c:v>
                </c:pt>
                <c:pt idx="60">
                  <c:v>1.1187226713666942E-3</c:v>
                </c:pt>
                <c:pt idx="61">
                  <c:v>1.0963018783308291E-3</c:v>
                </c:pt>
                <c:pt idx="62">
                  <c:v>1.0741236300899064E-3</c:v>
                </c:pt>
                <c:pt idx="63">
                  <c:v>1.0522059115271978E-3</c:v>
                </c:pt>
                <c:pt idx="64">
                  <c:v>1.0305648174578608E-3</c:v>
                </c:pt>
                <c:pt idx="65">
                  <c:v>1.008981725670966E-3</c:v>
                </c:pt>
                <c:pt idx="66">
                  <c:v>9.8793862430424247E-4</c:v>
                </c:pt>
                <c:pt idx="67">
                  <c:v>9.6743645645446484E-4</c:v>
                </c:pt>
                <c:pt idx="68">
                  <c:v>9.4680681792723897E-4</c:v>
                </c:pt>
                <c:pt idx="69">
                  <c:v>9.2651750471311805E-4</c:v>
                </c:pt>
                <c:pt idx="70">
                  <c:v>9.0700565136108617E-4</c:v>
                </c:pt>
                <c:pt idx="71">
                  <c:v>8.8762120228315822E-4</c:v>
                </c:pt>
                <c:pt idx="72">
                  <c:v>8.6838055733094992E-4</c:v>
                </c:pt>
                <c:pt idx="73">
                  <c:v>8.4909638093486073E-4</c:v>
                </c:pt>
                <c:pt idx="74">
                  <c:v>8.3138929351905409E-4</c:v>
                </c:pt>
                <c:pt idx="75">
                  <c:v>8.134327488253277E-4</c:v>
                </c:pt>
                <c:pt idx="76">
                  <c:v>7.9526378736415211E-4</c:v>
                </c:pt>
                <c:pt idx="77">
                  <c:v>7.7785555264174458E-4</c:v>
                </c:pt>
                <c:pt idx="78">
                  <c:v>7.6100061631505223E-4</c:v>
                </c:pt>
                <c:pt idx="79">
                  <c:v>7.4450711247021364E-4</c:v>
                </c:pt>
                <c:pt idx="80">
                  <c:v>7.2819853275791504E-4</c:v>
                </c:pt>
                <c:pt idx="81">
                  <c:v>7.1242766685130168E-4</c:v>
                </c:pt>
                <c:pt idx="82">
                  <c:v>6.9701307253992211E-4</c:v>
                </c:pt>
                <c:pt idx="83">
                  <c:v>6.8195212552239651E-4</c:v>
                </c:pt>
                <c:pt idx="84">
                  <c:v>6.672418145364672E-4</c:v>
                </c:pt>
                <c:pt idx="85">
                  <c:v>6.5287877763560973E-4</c:v>
                </c:pt>
                <c:pt idx="86">
                  <c:v>6.3885933613590489E-4</c:v>
                </c:pt>
                <c:pt idx="87">
                  <c:v>6.2517952636346108E-4</c:v>
                </c:pt>
                <c:pt idx="88">
                  <c:v>6.1183512932589073E-4</c:v>
                </c:pt>
                <c:pt idx="89">
                  <c:v>5.9868051503194014E-4</c:v>
                </c:pt>
                <c:pt idx="90">
                  <c:v>5.8613458532105723E-4</c:v>
                </c:pt>
                <c:pt idx="91">
                  <c:v>5.7376896405552139E-4</c:v>
                </c:pt>
                <c:pt idx="92">
                  <c:v>5.6158918496673044E-4</c:v>
                </c:pt>
                <c:pt idx="93">
                  <c:v>5.4972762440974078E-4</c:v>
                </c:pt>
                <c:pt idx="94">
                  <c:v>5.3830274410052799E-4</c:v>
                </c:pt>
                <c:pt idx="95">
                  <c:v>5.2717858444944012E-4</c:v>
                </c:pt>
                <c:pt idx="96">
                  <c:v>5.1599770766413695E-4</c:v>
                </c:pt>
                <c:pt idx="97">
                  <c:v>5.053540416650647E-4</c:v>
                </c:pt>
                <c:pt idx="98">
                  <c:v>4.9500072862170312E-4</c:v>
                </c:pt>
                <c:pt idx="99">
                  <c:v>4.852559219706761E-4</c:v>
                </c:pt>
                <c:pt idx="100">
                  <c:v>4.7545705571329339E-4</c:v>
                </c:pt>
                <c:pt idx="101">
                  <c:v>4.659314367618746E-4</c:v>
                </c:pt>
                <c:pt idx="102">
                  <c:v>4.5687174334690397E-4</c:v>
                </c:pt>
                <c:pt idx="103">
                  <c:v>4.4796611431804212E-4</c:v>
                </c:pt>
                <c:pt idx="104">
                  <c:v>4.3921733046610342E-4</c:v>
                </c:pt>
                <c:pt idx="105">
                  <c:v>4.308099857366821E-4</c:v>
                </c:pt>
                <c:pt idx="106">
                  <c:v>4.2264210461688626E-4</c:v>
                </c:pt>
                <c:pt idx="107">
                  <c:v>4.1470821257415887E-4</c:v>
                </c:pt>
                <c:pt idx="108">
                  <c:v>4.0700288026520638E-4</c:v>
                </c:pt>
                <c:pt idx="109">
                  <c:v>3.9952072908195594E-4</c:v>
                </c:pt>
                <c:pt idx="110">
                  <c:v>3.9217779929398783E-4</c:v>
                </c:pt>
                <c:pt idx="111">
                  <c:v>3.8520473891738062E-4</c:v>
                </c:pt>
                <c:pt idx="112">
                  <c:v>3.7828635987035842E-4</c:v>
                </c:pt>
                <c:pt idx="113">
                  <c:v>3.7157466061555315E-4</c:v>
                </c:pt>
                <c:pt idx="114">
                  <c:v>3.6520383577749098E-4</c:v>
                </c:pt>
                <c:pt idx="115">
                  <c:v>3.5895331822280679E-4</c:v>
                </c:pt>
                <c:pt idx="116">
                  <c:v>3.5282445383551621E-4</c:v>
                </c:pt>
                <c:pt idx="117">
                  <c:v>3.4675484770422919E-4</c:v>
                </c:pt>
                <c:pt idx="118">
                  <c:v>3.409977868159234E-4</c:v>
                </c:pt>
                <c:pt idx="119">
                  <c:v>3.3571613363366713E-4</c:v>
                </c:pt>
                <c:pt idx="120">
                  <c:v>3.3018237706580874E-4</c:v>
                </c:pt>
                <c:pt idx="121">
                  <c:v>3.2493556777130582E-4</c:v>
                </c:pt>
                <c:pt idx="122">
                  <c:v>3.1996037880405821E-4</c:v>
                </c:pt>
                <c:pt idx="123">
                  <c:v>3.1508404394251882E-4</c:v>
                </c:pt>
                <c:pt idx="124">
                  <c:v>3.1030736455230903E-4</c:v>
                </c:pt>
                <c:pt idx="125">
                  <c:v>3.0568049001072786E-4</c:v>
                </c:pt>
                <c:pt idx="126">
                  <c:v>3.0124716221004529E-4</c:v>
                </c:pt>
                <c:pt idx="127">
                  <c:v>2.9695231418333957E-4</c:v>
                </c:pt>
                <c:pt idx="128">
                  <c:v>2.9279205485133994E-4</c:v>
                </c:pt>
                <c:pt idx="129">
                  <c:v>2.8876257893099464E-4</c:v>
                </c:pt>
                <c:pt idx="130">
                  <c:v>2.8486016646118306E-4</c:v>
                </c:pt>
                <c:pt idx="131">
                  <c:v>2.8108118222226909E-4</c:v>
                </c:pt>
                <c:pt idx="132">
                  <c:v>2.7742207505903E-4</c:v>
                </c:pt>
                <c:pt idx="133">
                  <c:v>2.7384108032775116E-4</c:v>
                </c:pt>
                <c:pt idx="134">
                  <c:v>2.704497029928475E-4</c:v>
                </c:pt>
                <c:pt idx="135">
                  <c:v>2.6712974882982634E-4</c:v>
                </c:pt>
                <c:pt idx="136">
                  <c:v>2.6388155840496787E-4</c:v>
                </c:pt>
                <c:pt idx="137">
                  <c:v>2.6073897012052173E-4</c:v>
                </c:pt>
                <c:pt idx="138">
                  <c:v>2.5776384060443902E-4</c:v>
                </c:pt>
                <c:pt idx="139">
                  <c:v>2.5485237593789357E-4</c:v>
                </c:pt>
                <c:pt idx="140">
                  <c:v>2.5200482354932786E-4</c:v>
                </c:pt>
                <c:pt idx="141">
                  <c:v>2.4919192873714411E-4</c:v>
                </c:pt>
                <c:pt idx="142">
                  <c:v>2.4650204343543158E-4</c:v>
                </c:pt>
                <c:pt idx="143">
                  <c:v>2.4401189474480991E-4</c:v>
                </c:pt>
                <c:pt idx="144">
                  <c:v>2.4152156750511229E-4</c:v>
                </c:pt>
                <c:pt idx="145">
                  <c:v>2.3911378619028567E-4</c:v>
                </c:pt>
                <c:pt idx="146">
                  <c:v>2.3683576300981762E-4</c:v>
                </c:pt>
                <c:pt idx="147">
                  <c:v>2.3460787725037668E-4</c:v>
                </c:pt>
                <c:pt idx="148">
                  <c:v>2.3243024757049885E-4</c:v>
                </c:pt>
                <c:pt idx="149">
                  <c:v>2.3034791363871091E-4</c:v>
                </c:pt>
                <c:pt idx="150">
                  <c:v>2.2833459014368515E-4</c:v>
                </c:pt>
                <c:pt idx="151">
                  <c:v>2.2638812311605476E-4</c:v>
                </c:pt>
                <c:pt idx="152">
                  <c:v>2.2450641902067397E-4</c:v>
                </c:pt>
                <c:pt idx="153">
                  <c:v>2.2268744342944508E-4</c:v>
                </c:pt>
                <c:pt idx="154">
                  <c:v>2.2091022882958128E-4</c:v>
                </c:pt>
                <c:pt idx="155">
                  <c:v>2.1922982766940953E-4</c:v>
                </c:pt>
                <c:pt idx="156">
                  <c:v>2.1758740234195068E-4</c:v>
                </c:pt>
                <c:pt idx="157">
                  <c:v>2.1598298987255836E-4</c:v>
                </c:pt>
                <c:pt idx="158">
                  <c:v>2.1444969443854797E-4</c:v>
                </c:pt>
                <c:pt idx="159">
                  <c:v>2.1296807045847641E-4</c:v>
                </c:pt>
                <c:pt idx="160">
                  <c:v>2.1152100124015161E-4</c:v>
                </c:pt>
                <c:pt idx="161">
                  <c:v>2.1009354564376266E-4</c:v>
                </c:pt>
                <c:pt idx="162">
                  <c:v>2.0874480644585616E-4</c:v>
                </c:pt>
                <c:pt idx="163">
                  <c:v>2.075119433764427E-4</c:v>
                </c:pt>
                <c:pt idx="164">
                  <c:v>2.0622489240919835E-4</c:v>
                </c:pt>
                <c:pt idx="165">
                  <c:v>2.0500902302479266E-4</c:v>
                </c:pt>
                <c:pt idx="166">
                  <c:v>2.0386013005975018E-4</c:v>
                </c:pt>
                <c:pt idx="167">
                  <c:v>2.0273791113241526E-4</c:v>
                </c:pt>
                <c:pt idx="168">
                  <c:v>2.0164235539990409E-4</c:v>
                </c:pt>
                <c:pt idx="169">
                  <c:v>2.0058471374853051E-4</c:v>
                </c:pt>
                <c:pt idx="170">
                  <c:v>1.99585541533458E-4</c:v>
                </c:pt>
                <c:pt idx="171">
                  <c:v>1.9860976733345902E-4</c:v>
                </c:pt>
                <c:pt idx="172">
                  <c:v>1.9765737152861046E-4</c:v>
                </c:pt>
                <c:pt idx="173">
                  <c:v>1.9674793931312402E-4</c:v>
                </c:pt>
                <c:pt idx="174">
                  <c:v>1.9586038316241983E-4</c:v>
                </c:pt>
                <c:pt idx="175">
                  <c:v>1.950220991472249E-4</c:v>
                </c:pt>
                <c:pt idx="176">
                  <c:v>1.9420364230871492E-4</c:v>
                </c:pt>
                <c:pt idx="177">
                  <c:v>1.9340498616543368E-4</c:v>
                </c:pt>
                <c:pt idx="178">
                  <c:v>1.9265077164783341E-4</c:v>
                </c:pt>
                <c:pt idx="179">
                  <c:v>1.9191449616508212E-4</c:v>
                </c:pt>
                <c:pt idx="180">
                  <c:v>1.9119613078403568E-4</c:v>
                </c:pt>
                <c:pt idx="181">
                  <c:v>1.9050302465132931E-4</c:v>
                </c:pt>
                <c:pt idx="182">
                  <c:v>1.8984860266314349E-4</c:v>
                </c:pt>
                <c:pt idx="183">
                  <c:v>1.8920985714131753E-4</c:v>
                </c:pt>
                <c:pt idx="184">
                  <c:v>1.8858675732728134E-4</c:v>
                </c:pt>
                <c:pt idx="185">
                  <c:v>1.8797284214264472E-4</c:v>
                </c:pt>
                <c:pt idx="186">
                  <c:v>1.8741822723760654E-4</c:v>
                </c:pt>
                <c:pt idx="187">
                  <c:v>1.8686446826641885E-4</c:v>
                </c:pt>
                <c:pt idx="188">
                  <c:v>1.8631283607382172E-4</c:v>
                </c:pt>
                <c:pt idx="189">
                  <c:v>1.857923053436549E-4</c:v>
                </c:pt>
                <c:pt idx="190">
                  <c:v>1.8529562633322534E-4</c:v>
                </c:pt>
                <c:pt idx="191">
                  <c:v>1.8481642197263937E-4</c:v>
                </c:pt>
                <c:pt idx="192">
                  <c:v>1.8434910611988869E-4</c:v>
                </c:pt>
                <c:pt idx="193">
                  <c:v>1.8390325497355195E-4</c:v>
                </c:pt>
                <c:pt idx="194">
                  <c:v>1.8347313890270531E-4</c:v>
                </c:pt>
                <c:pt idx="195">
                  <c:v>1.8305821780631633E-4</c:v>
                </c:pt>
                <c:pt idx="196">
                  <c:v>1.8265796939215761E-4</c:v>
                </c:pt>
                <c:pt idx="197">
                  <c:v>1.8227188862558215E-4</c:v>
                </c:pt>
                <c:pt idx="198">
                  <c:v>1.8189948719351347E-4</c:v>
                </c:pt>
                <c:pt idx="199">
                  <c:v>1.8154029298333155E-4</c:v>
                </c:pt>
                <c:pt idx="200">
                  <c:v>1.8119384957633643E-4</c:v>
                </c:pt>
                <c:pt idx="201">
                  <c:v>1.8085611073218445E-4</c:v>
                </c:pt>
                <c:pt idx="202">
                  <c:v>1.8053746502699039E-4</c:v>
                </c:pt>
                <c:pt idx="203">
                  <c:v>1.8022668515575466E-4</c:v>
                </c:pt>
                <c:pt idx="204">
                  <c:v>1.799237442856654E-4</c:v>
                </c:pt>
                <c:pt idx="205">
                  <c:v>1.7963172273737659E-4</c:v>
                </c:pt>
                <c:pt idx="206">
                  <c:v>1.7934123039700799E-4</c:v>
                </c:pt>
                <c:pt idx="207">
                  <c:v>1.7908470625665237E-4</c:v>
                </c:pt>
                <c:pt idx="208">
                  <c:v>1.7881739597155297E-4</c:v>
                </c:pt>
                <c:pt idx="209">
                  <c:v>1.7856533738036499E-4</c:v>
                </c:pt>
                <c:pt idx="210">
                  <c:v>1.7832758966912181E-4</c:v>
                </c:pt>
                <c:pt idx="211">
                  <c:v>1.7809576970519728E-4</c:v>
                </c:pt>
                <c:pt idx="212">
                  <c:v>1.7786985446833662E-4</c:v>
                </c:pt>
                <c:pt idx="213">
                  <c:v>1.7765213719451748E-4</c:v>
                </c:pt>
                <c:pt idx="214">
                  <c:v>1.7744680573203098E-4</c:v>
                </c:pt>
                <c:pt idx="215">
                  <c:v>1.772466174632844E-4</c:v>
                </c:pt>
                <c:pt idx="216">
                  <c:v>1.7705155130075896E-4</c:v>
                </c:pt>
                <c:pt idx="217">
                  <c:v>1.7686559161670176E-4</c:v>
                </c:pt>
                <c:pt idx="218">
                  <c:v>1.7668440038312816E-4</c:v>
                </c:pt>
                <c:pt idx="219">
                  <c:v>1.7651354146587934E-4</c:v>
                </c:pt>
                <c:pt idx="220">
                  <c:v>1.7634698571315752E-4</c:v>
                </c:pt>
                <c:pt idx="221">
                  <c:v>1.761864459391697E-4</c:v>
                </c:pt>
                <c:pt idx="222">
                  <c:v>1.7603170903770514E-4</c:v>
                </c:pt>
                <c:pt idx="223">
                  <c:v>1.7588256925517954E-4</c:v>
                </c:pt>
                <c:pt idx="224">
                  <c:v>1.757372776391203E-4</c:v>
                </c:pt>
                <c:pt idx="225">
                  <c:v>1.7559730568153395E-4</c:v>
                </c:pt>
                <c:pt idx="226">
                  <c:v>1.7546534034453191E-4</c:v>
                </c:pt>
                <c:pt idx="227">
                  <c:v>1.7533672241191732E-4</c:v>
                </c:pt>
                <c:pt idx="228">
                  <c:v>1.7521143619659405E-4</c:v>
                </c:pt>
                <c:pt idx="229">
                  <c:v>1.7508817590575286E-4</c:v>
                </c:pt>
                <c:pt idx="230">
                  <c:v>1.7497697821658754E-4</c:v>
                </c:pt>
                <c:pt idx="231">
                  <c:v>1.7486610373452832E-4</c:v>
                </c:pt>
                <c:pt idx="232">
                  <c:v>1.747558091933145E-4</c:v>
                </c:pt>
                <c:pt idx="233">
                  <c:v>1.7465187755079527E-4</c:v>
                </c:pt>
                <c:pt idx="234">
                  <c:v>1.7455391054106898E-4</c:v>
                </c:pt>
                <c:pt idx="235">
                  <c:v>1.7445844732082519E-4</c:v>
                </c:pt>
                <c:pt idx="236">
                  <c:v>1.7436547528796101E-4</c:v>
                </c:pt>
                <c:pt idx="237">
                  <c:v>1.7427593415300009E-4</c:v>
                </c:pt>
                <c:pt idx="238">
                  <c:v>1.7419061933326624E-4</c:v>
                </c:pt>
                <c:pt idx="239">
                  <c:v>1.7410842304691962E-4</c:v>
                </c:pt>
                <c:pt idx="240">
                  <c:v>1.7402923309304356E-4</c:v>
                </c:pt>
                <c:pt idx="241">
                  <c:v>1.7395294122463155E-4</c:v>
                </c:pt>
                <c:pt idx="242">
                  <c:v>1.7387944301315399E-4</c:v>
                </c:pt>
                <c:pt idx="243">
                  <c:v>1.7380863771757649E-4</c:v>
                </c:pt>
                <c:pt idx="244">
                  <c:v>1.7374042815769298E-4</c:v>
                </c:pt>
                <c:pt idx="245">
                  <c:v>1.7367401208907387E-4</c:v>
                </c:pt>
                <c:pt idx="246">
                  <c:v>1.7361142459746258E-4</c:v>
                </c:pt>
                <c:pt idx="247">
                  <c:v>1.7355045295860581E-4</c:v>
                </c:pt>
                <c:pt idx="248">
                  <c:v>1.7349108829258422E-4</c:v>
                </c:pt>
                <c:pt idx="249">
                  <c:v>1.7343392955000039E-4</c:v>
                </c:pt>
                <c:pt idx="250">
                  <c:v>1.7338007025841215E-4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9094616"/>
        <c:axId val="1059096576"/>
      </c:lineChart>
      <c:dateAx>
        <c:axId val="105909461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it-IT"/>
          </a:p>
        </c:txPr>
        <c:crossAx val="1059096576"/>
        <c:crosses val="autoZero"/>
        <c:auto val="1"/>
        <c:lblOffset val="100"/>
        <c:baseTimeUnit val="days"/>
        <c:majorUnit val="36"/>
        <c:majorTimeUnit val="months"/>
      </c:dateAx>
      <c:valAx>
        <c:axId val="105909657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0590946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'6M Basis'!$W$2</c:f>
              <c:strCache>
                <c:ptCount val="1"/>
                <c:pt idx="0">
                  <c:v>Market 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'6M Basis'!$S$3:$S$1310</c:f>
              <c:numCache>
                <c:formatCode>ddd\,\ dd\-mmm\-yyyy</c:formatCode>
                <c:ptCount val="1308"/>
                <c:pt idx="0">
                  <c:v>42279</c:v>
                </c:pt>
                <c:pt idx="1">
                  <c:v>42312</c:v>
                </c:pt>
                <c:pt idx="2">
                  <c:v>42342</c:v>
                </c:pt>
                <c:pt idx="3">
                  <c:v>42375</c:v>
                </c:pt>
                <c:pt idx="4">
                  <c:v>42404</c:v>
                </c:pt>
                <c:pt idx="5">
                  <c:v>42433</c:v>
                </c:pt>
                <c:pt idx="6">
                  <c:v>42466</c:v>
                </c:pt>
                <c:pt idx="7">
                  <c:v>42494</c:v>
                </c:pt>
                <c:pt idx="8">
                  <c:v>42527</c:v>
                </c:pt>
                <c:pt idx="9">
                  <c:v>42557</c:v>
                </c:pt>
                <c:pt idx="10">
                  <c:v>42586</c:v>
                </c:pt>
                <c:pt idx="11">
                  <c:v>42619</c:v>
                </c:pt>
                <c:pt idx="12">
                  <c:v>42648</c:v>
                </c:pt>
                <c:pt idx="13">
                  <c:v>42678</c:v>
                </c:pt>
                <c:pt idx="14">
                  <c:v>42710</c:v>
                </c:pt>
                <c:pt idx="15">
                  <c:v>42739</c:v>
                </c:pt>
                <c:pt idx="16">
                  <c:v>42772</c:v>
                </c:pt>
                <c:pt idx="17">
                  <c:v>42800</c:v>
                </c:pt>
                <c:pt idx="18">
                  <c:v>42830</c:v>
                </c:pt>
                <c:pt idx="19">
                  <c:v>43012</c:v>
                </c:pt>
                <c:pt idx="20">
                  <c:v>43195</c:v>
                </c:pt>
                <c:pt idx="21">
                  <c:v>43377</c:v>
                </c:pt>
                <c:pt idx="22">
                  <c:v>43559</c:v>
                </c:pt>
                <c:pt idx="23">
                  <c:v>43742</c:v>
                </c:pt>
                <c:pt idx="24">
                  <c:v>43927</c:v>
                </c:pt>
                <c:pt idx="25">
                  <c:v>44110</c:v>
                </c:pt>
                <c:pt idx="26">
                  <c:v>44294</c:v>
                </c:pt>
                <c:pt idx="27">
                  <c:v>44475</c:v>
                </c:pt>
                <c:pt idx="28">
                  <c:v>44657</c:v>
                </c:pt>
                <c:pt idx="29">
                  <c:v>44839</c:v>
                </c:pt>
                <c:pt idx="30">
                  <c:v>45021</c:v>
                </c:pt>
                <c:pt idx="31">
                  <c:v>45203</c:v>
                </c:pt>
                <c:pt idx="32">
                  <c:v>45386</c:v>
                </c:pt>
                <c:pt idx="33">
                  <c:v>45569</c:v>
                </c:pt>
                <c:pt idx="34">
                  <c:v>45751</c:v>
                </c:pt>
                <c:pt idx="35">
                  <c:v>45936</c:v>
                </c:pt>
                <c:pt idx="36">
                  <c:v>46120</c:v>
                </c:pt>
                <c:pt idx="37">
                  <c:v>46301</c:v>
                </c:pt>
                <c:pt idx="38">
                  <c:v>46483</c:v>
                </c:pt>
                <c:pt idx="39">
                  <c:v>46666</c:v>
                </c:pt>
                <c:pt idx="40">
                  <c:v>46848</c:v>
                </c:pt>
                <c:pt idx="41">
                  <c:v>47030</c:v>
                </c:pt>
                <c:pt idx="42">
                  <c:v>47213</c:v>
                </c:pt>
                <c:pt idx="43">
                  <c:v>47395</c:v>
                </c:pt>
                <c:pt idx="44">
                  <c:v>47577</c:v>
                </c:pt>
                <c:pt idx="45">
                  <c:v>47760</c:v>
                </c:pt>
                <c:pt idx="46">
                  <c:v>47942</c:v>
                </c:pt>
                <c:pt idx="47">
                  <c:v>48127</c:v>
                </c:pt>
                <c:pt idx="48">
                  <c:v>48310</c:v>
                </c:pt>
                <c:pt idx="49">
                  <c:v>48493</c:v>
                </c:pt>
                <c:pt idx="50">
                  <c:v>48675</c:v>
                </c:pt>
                <c:pt idx="51">
                  <c:v>48857</c:v>
                </c:pt>
                <c:pt idx="52">
                  <c:v>49039</c:v>
                </c:pt>
                <c:pt idx="53">
                  <c:v>49221</c:v>
                </c:pt>
                <c:pt idx="54">
                  <c:v>49403</c:v>
                </c:pt>
                <c:pt idx="55">
                  <c:v>49586</c:v>
                </c:pt>
                <c:pt idx="56">
                  <c:v>49769</c:v>
                </c:pt>
                <c:pt idx="57">
                  <c:v>49954</c:v>
                </c:pt>
                <c:pt idx="58">
                  <c:v>50138</c:v>
                </c:pt>
                <c:pt idx="59">
                  <c:v>50319</c:v>
                </c:pt>
                <c:pt idx="60">
                  <c:v>50501</c:v>
                </c:pt>
                <c:pt idx="61">
                  <c:v>50684</c:v>
                </c:pt>
                <c:pt idx="62">
                  <c:v>50866</c:v>
                </c:pt>
                <c:pt idx="63">
                  <c:v>51048</c:v>
                </c:pt>
                <c:pt idx="64">
                  <c:v>51231</c:v>
                </c:pt>
                <c:pt idx="65">
                  <c:v>51413</c:v>
                </c:pt>
                <c:pt idx="66">
                  <c:v>51595</c:v>
                </c:pt>
                <c:pt idx="67">
                  <c:v>51778</c:v>
                </c:pt>
                <c:pt idx="68">
                  <c:v>51964</c:v>
                </c:pt>
                <c:pt idx="69">
                  <c:v>52145</c:v>
                </c:pt>
                <c:pt idx="70">
                  <c:v>52327</c:v>
                </c:pt>
                <c:pt idx="71">
                  <c:v>52510</c:v>
                </c:pt>
                <c:pt idx="72">
                  <c:v>52693</c:v>
                </c:pt>
                <c:pt idx="73">
                  <c:v>52875</c:v>
                </c:pt>
                <c:pt idx="74">
                  <c:v>53057</c:v>
                </c:pt>
                <c:pt idx="75">
                  <c:v>53239</c:v>
                </c:pt>
                <c:pt idx="76">
                  <c:v>53421</c:v>
                </c:pt>
                <c:pt idx="77">
                  <c:v>53604</c:v>
                </c:pt>
                <c:pt idx="78">
                  <c:v>53786</c:v>
                </c:pt>
                <c:pt idx="79">
                  <c:v>53969</c:v>
                </c:pt>
                <c:pt idx="80">
                  <c:v>54156</c:v>
                </c:pt>
                <c:pt idx="81">
                  <c:v>54337</c:v>
                </c:pt>
                <c:pt idx="82">
                  <c:v>54519</c:v>
                </c:pt>
                <c:pt idx="83">
                  <c:v>54702</c:v>
                </c:pt>
                <c:pt idx="84">
                  <c:v>54884</c:v>
                </c:pt>
                <c:pt idx="85">
                  <c:v>55066</c:v>
                </c:pt>
                <c:pt idx="86">
                  <c:v>55249</c:v>
                </c:pt>
                <c:pt idx="87">
                  <c:v>55430</c:v>
                </c:pt>
                <c:pt idx="88">
                  <c:v>55613</c:v>
                </c:pt>
                <c:pt idx="89">
                  <c:v>55796</c:v>
                </c:pt>
                <c:pt idx="90">
                  <c:v>55982</c:v>
                </c:pt>
                <c:pt idx="91">
                  <c:v>56163</c:v>
                </c:pt>
                <c:pt idx="92">
                  <c:v>56345</c:v>
                </c:pt>
                <c:pt idx="93">
                  <c:v>56528</c:v>
                </c:pt>
                <c:pt idx="94">
                  <c:v>56710</c:v>
                </c:pt>
                <c:pt idx="95">
                  <c:v>56893</c:v>
                </c:pt>
                <c:pt idx="96">
                  <c:v>57076</c:v>
                </c:pt>
                <c:pt idx="97">
                  <c:v>57257</c:v>
                </c:pt>
                <c:pt idx="98">
                  <c:v>57439</c:v>
                </c:pt>
                <c:pt idx="99">
                  <c:v>57622</c:v>
                </c:pt>
                <c:pt idx="100">
                  <c:v>57804</c:v>
                </c:pt>
                <c:pt idx="101">
                  <c:v>57987</c:v>
                </c:pt>
                <c:pt idx="102">
                  <c:v>58169</c:v>
                </c:pt>
                <c:pt idx="103">
                  <c:v>58354</c:v>
                </c:pt>
                <c:pt idx="104">
                  <c:v>58537</c:v>
                </c:pt>
                <c:pt idx="105">
                  <c:v>58720</c:v>
                </c:pt>
                <c:pt idx="106">
                  <c:v>58902</c:v>
                </c:pt>
                <c:pt idx="107">
                  <c:v>59084</c:v>
                </c:pt>
                <c:pt idx="108">
                  <c:v>59266</c:v>
                </c:pt>
                <c:pt idx="109">
                  <c:v>59448</c:v>
                </c:pt>
                <c:pt idx="110">
                  <c:v>59630</c:v>
                </c:pt>
                <c:pt idx="111">
                  <c:v>59813</c:v>
                </c:pt>
                <c:pt idx="112">
                  <c:v>60000</c:v>
                </c:pt>
                <c:pt idx="113">
                  <c:v>60181</c:v>
                </c:pt>
                <c:pt idx="114">
                  <c:v>60363</c:v>
                </c:pt>
                <c:pt idx="115">
                  <c:v>60546</c:v>
                </c:pt>
                <c:pt idx="116">
                  <c:v>60728</c:v>
                </c:pt>
                <c:pt idx="117">
                  <c:v>60911</c:v>
                </c:pt>
                <c:pt idx="118">
                  <c:v>61094</c:v>
                </c:pt>
                <c:pt idx="119">
                  <c:v>61275</c:v>
                </c:pt>
                <c:pt idx="120">
                  <c:v>61457</c:v>
                </c:pt>
                <c:pt idx="121">
                  <c:v>61640</c:v>
                </c:pt>
                <c:pt idx="122">
                  <c:v>61822</c:v>
                </c:pt>
                <c:pt idx="123">
                  <c:v>62005</c:v>
                </c:pt>
                <c:pt idx="124">
                  <c:v>62187</c:v>
                </c:pt>
                <c:pt idx="125">
                  <c:v>62372</c:v>
                </c:pt>
                <c:pt idx="126">
                  <c:v>62554</c:v>
                </c:pt>
                <c:pt idx="127">
                  <c:v>62737</c:v>
                </c:pt>
                <c:pt idx="128">
                  <c:v>62920</c:v>
                </c:pt>
                <c:pt idx="129">
                  <c:v>63102</c:v>
                </c:pt>
                <c:pt idx="130">
                  <c:v>63284</c:v>
                </c:pt>
                <c:pt idx="131">
                  <c:v>63466</c:v>
                </c:pt>
                <c:pt idx="132">
                  <c:v>63648</c:v>
                </c:pt>
              </c:numCache>
            </c:numRef>
          </c:cat>
          <c:val>
            <c:numRef>
              <c:f>'6M Basis'!$W$3:$W$1310</c:f>
              <c:numCache>
                <c:formatCode>0.0000%</c:formatCode>
                <c:ptCount val="1308"/>
                <c:pt idx="0">
                  <c:v>1.7994732317488369E-3</c:v>
                </c:pt>
                <c:pt idx="1">
                  <c:v>1.8726830522879452E-3</c:v>
                </c:pt>
                <c:pt idx="2">
                  <c:v>1.9126927724703907E-3</c:v>
                </c:pt>
                <c:pt idx="3">
                  <c:v>1.9866662278735037E-3</c:v>
                </c:pt>
                <c:pt idx="4">
                  <c:v>2.0206912526044007E-3</c:v>
                </c:pt>
                <c:pt idx="5">
                  <c:v>2.057754390150678E-3</c:v>
                </c:pt>
                <c:pt idx="6">
                  <c:v>2.105112611701208E-3</c:v>
                </c:pt>
                <c:pt idx="7">
                  <c:v>2.1444197968636587E-3</c:v>
                </c:pt>
                <c:pt idx="8">
                  <c:v>2.1656739798755361E-3</c:v>
                </c:pt>
                <c:pt idx="9">
                  <c:v>2.2033854048584801E-3</c:v>
                </c:pt>
                <c:pt idx="10">
                  <c:v>2.2370101697650169E-3</c:v>
                </c:pt>
                <c:pt idx="11">
                  <c:v>2.2568132800752077E-3</c:v>
                </c:pt>
                <c:pt idx="12">
                  <c:v>2.2788617547384862E-3</c:v>
                </c:pt>
                <c:pt idx="13">
                  <c:v>2.3242355826049218E-3</c:v>
                </c:pt>
                <c:pt idx="14">
                  <c:v>2.3548126667080342E-3</c:v>
                </c:pt>
                <c:pt idx="15">
                  <c:v>2.3968579685047287E-3</c:v>
                </c:pt>
                <c:pt idx="16">
                  <c:v>2.4378467554462173E-3</c:v>
                </c:pt>
                <c:pt idx="17">
                  <c:v>2.4715848265856382E-3</c:v>
                </c:pt>
                <c:pt idx="18">
                  <c:v>2.4980254476661187E-3</c:v>
                </c:pt>
                <c:pt idx="19">
                  <c:v>2.6941211618710698E-3</c:v>
                </c:pt>
                <c:pt idx="20">
                  <c:v>2.8885816684327439E-3</c:v>
                </c:pt>
                <c:pt idx="21">
                  <c:v>2.9423762283027634E-3</c:v>
                </c:pt>
                <c:pt idx="22">
                  <c:v>3.0613559865039306E-3</c:v>
                </c:pt>
                <c:pt idx="23">
                  <c:v>3.210734730733948E-3</c:v>
                </c:pt>
                <c:pt idx="24">
                  <c:v>3.058687199076815E-3</c:v>
                </c:pt>
                <c:pt idx="25">
                  <c:v>2.648154563540981E-3</c:v>
                </c:pt>
                <c:pt idx="26">
                  <c:v>2.4226353145970995E-3</c:v>
                </c:pt>
                <c:pt idx="27">
                  <c:v>2.4278880907702381E-3</c:v>
                </c:pt>
                <c:pt idx="28">
                  <c:v>2.4244514329159993E-3</c:v>
                </c:pt>
                <c:pt idx="29">
                  <c:v>2.3556260489368593E-3</c:v>
                </c:pt>
                <c:pt idx="30">
                  <c:v>2.2209224408731489E-3</c:v>
                </c:pt>
                <c:pt idx="31">
                  <c:v>2.0531471862314035E-3</c:v>
                </c:pt>
                <c:pt idx="32">
                  <c:v>1.9752047954865772E-3</c:v>
                </c:pt>
                <c:pt idx="33">
                  <c:v>1.9751780542206915E-3</c:v>
                </c:pt>
                <c:pt idx="34">
                  <c:v>1.885939682582969E-3</c:v>
                </c:pt>
                <c:pt idx="35">
                  <c:v>1.7191927703767013E-3</c:v>
                </c:pt>
                <c:pt idx="36">
                  <c:v>1.6799182987988284E-3</c:v>
                </c:pt>
                <c:pt idx="37">
                  <c:v>1.7530255445140919E-3</c:v>
                </c:pt>
                <c:pt idx="38">
                  <c:v>1.7190004342777405E-3</c:v>
                </c:pt>
                <c:pt idx="39">
                  <c:v>1.5568963579664363E-3</c:v>
                </c:pt>
                <c:pt idx="40">
                  <c:v>1.3937104543109251E-3</c:v>
                </c:pt>
                <c:pt idx="41">
                  <c:v>1.2591365779799635E-3</c:v>
                </c:pt>
                <c:pt idx="42">
                  <c:v>1.1519507912845749E-3</c:v>
                </c:pt>
                <c:pt idx="43">
                  <c:v>1.0741723096616591E-3</c:v>
                </c:pt>
                <c:pt idx="44">
                  <c:v>1.0246014704494363E-3</c:v>
                </c:pt>
                <c:pt idx="45">
                  <c:v>9.9801881831049211E-4</c:v>
                </c:pt>
                <c:pt idx="46">
                  <c:v>9.7350739090634048E-4</c:v>
                </c:pt>
                <c:pt idx="47">
                  <c:v>9.4546435404587945E-4</c:v>
                </c:pt>
                <c:pt idx="48">
                  <c:v>9.1451178016136586E-4</c:v>
                </c:pt>
                <c:pt idx="49">
                  <c:v>8.8045166649221643E-4</c:v>
                </c:pt>
                <c:pt idx="50">
                  <c:v>8.4334723563917607E-4</c:v>
                </c:pt>
                <c:pt idx="51">
                  <c:v>8.032485062788898E-4</c:v>
                </c:pt>
                <c:pt idx="52">
                  <c:v>7.5988831386739411E-4</c:v>
                </c:pt>
                <c:pt idx="53">
                  <c:v>7.1358638980196717E-4</c:v>
                </c:pt>
                <c:pt idx="54">
                  <c:v>6.6398358031859173E-4</c:v>
                </c:pt>
                <c:pt idx="55">
                  <c:v>6.1300965622531137E-4</c:v>
                </c:pt>
                <c:pt idx="56">
                  <c:v>5.6815710497828617E-4</c:v>
                </c:pt>
                <c:pt idx="57">
                  <c:v>5.3135561754590749E-4</c:v>
                </c:pt>
                <c:pt idx="58">
                  <c:v>5.0278471028618668E-4</c:v>
                </c:pt>
                <c:pt idx="59">
                  <c:v>4.8266354612904253E-4</c:v>
                </c:pt>
                <c:pt idx="60">
                  <c:v>4.7035275720373054E-4</c:v>
                </c:pt>
                <c:pt idx="61">
                  <c:v>4.6601457787489621E-4</c:v>
                </c:pt>
                <c:pt idx="62">
                  <c:v>4.6974356769920698E-4</c:v>
                </c:pt>
                <c:pt idx="63">
                  <c:v>4.81422033239403E-4</c:v>
                </c:pt>
                <c:pt idx="64">
                  <c:v>5.0120154800295177E-4</c:v>
                </c:pt>
                <c:pt idx="65">
                  <c:v>5.2598276728165611E-4</c:v>
                </c:pt>
                <c:pt idx="66">
                  <c:v>5.4539692035620972E-4</c:v>
                </c:pt>
                <c:pt idx="67">
                  <c:v>5.5677481904721667E-4</c:v>
                </c:pt>
                <c:pt idx="68">
                  <c:v>5.5970455551590872E-4</c:v>
                </c:pt>
                <c:pt idx="69">
                  <c:v>5.5454585571282529E-4</c:v>
                </c:pt>
                <c:pt idx="70">
                  <c:v>5.412615312483382E-4</c:v>
                </c:pt>
                <c:pt idx="71">
                  <c:v>5.1973604615385312E-4</c:v>
                </c:pt>
                <c:pt idx="72">
                  <c:v>4.9001281955691166E-4</c:v>
                </c:pt>
                <c:pt idx="73">
                  <c:v>4.5241938733452287E-4</c:v>
                </c:pt>
                <c:pt idx="74">
                  <c:v>4.0651476128431702E-4</c:v>
                </c:pt>
                <c:pt idx="75">
                  <c:v>3.5561745153984969E-4</c:v>
                </c:pt>
                <c:pt idx="76">
                  <c:v>3.1038506892197212E-4</c:v>
                </c:pt>
                <c:pt idx="77">
                  <c:v>2.7374245274503287E-4</c:v>
                </c:pt>
                <c:pt idx="78">
                  <c:v>2.4575722954896587E-4</c:v>
                </c:pt>
                <c:pt idx="79">
                  <c:v>2.2626062400612004E-4</c:v>
                </c:pt>
                <c:pt idx="80">
                  <c:v>2.1546686580647435E-4</c:v>
                </c:pt>
                <c:pt idx="81">
                  <c:v>2.1354894046099297E-4</c:v>
                </c:pt>
                <c:pt idx="82">
                  <c:v>2.2021814097518584E-4</c:v>
                </c:pt>
                <c:pt idx="83">
                  <c:v>2.3548917509359953E-4</c:v>
                </c:pt>
                <c:pt idx="84">
                  <c:v>2.5941620827998543E-4</c:v>
                </c:pt>
                <c:pt idx="85">
                  <c:v>2.8930426463776547E-4</c:v>
                </c:pt>
                <c:pt idx="86">
                  <c:v>3.1621819482427135E-4</c:v>
                </c:pt>
                <c:pt idx="87">
                  <c:v>3.3722581870910401E-4</c:v>
                </c:pt>
                <c:pt idx="88">
                  <c:v>3.52882302028526E-4</c:v>
                </c:pt>
                <c:pt idx="89">
                  <c:v>3.6302136974496711E-4</c:v>
                </c:pt>
                <c:pt idx="90">
                  <c:v>3.6738239835872218E-4</c:v>
                </c:pt>
                <c:pt idx="91">
                  <c:v>3.6615396658053016E-4</c:v>
                </c:pt>
                <c:pt idx="92">
                  <c:v>3.5938848647262128E-4</c:v>
                </c:pt>
                <c:pt idx="93">
                  <c:v>3.4702459569188604E-4</c:v>
                </c:pt>
                <c:pt idx="94">
                  <c:v>3.291092124079395E-4</c:v>
                </c:pt>
                <c:pt idx="95">
                  <c:v>3.0679334062314913E-4</c:v>
                </c:pt>
                <c:pt idx="96">
                  <c:v>2.8497689910162577E-4</c:v>
                </c:pt>
                <c:pt idx="97">
                  <c:v>2.6508500855096893E-4</c:v>
                </c:pt>
                <c:pt idx="98">
                  <c:v>2.4664377759006477E-4</c:v>
                </c:pt>
                <c:pt idx="99">
                  <c:v>2.298427420032792E-4</c:v>
                </c:pt>
                <c:pt idx="100">
                  <c:v>2.1471615509364474E-4</c:v>
                </c:pt>
                <c:pt idx="101">
                  <c:v>2.012301713493949E-4</c:v>
                </c:pt>
                <c:pt idx="102">
                  <c:v>1.8936775346255381E-4</c:v>
                </c:pt>
                <c:pt idx="103">
                  <c:v>1.7911785657747162E-4</c:v>
                </c:pt>
                <c:pt idx="104">
                  <c:v>1.7060484202975103E-4</c:v>
                </c:pt>
                <c:pt idx="105">
                  <c:v>1.6376480410432853E-4</c:v>
                </c:pt>
                <c:pt idx="106">
                  <c:v>1.5858946857465542E-4</c:v>
                </c:pt>
                <c:pt idx="107">
                  <c:v>1.5507007031160223E-4</c:v>
                </c:pt>
                <c:pt idx="108">
                  <c:v>1.5319039325144106E-4</c:v>
                </c:pt>
                <c:pt idx="109">
                  <c:v>1.5294870589033401E-4</c:v>
                </c:pt>
                <c:pt idx="110">
                  <c:v>1.5436471372137772E-4</c:v>
                </c:pt>
                <c:pt idx="111">
                  <c:v>1.5750428450846989E-4</c:v>
                </c:pt>
                <c:pt idx="112">
                  <c:v>1.6229632286091089E-4</c:v>
                </c:pt>
                <c:pt idx="113">
                  <c:v>1.6862560498964382E-4</c:v>
                </c:pt>
                <c:pt idx="114">
                  <c:v>1.7668246071828389E-4</c:v>
                </c:pt>
                <c:pt idx="115">
                  <c:v>1.8600281918909958E-4</c:v>
                </c:pt>
                <c:pt idx="116">
                  <c:v>1.9518856194896197E-4</c:v>
                </c:pt>
                <c:pt idx="117">
                  <c:v>2.0387966951882636E-4</c:v>
                </c:pt>
                <c:pt idx="118">
                  <c:v>2.1214587266041654E-4</c:v>
                </c:pt>
                <c:pt idx="119">
                  <c:v>2.1981504017042769E-4</c:v>
                </c:pt>
                <c:pt idx="120">
                  <c:v>2.2704796089136406E-4</c:v>
                </c:pt>
                <c:pt idx="121">
                  <c:v>2.3381047010802986E-4</c:v>
                </c:pt>
                <c:pt idx="122">
                  <c:v>2.4010633863922638E-4</c:v>
                </c:pt>
                <c:pt idx="123">
                  <c:v>2.4590214333291768E-4</c:v>
                </c:pt>
                <c:pt idx="124">
                  <c:v>2.5127801483322207E-4</c:v>
                </c:pt>
                <c:pt idx="125">
                  <c:v>2.5611101787644842E-4</c:v>
                </c:pt>
                <c:pt idx="126">
                  <c:v>2.6046918577185205E-4</c:v>
                </c:pt>
                <c:pt idx="127">
                  <c:v>2.64344297840894E-4</c:v>
                </c:pt>
                <c:pt idx="128">
                  <c:v>2.677329311580115E-4</c:v>
                </c:pt>
                <c:pt idx="129">
                  <c:v>2.706031718148795E-4</c:v>
                </c:pt>
                <c:pt idx="130">
                  <c:v>2.7302662606994328E-4</c:v>
                </c:pt>
                <c:pt idx="131">
                  <c:v>2.749365152277701E-4</c:v>
                </c:pt>
                <c:pt idx="132">
                  <c:v>2.7639466037865899E-4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'6M Basis'!$AA$2</c:f>
              <c:strCache>
                <c:ptCount val="1"/>
                <c:pt idx="0">
                  <c:v>Calibrated Basis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val>
            <c:numRef>
              <c:f>'6M Basis'!$AA$3:$AA$135</c:f>
              <c:numCache>
                <c:formatCode>0.0000%</c:formatCode>
                <c:ptCount val="133"/>
                <c:pt idx="0">
                  <c:v>1.7463701218931483E-3</c:v>
                </c:pt>
                <c:pt idx="1">
                  <c:v>1.8149454811144166E-3</c:v>
                </c:pt>
                <c:pt idx="2">
                  <c:v>1.8746667157990206E-3</c:v>
                </c:pt>
                <c:pt idx="3">
                  <c:v>1.9375592211099692E-3</c:v>
                </c:pt>
                <c:pt idx="4">
                  <c:v>1.9904717629165678E-3</c:v>
                </c:pt>
                <c:pt idx="5">
                  <c:v>2.0412390679437676E-3</c:v>
                </c:pt>
                <c:pt idx="6">
                  <c:v>2.0964697622641243E-3</c:v>
                </c:pt>
                <c:pt idx="7">
                  <c:v>2.1412694871826015E-3</c:v>
                </c:pt>
                <c:pt idx="8">
                  <c:v>2.1917065017382511E-3</c:v>
                </c:pt>
                <c:pt idx="9">
                  <c:v>2.2354006908919472E-3</c:v>
                </c:pt>
                <c:pt idx="10">
                  <c:v>2.2757393445129721E-3</c:v>
                </c:pt>
                <c:pt idx="11">
                  <c:v>2.3194343552860948E-3</c:v>
                </c:pt>
                <c:pt idx="12">
                  <c:v>2.3559467213207183E-3</c:v>
                </c:pt>
                <c:pt idx="13">
                  <c:v>2.3919134507948349E-3</c:v>
                </c:pt>
                <c:pt idx="14">
                  <c:v>2.4283115934640386E-3</c:v>
                </c:pt>
                <c:pt idx="15">
                  <c:v>2.4595933417856774E-3</c:v>
                </c:pt>
                <c:pt idx="16">
                  <c:v>2.4932762885718001E-3</c:v>
                </c:pt>
                <c:pt idx="17">
                  <c:v>2.5203031169327658E-3</c:v>
                </c:pt>
                <c:pt idx="18">
                  <c:v>2.5477237355481679E-3</c:v>
                </c:pt>
                <c:pt idx="19">
                  <c:v>2.6824956741256126E-3</c:v>
                </c:pt>
                <c:pt idx="20">
                  <c:v>2.7698809034982317E-3</c:v>
                </c:pt>
                <c:pt idx="21">
                  <c:v>2.8169550193748753E-3</c:v>
                </c:pt>
                <c:pt idx="22">
                  <c:v>2.8312078575277429E-3</c:v>
                </c:pt>
                <c:pt idx="23">
                  <c:v>2.8184314734488454E-3</c:v>
                </c:pt>
                <c:pt idx="24">
                  <c:v>2.7831450156070967E-3</c:v>
                </c:pt>
                <c:pt idx="25">
                  <c:v>2.7305660125790045E-3</c:v>
                </c:pt>
                <c:pt idx="26">
                  <c:v>2.6637889721469175E-3</c:v>
                </c:pt>
                <c:pt idx="27">
                  <c:v>2.5876349206038042E-3</c:v>
                </c:pt>
                <c:pt idx="28">
                  <c:v>2.5032502081688197E-3</c:v>
                </c:pt>
                <c:pt idx="29">
                  <c:v>2.4132707455720753E-3</c:v>
                </c:pt>
                <c:pt idx="30">
                  <c:v>2.3195766998002653E-3</c:v>
                </c:pt>
                <c:pt idx="31">
                  <c:v>2.2237360478727453E-3</c:v>
                </c:pt>
                <c:pt idx="32">
                  <c:v>2.1265159276227887E-3</c:v>
                </c:pt>
                <c:pt idx="33">
                  <c:v>2.0295223012295415E-3</c:v>
                </c:pt>
                <c:pt idx="34">
                  <c:v>1.9341554729493718E-3</c:v>
                </c:pt>
                <c:pt idx="35">
                  <c:v>1.8390553570102944E-3</c:v>
                </c:pt>
                <c:pt idx="36">
                  <c:v>1.7468757167630384E-3</c:v>
                </c:pt>
                <c:pt idx="37">
                  <c:v>1.6589672831604605E-3</c:v>
                </c:pt>
                <c:pt idx="38">
                  <c:v>1.5736609055685463E-3</c:v>
                </c:pt>
                <c:pt idx="39">
                  <c:v>1.4912408395076691E-3</c:v>
                </c:pt>
                <c:pt idx="40">
                  <c:v>1.4127658474809529E-3</c:v>
                </c:pt>
                <c:pt idx="41">
                  <c:v>1.3378714935906176E-3</c:v>
                </c:pt>
                <c:pt idx="42">
                  <c:v>1.2662201828547196E-3</c:v>
                </c:pt>
                <c:pt idx="43">
                  <c:v>1.1985966186595762E-3</c:v>
                </c:pt>
                <c:pt idx="44">
                  <c:v>1.1345663800044429E-3</c:v>
                </c:pt>
                <c:pt idx="45">
                  <c:v>1.0737460163421741E-3</c:v>
                </c:pt>
                <c:pt idx="46">
                  <c:v>1.0167170817561334E-3</c:v>
                </c:pt>
                <c:pt idx="47">
                  <c:v>9.6218019016179753E-4</c:v>
                </c:pt>
                <c:pt idx="48">
                  <c:v>9.1152122189893932E-4</c:v>
                </c:pt>
                <c:pt idx="49">
                  <c:v>8.6400743528019597E-4</c:v>
                </c:pt>
                <c:pt idx="50">
                  <c:v>8.1974245040608031E-4</c:v>
                </c:pt>
                <c:pt idx="51">
                  <c:v>7.7832456661634732E-4</c:v>
                </c:pt>
                <c:pt idx="52">
                  <c:v>7.3961802057404609E-4</c:v>
                </c:pt>
                <c:pt idx="53">
                  <c:v>7.0348659040376073E-4</c:v>
                </c:pt>
                <c:pt idx="54">
                  <c:v>6.697949628460939E-4</c:v>
                </c:pt>
                <c:pt idx="55">
                  <c:v>6.3824352271514171E-4</c:v>
                </c:pt>
                <c:pt idx="56">
                  <c:v>6.0889145331775147E-4</c:v>
                </c:pt>
                <c:pt idx="57">
                  <c:v>5.8132268852475414E-4</c:v>
                </c:pt>
                <c:pt idx="58">
                  <c:v>5.5587432058865494E-4</c:v>
                </c:pt>
                <c:pt idx="59">
                  <c:v>5.3264050369880155E-4</c:v>
                </c:pt>
                <c:pt idx="60">
                  <c:v>5.1096486893297574E-4</c:v>
                </c:pt>
                <c:pt idx="61">
                  <c:v>4.9076617654780275E-4</c:v>
                </c:pt>
                <c:pt idx="62">
                  <c:v>4.7216156204812367E-4</c:v>
                </c:pt>
                <c:pt idx="63">
                  <c:v>4.5493838360141496E-4</c:v>
                </c:pt>
                <c:pt idx="64">
                  <c:v>4.3891955993333404E-4</c:v>
                </c:pt>
                <c:pt idx="65">
                  <c:v>4.2419187474951287E-4</c:v>
                </c:pt>
                <c:pt idx="66">
                  <c:v>4.1058139388686218E-4</c:v>
                </c:pt>
                <c:pt idx="67">
                  <c:v>3.9794362947469301E-4</c:v>
                </c:pt>
                <c:pt idx="68">
                  <c:v>3.8609822245607925E-4</c:v>
                </c:pt>
                <c:pt idx="69">
                  <c:v>3.7546898136290593E-4</c:v>
                </c:pt>
                <c:pt idx="70">
                  <c:v>3.6560906598092724E-4</c:v>
                </c:pt>
                <c:pt idx="71">
                  <c:v>3.5647116541338272E-4</c:v>
                </c:pt>
                <c:pt idx="72">
                  <c:v>3.4805417902045713E-4</c:v>
                </c:pt>
                <c:pt idx="73">
                  <c:v>3.4034503534242574E-4</c:v>
                </c:pt>
                <c:pt idx="74">
                  <c:v>3.33246556866406E-4</c:v>
                </c:pt>
                <c:pt idx="75">
                  <c:v>3.2671281793906928E-4</c:v>
                </c:pt>
                <c:pt idx="76">
                  <c:v>3.2070105595248093E-4</c:v>
                </c:pt>
                <c:pt idx="77">
                  <c:v>3.1514237014511971E-4</c:v>
                </c:pt>
                <c:pt idx="78">
                  <c:v>3.1006037369783263E-4</c:v>
                </c:pt>
                <c:pt idx="79">
                  <c:v>3.0536448445186439E-4</c:v>
                </c:pt>
                <c:pt idx="80">
                  <c:v>3.009612178947749E-4</c:v>
                </c:pt>
                <c:pt idx="81">
                  <c:v>2.9704981260146438E-4</c:v>
                </c:pt>
                <c:pt idx="82">
                  <c:v>2.9343707501371737E-4</c:v>
                </c:pt>
                <c:pt idx="83">
                  <c:v>2.9010279901209844E-4</c:v>
                </c:pt>
                <c:pt idx="84">
                  <c:v>2.8705991082965778E-4</c:v>
                </c:pt>
                <c:pt idx="85">
                  <c:v>2.8426775497857639E-4</c:v>
                </c:pt>
                <c:pt idx="86">
                  <c:v>2.8169285126140636E-4</c:v>
                </c:pt>
                <c:pt idx="87">
                  <c:v>2.7935712690987854E-4</c:v>
                </c:pt>
                <c:pt idx="88">
                  <c:v>2.7719177092155796E-4</c:v>
                </c:pt>
                <c:pt idx="89">
                  <c:v>2.7520771789015723E-4</c:v>
                </c:pt>
                <c:pt idx="90">
                  <c:v>2.7336171459427629E-4</c:v>
                </c:pt>
                <c:pt idx="91">
                  <c:v>2.71716906981729E-4</c:v>
                </c:pt>
                <c:pt idx="92">
                  <c:v>2.7020139594115451E-4</c:v>
                </c:pt>
                <c:pt idx="93">
                  <c:v>2.6880601945393132E-4</c:v>
                </c:pt>
                <c:pt idx="94">
                  <c:v>2.6753552128412628E-4</c:v>
                </c:pt>
                <c:pt idx="95">
                  <c:v>2.6636619884053576E-4</c:v>
                </c:pt>
                <c:pt idx="96">
                  <c:v>2.6529634312002831E-4</c:v>
                </c:pt>
                <c:pt idx="97">
                  <c:v>2.6432790584806048E-4</c:v>
                </c:pt>
                <c:pt idx="98">
                  <c:v>2.6343662207481481E-4</c:v>
                </c:pt>
                <c:pt idx="99">
                  <c:v>2.6261691309744495E-4</c:v>
                </c:pt>
                <c:pt idx="100">
                  <c:v>2.6187138027168898E-4</c:v>
                </c:pt>
                <c:pt idx="101">
                  <c:v>2.6118594863987351E-4</c:v>
                </c:pt>
                <c:pt idx="102">
                  <c:v>2.6056274697958684E-4</c:v>
                </c:pt>
                <c:pt idx="103">
                  <c:v>2.5998398929917885E-4</c:v>
                </c:pt>
                <c:pt idx="104">
                  <c:v>2.5946115846631906E-4</c:v>
                </c:pt>
                <c:pt idx="105">
                  <c:v>2.5898352164888355E-4</c:v>
                </c:pt>
                <c:pt idx="106">
                  <c:v>2.5854951479483264E-4</c:v>
                </c:pt>
                <c:pt idx="107">
                  <c:v>2.5815294267251838E-4</c:v>
                </c:pt>
                <c:pt idx="108">
                  <c:v>2.5779062678886916E-4</c:v>
                </c:pt>
                <c:pt idx="109">
                  <c:v>2.5745965302845003E-4</c:v>
                </c:pt>
                <c:pt idx="110">
                  <c:v>2.5715735027322632E-4</c:v>
                </c:pt>
                <c:pt idx="111">
                  <c:v>2.5687982196805645E-4</c:v>
                </c:pt>
                <c:pt idx="112">
                  <c:v>2.5662124465899002E-4</c:v>
                </c:pt>
                <c:pt idx="113">
                  <c:v>2.5639296604565724E-4</c:v>
                </c:pt>
                <c:pt idx="114">
                  <c:v>2.5618336307216369E-4</c:v>
                </c:pt>
                <c:pt idx="115">
                  <c:v>2.5599103286973743E-4</c:v>
                </c:pt>
                <c:pt idx="116">
                  <c:v>2.558164972077026E-4</c:v>
                </c:pt>
                <c:pt idx="117">
                  <c:v>2.5565638149452748E-4</c:v>
                </c:pt>
                <c:pt idx="118">
                  <c:v>2.5551035068247993E-4</c:v>
                </c:pt>
                <c:pt idx="119">
                  <c:v>2.5537857043099867E-4</c:v>
                </c:pt>
                <c:pt idx="120">
                  <c:v>2.5525765277865681E-4</c:v>
                </c:pt>
                <c:pt idx="121">
                  <c:v>2.5514677322880779E-4</c:v>
                </c:pt>
                <c:pt idx="122">
                  <c:v>2.5504621774378756E-4</c:v>
                </c:pt>
                <c:pt idx="123">
                  <c:v>2.5495402876398083E-4</c:v>
                </c:pt>
                <c:pt idx="124">
                  <c:v>2.5487044025850064E-4</c:v>
                </c:pt>
                <c:pt idx="125">
                  <c:v>2.547930228825709E-4</c:v>
                </c:pt>
                <c:pt idx="126">
                  <c:v>2.5472363593597147E-4</c:v>
                </c:pt>
                <c:pt idx="127">
                  <c:v>2.5466004667477259E-4</c:v>
                </c:pt>
                <c:pt idx="128">
                  <c:v>2.5460210938475493E-4</c:v>
                </c:pt>
                <c:pt idx="129">
                  <c:v>2.5454960173065317E-4</c:v>
                </c:pt>
                <c:pt idx="130">
                  <c:v>2.5450174523090695E-4</c:v>
                </c:pt>
                <c:pt idx="131">
                  <c:v>2.5445813163210815E-4</c:v>
                </c:pt>
                <c:pt idx="132">
                  <c:v>2.5441838811677354E-4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223904"/>
        <c:axId val="712215672"/>
      </c:lineChart>
      <c:dateAx>
        <c:axId val="712223904"/>
        <c:scaling>
          <c:orientation val="minMax"/>
          <c:max val="53235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it-IT"/>
          </a:p>
        </c:txPr>
        <c:crossAx val="712215672"/>
        <c:crosses val="autoZero"/>
        <c:auto val="1"/>
        <c:lblOffset val="100"/>
        <c:baseTimeUnit val="days"/>
        <c:majorUnit val="36"/>
        <c:majorTimeUnit val="months"/>
      </c:dateAx>
      <c:valAx>
        <c:axId val="712215672"/>
        <c:scaling>
          <c:orientation val="minMax"/>
          <c:max val="4.0000000000000001E-3"/>
          <c:min val="0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12223904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'12M Basis'!$W$2</c:f>
              <c:strCache>
                <c:ptCount val="1"/>
                <c:pt idx="0">
                  <c:v>Market 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'12M Basis'!$S$3:$S$1310</c:f>
              <c:numCache>
                <c:formatCode>ddd\,\ dd\-mmm\-yyyy</c:formatCode>
                <c:ptCount val="1308"/>
                <c:pt idx="0">
                  <c:v>42279</c:v>
                </c:pt>
                <c:pt idx="1">
                  <c:v>42312</c:v>
                </c:pt>
                <c:pt idx="2">
                  <c:v>42342</c:v>
                </c:pt>
                <c:pt idx="3">
                  <c:v>42375</c:v>
                </c:pt>
                <c:pt idx="4">
                  <c:v>42404</c:v>
                </c:pt>
                <c:pt idx="5">
                  <c:v>42433</c:v>
                </c:pt>
                <c:pt idx="6">
                  <c:v>42466</c:v>
                </c:pt>
                <c:pt idx="7">
                  <c:v>42494</c:v>
                </c:pt>
                <c:pt idx="8">
                  <c:v>42527</c:v>
                </c:pt>
                <c:pt idx="9">
                  <c:v>42557</c:v>
                </c:pt>
                <c:pt idx="10">
                  <c:v>42586</c:v>
                </c:pt>
                <c:pt idx="11">
                  <c:v>42619</c:v>
                </c:pt>
                <c:pt idx="12">
                  <c:v>42648</c:v>
                </c:pt>
                <c:pt idx="13">
                  <c:v>42678</c:v>
                </c:pt>
                <c:pt idx="14">
                  <c:v>42710</c:v>
                </c:pt>
                <c:pt idx="15">
                  <c:v>42739</c:v>
                </c:pt>
                <c:pt idx="16">
                  <c:v>42772</c:v>
                </c:pt>
                <c:pt idx="17">
                  <c:v>42800</c:v>
                </c:pt>
                <c:pt idx="18">
                  <c:v>42830</c:v>
                </c:pt>
                <c:pt idx="19">
                  <c:v>43012</c:v>
                </c:pt>
                <c:pt idx="20">
                  <c:v>43377</c:v>
                </c:pt>
                <c:pt idx="21">
                  <c:v>43742</c:v>
                </c:pt>
                <c:pt idx="22">
                  <c:v>44110</c:v>
                </c:pt>
                <c:pt idx="23">
                  <c:v>44475</c:v>
                </c:pt>
                <c:pt idx="24">
                  <c:v>44839</c:v>
                </c:pt>
                <c:pt idx="25">
                  <c:v>45203</c:v>
                </c:pt>
                <c:pt idx="26">
                  <c:v>45569</c:v>
                </c:pt>
                <c:pt idx="27">
                  <c:v>45936</c:v>
                </c:pt>
                <c:pt idx="28">
                  <c:v>46301</c:v>
                </c:pt>
                <c:pt idx="29">
                  <c:v>46666</c:v>
                </c:pt>
                <c:pt idx="30">
                  <c:v>47030</c:v>
                </c:pt>
                <c:pt idx="31">
                  <c:v>47395</c:v>
                </c:pt>
                <c:pt idx="32">
                  <c:v>47760</c:v>
                </c:pt>
                <c:pt idx="33">
                  <c:v>48127</c:v>
                </c:pt>
                <c:pt idx="34">
                  <c:v>48493</c:v>
                </c:pt>
                <c:pt idx="35">
                  <c:v>48857</c:v>
                </c:pt>
                <c:pt idx="36">
                  <c:v>49221</c:v>
                </c:pt>
                <c:pt idx="37">
                  <c:v>49586</c:v>
                </c:pt>
                <c:pt idx="38">
                  <c:v>49954</c:v>
                </c:pt>
                <c:pt idx="39">
                  <c:v>50319</c:v>
                </c:pt>
                <c:pt idx="40">
                  <c:v>50684</c:v>
                </c:pt>
                <c:pt idx="41">
                  <c:v>51048</c:v>
                </c:pt>
                <c:pt idx="42">
                  <c:v>51413</c:v>
                </c:pt>
                <c:pt idx="43">
                  <c:v>51778</c:v>
                </c:pt>
                <c:pt idx="44">
                  <c:v>52145</c:v>
                </c:pt>
                <c:pt idx="45">
                  <c:v>52510</c:v>
                </c:pt>
                <c:pt idx="46">
                  <c:v>52875</c:v>
                </c:pt>
                <c:pt idx="47">
                  <c:v>53239</c:v>
                </c:pt>
                <c:pt idx="48">
                  <c:v>53604</c:v>
                </c:pt>
                <c:pt idx="49">
                  <c:v>53969</c:v>
                </c:pt>
                <c:pt idx="50">
                  <c:v>54337</c:v>
                </c:pt>
                <c:pt idx="51">
                  <c:v>54702</c:v>
                </c:pt>
                <c:pt idx="52">
                  <c:v>55066</c:v>
                </c:pt>
                <c:pt idx="53">
                  <c:v>55430</c:v>
                </c:pt>
                <c:pt idx="54">
                  <c:v>55796</c:v>
                </c:pt>
                <c:pt idx="55">
                  <c:v>56163</c:v>
                </c:pt>
                <c:pt idx="56">
                  <c:v>56528</c:v>
                </c:pt>
                <c:pt idx="57">
                  <c:v>56893</c:v>
                </c:pt>
                <c:pt idx="58">
                  <c:v>57257</c:v>
                </c:pt>
                <c:pt idx="59">
                  <c:v>57622</c:v>
                </c:pt>
                <c:pt idx="60">
                  <c:v>57987</c:v>
                </c:pt>
                <c:pt idx="61">
                  <c:v>58354</c:v>
                </c:pt>
                <c:pt idx="62">
                  <c:v>58720</c:v>
                </c:pt>
                <c:pt idx="63">
                  <c:v>59084</c:v>
                </c:pt>
                <c:pt idx="64">
                  <c:v>59448</c:v>
                </c:pt>
                <c:pt idx="65">
                  <c:v>59813</c:v>
                </c:pt>
                <c:pt idx="66">
                  <c:v>60181</c:v>
                </c:pt>
                <c:pt idx="67">
                  <c:v>60546</c:v>
                </c:pt>
                <c:pt idx="68">
                  <c:v>60911</c:v>
                </c:pt>
                <c:pt idx="69">
                  <c:v>61275</c:v>
                </c:pt>
                <c:pt idx="70">
                  <c:v>61640</c:v>
                </c:pt>
                <c:pt idx="71">
                  <c:v>62005</c:v>
                </c:pt>
                <c:pt idx="72">
                  <c:v>62372</c:v>
                </c:pt>
                <c:pt idx="73">
                  <c:v>62737</c:v>
                </c:pt>
                <c:pt idx="74">
                  <c:v>63102</c:v>
                </c:pt>
                <c:pt idx="75">
                  <c:v>63466</c:v>
                </c:pt>
              </c:numCache>
            </c:numRef>
          </c:cat>
          <c:val>
            <c:numRef>
              <c:f>'12M Basis'!$W$3:$W$78</c:f>
              <c:numCache>
                <c:formatCode>0.0000%</c:formatCode>
                <c:ptCount val="76"/>
                <c:pt idx="0">
                  <c:v>3.1302616941867555E-3</c:v>
                </c:pt>
                <c:pt idx="1">
                  <c:v>3.1785986952202866E-3</c:v>
                </c:pt>
                <c:pt idx="2">
                  <c:v>3.2174057194166734E-3</c:v>
                </c:pt>
                <c:pt idx="3">
                  <c:v>3.2808734273454625E-3</c:v>
                </c:pt>
                <c:pt idx="4">
                  <c:v>3.3411817309510149E-3</c:v>
                </c:pt>
                <c:pt idx="5">
                  <c:v>3.3829933676305535E-3</c:v>
                </c:pt>
                <c:pt idx="6">
                  <c:v>3.4466060468428985E-3</c:v>
                </c:pt>
                <c:pt idx="7">
                  <c:v>3.4998873525725481E-3</c:v>
                </c:pt>
                <c:pt idx="8">
                  <c:v>3.5462409696921399E-3</c:v>
                </c:pt>
                <c:pt idx="9">
                  <c:v>3.5948217588422033E-3</c:v>
                </c:pt>
                <c:pt idx="10">
                  <c:v>3.637301490357933E-3</c:v>
                </c:pt>
                <c:pt idx="11">
                  <c:v>3.676779249737693E-3</c:v>
                </c:pt>
                <c:pt idx="12">
                  <c:v>3.7247616529857224E-3</c:v>
                </c:pt>
                <c:pt idx="13">
                  <c:v>3.783020987682093E-3</c:v>
                </c:pt>
                <c:pt idx="14">
                  <c:v>3.8439732904566202E-3</c:v>
                </c:pt>
                <c:pt idx="15">
                  <c:v>3.8915674670768176E-3</c:v>
                </c:pt>
                <c:pt idx="16">
                  <c:v>3.930451432759407E-3</c:v>
                </c:pt>
                <c:pt idx="17">
                  <c:v>3.986612376536961E-3</c:v>
                </c:pt>
                <c:pt idx="18">
                  <c:v>4.0299120087501639E-3</c:v>
                </c:pt>
                <c:pt idx="19">
                  <c:v>4.2741254216150555E-3</c:v>
                </c:pt>
                <c:pt idx="20">
                  <c:v>4.5334083099254161E-3</c:v>
                </c:pt>
                <c:pt idx="21">
                  <c:v>4.6163860081881074E-3</c:v>
                </c:pt>
                <c:pt idx="22">
                  <c:v>3.9414752075982388E-3</c:v>
                </c:pt>
                <c:pt idx="23">
                  <c:v>3.6925134655363349E-3</c:v>
                </c:pt>
                <c:pt idx="24">
                  <c:v>3.5139182159378383E-3</c:v>
                </c:pt>
                <c:pt idx="25">
                  <c:v>3.1027905902491493E-3</c:v>
                </c:pt>
                <c:pt idx="26">
                  <c:v>2.9573667170243977E-3</c:v>
                </c:pt>
                <c:pt idx="27">
                  <c:v>2.4800475330313612E-3</c:v>
                </c:pt>
                <c:pt idx="28">
                  <c:v>2.3055546182599931E-3</c:v>
                </c:pt>
                <c:pt idx="29">
                  <c:v>1.929859290812571E-3</c:v>
                </c:pt>
                <c:pt idx="30">
                  <c:v>1.5823901205973857E-3</c:v>
                </c:pt>
                <c:pt idx="31">
                  <c:v>1.3955604034695708E-3</c:v>
                </c:pt>
                <c:pt idx="32">
                  <c:v>1.4011461143369729E-3</c:v>
                </c:pt>
                <c:pt idx="33">
                  <c:v>1.4070266502557438E-3</c:v>
                </c:pt>
                <c:pt idx="34">
                  <c:v>1.3181200253789792E-3</c:v>
                </c:pt>
                <c:pt idx="35">
                  <c:v>1.1407105364766926E-3</c:v>
                </c:pt>
                <c:pt idx="36">
                  <c:v>8.7974302214825426E-4</c:v>
                </c:pt>
                <c:pt idx="37">
                  <c:v>7.5780894002822063E-4</c:v>
                </c:pt>
                <c:pt idx="38">
                  <c:v>8.0435783259383623E-4</c:v>
                </c:pt>
                <c:pt idx="39">
                  <c:v>8.5119271666344448E-4</c:v>
                </c:pt>
                <c:pt idx="40">
                  <c:v>9.3701109199553073E-4</c:v>
                </c:pt>
                <c:pt idx="41">
                  <c:v>1.1000758072856939E-3</c:v>
                </c:pt>
                <c:pt idx="42">
                  <c:v>1.1382653548217287E-3</c:v>
                </c:pt>
                <c:pt idx="43">
                  <c:v>9.8578664469923388E-4</c:v>
                </c:pt>
                <c:pt idx="44">
                  <c:v>8.5037400828848891E-4</c:v>
                </c:pt>
                <c:pt idx="45">
                  <c:v>7.5548779711159982E-4</c:v>
                </c:pt>
                <c:pt idx="46">
                  <c:v>7.2364907619705196E-4</c:v>
                </c:pt>
                <c:pt idx="47">
                  <c:v>6.6864200461794546E-4</c:v>
                </c:pt>
                <c:pt idx="48">
                  <c:v>5.7355023773816155E-4</c:v>
                </c:pt>
                <c:pt idx="49">
                  <c:v>5.2451252437597275E-4</c:v>
                </c:pt>
                <c:pt idx="50">
                  <c:v>5.1496977350571488E-4</c:v>
                </c:pt>
                <c:pt idx="51">
                  <c:v>5.3830731280184521E-4</c:v>
                </c:pt>
                <c:pt idx="52">
                  <c:v>5.8744690781431519E-4</c:v>
                </c:pt>
                <c:pt idx="53">
                  <c:v>6.5589379911061389E-4</c:v>
                </c:pt>
                <c:pt idx="54">
                  <c:v>7.373514521151342E-4</c:v>
                </c:pt>
                <c:pt idx="55">
                  <c:v>8.2447841000492759E-4</c:v>
                </c:pt>
                <c:pt idx="56">
                  <c:v>9.1054692350209764E-4</c:v>
                </c:pt>
                <c:pt idx="57">
                  <c:v>9.2717306934326713E-4</c:v>
                </c:pt>
                <c:pt idx="58">
                  <c:v>8.5805086257521868E-4</c:v>
                </c:pt>
                <c:pt idx="59">
                  <c:v>7.6357550845626565E-4</c:v>
                </c:pt>
                <c:pt idx="60">
                  <c:v>6.5387375772109173E-4</c:v>
                </c:pt>
                <c:pt idx="61">
                  <c:v>5.3917456667363327E-4</c:v>
                </c:pt>
                <c:pt idx="62">
                  <c:v>4.3025051776984097E-4</c:v>
                </c:pt>
                <c:pt idx="63">
                  <c:v>3.3733203727816762E-4</c:v>
                </c:pt>
                <c:pt idx="64">
                  <c:v>2.7000282419530584E-4</c:v>
                </c:pt>
                <c:pt idx="65">
                  <c:v>2.3832874445483578E-4</c:v>
                </c:pt>
                <c:pt idx="66">
                  <c:v>2.5302602628921034E-4</c:v>
                </c:pt>
                <c:pt idx="67">
                  <c:v>2.9754091440588326E-4</c:v>
                </c:pt>
                <c:pt idx="68">
                  <c:v>3.4491095241287635E-4</c:v>
                </c:pt>
                <c:pt idx="69">
                  <c:v>4.0145497822380305E-4</c:v>
                </c:pt>
                <c:pt idx="70">
                  <c:v>4.6304506798368512E-4</c:v>
                </c:pt>
                <c:pt idx="71">
                  <c:v>5.2587370031088182E-4</c:v>
                </c:pt>
                <c:pt idx="72">
                  <c:v>5.853658925550221E-4</c:v>
                </c:pt>
                <c:pt idx="73">
                  <c:v>6.3738644984591072E-4</c:v>
                </c:pt>
                <c:pt idx="74">
                  <c:v>6.776372261935483E-4</c:v>
                </c:pt>
                <c:pt idx="75">
                  <c:v>7.0216110198524292E-4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'12M Basis'!$AA$2</c:f>
              <c:strCache>
                <c:ptCount val="1"/>
                <c:pt idx="0">
                  <c:v>Calibrated Basis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val>
            <c:numRef>
              <c:f>'12M Basis'!$AA$3:$AA$78</c:f>
              <c:numCache>
                <c:formatCode>0.0000%</c:formatCode>
                <c:ptCount val="76"/>
                <c:pt idx="0">
                  <c:v>2.9587350756473184E-3</c:v>
                </c:pt>
                <c:pt idx="1">
                  <c:v>3.0583506406964838E-3</c:v>
                </c:pt>
                <c:pt idx="2">
                  <c:v>3.1445734650646004E-3</c:v>
                </c:pt>
                <c:pt idx="3">
                  <c:v>3.2347973785705709E-3</c:v>
                </c:pt>
                <c:pt idx="4">
                  <c:v>3.3102089304733362E-3</c:v>
                </c:pt>
                <c:pt idx="5">
                  <c:v>3.3821030429757384E-3</c:v>
                </c:pt>
                <c:pt idx="6">
                  <c:v>3.4597636025842596E-3</c:v>
                </c:pt>
                <c:pt idx="7">
                  <c:v>3.5222965580247001E-3</c:v>
                </c:pt>
                <c:pt idx="8">
                  <c:v>3.592159249214009E-3</c:v>
                </c:pt>
                <c:pt idx="9">
                  <c:v>3.6521782293045405E-3</c:v>
                </c:pt>
                <c:pt idx="10">
                  <c:v>3.707132776348761E-3</c:v>
                </c:pt>
                <c:pt idx="11">
                  <c:v>3.7661176323897957E-3</c:v>
                </c:pt>
                <c:pt idx="12">
                  <c:v>3.8149299996635346E-3</c:v>
                </c:pt>
                <c:pt idx="13">
                  <c:v>3.8625434258133767E-3</c:v>
                </c:pt>
                <c:pt idx="14">
                  <c:v>3.9102015160264823E-3</c:v>
                </c:pt>
                <c:pt idx="15">
                  <c:v>3.9506889844940288E-3</c:v>
                </c:pt>
                <c:pt idx="16">
                  <c:v>3.9937370842350467E-3</c:v>
                </c:pt>
                <c:pt idx="17">
                  <c:v>4.0278178353726265E-3</c:v>
                </c:pt>
                <c:pt idx="18">
                  <c:v>4.0619218658080394E-3</c:v>
                </c:pt>
                <c:pt idx="19">
                  <c:v>4.2197437318523996E-3</c:v>
                </c:pt>
                <c:pt idx="20">
                  <c:v>4.3301793307373437E-3</c:v>
                </c:pt>
                <c:pt idx="21">
                  <c:v>4.247624906143754E-3</c:v>
                </c:pt>
                <c:pt idx="22">
                  <c:v>4.0435577322172605E-3</c:v>
                </c:pt>
                <c:pt idx="23">
                  <c:v>3.7732514009357052E-3</c:v>
                </c:pt>
                <c:pt idx="24">
                  <c:v>3.4718503428188907E-3</c:v>
                </c:pt>
                <c:pt idx="25">
                  <c:v>3.1624441087010607E-3</c:v>
                </c:pt>
                <c:pt idx="26">
                  <c:v>2.8588850597052206E-3</c:v>
                </c:pt>
                <c:pt idx="27">
                  <c:v>2.5718224902572793E-3</c:v>
                </c:pt>
                <c:pt idx="28">
                  <c:v>2.3089803622877015E-3</c:v>
                </c:pt>
                <c:pt idx="29">
                  <c:v>2.0712598083528519E-3</c:v>
                </c:pt>
                <c:pt idx="30">
                  <c:v>1.8597854972035772E-3</c:v>
                </c:pt>
                <c:pt idx="31">
                  <c:v>1.6727174526409286E-3</c:v>
                </c:pt>
                <c:pt idx="32">
                  <c:v>1.5092185350967383E-3</c:v>
                </c:pt>
                <c:pt idx="33">
                  <c:v>1.3666801086255885E-3</c:v>
                </c:pt>
                <c:pt idx="34">
                  <c:v>1.2442494120322421E-3</c:v>
                </c:pt>
                <c:pt idx="35">
                  <c:v>1.1398924287729026E-3</c:v>
                </c:pt>
                <c:pt idx="36">
                  <c:v>1.050837737956586E-3</c:v>
                </c:pt>
                <c:pt idx="37">
                  <c:v>9.7496508492835878E-4</c:v>
                </c:pt>
                <c:pt idx="38">
                  <c:v>9.102677078442669E-4</c:v>
                </c:pt>
                <c:pt idx="39">
                  <c:v>8.5617598658461005E-4</c:v>
                </c:pt>
                <c:pt idx="40">
                  <c:v>8.1068054960759146E-4</c:v>
                </c:pt>
                <c:pt idx="41">
                  <c:v>7.7261145933151703E-4</c:v>
                </c:pt>
                <c:pt idx="42">
                  <c:v>7.4065680077390619E-4</c:v>
                </c:pt>
                <c:pt idx="43">
                  <c:v>7.1397250582081189E-4</c:v>
                </c:pt>
                <c:pt idx="44">
                  <c:v>6.9162237025621092E-4</c:v>
                </c:pt>
                <c:pt idx="45">
                  <c:v>6.7314014230254651E-4</c:v>
                </c:pt>
                <c:pt idx="46">
                  <c:v>6.5779036323975653E-4</c:v>
                </c:pt>
                <c:pt idx="47">
                  <c:v>6.4509343044116428E-4</c:v>
                </c:pt>
                <c:pt idx="48">
                  <c:v>6.3454790540793814E-4</c:v>
                </c:pt>
                <c:pt idx="49">
                  <c:v>6.2582710410409516E-4</c:v>
                </c:pt>
                <c:pt idx="50">
                  <c:v>6.185705083907256E-4</c:v>
                </c:pt>
                <c:pt idx="51">
                  <c:v>6.1263749861225562E-4</c:v>
                </c:pt>
                <c:pt idx="52">
                  <c:v>6.0776020761232387E-4</c:v>
                </c:pt>
                <c:pt idx="53">
                  <c:v>6.0374269849129713E-4</c:v>
                </c:pt>
                <c:pt idx="54">
                  <c:v>6.0042008189928721E-4</c:v>
                </c:pt>
                <c:pt idx="55">
                  <c:v>5.9768439005468649E-4</c:v>
                </c:pt>
                <c:pt idx="56">
                  <c:v>5.954516696744346E-4</c:v>
                </c:pt>
                <c:pt idx="57">
                  <c:v>5.9361989596034333E-4</c:v>
                </c:pt>
                <c:pt idx="58">
                  <c:v>5.921219141689514E-4</c:v>
                </c:pt>
                <c:pt idx="59">
                  <c:v>5.908910106368039E-4</c:v>
                </c:pt>
                <c:pt idx="60">
                  <c:v>5.8988330235980855E-4</c:v>
                </c:pt>
                <c:pt idx="61">
                  <c:v>5.8905477038001704E-4</c:v>
                </c:pt>
                <c:pt idx="62">
                  <c:v>5.8837973329753412E-4</c:v>
                </c:pt>
                <c:pt idx="63">
                  <c:v>5.8783113559013323E-4</c:v>
                </c:pt>
                <c:pt idx="64">
                  <c:v>5.8738283542532951E-4</c:v>
                </c:pt>
                <c:pt idx="65">
                  <c:v>5.8701578117353718E-4</c:v>
                </c:pt>
                <c:pt idx="66">
                  <c:v>5.8671409190147439E-4</c:v>
                </c:pt>
                <c:pt idx="67">
                  <c:v>5.8647028629743494E-4</c:v>
                </c:pt>
                <c:pt idx="68">
                  <c:v>5.8627155895955461E-4</c:v>
                </c:pt>
                <c:pt idx="69">
                  <c:v>5.8611004665586714E-4</c:v>
                </c:pt>
                <c:pt idx="70">
                  <c:v>5.8597811141791246E-4</c:v>
                </c:pt>
                <c:pt idx="71">
                  <c:v>5.8587070722453051E-4</c:v>
                </c:pt>
                <c:pt idx="72">
                  <c:v>5.8578287627155572E-4</c:v>
                </c:pt>
                <c:pt idx="73">
                  <c:v>5.8571186189908275E-4</c:v>
                </c:pt>
                <c:pt idx="74">
                  <c:v>5.8565411688274818E-4</c:v>
                </c:pt>
                <c:pt idx="75">
                  <c:v>5.8560729392876125E-4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7051224"/>
        <c:axId val="1047052008"/>
      </c:lineChart>
      <c:dateAx>
        <c:axId val="104705122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it-IT"/>
          </a:p>
        </c:txPr>
        <c:crossAx val="1047052008"/>
        <c:crosses val="autoZero"/>
        <c:auto val="1"/>
        <c:lblOffset val="100"/>
        <c:baseTimeUnit val="days"/>
        <c:majorUnit val="36"/>
        <c:majorTimeUnit val="months"/>
      </c:dateAx>
      <c:valAx>
        <c:axId val="104705200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0470512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9</xdr:row>
          <xdr:rowOff>123825</xdr:rowOff>
        </xdr:from>
        <xdr:to>
          <xdr:col>31</xdr:col>
          <xdr:colOff>361950</xdr:colOff>
          <xdr:row>11</xdr:row>
          <xdr:rowOff>114300</xdr:rowOff>
        </xdr:to>
        <xdr:sp macro="" textlink="">
          <xdr:nvSpPr>
            <xdr:cNvPr id="12289" name="Length4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</xdr:row>
          <xdr:rowOff>276225</xdr:rowOff>
        </xdr:from>
        <xdr:to>
          <xdr:col>31</xdr:col>
          <xdr:colOff>361950</xdr:colOff>
          <xdr:row>3</xdr:row>
          <xdr:rowOff>123825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18</xdr:row>
          <xdr:rowOff>0</xdr:rowOff>
        </xdr:from>
        <xdr:to>
          <xdr:col>31</xdr:col>
          <xdr:colOff>361950</xdr:colOff>
          <xdr:row>19</xdr:row>
          <xdr:rowOff>133350</xdr:rowOff>
        </xdr:to>
        <xdr:sp macro="" textlink="">
          <xdr:nvSpPr>
            <xdr:cNvPr id="12291" name="Length7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4</xdr:row>
          <xdr:rowOff>38100</xdr:rowOff>
        </xdr:from>
        <xdr:to>
          <xdr:col>31</xdr:col>
          <xdr:colOff>361950</xdr:colOff>
          <xdr:row>6</xdr:row>
          <xdr:rowOff>28575</xdr:rowOff>
        </xdr:to>
        <xdr:sp macro="" textlink="">
          <xdr:nvSpPr>
            <xdr:cNvPr id="12292" name="Length2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7</xdr:row>
          <xdr:rowOff>0</xdr:rowOff>
        </xdr:from>
        <xdr:to>
          <xdr:col>31</xdr:col>
          <xdr:colOff>361950</xdr:colOff>
          <xdr:row>8</xdr:row>
          <xdr:rowOff>133350</xdr:rowOff>
        </xdr:to>
        <xdr:sp macro="" textlink="">
          <xdr:nvSpPr>
            <xdr:cNvPr id="12293" name="Length3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12</xdr:row>
          <xdr:rowOff>66675</xdr:rowOff>
        </xdr:from>
        <xdr:to>
          <xdr:col>31</xdr:col>
          <xdr:colOff>361950</xdr:colOff>
          <xdr:row>14</xdr:row>
          <xdr:rowOff>57150</xdr:rowOff>
        </xdr:to>
        <xdr:sp macro="" textlink="">
          <xdr:nvSpPr>
            <xdr:cNvPr id="12294" name="Length5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15</xdr:row>
          <xdr:rowOff>19050</xdr:rowOff>
        </xdr:from>
        <xdr:to>
          <xdr:col>31</xdr:col>
          <xdr:colOff>361950</xdr:colOff>
          <xdr:row>17</xdr:row>
          <xdr:rowOff>9525</xdr:rowOff>
        </xdr:to>
        <xdr:sp macro="" textlink="">
          <xdr:nvSpPr>
            <xdr:cNvPr id="12295" name="Length6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32</xdr:col>
      <xdr:colOff>0</xdr:colOff>
      <xdr:row>0</xdr:row>
      <xdr:rowOff>114300</xdr:rowOff>
    </xdr:from>
    <xdr:to>
      <xdr:col>44</xdr:col>
      <xdr:colOff>428624</xdr:colOff>
      <xdr:row>33</xdr:row>
      <xdr:rowOff>85725</xdr:rowOff>
    </xdr:to>
    <xdr:graphicFrame macro="">
      <xdr:nvGraphicFramePr>
        <xdr:cNvPr id="9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9</xdr:row>
          <xdr:rowOff>123825</xdr:rowOff>
        </xdr:from>
        <xdr:to>
          <xdr:col>31</xdr:col>
          <xdr:colOff>361950</xdr:colOff>
          <xdr:row>11</xdr:row>
          <xdr:rowOff>114300</xdr:rowOff>
        </xdr:to>
        <xdr:sp macro="" textlink="">
          <xdr:nvSpPr>
            <xdr:cNvPr id="14337" name="Length4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</xdr:row>
          <xdr:rowOff>276225</xdr:rowOff>
        </xdr:from>
        <xdr:to>
          <xdr:col>31</xdr:col>
          <xdr:colOff>361950</xdr:colOff>
          <xdr:row>3</xdr:row>
          <xdr:rowOff>123825</xdr:rowOff>
        </xdr:to>
        <xdr:sp macro="" textlink="">
          <xdr:nvSpPr>
            <xdr:cNvPr id="14338" name="Length1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18</xdr:row>
          <xdr:rowOff>0</xdr:rowOff>
        </xdr:from>
        <xdr:to>
          <xdr:col>31</xdr:col>
          <xdr:colOff>361950</xdr:colOff>
          <xdr:row>19</xdr:row>
          <xdr:rowOff>133350</xdr:rowOff>
        </xdr:to>
        <xdr:sp macro="" textlink="">
          <xdr:nvSpPr>
            <xdr:cNvPr id="14339" name="Length7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4</xdr:row>
          <xdr:rowOff>38100</xdr:rowOff>
        </xdr:from>
        <xdr:to>
          <xdr:col>31</xdr:col>
          <xdr:colOff>361950</xdr:colOff>
          <xdr:row>6</xdr:row>
          <xdr:rowOff>28575</xdr:rowOff>
        </xdr:to>
        <xdr:sp macro="" textlink="">
          <xdr:nvSpPr>
            <xdr:cNvPr id="14340" name="Length2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7</xdr:row>
          <xdr:rowOff>0</xdr:rowOff>
        </xdr:from>
        <xdr:to>
          <xdr:col>31</xdr:col>
          <xdr:colOff>361950</xdr:colOff>
          <xdr:row>8</xdr:row>
          <xdr:rowOff>133350</xdr:rowOff>
        </xdr:to>
        <xdr:sp macro="" textlink="">
          <xdr:nvSpPr>
            <xdr:cNvPr id="14341" name="Length3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12</xdr:row>
          <xdr:rowOff>66675</xdr:rowOff>
        </xdr:from>
        <xdr:to>
          <xdr:col>31</xdr:col>
          <xdr:colOff>361950</xdr:colOff>
          <xdr:row>14</xdr:row>
          <xdr:rowOff>57150</xdr:rowOff>
        </xdr:to>
        <xdr:sp macro="" textlink="">
          <xdr:nvSpPr>
            <xdr:cNvPr id="14342" name="Length5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15</xdr:row>
          <xdr:rowOff>19050</xdr:rowOff>
        </xdr:from>
        <xdr:to>
          <xdr:col>31</xdr:col>
          <xdr:colOff>361950</xdr:colOff>
          <xdr:row>17</xdr:row>
          <xdr:rowOff>9525</xdr:rowOff>
        </xdr:to>
        <xdr:sp macro="" textlink="">
          <xdr:nvSpPr>
            <xdr:cNvPr id="14343" name="Length6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32</xdr:col>
      <xdr:colOff>0</xdr:colOff>
      <xdr:row>0</xdr:row>
      <xdr:rowOff>114300</xdr:rowOff>
    </xdr:from>
    <xdr:to>
      <xdr:col>44</xdr:col>
      <xdr:colOff>428624</xdr:colOff>
      <xdr:row>33</xdr:row>
      <xdr:rowOff>85725</xdr:rowOff>
    </xdr:to>
    <xdr:graphicFrame macro="">
      <xdr:nvGraphicFramePr>
        <xdr:cNvPr id="9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9</xdr:row>
          <xdr:rowOff>123825</xdr:rowOff>
        </xdr:from>
        <xdr:to>
          <xdr:col>31</xdr:col>
          <xdr:colOff>361950</xdr:colOff>
          <xdr:row>11</xdr:row>
          <xdr:rowOff>114300</xdr:rowOff>
        </xdr:to>
        <xdr:sp macro="" textlink="">
          <xdr:nvSpPr>
            <xdr:cNvPr id="10241" name="Length4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</xdr:row>
          <xdr:rowOff>276225</xdr:rowOff>
        </xdr:from>
        <xdr:to>
          <xdr:col>31</xdr:col>
          <xdr:colOff>361950</xdr:colOff>
          <xdr:row>3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18</xdr:row>
          <xdr:rowOff>0</xdr:rowOff>
        </xdr:from>
        <xdr:to>
          <xdr:col>31</xdr:col>
          <xdr:colOff>361950</xdr:colOff>
          <xdr:row>19</xdr:row>
          <xdr:rowOff>133350</xdr:rowOff>
        </xdr:to>
        <xdr:sp macro="" textlink="">
          <xdr:nvSpPr>
            <xdr:cNvPr id="10243" name="Length7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4</xdr:row>
          <xdr:rowOff>38100</xdr:rowOff>
        </xdr:from>
        <xdr:to>
          <xdr:col>31</xdr:col>
          <xdr:colOff>361950</xdr:colOff>
          <xdr:row>6</xdr:row>
          <xdr:rowOff>28575</xdr:rowOff>
        </xdr:to>
        <xdr:sp macro="" textlink="">
          <xdr:nvSpPr>
            <xdr:cNvPr id="10244" name="Length2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7</xdr:row>
          <xdr:rowOff>0</xdr:rowOff>
        </xdr:from>
        <xdr:to>
          <xdr:col>31</xdr:col>
          <xdr:colOff>361950</xdr:colOff>
          <xdr:row>8</xdr:row>
          <xdr:rowOff>133350</xdr:rowOff>
        </xdr:to>
        <xdr:sp macro="" textlink="">
          <xdr:nvSpPr>
            <xdr:cNvPr id="10245" name="Length3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12</xdr:row>
          <xdr:rowOff>66675</xdr:rowOff>
        </xdr:from>
        <xdr:to>
          <xdr:col>31</xdr:col>
          <xdr:colOff>361950</xdr:colOff>
          <xdr:row>14</xdr:row>
          <xdr:rowOff>57150</xdr:rowOff>
        </xdr:to>
        <xdr:sp macro="" textlink="">
          <xdr:nvSpPr>
            <xdr:cNvPr id="10246" name="Length5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15</xdr:row>
          <xdr:rowOff>19050</xdr:rowOff>
        </xdr:from>
        <xdr:to>
          <xdr:col>31</xdr:col>
          <xdr:colOff>361950</xdr:colOff>
          <xdr:row>17</xdr:row>
          <xdr:rowOff>9525</xdr:rowOff>
        </xdr:to>
        <xdr:sp macro="" textlink="">
          <xdr:nvSpPr>
            <xdr:cNvPr id="10247" name="Length6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32</xdr:col>
      <xdr:colOff>0</xdr:colOff>
      <xdr:row>0</xdr:row>
      <xdr:rowOff>114300</xdr:rowOff>
    </xdr:from>
    <xdr:to>
      <xdr:col>44</xdr:col>
      <xdr:colOff>428624</xdr:colOff>
      <xdr:row>33</xdr:row>
      <xdr:rowOff>85725</xdr:rowOff>
    </xdr:to>
    <xdr:graphicFrame macro="">
      <xdr:nvGraphicFramePr>
        <xdr:cNvPr id="9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9</xdr:row>
          <xdr:rowOff>123825</xdr:rowOff>
        </xdr:from>
        <xdr:to>
          <xdr:col>31</xdr:col>
          <xdr:colOff>361950</xdr:colOff>
          <xdr:row>11</xdr:row>
          <xdr:rowOff>114300</xdr:rowOff>
        </xdr:to>
        <xdr:sp macro="" textlink="">
          <xdr:nvSpPr>
            <xdr:cNvPr id="15361" name="Length4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</xdr:row>
          <xdr:rowOff>276225</xdr:rowOff>
        </xdr:from>
        <xdr:to>
          <xdr:col>31</xdr:col>
          <xdr:colOff>361950</xdr:colOff>
          <xdr:row>3</xdr:row>
          <xdr:rowOff>123825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18</xdr:row>
          <xdr:rowOff>0</xdr:rowOff>
        </xdr:from>
        <xdr:to>
          <xdr:col>31</xdr:col>
          <xdr:colOff>361950</xdr:colOff>
          <xdr:row>19</xdr:row>
          <xdr:rowOff>133350</xdr:rowOff>
        </xdr:to>
        <xdr:sp macro="" textlink="">
          <xdr:nvSpPr>
            <xdr:cNvPr id="15363" name="Length7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4</xdr:row>
          <xdr:rowOff>38100</xdr:rowOff>
        </xdr:from>
        <xdr:to>
          <xdr:col>31</xdr:col>
          <xdr:colOff>361950</xdr:colOff>
          <xdr:row>6</xdr:row>
          <xdr:rowOff>28575</xdr:rowOff>
        </xdr:to>
        <xdr:sp macro="" textlink="">
          <xdr:nvSpPr>
            <xdr:cNvPr id="15364" name="Length2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7</xdr:row>
          <xdr:rowOff>0</xdr:rowOff>
        </xdr:from>
        <xdr:to>
          <xdr:col>31</xdr:col>
          <xdr:colOff>361950</xdr:colOff>
          <xdr:row>8</xdr:row>
          <xdr:rowOff>133350</xdr:rowOff>
        </xdr:to>
        <xdr:sp macro="" textlink="">
          <xdr:nvSpPr>
            <xdr:cNvPr id="15365" name="Length3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12</xdr:row>
          <xdr:rowOff>66675</xdr:rowOff>
        </xdr:from>
        <xdr:to>
          <xdr:col>31</xdr:col>
          <xdr:colOff>361950</xdr:colOff>
          <xdr:row>14</xdr:row>
          <xdr:rowOff>57150</xdr:rowOff>
        </xdr:to>
        <xdr:sp macro="" textlink="">
          <xdr:nvSpPr>
            <xdr:cNvPr id="15366" name="Length5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15</xdr:row>
          <xdr:rowOff>19050</xdr:rowOff>
        </xdr:from>
        <xdr:to>
          <xdr:col>31</xdr:col>
          <xdr:colOff>361950</xdr:colOff>
          <xdr:row>17</xdr:row>
          <xdr:rowOff>9525</xdr:rowOff>
        </xdr:to>
        <xdr:sp macro="" textlink="">
          <xdr:nvSpPr>
            <xdr:cNvPr id="15367" name="Length6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32</xdr:col>
      <xdr:colOff>0</xdr:colOff>
      <xdr:row>0</xdr:row>
      <xdr:rowOff>114300</xdr:rowOff>
    </xdr:from>
    <xdr:to>
      <xdr:col>44</xdr:col>
      <xdr:colOff>428624</xdr:colOff>
      <xdr:row>33</xdr:row>
      <xdr:rowOff>85725</xdr:rowOff>
    </xdr:to>
    <xdr:graphicFrame macro="">
      <xdr:nvGraphicFramePr>
        <xdr:cNvPr id="9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</sheetNames>
    <definedNames>
      <definedName name="LastFixingsTrigger" refersTo="='General Settings'!$D$8"/>
      <definedName name="TriggerCounter" refersTo="='General Settings'!$D$7"/>
    </definedNames>
    <sheetDataSet>
      <sheetData sheetId="0">
        <row r="7">
          <cell r="D7">
            <v>2</v>
          </cell>
        </row>
        <row r="8">
          <cell r="D8">
            <v>1</v>
          </cell>
        </row>
      </sheetData>
      <sheetData sheetId="1">
        <row r="7">
          <cell r="D7" t="str">
            <v>EUR1M#0001</v>
          </cell>
        </row>
      </sheetData>
      <sheetData sheetId="2">
        <row r="7">
          <cell r="D7" t="str">
            <v>EUR6M#0001</v>
          </cell>
        </row>
        <row r="8">
          <cell r="D8" t="str">
            <v>EUR6M#0001</v>
          </cell>
        </row>
      </sheetData>
      <sheetData sheetId="3">
        <row r="7">
          <cell r="D7" t="str">
            <v>D</v>
          </cell>
        </row>
        <row r="8">
          <cell r="D8" t="str">
            <v>D</v>
          </cell>
        </row>
      </sheetData>
      <sheetData sheetId="4">
        <row r="7">
          <cell r="D7" t="str">
            <v>6F</v>
          </cell>
        </row>
        <row r="8">
          <cell r="D8" t="str">
            <v>7F</v>
          </cell>
        </row>
      </sheetData>
      <sheetData sheetId="5"/>
      <sheetData sheetId="6">
        <row r="7">
          <cell r="D7" t="str">
            <v>OIS</v>
          </cell>
        </row>
        <row r="8">
          <cell r="D8" t="str">
            <v>OIS</v>
          </cell>
        </row>
      </sheetData>
      <sheetData sheetId="7">
        <row r="7">
          <cell r="D7" t="str">
            <v>M6</v>
          </cell>
        </row>
        <row r="8">
          <cell r="D8" t="str">
            <v>U6</v>
          </cell>
        </row>
      </sheetData>
      <sheetData sheetId="8">
        <row r="7">
          <cell r="D7" t="str">
            <v>Z5</v>
          </cell>
        </row>
        <row r="8">
          <cell r="D8" t="str">
            <v>F6</v>
          </cell>
        </row>
      </sheetData>
      <sheetData sheetId="9"/>
      <sheetData sheetId="10">
        <row r="7">
          <cell r="D7" t="str">
            <v>3E</v>
          </cell>
        </row>
        <row r="8">
          <cell r="D8" t="str">
            <v>3E</v>
          </cell>
        </row>
      </sheetData>
      <sheetData sheetId="11">
        <row r="7">
          <cell r="D7" t="str">
            <v>6E</v>
          </cell>
        </row>
        <row r="8">
          <cell r="D8" t="str">
            <v>6E</v>
          </cell>
        </row>
      </sheetData>
      <sheetData sheetId="12">
        <row r="7">
          <cell r="D7" t="str">
            <v>6E</v>
          </cell>
        </row>
        <row r="8">
          <cell r="D8" t="str">
            <v>6E</v>
          </cell>
        </row>
      </sheetData>
      <sheetData sheetId="13">
        <row r="7">
          <cell r="D7" t="str">
            <v>12E</v>
          </cell>
        </row>
        <row r="8">
          <cell r="D8" t="str">
            <v>12E</v>
          </cell>
        </row>
      </sheetData>
      <sheetData sheetId="14">
        <row r="7">
          <cell r="D7" t="str">
            <v>X1S</v>
          </cell>
        </row>
        <row r="8">
          <cell r="D8" t="str">
            <v>X1S</v>
          </cell>
        </row>
      </sheetData>
      <sheetData sheetId="15">
        <row r="7">
          <cell r="D7" t="str">
            <v>1E</v>
          </cell>
        </row>
        <row r="8">
          <cell r="D8" t="str">
            <v>1E</v>
          </cell>
        </row>
      </sheetData>
      <sheetData sheetId="16">
        <row r="7">
          <cell r="D7" t="str">
            <v>3E</v>
          </cell>
        </row>
        <row r="8">
          <cell r="D8" t="str">
            <v>3E</v>
          </cell>
        </row>
      </sheetData>
      <sheetData sheetId="17">
        <row r="7">
          <cell r="D7" t="str">
            <v>6E</v>
          </cell>
        </row>
        <row r="8">
          <cell r="D8" t="str">
            <v>6E</v>
          </cell>
        </row>
      </sheetData>
      <sheetData sheetId="18">
        <row r="7">
          <cell r="D7" t="str">
            <v>EUR1F3Y_Quote</v>
          </cell>
        </row>
        <row r="8">
          <cell r="D8" t="str">
            <v>EUR1F4Y_Quote</v>
          </cell>
        </row>
      </sheetData>
      <sheetData sheetId="19">
        <row r="7">
          <cell r="D7">
            <v>12</v>
          </cell>
        </row>
        <row r="8">
          <cell r="D8">
            <v>12</v>
          </cell>
        </row>
      </sheetData>
      <sheetData sheetId="20">
        <row r="7">
          <cell r="D7" t="str">
            <v>Z5</v>
          </cell>
        </row>
        <row r="8">
          <cell r="D8" t="str">
            <v>F6</v>
          </cell>
        </row>
      </sheetData>
      <sheetData sheetId="21">
        <row r="7">
          <cell r="D7" t="str">
            <v>3E</v>
          </cell>
        </row>
        <row r="8">
          <cell r="D8" t="str">
            <v>3E</v>
          </cell>
        </row>
      </sheetData>
      <sheetData sheetId="22">
        <row r="7">
          <cell r="D7" t="str">
            <v>1E</v>
          </cell>
        </row>
        <row r="8">
          <cell r="D8" t="str">
            <v>1E</v>
          </cell>
        </row>
      </sheetData>
      <sheetData sheetId="23">
        <row r="7">
          <cell r="D7" t="str">
            <v>3E</v>
          </cell>
        </row>
        <row r="8">
          <cell r="D8" t="str">
            <v>3E</v>
          </cell>
        </row>
      </sheetData>
      <sheetData sheetId="24">
        <row r="7">
          <cell r="D7" t="str">
            <v>6E</v>
          </cell>
        </row>
        <row r="8">
          <cell r="D8" t="str">
            <v>6E</v>
          </cell>
        </row>
      </sheetData>
      <sheetData sheetId="25">
        <row r="7">
          <cell r="D7" t="str">
            <v>12E</v>
          </cell>
        </row>
        <row r="8">
          <cell r="D8" t="str">
            <v>12E</v>
          </cell>
        </row>
      </sheetData>
      <sheetData sheetId="26">
        <row r="7">
          <cell r="D7">
            <v>42275</v>
          </cell>
        </row>
        <row r="8">
          <cell r="D8">
            <v>42272</v>
          </cell>
        </row>
      </sheetData>
      <sheetData sheetId="27">
        <row r="7">
          <cell r="D7">
            <v>42275</v>
          </cell>
        </row>
        <row r="8">
          <cell r="D8">
            <v>42272</v>
          </cell>
        </row>
      </sheetData>
      <sheetData sheetId="28">
        <row r="7">
          <cell r="D7">
            <v>42276</v>
          </cell>
        </row>
        <row r="8">
          <cell r="D8">
            <v>42275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10" Type="http://schemas.openxmlformats.org/officeDocument/2006/relationships/comments" Target="../comments3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10" Type="http://schemas.openxmlformats.org/officeDocument/2006/relationships/comments" Target="../comments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19"/>
  <sheetViews>
    <sheetView tabSelected="1" workbookViewId="0">
      <selection activeCell="I4" sqref="I4"/>
    </sheetView>
  </sheetViews>
  <sheetFormatPr defaultColWidth="9.140625" defaultRowHeight="11.25" x14ac:dyDescent="0.2"/>
  <cols>
    <col min="1" max="2" width="2.42578125" style="67" customWidth="1"/>
    <col min="3" max="3" width="20.85546875" style="67" customWidth="1"/>
    <col min="4" max="4" width="30.7109375" style="67" customWidth="1"/>
    <col min="5" max="7" width="2.42578125" style="67" customWidth="1"/>
    <col min="8" max="8" width="23.5703125" style="67" bestFit="1" customWidth="1"/>
    <col min="9" max="9" width="33.7109375" style="67" bestFit="1" customWidth="1"/>
    <col min="10" max="10" width="2.42578125" style="67" customWidth="1"/>
    <col min="11" max="16384" width="9.140625" style="67"/>
  </cols>
  <sheetData>
    <row r="1" spans="1:34" x14ac:dyDescent="0.2">
      <c r="B1" s="67" t="str">
        <f>_xll.qlxlVersion(TRUE,EvaluationDate)</f>
        <v>QuantLibXL 1.7.0 - MS VC++ (version unknown) - Multithreaded Static Runtime library - Release Configuration - Nov 15 2015 16:44:30</v>
      </c>
    </row>
    <row r="2" spans="1:34" s="68" customFormat="1" ht="18.75" customHeight="1" x14ac:dyDescent="0.25">
      <c r="B2" s="51" t="s">
        <v>3</v>
      </c>
      <c r="C2" s="52"/>
      <c r="D2" s="52"/>
      <c r="E2" s="53"/>
      <c r="G2" s="54" t="s">
        <v>13</v>
      </c>
      <c r="H2" s="55"/>
      <c r="I2" s="55"/>
      <c r="J2" s="56"/>
    </row>
    <row r="3" spans="1:34" x14ac:dyDescent="0.2">
      <c r="B3" s="46"/>
      <c r="C3" s="1"/>
      <c r="D3" s="1"/>
      <c r="E3" s="47"/>
      <c r="G3" s="57"/>
      <c r="H3" s="58"/>
      <c r="I3" s="58"/>
      <c r="J3" s="59"/>
    </row>
    <row r="4" spans="1:34" x14ac:dyDescent="0.2">
      <c r="B4" s="46"/>
      <c r="C4" s="65" t="s">
        <v>4</v>
      </c>
      <c r="D4" s="2" t="s">
        <v>1</v>
      </c>
      <c r="E4" s="47"/>
      <c r="G4" s="60"/>
      <c r="H4" s="65" t="s">
        <v>15</v>
      </c>
      <c r="I4" s="86"/>
      <c r="J4" s="61"/>
    </row>
    <row r="5" spans="1:34" s="69" customFormat="1" x14ac:dyDescent="0.2">
      <c r="A5" s="67"/>
      <c r="B5" s="46"/>
      <c r="C5" s="65" t="s">
        <v>5</v>
      </c>
      <c r="D5" s="3" t="s">
        <v>6</v>
      </c>
      <c r="E5" s="47"/>
      <c r="F5" s="67"/>
      <c r="G5" s="60"/>
      <c r="H5" s="65" t="s">
        <v>16</v>
      </c>
      <c r="I5" s="7">
        <f>_xll.qlSettingsEvaluationDate(Trigger)</f>
        <v>42277</v>
      </c>
      <c r="J5" s="61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</row>
    <row r="6" spans="1:34" s="69" customFormat="1" x14ac:dyDescent="0.2">
      <c r="A6" s="67"/>
      <c r="B6" s="46"/>
      <c r="C6" s="65" t="s">
        <v>2</v>
      </c>
      <c r="D6" s="3" t="str">
        <f>IF(UPPER(Currency)&lt;&gt;"EUR","L","")&amp;"ibor"</f>
        <v>ibor</v>
      </c>
      <c r="E6" s="47"/>
      <c r="F6" s="67"/>
      <c r="G6" s="60"/>
      <c r="H6" s="66" t="s">
        <v>14</v>
      </c>
      <c r="I6" s="6">
        <f>_xll.qlCalendarAdvance(Calendar,EvaluationDate,"2D","f")</f>
        <v>42279</v>
      </c>
      <c r="J6" s="61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</row>
    <row r="7" spans="1:34" x14ac:dyDescent="0.2">
      <c r="B7" s="46"/>
      <c r="C7" s="65" t="s">
        <v>7</v>
      </c>
      <c r="D7" s="4" t="s">
        <v>8</v>
      </c>
      <c r="E7" s="47"/>
      <c r="G7" s="60"/>
      <c r="H7" s="65" t="s">
        <v>17</v>
      </c>
      <c r="I7" s="8">
        <f>[1]!TriggerCounter</f>
        <v>2</v>
      </c>
      <c r="J7" s="61"/>
    </row>
    <row r="8" spans="1:34" x14ac:dyDescent="0.2">
      <c r="B8" s="46"/>
      <c r="C8" s="65" t="s">
        <v>9</v>
      </c>
      <c r="D8" s="5" t="s">
        <v>10</v>
      </c>
      <c r="E8" s="47"/>
      <c r="G8" s="60"/>
      <c r="H8" s="65" t="s">
        <v>18</v>
      </c>
      <c r="I8" s="9">
        <f>[1]!LastFixingsTrigger</f>
        <v>1</v>
      </c>
      <c r="J8" s="61"/>
    </row>
    <row r="9" spans="1:34" x14ac:dyDescent="0.2">
      <c r="B9" s="46"/>
      <c r="C9" s="65" t="s">
        <v>11</v>
      </c>
      <c r="D9" s="5" t="s">
        <v>12</v>
      </c>
      <c r="E9" s="47"/>
      <c r="G9" s="62"/>
      <c r="H9" s="63"/>
      <c r="I9" s="63"/>
      <c r="J9" s="64"/>
    </row>
    <row r="10" spans="1:34" x14ac:dyDescent="0.2">
      <c r="B10" s="48"/>
      <c r="C10" s="49"/>
      <c r="D10" s="49"/>
      <c r="E10" s="50"/>
    </row>
    <row r="11" spans="1:34" x14ac:dyDescent="0.2">
      <c r="C11" s="70"/>
      <c r="D11" s="70"/>
      <c r="E11" s="70"/>
    </row>
    <row r="12" spans="1:34" x14ac:dyDescent="0.2">
      <c r="C12" s="70"/>
      <c r="D12" s="70"/>
      <c r="E12" s="70"/>
    </row>
    <row r="13" spans="1:34" x14ac:dyDescent="0.2">
      <c r="C13" s="70"/>
      <c r="D13" s="70"/>
      <c r="E13" s="70"/>
    </row>
    <row r="14" spans="1:34" x14ac:dyDescent="0.2">
      <c r="C14" s="70"/>
      <c r="D14" s="70"/>
      <c r="E14" s="70"/>
    </row>
    <row r="15" spans="1:34" x14ac:dyDescent="0.2">
      <c r="C15" s="70"/>
      <c r="D15" s="70"/>
      <c r="E15" s="70"/>
    </row>
    <row r="16" spans="1:34" x14ac:dyDescent="0.2">
      <c r="C16" s="70"/>
      <c r="D16" s="70"/>
      <c r="E16" s="70"/>
    </row>
    <row r="17" spans="3:5" x14ac:dyDescent="0.2">
      <c r="C17" s="70"/>
      <c r="D17" s="70"/>
      <c r="E17" s="70"/>
    </row>
    <row r="18" spans="3:5" x14ac:dyDescent="0.2">
      <c r="C18" s="70"/>
      <c r="D18" s="70"/>
      <c r="E18" s="70"/>
    </row>
    <row r="19" spans="3:5" x14ac:dyDescent="0.2">
      <c r="C19" s="70"/>
      <c r="D19" s="70"/>
      <c r="E19" s="70"/>
    </row>
  </sheetData>
  <dataValidations count="3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9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1160"/>
  <sheetViews>
    <sheetView showGridLines="0" topLeftCell="K1" workbookViewId="0">
      <selection activeCell="Q2" sqref="Q2"/>
    </sheetView>
  </sheetViews>
  <sheetFormatPr defaultRowHeight="11.25" outlineLevelCol="1" x14ac:dyDescent="0.2"/>
  <cols>
    <col min="1" max="1" width="10" style="33" hidden="1" customWidth="1" outlineLevel="1"/>
    <col min="2" max="2" width="17.28515625" style="33" hidden="1" customWidth="1" outlineLevel="1"/>
    <col min="3" max="3" width="7" style="33" hidden="1" customWidth="1" outlineLevel="1"/>
    <col min="4" max="4" width="17.28515625" style="33" hidden="1" customWidth="1" outlineLevel="1"/>
    <col min="5" max="5" width="6" style="33" hidden="1" customWidth="1" outlineLevel="1"/>
    <col min="6" max="6" width="10" style="33" hidden="1" customWidth="1" outlineLevel="1"/>
    <col min="7" max="7" width="6" style="33" hidden="1" customWidth="1" outlineLevel="1"/>
    <col min="8" max="8" width="8" style="33" hidden="1" customWidth="1" outlineLevel="1"/>
    <col min="9" max="10" width="12" style="33" hidden="1" customWidth="1" outlineLevel="1"/>
    <col min="11" max="11" width="2.7109375" style="33" customWidth="1" collapsed="1"/>
    <col min="12" max="12" width="12" style="33" bestFit="1" customWidth="1"/>
    <col min="13" max="13" width="15.140625" style="33" bestFit="1" customWidth="1"/>
    <col min="14" max="14" width="9" style="33" bestFit="1" customWidth="1"/>
    <col min="15" max="15" width="2.7109375" style="33" customWidth="1"/>
    <col min="16" max="16" width="3" style="33" bestFit="1" customWidth="1"/>
    <col min="17" max="17" width="6" style="33" bestFit="1" customWidth="1"/>
    <col min="18" max="19" width="17.28515625" style="33" bestFit="1" customWidth="1"/>
    <col min="20" max="20" width="17.28515625" style="33" customWidth="1"/>
    <col min="21" max="23" width="9.7109375" style="33" customWidth="1"/>
    <col min="24" max="26" width="9" style="33" hidden="1" customWidth="1" outlineLevel="1"/>
    <col min="27" max="27" width="11" style="33" bestFit="1" customWidth="1" collapsed="1"/>
    <col min="28" max="28" width="10" style="33" bestFit="1" customWidth="1"/>
    <col min="29" max="29" width="7" style="33" bestFit="1" customWidth="1"/>
    <col min="30" max="33" width="9.140625" style="33"/>
    <col min="34" max="34" width="15.140625" style="33" bestFit="1" customWidth="1"/>
    <col min="35" max="36" width="9.140625" style="33"/>
    <col min="37" max="37" width="13.140625" style="33" bestFit="1" customWidth="1"/>
    <col min="38" max="16384" width="9.140625" style="33"/>
  </cols>
  <sheetData>
    <row r="1" spans="1:29" x14ac:dyDescent="0.2">
      <c r="A1" s="84" t="s">
        <v>25</v>
      </c>
      <c r="B1" s="84"/>
      <c r="C1" s="84"/>
      <c r="D1" s="84"/>
      <c r="E1" s="84"/>
      <c r="F1" s="84" t="s">
        <v>26</v>
      </c>
      <c r="G1" s="84"/>
      <c r="H1" s="84"/>
      <c r="I1" s="84"/>
      <c r="J1" s="84"/>
      <c r="U1" s="42"/>
      <c r="V1" s="42"/>
      <c r="W1" s="34"/>
      <c r="X1" s="34"/>
      <c r="Y1" s="34"/>
      <c r="Z1" s="34"/>
    </row>
    <row r="2" spans="1:29" ht="22.5" customHeight="1" x14ac:dyDescent="0.2">
      <c r="A2" s="44" t="s">
        <v>27</v>
      </c>
      <c r="B2" s="44" t="s">
        <v>28</v>
      </c>
      <c r="C2" s="44" t="s">
        <v>29</v>
      </c>
      <c r="D2" s="44" t="s">
        <v>30</v>
      </c>
      <c r="E2" s="44" t="s">
        <v>31</v>
      </c>
      <c r="F2" s="44" t="s">
        <v>28</v>
      </c>
      <c r="G2" s="44" t="s">
        <v>30</v>
      </c>
      <c r="H2" s="44" t="s">
        <v>31</v>
      </c>
      <c r="I2" s="44" t="s">
        <v>32</v>
      </c>
      <c r="J2" s="44" t="s">
        <v>33</v>
      </c>
      <c r="R2" s="44" t="s">
        <v>22</v>
      </c>
      <c r="S2" s="44" t="s">
        <v>23</v>
      </c>
      <c r="T2" s="44" t="s">
        <v>53</v>
      </c>
      <c r="U2" s="44" t="s">
        <v>24</v>
      </c>
      <c r="V2" s="44" t="str">
        <f>"F "&amp;$M$3</f>
        <v>F 1M</v>
      </c>
      <c r="W2" s="44" t="s">
        <v>36</v>
      </c>
      <c r="X2" s="44" t="s">
        <v>37</v>
      </c>
      <c r="Y2" s="44" t="s">
        <v>54</v>
      </c>
      <c r="Z2" s="44" t="s">
        <v>43</v>
      </c>
      <c r="AA2" s="44" t="s">
        <v>60</v>
      </c>
      <c r="AB2" s="44" t="s">
        <v>62</v>
      </c>
      <c r="AC2" s="44" t="s">
        <v>56</v>
      </c>
    </row>
    <row r="3" spans="1:29" x14ac:dyDescent="0.2">
      <c r="A3" s="18" t="str">
        <f>_xll.qlPeriodEquivalent(C3&amp;"M")</f>
        <v>1Y</v>
      </c>
      <c r="B3" s="10">
        <f>_xll.qlDateEndOfMonth(EDATE(_xll.qlSettingsEvaluationDate(Trigger),-1))</f>
        <v>42247</v>
      </c>
      <c r="C3" s="11">
        <v>12</v>
      </c>
      <c r="D3" s="10">
        <f>EDATE($R$3,C3)</f>
        <v>42643</v>
      </c>
      <c r="E3" s="12">
        <f>IF(C3&lt;=12,1,IF(C3&lt;=24,3,IF(C3&lt;=120,6,IF(C3&lt;=240,12,IF(C3&lt;=360,36,60)))))</f>
        <v>1</v>
      </c>
      <c r="F3" s="16">
        <f>ROUNDDOWN(I3*10,2)/10</f>
        <v>0</v>
      </c>
      <c r="G3" s="17">
        <f>IF(J3-I3&gt;1%,(QUOTIENT(J3*10000,50)+1)*0.5%,(QUOTIENT(J3*10000,10)+1)*0.1%)</f>
        <v>1E-3</v>
      </c>
      <c r="H3" s="12">
        <f>IF(G3-F3&lt;0.5%,0.025%,IF(G3-F3&lt;1%,0.1%,IF(G3-F3&lt;2%,0.25%,0.5%)))</f>
        <v>2.5000000000000001E-4</v>
      </c>
      <c r="I3" s="17">
        <f>MIN(_xll.ohPack($W$3:INDEX($W$3:$W$721,MATCH(D3+1,$S$3:$S$721,1),1)))</f>
        <v>2.3155098293210991E-4</v>
      </c>
      <c r="J3" s="17">
        <f>MAX(_xll.ohPack($W$3:INDEX($W$3:$W$721,MATCH(D3+1,$S$3:$S$721,1),1)))</f>
        <v>5.2617559284584559E-4</v>
      </c>
      <c r="L3" s="45" t="s">
        <v>21</v>
      </c>
      <c r="M3" s="82" t="s">
        <v>19</v>
      </c>
      <c r="N3" s="36"/>
      <c r="O3" s="36"/>
      <c r="P3" s="33">
        <v>0</v>
      </c>
      <c r="Q3" s="26" t="str">
        <f>P3&amp;"M"</f>
        <v>0M</v>
      </c>
      <c r="R3" s="28">
        <f>EvaluationDate</f>
        <v>42277</v>
      </c>
      <c r="S3" s="28">
        <f>_xll.qlInterestRateIndexValueDate(Index,R3,Trigger)</f>
        <v>42279</v>
      </c>
      <c r="T3" s="28">
        <f>_xll.qlInterestRateIndexMaturity(Index,S3,Trigger)</f>
        <v>42310</v>
      </c>
      <c r="U3" s="30">
        <f>_xll.qlIndexFixing($M$5,R3,TRUE,InterestRatesTrigger)</f>
        <v>-1.4000000000040146E-3</v>
      </c>
      <c r="V3" s="74">
        <f>_xll.qlIndexFixing(Index,R3,TRUE,InterestRatesTrigger)</f>
        <v>-1.1339999999581524E-3</v>
      </c>
      <c r="W3" s="30">
        <f>V3-U3</f>
        <v>2.6600000004586215E-4</v>
      </c>
      <c r="X3" s="29">
        <f>_xll.qlDayCounterYearFraction(DayCounter,SettlementDate,S3,,,Trigger)</f>
        <v>0</v>
      </c>
      <c r="Y3" s="29">
        <f>_xll.qlDayCounterYearFraction(DayCounter,S3,T3)</f>
        <v>8.611111111111111E-2</v>
      </c>
      <c r="Z3" s="29">
        <f>IF($M$13,_xll.qlYieldTSDiscount(Currency&amp;"ON",S3)/(1+V3*Y3),1)</f>
        <v>1</v>
      </c>
      <c r="AA3" s="30">
        <f>_xll.qlTenorBasisValue(TenorBasis1M,S3,InterestRatesTrigger)</f>
        <v>3.0939413701211465E-4</v>
      </c>
      <c r="AB3" s="74">
        <f t="shared" ref="AB3:AB66" si="0">AA3+U3</f>
        <v>-1.0906058629918999E-3</v>
      </c>
      <c r="AC3" s="76">
        <f t="shared" ref="AC3:AC66" si="1">AB3/V3</f>
        <v>0.96173356528407938</v>
      </c>
    </row>
    <row r="4" spans="1:29" x14ac:dyDescent="0.2">
      <c r="A4" s="18" t="str">
        <f>_xll.qlPeriodEquivalent(C4&amp;"M")</f>
        <v>2Y</v>
      </c>
      <c r="B4" s="10">
        <f>_xll.qlDateEndOfMonth(EDATE(_xll.qlIMMNextDate(_xll.qlSettingsEvaluationDate(Trigger)-1,TRUE),-3))</f>
        <v>42277</v>
      </c>
      <c r="C4" s="11">
        <v>24</v>
      </c>
      <c r="D4" s="10">
        <f t="shared" ref="D4:D9" si="2">EDATE($R$3,C4)</f>
        <v>43008</v>
      </c>
      <c r="E4" s="12">
        <f t="shared" ref="E4:E9" si="3">IF(C4&lt;=12,1,IF(C4&lt;=24,3,IF(C4&lt;=120,6,IF(C4&lt;=240,12,IF(C4&lt;=360,36,60)))))</f>
        <v>3</v>
      </c>
      <c r="F4" s="16">
        <f t="shared" ref="F4:F9" si="4">ROUNDDOWN(I4*10,2)/10</f>
        <v>0</v>
      </c>
      <c r="G4" s="17">
        <f t="shared" ref="G4:G9" si="5">IF(J4-I4&gt;1%,(QUOTIENT(J4*10000,50)+1)*0.5%,(QUOTIENT(J4*10000,10)+1)*0.1%)</f>
        <v>1E-3</v>
      </c>
      <c r="H4" s="12">
        <f t="shared" ref="H4:H9" si="6">IF(G4-F4&lt;0.5%,0.025%,IF(G4-F4&lt;1%,0.1%,IF(G4-F4&lt;2%,0.25%,0.5%)))</f>
        <v>2.5000000000000001E-4</v>
      </c>
      <c r="I4" s="17">
        <f>MIN(_xll.ohPack($W$3:INDEX($W$3:$W$721,MATCH(D4+1,$S$3:$S$721,1),1)))</f>
        <v>2.3155098293210991E-4</v>
      </c>
      <c r="J4" s="17">
        <f>MAX(_xll.ohPack($W$3:INDEX($W$3:$W$721,MATCH(D4+1,$S$3:$S$721,1),1)))</f>
        <v>5.434732289932851E-4</v>
      </c>
      <c r="L4" s="45" t="s">
        <v>20</v>
      </c>
      <c r="M4" s="82" t="str">
        <f>PROPER(Currency)&amp;IborType&amp;M3</f>
        <v>Euribor1M</v>
      </c>
      <c r="N4" s="36"/>
      <c r="O4" s="36"/>
      <c r="P4" s="33">
        <v>1</v>
      </c>
      <c r="Q4" s="26" t="str">
        <f>_xll.qlPeriodEquivalent(Q3&amp;"+"&amp;P4&amp;"M")</f>
        <v>1M</v>
      </c>
      <c r="R4" s="28">
        <f>_xll.qlCalendarAdvance(Calendar,SettlementDate,Q4,"f",,Trigger)</f>
        <v>42310</v>
      </c>
      <c r="S4" s="28">
        <f>_xll.qlInterestRateIndexValueDate(Index,R4,Trigger)</f>
        <v>42312</v>
      </c>
      <c r="T4" s="28">
        <f>_xll.qlInterestRateIndexMaturity(Index,S4,Trigger)</f>
        <v>42342</v>
      </c>
      <c r="U4" s="30">
        <f>_xll.qlIndexFixing($M$5,R4,TRUE,InterestRatesTrigger)</f>
        <v>-1.495868985474047E-3</v>
      </c>
      <c r="V4" s="74">
        <f>_xll.qlIndexFixing(Index,R4,TRUE,InterestRatesTrigger)</f>
        <v>-1.2407410694446064E-3</v>
      </c>
      <c r="W4" s="30">
        <f t="shared" ref="W4:W67" si="7">V4-U4</f>
        <v>2.5512791602944063E-4</v>
      </c>
      <c r="X4" s="29">
        <f>_xll.qlDayCounterYearFraction(DayCounter,SettlementDate,S4,,,Trigger)</f>
        <v>9.166666666666666E-2</v>
      </c>
      <c r="Y4" s="29">
        <f>_xll.qlDayCounterYearFraction(DayCounter,S4,T4)</f>
        <v>8.3333333333333329E-2</v>
      </c>
      <c r="Z4" s="29">
        <f>IF($M$13,_xll.qlYieldTSDiscount(Currency&amp;"ON",S4)/(1+V4*Y4),1)</f>
        <v>1</v>
      </c>
      <c r="AA4" s="30">
        <f>_xll.qlTenorBasisValue(TenorBasis1M,S4,InterestRatesTrigger)</f>
        <v>3.2245207197917423E-4</v>
      </c>
      <c r="AB4" s="74">
        <f t="shared" si="0"/>
        <v>-1.1734169134948727E-3</v>
      </c>
      <c r="AC4" s="76">
        <f t="shared" si="1"/>
        <v>0.94573875435599941</v>
      </c>
    </row>
    <row r="5" spans="1:29" x14ac:dyDescent="0.2">
      <c r="A5" s="18" t="str">
        <f>_xll.qlPeriodEquivalent(C5&amp;"M")</f>
        <v>5Y</v>
      </c>
      <c r="B5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C5" s="11">
        <v>60</v>
      </c>
      <c r="D5" s="10">
        <f t="shared" si="2"/>
        <v>44104</v>
      </c>
      <c r="E5" s="12">
        <f t="shared" si="3"/>
        <v>6</v>
      </c>
      <c r="F5" s="16">
        <f t="shared" si="4"/>
        <v>0</v>
      </c>
      <c r="G5" s="17">
        <f t="shared" si="5"/>
        <v>1E-3</v>
      </c>
      <c r="H5" s="12">
        <f t="shared" si="6"/>
        <v>2.5000000000000001E-4</v>
      </c>
      <c r="I5" s="17">
        <f>MIN(_xll.ohPack($W$3:INDEX($W$3:$W$721,MATCH(D5+1,$S$3:$S$721,1),1)))</f>
        <v>2.3155098293210991E-4</v>
      </c>
      <c r="J5" s="17">
        <f>MAX(_xll.ohPack($W$3:INDEX($W$3:$W$721,MATCH(D5+1,$S$3:$S$721,1),1)))</f>
        <v>6.9144508317674214E-4</v>
      </c>
      <c r="L5" s="45" t="str">
        <f>"ON Index "&amp;$M$3</f>
        <v>ON Index 1M</v>
      </c>
      <c r="M5" s="35" t="str">
        <f>_xll.qlEuribor(,M3,Currency&amp;"ON",,Trigger)</f>
        <v>obj_0059c#0006</v>
      </c>
      <c r="P5" s="33">
        <v>1</v>
      </c>
      <c r="Q5" s="27" t="str">
        <f>_xll.qlPeriodEquivalent(Q4&amp;"+"&amp;P5&amp;"M")</f>
        <v>2M</v>
      </c>
      <c r="R5" s="28">
        <f>_xll.qlCalendarAdvance(Calendar,SettlementDate,Q5,"f",,Trigger)</f>
        <v>42340</v>
      </c>
      <c r="S5" s="28">
        <f>_xll.qlInterestRateIndexValueDate(Index,R5,Trigger)</f>
        <v>42342</v>
      </c>
      <c r="T5" s="28">
        <f>_xll.qlInterestRateIndexMaturity(Index,S5,Trigger)</f>
        <v>42373</v>
      </c>
      <c r="U5" s="30">
        <f>_xll.qlIndexFixing($M$5,R5,TRUE,InterestRatesTrigger)</f>
        <v>-1.4115251250763771E-3</v>
      </c>
      <c r="V5" s="74">
        <f>_xll.qlIndexFixing(Index,R5,TRUE,InterestRatesTrigger)</f>
        <v>-1.1799741421442671E-3</v>
      </c>
      <c r="W5" s="30">
        <f t="shared" si="7"/>
        <v>2.3155098293210991E-4</v>
      </c>
      <c r="X5" s="29">
        <f>_xll.qlDayCounterYearFraction(DayCounter,SettlementDate,S5,,,Trigger)</f>
        <v>0.17499999999999999</v>
      </c>
      <c r="Y5" s="29">
        <f>_xll.qlDayCounterYearFraction(DayCounter,S5,T5)</f>
        <v>8.611111111111111E-2</v>
      </c>
      <c r="Z5" s="29">
        <f>IF($M$13,_xll.qlYieldTSDiscount(Currency&amp;"ON",S5)/(1+V5*Y5),1)</f>
        <v>1</v>
      </c>
      <c r="AA5" s="30">
        <f>_xll.qlTenorBasisValue(TenorBasis1M,S5,InterestRatesTrigger)</f>
        <v>3.3389977861191536E-4</v>
      </c>
      <c r="AB5" s="74">
        <f t="shared" si="0"/>
        <v>-1.0776253464644617E-3</v>
      </c>
      <c r="AC5" s="76">
        <f t="shared" si="1"/>
        <v>0.91326183174335029</v>
      </c>
    </row>
    <row r="6" spans="1:29" x14ac:dyDescent="0.2">
      <c r="A6" s="18" t="str">
        <f>_xll.qlPeriodEquivalent(C6&amp;"M")</f>
        <v>10Y</v>
      </c>
      <c r="B6" s="10">
        <f t="shared" ref="B6:B9" si="8">B5</f>
        <v>42185</v>
      </c>
      <c r="C6" s="11">
        <v>120</v>
      </c>
      <c r="D6" s="10">
        <f t="shared" si="2"/>
        <v>45930</v>
      </c>
      <c r="E6" s="12">
        <f t="shared" si="3"/>
        <v>6</v>
      </c>
      <c r="F6" s="16">
        <f t="shared" si="4"/>
        <v>0</v>
      </c>
      <c r="G6" s="17">
        <f t="shared" si="5"/>
        <v>1E-3</v>
      </c>
      <c r="H6" s="12">
        <f t="shared" si="6"/>
        <v>2.5000000000000001E-4</v>
      </c>
      <c r="I6" s="17">
        <f>MIN(_xll.ohPack($W$3:INDEX($W$3:$W$721,MATCH(D6+1,$S$3:$S$721,1),1)))</f>
        <v>2.3155098293210991E-4</v>
      </c>
      <c r="J6" s="17">
        <f>MAX(_xll.ohPack($W$3:INDEX($W$3:$W$721,MATCH(D6+1,$S$3:$S$721,1),1)))</f>
        <v>6.9144508317674214E-4</v>
      </c>
      <c r="P6" s="33">
        <v>1</v>
      </c>
      <c r="Q6" s="27" t="str">
        <f>_xll.qlPeriodEquivalent(Q5&amp;"+"&amp;P6&amp;"M")</f>
        <v>3M</v>
      </c>
      <c r="R6" s="28">
        <f>_xll.qlCalendarAdvance(Calendar,SettlementDate,Q6,"f",,Trigger)</f>
        <v>42373</v>
      </c>
      <c r="S6" s="28">
        <f>_xll.qlInterestRateIndexValueDate(Index,R6,Trigger)</f>
        <v>42375</v>
      </c>
      <c r="T6" s="28">
        <f>_xll.qlInterestRateIndexMaturity(Index,S6,Trigger)</f>
        <v>42408</v>
      </c>
      <c r="U6" s="30">
        <f>_xll.qlIndexFixing($M$5,R6,TRUE,InterestRatesTrigger)</f>
        <v>-1.6589519805561409E-3</v>
      </c>
      <c r="V6" s="74">
        <f>_xll.qlIndexFixing(Index,R6,TRUE,InterestRatesTrigger)</f>
        <v>-1.3217261473478944E-3</v>
      </c>
      <c r="W6" s="30">
        <f t="shared" si="7"/>
        <v>3.3722583320824656E-4</v>
      </c>
      <c r="X6" s="29">
        <f>_xll.qlDayCounterYearFraction(DayCounter,SettlementDate,S6,,,Trigger)</f>
        <v>0.26666666666666666</v>
      </c>
      <c r="Y6" s="29">
        <f>_xll.qlDayCounterYearFraction(DayCounter,S6,T6)</f>
        <v>9.166666666666666E-2</v>
      </c>
      <c r="Z6" s="29">
        <f>IF($M$13,_xll.qlYieldTSDiscount(Currency&amp;"ON",S6)/(1+V6*Y6),1)</f>
        <v>1</v>
      </c>
      <c r="AA6" s="30">
        <f>_xll.qlTenorBasisValue(TenorBasis1M,S6,InterestRatesTrigger)</f>
        <v>3.4603800592417609E-4</v>
      </c>
      <c r="AB6" s="74">
        <f t="shared" si="0"/>
        <v>-1.3129139746319647E-3</v>
      </c>
      <c r="AC6" s="76">
        <f t="shared" si="1"/>
        <v>0.99333283015274254</v>
      </c>
    </row>
    <row r="7" spans="1:29" x14ac:dyDescent="0.2">
      <c r="A7" s="18" t="str">
        <f>_xll.qlPeriodEquivalent(C7&amp;"M")</f>
        <v>20Y</v>
      </c>
      <c r="B7" s="10">
        <f>IF(AND(MONTH(B6)=12),B6,_xll.qlDateEndOfMonth(EDATE(B6,-6)))</f>
        <v>42004</v>
      </c>
      <c r="C7" s="11">
        <v>240</v>
      </c>
      <c r="D7" s="10">
        <f t="shared" si="2"/>
        <v>49582</v>
      </c>
      <c r="E7" s="13">
        <f t="shared" si="3"/>
        <v>12</v>
      </c>
      <c r="F7" s="16">
        <f t="shared" si="4"/>
        <v>0</v>
      </c>
      <c r="G7" s="17">
        <f t="shared" si="5"/>
        <v>1E-3</v>
      </c>
      <c r="H7" s="12">
        <f t="shared" si="6"/>
        <v>2.5000000000000001E-4</v>
      </c>
      <c r="I7" s="17">
        <f>MIN(_xll.ohPack($W$3:INDEX($W$3:$W$721,MATCH(D7+1,$S$3:$S$721,1),1)))</f>
        <v>1.5623345150928003E-4</v>
      </c>
      <c r="J7" s="17">
        <f>MAX(_xll.ohPack($W$3:INDEX($W$3:$W$721,MATCH(D7+1,$S$3:$S$721,1),1)))</f>
        <v>6.9144508317674214E-4</v>
      </c>
      <c r="N7" s="45" t="s">
        <v>59</v>
      </c>
      <c r="P7" s="33">
        <v>1</v>
      </c>
      <c r="Q7" s="27" t="str">
        <f>_xll.qlPeriodEquivalent(Q6&amp;"+"&amp;P7&amp;"M")</f>
        <v>4M</v>
      </c>
      <c r="R7" s="28">
        <f>_xll.qlCalendarAdvance(Calendar,SettlementDate,Q7,"f",,Trigger)</f>
        <v>42402</v>
      </c>
      <c r="S7" s="28">
        <f>_xll.qlInterestRateIndexValueDate(Index,R7,Trigger)</f>
        <v>42404</v>
      </c>
      <c r="T7" s="28">
        <f>_xll.qlInterestRateIndexMaturity(Index,S7,Trigger)</f>
        <v>42433</v>
      </c>
      <c r="U7" s="30">
        <f>_xll.qlIndexFixing($M$5,R7,TRUE,InterestRatesTrigger)</f>
        <v>-1.6745015040771311E-3</v>
      </c>
      <c r="V7" s="74">
        <f>_xll.qlIndexFixing(Index,R7,TRUE,InterestRatesTrigger)</f>
        <v>-1.3111417651410905E-3</v>
      </c>
      <c r="W7" s="30">
        <f t="shared" si="7"/>
        <v>3.6335973893604056E-4</v>
      </c>
      <c r="X7" s="29">
        <f>_xll.qlDayCounterYearFraction(DayCounter,SettlementDate,S7,,,Trigger)</f>
        <v>0.34722222222222221</v>
      </c>
      <c r="Y7" s="29">
        <f>_xll.qlDayCounterYearFraction(DayCounter,S7,T7)</f>
        <v>8.0555555555555561E-2</v>
      </c>
      <c r="Z7" s="29">
        <f>IF($M$13,_xll.qlYieldTSDiscount(Currency&amp;"ON",S7)/(1+V7*Y7),1)</f>
        <v>1</v>
      </c>
      <c r="AA7" s="30">
        <f>_xll.qlTenorBasisValue(TenorBasis1M,S7,InterestRatesTrigger)</f>
        <v>3.563211797343055E-4</v>
      </c>
      <c r="AB7" s="74">
        <f t="shared" si="0"/>
        <v>-1.3181803243428256E-3</v>
      </c>
      <c r="AC7" s="76">
        <f t="shared" si="1"/>
        <v>1.0053682671003754</v>
      </c>
    </row>
    <row r="8" spans="1:29" x14ac:dyDescent="0.2">
      <c r="A8" s="18" t="str">
        <f>_xll.qlPeriodEquivalent(C8&amp;"M")</f>
        <v>30Y</v>
      </c>
      <c r="B8" s="10">
        <f t="shared" si="8"/>
        <v>42004</v>
      </c>
      <c r="C8" s="11">
        <v>360</v>
      </c>
      <c r="D8" s="10">
        <f t="shared" si="2"/>
        <v>53235</v>
      </c>
      <c r="E8" s="13">
        <f t="shared" si="3"/>
        <v>36</v>
      </c>
      <c r="F8" s="16">
        <f t="shared" si="4"/>
        <v>0</v>
      </c>
      <c r="G8" s="17">
        <f t="shared" si="5"/>
        <v>1E-3</v>
      </c>
      <c r="H8" s="12">
        <f t="shared" si="6"/>
        <v>2.5000000000000001E-4</v>
      </c>
      <c r="I8" s="17">
        <f>MIN(_xll.ohPack($W$3:INDEX($W$3:$W$721,MATCH(D8+1,$S$3:$S$721,1),1)))</f>
        <v>-1.0421424673623392E-4</v>
      </c>
      <c r="J8" s="17">
        <f>MAX(_xll.ohPack($W$3:INDEX($W$3:$W$721,MATCH(D8+1,$S$3:$S$721,1),1)))</f>
        <v>6.9144508317674214E-4</v>
      </c>
      <c r="L8" s="45" t="s">
        <v>39</v>
      </c>
      <c r="M8" s="80">
        <v>3.617585852659047E-4</v>
      </c>
      <c r="N8" s="78" t="b">
        <v>0</v>
      </c>
      <c r="P8" s="33">
        <v>1</v>
      </c>
      <c r="Q8" s="27" t="str">
        <f>_xll.qlPeriodEquivalent(Q7&amp;"+"&amp;P8&amp;"M")</f>
        <v>5M</v>
      </c>
      <c r="R8" s="28">
        <f>_xll.qlCalendarAdvance(Calendar,SettlementDate,Q8,"f",,Trigger)</f>
        <v>42431</v>
      </c>
      <c r="S8" s="28">
        <f>_xll.qlInterestRateIndexValueDate(Index,R8,Trigger)</f>
        <v>42433</v>
      </c>
      <c r="T8" s="28">
        <f>_xll.qlInterestRateIndexMaturity(Index,S8,Trigger)</f>
        <v>42464</v>
      </c>
      <c r="U8" s="30">
        <f>_xll.qlIndexFixing($M$5,R8,TRUE,InterestRatesTrigger)</f>
        <v>-1.7229822359899499E-3</v>
      </c>
      <c r="V8" s="74">
        <f>_xll.qlIndexFixing(Index,R8,TRUE,InterestRatesTrigger)</f>
        <v>-1.2867522636451239E-3</v>
      </c>
      <c r="W8" s="30">
        <f t="shared" si="7"/>
        <v>4.3622997234482597E-4</v>
      </c>
      <c r="X8" s="29">
        <f>_xll.qlDayCounterYearFraction(DayCounter,SettlementDate,S8,,,Trigger)</f>
        <v>0.42777777777777776</v>
      </c>
      <c r="Y8" s="29">
        <f>_xll.qlDayCounterYearFraction(DayCounter,S8,T8)</f>
        <v>8.611111111111111E-2</v>
      </c>
      <c r="Z8" s="29">
        <f>IF($M$13,_xll.qlYieldTSDiscount(Currency&amp;"ON",S8)/(1+V8*Y8),1)</f>
        <v>1</v>
      </c>
      <c r="AA8" s="30">
        <f>_xll.qlTenorBasisValue(TenorBasis1M,S8,InterestRatesTrigger)</f>
        <v>3.662536125263425E-4</v>
      </c>
      <c r="AB8" s="74">
        <f t="shared" si="0"/>
        <v>-1.3567286234636073E-3</v>
      </c>
      <c r="AC8" s="76">
        <f t="shared" si="1"/>
        <v>1.0543821540443641</v>
      </c>
    </row>
    <row r="9" spans="1:29" x14ac:dyDescent="0.2">
      <c r="A9" s="19" t="str">
        <f>_xll.qlPeriodEquivalent(C9&amp;"M")</f>
        <v>60Y</v>
      </c>
      <c r="B9" s="20">
        <f t="shared" si="8"/>
        <v>42004</v>
      </c>
      <c r="C9" s="21">
        <v>720</v>
      </c>
      <c r="D9" s="20">
        <f t="shared" si="2"/>
        <v>64192</v>
      </c>
      <c r="E9" s="22">
        <f t="shared" si="3"/>
        <v>60</v>
      </c>
      <c r="F9" s="23">
        <f t="shared" si="4"/>
        <v>0</v>
      </c>
      <c r="G9" s="24">
        <f t="shared" si="5"/>
        <v>1E-3</v>
      </c>
      <c r="H9" s="25">
        <f t="shared" si="6"/>
        <v>2.5000000000000001E-4</v>
      </c>
      <c r="I9" s="24">
        <f>MIN(_xll.ohPack($W$3:INDEX($W$3:$W$721,MATCH(D9+1,$S$3:$S$721,1),1)))</f>
        <v>-3.4032572184087249E-4</v>
      </c>
      <c r="J9" s="24">
        <f>MAX(_xll.ohPack($W$3:INDEX($W$3:$W$721,MATCH(D9+1,$S$3:$S$721,1),1)))</f>
        <v>6.9144508317674214E-4</v>
      </c>
      <c r="L9" s="45" t="s">
        <v>40</v>
      </c>
      <c r="M9" s="81">
        <v>1.5231055347912395E-4</v>
      </c>
      <c r="N9" s="78" t="b">
        <v>0</v>
      </c>
      <c r="P9" s="33">
        <v>1</v>
      </c>
      <c r="Q9" s="27" t="str">
        <f>_xll.qlPeriodEquivalent(Q8&amp;"+"&amp;P9&amp;"M")</f>
        <v>6M</v>
      </c>
      <c r="R9" s="28">
        <f>_xll.qlCalendarAdvance(Calendar,SettlementDate,Q9,"f",,Trigger)</f>
        <v>42464</v>
      </c>
      <c r="S9" s="28">
        <f>_xll.qlInterestRateIndexValueDate(Index,R9,Trigger)</f>
        <v>42466</v>
      </c>
      <c r="T9" s="28">
        <f>_xll.qlInterestRateIndexMaturity(Index,S9,Trigger)</f>
        <v>42496</v>
      </c>
      <c r="U9" s="30">
        <f>_xll.qlIndexFixing($M$5,R9,TRUE,InterestRatesTrigger)</f>
        <v>-1.7897558791934998E-3</v>
      </c>
      <c r="V9" s="74">
        <f>_xll.qlIndexFixing(Index,R9,TRUE,InterestRatesTrigger)</f>
        <v>-1.3314436580311728E-3</v>
      </c>
      <c r="W9" s="30">
        <f t="shared" si="7"/>
        <v>4.5831222116232695E-4</v>
      </c>
      <c r="X9" s="29">
        <f>_xll.qlDayCounterYearFraction(DayCounter,SettlementDate,S9,,,Trigger)</f>
        <v>0.51944444444444449</v>
      </c>
      <c r="Y9" s="29">
        <f>_xll.qlDayCounterYearFraction(DayCounter,S9,T9)</f>
        <v>8.3333333333333329E-2</v>
      </c>
      <c r="Z9" s="29">
        <f>IF($M$13,_xll.qlYieldTSDiscount(Currency&amp;"ON",S9)/(1+V9*Y9),1)</f>
        <v>1</v>
      </c>
      <c r="AA9" s="30">
        <f>_xll.qlTenorBasisValue(TenorBasis1M,S9,InterestRatesTrigger)</f>
        <v>3.7713922825508846E-4</v>
      </c>
      <c r="AB9" s="74">
        <f t="shared" si="0"/>
        <v>-1.4126166509384112E-3</v>
      </c>
      <c r="AC9" s="76">
        <f t="shared" si="1"/>
        <v>1.0609661493504503</v>
      </c>
    </row>
    <row r="10" spans="1:29" x14ac:dyDescent="0.2">
      <c r="L10" s="45" t="s">
        <v>41</v>
      </c>
      <c r="M10" s="81">
        <v>0.1521518524165073</v>
      </c>
      <c r="N10" s="78" t="b">
        <v>0</v>
      </c>
      <c r="P10" s="33">
        <v>1</v>
      </c>
      <c r="Q10" s="27" t="str">
        <f>_xll.qlPeriodEquivalent(Q9&amp;"+"&amp;P10&amp;"M")</f>
        <v>7M</v>
      </c>
      <c r="R10" s="28">
        <f>_xll.qlCalendarAdvance(Calendar,SettlementDate,Q10,"f",,Trigger)</f>
        <v>42492</v>
      </c>
      <c r="S10" s="28">
        <f>_xll.qlInterestRateIndexValueDate(Index,R10,Trigger)</f>
        <v>42494</v>
      </c>
      <c r="T10" s="28">
        <f>_xll.qlInterestRateIndexMaturity(Index,S10,Trigger)</f>
        <v>42527</v>
      </c>
      <c r="U10" s="30">
        <f>_xll.qlIndexFixing($M$5,R10,TRUE,InterestRatesTrigger)</f>
        <v>-1.8446326714856426E-3</v>
      </c>
      <c r="V10" s="74">
        <f>_xll.qlIndexFixing(Index,R10,TRUE,InterestRatesTrigger)</f>
        <v>-1.4996545629429971E-3</v>
      </c>
      <c r="W10" s="30">
        <f t="shared" si="7"/>
        <v>3.4497810854264548E-4</v>
      </c>
      <c r="X10" s="29">
        <f>_xll.qlDayCounterYearFraction(DayCounter,SettlementDate,S10,,,Trigger)</f>
        <v>0.59722222222222221</v>
      </c>
      <c r="Y10" s="29">
        <f>_xll.qlDayCounterYearFraction(DayCounter,S10,T10)</f>
        <v>9.166666666666666E-2</v>
      </c>
      <c r="Z10" s="29">
        <f>IF($M$13,_xll.qlYieldTSDiscount(Currency&amp;"ON",S10)/(1+V10*Y10),1)</f>
        <v>1</v>
      </c>
      <c r="AA10" s="30">
        <f>_xll.qlTenorBasisValue(TenorBasis1M,S10,InterestRatesTrigger)</f>
        <v>3.860355205646778E-4</v>
      </c>
      <c r="AB10" s="74">
        <f t="shared" si="0"/>
        <v>-1.4585971509209648E-3</v>
      </c>
      <c r="AC10" s="76">
        <f t="shared" si="1"/>
        <v>0.97262208708820308</v>
      </c>
    </row>
    <row r="11" spans="1:29" x14ac:dyDescent="0.2">
      <c r="L11" s="45" t="s">
        <v>42</v>
      </c>
      <c r="M11" s="80">
        <v>1.000118214217131E-24</v>
      </c>
      <c r="N11" s="78" t="b">
        <v>0</v>
      </c>
      <c r="O11" s="34"/>
      <c r="P11" s="33">
        <v>1</v>
      </c>
      <c r="Q11" s="27" t="str">
        <f>_xll.qlPeriodEquivalent(Q10&amp;"+"&amp;P11&amp;"M")</f>
        <v>8M</v>
      </c>
      <c r="R11" s="28">
        <f>_xll.qlCalendarAdvance(Calendar,SettlementDate,Q11,"f",,Trigger)</f>
        <v>42523</v>
      </c>
      <c r="S11" s="28">
        <f>_xll.qlInterestRateIndexValueDate(Index,R11,Trigger)</f>
        <v>42527</v>
      </c>
      <c r="T11" s="28">
        <f>_xll.qlInterestRateIndexMaturity(Index,S11,Trigger)</f>
        <v>42557</v>
      </c>
      <c r="U11" s="30">
        <f>_xll.qlIndexFixing($M$5,R11,TRUE,InterestRatesTrigger)</f>
        <v>-1.9055309248838803E-3</v>
      </c>
      <c r="V11" s="74">
        <f>_xll.qlIndexFixing(Index,R11,TRUE,InterestRatesTrigger)</f>
        <v>-1.5389331326636224E-3</v>
      </c>
      <c r="W11" s="30">
        <f t="shared" si="7"/>
        <v>3.665977922202579E-4</v>
      </c>
      <c r="X11" s="29">
        <f>_xll.qlDayCounterYearFraction(DayCounter,SettlementDate,S11,,,Trigger)</f>
        <v>0.68888888888888888</v>
      </c>
      <c r="Y11" s="29">
        <f>_xll.qlDayCounterYearFraction(DayCounter,S11,T11)</f>
        <v>8.3333333333333329E-2</v>
      </c>
      <c r="Z11" s="29">
        <f>IF($M$13,_xll.qlYieldTSDiscount(Currency&amp;"ON",S11)/(1+V11*Y11),1)</f>
        <v>1</v>
      </c>
      <c r="AA11" s="30">
        <f>_xll.qlTenorBasisValue(TenorBasis1M,S11,InterestRatesTrigger)</f>
        <v>3.9612934155836547E-4</v>
      </c>
      <c r="AB11" s="74">
        <f t="shared" si="0"/>
        <v>-1.5094015833255149E-3</v>
      </c>
      <c r="AC11" s="76">
        <f t="shared" si="1"/>
        <v>0.98081037524548342</v>
      </c>
    </row>
    <row r="12" spans="1:29" x14ac:dyDescent="0.2">
      <c r="N12" s="34"/>
      <c r="P12" s="33">
        <v>1</v>
      </c>
      <c r="Q12" s="27" t="str">
        <f>_xll.qlPeriodEquivalent(Q11&amp;"+"&amp;P12&amp;"M")</f>
        <v>9M</v>
      </c>
      <c r="R12" s="28">
        <f>_xll.qlCalendarAdvance(Calendar,SettlementDate,Q12,"f",,Trigger)</f>
        <v>42555</v>
      </c>
      <c r="S12" s="28">
        <f>_xll.qlInterestRateIndexValueDate(Index,R12,Trigger)</f>
        <v>42557</v>
      </c>
      <c r="T12" s="28">
        <f>_xll.qlInterestRateIndexMaturity(Index,S12,Trigger)</f>
        <v>42590</v>
      </c>
      <c r="U12" s="30">
        <f>_xll.qlIndexFixing($M$5,R12,TRUE,InterestRatesTrigger)</f>
        <v>-1.9404229417893408E-3</v>
      </c>
      <c r="V12" s="74">
        <f>_xll.qlIndexFixing(Index,R12,TRUE,InterestRatesTrigger)</f>
        <v>-1.5265692753666214E-3</v>
      </c>
      <c r="W12" s="30">
        <f t="shared" si="7"/>
        <v>4.1385366642271936E-4</v>
      </c>
      <c r="X12" s="29">
        <f>_xll.qlDayCounterYearFraction(DayCounter,SettlementDate,S12,,,Trigger)</f>
        <v>0.77222222222222225</v>
      </c>
      <c r="Y12" s="29">
        <f>_xll.qlDayCounterYearFraction(DayCounter,S12,T12)</f>
        <v>9.166666666666666E-2</v>
      </c>
      <c r="Z12" s="29">
        <f>IF($M$13,_xll.qlYieldTSDiscount(Currency&amp;"ON",S12)/(1+V12*Y12),1)</f>
        <v>1</v>
      </c>
      <c r="AA12" s="30">
        <f>_xll.qlTenorBasisValue(TenorBasis1M,S12,InterestRatesTrigger)</f>
        <v>4.0494689701134969E-4</v>
      </c>
      <c r="AB12" s="74">
        <f t="shared" si="0"/>
        <v>-1.535476044777991E-3</v>
      </c>
      <c r="AC12" s="76">
        <f t="shared" si="1"/>
        <v>1.0058345006381912</v>
      </c>
    </row>
    <row r="13" spans="1:29" x14ac:dyDescent="0.2">
      <c r="L13" s="45" t="s">
        <v>58</v>
      </c>
      <c r="M13" s="78" t="b">
        <v>0</v>
      </c>
      <c r="P13" s="33">
        <v>1</v>
      </c>
      <c r="Q13" s="27" t="str">
        <f>_xll.qlPeriodEquivalent(Q12&amp;"+"&amp;P13&amp;"M")</f>
        <v>10M</v>
      </c>
      <c r="R13" s="28">
        <f>_xll.qlCalendarAdvance(Calendar,SettlementDate,Q13,"f",,Trigger)</f>
        <v>42584</v>
      </c>
      <c r="S13" s="28">
        <f>_xll.qlInterestRateIndexValueDate(Index,R13,Trigger)</f>
        <v>42586</v>
      </c>
      <c r="T13" s="28">
        <f>_xll.qlInterestRateIndexMaturity(Index,S13,Trigger)</f>
        <v>42618</v>
      </c>
      <c r="U13" s="30">
        <f>_xll.qlIndexFixing($M$5,R13,TRUE,InterestRatesTrigger)</f>
        <v>-1.9586252693790107E-3</v>
      </c>
      <c r="V13" s="74">
        <f>_xll.qlIndexFixing(Index,R13,TRUE,InterestRatesTrigger)</f>
        <v>-1.5461340413644442E-3</v>
      </c>
      <c r="W13" s="30">
        <f t="shared" si="7"/>
        <v>4.124912280145665E-4</v>
      </c>
      <c r="X13" s="29">
        <f>_xll.qlDayCounterYearFraction(DayCounter,SettlementDate,S13,,,Trigger)</f>
        <v>0.85277777777777775</v>
      </c>
      <c r="Y13" s="29">
        <f>_xll.qlDayCounterYearFraction(DayCounter,S13,T13)</f>
        <v>8.8888888888888892E-2</v>
      </c>
      <c r="Z13" s="29">
        <f>IF($M$13,_xll.qlYieldTSDiscount(Currency&amp;"ON",S13)/(1+V13*Y13),1)</f>
        <v>1</v>
      </c>
      <c r="AA13" s="30">
        <f>_xll.qlTenorBasisValue(TenorBasis1M,S13,InterestRatesTrigger)</f>
        <v>4.1315352857349317E-4</v>
      </c>
      <c r="AB13" s="74">
        <f t="shared" si="0"/>
        <v>-1.5454717408055175E-3</v>
      </c>
      <c r="AC13" s="76">
        <f t="shared" si="1"/>
        <v>0.99957164091779371</v>
      </c>
    </row>
    <row r="14" spans="1:29" x14ac:dyDescent="0.2">
      <c r="L14" s="45" t="s">
        <v>44</v>
      </c>
      <c r="M14" s="35" t="str">
        <f>_xll.qlAbcdCalibration2(,X3:X721,W3:W721,Z3:Z721,ContBasis,N8:N11,,,,Trigger)</f>
        <v>obj_0059d#0012</v>
      </c>
      <c r="P14" s="33">
        <v>1</v>
      </c>
      <c r="Q14" s="27" t="str">
        <f>_xll.qlPeriodEquivalent(Q13&amp;"+"&amp;P14&amp;"M")</f>
        <v>11M</v>
      </c>
      <c r="R14" s="28">
        <f>_xll.qlCalendarAdvance(Calendar,SettlementDate,Q14,"f",,Trigger)</f>
        <v>42615</v>
      </c>
      <c r="S14" s="28">
        <f>_xll.qlInterestRateIndexValueDate(Index,R14,Trigger)</f>
        <v>42619</v>
      </c>
      <c r="T14" s="28">
        <f>_xll.qlInterestRateIndexMaturity(Index,S14,Trigger)</f>
        <v>42649</v>
      </c>
      <c r="U14" s="30">
        <f>_xll.qlIndexFixing($M$5,R14,TRUE,InterestRatesTrigger)</f>
        <v>-1.9887547071735234E-3</v>
      </c>
      <c r="V14" s="74">
        <f>_xll.qlIndexFixing(Index,R14,TRUE,InterestRatesTrigger)</f>
        <v>-1.4625791143276778E-3</v>
      </c>
      <c r="W14" s="30">
        <f t="shared" si="7"/>
        <v>5.2617559284584559E-4</v>
      </c>
      <c r="X14" s="29">
        <f>_xll.qlDayCounterYearFraction(DayCounter,SettlementDate,S14,,,Trigger)</f>
        <v>0.94444444444444442</v>
      </c>
      <c r="Y14" s="29">
        <f>_xll.qlDayCounterYearFraction(DayCounter,S14,T14)</f>
        <v>8.3333333333333329E-2</v>
      </c>
      <c r="Z14" s="29">
        <f>IF($M$13,_xll.qlYieldTSDiscount(Currency&amp;"ON",S14)/(1+V14*Y14),1)</f>
        <v>1</v>
      </c>
      <c r="AA14" s="30">
        <f>_xll.qlTenorBasisValue(TenorBasis1M,S14,InterestRatesTrigger)</f>
        <v>4.2212202350524618E-4</v>
      </c>
      <c r="AB14" s="74">
        <f t="shared" si="0"/>
        <v>-1.5666326836682772E-3</v>
      </c>
      <c r="AC14" s="76">
        <f t="shared" si="1"/>
        <v>1.0711438911722946</v>
      </c>
    </row>
    <row r="15" spans="1:29" x14ac:dyDescent="0.2">
      <c r="L15" s="45" t="s">
        <v>38</v>
      </c>
      <c r="M15" s="35" t="b">
        <f>_xll.qlAbcdCalibration2Compute(M14,AllTriggers)</f>
        <v>1</v>
      </c>
      <c r="P15" s="33">
        <v>1</v>
      </c>
      <c r="Q15" s="27" t="str">
        <f>_xll.qlPeriodEquivalent(Q14&amp;"+"&amp;P15&amp;"M")</f>
        <v>1Y</v>
      </c>
      <c r="R15" s="28">
        <f>_xll.qlCalendarAdvance(Calendar,SettlementDate,Q15,"f",,Trigger)</f>
        <v>42646</v>
      </c>
      <c r="S15" s="28">
        <f>_xll.qlInterestRateIndexValueDate(Index,R15,Trigger)</f>
        <v>42648</v>
      </c>
      <c r="T15" s="28">
        <f>_xll.qlInterestRateIndexMaturity(Index,S15,Trigger)</f>
        <v>42681</v>
      </c>
      <c r="U15" s="30">
        <f>_xll.qlIndexFixing($M$5,R15,TRUE,InterestRatesTrigger)</f>
        <v>-1.980363181410412E-3</v>
      </c>
      <c r="V15" s="74">
        <f>_xll.qlIndexFixing(Index,R15,TRUE,InterestRatesTrigger)</f>
        <v>-1.4368899524171269E-3</v>
      </c>
      <c r="W15" s="30">
        <f t="shared" si="7"/>
        <v>5.434732289932851E-4</v>
      </c>
      <c r="X15" s="29">
        <f>_xll.qlDayCounterYearFraction(DayCounter,SettlementDate,S15,,,Trigger)</f>
        <v>1.0249999999999999</v>
      </c>
      <c r="Y15" s="29">
        <f>_xll.qlDayCounterYearFraction(DayCounter,S15,T15)</f>
        <v>9.166666666666666E-2</v>
      </c>
      <c r="Z15" s="29">
        <f>IF($M$13,_xll.qlYieldTSDiscount(Currency&amp;"ON",S15)/(1+V15*Y15),1)</f>
        <v>1</v>
      </c>
      <c r="AA15" s="30">
        <f>_xll.qlTenorBasisValue(TenorBasis1M,S15,InterestRatesTrigger)</f>
        <v>4.2968585686084949E-4</v>
      </c>
      <c r="AB15" s="74">
        <f t="shared" si="0"/>
        <v>-1.5506773245495624E-3</v>
      </c>
      <c r="AC15" s="76">
        <f t="shared" si="1"/>
        <v>1.0791900395301832</v>
      </c>
    </row>
    <row r="16" spans="1:29" x14ac:dyDescent="0.2">
      <c r="L16" s="45" t="s">
        <v>35</v>
      </c>
      <c r="M16" s="43">
        <f>_xll.qlAbcdCalibration2Error(M14)</f>
        <v>1.3266995833137555E-4</v>
      </c>
      <c r="P16" s="33">
        <v>1</v>
      </c>
      <c r="Q16" s="27" t="str">
        <f>_xll.qlPeriodEquivalent(Q15&amp;"+"&amp;P16&amp;"M")</f>
        <v>1Y1M</v>
      </c>
      <c r="R16" s="28">
        <f>_xll.qlCalendarAdvance(Calendar,SettlementDate,Q16,"f",,Trigger)</f>
        <v>42676</v>
      </c>
      <c r="S16" s="28">
        <f>_xll.qlInterestRateIndexValueDate(Index,R16,Trigger)</f>
        <v>42678</v>
      </c>
      <c r="T16" s="28">
        <f>_xll.qlInterestRateIndexMaturity(Index,S16,Trigger)</f>
        <v>42709</v>
      </c>
      <c r="U16" s="30">
        <f>_xll.qlIndexFixing($M$5,R16,TRUE,InterestRatesTrigger)</f>
        <v>-1.9562778233404095E-3</v>
      </c>
      <c r="V16" s="74">
        <f>_xll.qlIndexFixing(Index,R16,TRUE,InterestRatesTrigger)</f>
        <v>-1.4222521386647411E-3</v>
      </c>
      <c r="W16" s="30">
        <f t="shared" si="7"/>
        <v>5.3402568467566841E-4</v>
      </c>
      <c r="X16" s="29">
        <f>_xll.qlDayCounterYearFraction(DayCounter,SettlementDate,S16,,,Trigger)</f>
        <v>1.1083333333333334</v>
      </c>
      <c r="Y16" s="29">
        <f>_xll.qlDayCounterYearFraction(DayCounter,S16,T16)</f>
        <v>8.611111111111111E-2</v>
      </c>
      <c r="Z16" s="29">
        <f>IF($M$13,_xll.qlYieldTSDiscount(Currency&amp;"ON",S16)/(1+V16*Y16),1)</f>
        <v>1</v>
      </c>
      <c r="AA16" s="30">
        <f>_xll.qlTenorBasisValue(TenorBasis1M,S16,InterestRatesTrigger)</f>
        <v>4.3720535322046446E-4</v>
      </c>
      <c r="AB16" s="74">
        <f t="shared" si="0"/>
        <v>-1.5190724701199449E-3</v>
      </c>
      <c r="AC16" s="76">
        <f t="shared" si="1"/>
        <v>1.0680753635892593</v>
      </c>
    </row>
    <row r="17" spans="12:29" x14ac:dyDescent="0.2">
      <c r="L17" s="45" t="s">
        <v>55</v>
      </c>
      <c r="M17" s="43">
        <f>_xll.qlAbcdCalibration2MaxError(M14)</f>
        <v>3.4252035597614902E-4</v>
      </c>
      <c r="P17" s="33">
        <v>1</v>
      </c>
      <c r="Q17" s="27" t="str">
        <f>_xll.qlPeriodEquivalent(Q16&amp;"+"&amp;P17&amp;"M")</f>
        <v>1Y2M</v>
      </c>
      <c r="R17" s="28">
        <f>_xll.qlCalendarAdvance(Calendar,SettlementDate,Q17,"f",,Trigger)</f>
        <v>42706</v>
      </c>
      <c r="S17" s="28">
        <f>_xll.qlInterestRateIndexValueDate(Index,R17,Trigger)</f>
        <v>42710</v>
      </c>
      <c r="T17" s="28">
        <f>_xll.qlInterestRateIndexMaturity(Index,S17,Trigger)</f>
        <v>42741</v>
      </c>
      <c r="U17" s="30">
        <f>_xll.qlIndexFixing($M$5,R17,TRUE,InterestRatesTrigger)</f>
        <v>-1.8873015896144153E-3</v>
      </c>
      <c r="V17" s="74">
        <f>_xll.qlIndexFixing(Index,R17,TRUE,InterestRatesTrigger)</f>
        <v>-1.39737461273514E-3</v>
      </c>
      <c r="W17" s="30">
        <f t="shared" si="7"/>
        <v>4.8992697687927529E-4</v>
      </c>
      <c r="X17" s="29">
        <f>_xll.qlDayCounterYearFraction(DayCounter,SettlementDate,S17,,,Trigger)</f>
        <v>1.1972222222222222</v>
      </c>
      <c r="Y17" s="29">
        <f>_xll.qlDayCounterYearFraction(DayCounter,S17,T17)</f>
        <v>8.611111111111111E-2</v>
      </c>
      <c r="Z17" s="29">
        <f>IF($M$13,_xll.qlYieldTSDiscount(Currency&amp;"ON",S17)/(1+V17*Y17),1)</f>
        <v>1</v>
      </c>
      <c r="AA17" s="30">
        <f>_xll.qlTenorBasisValue(TenorBasis1M,S17,InterestRatesTrigger)</f>
        <v>4.4489220454853009E-4</v>
      </c>
      <c r="AB17" s="74">
        <f t="shared" si="0"/>
        <v>-1.4424093850658852E-3</v>
      </c>
      <c r="AC17" s="76">
        <f t="shared" si="1"/>
        <v>1.0322281311828019</v>
      </c>
    </row>
    <row r="18" spans="12:29" x14ac:dyDescent="0.2">
      <c r="P18" s="33">
        <v>1</v>
      </c>
      <c r="Q18" s="27" t="str">
        <f>_xll.qlPeriodEquivalent(Q17&amp;"+"&amp;P18&amp;"M")</f>
        <v>1Y3M</v>
      </c>
      <c r="R18" s="28">
        <f>_xll.qlCalendarAdvance(Calendar,SettlementDate,Q18,"f",,Trigger)</f>
        <v>42737</v>
      </c>
      <c r="S18" s="28">
        <f>_xll.qlInterestRateIndexValueDate(Index,R18,Trigger)</f>
        <v>42739</v>
      </c>
      <c r="T18" s="28">
        <f>_xll.qlInterestRateIndexMaturity(Index,S18,Trigger)</f>
        <v>42772</v>
      </c>
      <c r="U18" s="30">
        <f>_xll.qlIndexFixing($M$5,R18,TRUE,InterestRatesTrigger)</f>
        <v>-1.8973015147868725E-3</v>
      </c>
      <c r="V18" s="74">
        <f>_xll.qlIndexFixing(Index,R18,TRUE,InterestRatesTrigger)</f>
        <v>-1.3650617758081459E-3</v>
      </c>
      <c r="W18" s="30">
        <f t="shared" si="7"/>
        <v>5.3223973897872662E-4</v>
      </c>
      <c r="X18" s="29">
        <f>_xll.qlDayCounterYearFraction(DayCounter,SettlementDate,S18,,,Trigger)</f>
        <v>1.2777777777777777</v>
      </c>
      <c r="Y18" s="29">
        <f>_xll.qlDayCounterYearFraction(DayCounter,S18,T18)</f>
        <v>9.166666666666666E-2</v>
      </c>
      <c r="Z18" s="29">
        <f>IF($M$13,_xll.qlYieldTSDiscount(Currency&amp;"ON",S18)/(1+V18*Y18),1)</f>
        <v>1</v>
      </c>
      <c r="AA18" s="30">
        <f>_xll.qlTenorBasisValue(TenorBasis1M,S18,InterestRatesTrigger)</f>
        <v>4.5156774377952711E-4</v>
      </c>
      <c r="AB18" s="74">
        <f t="shared" si="0"/>
        <v>-1.4457337710073455E-3</v>
      </c>
      <c r="AC18" s="76">
        <f t="shared" si="1"/>
        <v>1.0590976881990855</v>
      </c>
    </row>
    <row r="19" spans="12:29" x14ac:dyDescent="0.2">
      <c r="L19" s="71" t="s">
        <v>50</v>
      </c>
      <c r="M19" s="72"/>
      <c r="P19" s="33">
        <v>1</v>
      </c>
      <c r="Q19" s="27" t="str">
        <f>_xll.qlPeriodEquivalent(Q18&amp;"+"&amp;P19&amp;"M")</f>
        <v>1Y4M</v>
      </c>
      <c r="R19" s="28">
        <f>_xll.qlCalendarAdvance(Calendar,SettlementDate,Q19,"f",,Trigger)</f>
        <v>42768</v>
      </c>
      <c r="S19" s="28">
        <f>_xll.qlInterestRateIndexValueDate(Index,R19,Trigger)</f>
        <v>42772</v>
      </c>
      <c r="T19" s="28">
        <f>_xll.qlInterestRateIndexMaturity(Index,S19,Trigger)</f>
        <v>42800</v>
      </c>
      <c r="U19" s="30">
        <f>_xll.qlIndexFixing($M$5,R19,TRUE,InterestRatesTrigger)</f>
        <v>-1.8172729610960964E-3</v>
      </c>
      <c r="V19" s="74">
        <f>_xll.qlIndexFixing(Index,R19,TRUE,InterestRatesTrigger)</f>
        <v>-1.3228884027430673E-3</v>
      </c>
      <c r="W19" s="30">
        <f t="shared" si="7"/>
        <v>4.9438455835302902E-4</v>
      </c>
      <c r="X19" s="29">
        <f>_xll.qlDayCounterYearFraction(DayCounter,SettlementDate,S19,,,Trigger)</f>
        <v>1.3694444444444445</v>
      </c>
      <c r="Y19" s="29">
        <f>_xll.qlDayCounterYearFraction(DayCounter,S19,T19)</f>
        <v>7.7777777777777779E-2</v>
      </c>
      <c r="Z19" s="29">
        <f>IF($M$13,_xll.qlYieldTSDiscount(Currency&amp;"ON",S19)/(1+V19*Y19),1)</f>
        <v>1</v>
      </c>
      <c r="AA19" s="30">
        <f>_xll.qlTenorBasisValue(TenorBasis1M,S19,InterestRatesTrigger)</f>
        <v>4.58836154615636E-4</v>
      </c>
      <c r="AB19" s="74">
        <f t="shared" si="0"/>
        <v>-1.3584368064804603E-3</v>
      </c>
      <c r="AC19" s="76">
        <f t="shared" si="1"/>
        <v>1.0268718084334867</v>
      </c>
    </row>
    <row r="20" spans="12:29" x14ac:dyDescent="0.2">
      <c r="L20" s="45" t="s">
        <v>45</v>
      </c>
      <c r="M20" s="78">
        <f>_xll.qlAbcdCalibration2A($M$14,M15)</f>
        <v>3.0939413701211465E-4</v>
      </c>
      <c r="P20" s="33">
        <v>1</v>
      </c>
      <c r="Q20" s="27" t="str">
        <f>_xll.qlPeriodEquivalent(Q19&amp;"+"&amp;P20&amp;"M")</f>
        <v>1Y5M</v>
      </c>
      <c r="R20" s="28">
        <f>_xll.qlCalendarAdvance(Calendar,SettlementDate,Q20,"f",,Trigger)</f>
        <v>42796</v>
      </c>
      <c r="S20" s="28">
        <f>_xll.qlInterestRateIndexValueDate(Index,R20,Trigger)</f>
        <v>42800</v>
      </c>
      <c r="T20" s="28">
        <f>_xll.qlInterestRateIndexMaturity(Index,S20,Trigger)</f>
        <v>42831</v>
      </c>
      <c r="U20" s="30">
        <f>_xll.qlIndexFixing($M$5,R20,TRUE,InterestRatesTrigger)</f>
        <v>-1.7562635242249483E-3</v>
      </c>
      <c r="V20" s="74">
        <f>_xll.qlIndexFixing(Index,R20,TRUE,InterestRatesTrigger)</f>
        <v>-1.2720929447392641E-3</v>
      </c>
      <c r="W20" s="30">
        <f t="shared" si="7"/>
        <v>4.8417057948568418E-4</v>
      </c>
      <c r="X20" s="29">
        <f>_xll.qlDayCounterYearFraction(DayCounter,SettlementDate,S20,,,Trigger)</f>
        <v>1.4472222222222222</v>
      </c>
      <c r="Y20" s="29">
        <f>_xll.qlDayCounterYearFraction(DayCounter,S20,T20)</f>
        <v>8.611111111111111E-2</v>
      </c>
      <c r="Z20" s="29">
        <f>IF($M$13,_xll.qlYieldTSDiscount(Currency&amp;"ON",S20)/(1+V20*Y20),1)</f>
        <v>1</v>
      </c>
      <c r="AA20" s="30">
        <f>_xll.qlTenorBasisValue(TenorBasis1M,S20,InterestRatesTrigger)</f>
        <v>4.6473605983451738E-4</v>
      </c>
      <c r="AB20" s="74">
        <f t="shared" si="0"/>
        <v>-1.2915274643904308E-3</v>
      </c>
      <c r="AC20" s="76">
        <f t="shared" si="1"/>
        <v>1.0152775940873959</v>
      </c>
    </row>
    <row r="21" spans="12:29" x14ac:dyDescent="0.2">
      <c r="L21" s="45" t="s">
        <v>46</v>
      </c>
      <c r="M21" s="79">
        <f>_xll.qlAbcdCalibration2B($M$14,M15)</f>
        <v>2.0141592652434662E-4</v>
      </c>
      <c r="P21" s="33">
        <v>1</v>
      </c>
      <c r="Q21" s="27" t="str">
        <f>_xll.qlPeriodEquivalent(Q20&amp;"+"&amp;P21&amp;"M")</f>
        <v>1Y6M</v>
      </c>
      <c r="R21" s="28">
        <f>_xll.qlCalendarAdvance(Calendar,SettlementDate,Q21,"f",,Trigger)</f>
        <v>42828</v>
      </c>
      <c r="S21" s="28">
        <f>_xll.qlInterestRateIndexValueDate(Index,R21,Trigger)</f>
        <v>42830</v>
      </c>
      <c r="T21" s="28">
        <f>_xll.qlInterestRateIndexMaturity(Index,S21,Trigger)</f>
        <v>42860</v>
      </c>
      <c r="U21" s="30">
        <f>_xll.qlIndexFixing($M$5,R21,TRUE,InterestRatesTrigger)</f>
        <v>-1.7047499714366587E-3</v>
      </c>
      <c r="V21" s="74">
        <f>_xll.qlIndexFixing(Index,R21,TRUE,InterestRatesTrigger)</f>
        <v>-1.2111964589518465E-3</v>
      </c>
      <c r="W21" s="30">
        <f t="shared" si="7"/>
        <v>4.9355351248481227E-4</v>
      </c>
      <c r="X21" s="29">
        <f>_xll.qlDayCounterYearFraction(DayCounter,SettlementDate,S21,,,Trigger)</f>
        <v>1.5305555555555554</v>
      </c>
      <c r="Y21" s="29">
        <f>_xll.qlDayCounterYearFraction(DayCounter,S21,T21)</f>
        <v>8.3333333333333329E-2</v>
      </c>
      <c r="Z21" s="29">
        <f>IF($M$13,_xll.qlYieldTSDiscount(Currency&amp;"ON",S21)/(1+V21*Y21),1)</f>
        <v>1</v>
      </c>
      <c r="AA21" s="30">
        <f>_xll.qlTenorBasisValue(TenorBasis1M,S21,InterestRatesTrigger)</f>
        <v>4.7079170363291379E-4</v>
      </c>
      <c r="AB21" s="74">
        <f t="shared" si="0"/>
        <v>-1.233958267803745E-3</v>
      </c>
      <c r="AC21" s="76">
        <f t="shared" si="1"/>
        <v>1.0187928297541393</v>
      </c>
    </row>
    <row r="22" spans="12:29" x14ac:dyDescent="0.2">
      <c r="L22" s="45" t="s">
        <v>47</v>
      </c>
      <c r="M22" s="79">
        <f>_xll.qlAbcdCalibration2C($M$14,M15)</f>
        <v>0.17533384436551869</v>
      </c>
      <c r="P22" s="33">
        <v>1</v>
      </c>
      <c r="Q22" s="27" t="str">
        <f>_xll.qlPeriodEquivalent(Q21&amp;"+"&amp;P22&amp;"M")</f>
        <v>1Y7M</v>
      </c>
      <c r="R22" s="28">
        <f>_xll.qlCalendarAdvance(Calendar,SettlementDate,Q22,"f",,Trigger)</f>
        <v>42857</v>
      </c>
      <c r="S22" s="28">
        <f>_xll.qlInterestRateIndexValueDate(Index,R22,Trigger)</f>
        <v>42859</v>
      </c>
      <c r="T22" s="28">
        <f>_xll.qlInterestRateIndexMaturity(Index,S22,Trigger)</f>
        <v>42891</v>
      </c>
      <c r="U22" s="30">
        <f>_xll.qlIndexFixing($M$5,R22,TRUE,InterestRatesTrigger)</f>
        <v>-1.6422861183423842E-3</v>
      </c>
      <c r="V22" s="74">
        <f>_xll.qlIndexFixing(Index,R22,TRUE,InterestRatesTrigger)</f>
        <v>-1.1380520328094224E-3</v>
      </c>
      <c r="W22" s="30">
        <f t="shared" si="7"/>
        <v>5.042340855329619E-4</v>
      </c>
      <c r="X22" s="29">
        <f>_xll.qlDayCounterYearFraction(DayCounter,SettlementDate,S22,,,Trigger)</f>
        <v>1.6111111111111112</v>
      </c>
      <c r="Y22" s="29">
        <f>_xll.qlDayCounterYearFraction(DayCounter,S22,T22)</f>
        <v>8.8888888888888892E-2</v>
      </c>
      <c r="Z22" s="29">
        <f>IF($M$13,_xll.qlYieldTSDiscount(Currency&amp;"ON",S22)/(1+V22*Y22),1)</f>
        <v>1</v>
      </c>
      <c r="AA22" s="30">
        <f>_xll.qlTenorBasisValue(TenorBasis1M,S22,InterestRatesTrigger)</f>
        <v>4.7639027623590626E-4</v>
      </c>
      <c r="AB22" s="74">
        <f t="shared" si="0"/>
        <v>-1.165895842106478E-3</v>
      </c>
      <c r="AC22" s="76">
        <f t="shared" si="1"/>
        <v>1.0244662005728506</v>
      </c>
    </row>
    <row r="23" spans="12:29" x14ac:dyDescent="0.2">
      <c r="L23" s="45" t="s">
        <v>48</v>
      </c>
      <c r="M23" s="78">
        <f>_xll.qlAbcdCalibration2D($M$14,M15)</f>
        <v>1.000118214217131E-24</v>
      </c>
      <c r="P23" s="33">
        <v>1</v>
      </c>
      <c r="Q23" s="27" t="str">
        <f>_xll.qlPeriodEquivalent(Q22&amp;"+"&amp;P23&amp;"M")</f>
        <v>1Y8M</v>
      </c>
      <c r="R23" s="28">
        <f>_xll.qlCalendarAdvance(Calendar,SettlementDate,Q23,"f",,Trigger)</f>
        <v>42888</v>
      </c>
      <c r="S23" s="28">
        <f>_xll.qlInterestRateIndexValueDate(Index,R23,Trigger)</f>
        <v>42892</v>
      </c>
      <c r="T23" s="28">
        <f>_xll.qlInterestRateIndexMaturity(Index,S23,Trigger)</f>
        <v>42922</v>
      </c>
      <c r="U23" s="30">
        <f>_xll.qlIndexFixing($M$5,R23,TRUE,InterestRatesTrigger)</f>
        <v>-1.5602702259038814E-3</v>
      </c>
      <c r="V23" s="74">
        <f>_xll.qlIndexFixing(Index,R23,TRUE,InterestRatesTrigger)</f>
        <v>-1.0471127027202876E-3</v>
      </c>
      <c r="W23" s="30">
        <f t="shared" si="7"/>
        <v>5.1315752318359387E-4</v>
      </c>
      <c r="X23" s="29">
        <f>_xll.qlDayCounterYearFraction(DayCounter,SettlementDate,S23,,,Trigger)</f>
        <v>1.7027777777777777</v>
      </c>
      <c r="Y23" s="29">
        <f>_xll.qlDayCounterYearFraction(DayCounter,S23,T23)</f>
        <v>8.3333333333333329E-2</v>
      </c>
      <c r="Z23" s="29">
        <f>IF($M$13,_xll.qlYieldTSDiscount(Currency&amp;"ON",S23)/(1+V23*Y23),1)</f>
        <v>1</v>
      </c>
      <c r="AA23" s="30">
        <f>_xll.qlTenorBasisValue(TenorBasis1M,S23,InterestRatesTrigger)</f>
        <v>4.8246336306688762E-4</v>
      </c>
      <c r="AB23" s="74">
        <f t="shared" si="0"/>
        <v>-1.0778068628369939E-3</v>
      </c>
      <c r="AC23" s="76">
        <f t="shared" si="1"/>
        <v>1.0293131389171062</v>
      </c>
    </row>
    <row r="24" spans="12:29" x14ac:dyDescent="0.2">
      <c r="L24" s="45" t="s">
        <v>49</v>
      </c>
      <c r="M24" s="35" t="str">
        <f>_xll.qlAbcdTenorBasis(,Index,Currency&amp;"ON",SettlementDate,TRUE,M20:M23,,Trigger)</f>
        <v>obj_0059e#0012</v>
      </c>
      <c r="P24" s="33">
        <v>1</v>
      </c>
      <c r="Q24" s="27" t="str">
        <f>_xll.qlPeriodEquivalent(Q23&amp;"+"&amp;P24&amp;"M")</f>
        <v>1Y9M</v>
      </c>
      <c r="R24" s="28">
        <f>_xll.qlCalendarAdvance(Calendar,SettlementDate,Q24,"f",,Trigger)</f>
        <v>42919</v>
      </c>
      <c r="S24" s="28">
        <f>_xll.qlInterestRateIndexValueDate(Index,R24,Trigger)</f>
        <v>42921</v>
      </c>
      <c r="T24" s="28">
        <f>_xll.qlInterestRateIndexMaturity(Index,S24,Trigger)</f>
        <v>42954</v>
      </c>
      <c r="U24" s="30">
        <f>_xll.qlIndexFixing($M$5,R24,TRUE,InterestRatesTrigger)</f>
        <v>-1.4658842440574593E-3</v>
      </c>
      <c r="V24" s="74">
        <f>_xll.qlIndexFixing(Index,R24,TRUE,InterestRatesTrigger)</f>
        <v>-9.4699881657172636E-4</v>
      </c>
      <c r="W24" s="30">
        <f t="shared" si="7"/>
        <v>5.1888542748573297E-4</v>
      </c>
      <c r="X24" s="29">
        <f>_xll.qlDayCounterYearFraction(DayCounter,SettlementDate,S24,,,Trigger)</f>
        <v>1.7833333333333334</v>
      </c>
      <c r="Y24" s="29">
        <f>_xll.qlDayCounterYearFraction(DayCounter,S24,T24)</f>
        <v>9.166666666666666E-2</v>
      </c>
      <c r="Z24" s="29">
        <f>IF($M$13,_xll.qlYieldTSDiscount(Currency&amp;"ON",S24)/(1+V24*Y24),1)</f>
        <v>1</v>
      </c>
      <c r="AA24" s="30">
        <f>_xll.qlTenorBasisValue(TenorBasis1M,S24,InterestRatesTrigger)</f>
        <v>4.8754507345198742E-4</v>
      </c>
      <c r="AB24" s="74">
        <f t="shared" si="0"/>
        <v>-9.7833917060547197E-4</v>
      </c>
      <c r="AC24" s="76">
        <f t="shared" si="1"/>
        <v>1.0330943961970325</v>
      </c>
    </row>
    <row r="25" spans="12:29" x14ac:dyDescent="0.2">
      <c r="M25" s="42"/>
      <c r="P25" s="33">
        <v>1</v>
      </c>
      <c r="Q25" s="27" t="str">
        <f>_xll.qlPeriodEquivalent(Q24&amp;"+"&amp;P25&amp;"M")</f>
        <v>1Y10M</v>
      </c>
      <c r="R25" s="28">
        <f>_xll.qlCalendarAdvance(Calendar,SettlementDate,Q25,"f",,Trigger)</f>
        <v>42949</v>
      </c>
      <c r="S25" s="28">
        <f>_xll.qlInterestRateIndexValueDate(Index,R25,Trigger)</f>
        <v>42951</v>
      </c>
      <c r="T25" s="28">
        <f>_xll.qlInterestRateIndexMaturity(Index,S25,Trigger)</f>
        <v>42982</v>
      </c>
      <c r="U25" s="30">
        <f>_xll.qlIndexFixing($M$5,R25,TRUE,InterestRatesTrigger)</f>
        <v>-1.3592352248176052E-3</v>
      </c>
      <c r="V25" s="74">
        <f>_xll.qlIndexFixing(Index,R25,TRUE,InterestRatesTrigger)</f>
        <v>-8.393840312131436E-4</v>
      </c>
      <c r="W25" s="30">
        <f t="shared" si="7"/>
        <v>5.1985119360446156E-4</v>
      </c>
      <c r="X25" s="29">
        <f>_xll.qlDayCounterYearFraction(DayCounter,SettlementDate,S25,,,Trigger)</f>
        <v>1.8666666666666667</v>
      </c>
      <c r="Y25" s="29">
        <f>_xll.qlDayCounterYearFraction(DayCounter,S25,T25)</f>
        <v>8.611111111111111E-2</v>
      </c>
      <c r="Z25" s="29">
        <f>IF($M$13,_xll.qlYieldTSDiscount(Currency&amp;"ON",S25)/(1+V25*Y25),1)</f>
        <v>1</v>
      </c>
      <c r="AA25" s="30">
        <f>_xll.qlTenorBasisValue(TenorBasis1M,S25,InterestRatesTrigger)</f>
        <v>4.925569592462367E-4</v>
      </c>
      <c r="AB25" s="74">
        <f t="shared" si="0"/>
        <v>-8.6667826557136846E-4</v>
      </c>
      <c r="AC25" s="76">
        <f t="shared" si="1"/>
        <v>1.0325169807183217</v>
      </c>
    </row>
    <row r="26" spans="12:29" x14ac:dyDescent="0.2">
      <c r="P26" s="33">
        <v>1</v>
      </c>
      <c r="Q26" s="27" t="str">
        <f>_xll.qlPeriodEquivalent(Q25&amp;"+"&amp;P26&amp;"M")</f>
        <v>1Y11M</v>
      </c>
      <c r="R26" s="28">
        <f>_xll.qlCalendarAdvance(Calendar,SettlementDate,Q26,"f",,Trigger)</f>
        <v>42982</v>
      </c>
      <c r="S26" s="28">
        <f>_xll.qlInterestRateIndexValueDate(Index,R26,Trigger)</f>
        <v>42984</v>
      </c>
      <c r="T26" s="28">
        <f>_xll.qlInterestRateIndexMaturity(Index,S26,Trigger)</f>
        <v>43014</v>
      </c>
      <c r="U26" s="30">
        <f>_xll.qlIndexFixing($M$5,R26,TRUE,InterestRatesTrigger)</f>
        <v>-1.2191624449919836E-3</v>
      </c>
      <c r="V26" s="74">
        <f>_xll.qlIndexFixing(Index,R26,TRUE,InterestRatesTrigger)</f>
        <v>-7.0339453770618121E-4</v>
      </c>
      <c r="W26" s="30">
        <f t="shared" si="7"/>
        <v>5.1576790728580235E-4</v>
      </c>
      <c r="X26" s="29">
        <f>_xll.qlDayCounterYearFraction(DayCounter,SettlementDate,S26,,,Trigger)</f>
        <v>1.9583333333333333</v>
      </c>
      <c r="Y26" s="29">
        <f>_xll.qlDayCounterYearFraction(DayCounter,S26,T26)</f>
        <v>8.3333333333333329E-2</v>
      </c>
      <c r="Z26" s="29">
        <f>IF($M$13,_xll.qlYieldTSDiscount(Currency&amp;"ON",S26)/(1+V26*Y26),1)</f>
        <v>1</v>
      </c>
      <c r="AA26" s="30">
        <f>_xll.qlTenorBasisValue(TenorBasis1M,S26,InterestRatesTrigger)</f>
        <v>4.9778934213577175E-4</v>
      </c>
      <c r="AB26" s="74">
        <f t="shared" si="0"/>
        <v>-7.2137310285621181E-4</v>
      </c>
      <c r="AC26" s="76">
        <f t="shared" si="1"/>
        <v>1.0255597167539288</v>
      </c>
    </row>
    <row r="27" spans="12:29" x14ac:dyDescent="0.2">
      <c r="L27" s="71" t="s">
        <v>52</v>
      </c>
      <c r="M27" s="72"/>
      <c r="P27" s="33">
        <v>1</v>
      </c>
      <c r="Q27" s="27" t="str">
        <f>_xll.qlPeriodEquivalent(Q26&amp;"+"&amp;P27&amp;"M")</f>
        <v>2Y</v>
      </c>
      <c r="R27" s="28">
        <f>_xll.qlCalendarAdvance(Calendar,SettlementDate,Q27,"f",,Trigger)</f>
        <v>43010</v>
      </c>
      <c r="S27" s="28">
        <f>_xll.qlInterestRateIndexValueDate(Index,R27,Trigger)</f>
        <v>43012</v>
      </c>
      <c r="T27" s="28">
        <f>_xll.qlInterestRateIndexMaturity(Index,S27,Trigger)</f>
        <v>43045</v>
      </c>
      <c r="U27" s="30">
        <f>_xll.qlIndexFixing($M$5,R27,TRUE,InterestRatesTrigger)</f>
        <v>-1.0759367745573976E-3</v>
      </c>
      <c r="V27" s="74">
        <f>_xll.qlIndexFixing(Index,R27,TRUE,InterestRatesTrigger)</f>
        <v>-5.6656552061400015E-4</v>
      </c>
      <c r="W27" s="30">
        <f t="shared" si="7"/>
        <v>5.0937125394339745E-4</v>
      </c>
      <c r="X27" s="29">
        <f>_xll.qlDayCounterYearFraction(DayCounter,SettlementDate,S27,,,Trigger)</f>
        <v>2.036111111111111</v>
      </c>
      <c r="Y27" s="29">
        <f>_xll.qlDayCounterYearFraction(DayCounter,S27,T27)</f>
        <v>9.166666666666666E-2</v>
      </c>
      <c r="Z27" s="29">
        <f>IF($M$13,_xll.qlYieldTSDiscount(Currency&amp;"ON",S27)/(1+V27*Y27),1)</f>
        <v>1</v>
      </c>
      <c r="AA27" s="30">
        <f>_xll.qlTenorBasisValue(TenorBasis1M,S27,InterestRatesTrigger)</f>
        <v>5.0200402728000693E-4</v>
      </c>
      <c r="AB27" s="74">
        <f t="shared" si="0"/>
        <v>-5.7393274727739066E-4</v>
      </c>
      <c r="AC27" s="76">
        <f t="shared" si="1"/>
        <v>1.0130033092296307</v>
      </c>
    </row>
    <row r="28" spans="12:29" x14ac:dyDescent="0.2">
      <c r="L28" s="45" t="s">
        <v>45</v>
      </c>
      <c r="M28" s="78">
        <f t="array" ref="M28:M31">_xll.qlTenorInstCoefficients(M24)</f>
        <v>3.0301994189563957E-4</v>
      </c>
      <c r="P28" s="33">
        <v>1</v>
      </c>
      <c r="Q28" s="27" t="str">
        <f>_xll.qlPeriodEquivalent(Q27&amp;"+"&amp;P28&amp;"M")</f>
        <v>2Y1M</v>
      </c>
      <c r="R28" s="28">
        <f>_xll.qlCalendarAdvance(Calendar,SettlementDate,Q28,"f",,Trigger)</f>
        <v>43041</v>
      </c>
      <c r="S28" s="28">
        <f>_xll.qlInterestRateIndexValueDate(Index,R28,Trigger)</f>
        <v>43045</v>
      </c>
      <c r="T28" s="28">
        <f>_xll.qlInterestRateIndexMaturity(Index,S28,Trigger)</f>
        <v>43075</v>
      </c>
      <c r="U28" s="30">
        <f>_xll.qlIndexFixing($M$5,R28,TRUE,InterestRatesTrigger)</f>
        <v>-9.1485058296125743E-4</v>
      </c>
      <c r="V28" s="74">
        <f>_xll.qlIndexFixing(Index,R28,TRUE,InterestRatesTrigger)</f>
        <v>-4.1072575158684899E-4</v>
      </c>
      <c r="W28" s="30">
        <f t="shared" si="7"/>
        <v>5.0412483137440844E-4</v>
      </c>
      <c r="X28" s="29">
        <f>_xll.qlDayCounterYearFraction(DayCounter,SettlementDate,S28,,,Trigger)</f>
        <v>2.1277777777777778</v>
      </c>
      <c r="Y28" s="29">
        <f>_xll.qlDayCounterYearFraction(DayCounter,S28,T28)</f>
        <v>8.3333333333333329E-2</v>
      </c>
      <c r="Z28" s="29">
        <f>IF($M$13,_xll.qlYieldTSDiscount(Currency&amp;"ON",S28)/(1+V28*Y28),1)</f>
        <v>1</v>
      </c>
      <c r="AA28" s="30">
        <f>_xll.qlTenorBasisValue(TenorBasis1M,S28,InterestRatesTrigger)</f>
        <v>5.0671304096510479E-4</v>
      </c>
      <c r="AB28" s="74">
        <f t="shared" si="0"/>
        <v>-4.0813754199615264E-4</v>
      </c>
      <c r="AC28" s="76">
        <f t="shared" si="1"/>
        <v>0.99369844822074893</v>
      </c>
    </row>
    <row r="29" spans="12:29" x14ac:dyDescent="0.2">
      <c r="L29" s="45" t="s">
        <v>46</v>
      </c>
      <c r="M29" s="79">
        <v>2.0294026084466374E-4</v>
      </c>
      <c r="P29" s="33">
        <v>1</v>
      </c>
      <c r="Q29" s="27" t="str">
        <f>_xll.qlPeriodEquivalent(Q28&amp;"+"&amp;P29&amp;"M")</f>
        <v>2Y2M</v>
      </c>
      <c r="R29" s="28">
        <f>_xll.qlCalendarAdvance(Calendar,SettlementDate,Q29,"f",,Trigger)</f>
        <v>43073</v>
      </c>
      <c r="S29" s="28">
        <f>_xll.qlInterestRateIndexValueDate(Index,R29,Trigger)</f>
        <v>43075</v>
      </c>
      <c r="T29" s="28">
        <f>_xll.qlInterestRateIndexMaturity(Index,S29,Trigger)</f>
        <v>43108</v>
      </c>
      <c r="U29" s="30">
        <f>_xll.qlIndexFixing($M$5,R29,TRUE,InterestRatesTrigger)</f>
        <v>-7.4653083290647396E-4</v>
      </c>
      <c r="V29" s="74">
        <f>_xll.qlIndexFixing(Index,R29,TRUE,InterestRatesTrigger)</f>
        <v>-2.4556146845024852E-4</v>
      </c>
      <c r="W29" s="30">
        <f t="shared" si="7"/>
        <v>5.0096936445622538E-4</v>
      </c>
      <c r="X29" s="29">
        <f>_xll.qlDayCounterYearFraction(DayCounter,SettlementDate,S29,,,Trigger)</f>
        <v>2.2111111111111112</v>
      </c>
      <c r="Y29" s="29">
        <f>_xll.qlDayCounterYearFraction(DayCounter,S29,T29)</f>
        <v>9.166666666666666E-2</v>
      </c>
      <c r="Z29" s="29">
        <f>IF($M$13,_xll.qlYieldTSDiscount(Currency&amp;"ON",S29)/(1+V29*Y29),1)</f>
        <v>1</v>
      </c>
      <c r="AA29" s="30">
        <f>_xll.qlTenorBasisValue(TenorBasis1M,S29,InterestRatesTrigger)</f>
        <v>5.1075748615119951E-4</v>
      </c>
      <c r="AB29" s="74">
        <f t="shared" si="0"/>
        <v>-2.3577334675527444E-4</v>
      </c>
      <c r="AC29" s="76">
        <f t="shared" si="1"/>
        <v>0.96013983074483378</v>
      </c>
    </row>
    <row r="30" spans="12:29" x14ac:dyDescent="0.2">
      <c r="L30" s="45" t="s">
        <v>47</v>
      </c>
      <c r="M30" s="79">
        <v>0.17533384436551869</v>
      </c>
      <c r="P30" s="33">
        <v>1</v>
      </c>
      <c r="Q30" s="27" t="str">
        <f>_xll.qlPeriodEquivalent(Q29&amp;"+"&amp;P30&amp;"M")</f>
        <v>2Y3M</v>
      </c>
      <c r="R30" s="28">
        <f>_xll.qlCalendarAdvance(Calendar,SettlementDate,Q30,"f",,Trigger)</f>
        <v>43102</v>
      </c>
      <c r="S30" s="28">
        <f>_xll.qlInterestRateIndexValueDate(Index,R30,Trigger)</f>
        <v>43104</v>
      </c>
      <c r="T30" s="28">
        <f>_xll.qlInterestRateIndexMaturity(Index,S30,Trigger)</f>
        <v>43136</v>
      </c>
      <c r="U30" s="30">
        <f>_xll.qlIndexFixing($M$5,R30,TRUE,InterestRatesTrigger)</f>
        <v>-5.8818564537682638E-4</v>
      </c>
      <c r="V30" s="74">
        <f>_xll.qlIndexFixing(Index,R30,TRUE,InterestRatesTrigger)</f>
        <v>-8.8619811614010224E-5</v>
      </c>
      <c r="W30" s="30">
        <f t="shared" si="7"/>
        <v>4.9956583376281616E-4</v>
      </c>
      <c r="X30" s="29">
        <f>_xll.qlDayCounterYearFraction(DayCounter,SettlementDate,S30,,,Trigger)</f>
        <v>2.2916666666666665</v>
      </c>
      <c r="Y30" s="29">
        <f>_xll.qlDayCounterYearFraction(DayCounter,S30,T30)</f>
        <v>8.8888888888888892E-2</v>
      </c>
      <c r="Z30" s="29">
        <f>IF($M$13,_xll.qlYieldTSDiscount(Currency&amp;"ON",S30)/(1+V30*Y30),1)</f>
        <v>1</v>
      </c>
      <c r="AA30" s="30">
        <f>_xll.qlTenorBasisValue(TenorBasis1M,S30,InterestRatesTrigger)</f>
        <v>5.1445844791074059E-4</v>
      </c>
      <c r="AB30" s="74">
        <f t="shared" si="0"/>
        <v>-7.3727197466085794E-5</v>
      </c>
      <c r="AC30" s="76">
        <f t="shared" si="1"/>
        <v>0.83194938155826548</v>
      </c>
    </row>
    <row r="31" spans="12:29" x14ac:dyDescent="0.2">
      <c r="L31" s="45" t="s">
        <v>48</v>
      </c>
      <c r="M31" s="78">
        <v>1.000118214217131E-24</v>
      </c>
      <c r="P31" s="33">
        <v>1</v>
      </c>
      <c r="Q31" s="27" t="str">
        <f>_xll.qlPeriodEquivalent(Q30&amp;"+"&amp;P31&amp;"M")</f>
        <v>2Y4M</v>
      </c>
      <c r="R31" s="28">
        <f>_xll.qlCalendarAdvance(Calendar,SettlementDate,Q31,"f",,Trigger)</f>
        <v>43133</v>
      </c>
      <c r="S31" s="28">
        <f>_xll.qlInterestRateIndexValueDate(Index,R31,Trigger)</f>
        <v>43137</v>
      </c>
      <c r="T31" s="28">
        <f>_xll.qlInterestRateIndexMaturity(Index,S31,Trigger)</f>
        <v>43165</v>
      </c>
      <c r="U31" s="30">
        <f>_xll.qlIndexFixing($M$5,R31,TRUE,InterestRatesTrigger)</f>
        <v>-4.0938878719603319E-4</v>
      </c>
      <c r="V31" s="74">
        <f>_xll.qlIndexFixing(Index,R31,TRUE,InterestRatesTrigger)</f>
        <v>8.9893905262451916E-5</v>
      </c>
      <c r="W31" s="30">
        <f t="shared" si="7"/>
        <v>4.9928269245848506E-4</v>
      </c>
      <c r="X31" s="29">
        <f>_xll.qlDayCounterYearFraction(DayCounter,SettlementDate,S31,,,Trigger)</f>
        <v>2.3833333333333333</v>
      </c>
      <c r="Y31" s="29">
        <f>_xll.qlDayCounterYearFraction(DayCounter,S31,T31)</f>
        <v>7.7777777777777779E-2</v>
      </c>
      <c r="Z31" s="29">
        <f>IF($M$13,_xll.qlYieldTSDiscount(Currency&amp;"ON",S31)/(1+V31*Y31),1)</f>
        <v>1</v>
      </c>
      <c r="AA31" s="30">
        <f>_xll.qlTenorBasisValue(TenorBasis1M,S31,InterestRatesTrigger)</f>
        <v>5.1842669672844176E-4</v>
      </c>
      <c r="AB31" s="74">
        <f t="shared" si="0"/>
        <v>1.0903790953240857E-4</v>
      </c>
      <c r="AC31" s="76">
        <f t="shared" si="1"/>
        <v>1.2129622048799005</v>
      </c>
    </row>
    <row r="32" spans="12:29" x14ac:dyDescent="0.2">
      <c r="M32" s="42"/>
      <c r="P32" s="33">
        <v>1</v>
      </c>
      <c r="Q32" s="27" t="str">
        <f>_xll.qlPeriodEquivalent(Q31&amp;"+"&amp;P32&amp;"M")</f>
        <v>2Y5M</v>
      </c>
      <c r="R32" s="28">
        <f>_xll.qlCalendarAdvance(Calendar,SettlementDate,Q32,"f",,Trigger)</f>
        <v>43161</v>
      </c>
      <c r="S32" s="28">
        <f>_xll.qlInterestRateIndexValueDate(Index,R32,Trigger)</f>
        <v>43165</v>
      </c>
      <c r="T32" s="28">
        <f>_xll.qlInterestRateIndexMaturity(Index,S32,Trigger)</f>
        <v>43196</v>
      </c>
      <c r="U32" s="30">
        <f>_xll.qlIndexFixing($M$5,R32,TRUE,InterestRatesTrigger)</f>
        <v>-2.3272210570119393E-4</v>
      </c>
      <c r="V32" s="74">
        <f>_xll.qlIndexFixing(Index,R32,TRUE,InterestRatesTrigger)</f>
        <v>2.6719882107411626E-4</v>
      </c>
      <c r="W32" s="30">
        <f t="shared" si="7"/>
        <v>4.9992092677531019E-4</v>
      </c>
      <c r="X32" s="29">
        <f>_xll.qlDayCounterYearFraction(DayCounter,SettlementDate,S32,,,Trigger)</f>
        <v>2.4611111111111112</v>
      </c>
      <c r="Y32" s="29">
        <f>_xll.qlDayCounterYearFraction(DayCounter,S32,T32)</f>
        <v>8.611111111111111E-2</v>
      </c>
      <c r="Z32" s="29">
        <f>IF($M$13,_xll.qlYieldTSDiscount(Currency&amp;"ON",S32)/(1+V32*Y32),1)</f>
        <v>1</v>
      </c>
      <c r="AA32" s="30">
        <f>_xll.qlTenorBasisValue(TenorBasis1M,S32,InterestRatesTrigger)</f>
        <v>5.2159574755655639E-4</v>
      </c>
      <c r="AB32" s="74">
        <f t="shared" si="0"/>
        <v>2.8887364185536246E-4</v>
      </c>
      <c r="AC32" s="76">
        <f t="shared" si="1"/>
        <v>1.0811186991548662</v>
      </c>
    </row>
    <row r="33" spans="16:29" x14ac:dyDescent="0.2">
      <c r="P33" s="33">
        <v>1</v>
      </c>
      <c r="Q33" s="27" t="str">
        <f>_xll.qlPeriodEquivalent(Q32&amp;"+"&amp;P33&amp;"M")</f>
        <v>2Y6M</v>
      </c>
      <c r="R33" s="28">
        <f>_xll.qlCalendarAdvance(Calendar,SettlementDate,Q33,"f",,Trigger)</f>
        <v>43193</v>
      </c>
      <c r="S33" s="28">
        <f>_xll.qlInterestRateIndexValueDate(Index,R33,Trigger)</f>
        <v>43195</v>
      </c>
      <c r="T33" s="28">
        <f>_xll.qlInterestRateIndexMaturity(Index,S33,Trigger)</f>
        <v>43227</v>
      </c>
      <c r="U33" s="30">
        <f>_xll.qlIndexFixing($M$5,R33,TRUE,InterestRatesTrigger)</f>
        <v>-4.3542342896274455E-5</v>
      </c>
      <c r="V33" s="74">
        <f>_xll.qlIndexFixing(Index,R33,TRUE,InterestRatesTrigger)</f>
        <v>4.5761546736716729E-4</v>
      </c>
      <c r="W33" s="30">
        <f t="shared" si="7"/>
        <v>5.0115781026344175E-4</v>
      </c>
      <c r="X33" s="29">
        <f>_xll.qlDayCounterYearFraction(DayCounter,SettlementDate,S33,,,Trigger)</f>
        <v>2.5444444444444443</v>
      </c>
      <c r="Y33" s="29">
        <f>_xll.qlDayCounterYearFraction(DayCounter,S33,T33)</f>
        <v>8.8888888888888892E-2</v>
      </c>
      <c r="Z33" s="29">
        <f>IF($M$13,_xll.qlYieldTSDiscount(Currency&amp;"ON",S33)/(1+V33*Y33),1)</f>
        <v>1</v>
      </c>
      <c r="AA33" s="30">
        <f>_xll.qlTenorBasisValue(TenorBasis1M,S33,InterestRatesTrigger)</f>
        <v>5.2479461520548907E-4</v>
      </c>
      <c r="AB33" s="74">
        <f t="shared" si="0"/>
        <v>4.8125227230921461E-4</v>
      </c>
      <c r="AC33" s="76">
        <f t="shared" si="1"/>
        <v>1.0516521110574315</v>
      </c>
    </row>
    <row r="34" spans="16:29" x14ac:dyDescent="0.2">
      <c r="P34" s="33">
        <v>1</v>
      </c>
      <c r="Q34" s="27" t="str">
        <f>_xll.qlPeriodEquivalent(Q33&amp;"+"&amp;P34&amp;"M")</f>
        <v>2Y7M</v>
      </c>
      <c r="R34" s="28">
        <f>_xll.qlCalendarAdvance(Calendar,SettlementDate,Q34,"f",,Trigger)</f>
        <v>43222</v>
      </c>
      <c r="S34" s="28">
        <f>_xll.qlInterestRateIndexValueDate(Index,R34,Trigger)</f>
        <v>43224</v>
      </c>
      <c r="T34" s="28">
        <f>_xll.qlInterestRateIndexMaturity(Index,S34,Trigger)</f>
        <v>43255</v>
      </c>
      <c r="U34" s="30">
        <f>_xll.qlIndexFixing($M$5,R34,TRUE,InterestRatesTrigger)</f>
        <v>1.3922460531026837E-4</v>
      </c>
      <c r="V34" s="74">
        <f>_xll.qlIndexFixing(Index,R34,TRUE,InterestRatesTrigger)</f>
        <v>6.4177562177613094E-4</v>
      </c>
      <c r="W34" s="30">
        <f t="shared" si="7"/>
        <v>5.0255101646586259E-4</v>
      </c>
      <c r="X34" s="29">
        <f>_xll.qlDayCounterYearFraction(DayCounter,SettlementDate,S34,,,Trigger)</f>
        <v>2.625</v>
      </c>
      <c r="Y34" s="29">
        <f>_xll.qlDayCounterYearFraction(DayCounter,S34,T34)</f>
        <v>8.611111111111111E-2</v>
      </c>
      <c r="Z34" s="29">
        <f>IF($M$13,_xll.qlYieldTSDiscount(Currency&amp;"ON",S34)/(1+V34*Y34),1)</f>
        <v>1</v>
      </c>
      <c r="AA34" s="30">
        <f>_xll.qlTenorBasisValue(TenorBasis1M,S34,InterestRatesTrigger)</f>
        <v>5.2769829403448746E-4</v>
      </c>
      <c r="AB34" s="74">
        <f t="shared" si="0"/>
        <v>6.6692289934475581E-4</v>
      </c>
      <c r="AC34" s="76">
        <f t="shared" si="1"/>
        <v>1.0391839090101758</v>
      </c>
    </row>
    <row r="35" spans="16:29" x14ac:dyDescent="0.2">
      <c r="P35" s="33">
        <v>1</v>
      </c>
      <c r="Q35" s="27" t="str">
        <f>_xll.qlPeriodEquivalent(Q34&amp;"+"&amp;P35&amp;"M")</f>
        <v>2Y8M</v>
      </c>
      <c r="R35" s="28">
        <f>_xll.qlCalendarAdvance(Calendar,SettlementDate,Q35,"f",,Trigger)</f>
        <v>43255</v>
      </c>
      <c r="S35" s="28">
        <f>_xll.qlInterestRateIndexValueDate(Index,R35,Trigger)</f>
        <v>43257</v>
      </c>
      <c r="T35" s="28">
        <f>_xll.qlInterestRateIndexMaturity(Index,S35,Trigger)</f>
        <v>43287</v>
      </c>
      <c r="U35" s="30">
        <f>_xll.qlIndexFixing($M$5,R35,TRUE,InterestRatesTrigger)</f>
        <v>3.5475449463095998E-4</v>
      </c>
      <c r="V35" s="74">
        <f>_xll.qlIndexFixing(Index,R35,TRUE,InterestRatesTrigger)</f>
        <v>8.588168810375052E-4</v>
      </c>
      <c r="W35" s="30">
        <f t="shared" si="7"/>
        <v>5.0406238640654522E-4</v>
      </c>
      <c r="X35" s="29">
        <f>_xll.qlDayCounterYearFraction(DayCounter,SettlementDate,S35,,,Trigger)</f>
        <v>2.7166666666666668</v>
      </c>
      <c r="Y35" s="29">
        <f>_xll.qlDayCounterYearFraction(DayCounter,S35,T35)</f>
        <v>8.3333333333333329E-2</v>
      </c>
      <c r="Z35" s="29">
        <f>IF($M$13,_xll.qlYieldTSDiscount(Currency&amp;"ON",S35)/(1+V35*Y35),1)</f>
        <v>1</v>
      </c>
      <c r="AA35" s="30">
        <f>_xll.qlTenorBasisValue(TenorBasis1M,S35,InterestRatesTrigger)</f>
        <v>5.3078283366552836E-4</v>
      </c>
      <c r="AB35" s="74">
        <f t="shared" si="0"/>
        <v>8.8553732829648834E-4</v>
      </c>
      <c r="AC35" s="76">
        <f t="shared" si="1"/>
        <v>1.0311130904025816</v>
      </c>
    </row>
    <row r="36" spans="16:29" x14ac:dyDescent="0.2">
      <c r="P36" s="33">
        <v>1</v>
      </c>
      <c r="Q36" s="27" t="str">
        <f>_xll.qlPeriodEquivalent(Q35&amp;"+"&amp;P36&amp;"M")</f>
        <v>2Y9M</v>
      </c>
      <c r="R36" s="28">
        <f>_xll.qlCalendarAdvance(Calendar,SettlementDate,Q36,"f",,Trigger)</f>
        <v>43283</v>
      </c>
      <c r="S36" s="28">
        <f>_xll.qlInterestRateIndexValueDate(Index,R36,Trigger)</f>
        <v>43285</v>
      </c>
      <c r="T36" s="28">
        <f>_xll.qlInterestRateIndexMaturity(Index,S36,Trigger)</f>
        <v>43318</v>
      </c>
      <c r="U36" s="30">
        <f>_xll.qlIndexFixing($M$5,R36,TRUE,InterestRatesTrigger)</f>
        <v>5.5702182340572847E-4</v>
      </c>
      <c r="V36" s="74">
        <f>_xll.qlIndexFixing(Index,R36,TRUE,InterestRatesTrigger)</f>
        <v>1.0620512545411742E-3</v>
      </c>
      <c r="W36" s="30">
        <f t="shared" si="7"/>
        <v>5.0502943113544575E-4</v>
      </c>
      <c r="X36" s="29">
        <f>_xll.qlDayCounterYearFraction(DayCounter,SettlementDate,S36,,,Trigger)</f>
        <v>2.7944444444444443</v>
      </c>
      <c r="Y36" s="29">
        <f>_xll.qlDayCounterYearFraction(DayCounter,S36,T36)</f>
        <v>9.166666666666666E-2</v>
      </c>
      <c r="Z36" s="29">
        <f>IF($M$13,_xll.qlYieldTSDiscount(Currency&amp;"ON",S36)/(1+V36*Y36),1)</f>
        <v>1</v>
      </c>
      <c r="AA36" s="30">
        <f>_xll.qlTenorBasisValue(TenorBasis1M,S36,InterestRatesTrigger)</f>
        <v>5.3322132265703516E-4</v>
      </c>
      <c r="AB36" s="74">
        <f t="shared" si="0"/>
        <v>1.0902431460627637E-3</v>
      </c>
      <c r="AC36" s="76">
        <f t="shared" si="1"/>
        <v>1.0265447561038559</v>
      </c>
    </row>
    <row r="37" spans="16:29" x14ac:dyDescent="0.2">
      <c r="P37" s="33">
        <v>1</v>
      </c>
      <c r="Q37" s="27" t="str">
        <f>_xll.qlPeriodEquivalent(Q36&amp;"+"&amp;P37&amp;"M")</f>
        <v>2Y10M</v>
      </c>
      <c r="R37" s="28">
        <f>_xll.qlCalendarAdvance(Calendar,SettlementDate,Q37,"f",,Trigger)</f>
        <v>43314</v>
      </c>
      <c r="S37" s="28">
        <f>_xll.qlInterestRateIndexValueDate(Index,R37,Trigger)</f>
        <v>43318</v>
      </c>
      <c r="T37" s="28">
        <f>_xll.qlInterestRateIndexMaturity(Index,S37,Trigger)</f>
        <v>43349</v>
      </c>
      <c r="U37" s="30">
        <f>_xll.qlIndexFixing($M$5,R37,TRUE,InterestRatesTrigger)</f>
        <v>7.8338614777064756E-4</v>
      </c>
      <c r="V37" s="74">
        <f>_xll.qlIndexFixing(Index,R37,TRUE,InterestRatesTrigger)</f>
        <v>1.2886680313122091E-3</v>
      </c>
      <c r="W37" s="30">
        <f t="shared" si="7"/>
        <v>5.0528188354156153E-4</v>
      </c>
      <c r="X37" s="29">
        <f>_xll.qlDayCounterYearFraction(DayCounter,SettlementDate,S37,,,Trigger)</f>
        <v>2.8861111111111111</v>
      </c>
      <c r="Y37" s="29">
        <f>_xll.qlDayCounterYearFraction(DayCounter,S37,T37)</f>
        <v>8.611111111111111E-2</v>
      </c>
      <c r="Z37" s="29">
        <f>IF($M$13,_xll.qlYieldTSDiscount(Currency&amp;"ON",S37)/(1+V37*Y37),1)</f>
        <v>1</v>
      </c>
      <c r="AA37" s="30">
        <f>_xll.qlTenorBasisValue(TenorBasis1M,S37,InterestRatesTrigger)</f>
        <v>5.3589027102245016E-4</v>
      </c>
      <c r="AB37" s="74">
        <f t="shared" si="0"/>
        <v>1.3192764187930977E-3</v>
      </c>
      <c r="AC37" s="76">
        <f t="shared" si="1"/>
        <v>1.0237519568555769</v>
      </c>
    </row>
    <row r="38" spans="16:29" x14ac:dyDescent="0.2">
      <c r="P38" s="33">
        <v>1</v>
      </c>
      <c r="Q38" s="27" t="str">
        <f>_xll.qlPeriodEquivalent(Q37&amp;"+"&amp;P38&amp;"M")</f>
        <v>2Y11M</v>
      </c>
      <c r="R38" s="28">
        <f>_xll.qlCalendarAdvance(Calendar,SettlementDate,Q38,"f",,Trigger)</f>
        <v>43346</v>
      </c>
      <c r="S38" s="28">
        <f>_xll.qlInterestRateIndexValueDate(Index,R38,Trigger)</f>
        <v>43348</v>
      </c>
      <c r="T38" s="28">
        <f>_xll.qlInterestRateIndexMaturity(Index,S38,Trigger)</f>
        <v>43378</v>
      </c>
      <c r="U38" s="30">
        <f>_xll.qlIndexFixing($M$5,R38,TRUE,InterestRatesTrigger)</f>
        <v>9.9858707746225406E-4</v>
      </c>
      <c r="V38" s="74">
        <f>_xll.qlIndexFixing(Index,R38,TRUE,InterestRatesTrigger)</f>
        <v>1.5030358020062806E-3</v>
      </c>
      <c r="W38" s="30">
        <f t="shared" si="7"/>
        <v>5.0444872454402656E-4</v>
      </c>
      <c r="X38" s="29">
        <f>_xll.qlDayCounterYearFraction(DayCounter,SettlementDate,S38,,,Trigger)</f>
        <v>2.9694444444444446</v>
      </c>
      <c r="Y38" s="29">
        <f>_xll.qlDayCounterYearFraction(DayCounter,S38,T38)</f>
        <v>8.3333333333333329E-2</v>
      </c>
      <c r="Z38" s="29">
        <f>IF($M$13,_xll.qlYieldTSDiscount(Currency&amp;"ON",S38)/(1+V38*Y38),1)</f>
        <v>1</v>
      </c>
      <c r="AA38" s="30">
        <f>_xll.qlTenorBasisValue(TenorBasis1M,S38,InterestRatesTrigger)</f>
        <v>5.3812912820893428E-4</v>
      </c>
      <c r="AB38" s="74">
        <f t="shared" si="0"/>
        <v>1.5367162056711885E-3</v>
      </c>
      <c r="AC38" s="76">
        <f t="shared" si="1"/>
        <v>1.0224082511008392</v>
      </c>
    </row>
    <row r="39" spans="16:29" x14ac:dyDescent="0.2">
      <c r="P39" s="33">
        <v>1</v>
      </c>
      <c r="Q39" s="27" t="str">
        <f>_xll.qlPeriodEquivalent(Q38&amp;"+"&amp;P39&amp;"M")</f>
        <v>3Y</v>
      </c>
      <c r="R39" s="28">
        <f>_xll.qlCalendarAdvance(Calendar,SettlementDate,Q39,"f",,Trigger)</f>
        <v>43375</v>
      </c>
      <c r="S39" s="28">
        <f>_xll.qlInterestRateIndexValueDate(Index,R39,Trigger)</f>
        <v>43377</v>
      </c>
      <c r="T39" s="28">
        <f>_xll.qlInterestRateIndexMaturity(Index,S39,Trigger)</f>
        <v>43409</v>
      </c>
      <c r="U39" s="30">
        <f>_xll.qlIndexFixing($M$5,R39,TRUE,InterestRatesTrigger)</f>
        <v>1.2221603080339594E-3</v>
      </c>
      <c r="V39" s="74">
        <f>_xll.qlIndexFixing(Index,R39,TRUE,InterestRatesTrigger)</f>
        <v>1.725738322187198E-3</v>
      </c>
      <c r="W39" s="30">
        <f t="shared" si="7"/>
        <v>5.0357801415323866E-4</v>
      </c>
      <c r="X39" s="29">
        <f>_xll.qlDayCounterYearFraction(DayCounter,SettlementDate,S39,,,Trigger)</f>
        <v>3.05</v>
      </c>
      <c r="Y39" s="29">
        <f>_xll.qlDayCounterYearFraction(DayCounter,S39,T39)</f>
        <v>8.8888888888888892E-2</v>
      </c>
      <c r="Z39" s="29">
        <f>IF($M$13,_xll.qlYieldTSDiscount(Currency&amp;"ON",S39)/(1+V39*Y39),1)</f>
        <v>1</v>
      </c>
      <c r="AA39" s="30">
        <f>_xll.qlTenorBasisValue(TenorBasis1M,S39,InterestRatesTrigger)</f>
        <v>5.4012813347558656E-4</v>
      </c>
      <c r="AB39" s="74">
        <f t="shared" si="0"/>
        <v>1.7622884415095458E-3</v>
      </c>
      <c r="AC39" s="76">
        <f t="shared" si="1"/>
        <v>1.021179409909623</v>
      </c>
    </row>
    <row r="40" spans="16:29" x14ac:dyDescent="0.2">
      <c r="P40" s="33">
        <v>1</v>
      </c>
      <c r="Q40" s="27" t="str">
        <f>_xll.qlPeriodEquivalent(Q39&amp;"+"&amp;P40&amp;"M")</f>
        <v>3Y1M</v>
      </c>
      <c r="R40" s="28">
        <f>_xll.qlCalendarAdvance(Calendar,SettlementDate,Q40,"f",,Trigger)</f>
        <v>43406</v>
      </c>
      <c r="S40" s="28">
        <f>_xll.qlInterestRateIndexValueDate(Index,R40,Trigger)</f>
        <v>43410</v>
      </c>
      <c r="T40" s="28">
        <f>_xll.qlInterestRateIndexMaturity(Index,S40,Trigger)</f>
        <v>43440</v>
      </c>
      <c r="U40" s="30">
        <f>_xll.qlIndexFixing($M$5,R40,TRUE,InterestRatesTrigger)</f>
        <v>1.4603182670969161E-3</v>
      </c>
      <c r="V40" s="74">
        <f>_xll.qlIndexFixing(Index,R40,TRUE,InterestRatesTrigger)</f>
        <v>1.9667626292161344E-3</v>
      </c>
      <c r="W40" s="30">
        <f t="shared" si="7"/>
        <v>5.0644436211921828E-4</v>
      </c>
      <c r="X40" s="29">
        <f>_xll.qlDayCounterYearFraction(DayCounter,SettlementDate,S40,,,Trigger)</f>
        <v>3.1416666666666666</v>
      </c>
      <c r="Y40" s="29">
        <f>_xll.qlDayCounterYearFraction(DayCounter,S40,T40)</f>
        <v>8.3333333333333329E-2</v>
      </c>
      <c r="Z40" s="29">
        <f>IF($M$13,_xll.qlYieldTSDiscount(Currency&amp;"ON",S40)/(1+V40*Y40),1)</f>
        <v>1</v>
      </c>
      <c r="AA40" s="30">
        <f>_xll.qlTenorBasisValue(TenorBasis1M,S40,InterestRatesTrigger)</f>
        <v>5.4221053499368878E-4</v>
      </c>
      <c r="AB40" s="74">
        <f t="shared" si="0"/>
        <v>2.0025288020906048E-3</v>
      </c>
      <c r="AC40" s="76">
        <f t="shared" si="1"/>
        <v>1.0181853022541543</v>
      </c>
    </row>
    <row r="41" spans="16:29" x14ac:dyDescent="0.2">
      <c r="P41" s="33">
        <v>1</v>
      </c>
      <c r="Q41" s="27" t="str">
        <f>_xll.qlPeriodEquivalent(Q40&amp;"+"&amp;P41&amp;"M")</f>
        <v>3Y2M</v>
      </c>
      <c r="R41" s="28">
        <f>_xll.qlCalendarAdvance(Calendar,SettlementDate,Q41,"f",,Trigger)</f>
        <v>43437</v>
      </c>
      <c r="S41" s="28">
        <f>_xll.qlInterestRateIndexValueDate(Index,R41,Trigger)</f>
        <v>43439</v>
      </c>
      <c r="T41" s="28">
        <f>_xll.qlInterestRateIndexMaturity(Index,S41,Trigger)</f>
        <v>43472</v>
      </c>
      <c r="U41" s="30">
        <f>_xll.qlIndexFixing($M$5,R41,TRUE,InterestRatesTrigger)</f>
        <v>1.6860455575501926E-3</v>
      </c>
      <c r="V41" s="74">
        <f>_xll.qlIndexFixing(Index,R41,TRUE,InterestRatesTrigger)</f>
        <v>2.1992009332380295E-3</v>
      </c>
      <c r="W41" s="30">
        <f t="shared" si="7"/>
        <v>5.1315537568783691E-4</v>
      </c>
      <c r="X41" s="29">
        <f>_xll.qlDayCounterYearFraction(DayCounter,SettlementDate,S41,,,Trigger)</f>
        <v>3.2222222222222223</v>
      </c>
      <c r="Y41" s="29">
        <f>_xll.qlDayCounterYearFraction(DayCounter,S41,T41)</f>
        <v>9.166666666666666E-2</v>
      </c>
      <c r="Z41" s="29">
        <f>IF($M$13,_xll.qlYieldTSDiscount(Currency&amp;"ON",S41)/(1+V41*Y41),1)</f>
        <v>1</v>
      </c>
      <c r="AA41" s="30">
        <f>_xll.qlTenorBasisValue(TenorBasis1M,S41,InterestRatesTrigger)</f>
        <v>5.4387597124176657E-4</v>
      </c>
      <c r="AB41" s="74">
        <f t="shared" si="0"/>
        <v>2.2299215287919592E-3</v>
      </c>
      <c r="AC41" s="76">
        <f t="shared" si="1"/>
        <v>1.0139689807737111</v>
      </c>
    </row>
    <row r="42" spans="16:29" x14ac:dyDescent="0.2">
      <c r="P42" s="33">
        <v>1</v>
      </c>
      <c r="Q42" s="27" t="str">
        <f>_xll.qlPeriodEquivalent(Q41&amp;"+"&amp;P42&amp;"M")</f>
        <v>3Y3M</v>
      </c>
      <c r="R42" s="28">
        <f>_xll.qlCalendarAdvance(Calendar,SettlementDate,Q42,"f",,Trigger)</f>
        <v>43467</v>
      </c>
      <c r="S42" s="28">
        <f>_xll.qlInterestRateIndexValueDate(Index,R42,Trigger)</f>
        <v>43469</v>
      </c>
      <c r="T42" s="28">
        <f>_xll.qlInterestRateIndexMaturity(Index,S42,Trigger)</f>
        <v>43500</v>
      </c>
      <c r="U42" s="30">
        <f>_xll.qlIndexFixing($M$5,R42,TRUE,InterestRatesTrigger)</f>
        <v>1.8995246942628498E-3</v>
      </c>
      <c r="V42" s="74">
        <f>_xll.qlIndexFixing(Index,R42,TRUE,InterestRatesTrigger)</f>
        <v>2.4220593329283085E-3</v>
      </c>
      <c r="W42" s="30">
        <f t="shared" si="7"/>
        <v>5.2253463866545869E-4</v>
      </c>
      <c r="X42" s="29">
        <f>_xll.qlDayCounterYearFraction(DayCounter,SettlementDate,S42,,,Trigger)</f>
        <v>3.3055555555555554</v>
      </c>
      <c r="Y42" s="29">
        <f>_xll.qlDayCounterYearFraction(DayCounter,S42,T42)</f>
        <v>8.611111111111111E-2</v>
      </c>
      <c r="Z42" s="29">
        <f>IF($M$13,_xll.qlYieldTSDiscount(Currency&amp;"ON",S42)/(1+V42*Y42),1)</f>
        <v>1</v>
      </c>
      <c r="AA42" s="30">
        <f>_xll.qlTenorBasisValue(TenorBasis1M,S42,InterestRatesTrigger)</f>
        <v>5.4544119473177955E-4</v>
      </c>
      <c r="AB42" s="74">
        <f t="shared" si="0"/>
        <v>2.4449658889946291E-3</v>
      </c>
      <c r="AC42" s="76">
        <f t="shared" si="1"/>
        <v>1.0094574710680708</v>
      </c>
    </row>
    <row r="43" spans="16:29" x14ac:dyDescent="0.2">
      <c r="P43" s="33">
        <v>1</v>
      </c>
      <c r="Q43" s="27" t="str">
        <f>_xll.qlPeriodEquivalent(Q42&amp;"+"&amp;P43&amp;"M")</f>
        <v>3Y4M</v>
      </c>
      <c r="R43" s="28">
        <f>_xll.qlCalendarAdvance(Calendar,SettlementDate,Q43,"f",,Trigger)</f>
        <v>43500</v>
      </c>
      <c r="S43" s="28">
        <f>_xll.qlInterestRateIndexValueDate(Index,R43,Trigger)</f>
        <v>43502</v>
      </c>
      <c r="T43" s="28">
        <f>_xll.qlInterestRateIndexMaturity(Index,S43,Trigger)</f>
        <v>43530</v>
      </c>
      <c r="U43" s="30">
        <f>_xll.qlIndexFixing($M$5,R43,TRUE,InterestRatesTrigger)</f>
        <v>2.1301335541970951E-3</v>
      </c>
      <c r="V43" s="74">
        <f>_xll.qlIndexFixing(Index,R43,TRUE,InterestRatesTrigger)</f>
        <v>2.6656970974478101E-3</v>
      </c>
      <c r="W43" s="30">
        <f t="shared" si="7"/>
        <v>5.35563543250715E-4</v>
      </c>
      <c r="X43" s="29">
        <f>_xll.qlDayCounterYearFraction(DayCounter,SettlementDate,S43,,,Trigger)</f>
        <v>3.3972222222222221</v>
      </c>
      <c r="Y43" s="29">
        <f>_xll.qlDayCounterYearFraction(DayCounter,S43,T43)</f>
        <v>7.7777777777777779E-2</v>
      </c>
      <c r="Z43" s="29">
        <f>IF($M$13,_xll.qlYieldTSDiscount(Currency&amp;"ON",S43)/(1+V43*Y43),1)</f>
        <v>1</v>
      </c>
      <c r="AA43" s="30">
        <f>_xll.qlTenorBasisValue(TenorBasis1M,S43,InterestRatesTrigger)</f>
        <v>5.4698277576363237E-4</v>
      </c>
      <c r="AB43" s="74">
        <f t="shared" si="0"/>
        <v>2.6771163299607274E-3</v>
      </c>
      <c r="AC43" s="76">
        <f t="shared" si="1"/>
        <v>1.0042837697215674</v>
      </c>
    </row>
    <row r="44" spans="16:29" x14ac:dyDescent="0.2">
      <c r="P44" s="33">
        <v>1</v>
      </c>
      <c r="Q44" s="27" t="str">
        <f>_xll.qlPeriodEquivalent(Q43&amp;"+"&amp;P44&amp;"M")</f>
        <v>3Y5M</v>
      </c>
      <c r="R44" s="28">
        <f>_xll.qlCalendarAdvance(Calendar,SettlementDate,Q44,"f",,Trigger)</f>
        <v>43528</v>
      </c>
      <c r="S44" s="28">
        <f>_xll.qlInterestRateIndexValueDate(Index,R44,Trigger)</f>
        <v>43530</v>
      </c>
      <c r="T44" s="28">
        <f>_xll.qlInterestRateIndexMaturity(Index,S44,Trigger)</f>
        <v>43563</v>
      </c>
      <c r="U44" s="30">
        <f>_xll.qlIndexFixing($M$5,R44,TRUE,InterestRatesTrigger)</f>
        <v>2.3521919143508867E-3</v>
      </c>
      <c r="V44" s="74">
        <f>_xll.qlIndexFixing(Index,R44,TRUE,InterestRatesTrigger)</f>
        <v>2.9027355685773415E-3</v>
      </c>
      <c r="W44" s="30">
        <f t="shared" si="7"/>
        <v>5.5054365422645482E-4</v>
      </c>
      <c r="X44" s="29">
        <f>_xll.qlDayCounterYearFraction(DayCounter,SettlementDate,S44,,,Trigger)</f>
        <v>3.4750000000000001</v>
      </c>
      <c r="Y44" s="29">
        <f>_xll.qlDayCounterYearFraction(DayCounter,S44,T44)</f>
        <v>9.166666666666666E-2</v>
      </c>
      <c r="Z44" s="29">
        <f>IF($M$13,_xll.qlYieldTSDiscount(Currency&amp;"ON",S44)/(1+V44*Y44),1)</f>
        <v>1</v>
      </c>
      <c r="AA44" s="30">
        <f>_xll.qlTenorBasisValue(TenorBasis1M,S44,InterestRatesTrigger)</f>
        <v>5.4814674586667323E-4</v>
      </c>
      <c r="AB44" s="74">
        <f t="shared" si="0"/>
        <v>2.90033866021756E-3</v>
      </c>
      <c r="AC44" s="76">
        <f t="shared" si="1"/>
        <v>0.99917425879720889</v>
      </c>
    </row>
    <row r="45" spans="16:29" x14ac:dyDescent="0.2">
      <c r="P45" s="33">
        <v>1</v>
      </c>
      <c r="Q45" s="27" t="str">
        <f>_xll.qlPeriodEquivalent(Q44&amp;"+"&amp;P45&amp;"M")</f>
        <v>3Y6M</v>
      </c>
      <c r="R45" s="28">
        <f>_xll.qlCalendarAdvance(Calendar,SettlementDate,Q45,"f",,Trigger)</f>
        <v>43557</v>
      </c>
      <c r="S45" s="28">
        <f>_xll.qlInterestRateIndexValueDate(Index,R45,Trigger)</f>
        <v>43559</v>
      </c>
      <c r="T45" s="28">
        <f>_xll.qlInterestRateIndexMaturity(Index,S45,Trigger)</f>
        <v>43591</v>
      </c>
      <c r="U45" s="30">
        <f>_xll.qlIndexFixing($M$5,R45,TRUE,InterestRatesTrigger)</f>
        <v>2.55855354868606E-3</v>
      </c>
      <c r="V45" s="74">
        <f>_xll.qlIndexFixing(Index,R45,TRUE,InterestRatesTrigger)</f>
        <v>3.1246096211212659E-3</v>
      </c>
      <c r="W45" s="30">
        <f t="shared" si="7"/>
        <v>5.6605607243520595E-4</v>
      </c>
      <c r="X45" s="29">
        <f>_xll.qlDayCounterYearFraction(DayCounter,SettlementDate,S45,,,Trigger)</f>
        <v>3.5555555555555554</v>
      </c>
      <c r="Y45" s="29">
        <f>_xll.qlDayCounterYearFraction(DayCounter,S45,T45)</f>
        <v>8.8888888888888892E-2</v>
      </c>
      <c r="Z45" s="29">
        <f>IF($M$13,_xll.qlYieldTSDiscount(Currency&amp;"ON",S45)/(1+V45*Y45),1)</f>
        <v>1</v>
      </c>
      <c r="AA45" s="30">
        <f>_xll.qlTenorBasisValue(TenorBasis1M,S45,InterestRatesTrigger)</f>
        <v>5.4921661273796751E-4</v>
      </c>
      <c r="AB45" s="74">
        <f t="shared" si="0"/>
        <v>3.1077701614240275E-3</v>
      </c>
      <c r="AC45" s="76">
        <f t="shared" si="1"/>
        <v>0.99461069965879589</v>
      </c>
    </row>
    <row r="46" spans="16:29" x14ac:dyDescent="0.2">
      <c r="P46" s="33">
        <v>1</v>
      </c>
      <c r="Q46" s="27" t="str">
        <f>_xll.qlPeriodEquivalent(Q45&amp;"+"&amp;P46&amp;"M")</f>
        <v>3Y7M</v>
      </c>
      <c r="R46" s="28">
        <f>_xll.qlCalendarAdvance(Calendar,SettlementDate,Q46,"f",,Trigger)</f>
        <v>43587</v>
      </c>
      <c r="S46" s="28">
        <f>_xll.qlInterestRateIndexValueDate(Index,R46,Trigger)</f>
        <v>43591</v>
      </c>
      <c r="T46" s="28">
        <f>_xll.qlInterestRateIndexMaturity(Index,S46,Trigger)</f>
        <v>43622</v>
      </c>
      <c r="U46" s="30">
        <f>_xll.qlIndexFixing($M$5,R46,TRUE,InterestRatesTrigger)</f>
        <v>2.7853796283411514E-3</v>
      </c>
      <c r="V46" s="74">
        <f>_xll.qlIndexFixing(Index,R46,TRUE,InterestRatesTrigger)</f>
        <v>3.3698192404224021E-3</v>
      </c>
      <c r="W46" s="30">
        <f t="shared" si="7"/>
        <v>5.8443961208125067E-4</v>
      </c>
      <c r="X46" s="29">
        <f>_xll.qlDayCounterYearFraction(DayCounter,SettlementDate,S46,,,Trigger)</f>
        <v>3.6444444444444444</v>
      </c>
      <c r="Y46" s="29">
        <f>_xll.qlDayCounterYearFraction(DayCounter,S46,T46)</f>
        <v>8.611111111111111E-2</v>
      </c>
      <c r="Z46" s="29">
        <f>IF($M$13,_xll.qlYieldTSDiscount(Currency&amp;"ON",S46)/(1+V46*Y46),1)</f>
        <v>1</v>
      </c>
      <c r="AA46" s="30">
        <f>_xll.qlTenorBasisValue(TenorBasis1M,S46,InterestRatesTrigger)</f>
        <v>5.5024119947642608E-4</v>
      </c>
      <c r="AB46" s="74">
        <f t="shared" si="0"/>
        <v>3.3356208278175776E-3</v>
      </c>
      <c r="AC46" s="76">
        <f t="shared" si="1"/>
        <v>0.98985155874398245</v>
      </c>
    </row>
    <row r="47" spans="16:29" x14ac:dyDescent="0.2">
      <c r="P47" s="33">
        <v>1</v>
      </c>
      <c r="Q47" s="27" t="str">
        <f>_xll.qlPeriodEquivalent(Q46&amp;"+"&amp;P47&amp;"M")</f>
        <v>3Y8M</v>
      </c>
      <c r="R47" s="28">
        <f>_xll.qlCalendarAdvance(Calendar,SettlementDate,Q47,"f",,Trigger)</f>
        <v>43619</v>
      </c>
      <c r="S47" s="28">
        <f>_xll.qlInterestRateIndexValueDate(Index,R47,Trigger)</f>
        <v>43621</v>
      </c>
      <c r="T47" s="28">
        <f>_xll.qlInterestRateIndexMaturity(Index,S47,Trigger)</f>
        <v>43651</v>
      </c>
      <c r="U47" s="30">
        <f>_xll.qlIndexFixing($M$5,R47,TRUE,InterestRatesTrigger)</f>
        <v>2.9966050559657731E-3</v>
      </c>
      <c r="V47" s="74">
        <f>_xll.qlIndexFixing(Index,R47,TRUE,InterestRatesTrigger)</f>
        <v>3.5989419725686034E-3</v>
      </c>
      <c r="W47" s="30">
        <f t="shared" si="7"/>
        <v>6.0233691660283029E-4</v>
      </c>
      <c r="X47" s="29">
        <f>_xll.qlDayCounterYearFraction(DayCounter,SettlementDate,S47,,,Trigger)</f>
        <v>3.7277777777777779</v>
      </c>
      <c r="Y47" s="29">
        <f>_xll.qlDayCounterYearFraction(DayCounter,S47,T47)</f>
        <v>8.3333333333333329E-2</v>
      </c>
      <c r="Z47" s="29">
        <f>IF($M$13,_xll.qlYieldTSDiscount(Currency&amp;"ON",S47)/(1+V47*Y47),1)</f>
        <v>1</v>
      </c>
      <c r="AA47" s="30">
        <f>_xll.qlTenorBasisValue(TenorBasis1M,S47,InterestRatesTrigger)</f>
        <v>5.510572066408935E-4</v>
      </c>
      <c r="AB47" s="74">
        <f t="shared" si="0"/>
        <v>3.5476622626066665E-3</v>
      </c>
      <c r="AC47" s="76">
        <f t="shared" si="1"/>
        <v>0.98575144852215058</v>
      </c>
    </row>
    <row r="48" spans="16:29" x14ac:dyDescent="0.2">
      <c r="P48" s="33">
        <v>1</v>
      </c>
      <c r="Q48" s="27" t="str">
        <f>_xll.qlPeriodEquivalent(Q47&amp;"+"&amp;P48&amp;"M")</f>
        <v>3Y9M</v>
      </c>
      <c r="R48" s="28">
        <f>_xll.qlCalendarAdvance(Calendar,SettlementDate,Q48,"f",,Trigger)</f>
        <v>43648</v>
      </c>
      <c r="S48" s="28">
        <f>_xll.qlInterestRateIndexValueDate(Index,R48,Trigger)</f>
        <v>43650</v>
      </c>
      <c r="T48" s="28">
        <f>_xll.qlInterestRateIndexMaturity(Index,S48,Trigger)</f>
        <v>43682</v>
      </c>
      <c r="U48" s="30">
        <f>_xll.qlIndexFixing($M$5,R48,TRUE,InterestRatesTrigger)</f>
        <v>3.2102541224846015E-3</v>
      </c>
      <c r="V48" s="74">
        <f>_xll.qlIndexFixing(Index,R48,TRUE,InterestRatesTrigger)</f>
        <v>3.8309822607143773E-3</v>
      </c>
      <c r="W48" s="30">
        <f t="shared" si="7"/>
        <v>6.2072813822977579E-4</v>
      </c>
      <c r="X48" s="29">
        <f>_xll.qlDayCounterYearFraction(DayCounter,SettlementDate,S48,,,Trigger)</f>
        <v>3.8083333333333331</v>
      </c>
      <c r="Y48" s="29">
        <f>_xll.qlDayCounterYearFraction(DayCounter,S48,T48)</f>
        <v>8.8888888888888892E-2</v>
      </c>
      <c r="Z48" s="29">
        <f>IF($M$13,_xll.qlYieldTSDiscount(Currency&amp;"ON",S48)/(1+V48*Y48),1)</f>
        <v>1</v>
      </c>
      <c r="AA48" s="30">
        <f>_xll.qlTenorBasisValue(TenorBasis1M,S48,InterestRatesTrigger)</f>
        <v>5.5171670825319606E-4</v>
      </c>
      <c r="AB48" s="74">
        <f t="shared" si="0"/>
        <v>3.7619708307377975E-3</v>
      </c>
      <c r="AC48" s="76">
        <f t="shared" si="1"/>
        <v>0.9819859698427027</v>
      </c>
    </row>
    <row r="49" spans="16:29" x14ac:dyDescent="0.2">
      <c r="P49" s="33">
        <v>1</v>
      </c>
      <c r="Q49" s="27" t="str">
        <f>_xll.qlPeriodEquivalent(Q48&amp;"+"&amp;P49&amp;"M")</f>
        <v>3Y10M</v>
      </c>
      <c r="R49" s="28">
        <f>_xll.qlCalendarAdvance(Calendar,SettlementDate,Q49,"f",,Trigger)</f>
        <v>43679</v>
      </c>
      <c r="S49" s="28">
        <f>_xll.qlInterestRateIndexValueDate(Index,R49,Trigger)</f>
        <v>43683</v>
      </c>
      <c r="T49" s="28">
        <f>_xll.qlInterestRateIndexMaturity(Index,S49,Trigger)</f>
        <v>43714</v>
      </c>
      <c r="U49" s="30">
        <f>_xll.qlIndexFixing($M$5,R49,TRUE,InterestRatesTrigger)</f>
        <v>3.4403256884133733E-3</v>
      </c>
      <c r="V49" s="74">
        <f>_xll.qlIndexFixing(Index,R49,TRUE,InterestRatesTrigger)</f>
        <v>4.0805815102674635E-3</v>
      </c>
      <c r="W49" s="30">
        <f t="shared" si="7"/>
        <v>6.4025582185409016E-4</v>
      </c>
      <c r="X49" s="29">
        <f>_xll.qlDayCounterYearFraction(DayCounter,SettlementDate,S49,,,Trigger)</f>
        <v>3.9</v>
      </c>
      <c r="Y49" s="29">
        <f>_xll.qlDayCounterYearFraction(DayCounter,S49,T49)</f>
        <v>8.611111111111111E-2</v>
      </c>
      <c r="Z49" s="29">
        <f>IF($M$13,_xll.qlYieldTSDiscount(Currency&amp;"ON",S49)/(1+V49*Y49),1)</f>
        <v>1</v>
      </c>
      <c r="AA49" s="30">
        <f>_xll.qlTenorBasisValue(TenorBasis1M,S49,InterestRatesTrigger)</f>
        <v>5.5231688000460821E-4</v>
      </c>
      <c r="AB49" s="74">
        <f t="shared" si="0"/>
        <v>3.9926425684179813E-3</v>
      </c>
      <c r="AC49" s="76">
        <f t="shared" si="1"/>
        <v>0.97844940932359459</v>
      </c>
    </row>
    <row r="50" spans="16:29" x14ac:dyDescent="0.2">
      <c r="P50" s="33">
        <v>1</v>
      </c>
      <c r="Q50" s="27" t="str">
        <f>_xll.qlPeriodEquivalent(Q49&amp;"+"&amp;P50&amp;"M")</f>
        <v>3Y11M</v>
      </c>
      <c r="R50" s="28">
        <f>_xll.qlCalendarAdvance(Calendar,SettlementDate,Q50,"f",,Trigger)</f>
        <v>43710</v>
      </c>
      <c r="S50" s="28">
        <f>_xll.qlInterestRateIndexValueDate(Index,R50,Trigger)</f>
        <v>43712</v>
      </c>
      <c r="T50" s="28">
        <f>_xll.qlInterestRateIndexMaturity(Index,S50,Trigger)</f>
        <v>43742</v>
      </c>
      <c r="U50" s="30">
        <f>_xll.qlIndexFixing($M$5,R50,TRUE,InterestRatesTrigger)</f>
        <v>3.6409208680403538E-3</v>
      </c>
      <c r="V50" s="74">
        <f>_xll.qlIndexFixing(Index,R50,TRUE,InterestRatesTrigger)</f>
        <v>4.2974897311660598E-3</v>
      </c>
      <c r="W50" s="30">
        <f t="shared" si="7"/>
        <v>6.5656886312570606E-4</v>
      </c>
      <c r="X50" s="29">
        <f>_xll.qlDayCounterYearFraction(DayCounter,SettlementDate,S50,,,Trigger)</f>
        <v>3.9805555555555556</v>
      </c>
      <c r="Y50" s="29">
        <f>_xll.qlDayCounterYearFraction(DayCounter,S50,T50)</f>
        <v>8.3333333333333329E-2</v>
      </c>
      <c r="Z50" s="29">
        <f>IF($M$13,_xll.qlYieldTSDiscount(Currency&amp;"ON",S50)/(1+V50*Y50),1)</f>
        <v>1</v>
      </c>
      <c r="AA50" s="30">
        <f>_xll.qlTenorBasisValue(TenorBasis1M,S50,InterestRatesTrigger)</f>
        <v>5.5271590642871123E-4</v>
      </c>
      <c r="AB50" s="74">
        <f t="shared" si="0"/>
        <v>4.193636774469065E-3</v>
      </c>
      <c r="AC50" s="76">
        <f t="shared" si="1"/>
        <v>0.97583404191897494</v>
      </c>
    </row>
    <row r="51" spans="16:29" x14ac:dyDescent="0.2">
      <c r="P51" s="33">
        <v>1</v>
      </c>
      <c r="Q51" s="27" t="str">
        <f>_xll.qlPeriodEquivalent(Q50&amp;"+"&amp;P51&amp;"M")</f>
        <v>4Y</v>
      </c>
      <c r="R51" s="28">
        <f>_xll.qlCalendarAdvance(Calendar,SettlementDate,Q51,"f",,Trigger)</f>
        <v>43740</v>
      </c>
      <c r="S51" s="28">
        <f>_xll.qlInterestRateIndexValueDate(Index,R51,Trigger)</f>
        <v>43742</v>
      </c>
      <c r="T51" s="28">
        <f>_xll.qlInterestRateIndexMaturity(Index,S51,Trigger)</f>
        <v>43773</v>
      </c>
      <c r="U51" s="30">
        <f>_xll.qlIndexFixing($M$5,R51,TRUE,InterestRatesTrigger)</f>
        <v>3.8565356604181034E-3</v>
      </c>
      <c r="V51" s="74">
        <f>_xll.qlIndexFixing(Index,R51,TRUE,InterestRatesTrigger)</f>
        <v>4.5285922525318788E-3</v>
      </c>
      <c r="W51" s="30">
        <f t="shared" si="7"/>
        <v>6.7205659211377541E-4</v>
      </c>
      <c r="X51" s="29">
        <f>_xll.qlDayCounterYearFraction(DayCounter,SettlementDate,S51,,,Trigger)</f>
        <v>4.0638888888888891</v>
      </c>
      <c r="Y51" s="29">
        <f>_xll.qlDayCounterYearFraction(DayCounter,S51,T51)</f>
        <v>8.611111111111111E-2</v>
      </c>
      <c r="Z51" s="29">
        <f>IF($M$13,_xll.qlYieldTSDiscount(Currency&amp;"ON",S51)/(1+V51*Y51),1)</f>
        <v>1</v>
      </c>
      <c r="AA51" s="30">
        <f>_xll.qlTenorBasisValue(TenorBasis1M,S51,InterestRatesTrigger)</f>
        <v>5.5300587961238995E-4</v>
      </c>
      <c r="AB51" s="74">
        <f t="shared" si="0"/>
        <v>4.4095415400304937E-3</v>
      </c>
      <c r="AC51" s="76">
        <f t="shared" si="1"/>
        <v>0.97371132001676119</v>
      </c>
    </row>
    <row r="52" spans="16:29" x14ac:dyDescent="0.2">
      <c r="P52" s="33">
        <v>1</v>
      </c>
      <c r="Q52" s="27" t="str">
        <f>_xll.qlPeriodEquivalent(Q51&amp;"+"&amp;P52&amp;"M")</f>
        <v>4Y1M</v>
      </c>
      <c r="R52" s="28">
        <f>_xll.qlCalendarAdvance(Calendar,SettlementDate,Q52,"f",,Trigger)</f>
        <v>43773</v>
      </c>
      <c r="S52" s="28">
        <f>_xll.qlInterestRateIndexValueDate(Index,R52,Trigger)</f>
        <v>43775</v>
      </c>
      <c r="T52" s="28">
        <f>_xll.qlInterestRateIndexMaturity(Index,S52,Trigger)</f>
        <v>43805</v>
      </c>
      <c r="U52" s="30">
        <f>_xll.qlIndexFixing($M$5,R52,TRUE,InterestRatesTrigger)</f>
        <v>4.0945902316043004E-3</v>
      </c>
      <c r="V52" s="74">
        <f>_xll.qlIndexFixing(Index,R52,TRUE,InterestRatesTrigger)</f>
        <v>4.7783861503081226E-3</v>
      </c>
      <c r="W52" s="30">
        <f t="shared" si="7"/>
        <v>6.8379591870382228E-4</v>
      </c>
      <c r="X52" s="29">
        <f>_xll.qlDayCounterYearFraction(DayCounter,SettlementDate,S52,,,Trigger)</f>
        <v>4.1555555555555559</v>
      </c>
      <c r="Y52" s="29">
        <f>_xll.qlDayCounterYearFraction(DayCounter,S52,T52)</f>
        <v>8.3333333333333329E-2</v>
      </c>
      <c r="Z52" s="29">
        <f>IF($M$13,_xll.qlYieldTSDiscount(Currency&amp;"ON",S52)/(1+V52*Y52),1)</f>
        <v>1</v>
      </c>
      <c r="AA52" s="30">
        <f>_xll.qlTenorBasisValue(TenorBasis1M,S52,InterestRatesTrigger)</f>
        <v>5.5318471482946685E-4</v>
      </c>
      <c r="AB52" s="74">
        <f t="shared" si="0"/>
        <v>4.6477749464337668E-3</v>
      </c>
      <c r="AC52" s="76">
        <f t="shared" si="1"/>
        <v>0.97266625179174071</v>
      </c>
    </row>
    <row r="53" spans="16:29" x14ac:dyDescent="0.2">
      <c r="P53" s="33">
        <v>1</v>
      </c>
      <c r="Q53" s="27" t="str">
        <f>_xll.qlPeriodEquivalent(Q52&amp;"+"&amp;P53&amp;"M")</f>
        <v>4Y2M</v>
      </c>
      <c r="R53" s="28">
        <f>_xll.qlCalendarAdvance(Calendar,SettlementDate,Q53,"f",,Trigger)</f>
        <v>43801</v>
      </c>
      <c r="S53" s="28">
        <f>_xll.qlInterestRateIndexValueDate(Index,R53,Trigger)</f>
        <v>43803</v>
      </c>
      <c r="T53" s="28">
        <f>_xll.qlInterestRateIndexMaturity(Index,S53,Trigger)</f>
        <v>43836</v>
      </c>
      <c r="U53" s="30">
        <f>_xll.qlIndexFixing($M$5,R53,TRUE,InterestRatesTrigger)</f>
        <v>4.3196301780676098E-3</v>
      </c>
      <c r="V53" s="74">
        <f>_xll.qlIndexFixing(Index,R53,TRUE,InterestRatesTrigger)</f>
        <v>5.0094410649129369E-3</v>
      </c>
      <c r="W53" s="30">
        <f t="shared" si="7"/>
        <v>6.8981088684532711E-4</v>
      </c>
      <c r="X53" s="29">
        <f>_xll.qlDayCounterYearFraction(DayCounter,SettlementDate,S53,,,Trigger)</f>
        <v>4.2333333333333334</v>
      </c>
      <c r="Y53" s="29">
        <f>_xll.qlDayCounterYearFraction(DayCounter,S53,T53)</f>
        <v>9.166666666666666E-2</v>
      </c>
      <c r="Z53" s="29">
        <f>IF($M$13,_xll.qlYieldTSDiscount(Currency&amp;"ON",S53)/(1+V53*Y53),1)</f>
        <v>1</v>
      </c>
      <c r="AA53" s="30">
        <f>_xll.qlTenorBasisValue(TenorBasis1M,S53,InterestRatesTrigger)</f>
        <v>5.5322460069529803E-4</v>
      </c>
      <c r="AB53" s="74">
        <f t="shared" si="0"/>
        <v>4.8728547787629077E-3</v>
      </c>
      <c r="AC53" s="76">
        <f t="shared" si="1"/>
        <v>0.97273422635776574</v>
      </c>
    </row>
    <row r="54" spans="16:29" x14ac:dyDescent="0.2">
      <c r="P54" s="33">
        <v>1</v>
      </c>
      <c r="Q54" s="27" t="str">
        <f>_xll.qlPeriodEquivalent(Q53&amp;"+"&amp;P54&amp;"M")</f>
        <v>4Y3M</v>
      </c>
      <c r="R54" s="28">
        <f>_xll.qlCalendarAdvance(Calendar,SettlementDate,Q54,"f",,Trigger)</f>
        <v>43832</v>
      </c>
      <c r="S54" s="28">
        <f>_xll.qlInterestRateIndexValueDate(Index,R54,Trigger)</f>
        <v>43836</v>
      </c>
      <c r="T54" s="28">
        <f>_xll.qlInterestRateIndexMaturity(Index,S54,Trigger)</f>
        <v>43867</v>
      </c>
      <c r="U54" s="30">
        <f>_xll.qlIndexFixing($M$5,R54,TRUE,InterestRatesTrigger)</f>
        <v>4.5729076893668581E-3</v>
      </c>
      <c r="V54" s="74">
        <f>_xll.qlIndexFixing(Index,R54,TRUE,InterestRatesTrigger)</f>
        <v>5.2643527725436002E-3</v>
      </c>
      <c r="W54" s="30">
        <f t="shared" si="7"/>
        <v>6.9144508317674214E-4</v>
      </c>
      <c r="X54" s="29">
        <f>_xll.qlDayCounterYearFraction(DayCounter,SettlementDate,S54,,,Trigger)</f>
        <v>4.3250000000000002</v>
      </c>
      <c r="Y54" s="29">
        <f>_xll.qlDayCounterYearFraction(DayCounter,S54,T54)</f>
        <v>8.611111111111111E-2</v>
      </c>
      <c r="Z54" s="29">
        <f>IF($M$13,_xll.qlYieldTSDiscount(Currency&amp;"ON",S54)/(1+V54*Y54),1)</f>
        <v>1</v>
      </c>
      <c r="AA54" s="30">
        <f>_xll.qlTenorBasisValue(TenorBasis1M,S54,InterestRatesTrigger)</f>
        <v>5.5314368119607391E-4</v>
      </c>
      <c r="AB54" s="74">
        <f t="shared" si="0"/>
        <v>5.1260513705629323E-3</v>
      </c>
      <c r="AC54" s="76">
        <f t="shared" si="1"/>
        <v>0.97372869791287864</v>
      </c>
    </row>
    <row r="55" spans="16:29" x14ac:dyDescent="0.2">
      <c r="P55" s="33">
        <v>1</v>
      </c>
      <c r="Q55" s="27" t="str">
        <f>_xll.qlPeriodEquivalent(Q54&amp;"+"&amp;P55&amp;"M")</f>
        <v>4Y4M</v>
      </c>
      <c r="R55" s="28">
        <f>_xll.qlCalendarAdvance(Calendar,SettlementDate,Q55,"f",,Trigger)</f>
        <v>43864</v>
      </c>
      <c r="S55" s="28">
        <f>_xll.qlInterestRateIndexValueDate(Index,R55,Trigger)</f>
        <v>43866</v>
      </c>
      <c r="T55" s="28">
        <f>_xll.qlInterestRateIndexMaturity(Index,S55,Trigger)</f>
        <v>43895</v>
      </c>
      <c r="U55" s="30">
        <f>_xll.qlIndexFixing($M$5,R55,TRUE,InterestRatesTrigger)</f>
        <v>4.8109008519959841E-3</v>
      </c>
      <c r="V55" s="74">
        <f>_xll.qlIndexFixing(Index,R55,TRUE,InterestRatesTrigger)</f>
        <v>5.4994599358371525E-3</v>
      </c>
      <c r="W55" s="30">
        <f t="shared" si="7"/>
        <v>6.8855908384116843E-4</v>
      </c>
      <c r="X55" s="29">
        <f>_xll.qlDayCounterYearFraction(DayCounter,SettlementDate,S55,,,Trigger)</f>
        <v>4.4083333333333332</v>
      </c>
      <c r="Y55" s="29">
        <f>_xll.qlDayCounterYearFraction(DayCounter,S55,T55)</f>
        <v>8.0555555555555561E-2</v>
      </c>
      <c r="Z55" s="29">
        <f>IF($M$13,_xll.qlYieldTSDiscount(Currency&amp;"ON",S55)/(1+V55*Y55),1)</f>
        <v>1</v>
      </c>
      <c r="AA55" s="30">
        <f>_xll.qlTenorBasisValue(TenorBasis1M,S55,InterestRatesTrigger)</f>
        <v>5.5295347256959816E-4</v>
      </c>
      <c r="AB55" s="74">
        <f t="shared" si="0"/>
        <v>5.3638543245655822E-3</v>
      </c>
      <c r="AC55" s="76">
        <f t="shared" si="1"/>
        <v>0.97534201306061019</v>
      </c>
    </row>
    <row r="56" spans="16:29" x14ac:dyDescent="0.2">
      <c r="P56" s="33">
        <v>1</v>
      </c>
      <c r="Q56" s="27" t="str">
        <f>_xll.qlPeriodEquivalent(Q55&amp;"+"&amp;P56&amp;"M")</f>
        <v>4Y5M</v>
      </c>
      <c r="R56" s="28">
        <f>_xll.qlCalendarAdvance(Calendar,SettlementDate,Q56,"f",,Trigger)</f>
        <v>43892</v>
      </c>
      <c r="S56" s="28">
        <f>_xll.qlInterestRateIndexValueDate(Index,R56,Trigger)</f>
        <v>43894</v>
      </c>
      <c r="T56" s="28">
        <f>_xll.qlInterestRateIndexMaturity(Index,S56,Trigger)</f>
        <v>43927</v>
      </c>
      <c r="U56" s="30">
        <f>_xll.qlIndexFixing($M$5,R56,TRUE,InterestRatesTrigger)</f>
        <v>5.0659359728308121E-3</v>
      </c>
      <c r="V56" s="74">
        <f>_xll.qlIndexFixing(Index,R56,TRUE,InterestRatesTrigger)</f>
        <v>5.7471820593962327E-3</v>
      </c>
      <c r="W56" s="30">
        <f t="shared" si="7"/>
        <v>6.8124608656542057E-4</v>
      </c>
      <c r="X56" s="29">
        <f>_xll.qlDayCounterYearFraction(DayCounter,SettlementDate,S56,,,Trigger)</f>
        <v>4.4861111111111107</v>
      </c>
      <c r="Y56" s="29">
        <f>_xll.qlDayCounterYearFraction(DayCounter,S56,T56)</f>
        <v>9.166666666666666E-2</v>
      </c>
      <c r="Z56" s="29">
        <f>IF($M$13,_xll.qlYieldTSDiscount(Currency&amp;"ON",S56)/(1+V56*Y56),1)</f>
        <v>1</v>
      </c>
      <c r="AA56" s="30">
        <f>_xll.qlTenorBasisValue(TenorBasis1M,S56,InterestRatesTrigger)</f>
        <v>5.5267863039079319E-4</v>
      </c>
      <c r="AB56" s="74">
        <f t="shared" si="0"/>
        <v>5.6186146032216056E-3</v>
      </c>
      <c r="AC56" s="76">
        <f t="shared" si="1"/>
        <v>0.97762947913500864</v>
      </c>
    </row>
    <row r="57" spans="16:29" x14ac:dyDescent="0.2">
      <c r="P57" s="33">
        <v>1</v>
      </c>
      <c r="Q57" s="27" t="str">
        <f>_xll.qlPeriodEquivalent(Q56&amp;"+"&amp;P57&amp;"M")</f>
        <v>4Y6M</v>
      </c>
      <c r="R57" s="28">
        <f>_xll.qlCalendarAdvance(Calendar,SettlementDate,Q57,"f",,Trigger)</f>
        <v>43923</v>
      </c>
      <c r="S57" s="28">
        <f>_xll.qlInterestRateIndexValueDate(Index,R57,Trigger)</f>
        <v>43927</v>
      </c>
      <c r="T57" s="28">
        <f>_xll.qlInterestRateIndexMaturity(Index,S57,Trigger)</f>
        <v>43957</v>
      </c>
      <c r="U57" s="30">
        <f>_xll.qlIndexFixing($M$5,R57,TRUE,InterestRatesTrigger)</f>
        <v>5.3425772043462771E-3</v>
      </c>
      <c r="V57" s="74">
        <f>_xll.qlIndexFixing(Index,R57,TRUE,InterestRatesTrigger)</f>
        <v>6.0114994992295223E-3</v>
      </c>
      <c r="W57" s="30">
        <f t="shared" si="7"/>
        <v>6.6892229488324517E-4</v>
      </c>
      <c r="X57" s="29">
        <f>_xll.qlDayCounterYearFraction(DayCounter,SettlementDate,S57,,,Trigger)</f>
        <v>4.5777777777777775</v>
      </c>
      <c r="Y57" s="29">
        <f>_xll.qlDayCounterYearFraction(DayCounter,S57,T57)</f>
        <v>8.3333333333333329E-2</v>
      </c>
      <c r="Z57" s="29">
        <f>IF($M$13,_xll.qlYieldTSDiscount(Currency&amp;"ON",S57)/(1+V57*Y57),1)</f>
        <v>1</v>
      </c>
      <c r="AA57" s="30">
        <f>_xll.qlTenorBasisValue(TenorBasis1M,S57,InterestRatesTrigger)</f>
        <v>5.5223761773215158E-4</v>
      </c>
      <c r="AB57" s="74">
        <f t="shared" si="0"/>
        <v>5.8948148220784287E-3</v>
      </c>
      <c r="AC57" s="76">
        <f t="shared" si="1"/>
        <v>0.98058975515741975</v>
      </c>
    </row>
    <row r="58" spans="16:29" x14ac:dyDescent="0.2">
      <c r="P58" s="33">
        <v>1</v>
      </c>
      <c r="Q58" s="27" t="str">
        <f>_xll.qlPeriodEquivalent(Q57&amp;"+"&amp;P58&amp;"M")</f>
        <v>4Y7M</v>
      </c>
      <c r="R58" s="28">
        <f>_xll.qlCalendarAdvance(Calendar,SettlementDate,Q58,"f",,Trigger)</f>
        <v>43955</v>
      </c>
      <c r="S58" s="28">
        <f>_xll.qlInterestRateIndexValueDate(Index,R58,Trigger)</f>
        <v>43957</v>
      </c>
      <c r="T58" s="28">
        <f>_xll.qlInterestRateIndexMaturity(Index,S58,Trigger)</f>
        <v>43990</v>
      </c>
      <c r="U58" s="30">
        <f>_xll.qlIndexFixing($M$5,R58,TRUE,InterestRatesTrigger)</f>
        <v>5.6291221007942482E-3</v>
      </c>
      <c r="V58" s="74">
        <f>_xll.qlIndexFixing(Index,R58,TRUE,InterestRatesTrigger)</f>
        <v>6.2809940383773922E-3</v>
      </c>
      <c r="W58" s="30">
        <f t="shared" si="7"/>
        <v>6.5187193758314398E-4</v>
      </c>
      <c r="X58" s="29">
        <f>_xll.qlDayCounterYearFraction(DayCounter,SettlementDate,S58,,,Trigger)</f>
        <v>4.6611111111111114</v>
      </c>
      <c r="Y58" s="29">
        <f>_xll.qlDayCounterYearFraction(DayCounter,S58,T58)</f>
        <v>9.166666666666666E-2</v>
      </c>
      <c r="Z58" s="29">
        <f>IF($M$13,_xll.qlYieldTSDiscount(Currency&amp;"ON",S58)/(1+V58*Y58),1)</f>
        <v>1</v>
      </c>
      <c r="AA58" s="30">
        <f>_xll.qlTenorBasisValue(TenorBasis1M,S58,InterestRatesTrigger)</f>
        <v>5.5173000479397192E-4</v>
      </c>
      <c r="AB58" s="74">
        <f t="shared" si="0"/>
        <v>6.1808521055882202E-3</v>
      </c>
      <c r="AC58" s="76">
        <f t="shared" si="1"/>
        <v>0.98405635601987573</v>
      </c>
    </row>
    <row r="59" spans="16:29" x14ac:dyDescent="0.2">
      <c r="P59" s="33">
        <v>1</v>
      </c>
      <c r="Q59" s="27" t="str">
        <f>_xll.qlPeriodEquivalent(Q58&amp;"+"&amp;P59&amp;"M")</f>
        <v>4Y8M</v>
      </c>
      <c r="R59" s="28">
        <f>_xll.qlCalendarAdvance(Calendar,SettlementDate,Q59,"f",,Trigger)</f>
        <v>43984</v>
      </c>
      <c r="S59" s="28">
        <f>_xll.qlInterestRateIndexValueDate(Index,R59,Trigger)</f>
        <v>43986</v>
      </c>
      <c r="T59" s="28">
        <f>_xll.qlInterestRateIndexMaturity(Index,S59,Trigger)</f>
        <v>44018</v>
      </c>
      <c r="U59" s="30">
        <f>_xll.qlIndexFixing($M$5,R59,TRUE,InterestRatesTrigger)</f>
        <v>5.8963263391781373E-3</v>
      </c>
      <c r="V59" s="74">
        <f>_xll.qlIndexFixing(Index,R59,TRUE,InterestRatesTrigger)</f>
        <v>6.5287675851616322E-3</v>
      </c>
      <c r="W59" s="30">
        <f t="shared" si="7"/>
        <v>6.3244124598349494E-4</v>
      </c>
      <c r="X59" s="29">
        <f>_xll.qlDayCounterYearFraction(DayCounter,SettlementDate,S59,,,Trigger)</f>
        <v>4.7416666666666663</v>
      </c>
      <c r="Y59" s="29">
        <f>_xll.qlDayCounterYearFraction(DayCounter,S59,T59)</f>
        <v>8.8888888888888892E-2</v>
      </c>
      <c r="Z59" s="29">
        <f>IF($M$13,_xll.qlYieldTSDiscount(Currency&amp;"ON",S59)/(1+V59*Y59),1)</f>
        <v>1</v>
      </c>
      <c r="AA59" s="30">
        <f>_xll.qlTenorBasisValue(TenorBasis1M,S59,InterestRatesTrigger)</f>
        <v>5.5114563006252023E-4</v>
      </c>
      <c r="AB59" s="74">
        <f t="shared" si="0"/>
        <v>6.447471969240658E-3</v>
      </c>
      <c r="AC59" s="76">
        <f t="shared" si="1"/>
        <v>0.98754809160219759</v>
      </c>
    </row>
    <row r="60" spans="16:29" x14ac:dyDescent="0.2">
      <c r="P60" s="33">
        <v>1</v>
      </c>
      <c r="Q60" s="27" t="str">
        <f>_xll.qlPeriodEquivalent(Q59&amp;"+"&amp;P60&amp;"M")</f>
        <v>4Y9M</v>
      </c>
      <c r="R60" s="28">
        <f>_xll.qlCalendarAdvance(Calendar,SettlementDate,Q60,"f",,Trigger)</f>
        <v>44014</v>
      </c>
      <c r="S60" s="28">
        <f>_xll.qlInterestRateIndexValueDate(Index,R60,Trigger)</f>
        <v>44018</v>
      </c>
      <c r="T60" s="28">
        <f>_xll.qlInterestRateIndexMaturity(Index,S60,Trigger)</f>
        <v>44049</v>
      </c>
      <c r="U60" s="30">
        <f>_xll.qlIndexFixing($M$5,R60,TRUE,InterestRatesTrigger)</f>
        <v>6.2007189557716962E-3</v>
      </c>
      <c r="V60" s="74">
        <f>_xll.qlIndexFixing(Index,R60,TRUE,InterestRatesTrigger)</f>
        <v>6.8073071695591795E-3</v>
      </c>
      <c r="W60" s="30">
        <f t="shared" si="7"/>
        <v>6.0658821378748329E-4</v>
      </c>
      <c r="X60" s="29">
        <f>_xll.qlDayCounterYearFraction(DayCounter,SettlementDate,S60,,,Trigger)</f>
        <v>4.8305555555555557</v>
      </c>
      <c r="Y60" s="29">
        <f>_xll.qlDayCounterYearFraction(DayCounter,S60,T60)</f>
        <v>8.611111111111111E-2</v>
      </c>
      <c r="Z60" s="29">
        <f>IF($M$13,_xll.qlYieldTSDiscount(Currency&amp;"ON",S60)/(1+V60*Y60),1)</f>
        <v>1</v>
      </c>
      <c r="AA60" s="30">
        <f>_xll.qlTenorBasisValue(TenorBasis1M,S60,InterestRatesTrigger)</f>
        <v>5.5039713033514588E-4</v>
      </c>
      <c r="AB60" s="74">
        <f t="shared" si="0"/>
        <v>6.7511160861068419E-3</v>
      </c>
      <c r="AC60" s="76">
        <f t="shared" si="1"/>
        <v>0.99174547555256332</v>
      </c>
    </row>
    <row r="61" spans="16:29" x14ac:dyDescent="0.2">
      <c r="P61" s="33">
        <v>1</v>
      </c>
      <c r="Q61" s="27" t="str">
        <f>_xll.qlPeriodEquivalent(Q60&amp;"+"&amp;P61&amp;"M")</f>
        <v>4Y10M</v>
      </c>
      <c r="R61" s="28">
        <f>_xll.qlCalendarAdvance(Calendar,SettlementDate,Q61,"f",,Trigger)</f>
        <v>44046</v>
      </c>
      <c r="S61" s="28">
        <f>_xll.qlInterestRateIndexValueDate(Index,R61,Trigger)</f>
        <v>44048</v>
      </c>
      <c r="T61" s="28">
        <f>_xll.qlInterestRateIndexMaturity(Index,S61,Trigger)</f>
        <v>44081</v>
      </c>
      <c r="U61" s="30">
        <f>_xll.qlIndexFixing($M$5,R61,TRUE,InterestRatesTrigger)</f>
        <v>6.5098119298433559E-3</v>
      </c>
      <c r="V61" s="74">
        <f>_xll.qlIndexFixing(Index,R61,TRUE,InterestRatesTrigger)</f>
        <v>7.0865265490213407E-3</v>
      </c>
      <c r="W61" s="30">
        <f t="shared" si="7"/>
        <v>5.767146191779848E-4</v>
      </c>
      <c r="X61" s="29">
        <f>_xll.qlDayCounterYearFraction(DayCounter,SettlementDate,S61,,,Trigger)</f>
        <v>4.9138888888888888</v>
      </c>
      <c r="Y61" s="29">
        <f>_xll.qlDayCounterYearFraction(DayCounter,S61,T61)</f>
        <v>9.166666666666666E-2</v>
      </c>
      <c r="Z61" s="29">
        <f>IF($M$13,_xll.qlYieldTSDiscount(Currency&amp;"ON",S61)/(1+V61*Y61),1)</f>
        <v>1</v>
      </c>
      <c r="AA61" s="30">
        <f>_xll.qlTenorBasisValue(TenorBasis1M,S61,InterestRatesTrigger)</f>
        <v>5.4959961290753051E-4</v>
      </c>
      <c r="AB61" s="74">
        <f t="shared" si="0"/>
        <v>7.0594115427508866E-3</v>
      </c>
      <c r="AC61" s="76">
        <f t="shared" si="1"/>
        <v>0.99617372402644866</v>
      </c>
    </row>
    <row r="62" spans="16:29" x14ac:dyDescent="0.2">
      <c r="P62" s="33">
        <v>1</v>
      </c>
      <c r="Q62" s="27" t="str">
        <f>_xll.qlPeriodEquivalent(Q61&amp;"+"&amp;P62&amp;"M")</f>
        <v>4Y11M</v>
      </c>
      <c r="R62" s="28">
        <f>_xll.qlCalendarAdvance(Calendar,SettlementDate,Q62,"f",,Trigger)</f>
        <v>44076</v>
      </c>
      <c r="S62" s="28">
        <f>_xll.qlInterestRateIndexValueDate(Index,R62,Trigger)</f>
        <v>44078</v>
      </c>
      <c r="T62" s="28">
        <f>_xll.qlInterestRateIndexMaturity(Index,S62,Trigger)</f>
        <v>44109</v>
      </c>
      <c r="U62" s="30">
        <f>_xll.qlIndexFixing($M$5,R62,TRUE,InterestRatesTrigger)</f>
        <v>6.8069788111477505E-3</v>
      </c>
      <c r="V62" s="74">
        <f>_xll.qlIndexFixing(Index,R62,TRUE,InterestRatesTrigger)</f>
        <v>7.3518295415541867E-3</v>
      </c>
      <c r="W62" s="30">
        <f t="shared" si="7"/>
        <v>5.4485073040643622E-4</v>
      </c>
      <c r="X62" s="29">
        <f>_xll.qlDayCounterYearFraction(DayCounter,SettlementDate,S62,,,Trigger)</f>
        <v>4.9972222222222218</v>
      </c>
      <c r="Y62" s="29">
        <f>_xll.qlDayCounterYearFraction(DayCounter,S62,T62)</f>
        <v>8.611111111111111E-2</v>
      </c>
      <c r="Z62" s="29">
        <f>IF($M$13,_xll.qlYieldTSDiscount(Currency&amp;"ON",S62)/(1+V62*Y62),1)</f>
        <v>1</v>
      </c>
      <c r="AA62" s="30">
        <f>_xll.qlTenorBasisValue(TenorBasis1M,S62,InterestRatesTrigger)</f>
        <v>5.4871224538386473E-4</v>
      </c>
      <c r="AB62" s="74">
        <f t="shared" si="0"/>
        <v>7.3556910565316155E-3</v>
      </c>
      <c r="AC62" s="76">
        <f t="shared" si="1"/>
        <v>1.0005252454447702</v>
      </c>
    </row>
    <row r="63" spans="16:29" x14ac:dyDescent="0.2">
      <c r="P63" s="33">
        <v>1</v>
      </c>
      <c r="Q63" s="27" t="str">
        <f>_xll.qlPeriodEquivalent(Q62&amp;"+"&amp;P63&amp;"M")</f>
        <v>5Y</v>
      </c>
      <c r="R63" s="28">
        <f>_xll.qlCalendarAdvance(Calendar,SettlementDate,Q63,"f",,Trigger)</f>
        <v>44106</v>
      </c>
      <c r="S63" s="28">
        <f>_xll.qlInterestRateIndexValueDate(Index,R63,Trigger)</f>
        <v>44110</v>
      </c>
      <c r="T63" s="28">
        <f>_xll.qlInterestRateIndexMaturity(Index,S63,Trigger)</f>
        <v>44141</v>
      </c>
      <c r="U63" s="30">
        <f>_xll.qlIndexFixing($M$5,R63,TRUE,InterestRatesTrigger)</f>
        <v>7.1406243845183849E-3</v>
      </c>
      <c r="V63" s="74">
        <f>_xll.qlIndexFixing(Index,R63,TRUE,InterestRatesTrigger)</f>
        <v>7.6482226419681155E-3</v>
      </c>
      <c r="W63" s="30">
        <f t="shared" si="7"/>
        <v>5.0759825744973053E-4</v>
      </c>
      <c r="X63" s="29">
        <f>_xll.qlDayCounterYearFraction(DayCounter,SettlementDate,S63,,,Trigger)</f>
        <v>5.0861111111111112</v>
      </c>
      <c r="Y63" s="29">
        <f>_xll.qlDayCounterYearFraction(DayCounter,S63,T63)</f>
        <v>8.611111111111111E-2</v>
      </c>
      <c r="Z63" s="29">
        <f>IF($M$13,_xll.qlYieldTSDiscount(Currency&amp;"ON",S63)/(1+V63*Y63),1)</f>
        <v>1</v>
      </c>
      <c r="AA63" s="30">
        <f>_xll.qlTenorBasisValue(TenorBasis1M,S63,InterestRatesTrigger)</f>
        <v>5.4766976495881458E-4</v>
      </c>
      <c r="AB63" s="74">
        <f t="shared" si="0"/>
        <v>7.6882941494771997E-3</v>
      </c>
      <c r="AC63" s="76">
        <f t="shared" si="1"/>
        <v>1.0052393228315817</v>
      </c>
    </row>
    <row r="64" spans="16:29" x14ac:dyDescent="0.2">
      <c r="P64" s="33">
        <v>1</v>
      </c>
      <c r="Q64" s="27" t="str">
        <f>_xll.qlPeriodEquivalent(Q63&amp;"+"&amp;P64&amp;"M")</f>
        <v>5Y1M</v>
      </c>
      <c r="R64" s="28">
        <f>_xll.qlCalendarAdvance(Calendar,SettlementDate,Q64,"f",,Trigger)</f>
        <v>44137</v>
      </c>
      <c r="S64" s="28">
        <f>_xll.qlInterestRateIndexValueDate(Index,R64,Trigger)</f>
        <v>44139</v>
      </c>
      <c r="T64" s="28">
        <f>_xll.qlInterestRateIndexMaturity(Index,S64,Trigger)</f>
        <v>44169</v>
      </c>
      <c r="U64" s="30">
        <f>_xll.qlIndexFixing($M$5,R64,TRUE,InterestRatesTrigger)</f>
        <v>7.4334376708833361E-3</v>
      </c>
      <c r="V64" s="74">
        <f>_xll.qlIndexFixing(Index,R64,TRUE,InterestRatesTrigger)</f>
        <v>7.9113243738291317E-3</v>
      </c>
      <c r="W64" s="30">
        <f t="shared" si="7"/>
        <v>4.7788670294579561E-4</v>
      </c>
      <c r="X64" s="29">
        <f>_xll.qlDayCounterYearFraction(DayCounter,SettlementDate,S64,,,Trigger)</f>
        <v>5.166666666666667</v>
      </c>
      <c r="Y64" s="29">
        <f>_xll.qlDayCounterYearFraction(DayCounter,S64,T64)</f>
        <v>8.3333333333333329E-2</v>
      </c>
      <c r="Z64" s="29">
        <f>IF($M$13,_xll.qlYieldTSDiscount(Currency&amp;"ON",S64)/(1+V64*Y64),1)</f>
        <v>1</v>
      </c>
      <c r="AA64" s="30">
        <f>_xll.qlTenorBasisValue(TenorBasis1M,S64,InterestRatesTrigger)</f>
        <v>5.466421165376121E-4</v>
      </c>
      <c r="AB64" s="74">
        <f t="shared" si="0"/>
        <v>7.9800797874209489E-3</v>
      </c>
      <c r="AC64" s="76">
        <f t="shared" si="1"/>
        <v>1.0086907590111287</v>
      </c>
    </row>
    <row r="65" spans="16:29" x14ac:dyDescent="0.2">
      <c r="P65" s="33">
        <v>1</v>
      </c>
      <c r="Q65" s="27" t="str">
        <f>_xll.qlPeriodEquivalent(Q64&amp;"+"&amp;P65&amp;"M")</f>
        <v>5Y2M</v>
      </c>
      <c r="R65" s="28">
        <f>_xll.qlCalendarAdvance(Calendar,SettlementDate,Q65,"f",,Trigger)</f>
        <v>44167</v>
      </c>
      <c r="S65" s="28">
        <f>_xll.qlInterestRateIndexValueDate(Index,R65,Trigger)</f>
        <v>44169</v>
      </c>
      <c r="T65" s="28">
        <f>_xll.qlInterestRateIndexMaturity(Index,S65,Trigger)</f>
        <v>44200</v>
      </c>
      <c r="U65" s="30">
        <f>_xll.qlIndexFixing($M$5,R65,TRUE,InterestRatesTrigger)</f>
        <v>7.740634410886571E-3</v>
      </c>
      <c r="V65" s="74">
        <f>_xll.qlIndexFixing(Index,R65,TRUE,InterestRatesTrigger)</f>
        <v>8.1911701279582892E-3</v>
      </c>
      <c r="W65" s="30">
        <f t="shared" si="7"/>
        <v>4.5053571707171815E-4</v>
      </c>
      <c r="X65" s="29">
        <f>_xll.qlDayCounterYearFraction(DayCounter,SettlementDate,S65,,,Trigger)</f>
        <v>5.25</v>
      </c>
      <c r="Y65" s="29">
        <f>_xll.qlDayCounterYearFraction(DayCounter,S65,T65)</f>
        <v>8.611111111111111E-2</v>
      </c>
      <c r="Z65" s="29">
        <f>IF($M$13,_xll.qlYieldTSDiscount(Currency&amp;"ON",S65)/(1+V65*Y65),1)</f>
        <v>1</v>
      </c>
      <c r="AA65" s="30">
        <f>_xll.qlTenorBasisValue(TenorBasis1M,S65,InterestRatesTrigger)</f>
        <v>5.454986834233954E-4</v>
      </c>
      <c r="AB65" s="74">
        <f t="shared" si="0"/>
        <v>8.2861330943099672E-3</v>
      </c>
      <c r="AC65" s="76">
        <f t="shared" si="1"/>
        <v>1.0115933334149108</v>
      </c>
    </row>
    <row r="66" spans="16:29" x14ac:dyDescent="0.2">
      <c r="P66" s="33">
        <v>1</v>
      </c>
      <c r="Q66" s="27" t="str">
        <f>_xll.qlPeriodEquivalent(Q65&amp;"+"&amp;P66&amp;"M")</f>
        <v>5Y3M</v>
      </c>
      <c r="R66" s="28">
        <f>_xll.qlCalendarAdvance(Calendar,SettlementDate,Q66,"f",,Trigger)</f>
        <v>44200</v>
      </c>
      <c r="S66" s="28">
        <f>_xll.qlInterestRateIndexValueDate(Index,R66,Trigger)</f>
        <v>44202</v>
      </c>
      <c r="T66" s="28">
        <f>_xll.qlInterestRateIndexMaturity(Index,S66,Trigger)</f>
        <v>44235</v>
      </c>
      <c r="U66" s="30">
        <f>_xll.qlIndexFixing($M$5,R66,TRUE,InterestRatesTrigger)</f>
        <v>8.07549905240053E-3</v>
      </c>
      <c r="V66" s="74">
        <f>_xll.qlIndexFixing(Index,R66,TRUE,InterestRatesTrigger)</f>
        <v>8.5004951141448067E-3</v>
      </c>
      <c r="W66" s="30">
        <f t="shared" si="7"/>
        <v>4.2499606174427676E-4</v>
      </c>
      <c r="X66" s="29">
        <f>_xll.qlDayCounterYearFraction(DayCounter,SettlementDate,S66,,,Trigger)</f>
        <v>5.3416666666666668</v>
      </c>
      <c r="Y66" s="29">
        <f>_xll.qlDayCounterYearFraction(DayCounter,S66,T66)</f>
        <v>9.166666666666666E-2</v>
      </c>
      <c r="Z66" s="29">
        <f>IF($M$13,_xll.qlYieldTSDiscount(Currency&amp;"ON",S66)/(1+V66*Y66),1)</f>
        <v>1</v>
      </c>
      <c r="AA66" s="30">
        <f>_xll.qlTenorBasisValue(TenorBasis1M,S66,InterestRatesTrigger)</f>
        <v>5.4414954745150043E-4</v>
      </c>
      <c r="AB66" s="74">
        <f t="shared" si="0"/>
        <v>8.6196485998520297E-3</v>
      </c>
      <c r="AC66" s="76">
        <f t="shared" si="1"/>
        <v>1.0140172406556591</v>
      </c>
    </row>
    <row r="67" spans="16:29" x14ac:dyDescent="0.2">
      <c r="P67" s="33">
        <v>1</v>
      </c>
      <c r="Q67" s="27" t="str">
        <f>_xll.qlPeriodEquivalent(Q66&amp;"+"&amp;P67&amp;"M")</f>
        <v>5Y4M</v>
      </c>
      <c r="R67" s="28">
        <f>_xll.qlCalendarAdvance(Calendar,SettlementDate,Q67,"f",,Trigger)</f>
        <v>44229</v>
      </c>
      <c r="S67" s="28">
        <f>_xll.qlInterestRateIndexValueDate(Index,R67,Trigger)</f>
        <v>44231</v>
      </c>
      <c r="T67" s="28">
        <f>_xll.qlInterestRateIndexMaturity(Index,S67,Trigger)</f>
        <v>44259</v>
      </c>
      <c r="U67" s="30">
        <f>_xll.qlIndexFixing($M$5,R67,TRUE,InterestRatesTrigger)</f>
        <v>8.3304010206467338E-3</v>
      </c>
      <c r="V67" s="74">
        <f>_xll.qlIndexFixing(Index,R67,TRUE,InterestRatesTrigger)</f>
        <v>8.7386625135534215E-3</v>
      </c>
      <c r="W67" s="30">
        <f t="shared" si="7"/>
        <v>4.0826149290668773E-4</v>
      </c>
      <c r="X67" s="29">
        <f>_xll.qlDayCounterYearFraction(DayCounter,SettlementDate,S67,,,Trigger)</f>
        <v>5.4222222222222225</v>
      </c>
      <c r="Y67" s="29">
        <f>_xll.qlDayCounterYearFraction(DayCounter,S67,T67)</f>
        <v>7.7777777777777779E-2</v>
      </c>
      <c r="Z67" s="29">
        <f>IF($M$13,_xll.qlYieldTSDiscount(Currency&amp;"ON",S67)/(1+V67*Y67),1)</f>
        <v>1</v>
      </c>
      <c r="AA67" s="30">
        <f>_xll.qlTenorBasisValue(TenorBasis1M,S67,InterestRatesTrigger)</f>
        <v>5.4288748208891451E-4</v>
      </c>
      <c r="AB67" s="74">
        <f t="shared" ref="AB67:AB130" si="9">AA67+U67</f>
        <v>8.8732885027356483E-3</v>
      </c>
      <c r="AC67" s="76">
        <f t="shared" ref="AC67:AC130" si="10">AB67/V67</f>
        <v>1.0154057888118948</v>
      </c>
    </row>
    <row r="68" spans="16:29" x14ac:dyDescent="0.2">
      <c r="P68" s="33">
        <v>1</v>
      </c>
      <c r="Q68" s="27" t="str">
        <f>_xll.qlPeriodEquivalent(Q67&amp;"+"&amp;P68&amp;"M")</f>
        <v>5Y5M</v>
      </c>
      <c r="R68" s="28">
        <f>_xll.qlCalendarAdvance(Calendar,SettlementDate,Q68,"f",,Trigger)</f>
        <v>44257</v>
      </c>
      <c r="S68" s="28">
        <f>_xll.qlInterestRateIndexValueDate(Index,R68,Trigger)</f>
        <v>44259</v>
      </c>
      <c r="T68" s="28">
        <f>_xll.qlInterestRateIndexMaturity(Index,S68,Trigger)</f>
        <v>44292</v>
      </c>
      <c r="U68" s="30">
        <f>_xll.qlIndexFixing($M$5,R68,TRUE,InterestRatesTrigger)</f>
        <v>8.6185488537166514E-3</v>
      </c>
      <c r="V68" s="74">
        <f>_xll.qlIndexFixing(Index,R68,TRUE,InterestRatesTrigger)</f>
        <v>9.0110056824244111E-3</v>
      </c>
      <c r="W68" s="30">
        <f t="shared" ref="W68:W131" si="11">V68-U68</f>
        <v>3.9245682870775976E-4</v>
      </c>
      <c r="X68" s="29">
        <f>_xll.qlDayCounterYearFraction(DayCounter,SettlementDate,S68,,,Trigger)</f>
        <v>5.5</v>
      </c>
      <c r="Y68" s="29">
        <f>_xll.qlDayCounterYearFraction(DayCounter,S68,T68)</f>
        <v>9.166666666666666E-2</v>
      </c>
      <c r="Z68" s="29">
        <f>IF($M$13,_xll.qlYieldTSDiscount(Currency&amp;"ON",S68)/(1+V68*Y68),1)</f>
        <v>1</v>
      </c>
      <c r="AA68" s="30">
        <f>_xll.qlTenorBasisValue(TenorBasis1M,S68,InterestRatesTrigger)</f>
        <v>5.4160323088059826E-4</v>
      </c>
      <c r="AB68" s="74">
        <f t="shared" si="9"/>
        <v>9.1601520845972489E-3</v>
      </c>
      <c r="AC68" s="76">
        <f t="shared" si="10"/>
        <v>1.0165515823016005</v>
      </c>
    </row>
    <row r="69" spans="16:29" x14ac:dyDescent="0.2">
      <c r="P69" s="33">
        <v>1</v>
      </c>
      <c r="Q69" s="27" t="str">
        <f>_xll.qlPeriodEquivalent(Q68&amp;"+"&amp;P69&amp;"M")</f>
        <v>5Y6M</v>
      </c>
      <c r="R69" s="28">
        <f>_xll.qlCalendarAdvance(Calendar,SettlementDate,Q69,"f",,Trigger)</f>
        <v>44292</v>
      </c>
      <c r="S69" s="28">
        <f>_xll.qlInterestRateIndexValueDate(Index,R69,Trigger)</f>
        <v>44294</v>
      </c>
      <c r="T69" s="28">
        <f>_xll.qlInterestRateIndexMaturity(Index,S69,Trigger)</f>
        <v>44326</v>
      </c>
      <c r="U69" s="30">
        <f>_xll.qlIndexFixing($M$5,R69,TRUE,InterestRatesTrigger)</f>
        <v>8.936113379822419E-3</v>
      </c>
      <c r="V69" s="74">
        <f>_xll.qlIndexFixing(Index,R69,TRUE,InterestRatesTrigger)</f>
        <v>9.3143281148505563E-3</v>
      </c>
      <c r="W69" s="30">
        <f t="shared" si="11"/>
        <v>3.7821473502813729E-4</v>
      </c>
      <c r="X69" s="29">
        <f>_xll.qlDayCounterYearFraction(DayCounter,SettlementDate,S69,,,Trigger)</f>
        <v>5.5972222222222223</v>
      </c>
      <c r="Y69" s="29">
        <f>_xll.qlDayCounterYearFraction(DayCounter,S69,T69)</f>
        <v>8.8888888888888892E-2</v>
      </c>
      <c r="Z69" s="29">
        <f>IF($M$13,_xll.qlYieldTSDiscount(Currency&amp;"ON",S69)/(1+V69*Y69),1)</f>
        <v>1</v>
      </c>
      <c r="AA69" s="30">
        <f>_xll.qlTenorBasisValue(TenorBasis1M,S69,InterestRatesTrigger)</f>
        <v>5.3991012738716895E-4</v>
      </c>
      <c r="AB69" s="74">
        <f t="shared" si="9"/>
        <v>9.4760235072095887E-3</v>
      </c>
      <c r="AC69" s="76">
        <f t="shared" si="10"/>
        <v>1.0173598557368007</v>
      </c>
    </row>
    <row r="70" spans="16:29" x14ac:dyDescent="0.2">
      <c r="P70" s="33">
        <v>1</v>
      </c>
      <c r="Q70" s="27" t="str">
        <f>_xll.qlPeriodEquivalent(Q69&amp;"+"&amp;P70&amp;"M")</f>
        <v>5Y7M</v>
      </c>
      <c r="R70" s="28">
        <f>_xll.qlCalendarAdvance(Calendar,SettlementDate,Q70,"f",,Trigger)</f>
        <v>44319</v>
      </c>
      <c r="S70" s="28">
        <f>_xll.qlInterestRateIndexValueDate(Index,R70,Trigger)</f>
        <v>44321</v>
      </c>
      <c r="T70" s="28">
        <f>_xll.qlInterestRateIndexMaturity(Index,S70,Trigger)</f>
        <v>44354</v>
      </c>
      <c r="U70" s="30">
        <f>_xll.qlIndexFixing($M$5,R70,TRUE,InterestRatesTrigger)</f>
        <v>9.1834508313824101E-3</v>
      </c>
      <c r="V70" s="74">
        <f>_xll.qlIndexFixing(Index,R70,TRUE,InterestRatesTrigger)</f>
        <v>9.5528744751502172E-3</v>
      </c>
      <c r="W70" s="30">
        <f t="shared" si="11"/>
        <v>3.6942364376780709E-4</v>
      </c>
      <c r="X70" s="29">
        <f>_xll.qlDayCounterYearFraction(DayCounter,SettlementDate,S70,,,Trigger)</f>
        <v>5.6722222222222225</v>
      </c>
      <c r="Y70" s="29">
        <f>_xll.qlDayCounterYearFraction(DayCounter,S70,T70)</f>
        <v>9.166666666666666E-2</v>
      </c>
      <c r="Z70" s="29">
        <f>IF($M$13,_xll.qlYieldTSDiscount(Currency&amp;"ON",S70)/(1+V70*Y70),1)</f>
        <v>1</v>
      </c>
      <c r="AA70" s="30">
        <f>_xll.qlTenorBasisValue(TenorBasis1M,S70,InterestRatesTrigger)</f>
        <v>5.3853954050037654E-4</v>
      </c>
      <c r="AB70" s="74">
        <f t="shared" si="9"/>
        <v>9.7219903718827865E-3</v>
      </c>
      <c r="AC70" s="76">
        <f t="shared" si="10"/>
        <v>1.0177031423549519</v>
      </c>
    </row>
    <row r="71" spans="16:29" x14ac:dyDescent="0.2">
      <c r="P71" s="33">
        <v>1</v>
      </c>
      <c r="Q71" s="27" t="str">
        <f>_xll.qlPeriodEquivalent(Q70&amp;"+"&amp;P71&amp;"M")</f>
        <v>5Y8M</v>
      </c>
      <c r="R71" s="28">
        <f>_xll.qlCalendarAdvance(Calendar,SettlementDate,Q71,"f",,Trigger)</f>
        <v>44349</v>
      </c>
      <c r="S71" s="28">
        <f>_xll.qlInterestRateIndexValueDate(Index,R71,Trigger)</f>
        <v>44351</v>
      </c>
      <c r="T71" s="28">
        <f>_xll.qlInterestRateIndexMaturity(Index,S71,Trigger)</f>
        <v>44382</v>
      </c>
      <c r="U71" s="30">
        <f>_xll.qlIndexFixing($M$5,R71,TRUE,InterestRatesTrigger)</f>
        <v>9.4382454999641218E-3</v>
      </c>
      <c r="V71" s="74">
        <f>_xll.qlIndexFixing(Index,R71,TRUE,InterestRatesTrigger)</f>
        <v>9.8004677095327765E-3</v>
      </c>
      <c r="W71" s="30">
        <f t="shared" si="11"/>
        <v>3.6222220956865468E-4</v>
      </c>
      <c r="X71" s="29">
        <f>_xll.qlDayCounterYearFraction(DayCounter,SettlementDate,S71,,,Trigger)</f>
        <v>5.7555555555555555</v>
      </c>
      <c r="Y71" s="29">
        <f>_xll.qlDayCounterYearFraction(DayCounter,S71,T71)</f>
        <v>8.611111111111111E-2</v>
      </c>
      <c r="Z71" s="29">
        <f>IF($M$13,_xll.qlYieldTSDiscount(Currency&amp;"ON",S71)/(1+V71*Y71),1)</f>
        <v>1</v>
      </c>
      <c r="AA71" s="30">
        <f>_xll.qlTenorBasisValue(TenorBasis1M,S71,InterestRatesTrigger)</f>
        <v>5.3695301626493813E-4</v>
      </c>
      <c r="AB71" s="74">
        <f t="shared" si="9"/>
        <v>9.9751985162290606E-3</v>
      </c>
      <c r="AC71" s="76">
        <f t="shared" si="10"/>
        <v>1.0178288232638455</v>
      </c>
    </row>
    <row r="72" spans="16:29" x14ac:dyDescent="0.2">
      <c r="P72" s="33">
        <v>1</v>
      </c>
      <c r="Q72" s="27" t="str">
        <f>_xll.qlPeriodEquivalent(Q71&amp;"+"&amp;P72&amp;"M")</f>
        <v>5Y9M</v>
      </c>
      <c r="R72" s="28">
        <f>_xll.qlCalendarAdvance(Calendar,SettlementDate,Q72,"f",,Trigger)</f>
        <v>44379</v>
      </c>
      <c r="S72" s="28">
        <f>_xll.qlInterestRateIndexValueDate(Index,R72,Trigger)</f>
        <v>44383</v>
      </c>
      <c r="T72" s="28">
        <f>_xll.qlInterestRateIndexMaturity(Index,S72,Trigger)</f>
        <v>44414</v>
      </c>
      <c r="U72" s="30">
        <f>_xll.qlIndexFixing($M$5,R72,TRUE,InterestRatesTrigger)</f>
        <v>9.7127922815982495E-3</v>
      </c>
      <c r="V72" s="74">
        <f>_xll.qlIndexFixing(Index,R72,TRUE,InterestRatesTrigger)</f>
        <v>1.0069267026420192E-2</v>
      </c>
      <c r="W72" s="30">
        <f t="shared" si="11"/>
        <v>3.5647474482194269E-4</v>
      </c>
      <c r="X72" s="29">
        <f>_xll.qlDayCounterYearFraction(DayCounter,SettlementDate,S72,,,Trigger)</f>
        <v>5.8444444444444441</v>
      </c>
      <c r="Y72" s="29">
        <f>_xll.qlDayCounterYearFraction(DayCounter,S72,T72)</f>
        <v>8.611111111111111E-2</v>
      </c>
      <c r="Z72" s="29">
        <f>IF($M$13,_xll.qlYieldTSDiscount(Currency&amp;"ON",S72)/(1+V72*Y72),1)</f>
        <v>1</v>
      </c>
      <c r="AA72" s="30">
        <f>_xll.qlTenorBasisValue(TenorBasis1M,S72,InterestRatesTrigger)</f>
        <v>5.3518930377102606E-4</v>
      </c>
      <c r="AB72" s="74">
        <f t="shared" si="9"/>
        <v>1.0247981585369275E-2</v>
      </c>
      <c r="AC72" s="76">
        <f t="shared" si="10"/>
        <v>1.0177485171939689</v>
      </c>
    </row>
    <row r="73" spans="16:29" x14ac:dyDescent="0.2">
      <c r="P73" s="33">
        <v>1</v>
      </c>
      <c r="Q73" s="27" t="str">
        <f>_xll.qlPeriodEquivalent(Q72&amp;"+"&amp;P73&amp;"M")</f>
        <v>5Y10M</v>
      </c>
      <c r="R73" s="28">
        <f>_xll.qlCalendarAdvance(Calendar,SettlementDate,Q73,"f",,Trigger)</f>
        <v>44410</v>
      </c>
      <c r="S73" s="28">
        <f>_xll.qlInterestRateIndexValueDate(Index,R73,Trigger)</f>
        <v>44412</v>
      </c>
      <c r="T73" s="28">
        <f>_xll.qlInterestRateIndexMaturity(Index,S73,Trigger)</f>
        <v>44445</v>
      </c>
      <c r="U73" s="30">
        <f>_xll.qlIndexFixing($M$5,R73,TRUE,InterestRatesTrigger)</f>
        <v>9.9639162038575348E-3</v>
      </c>
      <c r="V73" s="74">
        <f>_xll.qlIndexFixing(Index,R73,TRUE,InterestRatesTrigger)</f>
        <v>1.0316736379592165E-2</v>
      </c>
      <c r="W73" s="30">
        <f t="shared" si="11"/>
        <v>3.5282017573463019E-4</v>
      </c>
      <c r="X73" s="29">
        <f>_xll.qlDayCounterYearFraction(DayCounter,SettlementDate,S73,,,Trigger)</f>
        <v>5.9249999999999998</v>
      </c>
      <c r="Y73" s="29">
        <f>_xll.qlDayCounterYearFraction(DayCounter,S73,T73)</f>
        <v>9.166666666666666E-2</v>
      </c>
      <c r="Z73" s="29">
        <f>IF($M$13,_xll.qlYieldTSDiscount(Currency&amp;"ON",S73)/(1+V73*Y73),1)</f>
        <v>1</v>
      </c>
      <c r="AA73" s="30">
        <f>_xll.qlTenorBasisValue(TenorBasis1M,S73,InterestRatesTrigger)</f>
        <v>5.3352942427991267E-4</v>
      </c>
      <c r="AB73" s="74">
        <f t="shared" si="9"/>
        <v>1.0497445628137448E-2</v>
      </c>
      <c r="AC73" s="76">
        <f t="shared" si="10"/>
        <v>1.0175161254389276</v>
      </c>
    </row>
    <row r="74" spans="16:29" x14ac:dyDescent="0.2">
      <c r="P74" s="33">
        <v>1</v>
      </c>
      <c r="Q74" s="27" t="str">
        <f>_xll.qlPeriodEquivalent(Q73&amp;"+"&amp;P74&amp;"M")</f>
        <v>5Y11M</v>
      </c>
      <c r="R74" s="28">
        <f>_xll.qlCalendarAdvance(Calendar,SettlementDate,Q74,"f",,Trigger)</f>
        <v>44441</v>
      </c>
      <c r="S74" s="28">
        <f>_xll.qlInterestRateIndexValueDate(Index,R74,Trigger)</f>
        <v>44445</v>
      </c>
      <c r="T74" s="28">
        <f>_xll.qlInterestRateIndexMaturity(Index,S74,Trigger)</f>
        <v>44475</v>
      </c>
      <c r="U74" s="30">
        <f>_xll.qlIndexFixing($M$5,R74,TRUE,InterestRatesTrigger)</f>
        <v>1.0220207993694608E-2</v>
      </c>
      <c r="V74" s="74">
        <f>_xll.qlIndexFixing(Index,R74,TRUE,InterestRatesTrigger)</f>
        <v>1.0570519102679476E-2</v>
      </c>
      <c r="W74" s="30">
        <f t="shared" si="11"/>
        <v>3.5031110898486872E-4</v>
      </c>
      <c r="X74" s="29">
        <f>_xll.qlDayCounterYearFraction(DayCounter,SettlementDate,S74,,,Trigger)</f>
        <v>6.0166666666666666</v>
      </c>
      <c r="Y74" s="29">
        <f>_xll.qlDayCounterYearFraction(DayCounter,S74,T74)</f>
        <v>8.3333333333333329E-2</v>
      </c>
      <c r="Z74" s="29">
        <f>IF($M$13,_xll.qlYieldTSDiscount(Currency&amp;"ON",S74)/(1+V74*Y74),1)</f>
        <v>1</v>
      </c>
      <c r="AA74" s="30">
        <f>_xll.qlTenorBasisValue(TenorBasis1M,S74,InterestRatesTrigger)</f>
        <v>5.3157197527635544E-4</v>
      </c>
      <c r="AB74" s="74">
        <f t="shared" si="9"/>
        <v>1.0751779968970964E-2</v>
      </c>
      <c r="AC74" s="76">
        <f t="shared" si="10"/>
        <v>1.0171477733998455</v>
      </c>
    </row>
    <row r="75" spans="16:29" x14ac:dyDescent="0.2">
      <c r="P75" s="33">
        <v>1</v>
      </c>
      <c r="Q75" s="27" t="str">
        <f>_xll.qlPeriodEquivalent(Q74&amp;"+"&amp;P75&amp;"M")</f>
        <v>6Y</v>
      </c>
      <c r="R75" s="28">
        <f>_xll.qlCalendarAdvance(Calendar,SettlementDate,Q75,"f",,Trigger)</f>
        <v>44473</v>
      </c>
      <c r="S75" s="28">
        <f>_xll.qlInterestRateIndexValueDate(Index,R75,Trigger)</f>
        <v>44475</v>
      </c>
      <c r="T75" s="28">
        <f>_xll.qlInterestRateIndexMaturity(Index,S75,Trigger)</f>
        <v>44508</v>
      </c>
      <c r="U75" s="30">
        <f>_xll.qlIndexFixing($M$5,R75,TRUE,InterestRatesTrigger)</f>
        <v>1.04709139275062E-2</v>
      </c>
      <c r="V75" s="74">
        <f>_xll.qlIndexFixing(Index,R75,TRUE,InterestRatesTrigger)</f>
        <v>1.0819990878812228E-2</v>
      </c>
      <c r="W75" s="30">
        <f t="shared" si="11"/>
        <v>3.4907695130602726E-4</v>
      </c>
      <c r="X75" s="29">
        <f>_xll.qlDayCounterYearFraction(DayCounter,SettlementDate,S75,,,Trigger)</f>
        <v>6.1</v>
      </c>
      <c r="Y75" s="29">
        <f>_xll.qlDayCounterYearFraction(DayCounter,S75,T75)</f>
        <v>9.166666666666666E-2</v>
      </c>
      <c r="Z75" s="29">
        <f>IF($M$13,_xll.qlYieldTSDiscount(Currency&amp;"ON",S75)/(1+V75*Y75),1)</f>
        <v>1</v>
      </c>
      <c r="AA75" s="30">
        <f>_xll.qlTenorBasisValue(TenorBasis1M,S75,InterestRatesTrigger)</f>
        <v>5.2973131877781792E-4</v>
      </c>
      <c r="AB75" s="74">
        <f t="shared" si="9"/>
        <v>1.1000645246284019E-2</v>
      </c>
      <c r="AC75" s="76">
        <f t="shared" si="10"/>
        <v>1.0166963511795144</v>
      </c>
    </row>
    <row r="76" spans="16:29" x14ac:dyDescent="0.2">
      <c r="P76" s="33">
        <v>1</v>
      </c>
      <c r="Q76" s="27" t="str">
        <f>_xll.qlPeriodEquivalent(Q75&amp;"+"&amp;P76&amp;"M")</f>
        <v>6Y1M</v>
      </c>
      <c r="R76" s="28">
        <f>_xll.qlCalendarAdvance(Calendar,SettlementDate,Q76,"f",,Trigger)</f>
        <v>44502</v>
      </c>
      <c r="S76" s="28">
        <f>_xll.qlInterestRateIndexValueDate(Index,R76,Trigger)</f>
        <v>44504</v>
      </c>
      <c r="T76" s="28">
        <f>_xll.qlInterestRateIndexMaturity(Index,S76,Trigger)</f>
        <v>44536</v>
      </c>
      <c r="U76" s="30">
        <f>_xll.qlIndexFixing($M$5,R76,TRUE,InterestRatesTrigger)</f>
        <v>1.0693292062811943E-2</v>
      </c>
      <c r="V76" s="74">
        <f>_xll.qlIndexFixing(Index,R76,TRUE,InterestRatesTrigger)</f>
        <v>1.1042354094798479E-2</v>
      </c>
      <c r="W76" s="30">
        <f t="shared" si="11"/>
        <v>3.4906203198653563E-4</v>
      </c>
      <c r="X76" s="29">
        <f>_xll.qlDayCounterYearFraction(DayCounter,SettlementDate,S76,,,Trigger)</f>
        <v>6.1805555555555554</v>
      </c>
      <c r="Y76" s="29">
        <f>_xll.qlDayCounterYearFraction(DayCounter,S76,T76)</f>
        <v>8.8888888888888892E-2</v>
      </c>
      <c r="Z76" s="29">
        <f>IF($M$13,_xll.qlYieldTSDiscount(Currency&amp;"ON",S76)/(1+V76*Y76),1)</f>
        <v>1</v>
      </c>
      <c r="AA76" s="30">
        <f>_xll.qlTenorBasisValue(TenorBasis1M,S76,InterestRatesTrigger)</f>
        <v>5.2789862590503392E-4</v>
      </c>
      <c r="AB76" s="74">
        <f t="shared" si="9"/>
        <v>1.1221190688716976E-2</v>
      </c>
      <c r="AC76" s="76">
        <f t="shared" si="10"/>
        <v>1.0161955134188949</v>
      </c>
    </row>
    <row r="77" spans="16:29" x14ac:dyDescent="0.2">
      <c r="P77" s="33">
        <v>1</v>
      </c>
      <c r="Q77" s="27" t="str">
        <f>_xll.qlPeriodEquivalent(Q76&amp;"+"&amp;P77&amp;"M")</f>
        <v>6Y2M</v>
      </c>
      <c r="R77" s="28">
        <f>_xll.qlCalendarAdvance(Calendar,SettlementDate,Q77,"f",,Trigger)</f>
        <v>44532</v>
      </c>
      <c r="S77" s="28">
        <f>_xll.qlInterestRateIndexValueDate(Index,R77,Trigger)</f>
        <v>44536</v>
      </c>
      <c r="T77" s="28">
        <f>_xll.qlInterestRateIndexMaturity(Index,S77,Trigger)</f>
        <v>44567</v>
      </c>
      <c r="U77" s="30">
        <f>_xll.qlIndexFixing($M$5,R77,TRUE,InterestRatesTrigger)</f>
        <v>1.0935057296911105E-2</v>
      </c>
      <c r="V77" s="74">
        <f>_xll.qlIndexFixing(Index,R77,TRUE,InterestRatesTrigger)</f>
        <v>1.1285270941511539E-2</v>
      </c>
      <c r="W77" s="30">
        <f t="shared" si="11"/>
        <v>3.5021364460043405E-4</v>
      </c>
      <c r="X77" s="29">
        <f>_xll.qlDayCounterYearFraction(DayCounter,SettlementDate,S77,,,Trigger)</f>
        <v>6.2694444444444448</v>
      </c>
      <c r="Y77" s="29">
        <f>_xll.qlDayCounterYearFraction(DayCounter,S77,T77)</f>
        <v>8.611111111111111E-2</v>
      </c>
      <c r="Z77" s="29">
        <f>IF($M$13,_xll.qlYieldTSDiscount(Currency&amp;"ON",S77)/(1+V77*Y77),1)</f>
        <v>1</v>
      </c>
      <c r="AA77" s="30">
        <f>_xll.qlTenorBasisValue(TenorBasis1M,S77,InterestRatesTrigger)</f>
        <v>5.2581760698806098E-4</v>
      </c>
      <c r="AB77" s="74">
        <f t="shared" si="9"/>
        <v>1.1460874903899167E-2</v>
      </c>
      <c r="AC77" s="76">
        <f t="shared" si="10"/>
        <v>1.0155604560402436</v>
      </c>
    </row>
    <row r="78" spans="16:29" x14ac:dyDescent="0.2">
      <c r="P78" s="33">
        <v>1</v>
      </c>
      <c r="Q78" s="27" t="str">
        <f>_xll.qlPeriodEquivalent(Q77&amp;"+"&amp;P78&amp;"M")</f>
        <v>6Y3M</v>
      </c>
      <c r="R78" s="28">
        <f>_xll.qlCalendarAdvance(Calendar,SettlementDate,Q78,"f",,Trigger)</f>
        <v>44564</v>
      </c>
      <c r="S78" s="28">
        <f>_xll.qlInterestRateIndexValueDate(Index,R78,Trigger)</f>
        <v>44566</v>
      </c>
      <c r="T78" s="28">
        <f>_xll.qlInterestRateIndexMaturity(Index,S78,Trigger)</f>
        <v>44599</v>
      </c>
      <c r="U78" s="30">
        <f>_xll.qlIndexFixing($M$5,R78,TRUE,InterestRatesTrigger)</f>
        <v>1.1169330764662696E-2</v>
      </c>
      <c r="V78" s="74">
        <f>_xll.qlIndexFixing(Index,R78,TRUE,InterestRatesTrigger)</f>
        <v>1.152172538657242E-2</v>
      </c>
      <c r="W78" s="30">
        <f t="shared" si="11"/>
        <v>3.5239462190972404E-4</v>
      </c>
      <c r="X78" s="29">
        <f>_xll.qlDayCounterYearFraction(DayCounter,SettlementDate,S78,,,Trigger)</f>
        <v>6.3527777777777779</v>
      </c>
      <c r="Y78" s="29">
        <f>_xll.qlDayCounterYearFraction(DayCounter,S78,T78)</f>
        <v>9.166666666666666E-2</v>
      </c>
      <c r="Z78" s="29">
        <f>IF($M$13,_xll.qlYieldTSDiscount(Currency&amp;"ON",S78)/(1+V78*Y78),1)</f>
        <v>1</v>
      </c>
      <c r="AA78" s="30">
        <f>_xll.qlTenorBasisValue(TenorBasis1M,S78,InterestRatesTrigger)</f>
        <v>5.238127076389184E-4</v>
      </c>
      <c r="AB78" s="74">
        <f t="shared" si="9"/>
        <v>1.1693143472301614E-2</v>
      </c>
      <c r="AC78" s="76">
        <f t="shared" si="10"/>
        <v>1.0148778138670937</v>
      </c>
    </row>
    <row r="79" spans="16:29" x14ac:dyDescent="0.2">
      <c r="P79" s="33">
        <v>1</v>
      </c>
      <c r="Q79" s="27" t="str">
        <f>_xll.qlPeriodEquivalent(Q78&amp;"+"&amp;P79&amp;"M")</f>
        <v>6Y4M</v>
      </c>
      <c r="R79" s="28">
        <f>_xll.qlCalendarAdvance(Calendar,SettlementDate,Q79,"f",,Trigger)</f>
        <v>44594</v>
      </c>
      <c r="S79" s="28">
        <f>_xll.qlInterestRateIndexValueDate(Index,R79,Trigger)</f>
        <v>44596</v>
      </c>
      <c r="T79" s="28">
        <f>_xll.qlInterestRateIndexMaturity(Index,S79,Trigger)</f>
        <v>44624</v>
      </c>
      <c r="U79" s="30">
        <f>_xll.qlIndexFixing($M$5,R79,TRUE,InterestRatesTrigger)</f>
        <v>1.1372612100846169E-2</v>
      </c>
      <c r="V79" s="74">
        <f>_xll.qlIndexFixing(Index,R79,TRUE,InterestRatesTrigger)</f>
        <v>1.1727534245997071E-2</v>
      </c>
      <c r="W79" s="30">
        <f t="shared" si="11"/>
        <v>3.5492214515090229E-4</v>
      </c>
      <c r="X79" s="29">
        <f>_xll.qlDayCounterYearFraction(DayCounter,SettlementDate,S79,,,Trigger)</f>
        <v>6.4361111111111109</v>
      </c>
      <c r="Y79" s="29">
        <f>_xll.qlDayCounterYearFraction(DayCounter,S79,T79)</f>
        <v>7.7777777777777779E-2</v>
      </c>
      <c r="Z79" s="29">
        <f>IF($M$13,_xll.qlYieldTSDiscount(Currency&amp;"ON",S79)/(1+V79*Y79),1)</f>
        <v>1</v>
      </c>
      <c r="AA79" s="30">
        <f>_xll.qlTenorBasisValue(TenorBasis1M,S79,InterestRatesTrigger)</f>
        <v>5.2175753946500194E-4</v>
      </c>
      <c r="AB79" s="74">
        <f t="shared" si="9"/>
        <v>1.1894369640311171E-2</v>
      </c>
      <c r="AC79" s="76">
        <f t="shared" si="10"/>
        <v>1.014225956694268</v>
      </c>
    </row>
    <row r="80" spans="16:29" x14ac:dyDescent="0.2">
      <c r="P80" s="33">
        <v>1</v>
      </c>
      <c r="Q80" s="27" t="str">
        <f>_xll.qlPeriodEquivalent(Q79&amp;"+"&amp;P80&amp;"M")</f>
        <v>6Y5M</v>
      </c>
      <c r="R80" s="28">
        <f>_xll.qlCalendarAdvance(Calendar,SettlementDate,Q80,"f",,Trigger)</f>
        <v>44622</v>
      </c>
      <c r="S80" s="28">
        <f>_xll.qlInterestRateIndexValueDate(Index,R80,Trigger)</f>
        <v>44624</v>
      </c>
      <c r="T80" s="28">
        <f>_xll.qlInterestRateIndexMaturity(Index,S80,Trigger)</f>
        <v>44655</v>
      </c>
      <c r="U80" s="30">
        <f>_xll.qlIndexFixing($M$5,R80,TRUE,InterestRatesTrigger)</f>
        <v>1.1588497555332214E-2</v>
      </c>
      <c r="V80" s="74">
        <f>_xll.qlIndexFixing(Index,R80,TRUE,InterestRatesTrigger)</f>
        <v>1.1946795961827444E-2</v>
      </c>
      <c r="W80" s="30">
        <f t="shared" si="11"/>
        <v>3.5829840649522979E-4</v>
      </c>
      <c r="X80" s="29">
        <f>_xll.qlDayCounterYearFraction(DayCounter,SettlementDate,S80,,,Trigger)</f>
        <v>6.5138888888888893</v>
      </c>
      <c r="Y80" s="29">
        <f>_xll.qlDayCounterYearFraction(DayCounter,S80,T80)</f>
        <v>8.611111111111111E-2</v>
      </c>
      <c r="Z80" s="29">
        <f>IF($M$13,_xll.qlYieldTSDiscount(Currency&amp;"ON",S80)/(1+V80*Y80),1)</f>
        <v>1</v>
      </c>
      <c r="AA80" s="30">
        <f>_xll.qlTenorBasisValue(TenorBasis1M,S80,InterestRatesTrigger)</f>
        <v>5.1979566051250676E-4</v>
      </c>
      <c r="AB80" s="74">
        <f t="shared" si="9"/>
        <v>1.2108293215844721E-2</v>
      </c>
      <c r="AC80" s="76">
        <f t="shared" si="10"/>
        <v>1.0135180390234584</v>
      </c>
    </row>
    <row r="81" spans="16:29" x14ac:dyDescent="0.2">
      <c r="P81" s="33">
        <v>1</v>
      </c>
      <c r="Q81" s="27" t="str">
        <f>_xll.qlPeriodEquivalent(Q80&amp;"+"&amp;P81&amp;"M")</f>
        <v>6Y6M</v>
      </c>
      <c r="R81" s="28">
        <f>_xll.qlCalendarAdvance(Calendar,SettlementDate,Q81,"f",,Trigger)</f>
        <v>44655</v>
      </c>
      <c r="S81" s="28">
        <f>_xll.qlInterestRateIndexValueDate(Index,R81,Trigger)</f>
        <v>44657</v>
      </c>
      <c r="T81" s="28">
        <f>_xll.qlInterestRateIndexMaturity(Index,S81,Trigger)</f>
        <v>44687</v>
      </c>
      <c r="U81" s="30">
        <f>_xll.qlIndexFixing($M$5,R81,TRUE,InterestRatesTrigger)</f>
        <v>1.1821306538464249E-2</v>
      </c>
      <c r="V81" s="74">
        <f>_xll.qlIndexFixing(Index,R81,TRUE,InterestRatesTrigger)</f>
        <v>1.2183742085510652E-2</v>
      </c>
      <c r="W81" s="30">
        <f t="shared" si="11"/>
        <v>3.6243554704640246E-4</v>
      </c>
      <c r="X81" s="29">
        <f>_xll.qlDayCounterYearFraction(DayCounter,SettlementDate,S81,,,Trigger)</f>
        <v>6.6055555555555552</v>
      </c>
      <c r="Y81" s="29">
        <f>_xll.qlDayCounterYearFraction(DayCounter,S81,T81)</f>
        <v>8.3333333333333329E-2</v>
      </c>
      <c r="Z81" s="29">
        <f>IF($M$13,_xll.qlYieldTSDiscount(Currency&amp;"ON",S81)/(1+V81*Y81),1)</f>
        <v>1</v>
      </c>
      <c r="AA81" s="30">
        <f>_xll.qlTenorBasisValue(TenorBasis1M,S81,InterestRatesTrigger)</f>
        <v>5.1743129407407168E-4</v>
      </c>
      <c r="AB81" s="74">
        <f t="shared" si="9"/>
        <v>1.233873783253832E-2</v>
      </c>
      <c r="AC81" s="76">
        <f t="shared" si="10"/>
        <v>1.0127215223319603</v>
      </c>
    </row>
    <row r="82" spans="16:29" x14ac:dyDescent="0.2">
      <c r="P82" s="33">
        <v>1</v>
      </c>
      <c r="Q82" s="27" t="str">
        <f>_xll.qlPeriodEquivalent(Q81&amp;"+"&amp;P82&amp;"M")</f>
        <v>6Y7M</v>
      </c>
      <c r="R82" s="28">
        <f>_xll.qlCalendarAdvance(Calendar,SettlementDate,Q82,"f",,Trigger)</f>
        <v>44683</v>
      </c>
      <c r="S82" s="28">
        <f>_xll.qlInterestRateIndexValueDate(Index,R82,Trigger)</f>
        <v>44685</v>
      </c>
      <c r="T82" s="28">
        <f>_xll.qlInterestRateIndexMaturity(Index,S82,Trigger)</f>
        <v>44718</v>
      </c>
      <c r="U82" s="30">
        <f>_xll.qlIndexFixing($M$5,R82,TRUE,InterestRatesTrigger)</f>
        <v>1.2029460889171744E-2</v>
      </c>
      <c r="V82" s="74">
        <f>_xll.qlIndexFixing(Index,R82,TRUE,InterestRatesTrigger)</f>
        <v>1.2395952561226862E-2</v>
      </c>
      <c r="W82" s="30">
        <f t="shared" si="11"/>
        <v>3.6649167205511819E-4</v>
      </c>
      <c r="X82" s="29">
        <f>_xll.qlDayCounterYearFraction(DayCounter,SettlementDate,S82,,,Trigger)</f>
        <v>6.6833333333333336</v>
      </c>
      <c r="Y82" s="29">
        <f>_xll.qlDayCounterYearFraction(DayCounter,S82,T82)</f>
        <v>9.166666666666666E-2</v>
      </c>
      <c r="Z82" s="29">
        <f>IF($M$13,_xll.qlYieldTSDiscount(Currency&amp;"ON",S82)/(1+V82*Y82),1)</f>
        <v>1</v>
      </c>
      <c r="AA82" s="30">
        <f>_xll.qlTenorBasisValue(TenorBasis1M,S82,InterestRatesTrigger)</f>
        <v>5.1538257117570276E-4</v>
      </c>
      <c r="AB82" s="74">
        <f t="shared" si="9"/>
        <v>1.2544843460347446E-2</v>
      </c>
      <c r="AC82" s="76">
        <f t="shared" si="10"/>
        <v>1.0120112511229107</v>
      </c>
    </row>
    <row r="83" spans="16:29" x14ac:dyDescent="0.2">
      <c r="P83" s="33">
        <v>1</v>
      </c>
      <c r="Q83" s="27" t="str">
        <f>_xll.qlPeriodEquivalent(Q82&amp;"+"&amp;P83&amp;"M")</f>
        <v>6Y8M</v>
      </c>
      <c r="R83" s="28">
        <f>_xll.qlCalendarAdvance(Calendar,SettlementDate,Q83,"f",,Trigger)</f>
        <v>44714</v>
      </c>
      <c r="S83" s="28">
        <f>_xll.qlInterestRateIndexValueDate(Index,R83,Trigger)</f>
        <v>44718</v>
      </c>
      <c r="T83" s="28">
        <f>_xll.qlInterestRateIndexMaturity(Index,S83,Trigger)</f>
        <v>44748</v>
      </c>
      <c r="U83" s="30">
        <f>_xll.qlIndexFixing($M$5,R83,TRUE,InterestRatesTrigger)</f>
        <v>1.2246460263391157E-2</v>
      </c>
      <c r="V83" s="74">
        <f>_xll.qlIndexFixing(Index,R83,TRUE,InterestRatesTrigger)</f>
        <v>1.2617277144554961E-2</v>
      </c>
      <c r="W83" s="30">
        <f t="shared" si="11"/>
        <v>3.7081688116380462E-4</v>
      </c>
      <c r="X83" s="29">
        <f>_xll.qlDayCounterYearFraction(DayCounter,SettlementDate,S83,,,Trigger)</f>
        <v>6.7750000000000004</v>
      </c>
      <c r="Y83" s="29">
        <f>_xll.qlDayCounterYearFraction(DayCounter,S83,T83)</f>
        <v>8.3333333333333329E-2</v>
      </c>
      <c r="Z83" s="29">
        <f>IF($M$13,_xll.qlYieldTSDiscount(Currency&amp;"ON",S83)/(1+V83*Y83),1)</f>
        <v>1</v>
      </c>
      <c r="AA83" s="30">
        <f>_xll.qlTenorBasisValue(TenorBasis1M,S83,InterestRatesTrigger)</f>
        <v>5.1291981823452086E-4</v>
      </c>
      <c r="AB83" s="74">
        <f t="shared" si="9"/>
        <v>1.2759380081625677E-2</v>
      </c>
      <c r="AC83" s="76">
        <f t="shared" si="10"/>
        <v>1.0112625676239537</v>
      </c>
    </row>
    <row r="84" spans="16:29" x14ac:dyDescent="0.2">
      <c r="P84" s="33">
        <v>1</v>
      </c>
      <c r="Q84" s="27" t="str">
        <f>_xll.qlPeriodEquivalent(Q83&amp;"+"&amp;P84&amp;"M")</f>
        <v>6Y9M</v>
      </c>
      <c r="R84" s="28">
        <f>_xll.qlCalendarAdvance(Calendar,SettlementDate,Q84,"f",,Trigger)</f>
        <v>44746</v>
      </c>
      <c r="S84" s="28">
        <f>_xll.qlInterestRateIndexValueDate(Index,R84,Trigger)</f>
        <v>44748</v>
      </c>
      <c r="T84" s="28">
        <f>_xll.qlInterestRateIndexMaturity(Index,S84,Trigger)</f>
        <v>44781</v>
      </c>
      <c r="U84" s="30">
        <f>_xll.qlIndexFixing($M$5,R84,TRUE,InterestRatesTrigger)</f>
        <v>1.2460417302345404E-2</v>
      </c>
      <c r="V84" s="74">
        <f>_xll.qlIndexFixing(Index,R84,TRUE,InterestRatesTrigger)</f>
        <v>1.28355134351953E-2</v>
      </c>
      <c r="W84" s="30">
        <f t="shared" si="11"/>
        <v>3.7509613284989612E-4</v>
      </c>
      <c r="X84" s="29">
        <f>_xll.qlDayCounterYearFraction(DayCounter,SettlementDate,S84,,,Trigger)</f>
        <v>6.8583333333333334</v>
      </c>
      <c r="Y84" s="29">
        <f>_xll.qlDayCounterYearFraction(DayCounter,S84,T84)</f>
        <v>9.166666666666666E-2</v>
      </c>
      <c r="Z84" s="29">
        <f>IF($M$13,_xll.qlYieldTSDiscount(Currency&amp;"ON",S84)/(1+V84*Y84),1)</f>
        <v>1</v>
      </c>
      <c r="AA84" s="30">
        <f>_xll.qlTenorBasisValue(TenorBasis1M,S84,InterestRatesTrigger)</f>
        <v>5.1063749540764133E-4</v>
      </c>
      <c r="AB84" s="74">
        <f t="shared" si="9"/>
        <v>1.2971054797753045E-2</v>
      </c>
      <c r="AC84" s="76">
        <f t="shared" si="10"/>
        <v>1.010559870724461</v>
      </c>
    </row>
    <row r="85" spans="16:29" x14ac:dyDescent="0.2">
      <c r="P85" s="33">
        <v>1</v>
      </c>
      <c r="Q85" s="27" t="str">
        <f>_xll.qlPeriodEquivalent(Q84&amp;"+"&amp;P85&amp;"M")</f>
        <v>6Y10M</v>
      </c>
      <c r="R85" s="28">
        <f>_xll.qlCalendarAdvance(Calendar,SettlementDate,Q85,"f",,Trigger)</f>
        <v>44775</v>
      </c>
      <c r="S85" s="28">
        <f>_xll.qlInterestRateIndexValueDate(Index,R85,Trigger)</f>
        <v>44777</v>
      </c>
      <c r="T85" s="28">
        <f>_xll.qlInterestRateIndexMaturity(Index,S85,Trigger)</f>
        <v>44809</v>
      </c>
      <c r="U85" s="30">
        <f>_xll.qlIndexFixing($M$5,R85,TRUE,InterestRatesTrigger)</f>
        <v>1.2649611544425232E-2</v>
      </c>
      <c r="V85" s="74">
        <f>_xll.qlIndexFixing(Index,R85,TRUE,InterestRatesTrigger)</f>
        <v>1.30282624534378E-2</v>
      </c>
      <c r="W85" s="30">
        <f t="shared" si="11"/>
        <v>3.7865090901256782E-4</v>
      </c>
      <c r="X85" s="29">
        <f>_xll.qlDayCounterYearFraction(DayCounter,SettlementDate,S85,,,Trigger)</f>
        <v>6.9388888888888891</v>
      </c>
      <c r="Y85" s="29">
        <f>_xll.qlDayCounterYearFraction(DayCounter,S85,T85)</f>
        <v>8.8888888888888892E-2</v>
      </c>
      <c r="Z85" s="29">
        <f>IF($M$13,_xll.qlYieldTSDiscount(Currency&amp;"ON",S85)/(1+V85*Y85),1)</f>
        <v>1</v>
      </c>
      <c r="AA85" s="30">
        <f>_xll.qlTenorBasisValue(TenorBasis1M,S85,InterestRatesTrigger)</f>
        <v>5.0839350545446539E-4</v>
      </c>
      <c r="AB85" s="74">
        <f t="shared" si="9"/>
        <v>1.3158005049879698E-2</v>
      </c>
      <c r="AC85" s="76">
        <f t="shared" si="10"/>
        <v>1.0099585494923509</v>
      </c>
    </row>
    <row r="86" spans="16:29" x14ac:dyDescent="0.2">
      <c r="P86" s="33">
        <v>1</v>
      </c>
      <c r="Q86" s="27" t="str">
        <f>_xll.qlPeriodEquivalent(Q85&amp;"+"&amp;P86&amp;"M")</f>
        <v>6Y11M</v>
      </c>
      <c r="R86" s="28">
        <f>_xll.qlCalendarAdvance(Calendar,SettlementDate,Q86,"f",,Trigger)</f>
        <v>44806</v>
      </c>
      <c r="S86" s="28">
        <f>_xll.qlInterestRateIndexValueDate(Index,R86,Trigger)</f>
        <v>44810</v>
      </c>
      <c r="T86" s="28">
        <f>_xll.qlInterestRateIndexMaturity(Index,S86,Trigger)</f>
        <v>44840</v>
      </c>
      <c r="U86" s="30">
        <f>_xll.qlIndexFixing($M$5,R86,TRUE,InterestRatesTrigger)</f>
        <v>1.2857710687347534E-2</v>
      </c>
      <c r="V86" s="74">
        <f>_xll.qlIndexFixing(Index,R86,TRUE,InterestRatesTrigger)</f>
        <v>1.3239846295858726E-2</v>
      </c>
      <c r="W86" s="30">
        <f t="shared" si="11"/>
        <v>3.8213560851119155E-4</v>
      </c>
      <c r="X86" s="29">
        <f>_xll.qlDayCounterYearFraction(DayCounter,SettlementDate,S86,,,Trigger)</f>
        <v>7.0305555555555559</v>
      </c>
      <c r="Y86" s="29">
        <f>_xll.qlDayCounterYearFraction(DayCounter,S86,T86)</f>
        <v>8.3333333333333329E-2</v>
      </c>
      <c r="Z86" s="29">
        <f>IF($M$13,_xll.qlYieldTSDiscount(Currency&amp;"ON",S86)/(1+V86*Y86),1)</f>
        <v>1</v>
      </c>
      <c r="AA86" s="30">
        <f>_xll.qlTenorBasisValue(TenorBasis1M,S86,InterestRatesTrigger)</f>
        <v>5.0579672716040609E-4</v>
      </c>
      <c r="AB86" s="74">
        <f t="shared" si="9"/>
        <v>1.336350741450794E-2</v>
      </c>
      <c r="AC86" s="76">
        <f t="shared" si="10"/>
        <v>1.0093400720737895</v>
      </c>
    </row>
    <row r="87" spans="16:29" x14ac:dyDescent="0.2">
      <c r="P87" s="33">
        <v>1</v>
      </c>
      <c r="Q87" s="27" t="str">
        <f>_xll.qlPeriodEquivalent(Q86&amp;"+"&amp;P87&amp;"M")</f>
        <v>7Y</v>
      </c>
      <c r="R87" s="28">
        <f>_xll.qlCalendarAdvance(Calendar,SettlementDate,Q87,"f",,Trigger)</f>
        <v>44837</v>
      </c>
      <c r="S87" s="28">
        <f>_xll.qlInterestRateIndexValueDate(Index,R87,Trigger)</f>
        <v>44839</v>
      </c>
      <c r="T87" s="28">
        <f>_xll.qlInterestRateIndexMaturity(Index,S87,Trigger)</f>
        <v>44872</v>
      </c>
      <c r="U87" s="30">
        <f>_xll.qlIndexFixing($M$5,R87,TRUE,InterestRatesTrigger)</f>
        <v>1.3053532418825434E-2</v>
      </c>
      <c r="V87" s="74">
        <f>_xll.qlIndexFixing(Index,R87,TRUE,InterestRatesTrigger)</f>
        <v>1.3438676549941485E-2</v>
      </c>
      <c r="W87" s="30">
        <f t="shared" si="11"/>
        <v>3.8514413111605077E-4</v>
      </c>
      <c r="X87" s="29">
        <f>_xll.qlDayCounterYearFraction(DayCounter,SettlementDate,S87,,,Trigger)</f>
        <v>7.1111111111111107</v>
      </c>
      <c r="Y87" s="29">
        <f>_xll.qlDayCounterYearFraction(DayCounter,S87,T87)</f>
        <v>9.166666666666666E-2</v>
      </c>
      <c r="Z87" s="29">
        <f>IF($M$13,_xll.qlYieldTSDiscount(Currency&amp;"ON",S87)/(1+V87*Y87),1)</f>
        <v>1</v>
      </c>
      <c r="AA87" s="30">
        <f>_xll.qlTenorBasisValue(TenorBasis1M,S87,InterestRatesTrigger)</f>
        <v>5.034782627532132E-4</v>
      </c>
      <c r="AB87" s="74">
        <f t="shared" si="9"/>
        <v>1.3557010681578647E-2</v>
      </c>
      <c r="AC87" s="76">
        <f t="shared" si="10"/>
        <v>1.0088054899749543</v>
      </c>
    </row>
    <row r="88" spans="16:29" x14ac:dyDescent="0.2">
      <c r="P88" s="33">
        <v>1</v>
      </c>
      <c r="Q88" s="27" t="str">
        <f>_xll.qlPeriodEquivalent(Q87&amp;"+"&amp;P88&amp;"M")</f>
        <v>7Y1M</v>
      </c>
      <c r="R88" s="28">
        <f>_xll.qlCalendarAdvance(Calendar,SettlementDate,Q88,"f",,Trigger)</f>
        <v>44867</v>
      </c>
      <c r="S88" s="28">
        <f>_xll.qlInterestRateIndexValueDate(Index,R88,Trigger)</f>
        <v>44869</v>
      </c>
      <c r="T88" s="28">
        <f>_xll.qlInterestRateIndexMaturity(Index,S88,Trigger)</f>
        <v>44900</v>
      </c>
      <c r="U88" s="30">
        <f>_xll.qlIndexFixing($M$5,R88,TRUE,InterestRatesTrigger)</f>
        <v>1.3236540730705857E-2</v>
      </c>
      <c r="V88" s="74">
        <f>_xll.qlIndexFixing(Index,R88,TRUE,InterestRatesTrigger)</f>
        <v>1.3624805092435695E-2</v>
      </c>
      <c r="W88" s="30">
        <f t="shared" si="11"/>
        <v>3.8826436172983807E-4</v>
      </c>
      <c r="X88" s="29">
        <f>_xll.qlDayCounterYearFraction(DayCounter,SettlementDate,S88,,,Trigger)</f>
        <v>7.1944444444444446</v>
      </c>
      <c r="Y88" s="29">
        <f>_xll.qlDayCounterYearFraction(DayCounter,S88,T88)</f>
        <v>8.611111111111111E-2</v>
      </c>
      <c r="Z88" s="29">
        <f>IF($M$13,_xll.qlYieldTSDiscount(Currency&amp;"ON",S88)/(1+V88*Y88),1)</f>
        <v>1</v>
      </c>
      <c r="AA88" s="30">
        <f>_xll.qlTenorBasisValue(TenorBasis1M,S88,InterestRatesTrigger)</f>
        <v>5.0104550698917426E-4</v>
      </c>
      <c r="AB88" s="74">
        <f t="shared" si="9"/>
        <v>1.3737586237695032E-2</v>
      </c>
      <c r="AC88" s="76">
        <f t="shared" si="10"/>
        <v>1.0082776336611194</v>
      </c>
    </row>
    <row r="89" spans="16:29" x14ac:dyDescent="0.2">
      <c r="P89" s="33">
        <v>1</v>
      </c>
      <c r="Q89" s="27" t="str">
        <f>_xll.qlPeriodEquivalent(Q88&amp;"+"&amp;P89&amp;"M")</f>
        <v>7Y2M</v>
      </c>
      <c r="R89" s="28">
        <f>_xll.qlCalendarAdvance(Calendar,SettlementDate,Q89,"f",,Trigger)</f>
        <v>44897</v>
      </c>
      <c r="S89" s="28">
        <f>_xll.qlInterestRateIndexValueDate(Index,R89,Trigger)</f>
        <v>44901</v>
      </c>
      <c r="T89" s="28">
        <f>_xll.qlInterestRateIndexMaturity(Index,S89,Trigger)</f>
        <v>44932</v>
      </c>
      <c r="U89" s="30">
        <f>_xll.qlIndexFixing($M$5,R89,TRUE,InterestRatesTrigger)</f>
        <v>1.3436898255377682E-2</v>
      </c>
      <c r="V89" s="74">
        <f>_xll.qlIndexFixing(Index,R89,TRUE,InterestRatesTrigger)</f>
        <v>1.3829144908749771E-2</v>
      </c>
      <c r="W89" s="30">
        <f t="shared" si="11"/>
        <v>3.9224665337208968E-4</v>
      </c>
      <c r="X89" s="29">
        <f>_xll.qlDayCounterYearFraction(DayCounter,SettlementDate,S89,,,Trigger)</f>
        <v>7.2833333333333332</v>
      </c>
      <c r="Y89" s="29">
        <f>_xll.qlDayCounterYearFraction(DayCounter,S89,T89)</f>
        <v>8.611111111111111E-2</v>
      </c>
      <c r="Z89" s="29">
        <f>IF($M$13,_xll.qlYieldTSDiscount(Currency&amp;"ON",S89)/(1+V89*Y89),1)</f>
        <v>1</v>
      </c>
      <c r="AA89" s="30">
        <f>_xll.qlTenorBasisValue(TenorBasis1M,S89,InterestRatesTrigger)</f>
        <v>4.9841373125346052E-4</v>
      </c>
      <c r="AB89" s="74">
        <f t="shared" si="9"/>
        <v>1.3935311986631142E-2</v>
      </c>
      <c r="AC89" s="76">
        <f t="shared" si="10"/>
        <v>1.0076770529618355</v>
      </c>
    </row>
    <row r="90" spans="16:29" x14ac:dyDescent="0.2">
      <c r="P90" s="33">
        <v>1</v>
      </c>
      <c r="Q90" s="27" t="str">
        <f>_xll.qlPeriodEquivalent(Q89&amp;"+"&amp;P90&amp;"M")</f>
        <v>7Y3M</v>
      </c>
      <c r="R90" s="28">
        <f>_xll.qlCalendarAdvance(Calendar,SettlementDate,Q90,"f",,Trigger)</f>
        <v>44928</v>
      </c>
      <c r="S90" s="28">
        <f>_xll.qlInterestRateIndexValueDate(Index,R90,Trigger)</f>
        <v>44930</v>
      </c>
      <c r="T90" s="28">
        <f>_xll.qlInterestRateIndexMaturity(Index,S90,Trigger)</f>
        <v>44963</v>
      </c>
      <c r="U90" s="30">
        <f>_xll.qlIndexFixing($M$5,R90,TRUE,InterestRatesTrigger)</f>
        <v>1.3623243689031159E-2</v>
      </c>
      <c r="V90" s="74">
        <f>_xll.qlIndexFixing(Index,R90,TRUE,InterestRatesTrigger)</f>
        <v>1.4019710126166016E-2</v>
      </c>
      <c r="W90" s="30">
        <f t="shared" si="11"/>
        <v>3.9646643713485766E-4</v>
      </c>
      <c r="X90" s="29">
        <f>_xll.qlDayCounterYearFraction(DayCounter,SettlementDate,S90,,,Trigger)</f>
        <v>7.3638888888888889</v>
      </c>
      <c r="Y90" s="29">
        <f>_xll.qlDayCounterYearFraction(DayCounter,S90,T90)</f>
        <v>9.166666666666666E-2</v>
      </c>
      <c r="Z90" s="29">
        <f>IF($M$13,_xll.qlYieldTSDiscount(Currency&amp;"ON",S90)/(1+V90*Y90),1)</f>
        <v>1</v>
      </c>
      <c r="AA90" s="30">
        <f>_xll.qlTenorBasisValue(TenorBasis1M,S90,InterestRatesTrigger)</f>
        <v>4.9599728529070174E-4</v>
      </c>
      <c r="AB90" s="74">
        <f t="shared" si="9"/>
        <v>1.4119240974321861E-2</v>
      </c>
      <c r="AC90" s="76">
        <f t="shared" si="10"/>
        <v>1.0070993513603455</v>
      </c>
    </row>
    <row r="91" spans="16:29" x14ac:dyDescent="0.2">
      <c r="P91" s="33">
        <v>1</v>
      </c>
      <c r="Q91" s="27" t="str">
        <f>_xll.qlPeriodEquivalent(Q90&amp;"+"&amp;P91&amp;"M")</f>
        <v>7Y4M</v>
      </c>
      <c r="R91" s="28">
        <f>_xll.qlCalendarAdvance(Calendar,SettlementDate,Q91,"f",,Trigger)</f>
        <v>44959</v>
      </c>
      <c r="S91" s="28">
        <f>_xll.qlInterestRateIndexValueDate(Index,R91,Trigger)</f>
        <v>44963</v>
      </c>
      <c r="T91" s="28">
        <f>_xll.qlInterestRateIndexMaturity(Index,S91,Trigger)</f>
        <v>44991</v>
      </c>
      <c r="U91" s="30">
        <f>_xll.qlIndexFixing($M$5,R91,TRUE,InterestRatesTrigger)</f>
        <v>1.3808922438969569E-2</v>
      </c>
      <c r="V91" s="74">
        <f>_xll.qlIndexFixing(Index,R91,TRUE,InterestRatesTrigger)</f>
        <v>1.4209984957785122E-2</v>
      </c>
      <c r="W91" s="30">
        <f t="shared" si="11"/>
        <v>4.0106251881555366E-4</v>
      </c>
      <c r="X91" s="29">
        <f>_xll.qlDayCounterYearFraction(DayCounter,SettlementDate,S91,,,Trigger)</f>
        <v>7.4555555555555557</v>
      </c>
      <c r="Y91" s="29">
        <f>_xll.qlDayCounterYearFraction(DayCounter,S91,T91)</f>
        <v>7.7777777777777779E-2</v>
      </c>
      <c r="Z91" s="29">
        <f>IF($M$13,_xll.qlYieldTSDiscount(Currency&amp;"ON",S91)/(1+V91*Y91),1)</f>
        <v>1</v>
      </c>
      <c r="AA91" s="30">
        <f>_xll.qlTenorBasisValue(TenorBasis1M,S91,InterestRatesTrigger)</f>
        <v>4.9321290455102125E-4</v>
      </c>
      <c r="AB91" s="74">
        <f t="shared" si="9"/>
        <v>1.4302135343520589E-2</v>
      </c>
      <c r="AC91" s="76">
        <f t="shared" si="10"/>
        <v>1.0064849038200412</v>
      </c>
    </row>
    <row r="92" spans="16:29" x14ac:dyDescent="0.2">
      <c r="P92" s="33">
        <v>1</v>
      </c>
      <c r="Q92" s="27" t="str">
        <f>_xll.qlPeriodEquivalent(Q91&amp;"+"&amp;P92&amp;"M")</f>
        <v>7Y5M</v>
      </c>
      <c r="R92" s="28">
        <f>_xll.qlCalendarAdvance(Calendar,SettlementDate,Q92,"f",,Trigger)</f>
        <v>44987</v>
      </c>
      <c r="S92" s="28">
        <f>_xll.qlInterestRateIndexValueDate(Index,R92,Trigger)</f>
        <v>44991</v>
      </c>
      <c r="T92" s="28">
        <f>_xll.qlInterestRateIndexMaturity(Index,S92,Trigger)</f>
        <v>45022</v>
      </c>
      <c r="U92" s="30">
        <f>_xll.qlIndexFixing($M$5,R92,TRUE,InterestRatesTrigger)</f>
        <v>1.3988634729704972E-2</v>
      </c>
      <c r="V92" s="74">
        <f>_xll.qlIndexFixing(Index,R92,TRUE,InterestRatesTrigger)</f>
        <v>1.4394651795967031E-2</v>
      </c>
      <c r="W92" s="30">
        <f t="shared" si="11"/>
        <v>4.0601706626205991E-4</v>
      </c>
      <c r="X92" s="29">
        <f>_xll.qlDayCounterYearFraction(DayCounter,SettlementDate,S92,,,Trigger)</f>
        <v>7.5333333333333332</v>
      </c>
      <c r="Y92" s="29">
        <f>_xll.qlDayCounterYearFraction(DayCounter,S92,T92)</f>
        <v>8.611111111111111E-2</v>
      </c>
      <c r="Z92" s="29">
        <f>IF($M$13,_xll.qlYieldTSDiscount(Currency&amp;"ON",S92)/(1+V92*Y92),1)</f>
        <v>1</v>
      </c>
      <c r="AA92" s="30">
        <f>_xll.qlTenorBasisValue(TenorBasis1M,S92,InterestRatesTrigger)</f>
        <v>4.9082280210889831E-4</v>
      </c>
      <c r="AB92" s="74">
        <f t="shared" si="9"/>
        <v>1.447945753181387E-2</v>
      </c>
      <c r="AC92" s="76">
        <f t="shared" si="10"/>
        <v>1.0058914753235364</v>
      </c>
    </row>
    <row r="93" spans="16:29" x14ac:dyDescent="0.2">
      <c r="P93" s="33">
        <v>1</v>
      </c>
      <c r="Q93" s="27" t="str">
        <f>_xll.qlPeriodEquivalent(Q92&amp;"+"&amp;P93&amp;"M")</f>
        <v>7Y6M</v>
      </c>
      <c r="R93" s="28">
        <f>_xll.qlCalendarAdvance(Calendar,SettlementDate,Q93,"f",,Trigger)</f>
        <v>45019</v>
      </c>
      <c r="S93" s="28">
        <f>_xll.qlInterestRateIndexValueDate(Index,R93,Trigger)</f>
        <v>45021</v>
      </c>
      <c r="T93" s="28">
        <f>_xll.qlInterestRateIndexMaturity(Index,S93,Trigger)</f>
        <v>45051</v>
      </c>
      <c r="U93" s="30">
        <f>_xll.qlIndexFixing($M$5,R93,TRUE,InterestRatesTrigger)</f>
        <v>1.4165429664954488E-2</v>
      </c>
      <c r="V93" s="74">
        <f>_xll.qlIndexFixing(Index,R93,TRUE,InterestRatesTrigger)</f>
        <v>1.4576681445757522E-2</v>
      </c>
      <c r="W93" s="30">
        <f t="shared" si="11"/>
        <v>4.1125178080303471E-4</v>
      </c>
      <c r="X93" s="29">
        <f>_xll.qlDayCounterYearFraction(DayCounter,SettlementDate,S93,,,Trigger)</f>
        <v>7.6166666666666663</v>
      </c>
      <c r="Y93" s="29">
        <f>_xll.qlDayCounterYearFraction(DayCounter,S93,T93)</f>
        <v>8.3333333333333329E-2</v>
      </c>
      <c r="Z93" s="29">
        <f>IF($M$13,_xll.qlYieldTSDiscount(Currency&amp;"ON",S93)/(1+V93*Y93),1)</f>
        <v>1</v>
      </c>
      <c r="AA93" s="30">
        <f>_xll.qlTenorBasisValue(TenorBasis1M,S93,InterestRatesTrigger)</f>
        <v>4.8823518341004687E-4</v>
      </c>
      <c r="AB93" s="74">
        <f t="shared" si="9"/>
        <v>1.4653664848364535E-2</v>
      </c>
      <c r="AC93" s="76">
        <f t="shared" si="10"/>
        <v>1.0052812708361283</v>
      </c>
    </row>
    <row r="94" spans="16:29" x14ac:dyDescent="0.2">
      <c r="P94" s="33">
        <v>1</v>
      </c>
      <c r="Q94" s="27" t="str">
        <f>_xll.qlPeriodEquivalent(Q93&amp;"+"&amp;P94&amp;"M")</f>
        <v>7Y7M</v>
      </c>
      <c r="R94" s="28">
        <f>_xll.qlCalendarAdvance(Calendar,SettlementDate,Q94,"f",,Trigger)</f>
        <v>45048</v>
      </c>
      <c r="S94" s="28">
        <f>_xll.qlInterestRateIndexValueDate(Index,R94,Trigger)</f>
        <v>45050</v>
      </c>
      <c r="T94" s="28">
        <f>_xll.qlInterestRateIndexMaturity(Index,S94,Trigger)</f>
        <v>45082</v>
      </c>
      <c r="U94" s="30">
        <f>_xll.qlIndexFixing($M$5,R94,TRUE,InterestRatesTrigger)</f>
        <v>1.4344138444583043E-2</v>
      </c>
      <c r="V94" s="74">
        <f>_xll.qlIndexFixing(Index,R94,TRUE,InterestRatesTrigger)</f>
        <v>1.4761096935279883E-2</v>
      </c>
      <c r="W94" s="30">
        <f t="shared" si="11"/>
        <v>4.1695849069683932E-4</v>
      </c>
      <c r="X94" s="29">
        <f>_xll.qlDayCounterYearFraction(DayCounter,SettlementDate,S94,,,Trigger)</f>
        <v>7.697222222222222</v>
      </c>
      <c r="Y94" s="29">
        <f>_xll.qlDayCounterYearFraction(DayCounter,S94,T94)</f>
        <v>8.8888888888888892E-2</v>
      </c>
      <c r="Z94" s="29">
        <f>IF($M$13,_xll.qlYieldTSDiscount(Currency&amp;"ON",S94)/(1+V94*Y94),1)</f>
        <v>1</v>
      </c>
      <c r="AA94" s="30">
        <f>_xll.qlTenorBasisValue(TenorBasis1M,S94,InterestRatesTrigger)</f>
        <v>4.857086814646769E-4</v>
      </c>
      <c r="AB94" s="74">
        <f t="shared" si="9"/>
        <v>1.4829847126047721E-2</v>
      </c>
      <c r="AC94" s="76">
        <f t="shared" si="10"/>
        <v>1.004657525864729</v>
      </c>
    </row>
    <row r="95" spans="16:29" x14ac:dyDescent="0.2">
      <c r="P95" s="33">
        <v>1</v>
      </c>
      <c r="Q95" s="27" t="str">
        <f>_xll.qlPeriodEquivalent(Q94&amp;"+"&amp;P95&amp;"M")</f>
        <v>7Y8M</v>
      </c>
      <c r="R95" s="28">
        <f>_xll.qlCalendarAdvance(Calendar,SettlementDate,Q95,"f",,Trigger)</f>
        <v>45079</v>
      </c>
      <c r="S95" s="28">
        <f>_xll.qlInterestRateIndexValueDate(Index,R95,Trigger)</f>
        <v>45083</v>
      </c>
      <c r="T95" s="28">
        <f>_xll.qlInterestRateIndexMaturity(Index,S95,Trigger)</f>
        <v>45113</v>
      </c>
      <c r="U95" s="30">
        <f>_xll.qlIndexFixing($M$5,R95,TRUE,InterestRatesTrigger)</f>
        <v>1.4531476396149934E-2</v>
      </c>
      <c r="V95" s="74">
        <f>_xll.qlIndexFixing(Index,R95,TRUE,InterestRatesTrigger)</f>
        <v>1.4954786655342112E-2</v>
      </c>
      <c r="W95" s="30">
        <f t="shared" si="11"/>
        <v>4.233102591921778E-4</v>
      </c>
      <c r="X95" s="29">
        <f>_xll.qlDayCounterYearFraction(DayCounter,SettlementDate,S95,,,Trigger)</f>
        <v>7.7888888888888888</v>
      </c>
      <c r="Y95" s="29">
        <f>_xll.qlDayCounterYearFraction(DayCounter,S95,T95)</f>
        <v>8.3333333333333329E-2</v>
      </c>
      <c r="Z95" s="29">
        <f>IF($M$13,_xll.qlYieldTSDiscount(Currency&amp;"ON",S95)/(1+V95*Y95),1)</f>
        <v>1</v>
      </c>
      <c r="AA95" s="30">
        <f>_xll.qlTenorBasisValue(TenorBasis1M,S95,InterestRatesTrigger)</f>
        <v>4.828051315867582E-4</v>
      </c>
      <c r="AB95" s="74">
        <f t="shared" si="9"/>
        <v>1.5014281527736692E-2</v>
      </c>
      <c r="AC95" s="76">
        <f t="shared" si="10"/>
        <v>1.0039783163588849</v>
      </c>
    </row>
    <row r="96" spans="16:29" x14ac:dyDescent="0.2">
      <c r="P96" s="33">
        <v>1</v>
      </c>
      <c r="Q96" s="27" t="str">
        <f>_xll.qlPeriodEquivalent(Q95&amp;"+"&amp;P96&amp;"M")</f>
        <v>7Y9M</v>
      </c>
      <c r="R96" s="28">
        <f>_xll.qlCalendarAdvance(Calendar,SettlementDate,Q96,"f",,Trigger)</f>
        <v>45110</v>
      </c>
      <c r="S96" s="28">
        <f>_xll.qlInterestRateIndexValueDate(Index,R96,Trigger)</f>
        <v>45112</v>
      </c>
      <c r="T96" s="28">
        <f>_xll.qlInterestRateIndexMaturity(Index,S96,Trigger)</f>
        <v>45145</v>
      </c>
      <c r="U96" s="30">
        <f>_xll.qlIndexFixing($M$5,R96,TRUE,InterestRatesTrigger)</f>
        <v>1.4709407227027073E-2</v>
      </c>
      <c r="V96" s="74">
        <f>_xll.qlIndexFixing(Index,R96,TRUE,InterestRatesTrigger)</f>
        <v>1.5139156893493324E-2</v>
      </c>
      <c r="W96" s="30">
        <f t="shared" si="11"/>
        <v>4.2974966646625035E-4</v>
      </c>
      <c r="X96" s="29">
        <f>_xll.qlDayCounterYearFraction(DayCounter,SettlementDate,S96,,,Trigger)</f>
        <v>7.8694444444444445</v>
      </c>
      <c r="Y96" s="29">
        <f>_xll.qlDayCounterYearFraction(DayCounter,S96,T96)</f>
        <v>9.166666666666666E-2</v>
      </c>
      <c r="Z96" s="29">
        <f>IF($M$13,_xll.qlYieldTSDiscount(Currency&amp;"ON",S96)/(1+V96*Y96),1)</f>
        <v>1</v>
      </c>
      <c r="AA96" s="30">
        <f>_xll.qlTenorBasisValue(TenorBasis1M,S96,InterestRatesTrigger)</f>
        <v>4.8022969130018239E-4</v>
      </c>
      <c r="AB96" s="74">
        <f t="shared" si="9"/>
        <v>1.5189636918327256E-2</v>
      </c>
      <c r="AC96" s="76">
        <f t="shared" si="10"/>
        <v>1.0033344013269079</v>
      </c>
    </row>
    <row r="97" spans="16:29" x14ac:dyDescent="0.2">
      <c r="P97" s="33">
        <v>1</v>
      </c>
      <c r="Q97" s="27" t="str">
        <f>_xll.qlPeriodEquivalent(Q96&amp;"+"&amp;P97&amp;"M")</f>
        <v>7Y10M</v>
      </c>
      <c r="R97" s="28">
        <f>_xll.qlCalendarAdvance(Calendar,SettlementDate,Q97,"f",,Trigger)</f>
        <v>45140</v>
      </c>
      <c r="S97" s="28">
        <f>_xll.qlInterestRateIndexValueDate(Index,R97,Trigger)</f>
        <v>45142</v>
      </c>
      <c r="T97" s="28">
        <f>_xll.qlInterestRateIndexMaturity(Index,S97,Trigger)</f>
        <v>45173</v>
      </c>
      <c r="U97" s="30">
        <f>_xll.qlIndexFixing($M$5,R97,TRUE,InterestRatesTrigger)</f>
        <v>1.4875314170127763E-2</v>
      </c>
      <c r="V97" s="74">
        <f>_xll.qlIndexFixing(Index,R97,TRUE,InterestRatesTrigger)</f>
        <v>1.5311339221438899E-2</v>
      </c>
      <c r="W97" s="30">
        <f t="shared" si="11"/>
        <v>4.360250513111355E-4</v>
      </c>
      <c r="X97" s="29">
        <f>_xll.qlDayCounterYearFraction(DayCounter,SettlementDate,S97,,,Trigger)</f>
        <v>7.9527777777777775</v>
      </c>
      <c r="Y97" s="29">
        <f>_xll.qlDayCounterYearFraction(DayCounter,S97,T97)</f>
        <v>8.611111111111111E-2</v>
      </c>
      <c r="Z97" s="29">
        <f>IF($M$13,_xll.qlYieldTSDiscount(Currency&amp;"ON",S97)/(1+V97*Y97),1)</f>
        <v>1</v>
      </c>
      <c r="AA97" s="30">
        <f>_xll.qlTenorBasisValue(TenorBasis1M,S97,InterestRatesTrigger)</f>
        <v>4.7754320753444767E-4</v>
      </c>
      <c r="AB97" s="74">
        <f t="shared" si="9"/>
        <v>1.5352857377662212E-2</v>
      </c>
      <c r="AC97" s="76">
        <f t="shared" si="10"/>
        <v>1.0027115953492285</v>
      </c>
    </row>
    <row r="98" spans="16:29" x14ac:dyDescent="0.2">
      <c r="P98" s="33">
        <v>1</v>
      </c>
      <c r="Q98" s="27" t="str">
        <f>_xll.qlPeriodEquivalent(Q97&amp;"+"&amp;P98&amp;"M")</f>
        <v>7Y11M</v>
      </c>
      <c r="R98" s="28">
        <f>_xll.qlCalendarAdvance(Calendar,SettlementDate,Q98,"f",,Trigger)</f>
        <v>45173</v>
      </c>
      <c r="S98" s="28">
        <f>_xll.qlInterestRateIndexValueDate(Index,R98,Trigger)</f>
        <v>45175</v>
      </c>
      <c r="T98" s="28">
        <f>_xll.qlInterestRateIndexMaturity(Index,S98,Trigger)</f>
        <v>45205</v>
      </c>
      <c r="U98" s="30">
        <f>_xll.qlIndexFixing($M$5,R98,TRUE,InterestRatesTrigger)</f>
        <v>1.5059450162232757E-2</v>
      </c>
      <c r="V98" s="74">
        <f>_xll.qlIndexFixing(Index,R98,TRUE,InterestRatesTrigger)</f>
        <v>1.550278098186908E-2</v>
      </c>
      <c r="W98" s="30">
        <f t="shared" si="11"/>
        <v>4.4333081963632281E-4</v>
      </c>
      <c r="X98" s="29">
        <f>_xll.qlDayCounterYearFraction(DayCounter,SettlementDate,S98,,,Trigger)</f>
        <v>8.0444444444444443</v>
      </c>
      <c r="Y98" s="29">
        <f>_xll.qlDayCounterYearFraction(DayCounter,S98,T98)</f>
        <v>8.3333333333333329E-2</v>
      </c>
      <c r="Z98" s="29">
        <f>IF($M$13,_xll.qlYieldTSDiscount(Currency&amp;"ON",S98)/(1+V98*Y98),1)</f>
        <v>1</v>
      </c>
      <c r="AA98" s="30">
        <f>_xll.qlTenorBasisValue(TenorBasis1M,S98,InterestRatesTrigger)</f>
        <v>4.745633655373086E-4</v>
      </c>
      <c r="AB98" s="74">
        <f t="shared" si="9"/>
        <v>1.5534013527770065E-2</v>
      </c>
      <c r="AC98" s="76">
        <f t="shared" si="10"/>
        <v>1.0020146414980327</v>
      </c>
    </row>
    <row r="99" spans="16:29" x14ac:dyDescent="0.2">
      <c r="P99" s="33">
        <v>1</v>
      </c>
      <c r="Q99" s="27" t="str">
        <f>_xll.qlPeriodEquivalent(Q98&amp;"+"&amp;P99&amp;"M")</f>
        <v>8Y</v>
      </c>
      <c r="R99" s="28">
        <f>_xll.qlCalendarAdvance(Calendar,SettlementDate,Q99,"f",,Trigger)</f>
        <v>45201</v>
      </c>
      <c r="S99" s="28">
        <f>_xll.qlInterestRateIndexValueDate(Index,R99,Trigger)</f>
        <v>45203</v>
      </c>
      <c r="T99" s="28">
        <f>_xll.qlInterestRateIndexMaturity(Index,S99,Trigger)</f>
        <v>45236</v>
      </c>
      <c r="U99" s="30">
        <f>_xll.qlIndexFixing($M$5,R99,TRUE,InterestRatesTrigger)</f>
        <v>1.5224584588547011E-2</v>
      </c>
      <c r="V99" s="74">
        <f>_xll.qlIndexFixing(Index,R99,TRUE,InterestRatesTrigger)</f>
        <v>1.5674845692170501E-2</v>
      </c>
      <c r="W99" s="30">
        <f t="shared" si="11"/>
        <v>4.5026110362349041E-4</v>
      </c>
      <c r="X99" s="29">
        <f>_xll.qlDayCounterYearFraction(DayCounter,SettlementDate,S99,,,Trigger)</f>
        <v>8.1222222222222218</v>
      </c>
      <c r="Y99" s="29">
        <f>_xll.qlDayCounterYearFraction(DayCounter,S99,T99)</f>
        <v>9.166666666666666E-2</v>
      </c>
      <c r="Z99" s="29">
        <f>IF($M$13,_xll.qlYieldTSDiscount(Currency&amp;"ON",S99)/(1+V99*Y99),1)</f>
        <v>1</v>
      </c>
      <c r="AA99" s="30">
        <f>_xll.qlTenorBasisValue(TenorBasis1M,S99,InterestRatesTrigger)</f>
        <v>4.7201582953282307E-4</v>
      </c>
      <c r="AB99" s="74">
        <f t="shared" si="9"/>
        <v>1.5696600418079833E-2</v>
      </c>
      <c r="AC99" s="76">
        <f t="shared" si="10"/>
        <v>1.0013878749645491</v>
      </c>
    </row>
    <row r="100" spans="16:29" x14ac:dyDescent="0.2">
      <c r="P100" s="33">
        <v>1</v>
      </c>
      <c r="Q100" s="27" t="str">
        <f>_xll.qlPeriodEquivalent(Q99&amp;"+"&amp;P100&amp;"M")</f>
        <v>8Y1M</v>
      </c>
      <c r="R100" s="28">
        <f>_xll.qlCalendarAdvance(Calendar,SettlementDate,Q100,"f",,Trigger)</f>
        <v>45232</v>
      </c>
      <c r="S100" s="28">
        <f>_xll.qlInterestRateIndexValueDate(Index,R100,Trigger)</f>
        <v>45236</v>
      </c>
      <c r="T100" s="28">
        <f>_xll.qlInterestRateIndexMaturity(Index,S100,Trigger)</f>
        <v>45266</v>
      </c>
      <c r="U100" s="30">
        <f>_xll.qlIndexFixing($M$5,R100,TRUE,InterestRatesTrigger)</f>
        <v>1.5391966418159875E-2</v>
      </c>
      <c r="V100" s="74">
        <f>_xll.qlIndexFixing(Index,R100,TRUE,InterestRatesTrigger)</f>
        <v>1.5849676581408012E-2</v>
      </c>
      <c r="W100" s="30">
        <f t="shared" si="11"/>
        <v>4.5771016324813729E-4</v>
      </c>
      <c r="X100" s="29">
        <f>_xll.qlDayCounterYearFraction(DayCounter,SettlementDate,S100,,,Trigger)</f>
        <v>8.2138888888888886</v>
      </c>
      <c r="Y100" s="29">
        <f>_xll.qlDayCounterYearFraction(DayCounter,S100,T100)</f>
        <v>8.3333333333333329E-2</v>
      </c>
      <c r="Z100" s="29">
        <f>IF($M$13,_xll.qlYieldTSDiscount(Currency&amp;"ON",S100)/(1+V100*Y100),1)</f>
        <v>1</v>
      </c>
      <c r="AA100" s="30">
        <f>_xll.qlTenorBasisValue(TenorBasis1M,S100,InterestRatesTrigger)</f>
        <v>4.6899208798239491E-4</v>
      </c>
      <c r="AB100" s="74">
        <f t="shared" si="9"/>
        <v>1.5860958506142268E-2</v>
      </c>
      <c r="AC100" s="76">
        <f t="shared" si="10"/>
        <v>1.0007118078830384</v>
      </c>
    </row>
    <row r="101" spans="16:29" x14ac:dyDescent="0.2">
      <c r="P101" s="33">
        <v>1</v>
      </c>
      <c r="Q101" s="27" t="str">
        <f>_xll.qlPeriodEquivalent(Q100&amp;"+"&amp;P101&amp;"M")</f>
        <v>8Y2M</v>
      </c>
      <c r="R101" s="28">
        <f>_xll.qlCalendarAdvance(Calendar,SettlementDate,Q101,"f",,Trigger)</f>
        <v>45264</v>
      </c>
      <c r="S101" s="28">
        <f>_xll.qlInterestRateIndexValueDate(Index,R101,Trigger)</f>
        <v>45266</v>
      </c>
      <c r="T101" s="28">
        <f>_xll.qlInterestRateIndexMaturity(Index,S101,Trigger)</f>
        <v>45299</v>
      </c>
      <c r="U101" s="30">
        <f>_xll.qlIndexFixing($M$5,R101,TRUE,InterestRatesTrigger)</f>
        <v>1.5553248283887459E-2</v>
      </c>
      <c r="V101" s="74">
        <f>_xll.qlIndexFixing(Index,R101,TRUE,InterestRatesTrigger)</f>
        <v>1.6018457307976002E-2</v>
      </c>
      <c r="W101" s="30">
        <f t="shared" si="11"/>
        <v>4.6520902408854307E-4</v>
      </c>
      <c r="X101" s="29">
        <f>_xll.qlDayCounterYearFraction(DayCounter,SettlementDate,S101,,,Trigger)</f>
        <v>8.2972222222222225</v>
      </c>
      <c r="Y101" s="29">
        <f>_xll.qlDayCounterYearFraction(DayCounter,S101,T101)</f>
        <v>9.166666666666666E-2</v>
      </c>
      <c r="Z101" s="29">
        <f>IF($M$13,_xll.qlYieldTSDiscount(Currency&amp;"ON",S101)/(1+V101*Y101),1)</f>
        <v>1</v>
      </c>
      <c r="AA101" s="30">
        <f>_xll.qlTenorBasisValue(TenorBasis1M,S101,InterestRatesTrigger)</f>
        <v>4.6622441568872959E-4</v>
      </c>
      <c r="AB101" s="74">
        <f t="shared" si="9"/>
        <v>1.6019472699576189E-2</v>
      </c>
      <c r="AC101" s="76">
        <f t="shared" si="10"/>
        <v>1.0000633888507904</v>
      </c>
    </row>
    <row r="102" spans="16:29" x14ac:dyDescent="0.2">
      <c r="P102" s="33">
        <v>1</v>
      </c>
      <c r="Q102" s="27" t="str">
        <f>_xll.qlPeriodEquivalent(Q101&amp;"+"&amp;P102&amp;"M")</f>
        <v>8Y3M</v>
      </c>
      <c r="R102" s="28">
        <f>_xll.qlCalendarAdvance(Calendar,SettlementDate,Q102,"f",,Trigger)</f>
        <v>45293</v>
      </c>
      <c r="S102" s="28">
        <f>_xll.qlInterestRateIndexValueDate(Index,R102,Trigger)</f>
        <v>45295</v>
      </c>
      <c r="T102" s="28">
        <f>_xll.qlInterestRateIndexMaturity(Index,S102,Trigger)</f>
        <v>45327</v>
      </c>
      <c r="U102" s="30">
        <f>_xll.qlIndexFixing($M$5,R102,TRUE,InterestRatesTrigger)</f>
        <v>1.5691165870814761E-2</v>
      </c>
      <c r="V102" s="74">
        <f>_xll.qlIndexFixing(Index,R102,TRUE,InterestRatesTrigger)</f>
        <v>1.6162799114526616E-2</v>
      </c>
      <c r="W102" s="30">
        <f t="shared" si="11"/>
        <v>4.7163324371185533E-4</v>
      </c>
      <c r="X102" s="29">
        <f>_xll.qlDayCounterYearFraction(DayCounter,SettlementDate,S102,,,Trigger)</f>
        <v>8.3777777777777782</v>
      </c>
      <c r="Y102" s="29">
        <f>_xll.qlDayCounterYearFraction(DayCounter,S102,T102)</f>
        <v>8.8888888888888892E-2</v>
      </c>
      <c r="Z102" s="29">
        <f>IF($M$13,_xll.qlYieldTSDiscount(Currency&amp;"ON",S102)/(1+V102*Y102),1)</f>
        <v>1</v>
      </c>
      <c r="AA102" s="30">
        <f>_xll.qlTenorBasisValue(TenorBasis1M,S102,InterestRatesTrigger)</f>
        <v>4.6353300998744725E-4</v>
      </c>
      <c r="AB102" s="74">
        <f t="shared" si="9"/>
        <v>1.6154698880802208E-2</v>
      </c>
      <c r="AC102" s="76">
        <f t="shared" si="10"/>
        <v>0.99949883472120071</v>
      </c>
    </row>
    <row r="103" spans="16:29" x14ac:dyDescent="0.2">
      <c r="P103" s="33">
        <v>1</v>
      </c>
      <c r="Q103" s="27" t="str">
        <f>_xll.qlPeriodEquivalent(Q102&amp;"+"&amp;P103&amp;"M")</f>
        <v>8Y4M</v>
      </c>
      <c r="R103" s="28">
        <f>_xll.qlCalendarAdvance(Calendar,SettlementDate,Q103,"f",,Trigger)</f>
        <v>45324</v>
      </c>
      <c r="S103" s="28">
        <f>_xll.qlInterestRateIndexValueDate(Index,R103,Trigger)</f>
        <v>45328</v>
      </c>
      <c r="T103" s="28">
        <f>_xll.qlInterestRateIndexMaturity(Index,S103,Trigger)</f>
        <v>45357</v>
      </c>
      <c r="U103" s="30">
        <f>_xll.qlIndexFixing($M$5,R103,TRUE,InterestRatesTrigger)</f>
        <v>1.5835395726616054E-2</v>
      </c>
      <c r="V103" s="74">
        <f>_xll.qlIndexFixing(Index,R103,TRUE,InterestRatesTrigger)</f>
        <v>1.6313522254775881E-2</v>
      </c>
      <c r="W103" s="30">
        <f t="shared" si="11"/>
        <v>4.7812652815982723E-4</v>
      </c>
      <c r="X103" s="29">
        <f>_xll.qlDayCounterYearFraction(DayCounter,SettlementDate,S103,,,Trigger)</f>
        <v>8.469444444444445</v>
      </c>
      <c r="Y103" s="29">
        <f>_xll.qlDayCounterYearFraction(DayCounter,S103,T103)</f>
        <v>8.0555555555555561E-2</v>
      </c>
      <c r="Z103" s="29">
        <f>IF($M$13,_xll.qlYieldTSDiscount(Currency&amp;"ON",S103)/(1+V103*Y103),1)</f>
        <v>1</v>
      </c>
      <c r="AA103" s="30">
        <f>_xll.qlTenorBasisValue(TenorBasis1M,S103,InterestRatesTrigger)</f>
        <v>4.6045247315384431E-4</v>
      </c>
      <c r="AB103" s="74">
        <f t="shared" si="9"/>
        <v>1.6295848199769897E-2</v>
      </c>
      <c r="AC103" s="76">
        <f t="shared" si="10"/>
        <v>0.9989166009197793</v>
      </c>
    </row>
    <row r="104" spans="16:29" x14ac:dyDescent="0.2">
      <c r="P104" s="33">
        <v>1</v>
      </c>
      <c r="Q104" s="27" t="str">
        <f>_xll.qlPeriodEquivalent(Q103&amp;"+"&amp;P104&amp;"M")</f>
        <v>8Y5M</v>
      </c>
      <c r="R104" s="28">
        <f>_xll.qlCalendarAdvance(Calendar,SettlementDate,Q104,"f",,Trigger)</f>
        <v>45355</v>
      </c>
      <c r="S104" s="28">
        <f>_xll.qlInterestRateIndexValueDate(Index,R104,Trigger)</f>
        <v>45357</v>
      </c>
      <c r="T104" s="28">
        <f>_xll.qlInterestRateIndexMaturity(Index,S104,Trigger)</f>
        <v>45390</v>
      </c>
      <c r="U104" s="30">
        <f>_xll.qlIndexFixing($M$5,R104,TRUE,InterestRatesTrigger)</f>
        <v>1.5971860000981216E-2</v>
      </c>
      <c r="V104" s="74">
        <f>_xll.qlIndexFixing(Index,R104,TRUE,InterestRatesTrigger)</f>
        <v>1.6455665411822681E-2</v>
      </c>
      <c r="W104" s="30">
        <f t="shared" si="11"/>
        <v>4.8380541084146536E-4</v>
      </c>
      <c r="X104" s="29">
        <f>_xll.qlDayCounterYearFraction(DayCounter,SettlementDate,S104,,,Trigger)</f>
        <v>8.5500000000000007</v>
      </c>
      <c r="Y104" s="29">
        <f>_xll.qlDayCounterYearFraction(DayCounter,S104,T104)</f>
        <v>9.166666666666666E-2</v>
      </c>
      <c r="Z104" s="29">
        <f>IF($M$13,_xll.qlYieldTSDiscount(Currency&amp;"ON",S104)/(1+V104*Y104),1)</f>
        <v>1</v>
      </c>
      <c r="AA104" s="30">
        <f>_xll.qlTenorBasisValue(TenorBasis1M,S104,InterestRatesTrigger)</f>
        <v>4.5773063278557296E-4</v>
      </c>
      <c r="AB104" s="74">
        <f t="shared" si="9"/>
        <v>1.642959063376679E-2</v>
      </c>
      <c r="AC104" s="76">
        <f t="shared" si="10"/>
        <v>0.99841545283017497</v>
      </c>
    </row>
    <row r="105" spans="16:29" x14ac:dyDescent="0.2">
      <c r="P105" s="33">
        <v>1</v>
      </c>
      <c r="Q105" s="27" t="str">
        <f>_xll.qlPeriodEquivalent(Q104&amp;"+"&amp;P105&amp;"M")</f>
        <v>8Y6M</v>
      </c>
      <c r="R105" s="28">
        <f>_xll.qlCalendarAdvance(Calendar,SettlementDate,Q105,"f",,Trigger)</f>
        <v>45384</v>
      </c>
      <c r="S105" s="28">
        <f>_xll.qlInterestRateIndexValueDate(Index,R105,Trigger)</f>
        <v>45386</v>
      </c>
      <c r="T105" s="28">
        <f>_xll.qlInterestRateIndexMaturity(Index,S105,Trigger)</f>
        <v>45418</v>
      </c>
      <c r="U105" s="30">
        <f>_xll.qlIndexFixing($M$5,R105,TRUE,InterestRatesTrigger)</f>
        <v>1.6088985247617871E-2</v>
      </c>
      <c r="V105" s="74">
        <f>_xll.qlIndexFixing(Index,R105,TRUE,InterestRatesTrigger)</f>
        <v>1.6576958536616559E-2</v>
      </c>
      <c r="W105" s="30">
        <f t="shared" si="11"/>
        <v>4.8797328899868875E-4</v>
      </c>
      <c r="X105" s="29">
        <f>_xll.qlDayCounterYearFraction(DayCounter,SettlementDate,S105,,,Trigger)</f>
        <v>8.6305555555555564</v>
      </c>
      <c r="Y105" s="29">
        <f>_xll.qlDayCounterYearFraction(DayCounter,S105,T105)</f>
        <v>8.8888888888888892E-2</v>
      </c>
      <c r="Z105" s="29">
        <f>IF($M$13,_xll.qlYieldTSDiscount(Currency&amp;"ON",S105)/(1+V105*Y105),1)</f>
        <v>1</v>
      </c>
      <c r="AA105" s="30">
        <f>_xll.qlTenorBasisValue(TenorBasis1M,S105,InterestRatesTrigger)</f>
        <v>4.549959787278553E-4</v>
      </c>
      <c r="AB105" s="74">
        <f t="shared" si="9"/>
        <v>1.6543981226345726E-2</v>
      </c>
      <c r="AC105" s="76">
        <f t="shared" si="10"/>
        <v>0.99801065375183329</v>
      </c>
    </row>
    <row r="106" spans="16:29" x14ac:dyDescent="0.2">
      <c r="P106" s="33">
        <v>1</v>
      </c>
      <c r="Q106" s="27" t="str">
        <f>_xll.qlPeriodEquivalent(Q105&amp;"+"&amp;P106&amp;"M")</f>
        <v>8Y7M</v>
      </c>
      <c r="R106" s="28">
        <f>_xll.qlCalendarAdvance(Calendar,SettlementDate,Q106,"f",,Trigger)</f>
        <v>45414</v>
      </c>
      <c r="S106" s="28">
        <f>_xll.qlInterestRateIndexValueDate(Index,R106,Trigger)</f>
        <v>45418</v>
      </c>
      <c r="T106" s="28">
        <f>_xll.qlInterestRateIndexMaturity(Index,S106,Trigger)</f>
        <v>45449</v>
      </c>
      <c r="U106" s="30">
        <f>_xll.qlIndexFixing($M$5,R106,TRUE,InterestRatesTrigger)</f>
        <v>1.6210893087150128E-2</v>
      </c>
      <c r="V106" s="74">
        <f>_xll.qlIndexFixing(Index,R106,TRUE,InterestRatesTrigger)</f>
        <v>1.6702148793741465E-2</v>
      </c>
      <c r="W106" s="30">
        <f t="shared" si="11"/>
        <v>4.9125570659133699E-4</v>
      </c>
      <c r="X106" s="29">
        <f>_xll.qlDayCounterYearFraction(DayCounter,SettlementDate,S106,,,Trigger)</f>
        <v>8.719444444444445</v>
      </c>
      <c r="Y106" s="29">
        <f>_xll.qlDayCounterYearFraction(DayCounter,S106,T106)</f>
        <v>8.611111111111111E-2</v>
      </c>
      <c r="Z106" s="29">
        <f>IF($M$13,_xll.qlYieldTSDiscount(Currency&amp;"ON",S106)/(1+V106*Y106),1)</f>
        <v>1</v>
      </c>
      <c r="AA106" s="30">
        <f>_xll.qlTenorBasisValue(TenorBasis1M,S106,InterestRatesTrigger)</f>
        <v>4.5196460916135001E-4</v>
      </c>
      <c r="AB106" s="74">
        <f t="shared" si="9"/>
        <v>1.6662857696311477E-2</v>
      </c>
      <c r="AC106" s="76">
        <f t="shared" si="10"/>
        <v>0.99764754236624265</v>
      </c>
    </row>
    <row r="107" spans="16:29" x14ac:dyDescent="0.2">
      <c r="P107" s="33">
        <v>1</v>
      </c>
      <c r="Q107" s="27" t="str">
        <f>_xll.qlPeriodEquivalent(Q106&amp;"+"&amp;P107&amp;"M")</f>
        <v>8Y8M</v>
      </c>
      <c r="R107" s="28">
        <f>_xll.qlCalendarAdvance(Calendar,SettlementDate,Q107,"f",,Trigger)</f>
        <v>45446</v>
      </c>
      <c r="S107" s="28">
        <f>_xll.qlInterestRateIndexValueDate(Index,R107,Trigger)</f>
        <v>45448</v>
      </c>
      <c r="T107" s="28">
        <f>_xll.qlInterestRateIndexMaturity(Index,S107,Trigger)</f>
        <v>45478</v>
      </c>
      <c r="U107" s="30">
        <f>_xll.qlIndexFixing($M$5,R107,TRUE,InterestRatesTrigger)</f>
        <v>1.6317820822862927E-2</v>
      </c>
      <c r="V107" s="74">
        <f>_xll.qlIndexFixing(Index,R107,TRUE,InterestRatesTrigger)</f>
        <v>1.681065108984825E-2</v>
      </c>
      <c r="W107" s="30">
        <f t="shared" si="11"/>
        <v>4.928302669853224E-4</v>
      </c>
      <c r="X107" s="29">
        <f>_xll.qlDayCounterYearFraction(DayCounter,SettlementDate,S107,,,Trigger)</f>
        <v>8.8027777777777771</v>
      </c>
      <c r="Y107" s="29">
        <f>_xll.qlDayCounterYearFraction(DayCounter,S107,T107)</f>
        <v>8.3333333333333329E-2</v>
      </c>
      <c r="Z107" s="29">
        <f>IF($M$13,_xll.qlYieldTSDiscount(Currency&amp;"ON",S107)/(1+V107*Y107),1)</f>
        <v>1</v>
      </c>
      <c r="AA107" s="30">
        <f>_xll.qlTenorBasisValue(TenorBasis1M,S107,InterestRatesTrigger)</f>
        <v>4.4911051721258376E-4</v>
      </c>
      <c r="AB107" s="74">
        <f t="shared" si="9"/>
        <v>1.6766931340075512E-2</v>
      </c>
      <c r="AC107" s="76">
        <f t="shared" si="10"/>
        <v>0.99739928277976453</v>
      </c>
    </row>
    <row r="108" spans="16:29" x14ac:dyDescent="0.2">
      <c r="P108" s="33">
        <v>1</v>
      </c>
      <c r="Q108" s="27" t="str">
        <f>_xll.qlPeriodEquivalent(Q107&amp;"+"&amp;P108&amp;"M")</f>
        <v>8Y9M</v>
      </c>
      <c r="R108" s="28">
        <f>_xll.qlCalendarAdvance(Calendar,SettlementDate,Q108,"f",,Trigger)</f>
        <v>45475</v>
      </c>
      <c r="S108" s="28">
        <f>_xll.qlInterestRateIndexValueDate(Index,R108,Trigger)</f>
        <v>45477</v>
      </c>
      <c r="T108" s="28">
        <f>_xll.qlInterestRateIndexMaturity(Index,S108,Trigger)</f>
        <v>45509</v>
      </c>
      <c r="U108" s="30">
        <f>_xll.qlIndexFixing($M$5,R108,TRUE,InterestRatesTrigger)</f>
        <v>1.6420469085921263E-2</v>
      </c>
      <c r="V108" s="74">
        <f>_xll.qlIndexFixing(Index,R108,TRUE,InterestRatesTrigger)</f>
        <v>1.6913228701997129E-2</v>
      </c>
      <c r="W108" s="30">
        <f t="shared" si="11"/>
        <v>4.9275961607586627E-4</v>
      </c>
      <c r="X108" s="29">
        <f>_xll.qlDayCounterYearFraction(DayCounter,SettlementDate,S108,,,Trigger)</f>
        <v>8.8833333333333329</v>
      </c>
      <c r="Y108" s="29">
        <f>_xll.qlDayCounterYearFraction(DayCounter,S108,T108)</f>
        <v>8.8888888888888892E-2</v>
      </c>
      <c r="Z108" s="29">
        <f>IF($M$13,_xll.qlYieldTSDiscount(Currency&amp;"ON",S108)/(1+V108*Y108),1)</f>
        <v>1</v>
      </c>
      <c r="AA108" s="30">
        <f>_xll.qlTenorBasisValue(TenorBasis1M,S108,InterestRatesTrigger)</f>
        <v>4.4634123812024927E-4</v>
      </c>
      <c r="AB108" s="74">
        <f t="shared" si="9"/>
        <v>1.6866810324041512E-2</v>
      </c>
      <c r="AC108" s="76">
        <f t="shared" si="10"/>
        <v>0.99725549871207397</v>
      </c>
    </row>
    <row r="109" spans="16:29" x14ac:dyDescent="0.2">
      <c r="P109" s="33">
        <v>1</v>
      </c>
      <c r="Q109" s="27" t="str">
        <f>_xll.qlPeriodEquivalent(Q108&amp;"+"&amp;P109&amp;"M")</f>
        <v>8Y10M</v>
      </c>
      <c r="R109" s="28">
        <f>_xll.qlCalendarAdvance(Calendar,SettlementDate,Q109,"f",,Trigger)</f>
        <v>45506</v>
      </c>
      <c r="S109" s="28">
        <f>_xll.qlInterestRateIndexValueDate(Index,R109,Trigger)</f>
        <v>45510</v>
      </c>
      <c r="T109" s="28">
        <f>_xll.qlInterestRateIndexMaturity(Index,S109,Trigger)</f>
        <v>45541</v>
      </c>
      <c r="U109" s="30">
        <f>_xll.qlIndexFixing($M$5,R109,TRUE,InterestRatesTrigger)</f>
        <v>1.652242085828589E-2</v>
      </c>
      <c r="V109" s="74">
        <f>_xll.qlIndexFixing(Index,R109,TRUE,InterestRatesTrigger)</f>
        <v>1.7012812916315529E-2</v>
      </c>
      <c r="W109" s="30">
        <f t="shared" si="11"/>
        <v>4.9039205802963934E-4</v>
      </c>
      <c r="X109" s="29">
        <f>_xll.qlDayCounterYearFraction(DayCounter,SettlementDate,S109,,,Trigger)</f>
        <v>8.9749999999999996</v>
      </c>
      <c r="Y109" s="29">
        <f>_xll.qlDayCounterYearFraction(DayCounter,S109,T109)</f>
        <v>8.611111111111111E-2</v>
      </c>
      <c r="Z109" s="29">
        <f>IF($M$13,_xll.qlYieldTSDiscount(Currency&amp;"ON",S109)/(1+V109*Y109),1)</f>
        <v>1</v>
      </c>
      <c r="AA109" s="30">
        <f>_xll.qlTenorBasisValue(TenorBasis1M,S109,InterestRatesTrigger)</f>
        <v>4.4317868409664572E-4</v>
      </c>
      <c r="AB109" s="74">
        <f t="shared" si="9"/>
        <v>1.6965599542382536E-2</v>
      </c>
      <c r="AC109" s="76">
        <f t="shared" si="10"/>
        <v>0.99722483435483411</v>
      </c>
    </row>
    <row r="110" spans="16:29" x14ac:dyDescent="0.2">
      <c r="P110" s="33">
        <v>1</v>
      </c>
      <c r="Q110" s="27" t="str">
        <f>_xll.qlPeriodEquivalent(Q109&amp;"+"&amp;P110&amp;"M")</f>
        <v>8Y11M</v>
      </c>
      <c r="R110" s="28">
        <f>_xll.qlCalendarAdvance(Calendar,SettlementDate,Q110,"f",,Trigger)</f>
        <v>45537</v>
      </c>
      <c r="S110" s="28">
        <f>_xll.qlInterestRateIndexValueDate(Index,R110,Trigger)</f>
        <v>45539</v>
      </c>
      <c r="T110" s="28">
        <f>_xll.qlInterestRateIndexMaturity(Index,S110,Trigger)</f>
        <v>45569</v>
      </c>
      <c r="U110" s="30">
        <f>_xll.qlIndexFixing($M$5,R110,TRUE,InterestRatesTrigger)</f>
        <v>1.6604808958516237E-2</v>
      </c>
      <c r="V110" s="74">
        <f>_xll.qlIndexFixing(Index,R110,TRUE,InterestRatesTrigger)</f>
        <v>1.7090978397028778E-2</v>
      </c>
      <c r="W110" s="30">
        <f t="shared" si="11"/>
        <v>4.8616943851254035E-4</v>
      </c>
      <c r="X110" s="29">
        <f>_xll.qlDayCounterYearFraction(DayCounter,SettlementDate,S110,,,Trigger)</f>
        <v>9.0555555555555554</v>
      </c>
      <c r="Y110" s="29">
        <f>_xll.qlDayCounterYearFraction(DayCounter,S110,T110)</f>
        <v>8.3333333333333329E-2</v>
      </c>
      <c r="Z110" s="29">
        <f>IF($M$13,_xll.qlYieldTSDiscount(Currency&amp;"ON",S110)/(1+V110*Y110),1)</f>
        <v>1</v>
      </c>
      <c r="AA110" s="30">
        <f>_xll.qlTenorBasisValue(TenorBasis1M,S110,InterestRatesTrigger)</f>
        <v>4.4039041458864264E-4</v>
      </c>
      <c r="AB110" s="74">
        <f t="shared" si="9"/>
        <v>1.7045199373104881E-2</v>
      </c>
      <c r="AC110" s="76">
        <f t="shared" si="10"/>
        <v>0.99732145095146485</v>
      </c>
    </row>
    <row r="111" spans="16:29" x14ac:dyDescent="0.2">
      <c r="P111" s="33">
        <v>1</v>
      </c>
      <c r="Q111" s="27" t="str">
        <f>_xll.qlPeriodEquivalent(Q110&amp;"+"&amp;P111&amp;"M")</f>
        <v>9Y</v>
      </c>
      <c r="R111" s="28">
        <f>_xll.qlCalendarAdvance(Calendar,SettlementDate,Q111,"f",,Trigger)</f>
        <v>45567</v>
      </c>
      <c r="S111" s="28">
        <f>_xll.qlInterestRateIndexValueDate(Index,R111,Trigger)</f>
        <v>45569</v>
      </c>
      <c r="T111" s="28">
        <f>_xll.qlInterestRateIndexMaturity(Index,S111,Trigger)</f>
        <v>45600</v>
      </c>
      <c r="U111" s="30">
        <f>_xll.qlIndexFixing($M$5,R111,TRUE,InterestRatesTrigger)</f>
        <v>1.6688932950707343E-2</v>
      </c>
      <c r="V111" s="74">
        <f>_xll.qlIndexFixing(Index,R111,TRUE,InterestRatesTrigger)</f>
        <v>1.7168354792208251E-2</v>
      </c>
      <c r="W111" s="30">
        <f t="shared" si="11"/>
        <v>4.7942184150090786E-4</v>
      </c>
      <c r="X111" s="29">
        <f>_xll.qlDayCounterYearFraction(DayCounter,SettlementDate,S111,,,Trigger)</f>
        <v>9.1388888888888893</v>
      </c>
      <c r="Y111" s="29">
        <f>_xll.qlDayCounterYearFraction(DayCounter,S111,T111)</f>
        <v>8.611111111111111E-2</v>
      </c>
      <c r="Z111" s="29">
        <f>IF($M$13,_xll.qlYieldTSDiscount(Currency&amp;"ON",S111)/(1+V111*Y111),1)</f>
        <v>1</v>
      </c>
      <c r="AA111" s="30">
        <f>_xll.qlTenorBasisValue(TenorBasis1M,S111,InterestRatesTrigger)</f>
        <v>4.3749793581158498E-4</v>
      </c>
      <c r="AB111" s="74">
        <f t="shared" si="9"/>
        <v>1.7126430886518929E-2</v>
      </c>
      <c r="AC111" s="76">
        <f t="shared" si="10"/>
        <v>0.99755807086953097</v>
      </c>
    </row>
    <row r="112" spans="16:29" x14ac:dyDescent="0.2">
      <c r="P112" s="33">
        <v>1</v>
      </c>
      <c r="Q112" s="27" t="str">
        <f>_xll.qlPeriodEquivalent(Q111&amp;"+"&amp;P112&amp;"M")</f>
        <v>9Y1M</v>
      </c>
      <c r="R112" s="28">
        <f>_xll.qlCalendarAdvance(Calendar,SettlementDate,Q112,"f",,Trigger)</f>
        <v>45600</v>
      </c>
      <c r="S112" s="28">
        <f>_xll.qlInterestRateIndexValueDate(Index,R112,Trigger)</f>
        <v>45602</v>
      </c>
      <c r="T112" s="28">
        <f>_xll.qlInterestRateIndexMaturity(Index,S112,Trigger)</f>
        <v>45632</v>
      </c>
      <c r="U112" s="30">
        <f>_xll.qlIndexFixing($M$5,R112,TRUE,InterestRatesTrigger)</f>
        <v>1.6780716143377283E-2</v>
      </c>
      <c r="V112" s="74">
        <f>_xll.qlIndexFixing(Index,R112,TRUE,InterestRatesTrigger)</f>
        <v>1.7250961911752682E-2</v>
      </c>
      <c r="W112" s="30">
        <f t="shared" si="11"/>
        <v>4.7024576837539911E-4</v>
      </c>
      <c r="X112" s="29">
        <f>_xll.qlDayCounterYearFraction(DayCounter,SettlementDate,S112,,,Trigger)</f>
        <v>9.2305555555555561</v>
      </c>
      <c r="Y112" s="29">
        <f>_xll.qlDayCounterYearFraction(DayCounter,S112,T112)</f>
        <v>8.3333333333333329E-2</v>
      </c>
      <c r="Z112" s="29">
        <f>IF($M$13,_xll.qlYieldTSDiscount(Currency&amp;"ON",S112)/(1+V112*Y112),1)</f>
        <v>1</v>
      </c>
      <c r="AA112" s="30">
        <f>_xll.qlTenorBasisValue(TenorBasis1M,S112,InterestRatesTrigger)</f>
        <v>4.3430771321989855E-4</v>
      </c>
      <c r="AB112" s="74">
        <f t="shared" si="9"/>
        <v>1.7215023856597182E-2</v>
      </c>
      <c r="AC112" s="76">
        <f t="shared" si="10"/>
        <v>0.99791675065197283</v>
      </c>
    </row>
    <row r="113" spans="16:29" x14ac:dyDescent="0.2">
      <c r="P113" s="33">
        <v>1</v>
      </c>
      <c r="Q113" s="27" t="str">
        <f>_xll.qlPeriodEquivalent(Q112&amp;"+"&amp;P113&amp;"M")</f>
        <v>9Y2M</v>
      </c>
      <c r="R113" s="28">
        <f>_xll.qlCalendarAdvance(Calendar,SettlementDate,Q113,"f",,Trigger)</f>
        <v>45628</v>
      </c>
      <c r="S113" s="28">
        <f>_xll.qlInterestRateIndexValueDate(Index,R113,Trigger)</f>
        <v>45630</v>
      </c>
      <c r="T113" s="28">
        <f>_xll.qlInterestRateIndexMaturity(Index,S113,Trigger)</f>
        <v>45663</v>
      </c>
      <c r="U113" s="30">
        <f>_xll.qlIndexFixing($M$5,R113,TRUE,InterestRatesTrigger)</f>
        <v>1.6869707705478021E-2</v>
      </c>
      <c r="V113" s="74">
        <f>_xll.qlIndexFixing(Index,R113,TRUE,InterestRatesTrigger)</f>
        <v>1.7330258363631144E-2</v>
      </c>
      <c r="W113" s="30">
        <f t="shared" si="11"/>
        <v>4.6055065815312282E-4</v>
      </c>
      <c r="X113" s="29">
        <f>_xll.qlDayCounterYearFraction(DayCounter,SettlementDate,S113,,,Trigger)</f>
        <v>9.3083333333333336</v>
      </c>
      <c r="Y113" s="29">
        <f>_xll.qlDayCounterYearFraction(DayCounter,S113,T113)</f>
        <v>9.166666666666666E-2</v>
      </c>
      <c r="Z113" s="29">
        <f>IF($M$13,_xll.qlYieldTSDiscount(Currency&amp;"ON",S113)/(1+V113*Y113),1)</f>
        <v>1</v>
      </c>
      <c r="AA113" s="30">
        <f>_xll.qlTenorBasisValue(TenorBasis1M,S113,InterestRatesTrigger)</f>
        <v>4.3159464795365822E-4</v>
      </c>
      <c r="AB113" s="74">
        <f t="shared" si="9"/>
        <v>1.7301302353431681E-2</v>
      </c>
      <c r="AC113" s="76">
        <f t="shared" si="10"/>
        <v>0.99832916454031473</v>
      </c>
    </row>
    <row r="114" spans="16:29" x14ac:dyDescent="0.2">
      <c r="P114" s="33">
        <v>1</v>
      </c>
      <c r="Q114" s="27" t="str">
        <f>_xll.qlPeriodEquivalent(Q113&amp;"+"&amp;P114&amp;"M")</f>
        <v>9Y3M</v>
      </c>
      <c r="R114" s="28">
        <f>_xll.qlCalendarAdvance(Calendar,SettlementDate,Q114,"f",,Trigger)</f>
        <v>45659</v>
      </c>
      <c r="S114" s="28">
        <f>_xll.qlInterestRateIndexValueDate(Index,R114,Trigger)</f>
        <v>45663</v>
      </c>
      <c r="T114" s="28">
        <f>_xll.qlInterestRateIndexMaturity(Index,S114,Trigger)</f>
        <v>45694</v>
      </c>
      <c r="U114" s="30">
        <f>_xll.qlIndexFixing($M$5,R114,TRUE,InterestRatesTrigger)</f>
        <v>1.6968518366909113E-2</v>
      </c>
      <c r="V114" s="74">
        <f>_xll.qlIndexFixing(Index,R114,TRUE,InterestRatesTrigger)</f>
        <v>1.7417141357631911E-2</v>
      </c>
      <c r="W114" s="30">
        <f t="shared" si="11"/>
        <v>4.4862299072279815E-4</v>
      </c>
      <c r="X114" s="29">
        <f>_xll.qlDayCounterYearFraction(DayCounter,SettlementDate,S114,,,Trigger)</f>
        <v>9.4</v>
      </c>
      <c r="Y114" s="29">
        <f>_xll.qlDayCounterYearFraction(DayCounter,S114,T114)</f>
        <v>8.611111111111111E-2</v>
      </c>
      <c r="Z114" s="29">
        <f>IF($M$13,_xll.qlYieldTSDiscount(Currency&amp;"ON",S114)/(1+V114*Y114),1)</f>
        <v>1</v>
      </c>
      <c r="AA114" s="30">
        <f>_xll.qlTenorBasisValue(TenorBasis1M,S114,InterestRatesTrigger)</f>
        <v>4.2839069976928815E-4</v>
      </c>
      <c r="AB114" s="74">
        <f t="shared" si="9"/>
        <v>1.7396909066678401E-2</v>
      </c>
      <c r="AC114" s="76">
        <f t="shared" si="10"/>
        <v>0.99883836902175427</v>
      </c>
    </row>
    <row r="115" spans="16:29" x14ac:dyDescent="0.2">
      <c r="P115" s="33">
        <v>1</v>
      </c>
      <c r="Q115" s="27" t="str">
        <f>_xll.qlPeriodEquivalent(Q114&amp;"+"&amp;P115&amp;"M")</f>
        <v>9Y4M</v>
      </c>
      <c r="R115" s="28">
        <f>_xll.qlCalendarAdvance(Calendar,SettlementDate,Q115,"f",,Trigger)</f>
        <v>45691</v>
      </c>
      <c r="S115" s="28">
        <f>_xll.qlInterestRateIndexValueDate(Index,R115,Trigger)</f>
        <v>45693</v>
      </c>
      <c r="T115" s="28">
        <f>_xll.qlInterestRateIndexMaturity(Index,S115,Trigger)</f>
        <v>45721</v>
      </c>
      <c r="U115" s="30">
        <f>_xll.qlIndexFixing($M$5,R115,TRUE,InterestRatesTrigger)</f>
        <v>1.705986593350195E-2</v>
      </c>
      <c r="V115" s="74">
        <f>_xll.qlIndexFixing(Index,R115,TRUE,InterestRatesTrigger)</f>
        <v>1.7496884348677799E-2</v>
      </c>
      <c r="W115" s="30">
        <f t="shared" si="11"/>
        <v>4.3701841517584938E-4</v>
      </c>
      <c r="X115" s="29">
        <f>_xll.qlDayCounterYearFraction(DayCounter,SettlementDate,S115,,,Trigger)</f>
        <v>9.4833333333333325</v>
      </c>
      <c r="Y115" s="29">
        <f>_xll.qlDayCounterYearFraction(DayCounter,S115,T115)</f>
        <v>7.7777777777777779E-2</v>
      </c>
      <c r="Z115" s="29">
        <f>IF($M$13,_xll.qlYieldTSDiscount(Currency&amp;"ON",S115)/(1+V115*Y115),1)</f>
        <v>1</v>
      </c>
      <c r="AA115" s="30">
        <f>_xll.qlTenorBasisValue(TenorBasis1M,S115,InterestRatesTrigger)</f>
        <v>4.2547280969576777E-4</v>
      </c>
      <c r="AB115" s="74">
        <f t="shared" si="9"/>
        <v>1.7485338743197718E-2</v>
      </c>
      <c r="AC115" s="76">
        <f t="shared" si="10"/>
        <v>0.99934013363465168</v>
      </c>
    </row>
    <row r="116" spans="16:29" x14ac:dyDescent="0.2">
      <c r="P116" s="33">
        <v>1</v>
      </c>
      <c r="Q116" s="27" t="str">
        <f>_xll.qlPeriodEquivalent(Q115&amp;"+"&amp;P116&amp;"M")</f>
        <v>9Y5M</v>
      </c>
      <c r="R116" s="28">
        <f>_xll.qlCalendarAdvance(Calendar,SettlementDate,Q116,"f",,Trigger)</f>
        <v>45719</v>
      </c>
      <c r="S116" s="28">
        <f>_xll.qlInterestRateIndexValueDate(Index,R116,Trigger)</f>
        <v>45721</v>
      </c>
      <c r="T116" s="28">
        <f>_xll.qlInterestRateIndexMaturity(Index,S116,Trigger)</f>
        <v>45754</v>
      </c>
      <c r="U116" s="30">
        <f>_xll.qlIndexFixing($M$5,R116,TRUE,InterestRatesTrigger)</f>
        <v>1.7165076968247529E-2</v>
      </c>
      <c r="V116" s="74">
        <f>_xll.qlIndexFixing(Index,R116,TRUE,InterestRatesTrigger)</f>
        <v>1.7589036063411324E-2</v>
      </c>
      <c r="W116" s="30">
        <f t="shared" si="11"/>
        <v>4.2395909516379504E-4</v>
      </c>
      <c r="X116" s="29">
        <f>_xll.qlDayCounterYearFraction(DayCounter,SettlementDate,S116,,,Trigger)</f>
        <v>9.5611111111111118</v>
      </c>
      <c r="Y116" s="29">
        <f>_xll.qlDayCounterYearFraction(DayCounter,S116,T116)</f>
        <v>9.166666666666666E-2</v>
      </c>
      <c r="Z116" s="29">
        <f>IF($M$13,_xll.qlYieldTSDiscount(Currency&amp;"ON",S116)/(1+V116*Y116),1)</f>
        <v>1</v>
      </c>
      <c r="AA116" s="30">
        <f>_xll.qlTenorBasisValue(TenorBasis1M,S116,InterestRatesTrigger)</f>
        <v>4.2274564258971151E-4</v>
      </c>
      <c r="AB116" s="74">
        <f t="shared" si="9"/>
        <v>1.7587822610837241E-2</v>
      </c>
      <c r="AC116" s="76">
        <f t="shared" si="10"/>
        <v>0.99993101085416458</v>
      </c>
    </row>
    <row r="117" spans="16:29" x14ac:dyDescent="0.2">
      <c r="P117" s="33">
        <v>1</v>
      </c>
      <c r="Q117" s="27" t="str">
        <f>_xll.qlPeriodEquivalent(Q116&amp;"+"&amp;P117&amp;"M")</f>
        <v>9Y6M</v>
      </c>
      <c r="R117" s="28">
        <f>_xll.qlCalendarAdvance(Calendar,SettlementDate,Q117,"f",,Trigger)</f>
        <v>45749</v>
      </c>
      <c r="S117" s="28">
        <f>_xll.qlInterestRateIndexValueDate(Index,R117,Trigger)</f>
        <v>45751</v>
      </c>
      <c r="T117" s="28">
        <f>_xll.qlInterestRateIndexMaturity(Index,S117,Trigger)</f>
        <v>45782</v>
      </c>
      <c r="U117" s="30">
        <f>_xll.qlIndexFixing($M$5,R117,TRUE,InterestRatesTrigger)</f>
        <v>1.7266154910795098E-2</v>
      </c>
      <c r="V117" s="74">
        <f>_xll.qlIndexFixing(Index,R117,TRUE,InterestRatesTrigger)</f>
        <v>1.7676998907984375E-2</v>
      </c>
      <c r="W117" s="30">
        <f t="shared" si="11"/>
        <v>4.1084399718927661E-4</v>
      </c>
      <c r="X117" s="29">
        <f>_xll.qlDayCounterYearFraction(DayCounter,SettlementDate,S117,,,Trigger)</f>
        <v>9.6444444444444439</v>
      </c>
      <c r="Y117" s="29">
        <f>_xll.qlDayCounterYearFraction(DayCounter,S117,T117)</f>
        <v>8.611111111111111E-2</v>
      </c>
      <c r="Z117" s="29">
        <f>IF($M$13,_xll.qlYieldTSDiscount(Currency&amp;"ON",S117)/(1+V117*Y117),1)</f>
        <v>1</v>
      </c>
      <c r="AA117" s="30">
        <f>_xll.qlTenorBasisValue(TenorBasis1M,S117,InterestRatesTrigger)</f>
        <v>4.1982028192390816E-4</v>
      </c>
      <c r="AB117" s="74">
        <f t="shared" si="9"/>
        <v>1.7685975192719007E-2</v>
      </c>
      <c r="AC117" s="76">
        <f t="shared" si="10"/>
        <v>1.0005077946081999</v>
      </c>
    </row>
    <row r="118" spans="16:29" x14ac:dyDescent="0.2">
      <c r="P118" s="33">
        <v>1</v>
      </c>
      <c r="Q118" s="27" t="str">
        <f>_xll.qlPeriodEquivalent(Q117&amp;"+"&amp;P118&amp;"M")</f>
        <v>9Y7M</v>
      </c>
      <c r="R118" s="28">
        <f>_xll.qlCalendarAdvance(Calendar,SettlementDate,Q118,"f",,Trigger)</f>
        <v>45779</v>
      </c>
      <c r="S118" s="28">
        <f>_xll.qlInterestRateIndexValueDate(Index,R118,Trigger)</f>
        <v>45783</v>
      </c>
      <c r="T118" s="28">
        <f>_xll.qlInterestRateIndexMaturity(Index,S118,Trigger)</f>
        <v>45814</v>
      </c>
      <c r="U118" s="30">
        <f>_xll.qlIndexFixing($M$5,R118,TRUE,InterestRatesTrigger)</f>
        <v>1.7382993580478876E-2</v>
      </c>
      <c r="V118" s="74">
        <f>_xll.qlIndexFixing(Index,R118,TRUE,InterestRatesTrigger)</f>
        <v>1.7778984148067032E-2</v>
      </c>
      <c r="W118" s="30">
        <f t="shared" si="11"/>
        <v>3.9599056758815587E-4</v>
      </c>
      <c r="X118" s="29">
        <f>_xll.qlDayCounterYearFraction(DayCounter,SettlementDate,S118,,,Trigger)</f>
        <v>9.7333333333333325</v>
      </c>
      <c r="Y118" s="29">
        <f>_xll.qlDayCounterYearFraction(DayCounter,S118,T118)</f>
        <v>8.611111111111111E-2</v>
      </c>
      <c r="Z118" s="29">
        <f>IF($M$13,_xll.qlYieldTSDiscount(Currency&amp;"ON",S118)/(1+V118*Y118),1)</f>
        <v>1</v>
      </c>
      <c r="AA118" s="30">
        <f>_xll.qlTenorBasisValue(TenorBasis1M,S118,InterestRatesTrigger)</f>
        <v>4.1669679494995616E-4</v>
      </c>
      <c r="AB118" s="74">
        <f t="shared" si="9"/>
        <v>1.7799690375428834E-2</v>
      </c>
      <c r="AC118" s="76">
        <f t="shared" si="10"/>
        <v>1.0011646462581527</v>
      </c>
    </row>
    <row r="119" spans="16:29" x14ac:dyDescent="0.2">
      <c r="P119" s="33">
        <v>1</v>
      </c>
      <c r="Q119" s="27" t="str">
        <f>_xll.qlPeriodEquivalent(Q118&amp;"+"&amp;P119&amp;"M")</f>
        <v>9Y8M</v>
      </c>
      <c r="R119" s="28">
        <f>_xll.qlCalendarAdvance(Calendar,SettlementDate,Q119,"f",,Trigger)</f>
        <v>45810</v>
      </c>
      <c r="S119" s="28">
        <f>_xll.qlInterestRateIndexValueDate(Index,R119,Trigger)</f>
        <v>45812</v>
      </c>
      <c r="T119" s="28">
        <f>_xll.qlInterestRateIndexMaturity(Index,S119,Trigger)</f>
        <v>45842</v>
      </c>
      <c r="U119" s="30">
        <f>_xll.qlIndexFixing($M$5,R119,TRUE,InterestRatesTrigger)</f>
        <v>1.7490481954741455E-2</v>
      </c>
      <c r="V119" s="74">
        <f>_xll.qlIndexFixing(Index,R119,TRUE,InterestRatesTrigger)</f>
        <v>1.78730446676445E-2</v>
      </c>
      <c r="W119" s="30">
        <f t="shared" si="11"/>
        <v>3.8256271290304511E-4</v>
      </c>
      <c r="X119" s="29">
        <f>_xll.qlDayCounterYearFraction(DayCounter,SettlementDate,S119,,,Trigger)</f>
        <v>9.8138888888888882</v>
      </c>
      <c r="Y119" s="29">
        <f>_xll.qlDayCounterYearFraction(DayCounter,S119,T119)</f>
        <v>8.3333333333333329E-2</v>
      </c>
      <c r="Z119" s="29">
        <f>IF($M$13,_xll.qlYieldTSDiscount(Currency&amp;"ON",S119)/(1+V119*Y119),1)</f>
        <v>1</v>
      </c>
      <c r="AA119" s="30">
        <f>_xll.qlTenorBasisValue(TenorBasis1M,S119,InterestRatesTrigger)</f>
        <v>4.1386404386471617E-4</v>
      </c>
      <c r="AB119" s="74">
        <f t="shared" si="9"/>
        <v>1.7904345998606172E-2</v>
      </c>
      <c r="AC119" s="76">
        <f t="shared" si="10"/>
        <v>1.0017513149854282</v>
      </c>
    </row>
    <row r="120" spans="16:29" x14ac:dyDescent="0.2">
      <c r="P120" s="33">
        <v>1</v>
      </c>
      <c r="Q120" s="27" t="str">
        <f>_xll.qlPeriodEquivalent(Q119&amp;"+"&amp;P120&amp;"M")</f>
        <v>9Y9M</v>
      </c>
      <c r="R120" s="28">
        <f>_xll.qlCalendarAdvance(Calendar,SettlementDate,Q120,"f",,Trigger)</f>
        <v>45840</v>
      </c>
      <c r="S120" s="28">
        <f>_xll.qlInterestRateIndexValueDate(Index,R120,Trigger)</f>
        <v>45842</v>
      </c>
      <c r="T120" s="28">
        <f>_xll.qlInterestRateIndexMaturity(Index,S120,Trigger)</f>
        <v>45873</v>
      </c>
      <c r="U120" s="30">
        <f>_xll.qlIndexFixing($M$5,R120,TRUE,InterestRatesTrigger)</f>
        <v>1.7610449936515376E-2</v>
      </c>
      <c r="V120" s="74">
        <f>_xll.qlIndexFixing(Index,R120,TRUE,InterestRatesTrigger)</f>
        <v>1.7978698492919776E-2</v>
      </c>
      <c r="W120" s="30">
        <f t="shared" si="11"/>
        <v>3.6824855640439982E-4</v>
      </c>
      <c r="X120" s="29">
        <f>_xll.qlDayCounterYearFraction(DayCounter,SettlementDate,S120,,,Trigger)</f>
        <v>9.8972222222222221</v>
      </c>
      <c r="Y120" s="29">
        <f>_xll.qlDayCounterYearFraction(DayCounter,S120,T120)</f>
        <v>8.611111111111111E-2</v>
      </c>
      <c r="Z120" s="29">
        <f>IF($M$13,_xll.qlYieldTSDiscount(Currency&amp;"ON",S120)/(1+V120*Y120),1)</f>
        <v>1</v>
      </c>
      <c r="AA120" s="30">
        <f>_xll.qlTenorBasisValue(TenorBasis1M,S120,InterestRatesTrigger)</f>
        <v>4.1093217604660365E-4</v>
      </c>
      <c r="AB120" s="74">
        <f t="shared" si="9"/>
        <v>1.802138211256198E-2</v>
      </c>
      <c r="AC120" s="76">
        <f t="shared" si="10"/>
        <v>1.00237412177856</v>
      </c>
    </row>
    <row r="121" spans="16:29" x14ac:dyDescent="0.2">
      <c r="P121" s="33">
        <v>1</v>
      </c>
      <c r="Q121" s="27" t="str">
        <f>_xll.qlPeriodEquivalent(Q120&amp;"+"&amp;P121&amp;"M")</f>
        <v>9Y10M</v>
      </c>
      <c r="R121" s="28">
        <f>_xll.qlCalendarAdvance(Calendar,SettlementDate,Q121,"f",,Trigger)</f>
        <v>45873</v>
      </c>
      <c r="S121" s="28">
        <f>_xll.qlInterestRateIndexValueDate(Index,R121,Trigger)</f>
        <v>45875</v>
      </c>
      <c r="T121" s="28">
        <f>_xll.qlInterestRateIndexMaturity(Index,S121,Trigger)</f>
        <v>45908</v>
      </c>
      <c r="U121" s="30">
        <f>_xll.qlIndexFixing($M$5,R121,TRUE,InterestRatesTrigger)</f>
        <v>1.7749513186775739E-2</v>
      </c>
      <c r="V121" s="74">
        <f>_xll.qlIndexFixing(Index,R121,TRUE,InterestRatesTrigger)</f>
        <v>1.8102098027520084E-2</v>
      </c>
      <c r="W121" s="30">
        <f t="shared" si="11"/>
        <v>3.5258484074434521E-4</v>
      </c>
      <c r="X121" s="29">
        <f>_xll.qlDayCounterYearFraction(DayCounter,SettlementDate,S121,,,Trigger)</f>
        <v>9.9888888888888889</v>
      </c>
      <c r="Y121" s="29">
        <f>_xll.qlDayCounterYearFraction(DayCounter,S121,T121)</f>
        <v>9.166666666666666E-2</v>
      </c>
      <c r="Z121" s="29">
        <f>IF($M$13,_xll.qlYieldTSDiscount(Currency&amp;"ON",S121)/(1+V121*Y121),1)</f>
        <v>1</v>
      </c>
      <c r="AA121" s="30">
        <f>_xll.qlTenorBasisValue(TenorBasis1M,S121,InterestRatesTrigger)</f>
        <v>4.0770619226747709E-4</v>
      </c>
      <c r="AB121" s="74">
        <f t="shared" si="9"/>
        <v>1.8157219379043216E-2</v>
      </c>
      <c r="AC121" s="76">
        <f t="shared" si="10"/>
        <v>1.0030450255787662</v>
      </c>
    </row>
    <row r="122" spans="16:29" x14ac:dyDescent="0.2">
      <c r="P122" s="33">
        <v>1</v>
      </c>
      <c r="Q122" s="27" t="str">
        <f>_xll.qlPeriodEquivalent(Q121&amp;"+"&amp;P122&amp;"M")</f>
        <v>9Y11M</v>
      </c>
      <c r="R122" s="28">
        <f>_xll.qlCalendarAdvance(Calendar,SettlementDate,Q122,"f",,Trigger)</f>
        <v>45902</v>
      </c>
      <c r="S122" s="28">
        <f>_xll.qlInterestRateIndexValueDate(Index,R122,Trigger)</f>
        <v>45904</v>
      </c>
      <c r="T122" s="28">
        <f>_xll.qlInterestRateIndexMaturity(Index,S122,Trigger)</f>
        <v>45936</v>
      </c>
      <c r="U122" s="30">
        <f>_xll.qlIndexFixing($M$5,R122,TRUE,InterestRatesTrigger)</f>
        <v>1.7868873133895236E-2</v>
      </c>
      <c r="V122" s="74">
        <f>_xll.qlIndexFixing(Index,R122,TRUE,InterestRatesTrigger)</f>
        <v>1.820871094366322E-2</v>
      </c>
      <c r="W122" s="30">
        <f t="shared" si="11"/>
        <v>3.3983780976798439E-4</v>
      </c>
      <c r="X122" s="29">
        <f>_xll.qlDayCounterYearFraction(DayCounter,SettlementDate,S122,,,Trigger)</f>
        <v>10.069444444444445</v>
      </c>
      <c r="Y122" s="29">
        <f>_xll.qlDayCounterYearFraction(DayCounter,S122,T122)</f>
        <v>8.8888888888888892E-2</v>
      </c>
      <c r="Z122" s="29">
        <f>IF($M$13,_xll.qlYieldTSDiscount(Currency&amp;"ON",S122)/(1+V122*Y122),1)</f>
        <v>1</v>
      </c>
      <c r="AA122" s="30">
        <f>_xll.qlTenorBasisValue(TenorBasis1M,S122,InterestRatesTrigger)</f>
        <v>4.0487106943107082E-4</v>
      </c>
      <c r="AB122" s="74">
        <f t="shared" si="9"/>
        <v>1.8273744203326305E-2</v>
      </c>
      <c r="AC122" s="76">
        <f t="shared" si="10"/>
        <v>1.0035715466001023</v>
      </c>
    </row>
    <row r="123" spans="16:29" x14ac:dyDescent="0.2">
      <c r="P123" s="33">
        <v>1</v>
      </c>
      <c r="Q123" s="27" t="str">
        <f>_xll.qlPeriodEquivalent(Q122&amp;"+"&amp;P123&amp;"M")</f>
        <v>10Y</v>
      </c>
      <c r="R123" s="28">
        <f>_xll.qlCalendarAdvance(Calendar,SettlementDate,Q123,"f",,Trigger)</f>
        <v>45932</v>
      </c>
      <c r="S123" s="28">
        <f>_xll.qlInterestRateIndexValueDate(Index,R123,Trigger)</f>
        <v>45936</v>
      </c>
      <c r="T123" s="28">
        <f>_xll.qlInterestRateIndexMaturity(Index,S123,Trigger)</f>
        <v>45967</v>
      </c>
      <c r="U123" s="30">
        <f>_xll.qlIndexFixing($M$5,R123,TRUE,InterestRatesTrigger)</f>
        <v>1.800216621087708E-2</v>
      </c>
      <c r="V123" s="74">
        <f>_xll.qlIndexFixing(Index,R123,TRUE,InterestRatesTrigger)</f>
        <v>1.8329554884931633E-2</v>
      </c>
      <c r="W123" s="30">
        <f t="shared" si="11"/>
        <v>3.2738867405455313E-4</v>
      </c>
      <c r="X123" s="29">
        <f>_xll.qlDayCounterYearFraction(DayCounter,SettlementDate,S123,,,Trigger)</f>
        <v>10.158333333333333</v>
      </c>
      <c r="Y123" s="29">
        <f>_xll.qlDayCounterYearFraction(DayCounter,S123,T123)</f>
        <v>8.611111111111111E-2</v>
      </c>
      <c r="Z123" s="29">
        <f>IF($M$13,_xll.qlYieldTSDiscount(Currency&amp;"ON",S123)/(1+V123*Y123),1)</f>
        <v>1</v>
      </c>
      <c r="AA123" s="30">
        <f>_xll.qlTenorBasisValue(TenorBasis1M,S123,InterestRatesTrigger)</f>
        <v>4.0174316132816896E-4</v>
      </c>
      <c r="AB123" s="74">
        <f t="shared" si="9"/>
        <v>1.8403909372205249E-2</v>
      </c>
      <c r="AC123" s="76">
        <f t="shared" si="10"/>
        <v>1.0040565353463515</v>
      </c>
    </row>
    <row r="124" spans="16:29" x14ac:dyDescent="0.2">
      <c r="P124" s="33">
        <v>1</v>
      </c>
      <c r="Q124" s="27" t="str">
        <f>_xll.qlPeriodEquivalent(Q123&amp;"+"&amp;P124&amp;"M")</f>
        <v>10Y1M</v>
      </c>
      <c r="R124" s="28">
        <f>_xll.qlCalendarAdvance(Calendar,SettlementDate,Q124,"f",,Trigger)</f>
        <v>45964</v>
      </c>
      <c r="S124" s="28">
        <f>_xll.qlInterestRateIndexValueDate(Index,R124,Trigger)</f>
        <v>45966</v>
      </c>
      <c r="T124" s="28">
        <f>_xll.qlInterestRateIndexMaturity(Index,S124,Trigger)</f>
        <v>45996</v>
      </c>
      <c r="U124" s="30">
        <f>_xll.qlIndexFixing($M$5,R124,TRUE,InterestRatesTrigger)</f>
        <v>1.8120960670331421E-2</v>
      </c>
      <c r="V124" s="74">
        <f>_xll.qlIndexFixing(Index,R124,TRUE,InterestRatesTrigger)</f>
        <v>1.8440746984405898E-2</v>
      </c>
      <c r="W124" s="30">
        <f t="shared" si="11"/>
        <v>3.1978631407447722E-4</v>
      </c>
      <c r="X124" s="29">
        <f>_xll.qlDayCounterYearFraction(DayCounter,SettlementDate,S124,,,Trigger)</f>
        <v>10.241666666666667</v>
      </c>
      <c r="Y124" s="29">
        <f>_xll.qlDayCounterYearFraction(DayCounter,S124,T124)</f>
        <v>8.3333333333333329E-2</v>
      </c>
      <c r="Z124" s="29">
        <f>IF($M$13,_xll.qlYieldTSDiscount(Currency&amp;"ON",S124)/(1+V124*Y124),1)</f>
        <v>1</v>
      </c>
      <c r="AA124" s="30">
        <f>_xll.qlTenorBasisValue(TenorBasis1M,S124,InterestRatesTrigger)</f>
        <v>3.9881184033267969E-4</v>
      </c>
      <c r="AB124" s="74">
        <f t="shared" si="9"/>
        <v>1.8519772510664102E-2</v>
      </c>
      <c r="AC124" s="76">
        <f t="shared" si="10"/>
        <v>1.0042853755504064</v>
      </c>
    </row>
    <row r="125" spans="16:29" x14ac:dyDescent="0.2">
      <c r="P125" s="33">
        <v>1</v>
      </c>
      <c r="Q125" s="27" t="str">
        <f>_xll.qlPeriodEquivalent(Q124&amp;"+"&amp;P125&amp;"M")</f>
        <v>10Y2M</v>
      </c>
      <c r="R125" s="28">
        <f>_xll.qlCalendarAdvance(Calendar,SettlementDate,Q125,"f",,Trigger)</f>
        <v>45993</v>
      </c>
      <c r="S125" s="28">
        <f>_xll.qlInterestRateIndexValueDate(Index,R125,Trigger)</f>
        <v>45995</v>
      </c>
      <c r="T125" s="28">
        <f>_xll.qlInterestRateIndexMaturity(Index,S125,Trigger)</f>
        <v>46027</v>
      </c>
      <c r="U125" s="30">
        <f>_xll.qlIndexFixing($M$5,R125,TRUE,InterestRatesTrigger)</f>
        <v>1.8235795019033163E-2</v>
      </c>
      <c r="V125" s="74">
        <f>_xll.qlIndexFixing(Index,R125,TRUE,InterestRatesTrigger)</f>
        <v>1.8552374425772622E-2</v>
      </c>
      <c r="W125" s="30">
        <f t="shared" si="11"/>
        <v>3.1657940673945895E-4</v>
      </c>
      <c r="X125" s="29">
        <f>_xll.qlDayCounterYearFraction(DayCounter,SettlementDate,S125,,,Trigger)</f>
        <v>10.322222222222223</v>
      </c>
      <c r="Y125" s="29">
        <f>_xll.qlDayCounterYearFraction(DayCounter,S125,T125)</f>
        <v>8.8888888888888892E-2</v>
      </c>
      <c r="Z125" s="29">
        <f>IF($M$13,_xll.qlYieldTSDiscount(Currency&amp;"ON",S125)/(1+V125*Y125),1)</f>
        <v>1</v>
      </c>
      <c r="AA125" s="30">
        <f>_xll.qlTenorBasisValue(TenorBasis1M,S125,InterestRatesTrigger)</f>
        <v>3.9597978324840474E-4</v>
      </c>
      <c r="AB125" s="74">
        <f t="shared" si="9"/>
        <v>1.8631774802281568E-2</v>
      </c>
      <c r="AC125" s="76">
        <f t="shared" si="10"/>
        <v>1.0042797959272882</v>
      </c>
    </row>
    <row r="126" spans="16:29" x14ac:dyDescent="0.2">
      <c r="P126" s="33">
        <v>1</v>
      </c>
      <c r="Q126" s="27" t="str">
        <f>_xll.qlPeriodEquivalent(Q125&amp;"+"&amp;P126&amp;"M")</f>
        <v>10Y3M</v>
      </c>
      <c r="R126" s="28">
        <f>_xll.qlCalendarAdvance(Calendar,SettlementDate,Q126,"f",,Trigger)</f>
        <v>46024</v>
      </c>
      <c r="S126" s="28">
        <f>_xll.qlInterestRateIndexValueDate(Index,R126,Trigger)</f>
        <v>46028</v>
      </c>
      <c r="T126" s="28">
        <f>_xll.qlInterestRateIndexMaturity(Index,S126,Trigger)</f>
        <v>46059</v>
      </c>
      <c r="U126" s="30">
        <f>_xll.qlIndexFixing($M$5,R126,TRUE,InterestRatesTrigger)</f>
        <v>1.8350513171220023E-2</v>
      </c>
      <c r="V126" s="74">
        <f>_xll.qlIndexFixing(Index,R126,TRUE,InterestRatesTrigger)</f>
        <v>1.8668523416376585E-2</v>
      </c>
      <c r="W126" s="30">
        <f t="shared" si="11"/>
        <v>3.1801024515656223E-4</v>
      </c>
      <c r="X126" s="29">
        <f>_xll.qlDayCounterYearFraction(DayCounter,SettlementDate,S126,,,Trigger)</f>
        <v>10.41388888888889</v>
      </c>
      <c r="Y126" s="29">
        <f>_xll.qlDayCounterYearFraction(DayCounter,S126,T126)</f>
        <v>8.611111111111111E-2</v>
      </c>
      <c r="Z126" s="29">
        <f>IF($M$13,_xll.qlYieldTSDiscount(Currency&amp;"ON",S126)/(1+V126*Y126),1)</f>
        <v>1</v>
      </c>
      <c r="AA126" s="30">
        <f>_xll.qlTenorBasisValue(TenorBasis1M,S126,InterestRatesTrigger)</f>
        <v>3.9275959746199536E-4</v>
      </c>
      <c r="AB126" s="74">
        <f t="shared" si="9"/>
        <v>1.8743272768682019E-2</v>
      </c>
      <c r="AC126" s="76">
        <f t="shared" si="10"/>
        <v>1.0040040313118637</v>
      </c>
    </row>
    <row r="127" spans="16:29" x14ac:dyDescent="0.2">
      <c r="P127" s="33">
        <v>1</v>
      </c>
      <c r="Q127" s="27" t="str">
        <f>_xll.qlPeriodEquivalent(Q126&amp;"+"&amp;P127&amp;"M")</f>
        <v>10Y4M</v>
      </c>
      <c r="R127" s="28">
        <f>_xll.qlCalendarAdvance(Calendar,SettlementDate,Q127,"f",,Trigger)</f>
        <v>46055</v>
      </c>
      <c r="S127" s="28">
        <f>_xll.qlInterestRateIndexValueDate(Index,R127,Trigger)</f>
        <v>46057</v>
      </c>
      <c r="T127" s="28">
        <f>_xll.qlInterestRateIndexMaturity(Index,S127,Trigger)</f>
        <v>46085</v>
      </c>
      <c r="U127" s="30">
        <f>_xll.qlIndexFixing($M$5,R127,TRUE,InterestRatesTrigger)</f>
        <v>1.8439858685241575E-2</v>
      </c>
      <c r="V127" s="74">
        <f>_xll.qlIndexFixing(Index,R127,TRUE,InterestRatesTrigger)</f>
        <v>1.876303605061334E-2</v>
      </c>
      <c r="W127" s="30">
        <f t="shared" si="11"/>
        <v>3.2317736537176497E-4</v>
      </c>
      <c r="X127" s="29">
        <f>_xll.qlDayCounterYearFraction(DayCounter,SettlementDate,S127,,,Trigger)</f>
        <v>10.494444444444444</v>
      </c>
      <c r="Y127" s="29">
        <f>_xll.qlDayCounterYearFraction(DayCounter,S127,T127)</f>
        <v>7.7777777777777779E-2</v>
      </c>
      <c r="Z127" s="29">
        <f>IF($M$13,_xll.qlYieldTSDiscount(Currency&amp;"ON",S127)/(1+V127*Y127),1)</f>
        <v>1</v>
      </c>
      <c r="AA127" s="30">
        <f>_xll.qlTenorBasisValue(TenorBasis1M,S127,InterestRatesTrigger)</f>
        <v>3.8993247613852569E-4</v>
      </c>
      <c r="AB127" s="74">
        <f t="shared" si="9"/>
        <v>1.8829791161380102E-2</v>
      </c>
      <c r="AC127" s="76">
        <f t="shared" si="10"/>
        <v>1.0035577989930142</v>
      </c>
    </row>
    <row r="128" spans="16:29" x14ac:dyDescent="0.2">
      <c r="P128" s="33">
        <v>1</v>
      </c>
      <c r="Q128" s="27" t="str">
        <f>_xll.qlPeriodEquivalent(Q127&amp;"+"&amp;P128&amp;"M")</f>
        <v>10Y5M</v>
      </c>
      <c r="R128" s="28">
        <f>_xll.qlCalendarAdvance(Calendar,SettlementDate,Q128,"f",,Trigger)</f>
        <v>46083</v>
      </c>
      <c r="S128" s="28">
        <f>_xll.qlInterestRateIndexValueDate(Index,R128,Trigger)</f>
        <v>46085</v>
      </c>
      <c r="T128" s="28">
        <f>_xll.qlInterestRateIndexMaturity(Index,S128,Trigger)</f>
        <v>46119</v>
      </c>
      <c r="U128" s="30">
        <f>_xll.qlIndexFixing($M$5,R128,TRUE,InterestRatesTrigger)</f>
        <v>1.8537416071444789E-2</v>
      </c>
      <c r="V128" s="74">
        <f>_xll.qlIndexFixing(Index,R128,TRUE,InterestRatesTrigger)</f>
        <v>1.8871060331079131E-2</v>
      </c>
      <c r="W128" s="30">
        <f t="shared" si="11"/>
        <v>3.336442596343428E-4</v>
      </c>
      <c r="X128" s="29">
        <f>_xll.qlDayCounterYearFraction(DayCounter,SettlementDate,S128,,,Trigger)</f>
        <v>10.572222222222223</v>
      </c>
      <c r="Y128" s="29">
        <f>_xll.qlDayCounterYearFraction(DayCounter,S128,T128)</f>
        <v>9.4444444444444442E-2</v>
      </c>
      <c r="Z128" s="29">
        <f>IF($M$13,_xll.qlYieldTSDiscount(Currency&amp;"ON",S128)/(1+V128*Y128),1)</f>
        <v>1</v>
      </c>
      <c r="AA128" s="30">
        <f>_xll.qlTenorBasisValue(TenorBasis1M,S128,InterestRatesTrigger)</f>
        <v>3.872057349365096E-4</v>
      </c>
      <c r="AB128" s="74">
        <f t="shared" si="9"/>
        <v>1.8924621806381298E-2</v>
      </c>
      <c r="AC128" s="76">
        <f t="shared" si="10"/>
        <v>1.0028382864747645</v>
      </c>
    </row>
    <row r="129" spans="16:29" x14ac:dyDescent="0.2">
      <c r="P129" s="33">
        <v>1</v>
      </c>
      <c r="Q129" s="27" t="str">
        <f>_xll.qlPeriodEquivalent(Q128&amp;"+"&amp;P129&amp;"M")</f>
        <v>10Y6M</v>
      </c>
      <c r="R129" s="28">
        <f>_xll.qlCalendarAdvance(Calendar,SettlementDate,Q129,"f",,Trigger)</f>
        <v>46114</v>
      </c>
      <c r="S129" s="28">
        <f>_xll.qlInterestRateIndexValueDate(Index,R129,Trigger)</f>
        <v>46120</v>
      </c>
      <c r="T129" s="28">
        <f>_xll.qlInterestRateIndexMaturity(Index,S129,Trigger)</f>
        <v>46150</v>
      </c>
      <c r="U129" s="30">
        <f>_xll.qlIndexFixing($M$5,R129,TRUE,InterestRatesTrigger)</f>
        <v>1.8627918175871727E-2</v>
      </c>
      <c r="V129" s="74">
        <f>_xll.qlIndexFixing(Index,R129,TRUE,InterestRatesTrigger)</f>
        <v>1.8977430402927986E-2</v>
      </c>
      <c r="W129" s="30">
        <f t="shared" si="11"/>
        <v>3.4951222705625895E-4</v>
      </c>
      <c r="X129" s="29">
        <f>_xll.qlDayCounterYearFraction(DayCounter,SettlementDate,S129,,,Trigger)</f>
        <v>10.669444444444444</v>
      </c>
      <c r="Y129" s="29">
        <f>_xll.qlDayCounterYearFraction(DayCounter,S129,T129)</f>
        <v>8.3333333333333329E-2</v>
      </c>
      <c r="Z129" s="29">
        <f>IF($M$13,_xll.qlYieldTSDiscount(Currency&amp;"ON",S129)/(1+V129*Y129),1)</f>
        <v>1</v>
      </c>
      <c r="AA129" s="30">
        <f>_xll.qlTenorBasisValue(TenorBasis1M,S129,InterestRatesTrigger)</f>
        <v>3.83801937861053E-4</v>
      </c>
      <c r="AB129" s="74">
        <f t="shared" si="9"/>
        <v>1.9011720113732779E-2</v>
      </c>
      <c r="AC129" s="76">
        <f t="shared" si="10"/>
        <v>1.0018068679519174</v>
      </c>
    </row>
    <row r="130" spans="16:29" x14ac:dyDescent="0.2">
      <c r="P130" s="33">
        <v>1</v>
      </c>
      <c r="Q130" s="27" t="str">
        <f>_xll.qlPeriodEquivalent(Q129&amp;"+"&amp;P130&amp;"M")</f>
        <v>10Y7M</v>
      </c>
      <c r="R130" s="28">
        <f>_xll.qlCalendarAdvance(Calendar,SettlementDate,Q130,"f",,Trigger)</f>
        <v>46146</v>
      </c>
      <c r="S130" s="28">
        <f>_xll.qlInterestRateIndexValueDate(Index,R130,Trigger)</f>
        <v>46148</v>
      </c>
      <c r="T130" s="28">
        <f>_xll.qlInterestRateIndexMaturity(Index,S130,Trigger)</f>
        <v>46181</v>
      </c>
      <c r="U130" s="30">
        <f>_xll.qlIndexFixing($M$5,R130,TRUE,InterestRatesTrigger)</f>
        <v>1.870430976373395E-2</v>
      </c>
      <c r="V130" s="74">
        <f>_xll.qlIndexFixing(Index,R130,TRUE,InterestRatesTrigger)</f>
        <v>1.9072555463005875E-2</v>
      </c>
      <c r="W130" s="30">
        <f t="shared" si="11"/>
        <v>3.6824569927192477E-4</v>
      </c>
      <c r="X130" s="29">
        <f>_xll.qlDayCounterYearFraction(DayCounter,SettlementDate,S130,,,Trigger)</f>
        <v>10.747222222222222</v>
      </c>
      <c r="Y130" s="29">
        <f>_xll.qlDayCounterYearFraction(DayCounter,S130,T130)</f>
        <v>9.166666666666666E-2</v>
      </c>
      <c r="Z130" s="29">
        <f>IF($M$13,_xll.qlYieldTSDiscount(Currency&amp;"ON",S130)/(1+V130*Y130),1)</f>
        <v>1</v>
      </c>
      <c r="AA130" s="30">
        <f>_xll.qlTenorBasisValue(TenorBasis1M,S130,InterestRatesTrigger)</f>
        <v>3.810830890811017E-4</v>
      </c>
      <c r="AB130" s="74">
        <f t="shared" si="9"/>
        <v>1.9085392852815051E-2</v>
      </c>
      <c r="AC130" s="76">
        <f t="shared" si="10"/>
        <v>1.0006730817920062</v>
      </c>
    </row>
    <row r="131" spans="16:29" x14ac:dyDescent="0.2">
      <c r="P131" s="33">
        <v>1</v>
      </c>
      <c r="Q131" s="27" t="str">
        <f>_xll.qlPeriodEquivalent(Q130&amp;"+"&amp;P131&amp;"M")</f>
        <v>10Y8M</v>
      </c>
      <c r="R131" s="28">
        <f>_xll.qlCalendarAdvance(Calendar,SettlementDate,Q131,"f",,Trigger)</f>
        <v>46175</v>
      </c>
      <c r="S131" s="28">
        <f>_xll.qlInterestRateIndexValueDate(Index,R131,Trigger)</f>
        <v>46177</v>
      </c>
      <c r="T131" s="28">
        <f>_xll.qlInterestRateIndexMaturity(Index,S131,Trigger)</f>
        <v>46209</v>
      </c>
      <c r="U131" s="30">
        <f>_xll.qlIndexFixing($M$5,R131,TRUE,InterestRatesTrigger)</f>
        <v>1.8769557136992798E-2</v>
      </c>
      <c r="V131" s="74">
        <f>_xll.qlIndexFixing(Index,R131,TRUE,InterestRatesTrigger)</f>
        <v>1.9159634768203815E-2</v>
      </c>
      <c r="W131" s="30">
        <f t="shared" si="11"/>
        <v>3.9007763121101657E-4</v>
      </c>
      <c r="X131" s="29">
        <f>_xll.qlDayCounterYearFraction(DayCounter,SettlementDate,S131,,,Trigger)</f>
        <v>10.827777777777778</v>
      </c>
      <c r="Y131" s="29">
        <f>_xll.qlDayCounterYearFraction(DayCounter,S131,T131)</f>
        <v>8.8888888888888892E-2</v>
      </c>
      <c r="Z131" s="29">
        <f>IF($M$13,_xll.qlYieldTSDiscount(Currency&amp;"ON",S131)/(1+V131*Y131),1)</f>
        <v>1</v>
      </c>
      <c r="AA131" s="30">
        <f>_xll.qlTenorBasisValue(TenorBasis1M,S131,InterestRatesTrigger)</f>
        <v>3.7827150976494766E-4</v>
      </c>
      <c r="AB131" s="74">
        <f t="shared" ref="AB131:AB134" si="12">AA131+U131</f>
        <v>1.9147828646757747E-2</v>
      </c>
      <c r="AC131" s="76">
        <f t="shared" ref="AC131:AC134" si="13">AB131/V131</f>
        <v>0.99938380237468505</v>
      </c>
    </row>
    <row r="132" spans="16:29" x14ac:dyDescent="0.2">
      <c r="P132" s="33">
        <v>1</v>
      </c>
      <c r="Q132" s="27" t="str">
        <f>_xll.qlPeriodEquivalent(Q131&amp;"+"&amp;P132&amp;"M")</f>
        <v>10Y9M</v>
      </c>
      <c r="R132" s="28">
        <f>_xll.qlCalendarAdvance(Calendar,SettlementDate,Q132,"f",,Trigger)</f>
        <v>46205</v>
      </c>
      <c r="S132" s="28">
        <f>_xll.qlInterestRateIndexValueDate(Index,R132,Trigger)</f>
        <v>46209</v>
      </c>
      <c r="T132" s="28">
        <f>_xll.qlInterestRateIndexMaturity(Index,S132,Trigger)</f>
        <v>46240</v>
      </c>
      <c r="U132" s="30">
        <f>_xll.qlIndexFixing($M$5,R132,TRUE,InterestRatesTrigger)</f>
        <v>1.8833992121865057E-2</v>
      </c>
      <c r="V132" s="74">
        <f>_xll.qlIndexFixing(Index,R132,TRUE,InterestRatesTrigger)</f>
        <v>1.9252561344803756E-2</v>
      </c>
      <c r="W132" s="30">
        <f t="shared" ref="W132:W134" si="14">V132-U132</f>
        <v>4.1856922293869933E-4</v>
      </c>
      <c r="X132" s="29">
        <f>_xll.qlDayCounterYearFraction(DayCounter,SettlementDate,S132,,,Trigger)</f>
        <v>10.916666666666666</v>
      </c>
      <c r="Y132" s="29">
        <f>_xll.qlDayCounterYearFraction(DayCounter,S132,T132)</f>
        <v>8.611111111111111E-2</v>
      </c>
      <c r="Z132" s="29">
        <f>IF($M$13,_xll.qlYieldTSDiscount(Currency&amp;"ON",S132)/(1+V132*Y132),1)</f>
        <v>1</v>
      </c>
      <c r="AA132" s="30">
        <f>_xll.qlTenorBasisValue(TenorBasis1M,S132,InterestRatesTrigger)</f>
        <v>3.7517473267064885E-4</v>
      </c>
      <c r="AB132" s="74">
        <f t="shared" si="12"/>
        <v>1.9209166854535706E-2</v>
      </c>
      <c r="AC132" s="76">
        <f t="shared" si="13"/>
        <v>0.99774604067007622</v>
      </c>
    </row>
    <row r="133" spans="16:29" x14ac:dyDescent="0.2">
      <c r="P133" s="33">
        <v>1</v>
      </c>
      <c r="Q133" s="27" t="str">
        <f>_xll.qlPeriodEquivalent(Q132&amp;"+"&amp;P133&amp;"M")</f>
        <v>10Y10M</v>
      </c>
      <c r="R133" s="28">
        <f>_xll.qlCalendarAdvance(Calendar,SettlementDate,Q133,"f",,Trigger)</f>
        <v>46237</v>
      </c>
      <c r="S133" s="28">
        <f>_xll.qlInterestRateIndexValueDate(Index,R133,Trigger)</f>
        <v>46239</v>
      </c>
      <c r="T133" s="28">
        <f>_xll.qlInterestRateIndexMaturity(Index,S133,Trigger)</f>
        <v>46272</v>
      </c>
      <c r="U133" s="30">
        <f>_xll.qlIndexFixing($M$5,R133,TRUE,InterestRatesTrigger)</f>
        <v>1.8890895939092708E-2</v>
      </c>
      <c r="V133" s="74">
        <f>_xll.qlIndexFixing(Index,R133,TRUE,InterestRatesTrigger)</f>
        <v>1.9342028843992217E-2</v>
      </c>
      <c r="W133" s="30">
        <f t="shared" si="14"/>
        <v>4.5113290489950941E-4</v>
      </c>
      <c r="X133" s="29">
        <f>_xll.qlDayCounterYearFraction(DayCounter,SettlementDate,S133,,,Trigger)</f>
        <v>11</v>
      </c>
      <c r="Y133" s="29">
        <f>_xll.qlDayCounterYearFraction(DayCounter,S133,T133)</f>
        <v>9.166666666666666E-2</v>
      </c>
      <c r="Z133" s="29">
        <f>IF($M$13,_xll.qlYieldTSDiscount(Currency&amp;"ON",S133)/(1+V133*Y133),1)</f>
        <v>1</v>
      </c>
      <c r="AA133" s="30">
        <f>_xll.qlTenorBasisValue(TenorBasis1M,S133,InterestRatesTrigger)</f>
        <v>3.722773588933996E-4</v>
      </c>
      <c r="AB133" s="74">
        <f t="shared" si="12"/>
        <v>1.9263173297986106E-2</v>
      </c>
      <c r="AC133" s="76">
        <f t="shared" si="13"/>
        <v>0.99592309852073224</v>
      </c>
    </row>
    <row r="134" spans="16:29" x14ac:dyDescent="0.2">
      <c r="P134" s="33">
        <v>1</v>
      </c>
      <c r="Q134" s="27" t="str">
        <f>_xll.qlPeriodEquivalent(Q133&amp;"+"&amp;P134&amp;"M")</f>
        <v>10Y11M</v>
      </c>
      <c r="R134" s="28">
        <f>_xll.qlCalendarAdvance(Calendar,SettlementDate,Q134,"f",,Trigger)</f>
        <v>46267</v>
      </c>
      <c r="S134" s="28">
        <f>_xll.qlInterestRateIndexValueDate(Index,R134,Trigger)</f>
        <v>46269</v>
      </c>
      <c r="T134" s="28">
        <f>_xll.qlInterestRateIndexMaturity(Index,S134,Trigger)</f>
        <v>46300</v>
      </c>
      <c r="U134" s="30">
        <f>_xll.qlIndexFixing($M$5,R134,TRUE,InterestRatesTrigger)</f>
        <v>1.8935188007270606E-2</v>
      </c>
      <c r="V134" s="74">
        <f>_xll.qlIndexFixing(Index,R134,TRUE,InterestRatesTrigger)</f>
        <v>1.9420568136518577E-2</v>
      </c>
      <c r="W134" s="30">
        <f t="shared" si="14"/>
        <v>4.853801292479705E-4</v>
      </c>
      <c r="X134" s="29">
        <f>_xll.qlDayCounterYearFraction(DayCounter,SettlementDate,S134,,,Trigger)</f>
        <v>11.083333333333334</v>
      </c>
      <c r="Y134" s="29">
        <f>_xll.qlDayCounterYearFraction(DayCounter,S134,T134)</f>
        <v>8.611111111111111E-2</v>
      </c>
      <c r="Z134" s="29">
        <f>IF($M$13,_xll.qlYieldTSDiscount(Currency&amp;"ON",S134)/(1+V134*Y134),1)</f>
        <v>1</v>
      </c>
      <c r="AA134" s="30">
        <f>_xll.qlTenorBasisValue(TenorBasis1M,S134,InterestRatesTrigger)</f>
        <v>3.6938609270180259E-4</v>
      </c>
      <c r="AB134" s="74">
        <f t="shared" si="12"/>
        <v>1.930457409997241E-2</v>
      </c>
      <c r="AC134" s="76">
        <f t="shared" si="13"/>
        <v>0.99402725833092132</v>
      </c>
    </row>
    <row r="135" spans="16:29" x14ac:dyDescent="0.2">
      <c r="P135" s="33">
        <v>1</v>
      </c>
      <c r="Q135" s="27" t="str">
        <f>_xll.qlPeriodEquivalent(Q134&amp;"+"&amp;P135&amp;"M")</f>
        <v>11Y</v>
      </c>
      <c r="R135" s="28">
        <f>_xll.qlCalendarAdvance(Calendar,SettlementDate,Q135,"f",,Trigger)</f>
        <v>46297</v>
      </c>
      <c r="S135" s="28">
        <f>_xll.qlInterestRateIndexValueDate(Index,R135,Trigger)</f>
        <v>46301</v>
      </c>
      <c r="T135" s="28">
        <f>_xll.qlInterestRateIndexMaturity(Index,S135,Trigger)</f>
        <v>46332</v>
      </c>
      <c r="U135" s="30">
        <f>_xll.qlIndexFixing($M$5,R135,TRUE,InterestRatesTrigger)</f>
        <v>1.8979409559218625E-2</v>
      </c>
      <c r="V135" s="74">
        <f>_xll.qlIndexFixing(Index,R135,TRUE,InterestRatesTrigger)</f>
        <v>1.9504734453082588E-2</v>
      </c>
      <c r="W135" s="30">
        <f t="shared" ref="W135:W198" si="15">V135-U135</f>
        <v>5.2532489386396264E-4</v>
      </c>
      <c r="X135" s="29">
        <f>_xll.qlDayCounterYearFraction(DayCounter,SettlementDate,S135,,,Trigger)</f>
        <v>11.172222222222222</v>
      </c>
      <c r="Y135" s="29">
        <f>_xll.qlDayCounterYearFraction(DayCounter,S135,T135)</f>
        <v>8.611111111111111E-2</v>
      </c>
      <c r="Z135" s="29">
        <f>IF($M$13,_xll.qlYieldTSDiscount(Currency&amp;"ON",S135)/(1+V135*Y135),1)</f>
        <v>1</v>
      </c>
      <c r="AA135" s="30">
        <f>_xll.qlTenorBasisValue(TenorBasis1M,S135,InterestRatesTrigger)</f>
        <v>3.6630927845785122E-4</v>
      </c>
      <c r="AB135" s="74">
        <f t="shared" ref="AB135:AB198" si="16">AA135+U135</f>
        <v>1.9345718837676478E-2</v>
      </c>
      <c r="AC135" s="76">
        <f t="shared" ref="AC135:AC198" si="17">AB135/V135</f>
        <v>0.99184733246235102</v>
      </c>
    </row>
    <row r="136" spans="16:29" x14ac:dyDescent="0.2">
      <c r="P136" s="33">
        <v>1</v>
      </c>
      <c r="Q136" s="27" t="str">
        <f>_xll.qlPeriodEquivalent(Q135&amp;"+"&amp;P136&amp;"M")</f>
        <v>11Y1M</v>
      </c>
      <c r="R136" s="28">
        <f>_xll.qlCalendarAdvance(Calendar,SettlementDate,Q136,"f",,Trigger)</f>
        <v>46328</v>
      </c>
      <c r="S136" s="28">
        <f>_xll.qlInterestRateIndexValueDate(Index,R136,Trigger)</f>
        <v>46330</v>
      </c>
      <c r="T136" s="28">
        <f>_xll.qlInterestRateIndexMaturity(Index,S136,Trigger)</f>
        <v>46360</v>
      </c>
      <c r="U136" s="30">
        <f>_xll.qlIndexFixing($M$5,R136,TRUE,InterestRatesTrigger)</f>
        <v>1.901874398782244E-2</v>
      </c>
      <c r="V136" s="74">
        <f>_xll.qlIndexFixing(Index,R136,TRUE,InterestRatesTrigger)</f>
        <v>1.9575929879711573E-2</v>
      </c>
      <c r="W136" s="30">
        <f t="shared" si="15"/>
        <v>5.571858918891337E-4</v>
      </c>
      <c r="X136" s="29">
        <f>_xll.qlDayCounterYearFraction(DayCounter,SettlementDate,S136,,,Trigger)</f>
        <v>11.252777777777778</v>
      </c>
      <c r="Y136" s="29">
        <f>_xll.qlDayCounterYearFraction(DayCounter,S136,T136)</f>
        <v>8.3333333333333329E-2</v>
      </c>
      <c r="Z136" s="29">
        <f>IF($M$13,_xll.qlYieldTSDiscount(Currency&amp;"ON",S136)/(1+V136*Y136),1)</f>
        <v>1</v>
      </c>
      <c r="AA136" s="30">
        <f>_xll.qlTenorBasisValue(TenorBasis1M,S136,InterestRatesTrigger)</f>
        <v>3.6352774025648951E-4</v>
      </c>
      <c r="AB136" s="74">
        <f t="shared" si="16"/>
        <v>1.938227172807893E-2</v>
      </c>
      <c r="AC136" s="76">
        <f t="shared" si="17"/>
        <v>0.99010733319834021</v>
      </c>
    </row>
    <row r="137" spans="16:29" x14ac:dyDescent="0.2">
      <c r="P137" s="33">
        <v>1</v>
      </c>
      <c r="Q137" s="27" t="str">
        <f>_xll.qlPeriodEquivalent(Q136&amp;"+"&amp;P137&amp;"M")</f>
        <v>11Y2M</v>
      </c>
      <c r="R137" s="28">
        <f>_xll.qlCalendarAdvance(Calendar,SettlementDate,Q137,"f",,Trigger)</f>
        <v>46358</v>
      </c>
      <c r="S137" s="28">
        <f>_xll.qlInterestRateIndexValueDate(Index,R137,Trigger)</f>
        <v>46360</v>
      </c>
      <c r="T137" s="28">
        <f>_xll.qlInterestRateIndexMaturity(Index,S137,Trigger)</f>
        <v>46391</v>
      </c>
      <c r="U137" s="30">
        <f>_xll.qlIndexFixing($M$5,R137,TRUE,InterestRatesTrigger)</f>
        <v>1.9063450369021528E-2</v>
      </c>
      <c r="V137" s="74">
        <f>_xll.qlIndexFixing(Index,R137,TRUE,InterestRatesTrigger)</f>
        <v>1.9649772218165763E-2</v>
      </c>
      <c r="W137" s="30">
        <f t="shared" si="15"/>
        <v>5.8632184914423485E-4</v>
      </c>
      <c r="X137" s="29">
        <f>_xll.qlDayCounterYearFraction(DayCounter,SettlementDate,S137,,,Trigger)</f>
        <v>11.33611111111111</v>
      </c>
      <c r="Y137" s="29">
        <f>_xll.qlDayCounterYearFraction(DayCounter,S137,T137)</f>
        <v>8.611111111111111E-2</v>
      </c>
      <c r="Z137" s="29">
        <f>IF($M$13,_xll.qlYieldTSDiscount(Currency&amp;"ON",S137)/(1+V137*Y137),1)</f>
        <v>1</v>
      </c>
      <c r="AA137" s="30">
        <f>_xll.qlTenorBasisValue(TenorBasis1M,S137,InterestRatesTrigger)</f>
        <v>3.6065750503346992E-4</v>
      </c>
      <c r="AB137" s="74">
        <f t="shared" si="16"/>
        <v>1.9424107874054998E-2</v>
      </c>
      <c r="AC137" s="76">
        <f t="shared" si="17"/>
        <v>0.98851567633429649</v>
      </c>
    </row>
    <row r="138" spans="16:29" x14ac:dyDescent="0.2">
      <c r="P138" s="33">
        <v>1</v>
      </c>
      <c r="Q138" s="27" t="str">
        <f>_xll.qlPeriodEquivalent(Q137&amp;"+"&amp;P138&amp;"M")</f>
        <v>11Y3M</v>
      </c>
      <c r="R138" s="28">
        <f>_xll.qlCalendarAdvance(Calendar,SettlementDate,Q138,"f",,Trigger)</f>
        <v>46391</v>
      </c>
      <c r="S138" s="28">
        <f>_xll.qlInterestRateIndexValueDate(Index,R138,Trigger)</f>
        <v>46393</v>
      </c>
      <c r="T138" s="28">
        <f>_xll.qlInterestRateIndexMaturity(Index,S138,Trigger)</f>
        <v>46426</v>
      </c>
      <c r="U138" s="30">
        <f>_xll.qlIndexFixing($M$5,R138,TRUE,InterestRatesTrigger)</f>
        <v>1.9115650816526785E-2</v>
      </c>
      <c r="V138" s="74">
        <f>_xll.qlIndexFixing(Index,R138,TRUE,InterestRatesTrigger)</f>
        <v>1.9728327669949829E-2</v>
      </c>
      <c r="W138" s="30">
        <f t="shared" si="15"/>
        <v>6.1267685342304354E-4</v>
      </c>
      <c r="X138" s="29">
        <f>_xll.qlDayCounterYearFraction(DayCounter,SettlementDate,S138,,,Trigger)</f>
        <v>11.427777777777777</v>
      </c>
      <c r="Y138" s="29">
        <f>_xll.qlDayCounterYearFraction(DayCounter,S138,T138)</f>
        <v>9.166666666666666E-2</v>
      </c>
      <c r="Z138" s="29">
        <f>IF($M$13,_xll.qlYieldTSDiscount(Currency&amp;"ON",S138)/(1+V138*Y138),1)</f>
        <v>1</v>
      </c>
      <c r="AA138" s="30">
        <f>_xll.qlTenorBasisValue(TenorBasis1M,S138,InterestRatesTrigger)</f>
        <v>3.5750917163203134E-4</v>
      </c>
      <c r="AB138" s="74">
        <f t="shared" si="16"/>
        <v>1.9473159988158815E-2</v>
      </c>
      <c r="AC138" s="76">
        <f t="shared" si="17"/>
        <v>0.98706592438751495</v>
      </c>
    </row>
    <row r="139" spans="16:29" x14ac:dyDescent="0.2">
      <c r="P139" s="33">
        <v>1</v>
      </c>
      <c r="Q139" s="27" t="str">
        <f>_xll.qlPeriodEquivalent(Q138&amp;"+"&amp;P139&amp;"M")</f>
        <v>11Y4M</v>
      </c>
      <c r="R139" s="28">
        <f>_xll.qlCalendarAdvance(Calendar,SettlementDate,Q139,"f",,Trigger)</f>
        <v>46420</v>
      </c>
      <c r="S139" s="28">
        <f>_xll.qlInterestRateIndexValueDate(Index,R139,Trigger)</f>
        <v>46422</v>
      </c>
      <c r="T139" s="28">
        <f>_xll.qlInterestRateIndexMaturity(Index,S139,Trigger)</f>
        <v>46450</v>
      </c>
      <c r="U139" s="30">
        <f>_xll.qlIndexFixing($M$5,R139,TRUE,InterestRatesTrigger)</f>
        <v>1.9154366702702128E-2</v>
      </c>
      <c r="V139" s="74">
        <f>_xll.qlIndexFixing(Index,R139,TRUE,InterestRatesTrigger)</f>
        <v>1.978292944881721E-2</v>
      </c>
      <c r="W139" s="30">
        <f t="shared" si="15"/>
        <v>6.2856274611508209E-4</v>
      </c>
      <c r="X139" s="29">
        <f>_xll.qlDayCounterYearFraction(DayCounter,SettlementDate,S139,,,Trigger)</f>
        <v>11.508333333333333</v>
      </c>
      <c r="Y139" s="29">
        <f>_xll.qlDayCounterYearFraction(DayCounter,S139,T139)</f>
        <v>7.7777777777777779E-2</v>
      </c>
      <c r="Z139" s="29">
        <f>IF($M$13,_xll.qlYieldTSDiscount(Currency&amp;"ON",S139)/(1+V139*Y139),1)</f>
        <v>1</v>
      </c>
      <c r="AA139" s="30">
        <f>_xll.qlTenorBasisValue(TenorBasis1M,S139,InterestRatesTrigger)</f>
        <v>3.547505473907436E-4</v>
      </c>
      <c r="AB139" s="74">
        <f t="shared" si="16"/>
        <v>1.9509117250092873E-2</v>
      </c>
      <c r="AC139" s="76">
        <f t="shared" si="17"/>
        <v>0.9861591682145584</v>
      </c>
    </row>
    <row r="140" spans="16:29" x14ac:dyDescent="0.2">
      <c r="P140" s="33">
        <v>1</v>
      </c>
      <c r="Q140" s="27" t="str">
        <f>_xll.qlPeriodEquivalent(Q139&amp;"+"&amp;P140&amp;"M")</f>
        <v>11Y5M</v>
      </c>
      <c r="R140" s="28">
        <f>_xll.qlCalendarAdvance(Calendar,SettlementDate,Q140,"f",,Trigger)</f>
        <v>46448</v>
      </c>
      <c r="S140" s="28">
        <f>_xll.qlInterestRateIndexValueDate(Index,R140,Trigger)</f>
        <v>46450</v>
      </c>
      <c r="T140" s="28">
        <f>_xll.qlInterestRateIndexMaturity(Index,S140,Trigger)</f>
        <v>46482</v>
      </c>
      <c r="U140" s="30">
        <f>_xll.qlIndexFixing($M$5,R140,TRUE,InterestRatesTrigger)</f>
        <v>1.9204628866885676E-2</v>
      </c>
      <c r="V140" s="74">
        <f>_xll.qlIndexFixing(Index,R140,TRUE,InterestRatesTrigger)</f>
        <v>1.9846529259307799E-2</v>
      </c>
      <c r="W140" s="30">
        <f t="shared" si="15"/>
        <v>6.4190039242212338E-4</v>
      </c>
      <c r="X140" s="29">
        <f>_xll.qlDayCounterYearFraction(DayCounter,SettlementDate,S140,,,Trigger)</f>
        <v>11.58611111111111</v>
      </c>
      <c r="Y140" s="29">
        <f>_xll.qlDayCounterYearFraction(DayCounter,S140,T140)</f>
        <v>8.8888888888888892E-2</v>
      </c>
      <c r="Z140" s="29">
        <f>IF($M$13,_xll.qlYieldTSDiscount(Currency&amp;"ON",S140)/(1+V140*Y140),1)</f>
        <v>1</v>
      </c>
      <c r="AA140" s="30">
        <f>_xll.qlTenorBasisValue(TenorBasis1M,S140,InterestRatesTrigger)</f>
        <v>3.5209454596179813E-4</v>
      </c>
      <c r="AB140" s="74">
        <f t="shared" si="16"/>
        <v>1.9556723412847473E-2</v>
      </c>
      <c r="AC140" s="76">
        <f t="shared" si="17"/>
        <v>0.98539765604989038</v>
      </c>
    </row>
    <row r="141" spans="16:29" x14ac:dyDescent="0.2">
      <c r="P141" s="33">
        <v>1</v>
      </c>
      <c r="Q141" s="27" t="str">
        <f>_xll.qlPeriodEquivalent(Q140&amp;"+"&amp;P141&amp;"M")</f>
        <v>11Y6M</v>
      </c>
      <c r="R141" s="28">
        <f>_xll.qlCalendarAdvance(Calendar,SettlementDate,Q141,"f",,Trigger)</f>
        <v>46479</v>
      </c>
      <c r="S141" s="28">
        <f>_xll.qlInterestRateIndexValueDate(Index,R141,Trigger)</f>
        <v>46483</v>
      </c>
      <c r="T141" s="28">
        <f>_xll.qlInterestRateIndexMaturity(Index,S141,Trigger)</f>
        <v>46513</v>
      </c>
      <c r="U141" s="30">
        <f>_xll.qlIndexFixing($M$5,R141,TRUE,InterestRatesTrigger)</f>
        <v>1.9256735010737991E-2</v>
      </c>
      <c r="V141" s="74">
        <f>_xll.qlIndexFixing(Index,R141,TRUE,InterestRatesTrigger)</f>
        <v>1.9907029230131101E-2</v>
      </c>
      <c r="W141" s="30">
        <f t="shared" si="15"/>
        <v>6.502942193931105E-4</v>
      </c>
      <c r="X141" s="29">
        <f>_xll.qlDayCounterYearFraction(DayCounter,SettlementDate,S141,,,Trigger)</f>
        <v>11.677777777777777</v>
      </c>
      <c r="Y141" s="29">
        <f>_xll.qlDayCounterYearFraction(DayCounter,S141,T141)</f>
        <v>8.3333333333333329E-2</v>
      </c>
      <c r="Z141" s="29">
        <f>IF($M$13,_xll.qlYieldTSDiscount(Currency&amp;"ON",S141)/(1+V141*Y141),1)</f>
        <v>1</v>
      </c>
      <c r="AA141" s="30">
        <f>_xll.qlTenorBasisValue(TenorBasis1M,S141,InterestRatesTrigger)</f>
        <v>3.4897409804026145E-4</v>
      </c>
      <c r="AB141" s="74">
        <f t="shared" si="16"/>
        <v>1.9605709108778253E-2</v>
      </c>
      <c r="AC141" s="76">
        <f t="shared" si="17"/>
        <v>0.98486363194279269</v>
      </c>
    </row>
    <row r="142" spans="16:29" x14ac:dyDescent="0.2">
      <c r="P142" s="33">
        <v>1</v>
      </c>
      <c r="Q142" s="27" t="str">
        <f>_xll.qlPeriodEquivalent(Q141&amp;"+"&amp;P142&amp;"M")</f>
        <v>11Y7M</v>
      </c>
      <c r="R142" s="28">
        <f>_xll.qlCalendarAdvance(Calendar,SettlementDate,Q142,"f",,Trigger)</f>
        <v>46510</v>
      </c>
      <c r="S142" s="28">
        <f>_xll.qlInterestRateIndexValueDate(Index,R142,Trigger)</f>
        <v>46512</v>
      </c>
      <c r="T142" s="28">
        <f>_xll.qlInterestRateIndexMaturity(Index,S142,Trigger)</f>
        <v>46545</v>
      </c>
      <c r="U142" s="30">
        <f>_xll.qlIndexFixing($M$5,R142,TRUE,InterestRatesTrigger)</f>
        <v>1.931060528796345E-2</v>
      </c>
      <c r="V142" s="74">
        <f>_xll.qlIndexFixing(Index,R142,TRUE,InterestRatesTrigger)</f>
        <v>1.9963464988557372E-2</v>
      </c>
      <c r="W142" s="30">
        <f t="shared" si="15"/>
        <v>6.5285970059392184E-4</v>
      </c>
      <c r="X142" s="29">
        <f>_xll.qlDayCounterYearFraction(DayCounter,SettlementDate,S142,,,Trigger)</f>
        <v>11.758333333333333</v>
      </c>
      <c r="Y142" s="29">
        <f>_xll.qlDayCounterYearFraction(DayCounter,S142,T142)</f>
        <v>9.166666666666666E-2</v>
      </c>
      <c r="Z142" s="29">
        <f>IF($M$13,_xll.qlYieldTSDiscount(Currency&amp;"ON",S142)/(1+V142*Y142),1)</f>
        <v>1</v>
      </c>
      <c r="AA142" s="30">
        <f>_xll.qlTenorBasisValue(TenorBasis1M,S142,InterestRatesTrigger)</f>
        <v>3.4624100513212179E-4</v>
      </c>
      <c r="AB142" s="74">
        <f t="shared" si="16"/>
        <v>1.9656846293095571E-2</v>
      </c>
      <c r="AC142" s="76">
        <f t="shared" si="17"/>
        <v>0.98464100817981504</v>
      </c>
    </row>
    <row r="143" spans="16:29" x14ac:dyDescent="0.2">
      <c r="P143" s="33">
        <v>1</v>
      </c>
      <c r="Q143" s="27" t="str">
        <f>_xll.qlPeriodEquivalent(Q142&amp;"+"&amp;P143&amp;"M")</f>
        <v>11Y8M</v>
      </c>
      <c r="R143" s="28">
        <f>_xll.qlCalendarAdvance(Calendar,SettlementDate,Q143,"f",,Trigger)</f>
        <v>46540</v>
      </c>
      <c r="S143" s="28">
        <f>_xll.qlInterestRateIndexValueDate(Index,R143,Trigger)</f>
        <v>46542</v>
      </c>
      <c r="T143" s="28">
        <f>_xll.qlInterestRateIndexMaturity(Index,S143,Trigger)</f>
        <v>46573</v>
      </c>
      <c r="U143" s="30">
        <f>_xll.qlIndexFixing($M$5,R143,TRUE,InterestRatesTrigger)</f>
        <v>1.9360793888056678E-2</v>
      </c>
      <c r="V143" s="74">
        <f>_xll.qlIndexFixing(Index,R143,TRUE,InterestRatesTrigger)</f>
        <v>2.0010942040096739E-2</v>
      </c>
      <c r="W143" s="30">
        <f t="shared" si="15"/>
        <v>6.5014815204006079E-4</v>
      </c>
      <c r="X143" s="29">
        <f>_xll.qlDayCounterYearFraction(DayCounter,SettlementDate,S143,,,Trigger)</f>
        <v>11.841666666666667</v>
      </c>
      <c r="Y143" s="29">
        <f>_xll.qlDayCounterYearFraction(DayCounter,S143,T143)</f>
        <v>8.611111111111111E-2</v>
      </c>
      <c r="Z143" s="29">
        <f>IF($M$13,_xll.qlYieldTSDiscount(Currency&amp;"ON",S143)/(1+V143*Y143),1)</f>
        <v>1</v>
      </c>
      <c r="AA143" s="30">
        <f>_xll.qlTenorBasisValue(TenorBasis1M,S143,InterestRatesTrigger)</f>
        <v>3.4342296563264819E-4</v>
      </c>
      <c r="AB143" s="74">
        <f t="shared" si="16"/>
        <v>1.9704216853689328E-2</v>
      </c>
      <c r="AC143" s="76">
        <f t="shared" si="17"/>
        <v>0.984672126589902</v>
      </c>
    </row>
    <row r="144" spans="16:29" x14ac:dyDescent="0.2">
      <c r="P144" s="33">
        <v>1</v>
      </c>
      <c r="Q144" s="27" t="str">
        <f>_xll.qlPeriodEquivalent(Q143&amp;"+"&amp;P144&amp;"M")</f>
        <v>11Y9M</v>
      </c>
      <c r="R144" s="28">
        <f>_xll.qlCalendarAdvance(Calendar,SettlementDate,Q144,"f",,Trigger)</f>
        <v>46570</v>
      </c>
      <c r="S144" s="28">
        <f>_xll.qlInterestRateIndexValueDate(Index,R144,Trigger)</f>
        <v>46574</v>
      </c>
      <c r="T144" s="28">
        <f>_xll.qlInterestRateIndexMaturity(Index,S144,Trigger)</f>
        <v>46605</v>
      </c>
      <c r="U144" s="30">
        <f>_xll.qlIndexFixing($M$5,R144,TRUE,InterestRatesTrigger)</f>
        <v>1.9419022537318982E-2</v>
      </c>
      <c r="V144" s="74">
        <f>_xll.qlIndexFixing(Index,R144,TRUE,InterestRatesTrigger)</f>
        <v>2.0060455714057627E-2</v>
      </c>
      <c r="W144" s="30">
        <f t="shared" si="15"/>
        <v>6.4143317673864483E-4</v>
      </c>
      <c r="X144" s="29">
        <f>_xll.qlDayCounterYearFraction(DayCounter,SettlementDate,S144,,,Trigger)</f>
        <v>11.930555555555555</v>
      </c>
      <c r="Y144" s="29">
        <f>_xll.qlDayCounterYearFraction(DayCounter,S144,T144)</f>
        <v>8.611111111111111E-2</v>
      </c>
      <c r="Z144" s="29">
        <f>IF($M$13,_xll.qlYieldTSDiscount(Currency&amp;"ON",S144)/(1+V144*Y144),1)</f>
        <v>1</v>
      </c>
      <c r="AA144" s="30">
        <f>_xll.qlTenorBasisValue(TenorBasis1M,S144,InterestRatesTrigger)</f>
        <v>3.4042782232117949E-4</v>
      </c>
      <c r="AB144" s="74">
        <f t="shared" si="16"/>
        <v>1.9759450359640163E-2</v>
      </c>
      <c r="AC144" s="76">
        <f t="shared" si="17"/>
        <v>0.98499508890984311</v>
      </c>
    </row>
    <row r="145" spans="16:29" x14ac:dyDescent="0.2">
      <c r="P145" s="33">
        <v>1</v>
      </c>
      <c r="Q145" s="27" t="str">
        <f>_xll.qlPeriodEquivalent(Q144&amp;"+"&amp;P145&amp;"M")</f>
        <v>11Y10M</v>
      </c>
      <c r="R145" s="28">
        <f>_xll.qlCalendarAdvance(Calendar,SettlementDate,Q145,"f",,Trigger)</f>
        <v>46601</v>
      </c>
      <c r="S145" s="28">
        <f>_xll.qlInterestRateIndexValueDate(Index,R145,Trigger)</f>
        <v>46603</v>
      </c>
      <c r="T145" s="28">
        <f>_xll.qlInterestRateIndexMaturity(Index,S145,Trigger)</f>
        <v>46636</v>
      </c>
      <c r="U145" s="30">
        <f>_xll.qlIndexFixing($M$5,R145,TRUE,InterestRatesTrigger)</f>
        <v>1.9476289915050644E-2</v>
      </c>
      <c r="V145" s="74">
        <f>_xll.qlIndexFixing(Index,R145,TRUE,InterestRatesTrigger)</f>
        <v>2.0104046970995559E-2</v>
      </c>
      <c r="W145" s="30">
        <f t="shared" si="15"/>
        <v>6.2775705594491499E-4</v>
      </c>
      <c r="X145" s="29">
        <f>_xll.qlDayCounterYearFraction(DayCounter,SettlementDate,S145,,,Trigger)</f>
        <v>12.011111111111111</v>
      </c>
      <c r="Y145" s="29">
        <f>_xll.qlDayCounterYearFraction(DayCounter,S145,T145)</f>
        <v>9.166666666666666E-2</v>
      </c>
      <c r="Z145" s="29">
        <f>IF($M$13,_xll.qlYieldTSDiscount(Currency&amp;"ON",S145)/(1+V145*Y145),1)</f>
        <v>1</v>
      </c>
      <c r="AA145" s="30">
        <f>_xll.qlTenorBasisValue(TenorBasis1M,S145,InterestRatesTrigger)</f>
        <v>3.3772336800280315E-4</v>
      </c>
      <c r="AB145" s="74">
        <f t="shared" si="16"/>
        <v>1.9814013283053447E-2</v>
      </c>
      <c r="AC145" s="76">
        <f t="shared" si="17"/>
        <v>0.98557336797110806</v>
      </c>
    </row>
    <row r="146" spans="16:29" x14ac:dyDescent="0.2">
      <c r="P146" s="33">
        <v>1</v>
      </c>
      <c r="Q146" s="27" t="str">
        <f>_xll.qlPeriodEquivalent(Q145&amp;"+"&amp;P146&amp;"M")</f>
        <v>11Y11M</v>
      </c>
      <c r="R146" s="28">
        <f>_xll.qlCalendarAdvance(Calendar,SettlementDate,Q146,"f",,Trigger)</f>
        <v>46632</v>
      </c>
      <c r="S146" s="28">
        <f>_xll.qlInterestRateIndexValueDate(Index,R146,Trigger)</f>
        <v>46636</v>
      </c>
      <c r="T146" s="28">
        <f>_xll.qlInterestRateIndexMaturity(Index,S146,Trigger)</f>
        <v>46666</v>
      </c>
      <c r="U146" s="30">
        <f>_xll.qlIndexFixing($M$5,R146,TRUE,InterestRatesTrigger)</f>
        <v>1.9535391479967856E-2</v>
      </c>
      <c r="V146" s="74">
        <f>_xll.qlIndexFixing(Index,R146,TRUE,InterestRatesTrigger)</f>
        <v>2.0142871419341013E-2</v>
      </c>
      <c r="W146" s="30">
        <f t="shared" si="15"/>
        <v>6.074799393731567E-4</v>
      </c>
      <c r="X146" s="29">
        <f>_xll.qlDayCounterYearFraction(DayCounter,SettlementDate,S146,,,Trigger)</f>
        <v>12.102777777777778</v>
      </c>
      <c r="Y146" s="29">
        <f>_xll.qlDayCounterYearFraction(DayCounter,S146,T146)</f>
        <v>8.3333333333333329E-2</v>
      </c>
      <c r="Z146" s="29">
        <f>IF($M$13,_xll.qlYieldTSDiscount(Currency&amp;"ON",S146)/(1+V146*Y146),1)</f>
        <v>1</v>
      </c>
      <c r="AA146" s="30">
        <f>_xll.qlTenorBasisValue(TenorBasis1M,S146,InterestRatesTrigger)</f>
        <v>3.346576692027842E-4</v>
      </c>
      <c r="AB146" s="74">
        <f t="shared" si="16"/>
        <v>1.9870049149170642E-2</v>
      </c>
      <c r="AC146" s="76">
        <f t="shared" si="17"/>
        <v>0.98645564157707877</v>
      </c>
    </row>
    <row r="147" spans="16:29" x14ac:dyDescent="0.2">
      <c r="P147" s="33">
        <v>1</v>
      </c>
      <c r="Q147" s="27" t="str">
        <f>_xll.qlPeriodEquivalent(Q146&amp;"+"&amp;P147&amp;"M")</f>
        <v>12Y</v>
      </c>
      <c r="R147" s="28">
        <f>_xll.qlCalendarAdvance(Calendar,SettlementDate,Q147,"f",,Trigger)</f>
        <v>46664</v>
      </c>
      <c r="S147" s="28">
        <f>_xll.qlInterestRateIndexValueDate(Index,R147,Trigger)</f>
        <v>46666</v>
      </c>
      <c r="T147" s="28">
        <f>_xll.qlInterestRateIndexMaturity(Index,S147,Trigger)</f>
        <v>46699</v>
      </c>
      <c r="U147" s="30">
        <f>_xll.qlIndexFixing($M$5,R147,TRUE,InterestRatesTrigger)</f>
        <v>1.9598510353666464E-2</v>
      </c>
      <c r="V147" s="74">
        <f>_xll.qlIndexFixing(Index,R147,TRUE,InterestRatesTrigger)</f>
        <v>2.0181250428910665E-2</v>
      </c>
      <c r="W147" s="30">
        <f t="shared" si="15"/>
        <v>5.8274007524420149E-4</v>
      </c>
      <c r="X147" s="29">
        <f>_xll.qlDayCounterYearFraction(DayCounter,SettlementDate,S147,,,Trigger)</f>
        <v>12.186111111111112</v>
      </c>
      <c r="Y147" s="29">
        <f>_xll.qlDayCounterYearFraction(DayCounter,S147,T147)</f>
        <v>9.166666666666666E-2</v>
      </c>
      <c r="Z147" s="29">
        <f>IF($M$13,_xll.qlYieldTSDiscount(Currency&amp;"ON",S147)/(1+V147*Y147),1)</f>
        <v>1</v>
      </c>
      <c r="AA147" s="30">
        <f>_xll.qlTenorBasisValue(TenorBasis1M,S147,InterestRatesTrigger)</f>
        <v>3.3188185162630199E-4</v>
      </c>
      <c r="AB147" s="74">
        <f t="shared" si="16"/>
        <v>1.9930392205292767E-2</v>
      </c>
      <c r="AC147" s="76">
        <f t="shared" si="17"/>
        <v>0.98756973833204453</v>
      </c>
    </row>
    <row r="148" spans="16:29" x14ac:dyDescent="0.2">
      <c r="P148" s="33">
        <v>1</v>
      </c>
      <c r="Q148" s="27" t="str">
        <f>_xll.qlPeriodEquivalent(Q147&amp;"+"&amp;P148&amp;"M")</f>
        <v>12Y1M</v>
      </c>
      <c r="R148" s="28">
        <f>_xll.qlCalendarAdvance(Calendar,SettlementDate,Q148,"f",,Trigger)</f>
        <v>46693</v>
      </c>
      <c r="S148" s="28">
        <f>_xll.qlInterestRateIndexValueDate(Index,R148,Trigger)</f>
        <v>46695</v>
      </c>
      <c r="T148" s="28">
        <f>_xll.qlInterestRateIndexMaturity(Index,S148,Trigger)</f>
        <v>46727</v>
      </c>
      <c r="U148" s="30">
        <f>_xll.qlIndexFixing($M$5,R148,TRUE,InterestRatesTrigger)</f>
        <v>1.9652012608910863E-2</v>
      </c>
      <c r="V148" s="74">
        <f>_xll.qlIndexFixing(Index,R148,TRUE,InterestRatesTrigger)</f>
        <v>2.0212023179217165E-2</v>
      </c>
      <c r="W148" s="30">
        <f t="shared" si="15"/>
        <v>5.6001057030630186E-4</v>
      </c>
      <c r="X148" s="29">
        <f>_xll.qlDayCounterYearFraction(DayCounter,SettlementDate,S148,,,Trigger)</f>
        <v>12.266666666666667</v>
      </c>
      <c r="Y148" s="29">
        <f>_xll.qlDayCounterYearFraction(DayCounter,S148,T148)</f>
        <v>8.8888888888888892E-2</v>
      </c>
      <c r="Z148" s="29">
        <f>IF($M$13,_xll.qlYieldTSDiscount(Currency&amp;"ON",S148)/(1+V148*Y148),1)</f>
        <v>1</v>
      </c>
      <c r="AA148" s="30">
        <f>_xll.qlTenorBasisValue(TenorBasis1M,S148,InterestRatesTrigger)</f>
        <v>3.2920894190157924E-4</v>
      </c>
      <c r="AB148" s="74">
        <f t="shared" si="16"/>
        <v>1.9981221550812441E-2</v>
      </c>
      <c r="AC148" s="76">
        <f t="shared" si="17"/>
        <v>0.98858097349492247</v>
      </c>
    </row>
    <row r="149" spans="16:29" x14ac:dyDescent="0.2">
      <c r="P149" s="33">
        <v>1</v>
      </c>
      <c r="Q149" s="27" t="str">
        <f>_xll.qlPeriodEquivalent(Q148&amp;"+"&amp;P149&amp;"M")</f>
        <v>12Y2M</v>
      </c>
      <c r="R149" s="28">
        <f>_xll.qlCalendarAdvance(Calendar,SettlementDate,Q149,"f",,Trigger)</f>
        <v>46723</v>
      </c>
      <c r="S149" s="28">
        <f>_xll.qlInterestRateIndexValueDate(Index,R149,Trigger)</f>
        <v>46727</v>
      </c>
      <c r="T149" s="28">
        <f>_xll.qlInterestRateIndexMaturity(Index,S149,Trigger)</f>
        <v>46758</v>
      </c>
      <c r="U149" s="30">
        <f>_xll.qlIndexFixing($M$5,R149,TRUE,InterestRatesTrigger)</f>
        <v>1.9708851562052487E-2</v>
      </c>
      <c r="V149" s="74">
        <f>_xll.qlIndexFixing(Index,R149,TRUE,InterestRatesTrigger)</f>
        <v>2.0244334242997597E-2</v>
      </c>
      <c r="W149" s="30">
        <f t="shared" si="15"/>
        <v>5.3548268094510965E-4</v>
      </c>
      <c r="X149" s="29">
        <f>_xll.qlDayCounterYearFraction(DayCounter,SettlementDate,S149,,,Trigger)</f>
        <v>12.355555555555556</v>
      </c>
      <c r="Y149" s="29">
        <f>_xll.qlDayCounterYearFraction(DayCounter,S149,T149)</f>
        <v>8.611111111111111E-2</v>
      </c>
      <c r="Z149" s="29">
        <f>IF($M$13,_xll.qlYieldTSDiscount(Currency&amp;"ON",S149)/(1+V149*Y149),1)</f>
        <v>1</v>
      </c>
      <c r="AA149" s="30">
        <f>_xll.qlTenorBasisValue(TenorBasis1M,S149,InterestRatesTrigger)</f>
        <v>3.2627164734278516E-4</v>
      </c>
      <c r="AB149" s="74">
        <f t="shared" si="16"/>
        <v>2.0035123209395274E-2</v>
      </c>
      <c r="AC149" s="76">
        <f t="shared" si="17"/>
        <v>0.98966569949443073</v>
      </c>
    </row>
    <row r="150" spans="16:29" x14ac:dyDescent="0.2">
      <c r="P150" s="33">
        <v>1</v>
      </c>
      <c r="Q150" s="27" t="str">
        <f>_xll.qlPeriodEquivalent(Q149&amp;"+"&amp;P150&amp;"M")</f>
        <v>12Y3M</v>
      </c>
      <c r="R150" s="28">
        <f>_xll.qlCalendarAdvance(Calendar,SettlementDate,Q150,"f",,Trigger)</f>
        <v>46755</v>
      </c>
      <c r="S150" s="28">
        <f>_xll.qlInterestRateIndexValueDate(Index,R150,Trigger)</f>
        <v>46757</v>
      </c>
      <c r="T150" s="28">
        <f>_xll.qlInterestRateIndexMaturity(Index,S150,Trigger)</f>
        <v>46790</v>
      </c>
      <c r="U150" s="30">
        <f>_xll.qlIndexFixing($M$5,R150,TRUE,InterestRatesTrigger)</f>
        <v>1.9763977479698918E-2</v>
      </c>
      <c r="V150" s="74">
        <f>_xll.qlIndexFixing(Index,R150,TRUE,InterestRatesTrigger)</f>
        <v>2.0276033650254988E-2</v>
      </c>
      <c r="W150" s="30">
        <f t="shared" si="15"/>
        <v>5.1205617055606958E-4</v>
      </c>
      <c r="X150" s="29">
        <f>_xll.qlDayCounterYearFraction(DayCounter,SettlementDate,S150,,,Trigger)</f>
        <v>12.438888888888888</v>
      </c>
      <c r="Y150" s="29">
        <f>_xll.qlDayCounterYearFraction(DayCounter,S150,T150)</f>
        <v>9.166666666666666E-2</v>
      </c>
      <c r="Z150" s="29">
        <f>IF($M$13,_xll.qlYieldTSDiscount(Currency&amp;"ON",S150)/(1+V150*Y150),1)</f>
        <v>1</v>
      </c>
      <c r="AA150" s="30">
        <f>_xll.qlTenorBasisValue(TenorBasis1M,S150,InterestRatesTrigger)</f>
        <v>3.2352974244217639E-4</v>
      </c>
      <c r="AB150" s="74">
        <f t="shared" si="16"/>
        <v>2.0087507222141095E-2</v>
      </c>
      <c r="AC150" s="76">
        <f t="shared" si="17"/>
        <v>0.99070200654793639</v>
      </c>
    </row>
    <row r="151" spans="16:29" x14ac:dyDescent="0.2">
      <c r="P151" s="33">
        <v>1</v>
      </c>
      <c r="Q151" s="27" t="str">
        <f>_xll.qlPeriodEquivalent(Q150&amp;"+"&amp;P151&amp;"M")</f>
        <v>12Y4M</v>
      </c>
      <c r="R151" s="28">
        <f>_xll.qlCalendarAdvance(Calendar,SettlementDate,Q151,"f",,Trigger)</f>
        <v>46785</v>
      </c>
      <c r="S151" s="28">
        <f>_xll.qlInterestRateIndexValueDate(Index,R151,Trigger)</f>
        <v>46787</v>
      </c>
      <c r="T151" s="28">
        <f>_xll.qlInterestRateIndexMaturity(Index,S151,Trigger)</f>
        <v>46818</v>
      </c>
      <c r="U151" s="30">
        <f>_xll.qlIndexFixing($M$5,R151,TRUE,InterestRatesTrigger)</f>
        <v>1.9811315594691715E-2</v>
      </c>
      <c r="V151" s="74">
        <f>_xll.qlIndexFixing(Index,R151,TRUE,InterestRatesTrigger)</f>
        <v>2.0301911117589534E-2</v>
      </c>
      <c r="W151" s="30">
        <f t="shared" si="15"/>
        <v>4.9059552289781871E-4</v>
      </c>
      <c r="X151" s="29">
        <f>_xll.qlDayCounterYearFraction(DayCounter,SettlementDate,S151,,,Trigger)</f>
        <v>12.522222222222222</v>
      </c>
      <c r="Y151" s="29">
        <f>_xll.qlDayCounterYearFraction(DayCounter,S151,T151)</f>
        <v>8.611111111111111E-2</v>
      </c>
      <c r="Z151" s="29">
        <f>IF($M$13,_xll.qlYieldTSDiscount(Currency&amp;"ON",S151)/(1+V151*Y151),1)</f>
        <v>1</v>
      </c>
      <c r="AA151" s="30">
        <f>_xll.qlTenorBasisValue(TenorBasis1M,S151,InterestRatesTrigger)</f>
        <v>3.2079950724324294E-4</v>
      </c>
      <c r="AB151" s="74">
        <f t="shared" si="16"/>
        <v>2.013211510193496E-2</v>
      </c>
      <c r="AC151" s="76">
        <f t="shared" si="17"/>
        <v>0.99163645162905556</v>
      </c>
    </row>
    <row r="152" spans="16:29" x14ac:dyDescent="0.2">
      <c r="P152" s="33">
        <v>1</v>
      </c>
      <c r="Q152" s="27" t="str">
        <f>_xll.qlPeriodEquivalent(Q151&amp;"+"&amp;P152&amp;"M")</f>
        <v>12Y5M</v>
      </c>
      <c r="R152" s="28">
        <f>_xll.qlCalendarAdvance(Calendar,SettlementDate,Q152,"f",,Trigger)</f>
        <v>46814</v>
      </c>
      <c r="S152" s="28">
        <f>_xll.qlInterestRateIndexValueDate(Index,R152,Trigger)</f>
        <v>46818</v>
      </c>
      <c r="T152" s="28">
        <f>_xll.qlInterestRateIndexMaturity(Index,S152,Trigger)</f>
        <v>46849</v>
      </c>
      <c r="U152" s="30">
        <f>_xll.qlIndexFixing($M$5,R152,TRUE,InterestRatesTrigger)</f>
        <v>1.9860756358120797E-2</v>
      </c>
      <c r="V152" s="74">
        <f>_xll.qlIndexFixing(Index,R152,TRUE,InterestRatesTrigger)</f>
        <v>2.0329102475436171E-2</v>
      </c>
      <c r="W152" s="30">
        <f t="shared" si="15"/>
        <v>4.6834611731537412E-4</v>
      </c>
      <c r="X152" s="29">
        <f>_xll.qlDayCounterYearFraction(DayCounter,SettlementDate,S152,,,Trigger)</f>
        <v>12.608333333333333</v>
      </c>
      <c r="Y152" s="29">
        <f>_xll.qlDayCounterYearFraction(DayCounter,S152,T152)</f>
        <v>8.611111111111111E-2</v>
      </c>
      <c r="Z152" s="29">
        <f>IF($M$13,_xll.qlYieldTSDiscount(Currency&amp;"ON",S152)/(1+V152*Y152),1)</f>
        <v>1</v>
      </c>
      <c r="AA152" s="30">
        <f>_xll.qlTenorBasisValue(TenorBasis1M,S152,InterestRatesTrigger)</f>
        <v>3.1799076530416947E-4</v>
      </c>
      <c r="AB152" s="74">
        <f t="shared" si="16"/>
        <v>2.0178747123424965E-2</v>
      </c>
      <c r="AC152" s="76">
        <f t="shared" si="17"/>
        <v>0.99260393555530146</v>
      </c>
    </row>
    <row r="153" spans="16:29" x14ac:dyDescent="0.2">
      <c r="P153" s="33">
        <v>1</v>
      </c>
      <c r="Q153" s="27" t="str">
        <f>_xll.qlPeriodEquivalent(Q152&amp;"+"&amp;P153&amp;"M")</f>
        <v>12Y6M</v>
      </c>
      <c r="R153" s="28">
        <f>_xll.qlCalendarAdvance(Calendar,SettlementDate,Q153,"f",,Trigger)</f>
        <v>46846</v>
      </c>
      <c r="S153" s="28">
        <f>_xll.qlInterestRateIndexValueDate(Index,R153,Trigger)</f>
        <v>46848</v>
      </c>
      <c r="T153" s="28">
        <f>_xll.qlInterestRateIndexMaturity(Index,S153,Trigger)</f>
        <v>46878</v>
      </c>
      <c r="U153" s="30">
        <f>_xll.qlIndexFixing($M$5,R153,TRUE,InterestRatesTrigger)</f>
        <v>1.9905047407209331E-2</v>
      </c>
      <c r="V153" s="74">
        <f>_xll.qlIndexFixing(Index,R153,TRUE,InterestRatesTrigger)</f>
        <v>2.0352810285240608E-2</v>
      </c>
      <c r="W153" s="30">
        <f t="shared" si="15"/>
        <v>4.4776287803127701E-4</v>
      </c>
      <c r="X153" s="29">
        <f>_xll.qlDayCounterYearFraction(DayCounter,SettlementDate,S153,,,Trigger)</f>
        <v>12.691666666666666</v>
      </c>
      <c r="Y153" s="29">
        <f>_xll.qlDayCounterYearFraction(DayCounter,S153,T153)</f>
        <v>8.3333333333333329E-2</v>
      </c>
      <c r="Z153" s="29">
        <f>IF($M$13,_xll.qlYieldTSDiscount(Currency&amp;"ON",S153)/(1+V153*Y153),1)</f>
        <v>1</v>
      </c>
      <c r="AA153" s="30">
        <f>_xll.qlTenorBasisValue(TenorBasis1M,S153,InterestRatesTrigger)</f>
        <v>3.15284950207223E-4</v>
      </c>
      <c r="AB153" s="74">
        <f t="shared" si="16"/>
        <v>2.0220332357416555E-2</v>
      </c>
      <c r="AC153" s="76">
        <f t="shared" si="17"/>
        <v>0.99349092700381914</v>
      </c>
    </row>
    <row r="154" spans="16:29" x14ac:dyDescent="0.2">
      <c r="P154" s="33">
        <v>1</v>
      </c>
      <c r="Q154" s="27" t="str">
        <f>_xll.qlPeriodEquivalent(Q153&amp;"+"&amp;P154&amp;"M")</f>
        <v>12Y7M</v>
      </c>
      <c r="R154" s="28">
        <f>_xll.qlCalendarAdvance(Calendar,SettlementDate,Q154,"f",,Trigger)</f>
        <v>46875</v>
      </c>
      <c r="S154" s="28">
        <f>_xll.qlInterestRateIndexValueDate(Index,R154,Trigger)</f>
        <v>46877</v>
      </c>
      <c r="T154" s="28">
        <f>_xll.qlInterestRateIndexMaturity(Index,S154,Trigger)</f>
        <v>46909</v>
      </c>
      <c r="U154" s="30">
        <f>_xll.qlIndexFixing($M$5,R154,TRUE,InterestRatesTrigger)</f>
        <v>1.994951759701824E-2</v>
      </c>
      <c r="V154" s="74">
        <f>_xll.qlIndexFixing(Index,R154,TRUE,InterestRatesTrigger)</f>
        <v>2.0377059964402644E-2</v>
      </c>
      <c r="W154" s="30">
        <f t="shared" si="15"/>
        <v>4.2754236738440365E-4</v>
      </c>
      <c r="X154" s="29">
        <f>_xll.qlDayCounterYearFraction(DayCounter,SettlementDate,S154,,,Trigger)</f>
        <v>12.772222222222222</v>
      </c>
      <c r="Y154" s="29">
        <f>_xll.qlDayCounterYearFraction(DayCounter,S154,T154)</f>
        <v>8.8888888888888892E-2</v>
      </c>
      <c r="Z154" s="29">
        <f>IF($M$13,_xll.qlYieldTSDiscount(Currency&amp;"ON",S154)/(1+V154*Y154),1)</f>
        <v>1</v>
      </c>
      <c r="AA154" s="30">
        <f>_xll.qlTenorBasisValue(TenorBasis1M,S154,InterestRatesTrigger)</f>
        <v>3.1268104919702832E-4</v>
      </c>
      <c r="AB154" s="74">
        <f t="shared" si="16"/>
        <v>2.0262198646215267E-2</v>
      </c>
      <c r="AC154" s="76">
        <f t="shared" si="17"/>
        <v>0.99436320458456562</v>
      </c>
    </row>
    <row r="155" spans="16:29" x14ac:dyDescent="0.2">
      <c r="P155" s="33">
        <v>1</v>
      </c>
      <c r="Q155" s="27" t="str">
        <f>_xll.qlPeriodEquivalent(Q154&amp;"+"&amp;P155&amp;"M")</f>
        <v>12Y8M</v>
      </c>
      <c r="R155" s="28">
        <f>_xll.qlCalendarAdvance(Calendar,SettlementDate,Q155,"f",,Trigger)</f>
        <v>46906</v>
      </c>
      <c r="S155" s="28">
        <f>_xll.qlInterestRateIndexValueDate(Index,R155,Trigger)</f>
        <v>46910</v>
      </c>
      <c r="T155" s="28">
        <f>_xll.qlInterestRateIndexMaturity(Index,S155,Trigger)</f>
        <v>46940</v>
      </c>
      <c r="U155" s="30">
        <f>_xll.qlIndexFixing($M$5,R155,TRUE,InterestRatesTrigger)</f>
        <v>1.9992234877266313E-2</v>
      </c>
      <c r="V155" s="74">
        <f>_xll.qlIndexFixing(Index,R155,TRUE,InterestRatesTrigger)</f>
        <v>2.0398821237813891E-2</v>
      </c>
      <c r="W155" s="30">
        <f t="shared" si="15"/>
        <v>4.0658636054757835E-4</v>
      </c>
      <c r="X155" s="29">
        <f>_xll.qlDayCounterYearFraction(DayCounter,SettlementDate,S155,,,Trigger)</f>
        <v>12.863888888888889</v>
      </c>
      <c r="Y155" s="29">
        <f>_xll.qlDayCounterYearFraction(DayCounter,S155,T155)</f>
        <v>8.3333333333333329E-2</v>
      </c>
      <c r="Z155" s="29">
        <f>IF($M$13,_xll.qlYieldTSDiscount(Currency&amp;"ON",S155)/(1+V155*Y155),1)</f>
        <v>1</v>
      </c>
      <c r="AA155" s="30">
        <f>_xll.qlTenorBasisValue(TenorBasis1M,S155,InterestRatesTrigger)</f>
        <v>3.0973223789368973E-4</v>
      </c>
      <c r="AB155" s="74">
        <f t="shared" si="16"/>
        <v>2.0301967115160004E-2</v>
      </c>
      <c r="AC155" s="76">
        <f t="shared" si="17"/>
        <v>0.99525197453692338</v>
      </c>
    </row>
    <row r="156" spans="16:29" x14ac:dyDescent="0.2">
      <c r="P156" s="33">
        <v>1</v>
      </c>
      <c r="Q156" s="27" t="str">
        <f>_xll.qlPeriodEquivalent(Q155&amp;"+"&amp;P156&amp;"M")</f>
        <v>12Y9M</v>
      </c>
      <c r="R156" s="28">
        <f>_xll.qlCalendarAdvance(Calendar,SettlementDate,Q156,"f",,Trigger)</f>
        <v>46937</v>
      </c>
      <c r="S156" s="28">
        <f>_xll.qlInterestRateIndexValueDate(Index,R156,Trigger)</f>
        <v>46939</v>
      </c>
      <c r="T156" s="28">
        <f>_xll.qlInterestRateIndexMaturity(Index,S156,Trigger)</f>
        <v>46972</v>
      </c>
      <c r="U156" s="30">
        <f>_xll.qlIndexFixing($M$5,R156,TRUE,InterestRatesTrigger)</f>
        <v>2.0033277777651293E-2</v>
      </c>
      <c r="V156" s="74">
        <f>_xll.qlIndexFixing(Index,R156,TRUE,InterestRatesTrigger)</f>
        <v>2.0420718411265814E-2</v>
      </c>
      <c r="W156" s="30">
        <f t="shared" si="15"/>
        <v>3.8744063361452127E-4</v>
      </c>
      <c r="X156" s="29">
        <f>_xll.qlDayCounterYearFraction(DayCounter,SettlementDate,S156,,,Trigger)</f>
        <v>12.944444444444445</v>
      </c>
      <c r="Y156" s="29">
        <f>_xll.qlDayCounterYearFraction(DayCounter,S156,T156)</f>
        <v>9.166666666666666E-2</v>
      </c>
      <c r="Z156" s="29">
        <f>IF($M$13,_xll.qlYieldTSDiscount(Currency&amp;"ON",S156)/(1+V156*Y156),1)</f>
        <v>1</v>
      </c>
      <c r="AA156" s="30">
        <f>_xll.qlTenorBasisValue(TenorBasis1M,S156,InterestRatesTrigger)</f>
        <v>3.0715357417176076E-4</v>
      </c>
      <c r="AB156" s="74">
        <f t="shared" si="16"/>
        <v>2.0340431351823052E-2</v>
      </c>
      <c r="AC156" s="76">
        <f t="shared" si="17"/>
        <v>0.99606835284509543</v>
      </c>
    </row>
    <row r="157" spans="16:29" x14ac:dyDescent="0.2">
      <c r="P157" s="33">
        <v>1</v>
      </c>
      <c r="Q157" s="27" t="str">
        <f>_xll.qlPeriodEquivalent(Q156&amp;"+"&amp;P157&amp;"M")</f>
        <v>12Y10M</v>
      </c>
      <c r="R157" s="28">
        <f>_xll.qlCalendarAdvance(Calendar,SettlementDate,Q157,"f",,Trigger)</f>
        <v>46967</v>
      </c>
      <c r="S157" s="28">
        <f>_xll.qlInterestRateIndexValueDate(Index,R157,Trigger)</f>
        <v>46969</v>
      </c>
      <c r="T157" s="28">
        <f>_xll.qlInterestRateIndexMaturity(Index,S157,Trigger)</f>
        <v>47000</v>
      </c>
      <c r="U157" s="30">
        <f>_xll.qlIndexFixing($M$5,R157,TRUE,InterestRatesTrigger)</f>
        <v>2.006749272762819E-2</v>
      </c>
      <c r="V157" s="74">
        <f>_xll.qlIndexFixing(Index,R157,TRUE,InterestRatesTrigger)</f>
        <v>2.0437268370219124E-2</v>
      </c>
      <c r="W157" s="30">
        <f t="shared" si="15"/>
        <v>3.6977564259093459E-4</v>
      </c>
      <c r="X157" s="29">
        <f>_xll.qlDayCounterYearFraction(DayCounter,SettlementDate,S157,,,Trigger)</f>
        <v>13.027777777777779</v>
      </c>
      <c r="Y157" s="29">
        <f>_xll.qlDayCounterYearFraction(DayCounter,S157,T157)</f>
        <v>8.611111111111111E-2</v>
      </c>
      <c r="Z157" s="29">
        <f>IF($M$13,_xll.qlYieldTSDiscount(Currency&amp;"ON",S157)/(1+V157*Y157),1)</f>
        <v>1</v>
      </c>
      <c r="AA157" s="30">
        <f>_xll.qlTenorBasisValue(TenorBasis1M,S157,InterestRatesTrigger)</f>
        <v>3.0449869431303935E-4</v>
      </c>
      <c r="AB157" s="74">
        <f t="shared" si="16"/>
        <v>2.0371991421941228E-2</v>
      </c>
      <c r="AC157" s="76">
        <f t="shared" si="17"/>
        <v>0.99680598467978154</v>
      </c>
    </row>
    <row r="158" spans="16:29" x14ac:dyDescent="0.2">
      <c r="P158" s="33">
        <v>1</v>
      </c>
      <c r="Q158" s="27" t="str">
        <f>_xll.qlPeriodEquivalent(Q157&amp;"+"&amp;P158&amp;"M")</f>
        <v>12Y11M</v>
      </c>
      <c r="R158" s="28">
        <f>_xll.qlCalendarAdvance(Calendar,SettlementDate,Q158,"f",,Trigger)</f>
        <v>47000</v>
      </c>
      <c r="S158" s="28">
        <f>_xll.qlInterestRateIndexValueDate(Index,R158,Trigger)</f>
        <v>47002</v>
      </c>
      <c r="T158" s="28">
        <f>_xll.qlInterestRateIndexMaturity(Index,S158,Trigger)</f>
        <v>47032</v>
      </c>
      <c r="U158" s="30">
        <f>_xll.qlIndexFixing($M$5,R158,TRUE,InterestRatesTrigger)</f>
        <v>2.0104036749389209E-2</v>
      </c>
      <c r="V158" s="74">
        <f>_xll.qlIndexFixing(Index,R158,TRUE,InterestRatesTrigger)</f>
        <v>2.0454823394046251E-2</v>
      </c>
      <c r="W158" s="30">
        <f t="shared" si="15"/>
        <v>3.5078664465704179E-4</v>
      </c>
      <c r="X158" s="29">
        <f>_xll.qlDayCounterYearFraction(DayCounter,SettlementDate,S158,,,Trigger)</f>
        <v>13.119444444444444</v>
      </c>
      <c r="Y158" s="29">
        <f>_xll.qlDayCounterYearFraction(DayCounter,S158,T158)</f>
        <v>8.3333333333333329E-2</v>
      </c>
      <c r="Z158" s="29">
        <f>IF($M$13,_xll.qlYieldTSDiscount(Currency&amp;"ON",S158)/(1+V158*Y158),1)</f>
        <v>1</v>
      </c>
      <c r="AA158" s="30">
        <f>_xll.qlTenorBasisValue(TenorBasis1M,S158,InterestRatesTrigger)</f>
        <v>3.0159345555966986E-4</v>
      </c>
      <c r="AB158" s="74">
        <f t="shared" si="16"/>
        <v>2.0405630204948878E-2</v>
      </c>
      <c r="AC158" s="76">
        <f t="shared" si="17"/>
        <v>0.99759503232319813</v>
      </c>
    </row>
    <row r="159" spans="16:29" x14ac:dyDescent="0.2">
      <c r="P159" s="33">
        <v>1</v>
      </c>
      <c r="Q159" s="27" t="str">
        <f>_xll.qlPeriodEquivalent(Q158&amp;"+"&amp;P159&amp;"M")</f>
        <v>13Y</v>
      </c>
      <c r="R159" s="28">
        <f>_xll.qlCalendarAdvance(Calendar,SettlementDate,Q159,"f",,Trigger)</f>
        <v>47028</v>
      </c>
      <c r="S159" s="28">
        <f>_xll.qlInterestRateIndexValueDate(Index,R159,Trigger)</f>
        <v>47030</v>
      </c>
      <c r="T159" s="28">
        <f>_xll.qlInterestRateIndexMaturity(Index,S159,Trigger)</f>
        <v>47063</v>
      </c>
      <c r="U159" s="30">
        <f>_xll.qlIndexFixing($M$5,R159,TRUE,InterestRatesTrigger)</f>
        <v>2.0137109430732832E-2</v>
      </c>
      <c r="V159" s="74">
        <f>_xll.qlIndexFixing(Index,R159,TRUE,InterestRatesTrigger)</f>
        <v>2.0471469604387789E-2</v>
      </c>
      <c r="W159" s="30">
        <f t="shared" si="15"/>
        <v>3.3436017365495729E-4</v>
      </c>
      <c r="X159" s="29">
        <f>_xll.qlDayCounterYearFraction(DayCounter,SettlementDate,S159,,,Trigger)</f>
        <v>13.197222222222223</v>
      </c>
      <c r="Y159" s="29">
        <f>_xll.qlDayCounterYearFraction(DayCounter,S159,T159)</f>
        <v>9.166666666666666E-2</v>
      </c>
      <c r="Z159" s="29">
        <f>IF($M$13,_xll.qlYieldTSDiscount(Currency&amp;"ON",S159)/(1+V159*Y159),1)</f>
        <v>1</v>
      </c>
      <c r="AA159" s="30">
        <f>_xll.qlTenorBasisValue(TenorBasis1M,S159,InterestRatesTrigger)</f>
        <v>2.9914099550767227E-4</v>
      </c>
      <c r="AB159" s="74">
        <f t="shared" si="16"/>
        <v>2.0436250426240504E-2</v>
      </c>
      <c r="AC159" s="76">
        <f t="shared" si="17"/>
        <v>0.99827959697921564</v>
      </c>
    </row>
    <row r="160" spans="16:29" x14ac:dyDescent="0.2">
      <c r="P160" s="33">
        <v>1</v>
      </c>
      <c r="Q160" s="27" t="str">
        <f>_xll.qlPeriodEquivalent(Q159&amp;"+"&amp;P160&amp;"M")</f>
        <v>13Y1M</v>
      </c>
      <c r="R160" s="28">
        <f>_xll.qlCalendarAdvance(Calendar,SettlementDate,Q160,"f",,Trigger)</f>
        <v>47059</v>
      </c>
      <c r="S160" s="28">
        <f>_xll.qlInterestRateIndexValueDate(Index,R160,Trigger)</f>
        <v>47063</v>
      </c>
      <c r="T160" s="28">
        <f>_xll.qlInterestRateIndexMaturity(Index,S160,Trigger)</f>
        <v>47093</v>
      </c>
      <c r="U160" s="30">
        <f>_xll.qlIndexFixing($M$5,R160,TRUE,InterestRatesTrigger)</f>
        <v>2.0166589941932322E-2</v>
      </c>
      <c r="V160" s="74">
        <f>_xll.qlIndexFixing(Index,R160,TRUE,InterestRatesTrigger)</f>
        <v>2.0484059668668841E-2</v>
      </c>
      <c r="W160" s="30">
        <f t="shared" si="15"/>
        <v>3.1746972673651896E-4</v>
      </c>
      <c r="X160" s="29">
        <f>_xll.qlDayCounterYearFraction(DayCounter,SettlementDate,S160,,,Trigger)</f>
        <v>13.28888888888889</v>
      </c>
      <c r="Y160" s="29">
        <f>_xll.qlDayCounterYearFraction(DayCounter,S160,T160)</f>
        <v>8.3333333333333329E-2</v>
      </c>
      <c r="Z160" s="29">
        <f>IF($M$13,_xll.qlYieldTSDiscount(Currency&amp;"ON",S160)/(1+V160*Y160),1)</f>
        <v>1</v>
      </c>
      <c r="AA160" s="30">
        <f>_xll.qlTenorBasisValue(TenorBasis1M,S160,InterestRatesTrigger)</f>
        <v>2.962656234005948E-4</v>
      </c>
      <c r="AB160" s="74">
        <f t="shared" si="16"/>
        <v>2.0462855565332918E-2</v>
      </c>
      <c r="AC160" s="76">
        <f t="shared" si="17"/>
        <v>0.99896484858573442</v>
      </c>
    </row>
    <row r="161" spans="16:29" x14ac:dyDescent="0.2">
      <c r="P161" s="33">
        <v>1</v>
      </c>
      <c r="Q161" s="27" t="str">
        <f>_xll.qlPeriodEquivalent(Q160&amp;"+"&amp;P161&amp;"M")</f>
        <v>13Y2M</v>
      </c>
      <c r="R161" s="28">
        <f>_xll.qlCalendarAdvance(Calendar,SettlementDate,Q161,"f",,Trigger)</f>
        <v>47091</v>
      </c>
      <c r="S161" s="28">
        <f>_xll.qlInterestRateIndexValueDate(Index,R161,Trigger)</f>
        <v>47093</v>
      </c>
      <c r="T161" s="28">
        <f>_xll.qlInterestRateIndexMaturity(Index,S161,Trigger)</f>
        <v>47126</v>
      </c>
      <c r="U161" s="30">
        <f>_xll.qlIndexFixing($M$5,R161,TRUE,InterestRatesTrigger)</f>
        <v>2.0196956807723963E-2</v>
      </c>
      <c r="V161" s="74">
        <f>_xll.qlIndexFixing(Index,R161,TRUE,InterestRatesTrigger)</f>
        <v>2.0498479334328905E-2</v>
      </c>
      <c r="W161" s="30">
        <f t="shared" si="15"/>
        <v>3.0152252660494219E-4</v>
      </c>
      <c r="X161" s="29">
        <f>_xll.qlDayCounterYearFraction(DayCounter,SettlementDate,S161,,,Trigger)</f>
        <v>13.372222222222222</v>
      </c>
      <c r="Y161" s="29">
        <f>_xll.qlDayCounterYearFraction(DayCounter,S161,T161)</f>
        <v>9.166666666666666E-2</v>
      </c>
      <c r="Z161" s="29">
        <f>IF($M$13,_xll.qlYieldTSDiscount(Currency&amp;"ON",S161)/(1+V161*Y161),1)</f>
        <v>1</v>
      </c>
      <c r="AA161" s="30">
        <f>_xll.qlTenorBasisValue(TenorBasis1M,S161,InterestRatesTrigger)</f>
        <v>2.9366592049233803E-4</v>
      </c>
      <c r="AB161" s="74">
        <f t="shared" si="16"/>
        <v>2.04906227282163E-2</v>
      </c>
      <c r="AC161" s="76">
        <f t="shared" si="17"/>
        <v>0.99961672249026556</v>
      </c>
    </row>
    <row r="162" spans="16:29" x14ac:dyDescent="0.2">
      <c r="P162" s="33">
        <v>1</v>
      </c>
      <c r="Q162" s="27" t="str">
        <f>_xll.qlPeriodEquivalent(Q161&amp;"+"&amp;P162&amp;"M")</f>
        <v>13Y3M</v>
      </c>
      <c r="R162" s="28">
        <f>_xll.qlCalendarAdvance(Calendar,SettlementDate,Q162,"f",,Trigger)</f>
        <v>47120</v>
      </c>
      <c r="S162" s="28">
        <f>_xll.qlInterestRateIndexValueDate(Index,R162,Trigger)</f>
        <v>47122</v>
      </c>
      <c r="T162" s="28">
        <f>_xll.qlInterestRateIndexMaturity(Index,S162,Trigger)</f>
        <v>47154</v>
      </c>
      <c r="U162" s="30">
        <f>_xll.qlIndexFixing($M$5,R162,TRUE,InterestRatesTrigger)</f>
        <v>2.0220234645059454E-2</v>
      </c>
      <c r="V162" s="74">
        <f>_xll.qlIndexFixing(Index,R162,TRUE,InterestRatesTrigger)</f>
        <v>2.0507979276296606E-2</v>
      </c>
      <c r="W162" s="30">
        <f t="shared" si="15"/>
        <v>2.8774463123715233E-4</v>
      </c>
      <c r="X162" s="29">
        <f>_xll.qlDayCounterYearFraction(DayCounter,SettlementDate,S162,,,Trigger)</f>
        <v>13.452777777777778</v>
      </c>
      <c r="Y162" s="29">
        <f>_xll.qlDayCounterYearFraction(DayCounter,S162,T162)</f>
        <v>8.8888888888888892E-2</v>
      </c>
      <c r="Z162" s="29">
        <f>IF($M$13,_xll.qlYieldTSDiscount(Currency&amp;"ON",S162)/(1+V162*Y162),1)</f>
        <v>1</v>
      </c>
      <c r="AA162" s="30">
        <f>_xll.qlTenorBasisValue(TenorBasis1M,S162,InterestRatesTrigger)</f>
        <v>2.9116593639715098E-4</v>
      </c>
      <c r="AB162" s="74">
        <f t="shared" si="16"/>
        <v>2.0511400581456604E-2</v>
      </c>
      <c r="AC162" s="76">
        <f t="shared" si="17"/>
        <v>1.0001668279996729</v>
      </c>
    </row>
    <row r="163" spans="16:29" x14ac:dyDescent="0.2">
      <c r="P163" s="33">
        <v>1</v>
      </c>
      <c r="Q163" s="27" t="str">
        <f>_xll.qlPeriodEquivalent(Q162&amp;"+"&amp;P163&amp;"M")</f>
        <v>13Y4M</v>
      </c>
      <c r="R163" s="28">
        <f>_xll.qlCalendarAdvance(Calendar,SettlementDate,Q163,"f",,Trigger)</f>
        <v>47151</v>
      </c>
      <c r="S163" s="28">
        <f>_xll.qlInterestRateIndexValueDate(Index,R163,Trigger)</f>
        <v>47155</v>
      </c>
      <c r="T163" s="28">
        <f>_xll.qlInterestRateIndexMaturity(Index,S163,Trigger)</f>
        <v>47183</v>
      </c>
      <c r="U163" s="30">
        <f>_xll.qlIndexFixing($M$5,R163,TRUE,InterestRatesTrigger)</f>
        <v>2.0241624363280013E-2</v>
      </c>
      <c r="V163" s="74">
        <f>_xll.qlIndexFixing(Index,R163,TRUE,InterestRatesTrigger)</f>
        <v>2.0515129150489666E-2</v>
      </c>
      <c r="W163" s="30">
        <f t="shared" si="15"/>
        <v>2.7350478720965243E-4</v>
      </c>
      <c r="X163" s="29">
        <f>_xll.qlDayCounterYearFraction(DayCounter,SettlementDate,S163,,,Trigger)</f>
        <v>13.544444444444444</v>
      </c>
      <c r="Y163" s="29">
        <f>_xll.qlDayCounterYearFraction(DayCounter,S163,T163)</f>
        <v>7.7777777777777779E-2</v>
      </c>
      <c r="Z163" s="29">
        <f>IF($M$13,_xll.qlYieldTSDiscount(Currency&amp;"ON",S163)/(1+V163*Y163),1)</f>
        <v>1</v>
      </c>
      <c r="AA163" s="30">
        <f>_xll.qlTenorBasisValue(TenorBasis1M,S163,InterestRatesTrigger)</f>
        <v>2.8833690775318624E-4</v>
      </c>
      <c r="AB163" s="74">
        <f t="shared" si="16"/>
        <v>2.0529961271033199E-2</v>
      </c>
      <c r="AC163" s="76">
        <f t="shared" si="17"/>
        <v>1.0007229845074204</v>
      </c>
    </row>
    <row r="164" spans="16:29" x14ac:dyDescent="0.2">
      <c r="P164" s="33">
        <v>1</v>
      </c>
      <c r="Q164" s="27" t="str">
        <f>_xll.qlPeriodEquivalent(Q163&amp;"+"&amp;P164&amp;"M")</f>
        <v>13Y5M</v>
      </c>
      <c r="R164" s="28">
        <f>_xll.qlCalendarAdvance(Calendar,SettlementDate,Q164,"f",,Trigger)</f>
        <v>47179</v>
      </c>
      <c r="S164" s="28">
        <f>_xll.qlInterestRateIndexValueDate(Index,R164,Trigger)</f>
        <v>47183</v>
      </c>
      <c r="T164" s="28">
        <f>_xll.qlInterestRateIndexMaturity(Index,S164,Trigger)</f>
        <v>47214</v>
      </c>
      <c r="U164" s="30">
        <f>_xll.qlIndexFixing($M$5,R164,TRUE,InterestRatesTrigger)</f>
        <v>2.0263593487001054E-2</v>
      </c>
      <c r="V164" s="74">
        <f>_xll.qlIndexFixing(Index,R164,TRUE,InterestRatesTrigger)</f>
        <v>2.0524453762206348E-2</v>
      </c>
      <c r="W164" s="30">
        <f t="shared" si="15"/>
        <v>2.6086027520529423E-4</v>
      </c>
      <c r="X164" s="29">
        <f>_xll.qlDayCounterYearFraction(DayCounter,SettlementDate,S164,,,Trigger)</f>
        <v>13.622222222222222</v>
      </c>
      <c r="Y164" s="29">
        <f>_xll.qlDayCounterYearFraction(DayCounter,S164,T164)</f>
        <v>8.611111111111111E-2</v>
      </c>
      <c r="Z164" s="29">
        <f>IF($M$13,_xll.qlYieldTSDiscount(Currency&amp;"ON",S164)/(1+V164*Y164),1)</f>
        <v>1</v>
      </c>
      <c r="AA164" s="30">
        <f>_xll.qlTenorBasisValue(TenorBasis1M,S164,InterestRatesTrigger)</f>
        <v>2.8594981898138322E-4</v>
      </c>
      <c r="AB164" s="74">
        <f t="shared" si="16"/>
        <v>2.0549543305982437E-2</v>
      </c>
      <c r="AC164" s="76">
        <f t="shared" si="17"/>
        <v>1.0012224219980115</v>
      </c>
    </row>
    <row r="165" spans="16:29" x14ac:dyDescent="0.2">
      <c r="P165" s="33">
        <v>1</v>
      </c>
      <c r="Q165" s="27" t="str">
        <f>_xll.qlPeriodEquivalent(Q164&amp;"+"&amp;P165&amp;"M")</f>
        <v>13Y6M</v>
      </c>
      <c r="R165" s="28">
        <f>_xll.qlCalendarAdvance(Calendar,SettlementDate,Q165,"f",,Trigger)</f>
        <v>47211</v>
      </c>
      <c r="S165" s="28">
        <f>_xll.qlInterestRateIndexValueDate(Index,R165,Trigger)</f>
        <v>47213</v>
      </c>
      <c r="T165" s="28">
        <f>_xll.qlInterestRateIndexMaturity(Index,S165,Trigger)</f>
        <v>47245</v>
      </c>
      <c r="U165" s="30">
        <f>_xll.qlIndexFixing($M$5,R165,TRUE,InterestRatesTrigger)</f>
        <v>2.0282856445604514E-2</v>
      </c>
      <c r="V165" s="74">
        <f>_xll.qlIndexFixing(Index,R165,TRUE,InterestRatesTrigger)</f>
        <v>2.0531426359441662E-2</v>
      </c>
      <c r="W165" s="30">
        <f t="shared" si="15"/>
        <v>2.4856991383714888E-4</v>
      </c>
      <c r="X165" s="29">
        <f>_xll.qlDayCounterYearFraction(DayCounter,SettlementDate,S165,,,Trigger)</f>
        <v>13.705555555555556</v>
      </c>
      <c r="Y165" s="29">
        <f>_xll.qlDayCounterYearFraction(DayCounter,S165,T165)</f>
        <v>8.8888888888888892E-2</v>
      </c>
      <c r="Z165" s="29">
        <f>IF($M$13,_xll.qlYieldTSDiscount(Currency&amp;"ON",S165)/(1+V165*Y165),1)</f>
        <v>1</v>
      </c>
      <c r="AA165" s="30">
        <f>_xll.qlTenorBasisValue(TenorBasis1M,S165,InterestRatesTrigger)</f>
        <v>2.8340589482298294E-4</v>
      </c>
      <c r="AB165" s="74">
        <f t="shared" si="16"/>
        <v>2.0566262340427497E-2</v>
      </c>
      <c r="AC165" s="76">
        <f t="shared" si="17"/>
        <v>1.0016967150930465</v>
      </c>
    </row>
    <row r="166" spans="16:29" x14ac:dyDescent="0.2">
      <c r="P166" s="33">
        <v>1</v>
      </c>
      <c r="Q166" s="27" t="str">
        <f>_xll.qlPeriodEquivalent(Q165&amp;"+"&amp;P166&amp;"M")</f>
        <v>13Y7M</v>
      </c>
      <c r="R166" s="28">
        <f>_xll.qlCalendarAdvance(Calendar,SettlementDate,Q166,"f",,Trigger)</f>
        <v>47240</v>
      </c>
      <c r="S166" s="28">
        <f>_xll.qlInterestRateIndexValueDate(Index,R166,Trigger)</f>
        <v>47242</v>
      </c>
      <c r="T166" s="28">
        <f>_xll.qlInterestRateIndexMaturity(Index,S166,Trigger)</f>
        <v>47273</v>
      </c>
      <c r="U166" s="30">
        <f>_xll.qlIndexFixing($M$5,R166,TRUE,InterestRatesTrigger)</f>
        <v>2.0297678361601245E-2</v>
      </c>
      <c r="V166" s="74">
        <f>_xll.qlIndexFixing(Index,R166,TRUE,InterestRatesTrigger)</f>
        <v>2.0535500342092009E-2</v>
      </c>
      <c r="W166" s="30">
        <f t="shared" si="15"/>
        <v>2.3782198049076414E-4</v>
      </c>
      <c r="X166" s="29">
        <f>_xll.qlDayCounterYearFraction(DayCounter,SettlementDate,S166,,,Trigger)</f>
        <v>13.786111111111111</v>
      </c>
      <c r="Y166" s="29">
        <f>_xll.qlDayCounterYearFraction(DayCounter,S166,T166)</f>
        <v>8.611111111111111E-2</v>
      </c>
      <c r="Z166" s="29">
        <f>IF($M$13,_xll.qlYieldTSDiscount(Currency&amp;"ON",S166)/(1+V166*Y166),1)</f>
        <v>1</v>
      </c>
      <c r="AA166" s="30">
        <f>_xll.qlTenorBasisValue(TenorBasis1M,S166,InterestRatesTrigger)</f>
        <v>2.8096032058253461E-4</v>
      </c>
      <c r="AB166" s="74">
        <f t="shared" si="16"/>
        <v>2.0578638682183778E-2</v>
      </c>
      <c r="AC166" s="76">
        <f t="shared" si="17"/>
        <v>1.0021006714895253</v>
      </c>
    </row>
    <row r="167" spans="16:29" x14ac:dyDescent="0.2">
      <c r="P167" s="33">
        <v>1</v>
      </c>
      <c r="Q167" s="27" t="str">
        <f>_xll.qlPeriodEquivalent(Q166&amp;"+"&amp;P167&amp;"M")</f>
        <v>13Y8M</v>
      </c>
      <c r="R167" s="28">
        <f>_xll.qlCalendarAdvance(Calendar,SettlementDate,Q167,"f",,Trigger)</f>
        <v>47273</v>
      </c>
      <c r="S167" s="28">
        <f>_xll.qlInterestRateIndexValueDate(Index,R167,Trigger)</f>
        <v>47275</v>
      </c>
      <c r="T167" s="28">
        <f>_xll.qlInterestRateIndexMaturity(Index,S167,Trigger)</f>
        <v>47305</v>
      </c>
      <c r="U167" s="30">
        <f>_xll.qlIndexFixing($M$5,R167,TRUE,InterestRatesTrigger)</f>
        <v>2.0312198589532926E-2</v>
      </c>
      <c r="V167" s="74">
        <f>_xll.qlIndexFixing(Index,R167,TRUE,InterestRatesTrigger)</f>
        <v>2.0538690677971871E-2</v>
      </c>
      <c r="W167" s="30">
        <f t="shared" si="15"/>
        <v>2.2649208843894542E-4</v>
      </c>
      <c r="X167" s="29">
        <f>_xll.qlDayCounterYearFraction(DayCounter,SettlementDate,S167,,,Trigger)</f>
        <v>13.877777777777778</v>
      </c>
      <c r="Y167" s="29">
        <f>_xll.qlDayCounterYearFraction(DayCounter,S167,T167)</f>
        <v>8.3333333333333329E-2</v>
      </c>
      <c r="Z167" s="29">
        <f>IF($M$13,_xll.qlYieldTSDiscount(Currency&amp;"ON",S167)/(1+V167*Y167),1)</f>
        <v>1</v>
      </c>
      <c r="AA167" s="30">
        <f>_xll.qlTenorBasisValue(TenorBasis1M,S167,InterestRatesTrigger)</f>
        <v>2.7819376260842225E-4</v>
      </c>
      <c r="AB167" s="74">
        <f t="shared" si="16"/>
        <v>2.059039235214135E-2</v>
      </c>
      <c r="AC167" s="76">
        <f t="shared" si="17"/>
        <v>1.0025172818939685</v>
      </c>
    </row>
    <row r="168" spans="16:29" x14ac:dyDescent="0.2">
      <c r="P168" s="33">
        <v>1</v>
      </c>
      <c r="Q168" s="27" t="str">
        <f>_xll.qlPeriodEquivalent(Q167&amp;"+"&amp;P168&amp;"M")</f>
        <v>13Y9M</v>
      </c>
      <c r="R168" s="28">
        <f>_xll.qlCalendarAdvance(Calendar,SettlementDate,Q168,"f",,Trigger)</f>
        <v>47301</v>
      </c>
      <c r="S168" s="28">
        <f>_xll.qlInterestRateIndexValueDate(Index,R168,Trigger)</f>
        <v>47303</v>
      </c>
      <c r="T168" s="28">
        <f>_xll.qlInterestRateIndexMaturity(Index,S168,Trigger)</f>
        <v>47336</v>
      </c>
      <c r="U168" s="30">
        <f>_xll.qlIndexFixing($M$5,R168,TRUE,InterestRatesTrigger)</f>
        <v>2.032532372673353E-2</v>
      </c>
      <c r="V168" s="74">
        <f>_xll.qlIndexFixing(Index,R168,TRUE,InterestRatesTrigger)</f>
        <v>2.0542457716467316E-2</v>
      </c>
      <c r="W168" s="30">
        <f t="shared" si="15"/>
        <v>2.1713398973378581E-4</v>
      </c>
      <c r="X168" s="29">
        <f>_xll.qlDayCounterYearFraction(DayCounter,SettlementDate,S168,,,Trigger)</f>
        <v>13.955555555555556</v>
      </c>
      <c r="Y168" s="29">
        <f>_xll.qlDayCounterYearFraction(DayCounter,S168,T168)</f>
        <v>9.166666666666666E-2</v>
      </c>
      <c r="Z168" s="29">
        <f>IF($M$13,_xll.qlYieldTSDiscount(Currency&amp;"ON",S168)/(1+V168*Y168),1)</f>
        <v>1</v>
      </c>
      <c r="AA168" s="30">
        <f>_xll.qlTenorBasisValue(TenorBasis1M,S168,InterestRatesTrigger)</f>
        <v>2.758601191887588E-4</v>
      </c>
      <c r="AB168" s="74">
        <f t="shared" si="16"/>
        <v>2.0601183845922289E-2</v>
      </c>
      <c r="AC168" s="76">
        <f t="shared" si="17"/>
        <v>1.0028587684232104</v>
      </c>
    </row>
    <row r="169" spans="16:29" x14ac:dyDescent="0.2">
      <c r="P169" s="33">
        <v>1</v>
      </c>
      <c r="Q169" s="27" t="str">
        <f>_xll.qlPeriodEquivalent(Q168&amp;"+"&amp;P169&amp;"M")</f>
        <v>13Y10M</v>
      </c>
      <c r="R169" s="28">
        <f>_xll.qlCalendarAdvance(Calendar,SettlementDate,Q169,"f",,Trigger)</f>
        <v>47332</v>
      </c>
      <c r="S169" s="28">
        <f>_xll.qlInterestRateIndexValueDate(Index,R169,Trigger)</f>
        <v>47336</v>
      </c>
      <c r="T169" s="28">
        <f>_xll.qlInterestRateIndexMaturity(Index,S169,Trigger)</f>
        <v>47367</v>
      </c>
      <c r="U169" s="30">
        <f>_xll.qlIndexFixing($M$5,R169,TRUE,InterestRatesTrigger)</f>
        <v>2.0334142236790219E-2</v>
      </c>
      <c r="V169" s="74">
        <f>_xll.qlIndexFixing(Index,R169,TRUE,InterestRatesTrigger)</f>
        <v>2.0541996838429021E-2</v>
      </c>
      <c r="W169" s="30">
        <f t="shared" si="15"/>
        <v>2.0785460163880165E-4</v>
      </c>
      <c r="X169" s="29">
        <f>_xll.qlDayCounterYearFraction(DayCounter,SettlementDate,S169,,,Trigger)</f>
        <v>14.047222222222222</v>
      </c>
      <c r="Y169" s="29">
        <f>_xll.qlDayCounterYearFraction(DayCounter,S169,T169)</f>
        <v>8.611111111111111E-2</v>
      </c>
      <c r="Z169" s="29">
        <f>IF($M$13,_xll.qlYieldTSDiscount(Currency&amp;"ON",S169)/(1+V169*Y169),1)</f>
        <v>1</v>
      </c>
      <c r="AA169" s="30">
        <f>_xll.qlTenorBasisValue(TenorBasis1M,S169,InterestRatesTrigger)</f>
        <v>2.7312606353318409E-4</v>
      </c>
      <c r="AB169" s="74">
        <f t="shared" si="16"/>
        <v>2.0607268300323403E-2</v>
      </c>
      <c r="AC169" s="76">
        <f t="shared" si="17"/>
        <v>1.003177464314096</v>
      </c>
    </row>
    <row r="170" spans="16:29" x14ac:dyDescent="0.2">
      <c r="P170" s="33">
        <v>1</v>
      </c>
      <c r="Q170" s="27" t="str">
        <f>_xll.qlPeriodEquivalent(Q169&amp;"+"&amp;P170&amp;"M")</f>
        <v>13Y11M</v>
      </c>
      <c r="R170" s="28">
        <f>_xll.qlCalendarAdvance(Calendar,SettlementDate,Q170,"f",,Trigger)</f>
        <v>47364</v>
      </c>
      <c r="S170" s="28">
        <f>_xll.qlInterestRateIndexValueDate(Index,R170,Trigger)</f>
        <v>47366</v>
      </c>
      <c r="T170" s="28">
        <f>_xll.qlInterestRateIndexMaturity(Index,S170,Trigger)</f>
        <v>47396</v>
      </c>
      <c r="U170" s="30">
        <f>_xll.qlIndexFixing($M$5,R170,TRUE,InterestRatesTrigger)</f>
        <v>2.0340498200712709E-2</v>
      </c>
      <c r="V170" s="74">
        <f>_xll.qlIndexFixing(Index,R170,TRUE,InterestRatesTrigger)</f>
        <v>2.0540703576009456E-2</v>
      </c>
      <c r="W170" s="30">
        <f t="shared" si="15"/>
        <v>2.0020537529674698E-4</v>
      </c>
      <c r="X170" s="29">
        <f>_xll.qlDayCounterYearFraction(DayCounter,SettlementDate,S170,,,Trigger)</f>
        <v>14.130555555555556</v>
      </c>
      <c r="Y170" s="29">
        <f>_xll.qlDayCounterYearFraction(DayCounter,S170,T170)</f>
        <v>8.3333333333333329E-2</v>
      </c>
      <c r="Z170" s="29">
        <f>IF($M$13,_xll.qlYieldTSDiscount(Currency&amp;"ON",S170)/(1+V170*Y170),1)</f>
        <v>1</v>
      </c>
      <c r="AA170" s="30">
        <f>_xll.qlTenorBasisValue(TenorBasis1M,S170,InterestRatesTrigger)</f>
        <v>2.7065597182452815E-4</v>
      </c>
      <c r="AB170" s="74">
        <f t="shared" si="16"/>
        <v>2.0611154172537238E-2</v>
      </c>
      <c r="AC170" s="76">
        <f t="shared" si="17"/>
        <v>1.0034298044498371</v>
      </c>
    </row>
    <row r="171" spans="16:29" x14ac:dyDescent="0.2">
      <c r="P171" s="33">
        <v>1</v>
      </c>
      <c r="Q171" s="27" t="str">
        <f>_xll.qlPeriodEquivalent(Q170&amp;"+"&amp;P171&amp;"M")</f>
        <v>14Y</v>
      </c>
      <c r="R171" s="28">
        <f>_xll.qlCalendarAdvance(Calendar,SettlementDate,Q171,"f",,Trigger)</f>
        <v>47393</v>
      </c>
      <c r="S171" s="28">
        <f>_xll.qlInterestRateIndexValueDate(Index,R171,Trigger)</f>
        <v>47395</v>
      </c>
      <c r="T171" s="28">
        <f>_xll.qlInterestRateIndexMaturity(Index,S171,Trigger)</f>
        <v>47427</v>
      </c>
      <c r="U171" s="30">
        <f>_xll.qlIndexFixing($M$5,R171,TRUE,InterestRatesTrigger)</f>
        <v>2.0346461336920862E-2</v>
      </c>
      <c r="V171" s="74">
        <f>_xll.qlIndexFixing(Index,R171,TRUE,InterestRatesTrigger)</f>
        <v>2.0539822159082177E-2</v>
      </c>
      <c r="W171" s="30">
        <f t="shared" si="15"/>
        <v>1.9336082216131478E-4</v>
      </c>
      <c r="X171" s="29">
        <f>_xll.qlDayCounterYearFraction(DayCounter,SettlementDate,S171,,,Trigger)</f>
        <v>14.21111111111111</v>
      </c>
      <c r="Y171" s="29">
        <f>_xll.qlDayCounterYearFraction(DayCounter,S171,T171)</f>
        <v>8.8888888888888892E-2</v>
      </c>
      <c r="Z171" s="29">
        <f>IF($M$13,_xll.qlYieldTSDiscount(Currency&amp;"ON",S171)/(1+V171*Y171),1)</f>
        <v>1</v>
      </c>
      <c r="AA171" s="30">
        <f>_xll.qlTenorBasisValue(TenorBasis1M,S171,InterestRatesTrigger)</f>
        <v>2.6828225633393656E-4</v>
      </c>
      <c r="AB171" s="74">
        <f t="shared" si="16"/>
        <v>2.0614743593254797E-2</v>
      </c>
      <c r="AC171" s="76">
        <f t="shared" si="17"/>
        <v>1.003647618445396</v>
      </c>
    </row>
    <row r="172" spans="16:29" x14ac:dyDescent="0.2">
      <c r="P172" s="33">
        <v>1</v>
      </c>
      <c r="Q172" s="27" t="str">
        <f>_xll.qlPeriodEquivalent(Q171&amp;"+"&amp;P172&amp;"M")</f>
        <v>14Y1M</v>
      </c>
      <c r="R172" s="28">
        <f>_xll.qlCalendarAdvance(Calendar,SettlementDate,Q172,"f",,Trigger)</f>
        <v>47424</v>
      </c>
      <c r="S172" s="28">
        <f>_xll.qlInterestRateIndexValueDate(Index,R172,Trigger)</f>
        <v>47428</v>
      </c>
      <c r="T172" s="28">
        <f>_xll.qlInterestRateIndexMaturity(Index,S172,Trigger)</f>
        <v>47458</v>
      </c>
      <c r="U172" s="30">
        <f>_xll.qlIndexFixing($M$5,R172,TRUE,InterestRatesTrigger)</f>
        <v>2.0348012447028552E-2</v>
      </c>
      <c r="V172" s="74">
        <f>_xll.qlIndexFixing(Index,R172,TRUE,InterestRatesTrigger)</f>
        <v>2.0535025389128769E-2</v>
      </c>
      <c r="W172" s="30">
        <f t="shared" si="15"/>
        <v>1.8701294210021757E-4</v>
      </c>
      <c r="X172" s="29">
        <f>_xll.qlDayCounterYearFraction(DayCounter,SettlementDate,S172,,,Trigger)</f>
        <v>14.302777777777777</v>
      </c>
      <c r="Y172" s="29">
        <f>_xll.qlDayCounterYearFraction(DayCounter,S172,T172)</f>
        <v>8.3333333333333329E-2</v>
      </c>
      <c r="Z172" s="29">
        <f>IF($M$13,_xll.qlYieldTSDiscount(Currency&amp;"ON",S172)/(1+V172*Y172),1)</f>
        <v>1</v>
      </c>
      <c r="AA172" s="30">
        <f>_xll.qlTenorBasisValue(TenorBasis1M,S172,InterestRatesTrigger)</f>
        <v>2.655980168775087E-4</v>
      </c>
      <c r="AB172" s="74">
        <f t="shared" si="16"/>
        <v>2.061361046390606E-2</v>
      </c>
      <c r="AC172" s="76">
        <f t="shared" si="17"/>
        <v>1.0038268798449548</v>
      </c>
    </row>
    <row r="173" spans="16:29" x14ac:dyDescent="0.2">
      <c r="P173" s="33">
        <v>1</v>
      </c>
      <c r="Q173" s="27" t="str">
        <f>_xll.qlPeriodEquivalent(Q172&amp;"+"&amp;P173&amp;"M")</f>
        <v>14Y2M</v>
      </c>
      <c r="R173" s="28">
        <f>_xll.qlCalendarAdvance(Calendar,SettlementDate,Q173,"f",,Trigger)</f>
        <v>47455</v>
      </c>
      <c r="S173" s="28">
        <f>_xll.qlInterestRateIndexValueDate(Index,R173,Trigger)</f>
        <v>47457</v>
      </c>
      <c r="T173" s="28">
        <f>_xll.qlInterestRateIndexMaturity(Index,S173,Trigger)</f>
        <v>47490</v>
      </c>
      <c r="U173" s="30">
        <f>_xll.qlIndexFixing($M$5,R173,TRUE,InterestRatesTrigger)</f>
        <v>2.034991416306314E-2</v>
      </c>
      <c r="V173" s="74">
        <f>_xll.qlIndexFixing(Index,R173,TRUE,InterestRatesTrigger)</f>
        <v>2.0531928167389812E-2</v>
      </c>
      <c r="W173" s="30">
        <f t="shared" si="15"/>
        <v>1.8201400432667214E-4</v>
      </c>
      <c r="X173" s="29">
        <f>_xll.qlDayCounterYearFraction(DayCounter,SettlementDate,S173,,,Trigger)</f>
        <v>14.383333333333333</v>
      </c>
      <c r="Y173" s="29">
        <f>_xll.qlDayCounterYearFraction(DayCounter,S173,T173)</f>
        <v>9.166666666666666E-2</v>
      </c>
      <c r="Z173" s="29">
        <f>IF($M$13,_xll.qlYieldTSDiscount(Currency&amp;"ON",S173)/(1+V173*Y173),1)</f>
        <v>1</v>
      </c>
      <c r="AA173" s="30">
        <f>_xll.qlTenorBasisValue(TenorBasis1M,S173,InterestRatesTrigger)</f>
        <v>2.6325405643126405E-4</v>
      </c>
      <c r="AB173" s="74">
        <f t="shared" si="16"/>
        <v>2.0613168219494403E-2</v>
      </c>
      <c r="AC173" s="76">
        <f t="shared" si="17"/>
        <v>1.0039567668190863</v>
      </c>
    </row>
    <row r="174" spans="16:29" x14ac:dyDescent="0.2">
      <c r="P174" s="33">
        <v>1</v>
      </c>
      <c r="Q174" s="27" t="str">
        <f>_xll.qlPeriodEquivalent(Q173&amp;"+"&amp;P174&amp;"M")</f>
        <v>14Y3M</v>
      </c>
      <c r="R174" s="28">
        <f>_xll.qlCalendarAdvance(Calendar,SettlementDate,Q174,"f",,Trigger)</f>
        <v>47485</v>
      </c>
      <c r="S174" s="28">
        <f>_xll.qlInterestRateIndexValueDate(Index,R174,Trigger)</f>
        <v>47487</v>
      </c>
      <c r="T174" s="28">
        <f>_xll.qlInterestRateIndexMaturity(Index,S174,Trigger)</f>
        <v>47518</v>
      </c>
      <c r="U174" s="30">
        <f>_xll.qlIndexFixing($M$5,R174,TRUE,InterestRatesTrigger)</f>
        <v>2.0346824569955804E-2</v>
      </c>
      <c r="V174" s="74">
        <f>_xll.qlIndexFixing(Index,R174,TRUE,InterestRatesTrigger)</f>
        <v>2.0524929255907536E-2</v>
      </c>
      <c r="W174" s="30">
        <f t="shared" si="15"/>
        <v>1.7810468595173129E-4</v>
      </c>
      <c r="X174" s="29">
        <f>_xll.qlDayCounterYearFraction(DayCounter,SettlementDate,S174,,,Trigger)</f>
        <v>14.466666666666667</v>
      </c>
      <c r="Y174" s="29">
        <f>_xll.qlDayCounterYearFraction(DayCounter,S174,T174)</f>
        <v>8.611111111111111E-2</v>
      </c>
      <c r="Z174" s="29">
        <f>IF($M$13,_xll.qlYieldTSDiscount(Currency&amp;"ON",S174)/(1+V174*Y174),1)</f>
        <v>1</v>
      </c>
      <c r="AA174" s="30">
        <f>_xll.qlTenorBasisValue(TenorBasis1M,S174,InterestRatesTrigger)</f>
        <v>2.608440266776953E-4</v>
      </c>
      <c r="AB174" s="74">
        <f t="shared" si="16"/>
        <v>2.0607668596633499E-2</v>
      </c>
      <c r="AC174" s="76">
        <f t="shared" si="17"/>
        <v>1.0040311632597783</v>
      </c>
    </row>
    <row r="175" spans="16:29" x14ac:dyDescent="0.2">
      <c r="P175" s="33">
        <v>1</v>
      </c>
      <c r="Q175" s="27" t="str">
        <f>_xll.qlPeriodEquivalent(Q174&amp;"+"&amp;P175&amp;"M")</f>
        <v>14Y4M</v>
      </c>
      <c r="R175" s="28">
        <f>_xll.qlCalendarAdvance(Calendar,SettlementDate,Q175,"f",,Trigger)</f>
        <v>47518</v>
      </c>
      <c r="S175" s="28">
        <f>_xll.qlInterestRateIndexValueDate(Index,R175,Trigger)</f>
        <v>47520</v>
      </c>
      <c r="T175" s="28">
        <f>_xll.qlInterestRateIndexMaturity(Index,S175,Trigger)</f>
        <v>47548</v>
      </c>
      <c r="U175" s="30">
        <f>_xll.qlIndexFixing($M$5,R175,TRUE,InterestRatesTrigger)</f>
        <v>2.034063401386391E-2</v>
      </c>
      <c r="V175" s="74">
        <f>_xll.qlIndexFixing(Index,R175,TRUE,InterestRatesTrigger)</f>
        <v>2.0515501841653308E-2</v>
      </c>
      <c r="W175" s="30">
        <f t="shared" si="15"/>
        <v>1.7486782778939822E-4</v>
      </c>
      <c r="X175" s="29">
        <f>_xll.qlDayCounterYearFraction(DayCounter,SettlementDate,S175,,,Trigger)</f>
        <v>14.558333333333334</v>
      </c>
      <c r="Y175" s="29">
        <f>_xll.qlDayCounterYearFraction(DayCounter,S175,T175)</f>
        <v>7.7777777777777779E-2</v>
      </c>
      <c r="Z175" s="29">
        <f>IF($M$13,_xll.qlYieldTSDiscount(Currency&amp;"ON",S175)/(1+V175*Y175),1)</f>
        <v>1</v>
      </c>
      <c r="AA175" s="30">
        <f>_xll.qlTenorBasisValue(TenorBasis1M,S175,InterestRatesTrigger)</f>
        <v>2.5821040599934372E-4</v>
      </c>
      <c r="AB175" s="74">
        <f t="shared" si="16"/>
        <v>2.0598844419863253E-2</v>
      </c>
      <c r="AC175" s="76">
        <f t="shared" si="17"/>
        <v>1.004062419669439</v>
      </c>
    </row>
    <row r="176" spans="16:29" x14ac:dyDescent="0.2">
      <c r="P176" s="33">
        <v>1</v>
      </c>
      <c r="Q176" s="27" t="str">
        <f>_xll.qlPeriodEquivalent(Q175&amp;"+"&amp;P176&amp;"M")</f>
        <v>14Y5M</v>
      </c>
      <c r="R176" s="28">
        <f>_xll.qlCalendarAdvance(Calendar,SettlementDate,Q176,"f",,Trigger)</f>
        <v>47546</v>
      </c>
      <c r="S176" s="28">
        <f>_xll.qlInterestRateIndexValueDate(Index,R176,Trigger)</f>
        <v>47548</v>
      </c>
      <c r="T176" s="28">
        <f>_xll.qlInterestRateIndexMaturity(Index,S176,Trigger)</f>
        <v>47581</v>
      </c>
      <c r="U176" s="30">
        <f>_xll.qlIndexFixing($M$5,R176,TRUE,InterestRatesTrigger)</f>
        <v>2.033678454236339E-2</v>
      </c>
      <c r="V176" s="74">
        <f>_xll.qlIndexFixing(Index,R176,TRUE,InterestRatesTrigger)</f>
        <v>2.0509645067173891E-2</v>
      </c>
      <c r="W176" s="30">
        <f t="shared" si="15"/>
        <v>1.7286052481050099E-4</v>
      </c>
      <c r="X176" s="29">
        <f>_xll.qlDayCounterYearFraction(DayCounter,SettlementDate,S176,,,Trigger)</f>
        <v>14.636111111111111</v>
      </c>
      <c r="Y176" s="29">
        <f>_xll.qlDayCounterYearFraction(DayCounter,S176,T176)</f>
        <v>9.166666666666666E-2</v>
      </c>
      <c r="Z176" s="29">
        <f>IF($M$13,_xll.qlYieldTSDiscount(Currency&amp;"ON",S176)/(1+V176*Y176),1)</f>
        <v>1</v>
      </c>
      <c r="AA176" s="30">
        <f>_xll.qlTenorBasisValue(TenorBasis1M,S176,InterestRatesTrigger)</f>
        <v>2.5599018296238054E-4</v>
      </c>
      <c r="AB176" s="74">
        <f t="shared" si="16"/>
        <v>2.0592774725325769E-2</v>
      </c>
      <c r="AC176" s="76">
        <f t="shared" si="17"/>
        <v>1.0040531982820575</v>
      </c>
    </row>
    <row r="177" spans="16:29" x14ac:dyDescent="0.2">
      <c r="P177" s="33">
        <v>1</v>
      </c>
      <c r="Q177" s="27" t="str">
        <f>_xll.qlPeriodEquivalent(Q176&amp;"+"&amp;P177&amp;"M")</f>
        <v>14Y6M</v>
      </c>
      <c r="R177" s="28">
        <f>_xll.qlCalendarAdvance(Calendar,SettlementDate,Q177,"f",,Trigger)</f>
        <v>47575</v>
      </c>
      <c r="S177" s="28">
        <f>_xll.qlInterestRateIndexValueDate(Index,R177,Trigger)</f>
        <v>47577</v>
      </c>
      <c r="T177" s="28">
        <f>_xll.qlInterestRateIndexMaturity(Index,S177,Trigger)</f>
        <v>47609</v>
      </c>
      <c r="U177" s="30">
        <f>_xll.qlIndexFixing($M$5,R177,TRUE,InterestRatesTrigger)</f>
        <v>2.0327880309596591E-2</v>
      </c>
      <c r="V177" s="74">
        <f>_xll.qlIndexFixing(Index,R177,TRUE,InterestRatesTrigger)</f>
        <v>2.0499720785400466E-2</v>
      </c>
      <c r="W177" s="30">
        <f t="shared" si="15"/>
        <v>1.7184047580387496E-4</v>
      </c>
      <c r="X177" s="29">
        <f>_xll.qlDayCounterYearFraction(DayCounter,SettlementDate,S177,,,Trigger)</f>
        <v>14.716666666666667</v>
      </c>
      <c r="Y177" s="29">
        <f>_xll.qlDayCounterYearFraction(DayCounter,S177,T177)</f>
        <v>8.8888888888888892E-2</v>
      </c>
      <c r="Z177" s="29">
        <f>IF($M$13,_xll.qlYieldTSDiscount(Currency&amp;"ON",S177)/(1+V177*Y177),1)</f>
        <v>1</v>
      </c>
      <c r="AA177" s="30">
        <f>_xll.qlTenorBasisValue(TenorBasis1M,S177,InterestRatesTrigger)</f>
        <v>2.537046202557246E-4</v>
      </c>
      <c r="AB177" s="74">
        <f t="shared" si="16"/>
        <v>2.0581584929852317E-2</v>
      </c>
      <c r="AC177" s="76">
        <f t="shared" si="17"/>
        <v>1.0039934272914659</v>
      </c>
    </row>
    <row r="178" spans="16:29" x14ac:dyDescent="0.2">
      <c r="P178" s="33">
        <v>1</v>
      </c>
      <c r="Q178" s="27" t="str">
        <f>_xll.qlPeriodEquivalent(Q177&amp;"+"&amp;P178&amp;"M")</f>
        <v>14Y7M</v>
      </c>
      <c r="R178" s="28">
        <f>_xll.qlCalendarAdvance(Calendar,SettlementDate,Q178,"f",,Trigger)</f>
        <v>47605</v>
      </c>
      <c r="S178" s="28">
        <f>_xll.qlInterestRateIndexValueDate(Index,R178,Trigger)</f>
        <v>47609</v>
      </c>
      <c r="T178" s="28">
        <f>_xll.qlInterestRateIndexMaturity(Index,S178,Trigger)</f>
        <v>47640</v>
      </c>
      <c r="U178" s="30">
        <f>_xll.qlIndexFixing($M$5,R178,TRUE,InterestRatesTrigger)</f>
        <v>2.0315754757326027E-2</v>
      </c>
      <c r="V178" s="74">
        <f>_xll.qlIndexFixing(Index,R178,TRUE,InterestRatesTrigger)</f>
        <v>2.0487527902757496E-2</v>
      </c>
      <c r="W178" s="30">
        <f t="shared" si="15"/>
        <v>1.7177314543146902E-4</v>
      </c>
      <c r="X178" s="29">
        <f>_xll.qlDayCounterYearFraction(DayCounter,SettlementDate,S178,,,Trigger)</f>
        <v>14.805555555555555</v>
      </c>
      <c r="Y178" s="29">
        <f>_xll.qlDayCounterYearFraction(DayCounter,S178,T178)</f>
        <v>8.611111111111111E-2</v>
      </c>
      <c r="Z178" s="29">
        <f>IF($M$13,_xll.qlYieldTSDiscount(Currency&amp;"ON",S178)/(1+V178*Y178),1)</f>
        <v>1</v>
      </c>
      <c r="AA178" s="30">
        <f>_xll.qlTenorBasisValue(TenorBasis1M,S178,InterestRatesTrigger)</f>
        <v>2.5119915406367877E-4</v>
      </c>
      <c r="AB178" s="74">
        <f t="shared" si="16"/>
        <v>2.0566953911389706E-2</v>
      </c>
      <c r="AC178" s="76">
        <f t="shared" si="17"/>
        <v>1.0038767980699868</v>
      </c>
    </row>
    <row r="179" spans="16:29" x14ac:dyDescent="0.2">
      <c r="P179" s="33">
        <v>1</v>
      </c>
      <c r="Q179" s="27" t="str">
        <f>_xll.qlPeriodEquivalent(Q178&amp;"+"&amp;P179&amp;"M")</f>
        <v>14Y8M</v>
      </c>
      <c r="R179" s="28">
        <f>_xll.qlCalendarAdvance(Calendar,SettlementDate,Q179,"f",,Trigger)</f>
        <v>47637</v>
      </c>
      <c r="S179" s="28">
        <f>_xll.qlInterestRateIndexValueDate(Index,R179,Trigger)</f>
        <v>47639</v>
      </c>
      <c r="T179" s="28">
        <f>_xll.qlInterestRateIndexMaturity(Index,S179,Trigger)</f>
        <v>47669</v>
      </c>
      <c r="U179" s="30">
        <f>_xll.qlIndexFixing($M$5,R179,TRUE,InterestRatesTrigger)</f>
        <v>2.0302131996235318E-2</v>
      </c>
      <c r="V179" s="74">
        <f>_xll.qlIndexFixing(Index,R179,TRUE,InterestRatesTrigger)</f>
        <v>2.0474864309448115E-2</v>
      </c>
      <c r="W179" s="30">
        <f t="shared" si="15"/>
        <v>1.7273231321279781E-4</v>
      </c>
      <c r="X179" s="29">
        <f>_xll.qlDayCounterYearFraction(DayCounter,SettlementDate,S179,,,Trigger)</f>
        <v>14.888888888888889</v>
      </c>
      <c r="Y179" s="29">
        <f>_xll.qlDayCounterYearFraction(DayCounter,S179,T179)</f>
        <v>8.3333333333333329E-2</v>
      </c>
      <c r="Z179" s="29">
        <f>IF($M$13,_xll.qlYieldTSDiscount(Currency&amp;"ON",S179)/(1+V179*Y179),1)</f>
        <v>1</v>
      </c>
      <c r="AA179" s="30">
        <f>_xll.qlTenorBasisValue(TenorBasis1M,S179,InterestRatesTrigger)</f>
        <v>2.4886608404586097E-4</v>
      </c>
      <c r="AB179" s="74">
        <f t="shared" si="16"/>
        <v>2.0550998080281178E-2</v>
      </c>
      <c r="AC179" s="76">
        <f t="shared" si="17"/>
        <v>1.0037184017282073</v>
      </c>
    </row>
    <row r="180" spans="16:29" x14ac:dyDescent="0.2">
      <c r="P180" s="33">
        <v>1</v>
      </c>
      <c r="Q180" s="27" t="str">
        <f>_xll.qlPeriodEquivalent(Q179&amp;"+"&amp;P180&amp;"M")</f>
        <v>14Y9M</v>
      </c>
      <c r="R180" s="28">
        <f>_xll.qlCalendarAdvance(Calendar,SettlementDate,Q180,"f",,Trigger)</f>
        <v>47666</v>
      </c>
      <c r="S180" s="28">
        <f>_xll.qlInterestRateIndexValueDate(Index,R180,Trigger)</f>
        <v>47668</v>
      </c>
      <c r="T180" s="28">
        <f>_xll.qlInterestRateIndexMaturity(Index,S180,Trigger)</f>
        <v>47700</v>
      </c>
      <c r="U180" s="30">
        <f>_xll.qlIndexFixing($M$5,R180,TRUE,InterestRatesTrigger)</f>
        <v>2.0287770133238792E-2</v>
      </c>
      <c r="V180" s="74">
        <f>_xll.qlIndexFixing(Index,R180,TRUE,InterestRatesTrigger)</f>
        <v>2.0462546544237625E-2</v>
      </c>
      <c r="W180" s="30">
        <f t="shared" si="15"/>
        <v>1.7477641099883368E-4</v>
      </c>
      <c r="X180" s="29">
        <f>_xll.qlDayCounterYearFraction(DayCounter,SettlementDate,S180,,,Trigger)</f>
        <v>14.969444444444445</v>
      </c>
      <c r="Y180" s="29">
        <f>_xll.qlDayCounterYearFraction(DayCounter,S180,T180)</f>
        <v>8.8888888888888892E-2</v>
      </c>
      <c r="Z180" s="29">
        <f>IF($M$13,_xll.qlYieldTSDiscount(Currency&amp;"ON",S180)/(1+V180*Y180),1)</f>
        <v>1</v>
      </c>
      <c r="AA180" s="30">
        <f>_xll.qlTenorBasisValue(TenorBasis1M,S180,InterestRatesTrigger)</f>
        <v>2.4662536297580365E-4</v>
      </c>
      <c r="AB180" s="74">
        <f t="shared" si="16"/>
        <v>2.0534395496214594E-2</v>
      </c>
      <c r="AC180" s="76">
        <f t="shared" si="17"/>
        <v>1.0035112419571846</v>
      </c>
    </row>
    <row r="181" spans="16:29" x14ac:dyDescent="0.2">
      <c r="P181" s="33">
        <v>1</v>
      </c>
      <c r="Q181" s="27" t="str">
        <f>_xll.qlPeriodEquivalent(Q180&amp;"+"&amp;P181&amp;"M")</f>
        <v>14Y10M</v>
      </c>
      <c r="R181" s="28">
        <f>_xll.qlCalendarAdvance(Calendar,SettlementDate,Q181,"f",,Trigger)</f>
        <v>47697</v>
      </c>
      <c r="S181" s="28">
        <f>_xll.qlInterestRateIndexValueDate(Index,R181,Trigger)</f>
        <v>47701</v>
      </c>
      <c r="T181" s="28">
        <f>_xll.qlInterestRateIndexMaturity(Index,S181,Trigger)</f>
        <v>47732</v>
      </c>
      <c r="U181" s="30">
        <f>_xll.qlIndexFixing($M$5,R181,TRUE,InterestRatesTrigger)</f>
        <v>2.0267902045223513E-2</v>
      </c>
      <c r="V181" s="74">
        <f>_xll.qlIndexFixing(Index,R181,TRUE,InterestRatesTrigger)</f>
        <v>2.0446041889856371E-2</v>
      </c>
      <c r="W181" s="30">
        <f t="shared" si="15"/>
        <v>1.7813984463285748E-4</v>
      </c>
      <c r="X181" s="29">
        <f>_xll.qlDayCounterYearFraction(DayCounter,SettlementDate,S181,,,Trigger)</f>
        <v>15.061111111111112</v>
      </c>
      <c r="Y181" s="29">
        <f>_xll.qlDayCounterYearFraction(DayCounter,S181,T181)</f>
        <v>8.611111111111111E-2</v>
      </c>
      <c r="Z181" s="29">
        <f>IF($M$13,_xll.qlYieldTSDiscount(Currency&amp;"ON",S181)/(1+V181*Y181),1)</f>
        <v>1</v>
      </c>
      <c r="AA181" s="30">
        <f>_xll.qlTenorBasisValue(TenorBasis1M,S181,InterestRatesTrigger)</f>
        <v>2.440930564119039E-4</v>
      </c>
      <c r="AB181" s="74">
        <f t="shared" si="16"/>
        <v>2.0511995101635417E-2</v>
      </c>
      <c r="AC181" s="76">
        <f t="shared" si="17"/>
        <v>1.0032257202706685</v>
      </c>
    </row>
    <row r="182" spans="16:29" x14ac:dyDescent="0.2">
      <c r="P182" s="33">
        <v>1</v>
      </c>
      <c r="Q182" s="27" t="str">
        <f>_xll.qlPeriodEquivalent(Q181&amp;"+"&amp;P182&amp;"M")</f>
        <v>14Y11M</v>
      </c>
      <c r="R182" s="28">
        <f>_xll.qlCalendarAdvance(Calendar,SettlementDate,Q182,"f",,Trigger)</f>
        <v>47728</v>
      </c>
      <c r="S182" s="28">
        <f>_xll.qlInterestRateIndexValueDate(Index,R182,Trigger)</f>
        <v>47730</v>
      </c>
      <c r="T182" s="28">
        <f>_xll.qlInterestRateIndexMaturity(Index,S182,Trigger)</f>
        <v>47760</v>
      </c>
      <c r="U182" s="30">
        <f>_xll.qlIndexFixing($M$5,R182,TRUE,InterestRatesTrigger)</f>
        <v>2.0248255209219579E-2</v>
      </c>
      <c r="V182" s="74">
        <f>_xll.qlIndexFixing(Index,R182,TRUE,InterestRatesTrigger)</f>
        <v>2.0430375617102037E-2</v>
      </c>
      <c r="W182" s="30">
        <f t="shared" si="15"/>
        <v>1.8212040788245787E-4</v>
      </c>
      <c r="X182" s="29">
        <f>_xll.qlDayCounterYearFraction(DayCounter,SettlementDate,S182,,,Trigger)</f>
        <v>15.141666666666667</v>
      </c>
      <c r="Y182" s="29">
        <f>_xll.qlDayCounterYearFraction(DayCounter,S182,T182)</f>
        <v>8.3333333333333329E-2</v>
      </c>
      <c r="Z182" s="29">
        <f>IF($M$13,_xll.qlYieldTSDiscount(Currency&amp;"ON",S182)/(1+V182*Y182),1)</f>
        <v>1</v>
      </c>
      <c r="AA182" s="30">
        <f>_xll.qlTenorBasisValue(TenorBasis1M,S182,InterestRatesTrigger)</f>
        <v>2.418830915582079E-4</v>
      </c>
      <c r="AB182" s="74">
        <f t="shared" si="16"/>
        <v>2.0490138300777786E-2</v>
      </c>
      <c r="AC182" s="76">
        <f t="shared" si="17"/>
        <v>1.0029251877104854</v>
      </c>
    </row>
    <row r="183" spans="16:29" x14ac:dyDescent="0.2">
      <c r="P183" s="33">
        <v>1</v>
      </c>
      <c r="Q183" s="27" t="str">
        <f>_xll.qlPeriodEquivalent(Q182&amp;"+"&amp;P183&amp;"M")</f>
        <v>15Y</v>
      </c>
      <c r="R183" s="28">
        <f>_xll.qlCalendarAdvance(Calendar,SettlementDate,Q183,"f",,Trigger)</f>
        <v>47758</v>
      </c>
      <c r="S183" s="28">
        <f>_xll.qlInterestRateIndexValueDate(Index,R183,Trigger)</f>
        <v>47760</v>
      </c>
      <c r="T183" s="28">
        <f>_xll.qlInterestRateIndexMaturity(Index,S183,Trigger)</f>
        <v>47791</v>
      </c>
      <c r="U183" s="30">
        <f>_xll.qlIndexFixing($M$5,R183,TRUE,InterestRatesTrigger)</f>
        <v>2.022648942373147E-2</v>
      </c>
      <c r="V183" s="74">
        <f>_xll.qlIndexFixing(Index,R183,TRUE,InterestRatesTrigger)</f>
        <v>2.0413647227260089E-2</v>
      </c>
      <c r="W183" s="30">
        <f t="shared" si="15"/>
        <v>1.8715780352861894E-4</v>
      </c>
      <c r="X183" s="29">
        <f>_xll.qlDayCounterYearFraction(DayCounter,SettlementDate,S183,,,Trigger)</f>
        <v>15.225</v>
      </c>
      <c r="Y183" s="29">
        <f>_xll.qlDayCounterYearFraction(DayCounter,S183,T183)</f>
        <v>8.611111111111111E-2</v>
      </c>
      <c r="Z183" s="29">
        <f>IF($M$13,_xll.qlYieldTSDiscount(Currency&amp;"ON",S183)/(1+V183*Y183),1)</f>
        <v>1</v>
      </c>
      <c r="AA183" s="30">
        <f>_xll.qlTenorBasisValue(TenorBasis1M,S183,InterestRatesTrigger)</f>
        <v>2.3961210708039305E-4</v>
      </c>
      <c r="AB183" s="74">
        <f t="shared" si="16"/>
        <v>2.0466101530811864E-2</v>
      </c>
      <c r="AC183" s="76">
        <f t="shared" si="17"/>
        <v>1.0025695703941493</v>
      </c>
    </row>
    <row r="184" spans="16:29" x14ac:dyDescent="0.2">
      <c r="P184" s="33">
        <v>1</v>
      </c>
      <c r="Q184" s="27" t="str">
        <f>_xll.qlPeriodEquivalent(Q183&amp;"+"&amp;P184&amp;"M")</f>
        <v>15Y1M</v>
      </c>
      <c r="R184" s="28">
        <f>_xll.qlCalendarAdvance(Calendar,SettlementDate,Q184,"f",,Trigger)</f>
        <v>47791</v>
      </c>
      <c r="S184" s="28">
        <f>_xll.qlInterestRateIndexValueDate(Index,R184,Trigger)</f>
        <v>47793</v>
      </c>
      <c r="T184" s="28">
        <f>_xll.qlInterestRateIndexMaturity(Index,S184,Trigger)</f>
        <v>47823</v>
      </c>
      <c r="U184" s="30">
        <f>_xll.qlIndexFixing($M$5,R184,TRUE,InterestRatesTrigger)</f>
        <v>2.0201100977692121E-2</v>
      </c>
      <c r="V184" s="74">
        <f>_xll.qlIndexFixing(Index,R184,TRUE,InterestRatesTrigger)</f>
        <v>2.0393308197059312E-2</v>
      </c>
      <c r="W184" s="30">
        <f t="shared" si="15"/>
        <v>1.9220721936719087E-4</v>
      </c>
      <c r="X184" s="29">
        <f>_xll.qlDayCounterYearFraction(DayCounter,SettlementDate,S184,,,Trigger)</f>
        <v>15.316666666666666</v>
      </c>
      <c r="Y184" s="29">
        <f>_xll.qlDayCounterYearFraction(DayCounter,S184,T184)</f>
        <v>8.3333333333333329E-2</v>
      </c>
      <c r="Z184" s="29">
        <f>IF($M$13,_xll.qlYieldTSDiscount(Currency&amp;"ON",S184)/(1+V184*Y184),1)</f>
        <v>1</v>
      </c>
      <c r="AA184" s="30">
        <f>_xll.qlTenorBasisValue(TenorBasis1M,S184,InterestRatesTrigger)</f>
        <v>2.3713189205148768E-4</v>
      </c>
      <c r="AB184" s="74">
        <f t="shared" si="16"/>
        <v>2.0438232869743608E-2</v>
      </c>
      <c r="AC184" s="76">
        <f t="shared" si="17"/>
        <v>1.0022029124578606</v>
      </c>
    </row>
    <row r="185" spans="16:29" x14ac:dyDescent="0.2">
      <c r="P185" s="33">
        <v>1</v>
      </c>
      <c r="Q185" s="27" t="str">
        <f>_xll.qlPeriodEquivalent(Q184&amp;"+"&amp;P185&amp;"M")</f>
        <v>15Y2M</v>
      </c>
      <c r="R185" s="28">
        <f>_xll.qlCalendarAdvance(Calendar,SettlementDate,Q185,"f",,Trigger)</f>
        <v>47819</v>
      </c>
      <c r="S185" s="28">
        <f>_xll.qlInterestRateIndexValueDate(Index,R185,Trigger)</f>
        <v>47821</v>
      </c>
      <c r="T185" s="28">
        <f>_xll.qlInterestRateIndexMaturity(Index,S185,Trigger)</f>
        <v>47854</v>
      </c>
      <c r="U185" s="30">
        <f>_xll.qlIndexFixing($M$5,R185,TRUE,InterestRatesTrigger)</f>
        <v>2.0179538618939317E-2</v>
      </c>
      <c r="V185" s="74">
        <f>_xll.qlIndexFixing(Index,R185,TRUE,InterestRatesTrigger)</f>
        <v>2.0375913351586436E-2</v>
      </c>
      <c r="W185" s="30">
        <f t="shared" si="15"/>
        <v>1.9637473264711922E-4</v>
      </c>
      <c r="X185" s="29">
        <f>_xll.qlDayCounterYearFraction(DayCounter,SettlementDate,S185,,,Trigger)</f>
        <v>15.394444444444444</v>
      </c>
      <c r="Y185" s="29">
        <f>_xll.qlDayCounterYearFraction(DayCounter,S185,T185)</f>
        <v>9.166666666666666E-2</v>
      </c>
      <c r="Z185" s="29">
        <f>IF($M$13,_xll.qlYieldTSDiscount(Currency&amp;"ON",S185)/(1+V185*Y185),1)</f>
        <v>1</v>
      </c>
      <c r="AA185" s="30">
        <f>_xll.qlTenorBasisValue(TenorBasis1M,S185,InterestRatesTrigger)</f>
        <v>2.3504216773639197E-4</v>
      </c>
      <c r="AB185" s="74">
        <f t="shared" si="16"/>
        <v>2.0414580786675709E-2</v>
      </c>
      <c r="AC185" s="76">
        <f t="shared" si="17"/>
        <v>1.0018977031567649</v>
      </c>
    </row>
    <row r="186" spans="16:29" x14ac:dyDescent="0.2">
      <c r="P186" s="33">
        <v>1</v>
      </c>
      <c r="Q186" s="27" t="str">
        <f>_xll.qlPeriodEquivalent(Q185&amp;"+"&amp;P186&amp;"M")</f>
        <v>15Y3M</v>
      </c>
      <c r="R186" s="28">
        <f>_xll.qlCalendarAdvance(Calendar,SettlementDate,Q186,"f",,Trigger)</f>
        <v>47850</v>
      </c>
      <c r="S186" s="28">
        <f>_xll.qlInterestRateIndexValueDate(Index,R186,Trigger)</f>
        <v>47854</v>
      </c>
      <c r="T186" s="28">
        <f>_xll.qlInterestRateIndexMaturity(Index,S186,Trigger)</f>
        <v>47885</v>
      </c>
      <c r="U186" s="30">
        <f>_xll.qlIndexFixing($M$5,R186,TRUE,InterestRatesTrigger)</f>
        <v>2.0152413508033283E-2</v>
      </c>
      <c r="V186" s="74">
        <f>_xll.qlIndexFixing(Index,R186,TRUE,InterestRatesTrigger)</f>
        <v>2.0352786194200393E-2</v>
      </c>
      <c r="W186" s="30">
        <f t="shared" si="15"/>
        <v>2.0037268616710999E-4</v>
      </c>
      <c r="X186" s="29">
        <f>_xll.qlDayCounterYearFraction(DayCounter,SettlementDate,S186,,,Trigger)</f>
        <v>15.486111111111111</v>
      </c>
      <c r="Y186" s="29">
        <f>_xll.qlDayCounterYearFraction(DayCounter,S186,T186)</f>
        <v>8.611111111111111E-2</v>
      </c>
      <c r="Z186" s="29">
        <f>IF($M$13,_xll.qlYieldTSDiscount(Currency&amp;"ON",S186)/(1+V186*Y186),1)</f>
        <v>1</v>
      </c>
      <c r="AA186" s="30">
        <f>_xll.qlTenorBasisValue(TenorBasis1M,S186,InterestRatesTrigger)</f>
        <v>2.32596625259022E-4</v>
      </c>
      <c r="AB186" s="74">
        <f t="shared" si="16"/>
        <v>2.0385010133292306E-2</v>
      </c>
      <c r="AC186" s="76">
        <f t="shared" si="17"/>
        <v>1.0015832691791897</v>
      </c>
    </row>
    <row r="187" spans="16:29" x14ac:dyDescent="0.2">
      <c r="P187" s="33">
        <v>1</v>
      </c>
      <c r="Q187" s="27" t="str">
        <f>_xll.qlPeriodEquivalent(Q186&amp;"+"&amp;P187&amp;"M")</f>
        <v>15Y4M</v>
      </c>
      <c r="R187" s="28">
        <f>_xll.qlCalendarAdvance(Calendar,SettlementDate,Q187,"f",,Trigger)</f>
        <v>47882</v>
      </c>
      <c r="S187" s="28">
        <f>_xll.qlInterestRateIndexValueDate(Index,R187,Trigger)</f>
        <v>47884</v>
      </c>
      <c r="T187" s="28">
        <f>_xll.qlInterestRateIndexMaturity(Index,S187,Trigger)</f>
        <v>47912</v>
      </c>
      <c r="U187" s="30">
        <f>_xll.qlIndexFixing($M$5,R187,TRUE,InterestRatesTrigger)</f>
        <v>2.0126897709485787E-2</v>
      </c>
      <c r="V187" s="74">
        <f>_xll.qlIndexFixing(Index,R187,TRUE,InterestRatesTrigger)</f>
        <v>2.0330418089691587E-2</v>
      </c>
      <c r="W187" s="30">
        <f t="shared" si="15"/>
        <v>2.0352038020579957E-4</v>
      </c>
      <c r="X187" s="29">
        <f>_xll.qlDayCounterYearFraction(DayCounter,SettlementDate,S187,,,Trigger)</f>
        <v>15.569444444444445</v>
      </c>
      <c r="Y187" s="29">
        <f>_xll.qlDayCounterYearFraction(DayCounter,S187,T187)</f>
        <v>7.7777777777777779E-2</v>
      </c>
      <c r="Z187" s="29">
        <f>IF($M$13,_xll.qlYieldTSDiscount(Currency&amp;"ON",S187)/(1+V187*Y187),1)</f>
        <v>1</v>
      </c>
      <c r="AA187" s="30">
        <f>_xll.qlTenorBasisValue(TenorBasis1M,S187,InterestRatesTrigger)</f>
        <v>2.3038970702860597E-4</v>
      </c>
      <c r="AB187" s="74">
        <f t="shared" si="16"/>
        <v>2.0357287416514394E-2</v>
      </c>
      <c r="AC187" s="76">
        <f t="shared" si="17"/>
        <v>1.0013216317885971</v>
      </c>
    </row>
    <row r="188" spans="16:29" x14ac:dyDescent="0.2">
      <c r="P188" s="33">
        <v>1</v>
      </c>
      <c r="Q188" s="27" t="str">
        <f>_xll.qlPeriodEquivalent(Q187&amp;"+"&amp;P188&amp;"M")</f>
        <v>15Y5M</v>
      </c>
      <c r="R188" s="28">
        <f>_xll.qlCalendarAdvance(Calendar,SettlementDate,Q188,"f",,Trigger)</f>
        <v>47910</v>
      </c>
      <c r="S188" s="28">
        <f>_xll.qlInterestRateIndexValueDate(Index,R188,Trigger)</f>
        <v>47912</v>
      </c>
      <c r="T188" s="28">
        <f>_xll.qlInterestRateIndexMaturity(Index,S188,Trigger)</f>
        <v>47945</v>
      </c>
      <c r="U188" s="30">
        <f>_xll.qlIndexFixing($M$5,R188,TRUE,InterestRatesTrigger)</f>
        <v>2.0103480714765774E-2</v>
      </c>
      <c r="V188" s="74">
        <f>_xll.qlIndexFixing(Index,R188,TRUE,InterestRatesTrigger)</f>
        <v>2.0310052418670566E-2</v>
      </c>
      <c r="W188" s="30">
        <f t="shared" si="15"/>
        <v>2.0657170390479124E-4</v>
      </c>
      <c r="X188" s="29">
        <f>_xll.qlDayCounterYearFraction(DayCounter,SettlementDate,S188,,,Trigger)</f>
        <v>15.647222222222222</v>
      </c>
      <c r="Y188" s="29">
        <f>_xll.qlDayCounterYearFraction(DayCounter,S188,T188)</f>
        <v>9.166666666666666E-2</v>
      </c>
      <c r="Z188" s="29">
        <f>IF($M$13,_xll.qlYieldTSDiscount(Currency&amp;"ON",S188)/(1+V188*Y188),1)</f>
        <v>1</v>
      </c>
      <c r="AA188" s="30">
        <f>_xll.qlTenorBasisValue(TenorBasis1M,S188,InterestRatesTrigger)</f>
        <v>2.2834393436152323E-4</v>
      </c>
      <c r="AB188" s="74">
        <f t="shared" si="16"/>
        <v>2.0331824649127299E-2</v>
      </c>
      <c r="AC188" s="76">
        <f t="shared" si="17"/>
        <v>1.001071992824436</v>
      </c>
    </row>
    <row r="189" spans="16:29" x14ac:dyDescent="0.2">
      <c r="P189" s="33">
        <v>1</v>
      </c>
      <c r="Q189" s="27" t="str">
        <f>_xll.qlPeriodEquivalent(Q188&amp;"+"&amp;P189&amp;"M")</f>
        <v>15Y6M</v>
      </c>
      <c r="R189" s="28">
        <f>_xll.qlCalendarAdvance(Calendar,SettlementDate,Q189,"f",,Trigger)</f>
        <v>47940</v>
      </c>
      <c r="S189" s="28">
        <f>_xll.qlInterestRateIndexValueDate(Index,R189,Trigger)</f>
        <v>47942</v>
      </c>
      <c r="T189" s="28">
        <f>_xll.qlInterestRateIndexMaturity(Index,S189,Trigger)</f>
        <v>47973</v>
      </c>
      <c r="U189" s="30">
        <f>_xll.qlIndexFixing($M$5,R189,TRUE,InterestRatesTrigger)</f>
        <v>2.0076756610097068E-2</v>
      </c>
      <c r="V189" s="74">
        <f>_xll.qlIndexFixing(Index,R189,TRUE,InterestRatesTrigger)</f>
        <v>2.0285787180204275E-2</v>
      </c>
      <c r="W189" s="30">
        <f t="shared" si="15"/>
        <v>2.0903057010720691E-4</v>
      </c>
      <c r="X189" s="29">
        <f>_xll.qlDayCounterYearFraction(DayCounter,SettlementDate,S189,,,Trigger)</f>
        <v>15.730555555555556</v>
      </c>
      <c r="Y189" s="29">
        <f>_xll.qlDayCounterYearFraction(DayCounter,S189,T189)</f>
        <v>8.611111111111111E-2</v>
      </c>
      <c r="Z189" s="29">
        <f>IF($M$13,_xll.qlYieldTSDiscount(Currency&amp;"ON",S189)/(1+V189*Y189),1)</f>
        <v>1</v>
      </c>
      <c r="AA189" s="30">
        <f>_xll.qlTenorBasisValue(TenorBasis1M,S189,InterestRatesTrigger)</f>
        <v>2.2616706091326639E-4</v>
      </c>
      <c r="AB189" s="74">
        <f t="shared" si="16"/>
        <v>2.0302923671010335E-2</v>
      </c>
      <c r="AC189" s="76">
        <f t="shared" si="17"/>
        <v>1.0008447535535019</v>
      </c>
    </row>
    <row r="190" spans="16:29" x14ac:dyDescent="0.2">
      <c r="P190" s="33">
        <v>1</v>
      </c>
      <c r="Q190" s="27" t="str">
        <f>_xll.qlPeriodEquivalent(Q189&amp;"+"&amp;P190&amp;"M")</f>
        <v>15Y7M</v>
      </c>
      <c r="R190" s="28">
        <f>_xll.qlCalendarAdvance(Calendar,SettlementDate,Q190,"f",,Trigger)</f>
        <v>47970</v>
      </c>
      <c r="S190" s="28">
        <f>_xll.qlInterestRateIndexValueDate(Index,R190,Trigger)</f>
        <v>47974</v>
      </c>
      <c r="T190" s="28">
        <f>_xll.qlInterestRateIndexMaturity(Index,S190,Trigger)</f>
        <v>48005</v>
      </c>
      <c r="U190" s="30">
        <f>_xll.qlIndexFixing($M$5,R190,TRUE,InterestRatesTrigger)</f>
        <v>2.0047732331413388E-2</v>
      </c>
      <c r="V190" s="74">
        <f>_xll.qlIndexFixing(Index,R190,TRUE,InterestRatesTrigger)</f>
        <v>2.0259093960582501E-2</v>
      </c>
      <c r="W190" s="30">
        <f t="shared" si="15"/>
        <v>2.1136162916911283E-4</v>
      </c>
      <c r="X190" s="29">
        <f>_xll.qlDayCounterYearFraction(DayCounter,SettlementDate,S190,,,Trigger)</f>
        <v>15.819444444444445</v>
      </c>
      <c r="Y190" s="29">
        <f>_xll.qlDayCounterYearFraction(DayCounter,S190,T190)</f>
        <v>8.611111111111111E-2</v>
      </c>
      <c r="Z190" s="29">
        <f>IF($M$13,_xll.qlYieldTSDiscount(Currency&amp;"ON",S190)/(1+V190*Y190),1)</f>
        <v>1</v>
      </c>
      <c r="AA190" s="30">
        <f>_xll.qlTenorBasisValue(TenorBasis1M,S190,InterestRatesTrigger)</f>
        <v>2.2386219978190027E-4</v>
      </c>
      <c r="AB190" s="74">
        <f t="shared" si="16"/>
        <v>2.027159453119529E-2</v>
      </c>
      <c r="AC190" s="76">
        <f t="shared" si="17"/>
        <v>1.000617035028176</v>
      </c>
    </row>
    <row r="191" spans="16:29" x14ac:dyDescent="0.2">
      <c r="P191" s="33">
        <v>1</v>
      </c>
      <c r="Q191" s="27" t="str">
        <f>_xll.qlPeriodEquivalent(Q190&amp;"+"&amp;P191&amp;"M")</f>
        <v>15Y8M</v>
      </c>
      <c r="R191" s="28">
        <f>_xll.qlCalendarAdvance(Calendar,SettlementDate,Q191,"f",,Trigger)</f>
        <v>48001</v>
      </c>
      <c r="S191" s="28">
        <f>_xll.qlInterestRateIndexValueDate(Index,R191,Trigger)</f>
        <v>48003</v>
      </c>
      <c r="T191" s="28">
        <f>_xll.qlInterestRateIndexMaturity(Index,S191,Trigger)</f>
        <v>48033</v>
      </c>
      <c r="U191" s="30">
        <f>_xll.qlIndexFixing($M$5,R191,TRUE,InterestRatesTrigger)</f>
        <v>2.0020648960797693E-2</v>
      </c>
      <c r="V191" s="74">
        <f>_xll.qlIndexFixing(Index,R191,TRUE,InterestRatesTrigger)</f>
        <v>2.0233731563453539E-2</v>
      </c>
      <c r="W191" s="30">
        <f t="shared" si="15"/>
        <v>2.1308260265584522E-4</v>
      </c>
      <c r="X191" s="29">
        <f>_xll.qlDayCounterYearFraction(DayCounter,SettlementDate,S191,,,Trigger)</f>
        <v>15.9</v>
      </c>
      <c r="Y191" s="29">
        <f>_xll.qlDayCounterYearFraction(DayCounter,S191,T191)</f>
        <v>8.3333333333333329E-2</v>
      </c>
      <c r="Z191" s="29">
        <f>IF($M$13,_xll.qlYieldTSDiscount(Currency&amp;"ON",S191)/(1+V191*Y191),1)</f>
        <v>1</v>
      </c>
      <c r="AA191" s="30">
        <f>_xll.qlTenorBasisValue(TenorBasis1M,S191,InterestRatesTrigger)</f>
        <v>2.2178870012227409E-4</v>
      </c>
      <c r="AB191" s="74">
        <f t="shared" si="16"/>
        <v>2.0242437660919967E-2</v>
      </c>
      <c r="AC191" s="76">
        <f t="shared" si="17"/>
        <v>1.0004302764143691</v>
      </c>
    </row>
    <row r="192" spans="16:29" x14ac:dyDescent="0.2">
      <c r="P192" s="33">
        <v>1</v>
      </c>
      <c r="Q192" s="27" t="str">
        <f>_xll.qlPeriodEquivalent(Q191&amp;"+"&amp;P192&amp;"M")</f>
        <v>15Y9M</v>
      </c>
      <c r="R192" s="28">
        <f>_xll.qlCalendarAdvance(Calendar,SettlementDate,Q192,"f",,Trigger)</f>
        <v>48031</v>
      </c>
      <c r="S192" s="28">
        <f>_xll.qlInterestRateIndexValueDate(Index,R192,Trigger)</f>
        <v>48033</v>
      </c>
      <c r="T192" s="28">
        <f>_xll.qlInterestRateIndexMaturity(Index,S192,Trigger)</f>
        <v>48064</v>
      </c>
      <c r="U192" s="30">
        <f>_xll.qlIndexFixing($M$5,R192,TRUE,InterestRatesTrigger)</f>
        <v>1.9992103853205035E-2</v>
      </c>
      <c r="V192" s="74">
        <f>_xll.qlIndexFixing(Index,R192,TRUE,InterestRatesTrigger)</f>
        <v>2.0206706170432701E-2</v>
      </c>
      <c r="W192" s="30">
        <f t="shared" si="15"/>
        <v>2.1460231722766551E-4</v>
      </c>
      <c r="X192" s="29">
        <f>_xll.qlDayCounterYearFraction(DayCounter,SettlementDate,S192,,,Trigger)</f>
        <v>15.983333333333333</v>
      </c>
      <c r="Y192" s="29">
        <f>_xll.qlDayCounterYearFraction(DayCounter,S192,T192)</f>
        <v>8.611111111111111E-2</v>
      </c>
      <c r="Z192" s="29">
        <f>IF($M$13,_xll.qlYieldTSDiscount(Currency&amp;"ON",S192)/(1+V192*Y192),1)</f>
        <v>1</v>
      </c>
      <c r="AA192" s="30">
        <f>_xll.qlTenorBasisValue(TenorBasis1M,S192,InterestRatesTrigger)</f>
        <v>2.1965898727896514E-4</v>
      </c>
      <c r="AB192" s="74">
        <f t="shared" si="16"/>
        <v>2.0211762840484E-2</v>
      </c>
      <c r="AC192" s="76">
        <f t="shared" si="17"/>
        <v>1.000250247121359</v>
      </c>
    </row>
    <row r="193" spans="16:29" x14ac:dyDescent="0.2">
      <c r="P193" s="33">
        <v>1</v>
      </c>
      <c r="Q193" s="27" t="str">
        <f>_xll.qlPeriodEquivalent(Q192&amp;"+"&amp;P193&amp;"M")</f>
        <v>15Y10M</v>
      </c>
      <c r="R193" s="28">
        <f>_xll.qlCalendarAdvance(Calendar,SettlementDate,Q193,"f",,Trigger)</f>
        <v>48064</v>
      </c>
      <c r="S193" s="28">
        <f>_xll.qlInterestRateIndexValueDate(Index,R193,Trigger)</f>
        <v>48066</v>
      </c>
      <c r="T193" s="28">
        <f>_xll.qlInterestRateIndexMaturity(Index,S193,Trigger)</f>
        <v>48099</v>
      </c>
      <c r="U193" s="30">
        <f>_xll.qlIndexFixing($M$5,R193,TRUE,InterestRatesTrigger)</f>
        <v>1.9959902939988537E-2</v>
      </c>
      <c r="V193" s="74">
        <f>_xll.qlIndexFixing(Index,R193,TRUE,InterestRatesTrigger)</f>
        <v>2.0175807487075242E-2</v>
      </c>
      <c r="W193" s="30">
        <f t="shared" si="15"/>
        <v>2.159045470867052E-4</v>
      </c>
      <c r="X193" s="29">
        <f>_xll.qlDayCounterYearFraction(DayCounter,SettlementDate,S193,,,Trigger)</f>
        <v>16.074999999999999</v>
      </c>
      <c r="Y193" s="29">
        <f>_xll.qlDayCounterYearFraction(DayCounter,S193,T193)</f>
        <v>9.166666666666666E-2</v>
      </c>
      <c r="Z193" s="29">
        <f>IF($M$13,_xll.qlYieldTSDiscount(Currency&amp;"ON",S193)/(1+V193*Y193),1)</f>
        <v>1</v>
      </c>
      <c r="AA193" s="30">
        <f>_xll.qlTenorBasisValue(TenorBasis1M,S193,InterestRatesTrigger)</f>
        <v>2.1733425182181212E-4</v>
      </c>
      <c r="AB193" s="74">
        <f t="shared" si="16"/>
        <v>2.0177237191810349E-2</v>
      </c>
      <c r="AC193" s="76">
        <f t="shared" si="17"/>
        <v>1.000070862330344</v>
      </c>
    </row>
    <row r="194" spans="16:29" x14ac:dyDescent="0.2">
      <c r="P194" s="33">
        <v>1</v>
      </c>
      <c r="Q194" s="27" t="str">
        <f>_xll.qlPeriodEquivalent(Q193&amp;"+"&amp;P194&amp;"M")</f>
        <v>15Y11M</v>
      </c>
      <c r="R194" s="28">
        <f>_xll.qlCalendarAdvance(Calendar,SettlementDate,Q194,"f",,Trigger)</f>
        <v>48093</v>
      </c>
      <c r="S194" s="28">
        <f>_xll.qlInterestRateIndexValueDate(Index,R194,Trigger)</f>
        <v>48095</v>
      </c>
      <c r="T194" s="28">
        <f>_xll.qlInterestRateIndexMaturity(Index,S194,Trigger)</f>
        <v>48127</v>
      </c>
      <c r="U194" s="30">
        <f>_xll.qlIndexFixing($M$5,R194,TRUE,InterestRatesTrigger)</f>
        <v>1.9930733386930855E-2</v>
      </c>
      <c r="V194" s="74">
        <f>_xll.qlIndexFixing(Index,R194,TRUE,InterestRatesTrigger)</f>
        <v>2.0147388206717964E-2</v>
      </c>
      <c r="W194" s="30">
        <f t="shared" si="15"/>
        <v>2.1665481978710988E-4</v>
      </c>
      <c r="X194" s="29">
        <f>_xll.qlDayCounterYearFraction(DayCounter,SettlementDate,S194,,,Trigger)</f>
        <v>16.155555555555555</v>
      </c>
      <c r="Y194" s="29">
        <f>_xll.qlDayCounterYearFraction(DayCounter,S194,T194)</f>
        <v>8.8888888888888892E-2</v>
      </c>
      <c r="Z194" s="29">
        <f>IF($M$13,_xll.qlYieldTSDiscount(Currency&amp;"ON",S194)/(1+V194*Y194),1)</f>
        <v>1</v>
      </c>
      <c r="AA194" s="30">
        <f>_xll.qlTenorBasisValue(TenorBasis1M,S194,InterestRatesTrigger)</f>
        <v>2.1530681616148775E-4</v>
      </c>
      <c r="AB194" s="74">
        <f t="shared" si="16"/>
        <v>2.0146040203092342E-2</v>
      </c>
      <c r="AC194" s="76">
        <f t="shared" si="17"/>
        <v>0.99993309288470589</v>
      </c>
    </row>
    <row r="195" spans="16:29" x14ac:dyDescent="0.2">
      <c r="P195" s="33">
        <v>1</v>
      </c>
      <c r="Q195" s="27" t="str">
        <f>_xll.qlPeriodEquivalent(Q194&amp;"+"&amp;P195&amp;"M")</f>
        <v>16Y</v>
      </c>
      <c r="R195" s="28">
        <f>_xll.qlCalendarAdvance(Calendar,SettlementDate,Q195,"f",,Trigger)</f>
        <v>48123</v>
      </c>
      <c r="S195" s="28">
        <f>_xll.qlInterestRateIndexValueDate(Index,R195,Trigger)</f>
        <v>48127</v>
      </c>
      <c r="T195" s="28">
        <f>_xll.qlInterestRateIndexMaturity(Index,S195,Trigger)</f>
        <v>48158</v>
      </c>
      <c r="U195" s="30">
        <f>_xll.qlIndexFixing($M$5,R195,TRUE,InterestRatesTrigger)</f>
        <v>1.989781013774217E-2</v>
      </c>
      <c r="V195" s="74">
        <f>_xll.qlIndexFixing(Index,R195,TRUE,InterestRatesTrigger)</f>
        <v>2.0114980286117551E-2</v>
      </c>
      <c r="W195" s="30">
        <f t="shared" si="15"/>
        <v>2.171701483753806E-4</v>
      </c>
      <c r="X195" s="29">
        <f>_xll.qlDayCounterYearFraction(DayCounter,SettlementDate,S195,,,Trigger)</f>
        <v>16.244444444444444</v>
      </c>
      <c r="Y195" s="29">
        <f>_xll.qlDayCounterYearFraction(DayCounter,S195,T195)</f>
        <v>8.611111111111111E-2</v>
      </c>
      <c r="Z195" s="29">
        <f>IF($M$13,_xll.qlYieldTSDiscount(Currency&amp;"ON",S195)/(1+V195*Y195),1)</f>
        <v>1</v>
      </c>
      <c r="AA195" s="30">
        <f>_xll.qlTenorBasisValue(TenorBasis1M,S195,InterestRatesTrigger)</f>
        <v>2.1308647477796287E-4</v>
      </c>
      <c r="AB195" s="74">
        <f t="shared" si="16"/>
        <v>2.0110896612520131E-2</v>
      </c>
      <c r="AC195" s="76">
        <f t="shared" si="17"/>
        <v>0.99979698346509249</v>
      </c>
    </row>
    <row r="196" spans="16:29" x14ac:dyDescent="0.2">
      <c r="P196" s="33">
        <v>1</v>
      </c>
      <c r="Q196" s="27" t="str">
        <f>_xll.qlPeriodEquivalent(Q195&amp;"+"&amp;P196&amp;"M")</f>
        <v>16Y1M</v>
      </c>
      <c r="R196" s="28">
        <f>_xll.qlCalendarAdvance(Calendar,SettlementDate,Q196,"f",,Trigger)</f>
        <v>48155</v>
      </c>
      <c r="S196" s="28">
        <f>_xll.qlInterestRateIndexValueDate(Index,R196,Trigger)</f>
        <v>48157</v>
      </c>
      <c r="T196" s="28">
        <f>_xll.qlInterestRateIndexMaturity(Index,S196,Trigger)</f>
        <v>48187</v>
      </c>
      <c r="U196" s="30">
        <f>_xll.qlIndexFixing($M$5,R196,TRUE,InterestRatesTrigger)</f>
        <v>1.986623699656942E-2</v>
      </c>
      <c r="V196" s="74">
        <f>_xll.qlIndexFixing(Index,R196,TRUE,InterestRatesTrigger)</f>
        <v>2.0083603415582907E-2</v>
      </c>
      <c r="W196" s="30">
        <f t="shared" si="15"/>
        <v>2.1736641901348719E-4</v>
      </c>
      <c r="X196" s="29">
        <f>_xll.qlDayCounterYearFraction(DayCounter,SettlementDate,S196,,,Trigger)</f>
        <v>16.327777777777779</v>
      </c>
      <c r="Y196" s="29">
        <f>_xll.qlDayCounterYearFraction(DayCounter,S196,T196)</f>
        <v>8.3333333333333329E-2</v>
      </c>
      <c r="Z196" s="29">
        <f>IF($M$13,_xll.qlYieldTSDiscount(Currency&amp;"ON",S196)/(1+V196*Y196),1)</f>
        <v>1</v>
      </c>
      <c r="AA196" s="30">
        <f>_xll.qlTenorBasisValue(TenorBasis1M,S196,InterestRatesTrigger)</f>
        <v>2.1102092509976618E-4</v>
      </c>
      <c r="AB196" s="74">
        <f t="shared" si="16"/>
        <v>2.0077257921669187E-2</v>
      </c>
      <c r="AC196" s="76">
        <f t="shared" si="17"/>
        <v>0.99968404604580086</v>
      </c>
    </row>
    <row r="197" spans="16:29" x14ac:dyDescent="0.2">
      <c r="P197" s="33">
        <v>1</v>
      </c>
      <c r="Q197" s="27" t="str">
        <f>_xll.qlPeriodEquivalent(Q196&amp;"+"&amp;P197&amp;"M")</f>
        <v>16Y2M</v>
      </c>
      <c r="R197" s="28">
        <f>_xll.qlCalendarAdvance(Calendar,SettlementDate,Q197,"f",,Trigger)</f>
        <v>48184</v>
      </c>
      <c r="S197" s="28">
        <f>_xll.qlInterestRateIndexValueDate(Index,R197,Trigger)</f>
        <v>48186</v>
      </c>
      <c r="T197" s="28">
        <f>_xll.qlInterestRateIndexMaturity(Index,S197,Trigger)</f>
        <v>48218</v>
      </c>
      <c r="U197" s="30">
        <f>_xll.qlIndexFixing($M$5,R197,TRUE,InterestRatesTrigger)</f>
        <v>1.98350705908662E-2</v>
      </c>
      <c r="V197" s="74">
        <f>_xll.qlIndexFixing(Index,R197,TRUE,InterestRatesTrigger)</f>
        <v>2.0052401880693294E-2</v>
      </c>
      <c r="W197" s="30">
        <f t="shared" si="15"/>
        <v>2.1733128982709404E-4</v>
      </c>
      <c r="X197" s="29">
        <f>_xll.qlDayCounterYearFraction(DayCounter,SettlementDate,S197,,,Trigger)</f>
        <v>16.408333333333335</v>
      </c>
      <c r="Y197" s="29">
        <f>_xll.qlDayCounterYearFraction(DayCounter,S197,T197)</f>
        <v>8.8888888888888892E-2</v>
      </c>
      <c r="Z197" s="29">
        <f>IF($M$13,_xll.qlYieldTSDiscount(Currency&amp;"ON",S197)/(1+V197*Y197),1)</f>
        <v>1</v>
      </c>
      <c r="AA197" s="30">
        <f>_xll.qlTenorBasisValue(TenorBasis1M,S197,InterestRatesTrigger)</f>
        <v>2.0903894722509536E-4</v>
      </c>
      <c r="AB197" s="74">
        <f t="shared" si="16"/>
        <v>2.0044109538091295E-2</v>
      </c>
      <c r="AC197" s="76">
        <f t="shared" si="17"/>
        <v>0.99958646636690529</v>
      </c>
    </row>
    <row r="198" spans="16:29" x14ac:dyDescent="0.2">
      <c r="P198" s="33">
        <v>1</v>
      </c>
      <c r="Q198" s="27" t="str">
        <f>_xll.qlPeriodEquivalent(Q197&amp;"+"&amp;P198&amp;"M")</f>
        <v>16Y3M</v>
      </c>
      <c r="R198" s="28">
        <f>_xll.qlCalendarAdvance(Calendar,SettlementDate,Q198,"f",,Trigger)</f>
        <v>48215</v>
      </c>
      <c r="S198" s="28">
        <f>_xll.qlInterestRateIndexValueDate(Index,R198,Trigger)</f>
        <v>48219</v>
      </c>
      <c r="T198" s="28">
        <f>_xll.qlInterestRateIndexMaturity(Index,S198,Trigger)</f>
        <v>48250</v>
      </c>
      <c r="U198" s="30">
        <f>_xll.qlIndexFixing($M$5,R198,TRUE,InterestRatesTrigger)</f>
        <v>1.9798782133042536E-2</v>
      </c>
      <c r="V198" s="74">
        <f>_xll.qlIndexFixing(Index,R198,TRUE,InterestRatesTrigger)</f>
        <v>2.0015750413334376E-2</v>
      </c>
      <c r="W198" s="30">
        <f t="shared" si="15"/>
        <v>2.1696828029183976E-4</v>
      </c>
      <c r="X198" s="29">
        <f>_xll.qlDayCounterYearFraction(DayCounter,SettlementDate,S198,,,Trigger)</f>
        <v>16.5</v>
      </c>
      <c r="Y198" s="29">
        <f>_xll.qlDayCounterYearFraction(DayCounter,S198,T198)</f>
        <v>8.611111111111111E-2</v>
      </c>
      <c r="Z198" s="29">
        <f>IF($M$13,_xll.qlYieldTSDiscount(Currency&amp;"ON",S198)/(1+V198*Y198),1)</f>
        <v>1</v>
      </c>
      <c r="AA198" s="30">
        <f>_xll.qlTenorBasisValue(TenorBasis1M,S198,InterestRatesTrigger)</f>
        <v>2.0680117172617858E-4</v>
      </c>
      <c r="AB198" s="74">
        <f t="shared" si="16"/>
        <v>2.0005583304768714E-2</v>
      </c>
      <c r="AC198" s="76">
        <f t="shared" si="17"/>
        <v>0.99949204459709451</v>
      </c>
    </row>
    <row r="199" spans="16:29" x14ac:dyDescent="0.2">
      <c r="P199" s="33">
        <v>1</v>
      </c>
      <c r="Q199" s="27" t="str">
        <f>_xll.qlPeriodEquivalent(Q198&amp;"+"&amp;P199&amp;"M")</f>
        <v>16Y4M</v>
      </c>
      <c r="R199" s="28">
        <f>_xll.qlCalendarAdvance(Calendar,SettlementDate,Q199,"f",,Trigger)</f>
        <v>48246</v>
      </c>
      <c r="S199" s="28">
        <f>_xll.qlInterestRateIndexValueDate(Index,R199,Trigger)</f>
        <v>48248</v>
      </c>
      <c r="T199" s="28">
        <f>_xll.qlInterestRateIndexMaturity(Index,S199,Trigger)</f>
        <v>48277</v>
      </c>
      <c r="U199" s="30">
        <f>_xll.qlIndexFixing($M$5,R199,TRUE,InterestRatesTrigger)</f>
        <v>1.9766238859030397E-2</v>
      </c>
      <c r="V199" s="74">
        <f>_xll.qlIndexFixing(Index,R199,TRUE,InterestRatesTrigger)</f>
        <v>1.9982653927472782E-2</v>
      </c>
      <c r="W199" s="30">
        <f t="shared" ref="W199:W262" si="18">V199-U199</f>
        <v>2.1641506844238476E-4</v>
      </c>
      <c r="X199" s="29">
        <f>_xll.qlDayCounterYearFraction(DayCounter,SettlementDate,S199,,,Trigger)</f>
        <v>16.580555555555556</v>
      </c>
      <c r="Y199" s="29">
        <f>_xll.qlDayCounterYearFraction(DayCounter,S199,T199)</f>
        <v>8.0555555555555561E-2</v>
      </c>
      <c r="Z199" s="29">
        <f>IF($M$13,_xll.qlYieldTSDiscount(Currency&amp;"ON",S199)/(1+V199*Y199),1)</f>
        <v>1</v>
      </c>
      <c r="AA199" s="30">
        <f>_xll.qlTenorBasisValue(TenorBasis1M,S199,InterestRatesTrigger)</f>
        <v>2.0485006648352549E-4</v>
      </c>
      <c r="AB199" s="74">
        <f t="shared" ref="AB199:AB262" si="19">AA199+U199</f>
        <v>1.9971088925513924E-2</v>
      </c>
      <c r="AC199" s="76">
        <f t="shared" ref="AC199:AC262" si="20">AB199/V199</f>
        <v>0.99942124794830389</v>
      </c>
    </row>
    <row r="200" spans="16:29" x14ac:dyDescent="0.2">
      <c r="P200" s="33">
        <v>1</v>
      </c>
      <c r="Q200" s="27" t="str">
        <f>_xll.qlPeriodEquivalent(Q199&amp;"+"&amp;P200&amp;"M")</f>
        <v>16Y5M</v>
      </c>
      <c r="R200" s="28">
        <f>_xll.qlCalendarAdvance(Calendar,SettlementDate,Q200,"f",,Trigger)</f>
        <v>48275</v>
      </c>
      <c r="S200" s="28">
        <f>_xll.qlInterestRateIndexValueDate(Index,R200,Trigger)</f>
        <v>48277</v>
      </c>
      <c r="T200" s="28">
        <f>_xll.qlInterestRateIndexMaturity(Index,S200,Trigger)</f>
        <v>48309</v>
      </c>
      <c r="U200" s="30">
        <f>_xll.qlIndexFixing($M$5,R200,TRUE,InterestRatesTrigger)</f>
        <v>1.9732883680849966E-2</v>
      </c>
      <c r="V200" s="74">
        <f>_xll.qlIndexFixing(Index,R200,TRUE,InterestRatesTrigger)</f>
        <v>1.9948529386392411E-2</v>
      </c>
      <c r="W200" s="30">
        <f t="shared" si="18"/>
        <v>2.1564570554244433E-4</v>
      </c>
      <c r="X200" s="29">
        <f>_xll.qlDayCounterYearFraction(DayCounter,SettlementDate,S200,,,Trigger)</f>
        <v>16.661111111111111</v>
      </c>
      <c r="Y200" s="29">
        <f>_xll.qlDayCounterYearFraction(DayCounter,S200,T200)</f>
        <v>8.8888888888888892E-2</v>
      </c>
      <c r="Z200" s="29">
        <f>IF($M$13,_xll.qlYieldTSDiscount(Currency&amp;"ON",S200)/(1+V200*Y200),1)</f>
        <v>1</v>
      </c>
      <c r="AA200" s="30">
        <f>_xll.qlTenorBasisValue(TenorBasis1M,S200,InterestRatesTrigger)</f>
        <v>2.0291336680981149E-4</v>
      </c>
      <c r="AB200" s="74">
        <f t="shared" si="19"/>
        <v>1.9935797047659777E-2</v>
      </c>
      <c r="AC200" s="76">
        <f t="shared" si="20"/>
        <v>0.99936174048291904</v>
      </c>
    </row>
    <row r="201" spans="16:29" x14ac:dyDescent="0.2">
      <c r="P201" s="33">
        <v>1</v>
      </c>
      <c r="Q201" s="27" t="str">
        <f>_xll.qlPeriodEquivalent(Q200&amp;"+"&amp;P201&amp;"M")</f>
        <v>16Y6M</v>
      </c>
      <c r="R201" s="28">
        <f>_xll.qlCalendarAdvance(Calendar,SettlementDate,Q201,"f",,Trigger)</f>
        <v>48306</v>
      </c>
      <c r="S201" s="28">
        <f>_xll.qlInterestRateIndexValueDate(Index,R201,Trigger)</f>
        <v>48310</v>
      </c>
      <c r="T201" s="28">
        <f>_xll.qlInterestRateIndexMaturity(Index,S201,Trigger)</f>
        <v>48340</v>
      </c>
      <c r="U201" s="30">
        <f>_xll.qlIndexFixing($M$5,R201,TRUE,InterestRatesTrigger)</f>
        <v>1.9694326597128331E-2</v>
      </c>
      <c r="V201" s="74">
        <f>_xll.qlIndexFixing(Index,R201,TRUE,InterestRatesTrigger)</f>
        <v>1.9908870690981573E-2</v>
      </c>
      <c r="W201" s="30">
        <f t="shared" si="18"/>
        <v>2.1454409385324169E-4</v>
      </c>
      <c r="X201" s="29">
        <f>_xll.qlDayCounterYearFraction(DayCounter,SettlementDate,S201,,,Trigger)</f>
        <v>16.752777777777776</v>
      </c>
      <c r="Y201" s="29">
        <f>_xll.qlDayCounterYearFraction(DayCounter,S201,T201)</f>
        <v>8.3333333333333329E-2</v>
      </c>
      <c r="Z201" s="29">
        <f>IF($M$13,_xll.qlYieldTSDiscount(Currency&amp;"ON",S201)/(1+V201*Y201),1)</f>
        <v>1</v>
      </c>
      <c r="AA201" s="30">
        <f>_xll.qlTenorBasisValue(TenorBasis1M,S201,InterestRatesTrigger)</f>
        <v>2.0072702709488375E-4</v>
      </c>
      <c r="AB201" s="74">
        <f t="shared" si="19"/>
        <v>1.9895053624223214E-2</v>
      </c>
      <c r="AC201" s="76">
        <f t="shared" si="20"/>
        <v>0.99930598440399643</v>
      </c>
    </row>
    <row r="202" spans="16:29" x14ac:dyDescent="0.2">
      <c r="P202" s="33">
        <v>1</v>
      </c>
      <c r="Q202" s="27" t="str">
        <f>_xll.qlPeriodEquivalent(Q201&amp;"+"&amp;P202&amp;"M")</f>
        <v>16Y7M</v>
      </c>
      <c r="R202" s="28">
        <f>_xll.qlCalendarAdvance(Calendar,SettlementDate,Q202,"f",,Trigger)</f>
        <v>48337</v>
      </c>
      <c r="S202" s="28">
        <f>_xll.qlInterestRateIndexValueDate(Index,R202,Trigger)</f>
        <v>48339</v>
      </c>
      <c r="T202" s="28">
        <f>_xll.qlInterestRateIndexMaturity(Index,S202,Trigger)</f>
        <v>48372</v>
      </c>
      <c r="U202" s="30">
        <f>_xll.qlIndexFixing($M$5,R202,TRUE,InterestRatesTrigger)</f>
        <v>1.9659455610403498E-2</v>
      </c>
      <c r="V202" s="74">
        <f>_xll.qlIndexFixing(Index,R202,TRUE,InterestRatesTrigger)</f>
        <v>1.9872795170409286E-2</v>
      </c>
      <c r="W202" s="30">
        <f t="shared" si="18"/>
        <v>2.1333956000578816E-4</v>
      </c>
      <c r="X202" s="29">
        <f>_xll.qlDayCounterYearFraction(DayCounter,SettlementDate,S202,,,Trigger)</f>
        <v>16.833333333333332</v>
      </c>
      <c r="Y202" s="29">
        <f>_xll.qlDayCounterYearFraction(DayCounter,S202,T202)</f>
        <v>9.166666666666666E-2</v>
      </c>
      <c r="Z202" s="29">
        <f>IF($M$13,_xll.qlYieldTSDiscount(Currency&amp;"ON",S202)/(1+V202*Y202),1)</f>
        <v>1</v>
      </c>
      <c r="AA202" s="30">
        <f>_xll.qlTenorBasisValue(TenorBasis1M,S202,InterestRatesTrigger)</f>
        <v>1.9882103848529092E-4</v>
      </c>
      <c r="AB202" s="74">
        <f t="shared" si="19"/>
        <v>1.9858276648888788E-2</v>
      </c>
      <c r="AC202" s="76">
        <f t="shared" si="20"/>
        <v>0.99926942730521795</v>
      </c>
    </row>
    <row r="203" spans="16:29" x14ac:dyDescent="0.2">
      <c r="P203" s="33">
        <v>1</v>
      </c>
      <c r="Q203" s="27" t="str">
        <f>_xll.qlPeriodEquivalent(Q202&amp;"+"&amp;P203&amp;"M")</f>
        <v>16Y8M</v>
      </c>
      <c r="R203" s="28">
        <f>_xll.qlCalendarAdvance(Calendar,SettlementDate,Q203,"f",,Trigger)</f>
        <v>48367</v>
      </c>
      <c r="S203" s="28">
        <f>_xll.qlInterestRateIndexValueDate(Index,R203,Trigger)</f>
        <v>48369</v>
      </c>
      <c r="T203" s="28">
        <f>_xll.qlInterestRateIndexMaturity(Index,S203,Trigger)</f>
        <v>48400</v>
      </c>
      <c r="U203" s="30">
        <f>_xll.qlIndexFixing($M$5,R203,TRUE,InterestRatesTrigger)</f>
        <v>1.9623025050696508E-2</v>
      </c>
      <c r="V203" s="74">
        <f>_xll.qlIndexFixing(Index,R203,TRUE,InterestRatesTrigger)</f>
        <v>1.9834989457089891E-2</v>
      </c>
      <c r="W203" s="30">
        <f t="shared" si="18"/>
        <v>2.1196440639338274E-4</v>
      </c>
      <c r="X203" s="29">
        <f>_xll.qlDayCounterYearFraction(DayCounter,SettlementDate,S203,,,Trigger)</f>
        <v>16.916666666666668</v>
      </c>
      <c r="Y203" s="29">
        <f>_xll.qlDayCounterYearFraction(DayCounter,S203,T203)</f>
        <v>8.611111111111111E-2</v>
      </c>
      <c r="Z203" s="29">
        <f>IF($M$13,_xll.qlYieldTSDiscount(Currency&amp;"ON",S203)/(1+V203*Y203),1)</f>
        <v>1</v>
      </c>
      <c r="AA203" s="30">
        <f>_xll.qlTenorBasisValue(TenorBasis1M,S203,InterestRatesTrigger)</f>
        <v>1.9686439469938929E-4</v>
      </c>
      <c r="AB203" s="74">
        <f t="shared" si="19"/>
        <v>1.9819889445395898E-2</v>
      </c>
      <c r="AC203" s="76">
        <f t="shared" si="20"/>
        <v>0.99923871844113354</v>
      </c>
    </row>
    <row r="204" spans="16:29" x14ac:dyDescent="0.2">
      <c r="P204" s="33">
        <v>1</v>
      </c>
      <c r="Q204" s="27" t="str">
        <f>_xll.qlPeriodEquivalent(Q203&amp;"+"&amp;P204&amp;"M")</f>
        <v>16Y9M</v>
      </c>
      <c r="R204" s="28">
        <f>_xll.qlCalendarAdvance(Calendar,SettlementDate,Q204,"f",,Trigger)</f>
        <v>48397</v>
      </c>
      <c r="S204" s="28">
        <f>_xll.qlInterestRateIndexValueDate(Index,R204,Trigger)</f>
        <v>48401</v>
      </c>
      <c r="T204" s="28">
        <f>_xll.qlInterestRateIndexMaturity(Index,S204,Trigger)</f>
        <v>48432</v>
      </c>
      <c r="U204" s="30">
        <f>_xll.qlIndexFixing($M$5,R204,TRUE,InterestRatesTrigger)</f>
        <v>1.9583236226180058E-2</v>
      </c>
      <c r="V204" s="74">
        <f>_xll.qlIndexFixing(Index,R204,TRUE,InterestRatesTrigger)</f>
        <v>1.9793525045567518E-2</v>
      </c>
      <c r="W204" s="30">
        <f t="shared" si="18"/>
        <v>2.1028881938746011E-4</v>
      </c>
      <c r="X204" s="29">
        <f>_xll.qlDayCounterYearFraction(DayCounter,SettlementDate,S204,,,Trigger)</f>
        <v>17.005555555555556</v>
      </c>
      <c r="Y204" s="29">
        <f>_xll.qlDayCounterYearFraction(DayCounter,S204,T204)</f>
        <v>8.611111111111111E-2</v>
      </c>
      <c r="Z204" s="29">
        <f>IF($M$13,_xll.qlYieldTSDiscount(Currency&amp;"ON",S204)/(1+V204*Y204),1)</f>
        <v>1</v>
      </c>
      <c r="AA204" s="30">
        <f>_xll.qlTenorBasisValue(TenorBasis1M,S204,InterestRatesTrigger)</f>
        <v>1.9479415953445968E-4</v>
      </c>
      <c r="AB204" s="74">
        <f t="shared" si="19"/>
        <v>1.9778030385714518E-2</v>
      </c>
      <c r="AC204" s="76">
        <f t="shared" si="20"/>
        <v>0.99921718542718752</v>
      </c>
    </row>
    <row r="205" spans="16:29" x14ac:dyDescent="0.2">
      <c r="P205" s="33">
        <v>1</v>
      </c>
      <c r="Q205" s="27" t="str">
        <f>_xll.qlPeriodEquivalent(Q204&amp;"+"&amp;P205&amp;"M")</f>
        <v>16Y10M</v>
      </c>
      <c r="R205" s="28">
        <f>_xll.qlCalendarAdvance(Calendar,SettlementDate,Q205,"f",,Trigger)</f>
        <v>48428</v>
      </c>
      <c r="S205" s="28">
        <f>_xll.qlInterestRateIndexValueDate(Index,R205,Trigger)</f>
        <v>48430</v>
      </c>
      <c r="T205" s="28">
        <f>_xll.qlInterestRateIndexMaturity(Index,S205,Trigger)</f>
        <v>48463</v>
      </c>
      <c r="U205" s="30">
        <f>_xll.qlIndexFixing($M$5,R205,TRUE,InterestRatesTrigger)</f>
        <v>1.9546257988838762E-2</v>
      </c>
      <c r="V205" s="74">
        <f>_xll.qlIndexFixing(Index,R205,TRUE,InterestRatesTrigger)</f>
        <v>1.9754838732589552E-2</v>
      </c>
      <c r="W205" s="30">
        <f t="shared" si="18"/>
        <v>2.0858074375079E-4</v>
      </c>
      <c r="X205" s="29">
        <f>_xll.qlDayCounterYearFraction(DayCounter,SettlementDate,S205,,,Trigger)</f>
        <v>17.086111111111112</v>
      </c>
      <c r="Y205" s="29">
        <f>_xll.qlDayCounterYearFraction(DayCounter,S205,T205)</f>
        <v>9.166666666666666E-2</v>
      </c>
      <c r="Z205" s="29">
        <f>IF($M$13,_xll.qlYieldTSDiscount(Currency&amp;"ON",S205)/(1+V205*Y205),1)</f>
        <v>1</v>
      </c>
      <c r="AA205" s="30">
        <f>_xll.qlTenorBasisValue(TenorBasis1M,S205,InterestRatesTrigger)</f>
        <v>1.9293299751625456E-4</v>
      </c>
      <c r="AB205" s="74">
        <f t="shared" si="19"/>
        <v>1.9739190986355015E-2</v>
      </c>
      <c r="AC205" s="76">
        <f t="shared" si="20"/>
        <v>0.99920790311445451</v>
      </c>
    </row>
    <row r="206" spans="16:29" x14ac:dyDescent="0.2">
      <c r="P206" s="33">
        <v>1</v>
      </c>
      <c r="Q206" s="27" t="str">
        <f>_xll.qlPeriodEquivalent(Q205&amp;"+"&amp;P206&amp;"M")</f>
        <v>16Y11M</v>
      </c>
      <c r="R206" s="28">
        <f>_xll.qlCalendarAdvance(Calendar,SettlementDate,Q206,"f",,Trigger)</f>
        <v>48459</v>
      </c>
      <c r="S206" s="28">
        <f>_xll.qlInterestRateIndexValueDate(Index,R206,Trigger)</f>
        <v>48463</v>
      </c>
      <c r="T206" s="28">
        <f>_xll.qlInterestRateIndexMaturity(Index,S206,Trigger)</f>
        <v>48493</v>
      </c>
      <c r="U206" s="30">
        <f>_xll.qlIndexFixing($M$5,R206,TRUE,InterestRatesTrigger)</f>
        <v>1.9503976144474855E-2</v>
      </c>
      <c r="V206" s="74">
        <f>_xll.qlIndexFixing(Index,R206,TRUE,InterestRatesTrigger)</f>
        <v>1.9710557936971185E-2</v>
      </c>
      <c r="W206" s="30">
        <f t="shared" si="18"/>
        <v>2.065817924963298E-4</v>
      </c>
      <c r="X206" s="29">
        <f>_xll.qlDayCounterYearFraction(DayCounter,SettlementDate,S206,,,Trigger)</f>
        <v>17.177777777777777</v>
      </c>
      <c r="Y206" s="29">
        <f>_xll.qlDayCounterYearFraction(DayCounter,S206,T206)</f>
        <v>8.3333333333333329E-2</v>
      </c>
      <c r="Z206" s="29">
        <f>IF($M$13,_xll.qlYieldTSDiscount(Currency&amp;"ON",S206)/(1+V206*Y206),1)</f>
        <v>1</v>
      </c>
      <c r="AA206" s="30">
        <f>_xll.qlTenorBasisValue(TenorBasis1M,S206,InterestRatesTrigger)</f>
        <v>1.9083241260328088E-4</v>
      </c>
      <c r="AB206" s="74">
        <f t="shared" si="19"/>
        <v>1.9694808557078135E-2</v>
      </c>
      <c r="AC206" s="76">
        <f t="shared" si="20"/>
        <v>0.99920096732201025</v>
      </c>
    </row>
    <row r="207" spans="16:29" x14ac:dyDescent="0.2">
      <c r="P207" s="33">
        <v>1</v>
      </c>
      <c r="Q207" s="27" t="str">
        <f>_xll.qlPeriodEquivalent(Q206&amp;"+"&amp;P207&amp;"M")</f>
        <v>17Y</v>
      </c>
      <c r="R207" s="28">
        <f>_xll.qlCalendarAdvance(Calendar,SettlementDate,Q207,"f",,Trigger)</f>
        <v>48491</v>
      </c>
      <c r="S207" s="28">
        <f>_xll.qlInterestRateIndexValueDate(Index,R207,Trigger)</f>
        <v>48493</v>
      </c>
      <c r="T207" s="28">
        <f>_xll.qlInterestRateIndexMaturity(Index,S207,Trigger)</f>
        <v>48526</v>
      </c>
      <c r="U207" s="30">
        <f>_xll.qlIndexFixing($M$5,R207,TRUE,InterestRatesTrigger)</f>
        <v>1.9464068682915264E-2</v>
      </c>
      <c r="V207" s="74">
        <f>_xll.qlIndexFixing(Index,R207,TRUE,InterestRatesTrigger)</f>
        <v>1.9668579922199312E-2</v>
      </c>
      <c r="W207" s="30">
        <f t="shared" si="18"/>
        <v>2.0451123928404841E-4</v>
      </c>
      <c r="X207" s="29">
        <f>_xll.qlDayCounterYearFraction(DayCounter,SettlementDate,S207,,,Trigger)</f>
        <v>17.261111111111113</v>
      </c>
      <c r="Y207" s="29">
        <f>_xll.qlDayCounterYearFraction(DayCounter,S207,T207)</f>
        <v>9.166666666666666E-2</v>
      </c>
      <c r="Z207" s="29">
        <f>IF($M$13,_xll.qlYieldTSDiscount(Currency&amp;"ON",S207)/(1+V207*Y207),1)</f>
        <v>1</v>
      </c>
      <c r="AA207" s="30">
        <f>_xll.qlTenorBasisValue(TenorBasis1M,S207,InterestRatesTrigger)</f>
        <v>1.889387165800306E-4</v>
      </c>
      <c r="AB207" s="74">
        <f t="shared" si="19"/>
        <v>1.9653007399495295E-2</v>
      </c>
      <c r="AC207" s="76">
        <f t="shared" si="20"/>
        <v>0.99920825383603618</v>
      </c>
    </row>
    <row r="208" spans="16:29" x14ac:dyDescent="0.2">
      <c r="P208" s="33">
        <v>1</v>
      </c>
      <c r="Q208" s="27" t="str">
        <f>_xll.qlPeriodEquivalent(Q207&amp;"+"&amp;P208&amp;"M")</f>
        <v>17Y1M</v>
      </c>
      <c r="R208" s="28">
        <f>_xll.qlCalendarAdvance(Calendar,SettlementDate,Q208,"f",,Trigger)</f>
        <v>48520</v>
      </c>
      <c r="S208" s="28">
        <f>_xll.qlInterestRateIndexValueDate(Index,R208,Trigger)</f>
        <v>48522</v>
      </c>
      <c r="T208" s="28">
        <f>_xll.qlInterestRateIndexMaturity(Index,S208,Trigger)</f>
        <v>48554</v>
      </c>
      <c r="U208" s="30">
        <f>_xll.qlIndexFixing($M$5,R208,TRUE,InterestRatesTrigger)</f>
        <v>1.9425338945356641E-2</v>
      </c>
      <c r="V208" s="74">
        <f>_xll.qlIndexFixing(Index,R208,TRUE,InterestRatesTrigger)</f>
        <v>1.9627832569180381E-2</v>
      </c>
      <c r="W208" s="30">
        <f t="shared" si="18"/>
        <v>2.024936238237407E-4</v>
      </c>
      <c r="X208" s="29">
        <f>_xll.qlDayCounterYearFraction(DayCounter,SettlementDate,S208,,,Trigger)</f>
        <v>17.341666666666665</v>
      </c>
      <c r="Y208" s="29">
        <f>_xll.qlDayCounterYearFraction(DayCounter,S208,T208)</f>
        <v>8.8888888888888892E-2</v>
      </c>
      <c r="Z208" s="29">
        <f>IF($M$13,_xll.qlYieldTSDiscount(Currency&amp;"ON",S208)/(1+V208*Y208),1)</f>
        <v>1</v>
      </c>
      <c r="AA208" s="30">
        <f>_xll.qlTenorBasisValue(TenorBasis1M,S208,InterestRatesTrigger)</f>
        <v>1.871225200325163E-4</v>
      </c>
      <c r="AB208" s="74">
        <f t="shared" si="19"/>
        <v>1.9612461465389155E-2</v>
      </c>
      <c r="AC208" s="76">
        <f t="shared" si="20"/>
        <v>0.99921687207504706</v>
      </c>
    </row>
    <row r="209" spans="16:29" x14ac:dyDescent="0.2">
      <c r="P209" s="33">
        <v>1</v>
      </c>
      <c r="Q209" s="27" t="str">
        <f>_xll.qlPeriodEquivalent(Q208&amp;"+"&amp;P209&amp;"M")</f>
        <v>17Y2M</v>
      </c>
      <c r="R209" s="28">
        <f>_xll.qlCalendarAdvance(Calendar,SettlementDate,Q209,"f",,Trigger)</f>
        <v>48550</v>
      </c>
      <c r="S209" s="28">
        <f>_xll.qlInterestRateIndexValueDate(Index,R209,Trigger)</f>
        <v>48554</v>
      </c>
      <c r="T209" s="28">
        <f>_xll.qlInterestRateIndexMaturity(Index,S209,Trigger)</f>
        <v>48585</v>
      </c>
      <c r="U209" s="30">
        <f>_xll.qlIndexFixing($M$5,R209,TRUE,InterestRatesTrigger)</f>
        <v>1.9381847422464137E-2</v>
      </c>
      <c r="V209" s="74">
        <f>_xll.qlIndexFixing(Index,R209,TRUE,InterestRatesTrigger)</f>
        <v>1.9582012770925531E-2</v>
      </c>
      <c r="W209" s="30">
        <f t="shared" si="18"/>
        <v>2.0016534846139383E-4</v>
      </c>
      <c r="X209" s="29">
        <f>_xll.qlDayCounterYearFraction(DayCounter,SettlementDate,S209,,,Trigger)</f>
        <v>17.430555555555557</v>
      </c>
      <c r="Y209" s="29">
        <f>_xll.qlDayCounterYearFraction(DayCounter,S209,T209)</f>
        <v>8.611111111111111E-2</v>
      </c>
      <c r="Z209" s="29">
        <f>IF($M$13,_xll.qlYieldTSDiscount(Currency&amp;"ON",S209)/(1+V209*Y209),1)</f>
        <v>1</v>
      </c>
      <c r="AA209" s="30">
        <f>_xll.qlTenorBasisValue(TenorBasis1M,S209,InterestRatesTrigger)</f>
        <v>1.8513479284241419E-4</v>
      </c>
      <c r="AB209" s="74">
        <f t="shared" si="19"/>
        <v>1.956698221530655E-2</v>
      </c>
      <c r="AC209" s="76">
        <f t="shared" si="20"/>
        <v>0.99923243050677113</v>
      </c>
    </row>
    <row r="210" spans="16:29" x14ac:dyDescent="0.2">
      <c r="P210" s="33">
        <v>1</v>
      </c>
      <c r="Q210" s="27" t="str">
        <f>_xll.qlPeriodEquivalent(Q209&amp;"+"&amp;P210&amp;"M")</f>
        <v>17Y3M</v>
      </c>
      <c r="R210" s="28">
        <f>_xll.qlCalendarAdvance(Calendar,SettlementDate,Q210,"f",,Trigger)</f>
        <v>48582</v>
      </c>
      <c r="S210" s="28">
        <f>_xll.qlInterestRateIndexValueDate(Index,R210,Trigger)</f>
        <v>48584</v>
      </c>
      <c r="T210" s="28">
        <f>_xll.qlInterestRateIndexMaturity(Index,S210,Trigger)</f>
        <v>48617</v>
      </c>
      <c r="U210" s="30">
        <f>_xll.qlIndexFixing($M$5,R210,TRUE,InterestRatesTrigger)</f>
        <v>1.9339830693278645E-2</v>
      </c>
      <c r="V210" s="74">
        <f>_xll.qlIndexFixing(Index,R210,TRUE,InterestRatesTrigger)</f>
        <v>1.953764978515677E-2</v>
      </c>
      <c r="W210" s="30">
        <f t="shared" si="18"/>
        <v>1.9781909187812502E-4</v>
      </c>
      <c r="X210" s="29">
        <f>_xll.qlDayCounterYearFraction(DayCounter,SettlementDate,S210,,,Trigger)</f>
        <v>17.513888888888889</v>
      </c>
      <c r="Y210" s="29">
        <f>_xll.qlDayCounterYearFraction(DayCounter,S210,T210)</f>
        <v>9.166666666666666E-2</v>
      </c>
      <c r="Z210" s="29">
        <f>IF($M$13,_xll.qlYieldTSDiscount(Currency&amp;"ON",S210)/(1+V210*Y210),1)</f>
        <v>1</v>
      </c>
      <c r="AA210" s="30">
        <f>_xll.qlTenorBasisValue(TenorBasis1M,S210,InterestRatesTrigger)</f>
        <v>1.8328683065142067E-4</v>
      </c>
      <c r="AB210" s="74">
        <f t="shared" si="19"/>
        <v>1.9523117523930066E-2</v>
      </c>
      <c r="AC210" s="76">
        <f t="shared" si="20"/>
        <v>0.99925619194803328</v>
      </c>
    </row>
    <row r="211" spans="16:29" x14ac:dyDescent="0.2">
      <c r="P211" s="33">
        <v>1</v>
      </c>
      <c r="Q211" s="27" t="str">
        <f>_xll.qlPeriodEquivalent(Q210&amp;"+"&amp;P211&amp;"M")</f>
        <v>17Y4M</v>
      </c>
      <c r="R211" s="28">
        <f>_xll.qlCalendarAdvance(Calendar,SettlementDate,Q211,"f",,Trigger)</f>
        <v>48612</v>
      </c>
      <c r="S211" s="28">
        <f>_xll.qlInterestRateIndexValueDate(Index,R211,Trigger)</f>
        <v>48614</v>
      </c>
      <c r="T211" s="28">
        <f>_xll.qlInterestRateIndexMaturity(Index,S211,Trigger)</f>
        <v>48642</v>
      </c>
      <c r="U211" s="30">
        <f>_xll.qlIndexFixing($M$5,R211,TRUE,InterestRatesTrigger)</f>
        <v>1.9298427416994151E-2</v>
      </c>
      <c r="V211" s="74">
        <f>_xll.qlIndexFixing(Index,R211,TRUE,InterestRatesTrigger)</f>
        <v>1.9494035557967582E-2</v>
      </c>
      <c r="W211" s="30">
        <f t="shared" si="18"/>
        <v>1.9560814097343074E-4</v>
      </c>
      <c r="X211" s="29">
        <f>_xll.qlDayCounterYearFraction(DayCounter,SettlementDate,S211,,,Trigger)</f>
        <v>17.597222222222221</v>
      </c>
      <c r="Y211" s="29">
        <f>_xll.qlDayCounterYearFraction(DayCounter,S211,T211)</f>
        <v>7.7777777777777779E-2</v>
      </c>
      <c r="Z211" s="29">
        <f>IF($M$13,_xll.qlYieldTSDiscount(Currency&amp;"ON",S211)/(1+V211*Y211),1)</f>
        <v>1</v>
      </c>
      <c r="AA211" s="30">
        <f>_xll.qlTenorBasisValue(TenorBasis1M,S211,InterestRatesTrigger)</f>
        <v>1.8145384970751541E-4</v>
      </c>
      <c r="AB211" s="74">
        <f t="shared" si="19"/>
        <v>1.9479881266701665E-2</v>
      </c>
      <c r="AC211" s="76">
        <f t="shared" si="20"/>
        <v>0.99927391682323408</v>
      </c>
    </row>
    <row r="212" spans="16:29" x14ac:dyDescent="0.2">
      <c r="P212" s="33">
        <v>1</v>
      </c>
      <c r="Q212" s="27" t="str">
        <f>_xll.qlPeriodEquivalent(Q211&amp;"+"&amp;P212&amp;"M")</f>
        <v>17Y5M</v>
      </c>
      <c r="R212" s="28">
        <f>_xll.qlCalendarAdvance(Calendar,SettlementDate,Q212,"f",,Trigger)</f>
        <v>48640</v>
      </c>
      <c r="S212" s="28">
        <f>_xll.qlInterestRateIndexValueDate(Index,R212,Trigger)</f>
        <v>48642</v>
      </c>
      <c r="T212" s="28">
        <f>_xll.qlInterestRateIndexMaturity(Index,S212,Trigger)</f>
        <v>48673</v>
      </c>
      <c r="U212" s="30">
        <f>_xll.qlIndexFixing($M$5,R212,TRUE,InterestRatesTrigger)</f>
        <v>1.9257663021807186E-2</v>
      </c>
      <c r="V212" s="74">
        <f>_xll.qlIndexFixing(Index,R212,TRUE,InterestRatesTrigger)</f>
        <v>1.9450938115739065E-2</v>
      </c>
      <c r="W212" s="30">
        <f t="shared" si="18"/>
        <v>1.9327509393187933E-4</v>
      </c>
      <c r="X212" s="29">
        <f>_xll.qlDayCounterYearFraction(DayCounter,SettlementDate,S212,,,Trigger)</f>
        <v>17.675000000000001</v>
      </c>
      <c r="Y212" s="29">
        <f>_xll.qlDayCounterYearFraction(DayCounter,S212,T212)</f>
        <v>8.611111111111111E-2</v>
      </c>
      <c r="Z212" s="29">
        <f>IF($M$13,_xll.qlYieldTSDiscount(Currency&amp;"ON",S212)/(1+V212*Y212),1)</f>
        <v>1</v>
      </c>
      <c r="AA212" s="30">
        <f>_xll.qlTenorBasisValue(TenorBasis1M,S212,InterestRatesTrigger)</f>
        <v>1.7975653947116508E-4</v>
      </c>
      <c r="AB212" s="74">
        <f t="shared" si="19"/>
        <v>1.9437419561278351E-2</v>
      </c>
      <c r="AC212" s="76">
        <f t="shared" si="20"/>
        <v>0.99930499216128932</v>
      </c>
    </row>
    <row r="213" spans="16:29" x14ac:dyDescent="0.2">
      <c r="P213" s="33">
        <v>1</v>
      </c>
      <c r="Q213" s="27" t="str">
        <f>_xll.qlPeriodEquivalent(Q212&amp;"+"&amp;P213&amp;"M")</f>
        <v>17Y6M</v>
      </c>
      <c r="R213" s="28">
        <f>_xll.qlCalendarAdvance(Calendar,SettlementDate,Q213,"f",,Trigger)</f>
        <v>48673</v>
      </c>
      <c r="S213" s="28">
        <f>_xll.qlInterestRateIndexValueDate(Index,R213,Trigger)</f>
        <v>48675</v>
      </c>
      <c r="T213" s="28">
        <f>_xll.qlInterestRateIndexMaturity(Index,S213,Trigger)</f>
        <v>48705</v>
      </c>
      <c r="U213" s="30">
        <f>_xll.qlIndexFixing($M$5,R213,TRUE,InterestRatesTrigger)</f>
        <v>1.9209746816948758E-2</v>
      </c>
      <c r="V213" s="74">
        <f>_xll.qlIndexFixing(Index,R213,TRUE,InterestRatesTrigger)</f>
        <v>1.9400365172997702E-2</v>
      </c>
      <c r="W213" s="30">
        <f t="shared" si="18"/>
        <v>1.9061835604894384E-4</v>
      </c>
      <c r="X213" s="29">
        <f>_xll.qlDayCounterYearFraction(DayCounter,SettlementDate,S213,,,Trigger)</f>
        <v>17.766666666666666</v>
      </c>
      <c r="Y213" s="29">
        <f>_xll.qlDayCounterYearFraction(DayCounter,S213,T213)</f>
        <v>8.3333333333333329E-2</v>
      </c>
      <c r="Z213" s="29">
        <f>IF($M$13,_xll.qlYieldTSDiscount(Currency&amp;"ON",S213)/(1+V213*Y213),1)</f>
        <v>1</v>
      </c>
      <c r="AA213" s="30">
        <f>_xll.qlTenorBasisValue(TenorBasis1M,S213,InterestRatesTrigger)</f>
        <v>1.7777277825875394E-4</v>
      </c>
      <c r="AB213" s="74">
        <f t="shared" si="19"/>
        <v>1.9387519595207511E-2</v>
      </c>
      <c r="AC213" s="76">
        <f t="shared" si="20"/>
        <v>0.99933786927845714</v>
      </c>
    </row>
    <row r="214" spans="16:29" x14ac:dyDescent="0.2">
      <c r="P214" s="33">
        <v>1</v>
      </c>
      <c r="Q214" s="27" t="str">
        <f>_xll.qlPeriodEquivalent(Q213&amp;"+"&amp;P214&amp;"M")</f>
        <v>17Y7M</v>
      </c>
      <c r="R214" s="28">
        <f>_xll.qlCalendarAdvance(Calendar,SettlementDate,Q214,"f",,Trigger)</f>
        <v>48701</v>
      </c>
      <c r="S214" s="28">
        <f>_xll.qlInterestRateIndexValueDate(Index,R214,Trigger)</f>
        <v>48703</v>
      </c>
      <c r="T214" s="28">
        <f>_xll.qlInterestRateIndexMaturity(Index,S214,Trigger)</f>
        <v>48736</v>
      </c>
      <c r="U214" s="30">
        <f>_xll.qlIndexFixing($M$5,R214,TRUE,InterestRatesTrigger)</f>
        <v>1.9167522427523603E-2</v>
      </c>
      <c r="V214" s="74">
        <f>_xll.qlIndexFixing(Index,R214,TRUE,InterestRatesTrigger)</f>
        <v>1.9355745533071331E-2</v>
      </c>
      <c r="W214" s="30">
        <f t="shared" si="18"/>
        <v>1.8822310554772806E-4</v>
      </c>
      <c r="X214" s="29">
        <f>_xll.qlDayCounterYearFraction(DayCounter,SettlementDate,S214,,,Trigger)</f>
        <v>17.844444444444445</v>
      </c>
      <c r="Y214" s="29">
        <f>_xll.qlDayCounterYearFraction(DayCounter,S214,T214)</f>
        <v>9.166666666666666E-2</v>
      </c>
      <c r="Z214" s="29">
        <f>IF($M$13,_xll.qlYieldTSDiscount(Currency&amp;"ON",S214)/(1+V214*Y214),1)</f>
        <v>1</v>
      </c>
      <c r="AA214" s="30">
        <f>_xll.qlTenorBasisValue(TenorBasis1M,S214,InterestRatesTrigger)</f>
        <v>1.7610365556892073E-4</v>
      </c>
      <c r="AB214" s="74">
        <f t="shared" si="19"/>
        <v>1.9343626083092525E-2</v>
      </c>
      <c r="AC214" s="76">
        <f t="shared" si="20"/>
        <v>0.99937385775411758</v>
      </c>
    </row>
    <row r="215" spans="16:29" x14ac:dyDescent="0.2">
      <c r="P215" s="33">
        <v>1</v>
      </c>
      <c r="Q215" s="27" t="str">
        <f>_xll.qlPeriodEquivalent(Q214&amp;"+"&amp;P215&amp;"M")</f>
        <v>17Y8M</v>
      </c>
      <c r="R215" s="28">
        <f>_xll.qlCalendarAdvance(Calendar,SettlementDate,Q215,"f",,Trigger)</f>
        <v>48732</v>
      </c>
      <c r="S215" s="28">
        <f>_xll.qlInterestRateIndexValueDate(Index,R215,Trigger)</f>
        <v>48736</v>
      </c>
      <c r="T215" s="28">
        <f>_xll.qlInterestRateIndexMaturity(Index,S215,Trigger)</f>
        <v>48766</v>
      </c>
      <c r="U215" s="30">
        <f>_xll.qlIndexFixing($M$5,R215,TRUE,InterestRatesTrigger)</f>
        <v>1.9118528102124444E-2</v>
      </c>
      <c r="V215" s="74">
        <f>_xll.qlIndexFixing(Index,R215,TRUE,InterestRatesTrigger)</f>
        <v>1.9304122917406019E-2</v>
      </c>
      <c r="W215" s="30">
        <f t="shared" si="18"/>
        <v>1.8559481528157562E-4</v>
      </c>
      <c r="X215" s="29">
        <f>_xll.qlDayCounterYearFraction(DayCounter,SettlementDate,S215,,,Trigger)</f>
        <v>17.93611111111111</v>
      </c>
      <c r="Y215" s="29">
        <f>_xll.qlDayCounterYearFraction(DayCounter,S215,T215)</f>
        <v>8.3333333333333329E-2</v>
      </c>
      <c r="Z215" s="29">
        <f>IF($M$13,_xll.qlYieldTSDiscount(Currency&amp;"ON",S215)/(1+V215*Y215),1)</f>
        <v>1</v>
      </c>
      <c r="AA215" s="30">
        <f>_xll.qlTenorBasisValue(TenorBasis1M,S215,InterestRatesTrigger)</f>
        <v>1.7415299179324587E-4</v>
      </c>
      <c r="AB215" s="74">
        <f t="shared" si="19"/>
        <v>1.9292681093917689E-2</v>
      </c>
      <c r="AC215" s="76">
        <f t="shared" si="20"/>
        <v>0.99940728602188844</v>
      </c>
    </row>
    <row r="216" spans="16:29" x14ac:dyDescent="0.2">
      <c r="P216" s="33">
        <v>1</v>
      </c>
      <c r="Q216" s="27" t="str">
        <f>_xll.qlPeriodEquivalent(Q215&amp;"+"&amp;P216&amp;"M")</f>
        <v>17Y9M</v>
      </c>
      <c r="R216" s="28">
        <f>_xll.qlCalendarAdvance(Calendar,SettlementDate,Q216,"f",,Trigger)</f>
        <v>48764</v>
      </c>
      <c r="S216" s="28">
        <f>_xll.qlInterestRateIndexValueDate(Index,R216,Trigger)</f>
        <v>48766</v>
      </c>
      <c r="T216" s="28">
        <f>_xll.qlInterestRateIndexMaturity(Index,S216,Trigger)</f>
        <v>48799</v>
      </c>
      <c r="U216" s="30">
        <f>_xll.qlIndexFixing($M$5,R216,TRUE,InterestRatesTrigger)</f>
        <v>1.9071784274380187E-2</v>
      </c>
      <c r="V216" s="74">
        <f>_xll.qlIndexFixing(Index,R216,TRUE,InterestRatesTrigger)</f>
        <v>1.9254817967689807E-2</v>
      </c>
      <c r="W216" s="30">
        <f t="shared" si="18"/>
        <v>1.8303369330962063E-4</v>
      </c>
      <c r="X216" s="29">
        <f>_xll.qlDayCounterYearFraction(DayCounter,SettlementDate,S216,,,Trigger)</f>
        <v>18.019444444444446</v>
      </c>
      <c r="Y216" s="29">
        <f>_xll.qlDayCounterYearFraction(DayCounter,S216,T216)</f>
        <v>9.166666666666666E-2</v>
      </c>
      <c r="Z216" s="29">
        <f>IF($M$13,_xll.qlYieldTSDiscount(Currency&amp;"ON",S216)/(1+V216*Y216),1)</f>
        <v>1</v>
      </c>
      <c r="AA216" s="30">
        <f>_xll.qlTenorBasisValue(TenorBasis1M,S216,InterestRatesTrigger)</f>
        <v>1.7239510831867086E-4</v>
      </c>
      <c r="AB216" s="74">
        <f t="shared" si="19"/>
        <v>1.9244179382698859E-2</v>
      </c>
      <c r="AC216" s="76">
        <f t="shared" si="20"/>
        <v>0.99944748452004062</v>
      </c>
    </row>
    <row r="217" spans="16:29" x14ac:dyDescent="0.2">
      <c r="P217" s="33">
        <v>1</v>
      </c>
      <c r="Q217" s="27" t="str">
        <f>_xll.qlPeriodEquivalent(Q216&amp;"+"&amp;P217&amp;"M")</f>
        <v>17Y10M</v>
      </c>
      <c r="R217" s="28">
        <f>_xll.qlCalendarAdvance(Calendar,SettlementDate,Q217,"f",,Trigger)</f>
        <v>48793</v>
      </c>
      <c r="S217" s="28">
        <f>_xll.qlInterestRateIndexValueDate(Index,R217,Trigger)</f>
        <v>48795</v>
      </c>
      <c r="T217" s="28">
        <f>_xll.qlInterestRateIndexMaturity(Index,S217,Trigger)</f>
        <v>48827</v>
      </c>
      <c r="U217" s="30">
        <f>_xll.qlIndexFixing($M$5,R217,TRUE,InterestRatesTrigger)</f>
        <v>1.902694666519128E-2</v>
      </c>
      <c r="V217" s="74">
        <f>_xll.qlIndexFixing(Index,R217,TRUE,InterestRatesTrigger)</f>
        <v>1.9207647057840338E-2</v>
      </c>
      <c r="W217" s="30">
        <f t="shared" si="18"/>
        <v>1.8070039264905802E-4</v>
      </c>
      <c r="X217" s="29">
        <f>_xll.qlDayCounterYearFraction(DayCounter,SettlementDate,S217,,,Trigger)</f>
        <v>18.100000000000001</v>
      </c>
      <c r="Y217" s="29">
        <f>_xll.qlDayCounterYearFraction(DayCounter,S217,T217)</f>
        <v>8.8888888888888892E-2</v>
      </c>
      <c r="Z217" s="29">
        <f>IF($M$13,_xll.qlYieldTSDiscount(Currency&amp;"ON",S217)/(1+V217*Y217),1)</f>
        <v>1</v>
      </c>
      <c r="AA217" s="30">
        <f>_xll.qlTenorBasisValue(TenorBasis1M,S217,InterestRatesTrigger)</f>
        <v>1.7070974882976719E-4</v>
      </c>
      <c r="AB217" s="74">
        <f t="shared" si="19"/>
        <v>1.9197656414021047E-2</v>
      </c>
      <c r="AC217" s="76">
        <f t="shared" si="20"/>
        <v>0.99947986113087117</v>
      </c>
    </row>
    <row r="218" spans="16:29" x14ac:dyDescent="0.2">
      <c r="P218" s="33">
        <v>1</v>
      </c>
      <c r="Q218" s="27" t="str">
        <f>_xll.qlPeriodEquivalent(Q217&amp;"+"&amp;P218&amp;"M")</f>
        <v>17Y11M</v>
      </c>
      <c r="R218" s="28">
        <f>_xll.qlCalendarAdvance(Calendar,SettlementDate,Q218,"f",,Trigger)</f>
        <v>48824</v>
      </c>
      <c r="S218" s="28">
        <f>_xll.qlInterestRateIndexValueDate(Index,R218,Trigger)</f>
        <v>48828</v>
      </c>
      <c r="T218" s="28">
        <f>_xll.qlInterestRateIndexMaturity(Index,S218,Trigger)</f>
        <v>48858</v>
      </c>
      <c r="U218" s="30">
        <f>_xll.qlIndexFixing($M$5,R218,TRUE,InterestRatesTrigger)</f>
        <v>1.8975409084239558E-2</v>
      </c>
      <c r="V218" s="74">
        <f>_xll.qlIndexFixing(Index,R218,TRUE,InterestRatesTrigger)</f>
        <v>1.9153520558712778E-2</v>
      </c>
      <c r="W218" s="30">
        <f t="shared" si="18"/>
        <v>1.7811147447321929E-4</v>
      </c>
      <c r="X218" s="29">
        <f>_xll.qlDayCounterYearFraction(DayCounter,SettlementDate,S218,,,Trigger)</f>
        <v>18.191666666666666</v>
      </c>
      <c r="Y218" s="29">
        <f>_xll.qlDayCounterYearFraction(DayCounter,S218,T218)</f>
        <v>8.3333333333333329E-2</v>
      </c>
      <c r="Z218" s="29">
        <f>IF($M$13,_xll.qlYieldTSDiscount(Currency&amp;"ON",S218)/(1+V218*Y218),1)</f>
        <v>1</v>
      </c>
      <c r="AA218" s="30">
        <f>_xll.qlTenorBasisValue(TenorBasis1M,S218,InterestRatesTrigger)</f>
        <v>1.6880851175722297E-4</v>
      </c>
      <c r="AB218" s="74">
        <f t="shared" si="19"/>
        <v>1.9144217595996781E-2</v>
      </c>
      <c r="AC218" s="76">
        <f t="shared" si="20"/>
        <v>0.9995142948949004</v>
      </c>
    </row>
    <row r="219" spans="16:29" x14ac:dyDescent="0.2">
      <c r="P219" s="33">
        <v>1</v>
      </c>
      <c r="Q219" s="27" t="str">
        <f>_xll.qlPeriodEquivalent(Q218&amp;"+"&amp;P219&amp;"M")</f>
        <v>18Y</v>
      </c>
      <c r="R219" s="28">
        <f>_xll.qlCalendarAdvance(Calendar,SettlementDate,Q219,"f",,Trigger)</f>
        <v>48855</v>
      </c>
      <c r="S219" s="28">
        <f>_xll.qlInterestRateIndexValueDate(Index,R219,Trigger)</f>
        <v>48857</v>
      </c>
      <c r="T219" s="28">
        <f>_xll.qlInterestRateIndexMaturity(Index,S219,Trigger)</f>
        <v>48890</v>
      </c>
      <c r="U219" s="30">
        <f>_xll.qlIndexFixing($M$5,R219,TRUE,InterestRatesTrigger)</f>
        <v>1.8927976325204619E-2</v>
      </c>
      <c r="V219" s="74">
        <f>_xll.qlIndexFixing(Index,R219,TRUE,InterestRatesTrigger)</f>
        <v>1.9103720992896006E-2</v>
      </c>
      <c r="W219" s="30">
        <f t="shared" si="18"/>
        <v>1.757446676913868E-4</v>
      </c>
      <c r="X219" s="29">
        <f>_xll.qlDayCounterYearFraction(DayCounter,SettlementDate,S219,,,Trigger)</f>
        <v>18.272222222222222</v>
      </c>
      <c r="Y219" s="29">
        <f>_xll.qlDayCounterYearFraction(DayCounter,S219,T219)</f>
        <v>9.166666666666666E-2</v>
      </c>
      <c r="Z219" s="29">
        <f>IF($M$13,_xll.qlYieldTSDiscount(Currency&amp;"ON",S219)/(1+V219*Y219),1)</f>
        <v>1</v>
      </c>
      <c r="AA219" s="30">
        <f>_xll.qlTenorBasisValue(TenorBasis1M,S219,InterestRatesTrigger)</f>
        <v>1.6715224172312359E-4</v>
      </c>
      <c r="AB219" s="74">
        <f t="shared" si="19"/>
        <v>1.9095128566927744E-2</v>
      </c>
      <c r="AC219" s="76">
        <f t="shared" si="20"/>
        <v>0.99955022239010627</v>
      </c>
    </row>
    <row r="220" spans="16:29" x14ac:dyDescent="0.2">
      <c r="P220" s="33">
        <v>1</v>
      </c>
      <c r="Q220" s="27" t="str">
        <f>_xll.qlPeriodEquivalent(Q219&amp;"+"&amp;P220&amp;"M")</f>
        <v>18Y1M</v>
      </c>
      <c r="R220" s="28">
        <f>_xll.qlCalendarAdvance(Calendar,SettlementDate,Q220,"f",,Trigger)</f>
        <v>48885</v>
      </c>
      <c r="S220" s="28">
        <f>_xll.qlInterestRateIndexValueDate(Index,R220,Trigger)</f>
        <v>48887</v>
      </c>
      <c r="T220" s="28">
        <f>_xll.qlInterestRateIndexMaturity(Index,S220,Trigger)</f>
        <v>48918</v>
      </c>
      <c r="U220" s="30">
        <f>_xll.qlIndexFixing($M$5,R220,TRUE,InterestRatesTrigger)</f>
        <v>1.8879791408210396E-2</v>
      </c>
      <c r="V220" s="74">
        <f>_xll.qlIndexFixing(Index,R220,TRUE,InterestRatesTrigger)</f>
        <v>1.9053302442885989E-2</v>
      </c>
      <c r="W220" s="30">
        <f t="shared" si="18"/>
        <v>1.7351103467559345E-4</v>
      </c>
      <c r="X220" s="29">
        <f>_xll.qlDayCounterYearFraction(DayCounter,SettlementDate,S220,,,Trigger)</f>
        <v>18.355555555555554</v>
      </c>
      <c r="Y220" s="29">
        <f>_xll.qlDayCounterYearFraction(DayCounter,S220,T220)</f>
        <v>8.611111111111111E-2</v>
      </c>
      <c r="Z220" s="29">
        <f>IF($M$13,_xll.qlYieldTSDiscount(Currency&amp;"ON",S220)/(1+V220*Y220),1)</f>
        <v>1</v>
      </c>
      <c r="AA220" s="30">
        <f>_xll.qlTenorBasisValue(TenorBasis1M,S220,InterestRatesTrigger)</f>
        <v>1.6545308465454653E-4</v>
      </c>
      <c r="AB220" s="74">
        <f t="shared" si="19"/>
        <v>1.9045244492864943E-2</v>
      </c>
      <c r="AC220" s="76">
        <f t="shared" si="20"/>
        <v>0.99957708381288746</v>
      </c>
    </row>
    <row r="221" spans="16:29" x14ac:dyDescent="0.2">
      <c r="P221" s="33">
        <v>1</v>
      </c>
      <c r="Q221" s="27" t="str">
        <f>_xll.qlPeriodEquivalent(Q220&amp;"+"&amp;P221&amp;"M")</f>
        <v>18Y2M</v>
      </c>
      <c r="R221" s="28">
        <f>_xll.qlCalendarAdvance(Calendar,SettlementDate,Q221,"f",,Trigger)</f>
        <v>48915</v>
      </c>
      <c r="S221" s="28">
        <f>_xll.qlInterestRateIndexValueDate(Index,R221,Trigger)</f>
        <v>48919</v>
      </c>
      <c r="T221" s="28">
        <f>_xll.qlInterestRateIndexMaturity(Index,S221,Trigger)</f>
        <v>48950</v>
      </c>
      <c r="U221" s="30">
        <f>_xll.qlIndexFixing($M$5,R221,TRUE,InterestRatesTrigger)</f>
        <v>1.8826945971038379E-2</v>
      </c>
      <c r="V221" s="74">
        <f>_xll.qlIndexFixing(Index,R221,TRUE,InterestRatesTrigger)</f>
        <v>1.8998100150332146E-2</v>
      </c>
      <c r="W221" s="30">
        <f t="shared" si="18"/>
        <v>1.7115417929376708E-4</v>
      </c>
      <c r="X221" s="29">
        <f>_xll.qlDayCounterYearFraction(DayCounter,SettlementDate,S221,,,Trigger)</f>
        <v>18.444444444444443</v>
      </c>
      <c r="Y221" s="29">
        <f>_xll.qlDayCounterYearFraction(DayCounter,S221,T221)</f>
        <v>8.611111111111111E-2</v>
      </c>
      <c r="Z221" s="29">
        <f>IF($M$13,_xll.qlYieldTSDiscount(Currency&amp;"ON",S221)/(1+V221*Y221),1)</f>
        <v>1</v>
      </c>
      <c r="AA221" s="30">
        <f>_xll.qlTenorBasisValue(TenorBasis1M,S221,InterestRatesTrigger)</f>
        <v>1.6365652565448091E-4</v>
      </c>
      <c r="AB221" s="74">
        <f t="shared" si="19"/>
        <v>1.8990602496692859E-2</v>
      </c>
      <c r="AC221" s="76">
        <f t="shared" si="20"/>
        <v>0.99960534718840521</v>
      </c>
    </row>
    <row r="222" spans="16:29" x14ac:dyDescent="0.2">
      <c r="P222" s="33">
        <v>1</v>
      </c>
      <c r="Q222" s="27" t="str">
        <f>_xll.qlPeriodEquivalent(Q221&amp;"+"&amp;P222&amp;"M")</f>
        <v>18Y3M</v>
      </c>
      <c r="R222" s="28">
        <f>_xll.qlCalendarAdvance(Calendar,SettlementDate,Q222,"f",,Trigger)</f>
        <v>48946</v>
      </c>
      <c r="S222" s="28">
        <f>_xll.qlInterestRateIndexValueDate(Index,R222,Trigger)</f>
        <v>48948</v>
      </c>
      <c r="T222" s="28">
        <f>_xll.qlInterestRateIndexMaturity(Index,S222,Trigger)</f>
        <v>48981</v>
      </c>
      <c r="U222" s="30">
        <f>_xll.qlIndexFixing($M$5,R222,TRUE,InterestRatesTrigger)</f>
        <v>1.8777645555737882E-2</v>
      </c>
      <c r="V222" s="74">
        <f>_xll.qlIndexFixing(Index,R222,TRUE,InterestRatesTrigger)</f>
        <v>1.8946706428093891E-2</v>
      </c>
      <c r="W222" s="30">
        <f t="shared" si="18"/>
        <v>1.69060872356009E-4</v>
      </c>
      <c r="X222" s="29">
        <f>_xll.qlDayCounterYearFraction(DayCounter,SettlementDate,S222,,,Trigger)</f>
        <v>18.524999999999999</v>
      </c>
      <c r="Y222" s="29">
        <f>_xll.qlDayCounterYearFraction(DayCounter,S222,T222)</f>
        <v>9.166666666666666E-2</v>
      </c>
      <c r="Z222" s="29">
        <f>IF($M$13,_xll.qlYieldTSDiscount(Currency&amp;"ON",S222)/(1+V222*Y222),1)</f>
        <v>1</v>
      </c>
      <c r="AA222" s="30">
        <f>_xll.qlTenorBasisValue(TenorBasis1M,S222,InterestRatesTrigger)</f>
        <v>1.6204248494568481E-4</v>
      </c>
      <c r="AB222" s="74">
        <f t="shared" si="19"/>
        <v>1.8939688040683567E-2</v>
      </c>
      <c r="AC222" s="76">
        <f t="shared" si="20"/>
        <v>0.99962957216670034</v>
      </c>
    </row>
    <row r="223" spans="16:29" x14ac:dyDescent="0.2">
      <c r="P223" s="33">
        <v>1</v>
      </c>
      <c r="Q223" s="27" t="str">
        <f>_xll.qlPeriodEquivalent(Q222&amp;"+"&amp;P223&amp;"M")</f>
        <v>18Y4M</v>
      </c>
      <c r="R223" s="28">
        <f>_xll.qlCalendarAdvance(Calendar,SettlementDate,Q223,"f",,Trigger)</f>
        <v>48977</v>
      </c>
      <c r="S223" s="28">
        <f>_xll.qlInterestRateIndexValueDate(Index,R223,Trigger)</f>
        <v>48981</v>
      </c>
      <c r="T223" s="28">
        <f>_xll.qlInterestRateIndexMaturity(Index,S223,Trigger)</f>
        <v>49009</v>
      </c>
      <c r="U223" s="30">
        <f>_xll.qlIndexFixing($M$5,R223,TRUE,InterestRatesTrigger)</f>
        <v>1.8723377037685372E-2</v>
      </c>
      <c r="V223" s="74">
        <f>_xll.qlIndexFixing(Index,R223,TRUE,InterestRatesTrigger)</f>
        <v>1.8890357839165577E-2</v>
      </c>
      <c r="W223" s="30">
        <f t="shared" si="18"/>
        <v>1.6698080148020572E-4</v>
      </c>
      <c r="X223" s="29">
        <f>_xll.qlDayCounterYearFraction(DayCounter,SettlementDate,S223,,,Trigger)</f>
        <v>18.616666666666667</v>
      </c>
      <c r="Y223" s="29">
        <f>_xll.qlDayCounterYearFraction(DayCounter,S223,T223)</f>
        <v>7.7777777777777779E-2</v>
      </c>
      <c r="Z223" s="29">
        <f>IF($M$13,_xll.qlYieldTSDiscount(Currency&amp;"ON",S223)/(1+V223*Y223),1)</f>
        <v>1</v>
      </c>
      <c r="AA223" s="30">
        <f>_xll.qlTenorBasisValue(TenorBasis1M,S223,InterestRatesTrigger)</f>
        <v>1.6022203746115206E-4</v>
      </c>
      <c r="AB223" s="74">
        <f t="shared" si="19"/>
        <v>1.8883599075146525E-2</v>
      </c>
      <c r="AC223" s="76">
        <f t="shared" si="20"/>
        <v>0.9996422109058708</v>
      </c>
    </row>
    <row r="224" spans="16:29" x14ac:dyDescent="0.2">
      <c r="P224" s="33">
        <v>1</v>
      </c>
      <c r="Q224" s="27" t="str">
        <f>_xll.qlPeriodEquivalent(Q223&amp;"+"&amp;P224&amp;"M")</f>
        <v>18Y5M</v>
      </c>
      <c r="R224" s="28">
        <f>_xll.qlCalendarAdvance(Calendar,SettlementDate,Q224,"f",,Trigger)</f>
        <v>49005</v>
      </c>
      <c r="S224" s="28">
        <f>_xll.qlInterestRateIndexValueDate(Index,R224,Trigger)</f>
        <v>49009</v>
      </c>
      <c r="T224" s="28">
        <f>_xll.qlInterestRateIndexMaturity(Index,S224,Trigger)</f>
        <v>49040</v>
      </c>
      <c r="U224" s="30">
        <f>_xll.qlIndexFixing($M$5,R224,TRUE,InterestRatesTrigger)</f>
        <v>1.8673994309885127E-2</v>
      </c>
      <c r="V224" s="74">
        <f>_xll.qlIndexFixing(Index,R224,TRUE,InterestRatesTrigger)</f>
        <v>1.8839156314793826E-2</v>
      </c>
      <c r="W224" s="30">
        <f t="shared" si="18"/>
        <v>1.651620049086984E-4</v>
      </c>
      <c r="X224" s="29">
        <f>_xll.qlDayCounterYearFraction(DayCounter,SettlementDate,S224,,,Trigger)</f>
        <v>18.694444444444443</v>
      </c>
      <c r="Y224" s="29">
        <f>_xll.qlDayCounterYearFraction(DayCounter,S224,T224)</f>
        <v>8.611111111111111E-2</v>
      </c>
      <c r="Z224" s="29">
        <f>IF($M$13,_xll.qlYieldTSDiscount(Currency&amp;"ON",S224)/(1+V224*Y224),1)</f>
        <v>1</v>
      </c>
      <c r="AA224" s="30">
        <f>_xll.qlTenorBasisValue(TenorBasis1M,S224,InterestRatesTrigger)</f>
        <v>1.5869089221433921E-4</v>
      </c>
      <c r="AB224" s="74">
        <f t="shared" si="19"/>
        <v>1.8832685202099467E-2</v>
      </c>
      <c r="AC224" s="76">
        <f t="shared" si="20"/>
        <v>0.99965650729861633</v>
      </c>
    </row>
    <row r="225" spans="16:29" x14ac:dyDescent="0.2">
      <c r="P225" s="33">
        <v>1</v>
      </c>
      <c r="Q225" s="27" t="str">
        <f>_xll.qlPeriodEquivalent(Q224&amp;"+"&amp;P225&amp;"M")</f>
        <v>18Y6M</v>
      </c>
      <c r="R225" s="28">
        <f>_xll.qlCalendarAdvance(Calendar,SettlementDate,Q225,"f",,Trigger)</f>
        <v>49037</v>
      </c>
      <c r="S225" s="28">
        <f>_xll.qlInterestRateIndexValueDate(Index,R225,Trigger)</f>
        <v>49039</v>
      </c>
      <c r="T225" s="28">
        <f>_xll.qlInterestRateIndexMaturity(Index,S225,Trigger)</f>
        <v>49069</v>
      </c>
      <c r="U225" s="30">
        <f>_xll.qlIndexFixing($M$5,R225,TRUE,InterestRatesTrigger)</f>
        <v>1.8621992565258871E-2</v>
      </c>
      <c r="V225" s="74">
        <f>_xll.qlIndexFixing(Index,R225,TRUE,InterestRatesTrigger)</f>
        <v>1.8785433386788952E-2</v>
      </c>
      <c r="W225" s="30">
        <f t="shared" si="18"/>
        <v>1.6344082153008088E-4</v>
      </c>
      <c r="X225" s="29">
        <f>_xll.qlDayCounterYearFraction(DayCounter,SettlementDate,S225,,,Trigger)</f>
        <v>18.777777777777779</v>
      </c>
      <c r="Y225" s="29">
        <f>_xll.qlDayCounterYearFraction(DayCounter,S225,T225)</f>
        <v>8.3333333333333329E-2</v>
      </c>
      <c r="Z225" s="29">
        <f>IF($M$13,_xll.qlYieldTSDiscount(Currency&amp;"ON",S225)/(1+V225*Y225),1)</f>
        <v>1</v>
      </c>
      <c r="AA225" s="30">
        <f>_xll.qlTenorBasisValue(TenorBasis1M,S225,InterestRatesTrigger)</f>
        <v>1.5706404271813832E-4</v>
      </c>
      <c r="AB225" s="74">
        <f t="shared" si="19"/>
        <v>1.8779056607977011E-2</v>
      </c>
      <c r="AC225" s="76">
        <f t="shared" si="20"/>
        <v>0.99966054662244708</v>
      </c>
    </row>
    <row r="226" spans="16:29" x14ac:dyDescent="0.2">
      <c r="P226" s="33">
        <v>1</v>
      </c>
      <c r="Q226" s="27" t="str">
        <f>_xll.qlPeriodEquivalent(Q225&amp;"+"&amp;P226&amp;"M")</f>
        <v>18Y7M</v>
      </c>
      <c r="R226" s="28">
        <f>_xll.qlCalendarAdvance(Calendar,SettlementDate,Q226,"f",,Trigger)</f>
        <v>49066</v>
      </c>
      <c r="S226" s="28">
        <f>_xll.qlInterestRateIndexValueDate(Index,R226,Trigger)</f>
        <v>49068</v>
      </c>
      <c r="T226" s="28">
        <f>_xll.qlInterestRateIndexMaturity(Index,S226,Trigger)</f>
        <v>49100</v>
      </c>
      <c r="U226" s="30">
        <f>_xll.qlIndexFixing($M$5,R226,TRUE,InterestRatesTrigger)</f>
        <v>1.8569850059425297E-2</v>
      </c>
      <c r="V226" s="74">
        <f>_xll.qlIndexFixing(Index,R226,TRUE,InterestRatesTrigger)</f>
        <v>1.8731718613413384E-2</v>
      </c>
      <c r="W226" s="30">
        <f t="shared" si="18"/>
        <v>1.6186855398808708E-4</v>
      </c>
      <c r="X226" s="29">
        <f>_xll.qlDayCounterYearFraction(DayCounter,SettlementDate,S226,,,Trigger)</f>
        <v>18.858333333333334</v>
      </c>
      <c r="Y226" s="29">
        <f>_xll.qlDayCounterYearFraction(DayCounter,S226,T226)</f>
        <v>8.8888888888888892E-2</v>
      </c>
      <c r="Z226" s="29">
        <f>IF($M$13,_xll.qlYieldTSDiscount(Currency&amp;"ON",S226)/(1+V226*Y226),1)</f>
        <v>1</v>
      </c>
      <c r="AA226" s="30">
        <f>_xll.qlTenorBasisValue(TenorBasis1M,S226,InterestRatesTrigger)</f>
        <v>1.5550479406253748E-4</v>
      </c>
      <c r="AB226" s="74">
        <f t="shared" si="19"/>
        <v>1.8725354853487836E-2</v>
      </c>
      <c r="AC226" s="76">
        <f t="shared" si="20"/>
        <v>0.99966026822968657</v>
      </c>
    </row>
    <row r="227" spans="16:29" x14ac:dyDescent="0.2">
      <c r="P227" s="33">
        <v>1</v>
      </c>
      <c r="Q227" s="27" t="str">
        <f>_xll.qlPeriodEquivalent(Q226&amp;"+"&amp;P227&amp;"M")</f>
        <v>18Y8M</v>
      </c>
      <c r="R227" s="28">
        <f>_xll.qlCalendarAdvance(Calendar,SettlementDate,Q227,"f",,Trigger)</f>
        <v>49097</v>
      </c>
      <c r="S227" s="28">
        <f>_xll.qlInterestRateIndexValueDate(Index,R227,Trigger)</f>
        <v>49101</v>
      </c>
      <c r="T227" s="28">
        <f>_xll.qlInterestRateIndexMaturity(Index,S227,Trigger)</f>
        <v>49131</v>
      </c>
      <c r="U227" s="30">
        <f>_xll.qlIndexFixing($M$5,R227,TRUE,InterestRatesTrigger)</f>
        <v>1.8511480109205891E-2</v>
      </c>
      <c r="V227" s="74">
        <f>_xll.qlIndexFixing(Index,R227,TRUE,InterestRatesTrigger)</f>
        <v>1.8671819198174511E-2</v>
      </c>
      <c r="W227" s="30">
        <f t="shared" si="18"/>
        <v>1.6033908896861959E-4</v>
      </c>
      <c r="X227" s="29">
        <f>_xll.qlDayCounterYearFraction(DayCounter,SettlementDate,S227,,,Trigger)</f>
        <v>18.95</v>
      </c>
      <c r="Y227" s="29">
        <f>_xll.qlDayCounterYearFraction(DayCounter,S227,T227)</f>
        <v>8.3333333333333329E-2</v>
      </c>
      <c r="Z227" s="29">
        <f>IF($M$13,_xll.qlYieldTSDiscount(Currency&amp;"ON",S227)/(1+V227*Y227),1)</f>
        <v>1</v>
      </c>
      <c r="AA227" s="30">
        <f>_xll.qlTenorBasisValue(TenorBasis1M,S227,InterestRatesTrigger)</f>
        <v>1.53746386608463E-4</v>
      </c>
      <c r="AB227" s="74">
        <f t="shared" si="19"/>
        <v>1.8665226495814355E-2</v>
      </c>
      <c r="AC227" s="76">
        <f t="shared" si="20"/>
        <v>0.99964691697738806</v>
      </c>
    </row>
    <row r="228" spans="16:29" x14ac:dyDescent="0.2">
      <c r="P228" s="33">
        <v>1</v>
      </c>
      <c r="Q228" s="27" t="str">
        <f>_xll.qlPeriodEquivalent(Q227&amp;"+"&amp;P228&amp;"M")</f>
        <v>18Y9M</v>
      </c>
      <c r="R228" s="28">
        <f>_xll.qlCalendarAdvance(Calendar,SettlementDate,Q228,"f",,Trigger)</f>
        <v>49128</v>
      </c>
      <c r="S228" s="28">
        <f>_xll.qlInterestRateIndexValueDate(Index,R228,Trigger)</f>
        <v>49130</v>
      </c>
      <c r="T228" s="28">
        <f>_xll.qlInterestRateIndexMaturity(Index,S228,Trigger)</f>
        <v>49163</v>
      </c>
      <c r="U228" s="30">
        <f>_xll.qlIndexFixing($M$5,R228,TRUE,InterestRatesTrigger)</f>
        <v>1.845741664459459E-2</v>
      </c>
      <c r="V228" s="74">
        <f>_xll.qlIndexFixing(Index,R228,TRUE,InterestRatesTrigger)</f>
        <v>1.8616533812436262E-2</v>
      </c>
      <c r="W228" s="30">
        <f t="shared" si="18"/>
        <v>1.591171678416714E-4</v>
      </c>
      <c r="X228" s="29">
        <f>_xll.qlDayCounterYearFraction(DayCounter,SettlementDate,S228,,,Trigger)</f>
        <v>19.030555555555555</v>
      </c>
      <c r="Y228" s="29">
        <f>_xll.qlDayCounterYearFraction(DayCounter,S228,T228)</f>
        <v>9.166666666666666E-2</v>
      </c>
      <c r="Z228" s="29">
        <f>IF($M$13,_xll.qlYieldTSDiscount(Currency&amp;"ON",S228)/(1+V228*Y228),1)</f>
        <v>1</v>
      </c>
      <c r="AA228" s="30">
        <f>_xll.qlTenorBasisValue(TenorBasis1M,S228,InterestRatesTrigger)</f>
        <v>1.5221502983199013E-4</v>
      </c>
      <c r="AB228" s="74">
        <f t="shared" si="19"/>
        <v>1.8609631674426582E-2</v>
      </c>
      <c r="AC228" s="76">
        <f t="shared" si="20"/>
        <v>0.99962924687918708</v>
      </c>
    </row>
    <row r="229" spans="16:29" x14ac:dyDescent="0.2">
      <c r="P229" s="33">
        <v>1</v>
      </c>
      <c r="Q229" s="27" t="str">
        <f>_xll.qlPeriodEquivalent(Q228&amp;"+"&amp;P229&amp;"M")</f>
        <v>18Y10M</v>
      </c>
      <c r="R229" s="28">
        <f>_xll.qlCalendarAdvance(Calendar,SettlementDate,Q229,"f",,Trigger)</f>
        <v>49158</v>
      </c>
      <c r="S229" s="28">
        <f>_xll.qlInterestRateIndexValueDate(Index,R229,Trigger)</f>
        <v>49160</v>
      </c>
      <c r="T229" s="28">
        <f>_xll.qlInterestRateIndexMaturity(Index,S229,Trigger)</f>
        <v>49191</v>
      </c>
      <c r="U229" s="30">
        <f>_xll.qlIndexFixing($M$5,R229,TRUE,InterestRatesTrigger)</f>
        <v>1.8403045397469037E-2</v>
      </c>
      <c r="V229" s="74">
        <f>_xll.qlIndexFixing(Index,R229,TRUE,InterestRatesTrigger)</f>
        <v>1.8561146629657684E-2</v>
      </c>
      <c r="W229" s="30">
        <f t="shared" si="18"/>
        <v>1.5810123218864755E-4</v>
      </c>
      <c r="X229" s="29">
        <f>_xll.qlDayCounterYearFraction(DayCounter,SettlementDate,S229,,,Trigger)</f>
        <v>19.113888888888887</v>
      </c>
      <c r="Y229" s="29">
        <f>_xll.qlDayCounterYearFraction(DayCounter,S229,T229)</f>
        <v>8.611111111111111E-2</v>
      </c>
      <c r="Z229" s="29">
        <f>IF($M$13,_xll.qlYieldTSDiscount(Currency&amp;"ON",S229)/(1+V229*Y229),1)</f>
        <v>1</v>
      </c>
      <c r="AA229" s="30">
        <f>_xll.qlTenorBasisValue(TenorBasis1M,S229,InterestRatesTrigger)</f>
        <v>1.5064448976282303E-4</v>
      </c>
      <c r="AB229" s="74">
        <f t="shared" si="19"/>
        <v>1.8553689887231859E-2</v>
      </c>
      <c r="AC229" s="76">
        <f t="shared" si="20"/>
        <v>0.99959826067997815</v>
      </c>
    </row>
    <row r="230" spans="16:29" x14ac:dyDescent="0.2">
      <c r="P230" s="33">
        <v>1</v>
      </c>
      <c r="Q230" s="27" t="str">
        <f>_xll.qlPeriodEquivalent(Q229&amp;"+"&amp;P230&amp;"M")</f>
        <v>18Y11M</v>
      </c>
      <c r="R230" s="28">
        <f>_xll.qlCalendarAdvance(Calendar,SettlementDate,Q230,"f",,Trigger)</f>
        <v>49191</v>
      </c>
      <c r="S230" s="28">
        <f>_xll.qlInterestRateIndexValueDate(Index,R230,Trigger)</f>
        <v>49193</v>
      </c>
      <c r="T230" s="28">
        <f>_xll.qlInterestRateIndexMaturity(Index,S230,Trigger)</f>
        <v>49223</v>
      </c>
      <c r="U230" s="30">
        <f>_xll.qlIndexFixing($M$5,R230,TRUE,InterestRatesTrigger)</f>
        <v>1.8341915251256502E-2</v>
      </c>
      <c r="V230" s="74">
        <f>_xll.qlIndexFixing(Index,R230,TRUE,InterestRatesTrigger)</f>
        <v>1.8499123564892805E-2</v>
      </c>
      <c r="W230" s="30">
        <f t="shared" si="18"/>
        <v>1.5720831363630339E-4</v>
      </c>
      <c r="X230" s="29">
        <f>_xll.qlDayCounterYearFraction(DayCounter,SettlementDate,S230,,,Trigger)</f>
        <v>19.205555555555556</v>
      </c>
      <c r="Y230" s="29">
        <f>_xll.qlDayCounterYearFraction(DayCounter,S230,T230)</f>
        <v>8.3333333333333329E-2</v>
      </c>
      <c r="Z230" s="29">
        <f>IF($M$13,_xll.qlYieldTSDiscount(Currency&amp;"ON",S230)/(1+V230*Y230),1)</f>
        <v>1</v>
      </c>
      <c r="AA230" s="30">
        <f>_xll.qlTenorBasisValue(TenorBasis1M,S230,InterestRatesTrigger)</f>
        <v>1.4893281075180369E-4</v>
      </c>
      <c r="AB230" s="74">
        <f t="shared" si="19"/>
        <v>1.8490848062008305E-2</v>
      </c>
      <c r="AC230" s="76">
        <f t="shared" si="20"/>
        <v>0.99955265432681339</v>
      </c>
    </row>
    <row r="231" spans="16:29" x14ac:dyDescent="0.2">
      <c r="P231" s="33">
        <v>1</v>
      </c>
      <c r="Q231" s="27" t="str">
        <f>_xll.qlPeriodEquivalent(Q230&amp;"+"&amp;P231&amp;"M")</f>
        <v>19Y</v>
      </c>
      <c r="R231" s="28">
        <f>_xll.qlCalendarAdvance(Calendar,SettlementDate,Q231,"f",,Trigger)</f>
        <v>49219</v>
      </c>
      <c r="S231" s="28">
        <f>_xll.qlInterestRateIndexValueDate(Index,R231,Trigger)</f>
        <v>49221</v>
      </c>
      <c r="T231" s="28">
        <f>_xll.qlInterestRateIndexMaturity(Index,S231,Trigger)</f>
        <v>49254</v>
      </c>
      <c r="U231" s="30">
        <f>_xll.qlIndexFixing($M$5,R231,TRUE,InterestRatesTrigger)</f>
        <v>1.8287519076449564E-2</v>
      </c>
      <c r="V231" s="74">
        <f>_xll.qlIndexFixing(Index,R231,TRUE,InterestRatesTrigger)</f>
        <v>1.8444180363740192E-2</v>
      </c>
      <c r="W231" s="30">
        <f t="shared" si="18"/>
        <v>1.566612872906277E-4</v>
      </c>
      <c r="X231" s="29">
        <f>_xll.qlDayCounterYearFraction(DayCounter,SettlementDate,S231,,,Trigger)</f>
        <v>19.283333333333335</v>
      </c>
      <c r="Y231" s="29">
        <f>_xll.qlDayCounterYearFraction(DayCounter,S231,T231)</f>
        <v>9.166666666666666E-2</v>
      </c>
      <c r="Z231" s="29">
        <f>IF($M$13,_xll.qlYieldTSDiscount(Currency&amp;"ON",S231)/(1+V231*Y231),1)</f>
        <v>1</v>
      </c>
      <c r="AA231" s="30">
        <f>_xll.qlTenorBasisValue(TenorBasis1M,S231,InterestRatesTrigger)</f>
        <v>1.4749348211656532E-4</v>
      </c>
      <c r="AB231" s="74">
        <f t="shared" si="19"/>
        <v>1.8435012558566128E-2</v>
      </c>
      <c r="AC231" s="76">
        <f t="shared" si="20"/>
        <v>0.9995029432052136</v>
      </c>
    </row>
    <row r="232" spans="16:29" x14ac:dyDescent="0.2">
      <c r="P232" s="33">
        <v>1</v>
      </c>
      <c r="Q232" s="27" t="str">
        <f>_xll.qlPeriodEquivalent(Q231&amp;"+"&amp;P232&amp;"M")</f>
        <v>19Y1M</v>
      </c>
      <c r="R232" s="28">
        <f>_xll.qlCalendarAdvance(Calendar,SettlementDate,Q232,"f",,Trigger)</f>
        <v>49250</v>
      </c>
      <c r="S232" s="28">
        <f>_xll.qlInterestRateIndexValueDate(Index,R232,Trigger)</f>
        <v>49254</v>
      </c>
      <c r="T232" s="28">
        <f>_xll.qlInterestRateIndexMaturity(Index,S232,Trigger)</f>
        <v>49284</v>
      </c>
      <c r="U232" s="30">
        <f>_xll.qlIndexFixing($M$5,R232,TRUE,InterestRatesTrigger)</f>
        <v>1.8225811641793932E-2</v>
      </c>
      <c r="V232" s="74">
        <f>_xll.qlIndexFixing(Index,R232,TRUE,InterestRatesTrigger)</f>
        <v>1.8382092016043572E-2</v>
      </c>
      <c r="W232" s="30">
        <f t="shared" si="18"/>
        <v>1.5628037424963992E-4</v>
      </c>
      <c r="X232" s="29">
        <f>_xll.qlDayCounterYearFraction(DayCounter,SettlementDate,S232,,,Trigger)</f>
        <v>19.375</v>
      </c>
      <c r="Y232" s="29">
        <f>_xll.qlDayCounterYearFraction(DayCounter,S232,T232)</f>
        <v>8.3333333333333329E-2</v>
      </c>
      <c r="Z232" s="29">
        <f>IF($M$13,_xll.qlYieldTSDiscount(Currency&amp;"ON",S232)/(1+V232*Y232),1)</f>
        <v>1</v>
      </c>
      <c r="AA232" s="30">
        <f>_xll.qlTenorBasisValue(TenorBasis1M,S232,InterestRatesTrigger)</f>
        <v>1.4581237189285732E-4</v>
      </c>
      <c r="AB232" s="74">
        <f t="shared" si="19"/>
        <v>1.8371624013686791E-2</v>
      </c>
      <c r="AC232" s="76">
        <f t="shared" si="20"/>
        <v>0.99943053258858428</v>
      </c>
    </row>
    <row r="233" spans="16:29" x14ac:dyDescent="0.2">
      <c r="P233" s="33">
        <v>1</v>
      </c>
      <c r="Q233" s="27" t="str">
        <f>_xll.qlPeriodEquivalent(Q232&amp;"+"&amp;P233&amp;"M")</f>
        <v>19Y2M</v>
      </c>
      <c r="R233" s="28">
        <f>_xll.qlCalendarAdvance(Calendar,SettlementDate,Q233,"f",,Trigger)</f>
        <v>49282</v>
      </c>
      <c r="S233" s="28">
        <f>_xll.qlInterestRateIndexValueDate(Index,R233,Trigger)</f>
        <v>49284</v>
      </c>
      <c r="T233" s="28">
        <f>_xll.qlInterestRateIndexMaturity(Index,S233,Trigger)</f>
        <v>49317</v>
      </c>
      <c r="U233" s="30">
        <f>_xll.qlIndexFixing($M$5,R233,TRUE,InterestRatesTrigger)</f>
        <v>1.8166077275899282E-2</v>
      </c>
      <c r="V233" s="74">
        <f>_xll.qlIndexFixing(Index,R233,TRUE,InterestRatesTrigger)</f>
        <v>1.8322310727408562E-2</v>
      </c>
      <c r="W233" s="30">
        <f t="shared" si="18"/>
        <v>1.5623345150928003E-4</v>
      </c>
      <c r="X233" s="29">
        <f>_xll.qlDayCounterYearFraction(DayCounter,SettlementDate,S233,,,Trigger)</f>
        <v>19.458333333333332</v>
      </c>
      <c r="Y233" s="29">
        <f>_xll.qlDayCounterYearFraction(DayCounter,S233,T233)</f>
        <v>9.166666666666666E-2</v>
      </c>
      <c r="Z233" s="29">
        <f>IF($M$13,_xll.qlYieldTSDiscount(Currency&amp;"ON",S233)/(1+V233*Y233),1)</f>
        <v>1</v>
      </c>
      <c r="AA233" s="30">
        <f>_xll.qlTenorBasisValue(TenorBasis1M,S233,InterestRatesTrigger)</f>
        <v>1.4429832100754531E-4</v>
      </c>
      <c r="AB233" s="74">
        <f t="shared" si="19"/>
        <v>1.8310375596906826E-2</v>
      </c>
      <c r="AC233" s="76">
        <f t="shared" si="20"/>
        <v>0.9993486012392595</v>
      </c>
    </row>
    <row r="234" spans="16:29" x14ac:dyDescent="0.2">
      <c r="P234" s="33">
        <v>1</v>
      </c>
      <c r="Q234" s="27" t="str">
        <f>_xll.qlPeriodEquivalent(Q233&amp;"+"&amp;P234&amp;"M")</f>
        <v>19Y3M</v>
      </c>
      <c r="R234" s="28">
        <f>_xll.qlCalendarAdvance(Calendar,SettlementDate,Q234,"f",,Trigger)</f>
        <v>49311</v>
      </c>
      <c r="S234" s="28">
        <f>_xll.qlInterestRateIndexValueDate(Index,R234,Trigger)</f>
        <v>49313</v>
      </c>
      <c r="T234" s="28">
        <f>_xll.qlInterestRateIndexMaturity(Index,S234,Trigger)</f>
        <v>49345</v>
      </c>
      <c r="U234" s="30">
        <f>_xll.qlIndexFixing($M$5,R234,TRUE,InterestRatesTrigger)</f>
        <v>1.8109659354747232E-2</v>
      </c>
      <c r="V234" s="74">
        <f>_xll.qlIndexFixing(Index,R234,TRUE,InterestRatesTrigger)</f>
        <v>1.8266074816150335E-2</v>
      </c>
      <c r="W234" s="30">
        <f t="shared" si="18"/>
        <v>1.5641546140310325E-4</v>
      </c>
      <c r="X234" s="29">
        <f>_xll.qlDayCounterYearFraction(DayCounter,SettlementDate,S234,,,Trigger)</f>
        <v>19.538888888888888</v>
      </c>
      <c r="Y234" s="29">
        <f>_xll.qlDayCounterYearFraction(DayCounter,S234,T234)</f>
        <v>8.8888888888888892E-2</v>
      </c>
      <c r="Z234" s="29">
        <f>IF($M$13,_xll.qlYieldTSDiscount(Currency&amp;"ON",S234)/(1+V234*Y234),1)</f>
        <v>1</v>
      </c>
      <c r="AA234" s="30">
        <f>_xll.qlTenorBasisValue(TenorBasis1M,S234,InterestRatesTrigger)</f>
        <v>1.4284754889973847E-4</v>
      </c>
      <c r="AB234" s="74">
        <f t="shared" si="19"/>
        <v>1.8252506903646971E-2</v>
      </c>
      <c r="AC234" s="76">
        <f t="shared" si="20"/>
        <v>0.99925720700041332</v>
      </c>
    </row>
    <row r="235" spans="16:29" x14ac:dyDescent="0.2">
      <c r="P235" s="33">
        <v>1</v>
      </c>
      <c r="Q235" s="27" t="str">
        <f>_xll.qlPeriodEquivalent(Q234&amp;"+"&amp;P235&amp;"M")</f>
        <v>19Y4M</v>
      </c>
      <c r="R235" s="28">
        <f>_xll.qlCalendarAdvance(Calendar,SettlementDate,Q235,"f",,Trigger)</f>
        <v>49342</v>
      </c>
      <c r="S235" s="28">
        <f>_xll.qlInterestRateIndexValueDate(Index,R235,Trigger)</f>
        <v>49346</v>
      </c>
      <c r="T235" s="28">
        <f>_xll.qlInterestRateIndexMaturity(Index,S235,Trigger)</f>
        <v>49374</v>
      </c>
      <c r="U235" s="30">
        <f>_xll.qlIndexFixing($M$5,R235,TRUE,InterestRatesTrigger)</f>
        <v>1.8046261521434483E-2</v>
      </c>
      <c r="V235" s="74">
        <f>_xll.qlIndexFixing(Index,R235,TRUE,InterestRatesTrigger)</f>
        <v>1.8203141446630725E-2</v>
      </c>
      <c r="W235" s="30">
        <f t="shared" si="18"/>
        <v>1.5687992519624119E-4</v>
      </c>
      <c r="X235" s="29">
        <f>_xll.qlDayCounterYearFraction(DayCounter,SettlementDate,S235,,,Trigger)</f>
        <v>19.630555555555556</v>
      </c>
      <c r="Y235" s="29">
        <f>_xll.qlDayCounterYearFraction(DayCounter,S235,T235)</f>
        <v>7.7777777777777779E-2</v>
      </c>
      <c r="Z235" s="29">
        <f>IF($M$13,_xll.qlYieldTSDiscount(Currency&amp;"ON",S235)/(1+V235*Y235),1)</f>
        <v>1</v>
      </c>
      <c r="AA235" s="30">
        <f>_xll.qlTenorBasisValue(TenorBasis1M,S235,InterestRatesTrigger)</f>
        <v>1.4121190094696219E-4</v>
      </c>
      <c r="AB235" s="74">
        <f t="shared" si="19"/>
        <v>1.8187473422381445E-2</v>
      </c>
      <c r="AC235" s="76">
        <f t="shared" si="20"/>
        <v>0.99913926811505493</v>
      </c>
    </row>
    <row r="236" spans="16:29" x14ac:dyDescent="0.2">
      <c r="P236" s="33">
        <v>1</v>
      </c>
      <c r="Q236" s="27" t="str">
        <f>_xll.qlPeriodEquivalent(Q235&amp;"+"&amp;P236&amp;"M")</f>
        <v>19Y5M</v>
      </c>
      <c r="R236" s="28">
        <f>_xll.qlCalendarAdvance(Calendar,SettlementDate,Q236,"f",,Trigger)</f>
        <v>49370</v>
      </c>
      <c r="S236" s="28">
        <f>_xll.qlInterestRateIndexValueDate(Index,R236,Trigger)</f>
        <v>49374</v>
      </c>
      <c r="T236" s="28">
        <f>_xll.qlInterestRateIndexMaturity(Index,S236,Trigger)</f>
        <v>49405</v>
      </c>
      <c r="U236" s="30">
        <f>_xll.qlIndexFixing($M$5,R236,TRUE,InterestRatesTrigger)</f>
        <v>1.7988295679951957E-2</v>
      </c>
      <c r="V236" s="74">
        <f>_xll.qlIndexFixing(Index,R236,TRUE,InterestRatesTrigger)</f>
        <v>1.8145973445903046E-2</v>
      </c>
      <c r="W236" s="30">
        <f t="shared" si="18"/>
        <v>1.5767776595108918E-4</v>
      </c>
      <c r="X236" s="29">
        <f>_xll.qlDayCounterYearFraction(DayCounter,SettlementDate,S236,,,Trigger)</f>
        <v>19.708333333333332</v>
      </c>
      <c r="Y236" s="29">
        <f>_xll.qlDayCounterYearFraction(DayCounter,S236,T236)</f>
        <v>8.611111111111111E-2</v>
      </c>
      <c r="Z236" s="29">
        <f>IF($M$13,_xll.qlYieldTSDiscount(Currency&amp;"ON",S236)/(1+V236*Y236),1)</f>
        <v>1</v>
      </c>
      <c r="AA236" s="30">
        <f>_xll.qlTenorBasisValue(TenorBasis1M,S236,InterestRatesTrigger)</f>
        <v>1.3983672060726321E-4</v>
      </c>
      <c r="AB236" s="74">
        <f t="shared" si="19"/>
        <v>1.8128132400559219E-2</v>
      </c>
      <c r="AC236" s="76">
        <f t="shared" si="20"/>
        <v>0.99901680417437977</v>
      </c>
    </row>
    <row r="237" spans="16:29" x14ac:dyDescent="0.2">
      <c r="P237" s="33">
        <v>1</v>
      </c>
      <c r="Q237" s="27" t="str">
        <f>_xll.qlPeriodEquivalent(Q236&amp;"+"&amp;P237&amp;"M")</f>
        <v>19Y6M</v>
      </c>
      <c r="R237" s="28">
        <f>_xll.qlCalendarAdvance(Calendar,SettlementDate,Q237,"f",,Trigger)</f>
        <v>49401</v>
      </c>
      <c r="S237" s="28">
        <f>_xll.qlInterestRateIndexValueDate(Index,R237,Trigger)</f>
        <v>49403</v>
      </c>
      <c r="T237" s="28">
        <f>_xll.qlInterestRateIndexMaturity(Index,S237,Trigger)</f>
        <v>49433</v>
      </c>
      <c r="U237" s="30">
        <f>_xll.qlIndexFixing($M$5,R237,TRUE,InterestRatesTrigger)</f>
        <v>1.7929894900174048E-2</v>
      </c>
      <c r="V237" s="74">
        <f>_xll.qlIndexFixing(Index,R237,TRUE,InterestRatesTrigger)</f>
        <v>1.8088597088354419E-2</v>
      </c>
      <c r="W237" s="30">
        <f t="shared" si="18"/>
        <v>1.5870218818037074E-4</v>
      </c>
      <c r="X237" s="29">
        <f>_xll.qlDayCounterYearFraction(DayCounter,SettlementDate,S237,,,Trigger)</f>
        <v>19.788888888888888</v>
      </c>
      <c r="Y237" s="29">
        <f>_xll.qlDayCounterYearFraction(DayCounter,S237,T237)</f>
        <v>8.3333333333333329E-2</v>
      </c>
      <c r="Z237" s="29">
        <f>IF($M$13,_xll.qlYieldTSDiscount(Currency&amp;"ON",S237)/(1+V237*Y237),1)</f>
        <v>1</v>
      </c>
      <c r="AA237" s="30">
        <f>_xll.qlTenorBasisValue(TenorBasis1M,S237,InterestRatesTrigger)</f>
        <v>1.3842459119708388E-4</v>
      </c>
      <c r="AB237" s="74">
        <f t="shared" si="19"/>
        <v>1.8068319491371131E-2</v>
      </c>
      <c r="AC237" s="76">
        <f t="shared" si="20"/>
        <v>0.99887898454013646</v>
      </c>
    </row>
    <row r="238" spans="16:29" x14ac:dyDescent="0.2">
      <c r="P238" s="33">
        <v>1</v>
      </c>
      <c r="Q238" s="27" t="str">
        <f>_xll.qlPeriodEquivalent(Q237&amp;"+"&amp;P238&amp;"M")</f>
        <v>19Y7M</v>
      </c>
      <c r="R238" s="28">
        <f>_xll.qlCalendarAdvance(Calendar,SettlementDate,Q238,"f",,Trigger)</f>
        <v>49431</v>
      </c>
      <c r="S238" s="28">
        <f>_xll.qlInterestRateIndexValueDate(Index,R238,Trigger)</f>
        <v>49433</v>
      </c>
      <c r="T238" s="28">
        <f>_xll.qlInterestRateIndexMaturity(Index,S238,Trigger)</f>
        <v>49464</v>
      </c>
      <c r="U238" s="30">
        <f>_xll.qlIndexFixing($M$5,R238,TRUE,InterestRatesTrigger)</f>
        <v>1.786760709102542E-2</v>
      </c>
      <c r="V238" s="74">
        <f>_xll.qlIndexFixing(Index,R238,TRUE,InterestRatesTrigger)</f>
        <v>1.8027751313654115E-2</v>
      </c>
      <c r="W238" s="30">
        <f t="shared" si="18"/>
        <v>1.6014422262869421E-4</v>
      </c>
      <c r="X238" s="29">
        <f>_xll.qlDayCounterYearFraction(DayCounter,SettlementDate,S238,,,Trigger)</f>
        <v>19.872222222222224</v>
      </c>
      <c r="Y238" s="29">
        <f>_xll.qlDayCounterYearFraction(DayCounter,S238,T238)</f>
        <v>8.611111111111111E-2</v>
      </c>
      <c r="Z238" s="29">
        <f>IF($M$13,_xll.qlYieldTSDiscount(Currency&amp;"ON",S238)/(1+V238*Y238),1)</f>
        <v>1</v>
      </c>
      <c r="AA238" s="30">
        <f>_xll.qlTenorBasisValue(TenorBasis1M,S238,InterestRatesTrigger)</f>
        <v>1.3697671965567153E-4</v>
      </c>
      <c r="AB238" s="74">
        <f t="shared" si="19"/>
        <v>1.8004583810681093E-2</v>
      </c>
      <c r="AC238" s="76">
        <f t="shared" si="20"/>
        <v>0.99871489779452005</v>
      </c>
    </row>
    <row r="239" spans="16:29" x14ac:dyDescent="0.2">
      <c r="P239" s="33">
        <v>1</v>
      </c>
      <c r="Q239" s="27" t="str">
        <f>_xll.qlPeriodEquivalent(Q238&amp;"+"&amp;P239&amp;"M")</f>
        <v>19Y8M</v>
      </c>
      <c r="R239" s="28">
        <f>_xll.qlCalendarAdvance(Calendar,SettlementDate,Q239,"f",,Trigger)</f>
        <v>49464</v>
      </c>
      <c r="S239" s="28">
        <f>_xll.qlInterestRateIndexValueDate(Index,R239,Trigger)</f>
        <v>49466</v>
      </c>
      <c r="T239" s="28">
        <f>_xll.qlInterestRateIndexMaturity(Index,S239,Trigger)</f>
        <v>49496</v>
      </c>
      <c r="U239" s="30">
        <f>_xll.qlIndexFixing($M$5,R239,TRUE,InterestRatesTrigger)</f>
        <v>1.7799517495959982E-2</v>
      </c>
      <c r="V239" s="74">
        <f>_xll.qlIndexFixing(Index,R239,TRUE,InterestRatesTrigger)</f>
        <v>1.7961568978571485E-2</v>
      </c>
      <c r="W239" s="30">
        <f t="shared" si="18"/>
        <v>1.6205148261150271E-4</v>
      </c>
      <c r="X239" s="29">
        <f>_xll.qlDayCounterYearFraction(DayCounter,SettlementDate,S239,,,Trigger)</f>
        <v>19.963888888888889</v>
      </c>
      <c r="Y239" s="29">
        <f>_xll.qlDayCounterYearFraction(DayCounter,S239,T239)</f>
        <v>8.3333333333333329E-2</v>
      </c>
      <c r="Z239" s="29">
        <f>IF($M$13,_xll.qlYieldTSDiscount(Currency&amp;"ON",S239)/(1+V239*Y239),1)</f>
        <v>1</v>
      </c>
      <c r="AA239" s="30">
        <f>_xll.qlTenorBasisValue(TenorBasis1M,S239,InterestRatesTrigger)</f>
        <v>1.3539918213092441E-4</v>
      </c>
      <c r="AB239" s="74">
        <f t="shared" si="19"/>
        <v>1.7934916678090905E-2</v>
      </c>
      <c r="AC239" s="76">
        <f t="shared" si="20"/>
        <v>0.99851614853288284</v>
      </c>
    </row>
    <row r="240" spans="16:29" x14ac:dyDescent="0.2">
      <c r="P240" s="33">
        <v>1</v>
      </c>
      <c r="Q240" s="27" t="str">
        <f>_xll.qlPeriodEquivalent(Q239&amp;"+"&amp;P240&amp;"M")</f>
        <v>19Y9M</v>
      </c>
      <c r="R240" s="28">
        <f>_xll.qlCalendarAdvance(Calendar,SettlementDate,Q240,"f",,Trigger)</f>
        <v>49492</v>
      </c>
      <c r="S240" s="28">
        <f>_xll.qlInterestRateIndexValueDate(Index,R240,Trigger)</f>
        <v>49494</v>
      </c>
      <c r="T240" s="28">
        <f>_xll.qlInterestRateIndexMaturity(Index,S240,Trigger)</f>
        <v>49527</v>
      </c>
      <c r="U240" s="30">
        <f>_xll.qlIndexFixing($M$5,R240,TRUE,InterestRatesTrigger)</f>
        <v>1.7738697608110341E-2</v>
      </c>
      <c r="V240" s="74">
        <f>_xll.qlIndexFixing(Index,R240,TRUE,InterestRatesTrigger)</f>
        <v>1.7902878671015286E-2</v>
      </c>
      <c r="W240" s="30">
        <f t="shared" si="18"/>
        <v>1.641810629049445E-4</v>
      </c>
      <c r="X240" s="29">
        <f>_xll.qlDayCounterYearFraction(DayCounter,SettlementDate,S240,,,Trigger)</f>
        <v>20.041666666666668</v>
      </c>
      <c r="Y240" s="29">
        <f>_xll.qlDayCounterYearFraction(DayCounter,S240,T240)</f>
        <v>9.166666666666666E-2</v>
      </c>
      <c r="Z240" s="29">
        <f>IF($M$13,_xll.qlYieldTSDiscount(Currency&amp;"ON",S240)/(1+V240*Y240),1)</f>
        <v>1</v>
      </c>
      <c r="AA240" s="30">
        <f>_xll.qlTenorBasisValue(TenorBasis1M,S240,InterestRatesTrigger)</f>
        <v>1.3407301307425253E-4</v>
      </c>
      <c r="AB240" s="74">
        <f t="shared" si="19"/>
        <v>1.7872770621184593E-2</v>
      </c>
      <c r="AC240" s="76">
        <f t="shared" si="20"/>
        <v>0.99831825650031147</v>
      </c>
    </row>
    <row r="241" spans="16:29" x14ac:dyDescent="0.2">
      <c r="P241" s="33">
        <v>1</v>
      </c>
      <c r="Q241" s="27" t="str">
        <f>_xll.qlPeriodEquivalent(Q240&amp;"+"&amp;P241&amp;"M")</f>
        <v>19Y10M</v>
      </c>
      <c r="R241" s="28">
        <f>_xll.qlCalendarAdvance(Calendar,SettlementDate,Q241,"f",,Trigger)</f>
        <v>49523</v>
      </c>
      <c r="S241" s="28">
        <f>_xll.qlInterestRateIndexValueDate(Index,R241,Trigger)</f>
        <v>49527</v>
      </c>
      <c r="T241" s="28">
        <f>_xll.qlInterestRateIndexMaturity(Index,S241,Trigger)</f>
        <v>49558</v>
      </c>
      <c r="U241" s="30">
        <f>_xll.qlIndexFixing($M$5,R241,TRUE,InterestRatesTrigger)</f>
        <v>1.766966140666042E-2</v>
      </c>
      <c r="V241" s="74">
        <f>_xll.qlIndexFixing(Index,R241,TRUE,InterestRatesTrigger)</f>
        <v>1.7836510920929756E-2</v>
      </c>
      <c r="W241" s="30">
        <f t="shared" si="18"/>
        <v>1.6684951426933561E-4</v>
      </c>
      <c r="X241" s="29">
        <f>_xll.qlDayCounterYearFraction(DayCounter,SettlementDate,S241,,,Trigger)</f>
        <v>20.133333333333333</v>
      </c>
      <c r="Y241" s="29">
        <f>_xll.qlDayCounterYearFraction(DayCounter,S241,T241)</f>
        <v>8.611111111111111E-2</v>
      </c>
      <c r="Z241" s="29">
        <f>IF($M$13,_xll.qlYieldTSDiscount(Currency&amp;"ON",S241)/(1+V241*Y241),1)</f>
        <v>1</v>
      </c>
      <c r="AA241" s="30">
        <f>_xll.qlTenorBasisValue(TenorBasis1M,S241,InterestRatesTrigger)</f>
        <v>1.3252448866252163E-4</v>
      </c>
      <c r="AB241" s="74">
        <f t="shared" si="19"/>
        <v>1.7802185895322942E-2</v>
      </c>
      <c r="AC241" s="76">
        <f t="shared" si="20"/>
        <v>0.99807557510776757</v>
      </c>
    </row>
    <row r="242" spans="16:29" x14ac:dyDescent="0.2">
      <c r="P242" s="33">
        <v>1</v>
      </c>
      <c r="Q242" s="27" t="str">
        <f>_xll.qlPeriodEquivalent(Q241&amp;"+"&amp;P242&amp;"M")</f>
        <v>19Y11M</v>
      </c>
      <c r="R242" s="28">
        <f>_xll.qlCalendarAdvance(Calendar,SettlementDate,Q242,"f",,Trigger)</f>
        <v>49555</v>
      </c>
      <c r="S242" s="28">
        <f>_xll.qlInterestRateIndexValueDate(Index,R242,Trigger)</f>
        <v>49557</v>
      </c>
      <c r="T242" s="28">
        <f>_xll.qlInterestRateIndexMaturity(Index,S242,Trigger)</f>
        <v>49587</v>
      </c>
      <c r="U242" s="30">
        <f>_xll.qlIndexFixing($M$5,R242,TRUE,InterestRatesTrigger)</f>
        <v>1.7605677801864061E-2</v>
      </c>
      <c r="V242" s="74">
        <f>_xll.qlIndexFixing(Index,R242,TRUE,InterestRatesTrigger)</f>
        <v>1.7775384228634117E-2</v>
      </c>
      <c r="W242" s="30">
        <f t="shared" si="18"/>
        <v>1.6970642677005543E-4</v>
      </c>
      <c r="X242" s="29">
        <f>_xll.qlDayCounterYearFraction(DayCounter,SettlementDate,S242,,,Trigger)</f>
        <v>20.216666666666665</v>
      </c>
      <c r="Y242" s="29">
        <f>_xll.qlDayCounterYearFraction(DayCounter,S242,T242)</f>
        <v>8.3333333333333329E-2</v>
      </c>
      <c r="Z242" s="29">
        <f>IF($M$13,_xll.qlYieldTSDiscount(Currency&amp;"ON",S242)/(1+V242*Y242),1)</f>
        <v>1</v>
      </c>
      <c r="AA242" s="30">
        <f>_xll.qlTenorBasisValue(TenorBasis1M,S242,InterestRatesTrigger)</f>
        <v>1.3113023207894103E-4</v>
      </c>
      <c r="AB242" s="74">
        <f t="shared" si="19"/>
        <v>1.7736808033943001E-2</v>
      </c>
      <c r="AC242" s="76">
        <f t="shared" si="20"/>
        <v>0.99782979685868201</v>
      </c>
    </row>
    <row r="243" spans="16:29" x14ac:dyDescent="0.2">
      <c r="P243" s="33">
        <v>1</v>
      </c>
      <c r="Q243" s="27" t="str">
        <f>_xll.qlPeriodEquivalent(Q242&amp;"+"&amp;P243&amp;"M")</f>
        <v>20Y</v>
      </c>
      <c r="R243" s="28">
        <f>_xll.qlCalendarAdvance(Calendar,SettlementDate,Q243,"f",,Trigger)</f>
        <v>49584</v>
      </c>
      <c r="S243" s="28">
        <f>_xll.qlInterestRateIndexValueDate(Index,R243,Trigger)</f>
        <v>49586</v>
      </c>
      <c r="T243" s="28">
        <f>_xll.qlInterestRateIndexMaturity(Index,S243,Trigger)</f>
        <v>49618</v>
      </c>
      <c r="U243" s="30">
        <f>_xll.qlIndexFixing($M$5,R243,TRUE,InterestRatesTrigger)</f>
        <v>1.7541517141551888E-2</v>
      </c>
      <c r="V243" s="74">
        <f>_xll.qlIndexFixing(Index,R243,TRUE,InterestRatesTrigger)</f>
        <v>1.7714326353916732E-2</v>
      </c>
      <c r="W243" s="30">
        <f t="shared" si="18"/>
        <v>1.7280921236484392E-4</v>
      </c>
      <c r="X243" s="29">
        <f>_xll.qlDayCounterYearFraction(DayCounter,SettlementDate,S243,,,Trigger)</f>
        <v>20.297222222222221</v>
      </c>
      <c r="Y243" s="29">
        <f>_xll.qlDayCounterYearFraction(DayCounter,S243,T243)</f>
        <v>8.8888888888888892E-2</v>
      </c>
      <c r="Z243" s="29">
        <f>IF($M$13,_xll.qlYieldTSDiscount(Currency&amp;"ON",S243)/(1+V243*Y243),1)</f>
        <v>1</v>
      </c>
      <c r="AA243" s="30">
        <f>_xll.qlTenorBasisValue(TenorBasis1M,S243,InterestRatesTrigger)</f>
        <v>1.2979458837086179E-4</v>
      </c>
      <c r="AB243" s="74">
        <f t="shared" si="19"/>
        <v>1.7671311729922749E-2</v>
      </c>
      <c r="AC243" s="76">
        <f t="shared" si="20"/>
        <v>0.99757176066791431</v>
      </c>
    </row>
    <row r="244" spans="16:29" x14ac:dyDescent="0.2">
      <c r="P244" s="33">
        <v>1</v>
      </c>
      <c r="Q244" s="27" t="str">
        <f>_xll.qlPeriodEquivalent(Q243&amp;"+"&amp;P244&amp;"M")</f>
        <v>20Y1M</v>
      </c>
      <c r="R244" s="28">
        <f>_xll.qlCalendarAdvance(Calendar,SettlementDate,Q244,"f",,Trigger)</f>
        <v>49615</v>
      </c>
      <c r="S244" s="28">
        <f>_xll.qlInterestRateIndexValueDate(Index,R244,Trigger)</f>
        <v>49619</v>
      </c>
      <c r="T244" s="28">
        <f>_xll.qlInterestRateIndexMaturity(Index,S244,Trigger)</f>
        <v>49649</v>
      </c>
      <c r="U244" s="30">
        <f>_xll.qlIndexFixing($M$5,R244,TRUE,InterestRatesTrigger)</f>
        <v>1.7471899980075811E-2</v>
      </c>
      <c r="V244" s="74">
        <f>_xll.qlIndexFixing(Index,R244,TRUE,InterestRatesTrigger)</f>
        <v>1.7647470774546647E-2</v>
      </c>
      <c r="W244" s="30">
        <f t="shared" si="18"/>
        <v>1.7557079447083623E-4</v>
      </c>
      <c r="X244" s="29">
        <f>_xll.qlDayCounterYearFraction(DayCounter,SettlementDate,S244,,,Trigger)</f>
        <v>20.388888888888889</v>
      </c>
      <c r="Y244" s="29">
        <f>_xll.qlDayCounterYearFraction(DayCounter,S244,T244)</f>
        <v>8.3333333333333329E-2</v>
      </c>
      <c r="Z244" s="29">
        <f>IF($M$13,_xll.qlYieldTSDiscount(Currency&amp;"ON",S244)/(1+V244*Y244),1)</f>
        <v>1</v>
      </c>
      <c r="AA244" s="30">
        <f>_xll.qlTenorBasisValue(TenorBasis1M,S244,InterestRatesTrigger)</f>
        <v>1.2828913916005448E-4</v>
      </c>
      <c r="AB244" s="74">
        <f t="shared" si="19"/>
        <v>1.7600189119235866E-2</v>
      </c>
      <c r="AC244" s="76">
        <f t="shared" si="20"/>
        <v>0.99732076874273812</v>
      </c>
    </row>
    <row r="245" spans="16:29" x14ac:dyDescent="0.2">
      <c r="P245" s="33">
        <v>1</v>
      </c>
      <c r="Q245" s="27" t="str">
        <f>_xll.qlPeriodEquivalent(Q244&amp;"+"&amp;P245&amp;"M")</f>
        <v>20Y2M</v>
      </c>
      <c r="R245" s="28">
        <f>_xll.qlCalendarAdvance(Calendar,SettlementDate,Q245,"f",,Trigger)</f>
        <v>49646</v>
      </c>
      <c r="S245" s="28">
        <f>_xll.qlInterestRateIndexValueDate(Index,R245,Trigger)</f>
        <v>49648</v>
      </c>
      <c r="T245" s="28">
        <f>_xll.qlInterestRateIndexMaturity(Index,S245,Trigger)</f>
        <v>49681</v>
      </c>
      <c r="U245" s="30">
        <f>_xll.qlIndexFixing($M$5,R245,TRUE,InterestRatesTrigger)</f>
        <v>1.7408379900337421E-2</v>
      </c>
      <c r="V245" s="74">
        <f>_xll.qlIndexFixing(Index,R245,TRUE,InterestRatesTrigger)</f>
        <v>1.7586013904459141E-2</v>
      </c>
      <c r="W245" s="30">
        <f t="shared" si="18"/>
        <v>1.7763400412171976E-4</v>
      </c>
      <c r="X245" s="29">
        <f>_xll.qlDayCounterYearFraction(DayCounter,SettlementDate,S245,,,Trigger)</f>
        <v>20.469444444444445</v>
      </c>
      <c r="Y245" s="29">
        <f>_xll.qlDayCounterYearFraction(DayCounter,S245,T245)</f>
        <v>9.166666666666666E-2</v>
      </c>
      <c r="Z245" s="29">
        <f>IF($M$13,_xll.qlYieldTSDiscount(Currency&amp;"ON",S245)/(1+V245*Y245),1)</f>
        <v>1</v>
      </c>
      <c r="AA245" s="30">
        <f>_xll.qlTenorBasisValue(TenorBasis1M,S245,InterestRatesTrigger)</f>
        <v>1.2697876075109559E-4</v>
      </c>
      <c r="AB245" s="74">
        <f t="shared" si="19"/>
        <v>1.7535358661088515E-2</v>
      </c>
      <c r="AC245" s="76">
        <f t="shared" si="20"/>
        <v>0.99711957219834901</v>
      </c>
    </row>
    <row r="246" spans="16:29" x14ac:dyDescent="0.2">
      <c r="P246" s="33">
        <v>1</v>
      </c>
      <c r="Q246" s="27" t="str">
        <f>_xll.qlPeriodEquivalent(Q245&amp;"+"&amp;P246&amp;"M")</f>
        <v>20Y3M</v>
      </c>
      <c r="R246" s="28">
        <f>_xll.qlCalendarAdvance(Calendar,SettlementDate,Q246,"f",,Trigger)</f>
        <v>49676</v>
      </c>
      <c r="S246" s="28">
        <f>_xll.qlInterestRateIndexValueDate(Index,R246,Trigger)</f>
        <v>49678</v>
      </c>
      <c r="T246" s="28">
        <f>_xll.qlInterestRateIndexMaturity(Index,S246,Trigger)</f>
        <v>49709</v>
      </c>
      <c r="U246" s="30">
        <f>_xll.qlIndexFixing($M$5,R246,TRUE,InterestRatesTrigger)</f>
        <v>1.7346606162556226E-2</v>
      </c>
      <c r="V246" s="74">
        <f>_xll.qlIndexFixing(Index,R246,TRUE,InterestRatesTrigger)</f>
        <v>1.7525642726873399E-2</v>
      </c>
      <c r="W246" s="30">
        <f t="shared" si="18"/>
        <v>1.7903656431717332E-4</v>
      </c>
      <c r="X246" s="29">
        <f>_xll.qlDayCounterYearFraction(DayCounter,SettlementDate,S246,,,Trigger)</f>
        <v>20.552777777777777</v>
      </c>
      <c r="Y246" s="29">
        <f>_xll.qlDayCounterYearFraction(DayCounter,S246,T246)</f>
        <v>8.611111111111111E-2</v>
      </c>
      <c r="Z246" s="29">
        <f>IF($M$13,_xll.qlYieldTSDiscount(Currency&amp;"ON",S246)/(1+V246*Y246),1)</f>
        <v>1</v>
      </c>
      <c r="AA246" s="30">
        <f>_xll.qlTenorBasisValue(TenorBasis1M,S246,InterestRatesTrigger)</f>
        <v>1.2563551189600407E-4</v>
      </c>
      <c r="AB246" s="74">
        <f t="shared" si="19"/>
        <v>1.747224167445223E-2</v>
      </c>
      <c r="AC246" s="76">
        <f t="shared" si="20"/>
        <v>0.99695297609032707</v>
      </c>
    </row>
    <row r="247" spans="16:29" x14ac:dyDescent="0.2">
      <c r="P247" s="33">
        <v>1</v>
      </c>
      <c r="Q247" s="27" t="str">
        <f>_xll.qlPeriodEquivalent(Q246&amp;"+"&amp;P247&amp;"M")</f>
        <v>20Y4M</v>
      </c>
      <c r="R247" s="28">
        <f>_xll.qlCalendarAdvance(Calendar,SettlementDate,Q247,"f",,Trigger)</f>
        <v>49709</v>
      </c>
      <c r="S247" s="28">
        <f>_xll.qlInterestRateIndexValueDate(Index,R247,Trigger)</f>
        <v>49711</v>
      </c>
      <c r="T247" s="28">
        <f>_xll.qlInterestRateIndexMaturity(Index,S247,Trigger)</f>
        <v>49740</v>
      </c>
      <c r="U247" s="30">
        <f>_xll.qlIndexFixing($M$5,R247,TRUE,InterestRatesTrigger)</f>
        <v>1.7279307591823053E-2</v>
      </c>
      <c r="V247" s="74">
        <f>_xll.qlIndexFixing(Index,R247,TRUE,InterestRatesTrigger)</f>
        <v>1.7459321719661615E-2</v>
      </c>
      <c r="W247" s="30">
        <f t="shared" si="18"/>
        <v>1.8001412783856183E-4</v>
      </c>
      <c r="X247" s="29">
        <f>_xll.qlDayCounterYearFraction(DayCounter,SettlementDate,S247,,,Trigger)</f>
        <v>20.644444444444446</v>
      </c>
      <c r="Y247" s="29">
        <f>_xll.qlDayCounterYearFraction(DayCounter,S247,T247)</f>
        <v>8.0555555555555561E-2</v>
      </c>
      <c r="Z247" s="29">
        <f>IF($M$13,_xll.qlYieldTSDiscount(Currency&amp;"ON",S247)/(1+V247*Y247),1)</f>
        <v>1</v>
      </c>
      <c r="AA247" s="30">
        <f>_xll.qlTenorBasisValue(TenorBasis1M,S247,InterestRatesTrigger)</f>
        <v>1.2417230760545543E-4</v>
      </c>
      <c r="AB247" s="74">
        <f t="shared" si="19"/>
        <v>1.7403479899428507E-2</v>
      </c>
      <c r="AC247" s="76">
        <f t="shared" si="20"/>
        <v>0.99680160425875985</v>
      </c>
    </row>
    <row r="248" spans="16:29" x14ac:dyDescent="0.2">
      <c r="P248" s="33">
        <v>1</v>
      </c>
      <c r="Q248" s="27" t="str">
        <f>_xll.qlPeriodEquivalent(Q247&amp;"+"&amp;P248&amp;"M")</f>
        <v>20Y5M</v>
      </c>
      <c r="R248" s="28">
        <f>_xll.qlCalendarAdvance(Calendar,SettlementDate,Q248,"f",,Trigger)</f>
        <v>49737</v>
      </c>
      <c r="S248" s="28">
        <f>_xll.qlInterestRateIndexValueDate(Index,R248,Trigger)</f>
        <v>49739</v>
      </c>
      <c r="T248" s="28">
        <f>_xll.qlInterestRateIndexMaturity(Index,S248,Trigger)</f>
        <v>49772</v>
      </c>
      <c r="U248" s="30">
        <f>_xll.qlIndexFixing($M$5,R248,TRUE,InterestRatesTrigger)</f>
        <v>1.7219385760724005E-2</v>
      </c>
      <c r="V248" s="74">
        <f>_xll.qlIndexFixing(Index,R248,TRUE,InterestRatesTrigger)</f>
        <v>1.7399836932525468E-2</v>
      </c>
      <c r="W248" s="30">
        <f t="shared" si="18"/>
        <v>1.8045117180146356E-4</v>
      </c>
      <c r="X248" s="29">
        <f>_xll.qlDayCounterYearFraction(DayCounter,SettlementDate,S248,,,Trigger)</f>
        <v>20.722222222222221</v>
      </c>
      <c r="Y248" s="29">
        <f>_xll.qlDayCounterYearFraction(DayCounter,S248,T248)</f>
        <v>9.166666666666666E-2</v>
      </c>
      <c r="Z248" s="29">
        <f>IF($M$13,_xll.qlYieldTSDiscount(Currency&amp;"ON",S248)/(1+V248*Y248),1)</f>
        <v>1</v>
      </c>
      <c r="AA248" s="30">
        <f>_xll.qlTenorBasisValue(TenorBasis1M,S248,InterestRatesTrigger)</f>
        <v>1.2294252831475852E-4</v>
      </c>
      <c r="AB248" s="74">
        <f t="shared" si="19"/>
        <v>1.7342328289038762E-2</v>
      </c>
      <c r="AC248" s="76">
        <f t="shared" si="20"/>
        <v>0.99669487457211714</v>
      </c>
    </row>
    <row r="249" spans="16:29" x14ac:dyDescent="0.2">
      <c r="P249" s="33">
        <v>1</v>
      </c>
      <c r="Q249" s="27" t="str">
        <f>_xll.qlPeriodEquivalent(Q248&amp;"+"&amp;P249&amp;"M")</f>
        <v>20Y6M</v>
      </c>
      <c r="R249" s="28">
        <f>_xll.qlCalendarAdvance(Calendar,SettlementDate,Q249,"f",,Trigger)</f>
        <v>49767</v>
      </c>
      <c r="S249" s="28">
        <f>_xll.qlInterestRateIndexValueDate(Index,R249,Trigger)</f>
        <v>49769</v>
      </c>
      <c r="T249" s="28">
        <f>_xll.qlInterestRateIndexMaturity(Index,S249,Trigger)</f>
        <v>49800</v>
      </c>
      <c r="U249" s="30">
        <f>_xll.qlIndexFixing($M$5,R249,TRUE,InterestRatesTrigger)</f>
        <v>1.7159699997190817E-2</v>
      </c>
      <c r="V249" s="74">
        <f>_xll.qlIndexFixing(Index,R249,TRUE,InterestRatesTrigger)</f>
        <v>1.7340071067030852E-2</v>
      </c>
      <c r="W249" s="30">
        <f t="shared" si="18"/>
        <v>1.8037106984003515E-4</v>
      </c>
      <c r="X249" s="29">
        <f>_xll.qlDayCounterYearFraction(DayCounter,SettlementDate,S249,,,Trigger)</f>
        <v>20.805555555555557</v>
      </c>
      <c r="Y249" s="29">
        <f>_xll.qlDayCounterYearFraction(DayCounter,S249,T249)</f>
        <v>8.611111111111111E-2</v>
      </c>
      <c r="Z249" s="29">
        <f>IF($M$13,_xll.qlYieldTSDiscount(Currency&amp;"ON",S249)/(1+V249*Y249),1)</f>
        <v>1</v>
      </c>
      <c r="AA249" s="30">
        <f>_xll.qlTenorBasisValue(TenorBasis1M,S249,InterestRatesTrigger)</f>
        <v>1.2163677523779084E-4</v>
      </c>
      <c r="AB249" s="74">
        <f t="shared" si="19"/>
        <v>1.7281336772428608E-2</v>
      </c>
      <c r="AC249" s="76">
        <f t="shared" si="20"/>
        <v>0.99661279966067062</v>
      </c>
    </row>
    <row r="250" spans="16:29" x14ac:dyDescent="0.2">
      <c r="P250" s="33">
        <v>1</v>
      </c>
      <c r="Q250" s="27" t="str">
        <f>_xll.qlPeriodEquivalent(Q249&amp;"+"&amp;P250&amp;"M")</f>
        <v>20Y7M</v>
      </c>
      <c r="R250" s="28">
        <f>_xll.qlCalendarAdvance(Calendar,SettlementDate,Q250,"f",,Trigger)</f>
        <v>49797</v>
      </c>
      <c r="S250" s="28">
        <f>_xll.qlInterestRateIndexValueDate(Index,R250,Trigger)</f>
        <v>49801</v>
      </c>
      <c r="T250" s="28">
        <f>_xll.qlInterestRateIndexMaturity(Index,S250,Trigger)</f>
        <v>49832</v>
      </c>
      <c r="U250" s="30">
        <f>_xll.qlIndexFixing($M$5,R250,TRUE,InterestRatesTrigger)</f>
        <v>1.7095518253596186E-2</v>
      </c>
      <c r="V250" s="74">
        <f>_xll.qlIndexFixing(Index,R250,TRUE,InterestRatesTrigger)</f>
        <v>1.7275315129760389E-2</v>
      </c>
      <c r="W250" s="30">
        <f t="shared" si="18"/>
        <v>1.7979687616420312E-4</v>
      </c>
      <c r="X250" s="29">
        <f>_xll.qlDayCounterYearFraction(DayCounter,SettlementDate,S250,,,Trigger)</f>
        <v>20.894444444444446</v>
      </c>
      <c r="Y250" s="29">
        <f>_xll.qlDayCounterYearFraction(DayCounter,S250,T250)</f>
        <v>8.611111111111111E-2</v>
      </c>
      <c r="Z250" s="29">
        <f>IF($M$13,_xll.qlYieldTSDiscount(Currency&amp;"ON",S250)/(1+V250*Y250),1)</f>
        <v>1</v>
      </c>
      <c r="AA250" s="30">
        <f>_xll.qlTenorBasisValue(TenorBasis1M,S250,InterestRatesTrigger)</f>
        <v>1.2025741385200396E-4</v>
      </c>
      <c r="AB250" s="74">
        <f t="shared" si="19"/>
        <v>1.721577566744819E-2</v>
      </c>
      <c r="AC250" s="76">
        <f t="shared" si="20"/>
        <v>0.99655349486449418</v>
      </c>
    </row>
    <row r="251" spans="16:29" x14ac:dyDescent="0.2">
      <c r="P251" s="33">
        <v>1</v>
      </c>
      <c r="Q251" s="27" t="str">
        <f>_xll.qlPeriodEquivalent(Q250&amp;"+"&amp;P251&amp;"M")</f>
        <v>20Y8M</v>
      </c>
      <c r="R251" s="28">
        <f>_xll.qlCalendarAdvance(Calendar,SettlementDate,Q251,"f",,Trigger)</f>
        <v>49828</v>
      </c>
      <c r="S251" s="28">
        <f>_xll.qlInterestRateIndexValueDate(Index,R251,Trigger)</f>
        <v>49830</v>
      </c>
      <c r="T251" s="28">
        <f>_xll.qlInterestRateIndexMaturity(Index,S251,Trigger)</f>
        <v>49860</v>
      </c>
      <c r="U251" s="30">
        <f>_xll.qlIndexFixing($M$5,R251,TRUE,InterestRatesTrigger)</f>
        <v>1.7038627511439586E-2</v>
      </c>
      <c r="V251" s="74">
        <f>_xll.qlIndexFixing(Index,R251,TRUE,InterestRatesTrigger)</f>
        <v>1.7217482495260228E-2</v>
      </c>
      <c r="W251" s="30">
        <f t="shared" si="18"/>
        <v>1.7885498382064213E-4</v>
      </c>
      <c r="X251" s="29">
        <f>_xll.qlDayCounterYearFraction(DayCounter,SettlementDate,S251,,,Trigger)</f>
        <v>20.975000000000001</v>
      </c>
      <c r="Y251" s="29">
        <f>_xll.qlDayCounterYearFraction(DayCounter,S251,T251)</f>
        <v>8.3333333333333329E-2</v>
      </c>
      <c r="Z251" s="29">
        <f>IF($M$13,_xll.qlYieldTSDiscount(Currency&amp;"ON",S251)/(1+V251*Y251),1)</f>
        <v>1</v>
      </c>
      <c r="AA251" s="30">
        <f>_xll.qlTenorBasisValue(TenorBasis1M,S251,InterestRatesTrigger)</f>
        <v>1.1901927162240798E-4</v>
      </c>
      <c r="AB251" s="74">
        <f t="shared" si="19"/>
        <v>1.7157646783061992E-2</v>
      </c>
      <c r="AC251" s="76">
        <f t="shared" si="20"/>
        <v>0.99652471189009728</v>
      </c>
    </row>
    <row r="252" spans="16:29" x14ac:dyDescent="0.2">
      <c r="P252" s="33">
        <v>1</v>
      </c>
      <c r="Q252" s="27" t="str">
        <f>_xll.qlPeriodEquivalent(Q251&amp;"+"&amp;P252&amp;"M")</f>
        <v>20Y9M</v>
      </c>
      <c r="R252" s="28">
        <f>_xll.qlCalendarAdvance(Calendar,SettlementDate,Q252,"f",,Trigger)</f>
        <v>49858</v>
      </c>
      <c r="S252" s="28">
        <f>_xll.qlInterestRateIndexValueDate(Index,R252,Trigger)</f>
        <v>49860</v>
      </c>
      <c r="T252" s="28">
        <f>_xll.qlInterestRateIndexMaturity(Index,S252,Trigger)</f>
        <v>49891</v>
      </c>
      <c r="U252" s="30">
        <f>_xll.qlIndexFixing($M$5,R252,TRUE,InterestRatesTrigger)</f>
        <v>1.6979288549518093E-2</v>
      </c>
      <c r="V252" s="74">
        <f>_xll.qlIndexFixing(Index,R252,TRUE,InterestRatesTrigger)</f>
        <v>1.7156730299175575E-2</v>
      </c>
      <c r="W252" s="30">
        <f t="shared" si="18"/>
        <v>1.7744174965748233E-4</v>
      </c>
      <c r="X252" s="29">
        <f>_xll.qlDayCounterYearFraction(DayCounter,SettlementDate,S252,,,Trigger)</f>
        <v>21.058333333333334</v>
      </c>
      <c r="Y252" s="29">
        <f>_xll.qlDayCounterYearFraction(DayCounter,S252,T252)</f>
        <v>8.611111111111111E-2</v>
      </c>
      <c r="Z252" s="29">
        <f>IF($M$13,_xll.qlYieldTSDiscount(Currency&amp;"ON",S252)/(1+V252*Y252),1)</f>
        <v>1</v>
      </c>
      <c r="AA252" s="30">
        <f>_xll.qlTenorBasisValue(TenorBasis1M,S252,InterestRatesTrigger)</f>
        <v>1.1775026417171945E-4</v>
      </c>
      <c r="AB252" s="74">
        <f t="shared" si="19"/>
        <v>1.7097038813689812E-2</v>
      </c>
      <c r="AC252" s="76">
        <f t="shared" si="20"/>
        <v>0.99652081227338341</v>
      </c>
    </row>
    <row r="253" spans="16:29" x14ac:dyDescent="0.2">
      <c r="P253" s="33">
        <v>1</v>
      </c>
      <c r="Q253" s="27" t="str">
        <f>_xll.qlPeriodEquivalent(Q252&amp;"+"&amp;P253&amp;"M")</f>
        <v>20Y10M</v>
      </c>
      <c r="R253" s="28">
        <f>_xll.qlCalendarAdvance(Calendar,SettlementDate,Q253,"f",,Trigger)</f>
        <v>49891</v>
      </c>
      <c r="S253" s="28">
        <f>_xll.qlInterestRateIndexValueDate(Index,R253,Trigger)</f>
        <v>49893</v>
      </c>
      <c r="T253" s="28">
        <f>_xll.qlInterestRateIndexMaturity(Index,S253,Trigger)</f>
        <v>49926</v>
      </c>
      <c r="U253" s="30">
        <f>_xll.qlIndexFixing($M$5,R253,TRUE,InterestRatesTrigger)</f>
        <v>1.691434708662469E-2</v>
      </c>
      <c r="V253" s="74">
        <f>_xll.qlIndexFixing(Index,R253,TRUE,InterestRatesTrigger)</f>
        <v>1.7089733773255521E-2</v>
      </c>
      <c r="W253" s="30">
        <f t="shared" si="18"/>
        <v>1.7538668663083165E-4</v>
      </c>
      <c r="X253" s="29">
        <f>_xll.qlDayCounterYearFraction(DayCounter,SettlementDate,S253,,,Trigger)</f>
        <v>21.15</v>
      </c>
      <c r="Y253" s="29">
        <f>_xll.qlDayCounterYearFraction(DayCounter,S253,T253)</f>
        <v>9.166666666666666E-2</v>
      </c>
      <c r="Z253" s="29">
        <f>IF($M$13,_xll.qlYieldTSDiscount(Currency&amp;"ON",S253)/(1+V253*Y253),1)</f>
        <v>1</v>
      </c>
      <c r="AA253" s="30">
        <f>_xll.qlTenorBasisValue(TenorBasis1M,S253,InterestRatesTrigger)</f>
        <v>1.163681535891721E-4</v>
      </c>
      <c r="AB253" s="74">
        <f t="shared" si="19"/>
        <v>1.7030715240213861E-2</v>
      </c>
      <c r="AC253" s="76">
        <f t="shared" si="20"/>
        <v>0.9965465504714871</v>
      </c>
    </row>
    <row r="254" spans="16:29" x14ac:dyDescent="0.2">
      <c r="P254" s="33">
        <v>1</v>
      </c>
      <c r="Q254" s="27" t="str">
        <f>_xll.qlPeriodEquivalent(Q253&amp;"+"&amp;P254&amp;"M")</f>
        <v>20Y11M</v>
      </c>
      <c r="R254" s="28">
        <f>_xll.qlCalendarAdvance(Calendar,SettlementDate,Q254,"f",,Trigger)</f>
        <v>49920</v>
      </c>
      <c r="S254" s="28">
        <f>_xll.qlInterestRateIndexValueDate(Index,R254,Trigger)</f>
        <v>49922</v>
      </c>
      <c r="T254" s="28">
        <f>_xll.qlInterestRateIndexMaturity(Index,S254,Trigger)</f>
        <v>49954</v>
      </c>
      <c r="U254" s="30">
        <f>_xll.qlIndexFixing($M$5,R254,TRUE,InterestRatesTrigger)</f>
        <v>1.6859538217114112E-2</v>
      </c>
      <c r="V254" s="74">
        <f>_xll.qlIndexFixing(Index,R254,TRUE,InterestRatesTrigger)</f>
        <v>1.7032809960145223E-2</v>
      </c>
      <c r="W254" s="30">
        <f t="shared" si="18"/>
        <v>1.7327174303111148E-4</v>
      </c>
      <c r="X254" s="29">
        <f>_xll.qlDayCounterYearFraction(DayCounter,SettlementDate,S254,,,Trigger)</f>
        <v>21.230555555555554</v>
      </c>
      <c r="Y254" s="29">
        <f>_xll.qlDayCounterYearFraction(DayCounter,S254,T254)</f>
        <v>8.8888888888888892E-2</v>
      </c>
      <c r="Z254" s="29">
        <f>IF($M$13,_xll.qlYieldTSDiscount(Currency&amp;"ON",S254)/(1+V254*Y254),1)</f>
        <v>1</v>
      </c>
      <c r="AA254" s="30">
        <f>_xll.qlTenorBasisValue(TenorBasis1M,S254,InterestRatesTrigger)</f>
        <v>1.1516542039878479E-4</v>
      </c>
      <c r="AB254" s="74">
        <f t="shared" si="19"/>
        <v>1.6974703637512897E-2</v>
      </c>
      <c r="AC254" s="76">
        <f t="shared" si="20"/>
        <v>0.99658856508301985</v>
      </c>
    </row>
    <row r="255" spans="16:29" x14ac:dyDescent="0.2">
      <c r="P255" s="33">
        <v>1</v>
      </c>
      <c r="Q255" s="27" t="str">
        <f>_xll.qlPeriodEquivalent(Q254&amp;"+"&amp;P255&amp;"M")</f>
        <v>21Y</v>
      </c>
      <c r="R255" s="28">
        <f>_xll.qlCalendarAdvance(Calendar,SettlementDate,Q255,"f",,Trigger)</f>
        <v>49950</v>
      </c>
      <c r="S255" s="28">
        <f>_xll.qlInterestRateIndexValueDate(Index,R255,Trigger)</f>
        <v>49954</v>
      </c>
      <c r="T255" s="28">
        <f>_xll.qlInterestRateIndexMaturity(Index,S255,Trigger)</f>
        <v>49985</v>
      </c>
      <c r="U255" s="30">
        <f>_xll.qlIndexFixing($M$5,R255,TRUE,InterestRatesTrigger)</f>
        <v>1.679974856541248E-2</v>
      </c>
      <c r="V255" s="74">
        <f>_xll.qlIndexFixing(Index,R255,TRUE,InterestRatesTrigger)</f>
        <v>1.6970310798229898E-2</v>
      </c>
      <c r="W255" s="30">
        <f t="shared" si="18"/>
        <v>1.7056223281741723E-4</v>
      </c>
      <c r="X255" s="29">
        <f>_xll.qlDayCounterYearFraction(DayCounter,SettlementDate,S255,,,Trigger)</f>
        <v>21.319444444444443</v>
      </c>
      <c r="Y255" s="29">
        <f>_xll.qlDayCounterYearFraction(DayCounter,S255,T255)</f>
        <v>8.611111111111111E-2</v>
      </c>
      <c r="Z255" s="29">
        <f>IF($M$13,_xll.qlYieldTSDiscount(Currency&amp;"ON",S255)/(1+V255*Y255),1)</f>
        <v>1</v>
      </c>
      <c r="AA255" s="30">
        <f>_xll.qlTenorBasisValue(TenorBasis1M,S255,InterestRatesTrigger)</f>
        <v>1.1385103708218992E-4</v>
      </c>
      <c r="AB255" s="74">
        <f t="shared" si="19"/>
        <v>1.691359960249467E-2</v>
      </c>
      <c r="AC255" s="76">
        <f t="shared" si="20"/>
        <v>0.9966582111306328</v>
      </c>
    </row>
    <row r="256" spans="16:29" x14ac:dyDescent="0.2">
      <c r="P256" s="33">
        <v>1</v>
      </c>
      <c r="Q256" s="27" t="str">
        <f>_xll.qlPeriodEquivalent(Q255&amp;"+"&amp;P256&amp;"M")</f>
        <v>21Y1M</v>
      </c>
      <c r="R256" s="28">
        <f>_xll.qlCalendarAdvance(Calendar,SettlementDate,Q256,"f",,Trigger)</f>
        <v>49982</v>
      </c>
      <c r="S256" s="28">
        <f>_xll.qlInterestRateIndexValueDate(Index,R256,Trigger)</f>
        <v>49984</v>
      </c>
      <c r="T256" s="28">
        <f>_xll.qlInterestRateIndexMaturity(Index,S256,Trigger)</f>
        <v>50014</v>
      </c>
      <c r="U256" s="30">
        <f>_xll.qlIndexFixing($M$5,R256,TRUE,InterestRatesTrigger)</f>
        <v>1.6744440908539993E-2</v>
      </c>
      <c r="V256" s="74">
        <f>_xll.qlIndexFixing(Index,R256,TRUE,InterestRatesTrigger)</f>
        <v>1.6912131339750225E-2</v>
      </c>
      <c r="W256" s="30">
        <f t="shared" si="18"/>
        <v>1.676904312102323E-4</v>
      </c>
      <c r="X256" s="29">
        <f>_xll.qlDayCounterYearFraction(DayCounter,SettlementDate,S256,,,Trigger)</f>
        <v>21.402777777777779</v>
      </c>
      <c r="Y256" s="29">
        <f>_xll.qlDayCounterYearFraction(DayCounter,S256,T256)</f>
        <v>8.3333333333333329E-2</v>
      </c>
      <c r="Z256" s="29">
        <f>IF($M$13,_xll.qlYieldTSDiscount(Currency&amp;"ON",S256)/(1+V256*Y256),1)</f>
        <v>1</v>
      </c>
      <c r="AA256" s="30">
        <f>_xll.qlTenorBasisValue(TenorBasis1M,S256,InterestRatesTrigger)</f>
        <v>1.1263088537415689E-4</v>
      </c>
      <c r="AB256" s="74">
        <f t="shared" si="19"/>
        <v>1.6857071793914151E-2</v>
      </c>
      <c r="AC256" s="76">
        <f t="shared" si="20"/>
        <v>0.9967443756951756</v>
      </c>
    </row>
    <row r="257" spans="16:29" x14ac:dyDescent="0.2">
      <c r="P257" s="33">
        <v>1</v>
      </c>
      <c r="Q257" s="27" t="str">
        <f>_xll.qlPeriodEquivalent(Q256&amp;"+"&amp;P257&amp;"M")</f>
        <v>21Y2M</v>
      </c>
      <c r="R257" s="28">
        <f>_xll.qlCalendarAdvance(Calendar,SettlementDate,Q257,"f",,Trigger)</f>
        <v>50011</v>
      </c>
      <c r="S257" s="28">
        <f>_xll.qlInterestRateIndexValueDate(Index,R257,Trigger)</f>
        <v>50013</v>
      </c>
      <c r="T257" s="28">
        <f>_xll.qlInterestRateIndexMaturity(Index,S257,Trigger)</f>
        <v>50045</v>
      </c>
      <c r="U257" s="30">
        <f>_xll.qlIndexFixing($M$5,R257,TRUE,InterestRatesTrigger)</f>
        <v>1.6690073575372222E-2</v>
      </c>
      <c r="V257" s="74">
        <f>_xll.qlIndexFixing(Index,R257,TRUE,InterestRatesTrigger)</f>
        <v>1.6854554103175046E-2</v>
      </c>
      <c r="W257" s="30">
        <f t="shared" si="18"/>
        <v>1.6448052780282385E-4</v>
      </c>
      <c r="X257" s="29">
        <f>_xll.qlDayCounterYearFraction(DayCounter,SettlementDate,S257,,,Trigger)</f>
        <v>21.483333333333334</v>
      </c>
      <c r="Y257" s="29">
        <f>_xll.qlDayCounterYearFraction(DayCounter,S257,T257)</f>
        <v>8.8888888888888892E-2</v>
      </c>
      <c r="Z257" s="29">
        <f>IF($M$13,_xll.qlYieldTSDiscount(Currency&amp;"ON",S257)/(1+V257*Y257),1)</f>
        <v>1</v>
      </c>
      <c r="AA257" s="30">
        <f>_xll.qlTenorBasisValue(TenorBasis1M,S257,InterestRatesTrigger)</f>
        <v>1.1146244095982349E-4</v>
      </c>
      <c r="AB257" s="74">
        <f t="shared" si="19"/>
        <v>1.6801536016332046E-2</v>
      </c>
      <c r="AC257" s="76">
        <f t="shared" si="20"/>
        <v>0.99685437618115258</v>
      </c>
    </row>
    <row r="258" spans="16:29" x14ac:dyDescent="0.2">
      <c r="P258" s="33">
        <v>1</v>
      </c>
      <c r="Q258" s="27" t="str">
        <f>_xll.qlPeriodEquivalent(Q257&amp;"+"&amp;P258&amp;"M")</f>
        <v>21Y3M</v>
      </c>
      <c r="R258" s="28">
        <f>_xll.qlCalendarAdvance(Calendar,SettlementDate,Q258,"f",,Trigger)</f>
        <v>50042</v>
      </c>
      <c r="S258" s="28">
        <f>_xll.qlInterestRateIndexValueDate(Index,R258,Trigger)</f>
        <v>50046</v>
      </c>
      <c r="T258" s="28">
        <f>_xll.qlInterestRateIndexMaturity(Index,S258,Trigger)</f>
        <v>50077</v>
      </c>
      <c r="U258" s="30">
        <f>_xll.qlIndexFixing($M$5,R258,TRUE,InterestRatesTrigger)</f>
        <v>1.663073835815088E-2</v>
      </c>
      <c r="V258" s="74">
        <f>_xll.qlIndexFixing(Index,R258,TRUE,InterestRatesTrigger)</f>
        <v>1.6791391000573582E-2</v>
      </c>
      <c r="W258" s="30">
        <f t="shared" si="18"/>
        <v>1.6065264242270255E-4</v>
      </c>
      <c r="X258" s="29">
        <f>_xll.qlDayCounterYearFraction(DayCounter,SettlementDate,S258,,,Trigger)</f>
        <v>21.574999999999999</v>
      </c>
      <c r="Y258" s="29">
        <f>_xll.qlDayCounterYearFraction(DayCounter,S258,T258)</f>
        <v>8.611111111111111E-2</v>
      </c>
      <c r="Z258" s="29">
        <f>IF($M$13,_xll.qlYieldTSDiscount(Currency&amp;"ON",S258)/(1+V258*Y258),1)</f>
        <v>1</v>
      </c>
      <c r="AA258" s="30">
        <f>_xll.qlTenorBasisValue(TenorBasis1M,S258,InterestRatesTrigger)</f>
        <v>1.1014593228987363E-4</v>
      </c>
      <c r="AB258" s="74">
        <f t="shared" si="19"/>
        <v>1.6740884290440752E-2</v>
      </c>
      <c r="AC258" s="76">
        <f t="shared" si="20"/>
        <v>0.99699210684027872</v>
      </c>
    </row>
    <row r="259" spans="16:29" x14ac:dyDescent="0.2">
      <c r="P259" s="33">
        <v>1</v>
      </c>
      <c r="Q259" s="27" t="str">
        <f>_xll.qlPeriodEquivalent(Q258&amp;"+"&amp;P259&amp;"M")</f>
        <v>21Y4M</v>
      </c>
      <c r="R259" s="28">
        <f>_xll.qlCalendarAdvance(Calendar,SettlementDate,Q259,"f",,Trigger)</f>
        <v>50073</v>
      </c>
      <c r="S259" s="28">
        <f>_xll.qlInterestRateIndexValueDate(Index,R259,Trigger)</f>
        <v>50075</v>
      </c>
      <c r="T259" s="28">
        <f>_xll.qlInterestRateIndexMaturity(Index,S259,Trigger)</f>
        <v>50103</v>
      </c>
      <c r="U259" s="30">
        <f>_xll.qlIndexFixing($M$5,R259,TRUE,InterestRatesTrigger)</f>
        <v>1.6580356735822158E-2</v>
      </c>
      <c r="V259" s="74">
        <f>_xll.qlIndexFixing(Index,R259,TRUE,InterestRatesTrigger)</f>
        <v>1.6737508611255017E-2</v>
      </c>
      <c r="W259" s="30">
        <f t="shared" si="18"/>
        <v>1.5715187543285936E-4</v>
      </c>
      <c r="X259" s="29">
        <f>_xll.qlDayCounterYearFraction(DayCounter,SettlementDate,S259,,,Trigger)</f>
        <v>21.655555555555555</v>
      </c>
      <c r="Y259" s="29">
        <f>_xll.qlDayCounterYearFraction(DayCounter,S259,T259)</f>
        <v>7.7777777777777779E-2</v>
      </c>
      <c r="Z259" s="29">
        <f>IF($M$13,_xll.qlYieldTSDiscount(Currency&amp;"ON",S259)/(1+V259*Y259),1)</f>
        <v>1</v>
      </c>
      <c r="AA259" s="30">
        <f>_xll.qlTenorBasisValue(TenorBasis1M,S259,InterestRatesTrigger)</f>
        <v>1.0900042972968485E-4</v>
      </c>
      <c r="AB259" s="74">
        <f t="shared" si="19"/>
        <v>1.6689357165551841E-2</v>
      </c>
      <c r="AC259" s="76">
        <f t="shared" si="20"/>
        <v>0.99712314139328972</v>
      </c>
    </row>
    <row r="260" spans="16:29" x14ac:dyDescent="0.2">
      <c r="P260" s="33">
        <v>1</v>
      </c>
      <c r="Q260" s="27" t="str">
        <f>_xll.qlPeriodEquivalent(Q259&amp;"+"&amp;P260&amp;"M")</f>
        <v>21Y5M</v>
      </c>
      <c r="R260" s="28">
        <f>_xll.qlCalendarAdvance(Calendar,SettlementDate,Q260,"f",,Trigger)</f>
        <v>50101</v>
      </c>
      <c r="S260" s="28">
        <f>_xll.qlInterestRateIndexValueDate(Index,R260,Trigger)</f>
        <v>50103</v>
      </c>
      <c r="T260" s="28">
        <f>_xll.qlInterestRateIndexMaturity(Index,S260,Trigger)</f>
        <v>50137</v>
      </c>
      <c r="U260" s="30">
        <f>_xll.qlIndexFixing($M$5,R260,TRUE,InterestRatesTrigger)</f>
        <v>1.6527865942113737E-2</v>
      </c>
      <c r="V260" s="74">
        <f>_xll.qlIndexFixing(Index,R260,TRUE,InterestRatesTrigger)</f>
        <v>1.6680881705794678E-2</v>
      </c>
      <c r="W260" s="30">
        <f t="shared" si="18"/>
        <v>1.530157636809408E-4</v>
      </c>
      <c r="X260" s="29">
        <f>_xll.qlDayCounterYearFraction(DayCounter,SettlementDate,S260,,,Trigger)</f>
        <v>21.733333333333334</v>
      </c>
      <c r="Y260" s="29">
        <f>_xll.qlDayCounterYearFraction(DayCounter,S260,T260)</f>
        <v>9.4444444444444442E-2</v>
      </c>
      <c r="Z260" s="29">
        <f>IF($M$13,_xll.qlYieldTSDiscount(Currency&amp;"ON",S260)/(1+V260*Y260),1)</f>
        <v>1</v>
      </c>
      <c r="AA260" s="30">
        <f>_xll.qlTenorBasisValue(TenorBasis1M,S260,InterestRatesTrigger)</f>
        <v>1.0790449942369E-4</v>
      </c>
      <c r="AB260" s="74">
        <f t="shared" si="19"/>
        <v>1.6635770441537426E-2</v>
      </c>
      <c r="AC260" s="76">
        <f t="shared" si="20"/>
        <v>0.9972956307074835</v>
      </c>
    </row>
    <row r="261" spans="16:29" x14ac:dyDescent="0.2">
      <c r="P261" s="33">
        <v>1</v>
      </c>
      <c r="Q261" s="27" t="str">
        <f>_xll.qlPeriodEquivalent(Q260&amp;"+"&amp;P261&amp;"M")</f>
        <v>21Y6M</v>
      </c>
      <c r="R261" s="28">
        <f>_xll.qlCalendarAdvance(Calendar,SettlementDate,Q261,"f",,Trigger)</f>
        <v>50132</v>
      </c>
      <c r="S261" s="28">
        <f>_xll.qlInterestRateIndexValueDate(Index,R261,Trigger)</f>
        <v>50138</v>
      </c>
      <c r="T261" s="28">
        <f>_xll.qlInterestRateIndexMaturity(Index,S261,Trigger)</f>
        <v>50168</v>
      </c>
      <c r="U261" s="30">
        <f>_xll.qlIndexFixing($M$5,R261,TRUE,InterestRatesTrigger)</f>
        <v>1.6468851487352332E-2</v>
      </c>
      <c r="V261" s="74">
        <f>_xll.qlIndexFixing(Index,R261,TRUE,InterestRatesTrigger)</f>
        <v>1.661713048936786E-2</v>
      </c>
      <c r="W261" s="30">
        <f t="shared" si="18"/>
        <v>1.4827900201552779E-4</v>
      </c>
      <c r="X261" s="29">
        <f>_xll.qlDayCounterYearFraction(DayCounter,SettlementDate,S261,,,Trigger)</f>
        <v>21.830555555555556</v>
      </c>
      <c r="Y261" s="29">
        <f>_xll.qlDayCounterYearFraction(DayCounter,S261,T261)</f>
        <v>8.3333333333333329E-2</v>
      </c>
      <c r="Z261" s="29">
        <f>IF($M$13,_xll.qlYieldTSDiscount(Currency&amp;"ON",S261)/(1+V261*Y261),1)</f>
        <v>1</v>
      </c>
      <c r="AA261" s="30">
        <f>_xll.qlTenorBasisValue(TenorBasis1M,S261,InterestRatesTrigger)</f>
        <v>1.0654839883581294E-4</v>
      </c>
      <c r="AB261" s="74">
        <f t="shared" si="19"/>
        <v>1.6575399886188145E-2</v>
      </c>
      <c r="AC261" s="76">
        <f t="shared" si="20"/>
        <v>0.99748869979648924</v>
      </c>
    </row>
    <row r="262" spans="16:29" x14ac:dyDescent="0.2">
      <c r="P262" s="33">
        <v>1</v>
      </c>
      <c r="Q262" s="27" t="str">
        <f>_xll.qlPeriodEquivalent(Q261&amp;"+"&amp;P262&amp;"M")</f>
        <v>21Y7M</v>
      </c>
      <c r="R262" s="28">
        <f>_xll.qlCalendarAdvance(Calendar,SettlementDate,Q262,"f",,Trigger)</f>
        <v>50164</v>
      </c>
      <c r="S262" s="28">
        <f>_xll.qlInterestRateIndexValueDate(Index,R262,Trigger)</f>
        <v>50166</v>
      </c>
      <c r="T262" s="28">
        <f>_xll.qlInterestRateIndexMaturity(Index,S262,Trigger)</f>
        <v>50199</v>
      </c>
      <c r="U262" s="30">
        <f>_xll.qlIndexFixing($M$5,R262,TRUE,InterestRatesTrigger)</f>
        <v>1.6419311197165859E-2</v>
      </c>
      <c r="V262" s="74">
        <f>_xll.qlIndexFixing(Index,R262,TRUE,InterestRatesTrigger)</f>
        <v>1.6563185959725342E-2</v>
      </c>
      <c r="W262" s="30">
        <f t="shared" si="18"/>
        <v>1.43874762559483E-4</v>
      </c>
      <c r="X262" s="29">
        <f>_xll.qlDayCounterYearFraction(DayCounter,SettlementDate,S262,,,Trigger)</f>
        <v>21.908333333333335</v>
      </c>
      <c r="Y262" s="29">
        <f>_xll.qlDayCounterYearFraction(DayCounter,S262,T262)</f>
        <v>9.166666666666666E-2</v>
      </c>
      <c r="Z262" s="29">
        <f>IF($M$13,_xll.qlYieldTSDiscount(Currency&amp;"ON",S262)/(1+V262*Y262),1)</f>
        <v>1</v>
      </c>
      <c r="AA262" s="30">
        <f>_xll.qlTenorBasisValue(TenorBasis1M,S262,InterestRatesTrigger)</f>
        <v>1.0547448657341243E-4</v>
      </c>
      <c r="AB262" s="74">
        <f t="shared" si="19"/>
        <v>1.652478568373927E-2</v>
      </c>
      <c r="AC262" s="76">
        <f t="shared" si="20"/>
        <v>0.99768158879098234</v>
      </c>
    </row>
    <row r="263" spans="16:29" x14ac:dyDescent="0.2">
      <c r="P263" s="33">
        <v>1</v>
      </c>
      <c r="Q263" s="27" t="str">
        <f>_xll.qlPeriodEquivalent(Q262&amp;"+"&amp;P263&amp;"M")</f>
        <v>21Y8M</v>
      </c>
      <c r="R263" s="28">
        <f>_xll.qlCalendarAdvance(Calendar,SettlementDate,Q263,"f",,Trigger)</f>
        <v>50193</v>
      </c>
      <c r="S263" s="28">
        <f>_xll.qlInterestRateIndexValueDate(Index,R263,Trigger)</f>
        <v>50195</v>
      </c>
      <c r="T263" s="28">
        <f>_xll.qlInterestRateIndexMaturity(Index,S263,Trigger)</f>
        <v>50227</v>
      </c>
      <c r="U263" s="30">
        <f>_xll.qlIndexFixing($M$5,R263,TRUE,InterestRatesTrigger)</f>
        <v>1.6370626934210375E-2</v>
      </c>
      <c r="V263" s="74">
        <f>_xll.qlIndexFixing(Index,R263,TRUE,InterestRatesTrigger)</f>
        <v>1.6510053401486979E-2</v>
      </c>
      <c r="W263" s="30">
        <f t="shared" ref="W263:W326" si="21">V263-U263</f>
        <v>1.3942646727660435E-4</v>
      </c>
      <c r="X263" s="29">
        <f>_xll.qlDayCounterYearFraction(DayCounter,SettlementDate,S263,,,Trigger)</f>
        <v>21.988888888888887</v>
      </c>
      <c r="Y263" s="29">
        <f>_xll.qlDayCounterYearFraction(DayCounter,S263,T263)</f>
        <v>8.8888888888888892E-2</v>
      </c>
      <c r="Z263" s="29">
        <f>IF($M$13,_xll.qlYieldTSDiscount(Currency&amp;"ON",S263)/(1+V263*Y263),1)</f>
        <v>1</v>
      </c>
      <c r="AA263" s="30">
        <f>_xll.qlTenorBasisValue(TenorBasis1M,S263,InterestRatesTrigger)</f>
        <v>1.0437242104742923E-4</v>
      </c>
      <c r="AB263" s="74">
        <f t="shared" ref="AB263:AB326" si="22">AA263+U263</f>
        <v>1.6474999355257803E-2</v>
      </c>
      <c r="AC263" s="76">
        <f t="shared" ref="AC263:AC326" si="23">AB263/V263</f>
        <v>0.99787680600560513</v>
      </c>
    </row>
    <row r="264" spans="16:29" x14ac:dyDescent="0.2">
      <c r="P264" s="33">
        <v>1</v>
      </c>
      <c r="Q264" s="27" t="str">
        <f>_xll.qlPeriodEquivalent(Q263&amp;"+"&amp;P264&amp;"M")</f>
        <v>21Y9M</v>
      </c>
      <c r="R264" s="28">
        <f>_xll.qlCalendarAdvance(Calendar,SettlementDate,Q264,"f",,Trigger)</f>
        <v>50223</v>
      </c>
      <c r="S264" s="28">
        <f>_xll.qlInterestRateIndexValueDate(Index,R264,Trigger)</f>
        <v>50227</v>
      </c>
      <c r="T264" s="28">
        <f>_xll.qlInterestRateIndexMaturity(Index,S264,Trigger)</f>
        <v>50258</v>
      </c>
      <c r="U264" s="30">
        <f>_xll.qlIndexFixing($M$5,R264,TRUE,InterestRatesTrigger)</f>
        <v>1.63176033385595E-2</v>
      </c>
      <c r="V264" s="74">
        <f>_xll.qlIndexFixing(Index,R264,TRUE,InterestRatesTrigger)</f>
        <v>1.64519424303715E-2</v>
      </c>
      <c r="W264" s="30">
        <f t="shared" si="21"/>
        <v>1.3433909181199966E-4</v>
      </c>
      <c r="X264" s="29">
        <f>_xll.qlDayCounterYearFraction(DayCounter,SettlementDate,S264,,,Trigger)</f>
        <v>22.077777777777779</v>
      </c>
      <c r="Y264" s="29">
        <f>_xll.qlDayCounterYearFraction(DayCounter,S264,T264)</f>
        <v>8.611111111111111E-2</v>
      </c>
      <c r="Z264" s="29">
        <f>IF($M$13,_xll.qlYieldTSDiscount(Currency&amp;"ON",S264)/(1+V264*Y264),1)</f>
        <v>1</v>
      </c>
      <c r="AA264" s="30">
        <f>_xll.qlTenorBasisValue(TenorBasis1M,S264,InterestRatesTrigger)</f>
        <v>1.0316830641507204E-4</v>
      </c>
      <c r="AB264" s="74">
        <f t="shared" si="22"/>
        <v>1.6420771644974571E-2</v>
      </c>
      <c r="AC264" s="76">
        <f t="shared" si="23"/>
        <v>0.99810534315149413</v>
      </c>
    </row>
    <row r="265" spans="16:29" x14ac:dyDescent="0.2">
      <c r="P265" s="33">
        <v>1</v>
      </c>
      <c r="Q265" s="27" t="str">
        <f>_xll.qlPeriodEquivalent(Q264&amp;"+"&amp;P265&amp;"M")</f>
        <v>21Y10M</v>
      </c>
      <c r="R265" s="28">
        <f>_xll.qlCalendarAdvance(Calendar,SettlementDate,Q265,"f",,Trigger)</f>
        <v>50255</v>
      </c>
      <c r="S265" s="28">
        <f>_xll.qlInterestRateIndexValueDate(Index,R265,Trigger)</f>
        <v>50257</v>
      </c>
      <c r="T265" s="28">
        <f>_xll.qlInterestRateIndexMaturity(Index,S265,Trigger)</f>
        <v>50290</v>
      </c>
      <c r="U265" s="30">
        <f>_xll.qlIndexFixing($M$5,R265,TRUE,InterestRatesTrigger)</f>
        <v>1.6267288018967173E-2</v>
      </c>
      <c r="V265" s="74">
        <f>_xll.qlIndexFixing(Index,R265,TRUE,InterestRatesTrigger)</f>
        <v>1.6396484046533096E-2</v>
      </c>
      <c r="W265" s="30">
        <f t="shared" si="21"/>
        <v>1.2919602756592333E-4</v>
      </c>
      <c r="X265" s="29">
        <f>_xll.qlDayCounterYearFraction(DayCounter,SettlementDate,S265,,,Trigger)</f>
        <v>22.161111111111111</v>
      </c>
      <c r="Y265" s="29">
        <f>_xll.qlDayCounterYearFraction(DayCounter,S265,T265)</f>
        <v>9.166666666666666E-2</v>
      </c>
      <c r="Z265" s="29">
        <f>IF($M$13,_xll.qlYieldTSDiscount(Currency&amp;"ON",S265)/(1+V265*Y265),1)</f>
        <v>1</v>
      </c>
      <c r="AA265" s="30">
        <f>_xll.qlTenorBasisValue(TenorBasis1M,S265,InterestRatesTrigger)</f>
        <v>1.0205075717493678E-4</v>
      </c>
      <c r="AB265" s="74">
        <f t="shared" si="22"/>
        <v>1.636933877614211E-2</v>
      </c>
      <c r="AC265" s="76">
        <f t="shared" si="23"/>
        <v>0.99834444565591329</v>
      </c>
    </row>
    <row r="266" spans="16:29" x14ac:dyDescent="0.2">
      <c r="P266" s="33">
        <v>1</v>
      </c>
      <c r="Q266" s="27" t="str">
        <f>_xll.qlPeriodEquivalent(Q265&amp;"+"&amp;P266&amp;"M")</f>
        <v>21Y11M</v>
      </c>
      <c r="R266" s="28">
        <f>_xll.qlCalendarAdvance(Calendar,SettlementDate,Q266,"f",,Trigger)</f>
        <v>50285</v>
      </c>
      <c r="S266" s="28">
        <f>_xll.qlInterestRateIndexValueDate(Index,R266,Trigger)</f>
        <v>50287</v>
      </c>
      <c r="T266" s="28">
        <f>_xll.qlInterestRateIndexMaturity(Index,S266,Trigger)</f>
        <v>50318</v>
      </c>
      <c r="U266" s="30">
        <f>_xll.qlIndexFixing($M$5,R266,TRUE,InterestRatesTrigger)</f>
        <v>1.621947097011664E-2</v>
      </c>
      <c r="V266" s="74">
        <f>_xll.qlIndexFixing(Index,R266,TRUE,InterestRatesTrigger)</f>
        <v>1.6343717517541323E-2</v>
      </c>
      <c r="W266" s="30">
        <f t="shared" si="21"/>
        <v>1.2424654742468344E-4</v>
      </c>
      <c r="X266" s="29">
        <f>_xll.qlDayCounterYearFraction(DayCounter,SettlementDate,S266,,,Trigger)</f>
        <v>22.244444444444444</v>
      </c>
      <c r="Y266" s="29">
        <f>_xll.qlDayCounterYearFraction(DayCounter,S266,T266)</f>
        <v>8.611111111111111E-2</v>
      </c>
      <c r="Z266" s="29">
        <f>IF($M$13,_xll.qlYieldTSDiscount(Currency&amp;"ON",S266)/(1+V266*Y266),1)</f>
        <v>1</v>
      </c>
      <c r="AA266" s="30">
        <f>_xll.qlTenorBasisValue(TenorBasis1M,S266,InterestRatesTrigger)</f>
        <v>1.0094406746958823E-4</v>
      </c>
      <c r="AB266" s="74">
        <f t="shared" si="22"/>
        <v>1.6320415037586227E-2</v>
      </c>
      <c r="AC266" s="76">
        <f t="shared" si="23"/>
        <v>0.99857422401420692</v>
      </c>
    </row>
    <row r="267" spans="16:29" x14ac:dyDescent="0.2">
      <c r="P267" s="33">
        <v>1</v>
      </c>
      <c r="Q267" s="27" t="str">
        <f>_xll.qlPeriodEquivalent(Q266&amp;"+"&amp;P267&amp;"M")</f>
        <v>22Y</v>
      </c>
      <c r="R267" s="28">
        <f>_xll.qlCalendarAdvance(Calendar,SettlementDate,Q267,"f",,Trigger)</f>
        <v>50315</v>
      </c>
      <c r="S267" s="28">
        <f>_xll.qlInterestRateIndexValueDate(Index,R267,Trigger)</f>
        <v>50319</v>
      </c>
      <c r="T267" s="28">
        <f>_xll.qlInterestRateIndexMaturity(Index,S267,Trigger)</f>
        <v>50350</v>
      </c>
      <c r="U267" s="30">
        <f>_xll.qlIndexFixing($M$5,R267,TRUE,InterestRatesTrigger)</f>
        <v>1.6168287908454128E-2</v>
      </c>
      <c r="V267" s="74">
        <f>_xll.qlIndexFixing(Index,R267,TRUE,InterestRatesTrigger)</f>
        <v>1.6286977226077314E-2</v>
      </c>
      <c r="W267" s="30">
        <f t="shared" si="21"/>
        <v>1.1868931762318638E-4</v>
      </c>
      <c r="X267" s="29">
        <f>_xll.qlDayCounterYearFraction(DayCounter,SettlementDate,S267,,,Trigger)</f>
        <v>22.333333333333332</v>
      </c>
      <c r="Y267" s="29">
        <f>_xll.qlDayCounterYearFraction(DayCounter,S267,T267)</f>
        <v>8.611111111111111E-2</v>
      </c>
      <c r="Z267" s="29">
        <f>IF($M$13,_xll.qlYieldTSDiscount(Currency&amp;"ON",S267)/(1+V267*Y267),1)</f>
        <v>1</v>
      </c>
      <c r="AA267" s="30">
        <f>_xll.qlTenorBasisValue(TenorBasis1M,S267,InterestRatesTrigger)</f>
        <v>9.9775475709099878E-5</v>
      </c>
      <c r="AB267" s="74">
        <f t="shared" si="22"/>
        <v>1.6268063384163228E-2</v>
      </c>
      <c r="AC267" s="76">
        <f t="shared" si="23"/>
        <v>0.99883871379866596</v>
      </c>
    </row>
    <row r="268" spans="16:29" x14ac:dyDescent="0.2">
      <c r="P268" s="33">
        <v>1</v>
      </c>
      <c r="Q268" s="27" t="str">
        <f>_xll.qlPeriodEquivalent(Q267&amp;"+"&amp;P268&amp;"M")</f>
        <v>22Y1M</v>
      </c>
      <c r="R268" s="28">
        <f>_xll.qlCalendarAdvance(Calendar,SettlementDate,Q268,"f",,Trigger)</f>
        <v>50346</v>
      </c>
      <c r="S268" s="28">
        <f>_xll.qlInterestRateIndexValueDate(Index,R268,Trigger)</f>
        <v>50348</v>
      </c>
      <c r="T268" s="28">
        <f>_xll.qlInterestRateIndexMaturity(Index,S268,Trigger)</f>
        <v>50378</v>
      </c>
      <c r="U268" s="30">
        <f>_xll.qlIndexFixing($M$5,R268,TRUE,InterestRatesTrigger)</f>
        <v>1.6123016098735121E-2</v>
      </c>
      <c r="V268" s="74">
        <f>_xll.qlIndexFixing(Index,R268,TRUE,InterestRatesTrigger)</f>
        <v>1.6236675816929669E-2</v>
      </c>
      <c r="W268" s="30">
        <f t="shared" si="21"/>
        <v>1.1365971819454757E-4</v>
      </c>
      <c r="X268" s="29">
        <f>_xll.qlDayCounterYearFraction(DayCounter,SettlementDate,S268,,,Trigger)</f>
        <v>22.413888888888888</v>
      </c>
      <c r="Y268" s="29">
        <f>_xll.qlDayCounterYearFraction(DayCounter,S268,T268)</f>
        <v>8.3333333333333329E-2</v>
      </c>
      <c r="Z268" s="29">
        <f>IF($M$13,_xll.qlYieldTSDiscount(Currency&amp;"ON",S268)/(1+V268*Y268),1)</f>
        <v>1</v>
      </c>
      <c r="AA268" s="30">
        <f>_xll.qlTenorBasisValue(TenorBasis1M,S268,InterestRatesTrigger)</f>
        <v>9.8726948247961072E-5</v>
      </c>
      <c r="AB268" s="74">
        <f t="shared" si="22"/>
        <v>1.6221743046983081E-2</v>
      </c>
      <c r="AC268" s="76">
        <f t="shared" si="23"/>
        <v>0.99908030620830546</v>
      </c>
    </row>
    <row r="269" spans="16:29" x14ac:dyDescent="0.2">
      <c r="P269" s="33">
        <v>1</v>
      </c>
      <c r="Q269" s="27" t="str">
        <f>_xll.qlPeriodEquivalent(Q268&amp;"+"&amp;P269&amp;"M")</f>
        <v>22Y2M</v>
      </c>
      <c r="R269" s="28">
        <f>_xll.qlCalendarAdvance(Calendar,SettlementDate,Q269,"f",,Trigger)</f>
        <v>50376</v>
      </c>
      <c r="S269" s="28">
        <f>_xll.qlInterestRateIndexValueDate(Index,R269,Trigger)</f>
        <v>50378</v>
      </c>
      <c r="T269" s="28">
        <f>_xll.qlInterestRateIndexMaturity(Index,S269,Trigger)</f>
        <v>50409</v>
      </c>
      <c r="U269" s="30">
        <f>_xll.qlIndexFixing($M$5,R269,TRUE,InterestRatesTrigger)</f>
        <v>1.6076024022761336E-2</v>
      </c>
      <c r="V269" s="74">
        <f>_xll.qlIndexFixing(Index,R269,TRUE,InterestRatesTrigger)</f>
        <v>1.6184254143123983E-2</v>
      </c>
      <c r="W269" s="30">
        <f t="shared" si="21"/>
        <v>1.0823012036264776E-4</v>
      </c>
      <c r="X269" s="29">
        <f>_xll.qlDayCounterYearFraction(DayCounter,SettlementDate,S269,,,Trigger)</f>
        <v>22.497222222222224</v>
      </c>
      <c r="Y269" s="29">
        <f>_xll.qlDayCounterYearFraction(DayCounter,S269,T269)</f>
        <v>8.611111111111111E-2</v>
      </c>
      <c r="Z269" s="29">
        <f>IF($M$13,_xll.qlYieldTSDiscount(Currency&amp;"ON",S269)/(1+V269*Y269),1)</f>
        <v>1</v>
      </c>
      <c r="AA269" s="30">
        <f>_xll.qlTenorBasisValue(TenorBasis1M,S269,InterestRatesTrigger)</f>
        <v>9.7652698185909064E-5</v>
      </c>
      <c r="AB269" s="74">
        <f t="shared" si="22"/>
        <v>1.6173676720947244E-2</v>
      </c>
      <c r="AC269" s="76">
        <f t="shared" si="23"/>
        <v>0.99934643746426632</v>
      </c>
    </row>
    <row r="270" spans="16:29" x14ac:dyDescent="0.2">
      <c r="P270" s="33">
        <v>1</v>
      </c>
      <c r="Q270" s="27" t="str">
        <f>_xll.qlPeriodEquivalent(Q269&amp;"+"&amp;P270&amp;"M")</f>
        <v>22Y3M</v>
      </c>
      <c r="R270" s="28">
        <f>_xll.qlCalendarAdvance(Calendar,SettlementDate,Q270,"f",,Trigger)</f>
        <v>50409</v>
      </c>
      <c r="S270" s="28">
        <f>_xll.qlInterestRateIndexValueDate(Index,R270,Trigger)</f>
        <v>50411</v>
      </c>
      <c r="T270" s="28">
        <f>_xll.qlInterestRateIndexMaturity(Index,S270,Trigger)</f>
        <v>50444</v>
      </c>
      <c r="U270" s="30">
        <f>_xll.qlIndexFixing($M$5,R270,TRUE,InterestRatesTrigger)</f>
        <v>1.6024811754954304E-2</v>
      </c>
      <c r="V270" s="74">
        <f>_xll.qlIndexFixing(Index,R270,TRUE,InterestRatesTrigger)</f>
        <v>1.6126949418992259E-2</v>
      </c>
      <c r="W270" s="30">
        <f t="shared" si="21"/>
        <v>1.0213766403795524E-4</v>
      </c>
      <c r="X270" s="29">
        <f>_xll.qlDayCounterYearFraction(DayCounter,SettlementDate,S270,,,Trigger)</f>
        <v>22.588888888888889</v>
      </c>
      <c r="Y270" s="29">
        <f>_xll.qlDayCounterYearFraction(DayCounter,S270,T270)</f>
        <v>9.166666666666666E-2</v>
      </c>
      <c r="Z270" s="29">
        <f>IF($M$13,_xll.qlYieldTSDiscount(Currency&amp;"ON",S270)/(1+V270*Y270),1)</f>
        <v>1</v>
      </c>
      <c r="AA270" s="30">
        <f>_xll.qlTenorBasisValue(TenorBasis1M,S270,InterestRatesTrigger)</f>
        <v>9.6483181787458585E-5</v>
      </c>
      <c r="AB270" s="74">
        <f t="shared" si="22"/>
        <v>1.6121294936741762E-2</v>
      </c>
      <c r="AC270" s="76">
        <f t="shared" si="23"/>
        <v>0.99964937682238664</v>
      </c>
    </row>
    <row r="271" spans="16:29" x14ac:dyDescent="0.2">
      <c r="P271" s="33">
        <v>1</v>
      </c>
      <c r="Q271" s="27" t="str">
        <f>_xll.qlPeriodEquivalent(Q270&amp;"+"&amp;P271&amp;"M")</f>
        <v>22Y4M</v>
      </c>
      <c r="R271" s="28">
        <f>_xll.qlCalendarAdvance(Calendar,SettlementDate,Q271,"f",,Trigger)</f>
        <v>50438</v>
      </c>
      <c r="S271" s="28">
        <f>_xll.qlInterestRateIndexValueDate(Index,R271,Trigger)</f>
        <v>50440</v>
      </c>
      <c r="T271" s="28">
        <f>_xll.qlInterestRateIndexMaturity(Index,S271,Trigger)</f>
        <v>50468</v>
      </c>
      <c r="U271" s="30">
        <f>_xll.qlIndexFixing($M$5,R271,TRUE,InterestRatesTrigger)</f>
        <v>1.5983178955219262E-2</v>
      </c>
      <c r="V271" s="74">
        <f>_xll.qlIndexFixing(Index,R271,TRUE,InterestRatesTrigger)</f>
        <v>1.6080526222594926E-2</v>
      </c>
      <c r="W271" s="30">
        <f t="shared" si="21"/>
        <v>9.7347267375664376E-5</v>
      </c>
      <c r="X271" s="29">
        <f>_xll.qlDayCounterYearFraction(DayCounter,SettlementDate,S271,,,Trigger)</f>
        <v>22.669444444444444</v>
      </c>
      <c r="Y271" s="29">
        <f>_xll.qlDayCounterYearFraction(DayCounter,S271,T271)</f>
        <v>7.7777777777777779E-2</v>
      </c>
      <c r="Z271" s="29">
        <f>IF($M$13,_xll.qlYieldTSDiscount(Currency&amp;"ON",S271)/(1+V271*Y271),1)</f>
        <v>1</v>
      </c>
      <c r="AA271" s="30">
        <f>_xll.qlTenorBasisValue(TenorBasis1M,S271,InterestRatesTrigger)</f>
        <v>9.5465857131437503E-5</v>
      </c>
      <c r="AB271" s="74">
        <f t="shared" si="22"/>
        <v>1.60786448123507E-2</v>
      </c>
      <c r="AC271" s="76">
        <f t="shared" si="23"/>
        <v>0.99988300070419445</v>
      </c>
    </row>
    <row r="272" spans="16:29" x14ac:dyDescent="0.2">
      <c r="P272" s="33">
        <v>1</v>
      </c>
      <c r="Q272" s="27" t="str">
        <f>_xll.qlPeriodEquivalent(Q271&amp;"+"&amp;P272&amp;"M")</f>
        <v>22Y5M</v>
      </c>
      <c r="R272" s="28">
        <f>_xll.qlCalendarAdvance(Calendar,SettlementDate,Q272,"f",,Trigger)</f>
        <v>50466</v>
      </c>
      <c r="S272" s="28">
        <f>_xll.qlInterestRateIndexValueDate(Index,R272,Trigger)</f>
        <v>50468</v>
      </c>
      <c r="T272" s="28">
        <f>_xll.qlInterestRateIndexMaturity(Index,S272,Trigger)</f>
        <v>50500</v>
      </c>
      <c r="U272" s="30">
        <f>_xll.qlIndexFixing($M$5,R272,TRUE,InterestRatesTrigger)</f>
        <v>1.594015952054828E-2</v>
      </c>
      <c r="V272" s="74">
        <f>_xll.qlIndexFixing(Index,R272,TRUE,InterestRatesTrigger)</f>
        <v>1.6032132363984486E-2</v>
      </c>
      <c r="W272" s="30">
        <f t="shared" si="21"/>
        <v>9.1972843436205487E-5</v>
      </c>
      <c r="X272" s="29">
        <f>_xll.qlDayCounterYearFraction(DayCounter,SettlementDate,S272,,,Trigger)</f>
        <v>22.747222222222224</v>
      </c>
      <c r="Y272" s="29">
        <f>_xll.qlDayCounterYearFraction(DayCounter,S272,T272)</f>
        <v>8.8888888888888892E-2</v>
      </c>
      <c r="Z272" s="29">
        <f>IF($M$13,_xll.qlYieldTSDiscount(Currency&amp;"ON",S272)/(1+V272*Y272),1)</f>
        <v>1</v>
      </c>
      <c r="AA272" s="30">
        <f>_xll.qlTenorBasisValue(TenorBasis1M,S272,InterestRatesTrigger)</f>
        <v>9.4492800774728254E-5</v>
      </c>
      <c r="AB272" s="74">
        <f t="shared" si="22"/>
        <v>1.603465232132301E-2</v>
      </c>
      <c r="AC272" s="76">
        <f t="shared" si="23"/>
        <v>1.0001571816699932</v>
      </c>
    </row>
    <row r="273" spans="16:29" x14ac:dyDescent="0.2">
      <c r="P273" s="33">
        <v>1</v>
      </c>
      <c r="Q273" s="27" t="str">
        <f>_xll.qlPeriodEquivalent(Q272&amp;"+"&amp;P273&amp;"M")</f>
        <v>22Y6M</v>
      </c>
      <c r="R273" s="28">
        <f>_xll.qlCalendarAdvance(Calendar,SettlementDate,Q273,"f",,Trigger)</f>
        <v>50497</v>
      </c>
      <c r="S273" s="28">
        <f>_xll.qlInterestRateIndexValueDate(Index,R273,Trigger)</f>
        <v>50501</v>
      </c>
      <c r="T273" s="28">
        <f>_xll.qlInterestRateIndexMaturity(Index,S273,Trigger)</f>
        <v>50531</v>
      </c>
      <c r="U273" s="30">
        <f>_xll.qlIndexFixing($M$5,R273,TRUE,InterestRatesTrigger)</f>
        <v>1.5892822885534841E-2</v>
      </c>
      <c r="V273" s="74">
        <f>_xll.qlIndexFixing(Index,R273,TRUE,InterestRatesTrigger)</f>
        <v>1.5979066889374671E-2</v>
      </c>
      <c r="W273" s="30">
        <f t="shared" si="21"/>
        <v>8.6244003839830441E-5</v>
      </c>
      <c r="X273" s="29">
        <f>_xll.qlDayCounterYearFraction(DayCounter,SettlementDate,S273,,,Trigger)</f>
        <v>22.838888888888889</v>
      </c>
      <c r="Y273" s="29">
        <f>_xll.qlDayCounterYearFraction(DayCounter,S273,T273)</f>
        <v>8.3333333333333329E-2</v>
      </c>
      <c r="Z273" s="29">
        <f>IF($M$13,_xll.qlYieldTSDiscount(Currency&amp;"ON",S273)/(1+V273*Y273),1)</f>
        <v>1</v>
      </c>
      <c r="AA273" s="30">
        <f>_xll.qlTenorBasisValue(TenorBasis1M,S273,InterestRatesTrigger)</f>
        <v>9.3357482534955726E-5</v>
      </c>
      <c r="AB273" s="74">
        <f t="shared" si="22"/>
        <v>1.5986180368069796E-2</v>
      </c>
      <c r="AC273" s="76">
        <f t="shared" si="23"/>
        <v>1.0004451748493433</v>
      </c>
    </row>
    <row r="274" spans="16:29" x14ac:dyDescent="0.2">
      <c r="P274" s="33">
        <v>1</v>
      </c>
      <c r="Q274" s="27" t="str">
        <f>_xll.qlPeriodEquivalent(Q273&amp;"+"&amp;P274&amp;"M")</f>
        <v>22Y7M</v>
      </c>
      <c r="R274" s="28">
        <f>_xll.qlCalendarAdvance(Calendar,SettlementDate,Q274,"f",,Trigger)</f>
        <v>50528</v>
      </c>
      <c r="S274" s="28">
        <f>_xll.qlInterestRateIndexValueDate(Index,R274,Trigger)</f>
        <v>50530</v>
      </c>
      <c r="T274" s="28">
        <f>_xll.qlInterestRateIndexMaturity(Index,S274,Trigger)</f>
        <v>50563</v>
      </c>
      <c r="U274" s="30">
        <f>_xll.qlIndexFixing($M$5,R274,TRUE,InterestRatesTrigger)</f>
        <v>1.5850181044812155E-2</v>
      </c>
      <c r="V274" s="74">
        <f>_xll.qlIndexFixing(Index,R274,TRUE,InterestRatesTrigger)</f>
        <v>1.5931036039366381E-2</v>
      </c>
      <c r="W274" s="30">
        <f t="shared" si="21"/>
        <v>8.0854994554225429E-5</v>
      </c>
      <c r="X274" s="29">
        <f>_xll.qlDayCounterYearFraction(DayCounter,SettlementDate,S274,,,Trigger)</f>
        <v>22.919444444444444</v>
      </c>
      <c r="Y274" s="29">
        <f>_xll.qlDayCounterYearFraction(DayCounter,S274,T274)</f>
        <v>9.166666666666666E-2</v>
      </c>
      <c r="Z274" s="29">
        <f>IF($M$13,_xll.qlYieldTSDiscount(Currency&amp;"ON",S274)/(1+V274*Y274),1)</f>
        <v>1</v>
      </c>
      <c r="AA274" s="30">
        <f>_xll.qlTenorBasisValue(TenorBasis1M,S274,InterestRatesTrigger)</f>
        <v>9.2369967991798448E-5</v>
      </c>
      <c r="AB274" s="74">
        <f t="shared" si="22"/>
        <v>1.5942551012803955E-2</v>
      </c>
      <c r="AC274" s="76">
        <f t="shared" si="23"/>
        <v>1.0007228012923404</v>
      </c>
    </row>
    <row r="275" spans="16:29" x14ac:dyDescent="0.2">
      <c r="P275" s="33">
        <v>1</v>
      </c>
      <c r="Q275" s="27" t="str">
        <f>_xll.qlPeriodEquivalent(Q274&amp;"+"&amp;P275&amp;"M")</f>
        <v>22Y8M</v>
      </c>
      <c r="R275" s="28">
        <f>_xll.qlCalendarAdvance(Calendar,SettlementDate,Q275,"f",,Trigger)</f>
        <v>50558</v>
      </c>
      <c r="S275" s="28">
        <f>_xll.qlInterestRateIndexValueDate(Index,R275,Trigger)</f>
        <v>50560</v>
      </c>
      <c r="T275" s="28">
        <f>_xll.qlInterestRateIndexMaturity(Index,S275,Trigger)</f>
        <v>50591</v>
      </c>
      <c r="U275" s="30">
        <f>_xll.qlIndexFixing($M$5,R275,TRUE,InterestRatesTrigger)</f>
        <v>1.580860860703533E-2</v>
      </c>
      <c r="V275" s="74">
        <f>_xll.qlIndexFixing(Index,R275,TRUE,InterestRatesTrigger)</f>
        <v>1.5884388741177299E-2</v>
      </c>
      <c r="W275" s="30">
        <f t="shared" si="21"/>
        <v>7.5780134141969352E-5</v>
      </c>
      <c r="X275" s="29">
        <f>_xll.qlDayCounterYearFraction(DayCounter,SettlementDate,S275,,,Trigger)</f>
        <v>23.002777777777776</v>
      </c>
      <c r="Y275" s="29">
        <f>_xll.qlDayCounterYearFraction(DayCounter,S275,T275)</f>
        <v>8.611111111111111E-2</v>
      </c>
      <c r="Z275" s="29">
        <f>IF($M$13,_xll.qlYieldTSDiscount(Currency&amp;"ON",S275)/(1+V275*Y275),1)</f>
        <v>1</v>
      </c>
      <c r="AA275" s="30">
        <f>_xll.qlTenorBasisValue(TenorBasis1M,S275,InterestRatesTrigger)</f>
        <v>9.1358350866396486E-5</v>
      </c>
      <c r="AB275" s="74">
        <f t="shared" si="22"/>
        <v>1.5899966957901728E-2</v>
      </c>
      <c r="AC275" s="76">
        <f t="shared" si="23"/>
        <v>1.000980724973322</v>
      </c>
    </row>
    <row r="276" spans="16:29" x14ac:dyDescent="0.2">
      <c r="P276" s="33">
        <v>1</v>
      </c>
      <c r="Q276" s="27" t="str">
        <f>_xll.qlPeriodEquivalent(Q275&amp;"+"&amp;P276&amp;"M")</f>
        <v>22Y9M</v>
      </c>
      <c r="R276" s="28">
        <f>_xll.qlCalendarAdvance(Calendar,SettlementDate,Q276,"f",,Trigger)</f>
        <v>50588</v>
      </c>
      <c r="S276" s="28">
        <f>_xll.qlInterestRateIndexValueDate(Index,R276,Trigger)</f>
        <v>50592</v>
      </c>
      <c r="T276" s="28">
        <f>_xll.qlInterestRateIndexMaturity(Index,S276,Trigger)</f>
        <v>50623</v>
      </c>
      <c r="U276" s="30">
        <f>_xll.qlIndexFixing($M$5,R276,TRUE,InterestRatesTrigger)</f>
        <v>1.5764275039678748E-2</v>
      </c>
      <c r="V276" s="74">
        <f>_xll.qlIndexFixing(Index,R276,TRUE,InterestRatesTrigger)</f>
        <v>1.5834563330420034E-2</v>
      </c>
      <c r="W276" s="30">
        <f t="shared" si="21"/>
        <v>7.0288290741286896E-5</v>
      </c>
      <c r="X276" s="29">
        <f>_xll.qlDayCounterYearFraction(DayCounter,SettlementDate,S276,,,Trigger)</f>
        <v>23.091666666666665</v>
      </c>
      <c r="Y276" s="29">
        <f>_xll.qlDayCounterYearFraction(DayCounter,S276,T276)</f>
        <v>8.611111111111111E-2</v>
      </c>
      <c r="Z276" s="29">
        <f>IF($M$13,_xll.qlYieldTSDiscount(Currency&amp;"ON",S276)/(1+V276*Y276),1)</f>
        <v>1</v>
      </c>
      <c r="AA276" s="30">
        <f>_xll.qlTenorBasisValue(TenorBasis1M,S276,InterestRatesTrigger)</f>
        <v>9.0290355591609602E-5</v>
      </c>
      <c r="AB276" s="74">
        <f t="shared" si="22"/>
        <v>1.5854565395270356E-2</v>
      </c>
      <c r="AC276" s="76">
        <f t="shared" si="23"/>
        <v>1.0012631901766369</v>
      </c>
    </row>
    <row r="277" spans="16:29" x14ac:dyDescent="0.2">
      <c r="P277" s="33">
        <v>1</v>
      </c>
      <c r="Q277" s="27" t="str">
        <f>_xll.qlPeriodEquivalent(Q276&amp;"+"&amp;P277&amp;"M")</f>
        <v>22Y10M</v>
      </c>
      <c r="R277" s="28">
        <f>_xll.qlCalendarAdvance(Calendar,SettlementDate,Q277,"f",,Trigger)</f>
        <v>50619</v>
      </c>
      <c r="S277" s="28">
        <f>_xll.qlInterestRateIndexValueDate(Index,R277,Trigger)</f>
        <v>50621</v>
      </c>
      <c r="T277" s="28">
        <f>_xll.qlInterestRateIndexMaturity(Index,S277,Trigger)</f>
        <v>50654</v>
      </c>
      <c r="U277" s="30">
        <f>_xll.qlIndexFixing($M$5,R277,TRUE,InterestRatesTrigger)</f>
        <v>1.5724132080680325E-2</v>
      </c>
      <c r="V277" s="74">
        <f>_xll.qlIndexFixing(Index,R277,TRUE,InterestRatesTrigger)</f>
        <v>1.578939521753869E-2</v>
      </c>
      <c r="W277" s="30">
        <f t="shared" si="21"/>
        <v>6.5263136858364351E-5</v>
      </c>
      <c r="X277" s="29">
        <f>_xll.qlDayCounterYearFraction(DayCounter,SettlementDate,S277,,,Trigger)</f>
        <v>23.172222222222221</v>
      </c>
      <c r="Y277" s="29">
        <f>_xll.qlDayCounterYearFraction(DayCounter,S277,T277)</f>
        <v>9.166666666666666E-2</v>
      </c>
      <c r="Z277" s="29">
        <f>IF($M$13,_xll.qlYieldTSDiscount(Currency&amp;"ON",S277)/(1+V277*Y277),1)</f>
        <v>1</v>
      </c>
      <c r="AA277" s="30">
        <f>_xll.qlTenorBasisValue(TenorBasis1M,S277,InterestRatesTrigger)</f>
        <v>8.9332269339329422E-5</v>
      </c>
      <c r="AB277" s="74">
        <f t="shared" si="22"/>
        <v>1.5813464350019655E-2</v>
      </c>
      <c r="AC277" s="76">
        <f t="shared" si="23"/>
        <v>1.0015243859659824</v>
      </c>
    </row>
    <row r="278" spans="16:29" x14ac:dyDescent="0.2">
      <c r="P278" s="33">
        <v>1</v>
      </c>
      <c r="Q278" s="27" t="str">
        <f>_xll.qlPeriodEquivalent(Q277&amp;"+"&amp;P278&amp;"M")</f>
        <v>22Y11M</v>
      </c>
      <c r="R278" s="28">
        <f>_xll.qlCalendarAdvance(Calendar,SettlementDate,Q278,"f",,Trigger)</f>
        <v>50650</v>
      </c>
      <c r="S278" s="28">
        <f>_xll.qlInterestRateIndexValueDate(Index,R278,Trigger)</f>
        <v>50654</v>
      </c>
      <c r="T278" s="28">
        <f>_xll.qlInterestRateIndexMaturity(Index,S278,Trigger)</f>
        <v>50684</v>
      </c>
      <c r="U278" s="30">
        <f>_xll.qlIndexFixing($M$5,R278,TRUE,InterestRatesTrigger)</f>
        <v>1.5680982214593797E-2</v>
      </c>
      <c r="V278" s="74">
        <f>_xll.qlIndexFixing(Index,R278,TRUE,InterestRatesTrigger)</f>
        <v>1.5741097849285346E-2</v>
      </c>
      <c r="W278" s="30">
        <f t="shared" si="21"/>
        <v>6.0115634691548792E-5</v>
      </c>
      <c r="X278" s="29">
        <f>_xll.qlDayCounterYearFraction(DayCounter,SettlementDate,S278,,,Trigger)</f>
        <v>23.263888888888889</v>
      </c>
      <c r="Y278" s="29">
        <f>_xll.qlDayCounterYearFraction(DayCounter,S278,T278)</f>
        <v>8.3333333333333329E-2</v>
      </c>
      <c r="Z278" s="29">
        <f>IF($M$13,_xll.qlYieldTSDiscount(Currency&amp;"ON",S278)/(1+V278*Y278),1)</f>
        <v>1</v>
      </c>
      <c r="AA278" s="30">
        <f>_xll.qlTenorBasisValue(TenorBasis1M,S278,InterestRatesTrigger)</f>
        <v>8.8253254949415905E-5</v>
      </c>
      <c r="AB278" s="74">
        <f t="shared" si="22"/>
        <v>1.5769235469543213E-2</v>
      </c>
      <c r="AC278" s="76">
        <f t="shared" si="23"/>
        <v>1.0017875259100268</v>
      </c>
    </row>
    <row r="279" spans="16:29" x14ac:dyDescent="0.2">
      <c r="P279" s="33">
        <v>1</v>
      </c>
      <c r="Q279" s="27" t="str">
        <f>_xll.qlPeriodEquivalent(Q278&amp;"+"&amp;P279&amp;"M")</f>
        <v>23Y</v>
      </c>
      <c r="R279" s="28">
        <f>_xll.qlCalendarAdvance(Calendar,SettlementDate,Q279,"f",,Trigger)</f>
        <v>50682</v>
      </c>
      <c r="S279" s="28">
        <f>_xll.qlInterestRateIndexValueDate(Index,R279,Trigger)</f>
        <v>50684</v>
      </c>
      <c r="T279" s="28">
        <f>_xll.qlInterestRateIndexMaturity(Index,S279,Trigger)</f>
        <v>50717</v>
      </c>
      <c r="U279" s="30">
        <f>_xll.qlIndexFixing($M$5,R279,TRUE,InterestRatesTrigger)</f>
        <v>1.5640670996149551E-2</v>
      </c>
      <c r="V279" s="74">
        <f>_xll.qlIndexFixing(Index,R279,TRUE,InterestRatesTrigger)</f>
        <v>1.5695830434027419E-2</v>
      </c>
      <c r="W279" s="30">
        <f t="shared" si="21"/>
        <v>5.515943787786845E-5</v>
      </c>
      <c r="X279" s="29">
        <f>_xll.qlDayCounterYearFraction(DayCounter,SettlementDate,S279,,,Trigger)</f>
        <v>23.347222222222221</v>
      </c>
      <c r="Y279" s="29">
        <f>_xll.qlDayCounterYearFraction(DayCounter,S279,T279)</f>
        <v>9.166666666666666E-2</v>
      </c>
      <c r="Z279" s="29">
        <f>IF($M$13,_xll.qlYieldTSDiscount(Currency&amp;"ON",S279)/(1+V279*Y279),1)</f>
        <v>1</v>
      </c>
      <c r="AA279" s="30">
        <f>_xll.qlTenorBasisValue(TenorBasis1M,S279,InterestRatesTrigger)</f>
        <v>8.7282613348191351E-5</v>
      </c>
      <c r="AB279" s="74">
        <f t="shared" si="22"/>
        <v>1.5727953609497743E-2</v>
      </c>
      <c r="AC279" s="76">
        <f t="shared" si="23"/>
        <v>1.0020466056641821</v>
      </c>
    </row>
    <row r="280" spans="16:29" x14ac:dyDescent="0.2">
      <c r="P280" s="33">
        <v>1</v>
      </c>
      <c r="Q280" s="27" t="str">
        <f>_xll.qlPeriodEquivalent(Q279&amp;"+"&amp;P280&amp;"M")</f>
        <v>23Y1M</v>
      </c>
      <c r="R280" s="28">
        <f>_xll.qlCalendarAdvance(Calendar,SettlementDate,Q280,"f",,Trigger)</f>
        <v>50711</v>
      </c>
      <c r="S280" s="28">
        <f>_xll.qlInterestRateIndexValueDate(Index,R280,Trigger)</f>
        <v>50713</v>
      </c>
      <c r="T280" s="28">
        <f>_xll.qlInterestRateIndexMaturity(Index,S280,Trigger)</f>
        <v>50745</v>
      </c>
      <c r="U280" s="30">
        <f>_xll.qlIndexFixing($M$5,R280,TRUE,InterestRatesTrigger)</f>
        <v>1.5603596986033808E-2</v>
      </c>
      <c r="V280" s="74">
        <f>_xll.qlIndexFixing(Index,R280,TRUE,InterestRatesTrigger)</f>
        <v>1.5654430320188317E-2</v>
      </c>
      <c r="W280" s="30">
        <f t="shared" si="21"/>
        <v>5.0833334154509746E-5</v>
      </c>
      <c r="X280" s="29">
        <f>_xll.qlDayCounterYearFraction(DayCounter,SettlementDate,S280,,,Trigger)</f>
        <v>23.427777777777777</v>
      </c>
      <c r="Y280" s="29">
        <f>_xll.qlDayCounterYearFraction(DayCounter,S280,T280)</f>
        <v>8.8888888888888892E-2</v>
      </c>
      <c r="Z280" s="29">
        <f>IF($M$13,_xll.qlYieldTSDiscount(Currency&amp;"ON",S280)/(1+V280*Y280),1)</f>
        <v>1</v>
      </c>
      <c r="AA280" s="30">
        <f>_xll.qlTenorBasisValue(TenorBasis1M,S280,InterestRatesTrigger)</f>
        <v>8.6353556221585912E-5</v>
      </c>
      <c r="AB280" s="74">
        <f t="shared" si="22"/>
        <v>1.5689950542255394E-2</v>
      </c>
      <c r="AC280" s="76">
        <f t="shared" si="23"/>
        <v>1.0022690204204536</v>
      </c>
    </row>
    <row r="281" spans="16:29" x14ac:dyDescent="0.2">
      <c r="P281" s="33">
        <v>1</v>
      </c>
      <c r="Q281" s="27" t="str">
        <f>_xll.qlPeriodEquivalent(Q280&amp;"+"&amp;P281&amp;"M")</f>
        <v>23Y2M</v>
      </c>
      <c r="R281" s="28">
        <f>_xll.qlCalendarAdvance(Calendar,SettlementDate,Q281,"f",,Trigger)</f>
        <v>50741</v>
      </c>
      <c r="S281" s="28">
        <f>_xll.qlInterestRateIndexValueDate(Index,R281,Trigger)</f>
        <v>50745</v>
      </c>
      <c r="T281" s="28">
        <f>_xll.qlInterestRateIndexMaturity(Index,S281,Trigger)</f>
        <v>50776</v>
      </c>
      <c r="U281" s="30">
        <f>_xll.qlIndexFixing($M$5,R281,TRUE,InterestRatesTrigger)</f>
        <v>1.5563400705444038E-2</v>
      </c>
      <c r="V281" s="74">
        <f>_xll.qlIndexFixing(Index,R281,TRUE,InterestRatesTrigger)</f>
        <v>1.5609662645392548E-2</v>
      </c>
      <c r="W281" s="30">
        <f t="shared" si="21"/>
        <v>4.6261939948510217E-5</v>
      </c>
      <c r="X281" s="29">
        <f>_xll.qlDayCounterYearFraction(DayCounter,SettlementDate,S281,,,Trigger)</f>
        <v>23.516666666666666</v>
      </c>
      <c r="Y281" s="29">
        <f>_xll.qlDayCounterYearFraction(DayCounter,S281,T281)</f>
        <v>8.611111111111111E-2</v>
      </c>
      <c r="Z281" s="29">
        <f>IF($M$13,_xll.qlYieldTSDiscount(Currency&amp;"ON",S281)/(1+V281*Y281),1)</f>
        <v>1</v>
      </c>
      <c r="AA281" s="30">
        <f>_xll.qlTenorBasisValue(TenorBasis1M,S281,InterestRatesTrigger)</f>
        <v>8.5338832771705221E-5</v>
      </c>
      <c r="AB281" s="74">
        <f t="shared" si="22"/>
        <v>1.5648739538215745E-2</v>
      </c>
      <c r="AC281" s="76">
        <f t="shared" si="23"/>
        <v>1.0025033784336608</v>
      </c>
    </row>
    <row r="282" spans="16:29" x14ac:dyDescent="0.2">
      <c r="P282" s="33">
        <v>1</v>
      </c>
      <c r="Q282" s="27" t="str">
        <f>_xll.qlPeriodEquivalent(Q281&amp;"+"&amp;P282&amp;"M")</f>
        <v>23Y3M</v>
      </c>
      <c r="R282" s="28">
        <f>_xll.qlCalendarAdvance(Calendar,SettlementDate,Q282,"f",,Trigger)</f>
        <v>50773</v>
      </c>
      <c r="S282" s="28">
        <f>_xll.qlInterestRateIndexValueDate(Index,R282,Trigger)</f>
        <v>50775</v>
      </c>
      <c r="T282" s="28">
        <f>_xll.qlInterestRateIndexMaturity(Index,S282,Trigger)</f>
        <v>50808</v>
      </c>
      <c r="U282" s="30">
        <f>_xll.qlIndexFixing($M$5,R282,TRUE,InterestRatesTrigger)</f>
        <v>1.5525609997335947E-2</v>
      </c>
      <c r="V282" s="74">
        <f>_xll.qlIndexFixing(Index,R282,TRUE,InterestRatesTrigger)</f>
        <v>1.5567618537151164E-2</v>
      </c>
      <c r="W282" s="30">
        <f t="shared" si="21"/>
        <v>4.2008539815216461E-5</v>
      </c>
      <c r="X282" s="29">
        <f>_xll.qlDayCounterYearFraction(DayCounter,SettlementDate,S282,,,Trigger)</f>
        <v>23.6</v>
      </c>
      <c r="Y282" s="29">
        <f>_xll.qlDayCounterYearFraction(DayCounter,S282,T282)</f>
        <v>9.166666666666666E-2</v>
      </c>
      <c r="Z282" s="29">
        <f>IF($M$13,_xll.qlYieldTSDiscount(Currency&amp;"ON",S282)/(1+V282*Y282),1)</f>
        <v>1</v>
      </c>
      <c r="AA282" s="30">
        <f>_xll.qlTenorBasisValue(TenorBasis1M,S282,InterestRatesTrigger)</f>
        <v>8.4397397999279867E-5</v>
      </c>
      <c r="AB282" s="74">
        <f t="shared" si="22"/>
        <v>1.5610007395335227E-2</v>
      </c>
      <c r="AC282" s="76">
        <f t="shared" si="23"/>
        <v>1.002722886489215</v>
      </c>
    </row>
    <row r="283" spans="16:29" x14ac:dyDescent="0.2">
      <c r="P283" s="33">
        <v>1</v>
      </c>
      <c r="Q283" s="27" t="str">
        <f>_xll.qlPeriodEquivalent(Q282&amp;"+"&amp;P283&amp;"M")</f>
        <v>23Y4M</v>
      </c>
      <c r="R283" s="28">
        <f>_xll.qlCalendarAdvance(Calendar,SettlementDate,Q283,"f",,Trigger)</f>
        <v>50803</v>
      </c>
      <c r="S283" s="28">
        <f>_xll.qlInterestRateIndexValueDate(Index,R283,Trigger)</f>
        <v>50805</v>
      </c>
      <c r="T283" s="28">
        <f>_xll.qlInterestRateIndexMaturity(Index,S283,Trigger)</f>
        <v>50833</v>
      </c>
      <c r="U283" s="30">
        <f>_xll.qlIndexFixing($M$5,R283,TRUE,InterestRatesTrigger)</f>
        <v>1.5490440557361294E-2</v>
      </c>
      <c r="V283" s="74">
        <f>_xll.qlIndexFixing(Index,R283,TRUE,InterestRatesTrigger)</f>
        <v>1.5528875355853724E-2</v>
      </c>
      <c r="W283" s="30">
        <f t="shared" si="21"/>
        <v>3.8434798492430547E-5</v>
      </c>
      <c r="X283" s="29">
        <f>_xll.qlDayCounterYearFraction(DayCounter,SettlementDate,S283,,,Trigger)</f>
        <v>23.683333333333334</v>
      </c>
      <c r="Y283" s="29">
        <f>_xll.qlDayCounterYearFraction(DayCounter,S283,T283)</f>
        <v>7.7777777777777779E-2</v>
      </c>
      <c r="Z283" s="29">
        <f>IF($M$13,_xll.qlYieldTSDiscount(Currency&amp;"ON",S283)/(1+V283*Y283),1)</f>
        <v>1</v>
      </c>
      <c r="AA283" s="30">
        <f>_xll.qlTenorBasisValue(TenorBasis1M,S283,InterestRatesTrigger)</f>
        <v>8.3465433045824949E-5</v>
      </c>
      <c r="AB283" s="74">
        <f t="shared" si="22"/>
        <v>1.5573905990407118E-2</v>
      </c>
      <c r="AC283" s="76">
        <f t="shared" si="23"/>
        <v>1.002899800115687</v>
      </c>
    </row>
    <row r="284" spans="16:29" x14ac:dyDescent="0.2">
      <c r="P284" s="33">
        <v>1</v>
      </c>
      <c r="Q284" s="27" t="str">
        <f>_xll.qlPeriodEquivalent(Q283&amp;"+"&amp;P284&amp;"M")</f>
        <v>23Y5M</v>
      </c>
      <c r="R284" s="28">
        <f>_xll.qlCalendarAdvance(Calendar,SettlementDate,Q284,"f",,Trigger)</f>
        <v>50831</v>
      </c>
      <c r="S284" s="28">
        <f>_xll.qlInterestRateIndexValueDate(Index,R284,Trigger)</f>
        <v>50833</v>
      </c>
      <c r="T284" s="28">
        <f>_xll.qlInterestRateIndexMaturity(Index,S284,Trigger)</f>
        <v>50864</v>
      </c>
      <c r="U284" s="30">
        <f>_xll.qlIndexFixing($M$5,R284,TRUE,InterestRatesTrigger)</f>
        <v>1.5456178403624848E-2</v>
      </c>
      <c r="V284" s="74">
        <f>_xll.qlIndexFixing(Index,R284,TRUE,InterestRatesTrigger)</f>
        <v>1.549104480244844E-2</v>
      </c>
      <c r="W284" s="30">
        <f t="shared" si="21"/>
        <v>3.4866398823591924E-5</v>
      </c>
      <c r="X284" s="29">
        <f>_xll.qlDayCounterYearFraction(DayCounter,SettlementDate,S284,,,Trigger)</f>
        <v>23.761111111111113</v>
      </c>
      <c r="Y284" s="29">
        <f>_xll.qlDayCounterYearFraction(DayCounter,S284,T284)</f>
        <v>8.611111111111111E-2</v>
      </c>
      <c r="Z284" s="29">
        <f>IF($M$13,_xll.qlYieldTSDiscount(Currency&amp;"ON",S284)/(1+V284*Y284),1)</f>
        <v>1</v>
      </c>
      <c r="AA284" s="30">
        <f>_xll.qlTenorBasisValue(TenorBasis1M,S284,InterestRatesTrigger)</f>
        <v>8.2604073925717772E-5</v>
      </c>
      <c r="AB284" s="74">
        <f t="shared" si="22"/>
        <v>1.5538782477550566E-2</v>
      </c>
      <c r="AC284" s="76">
        <f t="shared" si="23"/>
        <v>1.0030816304329957</v>
      </c>
    </row>
    <row r="285" spans="16:29" x14ac:dyDescent="0.2">
      <c r="P285" s="33">
        <v>1</v>
      </c>
      <c r="Q285" s="27" t="str">
        <f>_xll.qlPeriodEquivalent(Q284&amp;"+"&amp;P285&amp;"M")</f>
        <v>23Y6M</v>
      </c>
      <c r="R285" s="28">
        <f>_xll.qlCalendarAdvance(Calendar,SettlementDate,Q285,"f",,Trigger)</f>
        <v>50864</v>
      </c>
      <c r="S285" s="28">
        <f>_xll.qlInterestRateIndexValueDate(Index,R285,Trigger)</f>
        <v>50866</v>
      </c>
      <c r="T285" s="28">
        <f>_xll.qlInterestRateIndexMaturity(Index,S285,Trigger)</f>
        <v>50896</v>
      </c>
      <c r="U285" s="30">
        <f>_xll.qlIndexFixing($M$5,R285,TRUE,InterestRatesTrigger)</f>
        <v>1.5417782327167728E-2</v>
      </c>
      <c r="V285" s="74">
        <f>_xll.qlIndexFixing(Index,R285,TRUE,InterestRatesTrigger)</f>
        <v>1.54490244996488E-2</v>
      </c>
      <c r="W285" s="30">
        <f t="shared" si="21"/>
        <v>3.1242172481071862E-5</v>
      </c>
      <c r="X285" s="29">
        <f>_xll.qlDayCounterYearFraction(DayCounter,SettlementDate,S285,,,Trigger)</f>
        <v>23.852777777777778</v>
      </c>
      <c r="Y285" s="29">
        <f>_xll.qlDayCounterYearFraction(DayCounter,S285,T285)</f>
        <v>8.3333333333333329E-2</v>
      </c>
      <c r="Z285" s="29">
        <f>IF($M$13,_xll.qlYieldTSDiscount(Currency&amp;"ON",S285)/(1+V285*Y285),1)</f>
        <v>1</v>
      </c>
      <c r="AA285" s="30">
        <f>_xll.qlTenorBasisValue(TenorBasis1M,S285,InterestRatesTrigger)</f>
        <v>8.1599317350533618E-5</v>
      </c>
      <c r="AB285" s="74">
        <f t="shared" si="22"/>
        <v>1.5499381644518261E-2</v>
      </c>
      <c r="AC285" s="76">
        <f t="shared" si="23"/>
        <v>1.003259567933924</v>
      </c>
    </row>
    <row r="286" spans="16:29" x14ac:dyDescent="0.2">
      <c r="P286" s="33">
        <v>1</v>
      </c>
      <c r="Q286" s="27" t="str">
        <f>_xll.qlPeriodEquivalent(Q285&amp;"+"&amp;P286&amp;"M")</f>
        <v>23Y7M</v>
      </c>
      <c r="R286" s="28">
        <f>_xll.qlCalendarAdvance(Calendar,SettlementDate,Q286,"f",,Trigger)</f>
        <v>50892</v>
      </c>
      <c r="S286" s="28">
        <f>_xll.qlInterestRateIndexValueDate(Index,R286,Trigger)</f>
        <v>50894</v>
      </c>
      <c r="T286" s="28">
        <f>_xll.qlInterestRateIndexMaturity(Index,S286,Trigger)</f>
        <v>50927</v>
      </c>
      <c r="U286" s="30">
        <f>_xll.qlIndexFixing($M$5,R286,TRUE,InterestRatesTrigger)</f>
        <v>1.5384942124027585E-2</v>
      </c>
      <c r="V286" s="74">
        <f>_xll.qlIndexFixing(Index,R286,TRUE,InterestRatesTrigger)</f>
        <v>1.5413212708540965E-2</v>
      </c>
      <c r="W286" s="30">
        <f t="shared" si="21"/>
        <v>2.8270584513379049E-5</v>
      </c>
      <c r="X286" s="29">
        <f>_xll.qlDayCounterYearFraction(DayCounter,SettlementDate,S286,,,Trigger)</f>
        <v>23.930555555555557</v>
      </c>
      <c r="Y286" s="29">
        <f>_xll.qlDayCounterYearFraction(DayCounter,S286,T286)</f>
        <v>9.166666666666666E-2</v>
      </c>
      <c r="Z286" s="29">
        <f>IF($M$13,_xll.qlYieldTSDiscount(Currency&amp;"ON",S286)/(1+V286*Y286),1)</f>
        <v>1</v>
      </c>
      <c r="AA286" s="30">
        <f>_xll.qlTenorBasisValue(TenorBasis1M,S286,InterestRatesTrigger)</f>
        <v>8.0755562140096769E-5</v>
      </c>
      <c r="AB286" s="74">
        <f t="shared" si="22"/>
        <v>1.5465697686167682E-2</v>
      </c>
      <c r="AC286" s="76">
        <f t="shared" si="23"/>
        <v>1.0034051938826247</v>
      </c>
    </row>
    <row r="287" spans="16:29" x14ac:dyDescent="0.2">
      <c r="P287" s="33">
        <v>1</v>
      </c>
      <c r="Q287" s="27" t="str">
        <f>_xll.qlPeriodEquivalent(Q286&amp;"+"&amp;P287&amp;"M")</f>
        <v>23Y8M</v>
      </c>
      <c r="R287" s="28">
        <f>_xll.qlCalendarAdvance(Calendar,SettlementDate,Q287,"f",,Trigger)</f>
        <v>50923</v>
      </c>
      <c r="S287" s="28">
        <f>_xll.qlInterestRateIndexValueDate(Index,R287,Trigger)</f>
        <v>50927</v>
      </c>
      <c r="T287" s="28">
        <f>_xll.qlInterestRateIndexMaturity(Index,S287,Trigger)</f>
        <v>50957</v>
      </c>
      <c r="U287" s="30">
        <f>_xll.qlIndexFixing($M$5,R287,TRUE,InterestRatesTrigger)</f>
        <v>1.5348577541846709E-2</v>
      </c>
      <c r="V287" s="74">
        <f>_xll.qlIndexFixing(Index,R287,TRUE,InterestRatesTrigger)</f>
        <v>1.5374010186647524E-2</v>
      </c>
      <c r="W287" s="30">
        <f t="shared" si="21"/>
        <v>2.5432644800815751E-5</v>
      </c>
      <c r="X287" s="29">
        <f>_xll.qlDayCounterYearFraction(DayCounter,SettlementDate,S287,,,Trigger)</f>
        <v>24.022222222222222</v>
      </c>
      <c r="Y287" s="29">
        <f>_xll.qlDayCounterYearFraction(DayCounter,S287,T287)</f>
        <v>8.3333333333333329E-2</v>
      </c>
      <c r="Z287" s="29">
        <f>IF($M$13,_xll.qlYieldTSDiscount(Currency&amp;"ON",S287)/(1+V287*Y287),1)</f>
        <v>1</v>
      </c>
      <c r="AA287" s="30">
        <f>_xll.qlTenorBasisValue(TenorBasis1M,S287,InterestRatesTrigger)</f>
        <v>7.9771376815547426E-5</v>
      </c>
      <c r="AB287" s="74">
        <f t="shared" si="22"/>
        <v>1.5428348918662255E-2</v>
      </c>
      <c r="AC287" s="76">
        <f t="shared" si="23"/>
        <v>1.0035344540139517</v>
      </c>
    </row>
    <row r="288" spans="16:29" x14ac:dyDescent="0.2">
      <c r="P288" s="33">
        <v>1</v>
      </c>
      <c r="Q288" s="27" t="str">
        <f>_xll.qlPeriodEquivalent(Q287&amp;"+"&amp;P288&amp;"M")</f>
        <v>23Y9M</v>
      </c>
      <c r="R288" s="28">
        <f>_xll.qlCalendarAdvance(Calendar,SettlementDate,Q288,"f",,Trigger)</f>
        <v>50955</v>
      </c>
      <c r="S288" s="28">
        <f>_xll.qlInterestRateIndexValueDate(Index,R288,Trigger)</f>
        <v>50957</v>
      </c>
      <c r="T288" s="28">
        <f>_xll.qlInterestRateIndexMaturity(Index,S288,Trigger)</f>
        <v>50990</v>
      </c>
      <c r="U288" s="30">
        <f>_xll.qlIndexFixing($M$5,R288,TRUE,InterestRatesTrigger)</f>
        <v>1.531496563279091E-2</v>
      </c>
      <c r="V288" s="74">
        <f>_xll.qlIndexFixing(Index,R288,TRUE,InterestRatesTrigger)</f>
        <v>1.5337956745407057E-2</v>
      </c>
      <c r="W288" s="30">
        <f t="shared" si="21"/>
        <v>2.2991112616147294E-5</v>
      </c>
      <c r="X288" s="29">
        <f>_xll.qlDayCounterYearFraction(DayCounter,SettlementDate,S288,,,Trigger)</f>
        <v>24.105555555555554</v>
      </c>
      <c r="Y288" s="29">
        <f>_xll.qlDayCounterYearFraction(DayCounter,S288,T288)</f>
        <v>9.166666666666666E-2</v>
      </c>
      <c r="Z288" s="29">
        <f>IF($M$13,_xll.qlYieldTSDiscount(Currency&amp;"ON",S288)/(1+V288*Y288),1)</f>
        <v>1</v>
      </c>
      <c r="AA288" s="30">
        <f>_xll.qlTenorBasisValue(TenorBasis1M,S288,InterestRatesTrigger)</f>
        <v>7.8886195870055476E-5</v>
      </c>
      <c r="AB288" s="74">
        <f t="shared" si="22"/>
        <v>1.5393851828660965E-2</v>
      </c>
      <c r="AC288" s="76">
        <f t="shared" si="23"/>
        <v>1.0036442326824691</v>
      </c>
    </row>
    <row r="289" spans="16:29" x14ac:dyDescent="0.2">
      <c r="P289" s="33">
        <v>1</v>
      </c>
      <c r="Q289" s="27" t="str">
        <f>_xll.qlPeriodEquivalent(Q288&amp;"+"&amp;P289&amp;"M")</f>
        <v>23Y10M</v>
      </c>
      <c r="R289" s="28">
        <f>_xll.qlCalendarAdvance(Calendar,SettlementDate,Q289,"f",,Trigger)</f>
        <v>50984</v>
      </c>
      <c r="S289" s="28">
        <f>_xll.qlInterestRateIndexValueDate(Index,R289,Trigger)</f>
        <v>50986</v>
      </c>
      <c r="T289" s="28">
        <f>_xll.qlInterestRateIndexMaturity(Index,S289,Trigger)</f>
        <v>51018</v>
      </c>
      <c r="U289" s="30">
        <f>_xll.qlIndexFixing($M$5,R289,TRUE,InterestRatesTrigger)</f>
        <v>1.5284005404969381E-2</v>
      </c>
      <c r="V289" s="74">
        <f>_xll.qlIndexFixing(Index,R289,TRUE,InterestRatesTrigger)</f>
        <v>1.5305130770036646E-2</v>
      </c>
      <c r="W289" s="30">
        <f t="shared" si="21"/>
        <v>2.1125365067264923E-5</v>
      </c>
      <c r="X289" s="29">
        <f>_xll.qlDayCounterYearFraction(DayCounter,SettlementDate,S289,,,Trigger)</f>
        <v>24.18611111111111</v>
      </c>
      <c r="Y289" s="29">
        <f>_xll.qlDayCounterYearFraction(DayCounter,S289,T289)</f>
        <v>8.8888888888888892E-2</v>
      </c>
      <c r="Z289" s="29">
        <f>IF($M$13,_xll.qlYieldTSDiscount(Currency&amp;"ON",S289)/(1+V289*Y289),1)</f>
        <v>1</v>
      </c>
      <c r="AA289" s="30">
        <f>_xll.qlTenorBasisValue(TenorBasis1M,S289,InterestRatesTrigger)</f>
        <v>7.8039076579489199E-5</v>
      </c>
      <c r="AB289" s="74">
        <f t="shared" si="22"/>
        <v>1.536204448154887E-2</v>
      </c>
      <c r="AC289" s="76">
        <f t="shared" si="23"/>
        <v>1.0037186034126311</v>
      </c>
    </row>
    <row r="290" spans="16:29" x14ac:dyDescent="0.2">
      <c r="P290" s="33">
        <v>1</v>
      </c>
      <c r="Q290" s="27" t="str">
        <f>_xll.qlPeriodEquivalent(Q289&amp;"+"&amp;P290&amp;"M")</f>
        <v>23Y11M</v>
      </c>
      <c r="R290" s="28">
        <f>_xll.qlCalendarAdvance(Calendar,SettlementDate,Q290,"f",,Trigger)</f>
        <v>51015</v>
      </c>
      <c r="S290" s="28">
        <f>_xll.qlInterestRateIndexValueDate(Index,R290,Trigger)</f>
        <v>51019</v>
      </c>
      <c r="T290" s="28">
        <f>_xll.qlInterestRateIndexMaturity(Index,S290,Trigger)</f>
        <v>51049</v>
      </c>
      <c r="U290" s="30">
        <f>_xll.qlIndexFixing($M$5,R290,TRUE,InterestRatesTrigger)</f>
        <v>1.5249720102366915E-2</v>
      </c>
      <c r="V290" s="74">
        <f>_xll.qlIndexFixing(Index,R290,TRUE,InterestRatesTrigger)</f>
        <v>1.5269169448497877E-2</v>
      </c>
      <c r="W290" s="30">
        <f t="shared" si="21"/>
        <v>1.9449346130961942E-5</v>
      </c>
      <c r="X290" s="29">
        <f>_xll.qlDayCounterYearFraction(DayCounter,SettlementDate,S290,,,Trigger)</f>
        <v>24.277777777777779</v>
      </c>
      <c r="Y290" s="29">
        <f>_xll.qlDayCounterYearFraction(DayCounter,S290,T290)</f>
        <v>8.3333333333333329E-2</v>
      </c>
      <c r="Z290" s="29">
        <f>IF($M$13,_xll.qlYieldTSDiscount(Currency&amp;"ON",S290)/(1+V290*Y290),1)</f>
        <v>1</v>
      </c>
      <c r="AA290" s="30">
        <f>_xll.qlTenorBasisValue(TenorBasis1M,S290,InterestRatesTrigger)</f>
        <v>7.7085255310455772E-5</v>
      </c>
      <c r="AB290" s="74">
        <f t="shared" si="22"/>
        <v>1.5326805357677371E-2</v>
      </c>
      <c r="AC290" s="76">
        <f t="shared" si="23"/>
        <v>1.0037746590850207</v>
      </c>
    </row>
    <row r="291" spans="16:29" x14ac:dyDescent="0.2">
      <c r="P291" s="33">
        <v>1</v>
      </c>
      <c r="Q291" s="27" t="str">
        <f>_xll.qlPeriodEquivalent(Q290&amp;"+"&amp;P291&amp;"M")</f>
        <v>24Y</v>
      </c>
      <c r="R291" s="28">
        <f>_xll.qlCalendarAdvance(Calendar,SettlementDate,Q291,"f",,Trigger)</f>
        <v>51046</v>
      </c>
      <c r="S291" s="28">
        <f>_xll.qlInterestRateIndexValueDate(Index,R291,Trigger)</f>
        <v>51048</v>
      </c>
      <c r="T291" s="28">
        <f>_xll.qlInterestRateIndexMaturity(Index,S291,Trigger)</f>
        <v>51081</v>
      </c>
      <c r="U291" s="30">
        <f>_xll.qlIndexFixing($M$5,R291,TRUE,InterestRatesTrigger)</f>
        <v>1.5219381891541676E-2</v>
      </c>
      <c r="V291" s="74">
        <f>_xll.qlIndexFixing(Index,R291,TRUE,InterestRatesTrigger)</f>
        <v>1.5237680282630093E-2</v>
      </c>
      <c r="W291" s="30">
        <f t="shared" si="21"/>
        <v>1.8298391088416785E-5</v>
      </c>
      <c r="X291" s="29">
        <f>_xll.qlDayCounterYearFraction(DayCounter,SettlementDate,S291,,,Trigger)</f>
        <v>24.358333333333334</v>
      </c>
      <c r="Y291" s="29">
        <f>_xll.qlDayCounterYearFraction(DayCounter,S291,T291)</f>
        <v>9.166666666666666E-2</v>
      </c>
      <c r="Z291" s="29">
        <f>IF($M$13,_xll.qlYieldTSDiscount(Currency&amp;"ON",S291)/(1+V291*Y291),1)</f>
        <v>1</v>
      </c>
      <c r="AA291" s="30">
        <f>_xll.qlTenorBasisValue(TenorBasis1M,S291,InterestRatesTrigger)</f>
        <v>7.6255884722492364E-5</v>
      </c>
      <c r="AB291" s="74">
        <f t="shared" si="22"/>
        <v>1.5295637776264168E-2</v>
      </c>
      <c r="AC291" s="76">
        <f t="shared" si="23"/>
        <v>1.0038035640963108</v>
      </c>
    </row>
    <row r="292" spans="16:29" x14ac:dyDescent="0.2">
      <c r="P292" s="33">
        <v>1</v>
      </c>
      <c r="Q292" s="27" t="str">
        <f>_xll.qlPeriodEquivalent(Q291&amp;"+"&amp;P292&amp;"M")</f>
        <v>24Y1M</v>
      </c>
      <c r="R292" s="28">
        <f>_xll.qlCalendarAdvance(Calendar,SettlementDate,Q292,"f",,Trigger)</f>
        <v>51076</v>
      </c>
      <c r="S292" s="28">
        <f>_xll.qlInterestRateIndexValueDate(Index,R292,Trigger)</f>
        <v>51078</v>
      </c>
      <c r="T292" s="28">
        <f>_xll.qlInterestRateIndexMaturity(Index,S292,Trigger)</f>
        <v>51109</v>
      </c>
      <c r="U292" s="30">
        <f>_xll.qlIndexFixing($M$5,R292,TRUE,InterestRatesTrigger)</f>
        <v>1.5189640433305496E-2</v>
      </c>
      <c r="V292" s="74">
        <f>_xll.qlIndexFixing(Index,R292,TRUE,InterestRatesTrigger)</f>
        <v>1.520725020359521E-2</v>
      </c>
      <c r="W292" s="30">
        <f t="shared" si="21"/>
        <v>1.7609770289713986E-5</v>
      </c>
      <c r="X292" s="29">
        <f>_xll.qlDayCounterYearFraction(DayCounter,SettlementDate,S292,,,Trigger)</f>
        <v>24.441666666666666</v>
      </c>
      <c r="Y292" s="29">
        <f>_xll.qlDayCounterYearFraction(DayCounter,S292,T292)</f>
        <v>8.611111111111111E-2</v>
      </c>
      <c r="Z292" s="29">
        <f>IF($M$13,_xll.qlYieldTSDiscount(Currency&amp;"ON",S292)/(1+V292*Y292),1)</f>
        <v>1</v>
      </c>
      <c r="AA292" s="30">
        <f>_xll.qlTenorBasisValue(TenorBasis1M,S292,InterestRatesTrigger)</f>
        <v>7.5406537507383657E-5</v>
      </c>
      <c r="AB292" s="74">
        <f t="shared" si="22"/>
        <v>1.5265046970812881E-2</v>
      </c>
      <c r="AC292" s="76">
        <f t="shared" si="23"/>
        <v>1.0038006060559197</v>
      </c>
    </row>
    <row r="293" spans="16:29" x14ac:dyDescent="0.2">
      <c r="P293" s="33">
        <v>1</v>
      </c>
      <c r="Q293" s="27" t="str">
        <f>_xll.qlPeriodEquivalent(Q292&amp;"+"&amp;P293&amp;"M")</f>
        <v>24Y2M</v>
      </c>
      <c r="R293" s="28">
        <f>_xll.qlCalendarAdvance(Calendar,SettlementDate,Q293,"f",,Trigger)</f>
        <v>51106</v>
      </c>
      <c r="S293" s="28">
        <f>_xll.qlInterestRateIndexValueDate(Index,R293,Trigger)</f>
        <v>51110</v>
      </c>
      <c r="T293" s="28">
        <f>_xll.qlInterestRateIndexMaturity(Index,S293,Trigger)</f>
        <v>51141</v>
      </c>
      <c r="U293" s="30">
        <f>_xll.qlIndexFixing($M$5,R293,TRUE,InterestRatesTrigger)</f>
        <v>1.5158301590411847E-2</v>
      </c>
      <c r="V293" s="74">
        <f>_xll.qlIndexFixing(Index,R293,TRUE,InterestRatesTrigger)</f>
        <v>1.5175649446789067E-2</v>
      </c>
      <c r="W293" s="30">
        <f t="shared" si="21"/>
        <v>1.7347856377220028E-5</v>
      </c>
      <c r="X293" s="29">
        <f>_xll.qlDayCounterYearFraction(DayCounter,SettlementDate,S293,,,Trigger)</f>
        <v>24.530555555555555</v>
      </c>
      <c r="Y293" s="29">
        <f>_xll.qlDayCounterYearFraction(DayCounter,S293,T293)</f>
        <v>8.611111111111111E-2</v>
      </c>
      <c r="Z293" s="29">
        <f>IF($M$13,_xll.qlYieldTSDiscount(Currency&amp;"ON",S293)/(1+V293*Y293),1)</f>
        <v>1</v>
      </c>
      <c r="AA293" s="30">
        <f>_xll.qlTenorBasisValue(TenorBasis1M,S293,InterestRatesTrigger)</f>
        <v>7.4510148100828113E-5</v>
      </c>
      <c r="AB293" s="74">
        <f t="shared" si="22"/>
        <v>1.5232811738512675E-2</v>
      </c>
      <c r="AC293" s="76">
        <f t="shared" si="23"/>
        <v>1.0037667113967041</v>
      </c>
    </row>
    <row r="294" spans="16:29" x14ac:dyDescent="0.2">
      <c r="P294" s="33">
        <v>1</v>
      </c>
      <c r="Q294" s="27" t="str">
        <f>_xll.qlPeriodEquivalent(Q293&amp;"+"&amp;P294&amp;"M")</f>
        <v>24Y3M</v>
      </c>
      <c r="R294" s="28">
        <f>_xll.qlCalendarAdvance(Calendar,SettlementDate,Q294,"f",,Trigger)</f>
        <v>51137</v>
      </c>
      <c r="S294" s="28">
        <f>_xll.qlInterestRateIndexValueDate(Index,R294,Trigger)</f>
        <v>51139</v>
      </c>
      <c r="T294" s="28">
        <f>_xll.qlInterestRateIndexMaturity(Index,S294,Trigger)</f>
        <v>51172</v>
      </c>
      <c r="U294" s="30">
        <f>_xll.qlIndexFixing($M$5,R294,TRUE,InterestRatesTrigger)</f>
        <v>1.5130290213254809E-2</v>
      </c>
      <c r="V294" s="74">
        <f>_xll.qlIndexFixing(Index,R294,TRUE,InterestRatesTrigger)</f>
        <v>1.5147889067078748E-2</v>
      </c>
      <c r="W294" s="30">
        <f t="shared" si="21"/>
        <v>1.7598853823939248E-5</v>
      </c>
      <c r="X294" s="29">
        <f>_xll.qlDayCounterYearFraction(DayCounter,SettlementDate,S294,,,Trigger)</f>
        <v>24.611111111111111</v>
      </c>
      <c r="Y294" s="29">
        <f>_xll.qlDayCounterYearFraction(DayCounter,S294,T294)</f>
        <v>9.166666666666666E-2</v>
      </c>
      <c r="Z294" s="29">
        <f>IF($M$13,_xll.qlYieldTSDiscount(Currency&amp;"ON",S294)/(1+V294*Y294),1)</f>
        <v>1</v>
      </c>
      <c r="AA294" s="30">
        <f>_xll.qlTenorBasisValue(TenorBasis1M,S294,InterestRatesTrigger)</f>
        <v>7.3706263465282213E-5</v>
      </c>
      <c r="AB294" s="74">
        <f t="shared" si="22"/>
        <v>1.5203996476720091E-2</v>
      </c>
      <c r="AC294" s="76">
        <f t="shared" si="23"/>
        <v>1.0037039754775656</v>
      </c>
    </row>
    <row r="295" spans="16:29" x14ac:dyDescent="0.2">
      <c r="P295" s="33">
        <v>1</v>
      </c>
      <c r="Q295" s="27" t="str">
        <f>_xll.qlPeriodEquivalent(Q294&amp;"+"&amp;P295&amp;"M")</f>
        <v>24Y4M</v>
      </c>
      <c r="R295" s="28">
        <f>_xll.qlCalendarAdvance(Calendar,SettlementDate,Q295,"f",,Trigger)</f>
        <v>51168</v>
      </c>
      <c r="S295" s="28">
        <f>_xll.qlInterestRateIndexValueDate(Index,R295,Trigger)</f>
        <v>51172</v>
      </c>
      <c r="T295" s="28">
        <f>_xll.qlInterestRateIndexMaturity(Index,S295,Trigger)</f>
        <v>51201</v>
      </c>
      <c r="U295" s="30">
        <f>_xll.qlIndexFixing($M$5,R295,TRUE,InterestRatesTrigger)</f>
        <v>1.5100148356635633E-2</v>
      </c>
      <c r="V295" s="74">
        <f>_xll.qlIndexFixing(Index,R295,TRUE,InterestRatesTrigger)</f>
        <v>1.5118516283412438E-2</v>
      </c>
      <c r="W295" s="30">
        <f t="shared" si="21"/>
        <v>1.8367926776804641E-5</v>
      </c>
      <c r="X295" s="29">
        <f>_xll.qlDayCounterYearFraction(DayCounter,SettlementDate,S295,,,Trigger)</f>
        <v>24.702777777777779</v>
      </c>
      <c r="Y295" s="29">
        <f>_xll.qlDayCounterYearFraction(DayCounter,S295,T295)</f>
        <v>8.0555555555555561E-2</v>
      </c>
      <c r="Z295" s="29">
        <f>IF($M$13,_xll.qlYieldTSDiscount(Currency&amp;"ON",S295)/(1+V295*Y295),1)</f>
        <v>1</v>
      </c>
      <c r="AA295" s="30">
        <f>_xll.qlTenorBasisValue(TenorBasis1M,S295,InterestRatesTrigger)</f>
        <v>7.2801203983357464E-5</v>
      </c>
      <c r="AB295" s="74">
        <f t="shared" si="22"/>
        <v>1.517294956061899E-2</v>
      </c>
      <c r="AC295" s="76">
        <f t="shared" si="23"/>
        <v>1.0036004377801462</v>
      </c>
    </row>
    <row r="296" spans="16:29" x14ac:dyDescent="0.2">
      <c r="P296" s="33">
        <v>1</v>
      </c>
      <c r="Q296" s="27" t="str">
        <f>_xll.qlPeriodEquivalent(Q295&amp;"+"&amp;P296&amp;"M")</f>
        <v>24Y5M</v>
      </c>
      <c r="R296" s="28">
        <f>_xll.qlCalendarAdvance(Calendar,SettlementDate,Q296,"f",,Trigger)</f>
        <v>51197</v>
      </c>
      <c r="S296" s="28">
        <f>_xll.qlInterestRateIndexValueDate(Index,R296,Trigger)</f>
        <v>51201</v>
      </c>
      <c r="T296" s="28">
        <f>_xll.qlInterestRateIndexMaturity(Index,S296,Trigger)</f>
        <v>51232</v>
      </c>
      <c r="U296" s="30">
        <f>_xll.qlIndexFixing($M$5,R296,TRUE,InterestRatesTrigger)</f>
        <v>1.5073568756271756E-2</v>
      </c>
      <c r="V296" s="74">
        <f>_xll.qlIndexFixing(Index,R296,TRUE,InterestRatesTrigger)</f>
        <v>1.5093221823329384E-2</v>
      </c>
      <c r="W296" s="30">
        <f t="shared" si="21"/>
        <v>1.9653067057628232E-5</v>
      </c>
      <c r="X296" s="29">
        <f>_xll.qlDayCounterYearFraction(DayCounter,SettlementDate,S296,,,Trigger)</f>
        <v>24.783333333333335</v>
      </c>
      <c r="Y296" s="29">
        <f>_xll.qlDayCounterYearFraction(DayCounter,S296,T296)</f>
        <v>8.611111111111111E-2</v>
      </c>
      <c r="Z296" s="29">
        <f>IF($M$13,_xll.qlYieldTSDiscount(Currency&amp;"ON",S296)/(1+V296*Y296),1)</f>
        <v>1</v>
      </c>
      <c r="AA296" s="30">
        <f>_xll.qlTenorBasisValue(TenorBasis1M,S296,InterestRatesTrigger)</f>
        <v>7.2014303123141231E-5</v>
      </c>
      <c r="AB296" s="74">
        <f t="shared" si="22"/>
        <v>1.5145583059394898E-2</v>
      </c>
      <c r="AC296" s="76">
        <f t="shared" si="23"/>
        <v>1.0034691887973566</v>
      </c>
    </row>
    <row r="297" spans="16:29" x14ac:dyDescent="0.2">
      <c r="P297" s="33">
        <v>1</v>
      </c>
      <c r="Q297" s="27" t="str">
        <f>_xll.qlPeriodEquivalent(Q296&amp;"+"&amp;P297&amp;"M")</f>
        <v>24Y6M</v>
      </c>
      <c r="R297" s="28">
        <f>_xll.qlCalendarAdvance(Calendar,SettlementDate,Q297,"f",,Trigger)</f>
        <v>51229</v>
      </c>
      <c r="S297" s="28">
        <f>_xll.qlInterestRateIndexValueDate(Index,R297,Trigger)</f>
        <v>51231</v>
      </c>
      <c r="T297" s="28">
        <f>_xll.qlInterestRateIndexMaturity(Index,S297,Trigger)</f>
        <v>51263</v>
      </c>
      <c r="U297" s="30">
        <f>_xll.qlIndexFixing($M$5,R297,TRUE,InterestRatesTrigger)</f>
        <v>1.5046938080758021E-2</v>
      </c>
      <c r="V297" s="74">
        <f>_xll.qlIndexFixing(Index,R297,TRUE,InterestRatesTrigger)</f>
        <v>1.5068449937139239E-2</v>
      </c>
      <c r="W297" s="30">
        <f t="shared" si="21"/>
        <v>2.1511856381217775E-5</v>
      </c>
      <c r="X297" s="29">
        <f>_xll.qlDayCounterYearFraction(DayCounter,SettlementDate,S297,,,Trigger)</f>
        <v>24.866666666666667</v>
      </c>
      <c r="Y297" s="29">
        <f>_xll.qlDayCounterYearFraction(DayCounter,S297,T297)</f>
        <v>8.8888888888888892E-2</v>
      </c>
      <c r="Z297" s="29">
        <f>IF($M$13,_xll.qlYieldTSDiscount(Currency&amp;"ON",S297)/(1+V297*Y297),1)</f>
        <v>1</v>
      </c>
      <c r="AA297" s="30">
        <f>_xll.qlTenorBasisValue(TenorBasis1M,S297,InterestRatesTrigger)</f>
        <v>7.1208516376731142E-5</v>
      </c>
      <c r="AB297" s="74">
        <f t="shared" si="22"/>
        <v>1.5118146597134752E-2</v>
      </c>
      <c r="AC297" s="76">
        <f t="shared" si="23"/>
        <v>1.0032980605306341</v>
      </c>
    </row>
    <row r="298" spans="16:29" x14ac:dyDescent="0.2">
      <c r="P298" s="33">
        <v>1</v>
      </c>
      <c r="Q298" s="27" t="str">
        <f>_xll.qlPeriodEquivalent(Q297&amp;"+"&amp;P298&amp;"M")</f>
        <v>24Y7M</v>
      </c>
      <c r="R298" s="28">
        <f>_xll.qlCalendarAdvance(Calendar,SettlementDate,Q298,"f",,Trigger)</f>
        <v>51258</v>
      </c>
      <c r="S298" s="28">
        <f>_xll.qlInterestRateIndexValueDate(Index,R298,Trigger)</f>
        <v>51260</v>
      </c>
      <c r="T298" s="28">
        <f>_xll.qlInterestRateIndexMaturity(Index,S298,Trigger)</f>
        <v>51291</v>
      </c>
      <c r="U298" s="30">
        <f>_xll.qlIndexFixing($M$5,R298,TRUE,InterestRatesTrigger)</f>
        <v>1.5022100714915209E-2</v>
      </c>
      <c r="V298" s="74">
        <f>_xll.qlIndexFixing(Index,R298,TRUE,InterestRatesTrigger)</f>
        <v>1.5045869000270579E-2</v>
      </c>
      <c r="W298" s="30">
        <f t="shared" si="21"/>
        <v>2.3768285355369942E-5</v>
      </c>
      <c r="X298" s="29">
        <f>_xll.qlDayCounterYearFraction(DayCounter,SettlementDate,S298,,,Trigger)</f>
        <v>24.947222222222223</v>
      </c>
      <c r="Y298" s="29">
        <f>_xll.qlDayCounterYearFraction(DayCounter,S298,T298)</f>
        <v>8.611111111111111E-2</v>
      </c>
      <c r="Z298" s="29">
        <f>IF($M$13,_xll.qlYieldTSDiscount(Currency&amp;"ON",S298)/(1+V298*Y298),1)</f>
        <v>1</v>
      </c>
      <c r="AA298" s="30">
        <f>_xll.qlTenorBasisValue(TenorBasis1M,S298,InterestRatesTrigger)</f>
        <v>7.0437494647773889E-5</v>
      </c>
      <c r="AB298" s="74">
        <f t="shared" si="22"/>
        <v>1.5092538209562982E-2</v>
      </c>
      <c r="AC298" s="76">
        <f t="shared" si="23"/>
        <v>1.0031017955354764</v>
      </c>
    </row>
    <row r="299" spans="16:29" x14ac:dyDescent="0.2">
      <c r="P299" s="33">
        <v>1</v>
      </c>
      <c r="Q299" s="27" t="str">
        <f>_xll.qlPeriodEquivalent(Q298&amp;"+"&amp;P299&amp;"M")</f>
        <v>24Y8M</v>
      </c>
      <c r="R299" s="28">
        <f>_xll.qlCalendarAdvance(Calendar,SettlementDate,Q299,"f",,Trigger)</f>
        <v>51291</v>
      </c>
      <c r="S299" s="28">
        <f>_xll.qlInterestRateIndexValueDate(Index,R299,Trigger)</f>
        <v>51293</v>
      </c>
      <c r="T299" s="28">
        <f>_xll.qlInterestRateIndexMaturity(Index,S299,Trigger)</f>
        <v>51323</v>
      </c>
      <c r="U299" s="30">
        <f>_xll.qlIndexFixing($M$5,R299,TRUE,InterestRatesTrigger)</f>
        <v>1.4994601036360855E-2</v>
      </c>
      <c r="V299" s="74">
        <f>_xll.qlIndexFixing(Index,R299,TRUE,InterestRatesTrigger)</f>
        <v>1.5021584364098395E-2</v>
      </c>
      <c r="W299" s="30">
        <f t="shared" si="21"/>
        <v>2.6983327737539753E-5</v>
      </c>
      <c r="X299" s="29">
        <f>_xll.qlDayCounterYearFraction(DayCounter,SettlementDate,S299,,,Trigger)</f>
        <v>25.038888888888888</v>
      </c>
      <c r="Y299" s="29">
        <f>_xll.qlDayCounterYearFraction(DayCounter,S299,T299)</f>
        <v>8.3333333333333329E-2</v>
      </c>
      <c r="Z299" s="29">
        <f>IF($M$13,_xll.qlYieldTSDiscount(Currency&amp;"ON",S299)/(1+V299*Y299),1)</f>
        <v>1</v>
      </c>
      <c r="AA299" s="30">
        <f>_xll.qlTenorBasisValue(TenorBasis1M,S299,InterestRatesTrigger)</f>
        <v>6.9569493551115353E-5</v>
      </c>
      <c r="AB299" s="74">
        <f t="shared" si="22"/>
        <v>1.506417052991197E-2</v>
      </c>
      <c r="AC299" s="76">
        <f t="shared" si="23"/>
        <v>1.0028349982785676</v>
      </c>
    </row>
    <row r="300" spans="16:29" x14ac:dyDescent="0.2">
      <c r="P300" s="33">
        <v>1</v>
      </c>
      <c r="Q300" s="27" t="str">
        <f>_xll.qlPeriodEquivalent(Q299&amp;"+"&amp;P300&amp;"M")</f>
        <v>24Y9M</v>
      </c>
      <c r="R300" s="28">
        <f>_xll.qlCalendarAdvance(Calendar,SettlementDate,Q300,"f",,Trigger)</f>
        <v>51319</v>
      </c>
      <c r="S300" s="28">
        <f>_xll.qlInterestRateIndexValueDate(Index,R300,Trigger)</f>
        <v>51321</v>
      </c>
      <c r="T300" s="28">
        <f>_xll.qlInterestRateIndexMaturity(Index,S300,Trigger)</f>
        <v>51354</v>
      </c>
      <c r="U300" s="30">
        <f>_xll.qlIndexFixing($M$5,R300,TRUE,InterestRatesTrigger)</f>
        <v>1.4971582421848919E-2</v>
      </c>
      <c r="V300" s="74">
        <f>_xll.qlIndexFixing(Index,R300,TRUE,InterestRatesTrigger)</f>
        <v>1.5002109312214755E-2</v>
      </c>
      <c r="W300" s="30">
        <f t="shared" si="21"/>
        <v>3.0526890365836085E-5</v>
      </c>
      <c r="X300" s="29">
        <f>_xll.qlDayCounterYearFraction(DayCounter,SettlementDate,S300,,,Trigger)</f>
        <v>25.116666666666667</v>
      </c>
      <c r="Y300" s="29">
        <f>_xll.qlDayCounterYearFraction(DayCounter,S300,T300)</f>
        <v>9.166666666666666E-2</v>
      </c>
      <c r="Z300" s="29">
        <f>IF($M$13,_xll.qlYieldTSDiscount(Currency&amp;"ON",S300)/(1+V300*Y300),1)</f>
        <v>1</v>
      </c>
      <c r="AA300" s="30">
        <f>_xll.qlTenorBasisValue(TenorBasis1M,S300,InterestRatesTrigger)</f>
        <v>6.8840759648996591E-5</v>
      </c>
      <c r="AB300" s="74">
        <f t="shared" si="22"/>
        <v>1.5040423181497916E-2</v>
      </c>
      <c r="AC300" s="76">
        <f t="shared" si="23"/>
        <v>1.0025538988208789</v>
      </c>
    </row>
    <row r="301" spans="16:29" x14ac:dyDescent="0.2">
      <c r="P301" s="33">
        <v>1</v>
      </c>
      <c r="Q301" s="27" t="str">
        <f>_xll.qlPeriodEquivalent(Q300&amp;"+"&amp;P301&amp;"M")</f>
        <v>24Y10M</v>
      </c>
      <c r="R301" s="28">
        <f>_xll.qlCalendarAdvance(Calendar,SettlementDate,Q301,"f",,Trigger)</f>
        <v>51350</v>
      </c>
      <c r="S301" s="28">
        <f>_xll.qlInterestRateIndexValueDate(Index,R301,Trigger)</f>
        <v>51354</v>
      </c>
      <c r="T301" s="28">
        <f>_xll.qlInterestRateIndexMaturity(Index,S301,Trigger)</f>
        <v>51385</v>
      </c>
      <c r="U301" s="30">
        <f>_xll.qlIndexFixing($M$5,R301,TRUE,InterestRatesTrigger)</f>
        <v>1.49457375013717E-2</v>
      </c>
      <c r="V301" s="74">
        <f>_xll.qlIndexFixing(Index,R301,TRUE,InterestRatesTrigger)</f>
        <v>1.4980776457443782E-2</v>
      </c>
      <c r="W301" s="30">
        <f t="shared" si="21"/>
        <v>3.5038956072082003E-5</v>
      </c>
      <c r="X301" s="29">
        <f>_xll.qlDayCounterYearFraction(DayCounter,SettlementDate,S301,,,Trigger)</f>
        <v>25.208333333333332</v>
      </c>
      <c r="Y301" s="29">
        <f>_xll.qlDayCounterYearFraction(DayCounter,S301,T301)</f>
        <v>8.611111111111111E-2</v>
      </c>
      <c r="Z301" s="29">
        <f>IF($M$13,_xll.qlYieldTSDiscount(Currency&amp;"ON",S301)/(1+V301*Y301),1)</f>
        <v>1</v>
      </c>
      <c r="AA301" s="30">
        <f>_xll.qlTenorBasisValue(TenorBasis1M,S301,InterestRatesTrigger)</f>
        <v>6.7990946479743543E-5</v>
      </c>
      <c r="AB301" s="74">
        <f t="shared" si="22"/>
        <v>1.5013728447851444E-2</v>
      </c>
      <c r="AC301" s="76">
        <f t="shared" si="23"/>
        <v>1.0021996183242752</v>
      </c>
    </row>
    <row r="302" spans="16:29" x14ac:dyDescent="0.2">
      <c r="P302" s="33">
        <v>1</v>
      </c>
      <c r="Q302" s="27" t="str">
        <f>_xll.qlPeriodEquivalent(Q301&amp;"+"&amp;P302&amp;"M")</f>
        <v>24Y11M</v>
      </c>
      <c r="R302" s="28">
        <f>_xll.qlCalendarAdvance(Calendar,SettlementDate,Q302,"f",,Trigger)</f>
        <v>51382</v>
      </c>
      <c r="S302" s="28">
        <f>_xll.qlInterestRateIndexValueDate(Index,R302,Trigger)</f>
        <v>51384</v>
      </c>
      <c r="T302" s="28">
        <f>_xll.qlInterestRateIndexMaturity(Index,S302,Trigger)</f>
        <v>51414</v>
      </c>
      <c r="U302" s="30">
        <f>_xll.qlIndexFixing($M$5,R302,TRUE,InterestRatesTrigger)</f>
        <v>1.4922889166936848E-2</v>
      </c>
      <c r="V302" s="74">
        <f>_xll.qlIndexFixing(Index,R302,TRUE,InterestRatesTrigger)</f>
        <v>1.4962741981164207E-2</v>
      </c>
      <c r="W302" s="30">
        <f t="shared" si="21"/>
        <v>3.985281422735909E-5</v>
      </c>
      <c r="X302" s="29">
        <f>_xll.qlDayCounterYearFraction(DayCounter,SettlementDate,S302,,,Trigger)</f>
        <v>25.291666666666668</v>
      </c>
      <c r="Y302" s="29">
        <f>_xll.qlDayCounterYearFraction(DayCounter,S302,T302)</f>
        <v>8.3333333333333329E-2</v>
      </c>
      <c r="Z302" s="29">
        <f>IF($M$13,_xll.qlYieldTSDiscount(Currency&amp;"ON",S302)/(1+V302*Y302),1)</f>
        <v>1</v>
      </c>
      <c r="AA302" s="30">
        <f>_xll.qlTenorBasisValue(TenorBasis1M,S302,InterestRatesTrigger)</f>
        <v>6.7226811511152977E-5</v>
      </c>
      <c r="AB302" s="74">
        <f t="shared" si="22"/>
        <v>1.4990115978448001E-2</v>
      </c>
      <c r="AC302" s="76">
        <f t="shared" si="23"/>
        <v>1.0018294773323135</v>
      </c>
    </row>
    <row r="303" spans="16:29" x14ac:dyDescent="0.2">
      <c r="P303" s="33">
        <v>1</v>
      </c>
      <c r="Q303" s="27" t="str">
        <f>_xll.qlPeriodEquivalent(Q302&amp;"+"&amp;P303&amp;"M")</f>
        <v>25Y</v>
      </c>
      <c r="R303" s="28">
        <f>_xll.qlCalendarAdvance(Calendar,SettlementDate,Q303,"f",,Trigger)</f>
        <v>51411</v>
      </c>
      <c r="S303" s="28">
        <f>_xll.qlInterestRateIndexValueDate(Index,R303,Trigger)</f>
        <v>51413</v>
      </c>
      <c r="T303" s="28">
        <f>_xll.qlInterestRateIndexMaturity(Index,S303,Trigger)</f>
        <v>51445</v>
      </c>
      <c r="U303" s="30">
        <f>_xll.qlIndexFixing($M$5,R303,TRUE,InterestRatesTrigger)</f>
        <v>1.4901297551613846E-2</v>
      </c>
      <c r="V303" s="74">
        <f>_xll.qlIndexFixing(Index,R303,TRUE,InterestRatesTrigger)</f>
        <v>1.4946472983176917E-2</v>
      </c>
      <c r="W303" s="30">
        <f t="shared" si="21"/>
        <v>4.5175431563071466E-5</v>
      </c>
      <c r="X303" s="29">
        <f>_xll.qlDayCounterYearFraction(DayCounter,SettlementDate,S303,,,Trigger)</f>
        <v>25.372222222222224</v>
      </c>
      <c r="Y303" s="29">
        <f>_xll.qlDayCounterYearFraction(DayCounter,S303,T303)</f>
        <v>8.8888888888888892E-2</v>
      </c>
      <c r="Z303" s="29">
        <f>IF($M$13,_xll.qlYieldTSDiscount(Currency&amp;"ON",S303)/(1+V303*Y303),1)</f>
        <v>1</v>
      </c>
      <c r="AA303" s="30">
        <f>_xll.qlTenorBasisValue(TenorBasis1M,S303,InterestRatesTrigger)</f>
        <v>6.6495703093581639E-5</v>
      </c>
      <c r="AB303" s="74">
        <f t="shared" si="22"/>
        <v>1.4967793254707427E-2</v>
      </c>
      <c r="AC303" s="76">
        <f t="shared" si="23"/>
        <v>1.0014264416464345</v>
      </c>
    </row>
    <row r="304" spans="16:29" x14ac:dyDescent="0.2">
      <c r="P304" s="33">
        <v>1</v>
      </c>
      <c r="Q304" s="27" t="str">
        <f>_xll.qlPeriodEquivalent(Q303&amp;"+"&amp;P304&amp;"M")</f>
        <v>25Y1M</v>
      </c>
      <c r="R304" s="28">
        <f>_xll.qlCalendarAdvance(Calendar,SettlementDate,Q304,"f",,Trigger)</f>
        <v>51442</v>
      </c>
      <c r="S304" s="28">
        <f>_xll.qlInterestRateIndexValueDate(Index,R304,Trigger)</f>
        <v>51446</v>
      </c>
      <c r="T304" s="28">
        <f>_xll.qlInterestRateIndexMaturity(Index,S304,Trigger)</f>
        <v>51476</v>
      </c>
      <c r="U304" s="30">
        <f>_xll.qlIndexFixing($M$5,R304,TRUE,InterestRatesTrigger)</f>
        <v>1.4877788961462635E-2</v>
      </c>
      <c r="V304" s="74">
        <f>_xll.qlIndexFixing(Index,R304,TRUE,InterestRatesTrigger)</f>
        <v>1.4928336101842632E-2</v>
      </c>
      <c r="W304" s="30">
        <f t="shared" si="21"/>
        <v>5.0547140379997302E-5</v>
      </c>
      <c r="X304" s="29">
        <f>_xll.qlDayCounterYearFraction(DayCounter,SettlementDate,S304,,,Trigger)</f>
        <v>25.463888888888889</v>
      </c>
      <c r="Y304" s="29">
        <f>_xll.qlDayCounterYearFraction(DayCounter,S304,T304)</f>
        <v>8.3333333333333329E-2</v>
      </c>
      <c r="Z304" s="29">
        <f>IF($M$13,_xll.qlYieldTSDiscount(Currency&amp;"ON",S304)/(1+V304*Y304),1)</f>
        <v>1</v>
      </c>
      <c r="AA304" s="30">
        <f>_xll.qlTenorBasisValue(TenorBasis1M,S304,InterestRatesTrigger)</f>
        <v>6.5672704314446247E-5</v>
      </c>
      <c r="AB304" s="74">
        <f t="shared" si="22"/>
        <v>1.4943461665777081E-2</v>
      </c>
      <c r="AC304" s="76">
        <f t="shared" si="23"/>
        <v>1.0010132116420249</v>
      </c>
    </row>
    <row r="305" spans="16:29" x14ac:dyDescent="0.2">
      <c r="P305" s="33">
        <v>1</v>
      </c>
      <c r="Q305" s="27" t="str">
        <f>_xll.qlPeriodEquivalent(Q304&amp;"+"&amp;P305&amp;"M")</f>
        <v>25Y2M</v>
      </c>
      <c r="R305" s="28">
        <f>_xll.qlCalendarAdvance(Calendar,SettlementDate,Q305,"f",,Trigger)</f>
        <v>51473</v>
      </c>
      <c r="S305" s="28">
        <f>_xll.qlInterestRateIndexValueDate(Index,R305,Trigger)</f>
        <v>51475</v>
      </c>
      <c r="T305" s="28">
        <f>_xll.qlInterestRateIndexMaturity(Index,S305,Trigger)</f>
        <v>51508</v>
      </c>
      <c r="U305" s="30">
        <f>_xll.qlIndexFixing($M$5,R305,TRUE,InterestRatesTrigger)</f>
        <v>1.4857677019129283E-2</v>
      </c>
      <c r="V305" s="74">
        <f>_xll.qlIndexFixing(Index,R305,TRUE,InterestRatesTrigger)</f>
        <v>1.4912931339819061E-2</v>
      </c>
      <c r="W305" s="30">
        <f t="shared" si="21"/>
        <v>5.5254320689777925E-5</v>
      </c>
      <c r="X305" s="29">
        <f>_xll.qlDayCounterYearFraction(DayCounter,SettlementDate,S305,,,Trigger)</f>
        <v>25.544444444444444</v>
      </c>
      <c r="Y305" s="29">
        <f>_xll.qlDayCounterYearFraction(DayCounter,S305,T305)</f>
        <v>9.166666666666666E-2</v>
      </c>
      <c r="Z305" s="29">
        <f>IF($M$13,_xll.qlYieldTSDiscount(Currency&amp;"ON",S305)/(1+V305*Y305),1)</f>
        <v>1</v>
      </c>
      <c r="AA305" s="30">
        <f>_xll.qlTenorBasisValue(TenorBasis1M,S305,InterestRatesTrigger)</f>
        <v>6.4957258738079256E-5</v>
      </c>
      <c r="AB305" s="74">
        <f t="shared" si="22"/>
        <v>1.4922634277867362E-2</v>
      </c>
      <c r="AC305" s="76">
        <f t="shared" si="23"/>
        <v>1.000650639222243</v>
      </c>
    </row>
    <row r="306" spans="16:29" x14ac:dyDescent="0.2">
      <c r="P306" s="33">
        <v>1</v>
      </c>
      <c r="Q306" s="27" t="str">
        <f>_xll.qlPeriodEquivalent(Q305&amp;"+"&amp;P306&amp;"M")</f>
        <v>25Y3M</v>
      </c>
      <c r="R306" s="28">
        <f>_xll.qlCalendarAdvance(Calendar,SettlementDate,Q306,"f",,Trigger)</f>
        <v>51503</v>
      </c>
      <c r="S306" s="28">
        <f>_xll.qlInterestRateIndexValueDate(Index,R306,Trigger)</f>
        <v>51505</v>
      </c>
      <c r="T306" s="28">
        <f>_xll.qlInterestRateIndexMaturity(Index,S306,Trigger)</f>
        <v>51536</v>
      </c>
      <c r="U306" s="30">
        <f>_xll.qlIndexFixing($M$5,R306,TRUE,InterestRatesTrigger)</f>
        <v>1.4837759497527683E-2</v>
      </c>
      <c r="V306" s="74">
        <f>_xll.qlIndexFixing(Index,R306,TRUE,InterestRatesTrigger)</f>
        <v>1.4897113141599555E-2</v>
      </c>
      <c r="W306" s="30">
        <f t="shared" si="21"/>
        <v>5.9353644071872061E-5</v>
      </c>
      <c r="X306" s="29">
        <f>_xll.qlDayCounterYearFraction(DayCounter,SettlementDate,S306,,,Trigger)</f>
        <v>25.627777777777776</v>
      </c>
      <c r="Y306" s="29">
        <f>_xll.qlDayCounterYearFraction(DayCounter,S306,T306)</f>
        <v>8.611111111111111E-2</v>
      </c>
      <c r="Z306" s="29">
        <f>IF($M$13,_xll.qlYieldTSDiscount(Currency&amp;"ON",S306)/(1+V306*Y306),1)</f>
        <v>1</v>
      </c>
      <c r="AA306" s="30">
        <f>_xll.qlTenorBasisValue(TenorBasis1M,S306,InterestRatesTrigger)</f>
        <v>6.422474645807527E-5</v>
      </c>
      <c r="AB306" s="74">
        <f t="shared" si="22"/>
        <v>1.4901984243985759E-2</v>
      </c>
      <c r="AC306" s="76">
        <f t="shared" si="23"/>
        <v>1.0003269829758223</v>
      </c>
    </row>
    <row r="307" spans="16:29" x14ac:dyDescent="0.2">
      <c r="P307" s="33">
        <v>1</v>
      </c>
      <c r="Q307" s="27" t="str">
        <f>_xll.qlPeriodEquivalent(Q306&amp;"+"&amp;P307&amp;"M")</f>
        <v>25Y4M</v>
      </c>
      <c r="R307" s="28">
        <f>_xll.qlCalendarAdvance(Calendar,SettlementDate,Q307,"f",,Trigger)</f>
        <v>51536</v>
      </c>
      <c r="S307" s="28">
        <f>_xll.qlInterestRateIndexValueDate(Index,R307,Trigger)</f>
        <v>51538</v>
      </c>
      <c r="T307" s="28">
        <f>_xll.qlInterestRateIndexMaturity(Index,S307,Trigger)</f>
        <v>51566</v>
      </c>
      <c r="U307" s="30">
        <f>_xll.qlIndexFixing($M$5,R307,TRUE,InterestRatesTrigger)</f>
        <v>1.481665210112932E-2</v>
      </c>
      <c r="V307" s="74">
        <f>_xll.qlIndexFixing(Index,R307,TRUE,InterestRatesTrigger)</f>
        <v>1.4880054074934661E-2</v>
      </c>
      <c r="W307" s="30">
        <f t="shared" si="21"/>
        <v>6.3401973805341308E-5</v>
      </c>
      <c r="X307" s="29">
        <f>_xll.qlDayCounterYearFraction(DayCounter,SettlementDate,S307,,,Trigger)</f>
        <v>25.719444444444445</v>
      </c>
      <c r="Y307" s="29">
        <f>_xll.qlDayCounterYearFraction(DayCounter,S307,T307)</f>
        <v>7.7777777777777779E-2</v>
      </c>
      <c r="Z307" s="29">
        <f>IF($M$13,_xll.qlYieldTSDiscount(Currency&amp;"ON",S307)/(1+V307*Y307),1)</f>
        <v>1</v>
      </c>
      <c r="AA307" s="30">
        <f>_xll.qlTenorBasisValue(TenorBasis1M,S307,InterestRatesTrigger)</f>
        <v>6.3427831883902625E-5</v>
      </c>
      <c r="AB307" s="74">
        <f t="shared" si="22"/>
        <v>1.4880079933013223E-2</v>
      </c>
      <c r="AC307" s="76">
        <f t="shared" si="23"/>
        <v>1.0000017377677817</v>
      </c>
    </row>
    <row r="308" spans="16:29" x14ac:dyDescent="0.2">
      <c r="P308" s="33">
        <v>1</v>
      </c>
      <c r="Q308" s="27" t="str">
        <f>_xll.qlPeriodEquivalent(Q307&amp;"+"&amp;P308&amp;"M")</f>
        <v>25Y5M</v>
      </c>
      <c r="R308" s="28">
        <f>_xll.qlCalendarAdvance(Calendar,SettlementDate,Q308,"f",,Trigger)</f>
        <v>51564</v>
      </c>
      <c r="S308" s="28">
        <f>_xll.qlInterestRateIndexValueDate(Index,R308,Trigger)</f>
        <v>51566</v>
      </c>
      <c r="T308" s="28">
        <f>_xll.qlInterestRateIndexMaturity(Index,S308,Trigger)</f>
        <v>51599</v>
      </c>
      <c r="U308" s="30">
        <f>_xll.qlIndexFixing($M$5,R308,TRUE,InterestRatesTrigger)</f>
        <v>1.4799409954746198E-2</v>
      </c>
      <c r="V308" s="74">
        <f>_xll.qlIndexFixing(Index,R308,TRUE,InterestRatesTrigger)</f>
        <v>1.4866353186516242E-2</v>
      </c>
      <c r="W308" s="30">
        <f t="shared" si="21"/>
        <v>6.6943231770043993E-5</v>
      </c>
      <c r="X308" s="29">
        <f>_xll.qlDayCounterYearFraction(DayCounter,SettlementDate,S308,,,Trigger)</f>
        <v>25.797222222222221</v>
      </c>
      <c r="Y308" s="29">
        <f>_xll.qlDayCounterYearFraction(DayCounter,S308,T308)</f>
        <v>9.166666666666666E-2</v>
      </c>
      <c r="Z308" s="29">
        <f>IF($M$13,_xll.qlYieldTSDiscount(Currency&amp;"ON",S308)/(1+V308*Y308),1)</f>
        <v>1</v>
      </c>
      <c r="AA308" s="30">
        <f>_xll.qlTenorBasisValue(TenorBasis1M,S308,InterestRatesTrigger)</f>
        <v>6.2758865251801249E-5</v>
      </c>
      <c r="AB308" s="74">
        <f t="shared" si="22"/>
        <v>1.4862168819998E-2</v>
      </c>
      <c r="AC308" s="76">
        <f t="shared" si="23"/>
        <v>0.99971853443371461</v>
      </c>
    </row>
    <row r="309" spans="16:29" x14ac:dyDescent="0.2">
      <c r="P309" s="33">
        <v>1</v>
      </c>
      <c r="Q309" s="27" t="str">
        <f>_xll.qlPeriodEquivalent(Q308&amp;"+"&amp;P309&amp;"M")</f>
        <v>25Y6M</v>
      </c>
      <c r="R309" s="28">
        <f>_xll.qlCalendarAdvance(Calendar,SettlementDate,Q309,"f",,Trigger)</f>
        <v>51593</v>
      </c>
      <c r="S309" s="28">
        <f>_xll.qlInterestRateIndexValueDate(Index,R309,Trigger)</f>
        <v>51595</v>
      </c>
      <c r="T309" s="28">
        <f>_xll.qlInterestRateIndexMaturity(Index,S309,Trigger)</f>
        <v>51627</v>
      </c>
      <c r="U309" s="30">
        <f>_xll.qlIndexFixing($M$5,R309,TRUE,InterestRatesTrigger)</f>
        <v>1.4782244787851506E-2</v>
      </c>
      <c r="V309" s="74">
        <f>_xll.qlIndexFixing(Index,R309,TRUE,InterestRatesTrigger)</f>
        <v>1.4852146706959557E-2</v>
      </c>
      <c r="W309" s="30">
        <f t="shared" si="21"/>
        <v>6.990191910805077E-5</v>
      </c>
      <c r="X309" s="29">
        <f>_xll.qlDayCounterYearFraction(DayCounter,SettlementDate,S309,,,Trigger)</f>
        <v>25.877777777777776</v>
      </c>
      <c r="Y309" s="29">
        <f>_xll.qlDayCounterYearFraction(DayCounter,S309,T309)</f>
        <v>8.8888888888888892E-2</v>
      </c>
      <c r="Z309" s="29">
        <f>IF($M$13,_xll.qlYieldTSDiscount(Currency&amp;"ON",S309)/(1+V309*Y309),1)</f>
        <v>1</v>
      </c>
      <c r="AA309" s="30">
        <f>_xll.qlTenorBasisValue(TenorBasis1M,S309,InterestRatesTrigger)</f>
        <v>6.2072915016911536E-5</v>
      </c>
      <c r="AB309" s="74">
        <f t="shared" si="22"/>
        <v>1.4844317702868417E-2</v>
      </c>
      <c r="AC309" s="76">
        <f t="shared" si="23"/>
        <v>0.99947287053881095</v>
      </c>
    </row>
    <row r="310" spans="16:29" x14ac:dyDescent="0.2">
      <c r="P310" s="33">
        <v>1</v>
      </c>
      <c r="Q310" s="27" t="str">
        <f>_xll.qlPeriodEquivalent(Q309&amp;"+"&amp;P310&amp;"M")</f>
        <v>25Y7M</v>
      </c>
      <c r="R310" s="28">
        <f>_xll.qlCalendarAdvance(Calendar,SettlementDate,Q310,"f",,Trigger)</f>
        <v>51623</v>
      </c>
      <c r="S310" s="28">
        <f>_xll.qlInterestRateIndexValueDate(Index,R310,Trigger)</f>
        <v>51627</v>
      </c>
      <c r="T310" s="28">
        <f>_xll.qlInterestRateIndexMaturity(Index,S310,Trigger)</f>
        <v>51658</v>
      </c>
      <c r="U310" s="30">
        <f>_xll.qlIndexFixing($M$5,R310,TRUE,InterestRatesTrigger)</f>
        <v>1.4764077213596677E-2</v>
      </c>
      <c r="V310" s="74">
        <f>_xll.qlIndexFixing(Index,R310,TRUE,InterestRatesTrigger)</f>
        <v>1.4836873140459941E-2</v>
      </c>
      <c r="W310" s="30">
        <f t="shared" si="21"/>
        <v>7.2795926863263721E-5</v>
      </c>
      <c r="X310" s="29">
        <f>_xll.qlDayCounterYearFraction(DayCounter,SettlementDate,S310,,,Trigger)</f>
        <v>25.966666666666665</v>
      </c>
      <c r="Y310" s="29">
        <f>_xll.qlDayCounterYearFraction(DayCounter,S310,T310)</f>
        <v>8.611111111111111E-2</v>
      </c>
      <c r="Z310" s="29">
        <f>IF($M$13,_xll.qlYieldTSDiscount(Currency&amp;"ON",S310)/(1+V310*Y310),1)</f>
        <v>1</v>
      </c>
      <c r="AA310" s="30">
        <f>_xll.qlTenorBasisValue(TenorBasis1M,S310,InterestRatesTrigger)</f>
        <v>6.1324088576006255E-5</v>
      </c>
      <c r="AB310" s="74">
        <f t="shared" si="22"/>
        <v>1.4825401302172683E-2</v>
      </c>
      <c r="AC310" s="76">
        <f t="shared" si="23"/>
        <v>0.99922680215847004</v>
      </c>
    </row>
    <row r="311" spans="16:29" x14ac:dyDescent="0.2">
      <c r="P311" s="33">
        <v>1</v>
      </c>
      <c r="Q311" s="27" t="str">
        <f>_xll.qlPeriodEquivalent(Q310&amp;"+"&amp;P311&amp;"M")</f>
        <v>25Y8M</v>
      </c>
      <c r="R311" s="28">
        <f>_xll.qlCalendarAdvance(Calendar,SettlementDate,Q311,"f",,Trigger)</f>
        <v>51655</v>
      </c>
      <c r="S311" s="28">
        <f>_xll.qlInterestRateIndexValueDate(Index,R311,Trigger)</f>
        <v>51657</v>
      </c>
      <c r="T311" s="28">
        <f>_xll.qlInterestRateIndexMaturity(Index,S311,Trigger)</f>
        <v>51687</v>
      </c>
      <c r="U311" s="30">
        <f>_xll.qlIndexFixing($M$5,R311,TRUE,InterestRatesTrigger)</f>
        <v>1.4747778977665327E-2</v>
      </c>
      <c r="V311" s="74">
        <f>_xll.qlIndexFixing(Index,R311,TRUE,InterestRatesTrigger)</f>
        <v>1.4822933933254845E-2</v>
      </c>
      <c r="W311" s="30">
        <f t="shared" si="21"/>
        <v>7.5154955589518124E-5</v>
      </c>
      <c r="X311" s="29">
        <f>_xll.qlDayCounterYearFraction(DayCounter,SettlementDate,S311,,,Trigger)</f>
        <v>26.05</v>
      </c>
      <c r="Y311" s="29">
        <f>_xll.qlDayCounterYearFraction(DayCounter,S311,T311)</f>
        <v>8.3333333333333329E-2</v>
      </c>
      <c r="Z311" s="29">
        <f>IF($M$13,_xll.qlYieldTSDiscount(Currency&amp;"ON",S311)/(1+V311*Y311),1)</f>
        <v>1</v>
      </c>
      <c r="AA311" s="30">
        <f>_xll.qlTenorBasisValue(TenorBasis1M,S311,InterestRatesTrigger)</f>
        <v>6.0629695806975268E-5</v>
      </c>
      <c r="AB311" s="74">
        <f t="shared" si="22"/>
        <v>1.4808408673472303E-2</v>
      </c>
      <c r="AC311" s="76">
        <f t="shared" si="23"/>
        <v>0.99902008199942416</v>
      </c>
    </row>
    <row r="312" spans="16:29" x14ac:dyDescent="0.2">
      <c r="P312" s="33">
        <v>1</v>
      </c>
      <c r="Q312" s="27" t="str">
        <f>_xll.qlPeriodEquivalent(Q311&amp;"+"&amp;P312&amp;"M")</f>
        <v>25Y9M</v>
      </c>
      <c r="R312" s="28">
        <f>_xll.qlCalendarAdvance(Calendar,SettlementDate,Q312,"f",,Trigger)</f>
        <v>51684</v>
      </c>
      <c r="S312" s="28">
        <f>_xll.qlInterestRateIndexValueDate(Index,R312,Trigger)</f>
        <v>51686</v>
      </c>
      <c r="T312" s="28">
        <f>_xll.qlInterestRateIndexMaturity(Index,S312,Trigger)</f>
        <v>51718</v>
      </c>
      <c r="U312" s="30">
        <f>_xll.qlIndexFixing($M$5,R312,TRUE,InterestRatesTrigger)</f>
        <v>1.4732849049459429E-2</v>
      </c>
      <c r="V312" s="74">
        <f>_xll.qlIndexFixing(Index,R312,TRUE,InterestRatesTrigger)</f>
        <v>1.4810068655748687E-2</v>
      </c>
      <c r="W312" s="30">
        <f t="shared" si="21"/>
        <v>7.721960628925828E-5</v>
      </c>
      <c r="X312" s="29">
        <f>_xll.qlDayCounterYearFraction(DayCounter,SettlementDate,S312,,,Trigger)</f>
        <v>26.130555555555556</v>
      </c>
      <c r="Y312" s="29">
        <f>_xll.qlDayCounterYearFraction(DayCounter,S312,T312)</f>
        <v>8.8888888888888892E-2</v>
      </c>
      <c r="Z312" s="29">
        <f>IF($M$13,_xll.qlYieldTSDiscount(Currency&amp;"ON",S312)/(1+V312*Y312),1)</f>
        <v>1</v>
      </c>
      <c r="AA312" s="30">
        <f>_xll.qlTenorBasisValue(TenorBasis1M,S312,InterestRatesTrigger)</f>
        <v>5.9965405076385588E-5</v>
      </c>
      <c r="AB312" s="74">
        <f t="shared" si="22"/>
        <v>1.4792814454535815E-2</v>
      </c>
      <c r="AC312" s="76">
        <f t="shared" si="23"/>
        <v>0.99883496818185413</v>
      </c>
    </row>
    <row r="313" spans="16:29" x14ac:dyDescent="0.2">
      <c r="P313" s="33">
        <v>1</v>
      </c>
      <c r="Q313" s="27" t="str">
        <f>_xll.qlPeriodEquivalent(Q312&amp;"+"&amp;P313&amp;"M")</f>
        <v>25Y10M</v>
      </c>
      <c r="R313" s="28">
        <f>_xll.qlCalendarAdvance(Calendar,SettlementDate,Q313,"f",,Trigger)</f>
        <v>51715</v>
      </c>
      <c r="S313" s="28">
        <f>_xll.qlInterestRateIndexValueDate(Index,R313,Trigger)</f>
        <v>51719</v>
      </c>
      <c r="T313" s="28">
        <f>_xll.qlInterestRateIndexMaturity(Index,S313,Trigger)</f>
        <v>51750</v>
      </c>
      <c r="U313" s="30">
        <f>_xll.qlIndexFixing($M$5,R313,TRUE,InterestRatesTrigger)</f>
        <v>1.4716541623778725E-2</v>
      </c>
      <c r="V313" s="74">
        <f>_xll.qlIndexFixing(Index,R313,TRUE,InterestRatesTrigger)</f>
        <v>1.4795611543283531E-2</v>
      </c>
      <c r="W313" s="30">
        <f t="shared" si="21"/>
        <v>7.9069919504806685E-5</v>
      </c>
      <c r="X313" s="29">
        <f>_xll.qlDayCounterYearFraction(DayCounter,SettlementDate,S313,,,Trigger)</f>
        <v>26.222222222222221</v>
      </c>
      <c r="Y313" s="29">
        <f>_xll.qlDayCounterYearFraction(DayCounter,S313,T313)</f>
        <v>8.611111111111111E-2</v>
      </c>
      <c r="Z313" s="29">
        <f>IF($M$13,_xll.qlYieldTSDiscount(Currency&amp;"ON",S313)/(1+V313*Y313),1)</f>
        <v>1</v>
      </c>
      <c r="AA313" s="30">
        <f>_xll.qlTenorBasisValue(TenorBasis1M,S313,InterestRatesTrigger)</f>
        <v>5.9217727402907757E-5</v>
      </c>
      <c r="AB313" s="74">
        <f t="shared" si="22"/>
        <v>1.4775759351181632E-2</v>
      </c>
      <c r="AC313" s="76">
        <f t="shared" si="23"/>
        <v>0.99865823781302832</v>
      </c>
    </row>
    <row r="314" spans="16:29" x14ac:dyDescent="0.2">
      <c r="P314" s="33">
        <v>1</v>
      </c>
      <c r="Q314" s="27" t="str">
        <f>_xll.qlPeriodEquivalent(Q313&amp;"+"&amp;P314&amp;"M")</f>
        <v>25Y11M</v>
      </c>
      <c r="R314" s="28">
        <f>_xll.qlCalendarAdvance(Calendar,SettlementDate,Q314,"f",,Trigger)</f>
        <v>51746</v>
      </c>
      <c r="S314" s="28">
        <f>_xll.qlInterestRateIndexValueDate(Index,R314,Trigger)</f>
        <v>51748</v>
      </c>
      <c r="T314" s="28">
        <f>_xll.qlInterestRateIndexMaturity(Index,S314,Trigger)</f>
        <v>51778</v>
      </c>
      <c r="U314" s="30">
        <f>_xll.qlIndexFixing($M$5,R314,TRUE,InterestRatesTrigger)</f>
        <v>1.4702914081701657E-2</v>
      </c>
      <c r="V314" s="74">
        <f>_xll.qlIndexFixing(Index,R314,TRUE,InterestRatesTrigger)</f>
        <v>1.478328827827724E-2</v>
      </c>
      <c r="W314" s="30">
        <f t="shared" si="21"/>
        <v>8.0374196575583312E-5</v>
      </c>
      <c r="X314" s="29">
        <f>_xll.qlDayCounterYearFraction(DayCounter,SettlementDate,S314,,,Trigger)</f>
        <v>26.302777777777777</v>
      </c>
      <c r="Y314" s="29">
        <f>_xll.qlDayCounterYearFraction(DayCounter,S314,T314)</f>
        <v>8.3333333333333329E-2</v>
      </c>
      <c r="Z314" s="29">
        <f>IF($M$13,_xll.qlYieldTSDiscount(Currency&amp;"ON",S314)/(1+V314*Y314),1)</f>
        <v>1</v>
      </c>
      <c r="AA314" s="30">
        <f>_xll.qlTenorBasisValue(TenorBasis1M,S314,InterestRatesTrigger)</f>
        <v>5.856785052559699E-5</v>
      </c>
      <c r="AB314" s="74">
        <f t="shared" si="22"/>
        <v>1.4761481932227254E-2</v>
      </c>
      <c r="AC314" s="76">
        <f t="shared" si="23"/>
        <v>0.99852493263748165</v>
      </c>
    </row>
    <row r="315" spans="16:29" x14ac:dyDescent="0.2">
      <c r="P315" s="33">
        <v>1</v>
      </c>
      <c r="Q315" s="27" t="str">
        <f>_xll.qlPeriodEquivalent(Q314&amp;"+"&amp;P315&amp;"M")</f>
        <v>26Y</v>
      </c>
      <c r="R315" s="28">
        <f>_xll.qlCalendarAdvance(Calendar,SettlementDate,Q315,"f",,Trigger)</f>
        <v>51776</v>
      </c>
      <c r="S315" s="28">
        <f>_xll.qlInterestRateIndexValueDate(Index,R315,Trigger)</f>
        <v>51778</v>
      </c>
      <c r="T315" s="28">
        <f>_xll.qlInterestRateIndexMaturity(Index,S315,Trigger)</f>
        <v>51809</v>
      </c>
      <c r="U315" s="30">
        <f>_xll.qlIndexFixing($M$5,R315,TRUE,InterestRatesTrigger)</f>
        <v>1.4689689586707438E-2</v>
      </c>
      <c r="V315" s="74">
        <f>_xll.qlIndexFixing(Index,R315,TRUE,InterestRatesTrigger)</f>
        <v>1.4771142816151325E-2</v>
      </c>
      <c r="W315" s="30">
        <f t="shared" si="21"/>
        <v>8.1453229443886194E-5</v>
      </c>
      <c r="X315" s="29">
        <f>_xll.qlDayCounterYearFraction(DayCounter,SettlementDate,S315,,,Trigger)</f>
        <v>26.386111111111113</v>
      </c>
      <c r="Y315" s="29">
        <f>_xll.qlDayCounterYearFraction(DayCounter,S315,T315)</f>
        <v>8.611111111111111E-2</v>
      </c>
      <c r="Z315" s="29">
        <f>IF($M$13,_xll.qlYieldTSDiscount(Currency&amp;"ON",S315)/(1+V315*Y315),1)</f>
        <v>1</v>
      </c>
      <c r="AA315" s="30">
        <f>_xll.qlTenorBasisValue(TenorBasis1M,S315,InterestRatesTrigger)</f>
        <v>5.7902558892328389E-5</v>
      </c>
      <c r="AB315" s="74">
        <f t="shared" si="22"/>
        <v>1.4747592145599767E-2</v>
      </c>
      <c r="AC315" s="76">
        <f t="shared" si="23"/>
        <v>0.99840562975765113</v>
      </c>
    </row>
    <row r="316" spans="16:29" x14ac:dyDescent="0.2">
      <c r="P316" s="33">
        <v>1</v>
      </c>
      <c r="Q316" s="27" t="str">
        <f>_xll.qlPeriodEquivalent(Q315&amp;"+"&amp;P316&amp;"M")</f>
        <v>26Y1M</v>
      </c>
      <c r="R316" s="28">
        <f>_xll.qlCalendarAdvance(Calendar,SettlementDate,Q316,"f",,Trigger)</f>
        <v>51809</v>
      </c>
      <c r="S316" s="28">
        <f>_xll.qlInterestRateIndexValueDate(Index,R316,Trigger)</f>
        <v>51811</v>
      </c>
      <c r="T316" s="28">
        <f>_xll.qlInterestRateIndexMaturity(Index,S316,Trigger)</f>
        <v>51841</v>
      </c>
      <c r="U316" s="30">
        <f>_xll.qlIndexFixing($M$5,R316,TRUE,InterestRatesTrigger)</f>
        <v>1.4675809687929586E-2</v>
      </c>
      <c r="V316" s="74">
        <f>_xll.qlIndexFixing(Index,R316,TRUE,InterestRatesTrigger)</f>
        <v>1.4758049938523143E-2</v>
      </c>
      <c r="W316" s="30">
        <f t="shared" si="21"/>
        <v>8.2240250593557107E-5</v>
      </c>
      <c r="X316" s="29">
        <f>_xll.qlDayCounterYearFraction(DayCounter,SettlementDate,S316,,,Trigger)</f>
        <v>26.477777777777778</v>
      </c>
      <c r="Y316" s="29">
        <f>_xll.qlDayCounterYearFraction(DayCounter,S316,T316)</f>
        <v>8.3333333333333329E-2</v>
      </c>
      <c r="Z316" s="29">
        <f>IF($M$13,_xll.qlYieldTSDiscount(Currency&amp;"ON",S316)/(1+V316*Y316),1)</f>
        <v>1</v>
      </c>
      <c r="AA316" s="30">
        <f>_xll.qlTenorBasisValue(TenorBasis1M,S316,InterestRatesTrigger)</f>
        <v>5.7178876194319966E-5</v>
      </c>
      <c r="AB316" s="74">
        <f t="shared" si="22"/>
        <v>1.4732988564123906E-2</v>
      </c>
      <c r="AC316" s="76">
        <f t="shared" si="23"/>
        <v>0.99830185054911491</v>
      </c>
    </row>
    <row r="317" spans="16:29" x14ac:dyDescent="0.2">
      <c r="P317" s="33">
        <v>1</v>
      </c>
      <c r="Q317" s="27" t="str">
        <f>_xll.qlPeriodEquivalent(Q316&amp;"+"&amp;P317&amp;"M")</f>
        <v>26Y2M</v>
      </c>
      <c r="R317" s="28">
        <f>_xll.qlCalendarAdvance(Calendar,SettlementDate,Q317,"f",,Trigger)</f>
        <v>51837</v>
      </c>
      <c r="S317" s="28">
        <f>_xll.qlInterestRateIndexValueDate(Index,R317,Trigger)</f>
        <v>51839</v>
      </c>
      <c r="T317" s="28">
        <f>_xll.qlInterestRateIndexMaturity(Index,S317,Trigger)</f>
        <v>51872</v>
      </c>
      <c r="U317" s="30">
        <f>_xll.qlIndexFixing($M$5,R317,TRUE,InterestRatesTrigger)</f>
        <v>1.4665132660970057E-2</v>
      </c>
      <c r="V317" s="74">
        <f>_xll.qlIndexFixing(Index,R317,TRUE,InterestRatesTrigger)</f>
        <v>1.4747784943660783E-2</v>
      </c>
      <c r="W317" s="30">
        <f t="shared" si="21"/>
        <v>8.2652282690725762E-5</v>
      </c>
      <c r="X317" s="29">
        <f>_xll.qlDayCounterYearFraction(DayCounter,SettlementDate,S317,,,Trigger)</f>
        <v>26.555555555555557</v>
      </c>
      <c r="Y317" s="29">
        <f>_xll.qlDayCounterYearFraction(DayCounter,S317,T317)</f>
        <v>9.166666666666666E-2</v>
      </c>
      <c r="Z317" s="29">
        <f>IF($M$13,_xll.qlYieldTSDiscount(Currency&amp;"ON",S317)/(1+V317*Y317),1)</f>
        <v>1</v>
      </c>
      <c r="AA317" s="30">
        <f>_xll.qlTenorBasisValue(TenorBasis1M,S317,InterestRatesTrigger)</f>
        <v>5.6571465411933193E-5</v>
      </c>
      <c r="AB317" s="74">
        <f t="shared" si="22"/>
        <v>1.472170412638199E-2</v>
      </c>
      <c r="AC317" s="76">
        <f t="shared" si="23"/>
        <v>0.99823154342306819</v>
      </c>
    </row>
    <row r="318" spans="16:29" x14ac:dyDescent="0.2">
      <c r="P318" s="33">
        <v>1</v>
      </c>
      <c r="Q318" s="27" t="str">
        <f>_xll.qlPeriodEquivalent(Q317&amp;"+"&amp;P318&amp;"M")</f>
        <v>26Y3M</v>
      </c>
      <c r="R318" s="28">
        <f>_xll.qlCalendarAdvance(Calendar,SettlementDate,Q318,"f",,Trigger)</f>
        <v>51868</v>
      </c>
      <c r="S318" s="28">
        <f>_xll.qlInterestRateIndexValueDate(Index,R318,Trigger)</f>
        <v>51872</v>
      </c>
      <c r="T318" s="28">
        <f>_xll.qlInterestRateIndexMaturity(Index,S318,Trigger)</f>
        <v>51903</v>
      </c>
      <c r="U318" s="30">
        <f>_xll.qlIndexFixing($M$5,R318,TRUE,InterestRatesTrigger)</f>
        <v>1.4652772738584462E-2</v>
      </c>
      <c r="V318" s="74">
        <f>_xll.qlIndexFixing(Index,R318,TRUE,InterestRatesTrigger)</f>
        <v>1.4735531310417369E-2</v>
      </c>
      <c r="W318" s="30">
        <f t="shared" si="21"/>
        <v>8.2758571832906164E-5</v>
      </c>
      <c r="X318" s="29">
        <f>_xll.qlDayCounterYearFraction(DayCounter,SettlementDate,S318,,,Trigger)</f>
        <v>26.647222222222222</v>
      </c>
      <c r="Y318" s="29">
        <f>_xll.qlDayCounterYearFraction(DayCounter,S318,T318)</f>
        <v>8.611111111111111E-2</v>
      </c>
      <c r="Z318" s="29">
        <f>IF($M$13,_xll.qlYieldTSDiscount(Currency&amp;"ON",S318)/(1+V318*Y318),1)</f>
        <v>1</v>
      </c>
      <c r="AA318" s="30">
        <f>_xll.qlTenorBasisValue(TenorBasis1M,S318,InterestRatesTrigger)</f>
        <v>5.5863318160830754E-5</v>
      </c>
      <c r="AB318" s="74">
        <f t="shared" si="22"/>
        <v>1.4708636056745293E-2</v>
      </c>
      <c r="AC318" s="76">
        <f t="shared" si="23"/>
        <v>0.99817480258393798</v>
      </c>
    </row>
    <row r="319" spans="16:29" x14ac:dyDescent="0.2">
      <c r="P319" s="33">
        <v>1</v>
      </c>
      <c r="Q319" s="27" t="str">
        <f>_xll.qlPeriodEquivalent(Q318&amp;"+"&amp;P319&amp;"M")</f>
        <v>26Y4M</v>
      </c>
      <c r="R319" s="28">
        <f>_xll.qlCalendarAdvance(Calendar,SettlementDate,Q319,"f",,Trigger)</f>
        <v>51900</v>
      </c>
      <c r="S319" s="28">
        <f>_xll.qlInterestRateIndexValueDate(Index,R319,Trigger)</f>
        <v>51902</v>
      </c>
      <c r="T319" s="28">
        <f>_xll.qlInterestRateIndexMaturity(Index,S319,Trigger)</f>
        <v>51930</v>
      </c>
      <c r="U319" s="30">
        <f>_xll.qlIndexFixing($M$5,R319,TRUE,InterestRatesTrigger)</f>
        <v>1.4642104429307372E-2</v>
      </c>
      <c r="V319" s="74">
        <f>_xll.qlIndexFixing(Index,R319,TRUE,InterestRatesTrigger)</f>
        <v>1.4724674187600912E-2</v>
      </c>
      <c r="W319" s="30">
        <f t="shared" si="21"/>
        <v>8.2569758293540158E-5</v>
      </c>
      <c r="X319" s="29">
        <f>_xll.qlDayCounterYearFraction(DayCounter,SettlementDate,S319,,,Trigger)</f>
        <v>26.730555555555554</v>
      </c>
      <c r="Y319" s="29">
        <f>_xll.qlDayCounterYearFraction(DayCounter,S319,T319)</f>
        <v>7.7777777777777779E-2</v>
      </c>
      <c r="Z319" s="29">
        <f>IF($M$13,_xll.qlYieldTSDiscount(Currency&amp;"ON",S319)/(1+V319*Y319),1)</f>
        <v>1</v>
      </c>
      <c r="AA319" s="30">
        <f>_xll.qlTenorBasisValue(TenorBasis1M,S319,InterestRatesTrigger)</f>
        <v>5.5226736795886431E-5</v>
      </c>
      <c r="AB319" s="74">
        <f t="shared" si="22"/>
        <v>1.4697331166103259E-2</v>
      </c>
      <c r="AC319" s="76">
        <f t="shared" si="23"/>
        <v>0.99814304743525817</v>
      </c>
    </row>
    <row r="320" spans="16:29" x14ac:dyDescent="0.2">
      <c r="P320" s="33">
        <v>1</v>
      </c>
      <c r="Q320" s="27" t="str">
        <f>_xll.qlPeriodEquivalent(Q319&amp;"+"&amp;P320&amp;"M")</f>
        <v>26Y5M</v>
      </c>
      <c r="R320" s="28">
        <f>_xll.qlCalendarAdvance(Calendar,SettlementDate,Q320,"f",,Trigger)</f>
        <v>51928</v>
      </c>
      <c r="S320" s="28">
        <f>_xll.qlInterestRateIndexValueDate(Index,R320,Trigger)</f>
        <v>51930</v>
      </c>
      <c r="T320" s="28">
        <f>_xll.qlInterestRateIndexMaturity(Index,S320,Trigger)</f>
        <v>51964</v>
      </c>
      <c r="U320" s="30">
        <f>_xll.qlIndexFixing($M$5,R320,TRUE,InterestRatesTrigger)</f>
        <v>1.4634027770953155E-2</v>
      </c>
      <c r="V320" s="74">
        <f>_xll.qlIndexFixing(Index,R320,TRUE,InterestRatesTrigger)</f>
        <v>1.4716123668437952E-2</v>
      </c>
      <c r="W320" s="30">
        <f t="shared" si="21"/>
        <v>8.2095897484797328E-5</v>
      </c>
      <c r="X320" s="29">
        <f>_xll.qlDayCounterYearFraction(DayCounter,SettlementDate,S320,,,Trigger)</f>
        <v>26.808333333333334</v>
      </c>
      <c r="Y320" s="29">
        <f>_xll.qlDayCounterYearFraction(DayCounter,S320,T320)</f>
        <v>9.4444444444444442E-2</v>
      </c>
      <c r="Z320" s="29">
        <f>IF($M$13,_xll.qlYieldTSDiscount(Currency&amp;"ON",S320)/(1+V320*Y320),1)</f>
        <v>1</v>
      </c>
      <c r="AA320" s="30">
        <f>_xll.qlTenorBasisValue(TenorBasis1M,S320,InterestRatesTrigger)</f>
        <v>5.4638712758703019E-5</v>
      </c>
      <c r="AB320" s="74">
        <f t="shared" si="22"/>
        <v>1.4688666483711858E-2</v>
      </c>
      <c r="AC320" s="76">
        <f t="shared" si="23"/>
        <v>0.99813421079186893</v>
      </c>
    </row>
    <row r="321" spans="16:29" x14ac:dyDescent="0.2">
      <c r="P321" s="33">
        <v>1</v>
      </c>
      <c r="Q321" s="27" t="str">
        <f>_xll.qlPeriodEquivalent(Q320&amp;"+"&amp;P321&amp;"M")</f>
        <v>26Y6M</v>
      </c>
      <c r="R321" s="28">
        <f>_xll.qlCalendarAdvance(Calendar,SettlementDate,Q321,"f",,Trigger)</f>
        <v>51958</v>
      </c>
      <c r="S321" s="28">
        <f>_xll.qlInterestRateIndexValueDate(Index,R321,Trigger)</f>
        <v>51964</v>
      </c>
      <c r="T321" s="28">
        <f>_xll.qlInterestRateIndexMaturity(Index,S321,Trigger)</f>
        <v>51994</v>
      </c>
      <c r="U321" s="30">
        <f>_xll.qlIndexFixing($M$5,R321,TRUE,InterestRatesTrigger)</f>
        <v>1.4623459665671135E-2</v>
      </c>
      <c r="V321" s="74">
        <f>_xll.qlIndexFixing(Index,R321,TRUE,InterestRatesTrigger)</f>
        <v>1.4704729364793501E-2</v>
      </c>
      <c r="W321" s="30">
        <f t="shared" si="21"/>
        <v>8.1269699122366035E-5</v>
      </c>
      <c r="X321" s="29">
        <f>_xll.qlDayCounterYearFraction(DayCounter,SettlementDate,S321,,,Trigger)</f>
        <v>26.902777777777779</v>
      </c>
      <c r="Y321" s="29">
        <f>_xll.qlDayCounterYearFraction(DayCounter,S321,T321)</f>
        <v>8.3333333333333329E-2</v>
      </c>
      <c r="Z321" s="29">
        <f>IF($M$13,_xll.qlYieldTSDiscount(Currency&amp;"ON",S321)/(1+V321*Y321),1)</f>
        <v>1</v>
      </c>
      <c r="AA321" s="30">
        <f>_xll.qlTenorBasisValue(TenorBasis1M,S321,InterestRatesTrigger)</f>
        <v>5.3932549392050128E-5</v>
      </c>
      <c r="AB321" s="74">
        <f t="shared" si="22"/>
        <v>1.4677392215063185E-2</v>
      </c>
      <c r="AC321" s="76">
        <f t="shared" si="23"/>
        <v>0.99814092806116061</v>
      </c>
    </row>
    <row r="322" spans="16:29" x14ac:dyDescent="0.2">
      <c r="P322" s="33">
        <v>1</v>
      </c>
      <c r="Q322" s="27" t="str">
        <f>_xll.qlPeriodEquivalent(Q321&amp;"+"&amp;P322&amp;"M")</f>
        <v>26Y7M</v>
      </c>
      <c r="R322" s="28">
        <f>_xll.qlCalendarAdvance(Calendar,SettlementDate,Q322,"f",,Trigger)</f>
        <v>51988</v>
      </c>
      <c r="S322" s="28">
        <f>_xll.qlInterestRateIndexValueDate(Index,R322,Trigger)</f>
        <v>51992</v>
      </c>
      <c r="T322" s="28">
        <f>_xll.qlInterestRateIndexMaturity(Index,S322,Trigger)</f>
        <v>52023</v>
      </c>
      <c r="U322" s="30">
        <f>_xll.qlIndexFixing($M$5,R322,TRUE,InterestRatesTrigger)</f>
        <v>1.4616115957760797E-2</v>
      </c>
      <c r="V322" s="74">
        <f>_xll.qlIndexFixing(Index,R322,TRUE,InterestRatesTrigger)</f>
        <v>1.4696402152134811E-2</v>
      </c>
      <c r="W322" s="30">
        <f t="shared" si="21"/>
        <v>8.0286194374014005E-5</v>
      </c>
      <c r="X322" s="29">
        <f>_xll.qlDayCounterYearFraction(DayCounter,SettlementDate,S322,,,Trigger)</f>
        <v>26.980555555555554</v>
      </c>
      <c r="Y322" s="29">
        <f>_xll.qlDayCounterYearFraction(DayCounter,S322,T322)</f>
        <v>8.611111111111111E-2</v>
      </c>
      <c r="Z322" s="29">
        <f>IF($M$13,_xll.qlYieldTSDiscount(Currency&amp;"ON",S322)/(1+V322*Y322),1)</f>
        <v>1</v>
      </c>
      <c r="AA322" s="30">
        <f>_xll.qlTenorBasisValue(TenorBasis1M,S322,InterestRatesTrigger)</f>
        <v>5.3357419804943532E-5</v>
      </c>
      <c r="AB322" s="74">
        <f t="shared" si="22"/>
        <v>1.466947337756574E-2</v>
      </c>
      <c r="AC322" s="76">
        <f t="shared" si="23"/>
        <v>0.99816766210598296</v>
      </c>
    </row>
    <row r="323" spans="16:29" x14ac:dyDescent="0.2">
      <c r="P323" s="33">
        <v>1</v>
      </c>
      <c r="Q323" s="27" t="str">
        <f>_xll.qlPeriodEquivalent(Q322&amp;"+"&amp;P323&amp;"M")</f>
        <v>26Y8M</v>
      </c>
      <c r="R323" s="28">
        <f>_xll.qlCalendarAdvance(Calendar,SettlementDate,Q323,"f",,Trigger)</f>
        <v>52019</v>
      </c>
      <c r="S323" s="28">
        <f>_xll.qlInterestRateIndexValueDate(Index,R323,Trigger)</f>
        <v>52021</v>
      </c>
      <c r="T323" s="28">
        <f>_xll.qlInterestRateIndexMaturity(Index,S323,Trigger)</f>
        <v>52051</v>
      </c>
      <c r="U323" s="30">
        <f>_xll.qlIndexFixing($M$5,R323,TRUE,InterestRatesTrigger)</f>
        <v>1.4608837305106093E-2</v>
      </c>
      <c r="V323" s="74">
        <f>_xll.qlIndexFixing(Index,R323,TRUE,InterestRatesTrigger)</f>
        <v>1.4687897172513509E-2</v>
      </c>
      <c r="W323" s="30">
        <f t="shared" si="21"/>
        <v>7.9059867407416107E-5</v>
      </c>
      <c r="X323" s="29">
        <f>_xll.qlDayCounterYearFraction(DayCounter,SettlementDate,S323,,,Trigger)</f>
        <v>27.06111111111111</v>
      </c>
      <c r="Y323" s="29">
        <f>_xll.qlDayCounterYearFraction(DayCounter,S323,T323)</f>
        <v>8.3333333333333329E-2</v>
      </c>
      <c r="Z323" s="29">
        <f>IF($M$13,_xll.qlYieldTSDiscount(Currency&amp;"ON",S323)/(1+V323*Y323),1)</f>
        <v>1</v>
      </c>
      <c r="AA323" s="30">
        <f>_xll.qlTenorBasisValue(TenorBasis1M,S323,InterestRatesTrigger)</f>
        <v>5.276780145286921E-5</v>
      </c>
      <c r="AB323" s="74">
        <f t="shared" si="22"/>
        <v>1.4661605106558962E-2</v>
      </c>
      <c r="AC323" s="76">
        <f t="shared" si="23"/>
        <v>0.99820995029814419</v>
      </c>
    </row>
    <row r="324" spans="16:29" x14ac:dyDescent="0.2">
      <c r="P324" s="33">
        <v>1</v>
      </c>
      <c r="Q324" s="27" t="str">
        <f>_xll.qlPeriodEquivalent(Q323&amp;"+"&amp;P324&amp;"M")</f>
        <v>26Y9M</v>
      </c>
      <c r="R324" s="28">
        <f>_xll.qlCalendarAdvance(Calendar,SettlementDate,Q324,"f",,Trigger)</f>
        <v>52049</v>
      </c>
      <c r="S324" s="28">
        <f>_xll.qlInterestRateIndexValueDate(Index,R324,Trigger)</f>
        <v>52051</v>
      </c>
      <c r="T324" s="28">
        <f>_xll.qlInterestRateIndexMaturity(Index,S324,Trigger)</f>
        <v>52082</v>
      </c>
      <c r="U324" s="30">
        <f>_xll.qlIndexFixing($M$5,R324,TRUE,InterestRatesTrigger)</f>
        <v>1.4602399293845133E-2</v>
      </c>
      <c r="V324" s="74">
        <f>_xll.qlIndexFixing(Index,R324,TRUE,InterestRatesTrigger)</f>
        <v>1.4679895501765667E-2</v>
      </c>
      <c r="W324" s="30">
        <f t="shared" si="21"/>
        <v>7.7496207920534771E-5</v>
      </c>
      <c r="X324" s="29">
        <f>_xll.qlDayCounterYearFraction(DayCounter,SettlementDate,S324,,,Trigger)</f>
        <v>27.144444444444446</v>
      </c>
      <c r="Y324" s="29">
        <f>_xll.qlDayCounterYearFraction(DayCounter,S324,T324)</f>
        <v>8.611111111111111E-2</v>
      </c>
      <c r="Z324" s="29">
        <f>IF($M$13,_xll.qlYieldTSDiscount(Currency&amp;"ON",S324)/(1+V324*Y324),1)</f>
        <v>1</v>
      </c>
      <c r="AA324" s="30">
        <f>_xll.qlTenorBasisValue(TenorBasis1M,S324,InterestRatesTrigger)</f>
        <v>5.216427203083093E-5</v>
      </c>
      <c r="AB324" s="74">
        <f t="shared" si="22"/>
        <v>1.4654563565875963E-2</v>
      </c>
      <c r="AC324" s="76">
        <f t="shared" si="23"/>
        <v>0.99827437900449245</v>
      </c>
    </row>
    <row r="325" spans="16:29" x14ac:dyDescent="0.2">
      <c r="P325" s="33">
        <v>1</v>
      </c>
      <c r="Q325" s="27" t="str">
        <f>_xll.qlPeriodEquivalent(Q324&amp;"+"&amp;P325&amp;"M")</f>
        <v>26Y10M</v>
      </c>
      <c r="R325" s="28">
        <f>_xll.qlCalendarAdvance(Calendar,SettlementDate,Q325,"f",,Trigger)</f>
        <v>52082</v>
      </c>
      <c r="S325" s="28">
        <f>_xll.qlInterestRateIndexValueDate(Index,R325,Trigger)</f>
        <v>52084</v>
      </c>
      <c r="T325" s="28">
        <f>_xll.qlInterestRateIndexMaturity(Index,S325,Trigger)</f>
        <v>52117</v>
      </c>
      <c r="U325" s="30">
        <f>_xll.qlIndexFixing($M$5,R325,TRUE,InterestRatesTrigger)</f>
        <v>1.4596379963982352E-2</v>
      </c>
      <c r="V325" s="74">
        <f>_xll.qlIndexFixing(Index,R325,TRUE,InterestRatesTrigger)</f>
        <v>1.4671831528554337E-2</v>
      </c>
      <c r="W325" s="30">
        <f t="shared" si="21"/>
        <v>7.5451564571985333E-5</v>
      </c>
      <c r="X325" s="29">
        <f>_xll.qlDayCounterYearFraction(DayCounter,SettlementDate,S325,,,Trigger)</f>
        <v>27.236111111111111</v>
      </c>
      <c r="Y325" s="29">
        <f>_xll.qlDayCounterYearFraction(DayCounter,S325,T325)</f>
        <v>9.166666666666666E-2</v>
      </c>
      <c r="Z325" s="29">
        <f>IF($M$13,_xll.qlYieldTSDiscount(Currency&amp;"ON",S325)/(1+V325*Y325),1)</f>
        <v>1</v>
      </c>
      <c r="AA325" s="30">
        <f>_xll.qlTenorBasisValue(TenorBasis1M,S325,InterestRatesTrigger)</f>
        <v>5.1507857991450023E-5</v>
      </c>
      <c r="AB325" s="74">
        <f t="shared" si="22"/>
        <v>1.4647887821973802E-2</v>
      </c>
      <c r="AC325" s="76">
        <f t="shared" si="23"/>
        <v>0.99836804924225475</v>
      </c>
    </row>
    <row r="326" spans="16:29" x14ac:dyDescent="0.2">
      <c r="P326" s="33">
        <v>1</v>
      </c>
      <c r="Q326" s="27" t="str">
        <f>_xll.qlPeriodEquivalent(Q325&amp;"+"&amp;P326&amp;"M")</f>
        <v>26Y11M</v>
      </c>
      <c r="R326" s="28">
        <f>_xll.qlCalendarAdvance(Calendar,SettlementDate,Q326,"f",,Trigger)</f>
        <v>52111</v>
      </c>
      <c r="S326" s="28">
        <f>_xll.qlInterestRateIndexValueDate(Index,R326,Trigger)</f>
        <v>52113</v>
      </c>
      <c r="T326" s="28">
        <f>_xll.qlInterestRateIndexMaturity(Index,S326,Trigger)</f>
        <v>52145</v>
      </c>
      <c r="U326" s="30">
        <f>_xll.qlIndexFixing($M$5,R326,TRUE,InterestRatesTrigger)</f>
        <v>1.4591262979633535E-2</v>
      </c>
      <c r="V326" s="74">
        <f>_xll.qlIndexFixing(Index,R326,TRUE,InterestRatesTrigger)</f>
        <v>1.4664755154948916E-2</v>
      </c>
      <c r="W326" s="30">
        <f t="shared" si="21"/>
        <v>7.3492175315381658E-5</v>
      </c>
      <c r="X326" s="29">
        <f>_xll.qlDayCounterYearFraction(DayCounter,SettlementDate,S326,,,Trigger)</f>
        <v>27.316666666666666</v>
      </c>
      <c r="Y326" s="29">
        <f>_xll.qlDayCounterYearFraction(DayCounter,S326,T326)</f>
        <v>8.8888888888888892E-2</v>
      </c>
      <c r="Z326" s="29">
        <f>IF($M$13,_xll.qlYieldTSDiscount(Currency&amp;"ON",S326)/(1+V326*Y326),1)</f>
        <v>1</v>
      </c>
      <c r="AA326" s="30">
        <f>_xll.qlTenorBasisValue(TenorBasis1M,S326,InterestRatesTrigger)</f>
        <v>5.0937405368883524E-5</v>
      </c>
      <c r="AB326" s="74">
        <f t="shared" si="22"/>
        <v>1.4642200385002418E-2</v>
      </c>
      <c r="AC326" s="76">
        <f t="shared" si="23"/>
        <v>0.9984619743249592</v>
      </c>
    </row>
    <row r="327" spans="16:29" x14ac:dyDescent="0.2">
      <c r="P327" s="33">
        <v>1</v>
      </c>
      <c r="Q327" s="27" t="str">
        <f>_xll.qlPeriodEquivalent(Q326&amp;"+"&amp;P327&amp;"M")</f>
        <v>27Y</v>
      </c>
      <c r="R327" s="28">
        <f>_xll.qlCalendarAdvance(Calendar,SettlementDate,Q327,"f",,Trigger)</f>
        <v>52141</v>
      </c>
      <c r="S327" s="28">
        <f>_xll.qlInterestRateIndexValueDate(Index,R327,Trigger)</f>
        <v>52145</v>
      </c>
      <c r="T327" s="28">
        <f>_xll.qlInterestRateIndexMaturity(Index,S327,Trigger)</f>
        <v>52176</v>
      </c>
      <c r="U327" s="30">
        <f>_xll.qlIndexFixing($M$5,R327,TRUE,InterestRatesTrigger)</f>
        <v>1.4586409861254271E-2</v>
      </c>
      <c r="V327" s="74">
        <f>_xll.qlIndexFixing(Index,R327,TRUE,InterestRatesTrigger)</f>
        <v>1.465749085667681E-2</v>
      </c>
      <c r="W327" s="30">
        <f t="shared" ref="W327:W390" si="24">V327-U327</f>
        <v>7.1080995422538942E-5</v>
      </c>
      <c r="X327" s="29">
        <f>_xll.qlDayCounterYearFraction(DayCounter,SettlementDate,S327,,,Trigger)</f>
        <v>27.405555555555555</v>
      </c>
      <c r="Y327" s="29">
        <f>_xll.qlDayCounterYearFraction(DayCounter,S327,T327)</f>
        <v>8.611111111111111E-2</v>
      </c>
      <c r="Z327" s="29">
        <f>IF($M$13,_xll.qlYieldTSDiscount(Currency&amp;"ON",S327)/(1+V327*Y327),1)</f>
        <v>1</v>
      </c>
      <c r="AA327" s="30">
        <f>_xll.qlTenorBasisValue(TenorBasis1M,S327,InterestRatesTrigger)</f>
        <v>5.031481514290846E-5</v>
      </c>
      <c r="AB327" s="74">
        <f t="shared" ref="AB327:AB390" si="25">AA327+U327</f>
        <v>1.463672467639718E-2</v>
      </c>
      <c r="AC327" s="76">
        <f t="shared" ref="AC327:AC390" si="26">AB327/V327</f>
        <v>0.99858323771219204</v>
      </c>
    </row>
    <row r="328" spans="16:29" x14ac:dyDescent="0.2">
      <c r="P328" s="33">
        <v>1</v>
      </c>
      <c r="Q328" s="27" t="str">
        <f>_xll.qlPeriodEquivalent(Q327&amp;"+"&amp;P328&amp;"M")</f>
        <v>27Y1M</v>
      </c>
      <c r="R328" s="28">
        <f>_xll.qlCalendarAdvance(Calendar,SettlementDate,Q328,"f",,Trigger)</f>
        <v>52173</v>
      </c>
      <c r="S328" s="28">
        <f>_xll.qlInterestRateIndexValueDate(Index,R328,Trigger)</f>
        <v>52175</v>
      </c>
      <c r="T328" s="28">
        <f>_xll.qlInterestRateIndexMaturity(Index,S328,Trigger)</f>
        <v>52205</v>
      </c>
      <c r="U328" s="30">
        <f>_xll.qlIndexFixing($M$5,R328,TRUE,InterestRatesTrigger)</f>
        <v>1.4582580119101962E-2</v>
      </c>
      <c r="V328" s="74">
        <f>_xll.qlIndexFixing(Index,R328,TRUE,InterestRatesTrigger)</f>
        <v>1.4651176032145052E-2</v>
      </c>
      <c r="W328" s="30">
        <f t="shared" si="24"/>
        <v>6.8595913043090206E-5</v>
      </c>
      <c r="X328" s="29">
        <f>_xll.qlDayCounterYearFraction(DayCounter,SettlementDate,S328,,,Trigger)</f>
        <v>27.488888888888887</v>
      </c>
      <c r="Y328" s="29">
        <f>_xll.qlDayCounterYearFraction(DayCounter,S328,T328)</f>
        <v>8.3333333333333329E-2</v>
      </c>
      <c r="Z328" s="29">
        <f>IF($M$13,_xll.qlYieldTSDiscount(Currency&amp;"ON",S328)/(1+V328*Y328),1)</f>
        <v>1</v>
      </c>
      <c r="AA328" s="30">
        <f>_xll.qlTenorBasisValue(TenorBasis1M,S328,InterestRatesTrigger)</f>
        <v>4.9737624193474911E-5</v>
      </c>
      <c r="AB328" s="74">
        <f t="shared" si="25"/>
        <v>1.4632317743295438E-2</v>
      </c>
      <c r="AC328" s="76">
        <f t="shared" si="26"/>
        <v>0.99871284811483807</v>
      </c>
    </row>
    <row r="329" spans="16:29" x14ac:dyDescent="0.2">
      <c r="P329" s="33">
        <v>1</v>
      </c>
      <c r="Q329" s="27" t="str">
        <f>_xll.qlPeriodEquivalent(Q328&amp;"+"&amp;P329&amp;"M")</f>
        <v>27Y2M</v>
      </c>
      <c r="R329" s="28">
        <f>_xll.qlCalendarAdvance(Calendar,SettlementDate,Q329,"f",,Trigger)</f>
        <v>52202</v>
      </c>
      <c r="S329" s="28">
        <f>_xll.qlInterestRateIndexValueDate(Index,R329,Trigger)</f>
        <v>52204</v>
      </c>
      <c r="T329" s="28">
        <f>_xll.qlInterestRateIndexMaturity(Index,S329,Trigger)</f>
        <v>52236</v>
      </c>
      <c r="U329" s="30">
        <f>_xll.qlIndexFixing($M$5,R329,TRUE,InterestRatesTrigger)</f>
        <v>1.4580310212542746E-2</v>
      </c>
      <c r="V329" s="74">
        <f>_xll.qlIndexFixing(Index,R329,TRUE,InterestRatesTrigger)</f>
        <v>1.4646167373332519E-2</v>
      </c>
      <c r="W329" s="30">
        <f t="shared" si="24"/>
        <v>6.5857160789772884E-5</v>
      </c>
      <c r="X329" s="29">
        <f>_xll.qlDayCounterYearFraction(DayCounter,SettlementDate,S329,,,Trigger)</f>
        <v>27.569444444444443</v>
      </c>
      <c r="Y329" s="29">
        <f>_xll.qlDayCounterYearFraction(DayCounter,S329,T329)</f>
        <v>8.8888888888888892E-2</v>
      </c>
      <c r="Z329" s="29">
        <f>IF($M$13,_xll.qlYieldTSDiscount(Currency&amp;"ON",S329)/(1+V329*Y329),1)</f>
        <v>1</v>
      </c>
      <c r="AA329" s="30">
        <f>_xll.qlTenorBasisValue(TenorBasis1M,S329,InterestRatesTrigger)</f>
        <v>4.9185582799634545E-5</v>
      </c>
      <c r="AB329" s="74">
        <f t="shared" si="25"/>
        <v>1.4629495795342382E-2</v>
      </c>
      <c r="AC329" s="76">
        <f t="shared" si="26"/>
        <v>0.99886171053729089</v>
      </c>
    </row>
    <row r="330" spans="16:29" x14ac:dyDescent="0.2">
      <c r="P330" s="33">
        <v>1</v>
      </c>
      <c r="Q330" s="27" t="str">
        <f>_xll.qlPeriodEquivalent(Q329&amp;"+"&amp;P330&amp;"M")</f>
        <v>27Y3M</v>
      </c>
      <c r="R330" s="28">
        <f>_xll.qlCalendarAdvance(Calendar,SettlementDate,Q330,"f",,Trigger)</f>
        <v>52233</v>
      </c>
      <c r="S330" s="28">
        <f>_xll.qlInterestRateIndexValueDate(Index,R330,Trigger)</f>
        <v>52237</v>
      </c>
      <c r="T330" s="28">
        <f>_xll.qlInterestRateIndexMaturity(Index,S330,Trigger)</f>
        <v>52268</v>
      </c>
      <c r="U330" s="30">
        <f>_xll.qlIndexFixing($M$5,R330,TRUE,InterestRatesTrigger)</f>
        <v>1.4577737993411104E-2</v>
      </c>
      <c r="V330" s="74">
        <f>_xll.qlIndexFixing(Index,R330,TRUE,InterestRatesTrigger)</f>
        <v>1.4640381799091941E-2</v>
      </c>
      <c r="W330" s="30">
        <f t="shared" si="24"/>
        <v>6.2643805680837397E-5</v>
      </c>
      <c r="X330" s="29">
        <f>_xll.qlDayCounterYearFraction(DayCounter,SettlementDate,S330,,,Trigger)</f>
        <v>27.661111111111111</v>
      </c>
      <c r="Y330" s="29">
        <f>_xll.qlDayCounterYearFraction(DayCounter,S330,T330)</f>
        <v>8.611111111111111E-2</v>
      </c>
      <c r="Z330" s="29">
        <f>IF($M$13,_xll.qlYieldTSDiscount(Currency&amp;"ON",S330)/(1+V330*Y330),1)</f>
        <v>1</v>
      </c>
      <c r="AA330" s="30">
        <f>_xll.qlTenorBasisValue(TenorBasis1M,S330,InterestRatesTrigger)</f>
        <v>4.8564395322925726E-5</v>
      </c>
      <c r="AB330" s="74">
        <f t="shared" si="25"/>
        <v>1.462630238873403E-2</v>
      </c>
      <c r="AC330" s="76">
        <f t="shared" si="26"/>
        <v>0.99903831672212373</v>
      </c>
    </row>
    <row r="331" spans="16:29" x14ac:dyDescent="0.2">
      <c r="P331" s="33">
        <v>1</v>
      </c>
      <c r="Q331" s="27" t="str">
        <f>_xll.qlPeriodEquivalent(Q330&amp;"+"&amp;P331&amp;"M")</f>
        <v>27Y4M</v>
      </c>
      <c r="R331" s="28">
        <f>_xll.qlCalendarAdvance(Calendar,SettlementDate,Q331,"f",,Trigger)</f>
        <v>52264</v>
      </c>
      <c r="S331" s="28">
        <f>_xll.qlInterestRateIndexValueDate(Index,R331,Trigger)</f>
        <v>52266</v>
      </c>
      <c r="T331" s="28">
        <f>_xll.qlInterestRateIndexMaturity(Index,S331,Trigger)</f>
        <v>52294</v>
      </c>
      <c r="U331" s="30">
        <f>_xll.qlIndexFixing($M$5,R331,TRUE,InterestRatesTrigger)</f>
        <v>1.4575594898818624E-2</v>
      </c>
      <c r="V331" s="74">
        <f>_xll.qlIndexFixing(Index,R331,TRUE,InterestRatesTrigger)</f>
        <v>1.4635327625058179E-2</v>
      </c>
      <c r="W331" s="30">
        <f t="shared" si="24"/>
        <v>5.9732726239554446E-5</v>
      </c>
      <c r="X331" s="29">
        <f>_xll.qlDayCounterYearFraction(DayCounter,SettlementDate,S331,,,Trigger)</f>
        <v>27.741666666666667</v>
      </c>
      <c r="Y331" s="29">
        <f>_xll.qlDayCounterYearFraction(DayCounter,S331,T331)</f>
        <v>7.7777777777777779E-2</v>
      </c>
      <c r="Z331" s="29">
        <f>IF($M$13,_xll.qlYieldTSDiscount(Currency&amp;"ON",S331)/(1+V331*Y331),1)</f>
        <v>1</v>
      </c>
      <c r="AA331" s="30">
        <f>_xll.qlTenorBasisValue(TenorBasis1M,S331,InterestRatesTrigger)</f>
        <v>4.8024592784821487E-5</v>
      </c>
      <c r="AB331" s="74">
        <f t="shared" si="25"/>
        <v>1.4623619491603446E-2</v>
      </c>
      <c r="AC331" s="76">
        <f t="shared" si="26"/>
        <v>0.99920000879005355</v>
      </c>
    </row>
    <row r="332" spans="16:29" x14ac:dyDescent="0.2">
      <c r="P332" s="33">
        <v>1</v>
      </c>
      <c r="Q332" s="27" t="str">
        <f>_xll.qlPeriodEquivalent(Q331&amp;"+"&amp;P332&amp;"M")</f>
        <v>27Y5M</v>
      </c>
      <c r="R332" s="28">
        <f>_xll.qlCalendarAdvance(Calendar,SettlementDate,Q332,"f",,Trigger)</f>
        <v>52292</v>
      </c>
      <c r="S332" s="28">
        <f>_xll.qlInterestRateIndexValueDate(Index,R332,Trigger)</f>
        <v>52294</v>
      </c>
      <c r="T332" s="28">
        <f>_xll.qlInterestRateIndexMaturity(Index,S332,Trigger)</f>
        <v>52327</v>
      </c>
      <c r="U332" s="30">
        <f>_xll.qlIndexFixing($M$5,R332,TRUE,InterestRatesTrigger)</f>
        <v>1.4576412606430724E-2</v>
      </c>
      <c r="V332" s="74">
        <f>_xll.qlIndexFixing(Index,R332,TRUE,InterestRatesTrigger)</f>
        <v>1.4632737350283941E-2</v>
      </c>
      <c r="W332" s="30">
        <f t="shared" si="24"/>
        <v>5.6324743853216827E-5</v>
      </c>
      <c r="X332" s="29">
        <f>_xll.qlDayCounterYearFraction(DayCounter,SettlementDate,S332,,,Trigger)</f>
        <v>27.819444444444443</v>
      </c>
      <c r="Y332" s="29">
        <f>_xll.qlDayCounterYearFraction(DayCounter,S332,T332)</f>
        <v>9.166666666666666E-2</v>
      </c>
      <c r="Z332" s="29">
        <f>IF($M$13,_xll.qlYieldTSDiscount(Currency&amp;"ON",S332)/(1+V332*Y332),1)</f>
        <v>1</v>
      </c>
      <c r="AA332" s="30">
        <f>_xll.qlTenorBasisValue(TenorBasis1M,S332,InterestRatesTrigger)</f>
        <v>4.75087572917768E-5</v>
      </c>
      <c r="AB332" s="74">
        <f t="shared" si="25"/>
        <v>1.46239213637225E-2</v>
      </c>
      <c r="AC332" s="76">
        <f t="shared" si="26"/>
        <v>0.99939751624385786</v>
      </c>
    </row>
    <row r="333" spans="16:29" x14ac:dyDescent="0.2">
      <c r="P333" s="33">
        <v>1</v>
      </c>
      <c r="Q333" s="27" t="str">
        <f>_xll.qlPeriodEquivalent(Q332&amp;"+"&amp;P333&amp;"M")</f>
        <v>27Y6M</v>
      </c>
      <c r="R333" s="28">
        <f>_xll.qlCalendarAdvance(Calendar,SettlementDate,Q333,"f",,Trigger)</f>
        <v>52323</v>
      </c>
      <c r="S333" s="28">
        <f>_xll.qlInterestRateIndexValueDate(Index,R333,Trigger)</f>
        <v>52327</v>
      </c>
      <c r="T333" s="28">
        <f>_xll.qlInterestRateIndexMaturity(Index,S333,Trigger)</f>
        <v>52357</v>
      </c>
      <c r="U333" s="30">
        <f>_xll.qlIndexFixing($M$5,R333,TRUE,InterestRatesTrigger)</f>
        <v>1.4575628275673047E-2</v>
      </c>
      <c r="V333" s="74">
        <f>_xll.qlIndexFixing(Index,R333,TRUE,InterestRatesTrigger)</f>
        <v>1.4628211706541272E-2</v>
      </c>
      <c r="W333" s="30">
        <f t="shared" si="24"/>
        <v>5.2583430868224923E-5</v>
      </c>
      <c r="X333" s="29">
        <f>_xll.qlDayCounterYearFraction(DayCounter,SettlementDate,S333,,,Trigger)</f>
        <v>27.911111111111111</v>
      </c>
      <c r="Y333" s="29">
        <f>_xll.qlDayCounterYearFraction(DayCounter,S333,T333)</f>
        <v>8.3333333333333329E-2</v>
      </c>
      <c r="Z333" s="29">
        <f>IF($M$13,_xll.qlYieldTSDiscount(Currency&amp;"ON",S333)/(1+V333*Y333),1)</f>
        <v>1</v>
      </c>
      <c r="AA333" s="30">
        <f>_xll.qlTenorBasisValue(TenorBasis1M,S333,InterestRatesTrigger)</f>
        <v>4.6907494825532413E-5</v>
      </c>
      <c r="AB333" s="74">
        <f t="shared" si="25"/>
        <v>1.4622535770498579E-2</v>
      </c>
      <c r="AC333" s="76">
        <f t="shared" si="26"/>
        <v>0.99961198701819753</v>
      </c>
    </row>
    <row r="334" spans="16:29" x14ac:dyDescent="0.2">
      <c r="P334" s="33">
        <v>1</v>
      </c>
      <c r="Q334" s="27" t="str">
        <f>_xll.qlPeriodEquivalent(Q333&amp;"+"&amp;P334&amp;"M")</f>
        <v>27Y7M</v>
      </c>
      <c r="R334" s="28">
        <f>_xll.qlCalendarAdvance(Calendar,SettlementDate,Q334,"f",,Trigger)</f>
        <v>52355</v>
      </c>
      <c r="S334" s="28">
        <f>_xll.qlInterestRateIndexValueDate(Index,R334,Trigger)</f>
        <v>52357</v>
      </c>
      <c r="T334" s="28">
        <f>_xll.qlInterestRateIndexMaturity(Index,S334,Trigger)</f>
        <v>52390</v>
      </c>
      <c r="U334" s="30">
        <f>_xll.qlIndexFixing($M$5,R334,TRUE,InterestRatesTrigger)</f>
        <v>1.4577435789811169E-2</v>
      </c>
      <c r="V334" s="74">
        <f>_xll.qlIndexFixing(Index,R334,TRUE,InterestRatesTrigger)</f>
        <v>1.462608517328076E-2</v>
      </c>
      <c r="W334" s="30">
        <f t="shared" si="24"/>
        <v>4.8649383469590718E-5</v>
      </c>
      <c r="X334" s="29">
        <f>_xll.qlDayCounterYearFraction(DayCounter,SettlementDate,S334,,,Trigger)</f>
        <v>27.994444444444444</v>
      </c>
      <c r="Y334" s="29">
        <f>_xll.qlDayCounterYearFraction(DayCounter,S334,T334)</f>
        <v>9.166666666666666E-2</v>
      </c>
      <c r="Z334" s="29">
        <f>IF($M$13,_xll.qlYieldTSDiscount(Currency&amp;"ON",S334)/(1+V334*Y334),1)</f>
        <v>1</v>
      </c>
      <c r="AA334" s="30">
        <f>_xll.qlTenorBasisValue(TenorBasis1M,S334,InterestRatesTrigger)</f>
        <v>4.6367108977166462E-5</v>
      </c>
      <c r="AB334" s="74">
        <f t="shared" si="25"/>
        <v>1.4623802898788335E-2</v>
      </c>
      <c r="AC334" s="76">
        <f t="shared" si="26"/>
        <v>0.99984395862150499</v>
      </c>
    </row>
    <row r="335" spans="16:29" x14ac:dyDescent="0.2">
      <c r="P335" s="33">
        <v>1</v>
      </c>
      <c r="Q335" s="27" t="str">
        <f>_xll.qlPeriodEquivalent(Q334&amp;"+"&amp;P335&amp;"M")</f>
        <v>27Y8M</v>
      </c>
      <c r="R335" s="28">
        <f>_xll.qlCalendarAdvance(Calendar,SettlementDate,Q335,"f",,Trigger)</f>
        <v>52384</v>
      </c>
      <c r="S335" s="28">
        <f>_xll.qlInterestRateIndexValueDate(Index,R335,Trigger)</f>
        <v>52386</v>
      </c>
      <c r="T335" s="28">
        <f>_xll.qlInterestRateIndexMaturity(Index,S335,Trigger)</f>
        <v>52418</v>
      </c>
      <c r="U335" s="30">
        <f>_xll.qlIndexFixing($M$5,R335,TRUE,InterestRatesTrigger)</f>
        <v>1.4578664767222749E-2</v>
      </c>
      <c r="V335" s="74">
        <f>_xll.qlIndexFixing(Index,R335,TRUE,InterestRatesTrigger)</f>
        <v>1.4623581729589774E-2</v>
      </c>
      <c r="W335" s="30">
        <f t="shared" si="24"/>
        <v>4.4916962367025359E-5</v>
      </c>
      <c r="X335" s="29">
        <f>_xll.qlDayCounterYearFraction(DayCounter,SettlementDate,S335,,,Trigger)</f>
        <v>28.074999999999999</v>
      </c>
      <c r="Y335" s="29">
        <f>_xll.qlDayCounterYearFraction(DayCounter,S335,T335)</f>
        <v>8.8888888888888892E-2</v>
      </c>
      <c r="Z335" s="29">
        <f>IF($M$13,_xll.qlYieldTSDiscount(Currency&amp;"ON",S335)/(1+V335*Y335),1)</f>
        <v>1</v>
      </c>
      <c r="AA335" s="30">
        <f>_xll.qlTenorBasisValue(TenorBasis1M,S335,InterestRatesTrigger)</f>
        <v>4.5850307726007582E-5</v>
      </c>
      <c r="AB335" s="74">
        <f t="shared" si="25"/>
        <v>1.4624515074948757E-2</v>
      </c>
      <c r="AC335" s="76">
        <f t="shared" si="26"/>
        <v>1.0000638246755305</v>
      </c>
    </row>
    <row r="336" spans="16:29" x14ac:dyDescent="0.2">
      <c r="P336" s="33">
        <v>1</v>
      </c>
      <c r="Q336" s="27" t="str">
        <f>_xll.qlPeriodEquivalent(Q335&amp;"+"&amp;P336&amp;"M")</f>
        <v>27Y9M</v>
      </c>
      <c r="R336" s="28">
        <f>_xll.qlCalendarAdvance(Calendar,SettlementDate,Q336,"f",,Trigger)</f>
        <v>52414</v>
      </c>
      <c r="S336" s="28">
        <f>_xll.qlInterestRateIndexValueDate(Index,R336,Trigger)</f>
        <v>52418</v>
      </c>
      <c r="T336" s="28">
        <f>_xll.qlInterestRateIndexMaturity(Index,S336,Trigger)</f>
        <v>52449</v>
      </c>
      <c r="U336" s="30">
        <f>_xll.qlIndexFixing($M$5,R336,TRUE,InterestRatesTrigger)</f>
        <v>1.458082498232076E-2</v>
      </c>
      <c r="V336" s="74">
        <f>_xll.qlIndexFixing(Index,R336,TRUE,InterestRatesTrigger)</f>
        <v>1.4621439700288905E-2</v>
      </c>
      <c r="W336" s="30">
        <f t="shared" si="24"/>
        <v>4.0614717968144587E-5</v>
      </c>
      <c r="X336" s="29">
        <f>_xll.qlDayCounterYearFraction(DayCounter,SettlementDate,S336,,,Trigger)</f>
        <v>28.163888888888888</v>
      </c>
      <c r="Y336" s="29">
        <f>_xll.qlDayCounterYearFraction(DayCounter,S336,T336)</f>
        <v>8.611111111111111E-2</v>
      </c>
      <c r="Z336" s="29">
        <f>IF($M$13,_xll.qlYieldTSDiscount(Currency&amp;"ON",S336)/(1+V336*Y336),1)</f>
        <v>1</v>
      </c>
      <c r="AA336" s="30">
        <f>_xll.qlTenorBasisValue(TenorBasis1M,S336,InterestRatesTrigger)</f>
        <v>4.5286338210324343E-5</v>
      </c>
      <c r="AB336" s="74">
        <f t="shared" si="25"/>
        <v>1.4626111320531085E-2</v>
      </c>
      <c r="AC336" s="76">
        <f t="shared" si="26"/>
        <v>1.0003195048051312</v>
      </c>
    </row>
    <row r="337" spans="16:29" x14ac:dyDescent="0.2">
      <c r="P337" s="33">
        <v>1</v>
      </c>
      <c r="Q337" s="27" t="str">
        <f>_xll.qlPeriodEquivalent(Q336&amp;"+"&amp;P337&amp;"M")</f>
        <v>27Y10M</v>
      </c>
      <c r="R337" s="28">
        <f>_xll.qlCalendarAdvance(Calendar,SettlementDate,Q337,"f",,Trigger)</f>
        <v>52446</v>
      </c>
      <c r="S337" s="28">
        <f>_xll.qlInterestRateIndexValueDate(Index,R337,Trigger)</f>
        <v>52448</v>
      </c>
      <c r="T337" s="28">
        <f>_xll.qlInterestRateIndexMaturity(Index,S337,Trigger)</f>
        <v>52481</v>
      </c>
      <c r="U337" s="30">
        <f>_xll.qlIndexFixing($M$5,R337,TRUE,InterestRatesTrigger)</f>
        <v>1.4584628334426824E-2</v>
      </c>
      <c r="V337" s="74">
        <f>_xll.qlIndexFixing(Index,R337,TRUE,InterestRatesTrigger)</f>
        <v>1.4620838426035607E-2</v>
      </c>
      <c r="W337" s="30">
        <f t="shared" si="24"/>
        <v>3.6210091608783121E-5</v>
      </c>
      <c r="X337" s="29">
        <f>_xll.qlDayCounterYearFraction(DayCounter,SettlementDate,S337,,,Trigger)</f>
        <v>28.247222222222224</v>
      </c>
      <c r="Y337" s="29">
        <f>_xll.qlDayCounterYearFraction(DayCounter,S337,T337)</f>
        <v>9.166666666666666E-2</v>
      </c>
      <c r="Z337" s="29">
        <f>IF($M$13,_xll.qlYieldTSDiscount(Currency&amp;"ON",S337)/(1+V337*Y337),1)</f>
        <v>1</v>
      </c>
      <c r="AA337" s="30">
        <f>_xll.qlTenorBasisValue(TenorBasis1M,S337,InterestRatesTrigger)</f>
        <v>4.476355489128968E-5</v>
      </c>
      <c r="AB337" s="74">
        <f t="shared" si="25"/>
        <v>1.4629391889318112E-2</v>
      </c>
      <c r="AC337" s="76">
        <f t="shared" si="26"/>
        <v>1.0005850186585248</v>
      </c>
    </row>
    <row r="338" spans="16:29" x14ac:dyDescent="0.2">
      <c r="P338" s="33">
        <v>1</v>
      </c>
      <c r="Q338" s="27" t="str">
        <f>_xll.qlPeriodEquivalent(Q337&amp;"+"&amp;P338&amp;"M")</f>
        <v>27Y11M</v>
      </c>
      <c r="R338" s="28">
        <f>_xll.qlCalendarAdvance(Calendar,SettlementDate,Q338,"f",,Trigger)</f>
        <v>52476</v>
      </c>
      <c r="S338" s="28">
        <f>_xll.qlInterestRateIndexValueDate(Index,R338,Trigger)</f>
        <v>52478</v>
      </c>
      <c r="T338" s="28">
        <f>_xll.qlInterestRateIndexMaturity(Index,S338,Trigger)</f>
        <v>52509</v>
      </c>
      <c r="U338" s="30">
        <f>_xll.qlIndexFixing($M$5,R338,TRUE,InterestRatesTrigger)</f>
        <v>1.4587744300515298E-2</v>
      </c>
      <c r="V338" s="74">
        <f>_xll.qlIndexFixing(Index,R338,TRUE,InterestRatesTrigger)</f>
        <v>1.4619680808902817E-2</v>
      </c>
      <c r="W338" s="30">
        <f t="shared" si="24"/>
        <v>3.1936508387519352E-5</v>
      </c>
      <c r="X338" s="29">
        <f>_xll.qlDayCounterYearFraction(DayCounter,SettlementDate,S338,,,Trigger)</f>
        <v>28.330555555555556</v>
      </c>
      <c r="Y338" s="29">
        <f>_xll.qlDayCounterYearFraction(DayCounter,S338,T338)</f>
        <v>8.611111111111111E-2</v>
      </c>
      <c r="Z338" s="29">
        <f>IF($M$13,_xll.qlYieldTSDiscount(Currency&amp;"ON",S338)/(1+V338*Y338),1)</f>
        <v>1</v>
      </c>
      <c r="AA338" s="30">
        <f>_xll.qlTenorBasisValue(TenorBasis1M,S338,InterestRatesTrigger)</f>
        <v>4.424646065725069E-5</v>
      </c>
      <c r="AB338" s="74">
        <f t="shared" si="25"/>
        <v>1.463199076117255E-2</v>
      </c>
      <c r="AC338" s="76">
        <f t="shared" si="26"/>
        <v>1.0008420123825299</v>
      </c>
    </row>
    <row r="339" spans="16:29" x14ac:dyDescent="0.2">
      <c r="P339" s="33">
        <v>1</v>
      </c>
      <c r="Q339" s="27" t="str">
        <f>_xll.qlPeriodEquivalent(Q338&amp;"+"&amp;P339&amp;"M")</f>
        <v>28Y</v>
      </c>
      <c r="R339" s="28">
        <f>_xll.qlCalendarAdvance(Calendar,SettlementDate,Q339,"f",,Trigger)</f>
        <v>52506</v>
      </c>
      <c r="S339" s="28">
        <f>_xll.qlInterestRateIndexValueDate(Index,R339,Trigger)</f>
        <v>52510</v>
      </c>
      <c r="T339" s="28">
        <f>_xll.qlInterestRateIndexMaturity(Index,S339,Trigger)</f>
        <v>52541</v>
      </c>
      <c r="U339" s="30">
        <f>_xll.qlIndexFixing($M$5,R339,TRUE,InterestRatesTrigger)</f>
        <v>1.4592635010125496E-2</v>
      </c>
      <c r="V339" s="74">
        <f>_xll.qlIndexFixing(Index,R339,TRUE,InterestRatesTrigger)</f>
        <v>1.4619698629620623E-2</v>
      </c>
      <c r="W339" s="30">
        <f t="shared" si="24"/>
        <v>2.7063619495127852E-5</v>
      </c>
      <c r="X339" s="29">
        <f>_xll.qlDayCounterYearFraction(DayCounter,SettlementDate,S339,,,Trigger)</f>
        <v>28.419444444444444</v>
      </c>
      <c r="Y339" s="29">
        <f>_xll.qlDayCounterYearFraction(DayCounter,S339,T339)</f>
        <v>8.611111111111111E-2</v>
      </c>
      <c r="Z339" s="29">
        <f>IF($M$13,_xll.qlYieldTSDiscount(Currency&amp;"ON",S339)/(1+V339*Y339),1)</f>
        <v>1</v>
      </c>
      <c r="AA339" s="30">
        <f>_xll.qlTenorBasisValue(TenorBasis1M,S339,InterestRatesTrigger)</f>
        <v>4.3701101274044822E-5</v>
      </c>
      <c r="AB339" s="74">
        <f t="shared" si="25"/>
        <v>1.463633611139954E-2</v>
      </c>
      <c r="AC339" s="76">
        <f t="shared" si="26"/>
        <v>1.0011380181083356</v>
      </c>
    </row>
    <row r="340" spans="16:29" x14ac:dyDescent="0.2">
      <c r="P340" s="33">
        <v>1</v>
      </c>
      <c r="Q340" s="27" t="str">
        <f>_xll.qlPeriodEquivalent(Q339&amp;"+"&amp;P340&amp;"M")</f>
        <v>28Y1M</v>
      </c>
      <c r="R340" s="28">
        <f>_xll.qlCalendarAdvance(Calendar,SettlementDate,Q340,"f",,Trigger)</f>
        <v>52537</v>
      </c>
      <c r="S340" s="28">
        <f>_xll.qlInterestRateIndexValueDate(Index,R340,Trigger)</f>
        <v>52539</v>
      </c>
      <c r="T340" s="28">
        <f>_xll.qlInterestRateIndexMaturity(Index,S340,Trigger)</f>
        <v>52569</v>
      </c>
      <c r="U340" s="30">
        <f>_xll.qlIndexFixing($M$5,R340,TRUE,InterestRatesTrigger)</f>
        <v>1.4597395950125325E-2</v>
      </c>
      <c r="V340" s="74">
        <f>_xll.qlIndexFixing(Index,R340,TRUE,InterestRatesTrigger)</f>
        <v>1.4619985105871258E-2</v>
      </c>
      <c r="W340" s="30">
        <f t="shared" si="24"/>
        <v>2.2589155745933454E-5</v>
      </c>
      <c r="X340" s="29">
        <f>_xll.qlDayCounterYearFraction(DayCounter,SettlementDate,S340,,,Trigger)</f>
        <v>28.5</v>
      </c>
      <c r="Y340" s="29">
        <f>_xll.qlDayCounterYearFraction(DayCounter,S340,T340)</f>
        <v>8.3333333333333329E-2</v>
      </c>
      <c r="Z340" s="29">
        <f>IF($M$13,_xll.qlYieldTSDiscount(Currency&amp;"ON",S340)/(1+V340*Y340),1)</f>
        <v>1</v>
      </c>
      <c r="AA340" s="30">
        <f>_xll.qlTenorBasisValue(TenorBasis1M,S340,InterestRatesTrigger)</f>
        <v>4.3212349427044732E-5</v>
      </c>
      <c r="AB340" s="74">
        <f t="shared" si="25"/>
        <v>1.464060829955237E-2</v>
      </c>
      <c r="AC340" s="76">
        <f t="shared" si="26"/>
        <v>1.0014106165999328</v>
      </c>
    </row>
    <row r="341" spans="16:29" x14ac:dyDescent="0.2">
      <c r="P341" s="33">
        <v>1</v>
      </c>
      <c r="Q341" s="27" t="str">
        <f>_xll.qlPeriodEquivalent(Q340&amp;"+"&amp;P341&amp;"M")</f>
        <v>28Y2M</v>
      </c>
      <c r="R341" s="28">
        <f>_xll.qlCalendarAdvance(Calendar,SettlementDate,Q341,"f",,Trigger)</f>
        <v>52567</v>
      </c>
      <c r="S341" s="28">
        <f>_xll.qlInterestRateIndexValueDate(Index,R341,Trigger)</f>
        <v>52569</v>
      </c>
      <c r="T341" s="28">
        <f>_xll.qlInterestRateIndexMaturity(Index,S341,Trigger)</f>
        <v>52600</v>
      </c>
      <c r="U341" s="30">
        <f>_xll.qlIndexFixing($M$5,R341,TRUE,InterestRatesTrigger)</f>
        <v>1.460384145287217E-2</v>
      </c>
      <c r="V341" s="74">
        <f>_xll.qlIndexFixing(Index,R341,TRUE,InterestRatesTrigger)</f>
        <v>1.462151066382073E-2</v>
      </c>
      <c r="W341" s="30">
        <f t="shared" si="24"/>
        <v>1.7669210948560374E-5</v>
      </c>
      <c r="X341" s="29">
        <f>_xll.qlDayCounterYearFraction(DayCounter,SettlementDate,S341,,,Trigger)</f>
        <v>28.583333333333332</v>
      </c>
      <c r="Y341" s="29">
        <f>_xll.qlDayCounterYearFraction(DayCounter,S341,T341)</f>
        <v>8.611111111111111E-2</v>
      </c>
      <c r="Z341" s="29">
        <f>IF($M$13,_xll.qlYieldTSDiscount(Currency&amp;"ON",S341)/(1+V341*Y341),1)</f>
        <v>1</v>
      </c>
      <c r="AA341" s="30">
        <f>_xll.qlTenorBasisValue(TenorBasis1M,S341,InterestRatesTrigger)</f>
        <v>4.271217267496861E-5</v>
      </c>
      <c r="AB341" s="74">
        <f t="shared" si="25"/>
        <v>1.4646553625547138E-2</v>
      </c>
      <c r="AC341" s="76">
        <f t="shared" si="26"/>
        <v>1.0017127479028809</v>
      </c>
    </row>
    <row r="342" spans="16:29" x14ac:dyDescent="0.2">
      <c r="P342" s="33">
        <v>1</v>
      </c>
      <c r="Q342" s="27" t="str">
        <f>_xll.qlPeriodEquivalent(Q341&amp;"+"&amp;P342&amp;"M")</f>
        <v>28Y3M</v>
      </c>
      <c r="R342" s="28">
        <f>_xll.qlCalendarAdvance(Calendar,SettlementDate,Q342,"f",,Trigger)</f>
        <v>52600</v>
      </c>
      <c r="S342" s="28">
        <f>_xll.qlInterestRateIndexValueDate(Index,R342,Trigger)</f>
        <v>52602</v>
      </c>
      <c r="T342" s="28">
        <f>_xll.qlInterestRateIndexMaturity(Index,S342,Trigger)</f>
        <v>52635</v>
      </c>
      <c r="U342" s="30">
        <f>_xll.qlIndexFixing($M$5,R342,TRUE,InterestRatesTrigger)</f>
        <v>1.4612185872072591E-2</v>
      </c>
      <c r="V342" s="74">
        <f>_xll.qlIndexFixing(Index,R342,TRUE,InterestRatesTrigger)</f>
        <v>1.4624217661780167E-2</v>
      </c>
      <c r="W342" s="30">
        <f t="shared" si="24"/>
        <v>1.2031789707576263E-5</v>
      </c>
      <c r="X342" s="29">
        <f>_xll.qlDayCounterYearFraction(DayCounter,SettlementDate,S342,,,Trigger)</f>
        <v>28.675000000000001</v>
      </c>
      <c r="Y342" s="29">
        <f>_xll.qlDayCounterYearFraction(DayCounter,S342,T342)</f>
        <v>9.166666666666666E-2</v>
      </c>
      <c r="Z342" s="29">
        <f>IF($M$13,_xll.qlYieldTSDiscount(Currency&amp;"ON",S342)/(1+V342*Y342),1)</f>
        <v>1</v>
      </c>
      <c r="AA342" s="30">
        <f>_xll.qlTenorBasisValue(TenorBasis1M,S342,InterestRatesTrigger)</f>
        <v>4.2168290265713748E-5</v>
      </c>
      <c r="AB342" s="74">
        <f t="shared" si="25"/>
        <v>1.4654354162338304E-2</v>
      </c>
      <c r="AC342" s="76">
        <f t="shared" si="26"/>
        <v>1.0020607256576122</v>
      </c>
    </row>
    <row r="343" spans="16:29" x14ac:dyDescent="0.2">
      <c r="P343" s="33">
        <v>1</v>
      </c>
      <c r="Q343" s="27" t="str">
        <f>_xll.qlPeriodEquivalent(Q342&amp;"+"&amp;P343&amp;"M")</f>
        <v>28Y4M</v>
      </c>
      <c r="R343" s="28">
        <f>_xll.qlCalendarAdvance(Calendar,SettlementDate,Q343,"f",,Trigger)</f>
        <v>52629</v>
      </c>
      <c r="S343" s="28">
        <f>_xll.qlInterestRateIndexValueDate(Index,R343,Trigger)</f>
        <v>52631</v>
      </c>
      <c r="T343" s="28">
        <f>_xll.qlInterestRateIndexMaturity(Index,S343,Trigger)</f>
        <v>52660</v>
      </c>
      <c r="U343" s="30">
        <f>_xll.qlIndexFixing($M$5,R343,TRUE,InterestRatesTrigger)</f>
        <v>1.4617815077484114E-2</v>
      </c>
      <c r="V343" s="74">
        <f>_xll.qlIndexFixing(Index,R343,TRUE,InterestRatesTrigger)</f>
        <v>1.4625261687419689E-2</v>
      </c>
      <c r="W343" s="30">
        <f t="shared" si="24"/>
        <v>7.4466099355754989E-6</v>
      </c>
      <c r="X343" s="29">
        <f>_xll.qlDayCounterYearFraction(DayCounter,SettlementDate,S343,,,Trigger)</f>
        <v>28.755555555555556</v>
      </c>
      <c r="Y343" s="29">
        <f>_xll.qlDayCounterYearFraction(DayCounter,S343,T343)</f>
        <v>8.0555555555555561E-2</v>
      </c>
      <c r="Z343" s="29">
        <f>IF($M$13,_xll.qlYieldTSDiscount(Currency&amp;"ON",S343)/(1+V343*Y343),1)</f>
        <v>1</v>
      </c>
      <c r="AA343" s="30">
        <f>_xll.qlTenorBasisValue(TenorBasis1M,S343,InterestRatesTrigger)</f>
        <v>4.1695736711916745E-5</v>
      </c>
      <c r="AB343" s="74">
        <f t="shared" si="25"/>
        <v>1.4659510814196031E-2</v>
      </c>
      <c r="AC343" s="76">
        <f t="shared" si="26"/>
        <v>1.0023417787324655</v>
      </c>
    </row>
    <row r="344" spans="16:29" x14ac:dyDescent="0.2">
      <c r="P344" s="33">
        <v>1</v>
      </c>
      <c r="Q344" s="27" t="str">
        <f>_xll.qlPeriodEquivalent(Q343&amp;"+"&amp;P344&amp;"M")</f>
        <v>28Y5M</v>
      </c>
      <c r="R344" s="28">
        <f>_xll.qlCalendarAdvance(Calendar,SettlementDate,Q344,"f",,Trigger)</f>
        <v>52658</v>
      </c>
      <c r="S344" s="28">
        <f>_xll.qlInterestRateIndexValueDate(Index,R344,Trigger)</f>
        <v>52660</v>
      </c>
      <c r="T344" s="28">
        <f>_xll.qlInterestRateIndexMaturity(Index,S344,Trigger)</f>
        <v>52691</v>
      </c>
      <c r="U344" s="30">
        <f>_xll.qlIndexFixing($M$5,R344,TRUE,InterestRatesTrigger)</f>
        <v>1.4626691738695664E-2</v>
      </c>
      <c r="V344" s="74">
        <f>_xll.qlIndexFixing(Index,R344,TRUE,InterestRatesTrigger)</f>
        <v>1.4628938842161546E-2</v>
      </c>
      <c r="W344" s="30">
        <f t="shared" si="24"/>
        <v>2.2471034658820555E-6</v>
      </c>
      <c r="X344" s="29">
        <f>_xll.qlDayCounterYearFraction(DayCounter,SettlementDate,S344,,,Trigger)</f>
        <v>28.836111111111112</v>
      </c>
      <c r="Y344" s="29">
        <f>_xll.qlDayCounterYearFraction(DayCounter,S344,T344)</f>
        <v>8.611111111111111E-2</v>
      </c>
      <c r="Z344" s="29">
        <f>IF($M$13,_xll.qlYieldTSDiscount(Currency&amp;"ON",S344)/(1+V344*Y344),1)</f>
        <v>1</v>
      </c>
      <c r="AA344" s="30">
        <f>_xll.qlTenorBasisValue(TenorBasis1M,S344,InterestRatesTrigger)</f>
        <v>4.1228187609669932E-5</v>
      </c>
      <c r="AB344" s="74">
        <f t="shared" si="25"/>
        <v>1.4667919926305334E-2</v>
      </c>
      <c r="AC344" s="76">
        <f t="shared" si="26"/>
        <v>1.0026646556229657</v>
      </c>
    </row>
    <row r="345" spans="16:29" x14ac:dyDescent="0.2">
      <c r="P345" s="33">
        <v>1</v>
      </c>
      <c r="Q345" s="27" t="str">
        <f>_xll.qlPeriodEquivalent(Q344&amp;"+"&amp;P345&amp;"M")</f>
        <v>28Y6M</v>
      </c>
      <c r="R345" s="28">
        <f>_xll.qlCalendarAdvance(Calendar,SettlementDate,Q345,"f",,Trigger)</f>
        <v>52691</v>
      </c>
      <c r="S345" s="28">
        <f>_xll.qlInterestRateIndexValueDate(Index,R345,Trigger)</f>
        <v>52693</v>
      </c>
      <c r="T345" s="28">
        <f>_xll.qlInterestRateIndexMaturity(Index,S345,Trigger)</f>
        <v>52723</v>
      </c>
      <c r="U345" s="30">
        <f>_xll.qlIndexFixing($M$5,R345,TRUE,InterestRatesTrigger)</f>
        <v>1.463618968257574E-2</v>
      </c>
      <c r="V345" s="74">
        <f>_xll.qlIndexFixing(Index,R345,TRUE,InterestRatesTrigger)</f>
        <v>1.4632687558750135E-2</v>
      </c>
      <c r="W345" s="30">
        <f t="shared" si="24"/>
        <v>-3.5021238256049969E-6</v>
      </c>
      <c r="X345" s="29">
        <f>_xll.qlDayCounterYearFraction(DayCounter,SettlementDate,S345,,,Trigger)</f>
        <v>28.927777777777777</v>
      </c>
      <c r="Y345" s="29">
        <f>_xll.qlDayCounterYearFraction(DayCounter,S345,T345)</f>
        <v>8.3333333333333329E-2</v>
      </c>
      <c r="Z345" s="29">
        <f>IF($M$13,_xll.qlYieldTSDiscount(Currency&amp;"ON",S345)/(1+V345*Y345),1)</f>
        <v>1</v>
      </c>
      <c r="AA345" s="30">
        <f>_xll.qlTenorBasisValue(TenorBasis1M,S345,InterestRatesTrigger)</f>
        <v>4.0702175347357603E-5</v>
      </c>
      <c r="AB345" s="74">
        <f t="shared" si="25"/>
        <v>1.4676891857923098E-2</v>
      </c>
      <c r="AC345" s="76">
        <f t="shared" si="26"/>
        <v>1.0030209282468092</v>
      </c>
    </row>
    <row r="346" spans="16:29" x14ac:dyDescent="0.2">
      <c r="P346" s="33">
        <v>1</v>
      </c>
      <c r="Q346" s="27" t="str">
        <f>_xll.qlPeriodEquivalent(Q345&amp;"+"&amp;P346&amp;"M")</f>
        <v>28Y7M</v>
      </c>
      <c r="R346" s="28">
        <f>_xll.qlCalendarAdvance(Calendar,SettlementDate,Q346,"f",,Trigger)</f>
        <v>52719</v>
      </c>
      <c r="S346" s="28">
        <f>_xll.qlInterestRateIndexValueDate(Index,R346,Trigger)</f>
        <v>52721</v>
      </c>
      <c r="T346" s="28">
        <f>_xll.qlInterestRateIndexMaturity(Index,S346,Trigger)</f>
        <v>52754</v>
      </c>
      <c r="U346" s="30">
        <f>_xll.qlIndexFixing($M$5,R346,TRUE,InterestRatesTrigger)</f>
        <v>1.4646727963063747E-2</v>
      </c>
      <c r="V346" s="74">
        <f>_xll.qlIndexFixing(Index,R346,TRUE,InterestRatesTrigger)</f>
        <v>1.4637907508176054E-2</v>
      </c>
      <c r="W346" s="30">
        <f t="shared" si="24"/>
        <v>-8.8204548876931466E-6</v>
      </c>
      <c r="X346" s="29">
        <f>_xll.qlDayCounterYearFraction(DayCounter,SettlementDate,S346,,,Trigger)</f>
        <v>29.005555555555556</v>
      </c>
      <c r="Y346" s="29">
        <f>_xll.qlDayCounterYearFraction(DayCounter,S346,T346)</f>
        <v>9.166666666666666E-2</v>
      </c>
      <c r="Z346" s="29">
        <f>IF($M$13,_xll.qlYieldTSDiscount(Currency&amp;"ON",S346)/(1+V346*Y346),1)</f>
        <v>1</v>
      </c>
      <c r="AA346" s="30">
        <f>_xll.qlTenorBasisValue(TenorBasis1M,S346,InterestRatesTrigger)</f>
        <v>4.0260842688326214E-5</v>
      </c>
      <c r="AB346" s="74">
        <f t="shared" si="25"/>
        <v>1.4686988805752072E-2</v>
      </c>
      <c r="AC346" s="76">
        <f t="shared" si="26"/>
        <v>1.0033530268959963</v>
      </c>
    </row>
    <row r="347" spans="16:29" x14ac:dyDescent="0.2">
      <c r="P347" s="33">
        <v>1</v>
      </c>
      <c r="Q347" s="27" t="str">
        <f>_xll.qlPeriodEquivalent(Q346&amp;"+"&amp;P347&amp;"M")</f>
        <v>28Y8M</v>
      </c>
      <c r="R347" s="28">
        <f>_xll.qlCalendarAdvance(Calendar,SettlementDate,Q347,"f",,Trigger)</f>
        <v>52750</v>
      </c>
      <c r="S347" s="28">
        <f>_xll.qlInterestRateIndexValueDate(Index,R347,Trigger)</f>
        <v>52754</v>
      </c>
      <c r="T347" s="28">
        <f>_xll.qlInterestRateIndexMaturity(Index,S347,Trigger)</f>
        <v>52784</v>
      </c>
      <c r="U347" s="30">
        <f>_xll.qlIndexFixing($M$5,R347,TRUE,InterestRatesTrigger)</f>
        <v>1.465690346873938E-2</v>
      </c>
      <c r="V347" s="74">
        <f>_xll.qlIndexFixing(Index,R347,TRUE,InterestRatesTrigger)</f>
        <v>1.4642313195453838E-2</v>
      </c>
      <c r="W347" s="30">
        <f t="shared" si="24"/>
        <v>-1.4590273285541855E-5</v>
      </c>
      <c r="X347" s="29">
        <f>_xll.qlDayCounterYearFraction(DayCounter,SettlementDate,S347,,,Trigger)</f>
        <v>29.097222222222221</v>
      </c>
      <c r="Y347" s="29">
        <f>_xll.qlDayCounterYearFraction(DayCounter,S347,T347)</f>
        <v>8.3333333333333329E-2</v>
      </c>
      <c r="Z347" s="29">
        <f>IF($M$13,_xll.qlYieldTSDiscount(Currency&amp;"ON",S347)/(1+V347*Y347),1)</f>
        <v>1</v>
      </c>
      <c r="AA347" s="30">
        <f>_xll.qlTenorBasisValue(TenorBasis1M,S347,InterestRatesTrigger)</f>
        <v>3.9746509740051427E-5</v>
      </c>
      <c r="AB347" s="74">
        <f t="shared" si="25"/>
        <v>1.469664997847943E-2</v>
      </c>
      <c r="AC347" s="76">
        <f t="shared" si="26"/>
        <v>1.0037109425471422</v>
      </c>
    </row>
    <row r="348" spans="16:29" x14ac:dyDescent="0.2">
      <c r="P348" s="33">
        <v>1</v>
      </c>
      <c r="Q348" s="27" t="str">
        <f>_xll.qlPeriodEquivalent(Q347&amp;"+"&amp;P348&amp;"M")</f>
        <v>28Y9M</v>
      </c>
      <c r="R348" s="28">
        <f>_xll.qlCalendarAdvance(Calendar,SettlementDate,Q348,"f",,Trigger)</f>
        <v>52782</v>
      </c>
      <c r="S348" s="28">
        <f>_xll.qlInterestRateIndexValueDate(Index,R348,Trigger)</f>
        <v>52784</v>
      </c>
      <c r="T348" s="28">
        <f>_xll.qlInterestRateIndexMaturity(Index,S348,Trigger)</f>
        <v>52817</v>
      </c>
      <c r="U348" s="30">
        <f>_xll.qlIndexFixing($M$5,R348,TRUE,InterestRatesTrigger)</f>
        <v>1.4669690625635149E-2</v>
      </c>
      <c r="V348" s="74">
        <f>_xll.qlIndexFixing(Index,R348,TRUE,InterestRatesTrigger)</f>
        <v>1.464923580255376E-2</v>
      </c>
      <c r="W348" s="30">
        <f t="shared" si="24"/>
        <v>-2.0454823081389115E-5</v>
      </c>
      <c r="X348" s="29">
        <f>_xll.qlDayCounterYearFraction(DayCounter,SettlementDate,S348,,,Trigger)</f>
        <v>29.180555555555557</v>
      </c>
      <c r="Y348" s="29">
        <f>_xll.qlDayCounterYearFraction(DayCounter,S348,T348)</f>
        <v>9.166666666666666E-2</v>
      </c>
      <c r="Z348" s="29">
        <f>IF($M$13,_xll.qlYieldTSDiscount(Currency&amp;"ON",S348)/(1+V348*Y348),1)</f>
        <v>1</v>
      </c>
      <c r="AA348" s="30">
        <f>_xll.qlTenorBasisValue(TenorBasis1M,S348,InterestRatesTrigger)</f>
        <v>3.9284333433749692E-5</v>
      </c>
      <c r="AB348" s="74">
        <f t="shared" si="25"/>
        <v>1.4708974959068899E-2</v>
      </c>
      <c r="AC348" s="76">
        <f t="shared" si="26"/>
        <v>1.0040779708457368</v>
      </c>
    </row>
    <row r="349" spans="16:29" x14ac:dyDescent="0.2">
      <c r="P349" s="33">
        <v>1</v>
      </c>
      <c r="Q349" s="27" t="str">
        <f>_xll.qlPeriodEquivalent(Q348&amp;"+"&amp;P349&amp;"M")</f>
        <v>28Y10M</v>
      </c>
      <c r="R349" s="28">
        <f>_xll.qlCalendarAdvance(Calendar,SettlementDate,Q349,"f",,Trigger)</f>
        <v>52811</v>
      </c>
      <c r="S349" s="28">
        <f>_xll.qlInterestRateIndexValueDate(Index,R349,Trigger)</f>
        <v>52813</v>
      </c>
      <c r="T349" s="28">
        <f>_xll.qlInterestRateIndexMaturity(Index,S349,Trigger)</f>
        <v>52845</v>
      </c>
      <c r="U349" s="30">
        <f>_xll.qlIndexFixing($M$5,R349,TRUE,InterestRatesTrigger)</f>
        <v>1.4680840481667012E-2</v>
      </c>
      <c r="V349" s="74">
        <f>_xll.qlIndexFixing(Index,R349,TRUE,InterestRatesTrigger)</f>
        <v>1.4655012741180695E-2</v>
      </c>
      <c r="W349" s="30">
        <f t="shared" si="24"/>
        <v>-2.5827740486317197E-5</v>
      </c>
      <c r="X349" s="29">
        <f>_xll.qlDayCounterYearFraction(DayCounter,SettlementDate,S349,,,Trigger)</f>
        <v>29.261111111111113</v>
      </c>
      <c r="Y349" s="29">
        <f>_xll.qlDayCounterYearFraction(DayCounter,S349,T349)</f>
        <v>8.8888888888888892E-2</v>
      </c>
      <c r="Z349" s="29">
        <f>IF($M$13,_xll.qlYieldTSDiscount(Currency&amp;"ON",S349)/(1+V349*Y349),1)</f>
        <v>1</v>
      </c>
      <c r="AA349" s="30">
        <f>_xll.qlTenorBasisValue(TenorBasis1M,S349,InterestRatesTrigger)</f>
        <v>3.8842400778264341E-5</v>
      </c>
      <c r="AB349" s="74">
        <f t="shared" si="25"/>
        <v>1.4719682882445276E-2</v>
      </c>
      <c r="AC349" s="76">
        <f t="shared" si="26"/>
        <v>1.0044128341890046</v>
      </c>
    </row>
    <row r="350" spans="16:29" x14ac:dyDescent="0.2">
      <c r="P350" s="33">
        <v>1</v>
      </c>
      <c r="Q350" s="27" t="str">
        <f>_xll.qlPeriodEquivalent(Q349&amp;"+"&amp;P350&amp;"M")</f>
        <v>28Y11M</v>
      </c>
      <c r="R350" s="28">
        <f>_xll.qlCalendarAdvance(Calendar,SettlementDate,Q350,"f",,Trigger)</f>
        <v>52842</v>
      </c>
      <c r="S350" s="28">
        <f>_xll.qlInterestRateIndexValueDate(Index,R350,Trigger)</f>
        <v>52846</v>
      </c>
      <c r="T350" s="28">
        <f>_xll.qlInterestRateIndexMaturity(Index,S350,Trigger)</f>
        <v>52876</v>
      </c>
      <c r="U350" s="30">
        <f>_xll.qlIndexFixing($M$5,R350,TRUE,InterestRatesTrigger)</f>
        <v>1.469388325148735E-2</v>
      </c>
      <c r="V350" s="74">
        <f>_xll.qlIndexFixing(Index,R350,TRUE,InterestRatesTrigger)</f>
        <v>1.4661952700977032E-2</v>
      </c>
      <c r="W350" s="30">
        <f t="shared" si="24"/>
        <v>-3.1930550510317346E-5</v>
      </c>
      <c r="X350" s="29">
        <f>_xll.qlDayCounterYearFraction(DayCounter,SettlementDate,S350,,,Trigger)</f>
        <v>29.352777777777778</v>
      </c>
      <c r="Y350" s="29">
        <f>_xll.qlDayCounterYearFraction(DayCounter,S350,T350)</f>
        <v>8.3333333333333329E-2</v>
      </c>
      <c r="Z350" s="29">
        <f>IF($M$13,_xll.qlYieldTSDiscount(Currency&amp;"ON",S350)/(1+V350*Y350),1)</f>
        <v>1</v>
      </c>
      <c r="AA350" s="30">
        <f>_xll.qlTenorBasisValue(TenorBasis1M,S350,InterestRatesTrigger)</f>
        <v>3.8345237602784649E-5</v>
      </c>
      <c r="AB350" s="74">
        <f t="shared" si="25"/>
        <v>1.4732228489090135E-2</v>
      </c>
      <c r="AC350" s="76">
        <f t="shared" si="26"/>
        <v>1.0047930715332631</v>
      </c>
    </row>
    <row r="351" spans="16:29" x14ac:dyDescent="0.2">
      <c r="P351" s="33">
        <v>1</v>
      </c>
      <c r="Q351" s="27" t="str">
        <f>_xll.qlPeriodEquivalent(Q350&amp;"+"&amp;P351&amp;"M")</f>
        <v>29Y</v>
      </c>
      <c r="R351" s="28">
        <f>_xll.qlCalendarAdvance(Calendar,SettlementDate,Q351,"f",,Trigger)</f>
        <v>52873</v>
      </c>
      <c r="S351" s="28">
        <f>_xll.qlInterestRateIndexValueDate(Index,R351,Trigger)</f>
        <v>52875</v>
      </c>
      <c r="T351" s="28">
        <f>_xll.qlInterestRateIndexMaturity(Index,S351,Trigger)</f>
        <v>52908</v>
      </c>
      <c r="U351" s="30">
        <f>_xll.qlIndexFixing($M$5,R351,TRUE,InterestRatesTrigger)</f>
        <v>1.4708573678974672E-2</v>
      </c>
      <c r="V351" s="74">
        <f>_xll.qlIndexFixing(Index,R351,TRUE,InterestRatesTrigger)</f>
        <v>1.4670755904876938E-2</v>
      </c>
      <c r="W351" s="30">
        <f t="shared" si="24"/>
        <v>-3.7817774097734583E-5</v>
      </c>
      <c r="X351" s="29">
        <f>_xll.qlDayCounterYearFraction(DayCounter,SettlementDate,S351,,,Trigger)</f>
        <v>29.433333333333334</v>
      </c>
      <c r="Y351" s="29">
        <f>_xll.qlDayCounterYearFraction(DayCounter,S351,T351)</f>
        <v>9.166666666666666E-2</v>
      </c>
      <c r="Z351" s="29">
        <f>IF($M$13,_xll.qlYieldTSDiscount(Currency&amp;"ON",S351)/(1+V351*Y351),1)</f>
        <v>1</v>
      </c>
      <c r="AA351" s="30">
        <f>_xll.qlTenorBasisValue(TenorBasis1M,S351,InterestRatesTrigger)</f>
        <v>3.7913317225743728E-5</v>
      </c>
      <c r="AB351" s="74">
        <f t="shared" si="25"/>
        <v>1.4746486996200417E-2</v>
      </c>
      <c r="AC351" s="76">
        <f t="shared" si="26"/>
        <v>1.0051620442610121</v>
      </c>
    </row>
    <row r="352" spans="16:29" x14ac:dyDescent="0.2">
      <c r="P352" s="33">
        <v>1</v>
      </c>
      <c r="Q352" s="27" t="str">
        <f>_xll.qlPeriodEquivalent(Q351&amp;"+"&amp;P352&amp;"M")</f>
        <v>29Y1M</v>
      </c>
      <c r="R352" s="28">
        <f>_xll.qlCalendarAdvance(Calendar,SettlementDate,Q352,"f",,Trigger)</f>
        <v>52903</v>
      </c>
      <c r="S352" s="28">
        <f>_xll.qlInterestRateIndexValueDate(Index,R352,Trigger)</f>
        <v>52905</v>
      </c>
      <c r="T352" s="28">
        <f>_xll.qlInterestRateIndexMaturity(Index,S352,Trigger)</f>
        <v>52936</v>
      </c>
      <c r="U352" s="30">
        <f>_xll.qlIndexFixing($M$5,R352,TRUE,InterestRatesTrigger)</f>
        <v>1.4721777957658772E-2</v>
      </c>
      <c r="V352" s="74">
        <f>_xll.qlIndexFixing(Index,R352,TRUE,InterestRatesTrigger)</f>
        <v>1.4678320445432566E-2</v>
      </c>
      <c r="W352" s="30">
        <f t="shared" si="24"/>
        <v>-4.3457512226206113E-5</v>
      </c>
      <c r="X352" s="29">
        <f>_xll.qlDayCounterYearFraction(DayCounter,SettlementDate,S352,,,Trigger)</f>
        <v>29.516666666666666</v>
      </c>
      <c r="Y352" s="29">
        <f>_xll.qlDayCounterYearFraction(DayCounter,S352,T352)</f>
        <v>8.611111111111111E-2</v>
      </c>
      <c r="Z352" s="29">
        <f>IF($M$13,_xll.qlYieldTSDiscount(Currency&amp;"ON",S352)/(1+V352*Y352),1)</f>
        <v>1</v>
      </c>
      <c r="AA352" s="30">
        <f>_xll.qlTenorBasisValue(TenorBasis1M,S352,InterestRatesTrigger)</f>
        <v>3.7471355652974987E-5</v>
      </c>
      <c r="AB352" s="74">
        <f t="shared" si="25"/>
        <v>1.4759249313311747E-2</v>
      </c>
      <c r="AC352" s="76">
        <f t="shared" si="26"/>
        <v>1.0055134964643972</v>
      </c>
    </row>
    <row r="353" spans="16:29" x14ac:dyDescent="0.2">
      <c r="P353" s="33">
        <v>1</v>
      </c>
      <c r="Q353" s="27" t="str">
        <f>_xll.qlPeriodEquivalent(Q352&amp;"+"&amp;P353&amp;"M")</f>
        <v>29Y2M</v>
      </c>
      <c r="R353" s="28">
        <f>_xll.qlCalendarAdvance(Calendar,SettlementDate,Q353,"f",,Trigger)</f>
        <v>52933</v>
      </c>
      <c r="S353" s="28">
        <f>_xll.qlInterestRateIndexValueDate(Index,R353,Trigger)</f>
        <v>52937</v>
      </c>
      <c r="T353" s="28">
        <f>_xll.qlInterestRateIndexMaturity(Index,S353,Trigger)</f>
        <v>52968</v>
      </c>
      <c r="U353" s="30">
        <f>_xll.qlIndexFixing($M$5,R353,TRUE,InterestRatesTrigger)</f>
        <v>1.473781174689444E-2</v>
      </c>
      <c r="V353" s="74">
        <f>_xll.qlIndexFixing(Index,R353,TRUE,InterestRatesTrigger)</f>
        <v>1.4688078602130731E-2</v>
      </c>
      <c r="W353" s="30">
        <f t="shared" si="24"/>
        <v>-4.9733144763709422E-5</v>
      </c>
      <c r="X353" s="29">
        <f>_xll.qlDayCounterYearFraction(DayCounter,SettlementDate,S353,,,Trigger)</f>
        <v>29.605555555555554</v>
      </c>
      <c r="Y353" s="29">
        <f>_xll.qlDayCounterYearFraction(DayCounter,S353,T353)</f>
        <v>8.611111111111111E-2</v>
      </c>
      <c r="Z353" s="29">
        <f>IF($M$13,_xll.qlYieldTSDiscount(Currency&amp;"ON",S353)/(1+V353*Y353),1)</f>
        <v>1</v>
      </c>
      <c r="AA353" s="30">
        <f>_xll.qlTenorBasisValue(TenorBasis1M,S353,InterestRatesTrigger)</f>
        <v>3.7005313858267442E-5</v>
      </c>
      <c r="AB353" s="74">
        <f t="shared" si="25"/>
        <v>1.4774817060752708E-2</v>
      </c>
      <c r="AC353" s="76">
        <f t="shared" si="26"/>
        <v>1.0059053645457339</v>
      </c>
    </row>
    <row r="354" spans="16:29" x14ac:dyDescent="0.2">
      <c r="P354" s="33">
        <v>1</v>
      </c>
      <c r="Q354" s="27" t="str">
        <f>_xll.qlPeriodEquivalent(Q353&amp;"+"&amp;P354&amp;"M")</f>
        <v>29Y3M</v>
      </c>
      <c r="R354" s="28">
        <f>_xll.qlCalendarAdvance(Calendar,SettlementDate,Q354,"f",,Trigger)</f>
        <v>52964</v>
      </c>
      <c r="S354" s="28">
        <f>_xll.qlInterestRateIndexValueDate(Index,R354,Trigger)</f>
        <v>52966</v>
      </c>
      <c r="T354" s="28">
        <f>_xll.qlInterestRateIndexMaturity(Index,S354,Trigger)</f>
        <v>52999</v>
      </c>
      <c r="U354" s="30">
        <f>_xll.qlIndexFixing($M$5,R354,TRUE,InterestRatesTrigger)</f>
        <v>1.4754210608669348E-2</v>
      </c>
      <c r="V354" s="74">
        <f>_xll.qlIndexFixing(Index,R354,TRUE,InterestRatesTrigger)</f>
        <v>1.4698550389392103E-2</v>
      </c>
      <c r="W354" s="30">
        <f t="shared" si="24"/>
        <v>-5.566021927724471E-5</v>
      </c>
      <c r="X354" s="29">
        <f>_xll.qlDayCounterYearFraction(DayCounter,SettlementDate,S354,,,Trigger)</f>
        <v>29.68611111111111</v>
      </c>
      <c r="Y354" s="29">
        <f>_xll.qlDayCounterYearFraction(DayCounter,S354,T354)</f>
        <v>9.166666666666666E-2</v>
      </c>
      <c r="Z354" s="29">
        <f>IF($M$13,_xll.qlYieldTSDiscount(Currency&amp;"ON",S354)/(1+V354*Y354),1)</f>
        <v>1</v>
      </c>
      <c r="AA354" s="30">
        <f>_xll.qlTenorBasisValue(TenorBasis1M,S354,InterestRatesTrigger)</f>
        <v>3.6587714919550393E-5</v>
      </c>
      <c r="AB354" s="74">
        <f t="shared" si="25"/>
        <v>1.4790798323588898E-2</v>
      </c>
      <c r="AC354" s="76">
        <f t="shared" si="26"/>
        <v>1.0062759885671018</v>
      </c>
    </row>
    <row r="355" spans="16:29" x14ac:dyDescent="0.2">
      <c r="P355" s="33">
        <v>1</v>
      </c>
      <c r="Q355" s="27" t="str">
        <f>_xll.qlPeriodEquivalent(Q354&amp;"+"&amp;P355&amp;"M")</f>
        <v>29Y4M</v>
      </c>
      <c r="R355" s="28">
        <f>_xll.qlCalendarAdvance(Calendar,SettlementDate,Q355,"f",,Trigger)</f>
        <v>52995</v>
      </c>
      <c r="S355" s="28">
        <f>_xll.qlInterestRateIndexValueDate(Index,R355,Trigger)</f>
        <v>52999</v>
      </c>
      <c r="T355" s="28">
        <f>_xll.qlInterestRateIndexMaturity(Index,S355,Trigger)</f>
        <v>53027</v>
      </c>
      <c r="U355" s="30">
        <f>_xll.qlIndexFixing($M$5,R355,TRUE,InterestRatesTrigger)</f>
        <v>1.4769492962906241E-2</v>
      </c>
      <c r="V355" s="74">
        <f>_xll.qlIndexFixing(Index,R355,TRUE,InterestRatesTrigger)</f>
        <v>1.47077931141618E-2</v>
      </c>
      <c r="W355" s="30">
        <f t="shared" si="24"/>
        <v>-6.1699848744441177E-5</v>
      </c>
      <c r="X355" s="29">
        <f>_xll.qlDayCounterYearFraction(DayCounter,SettlementDate,S355,,,Trigger)</f>
        <v>29.777777777777779</v>
      </c>
      <c r="Y355" s="29">
        <f>_xll.qlDayCounterYearFraction(DayCounter,S355,T355)</f>
        <v>7.7777777777777779E-2</v>
      </c>
      <c r="Z355" s="29">
        <f>IF($M$13,_xll.qlYieldTSDiscount(Currency&amp;"ON",S355)/(1+V355*Y355),1)</f>
        <v>1</v>
      </c>
      <c r="AA355" s="30">
        <f>_xll.qlTenorBasisValue(TenorBasis1M,S355,InterestRatesTrigger)</f>
        <v>3.6117953523274905E-5</v>
      </c>
      <c r="AB355" s="74">
        <f t="shared" si="25"/>
        <v>1.4805610916429516E-2</v>
      </c>
      <c r="AC355" s="76">
        <f t="shared" si="26"/>
        <v>1.0066507464109982</v>
      </c>
    </row>
    <row r="356" spans="16:29" x14ac:dyDescent="0.2">
      <c r="P356" s="33">
        <v>1</v>
      </c>
      <c r="Q356" s="27" t="str">
        <f>_xll.qlPeriodEquivalent(Q355&amp;"+"&amp;P356&amp;"M")</f>
        <v>29Y5M</v>
      </c>
      <c r="R356" s="28">
        <f>_xll.qlCalendarAdvance(Calendar,SettlementDate,Q356,"f",,Trigger)</f>
        <v>53023</v>
      </c>
      <c r="S356" s="28">
        <f>_xll.qlInterestRateIndexValueDate(Index,R356,Trigger)</f>
        <v>53027</v>
      </c>
      <c r="T356" s="28">
        <f>_xll.qlInterestRateIndexMaturity(Index,S356,Trigger)</f>
        <v>53058</v>
      </c>
      <c r="U356" s="30">
        <f>_xll.qlIndexFixing($M$5,R356,TRUE,InterestRatesTrigger)</f>
        <v>1.4787384025584141E-2</v>
      </c>
      <c r="V356" s="74">
        <f>_xll.qlIndexFixing(Index,R356,TRUE,InterestRatesTrigger)</f>
        <v>1.4719799968681002E-2</v>
      </c>
      <c r="W356" s="30">
        <f t="shared" si="24"/>
        <v>-6.7584056903139192E-5</v>
      </c>
      <c r="X356" s="29">
        <f>_xll.qlDayCounterYearFraction(DayCounter,SettlementDate,S356,,,Trigger)</f>
        <v>29.855555555555554</v>
      </c>
      <c r="Y356" s="29">
        <f>_xll.qlDayCounterYearFraction(DayCounter,S356,T356)</f>
        <v>8.611111111111111E-2</v>
      </c>
      <c r="Z356" s="29">
        <f>IF($M$13,_xll.qlYieldTSDiscount(Currency&amp;"ON",S356)/(1+V356*Y356),1)</f>
        <v>1</v>
      </c>
      <c r="AA356" s="30">
        <f>_xll.qlTenorBasisValue(TenorBasis1M,S356,InterestRatesTrigger)</f>
        <v>3.5723861230618528E-5</v>
      </c>
      <c r="AB356" s="74">
        <f t="shared" si="25"/>
        <v>1.4823107886814759E-2</v>
      </c>
      <c r="AC356" s="76">
        <f t="shared" si="26"/>
        <v>1.0070182963323933</v>
      </c>
    </row>
    <row r="357" spans="16:29" x14ac:dyDescent="0.2">
      <c r="P357" s="33">
        <v>1</v>
      </c>
      <c r="Q357" s="27" t="str">
        <f>_xll.qlPeriodEquivalent(Q356&amp;"+"&amp;P357&amp;"M")</f>
        <v>29Y6M</v>
      </c>
      <c r="R357" s="28">
        <f>_xll.qlCalendarAdvance(Calendar,SettlementDate,Q357,"f",,Trigger)</f>
        <v>53055</v>
      </c>
      <c r="S357" s="28">
        <f>_xll.qlInterestRateIndexValueDate(Index,R357,Trigger)</f>
        <v>53057</v>
      </c>
      <c r="T357" s="28">
        <f>_xll.qlInterestRateIndexMaturity(Index,S357,Trigger)</f>
        <v>53087</v>
      </c>
      <c r="U357" s="30">
        <f>_xll.qlIndexFixing($M$5,R357,TRUE,InterestRatesTrigger)</f>
        <v>1.4804763826654188E-2</v>
      </c>
      <c r="V357" s="74">
        <f>_xll.qlIndexFixing(Index,R357,TRUE,InterestRatesTrigger)</f>
        <v>1.4731290885765524E-2</v>
      </c>
      <c r="W357" s="30">
        <f t="shared" si="24"/>
        <v>-7.3472940888663629E-5</v>
      </c>
      <c r="X357" s="29">
        <f>_xll.qlDayCounterYearFraction(DayCounter,SettlementDate,S357,,,Trigger)</f>
        <v>29.93888888888889</v>
      </c>
      <c r="Y357" s="29">
        <f>_xll.qlDayCounterYearFraction(DayCounter,S357,T357)</f>
        <v>8.3333333333333329E-2</v>
      </c>
      <c r="Z357" s="29">
        <f>IF($M$13,_xll.qlYieldTSDiscount(Currency&amp;"ON",S357)/(1+V357*Y357),1)</f>
        <v>1</v>
      </c>
      <c r="AA357" s="30">
        <f>_xll.qlTenorBasisValue(TenorBasis1M,S357,InterestRatesTrigger)</f>
        <v>3.530614981806E-5</v>
      </c>
      <c r="AB357" s="74">
        <f t="shared" si="25"/>
        <v>1.4840069976472248E-2</v>
      </c>
      <c r="AC357" s="76">
        <f t="shared" si="26"/>
        <v>1.0073842198589558</v>
      </c>
    </row>
    <row r="358" spans="16:29" x14ac:dyDescent="0.2">
      <c r="P358" s="33">
        <v>1</v>
      </c>
      <c r="Q358" s="27" t="str">
        <f>_xll.qlPeriodEquivalent(Q357&amp;"+"&amp;P358&amp;"M")</f>
        <v>29Y7M</v>
      </c>
      <c r="R358" s="28">
        <f>_xll.qlCalendarAdvance(Calendar,SettlementDate,Q358,"f",,Trigger)</f>
        <v>53084</v>
      </c>
      <c r="S358" s="28">
        <f>_xll.qlInterestRateIndexValueDate(Index,R358,Trigger)</f>
        <v>53086</v>
      </c>
      <c r="T358" s="28">
        <f>_xll.qlInterestRateIndexMaturity(Index,S358,Trigger)</f>
        <v>53118</v>
      </c>
      <c r="U358" s="30">
        <f>_xll.qlIndexFixing($M$5,R358,TRUE,InterestRatesTrigger)</f>
        <v>1.4824091218227364E-2</v>
      </c>
      <c r="V358" s="74">
        <f>_xll.qlIndexFixing(Index,R358,TRUE,InterestRatesTrigger)</f>
        <v>1.4744611350157866E-2</v>
      </c>
      <c r="W358" s="30">
        <f t="shared" si="24"/>
        <v>-7.9479868069498583E-5</v>
      </c>
      <c r="X358" s="29">
        <f>_xll.qlDayCounterYearFraction(DayCounter,SettlementDate,S358,,,Trigger)</f>
        <v>30.019444444444446</v>
      </c>
      <c r="Y358" s="29">
        <f>_xll.qlDayCounterYearFraction(DayCounter,S358,T358)</f>
        <v>8.8888888888888892E-2</v>
      </c>
      <c r="Z358" s="29">
        <f>IF($M$13,_xll.qlYieldTSDiscount(Currency&amp;"ON",S358)/(1+V358*Y358),1)</f>
        <v>1</v>
      </c>
      <c r="AA358" s="30">
        <f>_xll.qlTenorBasisValue(TenorBasis1M,S358,InterestRatesTrigger)</f>
        <v>3.4906773145158241E-5</v>
      </c>
      <c r="AB358" s="74">
        <f t="shared" si="25"/>
        <v>1.4858997991372523E-2</v>
      </c>
      <c r="AC358" s="76">
        <f t="shared" si="26"/>
        <v>1.0077578607192947</v>
      </c>
    </row>
    <row r="359" spans="16:29" x14ac:dyDescent="0.2">
      <c r="P359" s="33">
        <v>1</v>
      </c>
      <c r="Q359" s="27" t="str">
        <f>_xll.qlPeriodEquivalent(Q358&amp;"+"&amp;P359&amp;"M")</f>
        <v>29Y8M</v>
      </c>
      <c r="R359" s="28">
        <f>_xll.qlCalendarAdvance(Calendar,SettlementDate,Q359,"f",,Trigger)</f>
        <v>53115</v>
      </c>
      <c r="S359" s="28">
        <f>_xll.qlInterestRateIndexValueDate(Index,R359,Trigger)</f>
        <v>53119</v>
      </c>
      <c r="T359" s="28">
        <f>_xll.qlInterestRateIndexMaturity(Index,S359,Trigger)</f>
        <v>53149</v>
      </c>
      <c r="U359" s="30">
        <f>_xll.qlIndexFixing($M$5,R359,TRUE,InterestRatesTrigger)</f>
        <v>1.484424641939075E-2</v>
      </c>
      <c r="V359" s="74">
        <f>_xll.qlIndexFixing(Index,R359,TRUE,InterestRatesTrigger)</f>
        <v>1.4758370880223026E-2</v>
      </c>
      <c r="W359" s="30">
        <f t="shared" si="24"/>
        <v>-8.5875539167723502E-5</v>
      </c>
      <c r="X359" s="29">
        <f>_xll.qlDayCounterYearFraction(DayCounter,SettlementDate,S359,,,Trigger)</f>
        <v>30.111111111111111</v>
      </c>
      <c r="Y359" s="29">
        <f>_xll.qlDayCounterYearFraction(DayCounter,S359,T359)</f>
        <v>8.3333333333333329E-2</v>
      </c>
      <c r="Z359" s="29">
        <f>IF($M$13,_xll.qlYieldTSDiscount(Currency&amp;"ON",S359)/(1+V359*Y359),1)</f>
        <v>1</v>
      </c>
      <c r="AA359" s="30">
        <f>_xll.qlTenorBasisValue(TenorBasis1M,S359,InterestRatesTrigger)</f>
        <v>3.4457529790243853E-5</v>
      </c>
      <c r="AB359" s="74">
        <f t="shared" si="25"/>
        <v>1.4878703949180994E-2</v>
      </c>
      <c r="AC359" s="76">
        <f t="shared" si="26"/>
        <v>1.0081535468877003</v>
      </c>
    </row>
    <row r="360" spans="16:29" x14ac:dyDescent="0.2">
      <c r="P360" s="33">
        <v>1</v>
      </c>
      <c r="Q360" s="27" t="str">
        <f>_xll.qlPeriodEquivalent(Q359&amp;"+"&amp;P360&amp;"M")</f>
        <v>29Y9M</v>
      </c>
      <c r="R360" s="28">
        <f>_xll.qlCalendarAdvance(Calendar,SettlementDate,Q360,"f",,Trigger)</f>
        <v>53146</v>
      </c>
      <c r="S360" s="28">
        <f>_xll.qlInterestRateIndexValueDate(Index,R360,Trigger)</f>
        <v>53148</v>
      </c>
      <c r="T360" s="28">
        <f>_xll.qlInterestRateIndexMaturity(Index,S360,Trigger)</f>
        <v>53181</v>
      </c>
      <c r="U360" s="30">
        <f>_xll.qlIndexFixing($M$5,R360,TRUE,InterestRatesTrigger)</f>
        <v>1.4865746448246918E-2</v>
      </c>
      <c r="V360" s="74">
        <f>_xll.qlIndexFixing(Index,R360,TRUE,InterestRatesTrigger)</f>
        <v>1.4773763663483406E-2</v>
      </c>
      <c r="W360" s="30">
        <f t="shared" si="24"/>
        <v>-9.1982784763511988E-5</v>
      </c>
      <c r="X360" s="29">
        <f>_xll.qlDayCounterYearFraction(DayCounter,SettlementDate,S360,,,Trigger)</f>
        <v>30.191666666666666</v>
      </c>
      <c r="Y360" s="29">
        <f>_xll.qlDayCounterYearFraction(DayCounter,S360,T360)</f>
        <v>9.166666666666666E-2</v>
      </c>
      <c r="Z360" s="29">
        <f>IF($M$13,_xll.qlYieldTSDiscount(Currency&amp;"ON",S360)/(1+V360*Y360),1)</f>
        <v>1</v>
      </c>
      <c r="AA360" s="30">
        <f>_xll.qlTenorBasisValue(TenorBasis1M,S360,InterestRatesTrigger)</f>
        <v>3.4067279910478006E-5</v>
      </c>
      <c r="AB360" s="74">
        <f t="shared" si="25"/>
        <v>1.4899813728157395E-2</v>
      </c>
      <c r="AC360" s="76">
        <f t="shared" si="26"/>
        <v>1.0085320211927817</v>
      </c>
    </row>
    <row r="361" spans="16:29" x14ac:dyDescent="0.2">
      <c r="P361" s="33">
        <v>1</v>
      </c>
      <c r="Q361" s="27" t="str">
        <f>_xll.qlPeriodEquivalent(Q360&amp;"+"&amp;P361&amp;"M")</f>
        <v>29Y10M</v>
      </c>
      <c r="R361" s="28">
        <f>_xll.qlCalendarAdvance(Calendar,SettlementDate,Q361,"f",,Trigger)</f>
        <v>53176</v>
      </c>
      <c r="S361" s="28">
        <f>_xll.qlInterestRateIndexValueDate(Index,R361,Trigger)</f>
        <v>53178</v>
      </c>
      <c r="T361" s="28">
        <f>_xll.qlInterestRateIndexMaturity(Index,S361,Trigger)</f>
        <v>53209</v>
      </c>
      <c r="U361" s="30">
        <f>_xll.qlIndexFixing($M$5,R361,TRUE,InterestRatesTrigger)</f>
        <v>1.4885394425756681E-2</v>
      </c>
      <c r="V361" s="74">
        <f>_xll.qlIndexFixing(Index,R361,TRUE,InterestRatesTrigger)</f>
        <v>1.4787635205961283E-2</v>
      </c>
      <c r="W361" s="30">
        <f t="shared" si="24"/>
        <v>-9.7759219795398242E-5</v>
      </c>
      <c r="X361" s="29">
        <f>_xll.qlDayCounterYearFraction(DayCounter,SettlementDate,S361,,,Trigger)</f>
        <v>30.274999999999999</v>
      </c>
      <c r="Y361" s="29">
        <f>_xll.qlDayCounterYearFraction(DayCounter,S361,T361)</f>
        <v>8.611111111111111E-2</v>
      </c>
      <c r="Z361" s="29">
        <f>IF($M$13,_xll.qlYieldTSDiscount(Currency&amp;"ON",S361)/(1+V361*Y361),1)</f>
        <v>1</v>
      </c>
      <c r="AA361" s="30">
        <f>_xll.qlTenorBasisValue(TenorBasis1M,S361,InterestRatesTrigger)</f>
        <v>3.36679954852034E-5</v>
      </c>
      <c r="AB361" s="74">
        <f t="shared" si="25"/>
        <v>1.4919062421241885E-2</v>
      </c>
      <c r="AC361" s="76">
        <f t="shared" si="26"/>
        <v>1.008887642510117</v>
      </c>
    </row>
    <row r="362" spans="16:29" x14ac:dyDescent="0.2">
      <c r="P362" s="33">
        <v>1</v>
      </c>
      <c r="Q362" s="27" t="str">
        <f>_xll.qlPeriodEquivalent(Q361&amp;"+"&amp;P362&amp;"M")</f>
        <v>29Y11M</v>
      </c>
      <c r="R362" s="28">
        <f>_xll.qlCalendarAdvance(Calendar,SettlementDate,Q362,"f",,Trigger)</f>
        <v>53209</v>
      </c>
      <c r="S362" s="28">
        <f>_xll.qlInterestRateIndexValueDate(Index,R362,Trigger)</f>
        <v>53211</v>
      </c>
      <c r="T362" s="28">
        <f>_xll.qlInterestRateIndexMaturity(Index,S362,Trigger)</f>
        <v>53241</v>
      </c>
      <c r="U362" s="30">
        <f>_xll.qlIndexFixing($M$5,R362,TRUE,InterestRatesTrigger)</f>
        <v>1.4908610067945638E-2</v>
      </c>
      <c r="V362" s="74">
        <f>_xll.qlIndexFixing(Index,R362,TRUE,InterestRatesTrigger)</f>
        <v>1.4804395821209404E-2</v>
      </c>
      <c r="W362" s="30">
        <f t="shared" si="24"/>
        <v>-1.0421424673623392E-4</v>
      </c>
      <c r="X362" s="29">
        <f>_xll.qlDayCounterYearFraction(DayCounter,SettlementDate,S362,,,Trigger)</f>
        <v>30.366666666666667</v>
      </c>
      <c r="Y362" s="29">
        <f>_xll.qlDayCounterYearFraction(DayCounter,S362,T362)</f>
        <v>8.3333333333333329E-2</v>
      </c>
      <c r="Z362" s="29">
        <f>IF($M$13,_xll.qlYieldTSDiscount(Currency&amp;"ON",S362)/(1+V362*Y362),1)</f>
        <v>1</v>
      </c>
      <c r="AA362" s="30">
        <f>_xll.qlTenorBasisValue(TenorBasis1M,S362,InterestRatesTrigger)</f>
        <v>3.3233922648780333E-5</v>
      </c>
      <c r="AB362" s="74">
        <f t="shared" si="25"/>
        <v>1.4941843990594419E-2</v>
      </c>
      <c r="AC362" s="76">
        <f t="shared" si="26"/>
        <v>1.0092842809017644</v>
      </c>
    </row>
    <row r="363" spans="16:29" x14ac:dyDescent="0.2">
      <c r="P363" s="33">
        <v>1</v>
      </c>
      <c r="Q363" s="27" t="str">
        <f>_xll.qlPeriodEquivalent(Q362&amp;"+"&amp;P363&amp;"M")</f>
        <v>30Y</v>
      </c>
      <c r="R363" s="28">
        <f>_xll.qlCalendarAdvance(Calendar,SettlementDate,Q363,"f",,Trigger)</f>
        <v>53237</v>
      </c>
      <c r="S363" s="28">
        <f>_xll.qlInterestRateIndexValueDate(Index,R363,Trigger)</f>
        <v>53239</v>
      </c>
      <c r="T363" s="28">
        <f>_xll.qlInterestRateIndexMaturity(Index,S363,Trigger)</f>
        <v>53272</v>
      </c>
      <c r="U363" s="30">
        <f>_xll.qlIndexFixing($M$5,R363,TRUE,InterestRatesTrigger)</f>
        <v>1.4931323326727057E-2</v>
      </c>
      <c r="V363" s="74">
        <f>_xll.qlIndexFixing(Index,R363,TRUE,InterestRatesTrigger)</f>
        <v>1.4821328346989208E-2</v>
      </c>
      <c r="W363" s="30">
        <f t="shared" si="24"/>
        <v>-1.0999497973784855E-4</v>
      </c>
      <c r="X363" s="29">
        <f>_xll.qlDayCounterYearFraction(DayCounter,SettlementDate,S363,,,Trigger)</f>
        <v>30.444444444444443</v>
      </c>
      <c r="Y363" s="29">
        <f>_xll.qlDayCounterYearFraction(DayCounter,S363,T363)</f>
        <v>9.166666666666666E-2</v>
      </c>
      <c r="Z363" s="29">
        <f>IF($M$13,_xll.qlYieldTSDiscount(Currency&amp;"ON",S363)/(1+V363*Y363),1)</f>
        <v>1</v>
      </c>
      <c r="AA363" s="30">
        <f>_xll.qlTenorBasisValue(TenorBasis1M,S363,InterestRatesTrigger)</f>
        <v>3.2869797423695137E-5</v>
      </c>
      <c r="AB363" s="74">
        <f t="shared" si="25"/>
        <v>1.4964193124150751E-2</v>
      </c>
      <c r="AC363" s="76">
        <f t="shared" si="26"/>
        <v>1.0096391344835542</v>
      </c>
    </row>
    <row r="364" spans="16:29" x14ac:dyDescent="0.2">
      <c r="P364" s="33">
        <v>1</v>
      </c>
      <c r="Q364" s="27" t="str">
        <f>_xll.qlPeriodEquivalent(Q363&amp;"+"&amp;P364&amp;"M")</f>
        <v>30Y1M</v>
      </c>
      <c r="R364" s="28">
        <f>_xll.qlCalendarAdvance(Calendar,SettlementDate,Q364,"f",,Trigger)</f>
        <v>53268</v>
      </c>
      <c r="S364" s="28">
        <f>_xll.qlInterestRateIndexValueDate(Index,R364,Trigger)</f>
        <v>53272</v>
      </c>
      <c r="T364" s="28">
        <f>_xll.qlInterestRateIndexMaturity(Index,S364,Trigger)</f>
        <v>53302</v>
      </c>
      <c r="U364" s="30">
        <f>_xll.qlIndexFixing($M$5,R364,TRUE,InterestRatesTrigger)</f>
        <v>1.4953176412765501E-2</v>
      </c>
      <c r="V364" s="74">
        <f>_xll.qlIndexFixing(Index,R364,TRUE,InterestRatesTrigger)</f>
        <v>1.4837330872991217E-2</v>
      </c>
      <c r="W364" s="30">
        <f t="shared" si="24"/>
        <v>-1.1584553977428413E-4</v>
      </c>
      <c r="X364" s="29">
        <f>_xll.qlDayCounterYearFraction(DayCounter,SettlementDate,S364,,,Trigger)</f>
        <v>30.536111111111111</v>
      </c>
      <c r="Y364" s="29">
        <f>_xll.qlDayCounterYearFraction(DayCounter,S364,T364)</f>
        <v>8.3333333333333329E-2</v>
      </c>
      <c r="Z364" s="29">
        <f>IF($M$13,_xll.qlYieldTSDiscount(Currency&amp;"ON",S364)/(1+V364*Y364),1)</f>
        <v>1</v>
      </c>
      <c r="AA364" s="30">
        <f>_xll.qlTenorBasisValue(TenorBasis1M,S364,InterestRatesTrigger)</f>
        <v>3.244552225598983E-5</v>
      </c>
      <c r="AB364" s="74">
        <f t="shared" si="25"/>
        <v>1.498562193502149E-2</v>
      </c>
      <c r="AC364" s="76">
        <f t="shared" si="26"/>
        <v>1.0099944567725596</v>
      </c>
    </row>
    <row r="365" spans="16:29" x14ac:dyDescent="0.2">
      <c r="P365" s="33">
        <v>1</v>
      </c>
      <c r="Q365" s="27" t="str">
        <f>_xll.qlPeriodEquivalent(Q364&amp;"+"&amp;P365&amp;"M")</f>
        <v>30Y2M</v>
      </c>
      <c r="R365" s="28">
        <f>_xll.qlCalendarAdvance(Calendar,SettlementDate,Q365,"f",,Trigger)</f>
        <v>53300</v>
      </c>
      <c r="S365" s="28">
        <f>_xll.qlInterestRateIndexValueDate(Index,R365,Trigger)</f>
        <v>53302</v>
      </c>
      <c r="T365" s="28">
        <f>_xll.qlInterestRateIndexMaturity(Index,S365,Trigger)</f>
        <v>53335</v>
      </c>
      <c r="U365" s="30">
        <f>_xll.qlIndexFixing($M$5,R365,TRUE,InterestRatesTrigger)</f>
        <v>1.4976213962573195E-2</v>
      </c>
      <c r="V365" s="74">
        <f>_xll.qlIndexFixing(Index,R365,TRUE,InterestRatesTrigger)</f>
        <v>1.4854833227442301E-2</v>
      </c>
      <c r="W365" s="30">
        <f t="shared" si="24"/>
        <v>-1.2138073513089445E-4</v>
      </c>
      <c r="X365" s="29">
        <f>_xll.qlDayCounterYearFraction(DayCounter,SettlementDate,S365,,,Trigger)</f>
        <v>30.619444444444444</v>
      </c>
      <c r="Y365" s="29">
        <f>_xll.qlDayCounterYearFraction(DayCounter,S365,T365)</f>
        <v>9.166666666666666E-2</v>
      </c>
      <c r="Z365" s="29">
        <f>IF($M$13,_xll.qlYieldTSDiscount(Currency&amp;"ON",S365)/(1+V365*Y365),1)</f>
        <v>1</v>
      </c>
      <c r="AA365" s="30">
        <f>_xll.qlTenorBasisValue(TenorBasis1M,S365,InterestRatesTrigger)</f>
        <v>3.206434466996993E-5</v>
      </c>
      <c r="AB365" s="74">
        <f t="shared" si="25"/>
        <v>1.5008278307243165E-2</v>
      </c>
      <c r="AC365" s="76">
        <f t="shared" si="26"/>
        <v>1.0103296400202861</v>
      </c>
    </row>
    <row r="366" spans="16:29" x14ac:dyDescent="0.2">
      <c r="P366" s="33">
        <v>1</v>
      </c>
      <c r="Q366" s="27" t="str">
        <f>_xll.qlPeriodEquivalent(Q365&amp;"+"&amp;P366&amp;"M")</f>
        <v>30Y3M</v>
      </c>
      <c r="R366" s="28">
        <f>_xll.qlCalendarAdvance(Calendar,SettlementDate,Q366,"f",,Trigger)</f>
        <v>53329</v>
      </c>
      <c r="S366" s="28">
        <f>_xll.qlInterestRateIndexValueDate(Index,R366,Trigger)</f>
        <v>53331</v>
      </c>
      <c r="T366" s="28">
        <f>_xll.qlInterestRateIndexMaturity(Index,S366,Trigger)</f>
        <v>53363</v>
      </c>
      <c r="U366" s="30">
        <f>_xll.qlIndexFixing($M$5,R366,TRUE,InterestRatesTrigger)</f>
        <v>1.4995334071297439E-2</v>
      </c>
      <c r="V366" s="74">
        <f>_xll.qlIndexFixing(Index,R366,TRUE,InterestRatesTrigger)</f>
        <v>1.4869247845332445E-2</v>
      </c>
      <c r="W366" s="30">
        <f t="shared" si="24"/>
        <v>-1.2608622596499419E-4</v>
      </c>
      <c r="X366" s="29">
        <f>_xll.qlDayCounterYearFraction(DayCounter,SettlementDate,S366,,,Trigger)</f>
        <v>30.7</v>
      </c>
      <c r="Y366" s="29">
        <f>_xll.qlDayCounterYearFraction(DayCounter,S366,T366)</f>
        <v>8.8888888888888892E-2</v>
      </c>
      <c r="Z366" s="29">
        <f>IF($M$13,_xll.qlYieldTSDiscount(Currency&amp;"ON",S366)/(1+V366*Y366),1)</f>
        <v>1</v>
      </c>
      <c r="AA366" s="30">
        <f>_xll.qlTenorBasisValue(TenorBasis1M,S366,InterestRatesTrigger)</f>
        <v>3.1699928182095225E-5</v>
      </c>
      <c r="AB366" s="74">
        <f t="shared" si="25"/>
        <v>1.5027033999479534E-2</v>
      </c>
      <c r="AC366" s="76">
        <f t="shared" si="26"/>
        <v>1.0106115760385701</v>
      </c>
    </row>
    <row r="367" spans="16:29" x14ac:dyDescent="0.2">
      <c r="P367" s="33">
        <v>1</v>
      </c>
      <c r="Q367" s="27" t="str">
        <f>_xll.qlPeriodEquivalent(Q366&amp;"+"&amp;P367&amp;"M")</f>
        <v>30Y4M</v>
      </c>
      <c r="R367" s="28">
        <f>_xll.qlCalendarAdvance(Calendar,SettlementDate,Q367,"f",,Trigger)</f>
        <v>53360</v>
      </c>
      <c r="S367" s="28">
        <f>_xll.qlInterestRateIndexValueDate(Index,R367,Trigger)</f>
        <v>53364</v>
      </c>
      <c r="T367" s="28">
        <f>_xll.qlInterestRateIndexMaturity(Index,S367,Trigger)</f>
        <v>53392</v>
      </c>
      <c r="U367" s="30">
        <f>_xll.qlIndexFixing($M$5,R367,TRUE,InterestRatesTrigger)</f>
        <v>1.5014602342467827E-2</v>
      </c>
      <c r="V367" s="74">
        <f>_xll.qlIndexFixing(Index,R367,TRUE,InterestRatesTrigger)</f>
        <v>1.4883717567084303E-2</v>
      </c>
      <c r="W367" s="30">
        <f t="shared" si="24"/>
        <v>-1.3088477538352426E-4</v>
      </c>
      <c r="X367" s="29">
        <f>_xll.qlDayCounterYearFraction(DayCounter,SettlementDate,S367,,,Trigger)</f>
        <v>30.791666666666668</v>
      </c>
      <c r="Y367" s="29">
        <f>_xll.qlDayCounterYearFraction(DayCounter,S367,T367)</f>
        <v>7.7777777777777779E-2</v>
      </c>
      <c r="Z367" s="29">
        <f>IF($M$13,_xll.qlYieldTSDiscount(Currency&amp;"ON",S367)/(1+V367*Y367),1)</f>
        <v>1</v>
      </c>
      <c r="AA367" s="30">
        <f>_xll.qlTenorBasisValue(TenorBasis1M,S367,InterestRatesTrigger)</f>
        <v>3.1290045343158373E-5</v>
      </c>
      <c r="AB367" s="74">
        <f t="shared" si="25"/>
        <v>1.5045892387810985E-2</v>
      </c>
      <c r="AC367" s="76">
        <f t="shared" si="26"/>
        <v>1.0108961232296785</v>
      </c>
    </row>
    <row r="368" spans="16:29" x14ac:dyDescent="0.2">
      <c r="P368" s="33">
        <v>1</v>
      </c>
      <c r="Q368" s="27" t="str">
        <f>_xll.qlPeriodEquivalent(Q367&amp;"+"&amp;P368&amp;"M")</f>
        <v>30Y5M</v>
      </c>
      <c r="R368" s="28">
        <f>_xll.qlCalendarAdvance(Calendar,SettlementDate,Q368,"f",,Trigger)</f>
        <v>53388</v>
      </c>
      <c r="S368" s="28">
        <f>_xll.qlInterestRateIndexValueDate(Index,R368,Trigger)</f>
        <v>53392</v>
      </c>
      <c r="T368" s="28">
        <f>_xll.qlInterestRateIndexMaturity(Index,S368,Trigger)</f>
        <v>53423</v>
      </c>
      <c r="U368" s="30">
        <f>_xll.qlIndexFixing($M$5,R368,TRUE,InterestRatesTrigger)</f>
        <v>1.503445621149461E-2</v>
      </c>
      <c r="V368" s="74">
        <f>_xll.qlIndexFixing(Index,R368,TRUE,InterestRatesTrigger)</f>
        <v>1.4899265329727912E-2</v>
      </c>
      <c r="W368" s="30">
        <f t="shared" si="24"/>
        <v>-1.3519088176669816E-4</v>
      </c>
      <c r="X368" s="29">
        <f>_xll.qlDayCounterYearFraction(DayCounter,SettlementDate,S368,,,Trigger)</f>
        <v>30.869444444444444</v>
      </c>
      <c r="Y368" s="29">
        <f>_xll.qlDayCounterYearFraction(DayCounter,S368,T368)</f>
        <v>8.611111111111111E-2</v>
      </c>
      <c r="Z368" s="29">
        <f>IF($M$13,_xll.qlYieldTSDiscount(Currency&amp;"ON",S368)/(1+V368*Y368),1)</f>
        <v>1</v>
      </c>
      <c r="AA368" s="30">
        <f>_xll.qlTenorBasisValue(TenorBasis1M,S368,InterestRatesTrigger)</f>
        <v>3.0946229915480885E-5</v>
      </c>
      <c r="AB368" s="74">
        <f t="shared" si="25"/>
        <v>1.5065402441410091E-2</v>
      </c>
      <c r="AC368" s="76">
        <f t="shared" si="26"/>
        <v>1.011150691527769</v>
      </c>
    </row>
    <row r="369" spans="16:29" x14ac:dyDescent="0.2">
      <c r="P369" s="33">
        <v>1</v>
      </c>
      <c r="Q369" s="27" t="str">
        <f>_xll.qlPeriodEquivalent(Q368&amp;"+"&amp;P369&amp;"M")</f>
        <v>30Y6M</v>
      </c>
      <c r="R369" s="28">
        <f>_xll.qlCalendarAdvance(Calendar,SettlementDate,Q369,"f",,Trigger)</f>
        <v>53419</v>
      </c>
      <c r="S369" s="28">
        <f>_xll.qlInterestRateIndexValueDate(Index,R369,Trigger)</f>
        <v>53421</v>
      </c>
      <c r="T369" s="28">
        <f>_xll.qlInterestRateIndexMaturity(Index,S369,Trigger)</f>
        <v>53451</v>
      </c>
      <c r="U369" s="30">
        <f>_xll.qlIndexFixing($M$5,R369,TRUE,InterestRatesTrigger)</f>
        <v>1.5051865852500512E-2</v>
      </c>
      <c r="V369" s="74">
        <f>_xll.qlIndexFixing(Index,R369,TRUE,InterestRatesTrigger)</f>
        <v>1.4912799235140106E-2</v>
      </c>
      <c r="W369" s="30">
        <f t="shared" si="24"/>
        <v>-1.3906661736040604E-4</v>
      </c>
      <c r="X369" s="29">
        <f>_xll.qlDayCounterYearFraction(DayCounter,SettlementDate,S369,,,Trigger)</f>
        <v>30.95</v>
      </c>
      <c r="Y369" s="29">
        <f>_xll.qlDayCounterYearFraction(DayCounter,S369,T369)</f>
        <v>8.3333333333333329E-2</v>
      </c>
      <c r="Z369" s="29">
        <f>IF($M$13,_xll.qlYieldTSDiscount(Currency&amp;"ON",S369)/(1+V369*Y369),1)</f>
        <v>1</v>
      </c>
      <c r="AA369" s="30">
        <f>_xll.qlTenorBasisValue(TenorBasis1M,S369,InterestRatesTrigger)</f>
        <v>3.0593931944153403E-5</v>
      </c>
      <c r="AB369" s="74">
        <f t="shared" si="25"/>
        <v>1.5082459784444665E-2</v>
      </c>
      <c r="AC369" s="76">
        <f t="shared" si="26"/>
        <v>1.0113768412374771</v>
      </c>
    </row>
    <row r="370" spans="16:29" x14ac:dyDescent="0.2">
      <c r="P370" s="33">
        <v>1</v>
      </c>
      <c r="Q370" s="27" t="str">
        <f>_xll.qlPeriodEquivalent(Q369&amp;"+"&amp;P370&amp;"M")</f>
        <v>30Y7M</v>
      </c>
      <c r="R370" s="28">
        <f>_xll.qlCalendarAdvance(Calendar,SettlementDate,Q370,"f",,Trigger)</f>
        <v>53449</v>
      </c>
      <c r="S370" s="28">
        <f>_xll.qlInterestRateIndexValueDate(Index,R370,Trigger)</f>
        <v>53451</v>
      </c>
      <c r="T370" s="28">
        <f>_xll.qlInterestRateIndexMaturity(Index,S370,Trigger)</f>
        <v>53482</v>
      </c>
      <c r="U370" s="30">
        <f>_xll.qlIndexFixing($M$5,R370,TRUE,InterestRatesTrigger)</f>
        <v>1.507053953888386E-2</v>
      </c>
      <c r="V370" s="74">
        <f>_xll.qlIndexFixing(Index,R370,TRUE,InterestRatesTrigger)</f>
        <v>1.4927600172220874E-2</v>
      </c>
      <c r="W370" s="30">
        <f t="shared" si="24"/>
        <v>-1.4293936666298634E-4</v>
      </c>
      <c r="X370" s="29">
        <f>_xll.qlDayCounterYearFraction(DayCounter,SettlementDate,S370,,,Trigger)</f>
        <v>31.033333333333335</v>
      </c>
      <c r="Y370" s="29">
        <f>_xll.qlDayCounterYearFraction(DayCounter,S370,T370)</f>
        <v>8.611111111111111E-2</v>
      </c>
      <c r="Z370" s="29">
        <f>IF($M$13,_xll.qlYieldTSDiscount(Currency&amp;"ON",S370)/(1+V370*Y370),1)</f>
        <v>1</v>
      </c>
      <c r="AA370" s="30">
        <f>_xll.qlTenorBasisValue(TenorBasis1M,S370,InterestRatesTrigger)</f>
        <v>3.0233510311579737E-5</v>
      </c>
      <c r="AB370" s="74">
        <f t="shared" si="25"/>
        <v>1.5100773049195441E-2</v>
      </c>
      <c r="AC370" s="76">
        <f t="shared" si="26"/>
        <v>1.0116008517763511</v>
      </c>
    </row>
    <row r="371" spans="16:29" x14ac:dyDescent="0.2">
      <c r="P371" s="33">
        <v>1</v>
      </c>
      <c r="Q371" s="27" t="str">
        <f>_xll.qlPeriodEquivalent(Q370&amp;"+"&amp;P371&amp;"M")</f>
        <v>30Y8M</v>
      </c>
      <c r="R371" s="28">
        <f>_xll.qlCalendarAdvance(Calendar,SettlementDate,Q371,"f",,Trigger)</f>
        <v>53482</v>
      </c>
      <c r="S371" s="28">
        <f>_xll.qlInterestRateIndexValueDate(Index,R371,Trigger)</f>
        <v>53484</v>
      </c>
      <c r="T371" s="28">
        <f>_xll.qlInterestRateIndexMaturity(Index,S371,Trigger)</f>
        <v>53514</v>
      </c>
      <c r="U371" s="30">
        <f>_xll.qlIndexFixing($M$5,R371,TRUE,InterestRatesTrigger)</f>
        <v>1.5089101288213946E-2</v>
      </c>
      <c r="V371" s="74">
        <f>_xll.qlIndexFixing(Index,R371,TRUE,InterestRatesTrigger)</f>
        <v>1.4942365382550449E-2</v>
      </c>
      <c r="W371" s="30">
        <f t="shared" si="24"/>
        <v>-1.4673590566349759E-4</v>
      </c>
      <c r="X371" s="29">
        <f>_xll.qlDayCounterYearFraction(DayCounter,SettlementDate,S371,,,Trigger)</f>
        <v>31.125</v>
      </c>
      <c r="Y371" s="29">
        <f>_xll.qlDayCounterYearFraction(DayCounter,S371,T371)</f>
        <v>8.3333333333333329E-2</v>
      </c>
      <c r="Z371" s="29">
        <f>IF($M$13,_xll.qlYieldTSDiscount(Currency&amp;"ON",S371)/(1+V371*Y371),1)</f>
        <v>1</v>
      </c>
      <c r="AA371" s="30">
        <f>_xll.qlTenorBasisValue(TenorBasis1M,S371,InterestRatesTrigger)</f>
        <v>2.9841723475615209E-5</v>
      </c>
      <c r="AB371" s="74">
        <f t="shared" si="25"/>
        <v>1.5118943011689562E-2</v>
      </c>
      <c r="AC371" s="76">
        <f t="shared" si="26"/>
        <v>1.0118172474449942</v>
      </c>
    </row>
    <row r="372" spans="16:29" x14ac:dyDescent="0.2">
      <c r="P372" s="33">
        <v>1</v>
      </c>
      <c r="Q372" s="27" t="str">
        <f>_xll.qlPeriodEquivalent(Q371&amp;"+"&amp;P372&amp;"M")</f>
        <v>30Y9M</v>
      </c>
      <c r="R372" s="28">
        <f>_xll.qlCalendarAdvance(Calendar,SettlementDate,Q372,"f",,Trigger)</f>
        <v>53510</v>
      </c>
      <c r="S372" s="28">
        <f>_xll.qlInterestRateIndexValueDate(Index,R372,Trigger)</f>
        <v>53512</v>
      </c>
      <c r="T372" s="28">
        <f>_xll.qlInterestRateIndexMaturity(Index,S372,Trigger)</f>
        <v>53545</v>
      </c>
      <c r="U372" s="30">
        <f>_xll.qlIndexFixing($M$5,R372,TRUE,InterestRatesTrigger)</f>
        <v>1.5106564189178492E-2</v>
      </c>
      <c r="V372" s="74">
        <f>_xll.qlIndexFixing(Index,R372,TRUE,InterestRatesTrigger)</f>
        <v>1.4956641960183507E-2</v>
      </c>
      <c r="W372" s="30">
        <f t="shared" si="24"/>
        <v>-1.4992222899498468E-4</v>
      </c>
      <c r="X372" s="29">
        <f>_xll.qlDayCounterYearFraction(DayCounter,SettlementDate,S372,,,Trigger)</f>
        <v>31.202777777777779</v>
      </c>
      <c r="Y372" s="29">
        <f>_xll.qlDayCounterYearFraction(DayCounter,S372,T372)</f>
        <v>9.166666666666666E-2</v>
      </c>
      <c r="Z372" s="29">
        <f>IF($M$13,_xll.qlYieldTSDiscount(Currency&amp;"ON",S372)/(1+V372*Y372),1)</f>
        <v>1</v>
      </c>
      <c r="AA372" s="30">
        <f>_xll.qlTenorBasisValue(TenorBasis1M,S372,InterestRatesTrigger)</f>
        <v>2.9513100222422992E-5</v>
      </c>
      <c r="AB372" s="74">
        <f t="shared" si="25"/>
        <v>1.5136077289400914E-2</v>
      </c>
      <c r="AC372" s="76">
        <f t="shared" si="26"/>
        <v>1.0119970331371899</v>
      </c>
    </row>
    <row r="373" spans="16:29" x14ac:dyDescent="0.2">
      <c r="P373" s="33">
        <v>1</v>
      </c>
      <c r="Q373" s="27" t="str">
        <f>_xll.qlPeriodEquivalent(Q372&amp;"+"&amp;P373&amp;"M")</f>
        <v>30Y10M</v>
      </c>
      <c r="R373" s="28">
        <f>_xll.qlCalendarAdvance(Calendar,SettlementDate,Q373,"f",,Trigger)</f>
        <v>53541</v>
      </c>
      <c r="S373" s="28">
        <f>_xll.qlInterestRateIndexValueDate(Index,R373,Trigger)</f>
        <v>53545</v>
      </c>
      <c r="T373" s="28">
        <f>_xll.qlInterestRateIndexMaturity(Index,S373,Trigger)</f>
        <v>53576</v>
      </c>
      <c r="U373" s="30">
        <f>_xll.qlIndexFixing($M$5,R373,TRUE,InterestRatesTrigger)</f>
        <v>1.5123190571047657E-2</v>
      </c>
      <c r="V373" s="74">
        <f>_xll.qlIndexFixing(Index,R373,TRUE,InterestRatesTrigger)</f>
        <v>1.4970137686781933E-2</v>
      </c>
      <c r="W373" s="30">
        <f t="shared" si="24"/>
        <v>-1.5305288426572389E-4</v>
      </c>
      <c r="X373" s="29">
        <f>_xll.qlDayCounterYearFraction(DayCounter,SettlementDate,S373,,,Trigger)</f>
        <v>31.294444444444444</v>
      </c>
      <c r="Y373" s="29">
        <f>_xll.qlDayCounterYearFraction(DayCounter,S373,T373)</f>
        <v>8.611111111111111E-2</v>
      </c>
      <c r="Z373" s="29">
        <f>IF($M$13,_xll.qlYieldTSDiscount(Currency&amp;"ON",S373)/(1+V373*Y373),1)</f>
        <v>1</v>
      </c>
      <c r="AA373" s="30">
        <f>_xll.qlTenorBasisValue(TenorBasis1M,S373,InterestRatesTrigger)</f>
        <v>2.9130226362522992E-5</v>
      </c>
      <c r="AB373" s="74">
        <f t="shared" si="25"/>
        <v>1.515232079741018E-2</v>
      </c>
      <c r="AC373" s="76">
        <f t="shared" si="26"/>
        <v>1.0121697685378743</v>
      </c>
    </row>
    <row r="374" spans="16:29" x14ac:dyDescent="0.2">
      <c r="P374" s="33">
        <v>1</v>
      </c>
      <c r="Q374" s="27" t="str">
        <f>_xll.qlPeriodEquivalent(Q373&amp;"+"&amp;P374&amp;"M")</f>
        <v>30Y11M</v>
      </c>
      <c r="R374" s="28">
        <f>_xll.qlCalendarAdvance(Calendar,SettlementDate,Q374,"f",,Trigger)</f>
        <v>53573</v>
      </c>
      <c r="S374" s="28">
        <f>_xll.qlInterestRateIndexValueDate(Index,R374,Trigger)</f>
        <v>53575</v>
      </c>
      <c r="T374" s="28">
        <f>_xll.qlInterestRateIndexMaturity(Index,S374,Trigger)</f>
        <v>53605</v>
      </c>
      <c r="U374" s="30">
        <f>_xll.qlIndexFixing($M$5,R374,TRUE,InterestRatesTrigger)</f>
        <v>1.5138172101623937E-2</v>
      </c>
      <c r="V374" s="74">
        <f>_xll.qlIndexFixing(Index,R374,TRUE,InterestRatesTrigger)</f>
        <v>1.4982498363430352E-2</v>
      </c>
      <c r="W374" s="30">
        <f t="shared" si="24"/>
        <v>-1.5567373819358465E-4</v>
      </c>
      <c r="X374" s="29">
        <f>_xll.qlDayCounterYearFraction(DayCounter,SettlementDate,S374,,,Trigger)</f>
        <v>31.377777777777776</v>
      </c>
      <c r="Y374" s="29">
        <f>_xll.qlDayCounterYearFraction(DayCounter,S374,T374)</f>
        <v>8.3333333333333329E-2</v>
      </c>
      <c r="Z374" s="29">
        <f>IF($M$13,_xll.qlYieldTSDiscount(Currency&amp;"ON",S374)/(1+V374*Y374),1)</f>
        <v>1</v>
      </c>
      <c r="AA374" s="30">
        <f>_xll.qlTenorBasisValue(TenorBasis1M,S374,InterestRatesTrigger)</f>
        <v>2.8786276626594066E-5</v>
      </c>
      <c r="AB374" s="74">
        <f t="shared" si="25"/>
        <v>1.5166958378250531E-2</v>
      </c>
      <c r="AC374" s="76">
        <f t="shared" si="26"/>
        <v>1.0123116993138084</v>
      </c>
    </row>
    <row r="375" spans="16:29" x14ac:dyDescent="0.2">
      <c r="P375" s="33">
        <v>1</v>
      </c>
      <c r="Q375" s="27" t="str">
        <f>_xll.qlPeriodEquivalent(Q374&amp;"+"&amp;P375&amp;"M")</f>
        <v>31Y</v>
      </c>
      <c r="R375" s="28">
        <f>_xll.qlCalendarAdvance(Calendar,SettlementDate,Q375,"f",,Trigger)</f>
        <v>53602</v>
      </c>
      <c r="S375" s="28">
        <f>_xll.qlInterestRateIndexValueDate(Index,R375,Trigger)</f>
        <v>53604</v>
      </c>
      <c r="T375" s="28">
        <f>_xll.qlInterestRateIndexMaturity(Index,S375,Trigger)</f>
        <v>53636</v>
      </c>
      <c r="U375" s="30">
        <f>_xll.qlIndexFixing($M$5,R375,TRUE,InterestRatesTrigger)</f>
        <v>1.5153762406588112E-2</v>
      </c>
      <c r="V375" s="74">
        <f>_xll.qlIndexFixing(Index,R375,TRUE,InterestRatesTrigger)</f>
        <v>1.4995666639218141E-2</v>
      </c>
      <c r="W375" s="30">
        <f t="shared" si="24"/>
        <v>-1.5809576736997011E-4</v>
      </c>
      <c r="X375" s="29">
        <f>_xll.qlDayCounterYearFraction(DayCounter,SettlementDate,S375,,,Trigger)</f>
        <v>31.458333333333332</v>
      </c>
      <c r="Y375" s="29">
        <f>_xll.qlDayCounterYearFraction(DayCounter,S375,T375)</f>
        <v>8.8888888888888892E-2</v>
      </c>
      <c r="Z375" s="29">
        <f>IF($M$13,_xll.qlYieldTSDiscount(Currency&amp;"ON",S375)/(1+V375*Y375),1)</f>
        <v>1</v>
      </c>
      <c r="AA375" s="30">
        <f>_xll.qlTenorBasisValue(TenorBasis1M,S375,InterestRatesTrigger)</f>
        <v>2.8457479524552958E-5</v>
      </c>
      <c r="AB375" s="74">
        <f t="shared" si="25"/>
        <v>1.5182219886112664E-2</v>
      </c>
      <c r="AC375" s="76">
        <f t="shared" si="26"/>
        <v>1.0124404770646629</v>
      </c>
    </row>
    <row r="376" spans="16:29" x14ac:dyDescent="0.2">
      <c r="P376" s="33">
        <v>1</v>
      </c>
      <c r="Q376" s="27" t="str">
        <f>_xll.qlPeriodEquivalent(Q375&amp;"+"&amp;P376&amp;"M")</f>
        <v>31Y1M</v>
      </c>
      <c r="R376" s="28">
        <f>_xll.qlCalendarAdvance(Calendar,SettlementDate,Q376,"f",,Trigger)</f>
        <v>53633</v>
      </c>
      <c r="S376" s="28">
        <f>_xll.qlInterestRateIndexValueDate(Index,R376,Trigger)</f>
        <v>53637</v>
      </c>
      <c r="T376" s="28">
        <f>_xll.qlInterestRateIndexMaturity(Index,S376,Trigger)</f>
        <v>53667</v>
      </c>
      <c r="U376" s="30">
        <f>_xll.qlIndexFixing($M$5,R376,TRUE,InterestRatesTrigger)</f>
        <v>1.5168414251525597E-2</v>
      </c>
      <c r="V376" s="74">
        <f>_xll.qlIndexFixing(Index,R376,TRUE,InterestRatesTrigger)</f>
        <v>1.5008044144270372E-2</v>
      </c>
      <c r="W376" s="30">
        <f t="shared" si="24"/>
        <v>-1.6037010725522549E-4</v>
      </c>
      <c r="X376" s="29">
        <f>_xll.qlDayCounterYearFraction(DayCounter,SettlementDate,S376,,,Trigger)</f>
        <v>31.55</v>
      </c>
      <c r="Y376" s="29">
        <f>_xll.qlDayCounterYearFraction(DayCounter,S376,T376)</f>
        <v>8.3333333333333329E-2</v>
      </c>
      <c r="Z376" s="29">
        <f>IF($M$13,_xll.qlYieldTSDiscount(Currency&amp;"ON",S376)/(1+V376*Y376),1)</f>
        <v>1</v>
      </c>
      <c r="AA376" s="30">
        <f>_xll.qlTenorBasisValue(TenorBasis1M,S376,InterestRatesTrigger)</f>
        <v>2.8087693593142021E-5</v>
      </c>
      <c r="AB376" s="74">
        <f t="shared" si="25"/>
        <v>1.519650194511874E-2</v>
      </c>
      <c r="AC376" s="76">
        <f t="shared" si="26"/>
        <v>1.0125571193046041</v>
      </c>
    </row>
    <row r="377" spans="16:29" x14ac:dyDescent="0.2">
      <c r="P377" s="33">
        <v>1</v>
      </c>
      <c r="Q377" s="27" t="str">
        <f>_xll.qlPeriodEquivalent(Q376&amp;"+"&amp;P377&amp;"M")</f>
        <v>31Y2M</v>
      </c>
      <c r="R377" s="28">
        <f>_xll.qlCalendarAdvance(Calendar,SettlementDate,Q377,"f",,Trigger)</f>
        <v>53664</v>
      </c>
      <c r="S377" s="28">
        <f>_xll.qlInterestRateIndexValueDate(Index,R377,Trigger)</f>
        <v>53666</v>
      </c>
      <c r="T377" s="28">
        <f>_xll.qlInterestRateIndexMaturity(Index,S377,Trigger)</f>
        <v>53699</v>
      </c>
      <c r="U377" s="30">
        <f>_xll.qlIndexFixing($M$5,R377,TRUE,InterestRatesTrigger)</f>
        <v>1.5183297243481777E-2</v>
      </c>
      <c r="V377" s="74">
        <f>_xll.qlIndexFixing(Index,R377,TRUE,InterestRatesTrigger)</f>
        <v>1.5020998929924772E-2</v>
      </c>
      <c r="W377" s="30">
        <f t="shared" si="24"/>
        <v>-1.6229831355700497E-4</v>
      </c>
      <c r="X377" s="29">
        <f>_xll.qlDayCounterYearFraction(DayCounter,SettlementDate,S377,,,Trigger)</f>
        <v>31.630555555555556</v>
      </c>
      <c r="Y377" s="29">
        <f>_xll.qlDayCounterYearFraction(DayCounter,S377,T377)</f>
        <v>9.166666666666666E-2</v>
      </c>
      <c r="Z377" s="29">
        <f>IF($M$13,_xll.qlYieldTSDiscount(Currency&amp;"ON",S377)/(1+V377*Y377),1)</f>
        <v>1</v>
      </c>
      <c r="AA377" s="30">
        <f>_xll.qlTenorBasisValue(TenorBasis1M,S377,InterestRatesTrigger)</f>
        <v>2.7766523289069172E-5</v>
      </c>
      <c r="AB377" s="74">
        <f t="shared" si="25"/>
        <v>1.5211063766770845E-2</v>
      </c>
      <c r="AC377" s="76">
        <f t="shared" si="26"/>
        <v>1.0126532754401192</v>
      </c>
    </row>
    <row r="378" spans="16:29" x14ac:dyDescent="0.2">
      <c r="P378" s="33">
        <v>1</v>
      </c>
      <c r="Q378" s="27" t="str">
        <f>_xll.qlPeriodEquivalent(Q377&amp;"+"&amp;P378&amp;"M")</f>
        <v>31Y3M</v>
      </c>
      <c r="R378" s="28">
        <f>_xll.qlCalendarAdvance(Calendar,SettlementDate,Q378,"f",,Trigger)</f>
        <v>53694</v>
      </c>
      <c r="S378" s="28">
        <f>_xll.qlInterestRateIndexValueDate(Index,R378,Trigger)</f>
        <v>53696</v>
      </c>
      <c r="T378" s="28">
        <f>_xll.qlInterestRateIndexMaturity(Index,S378,Trigger)</f>
        <v>53727</v>
      </c>
      <c r="U378" s="30">
        <f>_xll.qlIndexFixing($M$5,R378,TRUE,InterestRatesTrigger)</f>
        <v>1.5195324144683171E-2</v>
      </c>
      <c r="V378" s="74">
        <f>_xll.qlIndexFixing(Index,R378,TRUE,InterestRatesTrigger)</f>
        <v>1.5031461005352145E-2</v>
      </c>
      <c r="W378" s="30">
        <f t="shared" si="24"/>
        <v>-1.6386313933102609E-4</v>
      </c>
      <c r="X378" s="29">
        <f>_xll.qlDayCounterYearFraction(DayCounter,SettlementDate,S378,,,Trigger)</f>
        <v>31.713888888888889</v>
      </c>
      <c r="Y378" s="29">
        <f>_xll.qlDayCounterYearFraction(DayCounter,S378,T378)</f>
        <v>8.611111111111111E-2</v>
      </c>
      <c r="Z378" s="29">
        <f>IF($M$13,_xll.qlYieldTSDiscount(Currency&amp;"ON",S378)/(1+V378*Y378),1)</f>
        <v>1</v>
      </c>
      <c r="AA378" s="30">
        <f>_xll.qlTenorBasisValue(TenorBasis1M,S378,InterestRatesTrigger)</f>
        <v>2.7437972113540502E-5</v>
      </c>
      <c r="AB378" s="74">
        <f t="shared" si="25"/>
        <v>1.5222762116796712E-2</v>
      </c>
      <c r="AC378" s="76">
        <f t="shared" si="26"/>
        <v>1.0127267144142842</v>
      </c>
    </row>
    <row r="379" spans="16:29" x14ac:dyDescent="0.2">
      <c r="P379" s="33">
        <v>1</v>
      </c>
      <c r="Q379" s="27" t="str">
        <f>_xll.qlPeriodEquivalent(Q378&amp;"+"&amp;P379&amp;"M")</f>
        <v>31Y4M</v>
      </c>
      <c r="R379" s="28">
        <f>_xll.qlCalendarAdvance(Calendar,SettlementDate,Q379,"f",,Trigger)</f>
        <v>53727</v>
      </c>
      <c r="S379" s="28">
        <f>_xll.qlInterestRateIndexValueDate(Index,R379,Trigger)</f>
        <v>53729</v>
      </c>
      <c r="T379" s="28">
        <f>_xll.qlInterestRateIndexMaturity(Index,S379,Trigger)</f>
        <v>53757</v>
      </c>
      <c r="U379" s="30">
        <f>_xll.qlIndexFixing($M$5,R379,TRUE,InterestRatesTrigger)</f>
        <v>1.5207479812075089E-2</v>
      </c>
      <c r="V379" s="74">
        <f>_xll.qlIndexFixing(Index,R379,TRUE,InterestRatesTrigger)</f>
        <v>1.5042182103508495E-2</v>
      </c>
      <c r="W379" s="30">
        <f t="shared" si="24"/>
        <v>-1.652977085665943E-4</v>
      </c>
      <c r="X379" s="29">
        <f>_xll.qlDayCounterYearFraction(DayCounter,SettlementDate,S379,,,Trigger)</f>
        <v>31.805555555555557</v>
      </c>
      <c r="Y379" s="29">
        <f>_xll.qlDayCounterYearFraction(DayCounter,S379,T379)</f>
        <v>7.7777777777777779E-2</v>
      </c>
      <c r="Z379" s="29">
        <f>IF($M$13,_xll.qlYieldTSDiscount(Currency&amp;"ON",S379)/(1+V379*Y379),1)</f>
        <v>1</v>
      </c>
      <c r="AA379" s="30">
        <f>_xll.qlTenorBasisValue(TenorBasis1M,S379,InterestRatesTrigger)</f>
        <v>2.708085806543288E-5</v>
      </c>
      <c r="AB379" s="74">
        <f t="shared" si="25"/>
        <v>1.5234560670140522E-2</v>
      </c>
      <c r="AC379" s="76">
        <f t="shared" si="26"/>
        <v>1.0127892725475751</v>
      </c>
    </row>
    <row r="380" spans="16:29" x14ac:dyDescent="0.2">
      <c r="P380" s="33">
        <v>1</v>
      </c>
      <c r="Q380" s="27" t="str">
        <f>_xll.qlPeriodEquivalent(Q379&amp;"+"&amp;P380&amp;"M")</f>
        <v>31Y5M</v>
      </c>
      <c r="R380" s="28">
        <f>_xll.qlCalendarAdvance(Calendar,SettlementDate,Q380,"f",,Trigger)</f>
        <v>53755</v>
      </c>
      <c r="S380" s="28">
        <f>_xll.qlInterestRateIndexValueDate(Index,R380,Trigger)</f>
        <v>53757</v>
      </c>
      <c r="T380" s="28">
        <f>_xll.qlInterestRateIndexMaturity(Index,S380,Trigger)</f>
        <v>53790</v>
      </c>
      <c r="U380" s="30">
        <f>_xll.qlIndexFixing($M$5,R380,TRUE,InterestRatesTrigger)</f>
        <v>1.5221139353259649E-2</v>
      </c>
      <c r="V380" s="74">
        <f>_xll.qlIndexFixing(Index,R380,TRUE,InterestRatesTrigger)</f>
        <v>1.5054655734879933E-2</v>
      </c>
      <c r="W380" s="30">
        <f t="shared" si="24"/>
        <v>-1.6648361837971574E-4</v>
      </c>
      <c r="X380" s="29">
        <f>_xll.qlDayCounterYearFraction(DayCounter,SettlementDate,S380,,,Trigger)</f>
        <v>31.883333333333333</v>
      </c>
      <c r="Y380" s="29">
        <f>_xll.qlDayCounterYearFraction(DayCounter,S380,T380)</f>
        <v>9.166666666666666E-2</v>
      </c>
      <c r="Z380" s="29">
        <f>IF($M$13,_xll.qlYieldTSDiscount(Currency&amp;"ON",S380)/(1+V380*Y380),1)</f>
        <v>1</v>
      </c>
      <c r="AA380" s="30">
        <f>_xll.qlTenorBasisValue(TenorBasis1M,S380,InterestRatesTrigger)</f>
        <v>2.6781340972718325E-5</v>
      </c>
      <c r="AB380" s="74">
        <f t="shared" si="25"/>
        <v>1.5247920694232368E-2</v>
      </c>
      <c r="AC380" s="76">
        <f t="shared" si="26"/>
        <v>1.012837554226143</v>
      </c>
    </row>
    <row r="381" spans="16:29" x14ac:dyDescent="0.2">
      <c r="P381" s="33">
        <v>1</v>
      </c>
      <c r="Q381" s="27" t="str">
        <f>_xll.qlPeriodEquivalent(Q380&amp;"+"&amp;P381&amp;"M")</f>
        <v>31Y6M</v>
      </c>
      <c r="R381" s="28">
        <f>_xll.qlCalendarAdvance(Calendar,SettlementDate,Q381,"f",,Trigger)</f>
        <v>53784</v>
      </c>
      <c r="S381" s="28">
        <f>_xll.qlInterestRateIndexValueDate(Index,R381,Trigger)</f>
        <v>53786</v>
      </c>
      <c r="T381" s="28">
        <f>_xll.qlInterestRateIndexMaturity(Index,S381,Trigger)</f>
        <v>53818</v>
      </c>
      <c r="U381" s="30">
        <f>_xll.qlIndexFixing($M$5,R381,TRUE,InterestRatesTrigger)</f>
        <v>1.5231525020860948E-2</v>
      </c>
      <c r="V381" s="74">
        <f>_xll.qlIndexFixing(Index,R381,TRUE,InterestRatesTrigger)</f>
        <v>1.5064189558189611E-2</v>
      </c>
      <c r="W381" s="30">
        <f t="shared" si="24"/>
        <v>-1.6733546267133637E-4</v>
      </c>
      <c r="X381" s="29">
        <f>_xll.qlDayCounterYearFraction(DayCounter,SettlementDate,S381,,,Trigger)</f>
        <v>31.963888888888889</v>
      </c>
      <c r="Y381" s="29">
        <f>_xll.qlDayCounterYearFraction(DayCounter,S381,T381)</f>
        <v>8.8888888888888892E-2</v>
      </c>
      <c r="Z381" s="29">
        <f>IF($M$13,_xll.qlYieldTSDiscount(Currency&amp;"ON",S381)/(1+V381*Y381),1)</f>
        <v>1</v>
      </c>
      <c r="AA381" s="30">
        <f>_xll.qlTenorBasisValue(TenorBasis1M,S381,InterestRatesTrigger)</f>
        <v>2.6474467678028375E-5</v>
      </c>
      <c r="AB381" s="74">
        <f t="shared" si="25"/>
        <v>1.5257999488538976E-2</v>
      </c>
      <c r="AC381" s="76">
        <f t="shared" si="26"/>
        <v>1.0128656061848347</v>
      </c>
    </row>
    <row r="382" spans="16:29" x14ac:dyDescent="0.2">
      <c r="P382" s="33">
        <v>1</v>
      </c>
      <c r="Q382" s="27" t="str">
        <f>_xll.qlPeriodEquivalent(Q381&amp;"+"&amp;P382&amp;"M")</f>
        <v>31Y7M</v>
      </c>
      <c r="R382" s="28">
        <f>_xll.qlCalendarAdvance(Calendar,SettlementDate,Q382,"f",,Trigger)</f>
        <v>53814</v>
      </c>
      <c r="S382" s="28">
        <f>_xll.qlInterestRateIndexValueDate(Index,R382,Trigger)</f>
        <v>53818</v>
      </c>
      <c r="T382" s="28">
        <f>_xll.qlInterestRateIndexMaturity(Index,S382,Trigger)</f>
        <v>53849</v>
      </c>
      <c r="U382" s="30">
        <f>_xll.qlIndexFixing($M$5,R382,TRUE,InterestRatesTrigger)</f>
        <v>1.5242400817931863E-2</v>
      </c>
      <c r="V382" s="74">
        <f>_xll.qlIndexFixing(Index,R382,TRUE,InterestRatesTrigger)</f>
        <v>1.5074366738857573E-2</v>
      </c>
      <c r="W382" s="30">
        <f t="shared" si="24"/>
        <v>-1.6803407907428972E-4</v>
      </c>
      <c r="X382" s="29">
        <f>_xll.qlDayCounterYearFraction(DayCounter,SettlementDate,S382,,,Trigger)</f>
        <v>32.052777777777777</v>
      </c>
      <c r="Y382" s="29">
        <f>_xll.qlDayCounterYearFraction(DayCounter,S382,T382)</f>
        <v>8.611111111111111E-2</v>
      </c>
      <c r="Z382" s="29">
        <f>IF($M$13,_xll.qlYieldTSDiscount(Currency&amp;"ON",S382)/(1+V382*Y382),1)</f>
        <v>1</v>
      </c>
      <c r="AA382" s="30">
        <f>_xll.qlTenorBasisValue(TenorBasis1M,S382,InterestRatesTrigger)</f>
        <v>2.6139752840779098E-5</v>
      </c>
      <c r="AB382" s="74">
        <f t="shared" si="25"/>
        <v>1.5268540570772642E-2</v>
      </c>
      <c r="AC382" s="76">
        <f t="shared" si="26"/>
        <v>1.0128810606295349</v>
      </c>
    </row>
    <row r="383" spans="16:29" x14ac:dyDescent="0.2">
      <c r="P383" s="33">
        <v>1</v>
      </c>
      <c r="Q383" s="27" t="str">
        <f>_xll.qlPeriodEquivalent(Q382&amp;"+"&amp;P383&amp;"M")</f>
        <v>31Y8M</v>
      </c>
      <c r="R383" s="28">
        <f>_xll.qlCalendarAdvance(Calendar,SettlementDate,Q383,"f",,Trigger)</f>
        <v>53846</v>
      </c>
      <c r="S383" s="28">
        <f>_xll.qlInterestRateIndexValueDate(Index,R383,Trigger)</f>
        <v>53848</v>
      </c>
      <c r="T383" s="28">
        <f>_xll.qlInterestRateIndexMaturity(Index,S383,Trigger)</f>
        <v>53878</v>
      </c>
      <c r="U383" s="30">
        <f>_xll.qlIndexFixing($M$5,R383,TRUE,InterestRatesTrigger)</f>
        <v>1.5251959490719003E-2</v>
      </c>
      <c r="V383" s="74">
        <f>_xll.qlIndexFixing(Index,R383,TRUE,InterestRatesTrigger)</f>
        <v>1.5083499069722173E-2</v>
      </c>
      <c r="W383" s="30">
        <f t="shared" si="24"/>
        <v>-1.684604209968299E-4</v>
      </c>
      <c r="X383" s="29">
        <f>_xll.qlDayCounterYearFraction(DayCounter,SettlementDate,S383,,,Trigger)</f>
        <v>32.136111111111113</v>
      </c>
      <c r="Y383" s="29">
        <f>_xll.qlDayCounterYearFraction(DayCounter,S383,T383)</f>
        <v>8.3333333333333329E-2</v>
      </c>
      <c r="Z383" s="29">
        <f>IF($M$13,_xll.qlYieldTSDiscount(Currency&amp;"ON",S383)/(1+V383*Y383),1)</f>
        <v>1</v>
      </c>
      <c r="AA383" s="30">
        <f>_xll.qlTenorBasisValue(TenorBasis1M,S383,InterestRatesTrigger)</f>
        <v>2.5829637910485258E-5</v>
      </c>
      <c r="AB383" s="74">
        <f t="shared" si="25"/>
        <v>1.5277789128629487E-2</v>
      </c>
      <c r="AC383" s="76">
        <f t="shared" si="26"/>
        <v>1.0128809673411472</v>
      </c>
    </row>
    <row r="384" spans="16:29" x14ac:dyDescent="0.2">
      <c r="P384" s="33">
        <v>1</v>
      </c>
      <c r="Q384" s="27" t="str">
        <f>_xll.qlPeriodEquivalent(Q383&amp;"+"&amp;P384&amp;"M")</f>
        <v>31Y9M</v>
      </c>
      <c r="R384" s="28">
        <f>_xll.qlCalendarAdvance(Calendar,SettlementDate,Q384,"f",,Trigger)</f>
        <v>53875</v>
      </c>
      <c r="S384" s="28">
        <f>_xll.qlInterestRateIndexValueDate(Index,R384,Trigger)</f>
        <v>53877</v>
      </c>
      <c r="T384" s="28">
        <f>_xll.qlInterestRateIndexMaturity(Index,S384,Trigger)</f>
        <v>53909</v>
      </c>
      <c r="U384" s="30">
        <f>_xll.qlIndexFixing($M$5,R384,TRUE,InterestRatesTrigger)</f>
        <v>1.5262049259752442E-2</v>
      </c>
      <c r="V384" s="74">
        <f>_xll.qlIndexFixing(Index,R384,TRUE,InterestRatesTrigger)</f>
        <v>1.5093356947635805E-2</v>
      </c>
      <c r="W384" s="30">
        <f t="shared" si="24"/>
        <v>-1.6869231211663616E-4</v>
      </c>
      <c r="X384" s="29">
        <f>_xll.qlDayCounterYearFraction(DayCounter,SettlementDate,S384,,,Trigger)</f>
        <v>32.216666666666669</v>
      </c>
      <c r="Y384" s="29">
        <f>_xll.qlDayCounterYearFraction(DayCounter,S384,T384)</f>
        <v>8.8888888888888892E-2</v>
      </c>
      <c r="Z384" s="29">
        <f>IF($M$13,_xll.qlYieldTSDiscount(Currency&amp;"ON",S384)/(1+V384*Y384),1)</f>
        <v>1</v>
      </c>
      <c r="AA384" s="30">
        <f>_xll.qlTenorBasisValue(TenorBasis1M,S384,InterestRatesTrigger)</f>
        <v>2.553320933921208E-5</v>
      </c>
      <c r="AB384" s="74">
        <f t="shared" si="25"/>
        <v>1.5287582469091654E-2</v>
      </c>
      <c r="AC384" s="76">
        <f t="shared" si="26"/>
        <v>1.0128682785499399</v>
      </c>
    </row>
    <row r="385" spans="16:29" x14ac:dyDescent="0.2">
      <c r="P385" s="33">
        <v>1</v>
      </c>
      <c r="Q385" s="27" t="str">
        <f>_xll.qlPeriodEquivalent(Q384&amp;"+"&amp;P385&amp;"M")</f>
        <v>31Y10M</v>
      </c>
      <c r="R385" s="28">
        <f>_xll.qlCalendarAdvance(Calendar,SettlementDate,Q385,"f",,Trigger)</f>
        <v>53906</v>
      </c>
      <c r="S385" s="28">
        <f>_xll.qlInterestRateIndexValueDate(Index,R385,Trigger)</f>
        <v>53910</v>
      </c>
      <c r="T385" s="28">
        <f>_xll.qlInterestRateIndexMaturity(Index,S385,Trigger)</f>
        <v>53941</v>
      </c>
      <c r="U385" s="30">
        <f>_xll.qlIndexFixing($M$5,R385,TRUE,InterestRatesTrigger)</f>
        <v>1.5271278551785077E-2</v>
      </c>
      <c r="V385" s="74">
        <f>_xll.qlIndexFixing(Index,R385,TRUE,InterestRatesTrigger)</f>
        <v>1.5102602143344317E-2</v>
      </c>
      <c r="W385" s="30">
        <f t="shared" si="24"/>
        <v>-1.6867640844075993E-4</v>
      </c>
      <c r="X385" s="29">
        <f>_xll.qlDayCounterYearFraction(DayCounter,SettlementDate,S385,,,Trigger)</f>
        <v>32.30833333333333</v>
      </c>
      <c r="Y385" s="29">
        <f>_xll.qlDayCounterYearFraction(DayCounter,S385,T385)</f>
        <v>8.611111111111111E-2</v>
      </c>
      <c r="Z385" s="29">
        <f>IF($M$13,_xll.qlYieldTSDiscount(Currency&amp;"ON",S385)/(1+V385*Y385),1)</f>
        <v>1</v>
      </c>
      <c r="AA385" s="30">
        <f>_xll.qlTenorBasisValue(TenorBasis1M,S385,InterestRatesTrigger)</f>
        <v>2.5199855639213162E-5</v>
      </c>
      <c r="AB385" s="74">
        <f t="shared" si="25"/>
        <v>1.5296478407424289E-2</v>
      </c>
      <c r="AC385" s="76">
        <f t="shared" si="26"/>
        <v>1.0128372754734463</v>
      </c>
    </row>
    <row r="386" spans="16:29" x14ac:dyDescent="0.2">
      <c r="P386" s="33">
        <v>1</v>
      </c>
      <c r="Q386" s="27" t="str">
        <f>_xll.qlPeriodEquivalent(Q385&amp;"+"&amp;P386&amp;"M")</f>
        <v>31Y11M</v>
      </c>
      <c r="R386" s="28">
        <f>_xll.qlCalendarAdvance(Calendar,SettlementDate,Q386,"f",,Trigger)</f>
        <v>53937</v>
      </c>
      <c r="S386" s="28">
        <f>_xll.qlInterestRateIndexValueDate(Index,R386,Trigger)</f>
        <v>53939</v>
      </c>
      <c r="T386" s="28">
        <f>_xll.qlInterestRateIndexMaturity(Index,S386,Trigger)</f>
        <v>53969</v>
      </c>
      <c r="U386" s="30">
        <f>_xll.qlIndexFixing($M$5,R386,TRUE,InterestRatesTrigger)</f>
        <v>1.5278746760843731E-2</v>
      </c>
      <c r="V386" s="74">
        <f>_xll.qlIndexFixing(Index,R386,TRUE,InterestRatesTrigger)</f>
        <v>1.5110291950769295E-2</v>
      </c>
      <c r="W386" s="30">
        <f t="shared" si="24"/>
        <v>-1.6845481007443652E-4</v>
      </c>
      <c r="X386" s="29">
        <f>_xll.qlDayCounterYearFraction(DayCounter,SettlementDate,S386,,,Trigger)</f>
        <v>32.388888888888886</v>
      </c>
      <c r="Y386" s="29">
        <f>_xll.qlDayCounterYearFraction(DayCounter,S386,T386)</f>
        <v>8.3333333333333329E-2</v>
      </c>
      <c r="Z386" s="29">
        <f>IF($M$13,_xll.qlYieldTSDiscount(Currency&amp;"ON",S386)/(1+V386*Y386),1)</f>
        <v>1</v>
      </c>
      <c r="AA386" s="30">
        <f>_xll.qlTenorBasisValue(TenorBasis1M,S386,InterestRatesTrigger)</f>
        <v>2.4910352483911698E-5</v>
      </c>
      <c r="AB386" s="74">
        <f t="shared" si="25"/>
        <v>1.5303657113327642E-2</v>
      </c>
      <c r="AC386" s="76">
        <f t="shared" si="26"/>
        <v>1.0127969177027385</v>
      </c>
    </row>
    <row r="387" spans="16:29" x14ac:dyDescent="0.2">
      <c r="P387" s="33">
        <v>1</v>
      </c>
      <c r="Q387" s="27" t="str">
        <f>_xll.qlPeriodEquivalent(Q386&amp;"+"&amp;P387&amp;"M")</f>
        <v>32Y</v>
      </c>
      <c r="R387" s="28">
        <f>_xll.qlCalendarAdvance(Calendar,SettlementDate,Q387,"f",,Trigger)</f>
        <v>53967</v>
      </c>
      <c r="S387" s="28">
        <f>_xll.qlInterestRateIndexValueDate(Index,R387,Trigger)</f>
        <v>53969</v>
      </c>
      <c r="T387" s="28">
        <f>_xll.qlInterestRateIndexMaturity(Index,S387,Trigger)</f>
        <v>54000</v>
      </c>
      <c r="U387" s="30">
        <f>_xll.qlIndexFixing($M$5,R387,TRUE,InterestRatesTrigger)</f>
        <v>1.5286801109189684E-2</v>
      </c>
      <c r="V387" s="74">
        <f>_xll.qlIndexFixing(Index,R387,TRUE,InterestRatesTrigger)</f>
        <v>1.5118779577758319E-2</v>
      </c>
      <c r="W387" s="30">
        <f t="shared" si="24"/>
        <v>-1.6802153143136503E-4</v>
      </c>
      <c r="X387" s="29">
        <f>_xll.qlDayCounterYearFraction(DayCounter,SettlementDate,S387,,,Trigger)</f>
        <v>32.472222222222221</v>
      </c>
      <c r="Y387" s="29">
        <f>_xll.qlDayCounterYearFraction(DayCounter,S387,T387)</f>
        <v>8.611111111111111E-2</v>
      </c>
      <c r="Z387" s="29">
        <f>IF($M$13,_xll.qlYieldTSDiscount(Currency&amp;"ON",S387)/(1+V387*Y387),1)</f>
        <v>1</v>
      </c>
      <c r="AA387" s="30">
        <f>_xll.qlTenorBasisValue(TenorBasis1M,S387,InterestRatesTrigger)</f>
        <v>2.4614220045437978E-5</v>
      </c>
      <c r="AB387" s="74">
        <f t="shared" si="25"/>
        <v>1.5311415329235122E-2</v>
      </c>
      <c r="AC387" s="76">
        <f t="shared" si="26"/>
        <v>1.012741488192618</v>
      </c>
    </row>
    <row r="388" spans="16:29" x14ac:dyDescent="0.2">
      <c r="P388" s="33">
        <v>1</v>
      </c>
      <c r="Q388" s="27" t="str">
        <f>_xll.qlPeriodEquivalent(Q387&amp;"+"&amp;P388&amp;"M")</f>
        <v>32Y1M</v>
      </c>
      <c r="R388" s="28">
        <f>_xll.qlCalendarAdvance(Calendar,SettlementDate,Q388,"f",,Trigger)</f>
        <v>54000</v>
      </c>
      <c r="S388" s="28">
        <f>_xll.qlInterestRateIndexValueDate(Index,R388,Trigger)</f>
        <v>54002</v>
      </c>
      <c r="T388" s="28">
        <f>_xll.qlInterestRateIndexMaturity(Index,S388,Trigger)</f>
        <v>54032</v>
      </c>
      <c r="U388" s="30">
        <f>_xll.qlIndexFixing($M$5,R388,TRUE,InterestRatesTrigger)</f>
        <v>1.5294028311692465E-2</v>
      </c>
      <c r="V388" s="74">
        <f>_xll.qlIndexFixing(Index,R388,TRUE,InterestRatesTrigger)</f>
        <v>1.5126715340782582E-2</v>
      </c>
      <c r="W388" s="30">
        <f t="shared" si="24"/>
        <v>-1.6731297090988306E-4</v>
      </c>
      <c r="X388" s="29">
        <f>_xll.qlDayCounterYearFraction(DayCounter,SettlementDate,S388,,,Trigger)</f>
        <v>32.56388888888889</v>
      </c>
      <c r="Y388" s="29">
        <f>_xll.qlDayCounterYearFraction(DayCounter,S388,T388)</f>
        <v>8.3333333333333329E-2</v>
      </c>
      <c r="Z388" s="29">
        <f>IF($M$13,_xll.qlYieldTSDiscount(Currency&amp;"ON",S388)/(1+V388*Y388),1)</f>
        <v>1</v>
      </c>
      <c r="AA388" s="30">
        <f>_xll.qlTenorBasisValue(TenorBasis1M,S388,InterestRatesTrigger)</f>
        <v>2.4292370579159895E-5</v>
      </c>
      <c r="AB388" s="74">
        <f t="shared" si="25"/>
        <v>1.5318320682271624E-2</v>
      </c>
      <c r="AC388" s="76">
        <f t="shared" si="26"/>
        <v>1.0126666852104014</v>
      </c>
    </row>
    <row r="389" spans="16:29" x14ac:dyDescent="0.2">
      <c r="P389" s="33">
        <v>1</v>
      </c>
      <c r="Q389" s="27" t="str">
        <f>_xll.qlPeriodEquivalent(Q388&amp;"+"&amp;P389&amp;"M")</f>
        <v>32Y2M</v>
      </c>
      <c r="R389" s="28">
        <f>_xll.qlCalendarAdvance(Calendar,SettlementDate,Q389,"f",,Trigger)</f>
        <v>54028</v>
      </c>
      <c r="S389" s="28">
        <f>_xll.qlInterestRateIndexValueDate(Index,R389,Trigger)</f>
        <v>54030</v>
      </c>
      <c r="T389" s="28">
        <f>_xll.qlInterestRateIndexMaturity(Index,S389,Trigger)</f>
        <v>54063</v>
      </c>
      <c r="U389" s="30">
        <f>_xll.qlIndexFixing($M$5,R389,TRUE,InterestRatesTrigger)</f>
        <v>1.5301235817007224E-2</v>
      </c>
      <c r="V389" s="74">
        <f>_xll.qlIndexFixing(Index,R389,TRUE,InterestRatesTrigger)</f>
        <v>1.5134744644037827E-2</v>
      </c>
      <c r="W389" s="30">
        <f t="shared" si="24"/>
        <v>-1.66491172969397E-4</v>
      </c>
      <c r="X389" s="29">
        <f>_xll.qlDayCounterYearFraction(DayCounter,SettlementDate,S389,,,Trigger)</f>
        <v>32.641666666666666</v>
      </c>
      <c r="Y389" s="29">
        <f>_xll.qlDayCounterYearFraction(DayCounter,S389,T389)</f>
        <v>9.166666666666666E-2</v>
      </c>
      <c r="Z389" s="29">
        <f>IF($M$13,_xll.qlYieldTSDiscount(Currency&amp;"ON",S389)/(1+V389*Y389),1)</f>
        <v>1</v>
      </c>
      <c r="AA389" s="30">
        <f>_xll.qlTenorBasisValue(TenorBasis1M,S389,InterestRatesTrigger)</f>
        <v>2.4022452641422873E-5</v>
      </c>
      <c r="AB389" s="74">
        <f t="shared" si="25"/>
        <v>1.5325258269648647E-2</v>
      </c>
      <c r="AC389" s="76">
        <f t="shared" si="26"/>
        <v>1.0125878321763342</v>
      </c>
    </row>
    <row r="390" spans="16:29" x14ac:dyDescent="0.2">
      <c r="P390" s="33">
        <v>1</v>
      </c>
      <c r="Q390" s="27" t="str">
        <f>_xll.qlPeriodEquivalent(Q389&amp;"+"&amp;P390&amp;"M")</f>
        <v>32Y3M</v>
      </c>
      <c r="R390" s="28">
        <f>_xll.qlCalendarAdvance(Calendar,SettlementDate,Q390,"f",,Trigger)</f>
        <v>54059</v>
      </c>
      <c r="S390" s="28">
        <f>_xll.qlInterestRateIndexValueDate(Index,R390,Trigger)</f>
        <v>54063</v>
      </c>
      <c r="T390" s="28">
        <f>_xll.qlInterestRateIndexMaturity(Index,S390,Trigger)</f>
        <v>54094</v>
      </c>
      <c r="U390" s="30">
        <f>_xll.qlIndexFixing($M$5,R390,TRUE,InterestRatesTrigger)</f>
        <v>1.5306694039591983E-2</v>
      </c>
      <c r="V390" s="74">
        <f>_xll.qlIndexFixing(Index,R390,TRUE,InterestRatesTrigger)</f>
        <v>1.5141342691685229E-2</v>
      </c>
      <c r="W390" s="30">
        <f t="shared" si="24"/>
        <v>-1.6535134790675483E-4</v>
      </c>
      <c r="X390" s="29">
        <f>_xll.qlDayCounterYearFraction(DayCounter,SettlementDate,S390,,,Trigger)</f>
        <v>32.733333333333334</v>
      </c>
      <c r="Y390" s="29">
        <f>_xll.qlDayCounterYearFraction(DayCounter,S390,T390)</f>
        <v>8.611111111111111E-2</v>
      </c>
      <c r="Z390" s="29">
        <f>IF($M$13,_xll.qlYieldTSDiscount(Currency&amp;"ON",S390)/(1+V390*Y390),1)</f>
        <v>1</v>
      </c>
      <c r="AA390" s="30">
        <f>_xll.qlTenorBasisValue(TenorBasis1M,S390,InterestRatesTrigger)</f>
        <v>2.3708025406922589E-5</v>
      </c>
      <c r="AB390" s="74">
        <f t="shared" si="25"/>
        <v>1.5330402064998905E-2</v>
      </c>
      <c r="AC390" s="76">
        <f t="shared" si="26"/>
        <v>1.0124863017212797</v>
      </c>
    </row>
    <row r="391" spans="16:29" x14ac:dyDescent="0.2">
      <c r="P391" s="33">
        <v>1</v>
      </c>
      <c r="Q391" s="27" t="str">
        <f>_xll.qlPeriodEquivalent(Q390&amp;"+"&amp;P391&amp;"M")</f>
        <v>32Y4M</v>
      </c>
      <c r="R391" s="28">
        <f>_xll.qlCalendarAdvance(Calendar,SettlementDate,Q391,"f",,Trigger)</f>
        <v>54091</v>
      </c>
      <c r="S391" s="28">
        <f>_xll.qlInterestRateIndexValueDate(Index,R391,Trigger)</f>
        <v>54093</v>
      </c>
      <c r="T391" s="28">
        <f>_xll.qlInterestRateIndexMaturity(Index,S391,Trigger)</f>
        <v>54122</v>
      </c>
      <c r="U391" s="30">
        <f>_xll.qlIndexFixing($M$5,R391,TRUE,InterestRatesTrigger)</f>
        <v>1.5310983751334288E-2</v>
      </c>
      <c r="V391" s="74">
        <f>_xll.qlIndexFixing(Index,R391,TRUE,InterestRatesTrigger)</f>
        <v>1.5146854934405166E-2</v>
      </c>
      <c r="W391" s="30">
        <f t="shared" ref="W391:W396" si="27">V391-U391</f>
        <v>-1.641288169291228E-4</v>
      </c>
      <c r="X391" s="29">
        <f>_xll.qlDayCounterYearFraction(DayCounter,SettlementDate,S391,,,Trigger)</f>
        <v>32.81666666666667</v>
      </c>
      <c r="Y391" s="29">
        <f>_xll.qlDayCounterYearFraction(DayCounter,S391,T391)</f>
        <v>8.0555555555555561E-2</v>
      </c>
      <c r="Z391" s="29">
        <f>IF($M$13,_xll.qlYieldTSDiscount(Currency&amp;"ON",S391)/(1+V391*Y391),1)</f>
        <v>1</v>
      </c>
      <c r="AA391" s="30">
        <f>_xll.qlTenorBasisValue(TenorBasis1M,S391,InterestRatesTrigger)</f>
        <v>2.3425609902394461E-5</v>
      </c>
      <c r="AB391" s="74">
        <f t="shared" ref="AB391:AB396" si="28">AA391+U391</f>
        <v>1.5334409361236683E-2</v>
      </c>
      <c r="AC391" s="76">
        <f t="shared" ref="AC391:AC396" si="29">AB391/V391</f>
        <v>1.0123824006794637</v>
      </c>
    </row>
    <row r="392" spans="16:29" x14ac:dyDescent="0.2">
      <c r="P392" s="33">
        <v>1</v>
      </c>
      <c r="Q392" s="27" t="str">
        <f>_xll.qlPeriodEquivalent(Q391&amp;"+"&amp;P392&amp;"M")</f>
        <v>32Y5M</v>
      </c>
      <c r="R392" s="28">
        <f>_xll.qlCalendarAdvance(Calendar,SettlementDate,Q392,"f",,Trigger)</f>
        <v>54119</v>
      </c>
      <c r="S392" s="28">
        <f>_xll.qlInterestRateIndexValueDate(Index,R392,Trigger)</f>
        <v>54121</v>
      </c>
      <c r="T392" s="28">
        <f>_xll.qlInterestRateIndexMaturity(Index,S392,Trigger)</f>
        <v>54155</v>
      </c>
      <c r="U392" s="30">
        <f>_xll.qlIndexFixing($M$5,R392,TRUE,InterestRatesTrigger)</f>
        <v>1.5317185107449159E-2</v>
      </c>
      <c r="V392" s="74">
        <f>_xll.qlIndexFixing(Index,R392,TRUE,InterestRatesTrigger)</f>
        <v>1.5154485526201565E-2</v>
      </c>
      <c r="W392" s="30">
        <f t="shared" si="27"/>
        <v>-1.6269958124759398E-4</v>
      </c>
      <c r="X392" s="29">
        <f>_xll.qlDayCounterYearFraction(DayCounter,SettlementDate,S392,,,Trigger)</f>
        <v>32.894444444444446</v>
      </c>
      <c r="Y392" s="29">
        <f>_xll.qlDayCounterYearFraction(DayCounter,S392,T392)</f>
        <v>9.4444444444444442E-2</v>
      </c>
      <c r="Z392" s="29">
        <f>IF($M$13,_xll.qlYieldTSDiscount(Currency&amp;"ON",S392)/(1+V392*Y392),1)</f>
        <v>1</v>
      </c>
      <c r="AA392" s="30">
        <f>_xll.qlTenorBasisValue(TenorBasis1M,S392,InterestRatesTrigger)</f>
        <v>2.3164935311220272E-5</v>
      </c>
      <c r="AB392" s="74">
        <f t="shared" si="28"/>
        <v>1.5340350042760379E-2</v>
      </c>
      <c r="AC392" s="76">
        <f t="shared" si="29"/>
        <v>1.0122646536721727</v>
      </c>
    </row>
    <row r="393" spans="16:29" x14ac:dyDescent="0.2">
      <c r="P393" s="33">
        <v>1</v>
      </c>
      <c r="Q393" s="27" t="str">
        <f>_xll.qlPeriodEquivalent(Q392&amp;"+"&amp;P393&amp;"M")</f>
        <v>32Y6M</v>
      </c>
      <c r="R393" s="28">
        <f>_xll.qlCalendarAdvance(Calendar,SettlementDate,Q393,"f",,Trigger)</f>
        <v>54150</v>
      </c>
      <c r="S393" s="28">
        <f>_xll.qlInterestRateIndexValueDate(Index,R393,Trigger)</f>
        <v>54156</v>
      </c>
      <c r="T393" s="28">
        <f>_xll.qlInterestRateIndexMaturity(Index,S393,Trigger)</f>
        <v>54186</v>
      </c>
      <c r="U393" s="30">
        <f>_xll.qlIndexFixing($M$5,R393,TRUE,InterestRatesTrigger)</f>
        <v>1.5320142263408165E-2</v>
      </c>
      <c r="V393" s="74">
        <f>_xll.qlIndexFixing(Index,R393,TRUE,InterestRatesTrigger)</f>
        <v>1.5159261559976933E-2</v>
      </c>
      <c r="W393" s="30">
        <f t="shared" si="27"/>
        <v>-1.6088070343123206E-4</v>
      </c>
      <c r="X393" s="29">
        <f>_xll.qlDayCounterYearFraction(DayCounter,SettlementDate,S393,,,Trigger)</f>
        <v>32.991666666666667</v>
      </c>
      <c r="Y393" s="29">
        <f>_xll.qlDayCounterYearFraction(DayCounter,S393,T393)</f>
        <v>8.3333333333333329E-2</v>
      </c>
      <c r="Z393" s="29">
        <f>IF($M$13,_xll.qlYieldTSDiscount(Currency&amp;"ON",S393)/(1+V393*Y393),1)</f>
        <v>1</v>
      </c>
      <c r="AA393" s="30">
        <f>_xll.qlTenorBasisValue(TenorBasis1M,S393,InterestRatesTrigger)</f>
        <v>2.2843003766340106E-5</v>
      </c>
      <c r="AB393" s="74">
        <f t="shared" si="28"/>
        <v>1.5342985267174505E-2</v>
      </c>
      <c r="AC393" s="76">
        <f t="shared" si="29"/>
        <v>1.0121195683886499</v>
      </c>
    </row>
    <row r="394" spans="16:29" x14ac:dyDescent="0.2">
      <c r="P394" s="33">
        <v>1</v>
      </c>
      <c r="Q394" s="27" t="str">
        <f>_xll.qlPeriodEquivalent(Q393&amp;"+"&amp;P394&amp;"M")</f>
        <v>32Y7M</v>
      </c>
      <c r="R394" s="28">
        <f>_xll.qlCalendarAdvance(Calendar,SettlementDate,Q394,"f",,Trigger)</f>
        <v>54182</v>
      </c>
      <c r="S394" s="28">
        <f>_xll.qlInterestRateIndexValueDate(Index,R394,Trigger)</f>
        <v>54184</v>
      </c>
      <c r="T394" s="28">
        <f>_xll.qlInterestRateIndexMaturity(Index,S394,Trigger)</f>
        <v>54217</v>
      </c>
      <c r="U394" s="30">
        <f>_xll.qlIndexFixing($M$5,R394,TRUE,InterestRatesTrigger)</f>
        <v>1.5324296405420608E-2</v>
      </c>
      <c r="V394" s="74">
        <f>_xll.qlIndexFixing(Index,R394,TRUE,InterestRatesTrigger)</f>
        <v>1.5165182878586432E-2</v>
      </c>
      <c r="W394" s="30">
        <f t="shared" si="27"/>
        <v>-1.591135268341759E-4</v>
      </c>
      <c r="X394" s="29">
        <f>_xll.qlDayCounterYearFraction(DayCounter,SettlementDate,S394,,,Trigger)</f>
        <v>33.069444444444443</v>
      </c>
      <c r="Y394" s="29">
        <f>_xll.qlDayCounterYearFraction(DayCounter,S394,T394)</f>
        <v>9.166666666666666E-2</v>
      </c>
      <c r="Z394" s="29">
        <f>IF($M$13,_xll.qlYieldTSDiscount(Currency&amp;"ON",S394)/(1+V394*Y394),1)</f>
        <v>1</v>
      </c>
      <c r="AA394" s="30">
        <f>_xll.qlTenorBasisValue(TenorBasis1M,S394,InterestRatesTrigger)</f>
        <v>2.2588553969340524E-5</v>
      </c>
      <c r="AB394" s="74">
        <f t="shared" si="28"/>
        <v>1.5346884959389949E-2</v>
      </c>
      <c r="AC394" s="76">
        <f t="shared" si="29"/>
        <v>1.0119815291551864</v>
      </c>
    </row>
    <row r="395" spans="16:29" x14ac:dyDescent="0.2">
      <c r="P395" s="33">
        <v>1</v>
      </c>
      <c r="Q395" s="27" t="str">
        <f>_xll.qlPeriodEquivalent(Q394&amp;"+"&amp;P395&amp;"M")</f>
        <v>32Y8M</v>
      </c>
      <c r="R395" s="28">
        <f>_xll.qlCalendarAdvance(Calendar,SettlementDate,Q395,"f",,Trigger)</f>
        <v>54211</v>
      </c>
      <c r="S395" s="28">
        <f>_xll.qlInterestRateIndexValueDate(Index,R395,Trigger)</f>
        <v>54213</v>
      </c>
      <c r="T395" s="28">
        <f>_xll.qlInterestRateIndexMaturity(Index,S395,Trigger)</f>
        <v>54245</v>
      </c>
      <c r="U395" s="30">
        <f>_xll.qlIndexFixing($M$5,R395,TRUE,InterestRatesTrigger)</f>
        <v>1.5326490028860773E-2</v>
      </c>
      <c r="V395" s="74">
        <f>_xll.qlIndexFixing(Index,R395,TRUE,InterestRatesTrigger)</f>
        <v>1.5169267757513816E-2</v>
      </c>
      <c r="W395" s="30">
        <f t="shared" si="27"/>
        <v>-1.5722227134695732E-4</v>
      </c>
      <c r="X395" s="29">
        <f>_xll.qlDayCounterYearFraction(DayCounter,SettlementDate,S395,,,Trigger)</f>
        <v>33.15</v>
      </c>
      <c r="Y395" s="29">
        <f>_xll.qlDayCounterYearFraction(DayCounter,S395,T395)</f>
        <v>8.8888888888888892E-2</v>
      </c>
      <c r="Z395" s="29">
        <f>IF($M$13,_xll.qlYieldTSDiscount(Currency&amp;"ON",S395)/(1+V395*Y395),1)</f>
        <v>1</v>
      </c>
      <c r="AA395" s="30">
        <f>_xll.qlTenorBasisValue(TenorBasis1M,S395,InterestRatesTrigger)</f>
        <v>2.2327885511906854E-5</v>
      </c>
      <c r="AB395" s="74">
        <f t="shared" si="28"/>
        <v>1.5348817914372681E-2</v>
      </c>
      <c r="AC395" s="76">
        <f t="shared" si="29"/>
        <v>1.0118364419251502</v>
      </c>
    </row>
    <row r="396" spans="16:29" x14ac:dyDescent="0.2">
      <c r="P396" s="33">
        <v>1</v>
      </c>
      <c r="Q396" s="27" t="str">
        <f>_xll.qlPeriodEquivalent(Q395&amp;"+"&amp;P396&amp;"M")</f>
        <v>32Y9M</v>
      </c>
      <c r="R396" s="28">
        <f>_xll.qlCalendarAdvance(Calendar,SettlementDate,Q396,"f",,Trigger)</f>
        <v>54241</v>
      </c>
      <c r="S396" s="28">
        <f>_xll.qlInterestRateIndexValueDate(Index,R396,Trigger)</f>
        <v>54245</v>
      </c>
      <c r="T396" s="28">
        <f>_xll.qlInterestRateIndexMaturity(Index,S396,Trigger)</f>
        <v>54276</v>
      </c>
      <c r="U396" s="30">
        <f>_xll.qlIndexFixing($M$5,R396,TRUE,InterestRatesTrigger)</f>
        <v>1.5328312633400001E-2</v>
      </c>
      <c r="V396" s="74">
        <f>_xll.qlIndexFixing(Index,R396,TRUE,InterestRatesTrigger)</f>
        <v>1.5173357827721657E-2</v>
      </c>
      <c r="W396" s="30">
        <f t="shared" si="27"/>
        <v>-1.5495480567834403E-4</v>
      </c>
      <c r="X396" s="29">
        <f>_xll.qlDayCounterYearFraction(DayCounter,SettlementDate,S396,,,Trigger)</f>
        <v>33.238888888888887</v>
      </c>
      <c r="Y396" s="29">
        <f>_xll.qlDayCounterYearFraction(DayCounter,S396,T396)</f>
        <v>8.611111111111111E-2</v>
      </c>
      <c r="Z396" s="29">
        <f>IF($M$13,_xll.qlYieldTSDiscount(Currency&amp;"ON",S396)/(1+V396*Y396),1)</f>
        <v>1</v>
      </c>
      <c r="AA396" s="30">
        <f>_xll.qlTenorBasisValue(TenorBasis1M,S396,InterestRatesTrigger)</f>
        <v>2.2043603109666262E-5</v>
      </c>
      <c r="AB396" s="74">
        <f t="shared" si="28"/>
        <v>1.5350356236509667E-2</v>
      </c>
      <c r="AC396" s="76">
        <f t="shared" si="29"/>
        <v>1.0116650784089882</v>
      </c>
    </row>
    <row r="397" spans="16:29" x14ac:dyDescent="0.2">
      <c r="P397" s="33">
        <v>1</v>
      </c>
      <c r="Q397" s="27" t="str">
        <f>_xll.qlPeriodEquivalent(Q396&amp;"+"&amp;P397&amp;"M")</f>
        <v>32Y10M</v>
      </c>
      <c r="R397" s="28">
        <f>_xll.qlCalendarAdvance(Calendar,SettlementDate,Q397,"f",,Trigger)</f>
        <v>54273</v>
      </c>
      <c r="S397" s="28">
        <f>_xll.qlInterestRateIndexValueDate(Index,R397,Trigger)</f>
        <v>54275</v>
      </c>
      <c r="T397" s="28">
        <f>_xll.qlInterestRateIndexMaturity(Index,S397,Trigger)</f>
        <v>54308</v>
      </c>
      <c r="U397" s="30">
        <f>_xll.qlIndexFixing($M$5,R397,TRUE,InterestRatesTrigger)</f>
        <v>1.5330422661684103E-2</v>
      </c>
      <c r="V397" s="74">
        <f>_xll.qlIndexFixing(Index,R397,TRUE,InterestRatesTrigger)</f>
        <v>1.5177858906610034E-2</v>
      </c>
      <c r="W397" s="30">
        <f t="shared" ref="W397:W425" si="30">V397-U397</f>
        <v>-1.525637550740689E-4</v>
      </c>
      <c r="X397" s="29">
        <f>_xll.qlDayCounterYearFraction(DayCounter,SettlementDate,S397,,,Trigger)</f>
        <v>33.322222222222223</v>
      </c>
      <c r="Y397" s="29">
        <f>_xll.qlDayCounterYearFraction(DayCounter,S397,T397)</f>
        <v>9.166666666666666E-2</v>
      </c>
      <c r="Z397" s="29">
        <f>IF($M$13,_xll.qlYieldTSDiscount(Currency&amp;"ON",S397)/(1+V397*Y397),1)</f>
        <v>1</v>
      </c>
      <c r="AA397" s="30">
        <f>_xll.qlTenorBasisValue(TenorBasis1M,S397,InterestRatesTrigger)</f>
        <v>2.1780247403247972E-5</v>
      </c>
      <c r="AB397" s="74">
        <f t="shared" ref="AB397:AB425" si="31">AA397+U397</f>
        <v>1.5352202909087351E-2</v>
      </c>
      <c r="AC397" s="76">
        <f t="shared" ref="AC397:AC425" si="32">AB397/V397</f>
        <v>1.0114867323217367</v>
      </c>
    </row>
    <row r="398" spans="16:29" x14ac:dyDescent="0.2">
      <c r="P398" s="33">
        <v>1</v>
      </c>
      <c r="Q398" s="27" t="str">
        <f>_xll.qlPeriodEquivalent(Q397&amp;"+"&amp;P398&amp;"M")</f>
        <v>32Y11M</v>
      </c>
      <c r="R398" s="28">
        <f>_xll.qlCalendarAdvance(Calendar,SettlementDate,Q398,"f",,Trigger)</f>
        <v>54303</v>
      </c>
      <c r="S398" s="28">
        <f>_xll.qlInterestRateIndexValueDate(Index,R398,Trigger)</f>
        <v>54305</v>
      </c>
      <c r="T398" s="28">
        <f>_xll.qlInterestRateIndexMaturity(Index,S398,Trigger)</f>
        <v>54336</v>
      </c>
      <c r="U398" s="30">
        <f>_xll.qlIndexFixing($M$5,R398,TRUE,InterestRatesTrigger)</f>
        <v>1.53305552526748E-2</v>
      </c>
      <c r="V398" s="74">
        <f>_xll.qlIndexFixing(Index,R398,TRUE,InterestRatesTrigger)</f>
        <v>1.5180406646019738E-2</v>
      </c>
      <c r="W398" s="30">
        <f t="shared" si="30"/>
        <v>-1.5014860665506224E-4</v>
      </c>
      <c r="X398" s="29">
        <f>_xll.qlDayCounterYearFraction(DayCounter,SettlementDate,S398,,,Trigger)</f>
        <v>33.405555555555559</v>
      </c>
      <c r="Y398" s="29">
        <f>_xll.qlDayCounterYearFraction(DayCounter,S398,T398)</f>
        <v>8.611111111111111E-2</v>
      </c>
      <c r="Z398" s="29">
        <f>IF($M$13,_xll.qlYieldTSDiscount(Currency&amp;"ON",S398)/(1+V398*Y398),1)</f>
        <v>1</v>
      </c>
      <c r="AA398" s="30">
        <f>_xll.qlTenorBasisValue(TenorBasis1M,S398,InterestRatesTrigger)</f>
        <v>2.1519915177782537E-5</v>
      </c>
      <c r="AB398" s="74">
        <f t="shared" si="31"/>
        <v>1.5352075167852582E-2</v>
      </c>
      <c r="AC398" s="76">
        <f t="shared" si="32"/>
        <v>1.0113085588440316</v>
      </c>
    </row>
    <row r="399" spans="16:29" x14ac:dyDescent="0.2">
      <c r="P399" s="33">
        <v>1</v>
      </c>
      <c r="Q399" s="27" t="str">
        <f>_xll.qlPeriodEquivalent(Q398&amp;"+"&amp;P399&amp;"M")</f>
        <v>33Y</v>
      </c>
      <c r="R399" s="28">
        <f>_xll.qlCalendarAdvance(Calendar,SettlementDate,Q399,"f",,Trigger)</f>
        <v>54333</v>
      </c>
      <c r="S399" s="28">
        <f>_xll.qlInterestRateIndexValueDate(Index,R399,Trigger)</f>
        <v>54337</v>
      </c>
      <c r="T399" s="28">
        <f>_xll.qlInterestRateIndexMaturity(Index,S399,Trigger)</f>
        <v>54368</v>
      </c>
      <c r="U399" s="30">
        <f>_xll.qlIndexFixing($M$5,R399,TRUE,InterestRatesTrigger)</f>
        <v>1.533076098127025E-2</v>
      </c>
      <c r="V399" s="74">
        <f>_xll.qlIndexFixing(Index,R399,TRUE,InterestRatesTrigger)</f>
        <v>1.5183433401531771E-2</v>
      </c>
      <c r="W399" s="30">
        <f t="shared" si="30"/>
        <v>-1.4732757973847863E-4</v>
      </c>
      <c r="X399" s="29">
        <f>_xll.qlDayCounterYearFraction(DayCounter,SettlementDate,S399,,,Trigger)</f>
        <v>33.494444444444447</v>
      </c>
      <c r="Y399" s="29">
        <f>_xll.qlDayCounterYearFraction(DayCounter,S399,T399)</f>
        <v>8.611111111111111E-2</v>
      </c>
      <c r="Z399" s="29">
        <f>IF($M$13,_xll.qlYieldTSDiscount(Currency&amp;"ON",S399)/(1+V399*Y399),1)</f>
        <v>1</v>
      </c>
      <c r="AA399" s="30">
        <f>_xll.qlTenorBasisValue(TenorBasis1M,S399,InterestRatesTrigger)</f>
        <v>2.1245523286089692E-5</v>
      </c>
      <c r="AB399" s="74">
        <f t="shared" si="31"/>
        <v>1.5352006504556339E-2</v>
      </c>
      <c r="AC399" s="76">
        <f t="shared" si="32"/>
        <v>1.0111024363572183</v>
      </c>
    </row>
    <row r="400" spans="16:29" x14ac:dyDescent="0.2">
      <c r="P400" s="33">
        <v>1</v>
      </c>
      <c r="Q400" s="27" t="str">
        <f>_xll.qlPeriodEquivalent(Q399&amp;"+"&amp;P400&amp;"M")</f>
        <v>33Y1M</v>
      </c>
      <c r="R400" s="28">
        <f>_xll.qlCalendarAdvance(Calendar,SettlementDate,Q400,"f",,Trigger)</f>
        <v>54364</v>
      </c>
      <c r="S400" s="28">
        <f>_xll.qlInterestRateIndexValueDate(Index,R400,Trigger)</f>
        <v>54366</v>
      </c>
      <c r="T400" s="28">
        <f>_xll.qlInterestRateIndexMaturity(Index,S400,Trigger)</f>
        <v>54396</v>
      </c>
      <c r="U400" s="30">
        <f>_xll.qlIndexFixing($M$5,R400,TRUE,InterestRatesTrigger)</f>
        <v>1.5330039627429848E-2</v>
      </c>
      <c r="V400" s="74">
        <f>_xll.qlIndexFixing(Index,R400,TRUE,InterestRatesTrigger)</f>
        <v>1.5185375555462954E-2</v>
      </c>
      <c r="W400" s="30">
        <f t="shared" si="30"/>
        <v>-1.4466407196689346E-4</v>
      </c>
      <c r="X400" s="29">
        <f>_xll.qlDayCounterYearFraction(DayCounter,SettlementDate,S400,,,Trigger)</f>
        <v>33.575000000000003</v>
      </c>
      <c r="Y400" s="29">
        <f>_xll.qlDayCounterYearFraction(DayCounter,S400,T400)</f>
        <v>8.3333333333333329E-2</v>
      </c>
      <c r="Z400" s="29">
        <f>IF($M$13,_xll.qlYieldTSDiscount(Currency&amp;"ON",S400)/(1+V400*Y400),1)</f>
        <v>1</v>
      </c>
      <c r="AA400" s="30">
        <f>_xll.qlTenorBasisValue(TenorBasis1M,S400,InterestRatesTrigger)</f>
        <v>2.0999762211133023E-5</v>
      </c>
      <c r="AB400" s="74">
        <f t="shared" si="31"/>
        <v>1.5351039389640981E-2</v>
      </c>
      <c r="AC400" s="76">
        <f t="shared" si="32"/>
        <v>1.0109094328008521</v>
      </c>
    </row>
    <row r="401" spans="16:29" x14ac:dyDescent="0.2">
      <c r="P401" s="33">
        <v>1</v>
      </c>
      <c r="Q401" s="27" t="str">
        <f>_xll.qlPeriodEquivalent(Q400&amp;"+"&amp;P401&amp;"M")</f>
        <v>33Y2M</v>
      </c>
      <c r="R401" s="28">
        <f>_xll.qlCalendarAdvance(Calendar,SettlementDate,Q401,"f",,Trigger)</f>
        <v>54394</v>
      </c>
      <c r="S401" s="28">
        <f>_xll.qlInterestRateIndexValueDate(Index,R401,Trigger)</f>
        <v>54396</v>
      </c>
      <c r="T401" s="28">
        <f>_xll.qlInterestRateIndexMaturity(Index,S401,Trigger)</f>
        <v>54427</v>
      </c>
      <c r="U401" s="30">
        <f>_xll.qlIndexFixing($M$5,R401,TRUE,InterestRatesTrigger)</f>
        <v>1.5329334210101943E-2</v>
      </c>
      <c r="V401" s="74">
        <f>_xll.qlIndexFixing(Index,R401,TRUE,InterestRatesTrigger)</f>
        <v>1.5187655964847549E-2</v>
      </c>
      <c r="W401" s="30">
        <f t="shared" si="30"/>
        <v>-1.4167824525439417E-4</v>
      </c>
      <c r="X401" s="29">
        <f>_xll.qlDayCounterYearFraction(DayCounter,SettlementDate,S401,,,Trigger)</f>
        <v>33.658333333333331</v>
      </c>
      <c r="Y401" s="29">
        <f>_xll.qlDayCounterYearFraction(DayCounter,S401,T401)</f>
        <v>8.611111111111111E-2</v>
      </c>
      <c r="Z401" s="29">
        <f>IF($M$13,_xll.qlYieldTSDiscount(Currency&amp;"ON",S401)/(1+V401*Y401),1)</f>
        <v>1</v>
      </c>
      <c r="AA401" s="30">
        <f>_xll.qlTenorBasisValue(TenorBasis1M,S401,InterestRatesTrigger)</f>
        <v>2.0748403049540244E-5</v>
      </c>
      <c r="AB401" s="74">
        <f t="shared" si="31"/>
        <v>1.5350082613151484E-2</v>
      </c>
      <c r="AC401" s="76">
        <f t="shared" si="32"/>
        <v>1.0106946489096065</v>
      </c>
    </row>
    <row r="402" spans="16:29" x14ac:dyDescent="0.2">
      <c r="P402" s="33">
        <v>1</v>
      </c>
      <c r="Q402" s="27" t="str">
        <f>_xll.qlPeriodEquivalent(Q401&amp;"+"&amp;P402&amp;"M")</f>
        <v>33Y3M</v>
      </c>
      <c r="R402" s="28">
        <f>_xll.qlCalendarAdvance(Calendar,SettlementDate,Q402,"f",,Trigger)</f>
        <v>54427</v>
      </c>
      <c r="S402" s="28">
        <f>_xll.qlInterestRateIndexValueDate(Index,R402,Trigger)</f>
        <v>54429</v>
      </c>
      <c r="T402" s="28">
        <f>_xll.qlInterestRateIndexMaturity(Index,S402,Trigger)</f>
        <v>54462</v>
      </c>
      <c r="U402" s="30">
        <f>_xll.qlIndexFixing($M$5,R402,TRUE,InterestRatesTrigger)</f>
        <v>1.5328097063240585E-2</v>
      </c>
      <c r="V402" s="74">
        <f>_xll.qlIndexFixing(Index,R402,TRUE,InterestRatesTrigger)</f>
        <v>1.5189916664025593E-2</v>
      </c>
      <c r="W402" s="30">
        <f t="shared" si="30"/>
        <v>-1.3818039921499256E-4</v>
      </c>
      <c r="X402" s="29">
        <f>_xll.qlDayCounterYearFraction(DayCounter,SettlementDate,S402,,,Trigger)</f>
        <v>33.75</v>
      </c>
      <c r="Y402" s="29">
        <f>_xll.qlDayCounterYearFraction(DayCounter,S402,T402)</f>
        <v>9.166666666666666E-2</v>
      </c>
      <c r="Z402" s="29">
        <f>IF($M$13,_xll.qlYieldTSDiscount(Currency&amp;"ON",S402)/(1+V402*Y402),1)</f>
        <v>1</v>
      </c>
      <c r="AA402" s="30">
        <f>_xll.qlTenorBasisValue(TenorBasis1M,S402,InterestRatesTrigger)</f>
        <v>2.047524919312829E-5</v>
      </c>
      <c r="AB402" s="74">
        <f t="shared" si="31"/>
        <v>1.5348572312433714E-2</v>
      </c>
      <c r="AC402" s="76">
        <f t="shared" si="32"/>
        <v>1.0104448004500162</v>
      </c>
    </row>
    <row r="403" spans="16:29" x14ac:dyDescent="0.2">
      <c r="P403" s="33">
        <v>1</v>
      </c>
      <c r="Q403" s="27" t="str">
        <f>_xll.qlPeriodEquivalent(Q402&amp;"+"&amp;P403&amp;"M")</f>
        <v>33Y4M</v>
      </c>
      <c r="R403" s="28">
        <f>_xll.qlCalendarAdvance(Calendar,SettlementDate,Q403,"f",,Trigger)</f>
        <v>54456</v>
      </c>
      <c r="S403" s="28">
        <f>_xll.qlInterestRateIndexValueDate(Index,R403,Trigger)</f>
        <v>54458</v>
      </c>
      <c r="T403" s="28">
        <f>_xll.qlInterestRateIndexMaturity(Index,S403,Trigger)</f>
        <v>54486</v>
      </c>
      <c r="U403" s="30">
        <f>_xll.qlIndexFixing($M$5,R403,TRUE,InterestRatesTrigger)</f>
        <v>1.5324465954953721E-2</v>
      </c>
      <c r="V403" s="74">
        <f>_xll.qlIndexFixing(Index,R403,TRUE,InterestRatesTrigger)</f>
        <v>1.5189170474414799E-2</v>
      </c>
      <c r="W403" s="30">
        <f t="shared" si="30"/>
        <v>-1.3529548053892171E-4</v>
      </c>
      <c r="X403" s="29">
        <f>_xll.qlDayCounterYearFraction(DayCounter,SettlementDate,S403,,,Trigger)</f>
        <v>33.830555555555556</v>
      </c>
      <c r="Y403" s="29">
        <f>_xll.qlDayCounterYearFraction(DayCounter,S403,T403)</f>
        <v>7.7777777777777779E-2</v>
      </c>
      <c r="Z403" s="29">
        <f>IF($M$13,_xll.qlYieldTSDiscount(Currency&amp;"ON",S403)/(1+V403*Y403),1)</f>
        <v>1</v>
      </c>
      <c r="AA403" s="30">
        <f>_xll.qlTenorBasisValue(TenorBasis1M,S403,InterestRatesTrigger)</f>
        <v>2.0238062511218432E-5</v>
      </c>
      <c r="AB403" s="74">
        <f t="shared" si="31"/>
        <v>1.534470401746494E-2</v>
      </c>
      <c r="AC403" s="76">
        <f t="shared" si="32"/>
        <v>1.0102397654507944</v>
      </c>
    </row>
    <row r="404" spans="16:29" x14ac:dyDescent="0.2">
      <c r="P404" s="33">
        <v>1</v>
      </c>
      <c r="Q404" s="27" t="str">
        <f>_xll.qlPeriodEquivalent(Q403&amp;"+"&amp;P404&amp;"M")</f>
        <v>33Y5M</v>
      </c>
      <c r="R404" s="28">
        <f>_xll.qlCalendarAdvance(Calendar,SettlementDate,Q404,"f",,Trigger)</f>
        <v>54484</v>
      </c>
      <c r="S404" s="28">
        <f>_xll.qlInterestRateIndexValueDate(Index,R404,Trigger)</f>
        <v>54486</v>
      </c>
      <c r="T404" s="28">
        <f>_xll.qlInterestRateIndexMaturity(Index,S404,Trigger)</f>
        <v>54518</v>
      </c>
      <c r="U404" s="30">
        <f>_xll.qlIndexFixing($M$5,R404,TRUE,InterestRatesTrigger)</f>
        <v>1.5322918585672085E-2</v>
      </c>
      <c r="V404" s="74">
        <f>_xll.qlIndexFixing(Index,R404,TRUE,InterestRatesTrigger)</f>
        <v>1.5190963288533033E-2</v>
      </c>
      <c r="W404" s="30">
        <f t="shared" si="30"/>
        <v>-1.3195529713905252E-4</v>
      </c>
      <c r="X404" s="29">
        <f>_xll.qlDayCounterYearFraction(DayCounter,SettlementDate,S404,,,Trigger)</f>
        <v>33.908333333333331</v>
      </c>
      <c r="Y404" s="29">
        <f>_xll.qlDayCounterYearFraction(DayCounter,S404,T404)</f>
        <v>8.8888888888888892E-2</v>
      </c>
      <c r="Z404" s="29">
        <f>IF($M$13,_xll.qlYieldTSDiscount(Currency&amp;"ON",S404)/(1+V404*Y404),1)</f>
        <v>1</v>
      </c>
      <c r="AA404" s="30">
        <f>_xll.qlTenorBasisValue(TenorBasis1M,S404,InterestRatesTrigger)</f>
        <v>2.0011563732925018E-5</v>
      </c>
      <c r="AB404" s="74">
        <f t="shared" si="31"/>
        <v>1.534293014940501E-2</v>
      </c>
      <c r="AC404" s="76">
        <f t="shared" si="32"/>
        <v>1.0100037672388222</v>
      </c>
    </row>
    <row r="405" spans="16:29" x14ac:dyDescent="0.2">
      <c r="P405" s="33">
        <v>1</v>
      </c>
      <c r="Q405" s="27" t="str">
        <f>_xll.qlPeriodEquivalent(Q404&amp;"+"&amp;P405&amp;"M")</f>
        <v>33Y6M</v>
      </c>
      <c r="R405" s="28">
        <f>_xll.qlCalendarAdvance(Calendar,SettlementDate,Q405,"f",,Trigger)</f>
        <v>54515</v>
      </c>
      <c r="S405" s="28">
        <f>_xll.qlInterestRateIndexValueDate(Index,R405,Trigger)</f>
        <v>54519</v>
      </c>
      <c r="T405" s="28">
        <f>_xll.qlInterestRateIndexMaturity(Index,S405,Trigger)</f>
        <v>54549</v>
      </c>
      <c r="U405" s="30">
        <f>_xll.qlIndexFixing($M$5,R405,TRUE,InterestRatesTrigger)</f>
        <v>1.5318568547602496E-2</v>
      </c>
      <c r="V405" s="74">
        <f>_xll.qlIndexFixing(Index,R405,TRUE,InterestRatesTrigger)</f>
        <v>1.5190351956167802E-2</v>
      </c>
      <c r="W405" s="30">
        <f t="shared" si="30"/>
        <v>-1.2821659143469333E-4</v>
      </c>
      <c r="X405" s="29">
        <f>_xll.qlDayCounterYearFraction(DayCounter,SettlementDate,S405,,,Trigger)</f>
        <v>34</v>
      </c>
      <c r="Y405" s="29">
        <f>_xll.qlDayCounterYearFraction(DayCounter,S405,T405)</f>
        <v>8.3333333333333329E-2</v>
      </c>
      <c r="Z405" s="29">
        <f>IF($M$13,_xll.qlYieldTSDiscount(Currency&amp;"ON",S405)/(1+V405*Y405),1)</f>
        <v>1</v>
      </c>
      <c r="AA405" s="30">
        <f>_xll.qlTenorBasisValue(TenorBasis1M,S405,InterestRatesTrigger)</f>
        <v>1.9747748995088589E-5</v>
      </c>
      <c r="AB405" s="74">
        <f t="shared" si="31"/>
        <v>1.5338316296597584E-2</v>
      </c>
      <c r="AC405" s="76">
        <f t="shared" si="32"/>
        <v>1.009740678876746</v>
      </c>
    </row>
    <row r="406" spans="16:29" x14ac:dyDescent="0.2">
      <c r="P406" s="33">
        <v>1</v>
      </c>
      <c r="Q406" s="27" t="str">
        <f>_xll.qlPeriodEquivalent(Q405&amp;"+"&amp;P406&amp;"M")</f>
        <v>33Y7M</v>
      </c>
      <c r="R406" s="28">
        <f>_xll.qlCalendarAdvance(Calendar,SettlementDate,Q406,"f",,Trigger)</f>
        <v>54546</v>
      </c>
      <c r="S406" s="28">
        <f>_xll.qlInterestRateIndexValueDate(Index,R406,Trigger)</f>
        <v>54548</v>
      </c>
      <c r="T406" s="28">
        <f>_xll.qlInterestRateIndexMaturity(Index,S406,Trigger)</f>
        <v>54581</v>
      </c>
      <c r="U406" s="30">
        <f>_xll.qlIndexFixing($M$5,R406,TRUE,InterestRatesTrigger)</f>
        <v>1.5315370755703097E-2</v>
      </c>
      <c r="V406" s="74">
        <f>_xll.qlIndexFixing(Index,R406,TRUE,InterestRatesTrigger)</f>
        <v>1.5190825367789949E-2</v>
      </c>
      <c r="W406" s="30">
        <f t="shared" si="30"/>
        <v>-1.24545387913148E-4</v>
      </c>
      <c r="X406" s="29">
        <f>_xll.qlDayCounterYearFraction(DayCounter,SettlementDate,S406,,,Trigger)</f>
        <v>34.080555555555556</v>
      </c>
      <c r="Y406" s="29">
        <f>_xll.qlDayCounterYearFraction(DayCounter,S406,T406)</f>
        <v>9.166666666666666E-2</v>
      </c>
      <c r="Z406" s="29">
        <f>IF($M$13,_xll.qlYieldTSDiscount(Currency&amp;"ON",S406)/(1+V406*Y406),1)</f>
        <v>1</v>
      </c>
      <c r="AA406" s="30">
        <f>_xll.qlTenorBasisValue(TenorBasis1M,S406,InterestRatesTrigger)</f>
        <v>1.9518677328210654E-5</v>
      </c>
      <c r="AB406" s="74">
        <f t="shared" si="31"/>
        <v>1.5334889433031308E-2</v>
      </c>
      <c r="AC406" s="76">
        <f t="shared" si="32"/>
        <v>1.0094836232892801</v>
      </c>
    </row>
    <row r="407" spans="16:29" x14ac:dyDescent="0.2">
      <c r="P407" s="33">
        <v>1</v>
      </c>
      <c r="Q407" s="27" t="str">
        <f>_xll.qlPeriodEquivalent(Q406&amp;"+"&amp;P407&amp;"M")</f>
        <v>33Y8M</v>
      </c>
      <c r="R407" s="28">
        <f>_xll.qlCalendarAdvance(Calendar,SettlementDate,Q407,"f",,Trigger)</f>
        <v>54576</v>
      </c>
      <c r="S407" s="28">
        <f>_xll.qlInterestRateIndexValueDate(Index,R407,Trigger)</f>
        <v>54578</v>
      </c>
      <c r="T407" s="28">
        <f>_xll.qlInterestRateIndexMaturity(Index,S407,Trigger)</f>
        <v>54609</v>
      </c>
      <c r="U407" s="30">
        <f>_xll.qlIndexFixing($M$5,R407,TRUE,InterestRatesTrigger)</f>
        <v>1.5310178218918969E-2</v>
      </c>
      <c r="V407" s="74">
        <f>_xll.qlIndexFixing(Index,R407,TRUE,InterestRatesTrigger)</f>
        <v>1.5189263119602633E-2</v>
      </c>
      <c r="W407" s="30">
        <f t="shared" si="30"/>
        <v>-1.2091509931633562E-4</v>
      </c>
      <c r="X407" s="29">
        <f>_xll.qlDayCounterYearFraction(DayCounter,SettlementDate,S407,,,Trigger)</f>
        <v>34.163888888888891</v>
      </c>
      <c r="Y407" s="29">
        <f>_xll.qlDayCounterYearFraction(DayCounter,S407,T407)</f>
        <v>8.611111111111111E-2</v>
      </c>
      <c r="Z407" s="29">
        <f>IF($M$13,_xll.qlYieldTSDiscount(Currency&amp;"ON",S407)/(1+V407*Y407),1)</f>
        <v>1</v>
      </c>
      <c r="AA407" s="30">
        <f>_xll.qlTenorBasisValue(TenorBasis1M,S407,InterestRatesTrigger)</f>
        <v>1.9284398810809548E-5</v>
      </c>
      <c r="AB407" s="74">
        <f t="shared" si="31"/>
        <v>1.5329462617729779E-2</v>
      </c>
      <c r="AC407" s="76">
        <f t="shared" si="32"/>
        <v>1.0092301711428127</v>
      </c>
    </row>
    <row r="408" spans="16:29" x14ac:dyDescent="0.2">
      <c r="P408" s="33">
        <v>1</v>
      </c>
      <c r="Q408" s="27" t="str">
        <f>_xll.qlPeriodEquivalent(Q407&amp;"+"&amp;P408&amp;"M")</f>
        <v>33Y9M</v>
      </c>
      <c r="R408" s="28">
        <f>_xll.qlCalendarAdvance(Calendar,SettlementDate,Q408,"f",,Trigger)</f>
        <v>54606</v>
      </c>
      <c r="S408" s="28">
        <f>_xll.qlInterestRateIndexValueDate(Index,R408,Trigger)</f>
        <v>54610</v>
      </c>
      <c r="T408" s="28">
        <f>_xll.qlInterestRateIndexMaturity(Index,S408,Trigger)</f>
        <v>54641</v>
      </c>
      <c r="U408" s="30">
        <f>_xll.qlIndexFixing($M$5,R408,TRUE,InterestRatesTrigger)</f>
        <v>1.5304506535120227E-2</v>
      </c>
      <c r="V408" s="74">
        <f>_xll.qlIndexFixing(Index,R408,TRUE,InterestRatesTrigger)</f>
        <v>1.5187712395862248E-2</v>
      </c>
      <c r="W408" s="30">
        <f t="shared" si="30"/>
        <v>-1.1679413925797834E-4</v>
      </c>
      <c r="X408" s="29">
        <f>_xll.qlDayCounterYearFraction(DayCounter,SettlementDate,S408,,,Trigger)</f>
        <v>34.25277777777778</v>
      </c>
      <c r="Y408" s="29">
        <f>_xll.qlDayCounterYearFraction(DayCounter,S408,T408)</f>
        <v>8.611111111111111E-2</v>
      </c>
      <c r="Z408" s="29">
        <f>IF($M$13,_xll.qlYieldTSDiscount(Currency&amp;"ON",S408)/(1+V408*Y408),1)</f>
        <v>1</v>
      </c>
      <c r="AA408" s="30">
        <f>_xll.qlTenorBasisValue(TenorBasis1M,S408,InterestRatesTrigger)</f>
        <v>1.9037486152391226E-5</v>
      </c>
      <c r="AB408" s="74">
        <f t="shared" si="31"/>
        <v>1.5323544021272617E-2</v>
      </c>
      <c r="AC408" s="76">
        <f t="shared" si="32"/>
        <v>1.0089435210431938</v>
      </c>
    </row>
    <row r="409" spans="16:29" x14ac:dyDescent="0.2">
      <c r="P409" s="33">
        <v>1</v>
      </c>
      <c r="Q409" s="27" t="str">
        <f>_xll.qlPeriodEquivalent(Q408&amp;"+"&amp;P409&amp;"M")</f>
        <v>33Y10M</v>
      </c>
      <c r="R409" s="28">
        <f>_xll.qlCalendarAdvance(Calendar,SettlementDate,Q409,"f",,Trigger)</f>
        <v>54637</v>
      </c>
      <c r="S409" s="28">
        <f>_xll.qlInterestRateIndexValueDate(Index,R409,Trigger)</f>
        <v>54639</v>
      </c>
      <c r="T409" s="28">
        <f>_xll.qlInterestRateIndexMaturity(Index,S409,Trigger)</f>
        <v>54672</v>
      </c>
      <c r="U409" s="30">
        <f>_xll.qlIndexFixing($M$5,R409,TRUE,InterestRatesTrigger)</f>
        <v>1.5299209921049566E-2</v>
      </c>
      <c r="V409" s="74">
        <f>_xll.qlIndexFixing(Index,R409,TRUE,InterestRatesTrigger)</f>
        <v>1.5186385724891789E-2</v>
      </c>
      <c r="W409" s="30">
        <f t="shared" si="30"/>
        <v>-1.1282419615777674E-4</v>
      </c>
      <c r="X409" s="29">
        <f>_xll.qlDayCounterYearFraction(DayCounter,SettlementDate,S409,,,Trigger)</f>
        <v>34.333333333333336</v>
      </c>
      <c r="Y409" s="29">
        <f>_xll.qlDayCounterYearFraction(DayCounter,S409,T409)</f>
        <v>9.166666666666666E-2</v>
      </c>
      <c r="Z409" s="29">
        <f>IF($M$13,_xll.qlYieldTSDiscount(Currency&amp;"ON",S409)/(1+V409*Y409),1)</f>
        <v>1</v>
      </c>
      <c r="AA409" s="30">
        <f>_xll.qlTenorBasisValue(TenorBasis1M,S409,InterestRatesTrigger)</f>
        <v>1.8816353222728614E-5</v>
      </c>
      <c r="AB409" s="74">
        <f t="shared" si="31"/>
        <v>1.5318026274272294E-2</v>
      </c>
      <c r="AC409" s="76">
        <f t="shared" si="32"/>
        <v>1.0086683264711718</v>
      </c>
    </row>
    <row r="410" spans="16:29" x14ac:dyDescent="0.2">
      <c r="P410" s="33">
        <v>1</v>
      </c>
      <c r="Q410" s="27" t="str">
        <f>_xll.qlPeriodEquivalent(Q409&amp;"+"&amp;P410&amp;"M")</f>
        <v>33Y11M</v>
      </c>
      <c r="R410" s="28">
        <f>_xll.qlCalendarAdvance(Calendar,SettlementDate,Q410,"f",,Trigger)</f>
        <v>54668</v>
      </c>
      <c r="S410" s="28">
        <f>_xll.qlInterestRateIndexValueDate(Index,R410,Trigger)</f>
        <v>54672</v>
      </c>
      <c r="T410" s="28">
        <f>_xll.qlInterestRateIndexMaturity(Index,S410,Trigger)</f>
        <v>54702</v>
      </c>
      <c r="U410" s="30">
        <f>_xll.qlIndexFixing($M$5,R410,TRUE,InterestRatesTrigger)</f>
        <v>1.5291349035294388E-2</v>
      </c>
      <c r="V410" s="74">
        <f>_xll.qlIndexFixing(Index,R410,TRUE,InterestRatesTrigger)</f>
        <v>1.5182831195476254E-2</v>
      </c>
      <c r="W410" s="30">
        <f t="shared" si="30"/>
        <v>-1.0851783981813412E-4</v>
      </c>
      <c r="X410" s="29">
        <f>_xll.qlDayCounterYearFraction(DayCounter,SettlementDate,S410,,,Trigger)</f>
        <v>34.424999999999997</v>
      </c>
      <c r="Y410" s="29">
        <f>_xll.qlDayCounterYearFraction(DayCounter,S410,T410)</f>
        <v>8.3333333333333329E-2</v>
      </c>
      <c r="Z410" s="29">
        <f>IF($M$13,_xll.qlYieldTSDiscount(Currency&amp;"ON",S410)/(1+V410*Y410),1)</f>
        <v>1</v>
      </c>
      <c r="AA410" s="30">
        <f>_xll.qlTenorBasisValue(TenorBasis1M,S410,InterestRatesTrigger)</f>
        <v>1.8567728243520514E-5</v>
      </c>
      <c r="AB410" s="74">
        <f t="shared" si="31"/>
        <v>1.5309916763537908E-2</v>
      </c>
      <c r="AC410" s="76">
        <f t="shared" si="32"/>
        <v>1.0083703471655221</v>
      </c>
    </row>
    <row r="411" spans="16:29" x14ac:dyDescent="0.2">
      <c r="P411" s="33">
        <v>1</v>
      </c>
      <c r="Q411" s="27" t="str">
        <f>_xll.qlPeriodEquivalent(Q410&amp;"+"&amp;P411&amp;"M")</f>
        <v>34Y</v>
      </c>
      <c r="R411" s="28">
        <f>_xll.qlCalendarAdvance(Calendar,SettlementDate,Q411,"f",,Trigger)</f>
        <v>54700</v>
      </c>
      <c r="S411" s="28">
        <f>_xll.qlInterestRateIndexValueDate(Index,R411,Trigger)</f>
        <v>54702</v>
      </c>
      <c r="T411" s="28">
        <f>_xll.qlInterestRateIndexMaturity(Index,S411,Trigger)</f>
        <v>54735</v>
      </c>
      <c r="U411" s="30">
        <f>_xll.qlIndexFixing($M$5,R411,TRUE,InterestRatesTrigger)</f>
        <v>1.5284757734930212E-2</v>
      </c>
      <c r="V411" s="74">
        <f>_xll.qlIndexFixing(Index,R411,TRUE,InterestRatesTrigger)</f>
        <v>1.5180633680039243E-2</v>
      </c>
      <c r="W411" s="30">
        <f t="shared" si="30"/>
        <v>-1.0412405489096908E-4</v>
      </c>
      <c r="X411" s="29">
        <f>_xll.qlDayCounterYearFraction(DayCounter,SettlementDate,S411,,,Trigger)</f>
        <v>34.508333333333333</v>
      </c>
      <c r="Y411" s="29">
        <f>_xll.qlDayCounterYearFraction(DayCounter,S411,T411)</f>
        <v>9.166666666666666E-2</v>
      </c>
      <c r="Z411" s="29">
        <f>IF($M$13,_xll.qlYieldTSDiscount(Currency&amp;"ON",S411)/(1+V411*Y411),1)</f>
        <v>1</v>
      </c>
      <c r="AA411" s="30">
        <f>_xll.qlTenorBasisValue(TenorBasis1M,S411,InterestRatesTrigger)</f>
        <v>1.8344454094719765E-5</v>
      </c>
      <c r="AB411" s="74">
        <f t="shared" si="31"/>
        <v>1.5303102189024932E-2</v>
      </c>
      <c r="AC411" s="76">
        <f t="shared" si="32"/>
        <v>1.008067417445605</v>
      </c>
    </row>
    <row r="412" spans="16:29" x14ac:dyDescent="0.2">
      <c r="P412" s="33">
        <v>1</v>
      </c>
      <c r="Q412" s="27" t="str">
        <f>_xll.qlPeriodEquivalent(Q411&amp;"+"&amp;P412&amp;"M")</f>
        <v>34Y1M</v>
      </c>
      <c r="R412" s="28">
        <f>_xll.qlCalendarAdvance(Calendar,SettlementDate,Q412,"f",,Trigger)</f>
        <v>54729</v>
      </c>
      <c r="S412" s="28">
        <f>_xll.qlInterestRateIndexValueDate(Index,R412,Trigger)</f>
        <v>54731</v>
      </c>
      <c r="T412" s="28">
        <f>_xll.qlInterestRateIndexMaturity(Index,S412,Trigger)</f>
        <v>54763</v>
      </c>
      <c r="U412" s="30">
        <f>_xll.qlIndexFixing($M$5,R412,TRUE,InterestRatesTrigger)</f>
        <v>1.5277020368672511E-2</v>
      </c>
      <c r="V412" s="74">
        <f>_xll.qlIndexFixing(Index,R412,TRUE,InterestRatesTrigger)</f>
        <v>1.5176980520766881E-2</v>
      </c>
      <c r="W412" s="30">
        <f t="shared" si="30"/>
        <v>-1.0003984790563081E-4</v>
      </c>
      <c r="X412" s="29">
        <f>_xll.qlDayCounterYearFraction(DayCounter,SettlementDate,S412,,,Trigger)</f>
        <v>34.588888888888889</v>
      </c>
      <c r="Y412" s="29">
        <f>_xll.qlDayCounterYearFraction(DayCounter,S412,T412)</f>
        <v>8.8888888888888892E-2</v>
      </c>
      <c r="Z412" s="29">
        <f>IF($M$13,_xll.qlYieldTSDiscount(Currency&amp;"ON",S412)/(1+V412*Y412),1)</f>
        <v>1</v>
      </c>
      <c r="AA412" s="30">
        <f>_xll.qlTenorBasisValue(TenorBasis1M,S412,InterestRatesTrigger)</f>
        <v>1.8131082829384607E-5</v>
      </c>
      <c r="AB412" s="74">
        <f t="shared" si="31"/>
        <v>1.5295151451501897E-2</v>
      </c>
      <c r="AC412" s="76">
        <f t="shared" si="32"/>
        <v>1.0077861950585836</v>
      </c>
    </row>
    <row r="413" spans="16:29" x14ac:dyDescent="0.2">
      <c r="P413" s="33">
        <v>1</v>
      </c>
      <c r="Q413" s="27" t="str">
        <f>_xll.qlPeriodEquivalent(Q412&amp;"+"&amp;P413&amp;"M")</f>
        <v>34Y2M</v>
      </c>
      <c r="R413" s="28">
        <f>_xll.qlCalendarAdvance(Calendar,SettlementDate,Q413,"f",,Trigger)</f>
        <v>54759</v>
      </c>
      <c r="S413" s="28">
        <f>_xll.qlInterestRateIndexValueDate(Index,R413,Trigger)</f>
        <v>54763</v>
      </c>
      <c r="T413" s="28">
        <f>_xll.qlInterestRateIndexMaturity(Index,S413,Trigger)</f>
        <v>54794</v>
      </c>
      <c r="U413" s="30">
        <f>_xll.qlIndexFixing($M$5,R413,TRUE,InterestRatesTrigger)</f>
        <v>1.5267867335092734E-2</v>
      </c>
      <c r="V413" s="74">
        <f>_xll.qlIndexFixing(Index,R413,TRUE,InterestRatesTrigger)</f>
        <v>1.5172439260893894E-2</v>
      </c>
      <c r="W413" s="30">
        <f t="shared" si="30"/>
        <v>-9.5428074198839613E-5</v>
      </c>
      <c r="X413" s="29">
        <f>_xll.qlDayCounterYearFraction(DayCounter,SettlementDate,S413,,,Trigger)</f>
        <v>34.677777777777777</v>
      </c>
      <c r="Y413" s="29">
        <f>_xll.qlDayCounterYearFraction(DayCounter,S413,T413)</f>
        <v>8.611111111111111E-2</v>
      </c>
      <c r="Z413" s="29">
        <f>IF($M$13,_xll.qlYieldTSDiscount(Currency&amp;"ON",S413)/(1+V413*Y413),1)</f>
        <v>1</v>
      </c>
      <c r="AA413" s="30">
        <f>_xll.qlTenorBasisValue(TenorBasis1M,S413,InterestRatesTrigger)</f>
        <v>1.7898414555252055E-5</v>
      </c>
      <c r="AB413" s="74">
        <f t="shared" si="31"/>
        <v>1.5285765749647986E-2</v>
      </c>
      <c r="AC413" s="76">
        <f t="shared" si="32"/>
        <v>1.0074692333121533</v>
      </c>
    </row>
    <row r="414" spans="16:29" x14ac:dyDescent="0.2">
      <c r="P414" s="33">
        <v>1</v>
      </c>
      <c r="Q414" s="27" t="str">
        <f>_xll.qlPeriodEquivalent(Q413&amp;"+"&amp;P414&amp;"M")</f>
        <v>34Y3M</v>
      </c>
      <c r="R414" s="28">
        <f>_xll.qlCalendarAdvance(Calendar,SettlementDate,Q414,"f",,Trigger)</f>
        <v>54791</v>
      </c>
      <c r="S414" s="28">
        <f>_xll.qlInterestRateIndexValueDate(Index,R414,Trigger)</f>
        <v>54793</v>
      </c>
      <c r="T414" s="28">
        <f>_xll.qlInterestRateIndexMaturity(Index,S414,Trigger)</f>
        <v>54826</v>
      </c>
      <c r="U414" s="30">
        <f>_xll.qlIndexFixing($M$5,R414,TRUE,InterestRatesTrigger)</f>
        <v>1.5259167833941687E-2</v>
      </c>
      <c r="V414" s="74">
        <f>_xll.qlIndexFixing(Index,R414,TRUE,InterestRatesTrigger)</f>
        <v>1.5168363387274363E-2</v>
      </c>
      <c r="W414" s="30">
        <f t="shared" si="30"/>
        <v>-9.080444666732454E-5</v>
      </c>
      <c r="X414" s="29">
        <f>_xll.qlDayCounterYearFraction(DayCounter,SettlementDate,S414,,,Trigger)</f>
        <v>34.761111111111113</v>
      </c>
      <c r="Y414" s="29">
        <f>_xll.qlDayCounterYearFraction(DayCounter,S414,T414)</f>
        <v>9.166666666666666E-2</v>
      </c>
      <c r="Z414" s="29">
        <f>IF($M$13,_xll.qlYieldTSDiscount(Currency&amp;"ON",S414)/(1+V414*Y414),1)</f>
        <v>1</v>
      </c>
      <c r="AA414" s="30">
        <f>_xll.qlTenorBasisValue(TenorBasis1M,S414,InterestRatesTrigger)</f>
        <v>1.7682903772064197E-5</v>
      </c>
      <c r="AB414" s="74">
        <f t="shared" si="31"/>
        <v>1.5276850737713751E-2</v>
      </c>
      <c r="AC414" s="76">
        <f t="shared" si="32"/>
        <v>1.0071522119868519</v>
      </c>
    </row>
    <row r="415" spans="16:29" x14ac:dyDescent="0.2">
      <c r="P415" s="33">
        <v>1</v>
      </c>
      <c r="Q415" s="27" t="str">
        <f>_xll.qlPeriodEquivalent(Q414&amp;"+"&amp;P415&amp;"M")</f>
        <v>34Y4M</v>
      </c>
      <c r="R415" s="28">
        <f>_xll.qlCalendarAdvance(Calendar,SettlementDate,Q415,"f",,Trigger)</f>
        <v>54821</v>
      </c>
      <c r="S415" s="28">
        <f>_xll.qlInterestRateIndexValueDate(Index,R415,Trigger)</f>
        <v>54823</v>
      </c>
      <c r="T415" s="28">
        <f>_xll.qlInterestRateIndexMaturity(Index,S415,Trigger)</f>
        <v>54851</v>
      </c>
      <c r="U415" s="30">
        <f>_xll.qlIndexFixing($M$5,R415,TRUE,InterestRatesTrigger)</f>
        <v>1.5248732660204021E-2</v>
      </c>
      <c r="V415" s="74">
        <f>_xll.qlIndexFixing(Index,R415,TRUE,InterestRatesTrigger)</f>
        <v>1.5162129537630773E-2</v>
      </c>
      <c r="W415" s="30">
        <f t="shared" si="30"/>
        <v>-8.6603122573247759E-5</v>
      </c>
      <c r="X415" s="29">
        <f>_xll.qlDayCounterYearFraction(DayCounter,SettlementDate,S415,,,Trigger)</f>
        <v>34.844444444444441</v>
      </c>
      <c r="Y415" s="29">
        <f>_xll.qlDayCounterYearFraction(DayCounter,S415,T415)</f>
        <v>7.7777777777777779E-2</v>
      </c>
      <c r="Z415" s="29">
        <f>IF($M$13,_xll.qlYieldTSDiscount(Currency&amp;"ON",S415)/(1+V415*Y415),1)</f>
        <v>1</v>
      </c>
      <c r="AA415" s="30">
        <f>_xll.qlTenorBasisValue(TenorBasis1M,S415,InterestRatesTrigger)</f>
        <v>1.7469895929989955E-5</v>
      </c>
      <c r="AB415" s="74">
        <f t="shared" si="31"/>
        <v>1.5266202556134012E-2</v>
      </c>
      <c r="AC415" s="76">
        <f t="shared" si="32"/>
        <v>1.0068640106421027</v>
      </c>
    </row>
    <row r="416" spans="16:29" x14ac:dyDescent="0.2">
      <c r="P416" s="33">
        <v>1</v>
      </c>
      <c r="Q416" s="27" t="str">
        <f>_xll.qlPeriodEquivalent(Q415&amp;"+"&amp;P416&amp;"M")</f>
        <v>34Y5M</v>
      </c>
      <c r="R416" s="28">
        <f>_xll.qlCalendarAdvance(Calendar,SettlementDate,Q416,"f",,Trigger)</f>
        <v>54849</v>
      </c>
      <c r="S416" s="28">
        <f>_xll.qlInterestRateIndexValueDate(Index,R416,Trigger)</f>
        <v>54851</v>
      </c>
      <c r="T416" s="28">
        <f>_xll.qlInterestRateIndexMaturity(Index,S416,Trigger)</f>
        <v>54882</v>
      </c>
      <c r="U416" s="30">
        <f>_xll.qlIndexFixing($M$5,R416,TRUE,InterestRatesTrigger)</f>
        <v>1.5239659733622653E-2</v>
      </c>
      <c r="V416" s="74">
        <f>_xll.qlIndexFixing(Index,R416,TRUE,InterestRatesTrigger)</f>
        <v>1.5157609749790924E-2</v>
      </c>
      <c r="W416" s="30">
        <f t="shared" si="30"/>
        <v>-8.2049983831728596E-5</v>
      </c>
      <c r="X416" s="29">
        <f>_xll.qlDayCounterYearFraction(DayCounter,SettlementDate,S416,,,Trigger)</f>
        <v>34.922222222222224</v>
      </c>
      <c r="Y416" s="29">
        <f>_xll.qlDayCounterYearFraction(DayCounter,S416,T416)</f>
        <v>8.611111111111111E-2</v>
      </c>
      <c r="Z416" s="29">
        <f>IF($M$13,_xll.qlYieldTSDiscount(Currency&amp;"ON",S416)/(1+V416*Y416),1)</f>
        <v>1</v>
      </c>
      <c r="AA416" s="30">
        <f>_xll.qlTenorBasisValue(TenorBasis1M,S416,InterestRatesTrigger)</f>
        <v>1.7273322551220104E-5</v>
      </c>
      <c r="AB416" s="74">
        <f t="shared" si="31"/>
        <v>1.5256933056173873E-2</v>
      </c>
      <c r="AC416" s="76">
        <f t="shared" si="32"/>
        <v>1.0065527024394014</v>
      </c>
    </row>
    <row r="417" spans="16:29" x14ac:dyDescent="0.2">
      <c r="P417" s="33">
        <v>1</v>
      </c>
      <c r="Q417" s="27" t="str">
        <f>_xll.qlPeriodEquivalent(Q416&amp;"+"&amp;P417&amp;"M")</f>
        <v>34Y6M</v>
      </c>
      <c r="R417" s="28">
        <f>_xll.qlCalendarAdvance(Calendar,SettlementDate,Q417,"f",,Trigger)</f>
        <v>54882</v>
      </c>
      <c r="S417" s="28">
        <f>_xll.qlInterestRateIndexValueDate(Index,R417,Trigger)</f>
        <v>54884</v>
      </c>
      <c r="T417" s="28">
        <f>_xll.qlInterestRateIndexMaturity(Index,S417,Trigger)</f>
        <v>54914</v>
      </c>
      <c r="U417" s="30">
        <f>_xll.qlIndexFixing($M$5,R417,TRUE,InterestRatesTrigger)</f>
        <v>1.5227604577198406E-2</v>
      </c>
      <c r="V417" s="74">
        <f>_xll.qlIndexFixing(Index,R417,TRUE,InterestRatesTrigger)</f>
        <v>1.5150670529591181E-2</v>
      </c>
      <c r="W417" s="30">
        <f t="shared" si="30"/>
        <v>-7.6934047607224443E-5</v>
      </c>
      <c r="X417" s="29">
        <f>_xll.qlDayCounterYearFraction(DayCounter,SettlementDate,S417,,,Trigger)</f>
        <v>35.013888888888886</v>
      </c>
      <c r="Y417" s="29">
        <f>_xll.qlDayCounterYearFraction(DayCounter,S417,T417)</f>
        <v>8.3333333333333329E-2</v>
      </c>
      <c r="Z417" s="29">
        <f>IF($M$13,_xll.qlYieldTSDiscount(Currency&amp;"ON",S417)/(1+V417*Y417),1)</f>
        <v>1</v>
      </c>
      <c r="AA417" s="30">
        <f>_xll.qlTenorBasisValue(TenorBasis1M,S417,InterestRatesTrigger)</f>
        <v>1.704438503017866E-5</v>
      </c>
      <c r="AB417" s="74">
        <f t="shared" si="31"/>
        <v>1.5244648962228585E-2</v>
      </c>
      <c r="AC417" s="76">
        <f t="shared" si="32"/>
        <v>1.0062029223362656</v>
      </c>
    </row>
    <row r="418" spans="16:29" x14ac:dyDescent="0.2">
      <c r="P418" s="33">
        <v>1</v>
      </c>
      <c r="Q418" s="27" t="str">
        <f>_xll.qlPeriodEquivalent(Q417&amp;"+"&amp;P418&amp;"M")</f>
        <v>34Y7M</v>
      </c>
      <c r="R418" s="28">
        <f>_xll.qlCalendarAdvance(Calendar,SettlementDate,Q418,"f",,Trigger)</f>
        <v>54910</v>
      </c>
      <c r="S418" s="28">
        <f>_xll.qlInterestRateIndexValueDate(Index,R418,Trigger)</f>
        <v>54912</v>
      </c>
      <c r="T418" s="28">
        <f>_xll.qlInterestRateIndexMaturity(Index,S418,Trigger)</f>
        <v>54945</v>
      </c>
      <c r="U418" s="30">
        <f>_xll.qlIndexFixing($M$5,R418,TRUE,InterestRatesTrigger)</f>
        <v>1.5217297165280965E-2</v>
      </c>
      <c r="V418" s="74">
        <f>_xll.qlIndexFixing(Index,R418,TRUE,InterestRatesTrigger)</f>
        <v>1.5145068283067529E-2</v>
      </c>
      <c r="W418" s="30">
        <f t="shared" si="30"/>
        <v>-7.2228882213436554E-5</v>
      </c>
      <c r="X418" s="29">
        <f>_xll.qlDayCounterYearFraction(DayCounter,SettlementDate,S418,,,Trigger)</f>
        <v>35.091666666666669</v>
      </c>
      <c r="Y418" s="29">
        <f>_xll.qlDayCounterYearFraction(DayCounter,S418,T418)</f>
        <v>9.166666666666666E-2</v>
      </c>
      <c r="Z418" s="29">
        <f>IF($M$13,_xll.qlYieldTSDiscount(Currency&amp;"ON",S418)/(1+V418*Y418),1)</f>
        <v>1</v>
      </c>
      <c r="AA418" s="30">
        <f>_xll.qlTenorBasisValue(TenorBasis1M,S418,InterestRatesTrigger)</f>
        <v>1.6852433072828962E-5</v>
      </c>
      <c r="AB418" s="74">
        <f t="shared" si="31"/>
        <v>1.5234149598353794E-2</v>
      </c>
      <c r="AC418" s="76">
        <f t="shared" si="32"/>
        <v>1.0058818695050626</v>
      </c>
    </row>
    <row r="419" spans="16:29" x14ac:dyDescent="0.2">
      <c r="P419" s="33">
        <v>1</v>
      </c>
      <c r="Q419" s="27" t="str">
        <f>_xll.qlPeriodEquivalent(Q418&amp;"+"&amp;P419&amp;"M")</f>
        <v>34Y8M</v>
      </c>
      <c r="R419" s="28">
        <f>_xll.qlCalendarAdvance(Calendar,SettlementDate,Q419,"f",,Trigger)</f>
        <v>54941</v>
      </c>
      <c r="S419" s="28">
        <f>_xll.qlInterestRateIndexValueDate(Index,R419,Trigger)</f>
        <v>54945</v>
      </c>
      <c r="T419" s="28">
        <f>_xll.qlInterestRateIndexMaturity(Index,S419,Trigger)</f>
        <v>54975</v>
      </c>
      <c r="U419" s="30">
        <f>_xll.qlIndexFixing($M$5,R419,TRUE,InterestRatesTrigger)</f>
        <v>1.5203661450692962E-2</v>
      </c>
      <c r="V419" s="74">
        <f>_xll.qlIndexFixing(Index,R419,TRUE,InterestRatesTrigger)</f>
        <v>1.5136546174161936E-2</v>
      </c>
      <c r="W419" s="30">
        <f t="shared" si="30"/>
        <v>-6.711527653102678E-5</v>
      </c>
      <c r="X419" s="29">
        <f>_xll.qlDayCounterYearFraction(DayCounter,SettlementDate,S419,,,Trigger)</f>
        <v>35.18333333333333</v>
      </c>
      <c r="Y419" s="29">
        <f>_xll.qlDayCounterYearFraction(DayCounter,S419,T419)</f>
        <v>8.3333333333333329E-2</v>
      </c>
      <c r="Z419" s="29">
        <f>IF($M$13,_xll.qlYieldTSDiscount(Currency&amp;"ON",S419)/(1+V419*Y419),1)</f>
        <v>1</v>
      </c>
      <c r="AA419" s="30">
        <f>_xll.qlTenorBasisValue(TenorBasis1M,S419,InterestRatesTrigger)</f>
        <v>1.6628881236079718E-5</v>
      </c>
      <c r="AB419" s="74">
        <f t="shared" si="31"/>
        <v>1.5220290331929042E-2</v>
      </c>
      <c r="AC419" s="76">
        <f t="shared" si="32"/>
        <v>1.0055325803392361</v>
      </c>
    </row>
    <row r="420" spans="16:29" x14ac:dyDescent="0.2">
      <c r="P420" s="33">
        <v>1</v>
      </c>
      <c r="Q420" s="27" t="str">
        <f>_xll.qlPeriodEquivalent(Q419&amp;"+"&amp;P420&amp;"M")</f>
        <v>34Y9M</v>
      </c>
      <c r="R420" s="28">
        <f>_xll.qlCalendarAdvance(Calendar,SettlementDate,Q420,"f",,Trigger)</f>
        <v>54973</v>
      </c>
      <c r="S420" s="28">
        <f>_xll.qlInterestRateIndexValueDate(Index,R420,Trigger)</f>
        <v>54975</v>
      </c>
      <c r="T420" s="28">
        <f>_xll.qlInterestRateIndexMaturity(Index,S420,Trigger)</f>
        <v>55008</v>
      </c>
      <c r="U420" s="30">
        <f>_xll.qlIndexFixing($M$5,R420,TRUE,InterestRatesTrigger)</f>
        <v>1.519127306677329E-2</v>
      </c>
      <c r="V420" s="74">
        <f>_xll.qlIndexFixing(Index,R420,TRUE,InterestRatesTrigger)</f>
        <v>1.5129324712048552E-2</v>
      </c>
      <c r="W420" s="30">
        <f t="shared" si="30"/>
        <v>-6.1948354724738336E-5</v>
      </c>
      <c r="X420" s="29">
        <f>_xll.qlDayCounterYearFraction(DayCounter,SettlementDate,S420,,,Trigger)</f>
        <v>35.266666666666666</v>
      </c>
      <c r="Y420" s="29">
        <f>_xll.qlDayCounterYearFraction(DayCounter,S420,T420)</f>
        <v>9.166666666666666E-2</v>
      </c>
      <c r="Z420" s="29">
        <f>IF($M$13,_xll.qlYieldTSDiscount(Currency&amp;"ON",S420)/(1+V420*Y420),1)</f>
        <v>1</v>
      </c>
      <c r="AA420" s="30">
        <f>_xll.qlTenorBasisValue(TenorBasis1M,S420,InterestRatesTrigger)</f>
        <v>1.6428137921732367E-5</v>
      </c>
      <c r="AB420" s="74">
        <f t="shared" si="31"/>
        <v>1.5207701204695022E-2</v>
      </c>
      <c r="AC420" s="76">
        <f t="shared" si="32"/>
        <v>1.0051804356201075</v>
      </c>
    </row>
    <row r="421" spans="16:29" x14ac:dyDescent="0.2">
      <c r="P421" s="33">
        <v>1</v>
      </c>
      <c r="Q421" s="27" t="str">
        <f>_xll.qlPeriodEquivalent(Q420&amp;"+"&amp;P421&amp;"M")</f>
        <v>34Y10M</v>
      </c>
      <c r="R421" s="28">
        <f>_xll.qlCalendarAdvance(Calendar,SettlementDate,Q421,"f",,Trigger)</f>
        <v>55002</v>
      </c>
      <c r="S421" s="28">
        <f>_xll.qlInterestRateIndexValueDate(Index,R421,Trigger)</f>
        <v>55004</v>
      </c>
      <c r="T421" s="28">
        <f>_xll.qlInterestRateIndexMaturity(Index,S421,Trigger)</f>
        <v>55036</v>
      </c>
      <c r="U421" s="30">
        <f>_xll.qlIndexFixing($M$5,R421,TRUE,InterestRatesTrigger)</f>
        <v>1.5178304982602087E-2</v>
      </c>
      <c r="V421" s="74">
        <f>_xll.qlIndexFixing(Index,R421,TRUE,InterestRatesTrigger)</f>
        <v>1.5121096253680466E-2</v>
      </c>
      <c r="W421" s="30">
        <f t="shared" si="30"/>
        <v>-5.7208728921620544E-5</v>
      </c>
      <c r="X421" s="29">
        <f>_xll.qlDayCounterYearFraction(DayCounter,SettlementDate,S421,,,Trigger)</f>
        <v>35.347222222222221</v>
      </c>
      <c r="Y421" s="29">
        <f>_xll.qlDayCounterYearFraction(DayCounter,S421,T421)</f>
        <v>8.8888888888888892E-2</v>
      </c>
      <c r="Z421" s="29">
        <f>IF($M$13,_xll.qlYieldTSDiscount(Currency&amp;"ON",S421)/(1+V421*Y421),1)</f>
        <v>1</v>
      </c>
      <c r="AA421" s="30">
        <f>_xll.qlTenorBasisValue(TenorBasis1M,S421,InterestRatesTrigger)</f>
        <v>1.6236310863128931E-5</v>
      </c>
      <c r="AB421" s="74">
        <f t="shared" si="31"/>
        <v>1.5194541293465216E-2</v>
      </c>
      <c r="AC421" s="76">
        <f t="shared" si="32"/>
        <v>1.0048571240175046</v>
      </c>
    </row>
    <row r="422" spans="16:29" x14ac:dyDescent="0.2">
      <c r="P422" s="33">
        <v>1</v>
      </c>
      <c r="Q422" s="27" t="str">
        <f>_xll.qlPeriodEquivalent(Q421&amp;"+"&amp;P422&amp;"M")</f>
        <v>34Y11M</v>
      </c>
      <c r="R422" s="28">
        <f>_xll.qlCalendarAdvance(Calendar,SettlementDate,Q422,"f",,Trigger)</f>
        <v>55033</v>
      </c>
      <c r="S422" s="28">
        <f>_xll.qlInterestRateIndexValueDate(Index,R422,Trigger)</f>
        <v>55037</v>
      </c>
      <c r="T422" s="28">
        <f>_xll.qlInterestRateIndexMaturity(Index,S422,Trigger)</f>
        <v>55067</v>
      </c>
      <c r="U422" s="30">
        <f>_xll.qlIndexFixing($M$5,R422,TRUE,InterestRatesTrigger)</f>
        <v>1.5162815822738374E-2</v>
      </c>
      <c r="V422" s="74">
        <f>_xll.qlIndexFixing(Index,R422,TRUE,InterestRatesTrigger)</f>
        <v>1.5110987988663283E-2</v>
      </c>
      <c r="W422" s="30">
        <f t="shared" si="30"/>
        <v>-5.1827834075091062E-5</v>
      </c>
      <c r="X422" s="29">
        <f>_xll.qlDayCounterYearFraction(DayCounter,SettlementDate,S422,,,Trigger)</f>
        <v>35.43888888888889</v>
      </c>
      <c r="Y422" s="29">
        <f>_xll.qlDayCounterYearFraction(DayCounter,S422,T422)</f>
        <v>8.3333333333333329E-2</v>
      </c>
      <c r="Z422" s="29">
        <f>IF($M$13,_xll.qlYieldTSDiscount(Currency&amp;"ON",S422)/(1+V422*Y422),1)</f>
        <v>1</v>
      </c>
      <c r="AA422" s="30">
        <f>_xll.qlTenorBasisValue(TenorBasis1M,S422,InterestRatesTrigger)</f>
        <v>1.6020655252049027E-5</v>
      </c>
      <c r="AB422" s="74">
        <f t="shared" si="31"/>
        <v>1.5178836477990423E-2</v>
      </c>
      <c r="AC422" s="76">
        <f t="shared" si="32"/>
        <v>1.004490010142159</v>
      </c>
    </row>
    <row r="423" spans="16:29" x14ac:dyDescent="0.2">
      <c r="P423" s="33">
        <v>1</v>
      </c>
      <c r="Q423" s="27" t="str">
        <f>_xll.qlPeriodEquivalent(Q422&amp;"+"&amp;P423&amp;"M")</f>
        <v>35Y</v>
      </c>
      <c r="R423" s="28">
        <f>_xll.qlCalendarAdvance(Calendar,SettlementDate,Q423,"f",,Trigger)</f>
        <v>55064</v>
      </c>
      <c r="S423" s="28">
        <f>_xll.qlInterestRateIndexValueDate(Index,R423,Trigger)</f>
        <v>55066</v>
      </c>
      <c r="T423" s="28">
        <f>_xll.qlInterestRateIndexMaturity(Index,S423,Trigger)</f>
        <v>55099</v>
      </c>
      <c r="U423" s="30">
        <f>_xll.qlIndexFixing($M$5,R423,TRUE,InterestRatesTrigger)</f>
        <v>1.5148968304483647E-2</v>
      </c>
      <c r="V423" s="74">
        <f>_xll.qlIndexFixing(Index,R423,TRUE,InterestRatesTrigger)</f>
        <v>1.5102311639796766E-2</v>
      </c>
      <c r="W423" s="30">
        <f t="shared" si="30"/>
        <v>-4.6656664686881011E-5</v>
      </c>
      <c r="X423" s="29">
        <f>_xll.qlDayCounterYearFraction(DayCounter,SettlementDate,S423,,,Trigger)</f>
        <v>35.519444444444446</v>
      </c>
      <c r="Y423" s="29">
        <f>_xll.qlDayCounterYearFraction(DayCounter,S423,T423)</f>
        <v>9.166666666666666E-2</v>
      </c>
      <c r="Z423" s="29">
        <f>IF($M$13,_xll.qlYieldTSDiscount(Currency&amp;"ON",S423)/(1+V423*Y423),1)</f>
        <v>1</v>
      </c>
      <c r="AA423" s="30">
        <f>_xll.qlTenorBasisValue(TenorBasis1M,S423,InterestRatesTrigger)</f>
        <v>1.5833425373472302E-5</v>
      </c>
      <c r="AB423" s="74">
        <f t="shared" si="31"/>
        <v>1.516480172985712E-2</v>
      </c>
      <c r="AC423" s="76">
        <f t="shared" si="32"/>
        <v>1.0041377831123337</v>
      </c>
    </row>
    <row r="424" spans="16:29" x14ac:dyDescent="0.2">
      <c r="P424" s="33">
        <v>1</v>
      </c>
      <c r="Q424" s="27" t="str">
        <f>_xll.qlPeriodEquivalent(Q423&amp;"+"&amp;P424&amp;"M")</f>
        <v>35Y1M</v>
      </c>
      <c r="R424" s="28">
        <f>_xll.qlCalendarAdvance(Calendar,SettlementDate,Q424,"f",,Trigger)</f>
        <v>55094</v>
      </c>
      <c r="S424" s="28">
        <f>_xll.qlInterestRateIndexValueDate(Index,R424,Trigger)</f>
        <v>55096</v>
      </c>
      <c r="T424" s="28">
        <f>_xll.qlInterestRateIndexMaturity(Index,S424,Trigger)</f>
        <v>55127</v>
      </c>
      <c r="U424" s="30">
        <f>_xll.qlIndexFixing($M$5,R424,TRUE,InterestRatesTrigger)</f>
        <v>1.5133683538992511E-2</v>
      </c>
      <c r="V424" s="74">
        <f>_xll.qlIndexFixing(Index,R424,TRUE,InterestRatesTrigger)</f>
        <v>1.5091995836474123E-2</v>
      </c>
      <c r="W424" s="30">
        <f t="shared" si="30"/>
        <v>-4.1687702518387534E-5</v>
      </c>
      <c r="X424" s="29">
        <f>_xll.qlDayCounterYearFraction(DayCounter,SettlementDate,S424,,,Trigger)</f>
        <v>35.602777777777774</v>
      </c>
      <c r="Y424" s="29">
        <f>_xll.qlDayCounterYearFraction(DayCounter,S424,T424)</f>
        <v>8.611111111111111E-2</v>
      </c>
      <c r="Z424" s="29">
        <f>IF($M$13,_xll.qlYieldTSDiscount(Currency&amp;"ON",S424)/(1+V424*Y424),1)</f>
        <v>1</v>
      </c>
      <c r="AA424" s="30">
        <f>_xll.qlTenorBasisValue(TenorBasis1M,S424,InterestRatesTrigger)</f>
        <v>1.5641963878784342E-5</v>
      </c>
      <c r="AB424" s="74">
        <f t="shared" si="31"/>
        <v>1.5149325502871295E-2</v>
      </c>
      <c r="AC424" s="76">
        <f t="shared" si="32"/>
        <v>1.0037986802420538</v>
      </c>
    </row>
    <row r="425" spans="16:29" x14ac:dyDescent="0.2">
      <c r="P425" s="33">
        <v>1</v>
      </c>
      <c r="Q425" s="27" t="str">
        <f>_xll.qlPeriodEquivalent(Q424&amp;"+"&amp;P425&amp;"M")</f>
        <v>35Y2M</v>
      </c>
      <c r="R425" s="28">
        <f>_xll.qlCalendarAdvance(Calendar,SettlementDate,Q425,"f",,Trigger)</f>
        <v>55124</v>
      </c>
      <c r="S425" s="28">
        <f>_xll.qlInterestRateIndexValueDate(Index,R425,Trigger)</f>
        <v>55128</v>
      </c>
      <c r="T425" s="28">
        <f>_xll.qlInterestRateIndexMaturity(Index,S425,Trigger)</f>
        <v>55159</v>
      </c>
      <c r="U425" s="30">
        <f>_xll.qlIndexFixing($M$5,R425,TRUE,InterestRatesTrigger)</f>
        <v>1.5116860106128937E-2</v>
      </c>
      <c r="V425" s="74">
        <f>_xll.qlIndexFixing(Index,R425,TRUE,InterestRatesTrigger)</f>
        <v>1.5080695232839331E-2</v>
      </c>
      <c r="W425" s="30">
        <f t="shared" si="30"/>
        <v>-3.6164873289605548E-5</v>
      </c>
      <c r="X425" s="29">
        <f>_xll.qlDayCounterYearFraction(DayCounter,SettlementDate,S425,,,Trigger)</f>
        <v>35.69166666666667</v>
      </c>
      <c r="Y425" s="29">
        <f>_xll.qlDayCounterYearFraction(DayCounter,S425,T425)</f>
        <v>8.611111111111111E-2</v>
      </c>
      <c r="Z425" s="29">
        <f>IF($M$13,_xll.qlYieldTSDiscount(Currency&amp;"ON",S425)/(1+V425*Y425),1)</f>
        <v>1</v>
      </c>
      <c r="AA425" s="30">
        <f>_xll.qlTenorBasisValue(TenorBasis1M,S425,InterestRatesTrigger)</f>
        <v>1.5440203880637014E-5</v>
      </c>
      <c r="AB425" s="74">
        <f t="shared" si="31"/>
        <v>1.5132300310009573E-2</v>
      </c>
      <c r="AC425" s="76">
        <f t="shared" si="32"/>
        <v>1.003421929584378</v>
      </c>
    </row>
    <row r="426" spans="16:29" x14ac:dyDescent="0.2">
      <c r="P426" s="33">
        <v>1</v>
      </c>
      <c r="Q426" s="27" t="str">
        <f>_xll.qlPeriodEquivalent(Q425&amp;"+"&amp;P426&amp;"M")</f>
        <v>35Y3M</v>
      </c>
      <c r="R426" s="28">
        <f>_xll.qlCalendarAdvance(Calendar,SettlementDate,Q426,"f",,Trigger)</f>
        <v>55155</v>
      </c>
      <c r="S426" s="28">
        <f>_xll.qlInterestRateIndexValueDate(Index,R426,Trigger)</f>
        <v>55157</v>
      </c>
      <c r="T426" s="28">
        <f>_xll.qlInterestRateIndexMaturity(Index,S426,Trigger)</f>
        <v>55190</v>
      </c>
      <c r="U426" s="30">
        <f>_xll.qlIndexFixing($M$5,R426,TRUE,InterestRatesTrigger)</f>
        <v>1.5101092039850885E-2</v>
      </c>
      <c r="V426" s="74">
        <f>_xll.qlIndexFixing(Index,R426,TRUE,InterestRatesTrigger)</f>
        <v>1.507013963100399E-2</v>
      </c>
      <c r="W426" s="30">
        <f t="shared" ref="W426:W489" si="33">V426-U426</f>
        <v>-3.0952408846894597E-5</v>
      </c>
      <c r="X426" s="29">
        <f>_xll.qlDayCounterYearFraction(DayCounter,SettlementDate,S426,,,Trigger)</f>
        <v>35.772222222222226</v>
      </c>
      <c r="Y426" s="29">
        <f>_xll.qlDayCounterYearFraction(DayCounter,S426,T426)</f>
        <v>9.166666666666666E-2</v>
      </c>
      <c r="Z426" s="29">
        <f>IF($M$13,_xll.qlYieldTSDiscount(Currency&amp;"ON",S426)/(1+V426*Y426),1)</f>
        <v>1</v>
      </c>
      <c r="AA426" s="30">
        <f>_xll.qlTenorBasisValue(TenorBasis1M,S426,InterestRatesTrigger)</f>
        <v>1.5259532619758533E-5</v>
      </c>
      <c r="AB426" s="74">
        <f t="shared" ref="AB426:AB489" si="34">AA426+U426</f>
        <v>1.5116351572470644E-2</v>
      </c>
      <c r="AC426" s="76">
        <f t="shared" ref="AC426:AC489" si="35">AB426/V426</f>
        <v>1.0030664574183228</v>
      </c>
    </row>
    <row r="427" spans="16:29" x14ac:dyDescent="0.2">
      <c r="P427" s="33">
        <v>1</v>
      </c>
      <c r="Q427" s="27" t="str">
        <f>_xll.qlPeriodEquivalent(Q426&amp;"+"&amp;P427&amp;"M")</f>
        <v>35Y4M</v>
      </c>
      <c r="R427" s="28">
        <f>_xll.qlCalendarAdvance(Calendar,SettlementDate,Q427,"f",,Trigger)</f>
        <v>55186</v>
      </c>
      <c r="S427" s="28">
        <f>_xll.qlInterestRateIndexValueDate(Index,R427,Trigger)</f>
        <v>55190</v>
      </c>
      <c r="T427" s="28">
        <f>_xll.qlInterestRateIndexMaturity(Index,S427,Trigger)</f>
        <v>55218</v>
      </c>
      <c r="U427" s="30">
        <f>_xll.qlIndexFixing($M$5,R427,TRUE,InterestRatesTrigger)</f>
        <v>1.5082228367250736E-2</v>
      </c>
      <c r="V427" s="74">
        <f>_xll.qlIndexFixing(Index,R427,TRUE,InterestRatesTrigger)</f>
        <v>1.5056615442629515E-2</v>
      </c>
      <c r="W427" s="30">
        <f t="shared" si="33"/>
        <v>-2.5612924621221111E-5</v>
      </c>
      <c r="X427" s="29">
        <f>_xll.qlDayCounterYearFraction(DayCounter,SettlementDate,S427,,,Trigger)</f>
        <v>35.863888888888887</v>
      </c>
      <c r="Y427" s="29">
        <f>_xll.qlDayCounterYearFraction(DayCounter,S427,T427)</f>
        <v>7.7777777777777779E-2</v>
      </c>
      <c r="Z427" s="29">
        <f>IF($M$13,_xll.qlYieldTSDiscount(Currency&amp;"ON",S427)/(1+V427*Y427),1)</f>
        <v>1</v>
      </c>
      <c r="AA427" s="30">
        <f>_xll.qlTenorBasisValue(TenorBasis1M,S427,InterestRatesTrigger)</f>
        <v>1.5056426134994597E-5</v>
      </c>
      <c r="AB427" s="74">
        <f t="shared" si="34"/>
        <v>1.5097284793385731E-2</v>
      </c>
      <c r="AC427" s="76">
        <f t="shared" si="35"/>
        <v>1.0027010951372957</v>
      </c>
    </row>
    <row r="428" spans="16:29" x14ac:dyDescent="0.2">
      <c r="P428" s="33">
        <v>1</v>
      </c>
      <c r="Q428" s="27" t="str">
        <f>_xll.qlPeriodEquivalent(Q427&amp;"+"&amp;P428&amp;"M")</f>
        <v>35Y5M</v>
      </c>
      <c r="R428" s="28">
        <f>_xll.qlCalendarAdvance(Calendar,SettlementDate,Q428,"f",,Trigger)</f>
        <v>55214</v>
      </c>
      <c r="S428" s="28">
        <f>_xll.qlInterestRateIndexValueDate(Index,R428,Trigger)</f>
        <v>55218</v>
      </c>
      <c r="T428" s="28">
        <f>_xll.qlInterestRateIndexMaturity(Index,S428,Trigger)</f>
        <v>55249</v>
      </c>
      <c r="U428" s="30">
        <f>_xll.qlIndexFixing($M$5,R428,TRUE,InterestRatesTrigger)</f>
        <v>1.5065850841897065E-2</v>
      </c>
      <c r="V428" s="74">
        <f>_xll.qlIndexFixing(Index,R428,TRUE,InterestRatesTrigger)</f>
        <v>1.5045420795481166E-2</v>
      </c>
      <c r="W428" s="30">
        <f t="shared" si="33"/>
        <v>-2.0430046415899003E-5</v>
      </c>
      <c r="X428" s="29">
        <f>_xll.qlDayCounterYearFraction(DayCounter,SettlementDate,S428,,,Trigger)</f>
        <v>35.94166666666667</v>
      </c>
      <c r="Y428" s="29">
        <f>_xll.qlDayCounterYearFraction(DayCounter,S428,T428)</f>
        <v>8.611111111111111E-2</v>
      </c>
      <c r="Z428" s="29">
        <f>IF($M$13,_xll.qlYieldTSDiscount(Currency&amp;"ON",S428)/(1+V428*Y428),1)</f>
        <v>1</v>
      </c>
      <c r="AA428" s="30">
        <f>_xll.qlTenorBasisValue(TenorBasis1M,S428,InterestRatesTrigger)</f>
        <v>1.4886144727123719E-5</v>
      </c>
      <c r="AB428" s="74">
        <f t="shared" si="34"/>
        <v>1.5080736986624188E-2</v>
      </c>
      <c r="AC428" s="76">
        <f t="shared" si="35"/>
        <v>1.0023473049789096</v>
      </c>
    </row>
    <row r="429" spans="16:29" x14ac:dyDescent="0.2">
      <c r="P429" s="33">
        <v>1</v>
      </c>
      <c r="Q429" s="27" t="str">
        <f>_xll.qlPeriodEquivalent(Q428&amp;"+"&amp;P429&amp;"M")</f>
        <v>35Y6M</v>
      </c>
      <c r="R429" s="28">
        <f>_xll.qlCalendarAdvance(Calendar,SettlementDate,Q429,"f",,Trigger)</f>
        <v>55247</v>
      </c>
      <c r="S429" s="28">
        <f>_xll.qlInterestRateIndexValueDate(Index,R429,Trigger)</f>
        <v>55249</v>
      </c>
      <c r="T429" s="28">
        <f>_xll.qlInterestRateIndexMaturity(Index,S429,Trigger)</f>
        <v>55281</v>
      </c>
      <c r="U429" s="30">
        <f>_xll.qlIndexFixing($M$5,R429,TRUE,InterestRatesTrigger)</f>
        <v>1.5047022783010733E-2</v>
      </c>
      <c r="V429" s="74">
        <f>_xll.qlIndexFixing(Index,R429,TRUE,InterestRatesTrigger)</f>
        <v>1.5032153821148975E-2</v>
      </c>
      <c r="W429" s="30">
        <f t="shared" si="33"/>
        <v>-1.4868961861758123E-5</v>
      </c>
      <c r="X429" s="29">
        <f>_xll.qlDayCounterYearFraction(DayCounter,SettlementDate,S429,,,Trigger)</f>
        <v>36.027777777777779</v>
      </c>
      <c r="Y429" s="29">
        <f>_xll.qlDayCounterYearFraction(DayCounter,S429,T429)</f>
        <v>8.8888888888888892E-2</v>
      </c>
      <c r="Z429" s="29">
        <f>IF($M$13,_xll.qlYieldTSDiscount(Currency&amp;"ON",S429)/(1+V429*Y429),1)</f>
        <v>1</v>
      </c>
      <c r="AA429" s="30">
        <f>_xll.qlTenorBasisValue(TenorBasis1M,S429,InterestRatesTrigger)</f>
        <v>1.4699790583414658E-5</v>
      </c>
      <c r="AB429" s="74">
        <f t="shared" si="34"/>
        <v>1.5061722573594147E-2</v>
      </c>
      <c r="AC429" s="76">
        <f t="shared" si="35"/>
        <v>1.0019670336531263</v>
      </c>
    </row>
    <row r="430" spans="16:29" x14ac:dyDescent="0.2">
      <c r="P430" s="33">
        <v>1</v>
      </c>
      <c r="Q430" s="27" t="str">
        <f>_xll.qlPeriodEquivalent(Q429&amp;"+"&amp;P430&amp;"M")</f>
        <v>35Y7M</v>
      </c>
      <c r="R430" s="28">
        <f>_xll.qlCalendarAdvance(Calendar,SettlementDate,Q430,"f",,Trigger)</f>
        <v>55275</v>
      </c>
      <c r="S430" s="28">
        <f>_xll.qlInterestRateIndexValueDate(Index,R430,Trigger)</f>
        <v>55277</v>
      </c>
      <c r="T430" s="28">
        <f>_xll.qlInterestRateIndexMaturity(Index,S430,Trigger)</f>
        <v>55309</v>
      </c>
      <c r="U430" s="30">
        <f>_xll.qlIndexFixing($M$5,R430,TRUE,InterestRatesTrigger)</f>
        <v>1.5029447786679972E-2</v>
      </c>
      <c r="V430" s="74">
        <f>_xll.qlIndexFixing(Index,R430,TRUE,InterestRatesTrigger)</f>
        <v>1.5019539677309512E-2</v>
      </c>
      <c r="W430" s="30">
        <f t="shared" si="33"/>
        <v>-9.9081093704600498E-6</v>
      </c>
      <c r="X430" s="29">
        <f>_xll.qlDayCounterYearFraction(DayCounter,SettlementDate,S430,,,Trigger)</f>
        <v>36.105555555555554</v>
      </c>
      <c r="Y430" s="29">
        <f>_xll.qlDayCounterYearFraction(DayCounter,S430,T430)</f>
        <v>8.8888888888888892E-2</v>
      </c>
      <c r="Z430" s="29">
        <f>IF($M$13,_xll.qlYieldTSDiscount(Currency&amp;"ON",S430)/(1+V430*Y430),1)</f>
        <v>1</v>
      </c>
      <c r="AA430" s="30">
        <f>_xll.qlTenorBasisValue(TenorBasis1M,S430,InterestRatesTrigger)</f>
        <v>1.4533411119840966E-5</v>
      </c>
      <c r="AB430" s="74">
        <f t="shared" si="34"/>
        <v>1.5043981197799813E-2</v>
      </c>
      <c r="AC430" s="76">
        <f t="shared" si="35"/>
        <v>1.0016273148855037</v>
      </c>
    </row>
    <row r="431" spans="16:29" x14ac:dyDescent="0.2">
      <c r="P431" s="33">
        <v>1</v>
      </c>
      <c r="Q431" s="27" t="str">
        <f>_xll.qlPeriodEquivalent(Q430&amp;"+"&amp;P431&amp;"M")</f>
        <v>35Y8M</v>
      </c>
      <c r="R431" s="28">
        <f>_xll.qlCalendarAdvance(Calendar,SettlementDate,Q431,"f",,Trigger)</f>
        <v>55306</v>
      </c>
      <c r="S431" s="28">
        <f>_xll.qlInterestRateIndexValueDate(Index,R431,Trigger)</f>
        <v>55310</v>
      </c>
      <c r="T431" s="28">
        <f>_xll.qlInterestRateIndexMaturity(Index,S431,Trigger)</f>
        <v>55340</v>
      </c>
      <c r="U431" s="30">
        <f>_xll.qlIndexFixing($M$5,R431,TRUE,InterestRatesTrigger)</f>
        <v>1.500809427507388E-2</v>
      </c>
      <c r="V431" s="74">
        <f>_xll.qlIndexFixing(Index,R431,TRUE,InterestRatesTrigger)</f>
        <v>1.5003870806786779E-2</v>
      </c>
      <c r="W431" s="30">
        <f t="shared" si="33"/>
        <v>-4.2234682871011842E-6</v>
      </c>
      <c r="X431" s="29">
        <f>_xll.qlDayCounterYearFraction(DayCounter,SettlementDate,S431,,,Trigger)</f>
        <v>36.197222222222223</v>
      </c>
      <c r="Y431" s="29">
        <f>_xll.qlDayCounterYearFraction(DayCounter,S431,T431)</f>
        <v>8.3333333333333329E-2</v>
      </c>
      <c r="Z431" s="29">
        <f>IF($M$13,_xll.qlYieldTSDiscount(Currency&amp;"ON",S431)/(1+V431*Y431),1)</f>
        <v>1</v>
      </c>
      <c r="AA431" s="30">
        <f>_xll.qlTenorBasisValue(TenorBasis1M,S431,InterestRatesTrigger)</f>
        <v>1.4339658523999516E-5</v>
      </c>
      <c r="AB431" s="74">
        <f t="shared" si="34"/>
        <v>1.502243393359788E-2</v>
      </c>
      <c r="AC431" s="76">
        <f t="shared" si="35"/>
        <v>1.0012372225174522</v>
      </c>
    </row>
    <row r="432" spans="16:29" x14ac:dyDescent="0.2">
      <c r="P432" s="33">
        <v>1</v>
      </c>
      <c r="Q432" s="27" t="str">
        <f>_xll.qlPeriodEquivalent(Q431&amp;"+"&amp;P432&amp;"M")</f>
        <v>35Y9M</v>
      </c>
      <c r="R432" s="28">
        <f>_xll.qlCalendarAdvance(Calendar,SettlementDate,Q432,"f",,Trigger)</f>
        <v>55337</v>
      </c>
      <c r="S432" s="28">
        <f>_xll.qlInterestRateIndexValueDate(Index,R432,Trigger)</f>
        <v>55339</v>
      </c>
      <c r="T432" s="28">
        <f>_xll.qlInterestRateIndexMaturity(Index,S432,Trigger)</f>
        <v>55372</v>
      </c>
      <c r="U432" s="30">
        <f>_xll.qlIndexFixing($M$5,R432,TRUE,InterestRatesTrigger)</f>
        <v>1.4988625305101458E-2</v>
      </c>
      <c r="V432" s="74">
        <f>_xll.qlIndexFixing(Index,R432,TRUE,InterestRatesTrigger)</f>
        <v>1.4989829515239125E-2</v>
      </c>
      <c r="W432" s="30">
        <f t="shared" si="33"/>
        <v>1.2042101376671249E-6</v>
      </c>
      <c r="X432" s="29">
        <f>_xll.qlDayCounterYearFraction(DayCounter,SettlementDate,S432,,,Trigger)</f>
        <v>36.277777777777779</v>
      </c>
      <c r="Y432" s="29">
        <f>_xll.qlDayCounterYearFraction(DayCounter,S432,T432)</f>
        <v>9.166666666666666E-2</v>
      </c>
      <c r="Z432" s="29">
        <f>IF($M$13,_xll.qlYieldTSDiscount(Currency&amp;"ON",S432)/(1+V432*Y432),1)</f>
        <v>1</v>
      </c>
      <c r="AA432" s="30">
        <f>_xll.qlTenorBasisValue(TenorBasis1M,S432,InterestRatesTrigger)</f>
        <v>1.4171455619436636E-5</v>
      </c>
      <c r="AB432" s="74">
        <f t="shared" si="34"/>
        <v>1.5002796760720895E-2</v>
      </c>
      <c r="AC432" s="76">
        <f t="shared" si="35"/>
        <v>1.0008650695772481</v>
      </c>
    </row>
    <row r="433" spans="16:29" x14ac:dyDescent="0.2">
      <c r="P433" s="33">
        <v>1</v>
      </c>
      <c r="Q433" s="27" t="str">
        <f>_xll.qlPeriodEquivalent(Q432&amp;"+"&amp;P433&amp;"M")</f>
        <v>35Y10M</v>
      </c>
      <c r="R433" s="28">
        <f>_xll.qlCalendarAdvance(Calendar,SettlementDate,Q433,"f",,Trigger)</f>
        <v>55367</v>
      </c>
      <c r="S433" s="28">
        <f>_xll.qlInterestRateIndexValueDate(Index,R433,Trigger)</f>
        <v>55369</v>
      </c>
      <c r="T433" s="28">
        <f>_xll.qlInterestRateIndexMaturity(Index,S433,Trigger)</f>
        <v>55400</v>
      </c>
      <c r="U433" s="30">
        <f>_xll.qlIndexFixing($M$5,R433,TRUE,InterestRatesTrigger)</f>
        <v>1.4968027904546564E-2</v>
      </c>
      <c r="V433" s="74">
        <f>_xll.qlIndexFixing(Index,R433,TRUE,InterestRatesTrigger)</f>
        <v>1.497439754551092E-2</v>
      </c>
      <c r="W433" s="30">
        <f t="shared" si="33"/>
        <v>6.3696409643553692E-6</v>
      </c>
      <c r="X433" s="29">
        <f>_xll.qlDayCounterYearFraction(DayCounter,SettlementDate,S433,,,Trigger)</f>
        <v>36.361111111111114</v>
      </c>
      <c r="Y433" s="29">
        <f>_xll.qlDayCounterYearFraction(DayCounter,S433,T433)</f>
        <v>8.611111111111111E-2</v>
      </c>
      <c r="Z433" s="29">
        <f>IF($M$13,_xll.qlYieldTSDiscount(Currency&amp;"ON",S433)/(1+V433*Y433),1)</f>
        <v>1</v>
      </c>
      <c r="AA433" s="30">
        <f>_xll.qlTenorBasisValue(TenorBasis1M,S433,InterestRatesTrigger)</f>
        <v>1.3999461785190523E-5</v>
      </c>
      <c r="AB433" s="74">
        <f t="shared" si="34"/>
        <v>1.4982027366331755E-2</v>
      </c>
      <c r="AC433" s="76">
        <f t="shared" si="35"/>
        <v>1.0005095243930613</v>
      </c>
    </row>
    <row r="434" spans="16:29" x14ac:dyDescent="0.2">
      <c r="P434" s="33">
        <v>1</v>
      </c>
      <c r="Q434" s="27" t="str">
        <f>_xll.qlPeriodEquivalent(Q433&amp;"+"&amp;P434&amp;"M")</f>
        <v>35Y11M</v>
      </c>
      <c r="R434" s="28">
        <f>_xll.qlCalendarAdvance(Calendar,SettlementDate,Q434,"f",,Trigger)</f>
        <v>55400</v>
      </c>
      <c r="S434" s="28">
        <f>_xll.qlInterestRateIndexValueDate(Index,R434,Trigger)</f>
        <v>55402</v>
      </c>
      <c r="T434" s="28">
        <f>_xll.qlInterestRateIndexMaturity(Index,S434,Trigger)</f>
        <v>55432</v>
      </c>
      <c r="U434" s="30">
        <f>_xll.qlIndexFixing($M$5,R434,TRUE,InterestRatesTrigger)</f>
        <v>1.4944658956872914E-2</v>
      </c>
      <c r="V434" s="74">
        <f>_xll.qlIndexFixing(Index,R434,TRUE,InterestRatesTrigger)</f>
        <v>1.4956817675267686E-2</v>
      </c>
      <c r="W434" s="30">
        <f t="shared" si="33"/>
        <v>1.215871839477245E-5</v>
      </c>
      <c r="X434" s="29">
        <f>_xll.qlDayCounterYearFraction(DayCounter,SettlementDate,S434,,,Trigger)</f>
        <v>36.452777777777776</v>
      </c>
      <c r="Y434" s="29">
        <f>_xll.qlDayCounterYearFraction(DayCounter,S434,T434)</f>
        <v>8.3333333333333329E-2</v>
      </c>
      <c r="Z434" s="29">
        <f>IF($M$13,_xll.qlYieldTSDiscount(Currency&amp;"ON",S434)/(1+V434*Y434),1)</f>
        <v>1</v>
      </c>
      <c r="AA434" s="30">
        <f>_xll.qlTenorBasisValue(TenorBasis1M,S434,InterestRatesTrigger)</f>
        <v>1.3812601525132863E-5</v>
      </c>
      <c r="AB434" s="74">
        <f t="shared" si="34"/>
        <v>1.4958471558398048E-2</v>
      </c>
      <c r="AC434" s="76">
        <f t="shared" si="35"/>
        <v>1.0001105772074159</v>
      </c>
    </row>
    <row r="435" spans="16:29" x14ac:dyDescent="0.2">
      <c r="P435" s="33">
        <v>1</v>
      </c>
      <c r="Q435" s="27" t="str">
        <f>_xll.qlPeriodEquivalent(Q434&amp;"+"&amp;P435&amp;"M")</f>
        <v>36Y</v>
      </c>
      <c r="R435" s="28">
        <f>_xll.qlCalendarAdvance(Calendar,SettlementDate,Q435,"f",,Trigger)</f>
        <v>55428</v>
      </c>
      <c r="S435" s="28">
        <f>_xll.qlInterestRateIndexValueDate(Index,R435,Trigger)</f>
        <v>55430</v>
      </c>
      <c r="T435" s="28">
        <f>_xll.qlInterestRateIndexMaturity(Index,S435,Trigger)</f>
        <v>55463</v>
      </c>
      <c r="U435" s="30">
        <f>_xll.qlIndexFixing($M$5,R435,TRUE,InterestRatesTrigger)</f>
        <v>1.4924035007065326E-2</v>
      </c>
      <c r="V435" s="74">
        <f>_xll.qlIndexFixing(Index,R435,TRUE,InterestRatesTrigger)</f>
        <v>1.4941446787657207E-2</v>
      </c>
      <c r="W435" s="30">
        <f t="shared" si="33"/>
        <v>1.7411780591881226E-5</v>
      </c>
      <c r="X435" s="29">
        <f>_xll.qlDayCounterYearFraction(DayCounter,SettlementDate,S435,,,Trigger)</f>
        <v>36.530555555555559</v>
      </c>
      <c r="Y435" s="29">
        <f>_xll.qlDayCounterYearFraction(DayCounter,S435,T435)</f>
        <v>9.166666666666666E-2</v>
      </c>
      <c r="Z435" s="29">
        <f>IF($M$13,_xll.qlYieldTSDiscount(Currency&amp;"ON",S435)/(1+V435*Y435),1)</f>
        <v>1</v>
      </c>
      <c r="AA435" s="30">
        <f>_xll.qlTenorBasisValue(TenorBasis1M,S435,InterestRatesTrigger)</f>
        <v>1.3655948376759862E-5</v>
      </c>
      <c r="AB435" s="74">
        <f t="shared" si="34"/>
        <v>1.4937690955442087E-2</v>
      </c>
      <c r="AC435" s="76">
        <f t="shared" si="35"/>
        <v>0.99974862995073388</v>
      </c>
    </row>
    <row r="436" spans="16:29" x14ac:dyDescent="0.2">
      <c r="P436" s="33">
        <v>1</v>
      </c>
      <c r="Q436" s="27" t="str">
        <f>_xll.qlPeriodEquivalent(Q435&amp;"+"&amp;P436&amp;"M")</f>
        <v>36Y1M</v>
      </c>
      <c r="R436" s="28">
        <f>_xll.qlCalendarAdvance(Calendar,SettlementDate,Q436,"f",,Trigger)</f>
        <v>55459</v>
      </c>
      <c r="S436" s="28">
        <f>_xll.qlInterestRateIndexValueDate(Index,R436,Trigger)</f>
        <v>55463</v>
      </c>
      <c r="T436" s="28">
        <f>_xll.qlInterestRateIndexMaturity(Index,S436,Trigger)</f>
        <v>55493</v>
      </c>
      <c r="U436" s="30">
        <f>_xll.qlIndexFixing($M$5,R436,TRUE,InterestRatesTrigger)</f>
        <v>1.4899459475960164E-2</v>
      </c>
      <c r="V436" s="74">
        <f>_xll.qlIndexFixing(Index,R436,TRUE,InterestRatesTrigger)</f>
        <v>1.4922467096131875E-2</v>
      </c>
      <c r="W436" s="30">
        <f t="shared" si="33"/>
        <v>2.3007620171711096E-5</v>
      </c>
      <c r="X436" s="29">
        <f>_xll.qlDayCounterYearFraction(DayCounter,SettlementDate,S436,,,Trigger)</f>
        <v>36.62222222222222</v>
      </c>
      <c r="Y436" s="29">
        <f>_xll.qlDayCounterYearFraction(DayCounter,S436,T436)</f>
        <v>8.3333333333333329E-2</v>
      </c>
      <c r="Z436" s="29">
        <f>IF($M$13,_xll.qlYieldTSDiscount(Currency&amp;"ON",S436)/(1+V436*Y436),1)</f>
        <v>1</v>
      </c>
      <c r="AA436" s="30">
        <f>_xll.qlTenorBasisValue(TenorBasis1M,S436,InterestRatesTrigger)</f>
        <v>1.3473528665753213E-5</v>
      </c>
      <c r="AB436" s="74">
        <f t="shared" si="34"/>
        <v>1.4912933004625917E-2</v>
      </c>
      <c r="AC436" s="76">
        <f t="shared" si="35"/>
        <v>0.99936109147069729</v>
      </c>
    </row>
    <row r="437" spans="16:29" x14ac:dyDescent="0.2">
      <c r="P437" s="33">
        <v>1</v>
      </c>
      <c r="Q437" s="27" t="str">
        <f>_xll.qlPeriodEquivalent(Q436&amp;"+"&amp;P437&amp;"M")</f>
        <v>36Y2M</v>
      </c>
      <c r="R437" s="28">
        <f>_xll.qlCalendarAdvance(Calendar,SettlementDate,Q437,"f",,Trigger)</f>
        <v>55491</v>
      </c>
      <c r="S437" s="28">
        <f>_xll.qlInterestRateIndexValueDate(Index,R437,Trigger)</f>
        <v>55493</v>
      </c>
      <c r="T437" s="28">
        <f>_xll.qlInterestRateIndexMaturity(Index,S437,Trigger)</f>
        <v>55526</v>
      </c>
      <c r="U437" s="30">
        <f>_xll.qlIndexFixing($M$5,R437,TRUE,InterestRatesTrigger)</f>
        <v>1.4876055062737432E-2</v>
      </c>
      <c r="V437" s="74">
        <f>_xll.qlIndexFixing(Index,R437,TRUE,InterestRatesTrigger)</f>
        <v>1.4904649705303929E-2</v>
      </c>
      <c r="W437" s="30">
        <f t="shared" si="33"/>
        <v>2.8594642566496381E-5</v>
      </c>
      <c r="X437" s="29">
        <f>_xll.qlDayCounterYearFraction(DayCounter,SettlementDate,S437,,,Trigger)</f>
        <v>36.705555555555556</v>
      </c>
      <c r="Y437" s="29">
        <f>_xll.qlDayCounterYearFraction(DayCounter,S437,T437)</f>
        <v>9.166666666666666E-2</v>
      </c>
      <c r="Z437" s="29">
        <f>IF($M$13,_xll.qlYieldTSDiscount(Currency&amp;"ON",S437)/(1+V437*Y437),1)</f>
        <v>1</v>
      </c>
      <c r="AA437" s="30">
        <f>_xll.qlTenorBasisValue(TenorBasis1M,S437,InterestRatesTrigger)</f>
        <v>1.3309741422805248E-5</v>
      </c>
      <c r="AB437" s="74">
        <f t="shared" si="34"/>
        <v>1.4889364804160237E-2</v>
      </c>
      <c r="AC437" s="76">
        <f t="shared" si="35"/>
        <v>0.99897448773061381</v>
      </c>
    </row>
    <row r="438" spans="16:29" x14ac:dyDescent="0.2">
      <c r="P438" s="33">
        <v>1</v>
      </c>
      <c r="Q438" s="27" t="str">
        <f>_xll.qlPeriodEquivalent(Q437&amp;"+"&amp;P438&amp;"M")</f>
        <v>36Y3M</v>
      </c>
      <c r="R438" s="28">
        <f>_xll.qlCalendarAdvance(Calendar,SettlementDate,Q438,"f",,Trigger)</f>
        <v>55520</v>
      </c>
      <c r="S438" s="28">
        <f>_xll.qlInterestRateIndexValueDate(Index,R438,Trigger)</f>
        <v>55522</v>
      </c>
      <c r="T438" s="28">
        <f>_xll.qlInterestRateIndexMaturity(Index,S438,Trigger)</f>
        <v>55554</v>
      </c>
      <c r="U438" s="30">
        <f>_xll.qlIndexFixing($M$5,R438,TRUE,InterestRatesTrigger)</f>
        <v>1.4853168199854827E-2</v>
      </c>
      <c r="V438" s="74">
        <f>_xll.qlIndexFixing(Index,R438,TRUE,InterestRatesTrigger)</f>
        <v>1.4886797400344154E-2</v>
      </c>
      <c r="W438" s="30">
        <f t="shared" si="33"/>
        <v>3.3629200489326827E-5</v>
      </c>
      <c r="X438" s="29">
        <f>_xll.qlDayCounterYearFraction(DayCounter,SettlementDate,S438,,,Trigger)</f>
        <v>36.786111111111111</v>
      </c>
      <c r="Y438" s="29">
        <f>_xll.qlDayCounterYearFraction(DayCounter,S438,T438)</f>
        <v>8.8888888888888892E-2</v>
      </c>
      <c r="Z438" s="29">
        <f>IF($M$13,_xll.qlYieldTSDiscount(Currency&amp;"ON",S438)/(1+V438*Y438),1)</f>
        <v>1</v>
      </c>
      <c r="AA438" s="30">
        <f>_xll.qlTenorBasisValue(TenorBasis1M,S438,InterestRatesTrigger)</f>
        <v>1.315324729200325E-5</v>
      </c>
      <c r="AB438" s="74">
        <f t="shared" si="34"/>
        <v>1.486632144714683E-2</v>
      </c>
      <c r="AC438" s="76">
        <f t="shared" si="35"/>
        <v>0.99862455619925006</v>
      </c>
    </row>
    <row r="439" spans="16:29" x14ac:dyDescent="0.2">
      <c r="P439" s="33">
        <v>1</v>
      </c>
      <c r="Q439" s="27" t="str">
        <f>_xll.qlPeriodEquivalent(Q438&amp;"+"&amp;P439&amp;"M")</f>
        <v>36Y4M</v>
      </c>
      <c r="R439" s="28">
        <f>_xll.qlCalendarAdvance(Calendar,SettlementDate,Q439,"f",,Trigger)</f>
        <v>55551</v>
      </c>
      <c r="S439" s="28">
        <f>_xll.qlInterestRateIndexValueDate(Index,R439,Trigger)</f>
        <v>55555</v>
      </c>
      <c r="T439" s="28">
        <f>_xll.qlInterestRateIndexMaturity(Index,S439,Trigger)</f>
        <v>55584</v>
      </c>
      <c r="U439" s="30">
        <f>_xll.qlIndexFixing($M$5,R439,TRUE,InterestRatesTrigger)</f>
        <v>1.4826663504499968E-2</v>
      </c>
      <c r="V439" s="74">
        <f>_xll.qlIndexFixing(Index,R439,TRUE,InterestRatesTrigger)</f>
        <v>1.4865830859668801E-2</v>
      </c>
      <c r="W439" s="30">
        <f t="shared" si="33"/>
        <v>3.9167355168833254E-5</v>
      </c>
      <c r="X439" s="29">
        <f>_xll.qlDayCounterYearFraction(DayCounter,SettlementDate,S439,,,Trigger)</f>
        <v>36.87777777777778</v>
      </c>
      <c r="Y439" s="29">
        <f>_xll.qlDayCounterYearFraction(DayCounter,S439,T439)</f>
        <v>8.0555555555555561E-2</v>
      </c>
      <c r="Z439" s="29">
        <f>IF($M$13,_xll.qlYieldTSDiscount(Currency&amp;"ON",S439)/(1+V439*Y439),1)</f>
        <v>1</v>
      </c>
      <c r="AA439" s="30">
        <f>_xll.qlTenorBasisValue(TenorBasis1M,S439,InterestRatesTrigger)</f>
        <v>1.2977335127034982E-5</v>
      </c>
      <c r="AB439" s="74">
        <f t="shared" si="34"/>
        <v>1.4839640839627003E-2</v>
      </c>
      <c r="AC439" s="76">
        <f t="shared" si="35"/>
        <v>0.99823824041259257</v>
      </c>
    </row>
    <row r="440" spans="16:29" x14ac:dyDescent="0.2">
      <c r="P440" s="33">
        <v>1</v>
      </c>
      <c r="Q440" s="27" t="str">
        <f>_xll.qlPeriodEquivalent(Q439&amp;"+"&amp;P440&amp;"M")</f>
        <v>36Y5M</v>
      </c>
      <c r="R440" s="28">
        <f>_xll.qlCalendarAdvance(Calendar,SettlementDate,Q440,"f",,Trigger)</f>
        <v>55582</v>
      </c>
      <c r="S440" s="28">
        <f>_xll.qlInterestRateIndexValueDate(Index,R440,Trigger)</f>
        <v>55584</v>
      </c>
      <c r="T440" s="28">
        <f>_xll.qlInterestRateIndexMaturity(Index,S440,Trigger)</f>
        <v>55617</v>
      </c>
      <c r="U440" s="30">
        <f>_xll.qlIndexFixing($M$5,R440,TRUE,InterestRatesTrigger)</f>
        <v>1.4802036713227228E-2</v>
      </c>
      <c r="V440" s="74">
        <f>_xll.qlIndexFixing(Index,R440,TRUE,InterestRatesTrigger)</f>
        <v>1.4846636890606392E-2</v>
      </c>
      <c r="W440" s="30">
        <f t="shared" si="33"/>
        <v>4.4600177379163983E-5</v>
      </c>
      <c r="X440" s="29">
        <f>_xll.qlDayCounterYearFraction(DayCounter,SettlementDate,S440,,,Trigger)</f>
        <v>36.958333333333336</v>
      </c>
      <c r="Y440" s="29">
        <f>_xll.qlDayCounterYearFraction(DayCounter,S440,T440)</f>
        <v>9.166666666666666E-2</v>
      </c>
      <c r="Z440" s="29">
        <f>IF($M$13,_xll.qlYieldTSDiscount(Currency&amp;"ON",S440)/(1+V440*Y440),1)</f>
        <v>1</v>
      </c>
      <c r="AA440" s="30">
        <f>_xll.qlTenorBasisValue(TenorBasis1M,S440,InterestRatesTrigger)</f>
        <v>1.2824628655141549E-5</v>
      </c>
      <c r="AB440" s="74">
        <f t="shared" si="34"/>
        <v>1.481486134188237E-2</v>
      </c>
      <c r="AC440" s="76">
        <f t="shared" si="35"/>
        <v>0.99785974770191044</v>
      </c>
    </row>
    <row r="441" spans="16:29" x14ac:dyDescent="0.2">
      <c r="P441" s="33">
        <v>1</v>
      </c>
      <c r="Q441" s="27" t="str">
        <f>_xll.qlPeriodEquivalent(Q440&amp;"+"&amp;P441&amp;"M")</f>
        <v>36Y6M</v>
      </c>
      <c r="R441" s="28">
        <f>_xll.qlCalendarAdvance(Calendar,SettlementDate,Q441,"f",,Trigger)</f>
        <v>55611</v>
      </c>
      <c r="S441" s="28">
        <f>_xll.qlInterestRateIndexValueDate(Index,R441,Trigger)</f>
        <v>55613</v>
      </c>
      <c r="T441" s="28">
        <f>_xll.qlInterestRateIndexMaturity(Index,S441,Trigger)</f>
        <v>55645</v>
      </c>
      <c r="U441" s="30">
        <f>_xll.qlIndexFixing($M$5,R441,TRUE,InterestRatesTrigger)</f>
        <v>1.4777408198747288E-2</v>
      </c>
      <c r="V441" s="74">
        <f>_xll.qlIndexFixing(Index,R441,TRUE,InterestRatesTrigger)</f>
        <v>1.4826966499720262E-2</v>
      </c>
      <c r="W441" s="30">
        <f t="shared" si="33"/>
        <v>4.9558300972973868E-5</v>
      </c>
      <c r="X441" s="29">
        <f>_xll.qlDayCounterYearFraction(DayCounter,SettlementDate,S441,,,Trigger)</f>
        <v>37.038888888888891</v>
      </c>
      <c r="Y441" s="29">
        <f>_xll.qlDayCounterYearFraction(DayCounter,S441,T441)</f>
        <v>8.8888888888888892E-2</v>
      </c>
      <c r="Z441" s="29">
        <f>IF($M$13,_xll.qlYieldTSDiscount(Currency&amp;"ON",S441)/(1+V441*Y441),1)</f>
        <v>1</v>
      </c>
      <c r="AA441" s="30">
        <f>_xll.qlTenorBasisValue(TenorBasis1M,S441,InterestRatesTrigger)</f>
        <v>1.2673663666492053E-5</v>
      </c>
      <c r="AB441" s="74">
        <f t="shared" si="34"/>
        <v>1.4790081862413781E-2</v>
      </c>
      <c r="AC441" s="76">
        <f t="shared" si="35"/>
        <v>0.99751232746717433</v>
      </c>
    </row>
    <row r="442" spans="16:29" x14ac:dyDescent="0.2">
      <c r="P442" s="33">
        <v>1</v>
      </c>
      <c r="Q442" s="27" t="str">
        <f>_xll.qlPeriodEquivalent(Q441&amp;"+"&amp;P442&amp;"M")</f>
        <v>36Y7M</v>
      </c>
      <c r="R442" s="28">
        <f>_xll.qlCalendarAdvance(Calendar,SettlementDate,Q442,"f",,Trigger)</f>
        <v>55641</v>
      </c>
      <c r="S442" s="28">
        <f>_xll.qlInterestRateIndexValueDate(Index,R442,Trigger)</f>
        <v>55645</v>
      </c>
      <c r="T442" s="28">
        <f>_xll.qlInterestRateIndexMaturity(Index,S442,Trigger)</f>
        <v>55676</v>
      </c>
      <c r="U442" s="30">
        <f>_xll.qlIndexFixing($M$5,R442,TRUE,InterestRatesTrigger)</f>
        <v>1.4749585401113744E-2</v>
      </c>
      <c r="V442" s="74">
        <f>_xll.qlIndexFixing(Index,R442,TRUE,InterestRatesTrigger)</f>
        <v>1.480458656817971E-2</v>
      </c>
      <c r="W442" s="30">
        <f t="shared" si="33"/>
        <v>5.5001167065965931E-5</v>
      </c>
      <c r="X442" s="29">
        <f>_xll.qlDayCounterYearFraction(DayCounter,SettlementDate,S442,,,Trigger)</f>
        <v>37.12777777777778</v>
      </c>
      <c r="Y442" s="29">
        <f>_xll.qlDayCounterYearFraction(DayCounter,S442,T442)</f>
        <v>8.611111111111111E-2</v>
      </c>
      <c r="Z442" s="29">
        <f>IF($M$13,_xll.qlYieldTSDiscount(Currency&amp;"ON",S442)/(1+V442*Y442),1)</f>
        <v>1</v>
      </c>
      <c r="AA442" s="30">
        <f>_xll.qlTenorBasisValue(TenorBasis1M,S442,InterestRatesTrigger)</f>
        <v>1.2509079887314066E-5</v>
      </c>
      <c r="AB442" s="74">
        <f t="shared" si="34"/>
        <v>1.4762094481001058E-2</v>
      </c>
      <c r="AC442" s="76">
        <f t="shared" si="35"/>
        <v>0.99712980251201466</v>
      </c>
    </row>
    <row r="443" spans="16:29" x14ac:dyDescent="0.2">
      <c r="P443" s="33">
        <v>1</v>
      </c>
      <c r="Q443" s="27" t="str">
        <f>_xll.qlPeriodEquivalent(Q442&amp;"+"&amp;P443&amp;"M")</f>
        <v>36Y8M</v>
      </c>
      <c r="R443" s="28">
        <f>_xll.qlCalendarAdvance(Calendar,SettlementDate,Q443,"f",,Trigger)</f>
        <v>55673</v>
      </c>
      <c r="S443" s="28">
        <f>_xll.qlInterestRateIndexValueDate(Index,R443,Trigger)</f>
        <v>55675</v>
      </c>
      <c r="T443" s="28">
        <f>_xll.qlInterestRateIndexMaturity(Index,S443,Trigger)</f>
        <v>55705</v>
      </c>
      <c r="U443" s="30">
        <f>_xll.qlIndexFixing($M$5,R443,TRUE,InterestRatesTrigger)</f>
        <v>1.4722906908493094E-2</v>
      </c>
      <c r="V443" s="74">
        <f>_xll.qlIndexFixing(Index,R443,TRUE,InterestRatesTrigger)</f>
        <v>1.4782965300613959E-2</v>
      </c>
      <c r="W443" s="30">
        <f t="shared" si="33"/>
        <v>6.0058392120865278E-5</v>
      </c>
      <c r="X443" s="29">
        <f>_xll.qlDayCounterYearFraction(DayCounter,SettlementDate,S443,,,Trigger)</f>
        <v>37.211111111111109</v>
      </c>
      <c r="Y443" s="29">
        <f>_xll.qlDayCounterYearFraction(DayCounter,S443,T443)</f>
        <v>8.3333333333333329E-2</v>
      </c>
      <c r="Z443" s="29">
        <f>IF($M$13,_xll.qlYieldTSDiscount(Currency&amp;"ON",S443)/(1+V443*Y443),1)</f>
        <v>1</v>
      </c>
      <c r="AA443" s="30">
        <f>_xll.qlTenorBasisValue(TenorBasis1M,S443,InterestRatesTrigger)</f>
        <v>1.2356664996360063E-5</v>
      </c>
      <c r="AB443" s="74">
        <f t="shared" si="34"/>
        <v>1.4735263573489454E-2</v>
      </c>
      <c r="AC443" s="76">
        <f t="shared" si="35"/>
        <v>0.99677319630030359</v>
      </c>
    </row>
    <row r="444" spans="16:29" x14ac:dyDescent="0.2">
      <c r="P444" s="33">
        <v>1</v>
      </c>
      <c r="Q444" s="27" t="str">
        <f>_xll.qlPeriodEquivalent(Q443&amp;"+"&amp;P444&amp;"M")</f>
        <v>36Y9M</v>
      </c>
      <c r="R444" s="28">
        <f>_xll.qlCalendarAdvance(Calendar,SettlementDate,Q444,"f",,Trigger)</f>
        <v>55702</v>
      </c>
      <c r="S444" s="28">
        <f>_xll.qlInterestRateIndexValueDate(Index,R444,Trigger)</f>
        <v>55704</v>
      </c>
      <c r="T444" s="28">
        <f>_xll.qlInterestRateIndexMaturity(Index,S444,Trigger)</f>
        <v>55736</v>
      </c>
      <c r="U444" s="30">
        <f>_xll.qlIndexFixing($M$5,R444,TRUE,InterestRatesTrigger)</f>
        <v>1.4696077474729285E-2</v>
      </c>
      <c r="V444" s="74">
        <f>_xll.qlIndexFixing(Index,R444,TRUE,InterestRatesTrigger)</f>
        <v>1.4761242426214183E-2</v>
      </c>
      <c r="W444" s="30">
        <f t="shared" si="33"/>
        <v>6.5164951484897315E-5</v>
      </c>
      <c r="X444" s="29">
        <f>_xll.qlDayCounterYearFraction(DayCounter,SettlementDate,S444,,,Trigger)</f>
        <v>37.291666666666664</v>
      </c>
      <c r="Y444" s="29">
        <f>_xll.qlDayCounterYearFraction(DayCounter,S444,T444)</f>
        <v>8.8888888888888892E-2</v>
      </c>
      <c r="Z444" s="29">
        <f>IF($M$13,_xll.qlYieldTSDiscount(Currency&amp;"ON",S444)/(1+V444*Y444),1)</f>
        <v>1</v>
      </c>
      <c r="AA444" s="30">
        <f>_xll.qlTenorBasisValue(TenorBasis1M,S444,InterestRatesTrigger)</f>
        <v>1.2211042461499747E-5</v>
      </c>
      <c r="AB444" s="74">
        <f t="shared" si="34"/>
        <v>1.4708288517190785E-2</v>
      </c>
      <c r="AC444" s="76">
        <f t="shared" si="35"/>
        <v>0.9964126387539467</v>
      </c>
    </row>
    <row r="445" spans="16:29" x14ac:dyDescent="0.2">
      <c r="P445" s="33">
        <v>1</v>
      </c>
      <c r="Q445" s="27" t="str">
        <f>_xll.qlPeriodEquivalent(Q444&amp;"+"&amp;P445&amp;"M")</f>
        <v>36Y10M</v>
      </c>
      <c r="R445" s="28">
        <f>_xll.qlCalendarAdvance(Calendar,SettlementDate,Q445,"f",,Trigger)</f>
        <v>55733</v>
      </c>
      <c r="S445" s="28">
        <f>_xll.qlInterestRateIndexValueDate(Index,R445,Trigger)</f>
        <v>55737</v>
      </c>
      <c r="T445" s="28">
        <f>_xll.qlInterestRateIndexMaturity(Index,S445,Trigger)</f>
        <v>55768</v>
      </c>
      <c r="U445" s="30">
        <f>_xll.qlIndexFixing($M$5,R445,TRUE,InterestRatesTrigger)</f>
        <v>1.4665383937121535E-2</v>
      </c>
      <c r="V445" s="74">
        <f>_xll.qlIndexFixing(Index,R445,TRUE,InterestRatesTrigger)</f>
        <v>1.4736018516847407E-2</v>
      </c>
      <c r="W445" s="30">
        <f t="shared" si="33"/>
        <v>7.0634579725871449E-5</v>
      </c>
      <c r="X445" s="29">
        <f>_xll.qlDayCounterYearFraction(DayCounter,SettlementDate,S445,,,Trigger)</f>
        <v>37.383333333333333</v>
      </c>
      <c r="Y445" s="29">
        <f>_xll.qlDayCounterYearFraction(DayCounter,S445,T445)</f>
        <v>8.611111111111111E-2</v>
      </c>
      <c r="Z445" s="29">
        <f>IF($M$13,_xll.qlYieldTSDiscount(Currency&amp;"ON",S445)/(1+V445*Y445),1)</f>
        <v>1</v>
      </c>
      <c r="AA445" s="30">
        <f>_xll.qlTenorBasisValue(TenorBasis1M,S445,InterestRatesTrigger)</f>
        <v>1.2047357472276157E-5</v>
      </c>
      <c r="AB445" s="74">
        <f t="shared" si="34"/>
        <v>1.4677431294593812E-2</v>
      </c>
      <c r="AC445" s="76">
        <f t="shared" si="35"/>
        <v>0.99602421629786819</v>
      </c>
    </row>
    <row r="446" spans="16:29" x14ac:dyDescent="0.2">
      <c r="P446" s="33">
        <v>1</v>
      </c>
      <c r="Q446" s="27" t="str">
        <f>_xll.qlPeriodEquivalent(Q445&amp;"+"&amp;P446&amp;"M")</f>
        <v>36Y11M</v>
      </c>
      <c r="R446" s="28">
        <f>_xll.qlCalendarAdvance(Calendar,SettlementDate,Q446,"f",,Trigger)</f>
        <v>55764</v>
      </c>
      <c r="S446" s="28">
        <f>_xll.qlInterestRateIndexValueDate(Index,R446,Trigger)</f>
        <v>55766</v>
      </c>
      <c r="T446" s="28">
        <f>_xll.qlInterestRateIndexMaturity(Index,S446,Trigger)</f>
        <v>55796</v>
      </c>
      <c r="U446" s="30">
        <f>_xll.qlIndexFixing($M$5,R446,TRUE,InterestRatesTrigger)</f>
        <v>1.4637848963813482E-2</v>
      </c>
      <c r="V446" s="74">
        <f>_xll.qlIndexFixing(Index,R446,TRUE,InterestRatesTrigger)</f>
        <v>1.4713228200162298E-2</v>
      </c>
      <c r="W446" s="30">
        <f t="shared" si="33"/>
        <v>7.5379236348815937E-5</v>
      </c>
      <c r="X446" s="29">
        <f>_xll.qlDayCounterYearFraction(DayCounter,SettlementDate,S446,,,Trigger)</f>
        <v>37.463888888888889</v>
      </c>
      <c r="Y446" s="29">
        <f>_xll.qlDayCounterYearFraction(DayCounter,S446,T446)</f>
        <v>8.3333333333333329E-2</v>
      </c>
      <c r="Z446" s="29">
        <f>IF($M$13,_xll.qlYieldTSDiscount(Currency&amp;"ON",S446)/(1+V446*Y446),1)</f>
        <v>1</v>
      </c>
      <c r="AA446" s="30">
        <f>_xll.qlTenorBasisValue(TenorBasis1M,S446,InterestRatesTrigger)</f>
        <v>1.1905270927643657E-5</v>
      </c>
      <c r="AB446" s="74">
        <f t="shared" si="34"/>
        <v>1.4649754234741127E-2</v>
      </c>
      <c r="AC446" s="76">
        <f t="shared" si="35"/>
        <v>0.99568592530764455</v>
      </c>
    </row>
    <row r="447" spans="16:29" x14ac:dyDescent="0.2">
      <c r="P447" s="33">
        <v>1</v>
      </c>
      <c r="Q447" s="27" t="str">
        <f>_xll.qlPeriodEquivalent(Q446&amp;"+"&amp;P447&amp;"M")</f>
        <v>37Y</v>
      </c>
      <c r="R447" s="28">
        <f>_xll.qlCalendarAdvance(Calendar,SettlementDate,Q447,"f",,Trigger)</f>
        <v>55794</v>
      </c>
      <c r="S447" s="28">
        <f>_xll.qlInterestRateIndexValueDate(Index,R447,Trigger)</f>
        <v>55796</v>
      </c>
      <c r="T447" s="28">
        <f>_xll.qlInterestRateIndexMaturity(Index,S447,Trigger)</f>
        <v>55827</v>
      </c>
      <c r="U447" s="30">
        <f>_xll.qlIndexFixing($M$5,R447,TRUE,InterestRatesTrigger)</f>
        <v>1.460838877130107E-2</v>
      </c>
      <c r="V447" s="74">
        <f>_xll.qlIndexFixing(Index,R447,TRUE,InterestRatesTrigger)</f>
        <v>1.468879430677209E-2</v>
      </c>
      <c r="W447" s="30">
        <f t="shared" si="33"/>
        <v>8.0405535471020362E-5</v>
      </c>
      <c r="X447" s="29">
        <f>_xll.qlDayCounterYearFraction(DayCounter,SettlementDate,S447,,,Trigger)</f>
        <v>37.547222222222224</v>
      </c>
      <c r="Y447" s="29">
        <f>_xll.qlDayCounterYearFraction(DayCounter,S447,T447)</f>
        <v>8.611111111111111E-2</v>
      </c>
      <c r="Z447" s="29">
        <f>IF($M$13,_xll.qlYieldTSDiscount(Currency&amp;"ON",S447)/(1+V447*Y447),1)</f>
        <v>1</v>
      </c>
      <c r="AA447" s="30">
        <f>_xll.qlTenorBasisValue(TenorBasis1M,S447,InterestRatesTrigger)</f>
        <v>1.1759995312172411E-5</v>
      </c>
      <c r="AB447" s="74">
        <f t="shared" si="34"/>
        <v>1.4620148766613243E-2</v>
      </c>
      <c r="AC447" s="76">
        <f t="shared" si="35"/>
        <v>0.99532667292323651</v>
      </c>
    </row>
    <row r="448" spans="16:29" x14ac:dyDescent="0.2">
      <c r="P448" s="33">
        <v>1</v>
      </c>
      <c r="Q448" s="27" t="str">
        <f>_xll.qlPeriodEquivalent(Q447&amp;"+"&amp;P448&amp;"M")</f>
        <v>37Y1M</v>
      </c>
      <c r="R448" s="28">
        <f>_xll.qlCalendarAdvance(Calendar,SettlementDate,Q448,"f",,Trigger)</f>
        <v>55827</v>
      </c>
      <c r="S448" s="28">
        <f>_xll.qlInterestRateIndexValueDate(Index,R448,Trigger)</f>
        <v>55829</v>
      </c>
      <c r="T448" s="28">
        <f>_xll.qlInterestRateIndexMaturity(Index,S448,Trigger)</f>
        <v>55859</v>
      </c>
      <c r="U448" s="30">
        <f>_xll.qlIndexFixing($M$5,R448,TRUE,InterestRatesTrigger)</f>
        <v>1.4575699724980851E-2</v>
      </c>
      <c r="V448" s="74">
        <f>_xll.qlIndexFixing(Index,R448,TRUE,InterestRatesTrigger)</f>
        <v>1.4661384451646775E-2</v>
      </c>
      <c r="W448" s="30">
        <f t="shared" si="33"/>
        <v>8.5684726665924416E-5</v>
      </c>
      <c r="X448" s="29">
        <f>_xll.qlDayCounterYearFraction(DayCounter,SettlementDate,S448,,,Trigger)</f>
        <v>37.638888888888886</v>
      </c>
      <c r="Y448" s="29">
        <f>_xll.qlDayCounterYearFraction(DayCounter,S448,T448)</f>
        <v>8.3333333333333329E-2</v>
      </c>
      <c r="Z448" s="29">
        <f>IF($M$13,_xll.qlYieldTSDiscount(Currency&amp;"ON",S448)/(1+V448*Y448),1)</f>
        <v>1</v>
      </c>
      <c r="AA448" s="30">
        <f>_xll.qlTenorBasisValue(TenorBasis1M,S448,InterestRatesTrigger)</f>
        <v>1.1602177972511421E-5</v>
      </c>
      <c r="AB448" s="74">
        <f t="shared" si="34"/>
        <v>1.4587301902953362E-2</v>
      </c>
      <c r="AC448" s="76">
        <f t="shared" si="35"/>
        <v>0.99494709732646758</v>
      </c>
    </row>
    <row r="449" spans="16:29" x14ac:dyDescent="0.2">
      <c r="P449" s="33">
        <v>1</v>
      </c>
      <c r="Q449" s="27" t="str">
        <f>_xll.qlPeriodEquivalent(Q448&amp;"+"&amp;P449&amp;"M")</f>
        <v>37Y2M</v>
      </c>
      <c r="R449" s="28">
        <f>_xll.qlCalendarAdvance(Calendar,SettlementDate,Q449,"f",,Trigger)</f>
        <v>55855</v>
      </c>
      <c r="S449" s="28">
        <f>_xll.qlInterestRateIndexValueDate(Index,R449,Trigger)</f>
        <v>55857</v>
      </c>
      <c r="T449" s="28">
        <f>_xll.qlInterestRateIndexMaturity(Index,S449,Trigger)</f>
        <v>55890</v>
      </c>
      <c r="U449" s="30">
        <f>_xll.qlIndexFixing($M$5,R449,TRUE,InterestRatesTrigger)</f>
        <v>1.4546556331233132E-2</v>
      </c>
      <c r="V449" s="74">
        <f>_xll.qlIndexFixing(Index,R449,TRUE,InterestRatesTrigger)</f>
        <v>1.4636978733831348E-2</v>
      </c>
      <c r="W449" s="30">
        <f t="shared" si="33"/>
        <v>9.0422402598216642E-5</v>
      </c>
      <c r="X449" s="29">
        <f>_xll.qlDayCounterYearFraction(DayCounter,SettlementDate,S449,,,Trigger)</f>
        <v>37.716666666666669</v>
      </c>
      <c r="Y449" s="29">
        <f>_xll.qlDayCounterYearFraction(DayCounter,S449,T449)</f>
        <v>9.166666666666666E-2</v>
      </c>
      <c r="Z449" s="29">
        <f>IF($M$13,_xll.qlYieldTSDiscount(Currency&amp;"ON",S449)/(1+V449*Y449),1)</f>
        <v>1</v>
      </c>
      <c r="AA449" s="30">
        <f>_xll.qlTenorBasisValue(TenorBasis1M,S449,InterestRatesTrigger)</f>
        <v>1.1469885131287853E-5</v>
      </c>
      <c r="AB449" s="74">
        <f t="shared" si="34"/>
        <v>1.4558026216364419E-2</v>
      </c>
      <c r="AC449" s="76">
        <f t="shared" si="35"/>
        <v>0.99460595530657969</v>
      </c>
    </row>
    <row r="450" spans="16:29" x14ac:dyDescent="0.2">
      <c r="P450" s="33">
        <v>1</v>
      </c>
      <c r="Q450" s="27" t="str">
        <f>_xll.qlPeriodEquivalent(Q449&amp;"+"&amp;P450&amp;"M")</f>
        <v>37Y3M</v>
      </c>
      <c r="R450" s="28">
        <f>_xll.qlCalendarAdvance(Calendar,SettlementDate,Q450,"f",,Trigger)</f>
        <v>55886</v>
      </c>
      <c r="S450" s="28">
        <f>_xll.qlInterestRateIndexValueDate(Index,R450,Trigger)</f>
        <v>55890</v>
      </c>
      <c r="T450" s="28">
        <f>_xll.qlInterestRateIndexMaturity(Index,S450,Trigger)</f>
        <v>55921</v>
      </c>
      <c r="U450" s="30">
        <f>_xll.qlIndexFixing($M$5,R450,TRUE,InterestRatesTrigger)</f>
        <v>1.4512745854769919E-2</v>
      </c>
      <c r="V450" s="74">
        <f>_xll.qlIndexFixing(Index,R450,TRUE,InterestRatesTrigger)</f>
        <v>1.4608211951740786E-2</v>
      </c>
      <c r="W450" s="30">
        <f t="shared" si="33"/>
        <v>9.5466096970867748E-5</v>
      </c>
      <c r="X450" s="29">
        <f>_xll.qlDayCounterYearFraction(DayCounter,SettlementDate,S450,,,Trigger)</f>
        <v>37.80833333333333</v>
      </c>
      <c r="Y450" s="29">
        <f>_xll.qlDayCounterYearFraction(DayCounter,S450,T450)</f>
        <v>8.611111111111111E-2</v>
      </c>
      <c r="Z450" s="29">
        <f>IF($M$13,_xll.qlYieldTSDiscount(Currency&amp;"ON",S450)/(1+V450*Y450),1)</f>
        <v>1</v>
      </c>
      <c r="AA450" s="30">
        <f>_xll.qlTenorBasisValue(TenorBasis1M,S450,InterestRatesTrigger)</f>
        <v>1.1315846848888488E-5</v>
      </c>
      <c r="AB450" s="74">
        <f t="shared" si="34"/>
        <v>1.4524061701618808E-2</v>
      </c>
      <c r="AC450" s="76">
        <f t="shared" si="35"/>
        <v>0.99423952428949047</v>
      </c>
    </row>
    <row r="451" spans="16:29" x14ac:dyDescent="0.2">
      <c r="P451" s="33">
        <v>1</v>
      </c>
      <c r="Q451" s="27" t="str">
        <f>_xll.qlPeriodEquivalent(Q450&amp;"+"&amp;P451&amp;"M")</f>
        <v>37Y4M</v>
      </c>
      <c r="R451" s="28">
        <f>_xll.qlCalendarAdvance(Calendar,SettlementDate,Q451,"f",,Trigger)</f>
        <v>55918</v>
      </c>
      <c r="S451" s="28">
        <f>_xll.qlInterestRateIndexValueDate(Index,R451,Trigger)</f>
        <v>55920</v>
      </c>
      <c r="T451" s="28">
        <f>_xll.qlInterestRateIndexMaturity(Index,S451,Trigger)</f>
        <v>55948</v>
      </c>
      <c r="U451" s="30">
        <f>_xll.qlIndexFixing($M$5,R451,TRUE,InterestRatesTrigger)</f>
        <v>1.4481704974123679E-2</v>
      </c>
      <c r="V451" s="74">
        <f>_xll.qlIndexFixing(Index,R451,TRUE,InterestRatesTrigger)</f>
        <v>1.4581585711358955E-2</v>
      </c>
      <c r="W451" s="30">
        <f t="shared" si="33"/>
        <v>9.9880737235276407E-5</v>
      </c>
      <c r="X451" s="29">
        <f>_xll.qlDayCounterYearFraction(DayCounter,SettlementDate,S451,,,Trigger)</f>
        <v>37.891666666666666</v>
      </c>
      <c r="Y451" s="29">
        <f>_xll.qlDayCounterYearFraction(DayCounter,S451,T451)</f>
        <v>7.7777777777777779E-2</v>
      </c>
      <c r="Z451" s="29">
        <f>IF($M$13,_xll.qlYieldTSDiscount(Currency&amp;"ON",S451)/(1+V451*Y451),1)</f>
        <v>1</v>
      </c>
      <c r="AA451" s="30">
        <f>_xll.qlTenorBasisValue(TenorBasis1M,S451,InterestRatesTrigger)</f>
        <v>1.1177555334275862E-5</v>
      </c>
      <c r="AB451" s="74">
        <f t="shared" si="34"/>
        <v>1.4492882529457955E-2</v>
      </c>
      <c r="AC451" s="76">
        <f t="shared" si="35"/>
        <v>0.99391676710222943</v>
      </c>
    </row>
    <row r="452" spans="16:29" x14ac:dyDescent="0.2">
      <c r="P452" s="33">
        <v>1</v>
      </c>
      <c r="Q452" s="27" t="str">
        <f>_xll.qlPeriodEquivalent(Q451&amp;"+"&amp;P452&amp;"M")</f>
        <v>37Y5M</v>
      </c>
      <c r="R452" s="28">
        <f>_xll.qlCalendarAdvance(Calendar,SettlementDate,Q452,"f",,Trigger)</f>
        <v>55946</v>
      </c>
      <c r="S452" s="28">
        <f>_xll.qlInterestRateIndexValueDate(Index,R452,Trigger)</f>
        <v>55948</v>
      </c>
      <c r="T452" s="28">
        <f>_xll.qlInterestRateIndexMaturity(Index,S452,Trigger)</f>
        <v>55982</v>
      </c>
      <c r="U452" s="30">
        <f>_xll.qlIndexFixing($M$5,R452,TRUE,InterestRatesTrigger)</f>
        <v>1.4449998333330293E-2</v>
      </c>
      <c r="V452" s="74">
        <f>_xll.qlIndexFixing(Index,R452,TRUE,InterestRatesTrigger)</f>
        <v>1.4554635003834962E-2</v>
      </c>
      <c r="W452" s="30">
        <f t="shared" si="33"/>
        <v>1.0463667050466911E-4</v>
      </c>
      <c r="X452" s="29">
        <f>_xll.qlDayCounterYearFraction(DayCounter,SettlementDate,S452,,,Trigger)</f>
        <v>37.969444444444441</v>
      </c>
      <c r="Y452" s="29">
        <f>_xll.qlDayCounterYearFraction(DayCounter,S452,T452)</f>
        <v>9.4444444444444442E-2</v>
      </c>
      <c r="Z452" s="29">
        <f>IF($M$13,_xll.qlYieldTSDiscount(Currency&amp;"ON",S452)/(1+V452*Y452),1)</f>
        <v>1</v>
      </c>
      <c r="AA452" s="30">
        <f>_xll.qlTenorBasisValue(TenorBasis1M,S452,InterestRatesTrigger)</f>
        <v>1.1049963993898269E-5</v>
      </c>
      <c r="AB452" s="74">
        <f t="shared" si="34"/>
        <v>1.446104829732419E-2</v>
      </c>
      <c r="AC452" s="76">
        <f t="shared" si="35"/>
        <v>0.99356997228126209</v>
      </c>
    </row>
    <row r="453" spans="16:29" x14ac:dyDescent="0.2">
      <c r="P453" s="33">
        <v>1</v>
      </c>
      <c r="Q453" s="27" t="str">
        <f>_xll.qlPeriodEquivalent(Q452&amp;"+"&amp;P453&amp;"M")</f>
        <v>37Y6M</v>
      </c>
      <c r="R453" s="28">
        <f>_xll.qlCalendarAdvance(Calendar,SettlementDate,Q453,"f",,Trigger)</f>
        <v>55976</v>
      </c>
      <c r="S453" s="28">
        <f>_xll.qlInterestRateIndexValueDate(Index,R453,Trigger)</f>
        <v>55982</v>
      </c>
      <c r="T453" s="28">
        <f>_xll.qlInterestRateIndexMaturity(Index,S453,Trigger)</f>
        <v>56012</v>
      </c>
      <c r="U453" s="30">
        <f>_xll.qlIndexFixing($M$5,R453,TRUE,InterestRatesTrigger)</f>
        <v>1.4413651463552668E-2</v>
      </c>
      <c r="V453" s="74">
        <f>_xll.qlIndexFixing(Index,R453,TRUE,InterestRatesTrigger)</f>
        <v>1.4523063098808464E-2</v>
      </c>
      <c r="W453" s="30">
        <f t="shared" si="33"/>
        <v>1.0941163525579611E-4</v>
      </c>
      <c r="X453" s="29">
        <f>_xll.qlDayCounterYearFraction(DayCounter,SettlementDate,S453,,,Trigger)</f>
        <v>38.06388888888889</v>
      </c>
      <c r="Y453" s="29">
        <f>_xll.qlDayCounterYearFraction(DayCounter,S453,T453)</f>
        <v>8.3333333333333329E-2</v>
      </c>
      <c r="Z453" s="29">
        <f>IF($M$13,_xll.qlYieldTSDiscount(Currency&amp;"ON",S453)/(1+V453*Y453),1)</f>
        <v>1</v>
      </c>
      <c r="AA453" s="30">
        <f>_xll.qlTenorBasisValue(TenorBasis1M,S453,InterestRatesTrigger)</f>
        <v>1.0896931378656039E-5</v>
      </c>
      <c r="AB453" s="74">
        <f t="shared" si="34"/>
        <v>1.4424548394931324E-2</v>
      </c>
      <c r="AC453" s="76">
        <f t="shared" si="35"/>
        <v>0.99321667177186457</v>
      </c>
    </row>
    <row r="454" spans="16:29" x14ac:dyDescent="0.2">
      <c r="P454" s="33">
        <v>1</v>
      </c>
      <c r="Q454" s="27" t="str">
        <f>_xll.qlPeriodEquivalent(Q453&amp;"+"&amp;P454&amp;"M")</f>
        <v>37Y7M</v>
      </c>
      <c r="R454" s="28">
        <f>_xll.qlCalendarAdvance(Calendar,SettlementDate,Q454,"f",,Trigger)</f>
        <v>56006</v>
      </c>
      <c r="S454" s="28">
        <f>_xll.qlInterestRateIndexValueDate(Index,R454,Trigger)</f>
        <v>56010</v>
      </c>
      <c r="T454" s="28">
        <f>_xll.qlInterestRateIndexMaturity(Index,S454,Trigger)</f>
        <v>56041</v>
      </c>
      <c r="U454" s="30">
        <f>_xll.qlIndexFixing($M$5,R454,TRUE,InterestRatesTrigger)</f>
        <v>1.4382011838060878E-2</v>
      </c>
      <c r="V454" s="74">
        <f>_xll.qlIndexFixing(Index,R454,TRUE,InterestRatesTrigger)</f>
        <v>1.4495609666577612E-2</v>
      </c>
      <c r="W454" s="30">
        <f t="shared" si="33"/>
        <v>1.1359782851673439E-4</v>
      </c>
      <c r="X454" s="29">
        <f>_xll.qlDayCounterYearFraction(DayCounter,SettlementDate,S454,,,Trigger)</f>
        <v>38.141666666666666</v>
      </c>
      <c r="Y454" s="29">
        <f>_xll.qlDayCounterYearFraction(DayCounter,S454,T454)</f>
        <v>8.611111111111111E-2</v>
      </c>
      <c r="Z454" s="29">
        <f>IF($M$13,_xll.qlYieldTSDiscount(Currency&amp;"ON",S454)/(1+V454*Y454),1)</f>
        <v>1</v>
      </c>
      <c r="AA454" s="30">
        <f>_xll.qlTenorBasisValue(TenorBasis1M,S454,InterestRatesTrigger)</f>
        <v>1.0772451210750113E-5</v>
      </c>
      <c r="AB454" s="74">
        <f t="shared" si="34"/>
        <v>1.4392784289271628E-2</v>
      </c>
      <c r="AC454" s="76">
        <f t="shared" si="35"/>
        <v>0.99290644687107799</v>
      </c>
    </row>
    <row r="455" spans="16:29" x14ac:dyDescent="0.2">
      <c r="P455" s="33">
        <v>1</v>
      </c>
      <c r="Q455" s="27" t="str">
        <f>_xll.qlPeriodEquivalent(Q454&amp;"+"&amp;P455&amp;"M")</f>
        <v>37Y8M</v>
      </c>
      <c r="R455" s="28">
        <f>_xll.qlCalendarAdvance(Calendar,SettlementDate,Q455,"f",,Trigger)</f>
        <v>56037</v>
      </c>
      <c r="S455" s="28">
        <f>_xll.qlInterestRateIndexValueDate(Index,R455,Trigger)</f>
        <v>56039</v>
      </c>
      <c r="T455" s="28">
        <f>_xll.qlInterestRateIndexMaturity(Index,S455,Trigger)</f>
        <v>56069</v>
      </c>
      <c r="U455" s="30">
        <f>_xll.qlIndexFixing($M$5,R455,TRUE,InterestRatesTrigger)</f>
        <v>1.4349255000465355E-2</v>
      </c>
      <c r="V455" s="74">
        <f>_xll.qlIndexFixing(Index,R455,TRUE,InterestRatesTrigger)</f>
        <v>1.446694652337932E-2</v>
      </c>
      <c r="W455" s="30">
        <f t="shared" si="33"/>
        <v>1.1769152291396523E-4</v>
      </c>
      <c r="X455" s="29">
        <f>_xll.qlDayCounterYearFraction(DayCounter,SettlementDate,S455,,,Trigger)</f>
        <v>38.222222222222221</v>
      </c>
      <c r="Y455" s="29">
        <f>_xll.qlDayCounterYearFraction(DayCounter,S455,T455)</f>
        <v>8.3333333333333329E-2</v>
      </c>
      <c r="Z455" s="29">
        <f>IF($M$13,_xll.qlYieldTSDiscount(Currency&amp;"ON",S455)/(1+V455*Y455),1)</f>
        <v>1</v>
      </c>
      <c r="AA455" s="30">
        <f>_xll.qlTenorBasisValue(TenorBasis1M,S455,InterestRatesTrigger)</f>
        <v>1.0644981118788666E-5</v>
      </c>
      <c r="AB455" s="74">
        <f t="shared" si="34"/>
        <v>1.4359899981584144E-2</v>
      </c>
      <c r="AC455" s="76">
        <f t="shared" si="35"/>
        <v>0.99260061260182419</v>
      </c>
    </row>
    <row r="456" spans="16:29" x14ac:dyDescent="0.2">
      <c r="P456" s="33">
        <v>1</v>
      </c>
      <c r="Q456" s="27" t="str">
        <f>_xll.qlPeriodEquivalent(Q455&amp;"+"&amp;P456&amp;"M")</f>
        <v>37Y9M</v>
      </c>
      <c r="R456" s="28">
        <f>_xll.qlCalendarAdvance(Calendar,SettlementDate,Q456,"f",,Trigger)</f>
        <v>56067</v>
      </c>
      <c r="S456" s="28">
        <f>_xll.qlInterestRateIndexValueDate(Index,R456,Trigger)</f>
        <v>56069</v>
      </c>
      <c r="T456" s="28">
        <f>_xll.qlInterestRateIndexMaturity(Index,S456,Trigger)</f>
        <v>56100</v>
      </c>
      <c r="U456" s="30">
        <f>_xll.qlIndexFixing($M$5,R456,TRUE,InterestRatesTrigger)</f>
        <v>1.4314182503398346E-2</v>
      </c>
      <c r="V456" s="74">
        <f>_xll.qlIndexFixing(Index,R456,TRUE,InterestRatesTrigger)</f>
        <v>1.4436166952139175E-2</v>
      </c>
      <c r="W456" s="30">
        <f t="shared" si="33"/>
        <v>1.2198444874082955E-4</v>
      </c>
      <c r="X456" s="29">
        <f>_xll.qlDayCounterYearFraction(DayCounter,SettlementDate,S456,,,Trigger)</f>
        <v>38.305555555555557</v>
      </c>
      <c r="Y456" s="29">
        <f>_xll.qlDayCounterYearFraction(DayCounter,S456,T456)</f>
        <v>8.611111111111111E-2</v>
      </c>
      <c r="Z456" s="29">
        <f>IF($M$13,_xll.qlYieldTSDiscount(Currency&amp;"ON",S456)/(1+V456*Y456),1)</f>
        <v>1</v>
      </c>
      <c r="AA456" s="30">
        <f>_xll.qlTenorBasisValue(TenorBasis1M,S456,InterestRatesTrigger)</f>
        <v>1.0514657181998319E-5</v>
      </c>
      <c r="AB456" s="74">
        <f t="shared" si="34"/>
        <v>1.4324697160580343E-2</v>
      </c>
      <c r="AC456" s="76">
        <f t="shared" si="35"/>
        <v>0.99227843568667551</v>
      </c>
    </row>
    <row r="457" spans="16:29" x14ac:dyDescent="0.2">
      <c r="P457" s="33">
        <v>1</v>
      </c>
      <c r="Q457" s="27" t="str">
        <f>_xll.qlPeriodEquivalent(Q456&amp;"+"&amp;P457&amp;"M")</f>
        <v>37Y10M</v>
      </c>
      <c r="R457" s="28">
        <f>_xll.qlCalendarAdvance(Calendar,SettlementDate,Q457,"f",,Trigger)</f>
        <v>56100</v>
      </c>
      <c r="S457" s="28">
        <f>_xll.qlInterestRateIndexValueDate(Index,R457,Trigger)</f>
        <v>56102</v>
      </c>
      <c r="T457" s="28">
        <f>_xll.qlInterestRateIndexMaturity(Index,S457,Trigger)</f>
        <v>56135</v>
      </c>
      <c r="U457" s="30">
        <f>_xll.qlIndexFixing($M$5,R457,TRUE,InterestRatesTrigger)</f>
        <v>1.4274593181804464E-2</v>
      </c>
      <c r="V457" s="74">
        <f>_xll.qlIndexFixing(Index,R457,TRUE,InterestRatesTrigger)</f>
        <v>1.4401243693245228E-2</v>
      </c>
      <c r="W457" s="30">
        <f t="shared" si="33"/>
        <v>1.2665051144076372E-4</v>
      </c>
      <c r="X457" s="29">
        <f>_xll.qlDayCounterYearFraction(DayCounter,SettlementDate,S457,,,Trigger)</f>
        <v>38.397222222222226</v>
      </c>
      <c r="Y457" s="29">
        <f>_xll.qlDayCounterYearFraction(DayCounter,S457,T457)</f>
        <v>9.166666666666666E-2</v>
      </c>
      <c r="Z457" s="29">
        <f>IF($M$13,_xll.qlYieldTSDiscount(Currency&amp;"ON",S457)/(1+V457*Y457),1)</f>
        <v>1</v>
      </c>
      <c r="AA457" s="30">
        <f>_xll.qlTenorBasisValue(TenorBasis1M,S457,InterestRatesTrigger)</f>
        <v>1.0373090576675636E-5</v>
      </c>
      <c r="AB457" s="74">
        <f t="shared" si="34"/>
        <v>1.428496627238114E-2</v>
      </c>
      <c r="AC457" s="76">
        <f t="shared" si="35"/>
        <v>0.99192587644922448</v>
      </c>
    </row>
    <row r="458" spans="16:29" x14ac:dyDescent="0.2">
      <c r="P458" s="33">
        <v>1</v>
      </c>
      <c r="Q458" s="27" t="str">
        <f>_xll.qlPeriodEquivalent(Q457&amp;"+"&amp;P458&amp;"M")</f>
        <v>37Y11M</v>
      </c>
      <c r="R458" s="28">
        <f>_xll.qlCalendarAdvance(Calendar,SettlementDate,Q458,"f",,Trigger)</f>
        <v>56129</v>
      </c>
      <c r="S458" s="28">
        <f>_xll.qlInterestRateIndexValueDate(Index,R458,Trigger)</f>
        <v>56131</v>
      </c>
      <c r="T458" s="28">
        <f>_xll.qlInterestRateIndexMaturity(Index,S458,Trigger)</f>
        <v>56163</v>
      </c>
      <c r="U458" s="30">
        <f>_xll.qlIndexFixing($M$5,R458,TRUE,InterestRatesTrigger)</f>
        <v>1.424005534574585E-2</v>
      </c>
      <c r="V458" s="74">
        <f>_xll.qlIndexFixing(Index,R458,TRUE,InterestRatesTrigger)</f>
        <v>1.4370499399307124E-2</v>
      </c>
      <c r="W458" s="30">
        <f t="shared" si="33"/>
        <v>1.3044405356127386E-4</v>
      </c>
      <c r="X458" s="29">
        <f>_xll.qlDayCounterYearFraction(DayCounter,SettlementDate,S458,,,Trigger)</f>
        <v>38.477777777777774</v>
      </c>
      <c r="Y458" s="29">
        <f>_xll.qlDayCounterYearFraction(DayCounter,S458,T458)</f>
        <v>8.8888888888888892E-2</v>
      </c>
      <c r="Z458" s="29">
        <f>IF($M$13,_xll.qlYieldTSDiscount(Currency&amp;"ON",S458)/(1+V458*Y458),1)</f>
        <v>1</v>
      </c>
      <c r="AA458" s="30">
        <f>_xll.qlTenorBasisValue(TenorBasis1M,S458,InterestRatesTrigger)</f>
        <v>1.0250213339849784E-5</v>
      </c>
      <c r="AB458" s="74">
        <f t="shared" si="34"/>
        <v>1.4250305559085699E-2</v>
      </c>
      <c r="AC458" s="76">
        <f t="shared" si="35"/>
        <v>0.99163607075289117</v>
      </c>
    </row>
    <row r="459" spans="16:29" x14ac:dyDescent="0.2">
      <c r="P459" s="33">
        <v>1</v>
      </c>
      <c r="Q459" s="27" t="str">
        <f>_xll.qlPeriodEquivalent(Q458&amp;"+"&amp;P459&amp;"M")</f>
        <v>38Y</v>
      </c>
      <c r="R459" s="28">
        <f>_xll.qlCalendarAdvance(Calendar,SettlementDate,Q459,"f",,Trigger)</f>
        <v>56159</v>
      </c>
      <c r="S459" s="28">
        <f>_xll.qlInterestRateIndexValueDate(Index,R459,Trigger)</f>
        <v>56163</v>
      </c>
      <c r="T459" s="28">
        <f>_xll.qlInterestRateIndexMaturity(Index,S459,Trigger)</f>
        <v>56194</v>
      </c>
      <c r="U459" s="30">
        <f>_xll.qlIndexFixing($M$5,R459,TRUE,InterestRatesTrigger)</f>
        <v>1.4201278738573292E-2</v>
      </c>
      <c r="V459" s="74">
        <f>_xll.qlIndexFixing(Index,R459,TRUE,InterestRatesTrigger)</f>
        <v>1.4335799441150427E-2</v>
      </c>
      <c r="W459" s="30">
        <f t="shared" si="33"/>
        <v>1.3452070257713444E-4</v>
      </c>
      <c r="X459" s="29">
        <f>_xll.qlDayCounterYearFraction(DayCounter,SettlementDate,S459,,,Trigger)</f>
        <v>38.56666666666667</v>
      </c>
      <c r="Y459" s="29">
        <f>_xll.qlDayCounterYearFraction(DayCounter,S459,T459)</f>
        <v>8.611111111111111E-2</v>
      </c>
      <c r="Z459" s="29">
        <f>IF($M$13,_xll.qlYieldTSDiscount(Currency&amp;"ON",S459)/(1+V459*Y459),1)</f>
        <v>1</v>
      </c>
      <c r="AA459" s="30">
        <f>_xll.qlTenorBasisValue(TenorBasis1M,S459,InterestRatesTrigger)</f>
        <v>1.0116265676819402E-5</v>
      </c>
      <c r="AB459" s="74">
        <f t="shared" si="34"/>
        <v>1.4211395004250112E-2</v>
      </c>
      <c r="AC459" s="76">
        <f t="shared" si="35"/>
        <v>0.99132211374670776</v>
      </c>
    </row>
    <row r="460" spans="16:29" x14ac:dyDescent="0.2">
      <c r="P460" s="33">
        <v>1</v>
      </c>
      <c r="Q460" s="27" t="str">
        <f>_xll.qlPeriodEquivalent(Q459&amp;"+"&amp;P460&amp;"M")</f>
        <v>38Y1M</v>
      </c>
      <c r="R460" s="28">
        <f>_xll.qlCalendarAdvance(Calendar,SettlementDate,Q460,"f",,Trigger)</f>
        <v>56191</v>
      </c>
      <c r="S460" s="28">
        <f>_xll.qlInterestRateIndexValueDate(Index,R460,Trigger)</f>
        <v>56193</v>
      </c>
      <c r="T460" s="28">
        <f>_xll.qlInterestRateIndexMaturity(Index,S460,Trigger)</f>
        <v>56223</v>
      </c>
      <c r="U460" s="30">
        <f>_xll.qlIndexFixing($M$5,R460,TRUE,InterestRatesTrigger)</f>
        <v>1.4164344131216922E-2</v>
      </c>
      <c r="V460" s="74">
        <f>_xll.qlIndexFixing(Index,R460,TRUE,InterestRatesTrigger)</f>
        <v>1.4302566857510968E-2</v>
      </c>
      <c r="W460" s="30">
        <f t="shared" si="33"/>
        <v>1.3822272629404608E-4</v>
      </c>
      <c r="X460" s="29">
        <f>_xll.qlDayCounterYearFraction(DayCounter,SettlementDate,S460,,,Trigger)</f>
        <v>38.65</v>
      </c>
      <c r="Y460" s="29">
        <f>_xll.qlDayCounterYearFraction(DayCounter,S460,T460)</f>
        <v>8.3333333333333329E-2</v>
      </c>
      <c r="Z460" s="29">
        <f>IF($M$13,_xll.qlYieldTSDiscount(Currency&amp;"ON",S460)/(1+V460*Y460),1)</f>
        <v>1</v>
      </c>
      <c r="AA460" s="30">
        <f>_xll.qlTenorBasisValue(TenorBasis1M,S460,InterestRatesTrigger)</f>
        <v>9.9922353538025684E-6</v>
      </c>
      <c r="AB460" s="74">
        <f t="shared" si="34"/>
        <v>1.4174336366570724E-2</v>
      </c>
      <c r="AC460" s="76">
        <f t="shared" si="35"/>
        <v>0.99103444212372949</v>
      </c>
    </row>
    <row r="461" spans="16:29" x14ac:dyDescent="0.2">
      <c r="P461" s="33">
        <v>1</v>
      </c>
      <c r="Q461" s="27" t="str">
        <f>_xll.qlPeriodEquivalent(Q460&amp;"+"&amp;P461&amp;"M")</f>
        <v>38Y2M</v>
      </c>
      <c r="R461" s="28">
        <f>_xll.qlCalendarAdvance(Calendar,SettlementDate,Q461,"f",,Trigger)</f>
        <v>56220</v>
      </c>
      <c r="S461" s="28">
        <f>_xll.qlInterestRateIndexValueDate(Index,R461,Trigger)</f>
        <v>56222</v>
      </c>
      <c r="T461" s="28">
        <f>_xll.qlInterestRateIndexMaturity(Index,S461,Trigger)</f>
        <v>56254</v>
      </c>
      <c r="U461" s="30">
        <f>_xll.qlIndexFixing($M$5,R461,TRUE,InterestRatesTrigger)</f>
        <v>1.4127016897461653E-2</v>
      </c>
      <c r="V461" s="74">
        <f>_xll.qlIndexFixing(Index,R461,TRUE,InterestRatesTrigger)</f>
        <v>1.4268901276907053E-2</v>
      </c>
      <c r="W461" s="30">
        <f t="shared" si="33"/>
        <v>1.4188437944540055E-4</v>
      </c>
      <c r="X461" s="29">
        <f>_xll.qlDayCounterYearFraction(DayCounter,SettlementDate,S461,,,Trigger)</f>
        <v>38.730555555555554</v>
      </c>
      <c r="Y461" s="29">
        <f>_xll.qlDayCounterYearFraction(DayCounter,S461,T461)</f>
        <v>8.8888888888888892E-2</v>
      </c>
      <c r="Z461" s="29">
        <f>IF($M$13,_xll.qlYieldTSDiscount(Currency&amp;"ON",S461)/(1+V461*Y461),1)</f>
        <v>1</v>
      </c>
      <c r="AA461" s="30">
        <f>_xll.qlTenorBasisValue(TenorBasis1M,S461,InterestRatesTrigger)</f>
        <v>9.8737447369005922E-6</v>
      </c>
      <c r="AB461" s="74">
        <f t="shared" si="34"/>
        <v>1.4136890642198554E-2</v>
      </c>
      <c r="AC461" s="76">
        <f t="shared" si="35"/>
        <v>0.9907483672255728</v>
      </c>
    </row>
    <row r="462" spans="16:29" x14ac:dyDescent="0.2">
      <c r="P462" s="33">
        <v>1</v>
      </c>
      <c r="Q462" s="27" t="str">
        <f>_xll.qlPeriodEquivalent(Q461&amp;"+"&amp;P462&amp;"M")</f>
        <v>38Y3M</v>
      </c>
      <c r="R462" s="28">
        <f>_xll.qlCalendarAdvance(Calendar,SettlementDate,Q462,"f",,Trigger)</f>
        <v>56251</v>
      </c>
      <c r="S462" s="28">
        <f>_xll.qlInterestRateIndexValueDate(Index,R462,Trigger)</f>
        <v>56255</v>
      </c>
      <c r="T462" s="28">
        <f>_xll.qlInterestRateIndexMaturity(Index,S462,Trigger)</f>
        <v>56286</v>
      </c>
      <c r="U462" s="30">
        <f>_xll.qlIndexFixing($M$5,R462,TRUE,InterestRatesTrigger)</f>
        <v>1.4085022535302682E-2</v>
      </c>
      <c r="V462" s="74">
        <f>_xll.qlIndexFixing(Index,R462,TRUE,InterestRatesTrigger)</f>
        <v>1.423071714695009E-2</v>
      </c>
      <c r="W462" s="30">
        <f t="shared" si="33"/>
        <v>1.456946116474081E-4</v>
      </c>
      <c r="X462" s="29">
        <f>_xll.qlDayCounterYearFraction(DayCounter,SettlementDate,S462,,,Trigger)</f>
        <v>38.822222222222223</v>
      </c>
      <c r="Y462" s="29">
        <f>_xll.qlDayCounterYearFraction(DayCounter,S462,T462)</f>
        <v>8.611111111111111E-2</v>
      </c>
      <c r="Z462" s="29">
        <f>IF($M$13,_xll.qlYieldTSDiscount(Currency&amp;"ON",S462)/(1+V462*Y462),1)</f>
        <v>1</v>
      </c>
      <c r="AA462" s="30">
        <f>_xll.qlTenorBasisValue(TenorBasis1M,S462,InterestRatesTrigger)</f>
        <v>9.7405714594064236E-6</v>
      </c>
      <c r="AB462" s="74">
        <f t="shared" si="34"/>
        <v>1.4094763106762088E-2</v>
      </c>
      <c r="AC462" s="76">
        <f t="shared" si="35"/>
        <v>0.99044643788615117</v>
      </c>
    </row>
    <row r="463" spans="16:29" x14ac:dyDescent="0.2">
      <c r="P463" s="33">
        <v>1</v>
      </c>
      <c r="Q463" s="27" t="str">
        <f>_xll.qlPeriodEquivalent(Q462&amp;"+"&amp;P463&amp;"M")</f>
        <v>38Y4M</v>
      </c>
      <c r="R463" s="28">
        <f>_xll.qlCalendarAdvance(Calendar,SettlementDate,Q463,"f",,Trigger)</f>
        <v>56282</v>
      </c>
      <c r="S463" s="28">
        <f>_xll.qlInterestRateIndexValueDate(Index,R463,Trigger)</f>
        <v>56284</v>
      </c>
      <c r="T463" s="28">
        <f>_xll.qlInterestRateIndexMaturity(Index,S463,Trigger)</f>
        <v>56312</v>
      </c>
      <c r="U463" s="30">
        <f>_xll.qlIndexFixing($M$5,R463,TRUE,InterestRatesTrigger)</f>
        <v>1.4048349833502956E-2</v>
      </c>
      <c r="V463" s="74">
        <f>_xll.qlIndexFixing(Index,R463,TRUE,InterestRatesTrigger)</f>
        <v>1.4197138668041731E-2</v>
      </c>
      <c r="W463" s="30">
        <f t="shared" si="33"/>
        <v>1.4878883453877528E-4</v>
      </c>
      <c r="X463" s="29">
        <f>_xll.qlDayCounterYearFraction(DayCounter,SettlementDate,S463,,,Trigger)</f>
        <v>38.902777777777779</v>
      </c>
      <c r="Y463" s="29">
        <f>_xll.qlDayCounterYearFraction(DayCounter,S463,T463)</f>
        <v>7.7777777777777779E-2</v>
      </c>
      <c r="Z463" s="29">
        <f>IF($M$13,_xll.qlYieldTSDiscount(Currency&amp;"ON",S463)/(1+V463*Y463),1)</f>
        <v>1</v>
      </c>
      <c r="AA463" s="30">
        <f>_xll.qlTenorBasisValue(TenorBasis1M,S463,InterestRatesTrigger)</f>
        <v>9.6249830582818302E-6</v>
      </c>
      <c r="AB463" s="74">
        <f t="shared" si="34"/>
        <v>1.4057974816561238E-2</v>
      </c>
      <c r="AC463" s="76">
        <f t="shared" si="35"/>
        <v>0.99019775359426787</v>
      </c>
    </row>
    <row r="464" spans="16:29" x14ac:dyDescent="0.2">
      <c r="P464" s="33">
        <v>1</v>
      </c>
      <c r="Q464" s="27" t="str">
        <f>_xll.qlPeriodEquivalent(Q463&amp;"+"&amp;P464&amp;"M")</f>
        <v>38Y5M</v>
      </c>
      <c r="R464" s="28">
        <f>_xll.qlCalendarAdvance(Calendar,SettlementDate,Q464,"f",,Trigger)</f>
        <v>56310</v>
      </c>
      <c r="S464" s="28">
        <f>_xll.qlInterestRateIndexValueDate(Index,R464,Trigger)</f>
        <v>56312</v>
      </c>
      <c r="T464" s="28">
        <f>_xll.qlInterestRateIndexMaturity(Index,S464,Trigger)</f>
        <v>56345</v>
      </c>
      <c r="U464" s="30">
        <f>_xll.qlIndexFixing($M$5,R464,TRUE,InterestRatesTrigger)</f>
        <v>1.4009346245491147E-2</v>
      </c>
      <c r="V464" s="74">
        <f>_xll.qlIndexFixing(Index,R464,TRUE,InterestRatesTrigger)</f>
        <v>1.416148189624716E-2</v>
      </c>
      <c r="W464" s="30">
        <f t="shared" si="33"/>
        <v>1.5213565075601274E-4</v>
      </c>
      <c r="X464" s="29">
        <f>_xll.qlDayCounterYearFraction(DayCounter,SettlementDate,S464,,,Trigger)</f>
        <v>38.980555555555554</v>
      </c>
      <c r="Y464" s="29">
        <f>_xll.qlDayCounterYearFraction(DayCounter,S464,T464)</f>
        <v>9.166666666666666E-2</v>
      </c>
      <c r="Z464" s="29">
        <f>IF($M$13,_xll.qlYieldTSDiscount(Currency&amp;"ON",S464)/(1+V464*Y464),1)</f>
        <v>1</v>
      </c>
      <c r="AA464" s="30">
        <f>_xll.qlTenorBasisValue(TenorBasis1M,S464,InterestRatesTrigger)</f>
        <v>9.5146463730242649E-6</v>
      </c>
      <c r="AB464" s="74">
        <f t="shared" si="34"/>
        <v>1.4018860891864172E-2</v>
      </c>
      <c r="AC464" s="76">
        <f t="shared" si="35"/>
        <v>0.98992894914332497</v>
      </c>
    </row>
    <row r="465" spans="16:29" x14ac:dyDescent="0.2">
      <c r="P465" s="33">
        <v>1</v>
      </c>
      <c r="Q465" s="27" t="str">
        <f>_xll.qlPeriodEquivalent(Q464&amp;"+"&amp;P465&amp;"M")</f>
        <v>38Y6M</v>
      </c>
      <c r="R465" s="28">
        <f>_xll.qlCalendarAdvance(Calendar,SettlementDate,Q465,"f",,Trigger)</f>
        <v>56341</v>
      </c>
      <c r="S465" s="28">
        <f>_xll.qlInterestRateIndexValueDate(Index,R465,Trigger)</f>
        <v>56345</v>
      </c>
      <c r="T465" s="28">
        <f>_xll.qlInterestRateIndexMaturity(Index,S465,Trigger)</f>
        <v>56375</v>
      </c>
      <c r="U465" s="30">
        <f>_xll.qlIndexFixing($M$5,R465,TRUE,InterestRatesTrigger)</f>
        <v>1.3966193705735819E-2</v>
      </c>
      <c r="V465" s="74">
        <f>_xll.qlIndexFixing(Index,R465,TRUE,InterestRatesTrigger)</f>
        <v>1.4121591782744858E-2</v>
      </c>
      <c r="W465" s="30">
        <f t="shared" si="33"/>
        <v>1.5539807700903907E-4</v>
      </c>
      <c r="X465" s="29">
        <f>_xll.qlDayCounterYearFraction(DayCounter,SettlementDate,S465,,,Trigger)</f>
        <v>39.072222222222223</v>
      </c>
      <c r="Y465" s="29">
        <f>_xll.qlDayCounterYearFraction(DayCounter,S465,T465)</f>
        <v>8.3333333333333329E-2</v>
      </c>
      <c r="Z465" s="29">
        <f>IF($M$13,_xll.qlYieldTSDiscount(Currency&amp;"ON",S465)/(1+V465*Y465),1)</f>
        <v>1</v>
      </c>
      <c r="AA465" s="30">
        <f>_xll.qlTenorBasisValue(TenorBasis1M,S465,InterestRatesTrigger)</f>
        <v>9.3861850683410702E-6</v>
      </c>
      <c r="AB465" s="74">
        <f t="shared" si="34"/>
        <v>1.397557989080416E-2</v>
      </c>
      <c r="AC465" s="76">
        <f t="shared" si="35"/>
        <v>0.98966038006288293</v>
      </c>
    </row>
    <row r="466" spans="16:29" x14ac:dyDescent="0.2">
      <c r="P466" s="33">
        <v>1</v>
      </c>
      <c r="Q466" s="27" t="str">
        <f>_xll.qlPeriodEquivalent(Q465&amp;"+"&amp;P466&amp;"M")</f>
        <v>38Y7M</v>
      </c>
      <c r="R466" s="28">
        <f>_xll.qlCalendarAdvance(Calendar,SettlementDate,Q466,"f",,Trigger)</f>
        <v>56373</v>
      </c>
      <c r="S466" s="28">
        <f>_xll.qlInterestRateIndexValueDate(Index,R466,Trigger)</f>
        <v>56375</v>
      </c>
      <c r="T466" s="28">
        <f>_xll.qlInterestRateIndexMaturity(Index,S466,Trigger)</f>
        <v>56408</v>
      </c>
      <c r="U466" s="30">
        <f>_xll.qlIndexFixing($M$5,R466,TRUE,InterestRatesTrigger)</f>
        <v>1.3923988082945695E-2</v>
      </c>
      <c r="V466" s="74">
        <f>_xll.qlIndexFixing(Index,R466,TRUE,InterestRatesTrigger)</f>
        <v>1.4082526040059501E-2</v>
      </c>
      <c r="W466" s="30">
        <f t="shared" si="33"/>
        <v>1.5853795711380514E-4</v>
      </c>
      <c r="X466" s="29">
        <f>_xll.qlDayCounterYearFraction(DayCounter,SettlementDate,S466,,,Trigger)</f>
        <v>39.155555555555559</v>
      </c>
      <c r="Y466" s="29">
        <f>_xll.qlDayCounterYearFraction(DayCounter,S466,T466)</f>
        <v>9.166666666666666E-2</v>
      </c>
      <c r="Z466" s="29">
        <f>IF($M$13,_xll.qlYieldTSDiscount(Currency&amp;"ON",S466)/(1+V466*Y466),1)</f>
        <v>1</v>
      </c>
      <c r="AA466" s="30">
        <f>_xll.qlTenorBasisValue(TenorBasis1M,S466,InterestRatesTrigger)</f>
        <v>9.2708667930388608E-6</v>
      </c>
      <c r="AB466" s="74">
        <f t="shared" si="34"/>
        <v>1.3933258949738734E-2</v>
      </c>
      <c r="AC466" s="76">
        <f t="shared" si="35"/>
        <v>0.98940054576173642</v>
      </c>
    </row>
    <row r="467" spans="16:29" x14ac:dyDescent="0.2">
      <c r="P467" s="33">
        <v>1</v>
      </c>
      <c r="Q467" s="27" t="str">
        <f>_xll.qlPeriodEquivalent(Q466&amp;"+"&amp;P467&amp;"M")</f>
        <v>38Y8M</v>
      </c>
      <c r="R467" s="28">
        <f>_xll.qlCalendarAdvance(Calendar,SettlementDate,Q467,"f",,Trigger)</f>
        <v>56402</v>
      </c>
      <c r="S467" s="28">
        <f>_xll.qlInterestRateIndexValueDate(Index,R467,Trigger)</f>
        <v>56404</v>
      </c>
      <c r="T467" s="28">
        <f>_xll.qlInterestRateIndexMaturity(Index,S467,Trigger)</f>
        <v>56436</v>
      </c>
      <c r="U467" s="30">
        <f>_xll.qlIndexFixing($M$5,R467,TRUE,InterestRatesTrigger)</f>
        <v>1.3884230902992956E-2</v>
      </c>
      <c r="V467" s="74">
        <f>_xll.qlIndexFixing(Index,R467,TRUE,InterestRatesTrigger)</f>
        <v>1.4045449569177471E-2</v>
      </c>
      <c r="W467" s="30">
        <f t="shared" si="33"/>
        <v>1.6121866618451497E-4</v>
      </c>
      <c r="X467" s="29">
        <f>_xll.qlDayCounterYearFraction(DayCounter,SettlementDate,S467,,,Trigger)</f>
        <v>39.236111111111114</v>
      </c>
      <c r="Y467" s="29">
        <f>_xll.qlDayCounterYearFraction(DayCounter,S467,T467)</f>
        <v>8.8888888888888892E-2</v>
      </c>
      <c r="Z467" s="29">
        <f>IF($M$13,_xll.qlYieldTSDiscount(Currency&amp;"ON",S467)/(1+V467*Y467),1)</f>
        <v>1</v>
      </c>
      <c r="AA467" s="30">
        <f>_xll.qlTenorBasisValue(TenorBasis1M,S467,InterestRatesTrigger)</f>
        <v>9.1607029037524442E-6</v>
      </c>
      <c r="AB467" s="74">
        <f t="shared" si="34"/>
        <v>1.3893391605896708E-2</v>
      </c>
      <c r="AC467" s="76">
        <f t="shared" si="35"/>
        <v>0.98917386285630526</v>
      </c>
    </row>
    <row r="468" spans="16:29" x14ac:dyDescent="0.2">
      <c r="P468" s="33">
        <v>1</v>
      </c>
      <c r="Q468" s="27" t="str">
        <f>_xll.qlPeriodEquivalent(Q467&amp;"+"&amp;P468&amp;"M")</f>
        <v>38Y9M</v>
      </c>
      <c r="R468" s="28">
        <f>_xll.qlCalendarAdvance(Calendar,SettlementDate,Q468,"f",,Trigger)</f>
        <v>56432</v>
      </c>
      <c r="S468" s="28">
        <f>_xll.qlInterestRateIndexValueDate(Index,R468,Trigger)</f>
        <v>56436</v>
      </c>
      <c r="T468" s="28">
        <f>_xll.qlInterestRateIndexMaturity(Index,S468,Trigger)</f>
        <v>56467</v>
      </c>
      <c r="U468" s="30">
        <f>_xll.qlIndexFixing($M$5,R468,TRUE,InterestRatesTrigger)</f>
        <v>1.3839684515294704E-2</v>
      </c>
      <c r="V468" s="74">
        <f>_xll.qlIndexFixing(Index,R468,TRUE,InterestRatesTrigger)</f>
        <v>1.4003708188212154E-2</v>
      </c>
      <c r="W468" s="30">
        <f t="shared" si="33"/>
        <v>1.6402367291745018E-4</v>
      </c>
      <c r="X468" s="29">
        <f>_xll.qlDayCounterYearFraction(DayCounter,SettlementDate,S468,,,Trigger)</f>
        <v>39.325000000000003</v>
      </c>
      <c r="Y468" s="29">
        <f>_xll.qlDayCounterYearFraction(DayCounter,S468,T468)</f>
        <v>8.611111111111111E-2</v>
      </c>
      <c r="Z468" s="29">
        <f>IF($M$13,_xll.qlYieldTSDiscount(Currency&amp;"ON",S468)/(1+V468*Y468),1)</f>
        <v>1</v>
      </c>
      <c r="AA468" s="30">
        <f>_xll.qlTenorBasisValue(TenorBasis1M,S468,InterestRatesTrigger)</f>
        <v>9.040620408072621E-6</v>
      </c>
      <c r="AB468" s="74">
        <f t="shared" si="34"/>
        <v>1.3848725135702776E-2</v>
      </c>
      <c r="AC468" s="76">
        <f t="shared" si="35"/>
        <v>0.98893271336231947</v>
      </c>
    </row>
    <row r="469" spans="16:29" x14ac:dyDescent="0.2">
      <c r="P469" s="33">
        <v>1</v>
      </c>
      <c r="Q469" s="27" t="str">
        <f>_xll.qlPeriodEquivalent(Q468&amp;"+"&amp;P469&amp;"M")</f>
        <v>38Y10M</v>
      </c>
      <c r="R469" s="28">
        <f>_xll.qlCalendarAdvance(Calendar,SettlementDate,Q469,"f",,Trigger)</f>
        <v>56464</v>
      </c>
      <c r="S469" s="28">
        <f>_xll.qlInterestRateIndexValueDate(Index,R469,Trigger)</f>
        <v>56466</v>
      </c>
      <c r="T469" s="28">
        <f>_xll.qlInterestRateIndexMaturity(Index,S469,Trigger)</f>
        <v>56499</v>
      </c>
      <c r="U469" s="30">
        <f>_xll.qlIndexFixing($M$5,R469,TRUE,InterestRatesTrigger)</f>
        <v>1.3795980213521344E-2</v>
      </c>
      <c r="V469" s="74">
        <f>_xll.qlIndexFixing(Index,R469,TRUE,InterestRatesTrigger)</f>
        <v>1.3962614919724524E-2</v>
      </c>
      <c r="W469" s="30">
        <f t="shared" si="33"/>
        <v>1.6663470620317984E-4</v>
      </c>
      <c r="X469" s="29">
        <f>_xll.qlDayCounterYearFraction(DayCounter,SettlementDate,S469,,,Trigger)</f>
        <v>39.408333333333331</v>
      </c>
      <c r="Y469" s="29">
        <f>_xll.qlDayCounterYearFraction(DayCounter,S469,T469)</f>
        <v>9.166666666666666E-2</v>
      </c>
      <c r="Z469" s="29">
        <f>IF($M$13,_xll.qlYieldTSDiscount(Currency&amp;"ON",S469)/(1+V469*Y469),1)</f>
        <v>1</v>
      </c>
      <c r="AA469" s="30">
        <f>_xll.qlTenorBasisValue(TenorBasis1M,S469,InterestRatesTrigger)</f>
        <v>8.9294347155152927E-6</v>
      </c>
      <c r="AB469" s="74">
        <f t="shared" si="34"/>
        <v>1.3804909648236859E-2</v>
      </c>
      <c r="AC469" s="76">
        <f t="shared" si="35"/>
        <v>0.98870517647343548</v>
      </c>
    </row>
    <row r="470" spans="16:29" x14ac:dyDescent="0.2">
      <c r="P470" s="33">
        <v>1</v>
      </c>
      <c r="Q470" s="27" t="str">
        <f>_xll.qlPeriodEquivalent(Q469&amp;"+"&amp;P470&amp;"M")</f>
        <v>38Y11M</v>
      </c>
      <c r="R470" s="28">
        <f>_xll.qlCalendarAdvance(Calendar,SettlementDate,Q470,"f",,Trigger)</f>
        <v>56494</v>
      </c>
      <c r="S470" s="28">
        <f>_xll.qlInterestRateIndexValueDate(Index,R470,Trigger)</f>
        <v>56496</v>
      </c>
      <c r="T470" s="28">
        <f>_xll.qlInterestRateIndexMaturity(Index,S470,Trigger)</f>
        <v>56527</v>
      </c>
      <c r="U470" s="30">
        <f>_xll.qlIndexFixing($M$5,R470,TRUE,InterestRatesTrigger)</f>
        <v>1.3753494582011336E-2</v>
      </c>
      <c r="V470" s="74">
        <f>_xll.qlIndexFixing(Index,R470,TRUE,InterestRatesTrigger)</f>
        <v>1.392239450929424E-2</v>
      </c>
      <c r="W470" s="30">
        <f t="shared" si="33"/>
        <v>1.6889992728290337E-4</v>
      </c>
      <c r="X470" s="29">
        <f>_xll.qlDayCounterYearFraction(DayCounter,SettlementDate,S470,,,Trigger)</f>
        <v>39.491666666666667</v>
      </c>
      <c r="Y470" s="29">
        <f>_xll.qlDayCounterYearFraction(DayCounter,S470,T470)</f>
        <v>8.611111111111111E-2</v>
      </c>
      <c r="Z470" s="29">
        <f>IF($M$13,_xll.qlYieldTSDiscount(Currency&amp;"ON",S470)/(1+V470*Y470),1)</f>
        <v>1</v>
      </c>
      <c r="AA470" s="30">
        <f>_xll.qlTenorBasisValue(TenorBasis1M,S470,InterestRatesTrigger)</f>
        <v>8.8195799395693539E-6</v>
      </c>
      <c r="AB470" s="74">
        <f t="shared" si="34"/>
        <v>1.3762314161950905E-2</v>
      </c>
      <c r="AC470" s="76">
        <f t="shared" si="35"/>
        <v>0.98850195293370913</v>
      </c>
    </row>
    <row r="471" spans="16:29" x14ac:dyDescent="0.2">
      <c r="P471" s="33">
        <v>1</v>
      </c>
      <c r="Q471" s="27" t="str">
        <f>_xll.qlPeriodEquivalent(Q470&amp;"+"&amp;P471&amp;"M")</f>
        <v>39Y</v>
      </c>
      <c r="R471" s="28">
        <f>_xll.qlCalendarAdvance(Calendar,SettlementDate,Q471,"f",,Trigger)</f>
        <v>56524</v>
      </c>
      <c r="S471" s="28">
        <f>_xll.qlInterestRateIndexValueDate(Index,R471,Trigger)</f>
        <v>56528</v>
      </c>
      <c r="T471" s="28">
        <f>_xll.qlInterestRateIndexMaturity(Index,S471,Trigger)</f>
        <v>56559</v>
      </c>
      <c r="U471" s="30">
        <f>_xll.qlIndexFixing($M$5,R471,TRUE,InterestRatesTrigger)</f>
        <v>1.3706536681983581E-2</v>
      </c>
      <c r="V471" s="74">
        <f>_xll.qlIndexFixing(Index,R471,TRUE,InterestRatesTrigger)</f>
        <v>1.387777128604613E-2</v>
      </c>
      <c r="W471" s="30">
        <f t="shared" si="33"/>
        <v>1.7123460406254926E-4</v>
      </c>
      <c r="X471" s="29">
        <f>_xll.qlDayCounterYearFraction(DayCounter,SettlementDate,S471,,,Trigger)</f>
        <v>39.580555555555556</v>
      </c>
      <c r="Y471" s="29">
        <f>_xll.qlDayCounterYearFraction(DayCounter,S471,T471)</f>
        <v>8.611111111111111E-2</v>
      </c>
      <c r="Z471" s="29">
        <f>IF($M$13,_xll.qlYieldTSDiscount(Currency&amp;"ON",S471)/(1+V471*Y471),1)</f>
        <v>1</v>
      </c>
      <c r="AA471" s="30">
        <f>_xll.qlTenorBasisValue(TenorBasis1M,S471,InterestRatesTrigger)</f>
        <v>8.7038512152230767E-6</v>
      </c>
      <c r="AB471" s="74">
        <f t="shared" si="34"/>
        <v>1.3715240533198805E-2</v>
      </c>
      <c r="AC471" s="76">
        <f t="shared" si="35"/>
        <v>0.98828841104978093</v>
      </c>
    </row>
    <row r="472" spans="16:29" x14ac:dyDescent="0.2">
      <c r="P472" s="33">
        <v>1</v>
      </c>
      <c r="Q472" s="27" t="str">
        <f>_xll.qlPeriodEquivalent(Q471&amp;"+"&amp;P472&amp;"M")</f>
        <v>39Y1M</v>
      </c>
      <c r="R472" s="28">
        <f>_xll.qlCalendarAdvance(Calendar,SettlementDate,Q472,"f",,Trigger)</f>
        <v>56555</v>
      </c>
      <c r="S472" s="28">
        <f>_xll.qlInterestRateIndexValueDate(Index,R472,Trigger)</f>
        <v>56557</v>
      </c>
      <c r="T472" s="28">
        <f>_xll.qlInterestRateIndexMaturity(Index,S472,Trigger)</f>
        <v>56587</v>
      </c>
      <c r="U472" s="30">
        <f>_xll.qlIndexFixing($M$5,R472,TRUE,InterestRatesTrigger)</f>
        <v>1.3663877519975998E-2</v>
      </c>
      <c r="V472" s="74">
        <f>_xll.qlIndexFixing(Index,R472,TRUE,InterestRatesTrigger)</f>
        <v>1.3837023916361879E-2</v>
      </c>
      <c r="W472" s="30">
        <f t="shared" si="33"/>
        <v>1.7314639638588147E-4</v>
      </c>
      <c r="X472" s="29">
        <f>_xll.qlDayCounterYearFraction(DayCounter,SettlementDate,S472,,,Trigger)</f>
        <v>39.661111111111111</v>
      </c>
      <c r="Y472" s="29">
        <f>_xll.qlDayCounterYearFraction(DayCounter,S472,T472)</f>
        <v>8.3333333333333329E-2</v>
      </c>
      <c r="Z472" s="29">
        <f>IF($M$13,_xll.qlYieldTSDiscount(Currency&amp;"ON",S472)/(1+V472*Y472),1)</f>
        <v>1</v>
      </c>
      <c r="AA472" s="30">
        <f>_xll.qlTenorBasisValue(TenorBasis1M,S472,InterestRatesTrigger)</f>
        <v>8.600249604004636E-6</v>
      </c>
      <c r="AB472" s="74">
        <f t="shared" si="34"/>
        <v>1.3672477769580003E-2</v>
      </c>
      <c r="AC472" s="76">
        <f t="shared" si="35"/>
        <v>0.9881082704072438</v>
      </c>
    </row>
    <row r="473" spans="16:29" x14ac:dyDescent="0.2">
      <c r="P473" s="33">
        <v>1</v>
      </c>
      <c r="Q473" s="27" t="str">
        <f>_xll.qlPeriodEquivalent(Q472&amp;"+"&amp;P473&amp;"M")</f>
        <v>39Y2M</v>
      </c>
      <c r="R473" s="28">
        <f>_xll.qlCalendarAdvance(Calendar,SettlementDate,Q473,"f",,Trigger)</f>
        <v>56585</v>
      </c>
      <c r="S473" s="28">
        <f>_xll.qlInterestRateIndexValueDate(Index,R473,Trigger)</f>
        <v>56587</v>
      </c>
      <c r="T473" s="28">
        <f>_xll.qlInterestRateIndexMaturity(Index,S473,Trigger)</f>
        <v>56618</v>
      </c>
      <c r="U473" s="30">
        <f>_xll.qlIndexFixing($M$5,R473,TRUE,InterestRatesTrigger)</f>
        <v>1.3618152733498437E-2</v>
      </c>
      <c r="V473" s="74">
        <f>_xll.qlIndexFixing(Index,R473,TRUE,InterestRatesTrigger)</f>
        <v>1.3793184874986153E-2</v>
      </c>
      <c r="W473" s="30">
        <f t="shared" si="33"/>
        <v>1.7503214148771595E-4</v>
      </c>
      <c r="X473" s="29">
        <f>_xll.qlDayCounterYearFraction(DayCounter,SettlementDate,S473,,,Trigger)</f>
        <v>39.744444444444447</v>
      </c>
      <c r="Y473" s="29">
        <f>_xll.qlDayCounterYearFraction(DayCounter,S473,T473)</f>
        <v>8.611111111111111E-2</v>
      </c>
      <c r="Z473" s="29">
        <f>IF($M$13,_xll.qlYieldTSDiscount(Currency&amp;"ON",S473)/(1+V473*Y473),1)</f>
        <v>1</v>
      </c>
      <c r="AA473" s="30">
        <f>_xll.qlTenorBasisValue(TenorBasis1M,S473,InterestRatesTrigger)</f>
        <v>8.4943388889328803E-6</v>
      </c>
      <c r="AB473" s="74">
        <f t="shared" si="34"/>
        <v>1.3626647072387369E-2</v>
      </c>
      <c r="AC473" s="76">
        <f t="shared" si="35"/>
        <v>0.98792608058920461</v>
      </c>
    </row>
    <row r="474" spans="16:29" x14ac:dyDescent="0.2">
      <c r="P474" s="33">
        <v>1</v>
      </c>
      <c r="Q474" s="27" t="str">
        <f>_xll.qlPeriodEquivalent(Q473&amp;"+"&amp;P474&amp;"M")</f>
        <v>39Y3M</v>
      </c>
      <c r="R474" s="28">
        <f>_xll.qlCalendarAdvance(Calendar,SettlementDate,Q474,"f",,Trigger)</f>
        <v>56618</v>
      </c>
      <c r="S474" s="28">
        <f>_xll.qlInterestRateIndexValueDate(Index,R474,Trigger)</f>
        <v>56620</v>
      </c>
      <c r="T474" s="28">
        <f>_xll.qlInterestRateIndexMaturity(Index,S474,Trigger)</f>
        <v>56653</v>
      </c>
      <c r="U474" s="30">
        <f>_xll.qlIndexFixing($M$5,R474,TRUE,InterestRatesTrigger)</f>
        <v>1.3566663858641805E-2</v>
      </c>
      <c r="V474" s="74">
        <f>_xll.qlIndexFixing(Index,R474,TRUE,InterestRatesTrigger)</f>
        <v>1.3743587448851584E-2</v>
      </c>
      <c r="W474" s="30">
        <f t="shared" si="33"/>
        <v>1.7692359020977932E-4</v>
      </c>
      <c r="X474" s="29">
        <f>_xll.qlDayCounterYearFraction(DayCounter,SettlementDate,S474,,,Trigger)</f>
        <v>39.836111111111109</v>
      </c>
      <c r="Y474" s="29">
        <f>_xll.qlDayCounterYearFraction(DayCounter,S474,T474)</f>
        <v>9.166666666666666E-2</v>
      </c>
      <c r="Z474" s="29">
        <f>IF($M$13,_xll.qlYieldTSDiscount(Currency&amp;"ON",S474)/(1+V474*Y474),1)</f>
        <v>1</v>
      </c>
      <c r="AA474" s="30">
        <f>_xll.qlTenorBasisValue(TenorBasis1M,S474,InterestRatesTrigger)</f>
        <v>8.3793035242726142E-6</v>
      </c>
      <c r="AB474" s="74">
        <f t="shared" si="34"/>
        <v>1.3575043162166078E-2</v>
      </c>
      <c r="AC474" s="76">
        <f t="shared" si="35"/>
        <v>0.98773651440624477</v>
      </c>
    </row>
    <row r="475" spans="16:29" x14ac:dyDescent="0.2">
      <c r="P475" s="33">
        <v>1</v>
      </c>
      <c r="Q475" s="27" t="str">
        <f>_xll.qlPeriodEquivalent(Q474&amp;"+"&amp;P475&amp;"M")</f>
        <v>39Y4M</v>
      </c>
      <c r="R475" s="28">
        <f>_xll.qlCalendarAdvance(Calendar,SettlementDate,Q475,"f",,Trigger)</f>
        <v>56647</v>
      </c>
      <c r="S475" s="28">
        <f>_xll.qlInterestRateIndexValueDate(Index,R475,Trigger)</f>
        <v>56649</v>
      </c>
      <c r="T475" s="28">
        <f>_xll.qlInterestRateIndexMaturity(Index,S475,Trigger)</f>
        <v>56677</v>
      </c>
      <c r="U475" s="30">
        <f>_xll.qlIndexFixing($M$5,R475,TRUE,InterestRatesTrigger)</f>
        <v>1.3524333872091556E-2</v>
      </c>
      <c r="V475" s="74">
        <f>_xll.qlIndexFixing(Index,R475,TRUE,InterestRatesTrigger)</f>
        <v>1.370252904725858E-2</v>
      </c>
      <c r="W475" s="30">
        <f t="shared" si="33"/>
        <v>1.7819517516702403E-4</v>
      </c>
      <c r="X475" s="29">
        <f>_xll.qlDayCounterYearFraction(DayCounter,SettlementDate,S475,,,Trigger)</f>
        <v>39.916666666666664</v>
      </c>
      <c r="Y475" s="29">
        <f>_xll.qlDayCounterYearFraction(DayCounter,S475,T475)</f>
        <v>7.7777777777777779E-2</v>
      </c>
      <c r="Z475" s="29">
        <f>IF($M$13,_xll.qlYieldTSDiscount(Currency&amp;"ON",S475)/(1+V475*Y475),1)</f>
        <v>1</v>
      </c>
      <c r="AA475" s="30">
        <f>_xll.qlTenorBasisValue(TenorBasis1M,S475,InterestRatesTrigger)</f>
        <v>8.2794650924626182E-6</v>
      </c>
      <c r="AB475" s="74">
        <f t="shared" si="34"/>
        <v>1.3532613337184019E-2</v>
      </c>
      <c r="AC475" s="76">
        <f t="shared" si="35"/>
        <v>0.98759968254848873</v>
      </c>
    </row>
    <row r="476" spans="16:29" x14ac:dyDescent="0.2">
      <c r="P476" s="33">
        <v>1</v>
      </c>
      <c r="Q476" s="27" t="str">
        <f>_xll.qlPeriodEquivalent(Q475&amp;"+"&amp;P476&amp;"M")</f>
        <v>39Y5M</v>
      </c>
      <c r="R476" s="28">
        <f>_xll.qlCalendarAdvance(Calendar,SettlementDate,Q476,"f",,Trigger)</f>
        <v>56675</v>
      </c>
      <c r="S476" s="28">
        <f>_xll.qlInterestRateIndexValueDate(Index,R476,Trigger)</f>
        <v>56677</v>
      </c>
      <c r="T476" s="28">
        <f>_xll.qlInterestRateIndexMaturity(Index,S476,Trigger)</f>
        <v>56709</v>
      </c>
      <c r="U476" s="30">
        <f>_xll.qlIndexFixing($M$5,R476,TRUE,InterestRatesTrigger)</f>
        <v>1.3478281929968638E-2</v>
      </c>
      <c r="V476" s="74">
        <f>_xll.qlIndexFixing(Index,R476,TRUE,InterestRatesTrigger)</f>
        <v>1.3657801205333719E-2</v>
      </c>
      <c r="W476" s="30">
        <f t="shared" si="33"/>
        <v>1.7951927536508094E-4</v>
      </c>
      <c r="X476" s="29">
        <f>_xll.qlDayCounterYearFraction(DayCounter,SettlementDate,S476,,,Trigger)</f>
        <v>39.994444444444447</v>
      </c>
      <c r="Y476" s="29">
        <f>_xll.qlDayCounterYearFraction(DayCounter,S476,T476)</f>
        <v>8.8888888888888892E-2</v>
      </c>
      <c r="Z476" s="29">
        <f>IF($M$13,_xll.qlYieldTSDiscount(Currency&amp;"ON",S476)/(1+V476*Y476),1)</f>
        <v>1</v>
      </c>
      <c r="AA476" s="30">
        <f>_xll.qlTenorBasisValue(TenorBasis1M,S476,InterestRatesTrigger)</f>
        <v>8.1841689636072418E-6</v>
      </c>
      <c r="AB476" s="74">
        <f t="shared" si="34"/>
        <v>1.3486466098932245E-2</v>
      </c>
      <c r="AC476" s="76">
        <f t="shared" si="35"/>
        <v>0.98745514714809557</v>
      </c>
    </row>
    <row r="477" spans="16:29" x14ac:dyDescent="0.2">
      <c r="P477" s="33">
        <v>1</v>
      </c>
      <c r="Q477" s="27" t="str">
        <f>_xll.qlPeriodEquivalent(Q476&amp;"+"&amp;P477&amp;"M")</f>
        <v>39Y6M</v>
      </c>
      <c r="R477" s="28">
        <f>_xll.qlCalendarAdvance(Calendar,SettlementDate,Q477,"f",,Trigger)</f>
        <v>56706</v>
      </c>
      <c r="S477" s="28">
        <f>_xll.qlInterestRateIndexValueDate(Index,R477,Trigger)</f>
        <v>56710</v>
      </c>
      <c r="T477" s="28">
        <f>_xll.qlInterestRateIndexMaturity(Index,S477,Trigger)</f>
        <v>56740</v>
      </c>
      <c r="U477" s="30">
        <f>_xll.qlIndexFixing($M$5,R477,TRUE,InterestRatesTrigger)</f>
        <v>1.3426919229906353E-2</v>
      </c>
      <c r="V477" s="74">
        <f>_xll.qlIndexFixing(Index,R477,TRUE,InterestRatesTrigger)</f>
        <v>1.360760181133891E-2</v>
      </c>
      <c r="W477" s="30">
        <f t="shared" si="33"/>
        <v>1.8068258143255633E-4</v>
      </c>
      <c r="X477" s="29">
        <f>_xll.qlDayCounterYearFraction(DayCounter,SettlementDate,S477,,,Trigger)</f>
        <v>40.086111111111109</v>
      </c>
      <c r="Y477" s="29">
        <f>_xll.qlDayCounterYearFraction(DayCounter,S477,T477)</f>
        <v>8.3333333333333329E-2</v>
      </c>
      <c r="Z477" s="29">
        <f>IF($M$13,_xll.qlYieldTSDiscount(Currency&amp;"ON",S477)/(1+V477*Y477),1)</f>
        <v>1</v>
      </c>
      <c r="AA477" s="30">
        <f>_xll.qlTenorBasisValue(TenorBasis1M,S477,InterestRatesTrigger)</f>
        <v>8.0732265361294298E-6</v>
      </c>
      <c r="AB477" s="74">
        <f t="shared" si="34"/>
        <v>1.3434992456442483E-2</v>
      </c>
      <c r="AC477" s="76">
        <f t="shared" si="35"/>
        <v>0.98731522590905063</v>
      </c>
    </row>
    <row r="478" spans="16:29" x14ac:dyDescent="0.2">
      <c r="P478" s="33">
        <v>1</v>
      </c>
      <c r="Q478" s="27" t="str">
        <f>_xll.qlPeriodEquivalent(Q477&amp;"+"&amp;P478&amp;"M")</f>
        <v>39Y7M</v>
      </c>
      <c r="R478" s="28">
        <f>_xll.qlCalendarAdvance(Calendar,SettlementDate,Q478,"f",,Trigger)</f>
        <v>56737</v>
      </c>
      <c r="S478" s="28">
        <f>_xll.qlInterestRateIndexValueDate(Index,R478,Trigger)</f>
        <v>56739</v>
      </c>
      <c r="T478" s="28">
        <f>_xll.qlInterestRateIndexMaturity(Index,S478,Trigger)</f>
        <v>56772</v>
      </c>
      <c r="U478" s="30">
        <f>_xll.qlIndexFixing($M$5,R478,TRUE,InterestRatesTrigger)</f>
        <v>1.3378540837691653E-2</v>
      </c>
      <c r="V478" s="74">
        <f>_xll.qlIndexFixing(Index,R478,TRUE,InterestRatesTrigger)</f>
        <v>1.3560156053546992E-2</v>
      </c>
      <c r="W478" s="30">
        <f t="shared" si="33"/>
        <v>1.8161521585533837E-4</v>
      </c>
      <c r="X478" s="29">
        <f>_xll.qlDayCounterYearFraction(DayCounter,SettlementDate,S478,,,Trigger)</f>
        <v>40.166666666666664</v>
      </c>
      <c r="Y478" s="29">
        <f>_xll.qlDayCounterYearFraction(DayCounter,S478,T478)</f>
        <v>9.166666666666666E-2</v>
      </c>
      <c r="Z478" s="29">
        <f>IF($M$13,_xll.qlYieldTSDiscount(Currency&amp;"ON",S478)/(1+V478*Y478),1)</f>
        <v>1</v>
      </c>
      <c r="AA478" s="30">
        <f>_xll.qlTenorBasisValue(TenorBasis1M,S478,InterestRatesTrigger)</f>
        <v>7.9769419613378364E-6</v>
      </c>
      <c r="AB478" s="74">
        <f t="shared" si="34"/>
        <v>1.3386517779652992E-2</v>
      </c>
      <c r="AC478" s="76">
        <f t="shared" si="35"/>
        <v>0.98719496492456804</v>
      </c>
    </row>
    <row r="479" spans="16:29" x14ac:dyDescent="0.2">
      <c r="P479" s="33">
        <v>1</v>
      </c>
      <c r="Q479" s="27" t="str">
        <f>_xll.qlPeriodEquivalent(Q478&amp;"+"&amp;P479&amp;"M")</f>
        <v>39Y8M</v>
      </c>
      <c r="R479" s="28">
        <f>_xll.qlCalendarAdvance(Calendar,SettlementDate,Q479,"f",,Trigger)</f>
        <v>56767</v>
      </c>
      <c r="S479" s="28">
        <f>_xll.qlInterestRateIndexValueDate(Index,R479,Trigger)</f>
        <v>56769</v>
      </c>
      <c r="T479" s="28">
        <f>_xll.qlInterestRateIndexMaturity(Index,S479,Trigger)</f>
        <v>56800</v>
      </c>
      <c r="U479" s="30">
        <f>_xll.qlIndexFixing($M$5,R479,TRUE,InterestRatesTrigger)</f>
        <v>1.3330762701563626E-2</v>
      </c>
      <c r="V479" s="74">
        <f>_xll.qlIndexFixing(Index,R479,TRUE,InterestRatesTrigger)</f>
        <v>1.3513043274501238E-2</v>
      </c>
      <c r="W479" s="30">
        <f t="shared" si="33"/>
        <v>1.8228057293761223E-4</v>
      </c>
      <c r="X479" s="29">
        <f>_xll.qlDayCounterYearFraction(DayCounter,SettlementDate,S479,,,Trigger)</f>
        <v>40.25</v>
      </c>
      <c r="Y479" s="29">
        <f>_xll.qlDayCounterYearFraction(DayCounter,S479,T479)</f>
        <v>8.611111111111111E-2</v>
      </c>
      <c r="Z479" s="29">
        <f>IF($M$13,_xll.qlYieldTSDiscount(Currency&amp;"ON",S479)/(1+V479*Y479),1)</f>
        <v>1</v>
      </c>
      <c r="AA479" s="30">
        <f>_xll.qlTenorBasisValue(TenorBasis1M,S479,InterestRatesTrigger)</f>
        <v>7.8785145682756927E-6</v>
      </c>
      <c r="AB479" s="74">
        <f t="shared" si="34"/>
        <v>1.3338641216131902E-2</v>
      </c>
      <c r="AC479" s="76">
        <f t="shared" si="35"/>
        <v>0.9870937985747128</v>
      </c>
    </row>
    <row r="480" spans="16:29" x14ac:dyDescent="0.2">
      <c r="P480" s="33">
        <v>1</v>
      </c>
      <c r="Q480" s="27" t="str">
        <f>_xll.qlPeriodEquivalent(Q479&amp;"+"&amp;P480&amp;"M")</f>
        <v>39Y9M</v>
      </c>
      <c r="R480" s="28">
        <f>_xll.qlCalendarAdvance(Calendar,SettlementDate,Q480,"f",,Trigger)</f>
        <v>56797</v>
      </c>
      <c r="S480" s="28">
        <f>_xll.qlInterestRateIndexValueDate(Index,R480,Trigger)</f>
        <v>56801</v>
      </c>
      <c r="T480" s="28">
        <f>_xll.qlInterestRateIndexMaturity(Index,S480,Trigger)</f>
        <v>56832</v>
      </c>
      <c r="U480" s="30">
        <f>_xll.qlIndexFixing($M$5,R480,TRUE,InterestRatesTrigger)</f>
        <v>1.3277930121152425E-2</v>
      </c>
      <c r="V480" s="74">
        <f>_xll.qlIndexFixing(Index,R480,TRUE,InterestRatesTrigger)</f>
        <v>1.3460737320574394E-2</v>
      </c>
      <c r="W480" s="30">
        <f t="shared" si="33"/>
        <v>1.8280719942196863E-4</v>
      </c>
      <c r="X480" s="29">
        <f>_xll.qlDayCounterYearFraction(DayCounter,SettlementDate,S480,,,Trigger)</f>
        <v>40.338888888888889</v>
      </c>
      <c r="Y480" s="29">
        <f>_xll.qlDayCounterYearFraction(DayCounter,S480,T480)</f>
        <v>8.611111111111111E-2</v>
      </c>
      <c r="Z480" s="29">
        <f>IF($M$13,_xll.qlYieldTSDiscount(Currency&amp;"ON",S480)/(1+V480*Y480),1)</f>
        <v>1</v>
      </c>
      <c r="AA480" s="30">
        <f>_xll.qlTenorBasisValue(TenorBasis1M,S480,InterestRatesTrigger)</f>
        <v>7.7748295786070711E-6</v>
      </c>
      <c r="AB480" s="74">
        <f t="shared" si="34"/>
        <v>1.3285704950731033E-2</v>
      </c>
      <c r="AC480" s="76">
        <f t="shared" si="35"/>
        <v>0.98699682152062884</v>
      </c>
    </row>
    <row r="481" spans="16:29" x14ac:dyDescent="0.2">
      <c r="P481" s="33">
        <v>1</v>
      </c>
      <c r="Q481" s="27" t="str">
        <f>_xll.qlPeriodEquivalent(Q480&amp;"+"&amp;P481&amp;"M")</f>
        <v>39Y10M</v>
      </c>
      <c r="R481" s="28">
        <f>_xll.qlCalendarAdvance(Calendar,SettlementDate,Q481,"f",,Trigger)</f>
        <v>56828</v>
      </c>
      <c r="S481" s="28">
        <f>_xll.qlInterestRateIndexValueDate(Index,R481,Trigger)</f>
        <v>56830</v>
      </c>
      <c r="T481" s="28">
        <f>_xll.qlInterestRateIndexMaturity(Index,S481,Trigger)</f>
        <v>56863</v>
      </c>
      <c r="U481" s="30">
        <f>_xll.qlIndexFixing($M$5,R481,TRUE,InterestRatesTrigger)</f>
        <v>1.3228256499507976E-2</v>
      </c>
      <c r="V481" s="74">
        <f>_xll.qlIndexFixing(Index,R481,TRUE,InterestRatesTrigger)</f>
        <v>1.341135429825613E-2</v>
      </c>
      <c r="W481" s="30">
        <f t="shared" si="33"/>
        <v>1.8309779874815454E-4</v>
      </c>
      <c r="X481" s="29">
        <f>_xll.qlDayCounterYearFraction(DayCounter,SettlementDate,S481,,,Trigger)</f>
        <v>40.419444444444444</v>
      </c>
      <c r="Y481" s="29">
        <f>_xll.qlDayCounterYearFraction(DayCounter,S481,T481)</f>
        <v>9.166666666666666E-2</v>
      </c>
      <c r="Z481" s="29">
        <f>IF($M$13,_xll.qlYieldTSDiscount(Currency&amp;"ON",S481)/(1+V481*Y481),1)</f>
        <v>1</v>
      </c>
      <c r="AA481" s="30">
        <f>_xll.qlTenorBasisValue(TenorBasis1M,S481,InterestRatesTrigger)</f>
        <v>7.682014321674384E-6</v>
      </c>
      <c r="AB481" s="74">
        <f t="shared" si="34"/>
        <v>1.323593851382965E-2</v>
      </c>
      <c r="AC481" s="76">
        <f t="shared" si="35"/>
        <v>0.98692035267092382</v>
      </c>
    </row>
    <row r="482" spans="16:29" x14ac:dyDescent="0.2">
      <c r="P482" s="33">
        <v>1</v>
      </c>
      <c r="Q482" s="27" t="str">
        <f>_xll.qlPeriodEquivalent(Q481&amp;"+"&amp;P482&amp;"M")</f>
        <v>39Y11M</v>
      </c>
      <c r="R482" s="28">
        <f>_xll.qlCalendarAdvance(Calendar,SettlementDate,Q482,"f",,Trigger)</f>
        <v>56859</v>
      </c>
      <c r="S482" s="28">
        <f>_xll.qlInterestRateIndexValueDate(Index,R482,Trigger)</f>
        <v>56863</v>
      </c>
      <c r="T482" s="28">
        <f>_xll.qlInterestRateIndexMaturity(Index,S482,Trigger)</f>
        <v>56893</v>
      </c>
      <c r="U482" s="30">
        <f>_xll.qlIndexFixing($M$5,R482,TRUE,InterestRatesTrigger)</f>
        <v>1.3174220007820203E-2</v>
      </c>
      <c r="V482" s="74">
        <f>_xll.qlIndexFixing(Index,R482,TRUE,InterestRatesTrigger)</f>
        <v>1.3357354914715458E-2</v>
      </c>
      <c r="W482" s="30">
        <f t="shared" si="33"/>
        <v>1.831349068952548E-4</v>
      </c>
      <c r="X482" s="29">
        <f>_xll.qlDayCounterYearFraction(DayCounter,SettlementDate,S482,,,Trigger)</f>
        <v>40.511111111111113</v>
      </c>
      <c r="Y482" s="29">
        <f>_xll.qlDayCounterYearFraction(DayCounter,S482,T482)</f>
        <v>8.3333333333333329E-2</v>
      </c>
      <c r="Z482" s="29">
        <f>IF($M$13,_xll.qlYieldTSDiscount(Currency&amp;"ON",S482)/(1+V482*Y482),1)</f>
        <v>1</v>
      </c>
      <c r="AA482" s="30">
        <f>_xll.qlTenorBasisValue(TenorBasis1M,S482,InterestRatesTrigger)</f>
        <v>7.5777100848747657E-6</v>
      </c>
      <c r="AB482" s="74">
        <f t="shared" si="34"/>
        <v>1.3181797717905078E-2</v>
      </c>
      <c r="AC482" s="76">
        <f t="shared" si="35"/>
        <v>0.98685688911230673</v>
      </c>
    </row>
    <row r="483" spans="16:29" x14ac:dyDescent="0.2">
      <c r="P483" s="33">
        <v>1</v>
      </c>
      <c r="Q483" s="27" t="str">
        <f>_xll.qlPeriodEquivalent(Q482&amp;"+"&amp;P483&amp;"M")</f>
        <v>40Y</v>
      </c>
      <c r="R483" s="28">
        <f>_xll.qlCalendarAdvance(Calendar,SettlementDate,Q483,"f",,Trigger)</f>
        <v>56891</v>
      </c>
      <c r="S483" s="28">
        <f>_xll.qlInterestRateIndexValueDate(Index,R483,Trigger)</f>
        <v>56893</v>
      </c>
      <c r="T483" s="28">
        <f>_xll.qlInterestRateIndexMaturity(Index,S483,Trigger)</f>
        <v>56926</v>
      </c>
      <c r="U483" s="30">
        <f>_xll.qlIndexFixing($M$5,R483,TRUE,InterestRatesTrigger)</f>
        <v>1.3121256904471615E-2</v>
      </c>
      <c r="V483" s="74">
        <f>_xll.qlIndexFixing(Index,R483,TRUE,InterestRatesTrigger)</f>
        <v>1.3302161117627812E-2</v>
      </c>
      <c r="W483" s="30">
        <f t="shared" si="33"/>
        <v>1.8090421315619665E-4</v>
      </c>
      <c r="X483" s="29">
        <f>_xll.qlDayCounterYearFraction(DayCounter,SettlementDate,S483,,,Trigger)</f>
        <v>40.594444444444441</v>
      </c>
      <c r="Y483" s="29">
        <f>_xll.qlDayCounterYearFraction(DayCounter,S483,T483)</f>
        <v>9.166666666666666E-2</v>
      </c>
      <c r="Z483" s="29">
        <f>IF($M$13,_xll.qlYieldTSDiscount(Currency&amp;"ON",S483)/(1+V483*Y483),1)</f>
        <v>1</v>
      </c>
      <c r="AA483" s="30">
        <f>_xll.qlTenorBasisValue(TenorBasis1M,S483,InterestRatesTrigger)</f>
        <v>7.4840866650264506E-6</v>
      </c>
      <c r="AB483" s="74">
        <f t="shared" si="34"/>
        <v>1.3128740991136641E-2</v>
      </c>
      <c r="AC483" s="76">
        <f t="shared" si="35"/>
        <v>0.9869630111259623</v>
      </c>
    </row>
    <row r="484" spans="16:29" x14ac:dyDescent="0.2">
      <c r="P484" s="33">
        <v>1</v>
      </c>
      <c r="Q484" s="27" t="str">
        <f>_xll.qlPeriodEquivalent(Q483&amp;"+"&amp;P484&amp;"M")</f>
        <v>40Y1M</v>
      </c>
      <c r="R484" s="28">
        <f>_xll.qlCalendarAdvance(Calendar,SettlementDate,Q484,"f",,Trigger)</f>
        <v>56920</v>
      </c>
      <c r="S484" s="28">
        <f>_xll.qlInterestRateIndexValueDate(Index,R484,Trigger)</f>
        <v>56922</v>
      </c>
      <c r="T484" s="28">
        <f>_xll.qlInterestRateIndexMaturity(Index,S484,Trigger)</f>
        <v>56954</v>
      </c>
      <c r="U484" s="30">
        <f>_xll.qlIndexFixing($M$5,R484,TRUE,InterestRatesTrigger)</f>
        <v>1.3072915069032853E-2</v>
      </c>
      <c r="V484" s="74">
        <f>_xll.qlIndexFixing(Index,R484,TRUE,InterestRatesTrigger)</f>
        <v>1.3250234791300775E-2</v>
      </c>
      <c r="W484" s="30">
        <f t="shared" si="33"/>
        <v>1.7731972226792125E-4</v>
      </c>
      <c r="X484" s="29">
        <f>_xll.qlDayCounterYearFraction(DayCounter,SettlementDate,S484,,,Trigger)</f>
        <v>40.674999999999997</v>
      </c>
      <c r="Y484" s="29">
        <f>_xll.qlDayCounterYearFraction(DayCounter,S484,T484)</f>
        <v>8.8888888888888892E-2</v>
      </c>
      <c r="Z484" s="29">
        <f>IF($M$13,_xll.qlYieldTSDiscount(Currency&amp;"ON",S484)/(1+V484*Y484),1)</f>
        <v>1</v>
      </c>
      <c r="AA484" s="30">
        <f>_xll.qlTenorBasisValue(TenorBasis1M,S484,InterestRatesTrigger)</f>
        <v>7.394656237030528E-6</v>
      </c>
      <c r="AB484" s="74">
        <f t="shared" si="34"/>
        <v>1.3080309725269884E-2</v>
      </c>
      <c r="AC484" s="76">
        <f t="shared" si="35"/>
        <v>0.98717569396261173</v>
      </c>
    </row>
    <row r="485" spans="16:29" x14ac:dyDescent="0.2">
      <c r="P485" s="33">
        <v>1</v>
      </c>
      <c r="Q485" s="27" t="str">
        <f>_xll.qlPeriodEquivalent(Q484&amp;"+"&amp;P485&amp;"M")</f>
        <v>40Y2M</v>
      </c>
      <c r="R485" s="28">
        <f>_xll.qlCalendarAdvance(Calendar,SettlementDate,Q485,"f",,Trigger)</f>
        <v>56950</v>
      </c>
      <c r="S485" s="28">
        <f>_xll.qlInterestRateIndexValueDate(Index,R485,Trigger)</f>
        <v>56954</v>
      </c>
      <c r="T485" s="28">
        <f>_xll.qlInterestRateIndexMaturity(Index,S485,Trigger)</f>
        <v>56985</v>
      </c>
      <c r="U485" s="30">
        <f>_xll.qlIndexFixing($M$5,R485,TRUE,InterestRatesTrigger)</f>
        <v>1.3020211600205174E-2</v>
      </c>
      <c r="V485" s="74">
        <f>_xll.qlIndexFixing(Index,R485,TRUE,InterestRatesTrigger)</f>
        <v>1.3193334977673788E-2</v>
      </c>
      <c r="W485" s="30">
        <f t="shared" si="33"/>
        <v>1.7312337746861438E-4</v>
      </c>
      <c r="X485" s="29">
        <f>_xll.qlDayCounterYearFraction(DayCounter,SettlementDate,S485,,,Trigger)</f>
        <v>40.763888888888886</v>
      </c>
      <c r="Y485" s="29">
        <f>_xll.qlDayCounterYearFraction(DayCounter,S485,T485)</f>
        <v>8.611111111111111E-2</v>
      </c>
      <c r="Z485" s="29">
        <f>IF($M$13,_xll.qlYieldTSDiscount(Currency&amp;"ON",S485)/(1+V485*Y485),1)</f>
        <v>1</v>
      </c>
      <c r="AA485" s="30">
        <f>_xll.qlTenorBasisValue(TenorBasis1M,S485,InterestRatesTrigger)</f>
        <v>7.2971832484289464E-6</v>
      </c>
      <c r="AB485" s="74">
        <f t="shared" si="34"/>
        <v>1.3027508783453602E-2</v>
      </c>
      <c r="AC485" s="76">
        <f t="shared" si="35"/>
        <v>0.98743106314659612</v>
      </c>
    </row>
    <row r="486" spans="16:29" x14ac:dyDescent="0.2">
      <c r="P486" s="33">
        <v>1</v>
      </c>
      <c r="Q486" s="27" t="str">
        <f>_xll.qlPeriodEquivalent(Q485&amp;"+"&amp;P486&amp;"M")</f>
        <v>40Y3M</v>
      </c>
      <c r="R486" s="28">
        <f>_xll.qlCalendarAdvance(Calendar,SettlementDate,Q486,"f",,Trigger)</f>
        <v>56982</v>
      </c>
      <c r="S486" s="28">
        <f>_xll.qlInterestRateIndexValueDate(Index,R486,Trigger)</f>
        <v>56984</v>
      </c>
      <c r="T486" s="28">
        <f>_xll.qlInterestRateIndexMaturity(Index,S486,Trigger)</f>
        <v>57017</v>
      </c>
      <c r="U486" s="30">
        <f>_xll.qlIndexFixing($M$5,R486,TRUE,InterestRatesTrigger)</f>
        <v>1.2969766497905802E-2</v>
      </c>
      <c r="V486" s="74">
        <f>_xll.qlIndexFixing(Index,R486,TRUE,InterestRatesTrigger)</f>
        <v>1.3138542131871328E-2</v>
      </c>
      <c r="W486" s="30">
        <f t="shared" si="33"/>
        <v>1.6877563396552539E-4</v>
      </c>
      <c r="X486" s="29">
        <f>_xll.qlDayCounterYearFraction(DayCounter,SettlementDate,S486,,,Trigger)</f>
        <v>40.847222222222221</v>
      </c>
      <c r="Y486" s="29">
        <f>_xll.qlDayCounterYearFraction(DayCounter,S486,T486)</f>
        <v>9.166666666666666E-2</v>
      </c>
      <c r="Z486" s="29">
        <f>IF($M$13,_xll.qlYieldTSDiscount(Currency&amp;"ON",S486)/(1+V486*Y486),1)</f>
        <v>1</v>
      </c>
      <c r="AA486" s="30">
        <f>_xll.qlTenorBasisValue(TenorBasis1M,S486,InterestRatesTrigger)</f>
        <v>7.2069406661150503E-6</v>
      </c>
      <c r="AB486" s="74">
        <f t="shared" si="34"/>
        <v>1.2976973438571918E-2</v>
      </c>
      <c r="AC486" s="76">
        <f t="shared" si="35"/>
        <v>0.9877026924541743</v>
      </c>
    </row>
    <row r="487" spans="16:29" x14ac:dyDescent="0.2">
      <c r="P487" s="33">
        <v>1</v>
      </c>
      <c r="Q487" s="27" t="str">
        <f>_xll.qlPeriodEquivalent(Q486&amp;"+"&amp;P487&amp;"M")</f>
        <v>40Y4M</v>
      </c>
      <c r="R487" s="28">
        <f>_xll.qlCalendarAdvance(Calendar,SettlementDate,Q487,"f",,Trigger)</f>
        <v>57012</v>
      </c>
      <c r="S487" s="28">
        <f>_xll.qlInterestRateIndexValueDate(Index,R487,Trigger)</f>
        <v>57014</v>
      </c>
      <c r="T487" s="28">
        <f>_xll.qlInterestRateIndexMaturity(Index,S487,Trigger)</f>
        <v>57045</v>
      </c>
      <c r="U487" s="30">
        <f>_xll.qlIndexFixing($M$5,R487,TRUE,InterestRatesTrigger)</f>
        <v>1.2922306755251394E-2</v>
      </c>
      <c r="V487" s="74">
        <f>_xll.qlIndexFixing(Index,R487,TRUE,InterestRatesTrigger)</f>
        <v>1.3086789100345213E-2</v>
      </c>
      <c r="W487" s="30">
        <f t="shared" si="33"/>
        <v>1.6448234509381862E-4</v>
      </c>
      <c r="X487" s="29">
        <f>_xll.qlDayCounterYearFraction(DayCounter,SettlementDate,S487,,,Trigger)</f>
        <v>40.930555555555557</v>
      </c>
      <c r="Y487" s="29">
        <f>_xll.qlDayCounterYearFraction(DayCounter,S487,T487)</f>
        <v>8.611111111111111E-2</v>
      </c>
      <c r="Z487" s="29">
        <f>IF($M$13,_xll.qlYieldTSDiscount(Currency&amp;"ON",S487)/(1+V487*Y487),1)</f>
        <v>1</v>
      </c>
      <c r="AA487" s="30">
        <f>_xll.qlTenorBasisValue(TenorBasis1M,S487,InterestRatesTrigger)</f>
        <v>7.1177866041190081E-6</v>
      </c>
      <c r="AB487" s="74">
        <f t="shared" si="34"/>
        <v>1.2929424541855514E-2</v>
      </c>
      <c r="AC487" s="76">
        <f t="shared" si="35"/>
        <v>0.98797531179855658</v>
      </c>
    </row>
    <row r="488" spans="16:29" x14ac:dyDescent="0.2">
      <c r="P488" s="33">
        <v>1</v>
      </c>
      <c r="Q488" s="27" t="str">
        <f>_xll.qlPeriodEquivalent(Q487&amp;"+"&amp;P488&amp;"M")</f>
        <v>40Y5M</v>
      </c>
      <c r="R488" s="28">
        <f>_xll.qlCalendarAdvance(Calendar,SettlementDate,Q488,"f",,Trigger)</f>
        <v>57041</v>
      </c>
      <c r="S488" s="28">
        <f>_xll.qlInterestRateIndexValueDate(Index,R488,Trigger)</f>
        <v>57045</v>
      </c>
      <c r="T488" s="28">
        <f>_xll.qlInterestRateIndexMaturity(Index,S488,Trigger)</f>
        <v>57076</v>
      </c>
      <c r="U488" s="30">
        <f>_xll.qlIndexFixing($M$5,R488,TRUE,InterestRatesTrigger)</f>
        <v>1.2872764171443086E-2</v>
      </c>
      <c r="V488" s="74">
        <f>_xll.qlIndexFixing(Index,R488,TRUE,InterestRatesTrigger)</f>
        <v>1.30324563215659E-2</v>
      </c>
      <c r="W488" s="30">
        <f t="shared" si="33"/>
        <v>1.5969215012281469E-4</v>
      </c>
      <c r="X488" s="29">
        <f>_xll.qlDayCounterYearFraction(DayCounter,SettlementDate,S488,,,Trigger)</f>
        <v>41.016666666666666</v>
      </c>
      <c r="Y488" s="29">
        <f>_xll.qlDayCounterYearFraction(DayCounter,S488,T488)</f>
        <v>8.611111111111111E-2</v>
      </c>
      <c r="Z488" s="29">
        <f>IF($M$13,_xll.qlYieldTSDiscount(Currency&amp;"ON",S488)/(1+V488*Y488),1)</f>
        <v>1</v>
      </c>
      <c r="AA488" s="30">
        <f>_xll.qlTenorBasisValue(TenorBasis1M,S488,InterestRatesTrigger)</f>
        <v>7.0267908287504504E-6</v>
      </c>
      <c r="AB488" s="74">
        <f t="shared" si="34"/>
        <v>1.2879790962271835E-2</v>
      </c>
      <c r="AC488" s="76">
        <f t="shared" si="35"/>
        <v>0.98828575707240729</v>
      </c>
    </row>
    <row r="489" spans="16:29" x14ac:dyDescent="0.2">
      <c r="P489" s="33">
        <v>1</v>
      </c>
      <c r="Q489" s="27" t="str">
        <f>_xll.qlPeriodEquivalent(Q488&amp;"+"&amp;P489&amp;"M")</f>
        <v>40Y6M</v>
      </c>
      <c r="R489" s="28">
        <f>_xll.qlCalendarAdvance(Calendar,SettlementDate,Q489,"f",,Trigger)</f>
        <v>57074</v>
      </c>
      <c r="S489" s="28">
        <f>_xll.qlInterestRateIndexValueDate(Index,R489,Trigger)</f>
        <v>57076</v>
      </c>
      <c r="T489" s="28">
        <f>_xll.qlInterestRateIndexMaturity(Index,S489,Trigger)</f>
        <v>57108</v>
      </c>
      <c r="U489" s="30">
        <f>_xll.qlIndexFixing($M$5,R489,TRUE,InterestRatesTrigger)</f>
        <v>1.2823379650774291E-2</v>
      </c>
      <c r="V489" s="74">
        <f>_xll.qlIndexFixing(Index,R489,TRUE,InterestRatesTrigger)</f>
        <v>1.2977991119209886E-2</v>
      </c>
      <c r="W489" s="30">
        <f t="shared" si="33"/>
        <v>1.5461146843559481E-4</v>
      </c>
      <c r="X489" s="29">
        <f>_xll.qlDayCounterYearFraction(DayCounter,SettlementDate,S489,,,Trigger)</f>
        <v>41.102777777777774</v>
      </c>
      <c r="Y489" s="29">
        <f>_xll.qlDayCounterYearFraction(DayCounter,S489,T489)</f>
        <v>8.8888888888888892E-2</v>
      </c>
      <c r="Z489" s="29">
        <f>IF($M$13,_xll.qlYieldTSDiscount(Currency&amp;"ON",S489)/(1+V489*Y489),1)</f>
        <v>1</v>
      </c>
      <c r="AA489" s="30">
        <f>_xll.qlTenorBasisValue(TenorBasis1M,S489,InterestRatesTrigger)</f>
        <v>6.9369299898660707E-6</v>
      </c>
      <c r="AB489" s="74">
        <f t="shared" si="34"/>
        <v>1.2830316580764157E-2</v>
      </c>
      <c r="AC489" s="76">
        <f t="shared" si="35"/>
        <v>0.98862115584074151</v>
      </c>
    </row>
    <row r="490" spans="16:29" x14ac:dyDescent="0.2">
      <c r="P490" s="33">
        <v>1</v>
      </c>
      <c r="Q490" s="27" t="str">
        <f>_xll.qlPeriodEquivalent(Q489&amp;"+"&amp;P490&amp;"M")</f>
        <v>40Y7M</v>
      </c>
      <c r="R490" s="28">
        <f>_xll.qlCalendarAdvance(Calendar,SettlementDate,Q490,"f",,Trigger)</f>
        <v>57102</v>
      </c>
      <c r="S490" s="28">
        <f>_xll.qlInterestRateIndexValueDate(Index,R490,Trigger)</f>
        <v>57104</v>
      </c>
      <c r="T490" s="28">
        <f>_xll.qlInterestRateIndexMaturity(Index,S490,Trigger)</f>
        <v>57136</v>
      </c>
      <c r="U490" s="30">
        <f>_xll.qlIndexFixing($M$5,R490,TRUE,InterestRatesTrigger)</f>
        <v>1.2779891211616989E-2</v>
      </c>
      <c r="V490" s="74">
        <f>_xll.qlIndexFixing(Index,R490,TRUE,InterestRatesTrigger)</f>
        <v>1.2929802955787828E-2</v>
      </c>
      <c r="W490" s="30">
        <f t="shared" ref="W490:W553" si="36">V490-U490</f>
        <v>1.4991174417083863E-4</v>
      </c>
      <c r="X490" s="29">
        <f>_xll.qlDayCounterYearFraction(DayCounter,SettlementDate,S490,,,Trigger)</f>
        <v>41.180555555555557</v>
      </c>
      <c r="Y490" s="29">
        <f>_xll.qlDayCounterYearFraction(DayCounter,S490,T490)</f>
        <v>8.8888888888888892E-2</v>
      </c>
      <c r="Z490" s="29">
        <f>IF($M$13,_xll.qlYieldTSDiscount(Currency&amp;"ON",S490)/(1+V490*Y490),1)</f>
        <v>1</v>
      </c>
      <c r="AA490" s="30">
        <f>_xll.qlTenorBasisValue(TenorBasis1M,S490,InterestRatesTrigger)</f>
        <v>6.8567294891932688E-6</v>
      </c>
      <c r="AB490" s="74">
        <f t="shared" ref="AB490:AB553" si="37">AA490+U490</f>
        <v>1.2786747941106182E-2</v>
      </c>
      <c r="AC490" s="76">
        <f t="shared" ref="AC490:AC553" si="38">AB490/V490</f>
        <v>0.98893602515283419</v>
      </c>
    </row>
    <row r="491" spans="16:29" x14ac:dyDescent="0.2">
      <c r="P491" s="33">
        <v>1</v>
      </c>
      <c r="Q491" s="27" t="str">
        <f>_xll.qlPeriodEquivalent(Q490&amp;"+"&amp;P491&amp;"M")</f>
        <v>40Y8M</v>
      </c>
      <c r="R491" s="28">
        <f>_xll.qlCalendarAdvance(Calendar,SettlementDate,Q491,"f",,Trigger)</f>
        <v>57133</v>
      </c>
      <c r="S491" s="28">
        <f>_xll.qlInterestRateIndexValueDate(Index,R491,Trigger)</f>
        <v>57137</v>
      </c>
      <c r="T491" s="28">
        <f>_xll.qlInterestRateIndexMaturity(Index,S491,Trigger)</f>
        <v>57167</v>
      </c>
      <c r="U491" s="30">
        <f>_xll.qlIndexFixing($M$5,R491,TRUE,InterestRatesTrigger)</f>
        <v>1.2730445209892416E-2</v>
      </c>
      <c r="V491" s="74">
        <f>_xll.qlIndexFixing(Index,R491,TRUE,InterestRatesTrigger)</f>
        <v>1.2874776968375912E-2</v>
      </c>
      <c r="W491" s="30">
        <f t="shared" si="36"/>
        <v>1.4433175848349578E-4</v>
      </c>
      <c r="X491" s="29">
        <f>_xll.qlDayCounterYearFraction(DayCounter,SettlementDate,S491,,,Trigger)</f>
        <v>41.272222222222226</v>
      </c>
      <c r="Y491" s="29">
        <f>_xll.qlDayCounterYearFraction(DayCounter,S491,T491)</f>
        <v>8.3333333333333329E-2</v>
      </c>
      <c r="Z491" s="29">
        <f>IF($M$13,_xll.qlYieldTSDiscount(Currency&amp;"ON",S491)/(1+V491*Y491),1)</f>
        <v>1</v>
      </c>
      <c r="AA491" s="30">
        <f>_xll.qlTenorBasisValue(TenorBasis1M,S491,InterestRatesTrigger)</f>
        <v>6.7633682756034963E-6</v>
      </c>
      <c r="AB491" s="74">
        <f t="shared" si="37"/>
        <v>1.2737208578168019E-2</v>
      </c>
      <c r="AC491" s="76">
        <f t="shared" si="38"/>
        <v>0.9893148913922315</v>
      </c>
    </row>
    <row r="492" spans="16:29" x14ac:dyDescent="0.2">
      <c r="P492" s="33">
        <v>1</v>
      </c>
      <c r="Q492" s="27" t="str">
        <f>_xll.qlPeriodEquivalent(Q491&amp;"+"&amp;P492&amp;"M")</f>
        <v>40Y9M</v>
      </c>
      <c r="R492" s="28">
        <f>_xll.qlCalendarAdvance(Calendar,SettlementDate,Q492,"f",,Trigger)</f>
        <v>57164</v>
      </c>
      <c r="S492" s="28">
        <f>_xll.qlInterestRateIndexValueDate(Index,R492,Trigger)</f>
        <v>57166</v>
      </c>
      <c r="T492" s="28">
        <f>_xll.qlInterestRateIndexMaturity(Index,S492,Trigger)</f>
        <v>57199</v>
      </c>
      <c r="U492" s="30">
        <f>_xll.qlIndexFixing($M$5,R492,TRUE,InterestRatesTrigger)</f>
        <v>1.2685132634011611E-2</v>
      </c>
      <c r="V492" s="74">
        <f>_xll.qlIndexFixing(Index,R492,TRUE,InterestRatesTrigger)</f>
        <v>1.2823976641476166E-2</v>
      </c>
      <c r="W492" s="30">
        <f t="shared" si="36"/>
        <v>1.3884400746455583E-4</v>
      </c>
      <c r="X492" s="29">
        <f>_xll.qlDayCounterYearFraction(DayCounter,SettlementDate,S492,,,Trigger)</f>
        <v>41.352777777777774</v>
      </c>
      <c r="Y492" s="29">
        <f>_xll.qlDayCounterYearFraction(DayCounter,S492,T492)</f>
        <v>9.166666666666666E-2</v>
      </c>
      <c r="Z492" s="29">
        <f>IF($M$13,_xll.qlYieldTSDiscount(Currency&amp;"ON",S492)/(1+V492*Y492),1)</f>
        <v>1</v>
      </c>
      <c r="AA492" s="30">
        <f>_xll.qlTenorBasisValue(TenorBasis1M,S492,InterestRatesTrigger)</f>
        <v>6.6823482946597824E-6</v>
      </c>
      <c r="AB492" s="74">
        <f t="shared" si="37"/>
        <v>1.269181498230627E-2</v>
      </c>
      <c r="AC492" s="76">
        <f t="shared" si="38"/>
        <v>0.98969417499229917</v>
      </c>
    </row>
    <row r="493" spans="16:29" x14ac:dyDescent="0.2">
      <c r="P493" s="33">
        <v>1</v>
      </c>
      <c r="Q493" s="27" t="str">
        <f>_xll.qlPeriodEquivalent(Q492&amp;"+"&amp;P493&amp;"M")</f>
        <v>40Y10M</v>
      </c>
      <c r="R493" s="28">
        <f>_xll.qlCalendarAdvance(Calendar,SettlementDate,Q493,"f",,Trigger)</f>
        <v>57194</v>
      </c>
      <c r="S493" s="28">
        <f>_xll.qlInterestRateIndexValueDate(Index,R493,Trigger)</f>
        <v>57196</v>
      </c>
      <c r="T493" s="28">
        <f>_xll.qlInterestRateIndexMaturity(Index,S493,Trigger)</f>
        <v>57227</v>
      </c>
      <c r="U493" s="30">
        <f>_xll.qlIndexFixing($M$5,R493,TRUE,InterestRatesTrigger)</f>
        <v>1.2641590574388363E-2</v>
      </c>
      <c r="V493" s="74">
        <f>_xll.qlIndexFixing(Index,R493,TRUE,InterestRatesTrigger)</f>
        <v>1.2775027565393404E-2</v>
      </c>
      <c r="W493" s="30">
        <f t="shared" si="36"/>
        <v>1.3343699100504085E-4</v>
      </c>
      <c r="X493" s="29">
        <f>_xll.qlDayCounterYearFraction(DayCounter,SettlementDate,S493,,,Trigger)</f>
        <v>41.43611111111111</v>
      </c>
      <c r="Y493" s="29">
        <f>_xll.qlDayCounterYearFraction(DayCounter,S493,T493)</f>
        <v>8.611111111111111E-2</v>
      </c>
      <c r="Z493" s="29">
        <f>IF($M$13,_xll.qlYieldTSDiscount(Currency&amp;"ON",S493)/(1+V493*Y493),1)</f>
        <v>1</v>
      </c>
      <c r="AA493" s="30">
        <f>_xll.qlTenorBasisValue(TenorBasis1M,S493,InterestRatesTrigger)</f>
        <v>6.5995312414784985E-6</v>
      </c>
      <c r="AB493" s="74">
        <f t="shared" si="37"/>
        <v>1.2648190105629842E-2</v>
      </c>
      <c r="AC493" s="76">
        <f t="shared" si="38"/>
        <v>0.99007145314448053</v>
      </c>
    </row>
    <row r="494" spans="16:29" x14ac:dyDescent="0.2">
      <c r="P494" s="33">
        <v>1</v>
      </c>
      <c r="Q494" s="27" t="str">
        <f>_xll.qlPeriodEquivalent(Q493&amp;"+"&amp;P494&amp;"M")</f>
        <v>40Y11M</v>
      </c>
      <c r="R494" s="28">
        <f>_xll.qlCalendarAdvance(Calendar,SettlementDate,Q494,"f",,Trigger)</f>
        <v>57227</v>
      </c>
      <c r="S494" s="28">
        <f>_xll.qlInterestRateIndexValueDate(Index,R494,Trigger)</f>
        <v>57229</v>
      </c>
      <c r="T494" s="28">
        <f>_xll.qlInterestRateIndexMaturity(Index,S494,Trigger)</f>
        <v>57259</v>
      </c>
      <c r="U494" s="30">
        <f>_xll.qlIndexFixing($M$5,R494,TRUE,InterestRatesTrigger)</f>
        <v>1.2593814418307758E-2</v>
      </c>
      <c r="V494" s="74">
        <f>_xll.qlIndexFixing(Index,R494,TRUE,InterestRatesTrigger)</f>
        <v>1.272101044412377E-2</v>
      </c>
      <c r="W494" s="30">
        <f t="shared" si="36"/>
        <v>1.2719602581601208E-4</v>
      </c>
      <c r="X494" s="29">
        <f>_xll.qlDayCounterYearFraction(DayCounter,SettlementDate,S494,,,Trigger)</f>
        <v>41.527777777777779</v>
      </c>
      <c r="Y494" s="29">
        <f>_xll.qlDayCounterYearFraction(DayCounter,S494,T494)</f>
        <v>8.3333333333333329E-2</v>
      </c>
      <c r="Z494" s="29">
        <f>IF($M$13,_xll.qlYieldTSDiscount(Currency&amp;"ON",S494)/(1+V494*Y494),1)</f>
        <v>1</v>
      </c>
      <c r="AA494" s="30">
        <f>_xll.qlTenorBasisValue(TenorBasis1M,S494,InterestRatesTrigger)</f>
        <v>6.5095892238341291E-6</v>
      </c>
      <c r="AB494" s="74">
        <f t="shared" si="37"/>
        <v>1.2600324007531593E-2</v>
      </c>
      <c r="AC494" s="76">
        <f t="shared" si="38"/>
        <v>0.99051282623166725</v>
      </c>
    </row>
    <row r="495" spans="16:29" x14ac:dyDescent="0.2">
      <c r="P495" s="33">
        <v>1</v>
      </c>
      <c r="Q495" s="27" t="str">
        <f>_xll.qlPeriodEquivalent(Q494&amp;"+"&amp;P495&amp;"M")</f>
        <v>41Y</v>
      </c>
      <c r="R495" s="28">
        <f>_xll.qlCalendarAdvance(Calendar,SettlementDate,Q495,"f",,Trigger)</f>
        <v>57255</v>
      </c>
      <c r="S495" s="28">
        <f>_xll.qlInterestRateIndexValueDate(Index,R495,Trigger)</f>
        <v>57257</v>
      </c>
      <c r="T495" s="28">
        <f>_xll.qlInterestRateIndexMaturity(Index,S495,Trigger)</f>
        <v>57290</v>
      </c>
      <c r="U495" s="30">
        <f>_xll.qlIndexFixing($M$5,R495,TRUE,InterestRatesTrigger)</f>
        <v>1.2551988698663183E-2</v>
      </c>
      <c r="V495" s="74">
        <f>_xll.qlIndexFixing(Index,R495,TRUE,InterestRatesTrigger)</f>
        <v>1.2673370014452023E-2</v>
      </c>
      <c r="W495" s="30">
        <f t="shared" si="36"/>
        <v>1.2138131578883979E-4</v>
      </c>
      <c r="X495" s="29">
        <f>_xll.qlDayCounterYearFraction(DayCounter,SettlementDate,S495,,,Trigger)</f>
        <v>41.605555555555554</v>
      </c>
      <c r="Y495" s="29">
        <f>_xll.qlDayCounterYearFraction(DayCounter,S495,T495)</f>
        <v>9.166666666666666E-2</v>
      </c>
      <c r="Z495" s="29">
        <f>IF($M$13,_xll.qlYieldTSDiscount(Currency&amp;"ON",S495)/(1+V495*Y495),1)</f>
        <v>1</v>
      </c>
      <c r="AA495" s="30">
        <f>_xll.qlTenorBasisValue(TenorBasis1M,S495,InterestRatesTrigger)</f>
        <v>6.4342138669409929E-6</v>
      </c>
      <c r="AB495" s="74">
        <f t="shared" si="37"/>
        <v>1.2558422912530124E-2</v>
      </c>
      <c r="AC495" s="76">
        <f t="shared" si="38"/>
        <v>0.99093002873025726</v>
      </c>
    </row>
    <row r="496" spans="16:29" x14ac:dyDescent="0.2">
      <c r="P496" s="33">
        <v>1</v>
      </c>
      <c r="Q496" s="27" t="str">
        <f>_xll.qlPeriodEquivalent(Q495&amp;"+"&amp;P496&amp;"M")</f>
        <v>41Y1M</v>
      </c>
      <c r="R496" s="28">
        <f>_xll.qlCalendarAdvance(Calendar,SettlementDate,Q496,"f",,Trigger)</f>
        <v>57286</v>
      </c>
      <c r="S496" s="28">
        <f>_xll.qlInterestRateIndexValueDate(Index,R496,Trigger)</f>
        <v>57290</v>
      </c>
      <c r="T496" s="28">
        <f>_xll.qlInterestRateIndexMaturity(Index,S496,Trigger)</f>
        <v>57320</v>
      </c>
      <c r="U496" s="30">
        <f>_xll.qlIndexFixing($M$5,R496,TRUE,InterestRatesTrigger)</f>
        <v>1.2506667807438809E-2</v>
      </c>
      <c r="V496" s="74">
        <f>_xll.qlIndexFixing(Index,R496,TRUE,InterestRatesTrigger)</f>
        <v>1.2621650015361752E-2</v>
      </c>
      <c r="W496" s="30">
        <f t="shared" si="36"/>
        <v>1.1498220792294234E-4</v>
      </c>
      <c r="X496" s="29">
        <f>_xll.qlDayCounterYearFraction(DayCounter,SettlementDate,S496,,,Trigger)</f>
        <v>41.697222222222223</v>
      </c>
      <c r="Y496" s="29">
        <f>_xll.qlDayCounterYearFraction(DayCounter,S496,T496)</f>
        <v>8.3333333333333329E-2</v>
      </c>
      <c r="Z496" s="29">
        <f>IF($M$13,_xll.qlYieldTSDiscount(Currency&amp;"ON",S496)/(1+V496*Y496),1)</f>
        <v>1</v>
      </c>
      <c r="AA496" s="30">
        <f>_xll.qlTenorBasisValue(TenorBasis1M,S496,InterestRatesTrigger)</f>
        <v>6.3464718775768198E-6</v>
      </c>
      <c r="AB496" s="74">
        <f t="shared" si="37"/>
        <v>1.2513014279316385E-2</v>
      </c>
      <c r="AC496" s="76">
        <f t="shared" si="38"/>
        <v>0.9913929053718693</v>
      </c>
    </row>
    <row r="497" spans="16:29" x14ac:dyDescent="0.2">
      <c r="P497" s="33">
        <v>1</v>
      </c>
      <c r="Q497" s="27" t="str">
        <f>_xll.qlPeriodEquivalent(Q496&amp;"+"&amp;P497&amp;"M")</f>
        <v>41Y2M</v>
      </c>
      <c r="R497" s="28">
        <f>_xll.qlCalendarAdvance(Calendar,SettlementDate,Q497,"f",,Trigger)</f>
        <v>57318</v>
      </c>
      <c r="S497" s="28">
        <f>_xll.qlInterestRateIndexValueDate(Index,R497,Trigger)</f>
        <v>57320</v>
      </c>
      <c r="T497" s="28">
        <f>_xll.qlInterestRateIndexMaturity(Index,S497,Trigger)</f>
        <v>57353</v>
      </c>
      <c r="U497" s="30">
        <f>_xll.qlIndexFixing($M$5,R497,TRUE,InterestRatesTrigger)</f>
        <v>1.2463394318099317E-2</v>
      </c>
      <c r="V497" s="74">
        <f>_xll.qlIndexFixing(Index,R497,TRUE,InterestRatesTrigger)</f>
        <v>1.2571833648889323E-2</v>
      </c>
      <c r="W497" s="30">
        <f t="shared" si="36"/>
        <v>1.084393307900066E-4</v>
      </c>
      <c r="X497" s="29">
        <f>_xll.qlDayCounterYearFraction(DayCounter,SettlementDate,S497,,,Trigger)</f>
        <v>41.780555555555559</v>
      </c>
      <c r="Y497" s="29">
        <f>_xll.qlDayCounterYearFraction(DayCounter,S497,T497)</f>
        <v>9.166666666666666E-2</v>
      </c>
      <c r="Z497" s="29">
        <f>IF($M$13,_xll.qlYieldTSDiscount(Currency&amp;"ON",S497)/(1+V497*Y497),1)</f>
        <v>1</v>
      </c>
      <c r="AA497" s="30">
        <f>_xll.qlTenorBasisValue(TenorBasis1M,S497,InterestRatesTrigger)</f>
        <v>6.2677207343782699E-6</v>
      </c>
      <c r="AB497" s="74">
        <f t="shared" si="37"/>
        <v>1.2469662038833694E-2</v>
      </c>
      <c r="AC497" s="76">
        <f t="shared" si="38"/>
        <v>0.99187297470606794</v>
      </c>
    </row>
    <row r="498" spans="16:29" x14ac:dyDescent="0.2">
      <c r="P498" s="33">
        <v>1</v>
      </c>
      <c r="Q498" s="27" t="str">
        <f>_xll.qlPeriodEquivalent(Q497&amp;"+"&amp;P498&amp;"M")</f>
        <v>41Y3M</v>
      </c>
      <c r="R498" s="28">
        <f>_xll.qlCalendarAdvance(Calendar,SettlementDate,Q498,"f",,Trigger)</f>
        <v>57347</v>
      </c>
      <c r="S498" s="28">
        <f>_xll.qlInterestRateIndexValueDate(Index,R498,Trigger)</f>
        <v>57349</v>
      </c>
      <c r="T498" s="28">
        <f>_xll.qlInterestRateIndexMaturity(Index,S498,Trigger)</f>
        <v>57381</v>
      </c>
      <c r="U498" s="30">
        <f>_xll.qlIndexFixing($M$5,R498,TRUE,InterestRatesTrigger)</f>
        <v>1.2424062415049286E-2</v>
      </c>
      <c r="V498" s="74">
        <f>_xll.qlIndexFixing(Index,R498,TRUE,InterestRatesTrigger)</f>
        <v>1.2526432696421119E-2</v>
      </c>
      <c r="W498" s="30">
        <f t="shared" si="36"/>
        <v>1.0237028137183302E-4</v>
      </c>
      <c r="X498" s="29">
        <f>_xll.qlDayCounterYearFraction(DayCounter,SettlementDate,S498,,,Trigger)</f>
        <v>41.861111111111114</v>
      </c>
      <c r="Y498" s="29">
        <f>_xll.qlDayCounterYearFraction(DayCounter,S498,T498)</f>
        <v>8.8888888888888892E-2</v>
      </c>
      <c r="Z498" s="29">
        <f>IF($M$13,_xll.qlYieldTSDiscount(Currency&amp;"ON",S498)/(1+V498*Y498),1)</f>
        <v>1</v>
      </c>
      <c r="AA498" s="30">
        <f>_xll.qlTenorBasisValue(TenorBasis1M,S498,InterestRatesTrigger)</f>
        <v>6.1925018709405621E-6</v>
      </c>
      <c r="AB498" s="74">
        <f t="shared" si="37"/>
        <v>1.2430254916920227E-2</v>
      </c>
      <c r="AC498" s="76">
        <f t="shared" si="38"/>
        <v>0.99232201363055494</v>
      </c>
    </row>
    <row r="499" spans="16:29" x14ac:dyDescent="0.2">
      <c r="P499" s="33">
        <v>1</v>
      </c>
      <c r="Q499" s="27" t="str">
        <f>_xll.qlPeriodEquivalent(Q498&amp;"+"&amp;P499&amp;"M")</f>
        <v>41Y4M</v>
      </c>
      <c r="R499" s="28">
        <f>_xll.qlCalendarAdvance(Calendar,SettlementDate,Q499,"f",,Trigger)</f>
        <v>57378</v>
      </c>
      <c r="S499" s="28">
        <f>_xll.qlInterestRateIndexValueDate(Index,R499,Trigger)</f>
        <v>57382</v>
      </c>
      <c r="T499" s="28">
        <f>_xll.qlInterestRateIndexMaturity(Index,S499,Trigger)</f>
        <v>57410</v>
      </c>
      <c r="U499" s="30">
        <f>_xll.qlIndexFixing($M$5,R499,TRUE,InterestRatesTrigger)</f>
        <v>1.2381339271150578E-2</v>
      </c>
      <c r="V499" s="74">
        <f>_xll.qlIndexFixing(Index,R499,TRUE,InterestRatesTrigger)</f>
        <v>1.2476959132893419E-2</v>
      </c>
      <c r="W499" s="30">
        <f t="shared" si="36"/>
        <v>9.5619861742841927E-5</v>
      </c>
      <c r="X499" s="29">
        <f>_xll.qlDayCounterYearFraction(DayCounter,SettlementDate,S499,,,Trigger)</f>
        <v>41.952777777777776</v>
      </c>
      <c r="Y499" s="29">
        <f>_xll.qlDayCounterYearFraction(DayCounter,S499,T499)</f>
        <v>7.7777777777777779E-2</v>
      </c>
      <c r="Z499" s="29">
        <f>IF($M$13,_xll.qlYieldTSDiscount(Currency&amp;"ON",S499)/(1+V499*Y499),1)</f>
        <v>1</v>
      </c>
      <c r="AA499" s="30">
        <f>_xll.qlTenorBasisValue(TenorBasis1M,S499,InterestRatesTrigger)</f>
        <v>6.1079798671276273E-6</v>
      </c>
      <c r="AB499" s="74">
        <f t="shared" si="37"/>
        <v>1.2387447251017706E-2</v>
      </c>
      <c r="AC499" s="76">
        <f t="shared" si="38"/>
        <v>0.99282582551386822</v>
      </c>
    </row>
    <row r="500" spans="16:29" x14ac:dyDescent="0.2">
      <c r="P500" s="33">
        <v>1</v>
      </c>
      <c r="Q500" s="27" t="str">
        <f>_xll.qlPeriodEquivalent(Q499&amp;"+"&amp;P500&amp;"M")</f>
        <v>41Y5M</v>
      </c>
      <c r="R500" s="28">
        <f>_xll.qlCalendarAdvance(Calendar,SettlementDate,Q500,"f",,Trigger)</f>
        <v>57406</v>
      </c>
      <c r="S500" s="28">
        <f>_xll.qlInterestRateIndexValueDate(Index,R500,Trigger)</f>
        <v>57410</v>
      </c>
      <c r="T500" s="28">
        <f>_xll.qlInterestRateIndexMaturity(Index,S500,Trigger)</f>
        <v>57441</v>
      </c>
      <c r="U500" s="30">
        <f>_xll.qlIndexFixing($M$5,R500,TRUE,InterestRatesTrigger)</f>
        <v>1.2342804876551025E-2</v>
      </c>
      <c r="V500" s="74">
        <f>_xll.qlIndexFixing(Index,R500,TRUE,InterestRatesTrigger)</f>
        <v>1.2431890818848925E-2</v>
      </c>
      <c r="W500" s="30">
        <f t="shared" si="36"/>
        <v>8.9085942297900331E-5</v>
      </c>
      <c r="X500" s="29">
        <f>_xll.qlDayCounterYearFraction(DayCounter,SettlementDate,S500,,,Trigger)</f>
        <v>42.030555555555559</v>
      </c>
      <c r="Y500" s="29">
        <f>_xll.qlDayCounterYearFraction(DayCounter,S500,T500)</f>
        <v>8.611111111111111E-2</v>
      </c>
      <c r="Z500" s="29">
        <f>IF($M$13,_xll.qlYieldTSDiscount(Currency&amp;"ON",S500)/(1+V500*Y500),1)</f>
        <v>1</v>
      </c>
      <c r="AA500" s="30">
        <f>_xll.qlTenorBasisValue(TenorBasis1M,S500,InterestRatesTrigger)</f>
        <v>6.0371485329505358E-6</v>
      </c>
      <c r="AB500" s="74">
        <f t="shared" si="37"/>
        <v>1.2348842025083975E-2</v>
      </c>
      <c r="AC500" s="76">
        <f t="shared" si="38"/>
        <v>0.99331969730308167</v>
      </c>
    </row>
    <row r="501" spans="16:29" x14ac:dyDescent="0.2">
      <c r="P501" s="33">
        <v>1</v>
      </c>
      <c r="Q501" s="27" t="str">
        <f>_xll.qlPeriodEquivalent(Q500&amp;"+"&amp;P501&amp;"M")</f>
        <v>41Y6M</v>
      </c>
      <c r="R501" s="28">
        <f>_xll.qlCalendarAdvance(Calendar,SettlementDate,Q501,"f",,Trigger)</f>
        <v>57437</v>
      </c>
      <c r="S501" s="28">
        <f>_xll.qlInterestRateIndexValueDate(Index,R501,Trigger)</f>
        <v>57439</v>
      </c>
      <c r="T501" s="28">
        <f>_xll.qlInterestRateIndexMaturity(Index,S501,Trigger)</f>
        <v>57469</v>
      </c>
      <c r="U501" s="30">
        <f>_xll.qlIndexFixing($M$5,R501,TRUE,InterestRatesTrigger)</f>
        <v>1.2305352684107262E-2</v>
      </c>
      <c r="V501" s="74">
        <f>_xll.qlIndexFixing(Index,R501,TRUE,InterestRatesTrigger)</f>
        <v>1.2387999990287391E-2</v>
      </c>
      <c r="W501" s="30">
        <f t="shared" si="36"/>
        <v>8.2647306180128055E-5</v>
      </c>
      <c r="X501" s="29">
        <f>_xll.qlDayCounterYearFraction(DayCounter,SettlementDate,S501,,,Trigger)</f>
        <v>42.111111111111114</v>
      </c>
      <c r="Y501" s="29">
        <f>_xll.qlDayCounterYearFraction(DayCounter,S501,T501)</f>
        <v>8.3333333333333329E-2</v>
      </c>
      <c r="Z501" s="29">
        <f>IF($M$13,_xll.qlYieldTSDiscount(Currency&amp;"ON",S501)/(1+V501*Y501),1)</f>
        <v>1</v>
      </c>
      <c r="AA501" s="30">
        <f>_xll.qlTenorBasisValue(TenorBasis1M,S501,InterestRatesTrigger)</f>
        <v>5.9646332925985818E-6</v>
      </c>
      <c r="AB501" s="74">
        <f t="shared" si="37"/>
        <v>1.231131731739986E-2</v>
      </c>
      <c r="AC501" s="76">
        <f t="shared" si="38"/>
        <v>0.99380992307493932</v>
      </c>
    </row>
    <row r="502" spans="16:29" x14ac:dyDescent="0.2">
      <c r="P502" s="33">
        <v>1</v>
      </c>
      <c r="Q502" s="27" t="str">
        <f>_xll.qlPeriodEquivalent(Q501&amp;"+"&amp;P502&amp;"M")</f>
        <v>41Y7M</v>
      </c>
      <c r="R502" s="28">
        <f>_xll.qlCalendarAdvance(Calendar,SettlementDate,Q502,"f",,Trigger)</f>
        <v>57467</v>
      </c>
      <c r="S502" s="28">
        <f>_xll.qlInterestRateIndexValueDate(Index,R502,Trigger)</f>
        <v>57469</v>
      </c>
      <c r="T502" s="28">
        <f>_xll.qlInterestRateIndexMaturity(Index,S502,Trigger)</f>
        <v>57500</v>
      </c>
      <c r="U502" s="30">
        <f>_xll.qlIndexFixing($M$5,R502,TRUE,InterestRatesTrigger)</f>
        <v>1.2266375695600497E-2</v>
      </c>
      <c r="V502" s="74">
        <f>_xll.qlIndexFixing(Index,R502,TRUE,InterestRatesTrigger)</f>
        <v>1.2342018294017723E-2</v>
      </c>
      <c r="W502" s="30">
        <f t="shared" si="36"/>
        <v>7.5642598417226259E-5</v>
      </c>
      <c r="X502" s="29">
        <f>_xll.qlDayCounterYearFraction(DayCounter,SettlementDate,S502,,,Trigger)</f>
        <v>42.194444444444443</v>
      </c>
      <c r="Y502" s="29">
        <f>_xll.qlDayCounterYearFraction(DayCounter,S502,T502)</f>
        <v>8.611111111111111E-2</v>
      </c>
      <c r="Z502" s="29">
        <f>IF($M$13,_xll.qlYieldTSDiscount(Currency&amp;"ON",S502)/(1+V502*Y502),1)</f>
        <v>1</v>
      </c>
      <c r="AA502" s="30">
        <f>_xll.qlTenorBasisValue(TenorBasis1M,S502,InterestRatesTrigger)</f>
        <v>5.8905128944984358E-6</v>
      </c>
      <c r="AB502" s="74">
        <f t="shared" si="37"/>
        <v>1.2272266208494996E-2</v>
      </c>
      <c r="AC502" s="76">
        <f t="shared" si="38"/>
        <v>0.99434840527205048</v>
      </c>
    </row>
    <row r="503" spans="16:29" x14ac:dyDescent="0.2">
      <c r="P503" s="33">
        <v>1</v>
      </c>
      <c r="Q503" s="27" t="str">
        <f>_xll.qlPeriodEquivalent(Q502&amp;"+"&amp;P503&amp;"M")</f>
        <v>41Y8M</v>
      </c>
      <c r="R503" s="28">
        <f>_xll.qlCalendarAdvance(Calendar,SettlementDate,Q503,"f",,Trigger)</f>
        <v>57500</v>
      </c>
      <c r="S503" s="28">
        <f>_xll.qlInterestRateIndexValueDate(Index,R503,Trigger)</f>
        <v>57502</v>
      </c>
      <c r="T503" s="28">
        <f>_xll.qlInterestRateIndexMaturity(Index,S503,Trigger)</f>
        <v>57532</v>
      </c>
      <c r="U503" s="30">
        <f>_xll.qlIndexFixing($M$5,R503,TRUE,InterestRatesTrigger)</f>
        <v>1.2225163289929064E-2</v>
      </c>
      <c r="V503" s="74">
        <f>_xll.qlIndexFixing(Index,R503,TRUE,InterestRatesTrigger)</f>
        <v>1.2293208371930042E-2</v>
      </c>
      <c r="W503" s="30">
        <f t="shared" si="36"/>
        <v>6.8045082000978141E-5</v>
      </c>
      <c r="X503" s="29">
        <f>_xll.qlDayCounterYearFraction(DayCounter,SettlementDate,S503,,,Trigger)</f>
        <v>42.286111111111111</v>
      </c>
      <c r="Y503" s="29">
        <f>_xll.qlDayCounterYearFraction(DayCounter,S503,T503)</f>
        <v>8.3333333333333329E-2</v>
      </c>
      <c r="Z503" s="29">
        <f>IF($M$13,_xll.qlYieldTSDiscount(Currency&amp;"ON",S503)/(1+V503*Y503),1)</f>
        <v>1</v>
      </c>
      <c r="AA503" s="30">
        <f>_xll.qlTenorBasisValue(TenorBasis1M,S503,InterestRatesTrigger)</f>
        <v>5.810019506664663E-6</v>
      </c>
      <c r="AB503" s="74">
        <f t="shared" si="37"/>
        <v>1.2230973309435728E-2</v>
      </c>
      <c r="AC503" s="76">
        <f t="shared" si="38"/>
        <v>0.99493744345565471</v>
      </c>
    </row>
    <row r="504" spans="16:29" x14ac:dyDescent="0.2">
      <c r="P504" s="33">
        <v>1</v>
      </c>
      <c r="Q504" s="27" t="str">
        <f>_xll.qlPeriodEquivalent(Q503&amp;"+"&amp;P504&amp;"M")</f>
        <v>41Y9M</v>
      </c>
      <c r="R504" s="28">
        <f>_xll.qlCalendarAdvance(Calendar,SettlementDate,Q504,"f",,Trigger)</f>
        <v>57528</v>
      </c>
      <c r="S504" s="28">
        <f>_xll.qlInterestRateIndexValueDate(Index,R504,Trigger)</f>
        <v>57530</v>
      </c>
      <c r="T504" s="28">
        <f>_xll.qlInterestRateIndexMaturity(Index,S504,Trigger)</f>
        <v>57563</v>
      </c>
      <c r="U504" s="30">
        <f>_xll.qlIndexFixing($M$5,R504,TRUE,InterestRatesTrigger)</f>
        <v>1.2189246226535552E-2</v>
      </c>
      <c r="V504" s="74">
        <f>_xll.qlIndexFixing(Index,R504,TRUE,InterestRatesTrigger)</f>
        <v>1.2250293789242342E-2</v>
      </c>
      <c r="W504" s="30">
        <f t="shared" si="36"/>
        <v>6.1047562706790723E-5</v>
      </c>
      <c r="X504" s="29">
        <f>_xll.qlDayCounterYearFraction(DayCounter,SettlementDate,S504,,,Trigger)</f>
        <v>42.363888888888887</v>
      </c>
      <c r="Y504" s="29">
        <f>_xll.qlDayCounterYearFraction(DayCounter,S504,T504)</f>
        <v>9.166666666666666E-2</v>
      </c>
      <c r="Z504" s="29">
        <f>IF($M$13,_xll.qlYieldTSDiscount(Currency&amp;"ON",S504)/(1+V504*Y504),1)</f>
        <v>1</v>
      </c>
      <c r="AA504" s="30">
        <f>_xll.qlTenorBasisValue(TenorBasis1M,S504,InterestRatesTrigger)</f>
        <v>5.7425655704113151E-6</v>
      </c>
      <c r="AB504" s="74">
        <f t="shared" si="37"/>
        <v>1.2194988792105963E-2</v>
      </c>
      <c r="AC504" s="76">
        <f t="shared" si="38"/>
        <v>0.99548541462859075</v>
      </c>
    </row>
    <row r="505" spans="16:29" x14ac:dyDescent="0.2">
      <c r="P505" s="33">
        <v>1</v>
      </c>
      <c r="Q505" s="27" t="str">
        <f>_xll.qlPeriodEquivalent(Q504&amp;"+"&amp;P505&amp;"M")</f>
        <v>41Y10M</v>
      </c>
      <c r="R505" s="28">
        <f>_xll.qlCalendarAdvance(Calendar,SettlementDate,Q505,"f",,Trigger)</f>
        <v>57559</v>
      </c>
      <c r="S505" s="28">
        <f>_xll.qlInterestRateIndexValueDate(Index,R505,Trigger)</f>
        <v>57563</v>
      </c>
      <c r="T505" s="28">
        <f>_xll.qlInterestRateIndexMaturity(Index,S505,Trigger)</f>
        <v>57594</v>
      </c>
      <c r="U505" s="30">
        <f>_xll.qlIndexFixing($M$5,R505,TRUE,InterestRatesTrigger)</f>
        <v>1.2149916436071625E-2</v>
      </c>
      <c r="V505" s="74">
        <f>_xll.qlIndexFixing(Index,R505,TRUE,InterestRatesTrigger)</f>
        <v>1.2203253894658221E-2</v>
      </c>
      <c r="W505" s="30">
        <f t="shared" si="36"/>
        <v>5.3337458586596304E-5</v>
      </c>
      <c r="X505" s="29">
        <f>_xll.qlDayCounterYearFraction(DayCounter,SettlementDate,S505,,,Trigger)</f>
        <v>42.455555555555556</v>
      </c>
      <c r="Y505" s="29">
        <f>_xll.qlDayCounterYearFraction(DayCounter,S505,T505)</f>
        <v>8.611111111111111E-2</v>
      </c>
      <c r="Z505" s="29">
        <f>IF($M$13,_xll.qlYieldTSDiscount(Currency&amp;"ON",S505)/(1+V505*Y505),1)</f>
        <v>1</v>
      </c>
      <c r="AA505" s="30">
        <f>_xll.qlTenorBasisValue(TenorBasis1M,S505,InterestRatesTrigger)</f>
        <v>5.6640481844006752E-6</v>
      </c>
      <c r="AB505" s="74">
        <f t="shared" si="37"/>
        <v>1.2155580484256025E-2</v>
      </c>
      <c r="AC505" s="76">
        <f t="shared" si="38"/>
        <v>0.99609338535330605</v>
      </c>
    </row>
    <row r="506" spans="16:29" x14ac:dyDescent="0.2">
      <c r="P506" s="33">
        <v>1</v>
      </c>
      <c r="Q506" s="27" t="str">
        <f>_xll.qlPeriodEquivalent(Q505&amp;"+"&amp;P506&amp;"M")</f>
        <v>41Y11M</v>
      </c>
      <c r="R506" s="28">
        <f>_xll.qlCalendarAdvance(Calendar,SettlementDate,Q506,"f",,Trigger)</f>
        <v>57591</v>
      </c>
      <c r="S506" s="28">
        <f>_xll.qlInterestRateIndexValueDate(Index,R506,Trigger)</f>
        <v>57593</v>
      </c>
      <c r="T506" s="28">
        <f>_xll.qlInterestRateIndexMaturity(Index,S506,Trigger)</f>
        <v>57623</v>
      </c>
      <c r="U506" s="30">
        <f>_xll.qlIndexFixing($M$5,R506,TRUE,InterestRatesTrigger)</f>
        <v>1.2114507324050727E-2</v>
      </c>
      <c r="V506" s="74">
        <f>_xll.qlIndexFixing(Index,R506,TRUE,InterestRatesTrigger)</f>
        <v>1.2160643796967463E-2</v>
      </c>
      <c r="W506" s="30">
        <f t="shared" si="36"/>
        <v>4.6136472916735727E-5</v>
      </c>
      <c r="X506" s="29">
        <f>_xll.qlDayCounterYearFraction(DayCounter,SettlementDate,S506,,,Trigger)</f>
        <v>42.538888888888891</v>
      </c>
      <c r="Y506" s="29">
        <f>_xll.qlDayCounterYearFraction(DayCounter,S506,T506)</f>
        <v>8.3333333333333329E-2</v>
      </c>
      <c r="Z506" s="29">
        <f>IF($M$13,_xll.qlYieldTSDiscount(Currency&amp;"ON",S506)/(1+V506*Y506),1)</f>
        <v>1</v>
      </c>
      <c r="AA506" s="30">
        <f>_xll.qlTenorBasisValue(TenorBasis1M,S506,InterestRatesTrigger)</f>
        <v>5.593579672609132E-6</v>
      </c>
      <c r="AB506" s="74">
        <f t="shared" si="37"/>
        <v>1.2120100903723336E-2</v>
      </c>
      <c r="AC506" s="76">
        <f t="shared" si="38"/>
        <v>0.99666605700150201</v>
      </c>
    </row>
    <row r="507" spans="16:29" x14ac:dyDescent="0.2">
      <c r="P507" s="33">
        <v>1</v>
      </c>
      <c r="Q507" s="27" t="str">
        <f>_xll.qlPeriodEquivalent(Q506&amp;"+"&amp;P507&amp;"M")</f>
        <v>42Y</v>
      </c>
      <c r="R507" s="28">
        <f>_xll.qlCalendarAdvance(Calendar,SettlementDate,Q507,"f",,Trigger)</f>
        <v>57620</v>
      </c>
      <c r="S507" s="28">
        <f>_xll.qlInterestRateIndexValueDate(Index,R507,Trigger)</f>
        <v>57622</v>
      </c>
      <c r="T507" s="28">
        <f>_xll.qlInterestRateIndexMaturity(Index,S507,Trigger)</f>
        <v>57654</v>
      </c>
      <c r="U507" s="30">
        <f>_xll.qlIndexFixing($M$5,R507,TRUE,InterestRatesTrigger)</f>
        <v>1.2079776292268363E-2</v>
      </c>
      <c r="V507" s="74">
        <f>_xll.qlIndexFixing(Index,R507,TRUE,InterestRatesTrigger)</f>
        <v>1.2118505906159316E-2</v>
      </c>
      <c r="W507" s="30">
        <f t="shared" si="36"/>
        <v>3.8729613890953196E-5</v>
      </c>
      <c r="X507" s="29">
        <f>_xll.qlDayCounterYearFraction(DayCounter,SettlementDate,S507,,,Trigger)</f>
        <v>42.619444444444447</v>
      </c>
      <c r="Y507" s="29">
        <f>_xll.qlDayCounterYearFraction(DayCounter,S507,T507)</f>
        <v>8.8888888888888892E-2</v>
      </c>
      <c r="Z507" s="29">
        <f>IF($M$13,_xll.qlYieldTSDiscount(Currency&amp;"ON",S507)/(1+V507*Y507),1)</f>
        <v>1</v>
      </c>
      <c r="AA507" s="30">
        <f>_xll.qlTenorBasisValue(TenorBasis1M,S507,InterestRatesTrigger)</f>
        <v>5.5262748410726547E-6</v>
      </c>
      <c r="AB507" s="74">
        <f t="shared" si="37"/>
        <v>1.2085302567109435E-2</v>
      </c>
      <c r="AC507" s="76">
        <f t="shared" si="38"/>
        <v>0.99726011281365923</v>
      </c>
    </row>
    <row r="508" spans="16:29" x14ac:dyDescent="0.2">
      <c r="P508" s="33">
        <v>1</v>
      </c>
      <c r="Q508" s="27" t="str">
        <f>_xll.qlPeriodEquivalent(Q507&amp;"+"&amp;P508&amp;"M")</f>
        <v>42Y1M</v>
      </c>
      <c r="R508" s="28">
        <f>_xll.qlCalendarAdvance(Calendar,SettlementDate,Q508,"f",,Trigger)</f>
        <v>57651</v>
      </c>
      <c r="S508" s="28">
        <f>_xll.qlInterestRateIndexValueDate(Index,R508,Trigger)</f>
        <v>57655</v>
      </c>
      <c r="T508" s="28">
        <f>_xll.qlInterestRateIndexMaturity(Index,S508,Trigger)</f>
        <v>57685</v>
      </c>
      <c r="U508" s="30">
        <f>_xll.qlIndexFixing($M$5,R508,TRUE,InterestRatesTrigger)</f>
        <v>1.2042616953801932E-2</v>
      </c>
      <c r="V508" s="74">
        <f>_xll.qlIndexFixing(Index,R508,TRUE,InterestRatesTrigger)</f>
        <v>1.2073351073848215E-2</v>
      </c>
      <c r="W508" s="30">
        <f t="shared" si="36"/>
        <v>3.0734120046282953E-5</v>
      </c>
      <c r="X508" s="29">
        <f>_xll.qlDayCounterYearFraction(DayCounter,SettlementDate,S508,,,Trigger)</f>
        <v>42.711111111111109</v>
      </c>
      <c r="Y508" s="29">
        <f>_xll.qlDayCounterYearFraction(DayCounter,S508,T508)</f>
        <v>8.3333333333333329E-2</v>
      </c>
      <c r="Z508" s="29">
        <f>IF($M$13,_xll.qlYieldTSDiscount(Currency&amp;"ON",S508)/(1+V508*Y508),1)</f>
        <v>1</v>
      </c>
      <c r="AA508" s="30">
        <f>_xll.qlTenorBasisValue(TenorBasis1M,S508,InterestRatesTrigger)</f>
        <v>5.4506491002317065E-6</v>
      </c>
      <c r="AB508" s="74">
        <f t="shared" si="37"/>
        <v>1.2048067602902165E-2</v>
      </c>
      <c r="AC508" s="76">
        <f t="shared" si="38"/>
        <v>0.99790584479889632</v>
      </c>
    </row>
    <row r="509" spans="16:29" x14ac:dyDescent="0.2">
      <c r="P509" s="33">
        <v>1</v>
      </c>
      <c r="Q509" s="27" t="str">
        <f>_xll.qlPeriodEquivalent(Q508&amp;"+"&amp;P509&amp;"M")</f>
        <v>42Y2M</v>
      </c>
      <c r="R509" s="28">
        <f>_xll.qlCalendarAdvance(Calendar,SettlementDate,Q509,"f",,Trigger)</f>
        <v>57682</v>
      </c>
      <c r="S509" s="28">
        <f>_xll.qlInterestRateIndexValueDate(Index,R509,Trigger)</f>
        <v>57684</v>
      </c>
      <c r="T509" s="28">
        <f>_xll.qlInterestRateIndexMaturity(Index,S509,Trigger)</f>
        <v>57717</v>
      </c>
      <c r="U509" s="30">
        <f>_xll.qlIndexFixing($M$5,R509,TRUE,InterestRatesTrigger)</f>
        <v>1.2008899393572263E-2</v>
      </c>
      <c r="V509" s="74">
        <f>_xll.qlIndexFixing(Index,R509,TRUE,InterestRatesTrigger)</f>
        <v>1.2031936270630343E-2</v>
      </c>
      <c r="W509" s="30">
        <f t="shared" si="36"/>
        <v>2.3036877058079525E-5</v>
      </c>
      <c r="X509" s="29">
        <f>_xll.qlDayCounterYearFraction(DayCounter,SettlementDate,S509,,,Trigger)</f>
        <v>42.791666666666664</v>
      </c>
      <c r="Y509" s="29">
        <f>_xll.qlDayCounterYearFraction(DayCounter,S509,T509)</f>
        <v>9.166666666666666E-2</v>
      </c>
      <c r="Z509" s="29">
        <f>IF($M$13,_xll.qlYieldTSDiscount(Currency&amp;"ON",S509)/(1+V509*Y509),1)</f>
        <v>1</v>
      </c>
      <c r="AA509" s="30">
        <f>_xll.qlTenorBasisValue(TenorBasis1M,S509,InterestRatesTrigger)</f>
        <v>5.3850258810221976E-6</v>
      </c>
      <c r="AB509" s="74">
        <f t="shared" si="37"/>
        <v>1.2014284419453285E-2</v>
      </c>
      <c r="AC509" s="76">
        <f t="shared" si="38"/>
        <v>0.99853291683233514</v>
      </c>
    </row>
    <row r="510" spans="16:29" x14ac:dyDescent="0.2">
      <c r="P510" s="33">
        <v>1</v>
      </c>
      <c r="Q510" s="27" t="str">
        <f>_xll.qlPeriodEquivalent(Q509&amp;"+"&amp;P510&amp;"M")</f>
        <v>42Y3M</v>
      </c>
      <c r="R510" s="28">
        <f>_xll.qlCalendarAdvance(Calendar,SettlementDate,Q510,"f",,Trigger)</f>
        <v>57712</v>
      </c>
      <c r="S510" s="28">
        <f>_xll.qlInterestRateIndexValueDate(Index,R510,Trigger)</f>
        <v>57714</v>
      </c>
      <c r="T510" s="28">
        <f>_xll.qlInterestRateIndexMaturity(Index,S510,Trigger)</f>
        <v>57745</v>
      </c>
      <c r="U510" s="30">
        <f>_xll.qlIndexFixing($M$5,R510,TRUE,InterestRatesTrigger)</f>
        <v>1.1976494919546343E-2</v>
      </c>
      <c r="V510" s="74">
        <f>_xll.qlIndexFixing(Index,R510,TRUE,InterestRatesTrigger)</f>
        <v>1.1992143419734895E-2</v>
      </c>
      <c r="W510" s="30">
        <f t="shared" si="36"/>
        <v>1.5648500188552086E-5</v>
      </c>
      <c r="X510" s="29">
        <f>_xll.qlDayCounterYearFraction(DayCounter,SettlementDate,S510,,,Trigger)</f>
        <v>42.875</v>
      </c>
      <c r="Y510" s="29">
        <f>_xll.qlDayCounterYearFraction(DayCounter,S510,T510)</f>
        <v>8.611111111111111E-2</v>
      </c>
      <c r="Z510" s="29">
        <f>IF($M$13,_xll.qlYieldTSDiscount(Currency&amp;"ON",S510)/(1+V510*Y510),1)</f>
        <v>1</v>
      </c>
      <c r="AA510" s="30">
        <f>_xll.qlTenorBasisValue(TenorBasis1M,S510,InterestRatesTrigger)</f>
        <v>5.3179526218741894E-6</v>
      </c>
      <c r="AB510" s="74">
        <f t="shared" si="37"/>
        <v>1.1981812872168218E-2</v>
      </c>
      <c r="AC510" s="76">
        <f t="shared" si="38"/>
        <v>0.99913855703646137</v>
      </c>
    </row>
    <row r="511" spans="16:29" x14ac:dyDescent="0.2">
      <c r="P511" s="33">
        <v>1</v>
      </c>
      <c r="Q511" s="27" t="str">
        <f>_xll.qlPeriodEquivalent(Q510&amp;"+"&amp;P511&amp;"M")</f>
        <v>42Y4M</v>
      </c>
      <c r="R511" s="28">
        <f>_xll.qlCalendarAdvance(Calendar,SettlementDate,Q511,"f",,Trigger)</f>
        <v>57745</v>
      </c>
      <c r="S511" s="28">
        <f>_xll.qlInterestRateIndexValueDate(Index,R511,Trigger)</f>
        <v>57747</v>
      </c>
      <c r="T511" s="28">
        <f>_xll.qlInterestRateIndexMaturity(Index,S511,Trigger)</f>
        <v>57775</v>
      </c>
      <c r="U511" s="30">
        <f>_xll.qlIndexFixing($M$5,R511,TRUE,InterestRatesTrigger)</f>
        <v>1.1941840190401771E-2</v>
      </c>
      <c r="V511" s="74">
        <f>_xll.qlIndexFixing(Index,R511,TRUE,InterestRatesTrigger)</f>
        <v>1.1949397162161559E-2</v>
      </c>
      <c r="W511" s="30">
        <f t="shared" si="36"/>
        <v>7.5569717597877978E-6</v>
      </c>
      <c r="X511" s="29">
        <f>_xll.qlDayCounterYearFraction(DayCounter,SettlementDate,S511,,,Trigger)</f>
        <v>42.966666666666669</v>
      </c>
      <c r="Y511" s="29">
        <f>_xll.qlDayCounterYearFraction(DayCounter,S511,T511)</f>
        <v>7.7777777777777779E-2</v>
      </c>
      <c r="Z511" s="29">
        <f>IF($M$13,_xll.qlYieldTSDiscount(Currency&amp;"ON",S511)/(1+V511*Y511),1)</f>
        <v>1</v>
      </c>
      <c r="AA511" s="30">
        <f>_xll.qlTenorBasisValue(TenorBasis1M,S511,InterestRatesTrigger)</f>
        <v>5.2451152518645821E-6</v>
      </c>
      <c r="AB511" s="74">
        <f t="shared" si="37"/>
        <v>1.1947085305653636E-2</v>
      </c>
      <c r="AC511" s="76">
        <f t="shared" si="38"/>
        <v>0.99980652944441051</v>
      </c>
    </row>
    <row r="512" spans="16:29" x14ac:dyDescent="0.2">
      <c r="P512" s="33">
        <v>1</v>
      </c>
      <c r="Q512" s="27" t="str">
        <f>_xll.qlPeriodEquivalent(Q511&amp;"+"&amp;P512&amp;"M")</f>
        <v>42Y5M</v>
      </c>
      <c r="R512" s="28">
        <f>_xll.qlCalendarAdvance(Calendar,SettlementDate,Q512,"f",,Trigger)</f>
        <v>57773</v>
      </c>
      <c r="S512" s="28">
        <f>_xll.qlInterestRateIndexValueDate(Index,R512,Trigger)</f>
        <v>57775</v>
      </c>
      <c r="T512" s="28">
        <f>_xll.qlInterestRateIndexMaturity(Index,S512,Trigger)</f>
        <v>57808</v>
      </c>
      <c r="U512" s="30">
        <f>_xll.qlIndexFixing($M$5,R512,TRUE,InterestRatesTrigger)</f>
        <v>1.1910561407408468E-2</v>
      </c>
      <c r="V512" s="74">
        <f>_xll.qlIndexFixing(Index,R512,TRUE,InterestRatesTrigger)</f>
        <v>1.1910223787125222E-2</v>
      </c>
      <c r="W512" s="30">
        <f t="shared" si="36"/>
        <v>-3.3762028324620108E-7</v>
      </c>
      <c r="X512" s="29">
        <f>_xll.qlDayCounterYearFraction(DayCounter,SettlementDate,S512,,,Trigger)</f>
        <v>43.044444444444444</v>
      </c>
      <c r="Y512" s="29">
        <f>_xll.qlDayCounterYearFraction(DayCounter,S512,T512)</f>
        <v>9.166666666666666E-2</v>
      </c>
      <c r="Z512" s="29">
        <f>IF($M$13,_xll.qlYieldTSDiscount(Currency&amp;"ON",S512)/(1+V512*Y512),1)</f>
        <v>1</v>
      </c>
      <c r="AA512" s="30">
        <f>_xll.qlTenorBasisValue(TenorBasis1M,S512,InterestRatesTrigger)</f>
        <v>5.1840794920463621E-6</v>
      </c>
      <c r="AB512" s="74">
        <f t="shared" si="37"/>
        <v>1.1915745486900515E-2</v>
      </c>
      <c r="AC512" s="76">
        <f t="shared" si="38"/>
        <v>1.0004636100776931</v>
      </c>
    </row>
    <row r="513" spans="16:29" x14ac:dyDescent="0.2">
      <c r="P513" s="33">
        <v>1</v>
      </c>
      <c r="Q513" s="27" t="str">
        <f>_xll.qlPeriodEquivalent(Q512&amp;"+"&amp;P513&amp;"M")</f>
        <v>42Y6M</v>
      </c>
      <c r="R513" s="28">
        <f>_xll.qlCalendarAdvance(Calendar,SettlementDate,Q513,"f",,Trigger)</f>
        <v>57802</v>
      </c>
      <c r="S513" s="28">
        <f>_xll.qlInterestRateIndexValueDate(Index,R513,Trigger)</f>
        <v>57804</v>
      </c>
      <c r="T513" s="28">
        <f>_xll.qlInterestRateIndexMaturity(Index,S513,Trigger)</f>
        <v>57836</v>
      </c>
      <c r="U513" s="30">
        <f>_xll.qlIndexFixing($M$5,R513,TRUE,InterestRatesTrigger)</f>
        <v>1.1880822525886792E-2</v>
      </c>
      <c r="V513" s="74">
        <f>_xll.qlIndexFixing(Index,R513,TRUE,InterestRatesTrigger)</f>
        <v>1.187306018894857E-2</v>
      </c>
      <c r="W513" s="30">
        <f t="shared" si="36"/>
        <v>-7.7623369382218144E-6</v>
      </c>
      <c r="X513" s="29">
        <f>_xll.qlDayCounterYearFraction(DayCounter,SettlementDate,S513,,,Trigger)</f>
        <v>43.125</v>
      </c>
      <c r="Y513" s="29">
        <f>_xll.qlDayCounterYearFraction(DayCounter,S513,T513)</f>
        <v>8.8888888888888892E-2</v>
      </c>
      <c r="Z513" s="29">
        <f>IF($M$13,_xll.qlYieldTSDiscount(Currency&amp;"ON",S513)/(1+V513*Y513),1)</f>
        <v>1</v>
      </c>
      <c r="AA513" s="30">
        <f>_xll.qlTenorBasisValue(TenorBasis1M,S513,InterestRatesTrigger)</f>
        <v>5.1215961179093318E-6</v>
      </c>
      <c r="AB513" s="74">
        <f t="shared" si="37"/>
        <v>1.18859441220047E-2</v>
      </c>
      <c r="AC513" s="76">
        <f t="shared" si="38"/>
        <v>1.0010851400440237</v>
      </c>
    </row>
    <row r="514" spans="16:29" x14ac:dyDescent="0.2">
      <c r="P514" s="33">
        <v>1</v>
      </c>
      <c r="Q514" s="27" t="str">
        <f>_xll.qlPeriodEquivalent(Q513&amp;"+"&amp;P514&amp;"M")</f>
        <v>42Y7M</v>
      </c>
      <c r="R514" s="28">
        <f>_xll.qlCalendarAdvance(Calendar,SettlementDate,Q514,"f",,Trigger)</f>
        <v>57832</v>
      </c>
      <c r="S514" s="28">
        <f>_xll.qlInterestRateIndexValueDate(Index,R514,Trigger)</f>
        <v>57836</v>
      </c>
      <c r="T514" s="28">
        <f>_xll.qlInterestRateIndexMaturity(Index,S514,Trigger)</f>
        <v>57867</v>
      </c>
      <c r="U514" s="30">
        <f>_xll.qlIndexFixing($M$5,R514,TRUE,InterestRatesTrigger)</f>
        <v>1.1848673944549668E-2</v>
      </c>
      <c r="V514" s="74">
        <f>_xll.qlIndexFixing(Index,R514,TRUE,InterestRatesTrigger)</f>
        <v>1.1832658529965475E-2</v>
      </c>
      <c r="W514" s="30">
        <f t="shared" si="36"/>
        <v>-1.6015414584192797E-5</v>
      </c>
      <c r="X514" s="29">
        <f>_xll.qlDayCounterYearFraction(DayCounter,SettlementDate,S514,,,Trigger)</f>
        <v>43.213888888888889</v>
      </c>
      <c r="Y514" s="29">
        <f>_xll.qlDayCounterYearFraction(DayCounter,S514,T514)</f>
        <v>8.611111111111111E-2</v>
      </c>
      <c r="Z514" s="29">
        <f>IF($M$13,_xll.qlYieldTSDiscount(Currency&amp;"ON",S514)/(1+V514*Y514),1)</f>
        <v>1</v>
      </c>
      <c r="AA514" s="30">
        <f>_xll.qlTenorBasisValue(TenorBasis1M,S514,InterestRatesTrigger)</f>
        <v>5.0535035220798429E-6</v>
      </c>
      <c r="AB514" s="74">
        <f t="shared" si="37"/>
        <v>1.1853727448071748E-2</v>
      </c>
      <c r="AC514" s="76">
        <f t="shared" si="38"/>
        <v>1.0017805734909797</v>
      </c>
    </row>
    <row r="515" spans="16:29" x14ac:dyDescent="0.2">
      <c r="P515" s="33">
        <v>1</v>
      </c>
      <c r="Q515" s="27" t="str">
        <f>_xll.qlPeriodEquivalent(Q514&amp;"+"&amp;P515&amp;"M")</f>
        <v>42Y8M</v>
      </c>
      <c r="R515" s="28">
        <f>_xll.qlCalendarAdvance(Calendar,SettlementDate,Q515,"f",,Trigger)</f>
        <v>57864</v>
      </c>
      <c r="S515" s="28">
        <f>_xll.qlInterestRateIndexValueDate(Index,R515,Trigger)</f>
        <v>57866</v>
      </c>
      <c r="T515" s="28">
        <f>_xll.qlInterestRateIndexMaturity(Index,S515,Trigger)</f>
        <v>57896</v>
      </c>
      <c r="U515" s="30">
        <f>_xll.qlIndexFixing($M$5,R515,TRUE,InterestRatesTrigger)</f>
        <v>1.1819220292000665E-2</v>
      </c>
      <c r="V515" s="74">
        <f>_xll.qlIndexFixing(Index,R515,TRUE,InterestRatesTrigger)</f>
        <v>1.1795437365740291E-2</v>
      </c>
      <c r="W515" s="30">
        <f t="shared" si="36"/>
        <v>-2.3782926260373927E-5</v>
      </c>
      <c r="X515" s="29">
        <f>_xll.qlDayCounterYearFraction(DayCounter,SettlementDate,S515,,,Trigger)</f>
        <v>43.297222222222224</v>
      </c>
      <c r="Y515" s="29">
        <f>_xll.qlDayCounterYearFraction(DayCounter,S515,T515)</f>
        <v>8.3333333333333329E-2</v>
      </c>
      <c r="Z515" s="29">
        <f>IF($M$13,_xll.qlYieldTSDiscount(Currency&amp;"ON",S515)/(1+V515*Y515),1)</f>
        <v>1</v>
      </c>
      <c r="AA515" s="30">
        <f>_xll.qlTenorBasisValue(TenorBasis1M,S515,InterestRatesTrigger)</f>
        <v>4.9904712747530543E-6</v>
      </c>
      <c r="AB515" s="74">
        <f t="shared" si="37"/>
        <v>1.1824210763275418E-2</v>
      </c>
      <c r="AC515" s="76">
        <f t="shared" si="38"/>
        <v>1.0024393667350309</v>
      </c>
    </row>
    <row r="516" spans="16:29" x14ac:dyDescent="0.2">
      <c r="P516" s="33">
        <v>1</v>
      </c>
      <c r="Q516" s="27" t="str">
        <f>_xll.qlPeriodEquivalent(Q515&amp;"+"&amp;P516&amp;"M")</f>
        <v>42Y9M</v>
      </c>
      <c r="R516" s="28">
        <f>_xll.qlCalendarAdvance(Calendar,SettlementDate,Q516,"f",,Trigger)</f>
        <v>57893</v>
      </c>
      <c r="S516" s="28">
        <f>_xll.qlInterestRateIndexValueDate(Index,R516,Trigger)</f>
        <v>57895</v>
      </c>
      <c r="T516" s="28">
        <f>_xll.qlInterestRateIndexMaturity(Index,S516,Trigger)</f>
        <v>57927</v>
      </c>
      <c r="U516" s="30">
        <f>_xll.qlIndexFixing($M$5,R516,TRUE,InterestRatesTrigger)</f>
        <v>1.1790516236417914E-2</v>
      </c>
      <c r="V516" s="74">
        <f>_xll.qlIndexFixing(Index,R516,TRUE,InterestRatesTrigger)</f>
        <v>1.1758798746500931E-2</v>
      </c>
      <c r="W516" s="30">
        <f t="shared" si="36"/>
        <v>-3.1717489916982533E-5</v>
      </c>
      <c r="X516" s="29">
        <f>_xll.qlDayCounterYearFraction(DayCounter,SettlementDate,S516,,,Trigger)</f>
        <v>43.37777777777778</v>
      </c>
      <c r="Y516" s="29">
        <f>_xll.qlDayCounterYearFraction(DayCounter,S516,T516)</f>
        <v>8.8888888888888892E-2</v>
      </c>
      <c r="Z516" s="29">
        <f>IF($M$13,_xll.qlYieldTSDiscount(Currency&amp;"ON",S516)/(1+V516*Y516),1)</f>
        <v>1</v>
      </c>
      <c r="AA516" s="30">
        <f>_xll.qlTenorBasisValue(TenorBasis1M,S516,InterestRatesTrigger)</f>
        <v>4.9302713562610224E-6</v>
      </c>
      <c r="AB516" s="74">
        <f t="shared" si="37"/>
        <v>1.1795446507774174E-2</v>
      </c>
      <c r="AC516" s="76">
        <f t="shared" si="38"/>
        <v>1.0031166245858361</v>
      </c>
    </row>
    <row r="517" spans="16:29" x14ac:dyDescent="0.2">
      <c r="P517" s="33">
        <v>1</v>
      </c>
      <c r="Q517" s="27" t="str">
        <f>_xll.qlPeriodEquivalent(Q516&amp;"+"&amp;P517&amp;"M")</f>
        <v>42Y10M</v>
      </c>
      <c r="R517" s="28">
        <f>_xll.qlCalendarAdvance(Calendar,SettlementDate,Q517,"f",,Trigger)</f>
        <v>57924</v>
      </c>
      <c r="S517" s="28">
        <f>_xll.qlInterestRateIndexValueDate(Index,R517,Trigger)</f>
        <v>57928</v>
      </c>
      <c r="T517" s="28">
        <f>_xll.qlInterestRateIndexMaturity(Index,S517,Trigger)</f>
        <v>57959</v>
      </c>
      <c r="U517" s="30">
        <f>_xll.qlIndexFixing($M$5,R517,TRUE,InterestRatesTrigger)</f>
        <v>1.1759551652368664E-2</v>
      </c>
      <c r="V517" s="74">
        <f>_xll.qlIndexFixing(Index,R517,TRUE,InterestRatesTrigger)</f>
        <v>1.1719211670814782E-2</v>
      </c>
      <c r="W517" s="30">
        <f t="shared" si="36"/>
        <v>-4.0339981553881923E-5</v>
      </c>
      <c r="X517" s="29">
        <f>_xll.qlDayCounterYearFraction(DayCounter,SettlementDate,S517,,,Trigger)</f>
        <v>43.469444444444441</v>
      </c>
      <c r="Y517" s="29">
        <f>_xll.qlDayCounterYearFraction(DayCounter,S517,T517)</f>
        <v>8.611111111111111E-2</v>
      </c>
      <c r="Z517" s="29">
        <f>IF($M$13,_xll.qlYieldTSDiscount(Currency&amp;"ON",S517)/(1+V517*Y517),1)</f>
        <v>1</v>
      </c>
      <c r="AA517" s="30">
        <f>_xll.qlTenorBasisValue(TenorBasis1M,S517,InterestRatesTrigger)</f>
        <v>4.8626318472355445E-6</v>
      </c>
      <c r="AB517" s="74">
        <f t="shared" si="37"/>
        <v>1.17644142842159E-2</v>
      </c>
      <c r="AC517" s="76">
        <f t="shared" si="38"/>
        <v>1.0038571377214467</v>
      </c>
    </row>
    <row r="518" spans="16:29" x14ac:dyDescent="0.2">
      <c r="P518" s="33">
        <v>1</v>
      </c>
      <c r="Q518" s="27" t="str">
        <f>_xll.qlPeriodEquivalent(Q517&amp;"+"&amp;P518&amp;"M")</f>
        <v>42Y11M</v>
      </c>
      <c r="R518" s="28">
        <f>_xll.qlCalendarAdvance(Calendar,SettlementDate,Q518,"f",,Trigger)</f>
        <v>57955</v>
      </c>
      <c r="S518" s="28">
        <f>_xll.qlInterestRateIndexValueDate(Index,R518,Trigger)</f>
        <v>57957</v>
      </c>
      <c r="T518" s="28">
        <f>_xll.qlInterestRateIndexMaturity(Index,S518,Trigger)</f>
        <v>57987</v>
      </c>
      <c r="U518" s="30">
        <f>_xll.qlIndexFixing($M$5,R518,TRUE,InterestRatesTrigger)</f>
        <v>1.1733017735614304E-2</v>
      </c>
      <c r="V518" s="74">
        <f>_xll.qlIndexFixing(Index,R518,TRUE,InterestRatesTrigger)</f>
        <v>1.1685097402200917E-2</v>
      </c>
      <c r="W518" s="30">
        <f t="shared" si="36"/>
        <v>-4.7920333413387084E-5</v>
      </c>
      <c r="X518" s="29">
        <f>_xll.qlDayCounterYearFraction(DayCounter,SettlementDate,S518,,,Trigger)</f>
        <v>43.55</v>
      </c>
      <c r="Y518" s="29">
        <f>_xll.qlDayCounterYearFraction(DayCounter,S518,T518)</f>
        <v>8.3333333333333329E-2</v>
      </c>
      <c r="Z518" s="29">
        <f>IF($M$13,_xll.qlYieldTSDiscount(Currency&amp;"ON",S518)/(1+V518*Y518),1)</f>
        <v>1</v>
      </c>
      <c r="AA518" s="30">
        <f>_xll.qlTenorBasisValue(TenorBasis1M,S518,InterestRatesTrigger)</f>
        <v>4.8039411120197739E-6</v>
      </c>
      <c r="AB518" s="74">
        <f t="shared" si="37"/>
        <v>1.1737821676726323E-2</v>
      </c>
      <c r="AC518" s="76">
        <f t="shared" si="38"/>
        <v>1.0045120954246796</v>
      </c>
    </row>
    <row r="519" spans="16:29" x14ac:dyDescent="0.2">
      <c r="P519" s="33">
        <v>1</v>
      </c>
      <c r="Q519" s="27" t="str">
        <f>_xll.qlPeriodEquivalent(Q518&amp;"+"&amp;P519&amp;"M")</f>
        <v>43Y</v>
      </c>
      <c r="R519" s="28">
        <f>_xll.qlCalendarAdvance(Calendar,SettlementDate,Q519,"f",,Trigger)</f>
        <v>57985</v>
      </c>
      <c r="S519" s="28">
        <f>_xll.qlInterestRateIndexValueDate(Index,R519,Trigger)</f>
        <v>57987</v>
      </c>
      <c r="T519" s="28">
        <f>_xll.qlInterestRateIndexMaturity(Index,S519,Trigger)</f>
        <v>58018</v>
      </c>
      <c r="U519" s="30">
        <f>_xll.qlIndexFixing($M$5,R519,TRUE,InterestRatesTrigger)</f>
        <v>1.1705685580873782E-2</v>
      </c>
      <c r="V519" s="74">
        <f>_xll.qlIndexFixing(Index,R519,TRUE,InterestRatesTrigger)</f>
        <v>1.164963542252946E-2</v>
      </c>
      <c r="W519" s="30">
        <f t="shared" si="36"/>
        <v>-5.6050158344322226E-5</v>
      </c>
      <c r="X519" s="29">
        <f>_xll.qlDayCounterYearFraction(DayCounter,SettlementDate,S519,,,Trigger)</f>
        <v>43.633333333333333</v>
      </c>
      <c r="Y519" s="29">
        <f>_xll.qlDayCounterYearFraction(DayCounter,S519,T519)</f>
        <v>8.611111111111111E-2</v>
      </c>
      <c r="Z519" s="29">
        <f>IF($M$13,_xll.qlYieldTSDiscount(Currency&amp;"ON",S519)/(1+V519*Y519),1)</f>
        <v>1</v>
      </c>
      <c r="AA519" s="30">
        <f>_xll.qlTenorBasisValue(TenorBasis1M,S519,InterestRatesTrigger)</f>
        <v>4.7439559777073501E-6</v>
      </c>
      <c r="AB519" s="74">
        <f t="shared" si="37"/>
        <v>1.171042953685149E-2</v>
      </c>
      <c r="AC519" s="76">
        <f t="shared" si="38"/>
        <v>1.0052185422218844</v>
      </c>
    </row>
    <row r="520" spans="16:29" x14ac:dyDescent="0.2">
      <c r="P520" s="33">
        <v>1</v>
      </c>
      <c r="Q520" s="27" t="str">
        <f>_xll.qlPeriodEquivalent(Q519&amp;"+"&amp;P520&amp;"M")</f>
        <v>43Y1M</v>
      </c>
      <c r="R520" s="28">
        <f>_xll.qlCalendarAdvance(Calendar,SettlementDate,Q520,"f",,Trigger)</f>
        <v>58018</v>
      </c>
      <c r="S520" s="28">
        <f>_xll.qlInterestRateIndexValueDate(Index,R520,Trigger)</f>
        <v>58020</v>
      </c>
      <c r="T520" s="28">
        <f>_xll.qlInterestRateIndexMaturity(Index,S520,Trigger)</f>
        <v>58050</v>
      </c>
      <c r="U520" s="30">
        <f>_xll.qlIndexFixing($M$5,R520,TRUE,InterestRatesTrigger)</f>
        <v>1.1676920038454774E-2</v>
      </c>
      <c r="V520" s="74">
        <f>_xll.qlIndexFixing(Index,R520,TRUE,InterestRatesTrigger)</f>
        <v>1.1612201630986974E-2</v>
      </c>
      <c r="W520" s="30">
        <f t="shared" si="36"/>
        <v>-6.4718407467800887E-5</v>
      </c>
      <c r="X520" s="29">
        <f>_xll.qlDayCounterYearFraction(DayCounter,SettlementDate,S520,,,Trigger)</f>
        <v>43.725000000000001</v>
      </c>
      <c r="Y520" s="29">
        <f>_xll.qlDayCounterYearFraction(DayCounter,S520,T520)</f>
        <v>8.3333333333333329E-2</v>
      </c>
      <c r="Z520" s="29">
        <f>IF($M$13,_xll.qlYieldTSDiscount(Currency&amp;"ON",S520)/(1+V520*Y520),1)</f>
        <v>1</v>
      </c>
      <c r="AA520" s="30">
        <f>_xll.qlTenorBasisValue(TenorBasis1M,S520,InterestRatesTrigger)</f>
        <v>4.6788187053252509E-6</v>
      </c>
      <c r="AB520" s="74">
        <f t="shared" si="37"/>
        <v>1.1681598857160099E-2</v>
      </c>
      <c r="AC520" s="76">
        <f t="shared" si="38"/>
        <v>1.0059762333085864</v>
      </c>
    </row>
    <row r="521" spans="16:29" x14ac:dyDescent="0.2">
      <c r="P521" s="33">
        <v>1</v>
      </c>
      <c r="Q521" s="27" t="str">
        <f>_xll.qlPeriodEquivalent(Q520&amp;"+"&amp;P521&amp;"M")</f>
        <v>43Y2M</v>
      </c>
      <c r="R521" s="28">
        <f>_xll.qlCalendarAdvance(Calendar,SettlementDate,Q521,"f",,Trigger)</f>
        <v>58046</v>
      </c>
      <c r="S521" s="28">
        <f>_xll.qlInterestRateIndexValueDate(Index,R521,Trigger)</f>
        <v>58048</v>
      </c>
      <c r="T521" s="28">
        <f>_xll.qlInterestRateIndexMaturity(Index,S521,Trigger)</f>
        <v>58081</v>
      </c>
      <c r="U521" s="30">
        <f>_xll.qlIndexFixing($M$5,R521,TRUE,InterestRatesTrigger)</f>
        <v>1.1652230553468616E-2</v>
      </c>
      <c r="V521" s="74">
        <f>_xll.qlIndexFixing(Index,R521,TRUE,InterestRatesTrigger)</f>
        <v>1.1579633601895947E-2</v>
      </c>
      <c r="W521" s="30">
        <f t="shared" si="36"/>
        <v>-7.2596951572669044E-5</v>
      </c>
      <c r="X521" s="29">
        <f>_xll.qlDayCounterYearFraction(DayCounter,SettlementDate,S521,,,Trigger)</f>
        <v>43.802777777777777</v>
      </c>
      <c r="Y521" s="29">
        <f>_xll.qlDayCounterYearFraction(DayCounter,S521,T521)</f>
        <v>9.166666666666666E-2</v>
      </c>
      <c r="Z521" s="29">
        <f>IF($M$13,_xll.qlYieldTSDiscount(Currency&amp;"ON",S521)/(1+V521*Y521),1)</f>
        <v>1</v>
      </c>
      <c r="AA521" s="30">
        <f>_xll.qlTenorBasisValue(TenorBasis1M,S521,InterestRatesTrigger)</f>
        <v>4.6242377134401967E-6</v>
      </c>
      <c r="AB521" s="74">
        <f t="shared" si="37"/>
        <v>1.1656854791182057E-2</v>
      </c>
      <c r="AC521" s="76">
        <f t="shared" si="38"/>
        <v>1.0066687074860008</v>
      </c>
    </row>
    <row r="522" spans="16:29" x14ac:dyDescent="0.2">
      <c r="P522" s="33">
        <v>1</v>
      </c>
      <c r="Q522" s="27" t="str">
        <f>_xll.qlPeriodEquivalent(Q521&amp;"+"&amp;P522&amp;"M")</f>
        <v>43Y3M</v>
      </c>
      <c r="R522" s="28">
        <f>_xll.qlCalendarAdvance(Calendar,SettlementDate,Q522,"f",,Trigger)</f>
        <v>58077</v>
      </c>
      <c r="S522" s="28">
        <f>_xll.qlInterestRateIndexValueDate(Index,R522,Trigger)</f>
        <v>58081</v>
      </c>
      <c r="T522" s="28">
        <f>_xll.qlInterestRateIndexMaturity(Index,S522,Trigger)</f>
        <v>58112</v>
      </c>
      <c r="U522" s="30">
        <f>_xll.qlIndexFixing($M$5,R522,TRUE,InterestRatesTrigger)</f>
        <v>1.1625173564245968E-2</v>
      </c>
      <c r="V522" s="74">
        <f>_xll.qlIndexFixing(Index,R522,TRUE,InterestRatesTrigger)</f>
        <v>1.1544047414401615E-2</v>
      </c>
      <c r="W522" s="30">
        <f t="shared" si="36"/>
        <v>-8.1126149844353013E-5</v>
      </c>
      <c r="X522" s="29">
        <f>_xll.qlDayCounterYearFraction(DayCounter,SettlementDate,S522,,,Trigger)</f>
        <v>43.894444444444446</v>
      </c>
      <c r="Y522" s="29">
        <f>_xll.qlDayCounterYearFraction(DayCounter,S522,T522)</f>
        <v>8.611111111111111E-2</v>
      </c>
      <c r="Z522" s="29">
        <f>IF($M$13,_xll.qlYieldTSDiscount(Currency&amp;"ON",S522)/(1+V522*Y522),1)</f>
        <v>1</v>
      </c>
      <c r="AA522" s="30">
        <f>_xll.qlTenorBasisValue(TenorBasis1M,S522,InterestRatesTrigger)</f>
        <v>4.5607097542609376E-6</v>
      </c>
      <c r="AB522" s="74">
        <f t="shared" si="37"/>
        <v>1.162973427400023E-2</v>
      </c>
      <c r="AC522" s="76">
        <f t="shared" si="38"/>
        <v>1.0074226011486853</v>
      </c>
    </row>
    <row r="523" spans="16:29" x14ac:dyDescent="0.2">
      <c r="P523" s="33">
        <v>1</v>
      </c>
      <c r="Q523" s="27" t="str">
        <f>_xll.qlPeriodEquivalent(Q522&amp;"+"&amp;P523&amp;"M")</f>
        <v>43Y4M</v>
      </c>
      <c r="R523" s="28">
        <f>_xll.qlCalendarAdvance(Calendar,SettlementDate,Q523,"f",,Trigger)</f>
        <v>58109</v>
      </c>
      <c r="S523" s="28">
        <f>_xll.qlInterestRateIndexValueDate(Index,R523,Trigger)</f>
        <v>58111</v>
      </c>
      <c r="T523" s="28">
        <f>_xll.qlInterestRateIndexMaturity(Index,S523,Trigger)</f>
        <v>58139</v>
      </c>
      <c r="U523" s="30">
        <f>_xll.qlIndexFixing($M$5,R523,TRUE,InterestRatesTrigger)</f>
        <v>1.1601485531699421E-2</v>
      </c>
      <c r="V523" s="74">
        <f>_xll.qlIndexFixing(Index,R523,TRUE,InterestRatesTrigger)</f>
        <v>1.1512777570993813E-2</v>
      </c>
      <c r="W523" s="30">
        <f t="shared" si="36"/>
        <v>-8.870796070560745E-5</v>
      </c>
      <c r="X523" s="29">
        <f>_xll.qlDayCounterYearFraction(DayCounter,SettlementDate,S523,,,Trigger)</f>
        <v>43.977777777777774</v>
      </c>
      <c r="Y523" s="29">
        <f>_xll.qlDayCounterYearFraction(DayCounter,S523,T523)</f>
        <v>7.7777777777777779E-2</v>
      </c>
      <c r="Z523" s="29">
        <f>IF($M$13,_xll.qlYieldTSDiscount(Currency&amp;"ON",S523)/(1+V523*Y523),1)</f>
        <v>1</v>
      </c>
      <c r="AA523" s="30">
        <f>_xll.qlTenorBasisValue(TenorBasis1M,S523,InterestRatesTrigger)</f>
        <v>4.5036988270904977E-6</v>
      </c>
      <c r="AB523" s="74">
        <f t="shared" si="37"/>
        <v>1.1605989230526512E-2</v>
      </c>
      <c r="AC523" s="76">
        <f t="shared" si="38"/>
        <v>1.008096365881987</v>
      </c>
    </row>
    <row r="524" spans="16:29" x14ac:dyDescent="0.2">
      <c r="P524" s="33">
        <v>1</v>
      </c>
      <c r="Q524" s="27" t="str">
        <f>_xll.qlPeriodEquivalent(Q523&amp;"+"&amp;P524&amp;"M")</f>
        <v>43Y5M</v>
      </c>
      <c r="R524" s="28">
        <f>_xll.qlCalendarAdvance(Calendar,SettlementDate,Q524,"f",,Trigger)</f>
        <v>58137</v>
      </c>
      <c r="S524" s="28">
        <f>_xll.qlInterestRateIndexValueDate(Index,R524,Trigger)</f>
        <v>58139</v>
      </c>
      <c r="T524" s="28">
        <f>_xll.qlInterestRateIndexMaturity(Index,S524,Trigger)</f>
        <v>58172</v>
      </c>
      <c r="U524" s="30">
        <f>_xll.qlIndexFixing($M$5,R524,TRUE,InterestRatesTrigger)</f>
        <v>1.1578347488304563E-2</v>
      </c>
      <c r="V524" s="74">
        <f>_xll.qlIndexFixing(Index,R524,TRUE,InterestRatesTrigger)</f>
        <v>1.1481519056547092E-2</v>
      </c>
      <c r="W524" s="30">
        <f t="shared" si="36"/>
        <v>-9.6828431757470246E-5</v>
      </c>
      <c r="X524" s="29">
        <f>_xll.qlDayCounterYearFraction(DayCounter,SettlementDate,S524,,,Trigger)</f>
        <v>44.055555555555557</v>
      </c>
      <c r="Y524" s="29">
        <f>_xll.qlDayCounterYearFraction(DayCounter,S524,T524)</f>
        <v>9.166666666666666E-2</v>
      </c>
      <c r="Z524" s="29">
        <f>IF($M$13,_xll.qlYieldTSDiscount(Currency&amp;"ON",S524)/(1+V524*Y524),1)</f>
        <v>1</v>
      </c>
      <c r="AA524" s="30">
        <f>_xll.qlTenorBasisValue(TenorBasis1M,S524,InterestRatesTrigger)</f>
        <v>4.4511183361199094E-6</v>
      </c>
      <c r="AB524" s="74">
        <f t="shared" si="37"/>
        <v>1.1582798606640682E-2</v>
      </c>
      <c r="AC524" s="76">
        <f t="shared" si="38"/>
        <v>1.0088210932364248</v>
      </c>
    </row>
    <row r="525" spans="16:29" x14ac:dyDescent="0.2">
      <c r="P525" s="33">
        <v>1</v>
      </c>
      <c r="Q525" s="27" t="str">
        <f>_xll.qlPeriodEquivalent(Q524&amp;"+"&amp;P525&amp;"M")</f>
        <v>43Y6M</v>
      </c>
      <c r="R525" s="28">
        <f>_xll.qlCalendarAdvance(Calendar,SettlementDate,Q525,"f",,Trigger)</f>
        <v>58167</v>
      </c>
      <c r="S525" s="28">
        <f>_xll.qlInterestRateIndexValueDate(Index,R525,Trigger)</f>
        <v>58169</v>
      </c>
      <c r="T525" s="28">
        <f>_xll.qlInterestRateIndexMaturity(Index,S525,Trigger)</f>
        <v>58200</v>
      </c>
      <c r="U525" s="30">
        <f>_xll.qlIndexFixing($M$5,R525,TRUE,InterestRatesTrigger)</f>
        <v>1.1555712133919658E-2</v>
      </c>
      <c r="V525" s="74">
        <f>_xll.qlIndexFixing(Index,R525,TRUE,InterestRatesTrigger)</f>
        <v>1.1451204290701587E-2</v>
      </c>
      <c r="W525" s="30">
        <f t="shared" si="36"/>
        <v>-1.0450784321807023E-4</v>
      </c>
      <c r="X525" s="29">
        <f>_xll.qlDayCounterYearFraction(DayCounter,SettlementDate,S525,,,Trigger)</f>
        <v>44.138888888888886</v>
      </c>
      <c r="Y525" s="29">
        <f>_xll.qlDayCounterYearFraction(DayCounter,S525,T525)</f>
        <v>8.611111111111111E-2</v>
      </c>
      <c r="Z525" s="29">
        <f>IF($M$13,_xll.qlYieldTSDiscount(Currency&amp;"ON",S525)/(1+V525*Y525),1)</f>
        <v>1</v>
      </c>
      <c r="AA525" s="30">
        <f>_xll.qlTenorBasisValue(TenorBasis1M,S525,InterestRatesTrigger)</f>
        <v>4.3954489382344695E-6</v>
      </c>
      <c r="AB525" s="74">
        <f t="shared" si="37"/>
        <v>1.1560107582857892E-2</v>
      </c>
      <c r="AC525" s="76">
        <f t="shared" si="38"/>
        <v>1.0095102042887083</v>
      </c>
    </row>
    <row r="526" spans="16:29" x14ac:dyDescent="0.2">
      <c r="P526" s="33">
        <v>1</v>
      </c>
      <c r="Q526" s="27" t="str">
        <f>_xll.qlPeriodEquivalent(Q525&amp;"+"&amp;P526&amp;"M")</f>
        <v>43Y7M</v>
      </c>
      <c r="R526" s="28">
        <f>_xll.qlCalendarAdvance(Calendar,SettlementDate,Q526,"f",,Trigger)</f>
        <v>58197</v>
      </c>
      <c r="S526" s="28">
        <f>_xll.qlInterestRateIndexValueDate(Index,R526,Trigger)</f>
        <v>58201</v>
      </c>
      <c r="T526" s="28">
        <f>_xll.qlInterestRateIndexMaturity(Index,S526,Trigger)</f>
        <v>58232</v>
      </c>
      <c r="U526" s="30">
        <f>_xll.qlIndexFixing($M$5,R526,TRUE,InterestRatesTrigger)</f>
        <v>1.1531870758877728E-2</v>
      </c>
      <c r="V526" s="74">
        <f>_xll.qlIndexFixing(Index,R526,TRUE,InterestRatesTrigger)</f>
        <v>1.1418913854250437E-2</v>
      </c>
      <c r="W526" s="30">
        <f t="shared" si="36"/>
        <v>-1.1295690462729061E-4</v>
      </c>
      <c r="X526" s="29">
        <f>_xll.qlDayCounterYearFraction(DayCounter,SettlementDate,S526,,,Trigger)</f>
        <v>44.227777777777774</v>
      </c>
      <c r="Y526" s="29">
        <f>_xll.qlDayCounterYearFraction(DayCounter,S526,T526)</f>
        <v>8.611111111111111E-2</v>
      </c>
      <c r="Z526" s="29">
        <f>IF($M$13,_xll.qlYieldTSDiscount(Currency&amp;"ON",S526)/(1+V526*Y526),1)</f>
        <v>1</v>
      </c>
      <c r="AA526" s="30">
        <f>_xll.qlTenorBasisValue(TenorBasis1M,S526,InterestRatesTrigger)</f>
        <v>4.336819557382572E-6</v>
      </c>
      <c r="AB526" s="74">
        <f t="shared" si="37"/>
        <v>1.153620757843511E-2</v>
      </c>
      <c r="AC526" s="76">
        <f t="shared" si="38"/>
        <v>1.0102718809933935</v>
      </c>
    </row>
    <row r="527" spans="16:29" x14ac:dyDescent="0.2">
      <c r="P527" s="33">
        <v>1</v>
      </c>
      <c r="Q527" s="27" t="str">
        <f>_xll.qlPeriodEquivalent(Q526&amp;"+"&amp;P527&amp;"M")</f>
        <v>43Y8M</v>
      </c>
      <c r="R527" s="28">
        <f>_xll.qlCalendarAdvance(Calendar,SettlementDate,Q527,"f",,Trigger)</f>
        <v>58228</v>
      </c>
      <c r="S527" s="28">
        <f>_xll.qlInterestRateIndexValueDate(Index,R527,Trigger)</f>
        <v>58230</v>
      </c>
      <c r="T527" s="28">
        <f>_xll.qlInterestRateIndexMaturity(Index,S527,Trigger)</f>
        <v>58260</v>
      </c>
      <c r="U527" s="30">
        <f>_xll.qlIndexFixing($M$5,R527,TRUE,InterestRatesTrigger)</f>
        <v>1.1511087586934643E-2</v>
      </c>
      <c r="V527" s="74">
        <f>_xll.qlIndexFixing(Index,R527,TRUE,InterestRatesTrigger)</f>
        <v>1.1390643045732673E-2</v>
      </c>
      <c r="W527" s="30">
        <f t="shared" si="36"/>
        <v>-1.2044454120196946E-4</v>
      </c>
      <c r="X527" s="29">
        <f>_xll.qlDayCounterYearFraction(DayCounter,SettlementDate,S527,,,Trigger)</f>
        <v>44.30833333333333</v>
      </c>
      <c r="Y527" s="29">
        <f>_xll.qlDayCounterYearFraction(DayCounter,S527,T527)</f>
        <v>8.3333333333333329E-2</v>
      </c>
      <c r="Z527" s="29">
        <f>IF($M$13,_xll.qlYieldTSDiscount(Currency&amp;"ON",S527)/(1+V527*Y527),1)</f>
        <v>1</v>
      </c>
      <c r="AA527" s="30">
        <f>_xll.qlTenorBasisValue(TenorBasis1M,S527,InterestRatesTrigger)</f>
        <v>4.2843485132085352E-6</v>
      </c>
      <c r="AB527" s="74">
        <f t="shared" si="37"/>
        <v>1.1515371935447851E-2</v>
      </c>
      <c r="AC527" s="76">
        <f t="shared" si="38"/>
        <v>1.0109501183747396</v>
      </c>
    </row>
    <row r="528" spans="16:29" x14ac:dyDescent="0.2">
      <c r="P528" s="33">
        <v>1</v>
      </c>
      <c r="Q528" s="27" t="str">
        <f>_xll.qlPeriodEquivalent(Q527&amp;"+"&amp;P528&amp;"M")</f>
        <v>43Y9M</v>
      </c>
      <c r="R528" s="28">
        <f>_xll.qlCalendarAdvance(Calendar,SettlementDate,Q528,"f",,Trigger)</f>
        <v>58258</v>
      </c>
      <c r="S528" s="28">
        <f>_xll.qlInterestRateIndexValueDate(Index,R528,Trigger)</f>
        <v>58260</v>
      </c>
      <c r="T528" s="28">
        <f>_xll.qlInterestRateIndexMaturity(Index,S528,Trigger)</f>
        <v>58291</v>
      </c>
      <c r="U528" s="30">
        <f>_xll.qlIndexFixing($M$5,R528,TRUE,InterestRatesTrigger)</f>
        <v>1.1489894874738837E-2</v>
      </c>
      <c r="V528" s="74">
        <f>_xll.qlIndexFixing(Index,R528,TRUE,InterestRatesTrigger)</f>
        <v>1.1361470781626712E-2</v>
      </c>
      <c r="W528" s="30">
        <f t="shared" si="36"/>
        <v>-1.2842409311212589E-4</v>
      </c>
      <c r="X528" s="29">
        <f>_xll.qlDayCounterYearFraction(DayCounter,SettlementDate,S528,,,Trigger)</f>
        <v>44.391666666666666</v>
      </c>
      <c r="Y528" s="29">
        <f>_xll.qlDayCounterYearFraction(DayCounter,S528,T528)</f>
        <v>8.611111111111111E-2</v>
      </c>
      <c r="Z528" s="29">
        <f>IF($M$13,_xll.qlYieldTSDiscount(Currency&amp;"ON",S528)/(1+V528*Y528),1)</f>
        <v>1</v>
      </c>
      <c r="AA528" s="30">
        <f>_xll.qlTenorBasisValue(TenorBasis1M,S528,InterestRatesTrigger)</f>
        <v>4.2307223564897555E-6</v>
      </c>
      <c r="AB528" s="74">
        <f t="shared" si="37"/>
        <v>1.1494125597095327E-2</v>
      </c>
      <c r="AC528" s="76">
        <f t="shared" si="38"/>
        <v>1.0116758488419597</v>
      </c>
    </row>
    <row r="529" spans="16:29" x14ac:dyDescent="0.2">
      <c r="P529" s="33">
        <v>1</v>
      </c>
      <c r="Q529" s="27" t="str">
        <f>_xll.qlPeriodEquivalent(Q528&amp;"+"&amp;P529&amp;"M")</f>
        <v>43Y10M</v>
      </c>
      <c r="R529" s="28">
        <f>_xll.qlCalendarAdvance(Calendar,SettlementDate,Q529,"f",,Trigger)</f>
        <v>58291</v>
      </c>
      <c r="S529" s="28">
        <f>_xll.qlInterestRateIndexValueDate(Index,R529,Trigger)</f>
        <v>58293</v>
      </c>
      <c r="T529" s="28">
        <f>_xll.qlInterestRateIndexMaturity(Index,S529,Trigger)</f>
        <v>58326</v>
      </c>
      <c r="U529" s="30">
        <f>_xll.qlIndexFixing($M$5,R529,TRUE,InterestRatesTrigger)</f>
        <v>1.146724151212036E-2</v>
      </c>
      <c r="V529" s="74">
        <f>_xll.qlIndexFixing(Index,R529,TRUE,InterestRatesTrigger)</f>
        <v>1.1329975857679839E-2</v>
      </c>
      <c r="W529" s="30">
        <f t="shared" si="36"/>
        <v>-1.3726565444052014E-4</v>
      </c>
      <c r="X529" s="29">
        <f>_xll.qlDayCounterYearFraction(DayCounter,SettlementDate,S529,,,Trigger)</f>
        <v>44.483333333333334</v>
      </c>
      <c r="Y529" s="29">
        <f>_xll.qlDayCounterYearFraction(DayCounter,S529,T529)</f>
        <v>9.166666666666666E-2</v>
      </c>
      <c r="Z529" s="29">
        <f>IF($M$13,_xll.qlYieldTSDiscount(Currency&amp;"ON",S529)/(1+V529*Y529),1)</f>
        <v>1</v>
      </c>
      <c r="AA529" s="30">
        <f>_xll.qlTenorBasisValue(TenorBasis1M,S529,InterestRatesTrigger)</f>
        <v>4.1724926760628443E-6</v>
      </c>
      <c r="AB529" s="74">
        <f t="shared" si="37"/>
        <v>1.1471414004796423E-2</v>
      </c>
      <c r="AC529" s="76">
        <f t="shared" si="38"/>
        <v>1.0124835347306333</v>
      </c>
    </row>
    <row r="530" spans="16:29" x14ac:dyDescent="0.2">
      <c r="P530" s="33">
        <v>1</v>
      </c>
      <c r="Q530" s="27" t="str">
        <f>_xll.qlPeriodEquivalent(Q529&amp;"+"&amp;P530&amp;"M")</f>
        <v>43Y11M</v>
      </c>
      <c r="R530" s="28">
        <f>_xll.qlCalendarAdvance(Calendar,SettlementDate,Q530,"f",,Trigger)</f>
        <v>58320</v>
      </c>
      <c r="S530" s="28">
        <f>_xll.qlInterestRateIndexValueDate(Index,R530,Trigger)</f>
        <v>58322</v>
      </c>
      <c r="T530" s="28">
        <f>_xll.qlInterestRateIndexMaturity(Index,S530,Trigger)</f>
        <v>58354</v>
      </c>
      <c r="U530" s="30">
        <f>_xll.qlIndexFixing($M$5,R530,TRUE,InterestRatesTrigger)</f>
        <v>1.1448415566940318E-2</v>
      </c>
      <c r="V530" s="74">
        <f>_xll.qlIndexFixing(Index,R530,TRUE,InterestRatesTrigger)</f>
        <v>1.13038028532364E-2</v>
      </c>
      <c r="W530" s="30">
        <f t="shared" si="36"/>
        <v>-1.4461271370391771E-4</v>
      </c>
      <c r="X530" s="29">
        <f>_xll.qlDayCounterYearFraction(DayCounter,SettlementDate,S530,,,Trigger)</f>
        <v>44.56388888888889</v>
      </c>
      <c r="Y530" s="29">
        <f>_xll.qlDayCounterYearFraction(DayCounter,S530,T530)</f>
        <v>8.8888888888888892E-2</v>
      </c>
      <c r="Z530" s="29">
        <f>IF($M$13,_xll.qlYieldTSDiscount(Currency&amp;"ON",S530)/(1+V530*Y530),1)</f>
        <v>1</v>
      </c>
      <c r="AA530" s="30">
        <f>_xll.qlTenorBasisValue(TenorBasis1M,S530,InterestRatesTrigger)</f>
        <v>4.1219696331740212E-6</v>
      </c>
      <c r="AB530" s="74">
        <f t="shared" si="37"/>
        <v>1.1452537536573491E-2</v>
      </c>
      <c r="AC530" s="76">
        <f t="shared" si="38"/>
        <v>1.0131579332431924</v>
      </c>
    </row>
    <row r="531" spans="16:29" x14ac:dyDescent="0.2">
      <c r="P531" s="33">
        <v>1</v>
      </c>
      <c r="Q531" s="27" t="str">
        <f>_xll.qlPeriodEquivalent(Q530&amp;"+"&amp;P531&amp;"M")</f>
        <v>44Y</v>
      </c>
      <c r="R531" s="28">
        <f>_xll.qlCalendarAdvance(Calendar,SettlementDate,Q531,"f",,Trigger)</f>
        <v>58350</v>
      </c>
      <c r="S531" s="28">
        <f>_xll.qlInterestRateIndexValueDate(Index,R531,Trigger)</f>
        <v>58354</v>
      </c>
      <c r="T531" s="28">
        <f>_xll.qlInterestRateIndexMaturity(Index,S531,Trigger)</f>
        <v>58385</v>
      </c>
      <c r="U531" s="30">
        <f>_xll.qlIndexFixing($M$5,R531,TRUE,InterestRatesTrigger)</f>
        <v>1.142832625405452E-2</v>
      </c>
      <c r="V531" s="74">
        <f>_xll.qlIndexFixing(Index,R531,TRUE,InterestRatesTrigger)</f>
        <v>1.127565630199345E-2</v>
      </c>
      <c r="W531" s="30">
        <f t="shared" si="36"/>
        <v>-1.5266995206106998E-4</v>
      </c>
      <c r="X531" s="29">
        <f>_xll.qlDayCounterYearFraction(DayCounter,SettlementDate,S531,,,Trigger)</f>
        <v>44.652777777777779</v>
      </c>
      <c r="Y531" s="29">
        <f>_xll.qlDayCounterYearFraction(DayCounter,S531,T531)</f>
        <v>8.611111111111111E-2</v>
      </c>
      <c r="Z531" s="29">
        <f>IF($M$13,_xll.qlYieldTSDiscount(Currency&amp;"ON",S531)/(1+V531*Y531),1)</f>
        <v>1</v>
      </c>
      <c r="AA531" s="30">
        <f>_xll.qlTenorBasisValue(TenorBasis1M,S531,InterestRatesTrigger)</f>
        <v>4.0669153403891025E-6</v>
      </c>
      <c r="AB531" s="74">
        <f t="shared" si="37"/>
        <v>1.1432393169394909E-2</v>
      </c>
      <c r="AC531" s="76">
        <f t="shared" si="38"/>
        <v>1.0139004651439889</v>
      </c>
    </row>
    <row r="532" spans="16:29" x14ac:dyDescent="0.2">
      <c r="P532" s="33">
        <v>1</v>
      </c>
      <c r="Q532" s="27" t="str">
        <f>_xll.qlPeriodEquivalent(Q531&amp;"+"&amp;P532&amp;"M")</f>
        <v>44Y1M</v>
      </c>
      <c r="R532" s="28">
        <f>_xll.qlCalendarAdvance(Calendar,SettlementDate,Q532,"f",,Trigger)</f>
        <v>58382</v>
      </c>
      <c r="S532" s="28">
        <f>_xll.qlInterestRateIndexValueDate(Index,R532,Trigger)</f>
        <v>58384</v>
      </c>
      <c r="T532" s="28">
        <f>_xll.qlInterestRateIndexMaturity(Index,S532,Trigger)</f>
        <v>58414</v>
      </c>
      <c r="U532" s="30">
        <f>_xll.qlIndexFixing($M$5,R532,TRUE,InterestRatesTrigger)</f>
        <v>1.1410166207033612E-2</v>
      </c>
      <c r="V532" s="74">
        <f>_xll.qlIndexFixing(Index,R532,TRUE,InterestRatesTrigger)</f>
        <v>1.1250017533596335E-2</v>
      </c>
      <c r="W532" s="30">
        <f t="shared" si="36"/>
        <v>-1.6014867343727701E-4</v>
      </c>
      <c r="X532" s="29">
        <f>_xll.qlDayCounterYearFraction(DayCounter,SettlementDate,S532,,,Trigger)</f>
        <v>44.736111111111114</v>
      </c>
      <c r="Y532" s="29">
        <f>_xll.qlDayCounterYearFraction(DayCounter,S532,T532)</f>
        <v>8.3333333333333329E-2</v>
      </c>
      <c r="Z532" s="29">
        <f>IF($M$13,_xll.qlYieldTSDiscount(Currency&amp;"ON",S532)/(1+V532*Y532),1)</f>
        <v>1</v>
      </c>
      <c r="AA532" s="30">
        <f>_xll.qlTenorBasisValue(TenorBasis1M,S532,InterestRatesTrigger)</f>
        <v>4.0159564524805643E-6</v>
      </c>
      <c r="AB532" s="74">
        <f t="shared" si="37"/>
        <v>1.1414182163486093E-2</v>
      </c>
      <c r="AC532" s="76">
        <f t="shared" si="38"/>
        <v>1.0145923888029069</v>
      </c>
    </row>
    <row r="533" spans="16:29" x14ac:dyDescent="0.2">
      <c r="P533" s="33">
        <v>1</v>
      </c>
      <c r="Q533" s="27" t="str">
        <f>_xll.qlPeriodEquivalent(Q532&amp;"+"&amp;P533&amp;"M")</f>
        <v>44Y2M</v>
      </c>
      <c r="R533" s="28">
        <f>_xll.qlCalendarAdvance(Calendar,SettlementDate,Q533,"f",,Trigger)</f>
        <v>58411</v>
      </c>
      <c r="S533" s="28">
        <f>_xll.qlInterestRateIndexValueDate(Index,R533,Trigger)</f>
        <v>58413</v>
      </c>
      <c r="T533" s="28">
        <f>_xll.qlInterestRateIndexMaturity(Index,S533,Trigger)</f>
        <v>58445</v>
      </c>
      <c r="U533" s="30">
        <f>_xll.qlIndexFixing($M$5,R533,TRUE,InterestRatesTrigger)</f>
        <v>1.1392907702515442E-2</v>
      </c>
      <c r="V533" s="74">
        <f>_xll.qlIndexFixing(Index,R533,TRUE,InterestRatesTrigger)</f>
        <v>1.1225210565293797E-2</v>
      </c>
      <c r="W533" s="30">
        <f t="shared" si="36"/>
        <v>-1.6769713722164514E-4</v>
      </c>
      <c r="X533" s="29">
        <f>_xll.qlDayCounterYearFraction(DayCounter,SettlementDate,S533,,,Trigger)</f>
        <v>44.81666666666667</v>
      </c>
      <c r="Y533" s="29">
        <f>_xll.qlDayCounterYearFraction(DayCounter,S533,T533)</f>
        <v>8.8888888888888892E-2</v>
      </c>
      <c r="Z533" s="29">
        <f>IF($M$13,_xll.qlYieldTSDiscount(Currency&amp;"ON",S533)/(1+V533*Y533),1)</f>
        <v>1</v>
      </c>
      <c r="AA533" s="30">
        <f>_xll.qlTenorBasisValue(TenorBasis1M,S533,InterestRatesTrigger)</f>
        <v>3.9672910075793292E-6</v>
      </c>
      <c r="AB533" s="74">
        <f t="shared" si="37"/>
        <v>1.1396874993523022E-2</v>
      </c>
      <c r="AC533" s="76">
        <f t="shared" si="38"/>
        <v>1.0152927579603699</v>
      </c>
    </row>
    <row r="534" spans="16:29" x14ac:dyDescent="0.2">
      <c r="P534" s="33">
        <v>1</v>
      </c>
      <c r="Q534" s="27" t="str">
        <f>_xll.qlPeriodEquivalent(Q533&amp;"+"&amp;P534&amp;"M")</f>
        <v>44Y3M</v>
      </c>
      <c r="R534" s="28">
        <f>_xll.qlCalendarAdvance(Calendar,SettlementDate,Q534,"f",,Trigger)</f>
        <v>58442</v>
      </c>
      <c r="S534" s="28">
        <f>_xll.qlInterestRateIndexValueDate(Index,R534,Trigger)</f>
        <v>58446</v>
      </c>
      <c r="T534" s="28">
        <f>_xll.qlInterestRateIndexMaturity(Index,S534,Trigger)</f>
        <v>58477</v>
      </c>
      <c r="U534" s="30">
        <f>_xll.qlIndexFixing($M$5,R534,TRUE,InterestRatesTrigger)</f>
        <v>1.1374383337299161E-2</v>
      </c>
      <c r="V534" s="74">
        <f>_xll.qlIndexFixing(Index,R534,TRUE,InterestRatesTrigger)</f>
        <v>1.1198613161589321E-2</v>
      </c>
      <c r="W534" s="30">
        <f t="shared" si="36"/>
        <v>-1.7577017570983948E-4</v>
      </c>
      <c r="X534" s="29">
        <f>_xll.qlDayCounterYearFraction(DayCounter,SettlementDate,S534,,,Trigger)</f>
        <v>44.908333333333331</v>
      </c>
      <c r="Y534" s="29">
        <f>_xll.qlDayCounterYearFraction(DayCounter,S534,T534)</f>
        <v>8.611111111111111E-2</v>
      </c>
      <c r="Z534" s="29">
        <f>IF($M$13,_xll.qlYieldTSDiscount(Currency&amp;"ON",S534)/(1+V534*Y534),1)</f>
        <v>1</v>
      </c>
      <c r="AA534" s="30">
        <f>_xll.qlTenorBasisValue(TenorBasis1M,S534,InterestRatesTrigger)</f>
        <v>3.9126156795145347E-6</v>
      </c>
      <c r="AB534" s="74">
        <f t="shared" si="37"/>
        <v>1.1378295952978675E-2</v>
      </c>
      <c r="AC534" s="76">
        <f t="shared" si="38"/>
        <v>1.0160450931554326</v>
      </c>
    </row>
    <row r="535" spans="16:29" x14ac:dyDescent="0.2">
      <c r="P535" s="33">
        <v>1</v>
      </c>
      <c r="Q535" s="27" t="str">
        <f>_xll.qlPeriodEquivalent(Q534&amp;"+"&amp;P535&amp;"M")</f>
        <v>44Y4M</v>
      </c>
      <c r="R535" s="28">
        <f>_xll.qlCalendarAdvance(Calendar,SettlementDate,Q535,"f",,Trigger)</f>
        <v>58473</v>
      </c>
      <c r="S535" s="28">
        <f>_xll.qlInterestRateIndexValueDate(Index,R535,Trigger)</f>
        <v>58475</v>
      </c>
      <c r="T535" s="28">
        <f>_xll.qlInterestRateIndexMaturity(Index,S535,Trigger)</f>
        <v>58504</v>
      </c>
      <c r="U535" s="30">
        <f>_xll.qlIndexFixing($M$5,R535,TRUE,InterestRatesTrigger)</f>
        <v>1.1358844043054385E-2</v>
      </c>
      <c r="V535" s="74">
        <f>_xll.qlIndexFixing(Index,R535,TRUE,InterestRatesTrigger)</f>
        <v>1.1176204986285054E-2</v>
      </c>
      <c r="W535" s="30">
        <f t="shared" si="36"/>
        <v>-1.8263905676933062E-4</v>
      </c>
      <c r="X535" s="29">
        <f>_xll.qlDayCounterYearFraction(DayCounter,SettlementDate,S535,,,Trigger)</f>
        <v>44.988888888888887</v>
      </c>
      <c r="Y535" s="29">
        <f>_xll.qlDayCounterYearFraction(DayCounter,S535,T535)</f>
        <v>8.0555555555555561E-2</v>
      </c>
      <c r="Z535" s="29">
        <f>IF($M$13,_xll.qlYieldTSDiscount(Currency&amp;"ON",S535)/(1+V535*Y535),1)</f>
        <v>1</v>
      </c>
      <c r="AA535" s="30">
        <f>_xll.qlTenorBasisValue(TenorBasis1M,S535,InterestRatesTrigger)</f>
        <v>3.8651776346614021E-6</v>
      </c>
      <c r="AB535" s="74">
        <f t="shared" si="37"/>
        <v>1.1362709220689046E-2</v>
      </c>
      <c r="AC535" s="76">
        <f t="shared" si="38"/>
        <v>1.0166876175439572</v>
      </c>
    </row>
    <row r="536" spans="16:29" x14ac:dyDescent="0.2">
      <c r="P536" s="33">
        <v>1</v>
      </c>
      <c r="Q536" s="27" t="str">
        <f>_xll.qlPeriodEquivalent(Q535&amp;"+"&amp;P536&amp;"M")</f>
        <v>44Y5M</v>
      </c>
      <c r="R536" s="28">
        <f>_xll.qlCalendarAdvance(Calendar,SettlementDate,Q536,"f",,Trigger)</f>
        <v>58502</v>
      </c>
      <c r="S536" s="28">
        <f>_xll.qlInterestRateIndexValueDate(Index,R536,Trigger)</f>
        <v>58504</v>
      </c>
      <c r="T536" s="28">
        <f>_xll.qlInterestRateIndexMaturity(Index,S536,Trigger)</f>
        <v>58536</v>
      </c>
      <c r="U536" s="30">
        <f>_xll.qlIndexFixing($M$5,R536,TRUE,InterestRatesTrigger)</f>
        <v>1.1343512720363436E-2</v>
      </c>
      <c r="V536" s="74">
        <f>_xll.qlIndexFixing(Index,R536,TRUE,InterestRatesTrigger)</f>
        <v>1.1153453136929503E-2</v>
      </c>
      <c r="W536" s="30">
        <f t="shared" si="36"/>
        <v>-1.9005958343393248E-4</v>
      </c>
      <c r="X536" s="29">
        <f>_xll.qlDayCounterYearFraction(DayCounter,SettlementDate,S536,,,Trigger)</f>
        <v>45.069444444444443</v>
      </c>
      <c r="Y536" s="29">
        <f>_xll.qlDayCounterYearFraction(DayCounter,S536,T536)</f>
        <v>8.8888888888888892E-2</v>
      </c>
      <c r="Z536" s="29">
        <f>IF($M$13,_xll.qlYieldTSDiscount(Currency&amp;"ON",S536)/(1+V536*Y536),1)</f>
        <v>1</v>
      </c>
      <c r="AA536" s="30">
        <f>_xll.qlTenorBasisValue(TenorBasis1M,S536,InterestRatesTrigger)</f>
        <v>3.8183033102869924E-6</v>
      </c>
      <c r="AB536" s="74">
        <f t="shared" si="37"/>
        <v>1.1347331023673723E-2</v>
      </c>
      <c r="AC536" s="76">
        <f t="shared" si="38"/>
        <v>1.0173827678624734</v>
      </c>
    </row>
    <row r="537" spans="16:29" x14ac:dyDescent="0.2">
      <c r="P537" s="33">
        <v>1</v>
      </c>
      <c r="Q537" s="27" t="str">
        <f>_xll.qlPeriodEquivalent(Q536&amp;"+"&amp;P537&amp;"M")</f>
        <v>44Y6M</v>
      </c>
      <c r="R537" s="28">
        <f>_xll.qlCalendarAdvance(Calendar,SettlementDate,Q537,"f",,Trigger)</f>
        <v>58533</v>
      </c>
      <c r="S537" s="28">
        <f>_xll.qlInterestRateIndexValueDate(Index,R537,Trigger)</f>
        <v>58537</v>
      </c>
      <c r="T537" s="28">
        <f>_xll.qlInterestRateIndexMaturity(Index,S537,Trigger)</f>
        <v>58567</v>
      </c>
      <c r="U537" s="30">
        <f>_xll.qlIndexFixing($M$5,R537,TRUE,InterestRatesTrigger)</f>
        <v>1.1327235667073055E-2</v>
      </c>
      <c r="V537" s="74">
        <f>_xll.qlIndexFixing(Index,R537,TRUE,InterestRatesTrigger)</f>
        <v>1.1129527357168101E-2</v>
      </c>
      <c r="W537" s="30">
        <f t="shared" si="36"/>
        <v>-1.9770830990495369E-4</v>
      </c>
      <c r="X537" s="29">
        <f>_xll.qlDayCounterYearFraction(DayCounter,SettlementDate,S537,,,Trigger)</f>
        <v>45.161111111111111</v>
      </c>
      <c r="Y537" s="29">
        <f>_xll.qlDayCounterYearFraction(DayCounter,S537,T537)</f>
        <v>8.3333333333333329E-2</v>
      </c>
      <c r="Z537" s="29">
        <f>IF($M$13,_xll.qlYieldTSDiscount(Currency&amp;"ON",S537)/(1+V537*Y537),1)</f>
        <v>1</v>
      </c>
      <c r="AA537" s="30">
        <f>_xll.qlTenorBasisValue(TenorBasis1M,S537,InterestRatesTrigger)</f>
        <v>3.765640986216922E-6</v>
      </c>
      <c r="AB537" s="74">
        <f t="shared" si="37"/>
        <v>1.1331001308059271E-2</v>
      </c>
      <c r="AC537" s="76">
        <f t="shared" si="38"/>
        <v>1.0181026511212454</v>
      </c>
    </row>
    <row r="538" spans="16:29" x14ac:dyDescent="0.2">
      <c r="P538" s="33">
        <v>1</v>
      </c>
      <c r="Q538" s="27" t="str">
        <f>_xll.qlPeriodEquivalent(Q537&amp;"+"&amp;P538&amp;"M")</f>
        <v>44Y7M</v>
      </c>
      <c r="R538" s="28">
        <f>_xll.qlCalendarAdvance(Calendar,SettlementDate,Q538,"f",,Trigger)</f>
        <v>58564</v>
      </c>
      <c r="S538" s="28">
        <f>_xll.qlInterestRateIndexValueDate(Index,R538,Trigger)</f>
        <v>58566</v>
      </c>
      <c r="T538" s="28">
        <f>_xll.qlInterestRateIndexMaturity(Index,S538,Trigger)</f>
        <v>58599</v>
      </c>
      <c r="U538" s="30">
        <f>_xll.qlIndexFixing($M$5,R538,TRUE,InterestRatesTrigger)</f>
        <v>1.131330821930974E-2</v>
      </c>
      <c r="V538" s="74">
        <f>_xll.qlIndexFixing(Index,R538,TRUE,InterestRatesTrigger)</f>
        <v>1.1108390195058767E-2</v>
      </c>
      <c r="W538" s="30">
        <f t="shared" si="36"/>
        <v>-2.0491802425097287E-4</v>
      </c>
      <c r="X538" s="29">
        <f>_xll.qlDayCounterYearFraction(DayCounter,SettlementDate,S538,,,Trigger)</f>
        <v>45.241666666666667</v>
      </c>
      <c r="Y538" s="29">
        <f>_xll.qlDayCounterYearFraction(DayCounter,S538,T538)</f>
        <v>9.166666666666666E-2</v>
      </c>
      <c r="Z538" s="29">
        <f>IF($M$13,_xll.qlYieldTSDiscount(Currency&amp;"ON",S538)/(1+V538*Y538),1)</f>
        <v>1</v>
      </c>
      <c r="AA538" s="30">
        <f>_xll.qlTenorBasisValue(TenorBasis1M,S538,InterestRatesTrigger)</f>
        <v>3.7199500847970408E-6</v>
      </c>
      <c r="AB538" s="74">
        <f t="shared" si="37"/>
        <v>1.1317028169394536E-2</v>
      </c>
      <c r="AC538" s="76">
        <f t="shared" si="38"/>
        <v>1.0187820170764776</v>
      </c>
    </row>
    <row r="539" spans="16:29" x14ac:dyDescent="0.2">
      <c r="P539" s="33">
        <v>1</v>
      </c>
      <c r="Q539" s="27" t="str">
        <f>_xll.qlPeriodEquivalent(Q538&amp;"+"&amp;P539&amp;"M")</f>
        <v>44Y8M</v>
      </c>
      <c r="R539" s="28">
        <f>_xll.qlCalendarAdvance(Calendar,SettlementDate,Q539,"f",,Trigger)</f>
        <v>58594</v>
      </c>
      <c r="S539" s="28">
        <f>_xll.qlInterestRateIndexValueDate(Index,R539,Trigger)</f>
        <v>58596</v>
      </c>
      <c r="T539" s="28">
        <f>_xll.qlInterestRateIndexMaturity(Index,S539,Trigger)</f>
        <v>58627</v>
      </c>
      <c r="U539" s="30">
        <f>_xll.qlIndexFixing($M$5,R539,TRUE,InterestRatesTrigger)</f>
        <v>1.1299830387519061E-2</v>
      </c>
      <c r="V539" s="74">
        <f>_xll.qlIndexFixing(Index,R539,TRUE,InterestRatesTrigger)</f>
        <v>1.1088191425795603E-2</v>
      </c>
      <c r="W539" s="30">
        <f t="shared" si="36"/>
        <v>-2.1163896172345792E-4</v>
      </c>
      <c r="X539" s="29">
        <f>_xll.qlDayCounterYearFraction(DayCounter,SettlementDate,S539,,,Trigger)</f>
        <v>45.325000000000003</v>
      </c>
      <c r="Y539" s="29">
        <f>_xll.qlDayCounterYearFraction(DayCounter,S539,T539)</f>
        <v>8.611111111111111E-2</v>
      </c>
      <c r="Z539" s="29">
        <f>IF($M$13,_xll.qlYieldTSDiscount(Currency&amp;"ON",S539)/(1+V539*Y539),1)</f>
        <v>1</v>
      </c>
      <c r="AA539" s="30">
        <f>_xll.qlTenorBasisValue(TenorBasis1M,S539,InterestRatesTrigger)</f>
        <v>3.6732555028594134E-6</v>
      </c>
      <c r="AB539" s="74">
        <f t="shared" si="37"/>
        <v>1.130350364302192E-2</v>
      </c>
      <c r="AC539" s="76">
        <f t="shared" si="38"/>
        <v>1.0194181547700749</v>
      </c>
    </row>
    <row r="540" spans="16:29" x14ac:dyDescent="0.2">
      <c r="P540" s="33">
        <v>1</v>
      </c>
      <c r="Q540" s="27" t="str">
        <f>_xll.qlPeriodEquivalent(Q539&amp;"+"&amp;P540&amp;"M")</f>
        <v>44Y9M</v>
      </c>
      <c r="R540" s="28">
        <f>_xll.qlCalendarAdvance(Calendar,SettlementDate,Q540,"f",,Trigger)</f>
        <v>58624</v>
      </c>
      <c r="S540" s="28">
        <f>_xll.qlInterestRateIndexValueDate(Index,R540,Trigger)</f>
        <v>58628</v>
      </c>
      <c r="T540" s="28">
        <f>_xll.qlInterestRateIndexMaturity(Index,S540,Trigger)</f>
        <v>58659</v>
      </c>
      <c r="U540" s="30">
        <f>_xll.qlIndexFixing($M$5,R540,TRUE,InterestRatesTrigger)</f>
        <v>1.1286075230987848E-2</v>
      </c>
      <c r="V540" s="74">
        <f>_xll.qlIndexFixing(Index,R540,TRUE,InterestRatesTrigger)</f>
        <v>1.1067132204316687E-2</v>
      </c>
      <c r="W540" s="30">
        <f t="shared" si="36"/>
        <v>-2.1894302667116103E-4</v>
      </c>
      <c r="X540" s="29">
        <f>_xll.qlDayCounterYearFraction(DayCounter,SettlementDate,S540,,,Trigger)</f>
        <v>45.413888888888891</v>
      </c>
      <c r="Y540" s="29">
        <f>_xll.qlDayCounterYearFraction(DayCounter,S540,T540)</f>
        <v>8.611111111111111E-2</v>
      </c>
      <c r="Z540" s="29">
        <f>IF($M$13,_xll.qlYieldTSDiscount(Currency&amp;"ON",S540)/(1+V540*Y540),1)</f>
        <v>1</v>
      </c>
      <c r="AA540" s="30">
        <f>_xll.qlTenorBasisValue(TenorBasis1M,S540,InterestRatesTrigger)</f>
        <v>3.6240811966453452E-6</v>
      </c>
      <c r="AB540" s="74">
        <f t="shared" si="37"/>
        <v>1.1289699312184494E-2</v>
      </c>
      <c r="AC540" s="76">
        <f t="shared" si="38"/>
        <v>1.0201106396633624</v>
      </c>
    </row>
    <row r="541" spans="16:29" x14ac:dyDescent="0.2">
      <c r="P541" s="33">
        <v>1</v>
      </c>
      <c r="Q541" s="27" t="str">
        <f>_xll.qlPeriodEquivalent(Q540&amp;"+"&amp;P541&amp;"M")</f>
        <v>44Y10M</v>
      </c>
      <c r="R541" s="28">
        <f>_xll.qlCalendarAdvance(Calendar,SettlementDate,Q541,"f",,Trigger)</f>
        <v>58655</v>
      </c>
      <c r="S541" s="28">
        <f>_xll.qlInterestRateIndexValueDate(Index,R541,Trigger)</f>
        <v>58657</v>
      </c>
      <c r="T541" s="28">
        <f>_xll.qlInterestRateIndexMaturity(Index,S541,Trigger)</f>
        <v>58690</v>
      </c>
      <c r="U541" s="30">
        <f>_xll.qlIndexFixing($M$5,R541,TRUE,InterestRatesTrigger)</f>
        <v>1.127422312496326E-2</v>
      </c>
      <c r="V541" s="74">
        <f>_xll.qlIndexFixing(Index,R541,TRUE,InterestRatesTrigger)</f>
        <v>1.1048545261267216E-2</v>
      </c>
      <c r="W541" s="30">
        <f t="shared" si="36"/>
        <v>-2.2567786369604402E-4</v>
      </c>
      <c r="X541" s="29">
        <f>_xll.qlDayCounterYearFraction(DayCounter,SettlementDate,S541,,,Trigger)</f>
        <v>45.494444444444447</v>
      </c>
      <c r="Y541" s="29">
        <f>_xll.qlDayCounterYearFraction(DayCounter,S541,T541)</f>
        <v>9.166666666666666E-2</v>
      </c>
      <c r="Z541" s="29">
        <f>IF($M$13,_xll.qlYieldTSDiscount(Currency&amp;"ON",S541)/(1+V541*Y541),1)</f>
        <v>1</v>
      </c>
      <c r="AA541" s="30">
        <f>_xll.qlTenorBasisValue(TenorBasis1M,S541,InterestRatesTrigger)</f>
        <v>3.5800747661036798E-6</v>
      </c>
      <c r="AB541" s="74">
        <f t="shared" si="37"/>
        <v>1.1277803199729364E-2</v>
      </c>
      <c r="AC541" s="76">
        <f t="shared" si="38"/>
        <v>1.0207500565043486</v>
      </c>
    </row>
    <row r="542" spans="16:29" x14ac:dyDescent="0.2">
      <c r="P542" s="33">
        <v>1</v>
      </c>
      <c r="Q542" s="27" t="str">
        <f>_xll.qlPeriodEquivalent(Q541&amp;"+"&amp;P542&amp;"M")</f>
        <v>44Y11M</v>
      </c>
      <c r="R542" s="28">
        <f>_xll.qlCalendarAdvance(Calendar,SettlementDate,Q542,"f",,Trigger)</f>
        <v>58686</v>
      </c>
      <c r="S542" s="28">
        <f>_xll.qlInterestRateIndexValueDate(Index,R542,Trigger)</f>
        <v>58690</v>
      </c>
      <c r="T542" s="28">
        <f>_xll.qlInterestRateIndexMaturity(Index,S542,Trigger)</f>
        <v>58720</v>
      </c>
      <c r="U542" s="30">
        <f>_xll.qlIndexFixing($M$5,R542,TRUE,InterestRatesTrigger)</f>
        <v>1.1261583807159248E-2</v>
      </c>
      <c r="V542" s="74">
        <f>_xll.qlIndexFixing(Index,R542,TRUE,InterestRatesTrigger)</f>
        <v>1.102900629123571E-2</v>
      </c>
      <c r="W542" s="30">
        <f t="shared" si="36"/>
        <v>-2.325775159235377E-4</v>
      </c>
      <c r="X542" s="29">
        <f>_xll.qlDayCounterYearFraction(DayCounter,SettlementDate,S542,,,Trigger)</f>
        <v>45.586111111111109</v>
      </c>
      <c r="Y542" s="29">
        <f>_xll.qlDayCounterYearFraction(DayCounter,S542,T542)</f>
        <v>8.3333333333333329E-2</v>
      </c>
      <c r="Z542" s="29">
        <f>IF($M$13,_xll.qlYieldTSDiscount(Currency&amp;"ON",S542)/(1+V542*Y542),1)</f>
        <v>1</v>
      </c>
      <c r="AA542" s="30">
        <f>_xll.qlTenorBasisValue(TenorBasis1M,S542,InterestRatesTrigger)</f>
        <v>3.5306355337656684E-6</v>
      </c>
      <c r="AB542" s="74">
        <f t="shared" si="37"/>
        <v>1.1265114442693014E-2</v>
      </c>
      <c r="AC542" s="76">
        <f t="shared" si="38"/>
        <v>1.0214079260835067</v>
      </c>
    </row>
    <row r="543" spans="16:29" x14ac:dyDescent="0.2">
      <c r="P543" s="33">
        <v>1</v>
      </c>
      <c r="Q543" s="27" t="str">
        <f>_xll.qlPeriodEquivalent(Q542&amp;"+"&amp;P543&amp;"M")</f>
        <v>45Y</v>
      </c>
      <c r="R543" s="28">
        <f>_xll.qlCalendarAdvance(Calendar,SettlementDate,Q543,"f",,Trigger)</f>
        <v>58718</v>
      </c>
      <c r="S543" s="28">
        <f>_xll.qlInterestRateIndexValueDate(Index,R543,Trigger)</f>
        <v>58720</v>
      </c>
      <c r="T543" s="28">
        <f>_xll.qlInterestRateIndexMaturity(Index,S543,Trigger)</f>
        <v>58753</v>
      </c>
      <c r="U543" s="30">
        <f>_xll.qlIndexFixing($M$5,R543,TRUE,InterestRatesTrigger)</f>
        <v>1.1250745137043404E-2</v>
      </c>
      <c r="V543" s="74">
        <f>_xll.qlIndexFixing(Index,R543,TRUE,InterestRatesTrigger)</f>
        <v>1.1011375447778285E-2</v>
      </c>
      <c r="W543" s="30">
        <f t="shared" si="36"/>
        <v>-2.3936968926511863E-4</v>
      </c>
      <c r="X543" s="29">
        <f>_xll.qlDayCounterYearFraction(DayCounter,SettlementDate,S543,,,Trigger)</f>
        <v>45.669444444444444</v>
      </c>
      <c r="Y543" s="29">
        <f>_xll.qlDayCounterYearFraction(DayCounter,S543,T543)</f>
        <v>9.166666666666666E-2</v>
      </c>
      <c r="Z543" s="29">
        <f>IF($M$13,_xll.qlYieldTSDiscount(Currency&amp;"ON",S543)/(1+V543*Y543),1)</f>
        <v>1</v>
      </c>
      <c r="AA543" s="30">
        <f>_xll.qlTenorBasisValue(TenorBasis1M,S543,InterestRatesTrigger)</f>
        <v>3.4862720416062114E-6</v>
      </c>
      <c r="AB543" s="74">
        <f t="shared" si="37"/>
        <v>1.1254231409085011E-2</v>
      </c>
      <c r="AC543" s="76">
        <f t="shared" si="38"/>
        <v>1.022055006884333</v>
      </c>
    </row>
    <row r="544" spans="16:29" x14ac:dyDescent="0.2">
      <c r="P544" s="33">
        <v>1</v>
      </c>
      <c r="Q544" s="27" t="str">
        <f>_xll.qlPeriodEquivalent(Q543&amp;"+"&amp;P544&amp;"M")</f>
        <v>45Y1M</v>
      </c>
      <c r="R544" s="28">
        <f>_xll.qlCalendarAdvance(Calendar,SettlementDate,Q544,"f",,Trigger)</f>
        <v>58747</v>
      </c>
      <c r="S544" s="28">
        <f>_xll.qlInterestRateIndexValueDate(Index,R544,Trigger)</f>
        <v>58749</v>
      </c>
      <c r="T544" s="28">
        <f>_xll.qlInterestRateIndexMaturity(Index,S544,Trigger)</f>
        <v>58781</v>
      </c>
      <c r="U544" s="30">
        <f>_xll.qlIndexFixing($M$5,R544,TRUE,InterestRatesTrigger)</f>
        <v>1.1240909194225601E-2</v>
      </c>
      <c r="V544" s="74">
        <f>_xll.qlIndexFixing(Index,R544,TRUE,InterestRatesTrigger)</f>
        <v>1.0995553488155896E-2</v>
      </c>
      <c r="W544" s="30">
        <f t="shared" si="36"/>
        <v>-2.4535570606970536E-4</v>
      </c>
      <c r="X544" s="29">
        <f>_xll.qlDayCounterYearFraction(DayCounter,SettlementDate,S544,,,Trigger)</f>
        <v>45.75</v>
      </c>
      <c r="Y544" s="29">
        <f>_xll.qlDayCounterYearFraction(DayCounter,S544,T544)</f>
        <v>8.8888888888888892E-2</v>
      </c>
      <c r="Z544" s="29">
        <f>IF($M$13,_xll.qlYieldTSDiscount(Currency&amp;"ON",S544)/(1+V544*Y544),1)</f>
        <v>1</v>
      </c>
      <c r="AA544" s="30">
        <f>_xll.qlTenorBasisValue(TenorBasis1M,S544,InterestRatesTrigger)</f>
        <v>3.4439070918550537E-6</v>
      </c>
      <c r="AB544" s="74">
        <f t="shared" si="37"/>
        <v>1.1244353101317456E-2</v>
      </c>
      <c r="AC544" s="76">
        <f t="shared" si="38"/>
        <v>1.022627293244452</v>
      </c>
    </row>
    <row r="545" spans="16:29" x14ac:dyDescent="0.2">
      <c r="P545" s="33">
        <v>1</v>
      </c>
      <c r="Q545" s="27" t="str">
        <f>_xll.qlPeriodEquivalent(Q544&amp;"+"&amp;P545&amp;"M")</f>
        <v>45Y2M</v>
      </c>
      <c r="R545" s="28">
        <f>_xll.qlCalendarAdvance(Calendar,SettlementDate,Q545,"f",,Trigger)</f>
        <v>58777</v>
      </c>
      <c r="S545" s="28">
        <f>_xll.qlInterestRateIndexValueDate(Index,R545,Trigger)</f>
        <v>58781</v>
      </c>
      <c r="T545" s="28">
        <f>_xll.qlInterestRateIndexMaturity(Index,S545,Trigger)</f>
        <v>58812</v>
      </c>
      <c r="U545" s="30">
        <f>_xll.qlIndexFixing($M$5,R545,TRUE,InterestRatesTrigger)</f>
        <v>1.1230754829992268E-2</v>
      </c>
      <c r="V545" s="74">
        <f>_xll.qlIndexFixing(Index,R545,TRUE,InterestRatesTrigger)</f>
        <v>1.0978936860496332E-2</v>
      </c>
      <c r="W545" s="30">
        <f t="shared" si="36"/>
        <v>-2.5181796949593632E-4</v>
      </c>
      <c r="X545" s="29">
        <f>_xll.qlDayCounterYearFraction(DayCounter,SettlementDate,S545,,,Trigger)</f>
        <v>45.838888888888889</v>
      </c>
      <c r="Y545" s="29">
        <f>_xll.qlDayCounterYearFraction(DayCounter,S545,T545)</f>
        <v>8.611111111111111E-2</v>
      </c>
      <c r="Z545" s="29">
        <f>IF($M$13,_xll.qlYieldTSDiscount(Currency&amp;"ON",S545)/(1+V545*Y545),1)</f>
        <v>1</v>
      </c>
      <c r="AA545" s="30">
        <f>_xll.qlTenorBasisValue(TenorBasis1M,S545,InterestRatesTrigger)</f>
        <v>3.3977453339396663E-6</v>
      </c>
      <c r="AB545" s="74">
        <f t="shared" si="37"/>
        <v>1.1234152575326208E-2</v>
      </c>
      <c r="AC545" s="76">
        <f t="shared" si="38"/>
        <v>1.0232459406655461</v>
      </c>
    </row>
    <row r="546" spans="16:29" x14ac:dyDescent="0.2">
      <c r="P546" s="33">
        <v>1</v>
      </c>
      <c r="Q546" s="27" t="str">
        <f>_xll.qlPeriodEquivalent(Q545&amp;"+"&amp;P546&amp;"M")</f>
        <v>45Y3M</v>
      </c>
      <c r="R546" s="28">
        <f>_xll.qlCalendarAdvance(Calendar,SettlementDate,Q546,"f",,Trigger)</f>
        <v>58809</v>
      </c>
      <c r="S546" s="28">
        <f>_xll.qlInterestRateIndexValueDate(Index,R546,Trigger)</f>
        <v>58811</v>
      </c>
      <c r="T546" s="28">
        <f>_xll.qlInterestRateIndexMaturity(Index,S546,Trigger)</f>
        <v>58844</v>
      </c>
      <c r="U546" s="30">
        <f>_xll.qlIndexFixing($M$5,R546,TRUE,InterestRatesTrigger)</f>
        <v>1.1222004889714719E-2</v>
      </c>
      <c r="V546" s="74">
        <f>_xll.qlIndexFixing(Index,R546,TRUE,InterestRatesTrigger)</f>
        <v>1.0963970003437367E-2</v>
      </c>
      <c r="W546" s="30">
        <f t="shared" si="36"/>
        <v>-2.5803488627735259E-4</v>
      </c>
      <c r="X546" s="29">
        <f>_xll.qlDayCounterYearFraction(DayCounter,SettlementDate,S546,,,Trigger)</f>
        <v>45.922222222222224</v>
      </c>
      <c r="Y546" s="29">
        <f>_xll.qlDayCounterYearFraction(DayCounter,S546,T546)</f>
        <v>9.166666666666666E-2</v>
      </c>
      <c r="Z546" s="29">
        <f>IF($M$13,_xll.qlYieldTSDiscount(Currency&amp;"ON",S546)/(1+V546*Y546),1)</f>
        <v>1</v>
      </c>
      <c r="AA546" s="30">
        <f>_xll.qlTenorBasisValue(TenorBasis1M,S546,InterestRatesTrigger)</f>
        <v>3.355020073391338E-6</v>
      </c>
      <c r="AB546" s="74">
        <f t="shared" si="37"/>
        <v>1.122535990978811E-2</v>
      </c>
      <c r="AC546" s="76">
        <f t="shared" si="38"/>
        <v>1.0238408082354105</v>
      </c>
    </row>
    <row r="547" spans="16:29" x14ac:dyDescent="0.2">
      <c r="P547" s="33">
        <v>1</v>
      </c>
      <c r="Q547" s="27" t="str">
        <f>_xll.qlPeriodEquivalent(Q546&amp;"+"&amp;P547&amp;"M")</f>
        <v>45Y4M</v>
      </c>
      <c r="R547" s="28">
        <f>_xll.qlCalendarAdvance(Calendar,SettlementDate,Q547,"f",,Trigger)</f>
        <v>58839</v>
      </c>
      <c r="S547" s="28">
        <f>_xll.qlInterestRateIndexValueDate(Index,R547,Trigger)</f>
        <v>58841</v>
      </c>
      <c r="T547" s="28">
        <f>_xll.qlInterestRateIndexMaturity(Index,S547,Trigger)</f>
        <v>58869</v>
      </c>
      <c r="U547" s="30">
        <f>_xll.qlIndexFixing($M$5,R547,TRUE,InterestRatesTrigger)</f>
        <v>1.121364000328029E-2</v>
      </c>
      <c r="V547" s="74">
        <f>_xll.qlIndexFixing(Index,R547,TRUE,InterestRatesTrigger)</f>
        <v>1.0950283523093938E-2</v>
      </c>
      <c r="W547" s="30">
        <f t="shared" si="36"/>
        <v>-2.633564801863518E-4</v>
      </c>
      <c r="X547" s="29">
        <f>_xll.qlDayCounterYearFraction(DayCounter,SettlementDate,S547,,,Trigger)</f>
        <v>46.005555555555553</v>
      </c>
      <c r="Y547" s="29">
        <f>_xll.qlDayCounterYearFraction(DayCounter,S547,T547)</f>
        <v>7.7777777777777779E-2</v>
      </c>
      <c r="Z547" s="29">
        <f>IF($M$13,_xll.qlYieldTSDiscount(Currency&amp;"ON",S547)/(1+V547*Y547),1)</f>
        <v>1</v>
      </c>
      <c r="AA547" s="30">
        <f>_xll.qlTenorBasisValue(TenorBasis1M,S547,InterestRatesTrigger)</f>
        <v>3.3128218603450376E-6</v>
      </c>
      <c r="AB547" s="74">
        <f t="shared" si="37"/>
        <v>1.1216952825140635E-2</v>
      </c>
      <c r="AC547" s="76">
        <f t="shared" si="38"/>
        <v>1.0243527303639488</v>
      </c>
    </row>
    <row r="548" spans="16:29" x14ac:dyDescent="0.2">
      <c r="P548" s="33">
        <v>1</v>
      </c>
      <c r="Q548" s="27" t="str">
        <f>_xll.qlPeriodEquivalent(Q547&amp;"+"&amp;P548&amp;"M")</f>
        <v>45Y5M</v>
      </c>
      <c r="R548" s="28">
        <f>_xll.qlCalendarAdvance(Calendar,SettlementDate,Q548,"f",,Trigger)</f>
        <v>58867</v>
      </c>
      <c r="S548" s="28">
        <f>_xll.qlInterestRateIndexValueDate(Index,R548,Trigger)</f>
        <v>58869</v>
      </c>
      <c r="T548" s="28">
        <f>_xll.qlInterestRateIndexMaturity(Index,S548,Trigger)</f>
        <v>58900</v>
      </c>
      <c r="U548" s="30">
        <f>_xll.qlIndexFixing($M$5,R548,TRUE,InterestRatesTrigger)</f>
        <v>1.1206763668318208E-2</v>
      </c>
      <c r="V548" s="74">
        <f>_xll.qlIndexFixing(Index,R548,TRUE,InterestRatesTrigger)</f>
        <v>1.0937789183780085E-2</v>
      </c>
      <c r="W548" s="30">
        <f t="shared" si="36"/>
        <v>-2.6897448453812312E-4</v>
      </c>
      <c r="X548" s="29">
        <f>_xll.qlDayCounterYearFraction(DayCounter,SettlementDate,S548,,,Trigger)</f>
        <v>46.083333333333336</v>
      </c>
      <c r="Y548" s="29">
        <f>_xll.qlDayCounterYearFraction(DayCounter,S548,T548)</f>
        <v>8.611111111111111E-2</v>
      </c>
      <c r="Z548" s="29">
        <f>IF($M$13,_xll.qlYieldTSDiscount(Currency&amp;"ON",S548)/(1+V548*Y548),1)</f>
        <v>1</v>
      </c>
      <c r="AA548" s="30">
        <f>_xll.qlTenorBasisValue(TenorBasis1M,S548,InterestRatesTrigger)</f>
        <v>3.2739067854868001E-6</v>
      </c>
      <c r="AB548" s="74">
        <f t="shared" si="37"/>
        <v>1.1210037575103695E-2</v>
      </c>
      <c r="AC548" s="76">
        <f t="shared" si="38"/>
        <v>1.0248906233928272</v>
      </c>
    </row>
    <row r="549" spans="16:29" x14ac:dyDescent="0.2">
      <c r="P549" s="33">
        <v>1</v>
      </c>
      <c r="Q549" s="27" t="str">
        <f>_xll.qlPeriodEquivalent(Q548&amp;"+"&amp;P549&amp;"M")</f>
        <v>45Y6M</v>
      </c>
      <c r="R549" s="28">
        <f>_xll.qlCalendarAdvance(Calendar,SettlementDate,Q549,"f",,Trigger)</f>
        <v>58900</v>
      </c>
      <c r="S549" s="28">
        <f>_xll.qlInterestRateIndexValueDate(Index,R549,Trigger)</f>
        <v>58902</v>
      </c>
      <c r="T549" s="28">
        <f>_xll.qlInterestRateIndexMaturity(Index,S549,Trigger)</f>
        <v>58932</v>
      </c>
      <c r="U549" s="30">
        <f>_xll.qlIndexFixing($M$5,R549,TRUE,InterestRatesTrigger)</f>
        <v>1.1199172612602837E-2</v>
      </c>
      <c r="V549" s="74">
        <f>_xll.qlIndexFixing(Index,R549,TRUE,InterestRatesTrigger)</f>
        <v>1.0924233652305659E-2</v>
      </c>
      <c r="W549" s="30">
        <f t="shared" si="36"/>
        <v>-2.7493896029717746E-4</v>
      </c>
      <c r="X549" s="29">
        <f>_xll.qlDayCounterYearFraction(DayCounter,SettlementDate,S549,,,Trigger)</f>
        <v>46.174999999999997</v>
      </c>
      <c r="Y549" s="29">
        <f>_xll.qlDayCounterYearFraction(DayCounter,S549,T549)</f>
        <v>8.3333333333333329E-2</v>
      </c>
      <c r="Z549" s="29">
        <f>IF($M$13,_xll.qlYieldTSDiscount(Currency&amp;"ON",S549)/(1+V549*Y549),1)</f>
        <v>1</v>
      </c>
      <c r="AA549" s="30">
        <f>_xll.qlTenorBasisValue(TenorBasis1M,S549,InterestRatesTrigger)</f>
        <v>3.2286179944588354E-6</v>
      </c>
      <c r="AB549" s="74">
        <f t="shared" si="37"/>
        <v>1.1202401230597295E-2</v>
      </c>
      <c r="AC549" s="76">
        <f t="shared" si="38"/>
        <v>1.0254633493886252</v>
      </c>
    </row>
    <row r="550" spans="16:29" x14ac:dyDescent="0.2">
      <c r="P550" s="33">
        <v>1</v>
      </c>
      <c r="Q550" s="27" t="str">
        <f>_xll.qlPeriodEquivalent(Q549&amp;"+"&amp;P550&amp;"M")</f>
        <v>45Y7M</v>
      </c>
      <c r="R550" s="28">
        <f>_xll.qlCalendarAdvance(Calendar,SettlementDate,Q550,"f",,Trigger)</f>
        <v>58928</v>
      </c>
      <c r="S550" s="28">
        <f>_xll.qlInterestRateIndexValueDate(Index,R550,Trigger)</f>
        <v>58930</v>
      </c>
      <c r="T550" s="28">
        <f>_xll.qlInterestRateIndexMaturity(Index,S550,Trigger)</f>
        <v>58963</v>
      </c>
      <c r="U550" s="30">
        <f>_xll.qlIndexFixing($M$5,R550,TRUE,InterestRatesTrigger)</f>
        <v>1.1193644932783995E-2</v>
      </c>
      <c r="V550" s="74">
        <f>_xll.qlIndexFixing(Index,R550,TRUE,InterestRatesTrigger)</f>
        <v>1.091344102127533E-2</v>
      </c>
      <c r="W550" s="30">
        <f t="shared" si="36"/>
        <v>-2.8020391150866512E-4</v>
      </c>
      <c r="X550" s="29">
        <f>_xll.qlDayCounterYearFraction(DayCounter,SettlementDate,S550,,,Trigger)</f>
        <v>46.25277777777778</v>
      </c>
      <c r="Y550" s="29">
        <f>_xll.qlDayCounterYearFraction(DayCounter,S550,T550)</f>
        <v>9.166666666666666E-2</v>
      </c>
      <c r="Z550" s="29">
        <f>IF($M$13,_xll.qlYieldTSDiscount(Currency&amp;"ON",S550)/(1+V550*Y550),1)</f>
        <v>1</v>
      </c>
      <c r="AA550" s="30">
        <f>_xll.qlTenorBasisValue(TenorBasis1M,S550,InterestRatesTrigger)</f>
        <v>3.1906735544134035E-6</v>
      </c>
      <c r="AB550" s="74">
        <f t="shared" si="37"/>
        <v>1.1196835606338409E-2</v>
      </c>
      <c r="AC550" s="76">
        <f t="shared" si="38"/>
        <v>1.0259674821635645</v>
      </c>
    </row>
    <row r="551" spans="16:29" x14ac:dyDescent="0.2">
      <c r="P551" s="33">
        <v>1</v>
      </c>
      <c r="Q551" s="27" t="str">
        <f>_xll.qlPeriodEquivalent(Q550&amp;"+"&amp;P551&amp;"M")</f>
        <v>45Y8M</v>
      </c>
      <c r="R551" s="28">
        <f>_xll.qlCalendarAdvance(Calendar,SettlementDate,Q551,"f",,Trigger)</f>
        <v>58959</v>
      </c>
      <c r="S551" s="28">
        <f>_xll.qlInterestRateIndexValueDate(Index,R551,Trigger)</f>
        <v>58963</v>
      </c>
      <c r="T551" s="28">
        <f>_xll.qlInterestRateIndexMaturity(Index,S551,Trigger)</f>
        <v>58993</v>
      </c>
      <c r="U551" s="30">
        <f>_xll.qlIndexFixing($M$5,R551,TRUE,InterestRatesTrigger)</f>
        <v>1.118736046231561E-2</v>
      </c>
      <c r="V551" s="74">
        <f>_xll.qlIndexFixing(Index,R551,TRUE,InterestRatesTrigger)</f>
        <v>1.0901780759531299E-2</v>
      </c>
      <c r="W551" s="30">
        <f t="shared" si="36"/>
        <v>-2.85579702784311E-4</v>
      </c>
      <c r="X551" s="29">
        <f>_xll.qlDayCounterYearFraction(DayCounter,SettlementDate,S551,,,Trigger)</f>
        <v>46.344444444444441</v>
      </c>
      <c r="Y551" s="29">
        <f>_xll.qlDayCounterYearFraction(DayCounter,S551,T551)</f>
        <v>8.3333333333333329E-2</v>
      </c>
      <c r="Z551" s="29">
        <f>IF($M$13,_xll.qlYieldTSDiscount(Currency&amp;"ON",S551)/(1+V551*Y551),1)</f>
        <v>1</v>
      </c>
      <c r="AA551" s="30">
        <f>_xll.qlTenorBasisValue(TenorBasis1M,S551,InterestRatesTrigger)</f>
        <v>3.1465147340386744E-6</v>
      </c>
      <c r="AB551" s="74">
        <f t="shared" si="37"/>
        <v>1.1190506977049649E-2</v>
      </c>
      <c r="AC551" s="76">
        <f t="shared" si="38"/>
        <v>1.02648431700169</v>
      </c>
    </row>
    <row r="552" spans="16:29" x14ac:dyDescent="0.2">
      <c r="P552" s="33">
        <v>1</v>
      </c>
      <c r="Q552" s="27" t="str">
        <f>_xll.qlPeriodEquivalent(Q551&amp;"+"&amp;P552&amp;"M")</f>
        <v>45Y9M</v>
      </c>
      <c r="R552" s="28">
        <f>_xll.qlCalendarAdvance(Calendar,SettlementDate,Q552,"f",,Trigger)</f>
        <v>58991</v>
      </c>
      <c r="S552" s="28">
        <f>_xll.qlInterestRateIndexValueDate(Index,R552,Trigger)</f>
        <v>58993</v>
      </c>
      <c r="T552" s="28">
        <f>_xll.qlInterestRateIndexMaturity(Index,S552,Trigger)</f>
        <v>59026</v>
      </c>
      <c r="U552" s="30">
        <f>_xll.qlIndexFixing($M$5,R552,TRUE,InterestRatesTrigger)</f>
        <v>1.1182862745042564E-2</v>
      </c>
      <c r="V552" s="74">
        <f>_xll.qlIndexFixing(Index,R552,TRUE,InterestRatesTrigger)</f>
        <v>1.0892067464680431E-2</v>
      </c>
      <c r="W552" s="30">
        <f t="shared" si="36"/>
        <v>-2.9079528036213276E-4</v>
      </c>
      <c r="X552" s="29">
        <f>_xll.qlDayCounterYearFraction(DayCounter,SettlementDate,S552,,,Trigger)</f>
        <v>46.427777777777777</v>
      </c>
      <c r="Y552" s="29">
        <f>_xll.qlDayCounterYearFraction(DayCounter,S552,T552)</f>
        <v>9.166666666666666E-2</v>
      </c>
      <c r="Z552" s="29">
        <f>IF($M$13,_xll.qlYieldTSDiscount(Currency&amp;"ON",S552)/(1+V552*Y552),1)</f>
        <v>1</v>
      </c>
      <c r="AA552" s="30">
        <f>_xll.qlTenorBasisValue(TenorBasis1M,S552,InterestRatesTrigger)</f>
        <v>3.1068910435618874E-6</v>
      </c>
      <c r="AB552" s="74">
        <f t="shared" si="37"/>
        <v>1.1185969636086125E-2</v>
      </c>
      <c r="AC552" s="76">
        <f t="shared" si="38"/>
        <v>1.0269831390926218</v>
      </c>
    </row>
    <row r="553" spans="16:29" x14ac:dyDescent="0.2">
      <c r="P553" s="33">
        <v>1</v>
      </c>
      <c r="Q553" s="27" t="str">
        <f>_xll.qlPeriodEquivalent(Q552&amp;"+"&amp;P553&amp;"M")</f>
        <v>45Y10M</v>
      </c>
      <c r="R553" s="28">
        <f>_xll.qlCalendarAdvance(Calendar,SettlementDate,Q553,"f",,Trigger)</f>
        <v>59020</v>
      </c>
      <c r="S553" s="28">
        <f>_xll.qlInterestRateIndexValueDate(Index,R553,Trigger)</f>
        <v>59022</v>
      </c>
      <c r="T553" s="28">
        <f>_xll.qlInterestRateIndexMaturity(Index,S553,Trigger)</f>
        <v>59054</v>
      </c>
      <c r="U553" s="30">
        <f>_xll.qlIndexFixing($M$5,R553,TRUE,InterestRatesTrigger)</f>
        <v>1.11787720557735E-2</v>
      </c>
      <c r="V553" s="74">
        <f>_xll.qlIndexFixing(Index,R553,TRUE,InterestRatesTrigger)</f>
        <v>1.088347497389397E-2</v>
      </c>
      <c r="W553" s="30">
        <f t="shared" si="36"/>
        <v>-2.9529708187953085E-4</v>
      </c>
      <c r="X553" s="29">
        <f>_xll.qlDayCounterYearFraction(DayCounter,SettlementDate,S553,,,Trigger)</f>
        <v>46.508333333333333</v>
      </c>
      <c r="Y553" s="29">
        <f>_xll.qlDayCounterYearFraction(DayCounter,S553,T553)</f>
        <v>8.8888888888888892E-2</v>
      </c>
      <c r="Z553" s="29">
        <f>IF($M$13,_xll.qlYieldTSDiscount(Currency&amp;"ON",S553)/(1+V553*Y553),1)</f>
        <v>1</v>
      </c>
      <c r="AA553" s="30">
        <f>_xll.qlTenorBasisValue(TenorBasis1M,S553,InterestRatesTrigger)</f>
        <v>3.0690537154292787E-6</v>
      </c>
      <c r="AB553" s="74">
        <f t="shared" si="37"/>
        <v>1.118184110948893E-2</v>
      </c>
      <c r="AC553" s="76">
        <f t="shared" si="38"/>
        <v>1.0274146020743049</v>
      </c>
    </row>
    <row r="554" spans="16:29" x14ac:dyDescent="0.2">
      <c r="P554" s="33">
        <v>1</v>
      </c>
      <c r="Q554" s="27" t="str">
        <f>_xll.qlPeriodEquivalent(Q553&amp;"+"&amp;P554&amp;"M")</f>
        <v>45Y11M</v>
      </c>
      <c r="R554" s="28">
        <f>_xll.qlCalendarAdvance(Calendar,SettlementDate,Q554,"f",,Trigger)</f>
        <v>59051</v>
      </c>
      <c r="S554" s="28">
        <f>_xll.qlInterestRateIndexValueDate(Index,R554,Trigger)</f>
        <v>59055</v>
      </c>
      <c r="T554" s="28">
        <f>_xll.qlInterestRateIndexMaturity(Index,S554,Trigger)</f>
        <v>59085</v>
      </c>
      <c r="U554" s="30">
        <f>_xll.qlIndexFixing($M$5,R554,TRUE,InterestRatesTrigger)</f>
        <v>1.1174740128127247E-2</v>
      </c>
      <c r="V554" s="74">
        <f>_xll.qlIndexFixing(Index,R554,TRUE,InterestRatesTrigger)</f>
        <v>1.0874613899476415E-2</v>
      </c>
      <c r="W554" s="30">
        <f t="shared" ref="W554:W617" si="39">V554-U554</f>
        <v>-3.0012622865083216E-4</v>
      </c>
      <c r="X554" s="29">
        <f>_xll.qlDayCounterYearFraction(DayCounter,SettlementDate,S554,,,Trigger)</f>
        <v>46.6</v>
      </c>
      <c r="Y554" s="29">
        <f>_xll.qlDayCounterYearFraction(DayCounter,S554,T554)</f>
        <v>8.3333333333333329E-2</v>
      </c>
      <c r="Z554" s="29">
        <f>IF($M$13,_xll.qlYieldTSDiscount(Currency&amp;"ON",S554)/(1+V554*Y554),1)</f>
        <v>1</v>
      </c>
      <c r="AA554" s="30">
        <f>_xll.qlTenorBasisValue(TenorBasis1M,S554,InterestRatesTrigger)</f>
        <v>3.0265473161647291E-6</v>
      </c>
      <c r="AB554" s="74">
        <f t="shared" ref="AB554:AB617" si="40">AA554+U554</f>
        <v>1.1177766675443412E-2</v>
      </c>
      <c r="AC554" s="76">
        <f t="shared" ref="AC554:AC617" si="41">AB554/V554</f>
        <v>1.0278771070650694</v>
      </c>
    </row>
    <row r="555" spans="16:29" x14ac:dyDescent="0.2">
      <c r="P555" s="33">
        <v>1</v>
      </c>
      <c r="Q555" s="27" t="str">
        <f>_xll.qlPeriodEquivalent(Q554&amp;"+"&amp;P555&amp;"M")</f>
        <v>46Y</v>
      </c>
      <c r="R555" s="28">
        <f>_xll.qlCalendarAdvance(Calendar,SettlementDate,Q555,"f",,Trigger)</f>
        <v>59082</v>
      </c>
      <c r="S555" s="28">
        <f>_xll.qlInterestRateIndexValueDate(Index,R555,Trigger)</f>
        <v>59084</v>
      </c>
      <c r="T555" s="28">
        <f>_xll.qlInterestRateIndexMaturity(Index,S555,Trigger)</f>
        <v>59117</v>
      </c>
      <c r="U555" s="30">
        <f>_xll.qlIndexFixing($M$5,R555,TRUE,InterestRatesTrigger)</f>
        <v>1.117246078196743E-2</v>
      </c>
      <c r="V555" s="74">
        <f>_xll.qlIndexFixing(Index,R555,TRUE,InterestRatesTrigger)</f>
        <v>1.0867910405633972E-2</v>
      </c>
      <c r="W555" s="30">
        <f t="shared" si="39"/>
        <v>-3.0455037633345811E-4</v>
      </c>
      <c r="X555" s="29">
        <f>_xll.qlDayCounterYearFraction(DayCounter,SettlementDate,S555,,,Trigger)</f>
        <v>46.680555555555557</v>
      </c>
      <c r="Y555" s="29">
        <f>_xll.qlDayCounterYearFraction(DayCounter,S555,T555)</f>
        <v>9.166666666666666E-2</v>
      </c>
      <c r="Z555" s="29">
        <f>IF($M$13,_xll.qlYieldTSDiscount(Currency&amp;"ON",S555)/(1+V555*Y555),1)</f>
        <v>1</v>
      </c>
      <c r="AA555" s="30">
        <f>_xll.qlTenorBasisValue(TenorBasis1M,S555,InterestRatesTrigger)</f>
        <v>2.989670536647911E-6</v>
      </c>
      <c r="AB555" s="74">
        <f t="shared" si="40"/>
        <v>1.1175450452504078E-2</v>
      </c>
      <c r="AC555" s="76">
        <f t="shared" si="41"/>
        <v>1.0282979924743101</v>
      </c>
    </row>
    <row r="556" spans="16:29" x14ac:dyDescent="0.2">
      <c r="P556" s="33">
        <v>1</v>
      </c>
      <c r="Q556" s="27" t="str">
        <f>_xll.qlPeriodEquivalent(Q555&amp;"+"&amp;P556&amp;"M")</f>
        <v>46Y1M</v>
      </c>
      <c r="R556" s="28">
        <f>_xll.qlCalendarAdvance(Calendar,SettlementDate,Q556,"f",,Trigger)</f>
        <v>59112</v>
      </c>
      <c r="S556" s="28">
        <f>_xll.qlInterestRateIndexValueDate(Index,R556,Trigger)</f>
        <v>59114</v>
      </c>
      <c r="T556" s="28">
        <f>_xll.qlInterestRateIndexMaturity(Index,S556,Trigger)</f>
        <v>59145</v>
      </c>
      <c r="U556" s="30">
        <f>_xll.qlIndexFixing($M$5,R556,TRUE,InterestRatesTrigger)</f>
        <v>1.1170079853488541E-2</v>
      </c>
      <c r="V556" s="74">
        <f>_xll.qlIndexFixing(Index,R556,TRUE,InterestRatesTrigger)</f>
        <v>1.0861570800136907E-2</v>
      </c>
      <c r="W556" s="30">
        <f t="shared" si="39"/>
        <v>-3.0850905335163409E-4</v>
      </c>
      <c r="X556" s="29">
        <f>_xll.qlDayCounterYearFraction(DayCounter,SettlementDate,S556,,,Trigger)</f>
        <v>46.763888888888886</v>
      </c>
      <c r="Y556" s="29">
        <f>_xll.qlDayCounterYearFraction(DayCounter,S556,T556)</f>
        <v>8.611111111111111E-2</v>
      </c>
      <c r="Z556" s="29">
        <f>IF($M$13,_xll.qlYieldTSDiscount(Currency&amp;"ON",S556)/(1+V556*Y556),1)</f>
        <v>1</v>
      </c>
      <c r="AA556" s="30">
        <f>_xll.qlTenorBasisValue(TenorBasis1M,S556,InterestRatesTrigger)</f>
        <v>2.9519862456405503E-6</v>
      </c>
      <c r="AB556" s="74">
        <f t="shared" si="40"/>
        <v>1.1173031839734181E-2</v>
      </c>
      <c r="AC556" s="76">
        <f t="shared" si="41"/>
        <v>1.0286755060873283</v>
      </c>
    </row>
    <row r="557" spans="16:29" x14ac:dyDescent="0.2">
      <c r="P557" s="33">
        <v>1</v>
      </c>
      <c r="Q557" s="27" t="str">
        <f>_xll.qlPeriodEquivalent(Q556&amp;"+"&amp;P557&amp;"M")</f>
        <v>46Y2M</v>
      </c>
      <c r="R557" s="28">
        <f>_xll.qlCalendarAdvance(Calendar,SettlementDate,Q557,"f",,Trigger)</f>
        <v>59142</v>
      </c>
      <c r="S557" s="28">
        <f>_xll.qlInterestRateIndexValueDate(Index,R557,Trigger)</f>
        <v>59146</v>
      </c>
      <c r="T557" s="28">
        <f>_xll.qlInterestRateIndexMaturity(Index,S557,Trigger)</f>
        <v>59177</v>
      </c>
      <c r="U557" s="30">
        <f>_xll.qlIndexFixing($M$5,R557,TRUE,InterestRatesTrigger)</f>
        <v>1.1168559829500574E-2</v>
      </c>
      <c r="V557" s="74">
        <f>_xll.qlIndexFixing(Index,R557,TRUE,InterestRatesTrigger)</f>
        <v>1.0855903003530669E-2</v>
      </c>
      <c r="W557" s="30">
        <f t="shared" si="39"/>
        <v>-3.1265682596990502E-4</v>
      </c>
      <c r="X557" s="29">
        <f>_xll.qlDayCounterYearFraction(DayCounter,SettlementDate,S557,,,Trigger)</f>
        <v>46.852777777777774</v>
      </c>
      <c r="Y557" s="29">
        <f>_xll.qlDayCounterYearFraction(DayCounter,S557,T557)</f>
        <v>8.611111111111111E-2</v>
      </c>
      <c r="Z557" s="29">
        <f>IF($M$13,_xll.qlYieldTSDiscount(Currency&amp;"ON",S557)/(1+V557*Y557),1)</f>
        <v>1</v>
      </c>
      <c r="AA557" s="30">
        <f>_xll.qlTenorBasisValue(TenorBasis1M,S557,InterestRatesTrigger)</f>
        <v>2.9123035352907117E-6</v>
      </c>
      <c r="AB557" s="74">
        <f t="shared" si="40"/>
        <v>1.1171472133035865E-2</v>
      </c>
      <c r="AC557" s="76">
        <f t="shared" si="41"/>
        <v>1.0290688972997053</v>
      </c>
    </row>
    <row r="558" spans="16:29" x14ac:dyDescent="0.2">
      <c r="P558" s="33">
        <v>1</v>
      </c>
      <c r="Q558" s="27" t="str">
        <f>_xll.qlPeriodEquivalent(Q557&amp;"+"&amp;P558&amp;"M")</f>
        <v>46Y3M</v>
      </c>
      <c r="R558" s="28">
        <f>_xll.qlCalendarAdvance(Calendar,SettlementDate,Q558,"f",,Trigger)</f>
        <v>59173</v>
      </c>
      <c r="S558" s="28">
        <f>_xll.qlInterestRateIndexValueDate(Index,R558,Trigger)</f>
        <v>59175</v>
      </c>
      <c r="T558" s="28">
        <f>_xll.qlInterestRateIndexMaturity(Index,S558,Trigger)</f>
        <v>59208</v>
      </c>
      <c r="U558" s="30">
        <f>_xll.qlIndexFixing($M$5,R558,TRUE,InterestRatesTrigger)</f>
        <v>1.1168171531683995E-2</v>
      </c>
      <c r="V558" s="74">
        <f>_xll.qlIndexFixing(Index,R558,TRUE,InterestRatesTrigger)</f>
        <v>1.0851842868718462E-2</v>
      </c>
      <c r="W558" s="30">
        <f t="shared" si="39"/>
        <v>-3.1632866296553257E-4</v>
      </c>
      <c r="X558" s="29">
        <f>_xll.qlDayCounterYearFraction(DayCounter,SettlementDate,S558,,,Trigger)</f>
        <v>46.93333333333333</v>
      </c>
      <c r="Y558" s="29">
        <f>_xll.qlDayCounterYearFraction(DayCounter,S558,T558)</f>
        <v>9.166666666666666E-2</v>
      </c>
      <c r="Z558" s="29">
        <f>IF($M$13,_xll.qlYieldTSDiscount(Currency&amp;"ON",S558)/(1+V558*Y558),1)</f>
        <v>1</v>
      </c>
      <c r="AA558" s="30">
        <f>_xll.qlTenorBasisValue(TenorBasis1M,S558,InterestRatesTrigger)</f>
        <v>2.8767936667061119E-6</v>
      </c>
      <c r="AB558" s="74">
        <f t="shared" si="40"/>
        <v>1.1171048325350701E-2</v>
      </c>
      <c r="AC558" s="76">
        <f t="shared" si="41"/>
        <v>1.029414861650124</v>
      </c>
    </row>
    <row r="559" spans="16:29" x14ac:dyDescent="0.2">
      <c r="P559" s="33">
        <v>1</v>
      </c>
      <c r="Q559" s="27" t="str">
        <f>_xll.qlPeriodEquivalent(Q558&amp;"+"&amp;P559&amp;"M")</f>
        <v>46Y4M</v>
      </c>
      <c r="R559" s="28">
        <f>_xll.qlCalendarAdvance(Calendar,SettlementDate,Q559,"f",,Trigger)</f>
        <v>59204</v>
      </c>
      <c r="S559" s="28">
        <f>_xll.qlInterestRateIndexValueDate(Index,R559,Trigger)</f>
        <v>59208</v>
      </c>
      <c r="T559" s="28">
        <f>_xll.qlInterestRateIndexMaturity(Index,S559,Trigger)</f>
        <v>59236</v>
      </c>
      <c r="U559" s="30">
        <f>_xll.qlIndexFixing($M$5,R559,TRUE,InterestRatesTrigger)</f>
        <v>1.1167226449305836E-2</v>
      </c>
      <c r="V559" s="74">
        <f>_xll.qlIndexFixing(Index,R559,TRUE,InterestRatesTrigger)</f>
        <v>1.0847467534536661E-2</v>
      </c>
      <c r="W559" s="30">
        <f t="shared" si="39"/>
        <v>-3.1975891476917519E-4</v>
      </c>
      <c r="X559" s="29">
        <f>_xll.qlDayCounterYearFraction(DayCounter,SettlementDate,S559,,,Trigger)</f>
        <v>47.024999999999999</v>
      </c>
      <c r="Y559" s="29">
        <f>_xll.qlDayCounterYearFraction(DayCounter,S559,T559)</f>
        <v>7.7777777777777779E-2</v>
      </c>
      <c r="Z559" s="29">
        <f>IF($M$13,_xll.qlYieldTSDiscount(Currency&amp;"ON",S559)/(1+V559*Y559),1)</f>
        <v>1</v>
      </c>
      <c r="AA559" s="30">
        <f>_xll.qlTenorBasisValue(TenorBasis1M,S559,InterestRatesTrigger)</f>
        <v>2.8369027401868018E-6</v>
      </c>
      <c r="AB559" s="74">
        <f t="shared" si="40"/>
        <v>1.1170063352046023E-2</v>
      </c>
      <c r="AC559" s="76">
        <f t="shared" si="41"/>
        <v>1.0297392747645722</v>
      </c>
    </row>
    <row r="560" spans="16:29" x14ac:dyDescent="0.2">
      <c r="P560" s="33">
        <v>1</v>
      </c>
      <c r="Q560" s="27" t="str">
        <f>_xll.qlPeriodEquivalent(Q559&amp;"+"&amp;P560&amp;"M")</f>
        <v>46Y5M</v>
      </c>
      <c r="R560" s="28">
        <f>_xll.qlCalendarAdvance(Calendar,SettlementDate,Q560,"f",,Trigger)</f>
        <v>59232</v>
      </c>
      <c r="S560" s="28">
        <f>_xll.qlInterestRateIndexValueDate(Index,R560,Trigger)</f>
        <v>59236</v>
      </c>
      <c r="T560" s="28">
        <f>_xll.qlInterestRateIndexMaturity(Index,S560,Trigger)</f>
        <v>59267</v>
      </c>
      <c r="U560" s="30">
        <f>_xll.qlIndexFixing($M$5,R560,TRUE,InterestRatesTrigger)</f>
        <v>1.1168337010751315E-2</v>
      </c>
      <c r="V560" s="74">
        <f>_xll.qlIndexFixing(Index,R560,TRUE,InterestRatesTrigger)</f>
        <v>1.0845424578262555E-2</v>
      </c>
      <c r="W560" s="30">
        <f t="shared" si="39"/>
        <v>-3.2291243248875993E-4</v>
      </c>
      <c r="X560" s="29">
        <f>_xll.qlDayCounterYearFraction(DayCounter,SettlementDate,S560,,,Trigger)</f>
        <v>47.102777777777774</v>
      </c>
      <c r="Y560" s="29">
        <f>_xll.qlDayCounterYearFraction(DayCounter,S560,T560)</f>
        <v>8.611111111111111E-2</v>
      </c>
      <c r="Z560" s="29">
        <f>IF($M$13,_xll.qlYieldTSDiscount(Currency&amp;"ON",S560)/(1+V560*Y560),1)</f>
        <v>1</v>
      </c>
      <c r="AA560" s="30">
        <f>_xll.qlTenorBasisValue(TenorBasis1M,S560,InterestRatesTrigger)</f>
        <v>2.8034821499918814E-6</v>
      </c>
      <c r="AB560" s="74">
        <f t="shared" si="40"/>
        <v>1.1171140492901308E-2</v>
      </c>
      <c r="AC560" s="76">
        <f t="shared" si="41"/>
        <v>1.0300325646348216</v>
      </c>
    </row>
    <row r="561" spans="16:29" x14ac:dyDescent="0.2">
      <c r="P561" s="33">
        <v>1</v>
      </c>
      <c r="Q561" s="27" t="str">
        <f>_xll.qlPeriodEquivalent(Q560&amp;"+"&amp;P561&amp;"M")</f>
        <v>46Y6M</v>
      </c>
      <c r="R561" s="28">
        <f>_xll.qlCalendarAdvance(Calendar,SettlementDate,Q561,"f",,Trigger)</f>
        <v>59264</v>
      </c>
      <c r="S561" s="28">
        <f>_xll.qlInterestRateIndexValueDate(Index,R561,Trigger)</f>
        <v>59266</v>
      </c>
      <c r="T561" s="28">
        <f>_xll.qlInterestRateIndexMaturity(Index,S561,Trigger)</f>
        <v>59296</v>
      </c>
      <c r="U561" s="30">
        <f>_xll.qlIndexFixing($M$5,R561,TRUE,InterestRatesTrigger)</f>
        <v>1.1169389899464477E-2</v>
      </c>
      <c r="V561" s="74">
        <f>_xll.qlIndexFixing(Index,R561,TRUE,InterestRatesTrigger)</f>
        <v>1.0843597938045235E-2</v>
      </c>
      <c r="W561" s="30">
        <f t="shared" si="39"/>
        <v>-3.2579196141924172E-4</v>
      </c>
      <c r="X561" s="29">
        <f>_xll.qlDayCounterYearFraction(DayCounter,SettlementDate,S561,,,Trigger)</f>
        <v>47.18611111111111</v>
      </c>
      <c r="Y561" s="29">
        <f>_xll.qlDayCounterYearFraction(DayCounter,S561,T561)</f>
        <v>8.3333333333333329E-2</v>
      </c>
      <c r="Z561" s="29">
        <f>IF($M$13,_xll.qlYieldTSDiscount(Currency&amp;"ON",S561)/(1+V561*Y561),1)</f>
        <v>1</v>
      </c>
      <c r="AA561" s="30">
        <f>_xll.qlTenorBasisValue(TenorBasis1M,S561,InterestRatesTrigger)</f>
        <v>2.7681033096191407E-6</v>
      </c>
      <c r="AB561" s="74">
        <f t="shared" si="40"/>
        <v>1.1172158002774097E-2</v>
      </c>
      <c r="AC561" s="76">
        <f t="shared" si="41"/>
        <v>1.0302999121330472</v>
      </c>
    </row>
    <row r="562" spans="16:29" x14ac:dyDescent="0.2">
      <c r="P562" s="33">
        <v>1</v>
      </c>
      <c r="Q562" s="27" t="str">
        <f>_xll.qlPeriodEquivalent(Q561&amp;"+"&amp;P562&amp;"M")</f>
        <v>46Y7M</v>
      </c>
      <c r="R562" s="28">
        <f>_xll.qlCalendarAdvance(Calendar,SettlementDate,Q562,"f",,Trigger)</f>
        <v>59293</v>
      </c>
      <c r="S562" s="28">
        <f>_xll.qlInterestRateIndexValueDate(Index,R562,Trigger)</f>
        <v>59295</v>
      </c>
      <c r="T562" s="28">
        <f>_xll.qlInterestRateIndexMaturity(Index,S562,Trigger)</f>
        <v>59327</v>
      </c>
      <c r="U562" s="30">
        <f>_xll.qlIndexFixing($M$5,R562,TRUE,InterestRatesTrigger)</f>
        <v>1.1171647779207317E-2</v>
      </c>
      <c r="V562" s="74">
        <f>_xll.qlIndexFixing(Index,R562,TRUE,InterestRatesTrigger)</f>
        <v>1.0843148977339456E-2</v>
      </c>
      <c r="W562" s="30">
        <f t="shared" si="39"/>
        <v>-3.2849880186786029E-4</v>
      </c>
      <c r="X562" s="29">
        <f>_xll.qlDayCounterYearFraction(DayCounter,SettlementDate,S562,,,Trigger)</f>
        <v>47.266666666666666</v>
      </c>
      <c r="Y562" s="29">
        <f>_xll.qlDayCounterYearFraction(DayCounter,S562,T562)</f>
        <v>8.8888888888888892E-2</v>
      </c>
      <c r="Z562" s="29">
        <f>IF($M$13,_xll.qlYieldTSDiscount(Currency&amp;"ON",S562)/(1+V562*Y562),1)</f>
        <v>1</v>
      </c>
      <c r="AA562" s="30">
        <f>_xll.qlTenorBasisValue(TenorBasis1M,S562,InterestRatesTrigger)</f>
        <v>2.7343206182396162E-6</v>
      </c>
      <c r="AB562" s="74">
        <f t="shared" si="40"/>
        <v>1.1174382099825556E-2</v>
      </c>
      <c r="AC562" s="76">
        <f t="shared" si="41"/>
        <v>1.0305476871320616</v>
      </c>
    </row>
    <row r="563" spans="16:29" x14ac:dyDescent="0.2">
      <c r="P563" s="33">
        <v>1</v>
      </c>
      <c r="Q563" s="27" t="str">
        <f>_xll.qlPeriodEquivalent(Q562&amp;"+"&amp;P563&amp;"M")</f>
        <v>46Y8M</v>
      </c>
      <c r="R563" s="28">
        <f>_xll.qlCalendarAdvance(Calendar,SettlementDate,Q563,"f",,Trigger)</f>
        <v>59324</v>
      </c>
      <c r="S563" s="28">
        <f>_xll.qlInterestRateIndexValueDate(Index,R563,Trigger)</f>
        <v>59328</v>
      </c>
      <c r="T563" s="28">
        <f>_xll.qlInterestRateIndexMaturity(Index,S563,Trigger)</f>
        <v>59358</v>
      </c>
      <c r="U563" s="30">
        <f>_xll.qlIndexFixing($M$5,R563,TRUE,InterestRatesTrigger)</f>
        <v>1.1174064265198957E-2</v>
      </c>
      <c r="V563" s="74">
        <f>_xll.qlIndexFixing(Index,R563,TRUE,InterestRatesTrigger)</f>
        <v>1.0843000664057634E-2</v>
      </c>
      <c r="W563" s="30">
        <f t="shared" si="39"/>
        <v>-3.3106360114132372E-4</v>
      </c>
      <c r="X563" s="29">
        <f>_xll.qlDayCounterYearFraction(DayCounter,SettlementDate,S563,,,Trigger)</f>
        <v>47.358333333333334</v>
      </c>
      <c r="Y563" s="29">
        <f>_xll.qlDayCounterYearFraction(DayCounter,S563,T563)</f>
        <v>8.3333333333333329E-2</v>
      </c>
      <c r="Z563" s="29">
        <f>IF($M$13,_xll.qlYieldTSDiscount(Currency&amp;"ON",S563)/(1+V563*Y563),1)</f>
        <v>1</v>
      </c>
      <c r="AA563" s="30">
        <f>_xll.qlTenorBasisValue(TenorBasis1M,S563,InterestRatesTrigger)</f>
        <v>2.6963705530993035E-6</v>
      </c>
      <c r="AB563" s="74">
        <f t="shared" si="40"/>
        <v>1.1176760635752056E-2</v>
      </c>
      <c r="AC563" s="76">
        <f t="shared" si="41"/>
        <v>1.0307811446328476</v>
      </c>
    </row>
    <row r="564" spans="16:29" x14ac:dyDescent="0.2">
      <c r="P564" s="33">
        <v>1</v>
      </c>
      <c r="Q564" s="27" t="str">
        <f>_xll.qlPeriodEquivalent(Q563&amp;"+"&amp;P564&amp;"M")</f>
        <v>46Y9M</v>
      </c>
      <c r="R564" s="28">
        <f>_xll.qlCalendarAdvance(Calendar,SettlementDate,Q564,"f",,Trigger)</f>
        <v>59355</v>
      </c>
      <c r="S564" s="28">
        <f>_xll.qlInterestRateIndexValueDate(Index,R564,Trigger)</f>
        <v>59357</v>
      </c>
      <c r="T564" s="28">
        <f>_xll.qlInterestRateIndexMaturity(Index,S564,Trigger)</f>
        <v>59390</v>
      </c>
      <c r="U564" s="30">
        <f>_xll.qlIndexFixing($M$5,R564,TRUE,InterestRatesTrigger)</f>
        <v>1.1177931150947049E-2</v>
      </c>
      <c r="V564" s="74">
        <f>_xll.qlIndexFixing(Index,R564,TRUE,InterestRatesTrigger)</f>
        <v>1.0844656607379736E-2</v>
      </c>
      <c r="W564" s="30">
        <f t="shared" si="39"/>
        <v>-3.3327454356731241E-4</v>
      </c>
      <c r="X564" s="29">
        <f>_xll.qlDayCounterYearFraction(DayCounter,SettlementDate,S564,,,Trigger)</f>
        <v>47.43888888888889</v>
      </c>
      <c r="Y564" s="29">
        <f>_xll.qlDayCounterYearFraction(DayCounter,S564,T564)</f>
        <v>9.166666666666666E-2</v>
      </c>
      <c r="Z564" s="29">
        <f>IF($M$13,_xll.qlYieldTSDiscount(Currency&amp;"ON",S564)/(1+V564*Y564),1)</f>
        <v>1</v>
      </c>
      <c r="AA564" s="30">
        <f>_xll.qlTenorBasisValue(TenorBasis1M,S564,InterestRatesTrigger)</f>
        <v>2.6634478358711511E-6</v>
      </c>
      <c r="AB564" s="74">
        <f t="shared" si="40"/>
        <v>1.1180594598782919E-2</v>
      </c>
      <c r="AC564" s="76">
        <f t="shared" si="41"/>
        <v>1.0309772825056147</v>
      </c>
    </row>
    <row r="565" spans="16:29" x14ac:dyDescent="0.2">
      <c r="P565" s="33">
        <v>1</v>
      </c>
      <c r="Q565" s="27" t="str">
        <f>_xll.qlPeriodEquivalent(Q564&amp;"+"&amp;P565&amp;"M")</f>
        <v>46Y10M</v>
      </c>
      <c r="R565" s="28">
        <f>_xll.qlCalendarAdvance(Calendar,SettlementDate,Q565,"f",,Trigger)</f>
        <v>59385</v>
      </c>
      <c r="S565" s="28">
        <f>_xll.qlInterestRateIndexValueDate(Index,R565,Trigger)</f>
        <v>59387</v>
      </c>
      <c r="T565" s="28">
        <f>_xll.qlInterestRateIndexMaturity(Index,S565,Trigger)</f>
        <v>59418</v>
      </c>
      <c r="U565" s="30">
        <f>_xll.qlIndexFixing($M$5,R565,TRUE,InterestRatesTrigger)</f>
        <v>1.1181393539311569E-2</v>
      </c>
      <c r="V565" s="74">
        <f>_xll.qlIndexFixing(Index,R565,TRUE,InterestRatesTrigger)</f>
        <v>1.0846321324704819E-2</v>
      </c>
      <c r="W565" s="30">
        <f t="shared" si="39"/>
        <v>-3.3507221460674953E-4</v>
      </c>
      <c r="X565" s="29">
        <f>_xll.qlDayCounterYearFraction(DayCounter,SettlementDate,S565,,,Trigger)</f>
        <v>47.522222222222226</v>
      </c>
      <c r="Y565" s="29">
        <f>_xll.qlDayCounterYearFraction(DayCounter,S565,T565)</f>
        <v>8.611111111111111E-2</v>
      </c>
      <c r="Z565" s="29">
        <f>IF($M$13,_xll.qlYieldTSDiscount(Currency&amp;"ON",S565)/(1+V565*Y565),1)</f>
        <v>1</v>
      </c>
      <c r="AA565" s="30">
        <f>_xll.qlTenorBasisValue(TenorBasis1M,S565,InterestRatesTrigger)</f>
        <v>2.6298053308647951E-6</v>
      </c>
      <c r="AB565" s="74">
        <f t="shared" si="40"/>
        <v>1.1184023344642434E-2</v>
      </c>
      <c r="AC565" s="76">
        <f t="shared" si="41"/>
        <v>1.0311351664613169</v>
      </c>
    </row>
    <row r="566" spans="16:29" x14ac:dyDescent="0.2">
      <c r="P566" s="33">
        <v>1</v>
      </c>
      <c r="Q566" s="27" t="str">
        <f>_xll.qlPeriodEquivalent(Q565&amp;"+"&amp;P566&amp;"M")</f>
        <v>46Y11M</v>
      </c>
      <c r="R566" s="28">
        <f>_xll.qlCalendarAdvance(Calendar,SettlementDate,Q566,"f",,Trigger)</f>
        <v>59418</v>
      </c>
      <c r="S566" s="28">
        <f>_xll.qlInterestRateIndexValueDate(Index,R566,Trigger)</f>
        <v>59420</v>
      </c>
      <c r="T566" s="28">
        <f>_xll.qlInterestRateIndexMaturity(Index,S566,Trigger)</f>
        <v>59450</v>
      </c>
      <c r="U566" s="30">
        <f>_xll.qlIndexFixing($M$5,R566,TRUE,InterestRatesTrigger)</f>
        <v>1.1186229071550535E-2</v>
      </c>
      <c r="V566" s="74">
        <f>_xll.qlIndexFixing(Index,R566,TRUE,InterestRatesTrigger)</f>
        <v>1.0849437617952873E-2</v>
      </c>
      <c r="W566" s="30">
        <f t="shared" si="39"/>
        <v>-3.3679145359766238E-4</v>
      </c>
      <c r="X566" s="29">
        <f>_xll.qlDayCounterYearFraction(DayCounter,SettlementDate,S566,,,Trigger)</f>
        <v>47.613888888888887</v>
      </c>
      <c r="Y566" s="29">
        <f>_xll.qlDayCounterYearFraction(DayCounter,S566,T566)</f>
        <v>8.3333333333333329E-2</v>
      </c>
      <c r="Z566" s="29">
        <f>IF($M$13,_xll.qlYieldTSDiscount(Currency&amp;"ON",S566)/(1+V566*Y566),1)</f>
        <v>1</v>
      </c>
      <c r="AA566" s="30">
        <f>_xll.qlTenorBasisValue(TenorBasis1M,S566,InterestRatesTrigger)</f>
        <v>2.5932805451651154E-6</v>
      </c>
      <c r="AB566" s="74">
        <f t="shared" si="40"/>
        <v>1.1188822352095701E-2</v>
      </c>
      <c r="AC566" s="76">
        <f t="shared" si="41"/>
        <v>1.0312813203867119</v>
      </c>
    </row>
    <row r="567" spans="16:29" x14ac:dyDescent="0.2">
      <c r="P567" s="33">
        <v>1</v>
      </c>
      <c r="Q567" s="27" t="str">
        <f>_xll.qlPeriodEquivalent(Q566&amp;"+"&amp;P567&amp;"M")</f>
        <v>47Y</v>
      </c>
      <c r="R567" s="28">
        <f>_xll.qlCalendarAdvance(Calendar,SettlementDate,Q567,"f",,Trigger)</f>
        <v>59446</v>
      </c>
      <c r="S567" s="28">
        <f>_xll.qlInterestRateIndexValueDate(Index,R567,Trigger)</f>
        <v>59448</v>
      </c>
      <c r="T567" s="28">
        <f>_xll.qlInterestRateIndexMaturity(Index,S567,Trigger)</f>
        <v>59481</v>
      </c>
      <c r="U567" s="30">
        <f>_xll.qlIndexFixing($M$5,R567,TRUE,InterestRatesTrigger)</f>
        <v>1.1191980036885273E-2</v>
      </c>
      <c r="V567" s="74">
        <f>_xll.qlIndexFixing(Index,R567,TRUE,InterestRatesTrigger)</f>
        <v>1.0853878052313446E-2</v>
      </c>
      <c r="W567" s="30">
        <f t="shared" si="39"/>
        <v>-3.3810198457182722E-4</v>
      </c>
      <c r="X567" s="29">
        <f>_xll.qlDayCounterYearFraction(DayCounter,SettlementDate,S567,,,Trigger)</f>
        <v>47.69166666666667</v>
      </c>
      <c r="Y567" s="29">
        <f>_xll.qlDayCounterYearFraction(DayCounter,S567,T567)</f>
        <v>9.166666666666666E-2</v>
      </c>
      <c r="Z567" s="29">
        <f>IF($M$13,_xll.qlYieldTSDiscount(Currency&amp;"ON",S567)/(1+V567*Y567),1)</f>
        <v>1</v>
      </c>
      <c r="AA567" s="30">
        <f>_xll.qlTenorBasisValue(TenorBasis1M,S567,InterestRatesTrigger)</f>
        <v>2.5626809279667195E-6</v>
      </c>
      <c r="AB567" s="74">
        <f t="shared" si="40"/>
        <v>1.1194542717813239E-2</v>
      </c>
      <c r="AC567" s="76">
        <f t="shared" si="41"/>
        <v>1.0313864467481448</v>
      </c>
    </row>
    <row r="568" spans="16:29" x14ac:dyDescent="0.2">
      <c r="P568" s="33">
        <v>1</v>
      </c>
      <c r="Q568" s="27" t="str">
        <f>_xll.qlPeriodEquivalent(Q567&amp;"+"&amp;P568&amp;"M")</f>
        <v>47Y1M</v>
      </c>
      <c r="R568" s="28">
        <f>_xll.qlCalendarAdvance(Calendar,SettlementDate,Q568,"f",,Trigger)</f>
        <v>59477</v>
      </c>
      <c r="S568" s="28">
        <f>_xll.qlInterestRateIndexValueDate(Index,R568,Trigger)</f>
        <v>59481</v>
      </c>
      <c r="T568" s="28">
        <f>_xll.qlInterestRateIndexMaturity(Index,S568,Trigger)</f>
        <v>59511</v>
      </c>
      <c r="U568" s="30">
        <f>_xll.qlIndexFixing($M$5,R568,TRUE,InterestRatesTrigger)</f>
        <v>1.1197739186150635E-2</v>
      </c>
      <c r="V568" s="74">
        <f>_xll.qlIndexFixing(Index,R568,TRUE,InterestRatesTrigger)</f>
        <v>1.0858605175018354E-2</v>
      </c>
      <c r="W568" s="30">
        <f t="shared" si="39"/>
        <v>-3.3913401113228048E-4</v>
      </c>
      <c r="X568" s="29">
        <f>_xll.qlDayCounterYearFraction(DayCounter,SettlementDate,S568,,,Trigger)</f>
        <v>47.783333333333331</v>
      </c>
      <c r="Y568" s="29">
        <f>_xll.qlDayCounterYearFraction(DayCounter,S568,T568)</f>
        <v>8.3333333333333329E-2</v>
      </c>
      <c r="Z568" s="29">
        <f>IF($M$13,_xll.qlYieldTSDiscount(Currency&amp;"ON",S568)/(1+V568*Y568),1)</f>
        <v>1</v>
      </c>
      <c r="AA568" s="30">
        <f>_xll.qlTenorBasisValue(TenorBasis1M,S568,InterestRatesTrigger)</f>
        <v>2.5270722095475304E-6</v>
      </c>
      <c r="AB568" s="74">
        <f t="shared" si="40"/>
        <v>1.1200266258360183E-2</v>
      </c>
      <c r="AC568" s="76">
        <f t="shared" si="41"/>
        <v>1.0314645461212517</v>
      </c>
    </row>
    <row r="569" spans="16:29" x14ac:dyDescent="0.2">
      <c r="P569" s="33">
        <v>1</v>
      </c>
      <c r="Q569" s="27" t="str">
        <f>_xll.qlPeriodEquivalent(Q568&amp;"+"&amp;P569&amp;"M")</f>
        <v>47Y2M</v>
      </c>
      <c r="R569" s="28">
        <f>_xll.qlCalendarAdvance(Calendar,SettlementDate,Q569,"f",,Trigger)</f>
        <v>59509</v>
      </c>
      <c r="S569" s="28">
        <f>_xll.qlInterestRateIndexValueDate(Index,R569,Trigger)</f>
        <v>59511</v>
      </c>
      <c r="T569" s="28">
        <f>_xll.qlInterestRateIndexMaturity(Index,S569,Trigger)</f>
        <v>59544</v>
      </c>
      <c r="U569" s="30">
        <f>_xll.qlIndexFixing($M$5,R569,TRUE,InterestRatesTrigger)</f>
        <v>1.1205287025983779E-2</v>
      </c>
      <c r="V569" s="74">
        <f>_xll.qlIndexFixing(Index,R569,TRUE,InterestRatesTrigger)</f>
        <v>1.0865389283508362E-2</v>
      </c>
      <c r="W569" s="30">
        <f t="shared" si="39"/>
        <v>-3.3989774247541668E-4</v>
      </c>
      <c r="X569" s="29">
        <f>_xll.qlDayCounterYearFraction(DayCounter,SettlementDate,S569,,,Trigger)</f>
        <v>47.866666666666667</v>
      </c>
      <c r="Y569" s="29">
        <f>_xll.qlDayCounterYearFraction(DayCounter,S569,T569)</f>
        <v>9.166666666666666E-2</v>
      </c>
      <c r="Z569" s="29">
        <f>IF($M$13,_xll.qlYieldTSDiscount(Currency&amp;"ON",S569)/(1+V569*Y569),1)</f>
        <v>1</v>
      </c>
      <c r="AA569" s="30">
        <f>_xll.qlTenorBasisValue(TenorBasis1M,S569,InterestRatesTrigger)</f>
        <v>2.4951227152454269E-6</v>
      </c>
      <c r="AB569" s="74">
        <f t="shared" si="40"/>
        <v>1.1207782148699025E-2</v>
      </c>
      <c r="AC569" s="76">
        <f t="shared" si="41"/>
        <v>1.0315122501602727</v>
      </c>
    </row>
    <row r="570" spans="16:29" x14ac:dyDescent="0.2">
      <c r="P570" s="33">
        <v>1</v>
      </c>
      <c r="Q570" s="27" t="str">
        <f>_xll.qlPeriodEquivalent(Q569&amp;"+"&amp;P570&amp;"M")</f>
        <v>47Y3M</v>
      </c>
      <c r="R570" s="28">
        <f>_xll.qlCalendarAdvance(Calendar,SettlementDate,Q570,"f",,Trigger)</f>
        <v>59538</v>
      </c>
      <c r="S570" s="28">
        <f>_xll.qlInterestRateIndexValueDate(Index,R570,Trigger)</f>
        <v>59540</v>
      </c>
      <c r="T570" s="28">
        <f>_xll.qlInterestRateIndexMaturity(Index,S570,Trigger)</f>
        <v>59572</v>
      </c>
      <c r="U570" s="30">
        <f>_xll.qlIndexFixing($M$5,R570,TRUE,InterestRatesTrigger)</f>
        <v>1.1212092790507389E-2</v>
      </c>
      <c r="V570" s="74">
        <f>_xll.qlIndexFixing(Index,R570,TRUE,InterestRatesTrigger)</f>
        <v>1.0871825718753447E-2</v>
      </c>
      <c r="W570" s="30">
        <f t="shared" si="39"/>
        <v>-3.4026707175394133E-4</v>
      </c>
      <c r="X570" s="29">
        <f>_xll.qlDayCounterYearFraction(DayCounter,SettlementDate,S570,,,Trigger)</f>
        <v>47.947222222222223</v>
      </c>
      <c r="Y570" s="29">
        <f>_xll.qlDayCounterYearFraction(DayCounter,S570,T570)</f>
        <v>8.8888888888888892E-2</v>
      </c>
      <c r="Z570" s="29">
        <f>IF($M$13,_xll.qlYieldTSDiscount(Currency&amp;"ON",S570)/(1+V570*Y570),1)</f>
        <v>1</v>
      </c>
      <c r="AA570" s="30">
        <f>_xll.qlTenorBasisValue(TenorBasis1M,S570,InterestRatesTrigger)</f>
        <v>2.4646155593749263E-6</v>
      </c>
      <c r="AB570" s="74">
        <f t="shared" si="40"/>
        <v>1.1214557406066764E-2</v>
      </c>
      <c r="AC570" s="76">
        <f t="shared" si="41"/>
        <v>1.031524759150813</v>
      </c>
    </row>
    <row r="571" spans="16:29" x14ac:dyDescent="0.2">
      <c r="P571" s="33">
        <v>1</v>
      </c>
      <c r="Q571" s="27" t="str">
        <f>_xll.qlPeriodEquivalent(Q570&amp;"+"&amp;P571&amp;"M")</f>
        <v>47Y4M</v>
      </c>
      <c r="R571" s="28">
        <f>_xll.qlCalendarAdvance(Calendar,SettlementDate,Q571,"f",,Trigger)</f>
        <v>59569</v>
      </c>
      <c r="S571" s="28">
        <f>_xll.qlInterestRateIndexValueDate(Index,R571,Trigger)</f>
        <v>59573</v>
      </c>
      <c r="T571" s="28">
        <f>_xll.qlInterestRateIndexMaturity(Index,S571,Trigger)</f>
        <v>59601</v>
      </c>
      <c r="U571" s="30">
        <f>_xll.qlIndexFixing($M$5,R571,TRUE,InterestRatesTrigger)</f>
        <v>1.1219661553630062E-2</v>
      </c>
      <c r="V571" s="74">
        <f>_xll.qlIndexFixing(Index,R571,TRUE,InterestRatesTrigger)</f>
        <v>1.087933583178919E-2</v>
      </c>
      <c r="W571" s="30">
        <f t="shared" si="39"/>
        <v>-3.4032572184087249E-4</v>
      </c>
      <c r="X571" s="29">
        <f>_xll.qlDayCounterYearFraction(DayCounter,SettlementDate,S571,,,Trigger)</f>
        <v>48.038888888888891</v>
      </c>
      <c r="Y571" s="29">
        <f>_xll.qlDayCounterYearFraction(DayCounter,S571,T571)</f>
        <v>7.7777777777777779E-2</v>
      </c>
      <c r="Z571" s="29">
        <f>IF($M$13,_xll.qlYieldTSDiscount(Currency&amp;"ON",S571)/(1+V571*Y571),1)</f>
        <v>1</v>
      </c>
      <c r="AA571" s="30">
        <f>_xll.qlTenorBasisValue(TenorBasis1M,S571,InterestRatesTrigger)</f>
        <v>2.4303461608133447E-6</v>
      </c>
      <c r="AB571" s="74">
        <f t="shared" si="40"/>
        <v>1.1222091899790875E-2</v>
      </c>
      <c r="AC571" s="76">
        <f t="shared" si="41"/>
        <v>1.0315052383069341</v>
      </c>
    </row>
    <row r="572" spans="16:29" x14ac:dyDescent="0.2">
      <c r="P572" s="33">
        <v>1</v>
      </c>
      <c r="Q572" s="27" t="str">
        <f>_xll.qlPeriodEquivalent(Q571&amp;"+"&amp;P572&amp;"M")</f>
        <v>47Y5M</v>
      </c>
      <c r="R572" s="28">
        <f>_xll.qlCalendarAdvance(Calendar,SettlementDate,Q572,"f",,Trigger)</f>
        <v>59597</v>
      </c>
      <c r="S572" s="28">
        <f>_xll.qlInterestRateIndexValueDate(Index,R572,Trigger)</f>
        <v>59601</v>
      </c>
      <c r="T572" s="28">
        <f>_xll.qlInterestRateIndexMaturity(Index,S572,Trigger)</f>
        <v>59632</v>
      </c>
      <c r="U572" s="30">
        <f>_xll.qlIndexFixing($M$5,R572,TRUE,InterestRatesTrigger)</f>
        <v>1.1228724692891261E-2</v>
      </c>
      <c r="V572" s="74">
        <f>_xll.qlIndexFixing(Index,R572,TRUE,InterestRatesTrigger)</f>
        <v>1.0888588860648352E-2</v>
      </c>
      <c r="W572" s="30">
        <f t="shared" si="39"/>
        <v>-3.4013583224290836E-4</v>
      </c>
      <c r="X572" s="29">
        <f>_xll.qlDayCounterYearFraction(DayCounter,SettlementDate,S572,,,Trigger)</f>
        <v>48.116666666666667</v>
      </c>
      <c r="Y572" s="29">
        <f>_xll.qlDayCounterYearFraction(DayCounter,S572,T572)</f>
        <v>8.611111111111111E-2</v>
      </c>
      <c r="Z572" s="29">
        <f>IF($M$13,_xll.qlYieldTSDiscount(Currency&amp;"ON",S572)/(1+V572*Y572),1)</f>
        <v>1</v>
      </c>
      <c r="AA572" s="30">
        <f>_xll.qlTenorBasisValue(TenorBasis1M,S572,InterestRatesTrigger)</f>
        <v>2.4016365986759789E-6</v>
      </c>
      <c r="AB572" s="74">
        <f t="shared" si="40"/>
        <v>1.1231126329489936E-2</v>
      </c>
      <c r="AC572" s="76">
        <f t="shared" si="41"/>
        <v>1.0314583894410343</v>
      </c>
    </row>
    <row r="573" spans="16:29" x14ac:dyDescent="0.2">
      <c r="P573" s="33">
        <v>1</v>
      </c>
      <c r="Q573" s="27" t="str">
        <f>_xll.qlPeriodEquivalent(Q572&amp;"+"&amp;P573&amp;"M")</f>
        <v>47Y6M</v>
      </c>
      <c r="R573" s="28">
        <f>_xll.qlCalendarAdvance(Calendar,SettlementDate,Q573,"f",,Trigger)</f>
        <v>59628</v>
      </c>
      <c r="S573" s="28">
        <f>_xll.qlInterestRateIndexValueDate(Index,R573,Trigger)</f>
        <v>59630</v>
      </c>
      <c r="T573" s="28">
        <f>_xll.qlInterestRateIndexMaturity(Index,S573,Trigger)</f>
        <v>59660</v>
      </c>
      <c r="U573" s="30">
        <f>_xll.qlIndexFixing($M$5,R573,TRUE,InterestRatesTrigger)</f>
        <v>1.1237401606210895E-2</v>
      </c>
      <c r="V573" s="74">
        <f>_xll.qlIndexFixing(Index,R573,TRUE,InterestRatesTrigger)</f>
        <v>1.089778000209396E-2</v>
      </c>
      <c r="W573" s="30">
        <f t="shared" si="39"/>
        <v>-3.3962160411693532E-4</v>
      </c>
      <c r="X573" s="29">
        <f>_xll.qlDayCounterYearFraction(DayCounter,SettlementDate,S573,,,Trigger)</f>
        <v>48.197222222222223</v>
      </c>
      <c r="Y573" s="29">
        <f>_xll.qlDayCounterYearFraction(DayCounter,S573,T573)</f>
        <v>8.3333333333333329E-2</v>
      </c>
      <c r="Z573" s="29">
        <f>IF($M$13,_xll.qlYieldTSDiscount(Currency&amp;"ON",S573)/(1+V573*Y573),1)</f>
        <v>1</v>
      </c>
      <c r="AA573" s="30">
        <f>_xll.qlTenorBasisValue(TenorBasis1M,S573,InterestRatesTrigger)</f>
        <v>2.3722530431467202E-6</v>
      </c>
      <c r="AB573" s="74">
        <f t="shared" si="40"/>
        <v>1.1239773859254041E-2</v>
      </c>
      <c r="AC573" s="76">
        <f t="shared" si="41"/>
        <v>1.0313819747778326</v>
      </c>
    </row>
    <row r="574" spans="16:29" x14ac:dyDescent="0.2">
      <c r="P574" s="33">
        <v>1</v>
      </c>
      <c r="Q574" s="27" t="str">
        <f>_xll.qlPeriodEquivalent(Q573&amp;"+"&amp;P574&amp;"M")</f>
        <v>47Y7M</v>
      </c>
      <c r="R574" s="28">
        <f>_xll.qlCalendarAdvance(Calendar,SettlementDate,Q574,"f",,Trigger)</f>
        <v>59658</v>
      </c>
      <c r="S574" s="28">
        <f>_xll.qlInterestRateIndexValueDate(Index,R574,Trigger)</f>
        <v>59660</v>
      </c>
      <c r="T574" s="28">
        <f>_xll.qlInterestRateIndexMaturity(Index,S574,Trigger)</f>
        <v>59691</v>
      </c>
      <c r="U574" s="30">
        <f>_xll.qlIndexFixing($M$5,R574,TRUE,InterestRatesTrigger)</f>
        <v>1.1247718413905318E-2</v>
      </c>
      <c r="V574" s="74">
        <f>_xll.qlIndexFixing(Index,R574,TRUE,InterestRatesTrigger)</f>
        <v>1.0908952901197673E-2</v>
      </c>
      <c r="W574" s="30">
        <f t="shared" si="39"/>
        <v>-3.3876551270764499E-4</v>
      </c>
      <c r="X574" s="29">
        <f>_xll.qlDayCounterYearFraction(DayCounter,SettlementDate,S574,,,Trigger)</f>
        <v>48.280555555555559</v>
      </c>
      <c r="Y574" s="29">
        <f>_xll.qlDayCounterYearFraction(DayCounter,S574,T574)</f>
        <v>8.611111111111111E-2</v>
      </c>
      <c r="Z574" s="29">
        <f>IF($M$13,_xll.qlYieldTSDiscount(Currency&amp;"ON",S574)/(1+V574*Y574),1)</f>
        <v>1</v>
      </c>
      <c r="AA574" s="30">
        <f>_xll.qlTenorBasisValue(TenorBasis1M,S574,InterestRatesTrigger)</f>
        <v>2.3422280581657768E-6</v>
      </c>
      <c r="AB574" s="74">
        <f t="shared" si="40"/>
        <v>1.1250060641963483E-2</v>
      </c>
      <c r="AC574" s="76">
        <f t="shared" si="41"/>
        <v>1.0312686051406785</v>
      </c>
    </row>
    <row r="575" spans="16:29" x14ac:dyDescent="0.2">
      <c r="P575" s="33">
        <v>1</v>
      </c>
      <c r="Q575" s="27" t="str">
        <f>_xll.qlPeriodEquivalent(Q574&amp;"+"&amp;P575&amp;"M")</f>
        <v>47Y8M</v>
      </c>
      <c r="R575" s="28">
        <f>_xll.qlCalendarAdvance(Calendar,SettlementDate,Q575,"f",,Trigger)</f>
        <v>59691</v>
      </c>
      <c r="S575" s="28">
        <f>_xll.qlInterestRateIndexValueDate(Index,R575,Trigger)</f>
        <v>59693</v>
      </c>
      <c r="T575" s="28">
        <f>_xll.qlInterestRateIndexMaturity(Index,S575,Trigger)</f>
        <v>59723</v>
      </c>
      <c r="U575" s="30">
        <f>_xll.qlIndexFixing($M$5,R575,TRUE,InterestRatesTrigger)</f>
        <v>1.1259100673945532E-2</v>
      </c>
      <c r="V575" s="74">
        <f>_xll.qlIndexFixing(Index,R575,TRUE,InterestRatesTrigger)</f>
        <v>1.0921644352112736E-2</v>
      </c>
      <c r="W575" s="30">
        <f t="shared" si="39"/>
        <v>-3.3745632183279639E-4</v>
      </c>
      <c r="X575" s="29">
        <f>_xll.qlDayCounterYearFraction(DayCounter,SettlementDate,S575,,,Trigger)</f>
        <v>48.37222222222222</v>
      </c>
      <c r="Y575" s="29">
        <f>_xll.qlDayCounterYearFraction(DayCounter,S575,T575)</f>
        <v>8.3333333333333329E-2</v>
      </c>
      <c r="Z575" s="29">
        <f>IF($M$13,_xll.qlYieldTSDiscount(Currency&amp;"ON",S575)/(1+V575*Y575),1)</f>
        <v>1</v>
      </c>
      <c r="AA575" s="30">
        <f>_xll.qlTenorBasisValue(TenorBasis1M,S575,InterestRatesTrigger)</f>
        <v>2.3096318526746133E-6</v>
      </c>
      <c r="AB575" s="74">
        <f t="shared" si="40"/>
        <v>1.1261410305798207E-2</v>
      </c>
      <c r="AC575" s="76">
        <f t="shared" si="41"/>
        <v>1.0311094138145731</v>
      </c>
    </row>
    <row r="576" spans="16:29" x14ac:dyDescent="0.2">
      <c r="P576" s="33">
        <v>1</v>
      </c>
      <c r="Q576" s="27" t="str">
        <f>_xll.qlPeriodEquivalent(Q575&amp;"+"&amp;P576&amp;"M")</f>
        <v>47Y9M</v>
      </c>
      <c r="R576" s="28">
        <f>_xll.qlCalendarAdvance(Calendar,SettlementDate,Q576,"f",,Trigger)</f>
        <v>59719</v>
      </c>
      <c r="S576" s="28">
        <f>_xll.qlInterestRateIndexValueDate(Index,R576,Trigger)</f>
        <v>59721</v>
      </c>
      <c r="T576" s="28">
        <f>_xll.qlInterestRateIndexMaturity(Index,S576,Trigger)</f>
        <v>59754</v>
      </c>
      <c r="U576" s="30">
        <f>_xll.qlIndexFixing($M$5,R576,TRUE,InterestRatesTrigger)</f>
        <v>1.1270803313830801E-2</v>
      </c>
      <c r="V576" s="74">
        <f>_xll.qlIndexFixing(Index,R576,TRUE,InterestRatesTrigger)</f>
        <v>1.0934842139018741E-2</v>
      </c>
      <c r="W576" s="30">
        <f t="shared" si="39"/>
        <v>-3.3596117481205987E-4</v>
      </c>
      <c r="X576" s="29">
        <f>_xll.qlDayCounterYearFraction(DayCounter,SettlementDate,S576,,,Trigger)</f>
        <v>48.45</v>
      </c>
      <c r="Y576" s="29">
        <f>_xll.qlDayCounterYearFraction(DayCounter,S576,T576)</f>
        <v>9.166666666666666E-2</v>
      </c>
      <c r="Z576" s="29">
        <f>IF($M$13,_xll.qlYieldTSDiscount(Currency&amp;"ON",S576)/(1+V576*Y576),1)</f>
        <v>1</v>
      </c>
      <c r="AA576" s="30">
        <f>_xll.qlTenorBasisValue(TenorBasis1M,S576,InterestRatesTrigger)</f>
        <v>2.2823244251946665E-6</v>
      </c>
      <c r="AB576" s="74">
        <f t="shared" si="40"/>
        <v>1.1273085638255995E-2</v>
      </c>
      <c r="AC576" s="76">
        <f t="shared" si="41"/>
        <v>1.030932636698092</v>
      </c>
    </row>
    <row r="577" spans="16:29" x14ac:dyDescent="0.2">
      <c r="P577" s="33">
        <v>1</v>
      </c>
      <c r="Q577" s="27" t="str">
        <f>_xll.qlPeriodEquivalent(Q576&amp;"+"&amp;P577&amp;"M")</f>
        <v>47Y10M</v>
      </c>
      <c r="R577" s="28">
        <f>_xll.qlCalendarAdvance(Calendar,SettlementDate,Q577,"f",,Trigger)</f>
        <v>59750</v>
      </c>
      <c r="S577" s="28">
        <f>_xll.qlInterestRateIndexValueDate(Index,R577,Trigger)</f>
        <v>59754</v>
      </c>
      <c r="T577" s="28">
        <f>_xll.qlInterestRateIndexMaturity(Index,S577,Trigger)</f>
        <v>59785</v>
      </c>
      <c r="U577" s="30">
        <f>_xll.qlIndexFixing($M$5,R577,TRUE,InterestRatesTrigger)</f>
        <v>1.1283287492968067E-2</v>
      </c>
      <c r="V577" s="74">
        <f>_xll.qlIndexFixing(Index,R577,TRUE,InterestRatesTrigger)</f>
        <v>1.0949373875780611E-2</v>
      </c>
      <c r="W577" s="30">
        <f t="shared" si="39"/>
        <v>-3.3391361718745557E-4</v>
      </c>
      <c r="X577" s="29">
        <f>_xll.qlDayCounterYearFraction(DayCounter,SettlementDate,S577,,,Trigger)</f>
        <v>48.541666666666664</v>
      </c>
      <c r="Y577" s="29">
        <f>_xll.qlDayCounterYearFraction(DayCounter,S577,T577)</f>
        <v>8.611111111111111E-2</v>
      </c>
      <c r="Z577" s="29">
        <f>IF($M$13,_xll.qlYieldTSDiscount(Currency&amp;"ON",S577)/(1+V577*Y577),1)</f>
        <v>1</v>
      </c>
      <c r="AA577" s="30">
        <f>_xll.qlTenorBasisValue(TenorBasis1M,S577,InterestRatesTrigger)</f>
        <v>2.2505478833908562E-6</v>
      </c>
      <c r="AB577" s="74">
        <f t="shared" si="40"/>
        <v>1.1285538040851457E-2</v>
      </c>
      <c r="AC577" s="76">
        <f t="shared" si="41"/>
        <v>1.03070167928181</v>
      </c>
    </row>
    <row r="578" spans="16:29" x14ac:dyDescent="0.2">
      <c r="P578" s="33">
        <v>1</v>
      </c>
      <c r="Q578" s="27" t="str">
        <f>_xll.qlPeriodEquivalent(Q577&amp;"+"&amp;P578&amp;"M")</f>
        <v>47Y11M</v>
      </c>
      <c r="R578" s="28">
        <f>_xll.qlCalendarAdvance(Calendar,SettlementDate,Q578,"f",,Trigger)</f>
        <v>59782</v>
      </c>
      <c r="S578" s="28">
        <f>_xll.qlInterestRateIndexValueDate(Index,R578,Trigger)</f>
        <v>59784</v>
      </c>
      <c r="T578" s="28">
        <f>_xll.qlInterestRateIndexMaturity(Index,S578,Trigger)</f>
        <v>59814</v>
      </c>
      <c r="U578" s="30">
        <f>_xll.qlIndexFixing($M$5,R578,TRUE,InterestRatesTrigger)</f>
        <v>1.1295615702362483E-2</v>
      </c>
      <c r="V578" s="74">
        <f>_xll.qlIndexFixing(Index,R578,TRUE,InterestRatesTrigger)</f>
        <v>1.0963935042798134E-2</v>
      </c>
      <c r="W578" s="30">
        <f t="shared" si="39"/>
        <v>-3.3168065956434845E-4</v>
      </c>
      <c r="X578" s="29">
        <f>_xll.qlDayCounterYearFraction(DayCounter,SettlementDate,S578,,,Trigger)</f>
        <v>48.625</v>
      </c>
      <c r="Y578" s="29">
        <f>_xll.qlDayCounterYearFraction(DayCounter,S578,T578)</f>
        <v>8.3333333333333329E-2</v>
      </c>
      <c r="Z578" s="29">
        <f>IF($M$13,_xll.qlYieldTSDiscount(Currency&amp;"ON",S578)/(1+V578*Y578),1)</f>
        <v>1</v>
      </c>
      <c r="AA578" s="30">
        <f>_xll.qlTenorBasisValue(TenorBasis1M,S578,InterestRatesTrigger)</f>
        <v>2.2220377438303209E-6</v>
      </c>
      <c r="AB578" s="74">
        <f t="shared" si="40"/>
        <v>1.1297837740106313E-2</v>
      </c>
      <c r="AC578" s="76">
        <f t="shared" si="41"/>
        <v>1.0304546402368107</v>
      </c>
    </row>
    <row r="579" spans="16:29" x14ac:dyDescent="0.2">
      <c r="P579" s="33">
        <v>1</v>
      </c>
      <c r="Q579" s="27" t="str">
        <f>_xll.qlPeriodEquivalent(Q578&amp;"+"&amp;P579&amp;"M")</f>
        <v>48Y</v>
      </c>
      <c r="R579" s="28">
        <f>_xll.qlCalendarAdvance(Calendar,SettlementDate,Q579,"f",,Trigger)</f>
        <v>59811</v>
      </c>
      <c r="S579" s="28">
        <f>_xll.qlInterestRateIndexValueDate(Index,R579,Trigger)</f>
        <v>59813</v>
      </c>
      <c r="T579" s="28">
        <f>_xll.qlInterestRateIndexMaturity(Index,S579,Trigger)</f>
        <v>59845</v>
      </c>
      <c r="U579" s="30">
        <f>_xll.qlIndexFixing($M$5,R579,TRUE,InterestRatesTrigger)</f>
        <v>1.1309352268873418E-2</v>
      </c>
      <c r="V579" s="74">
        <f>_xll.qlIndexFixing(Index,R579,TRUE,InterestRatesTrigger)</f>
        <v>1.0980268433571361E-2</v>
      </c>
      <c r="W579" s="30">
        <f t="shared" si="39"/>
        <v>-3.2908383530205754E-4</v>
      </c>
      <c r="X579" s="29">
        <f>_xll.qlDayCounterYearFraction(DayCounter,SettlementDate,S579,,,Trigger)</f>
        <v>48.705555555555556</v>
      </c>
      <c r="Y579" s="29">
        <f>_xll.qlDayCounterYearFraction(DayCounter,S579,T579)</f>
        <v>8.8888888888888892E-2</v>
      </c>
      <c r="Z579" s="29">
        <f>IF($M$13,_xll.qlYieldTSDiscount(Currency&amp;"ON",S579)/(1+V579*Y579),1)</f>
        <v>1</v>
      </c>
      <c r="AA579" s="30">
        <f>_xll.qlTenorBasisValue(TenorBasis1M,S579,InterestRatesTrigger)</f>
        <v>2.1948155484769463E-6</v>
      </c>
      <c r="AB579" s="74">
        <f t="shared" si="40"/>
        <v>1.1311547084421895E-2</v>
      </c>
      <c r="AC579" s="76">
        <f t="shared" si="41"/>
        <v>1.0301703599374379</v>
      </c>
    </row>
    <row r="580" spans="16:29" x14ac:dyDescent="0.2">
      <c r="P580" s="33">
        <v>1</v>
      </c>
      <c r="Q580" s="27" t="str">
        <f>_xll.qlPeriodEquivalent(Q579&amp;"+"&amp;P580&amp;"M")</f>
        <v>48Y1M</v>
      </c>
      <c r="R580" s="28">
        <f>_xll.qlCalendarAdvance(Calendar,SettlementDate,Q580,"f",,Trigger)</f>
        <v>59842</v>
      </c>
      <c r="S580" s="28">
        <f>_xll.qlInterestRateIndexValueDate(Index,R580,Trigger)</f>
        <v>59846</v>
      </c>
      <c r="T580" s="28">
        <f>_xll.qlInterestRateIndexMaturity(Index,S580,Trigger)</f>
        <v>59876</v>
      </c>
      <c r="U580" s="30">
        <f>_xll.qlIndexFixing($M$5,R580,TRUE,InterestRatesTrigger)</f>
        <v>1.1323994950172889E-2</v>
      </c>
      <c r="V580" s="74">
        <f>_xll.qlIndexFixing(Index,R580,TRUE,InterestRatesTrigger)</f>
        <v>1.0998118889756547E-2</v>
      </c>
      <c r="W580" s="30">
        <f t="shared" si="39"/>
        <v>-3.2587606041634132E-4</v>
      </c>
      <c r="X580" s="29">
        <f>_xll.qlDayCounterYearFraction(DayCounter,SettlementDate,S580,,,Trigger)</f>
        <v>48.797222222222224</v>
      </c>
      <c r="Y580" s="29">
        <f>_xll.qlDayCounterYearFraction(DayCounter,S580,T580)</f>
        <v>8.3333333333333329E-2</v>
      </c>
      <c r="Z580" s="29">
        <f>IF($M$13,_xll.qlYieldTSDiscount(Currency&amp;"ON",S580)/(1+V580*Y580),1)</f>
        <v>1</v>
      </c>
      <c r="AA580" s="30">
        <f>_xll.qlTenorBasisValue(TenorBasis1M,S580,InterestRatesTrigger)</f>
        <v>2.164237248869293E-6</v>
      </c>
      <c r="AB580" s="74">
        <f t="shared" si="40"/>
        <v>1.1326159187421758E-2</v>
      </c>
      <c r="AC580" s="76">
        <f t="shared" si="41"/>
        <v>1.0298269459489786</v>
      </c>
    </row>
    <row r="581" spans="16:29" x14ac:dyDescent="0.2">
      <c r="P581" s="33">
        <v>1</v>
      </c>
      <c r="Q581" s="27" t="str">
        <f>_xll.qlPeriodEquivalent(Q580&amp;"+"&amp;P581&amp;"M")</f>
        <v>48Y2M</v>
      </c>
      <c r="R581" s="28">
        <f>_xll.qlCalendarAdvance(Calendar,SettlementDate,Q581,"f",,Trigger)</f>
        <v>59873</v>
      </c>
      <c r="S581" s="28">
        <f>_xll.qlInterestRateIndexValueDate(Index,R581,Trigger)</f>
        <v>59875</v>
      </c>
      <c r="T581" s="28">
        <f>_xll.qlInterestRateIndexMaturity(Index,S581,Trigger)</f>
        <v>59908</v>
      </c>
      <c r="U581" s="30">
        <f>_xll.qlIndexFixing($M$5,R581,TRUE,InterestRatesTrigger)</f>
        <v>1.133953830048349E-2</v>
      </c>
      <c r="V581" s="74">
        <f>_xll.qlIndexFixing(Index,R581,TRUE,InterestRatesTrigger)</f>
        <v>1.1017066492991553E-2</v>
      </c>
      <c r="W581" s="30">
        <f t="shared" si="39"/>
        <v>-3.2247180749193742E-4</v>
      </c>
      <c r="X581" s="29">
        <f>_xll.qlDayCounterYearFraction(DayCounter,SettlementDate,S581,,,Trigger)</f>
        <v>48.87777777777778</v>
      </c>
      <c r="Y581" s="29">
        <f>_xll.qlDayCounterYearFraction(DayCounter,S581,T581)</f>
        <v>9.166666666666666E-2</v>
      </c>
      <c r="Z581" s="29">
        <f>IF($M$13,_xll.qlYieldTSDiscount(Currency&amp;"ON",S581)/(1+V581*Y581),1)</f>
        <v>1</v>
      </c>
      <c r="AA581" s="30">
        <f>_xll.qlTenorBasisValue(TenorBasis1M,S581,InterestRatesTrigger)</f>
        <v>2.1377114498057949E-6</v>
      </c>
      <c r="AB581" s="74">
        <f t="shared" si="40"/>
        <v>1.1341676011933297E-2</v>
      </c>
      <c r="AC581" s="76">
        <f t="shared" si="41"/>
        <v>1.0294642425139435</v>
      </c>
    </row>
    <row r="582" spans="16:29" x14ac:dyDescent="0.2">
      <c r="P582" s="33">
        <v>1</v>
      </c>
      <c r="Q582" s="27" t="str">
        <f>_xll.qlPeriodEquivalent(Q581&amp;"+"&amp;P582&amp;"M")</f>
        <v>48Y3M</v>
      </c>
      <c r="R582" s="28">
        <f>_xll.qlCalendarAdvance(Calendar,SettlementDate,Q582,"f",,Trigger)</f>
        <v>59903</v>
      </c>
      <c r="S582" s="28">
        <f>_xll.qlInterestRateIndexValueDate(Index,R582,Trigger)</f>
        <v>59905</v>
      </c>
      <c r="T582" s="28">
        <f>_xll.qlInterestRateIndexMaturity(Index,S582,Trigger)</f>
        <v>59936</v>
      </c>
      <c r="U582" s="30">
        <f>_xll.qlIndexFixing($M$5,R582,TRUE,InterestRatesTrigger)</f>
        <v>1.1354078766283653E-2</v>
      </c>
      <c r="V582" s="74">
        <f>_xll.qlIndexFixing(Index,R582,TRUE,InterestRatesTrigger)</f>
        <v>1.1035246985799583E-2</v>
      </c>
      <c r="W582" s="30">
        <f t="shared" si="39"/>
        <v>-3.1883178048407006E-4</v>
      </c>
      <c r="X582" s="29">
        <f>_xll.qlDayCounterYearFraction(DayCounter,SettlementDate,S582,,,Trigger)</f>
        <v>48.961111111111109</v>
      </c>
      <c r="Y582" s="29">
        <f>_xll.qlDayCounterYearFraction(DayCounter,S582,T582)</f>
        <v>8.611111111111111E-2</v>
      </c>
      <c r="Z582" s="29">
        <f>IF($M$13,_xll.qlYieldTSDiscount(Currency&amp;"ON",S582)/(1+V582*Y582),1)</f>
        <v>1</v>
      </c>
      <c r="AA582" s="30">
        <f>_xll.qlTenorBasisValue(TenorBasis1M,S582,InterestRatesTrigger)</f>
        <v>2.1106073745535246E-6</v>
      </c>
      <c r="AB582" s="74">
        <f t="shared" si="40"/>
        <v>1.1356189373658206E-2</v>
      </c>
      <c r="AC582" s="76">
        <f t="shared" si="41"/>
        <v>1.0290833896397262</v>
      </c>
    </row>
    <row r="583" spans="16:29" x14ac:dyDescent="0.2">
      <c r="P583" s="33">
        <v>1</v>
      </c>
      <c r="Q583" s="27" t="str">
        <f>_xll.qlPeriodEquivalent(Q582&amp;"+"&amp;P583&amp;"M")</f>
        <v>48Y4M</v>
      </c>
      <c r="R583" s="28">
        <f>_xll.qlCalendarAdvance(Calendar,SettlementDate,Q583,"f",,Trigger)</f>
        <v>59936</v>
      </c>
      <c r="S583" s="28">
        <f>_xll.qlInterestRateIndexValueDate(Index,R583,Trigger)</f>
        <v>59938</v>
      </c>
      <c r="T583" s="28">
        <f>_xll.qlInterestRateIndexMaturity(Index,S583,Trigger)</f>
        <v>59967</v>
      </c>
      <c r="U583" s="30">
        <f>_xll.qlIndexFixing($M$5,R583,TRUE,InterestRatesTrigger)</f>
        <v>1.1370879435808515E-2</v>
      </c>
      <c r="V583" s="74">
        <f>_xll.qlIndexFixing(Index,R583,TRUE,InterestRatesTrigger)</f>
        <v>1.1056475873164644E-2</v>
      </c>
      <c r="W583" s="30">
        <f t="shared" si="39"/>
        <v>-3.1440356264387029E-4</v>
      </c>
      <c r="X583" s="29">
        <f>_xll.qlDayCounterYearFraction(DayCounter,SettlementDate,S583,,,Trigger)</f>
        <v>49.052777777777777</v>
      </c>
      <c r="Y583" s="29">
        <f>_xll.qlDayCounterYearFraction(DayCounter,S583,T583)</f>
        <v>8.0555555555555561E-2</v>
      </c>
      <c r="Z583" s="29">
        <f>IF($M$13,_xll.qlYieldTSDiscount(Currency&amp;"ON",S583)/(1+V583*Y583),1)</f>
        <v>1</v>
      </c>
      <c r="AA583" s="30">
        <f>_xll.qlTenorBasisValue(TenorBasis1M,S583,InterestRatesTrigger)</f>
        <v>2.0811831026672659E-6</v>
      </c>
      <c r="AB583" s="74">
        <f t="shared" si="40"/>
        <v>1.1372960618911182E-2</v>
      </c>
      <c r="AC583" s="76">
        <f t="shared" si="41"/>
        <v>1.0286243780909143</v>
      </c>
    </row>
    <row r="584" spans="16:29" x14ac:dyDescent="0.2">
      <c r="P584" s="33">
        <v>1</v>
      </c>
      <c r="Q584" s="27" t="str">
        <f>_xll.qlPeriodEquivalent(Q583&amp;"+"&amp;P584&amp;"M")</f>
        <v>48Y5M</v>
      </c>
      <c r="R584" s="28">
        <f>_xll.qlCalendarAdvance(Calendar,SettlementDate,Q584,"f",,Trigger)</f>
        <v>59964</v>
      </c>
      <c r="S584" s="28">
        <f>_xll.qlInterestRateIndexValueDate(Index,R584,Trigger)</f>
        <v>59966</v>
      </c>
      <c r="T584" s="28">
        <f>_xll.qlInterestRateIndexMaturity(Index,S584,Trigger)</f>
        <v>60000</v>
      </c>
      <c r="U584" s="30">
        <f>_xll.qlIndexFixing($M$5,R584,TRUE,InterestRatesTrigger)</f>
        <v>1.1388850843580186E-2</v>
      </c>
      <c r="V584" s="74">
        <f>_xll.qlIndexFixing(Index,R584,TRUE,InterestRatesTrigger)</f>
        <v>1.107901917295471E-2</v>
      </c>
      <c r="W584" s="30">
        <f t="shared" si="39"/>
        <v>-3.0983167062547529E-4</v>
      </c>
      <c r="X584" s="29">
        <f>_xll.qlDayCounterYearFraction(DayCounter,SettlementDate,S584,,,Trigger)</f>
        <v>49.130555555555553</v>
      </c>
      <c r="Y584" s="29">
        <f>_xll.qlDayCounterYearFraction(DayCounter,S584,T584)</f>
        <v>9.4444444444444442E-2</v>
      </c>
      <c r="Z584" s="29">
        <f>IF($M$13,_xll.qlYieldTSDiscount(Currency&amp;"ON",S584)/(1+V584*Y584),1)</f>
        <v>1</v>
      </c>
      <c r="AA584" s="30">
        <f>_xll.qlTenorBasisValue(TenorBasis1M,S584,InterestRatesTrigger)</f>
        <v>2.056533676888781E-6</v>
      </c>
      <c r="AB584" s="74">
        <f t="shared" si="40"/>
        <v>1.1390907377257075E-2</v>
      </c>
      <c r="AC584" s="76">
        <f t="shared" si="41"/>
        <v>1.0281512469139618</v>
      </c>
    </row>
    <row r="585" spans="16:29" x14ac:dyDescent="0.2">
      <c r="P585" s="33">
        <v>1</v>
      </c>
      <c r="Q585" s="27" t="str">
        <f>_xll.qlPeriodEquivalent(Q584&amp;"+"&amp;P585&amp;"M")</f>
        <v>48Y6M</v>
      </c>
      <c r="R585" s="28">
        <f>_xll.qlCalendarAdvance(Calendar,SettlementDate,Q585,"f",,Trigger)</f>
        <v>59994</v>
      </c>
      <c r="S585" s="28">
        <f>_xll.qlInterestRateIndexValueDate(Index,R585,Trigger)</f>
        <v>60000</v>
      </c>
      <c r="T585" s="28">
        <f>_xll.qlInterestRateIndexMaturity(Index,S585,Trigger)</f>
        <v>60030</v>
      </c>
      <c r="U585" s="30">
        <f>_xll.qlIndexFixing($M$5,R585,TRUE,InterestRatesTrigger)</f>
        <v>1.1406761806557419E-2</v>
      </c>
      <c r="V585" s="74">
        <f>_xll.qlIndexFixing(Index,R585,TRUE,InterestRatesTrigger)</f>
        <v>1.11022436716679E-2</v>
      </c>
      <c r="W585" s="30">
        <f t="shared" si="39"/>
        <v>-3.0451813488951984E-4</v>
      </c>
      <c r="X585" s="29">
        <f>_xll.qlDayCounterYearFraction(DayCounter,SettlementDate,S585,,,Trigger)</f>
        <v>49.225000000000001</v>
      </c>
      <c r="Y585" s="29">
        <f>_xll.qlDayCounterYearFraction(DayCounter,S585,T585)</f>
        <v>8.3333333333333329E-2</v>
      </c>
      <c r="Z585" s="29">
        <f>IF($M$13,_xll.qlYieldTSDiscount(Currency&amp;"ON",S585)/(1+V585*Y585),1)</f>
        <v>1</v>
      </c>
      <c r="AA585" s="30">
        <f>_xll.qlTenorBasisValue(TenorBasis1M,S585,InterestRatesTrigger)</f>
        <v>2.0269879730285557E-6</v>
      </c>
      <c r="AB585" s="74">
        <f t="shared" si="40"/>
        <v>1.1408788794530448E-2</v>
      </c>
      <c r="AC585" s="76">
        <f t="shared" si="41"/>
        <v>1.0276110966330914</v>
      </c>
    </row>
    <row r="586" spans="16:29" x14ac:dyDescent="0.2">
      <c r="P586" s="33">
        <v>1</v>
      </c>
      <c r="Q586" s="27" t="str">
        <f>_xll.qlPeriodEquivalent(Q585&amp;"+"&amp;P586&amp;"M")</f>
        <v>48Y7M</v>
      </c>
      <c r="R586" s="28">
        <f>_xll.qlCalendarAdvance(Calendar,SettlementDate,Q586,"f",,Trigger)</f>
        <v>60024</v>
      </c>
      <c r="S586" s="28">
        <f>_xll.qlInterestRateIndexValueDate(Index,R586,Trigger)</f>
        <v>60028</v>
      </c>
      <c r="T586" s="28">
        <f>_xll.qlInterestRateIndexMaturity(Index,S586,Trigger)</f>
        <v>60059</v>
      </c>
      <c r="U586" s="30">
        <f>_xll.qlIndexFixing($M$5,R586,TRUE,InterestRatesTrigger)</f>
        <v>1.1424181733376899E-2</v>
      </c>
      <c r="V586" s="74">
        <f>_xll.qlIndexFixing(Index,R586,TRUE,InterestRatesTrigger)</f>
        <v>1.1124740998730251E-2</v>
      </c>
      <c r="W586" s="30">
        <f t="shared" si="39"/>
        <v>-2.9944073464664885E-4</v>
      </c>
      <c r="X586" s="29">
        <f>_xll.qlDayCounterYearFraction(DayCounter,SettlementDate,S586,,,Trigger)</f>
        <v>49.302777777777777</v>
      </c>
      <c r="Y586" s="29">
        <f>_xll.qlDayCounterYearFraction(DayCounter,S586,T586)</f>
        <v>8.611111111111111E-2</v>
      </c>
      <c r="Z586" s="29">
        <f>IF($M$13,_xll.qlYieldTSDiscount(Currency&amp;"ON",S586)/(1+V586*Y586),1)</f>
        <v>1</v>
      </c>
      <c r="AA586" s="30">
        <f>_xll.qlTenorBasisValue(TenorBasis1M,S586,InterestRatesTrigger)</f>
        <v>2.0029700083379333E-6</v>
      </c>
      <c r="AB586" s="74">
        <f t="shared" si="40"/>
        <v>1.1426184703385238E-2</v>
      </c>
      <c r="AC586" s="76">
        <f t="shared" si="41"/>
        <v>1.0270966941782638</v>
      </c>
    </row>
    <row r="587" spans="16:29" x14ac:dyDescent="0.2">
      <c r="P587" s="33">
        <v>1</v>
      </c>
      <c r="Q587" s="27" t="str">
        <f>_xll.qlPeriodEquivalent(Q586&amp;"+"&amp;P587&amp;"M")</f>
        <v>48Y8M</v>
      </c>
      <c r="R587" s="28">
        <f>_xll.qlCalendarAdvance(Calendar,SettlementDate,Q587,"f",,Trigger)</f>
        <v>60055</v>
      </c>
      <c r="S587" s="28">
        <f>_xll.qlInterestRateIndexValueDate(Index,R587,Trigger)</f>
        <v>60057</v>
      </c>
      <c r="T587" s="28">
        <f>_xll.qlInterestRateIndexMaturity(Index,S587,Trigger)</f>
        <v>60087</v>
      </c>
      <c r="U587" s="30">
        <f>_xll.qlIndexFixing($M$5,R587,TRUE,InterestRatesTrigger)</f>
        <v>1.1441835050930216E-2</v>
      </c>
      <c r="V587" s="74">
        <f>_xll.qlIndexFixing(Index,R587,TRUE,InterestRatesTrigger)</f>
        <v>1.1147854943427404E-2</v>
      </c>
      <c r="W587" s="30">
        <f t="shared" si="39"/>
        <v>-2.9398010750281145E-4</v>
      </c>
      <c r="X587" s="29">
        <f>_xll.qlDayCounterYearFraction(DayCounter,SettlementDate,S587,,,Trigger)</f>
        <v>49.383333333333333</v>
      </c>
      <c r="Y587" s="29">
        <f>_xll.qlDayCounterYearFraction(DayCounter,S587,T587)</f>
        <v>8.3333333333333329E-2</v>
      </c>
      <c r="Z587" s="29">
        <f>IF($M$13,_xll.qlYieldTSDiscount(Currency&amp;"ON",S587)/(1+V587*Y587),1)</f>
        <v>1</v>
      </c>
      <c r="AA587" s="30">
        <f>_xll.qlTenorBasisValue(TenorBasis1M,S587,InterestRatesTrigger)</f>
        <v>1.9783893579560209E-6</v>
      </c>
      <c r="AB587" s="74">
        <f t="shared" si="40"/>
        <v>1.1443813440288171E-2</v>
      </c>
      <c r="AC587" s="76">
        <f t="shared" si="41"/>
        <v>1.0265484703884902</v>
      </c>
    </row>
    <row r="588" spans="16:29" x14ac:dyDescent="0.2">
      <c r="P588" s="33">
        <v>1</v>
      </c>
      <c r="Q588" s="27" t="str">
        <f>_xll.qlPeriodEquivalent(Q587&amp;"+"&amp;P588&amp;"M")</f>
        <v>48Y9M</v>
      </c>
      <c r="R588" s="28">
        <f>_xll.qlCalendarAdvance(Calendar,SettlementDate,Q588,"f",,Trigger)</f>
        <v>60085</v>
      </c>
      <c r="S588" s="28">
        <f>_xll.qlInterestRateIndexValueDate(Index,R588,Trigger)</f>
        <v>60087</v>
      </c>
      <c r="T588" s="28">
        <f>_xll.qlInterestRateIndexMaturity(Index,S588,Trigger)</f>
        <v>60118</v>
      </c>
      <c r="U588" s="30">
        <f>_xll.qlIndexFixing($M$5,R588,TRUE,InterestRatesTrigger)</f>
        <v>1.1461771545782883E-2</v>
      </c>
      <c r="V588" s="74">
        <f>_xll.qlIndexFixing(Index,R588,TRUE,InterestRatesTrigger)</f>
        <v>1.1174030817753972E-2</v>
      </c>
      <c r="W588" s="30">
        <f t="shared" si="39"/>
        <v>-2.8774072802891133E-4</v>
      </c>
      <c r="X588" s="29">
        <f>_xll.qlDayCounterYearFraction(DayCounter,SettlementDate,S588,,,Trigger)</f>
        <v>49.466666666666669</v>
      </c>
      <c r="Y588" s="29">
        <f>_xll.qlDayCounterYearFraction(DayCounter,S588,T588)</f>
        <v>8.611111111111111E-2</v>
      </c>
      <c r="Z588" s="29">
        <f>IF($M$13,_xll.qlYieldTSDiscount(Currency&amp;"ON",S588)/(1+V588*Y588),1)</f>
        <v>1</v>
      </c>
      <c r="AA588" s="30">
        <f>_xll.qlTenorBasisValue(TenorBasis1M,S588,InterestRatesTrigger)</f>
        <v>1.9532733525947462E-6</v>
      </c>
      <c r="AB588" s="74">
        <f t="shared" si="40"/>
        <v>1.1463724819135478E-2</v>
      </c>
      <c r="AC588" s="76">
        <f t="shared" si="41"/>
        <v>1.0259256490434252</v>
      </c>
    </row>
    <row r="589" spans="16:29" x14ac:dyDescent="0.2">
      <c r="P589" s="33">
        <v>1</v>
      </c>
      <c r="Q589" s="27" t="str">
        <f>_xll.qlPeriodEquivalent(Q588&amp;"+"&amp;P589&amp;"M")</f>
        <v>48Y10M</v>
      </c>
      <c r="R589" s="28">
        <f>_xll.qlCalendarAdvance(Calendar,SettlementDate,Q589,"f",,Trigger)</f>
        <v>60118</v>
      </c>
      <c r="S589" s="28">
        <f>_xll.qlInterestRateIndexValueDate(Index,R589,Trigger)</f>
        <v>60120</v>
      </c>
      <c r="T589" s="28">
        <f>_xll.qlInterestRateIndexMaturity(Index,S589,Trigger)</f>
        <v>60153</v>
      </c>
      <c r="U589" s="30">
        <f>_xll.qlIndexFixing($M$5,R589,TRUE,InterestRatesTrigger)</f>
        <v>1.1484970719381432E-2</v>
      </c>
      <c r="V589" s="74">
        <f>_xll.qlIndexFixing(Index,R589,TRUE,InterestRatesTrigger)</f>
        <v>1.1204689255033465E-2</v>
      </c>
      <c r="W589" s="30">
        <f t="shared" si="39"/>
        <v>-2.8028146434796661E-4</v>
      </c>
      <c r="X589" s="29">
        <f>_xll.qlDayCounterYearFraction(DayCounter,SettlementDate,S589,,,Trigger)</f>
        <v>49.55833333333333</v>
      </c>
      <c r="Y589" s="29">
        <f>_xll.qlDayCounterYearFraction(DayCounter,S589,T589)</f>
        <v>9.166666666666666E-2</v>
      </c>
      <c r="Z589" s="29">
        <f>IF($M$13,_xll.qlYieldTSDiscount(Currency&amp;"ON",S589)/(1+V589*Y589),1)</f>
        <v>1</v>
      </c>
      <c r="AA589" s="30">
        <f>_xll.qlTenorBasisValue(TenorBasis1M,S589,InterestRatesTrigger)</f>
        <v>1.9260079315643704E-6</v>
      </c>
      <c r="AB589" s="74">
        <f t="shared" si="40"/>
        <v>1.1486896727312996E-2</v>
      </c>
      <c r="AC589" s="76">
        <f t="shared" si="41"/>
        <v>1.0251865505464826</v>
      </c>
    </row>
    <row r="590" spans="16:29" x14ac:dyDescent="0.2">
      <c r="P590" s="33">
        <v>1</v>
      </c>
      <c r="Q590" s="27" t="str">
        <f>_xll.qlPeriodEquivalent(Q589&amp;"+"&amp;P590&amp;"M")</f>
        <v>48Y11M</v>
      </c>
      <c r="R590" s="28">
        <f>_xll.qlCalendarAdvance(Calendar,SettlementDate,Q590,"f",,Trigger)</f>
        <v>60147</v>
      </c>
      <c r="S590" s="28">
        <f>_xll.qlInterestRateIndexValueDate(Index,R590,Trigger)</f>
        <v>60149</v>
      </c>
      <c r="T590" s="28">
        <f>_xll.qlInterestRateIndexMaturity(Index,S590,Trigger)</f>
        <v>60181</v>
      </c>
      <c r="U590" s="30">
        <f>_xll.qlIndexFixing($M$5,R590,TRUE,InterestRatesTrigger)</f>
        <v>1.1504579703804085E-2</v>
      </c>
      <c r="V590" s="74">
        <f>_xll.qlIndexFixing(Index,R590,TRUE,InterestRatesTrigger)</f>
        <v>1.1230991819386749E-2</v>
      </c>
      <c r="W590" s="30">
        <f t="shared" si="39"/>
        <v>-2.7358788441733672E-4</v>
      </c>
      <c r="X590" s="29">
        <f>_xll.qlDayCounterYearFraction(DayCounter,SettlementDate,S590,,,Trigger)</f>
        <v>49.638888888888886</v>
      </c>
      <c r="Y590" s="29">
        <f>_xll.qlDayCounterYearFraction(DayCounter,S590,T590)</f>
        <v>8.8888888888888892E-2</v>
      </c>
      <c r="Z590" s="29">
        <f>IF($M$13,_xll.qlYieldTSDiscount(Currency&amp;"ON",S590)/(1+V590*Y590),1)</f>
        <v>1</v>
      </c>
      <c r="AA590" s="30">
        <f>_xll.qlTenorBasisValue(TenorBasis1M,S590,InterestRatesTrigger)</f>
        <v>1.9023567272875313E-6</v>
      </c>
      <c r="AB590" s="74">
        <f t="shared" si="40"/>
        <v>1.1506482060531373E-2</v>
      </c>
      <c r="AC590" s="76">
        <f t="shared" si="41"/>
        <v>1.0245294668160188</v>
      </c>
    </row>
    <row r="591" spans="16:29" x14ac:dyDescent="0.2">
      <c r="P591" s="33">
        <v>1</v>
      </c>
      <c r="Q591" s="27" t="str">
        <f>_xll.qlPeriodEquivalent(Q590&amp;"+"&amp;P591&amp;"M")</f>
        <v>49Y</v>
      </c>
      <c r="R591" s="28">
        <f>_xll.qlCalendarAdvance(Calendar,SettlementDate,Q591,"f",,Trigger)</f>
        <v>60177</v>
      </c>
      <c r="S591" s="28">
        <f>_xll.qlInterestRateIndexValueDate(Index,R591,Trigger)</f>
        <v>60181</v>
      </c>
      <c r="T591" s="28">
        <f>_xll.qlInterestRateIndexMaturity(Index,S591,Trigger)</f>
        <v>60212</v>
      </c>
      <c r="U591" s="30">
        <f>_xll.qlIndexFixing($M$5,R591,TRUE,InterestRatesTrigger)</f>
        <v>1.1526968594144227E-2</v>
      </c>
      <c r="V591" s="74">
        <f>_xll.qlIndexFixing(Index,R591,TRUE,InterestRatesTrigger)</f>
        <v>1.1261230558291929E-2</v>
      </c>
      <c r="W591" s="30">
        <f t="shared" si="39"/>
        <v>-2.657380358522983E-4</v>
      </c>
      <c r="X591" s="29">
        <f>_xll.qlDayCounterYearFraction(DayCounter,SettlementDate,S591,,,Trigger)</f>
        <v>49.727777777777774</v>
      </c>
      <c r="Y591" s="29">
        <f>_xll.qlDayCounterYearFraction(DayCounter,S591,T591)</f>
        <v>8.611111111111111E-2</v>
      </c>
      <c r="Z591" s="29">
        <f>IF($M$13,_xll.qlYieldTSDiscount(Currency&amp;"ON",S591)/(1+V591*Y591),1)</f>
        <v>1</v>
      </c>
      <c r="AA591" s="30">
        <f>_xll.qlTenorBasisValue(TenorBasis1M,S591,InterestRatesTrigger)</f>
        <v>1.8765903684789382E-6</v>
      </c>
      <c r="AB591" s="74">
        <f t="shared" si="40"/>
        <v>1.1528845184512707E-2</v>
      </c>
      <c r="AC591" s="76">
        <f t="shared" si="41"/>
        <v>1.0237642435998016</v>
      </c>
    </row>
    <row r="592" spans="16:29" x14ac:dyDescent="0.2">
      <c r="P592" s="33">
        <v>1</v>
      </c>
      <c r="Q592" s="27" t="str">
        <f>_xll.qlPeriodEquivalent(Q591&amp;"+"&amp;P592&amp;"M")</f>
        <v>49Y1M</v>
      </c>
      <c r="R592" s="28">
        <f>_xll.qlCalendarAdvance(Calendar,SettlementDate,Q592,"f",,Trigger)</f>
        <v>60209</v>
      </c>
      <c r="S592" s="28">
        <f>_xll.qlInterestRateIndexValueDate(Index,R592,Trigger)</f>
        <v>60211</v>
      </c>
      <c r="T592" s="28">
        <f>_xll.qlInterestRateIndexMaturity(Index,S592,Trigger)</f>
        <v>60241</v>
      </c>
      <c r="U592" s="30">
        <f>_xll.qlIndexFixing($M$5,R592,TRUE,InterestRatesTrigger)</f>
        <v>1.1548587002411459E-2</v>
      </c>
      <c r="V592" s="74">
        <f>_xll.qlIndexFixing(Index,R592,TRUE,InterestRatesTrigger)</f>
        <v>1.1290637685630323E-2</v>
      </c>
      <c r="W592" s="30">
        <f t="shared" si="39"/>
        <v>-2.5794931678113642E-4</v>
      </c>
      <c r="X592" s="29">
        <f>_xll.qlDayCounterYearFraction(DayCounter,SettlementDate,S592,,,Trigger)</f>
        <v>49.81111111111111</v>
      </c>
      <c r="Y592" s="29">
        <f>_xll.qlDayCounterYearFraction(DayCounter,S592,T592)</f>
        <v>8.3333333333333329E-2</v>
      </c>
      <c r="Z592" s="29">
        <f>IF($M$13,_xll.qlYieldTSDiscount(Currency&amp;"ON",S592)/(1+V592*Y592),1)</f>
        <v>1</v>
      </c>
      <c r="AA592" s="30">
        <f>_xll.qlTenorBasisValue(TenorBasis1M,S592,InterestRatesTrigger)</f>
        <v>1.8527463962655036E-6</v>
      </c>
      <c r="AB592" s="74">
        <f t="shared" si="40"/>
        <v>1.1550439748807725E-2</v>
      </c>
      <c r="AC592" s="76">
        <f t="shared" si="41"/>
        <v>1.0230103976773655</v>
      </c>
    </row>
    <row r="593" spans="16:29" x14ac:dyDescent="0.2">
      <c r="P593" s="33">
        <v>1</v>
      </c>
      <c r="Q593" s="27" t="str">
        <f>_xll.qlPeriodEquivalent(Q592&amp;"+"&amp;P593&amp;"M")</f>
        <v>49Y2M</v>
      </c>
      <c r="R593" s="28">
        <f>_xll.qlCalendarAdvance(Calendar,SettlementDate,Q593,"f",,Trigger)</f>
        <v>60238</v>
      </c>
      <c r="S593" s="28">
        <f>_xll.qlInterestRateIndexValueDate(Index,R593,Trigger)</f>
        <v>60240</v>
      </c>
      <c r="T593" s="28">
        <f>_xll.qlInterestRateIndexMaturity(Index,S593,Trigger)</f>
        <v>60272</v>
      </c>
      <c r="U593" s="30">
        <f>_xll.qlIndexFixing($M$5,R593,TRUE,InterestRatesTrigger)</f>
        <v>1.157179578902684E-2</v>
      </c>
      <c r="V593" s="74">
        <f>_xll.qlIndexFixing(Index,R593,TRUE,InterestRatesTrigger)</f>
        <v>1.1322186460308026E-2</v>
      </c>
      <c r="W593" s="30">
        <f t="shared" si="39"/>
        <v>-2.4960932871881392E-4</v>
      </c>
      <c r="X593" s="29">
        <f>_xll.qlDayCounterYearFraction(DayCounter,SettlementDate,S593,,,Trigger)</f>
        <v>49.891666666666666</v>
      </c>
      <c r="Y593" s="29">
        <f>_xll.qlDayCounterYearFraction(DayCounter,S593,T593)</f>
        <v>8.8888888888888892E-2</v>
      </c>
      <c r="Z593" s="29">
        <f>IF($M$13,_xll.qlYieldTSDiscount(Currency&amp;"ON",S593)/(1+V593*Y593),1)</f>
        <v>1</v>
      </c>
      <c r="AA593" s="30">
        <f>_xll.qlTenorBasisValue(TenorBasis1M,S593,InterestRatesTrigger)</f>
        <v>1.829980667760662E-6</v>
      </c>
      <c r="AB593" s="74">
        <f t="shared" si="40"/>
        <v>1.15736257696946E-2</v>
      </c>
      <c r="AC593" s="76">
        <f t="shared" si="41"/>
        <v>1.0222076637112487</v>
      </c>
    </row>
    <row r="594" spans="16:29" x14ac:dyDescent="0.2">
      <c r="P594" s="33">
        <v>1</v>
      </c>
      <c r="Q594" s="27" t="str">
        <f>_xll.qlPeriodEquivalent(Q593&amp;"+"&amp;P594&amp;"M")</f>
        <v>49Y3M</v>
      </c>
      <c r="R594" s="28">
        <f>_xll.qlCalendarAdvance(Calendar,SettlementDate,Q594,"f",,Trigger)</f>
        <v>60269</v>
      </c>
      <c r="S594" s="28">
        <f>_xll.qlInterestRateIndexValueDate(Index,R594,Trigger)</f>
        <v>60273</v>
      </c>
      <c r="T594" s="28">
        <f>_xll.qlInterestRateIndexMaturity(Index,S594,Trigger)</f>
        <v>60304</v>
      </c>
      <c r="U594" s="30">
        <f>_xll.qlIndexFixing($M$5,R594,TRUE,InterestRatesTrigger)</f>
        <v>1.1597094363848886E-2</v>
      </c>
      <c r="V594" s="74">
        <f>_xll.qlIndexFixing(Index,R594,TRUE,InterestRatesTrigger)</f>
        <v>1.1357048883751754E-2</v>
      </c>
      <c r="W594" s="30">
        <f t="shared" si="39"/>
        <v>-2.4004548009713168E-4</v>
      </c>
      <c r="X594" s="29">
        <f>_xll.qlDayCounterYearFraction(DayCounter,SettlementDate,S594,,,Trigger)</f>
        <v>49.983333333333334</v>
      </c>
      <c r="Y594" s="29">
        <f>_xll.qlDayCounterYearFraction(DayCounter,S594,T594)</f>
        <v>8.611111111111111E-2</v>
      </c>
      <c r="Z594" s="29">
        <f>IF($M$13,_xll.qlYieldTSDiscount(Currency&amp;"ON",S594)/(1+V594*Y594),1)</f>
        <v>1</v>
      </c>
      <c r="AA594" s="30">
        <f>_xll.qlTenorBasisValue(TenorBasis1M,S594,InterestRatesTrigger)</f>
        <v>1.8044095383750483E-6</v>
      </c>
      <c r="AB594" s="74">
        <f t="shared" si="40"/>
        <v>1.159889877338726E-2</v>
      </c>
      <c r="AC594" s="76">
        <f t="shared" si="41"/>
        <v>1.0212951350400117</v>
      </c>
    </row>
    <row r="595" spans="16:29" x14ac:dyDescent="0.2">
      <c r="P595" s="33">
        <v>1</v>
      </c>
      <c r="Q595" s="27" t="str">
        <f>_xll.qlPeriodEquivalent(Q594&amp;"+"&amp;P595&amp;"M")</f>
        <v>49Y4M</v>
      </c>
      <c r="R595" s="28">
        <f>_xll.qlCalendarAdvance(Calendar,SettlementDate,Q595,"f",,Trigger)</f>
        <v>60300</v>
      </c>
      <c r="S595" s="28">
        <f>_xll.qlInterestRateIndexValueDate(Index,R595,Trigger)</f>
        <v>60302</v>
      </c>
      <c r="T595" s="28">
        <f>_xll.qlInterestRateIndexMaturity(Index,S595,Trigger)</f>
        <v>60330</v>
      </c>
      <c r="U595" s="30">
        <f>_xll.qlIndexFixing($M$5,R595,TRUE,InterestRatesTrigger)</f>
        <v>1.1618701046039221E-2</v>
      </c>
      <c r="V595" s="74">
        <f>_xll.qlIndexFixing(Index,R595,TRUE,InterestRatesTrigger)</f>
        <v>1.138717873976125E-2</v>
      </c>
      <c r="W595" s="30">
        <f t="shared" si="39"/>
        <v>-2.3152230627797137E-4</v>
      </c>
      <c r="X595" s="29">
        <f>_xll.qlDayCounterYearFraction(DayCounter,SettlementDate,S595,,,Trigger)</f>
        <v>50.06388888888889</v>
      </c>
      <c r="Y595" s="29">
        <f>_xll.qlDayCounterYearFraction(DayCounter,S595,T595)</f>
        <v>7.7777777777777779E-2</v>
      </c>
      <c r="Z595" s="29">
        <f>IF($M$13,_xll.qlYieldTSDiscount(Currency&amp;"ON",S595)/(1+V595*Y595),1)</f>
        <v>1</v>
      </c>
      <c r="AA595" s="30">
        <f>_xll.qlTenorBasisValue(TenorBasis1M,S595,InterestRatesTrigger)</f>
        <v>1.7822284273896194E-6</v>
      </c>
      <c r="AB595" s="74">
        <f t="shared" si="40"/>
        <v>1.1620483274466612E-2</v>
      </c>
      <c r="AC595" s="76">
        <f t="shared" si="41"/>
        <v>1.0204883527375153</v>
      </c>
    </row>
    <row r="596" spans="16:29" x14ac:dyDescent="0.2">
      <c r="P596" s="33">
        <v>1</v>
      </c>
      <c r="Q596" s="27" t="str">
        <f>_xll.qlPeriodEquivalent(Q595&amp;"+"&amp;P596&amp;"M")</f>
        <v>49Y5M</v>
      </c>
      <c r="R596" s="28">
        <f>_xll.qlCalendarAdvance(Calendar,SettlementDate,Q596,"f",,Trigger)</f>
        <v>60328</v>
      </c>
      <c r="S596" s="28">
        <f>_xll.qlInterestRateIndexValueDate(Index,R596,Trigger)</f>
        <v>60330</v>
      </c>
      <c r="T596" s="28">
        <f>_xll.qlInterestRateIndexMaturity(Index,S596,Trigger)</f>
        <v>60363</v>
      </c>
      <c r="U596" s="30">
        <f>_xll.qlIndexFixing($M$5,R596,TRUE,InterestRatesTrigger)</f>
        <v>1.1644895705973178E-2</v>
      </c>
      <c r="V596" s="74">
        <f>_xll.qlIndexFixing(Index,R596,TRUE,InterestRatesTrigger)</f>
        <v>1.1423230198629756E-2</v>
      </c>
      <c r="W596" s="30">
        <f t="shared" si="39"/>
        <v>-2.2166550734342184E-4</v>
      </c>
      <c r="X596" s="29">
        <f>_xll.qlDayCounterYearFraction(DayCounter,SettlementDate,S596,,,Trigger)</f>
        <v>50.141666666666666</v>
      </c>
      <c r="Y596" s="29">
        <f>_xll.qlDayCounterYearFraction(DayCounter,S596,T596)</f>
        <v>9.166666666666666E-2</v>
      </c>
      <c r="Z596" s="29">
        <f>IF($M$13,_xll.qlYieldTSDiscount(Currency&amp;"ON",S596)/(1+V596*Y596),1)</f>
        <v>1</v>
      </c>
      <c r="AA596" s="30">
        <f>_xll.qlTenorBasisValue(TenorBasis1M,S596,InterestRatesTrigger)</f>
        <v>1.7610668745427616E-6</v>
      </c>
      <c r="AB596" s="74">
        <f t="shared" si="40"/>
        <v>1.1646656772847722E-2</v>
      </c>
      <c r="AC596" s="76">
        <f t="shared" si="41"/>
        <v>1.0195589662759983</v>
      </c>
    </row>
    <row r="597" spans="16:29" x14ac:dyDescent="0.2">
      <c r="P597" s="33">
        <v>1</v>
      </c>
      <c r="Q597" s="27" t="str">
        <f>_xll.qlPeriodEquivalent(Q596&amp;"+"&amp;P597&amp;"M")</f>
        <v>49Y6M</v>
      </c>
      <c r="R597" s="28">
        <f>_xll.qlCalendarAdvance(Calendar,SettlementDate,Q597,"f",,Trigger)</f>
        <v>60359</v>
      </c>
      <c r="S597" s="28">
        <f>_xll.qlInterestRateIndexValueDate(Index,R597,Trigger)</f>
        <v>60363</v>
      </c>
      <c r="T597" s="28">
        <f>_xll.qlInterestRateIndexMaturity(Index,S597,Trigger)</f>
        <v>60393</v>
      </c>
      <c r="U597" s="30">
        <f>_xll.qlIndexFixing($M$5,R597,TRUE,InterestRatesTrigger)</f>
        <v>1.1671119259277773E-2</v>
      </c>
      <c r="V597" s="74">
        <f>_xll.qlIndexFixing(Index,R597,TRUE,InterestRatesTrigger)</f>
        <v>1.1460189247610053E-2</v>
      </c>
      <c r="W597" s="30">
        <f t="shared" si="39"/>
        <v>-2.1093001166772041E-4</v>
      </c>
      <c r="X597" s="29">
        <f>_xll.qlDayCounterYearFraction(DayCounter,SettlementDate,S597,,,Trigger)</f>
        <v>50.233333333333334</v>
      </c>
      <c r="Y597" s="29">
        <f>_xll.qlDayCounterYearFraction(DayCounter,S597,T597)</f>
        <v>8.3333333333333329E-2</v>
      </c>
      <c r="Z597" s="29">
        <f>IF($M$13,_xll.qlYieldTSDiscount(Currency&amp;"ON",S597)/(1+V597*Y597),1)</f>
        <v>1</v>
      </c>
      <c r="AA597" s="30">
        <f>_xll.qlTenorBasisValue(TenorBasis1M,S597,InterestRatesTrigger)</f>
        <v>1.7364437738699163E-6</v>
      </c>
      <c r="AB597" s="74">
        <f t="shared" si="40"/>
        <v>1.1672855703051644E-2</v>
      </c>
      <c r="AC597" s="76">
        <f t="shared" si="41"/>
        <v>1.0185569758794291</v>
      </c>
    </row>
    <row r="598" spans="16:29" x14ac:dyDescent="0.2">
      <c r="P598" s="33">
        <v>1</v>
      </c>
      <c r="Q598" s="27" t="str">
        <f>_xll.qlPeriodEquivalent(Q597&amp;"+"&amp;P598&amp;"M")</f>
        <v>49Y7M</v>
      </c>
      <c r="R598" s="28">
        <f>_xll.qlCalendarAdvance(Calendar,SettlementDate,Q598,"f",,Trigger)</f>
        <v>60391</v>
      </c>
      <c r="S598" s="28">
        <f>_xll.qlInterestRateIndexValueDate(Index,R598,Trigger)</f>
        <v>60393</v>
      </c>
      <c r="T598" s="28">
        <f>_xll.qlInterestRateIndexMaturity(Index,S598,Trigger)</f>
        <v>60426</v>
      </c>
      <c r="U598" s="30">
        <f>_xll.qlIndexFixing($M$5,R598,TRUE,InterestRatesTrigger)</f>
        <v>1.16992217741045E-2</v>
      </c>
      <c r="V598" s="74">
        <f>_xll.qlIndexFixing(Index,R598,TRUE,InterestRatesTrigger)</f>
        <v>1.1499517998726203E-2</v>
      </c>
      <c r="W598" s="30">
        <f t="shared" si="39"/>
        <v>-1.9970377537829702E-4</v>
      </c>
      <c r="X598" s="29">
        <f>_xll.qlDayCounterYearFraction(DayCounter,SettlementDate,S598,,,Trigger)</f>
        <v>50.31666666666667</v>
      </c>
      <c r="Y598" s="29">
        <f>_xll.qlDayCounterYearFraction(DayCounter,S598,T598)</f>
        <v>9.166666666666666E-2</v>
      </c>
      <c r="Z598" s="29">
        <f>IF($M$13,_xll.qlYieldTSDiscount(Currency&amp;"ON",S598)/(1+V598*Y598),1)</f>
        <v>1</v>
      </c>
      <c r="AA598" s="30">
        <f>_xll.qlTenorBasisValue(TenorBasis1M,S598,InterestRatesTrigger)</f>
        <v>1.7143533569401882E-6</v>
      </c>
      <c r="AB598" s="74">
        <f t="shared" si="40"/>
        <v>1.1700936127461441E-2</v>
      </c>
      <c r="AC598" s="76">
        <f t="shared" si="41"/>
        <v>1.0175153540137551</v>
      </c>
    </row>
    <row r="599" spans="16:29" x14ac:dyDescent="0.2">
      <c r="P599" s="33">
        <v>1</v>
      </c>
      <c r="Q599" s="27" t="str">
        <f>_xll.qlPeriodEquivalent(Q598&amp;"+"&amp;P599&amp;"M")</f>
        <v>49Y8M</v>
      </c>
      <c r="R599" s="28">
        <f>_xll.qlCalendarAdvance(Calendar,SettlementDate,Q599,"f",,Trigger)</f>
        <v>60420</v>
      </c>
      <c r="S599" s="28">
        <f>_xll.qlInterestRateIndexValueDate(Index,R599,Trigger)</f>
        <v>60422</v>
      </c>
      <c r="T599" s="28">
        <f>_xll.qlInterestRateIndexMaturity(Index,S599,Trigger)</f>
        <v>60454</v>
      </c>
      <c r="U599" s="30">
        <f>_xll.qlIndexFixing($M$5,R599,TRUE,InterestRatesTrigger)</f>
        <v>1.1724567599616376E-2</v>
      </c>
      <c r="V599" s="74">
        <f>_xll.qlIndexFixing(Index,R599,TRUE,InterestRatesTrigger)</f>
        <v>1.1535496785476385E-2</v>
      </c>
      <c r="W599" s="30">
        <f t="shared" si="39"/>
        <v>-1.8907081413999105E-4</v>
      </c>
      <c r="X599" s="29">
        <f>_xll.qlDayCounterYearFraction(DayCounter,SettlementDate,S599,,,Trigger)</f>
        <v>50.397222222222226</v>
      </c>
      <c r="Y599" s="29">
        <f>_xll.qlDayCounterYearFraction(DayCounter,S599,T599)</f>
        <v>8.8888888888888892E-2</v>
      </c>
      <c r="Z599" s="29">
        <f>IF($M$13,_xll.qlYieldTSDiscount(Currency&amp;"ON",S599)/(1+V599*Y599),1)</f>
        <v>1</v>
      </c>
      <c r="AA599" s="30">
        <f>_xll.qlTenorBasisValue(TenorBasis1M,S599,InterestRatesTrigger)</f>
        <v>1.6932623024315946E-6</v>
      </c>
      <c r="AB599" s="74">
        <f t="shared" si="40"/>
        <v>1.1726260861918808E-2</v>
      </c>
      <c r="AC599" s="76">
        <f t="shared" si="41"/>
        <v>1.0165371357636372</v>
      </c>
    </row>
    <row r="600" spans="16:29" x14ac:dyDescent="0.2">
      <c r="P600" s="33">
        <v>1</v>
      </c>
      <c r="Q600" s="27" t="str">
        <f>_xll.qlPeriodEquivalent(Q599&amp;"+"&amp;P600&amp;"M")</f>
        <v>49Y9M</v>
      </c>
      <c r="R600" s="28">
        <f>_xll.qlCalendarAdvance(Calendar,SettlementDate,Q600,"f",,Trigger)</f>
        <v>60450</v>
      </c>
      <c r="S600" s="28">
        <f>_xll.qlInterestRateIndexValueDate(Index,R600,Trigger)</f>
        <v>60454</v>
      </c>
      <c r="T600" s="28">
        <f>_xll.qlInterestRateIndexMaturity(Index,S600,Trigger)</f>
        <v>60485</v>
      </c>
      <c r="U600" s="30">
        <f>_xll.qlIndexFixing($M$5,R600,TRUE,InterestRatesTrigger)</f>
        <v>1.1753297556443653E-2</v>
      </c>
      <c r="V600" s="74">
        <f>_xll.qlIndexFixing(Index,R600,TRUE,InterestRatesTrigger)</f>
        <v>1.1576488922575639E-2</v>
      </c>
      <c r="W600" s="30">
        <f t="shared" si="39"/>
        <v>-1.7680863386801415E-4</v>
      </c>
      <c r="X600" s="29">
        <f>_xll.qlDayCounterYearFraction(DayCounter,SettlementDate,S600,,,Trigger)</f>
        <v>50.486111111111114</v>
      </c>
      <c r="Y600" s="29">
        <f>_xll.qlDayCounterYearFraction(DayCounter,S600,T600)</f>
        <v>8.611111111111111E-2</v>
      </c>
      <c r="Z600" s="29">
        <f>IF($M$13,_xll.qlYieldTSDiscount(Currency&amp;"ON",S600)/(1+V600*Y600),1)</f>
        <v>1</v>
      </c>
      <c r="AA600" s="30">
        <f>_xll.qlTenorBasisValue(TenorBasis1M,S600,InterestRatesTrigger)</f>
        <v>1.6702857543312137E-6</v>
      </c>
      <c r="AB600" s="74">
        <f t="shared" si="40"/>
        <v>1.1754967842197983E-2</v>
      </c>
      <c r="AC600" s="76">
        <f t="shared" si="41"/>
        <v>1.0154173619321043</v>
      </c>
    </row>
    <row r="601" spans="16:29" x14ac:dyDescent="0.2">
      <c r="P601" s="33">
        <v>1</v>
      </c>
      <c r="Q601" s="27" t="str">
        <f>_xll.qlPeriodEquivalent(Q600&amp;"+"&amp;P601&amp;"M")</f>
        <v>49Y10M</v>
      </c>
      <c r="R601" s="28">
        <f>_xll.qlCalendarAdvance(Calendar,SettlementDate,Q601,"f",,Trigger)</f>
        <v>60482</v>
      </c>
      <c r="S601" s="28">
        <f>_xll.qlInterestRateIndexValueDate(Index,R601,Trigger)</f>
        <v>60484</v>
      </c>
      <c r="T601" s="28">
        <f>_xll.qlInterestRateIndexMaturity(Index,S601,Trigger)</f>
        <v>60517</v>
      </c>
      <c r="U601" s="30">
        <f>_xll.qlIndexFixing($M$5,R601,TRUE,InterestRatesTrigger)</f>
        <v>1.1782865816940749E-2</v>
      </c>
      <c r="V601" s="74">
        <f>_xll.qlIndexFixing(Index,R601,TRUE,InterestRatesTrigger)</f>
        <v>1.1618643052939895E-2</v>
      </c>
      <c r="W601" s="30">
        <f t="shared" si="39"/>
        <v>-1.6422276400085423E-4</v>
      </c>
      <c r="X601" s="29">
        <f>_xll.qlDayCounterYearFraction(DayCounter,SettlementDate,S601,,,Trigger)</f>
        <v>50.569444444444443</v>
      </c>
      <c r="Y601" s="29">
        <f>_xll.qlDayCounterYearFraction(DayCounter,S601,T601)</f>
        <v>9.166666666666666E-2</v>
      </c>
      <c r="Z601" s="29">
        <f>IF($M$13,_xll.qlYieldTSDiscount(Currency&amp;"ON",S601)/(1+V601*Y601),1)</f>
        <v>1</v>
      </c>
      <c r="AA601" s="30">
        <f>_xll.qlTenorBasisValue(TenorBasis1M,S601,InterestRatesTrigger)</f>
        <v>1.6490241092723384E-6</v>
      </c>
      <c r="AB601" s="74">
        <f t="shared" si="40"/>
        <v>1.1784514841050022E-2</v>
      </c>
      <c r="AC601" s="76">
        <f t="shared" si="41"/>
        <v>1.0142763477072443</v>
      </c>
    </row>
    <row r="602" spans="16:29" x14ac:dyDescent="0.2">
      <c r="P602" s="33">
        <v>1</v>
      </c>
      <c r="Q602" s="27" t="str">
        <f>_xll.qlPeriodEquivalent(Q601&amp;"+"&amp;P602&amp;"M")</f>
        <v>49Y11M</v>
      </c>
      <c r="R602" s="28">
        <f>_xll.qlCalendarAdvance(Calendar,SettlementDate,Q602,"f",,Trigger)</f>
        <v>60512</v>
      </c>
      <c r="S602" s="28">
        <f>_xll.qlInterestRateIndexValueDate(Index,R602,Trigger)</f>
        <v>60514</v>
      </c>
      <c r="T602" s="28">
        <f>_xll.qlInterestRateIndexMaturity(Index,S602,Trigger)</f>
        <v>60545</v>
      </c>
      <c r="U602" s="30">
        <f>_xll.qlIndexFixing($M$5,R602,TRUE,InterestRatesTrigger)</f>
        <v>1.1810414798329503E-2</v>
      </c>
      <c r="V602" s="74">
        <f>_xll.qlIndexFixing(Index,R602,TRUE,InterestRatesTrigger)</f>
        <v>1.1658392065565945E-2</v>
      </c>
      <c r="W602" s="30">
        <f t="shared" si="39"/>
        <v>-1.5202273276355809E-4</v>
      </c>
      <c r="X602" s="29">
        <f>_xll.qlDayCounterYearFraction(DayCounter,SettlementDate,S602,,,Trigger)</f>
        <v>50.652777777777779</v>
      </c>
      <c r="Y602" s="29">
        <f>_xll.qlDayCounterYearFraction(DayCounter,S602,T602)</f>
        <v>8.611111111111111E-2</v>
      </c>
      <c r="Z602" s="29">
        <f>IF($M$13,_xll.qlYieldTSDiscount(Currency&amp;"ON",S602)/(1+V602*Y602),1)</f>
        <v>1</v>
      </c>
      <c r="AA602" s="30">
        <f>_xll.qlTenorBasisValue(TenorBasis1M,S602,InterestRatesTrigger)</f>
        <v>1.6280289502420383E-6</v>
      </c>
      <c r="AB602" s="74">
        <f t="shared" si="40"/>
        <v>1.1812042827279745E-2</v>
      </c>
      <c r="AC602" s="76">
        <f t="shared" si="41"/>
        <v>1.0131794128083598</v>
      </c>
    </row>
    <row r="603" spans="16:29" x14ac:dyDescent="0.2">
      <c r="P603" s="33">
        <v>1</v>
      </c>
      <c r="Q603" s="27" t="str">
        <f>_xll.qlPeriodEquivalent(Q602&amp;"+"&amp;P603&amp;"M")</f>
        <v>50Y</v>
      </c>
      <c r="R603" s="28">
        <f>_xll.qlCalendarAdvance(Calendar,SettlementDate,Q603,"f",,Trigger)</f>
        <v>60542</v>
      </c>
      <c r="S603" s="28">
        <f>_xll.qlInterestRateIndexValueDate(Index,R603,Trigger)</f>
        <v>60546</v>
      </c>
      <c r="T603" s="28">
        <f>_xll.qlInterestRateIndexMaturity(Index,S603,Trigger)</f>
        <v>60577</v>
      </c>
      <c r="U603" s="30">
        <f>_xll.qlIndexFixing($M$5,R603,TRUE,InterestRatesTrigger)</f>
        <v>1.1841732360127559E-2</v>
      </c>
      <c r="V603" s="74">
        <f>_xll.qlIndexFixing(Index,R603,TRUE,InterestRatesTrigger)</f>
        <v>1.1694190529771831E-2</v>
      </c>
      <c r="W603" s="30">
        <f t="shared" si="39"/>
        <v>-1.4754183035572792E-4</v>
      </c>
      <c r="X603" s="29">
        <f>_xll.qlDayCounterYearFraction(DayCounter,SettlementDate,S603,,,Trigger)</f>
        <v>50.741666666666667</v>
      </c>
      <c r="Y603" s="29">
        <f>_xll.qlDayCounterYearFraction(DayCounter,S603,T603)</f>
        <v>8.611111111111111E-2</v>
      </c>
      <c r="Z603" s="29">
        <f>IF($M$13,_xll.qlYieldTSDiscount(Currency&amp;"ON",S603)/(1+V603*Y603),1)</f>
        <v>1</v>
      </c>
      <c r="AA603" s="30">
        <f>_xll.qlTenorBasisValue(TenorBasis1M,S603,InterestRatesTrigger)</f>
        <v>1.6059241536134873E-6</v>
      </c>
      <c r="AB603" s="74">
        <f t="shared" si="40"/>
        <v>1.1843338284281172E-2</v>
      </c>
      <c r="AC603" s="76">
        <f t="shared" si="41"/>
        <v>1.0127540041467282</v>
      </c>
    </row>
    <row r="604" spans="16:29" x14ac:dyDescent="0.2">
      <c r="P604" s="33">
        <v>1</v>
      </c>
      <c r="Q604" s="27" t="str">
        <f>_xll.qlPeriodEquivalent(Q603&amp;"+"&amp;P604&amp;"M")</f>
        <v>50Y1M</v>
      </c>
      <c r="R604" s="28">
        <f>_xll.qlCalendarAdvance(Calendar,SettlementDate,Q604,"f",,Trigger)</f>
        <v>60573</v>
      </c>
      <c r="S604" s="28">
        <f>_xll.qlInterestRateIndexValueDate(Index,R604,Trigger)</f>
        <v>60575</v>
      </c>
      <c r="T604" s="28">
        <f>_xll.qlInterestRateIndexMaturity(Index,S604,Trigger)</f>
        <v>60605</v>
      </c>
      <c r="U604" s="30">
        <f>_xll.qlIndexFixing($M$5,R604,TRUE,InterestRatesTrigger)</f>
        <v>1.1869303471558901E-2</v>
      </c>
      <c r="V604" s="74">
        <f>_xll.qlIndexFixing(Index,R604,TRUE,InterestRatesTrigger)</f>
        <v>1.1720393483365399E-2</v>
      </c>
      <c r="W604" s="30">
        <f t="shared" si="39"/>
        <v>-1.4890998819350187E-4</v>
      </c>
      <c r="X604" s="29">
        <f>_xll.qlDayCounterYearFraction(DayCounter,SettlementDate,S604,,,Trigger)</f>
        <v>50.822222222222223</v>
      </c>
      <c r="Y604" s="29">
        <f>_xll.qlDayCounterYearFraction(DayCounter,S604,T604)</f>
        <v>8.3333333333333329E-2</v>
      </c>
      <c r="Z604" s="29">
        <f>IF($M$13,_xll.qlYieldTSDiscount(Currency&amp;"ON",S604)/(1+V604*Y604),1)</f>
        <v>1</v>
      </c>
      <c r="AA604" s="30">
        <f>_xll.qlTenorBasisValue(TenorBasis1M,S604,InterestRatesTrigger)</f>
        <v>1.5861470779547757E-6</v>
      </c>
      <c r="AB604" s="74">
        <f t="shared" si="40"/>
        <v>1.1870889618636856E-2</v>
      </c>
      <c r="AC604" s="76">
        <f t="shared" si="41"/>
        <v>1.0128405360694634</v>
      </c>
    </row>
    <row r="605" spans="16:29" x14ac:dyDescent="0.2">
      <c r="P605" s="33">
        <v>1</v>
      </c>
      <c r="Q605" s="27" t="str">
        <f>_xll.qlPeriodEquivalent(Q604&amp;"+"&amp;P605&amp;"M")</f>
        <v>50Y2M</v>
      </c>
      <c r="R605" s="28">
        <f>_xll.qlCalendarAdvance(Calendar,SettlementDate,Q605,"f",,Trigger)</f>
        <v>60603</v>
      </c>
      <c r="S605" s="28">
        <f>_xll.qlInterestRateIndexValueDate(Index,R605,Trigger)</f>
        <v>60605</v>
      </c>
      <c r="T605" s="28">
        <f>_xll.qlInterestRateIndexMaturity(Index,S605,Trigger)</f>
        <v>60636</v>
      </c>
      <c r="U605" s="30">
        <f>_xll.qlIndexFixing($M$5,R605,TRUE,InterestRatesTrigger)</f>
        <v>1.1898970724088359E-2</v>
      </c>
      <c r="V605" s="74">
        <f>_xll.qlIndexFixing(Index,R605,TRUE,InterestRatesTrigger)</f>
        <v>1.1748711766592574E-2</v>
      </c>
      <c r="W605" s="30">
        <f t="shared" si="39"/>
        <v>-1.5025895749578438E-4</v>
      </c>
      <c r="X605" s="29">
        <f>_xll.qlDayCounterYearFraction(DayCounter,SettlementDate,S605,,,Trigger)</f>
        <v>50.905555555555559</v>
      </c>
      <c r="Y605" s="29">
        <f>_xll.qlDayCounterYearFraction(DayCounter,S605,T605)</f>
        <v>8.611111111111111E-2</v>
      </c>
      <c r="Z605" s="29">
        <f>IF($M$13,_xll.qlYieldTSDiscount(Currency&amp;"ON",S605)/(1+V605*Y605),1)</f>
        <v>1</v>
      </c>
      <c r="AA605" s="30">
        <f>_xll.qlTenorBasisValue(TenorBasis1M,S605,InterestRatesTrigger)</f>
        <v>1.5659403990856181E-6</v>
      </c>
      <c r="AB605" s="74">
        <f t="shared" si="40"/>
        <v>1.1900536664487444E-2</v>
      </c>
      <c r="AC605" s="76">
        <f t="shared" si="41"/>
        <v>1.0129226847088533</v>
      </c>
    </row>
    <row r="606" spans="16:29" x14ac:dyDescent="0.2">
      <c r="P606" s="33">
        <v>1</v>
      </c>
      <c r="Q606" s="27" t="str">
        <f>_xll.qlPeriodEquivalent(Q605&amp;"+"&amp;P606&amp;"M")</f>
        <v>50Y3M</v>
      </c>
      <c r="R606" s="28">
        <f>_xll.qlCalendarAdvance(Calendar,SettlementDate,Q606,"f",,Trigger)</f>
        <v>60636</v>
      </c>
      <c r="S606" s="28">
        <f>_xll.qlInterestRateIndexValueDate(Index,R606,Trigger)</f>
        <v>60638</v>
      </c>
      <c r="T606" s="28">
        <f>_xll.qlInterestRateIndexMaturity(Index,S606,Trigger)</f>
        <v>60671</v>
      </c>
      <c r="U606" s="30">
        <f>_xll.qlIndexFixing($M$5,R606,TRUE,InterestRatesTrigger)</f>
        <v>1.1931923856146913E-2</v>
      </c>
      <c r="V606" s="74">
        <f>_xll.qlIndexFixing(Index,R606,TRUE,InterestRatesTrigger)</f>
        <v>1.1780306342570122E-2</v>
      </c>
      <c r="W606" s="30">
        <f t="shared" si="39"/>
        <v>-1.5161751357679019E-4</v>
      </c>
      <c r="X606" s="29">
        <f>_xll.qlDayCounterYearFraction(DayCounter,SettlementDate,S606,,,Trigger)</f>
        <v>50.99722222222222</v>
      </c>
      <c r="Y606" s="29">
        <f>_xll.qlDayCounterYearFraction(DayCounter,S606,T606)</f>
        <v>9.166666666666666E-2</v>
      </c>
      <c r="Z606" s="29">
        <f>IF($M$13,_xll.qlYieldTSDiscount(Currency&amp;"ON",S606)/(1+V606*Y606),1)</f>
        <v>1</v>
      </c>
      <c r="AA606" s="30">
        <f>_xll.qlTenorBasisValue(TenorBasis1M,S606,InterestRatesTrigger)</f>
        <v>1.5440057496235454E-6</v>
      </c>
      <c r="AB606" s="74">
        <f t="shared" si="40"/>
        <v>1.1933467861896536E-2</v>
      </c>
      <c r="AC606" s="76">
        <f t="shared" si="41"/>
        <v>1.0130014886601835</v>
      </c>
    </row>
    <row r="607" spans="16:29" x14ac:dyDescent="0.2">
      <c r="P607" s="33">
        <v>1</v>
      </c>
      <c r="Q607" s="27" t="str">
        <f>_xll.qlPeriodEquivalent(Q606&amp;"+"&amp;P607&amp;"M")</f>
        <v>50Y4M</v>
      </c>
      <c r="R607" s="28">
        <f>_xll.qlCalendarAdvance(Calendar,SettlementDate,Q607,"f",,Trigger)</f>
        <v>60665</v>
      </c>
      <c r="S607" s="28">
        <f>_xll.qlInterestRateIndexValueDate(Index,R607,Trigger)</f>
        <v>60667</v>
      </c>
      <c r="T607" s="28">
        <f>_xll.qlInterestRateIndexMaturity(Index,S607,Trigger)</f>
        <v>60695</v>
      </c>
      <c r="U607" s="30">
        <f>_xll.qlIndexFixing($M$5,R607,TRUE,InterestRatesTrigger)</f>
        <v>1.1956097779642429E-2</v>
      </c>
      <c r="V607" s="74">
        <f>_xll.qlIndexFixing(Index,R607,TRUE,InterestRatesTrigger)</f>
        <v>1.1803559553686314E-2</v>
      </c>
      <c r="W607" s="30">
        <f t="shared" si="39"/>
        <v>-1.525382259561156E-4</v>
      </c>
      <c r="X607" s="29">
        <f>_xll.qlDayCounterYearFraction(DayCounter,SettlementDate,S607,,,Trigger)</f>
        <v>51.077777777777776</v>
      </c>
      <c r="Y607" s="29">
        <f>_xll.qlDayCounterYearFraction(DayCounter,S607,T607)</f>
        <v>7.7777777777777779E-2</v>
      </c>
      <c r="Z607" s="29">
        <f>IF($M$13,_xll.qlYieldTSDiscount(Currency&amp;"ON",S607)/(1+V607*Y607),1)</f>
        <v>1</v>
      </c>
      <c r="AA607" s="30">
        <f>_xll.qlTenorBasisValue(TenorBasis1M,S607,InterestRatesTrigger)</f>
        <v>1.5249797992745326E-6</v>
      </c>
      <c r="AB607" s="74">
        <f t="shared" si="40"/>
        <v>1.1957622759441703E-2</v>
      </c>
      <c r="AC607" s="76">
        <f t="shared" si="41"/>
        <v>1.0130522665687975</v>
      </c>
    </row>
    <row r="608" spans="16:29" x14ac:dyDescent="0.2">
      <c r="P608" s="33">
        <v>1</v>
      </c>
      <c r="Q608" s="27" t="str">
        <f>_xll.qlPeriodEquivalent(Q607&amp;"+"&amp;P608&amp;"M")</f>
        <v>50Y5M</v>
      </c>
      <c r="R608" s="28">
        <f>_xll.qlCalendarAdvance(Calendar,SettlementDate,Q608,"f",,Trigger)</f>
        <v>60693</v>
      </c>
      <c r="S608" s="28">
        <f>_xll.qlInterestRateIndexValueDate(Index,R608,Trigger)</f>
        <v>60695</v>
      </c>
      <c r="T608" s="28">
        <f>_xll.qlInterestRateIndexMaturity(Index,S608,Trigger)</f>
        <v>60727</v>
      </c>
      <c r="U608" s="30">
        <f>_xll.qlIndexFixing($M$5,R608,TRUE,InterestRatesTrigger)</f>
        <v>1.198514630205455E-2</v>
      </c>
      <c r="V608" s="74">
        <f>_xll.qlIndexFixing(Index,R608,TRUE,InterestRatesTrigger)</f>
        <v>1.1831632357183486E-2</v>
      </c>
      <c r="W608" s="30">
        <f t="shared" si="39"/>
        <v>-1.5351394487106429E-4</v>
      </c>
      <c r="X608" s="29">
        <f>_xll.qlDayCounterYearFraction(DayCounter,SettlementDate,S608,,,Trigger)</f>
        <v>51.155555555555559</v>
      </c>
      <c r="Y608" s="29">
        <f>_xll.qlDayCounterYearFraction(DayCounter,S608,T608)</f>
        <v>8.8888888888888892E-2</v>
      </c>
      <c r="Z608" s="29">
        <f>IF($M$13,_xll.qlYieldTSDiscount(Currency&amp;"ON",S608)/(1+V608*Y608),1)</f>
        <v>1</v>
      </c>
      <c r="AA608" s="30">
        <f>_xll.qlTenorBasisValue(TenorBasis1M,S608,InterestRatesTrigger)</f>
        <v>1.5068290580777499E-6</v>
      </c>
      <c r="AB608" s="74">
        <f t="shared" si="40"/>
        <v>1.1986653131112628E-2</v>
      </c>
      <c r="AC608" s="76">
        <f t="shared" si="41"/>
        <v>1.0131022304656907</v>
      </c>
    </row>
    <row r="609" spans="16:29" x14ac:dyDescent="0.2">
      <c r="P609" s="33">
        <v>1</v>
      </c>
      <c r="Q609" s="27" t="str">
        <f>_xll.qlPeriodEquivalent(Q608&amp;"+"&amp;P609&amp;"M")</f>
        <v>50Y6M</v>
      </c>
      <c r="R609" s="28">
        <f>_xll.qlCalendarAdvance(Calendar,SettlementDate,Q609,"f",,Trigger)</f>
        <v>60724</v>
      </c>
      <c r="S609" s="28">
        <f>_xll.qlInterestRateIndexValueDate(Index,R609,Trigger)</f>
        <v>60728</v>
      </c>
      <c r="T609" s="28">
        <f>_xll.qlInterestRateIndexMaturity(Index,S609,Trigger)</f>
        <v>60758</v>
      </c>
      <c r="U609" s="30">
        <f>_xll.qlIndexFixing($M$5,R609,TRUE,InterestRatesTrigger)</f>
        <v>1.2014620890238525E-2</v>
      </c>
      <c r="V609" s="74">
        <f>_xll.qlIndexFixing(Index,R609,TRUE,InterestRatesTrigger)</f>
        <v>1.1860224785494644E-2</v>
      </c>
      <c r="W609" s="30">
        <f t="shared" si="39"/>
        <v>-1.5439610474388132E-4</v>
      </c>
      <c r="X609" s="29">
        <f>_xll.qlDayCounterYearFraction(DayCounter,SettlementDate,S609,,,Trigger)</f>
        <v>51.24722222222222</v>
      </c>
      <c r="Y609" s="29">
        <f>_xll.qlDayCounterYearFraction(DayCounter,S609,T609)</f>
        <v>8.3333333333333329E-2</v>
      </c>
      <c r="Z609" s="29">
        <f>IF($M$13,_xll.qlYieldTSDiscount(Currency&amp;"ON",S609)/(1+V609*Y609),1)</f>
        <v>1</v>
      </c>
      <c r="AA609" s="30">
        <f>_xll.qlTenorBasisValue(TenorBasis1M,S609,InterestRatesTrigger)</f>
        <v>1.4857101106456166E-6</v>
      </c>
      <c r="AB609" s="74">
        <f t="shared" si="40"/>
        <v>1.2016106600349172E-2</v>
      </c>
      <c r="AC609" s="76">
        <f t="shared" si="41"/>
        <v>1.0131432428705041</v>
      </c>
    </row>
    <row r="610" spans="16:29" x14ac:dyDescent="0.2">
      <c r="P610" s="33">
        <v>1</v>
      </c>
      <c r="Q610" s="27" t="str">
        <f>_xll.qlPeriodEquivalent(Q609&amp;"+"&amp;P610&amp;"M")</f>
        <v>50Y7M</v>
      </c>
      <c r="R610" s="28">
        <f>_xll.qlCalendarAdvance(Calendar,SettlementDate,Q610,"f",,Trigger)</f>
        <v>60755</v>
      </c>
      <c r="S610" s="28">
        <f>_xll.qlInterestRateIndexValueDate(Index,R610,Trigger)</f>
        <v>60757</v>
      </c>
      <c r="T610" s="28">
        <f>_xll.qlInterestRateIndexMaturity(Index,S610,Trigger)</f>
        <v>60790</v>
      </c>
      <c r="U610" s="30">
        <f>_xll.qlIndexFixing($M$5,R610,TRUE,InterestRatesTrigger)</f>
        <v>1.2043438119337745E-2</v>
      </c>
      <c r="V610" s="74">
        <f>_xll.qlIndexFixing(Index,R610,TRUE,InterestRatesTrigger)</f>
        <v>1.1888299563936788E-2</v>
      </c>
      <c r="W610" s="30">
        <f t="shared" si="39"/>
        <v>-1.5513855540095697E-4</v>
      </c>
      <c r="X610" s="29">
        <f>_xll.qlDayCounterYearFraction(DayCounter,SettlementDate,S610,,,Trigger)</f>
        <v>51.327777777777776</v>
      </c>
      <c r="Y610" s="29">
        <f>_xll.qlDayCounterYearFraction(DayCounter,S610,T610)</f>
        <v>9.166666666666666E-2</v>
      </c>
      <c r="Z610" s="29">
        <f>IF($M$13,_xll.qlYieldTSDiscount(Currency&amp;"ON",S610)/(1+V610*Y610),1)</f>
        <v>1</v>
      </c>
      <c r="AA610" s="30">
        <f>_xll.qlTenorBasisValue(TenorBasis1M,S610,InterestRatesTrigger)</f>
        <v>1.4673918735031536E-6</v>
      </c>
      <c r="AB610" s="74">
        <f t="shared" si="40"/>
        <v>1.2044905511211249E-2</v>
      </c>
      <c r="AC610" s="76">
        <f t="shared" si="41"/>
        <v>1.0131731158381578</v>
      </c>
    </row>
    <row r="611" spans="16:29" x14ac:dyDescent="0.2">
      <c r="P611" s="33">
        <v>1</v>
      </c>
      <c r="Q611" s="27" t="str">
        <f>_xll.qlPeriodEquivalent(Q610&amp;"+"&amp;P611&amp;"M")</f>
        <v>50Y8M</v>
      </c>
      <c r="R611" s="28">
        <f>_xll.qlCalendarAdvance(Calendar,SettlementDate,Q611,"f",,Trigger)</f>
        <v>60785</v>
      </c>
      <c r="S611" s="28">
        <f>_xll.qlInterestRateIndexValueDate(Index,R611,Trigger)</f>
        <v>60787</v>
      </c>
      <c r="T611" s="28">
        <f>_xll.qlInterestRateIndexMaturity(Index,S611,Trigger)</f>
        <v>60818</v>
      </c>
      <c r="U611" s="30">
        <f>_xll.qlIndexFixing($M$5,R611,TRUE,InterestRatesTrigger)</f>
        <v>1.2069633068878682E-2</v>
      </c>
      <c r="V611" s="74">
        <f>_xll.qlIndexFixing(Index,R611,TRUE,InterestRatesTrigger)</f>
        <v>1.1913920409828022E-2</v>
      </c>
      <c r="W611" s="30">
        <f t="shared" si="39"/>
        <v>-1.5571265905066009E-4</v>
      </c>
      <c r="X611" s="29">
        <f>_xll.qlDayCounterYearFraction(DayCounter,SettlementDate,S611,,,Trigger)</f>
        <v>51.411111111111111</v>
      </c>
      <c r="Y611" s="29">
        <f>_xll.qlDayCounterYearFraction(DayCounter,S611,T611)</f>
        <v>8.611111111111111E-2</v>
      </c>
      <c r="Z611" s="29">
        <f>IF($M$13,_xll.qlYieldTSDiscount(Currency&amp;"ON",S611)/(1+V611*Y611),1)</f>
        <v>1</v>
      </c>
      <c r="AA611" s="30">
        <f>_xll.qlTenorBasisValue(TenorBasis1M,S611,InterestRatesTrigger)</f>
        <v>1.4486760756772671E-6</v>
      </c>
      <c r="AB611" s="74">
        <f t="shared" si="40"/>
        <v>1.2071081744954359E-2</v>
      </c>
      <c r="AC611" s="76">
        <f t="shared" si="41"/>
        <v>1.0131914038133654</v>
      </c>
    </row>
    <row r="612" spans="16:29" x14ac:dyDescent="0.2">
      <c r="P612" s="33">
        <v>1</v>
      </c>
      <c r="Q612" s="27" t="str">
        <f>_xll.qlPeriodEquivalent(Q611&amp;"+"&amp;P612&amp;"M")</f>
        <v>50Y9M</v>
      </c>
      <c r="R612" s="28">
        <f>_xll.qlCalendarAdvance(Calendar,SettlementDate,Q612,"f",,Trigger)</f>
        <v>60815</v>
      </c>
      <c r="S612" s="28">
        <f>_xll.qlInterestRateIndexValueDate(Index,R612,Trigger)</f>
        <v>60819</v>
      </c>
      <c r="T612" s="28">
        <f>_xll.qlInterestRateIndexMaturity(Index,S612,Trigger)</f>
        <v>60850</v>
      </c>
      <c r="U612" s="30">
        <f>_xll.qlIndexFixing($M$5,R612,TRUE,InterestRatesTrigger)</f>
        <v>1.2098717931510542E-2</v>
      </c>
      <c r="V612" s="74">
        <f>_xll.qlIndexFixing(Index,R612,TRUE,InterestRatesTrigger)</f>
        <v>1.1942481785915447E-2</v>
      </c>
      <c r="W612" s="30">
        <f t="shared" si="39"/>
        <v>-1.5623614559509558E-4</v>
      </c>
      <c r="X612" s="29">
        <f>_xll.qlDayCounterYearFraction(DayCounter,SettlementDate,S612,,,Trigger)</f>
        <v>51.5</v>
      </c>
      <c r="Y612" s="29">
        <f>_xll.qlDayCounterYearFraction(DayCounter,S612,T612)</f>
        <v>8.611111111111111E-2</v>
      </c>
      <c r="Z612" s="29">
        <f>IF($M$13,_xll.qlYieldTSDiscount(Currency&amp;"ON",S612)/(1+V612*Y612),1)</f>
        <v>1</v>
      </c>
      <c r="AA612" s="30">
        <f>_xll.qlTenorBasisValue(TenorBasis1M,S612,InterestRatesTrigger)</f>
        <v>1.4289716964376397E-6</v>
      </c>
      <c r="AB612" s="74">
        <f t="shared" si="40"/>
        <v>1.2100146903206981E-2</v>
      </c>
      <c r="AC612" s="76">
        <f t="shared" si="41"/>
        <v>1.0132020395858989</v>
      </c>
    </row>
    <row r="613" spans="16:29" x14ac:dyDescent="0.2">
      <c r="P613" s="33">
        <v>1</v>
      </c>
      <c r="Q613" s="27" t="str">
        <f>_xll.qlPeriodEquivalent(Q612&amp;"+"&amp;P613&amp;"M")</f>
        <v>50Y10M</v>
      </c>
      <c r="R613" s="28">
        <f>_xll.qlCalendarAdvance(Calendar,SettlementDate,Q613,"f",,Trigger)</f>
        <v>60846</v>
      </c>
      <c r="S613" s="28">
        <f>_xll.qlInterestRateIndexValueDate(Index,R613,Trigger)</f>
        <v>60848</v>
      </c>
      <c r="T613" s="28">
        <f>_xll.qlInterestRateIndexMaturity(Index,S613,Trigger)</f>
        <v>60881</v>
      </c>
      <c r="U613" s="30">
        <f>_xll.qlIndexFixing($M$5,R613,TRUE,InterestRatesTrigger)</f>
        <v>1.2126141496667294E-2</v>
      </c>
      <c r="V613" s="74">
        <f>_xll.qlIndexFixing(Index,R613,TRUE,InterestRatesTrigger)</f>
        <v>1.1969517729983892E-2</v>
      </c>
      <c r="W613" s="30">
        <f t="shared" si="39"/>
        <v>-1.5662376668340236E-4</v>
      </c>
      <c r="X613" s="29">
        <f>_xll.qlDayCounterYearFraction(DayCounter,SettlementDate,S613,,,Trigger)</f>
        <v>51.580555555555556</v>
      </c>
      <c r="Y613" s="29">
        <f>_xll.qlDayCounterYearFraction(DayCounter,S613,T613)</f>
        <v>9.166666666666666E-2</v>
      </c>
      <c r="Z613" s="29">
        <f>IF($M$13,_xll.qlYieldTSDiscount(Currency&amp;"ON",S613)/(1+V613*Y613),1)</f>
        <v>1</v>
      </c>
      <c r="AA613" s="30">
        <f>_xll.qlTenorBasisValue(TenorBasis1M,S613,InterestRatesTrigger)</f>
        <v>1.4113427801165965E-6</v>
      </c>
      <c r="AB613" s="74">
        <f t="shared" si="40"/>
        <v>1.2127552839447411E-2</v>
      </c>
      <c r="AC613" s="76">
        <f t="shared" si="41"/>
        <v>1.013203130905403</v>
      </c>
    </row>
    <row r="614" spans="16:29" x14ac:dyDescent="0.2">
      <c r="P614" s="33">
        <v>1</v>
      </c>
      <c r="Q614" s="27" t="str">
        <f>_xll.qlPeriodEquivalent(Q613&amp;"+"&amp;P614&amp;"M")</f>
        <v>50Y11M</v>
      </c>
      <c r="R614" s="28">
        <f>_xll.qlCalendarAdvance(Calendar,SettlementDate,Q614,"f",,Trigger)</f>
        <v>60877</v>
      </c>
      <c r="S614" s="28">
        <f>_xll.qlInterestRateIndexValueDate(Index,R614,Trigger)</f>
        <v>60881</v>
      </c>
      <c r="T614" s="28">
        <f>_xll.qlInterestRateIndexMaturity(Index,S614,Trigger)</f>
        <v>60911</v>
      </c>
      <c r="U614" s="30">
        <f>_xll.qlIndexFixing($M$5,R614,TRUE,InterestRatesTrigger)</f>
        <v>1.2153637030035469E-2</v>
      </c>
      <c r="V614" s="74">
        <f>_xll.qlIndexFixing(Index,R614,TRUE,InterestRatesTrigger)</f>
        <v>1.1996746972242178E-2</v>
      </c>
      <c r="W614" s="30">
        <f t="shared" si="39"/>
        <v>-1.5689005779329079E-4</v>
      </c>
      <c r="X614" s="29">
        <f>_xll.qlDayCounterYearFraction(DayCounter,SettlementDate,S614,,,Trigger)</f>
        <v>51.672222222222224</v>
      </c>
      <c r="Y614" s="29">
        <f>_xll.qlDayCounterYearFraction(DayCounter,S614,T614)</f>
        <v>8.3333333333333329E-2</v>
      </c>
      <c r="Z614" s="29">
        <f>IF($M$13,_xll.qlYieldTSDiscount(Currency&amp;"ON",S614)/(1+V614*Y614),1)</f>
        <v>1</v>
      </c>
      <c r="AA614" s="30">
        <f>_xll.qlTenorBasisValue(TenorBasis1M,S614,InterestRatesTrigger)</f>
        <v>1.391542798822074E-6</v>
      </c>
      <c r="AB614" s="74">
        <f t="shared" si="40"/>
        <v>1.215502857283429E-2</v>
      </c>
      <c r="AC614" s="76">
        <f t="shared" si="41"/>
        <v>1.013193710008083</v>
      </c>
    </row>
    <row r="615" spans="16:29" x14ac:dyDescent="0.2">
      <c r="P615" s="33">
        <v>1</v>
      </c>
      <c r="Q615" s="27" t="str">
        <f>_xll.qlPeriodEquivalent(Q614&amp;"+"&amp;P615&amp;"M")</f>
        <v>51Y</v>
      </c>
      <c r="R615" s="28">
        <f>_xll.qlCalendarAdvance(Calendar,SettlementDate,Q615,"f",,Trigger)</f>
        <v>60909</v>
      </c>
      <c r="S615" s="28">
        <f>_xll.qlInterestRateIndexValueDate(Index,R615,Trigger)</f>
        <v>60911</v>
      </c>
      <c r="T615" s="28">
        <f>_xll.qlInterestRateIndexMaturity(Index,S615,Trigger)</f>
        <v>60944</v>
      </c>
      <c r="U615" s="30">
        <f>_xll.qlIndexFixing($M$5,R615,TRUE,InterestRatesTrigger)</f>
        <v>1.2182091746896521E-2</v>
      </c>
      <c r="V615" s="74">
        <f>_xll.qlIndexFixing(Index,R615,TRUE,InterestRatesTrigger)</f>
        <v>1.2025021941145622E-2</v>
      </c>
      <c r="W615" s="30">
        <f t="shared" si="39"/>
        <v>-1.5706980575089929E-4</v>
      </c>
      <c r="X615" s="29">
        <f>_xll.qlDayCounterYearFraction(DayCounter,SettlementDate,S615,,,Trigger)</f>
        <v>51.755555555555553</v>
      </c>
      <c r="Y615" s="29">
        <f>_xll.qlDayCounterYearFraction(DayCounter,S615,T615)</f>
        <v>9.166666666666666E-2</v>
      </c>
      <c r="Z615" s="29">
        <f>IF($M$13,_xll.qlYieldTSDiscount(Currency&amp;"ON",S615)/(1+V615*Y615),1)</f>
        <v>1</v>
      </c>
      <c r="AA615" s="30">
        <f>_xll.qlTenorBasisValue(TenorBasis1M,S615,InterestRatesTrigger)</f>
        <v>1.3737804295170424E-6</v>
      </c>
      <c r="AB615" s="74">
        <f t="shared" si="40"/>
        <v>1.2183465527326038E-2</v>
      </c>
      <c r="AC615" s="76">
        <f t="shared" si="41"/>
        <v>1.0131761577613654</v>
      </c>
    </row>
    <row r="616" spans="16:29" x14ac:dyDescent="0.2">
      <c r="P616" s="33">
        <v>1</v>
      </c>
      <c r="Q616" s="27" t="str">
        <f>_xll.qlPeriodEquivalent(Q615&amp;"+"&amp;P616&amp;"M")</f>
        <v>51Y1M</v>
      </c>
      <c r="R616" s="28">
        <f>_xll.qlCalendarAdvance(Calendar,SettlementDate,Q616,"f",,Trigger)</f>
        <v>60938</v>
      </c>
      <c r="S616" s="28">
        <f>_xll.qlInterestRateIndexValueDate(Index,R616,Trigger)</f>
        <v>60940</v>
      </c>
      <c r="T616" s="28">
        <f>_xll.qlInterestRateIndexMaturity(Index,S616,Trigger)</f>
        <v>60972</v>
      </c>
      <c r="U616" s="30">
        <f>_xll.qlIndexFixing($M$5,R616,TRUE,InterestRatesTrigger)</f>
        <v>1.220684540145317E-2</v>
      </c>
      <c r="V616" s="74">
        <f>_xll.qlIndexFixing(Index,R616,TRUE,InterestRatesTrigger)</f>
        <v>1.2049729752264815E-2</v>
      </c>
      <c r="W616" s="30">
        <f t="shared" si="39"/>
        <v>-1.5711564918835519E-4</v>
      </c>
      <c r="X616" s="29">
        <f>_xll.qlDayCounterYearFraction(DayCounter,SettlementDate,S616,,,Trigger)</f>
        <v>51.836111111111109</v>
      </c>
      <c r="Y616" s="29">
        <f>_xll.qlDayCounterYearFraction(DayCounter,S616,T616)</f>
        <v>8.8888888888888892E-2</v>
      </c>
      <c r="Z616" s="29">
        <f>IF($M$13,_xll.qlYieldTSDiscount(Currency&amp;"ON",S616)/(1+V616*Y616),1)</f>
        <v>1</v>
      </c>
      <c r="AA616" s="30">
        <f>_xll.qlTenorBasisValue(TenorBasis1M,S616,InterestRatesTrigger)</f>
        <v>1.3568225361607276E-6</v>
      </c>
      <c r="AB616" s="74">
        <f t="shared" si="40"/>
        <v>1.220820222398933E-2</v>
      </c>
      <c r="AC616" s="76">
        <f t="shared" si="41"/>
        <v>1.0131515374188977</v>
      </c>
    </row>
    <row r="617" spans="16:29" x14ac:dyDescent="0.2">
      <c r="P617" s="33">
        <v>1</v>
      </c>
      <c r="Q617" s="27" t="str">
        <f>_xll.qlPeriodEquivalent(Q616&amp;"+"&amp;P617&amp;"M")</f>
        <v>51Y2M</v>
      </c>
      <c r="R617" s="28">
        <f>_xll.qlCalendarAdvance(Calendar,SettlementDate,Q617,"f",,Trigger)</f>
        <v>60968</v>
      </c>
      <c r="S617" s="28">
        <f>_xll.qlInterestRateIndexValueDate(Index,R617,Trigger)</f>
        <v>60972</v>
      </c>
      <c r="T617" s="28">
        <f>_xll.qlInterestRateIndexMaturity(Index,S617,Trigger)</f>
        <v>61003</v>
      </c>
      <c r="U617" s="30">
        <f>_xll.qlIndexFixing($M$5,R617,TRUE,InterestRatesTrigger)</f>
        <v>1.2233970122655459E-2</v>
      </c>
      <c r="V617" s="74">
        <f>_xll.qlIndexFixing(Index,R617,TRUE,InterestRatesTrigger)</f>
        <v>1.2076910023765094E-2</v>
      </c>
      <c r="W617" s="30">
        <f t="shared" si="39"/>
        <v>-1.5706009889036518E-4</v>
      </c>
      <c r="X617" s="29">
        <f>_xll.qlDayCounterYearFraction(DayCounter,SettlementDate,S617,,,Trigger)</f>
        <v>51.924999999999997</v>
      </c>
      <c r="Y617" s="29">
        <f>_xll.qlDayCounterYearFraction(DayCounter,S617,T617)</f>
        <v>8.611111111111111E-2</v>
      </c>
      <c r="Z617" s="29">
        <f>IF($M$13,_xll.qlYieldTSDiscount(Currency&amp;"ON",S617)/(1+V617*Y617),1)</f>
        <v>1</v>
      </c>
      <c r="AA617" s="30">
        <f>_xll.qlTenorBasisValue(TenorBasis1M,S617,InterestRatesTrigger)</f>
        <v>1.3383496687771554E-6</v>
      </c>
      <c r="AB617" s="74">
        <f t="shared" si="40"/>
        <v>1.2235308472324236E-2</v>
      </c>
      <c r="AC617" s="76">
        <f t="shared" si="41"/>
        <v>1.0131158092796455</v>
      </c>
    </row>
    <row r="618" spans="16:29" x14ac:dyDescent="0.2">
      <c r="P618" s="33">
        <v>1</v>
      </c>
      <c r="Q618" s="27" t="str">
        <f>_xll.qlPeriodEquivalent(Q617&amp;"+"&amp;P618&amp;"M")</f>
        <v>51Y3M</v>
      </c>
      <c r="R618" s="28">
        <f>_xll.qlCalendarAdvance(Calendar,SettlementDate,Q618,"f",,Trigger)</f>
        <v>61000</v>
      </c>
      <c r="S618" s="28">
        <f>_xll.qlInterestRateIndexValueDate(Index,R618,Trigger)</f>
        <v>61002</v>
      </c>
      <c r="T618" s="28">
        <f>_xll.qlInterestRateIndexMaturity(Index,S618,Trigger)</f>
        <v>61035</v>
      </c>
      <c r="U618" s="30">
        <f>_xll.qlIndexFixing($M$5,R618,TRUE,InterestRatesTrigger)</f>
        <v>1.2261022388194608E-2</v>
      </c>
      <c r="V618" s="74">
        <f>_xll.qlIndexFixing(Index,R618,TRUE,InterestRatesTrigger)</f>
        <v>1.2104109336822882E-2</v>
      </c>
      <c r="W618" s="30">
        <f t="shared" ref="W618:W681" si="42">V618-U618</f>
        <v>-1.5691305137172616E-4</v>
      </c>
      <c r="X618" s="29">
        <f>_xll.qlDayCounterYearFraction(DayCounter,SettlementDate,S618,,,Trigger)</f>
        <v>52.008333333333333</v>
      </c>
      <c r="Y618" s="29">
        <f>_xll.qlDayCounterYearFraction(DayCounter,S618,T618)</f>
        <v>9.166666666666666E-2</v>
      </c>
      <c r="Z618" s="29">
        <f>IF($M$13,_xll.qlYieldTSDiscount(Currency&amp;"ON",S618)/(1+V618*Y618),1)</f>
        <v>1</v>
      </c>
      <c r="AA618" s="30">
        <f>_xll.qlTenorBasisValue(TenorBasis1M,S618,InterestRatesTrigger)</f>
        <v>1.3212565227783462E-6</v>
      </c>
      <c r="AB618" s="74">
        <f t="shared" ref="AB618:AB681" si="43">AA618+U618</f>
        <v>1.2262343644717387E-2</v>
      </c>
      <c r="AC618" s="76">
        <f t="shared" ref="AC618:AC681" si="44">AB618/V618</f>
        <v>1.0130727758227636</v>
      </c>
    </row>
    <row r="619" spans="16:29" x14ac:dyDescent="0.2">
      <c r="P619" s="33">
        <v>1</v>
      </c>
      <c r="Q619" s="27" t="str">
        <f>_xll.qlPeriodEquivalent(Q618&amp;"+"&amp;P619&amp;"M")</f>
        <v>51Y4M</v>
      </c>
      <c r="R619" s="28">
        <f>_xll.qlCalendarAdvance(Calendar,SettlementDate,Q619,"f",,Trigger)</f>
        <v>61030</v>
      </c>
      <c r="S619" s="28">
        <f>_xll.qlInterestRateIndexValueDate(Index,R619,Trigger)</f>
        <v>61032</v>
      </c>
      <c r="T619" s="28">
        <f>_xll.qlInterestRateIndexMaturity(Index,S619,Trigger)</f>
        <v>61060</v>
      </c>
      <c r="U619" s="30">
        <f>_xll.qlIndexFixing($M$5,R619,TRUE,InterestRatesTrigger)</f>
        <v>1.2283392303014435E-2</v>
      </c>
      <c r="V619" s="74">
        <f>_xll.qlIndexFixing(Index,R619,TRUE,InterestRatesTrigger)</f>
        <v>1.2126731207329846E-2</v>
      </c>
      <c r="W619" s="30">
        <f t="shared" si="42"/>
        <v>-1.5666109568458937E-4</v>
      </c>
      <c r="X619" s="29">
        <f>_xll.qlDayCounterYearFraction(DayCounter,SettlementDate,S619,,,Trigger)</f>
        <v>52.091666666666669</v>
      </c>
      <c r="Y619" s="29">
        <f>_xll.qlDayCounterYearFraction(DayCounter,S619,T619)</f>
        <v>7.7777777777777779E-2</v>
      </c>
      <c r="Z619" s="29">
        <f>IF($M$13,_xll.qlYieldTSDiscount(Currency&amp;"ON",S619)/(1+V619*Y619),1)</f>
        <v>1</v>
      </c>
      <c r="AA619" s="30">
        <f>_xll.qlTenorBasisValue(TenorBasis1M,S619,InterestRatesTrigger)</f>
        <v>1.304378530221785E-6</v>
      </c>
      <c r="AB619" s="74">
        <f t="shared" si="43"/>
        <v>1.2284696681544657E-2</v>
      </c>
      <c r="AC619" s="76">
        <f t="shared" si="44"/>
        <v>1.0130262204640381</v>
      </c>
    </row>
    <row r="620" spans="16:29" x14ac:dyDescent="0.2">
      <c r="P620" s="33">
        <v>1</v>
      </c>
      <c r="Q620" s="27" t="str">
        <f>_xll.qlPeriodEquivalent(Q619&amp;"+"&amp;P620&amp;"M")</f>
        <v>51Y5M</v>
      </c>
      <c r="R620" s="28">
        <f>_xll.qlCalendarAdvance(Calendar,SettlementDate,Q620,"f",,Trigger)</f>
        <v>61058</v>
      </c>
      <c r="S620" s="28">
        <f>_xll.qlInterestRateIndexValueDate(Index,R620,Trigger)</f>
        <v>61060</v>
      </c>
      <c r="T620" s="28">
        <f>_xll.qlInterestRateIndexMaturity(Index,S620,Trigger)</f>
        <v>61092</v>
      </c>
      <c r="U620" s="30">
        <f>_xll.qlIndexFixing($M$5,R620,TRUE,InterestRatesTrigger)</f>
        <v>1.2309537100252677E-2</v>
      </c>
      <c r="V620" s="74">
        <f>_xll.qlIndexFixing(Index,R620,TRUE,InterestRatesTrigger)</f>
        <v>1.2153195205732159E-2</v>
      </c>
      <c r="W620" s="30">
        <f t="shared" si="42"/>
        <v>-1.563418945205175E-4</v>
      </c>
      <c r="X620" s="29">
        <f>_xll.qlDayCounterYearFraction(DayCounter,SettlementDate,S620,,,Trigger)</f>
        <v>52.169444444444444</v>
      </c>
      <c r="Y620" s="29">
        <f>_xll.qlDayCounterYearFraction(DayCounter,S620,T620)</f>
        <v>8.8888888888888892E-2</v>
      </c>
      <c r="Z620" s="29">
        <f>IF($M$13,_xll.qlYieldTSDiscount(Currency&amp;"ON",S620)/(1+V620*Y620),1)</f>
        <v>1</v>
      </c>
      <c r="AA620" s="30">
        <f>_xll.qlTenorBasisValue(TenorBasis1M,S620,InterestRatesTrigger)</f>
        <v>1.2888175084854914E-6</v>
      </c>
      <c r="AB620" s="74">
        <f t="shared" si="43"/>
        <v>1.2310825917761161E-2</v>
      </c>
      <c r="AC620" s="76">
        <f t="shared" si="44"/>
        <v>1.0129703102238212</v>
      </c>
    </row>
    <row r="621" spans="16:29" x14ac:dyDescent="0.2">
      <c r="P621" s="33">
        <v>1</v>
      </c>
      <c r="Q621" s="27" t="str">
        <f>_xll.qlPeriodEquivalent(Q620&amp;"+"&amp;P621&amp;"M")</f>
        <v>51Y6M</v>
      </c>
      <c r="R621" s="28">
        <f>_xll.qlCalendarAdvance(Calendar,SettlementDate,Q621,"f",,Trigger)</f>
        <v>61092</v>
      </c>
      <c r="S621" s="28">
        <f>_xll.qlInterestRateIndexValueDate(Index,R621,Trigger)</f>
        <v>61094</v>
      </c>
      <c r="T621" s="28">
        <f>_xll.qlInterestRateIndexMaturity(Index,S621,Trigger)</f>
        <v>61126</v>
      </c>
      <c r="U621" s="30">
        <f>_xll.qlIndexFixing($M$5,R621,TRUE,InterestRatesTrigger)</f>
        <v>1.2337928278093879E-2</v>
      </c>
      <c r="V621" s="74">
        <f>_xll.qlIndexFixing(Index,R621,TRUE,InterestRatesTrigger)</f>
        <v>1.2182084719485897E-2</v>
      </c>
      <c r="W621" s="30">
        <f t="shared" si="42"/>
        <v>-1.5584355860798205E-4</v>
      </c>
      <c r="X621" s="29">
        <f>_xll.qlDayCounterYearFraction(DayCounter,SettlementDate,S621,,,Trigger)</f>
        <v>52.263888888888886</v>
      </c>
      <c r="Y621" s="29">
        <f>_xll.qlDayCounterYearFraction(DayCounter,S621,T621)</f>
        <v>8.8888888888888892E-2</v>
      </c>
      <c r="Z621" s="29">
        <f>IF($M$13,_xll.qlYieldTSDiscount(Currency&amp;"ON",S621)/(1+V621*Y621),1)</f>
        <v>1</v>
      </c>
      <c r="AA621" s="30">
        <f>_xll.qlTenorBasisValue(TenorBasis1M,S621,InterestRatesTrigger)</f>
        <v>1.2701677637768029E-6</v>
      </c>
      <c r="AB621" s="74">
        <f t="shared" si="43"/>
        <v>1.2339198445857655E-2</v>
      </c>
      <c r="AC621" s="76">
        <f t="shared" si="44"/>
        <v>1.0128971132601341</v>
      </c>
    </row>
    <row r="622" spans="16:29" x14ac:dyDescent="0.2">
      <c r="P622" s="33">
        <v>1</v>
      </c>
      <c r="Q622" s="27" t="str">
        <f>_xll.qlPeriodEquivalent(Q621&amp;"+"&amp;P622&amp;"M")</f>
        <v>51Y7M</v>
      </c>
      <c r="R622" s="28">
        <f>_xll.qlCalendarAdvance(Calendar,SettlementDate,Q622,"f",,Trigger)</f>
        <v>61119</v>
      </c>
      <c r="S622" s="28">
        <f>_xll.qlInterestRateIndexValueDate(Index,R622,Trigger)</f>
        <v>61121</v>
      </c>
      <c r="T622" s="28">
        <f>_xll.qlInterestRateIndexMaturity(Index,S622,Trigger)</f>
        <v>61154</v>
      </c>
      <c r="U622" s="30">
        <f>_xll.qlIndexFixing($M$5,R622,TRUE,InterestRatesTrigger)</f>
        <v>1.2360875471412283E-2</v>
      </c>
      <c r="V622" s="74">
        <f>_xll.qlIndexFixing(Index,R622,TRUE,InterestRatesTrigger)</f>
        <v>1.2205516537357818E-2</v>
      </c>
      <c r="W622" s="30">
        <f t="shared" si="42"/>
        <v>-1.5535893405446526E-4</v>
      </c>
      <c r="X622" s="29">
        <f>_xll.qlDayCounterYearFraction(DayCounter,SettlementDate,S622,,,Trigger)</f>
        <v>52.338888888888889</v>
      </c>
      <c r="Y622" s="29">
        <f>_xll.qlDayCounterYearFraction(DayCounter,S622,T622)</f>
        <v>9.166666666666666E-2</v>
      </c>
      <c r="Z622" s="29">
        <f>IF($M$13,_xll.qlYieldTSDiscount(Currency&amp;"ON",S622)/(1+V622*Y622),1)</f>
        <v>1</v>
      </c>
      <c r="AA622" s="30">
        <f>_xll.qlTenorBasisValue(TenorBasis1M,S622,InterestRatesTrigger)</f>
        <v>1.2555473565973818E-6</v>
      </c>
      <c r="AB622" s="74">
        <f t="shared" si="43"/>
        <v>1.2362131018768881E-2</v>
      </c>
      <c r="AC622" s="76">
        <f t="shared" si="44"/>
        <v>1.0128314505110627</v>
      </c>
    </row>
    <row r="623" spans="16:29" x14ac:dyDescent="0.2">
      <c r="P623" s="33">
        <v>1</v>
      </c>
      <c r="Q623" s="27" t="str">
        <f>_xll.qlPeriodEquivalent(Q622&amp;"+"&amp;P623&amp;"M")</f>
        <v>51Y8M</v>
      </c>
      <c r="R623" s="28">
        <f>_xll.qlCalendarAdvance(Calendar,SettlementDate,Q623,"f",,Trigger)</f>
        <v>61150</v>
      </c>
      <c r="S623" s="28">
        <f>_xll.qlInterestRateIndexValueDate(Index,R623,Trigger)</f>
        <v>61154</v>
      </c>
      <c r="T623" s="28">
        <f>_xll.qlInterestRateIndexMaturity(Index,S623,Trigger)</f>
        <v>61184</v>
      </c>
      <c r="U623" s="30">
        <f>_xll.qlIndexFixing($M$5,R623,TRUE,InterestRatesTrigger)</f>
        <v>1.2386032099008126E-2</v>
      </c>
      <c r="V623" s="74">
        <f>_xll.qlIndexFixing(Index,R623,TRUE,InterestRatesTrigger)</f>
        <v>1.223134226803424E-2</v>
      </c>
      <c r="W623" s="30">
        <f t="shared" si="42"/>
        <v>-1.5468983097388644E-4</v>
      </c>
      <c r="X623" s="29">
        <f>_xll.qlDayCounterYearFraction(DayCounter,SettlementDate,S623,,,Trigger)</f>
        <v>52.430555555555557</v>
      </c>
      <c r="Y623" s="29">
        <f>_xll.qlDayCounterYearFraction(DayCounter,S623,T623)</f>
        <v>8.3333333333333329E-2</v>
      </c>
      <c r="Z623" s="29">
        <f>IF($M$13,_xll.qlYieldTSDiscount(Currency&amp;"ON",S623)/(1+V623*Y623),1)</f>
        <v>1</v>
      </c>
      <c r="AA623" s="30">
        <f>_xll.qlTenorBasisValue(TenorBasis1M,S623,InterestRatesTrigger)</f>
        <v>1.2379030617821051E-6</v>
      </c>
      <c r="AB623" s="74">
        <f t="shared" si="43"/>
        <v>1.2387270002069909E-2</v>
      </c>
      <c r="AC623" s="76">
        <f t="shared" si="44"/>
        <v>1.01274821116266</v>
      </c>
    </row>
    <row r="624" spans="16:29" x14ac:dyDescent="0.2">
      <c r="P624" s="33">
        <v>1</v>
      </c>
      <c r="Q624" s="27" t="str">
        <f>_xll.qlPeriodEquivalent(Q623&amp;"+"&amp;P624&amp;"M")</f>
        <v>51Y9M</v>
      </c>
      <c r="R624" s="28">
        <f>_xll.qlCalendarAdvance(Calendar,SettlementDate,Q624,"f",,Trigger)</f>
        <v>61182</v>
      </c>
      <c r="S624" s="28">
        <f>_xll.qlInterestRateIndexValueDate(Index,R624,Trigger)</f>
        <v>61184</v>
      </c>
      <c r="T624" s="28">
        <f>_xll.qlInterestRateIndexMaturity(Index,S624,Trigger)</f>
        <v>61217</v>
      </c>
      <c r="U624" s="30">
        <f>_xll.qlIndexFixing($M$5,R624,TRUE,InterestRatesTrigger)</f>
        <v>1.2412195395242845E-2</v>
      </c>
      <c r="V624" s="74">
        <f>_xll.qlIndexFixing(Index,R624,TRUE,InterestRatesTrigger)</f>
        <v>1.2258241862930029E-2</v>
      </c>
      <c r="W624" s="30">
        <f t="shared" si="42"/>
        <v>-1.5395353231281543E-4</v>
      </c>
      <c r="X624" s="29">
        <f>_xll.qlDayCounterYearFraction(DayCounter,SettlementDate,S624,,,Trigger)</f>
        <v>52.513888888888886</v>
      </c>
      <c r="Y624" s="29">
        <f>_xll.qlDayCounterYearFraction(DayCounter,S624,T624)</f>
        <v>9.166666666666666E-2</v>
      </c>
      <c r="Z624" s="29">
        <f>IF($M$13,_xll.qlYieldTSDiscount(Currency&amp;"ON",S624)/(1+V624*Y624),1)</f>
        <v>1</v>
      </c>
      <c r="AA624" s="30">
        <f>_xll.qlTenorBasisValue(TenorBasis1M,S624,InterestRatesTrigger)</f>
        <v>1.2220749970541232E-6</v>
      </c>
      <c r="AB624" s="74">
        <f t="shared" si="43"/>
        <v>1.2413417470239899E-2</v>
      </c>
      <c r="AC624" s="76">
        <f t="shared" si="44"/>
        <v>1.0126588795558957</v>
      </c>
    </row>
    <row r="625" spans="16:29" x14ac:dyDescent="0.2">
      <c r="P625" s="33">
        <v>1</v>
      </c>
      <c r="Q625" s="27" t="str">
        <f>_xll.qlPeriodEquivalent(Q624&amp;"+"&amp;P625&amp;"M")</f>
        <v>51Y10M</v>
      </c>
      <c r="R625" s="28">
        <f>_xll.qlCalendarAdvance(Calendar,SettlementDate,Q625,"f",,Trigger)</f>
        <v>61211</v>
      </c>
      <c r="S625" s="28">
        <f>_xll.qlInterestRateIndexValueDate(Index,R625,Trigger)</f>
        <v>61213</v>
      </c>
      <c r="T625" s="28">
        <f>_xll.qlInterestRateIndexMaturity(Index,S625,Trigger)</f>
        <v>61245</v>
      </c>
      <c r="U625" s="30">
        <f>_xll.qlIndexFixing($M$5,R625,TRUE,InterestRatesTrigger)</f>
        <v>1.2434846556971246E-2</v>
      </c>
      <c r="V625" s="74">
        <f>_xll.qlIndexFixing(Index,R625,TRUE,InterestRatesTrigger)</f>
        <v>1.2281659933500166E-2</v>
      </c>
      <c r="W625" s="30">
        <f t="shared" si="42"/>
        <v>-1.5318662347107992E-4</v>
      </c>
      <c r="X625" s="29">
        <f>_xll.qlDayCounterYearFraction(DayCounter,SettlementDate,S625,,,Trigger)</f>
        <v>52.594444444444441</v>
      </c>
      <c r="Y625" s="29">
        <f>_xll.qlDayCounterYearFraction(DayCounter,S625,T625)</f>
        <v>8.8888888888888892E-2</v>
      </c>
      <c r="Z625" s="29">
        <f>IF($M$13,_xll.qlYieldTSDiscount(Currency&amp;"ON",S625)/(1+V625*Y625),1)</f>
        <v>1</v>
      </c>
      <c r="AA625" s="30">
        <f>_xll.qlTenorBasisValue(TenorBasis1M,S625,InterestRatesTrigger)</f>
        <v>1.2069642108054151E-6</v>
      </c>
      <c r="AB625" s="74">
        <f t="shared" si="43"/>
        <v>1.2436053521182051E-2</v>
      </c>
      <c r="AC625" s="76">
        <f t="shared" si="44"/>
        <v>1.0125710684482276</v>
      </c>
    </row>
    <row r="626" spans="16:29" x14ac:dyDescent="0.2">
      <c r="P626" s="33">
        <v>1</v>
      </c>
      <c r="Q626" s="27" t="str">
        <f>_xll.qlPeriodEquivalent(Q625&amp;"+"&amp;P626&amp;"M")</f>
        <v>51Y11M</v>
      </c>
      <c r="R626" s="28">
        <f>_xll.qlCalendarAdvance(Calendar,SettlementDate,Q626,"f",,Trigger)</f>
        <v>61242</v>
      </c>
      <c r="S626" s="28">
        <f>_xll.qlInterestRateIndexValueDate(Index,R626,Trigger)</f>
        <v>61246</v>
      </c>
      <c r="T626" s="28">
        <f>_xll.qlInterestRateIndexMaturity(Index,S626,Trigger)</f>
        <v>61276</v>
      </c>
      <c r="U626" s="30">
        <f>_xll.qlIndexFixing($M$5,R626,TRUE,InterestRatesTrigger)</f>
        <v>1.2459828459078892E-2</v>
      </c>
      <c r="V626" s="74">
        <f>_xll.qlIndexFixing(Index,R626,TRUE,InterestRatesTrigger)</f>
        <v>1.2307598150029797E-2</v>
      </c>
      <c r="W626" s="30">
        <f t="shared" si="42"/>
        <v>-1.5223030904909507E-4</v>
      </c>
      <c r="X626" s="29">
        <f>_xll.qlDayCounterYearFraction(DayCounter,SettlementDate,S626,,,Trigger)</f>
        <v>52.68611111111111</v>
      </c>
      <c r="Y626" s="29">
        <f>_xll.qlDayCounterYearFraction(DayCounter,S626,T626)</f>
        <v>8.3333333333333329E-2</v>
      </c>
      <c r="Z626" s="29">
        <f>IF($M$13,_xll.qlYieldTSDiscount(Currency&amp;"ON",S626)/(1+V626*Y626),1)</f>
        <v>1</v>
      </c>
      <c r="AA626" s="30">
        <f>_xll.qlTenorBasisValue(TenorBasis1M,S626,InterestRatesTrigger)</f>
        <v>1.1899931230421627E-6</v>
      </c>
      <c r="AB626" s="74">
        <f t="shared" si="43"/>
        <v>1.2461018452201935E-2</v>
      </c>
      <c r="AC626" s="76">
        <f t="shared" si="44"/>
        <v>1.0124654949163876</v>
      </c>
    </row>
    <row r="627" spans="16:29" x14ac:dyDescent="0.2">
      <c r="P627" s="33">
        <v>1</v>
      </c>
      <c r="Q627" s="27" t="str">
        <f>_xll.qlPeriodEquivalent(Q626&amp;"+"&amp;P627&amp;"M")</f>
        <v>52Y</v>
      </c>
      <c r="R627" s="28">
        <f>_xll.qlCalendarAdvance(Calendar,SettlementDate,Q627,"f",,Trigger)</f>
        <v>61273</v>
      </c>
      <c r="S627" s="28">
        <f>_xll.qlInterestRateIndexValueDate(Index,R627,Trigger)</f>
        <v>61275</v>
      </c>
      <c r="T627" s="28">
        <f>_xll.qlInterestRateIndexMaturity(Index,S627,Trigger)</f>
        <v>61308</v>
      </c>
      <c r="U627" s="30">
        <f>_xll.qlIndexFixing($M$5,R627,TRUE,InterestRatesTrigger)</f>
        <v>1.2484437668402813E-2</v>
      </c>
      <c r="V627" s="74">
        <f>_xll.qlIndexFixing(Index,R627,TRUE,InterestRatesTrigger)</f>
        <v>1.2333181803287505E-2</v>
      </c>
      <c r="W627" s="30">
        <f t="shared" si="42"/>
        <v>-1.512558651153087E-4</v>
      </c>
      <c r="X627" s="29">
        <f>_xll.qlDayCounterYearFraction(DayCounter,SettlementDate,S627,,,Trigger)</f>
        <v>52.766666666666666</v>
      </c>
      <c r="Y627" s="29">
        <f>_xll.qlDayCounterYearFraction(DayCounter,S627,T627)</f>
        <v>9.166666666666666E-2</v>
      </c>
      <c r="Z627" s="29">
        <f>IF($M$13,_xll.qlYieldTSDiscount(Currency&amp;"ON",S627)/(1+V627*Y627),1)</f>
        <v>1</v>
      </c>
      <c r="AA627" s="30">
        <f>_xll.qlTenorBasisValue(TenorBasis1M,S627,InterestRatesTrigger)</f>
        <v>1.1752734737647782E-6</v>
      </c>
      <c r="AB627" s="74">
        <f t="shared" si="43"/>
        <v>1.2485612941876579E-2</v>
      </c>
      <c r="AC627" s="76">
        <f t="shared" si="44"/>
        <v>1.0123594333579387</v>
      </c>
    </row>
    <row r="628" spans="16:29" x14ac:dyDescent="0.2">
      <c r="P628" s="33">
        <v>1</v>
      </c>
      <c r="Q628" s="27" t="str">
        <f>_xll.qlPeriodEquivalent(Q627&amp;"+"&amp;P628&amp;"M")</f>
        <v>52Y1M</v>
      </c>
      <c r="R628" s="28">
        <f>_xll.qlCalendarAdvance(Calendar,SettlementDate,Q628,"f",,Trigger)</f>
        <v>61303</v>
      </c>
      <c r="S628" s="28">
        <f>_xll.qlInterestRateIndexValueDate(Index,R628,Trigger)</f>
        <v>61305</v>
      </c>
      <c r="T628" s="28">
        <f>_xll.qlInterestRateIndexMaturity(Index,S628,Trigger)</f>
        <v>61336</v>
      </c>
      <c r="U628" s="30">
        <f>_xll.qlIndexFixing($M$5,R628,TRUE,InterestRatesTrigger)</f>
        <v>1.2506558560781584E-2</v>
      </c>
      <c r="V628" s="74">
        <f>_xll.qlIndexFixing(Index,R628,TRUE,InterestRatesTrigger)</f>
        <v>1.235633068404699E-2</v>
      </c>
      <c r="W628" s="30">
        <f t="shared" si="42"/>
        <v>-1.5022787673459395E-4</v>
      </c>
      <c r="X628" s="29">
        <f>_xll.qlDayCounterYearFraction(DayCounter,SettlementDate,S628,,,Trigger)</f>
        <v>52.85</v>
      </c>
      <c r="Y628" s="29">
        <f>_xll.qlDayCounterYearFraction(DayCounter,S628,T628)</f>
        <v>8.611111111111111E-2</v>
      </c>
      <c r="Z628" s="29">
        <f>IF($M$13,_xll.qlYieldTSDiscount(Currency&amp;"ON",S628)/(1+V628*Y628),1)</f>
        <v>1</v>
      </c>
      <c r="AA628" s="30">
        <f>_xll.qlTenorBasisValue(TenorBasis1M,S628,InterestRatesTrigger)</f>
        <v>1.1602351394044953E-6</v>
      </c>
      <c r="AB628" s="74">
        <f t="shared" si="43"/>
        <v>1.2507718795920988E-2</v>
      </c>
      <c r="AC628" s="76">
        <f t="shared" si="44"/>
        <v>1.0122518663303057</v>
      </c>
    </row>
    <row r="629" spans="16:29" x14ac:dyDescent="0.2">
      <c r="P629" s="33">
        <v>1</v>
      </c>
      <c r="Q629" s="27" t="str">
        <f>_xll.qlPeriodEquivalent(Q628&amp;"+"&amp;P629&amp;"M")</f>
        <v>52Y2M</v>
      </c>
      <c r="R629" s="28">
        <f>_xll.qlCalendarAdvance(Calendar,SettlementDate,Q629,"f",,Trigger)</f>
        <v>61333</v>
      </c>
      <c r="S629" s="28">
        <f>_xll.qlInterestRateIndexValueDate(Index,R629,Trigger)</f>
        <v>61337</v>
      </c>
      <c r="T629" s="28">
        <f>_xll.qlInterestRateIndexMaturity(Index,S629,Trigger)</f>
        <v>61368</v>
      </c>
      <c r="U629" s="30">
        <f>_xll.qlIndexFixing($M$5,R629,TRUE,InterestRatesTrigger)</f>
        <v>1.2531181017518321E-2</v>
      </c>
      <c r="V629" s="74">
        <f>_xll.qlIndexFixing(Index,R629,TRUE,InterestRatesTrigger)</f>
        <v>1.2382161889487436E-2</v>
      </c>
      <c r="W629" s="30">
        <f t="shared" si="42"/>
        <v>-1.4901912803088474E-4</v>
      </c>
      <c r="X629" s="29">
        <f>_xll.qlDayCounterYearFraction(DayCounter,SettlementDate,S629,,,Trigger)</f>
        <v>52.93888888888889</v>
      </c>
      <c r="Y629" s="29">
        <f>_xll.qlDayCounterYearFraction(DayCounter,S629,T629)</f>
        <v>8.611111111111111E-2</v>
      </c>
      <c r="Z629" s="29">
        <f>IF($M$13,_xll.qlYieldTSDiscount(Currency&amp;"ON",S629)/(1+V629*Y629),1)</f>
        <v>1</v>
      </c>
      <c r="AA629" s="30">
        <f>_xll.qlTenorBasisValue(TenorBasis1M,S629,InterestRatesTrigger)</f>
        <v>1.1444033246027497E-6</v>
      </c>
      <c r="AB629" s="74">
        <f t="shared" si="43"/>
        <v>1.2532325420842923E-2</v>
      </c>
      <c r="AC629" s="76">
        <f t="shared" si="44"/>
        <v>1.0121274081776443</v>
      </c>
    </row>
    <row r="630" spans="16:29" x14ac:dyDescent="0.2">
      <c r="P630" s="33">
        <v>1</v>
      </c>
      <c r="Q630" s="27" t="str">
        <f>_xll.qlPeriodEquivalent(Q629&amp;"+"&amp;P630&amp;"M")</f>
        <v>52Y3M</v>
      </c>
      <c r="R630" s="28">
        <f>_xll.qlCalendarAdvance(Calendar,SettlementDate,Q630,"f",,Trigger)</f>
        <v>61364</v>
      </c>
      <c r="S630" s="28">
        <f>_xll.qlInterestRateIndexValueDate(Index,R630,Trigger)</f>
        <v>61366</v>
      </c>
      <c r="T630" s="28">
        <f>_xll.qlInterestRateIndexMaturity(Index,S630,Trigger)</f>
        <v>61399</v>
      </c>
      <c r="U630" s="30">
        <f>_xll.qlIndexFixing($M$5,R630,TRUE,InterestRatesTrigger)</f>
        <v>1.2554450395194651E-2</v>
      </c>
      <c r="V630" s="74">
        <f>_xll.qlIndexFixing(Index,R630,TRUE,InterestRatesTrigger)</f>
        <v>1.2406634066935884E-2</v>
      </c>
      <c r="W630" s="30">
        <f t="shared" si="42"/>
        <v>-1.4781632825876766E-4</v>
      </c>
      <c r="X630" s="29">
        <f>_xll.qlDayCounterYearFraction(DayCounter,SettlementDate,S630,,,Trigger)</f>
        <v>53.019444444444446</v>
      </c>
      <c r="Y630" s="29">
        <f>_xll.qlDayCounterYearFraction(DayCounter,S630,T630)</f>
        <v>9.166666666666666E-2</v>
      </c>
      <c r="Z630" s="29">
        <f>IF($M$13,_xll.qlYieldTSDiscount(Currency&amp;"ON",S630)/(1+V630*Y630),1)</f>
        <v>1</v>
      </c>
      <c r="AA630" s="30">
        <f>_xll.qlTenorBasisValue(TenorBasis1M,S630,InterestRatesTrigger)</f>
        <v>1.1302398253939914E-6</v>
      </c>
      <c r="AB630" s="74">
        <f t="shared" si="43"/>
        <v>1.2555580635020045E-2</v>
      </c>
      <c r="AC630" s="76">
        <f t="shared" si="44"/>
        <v>1.0120053970545573</v>
      </c>
    </row>
    <row r="631" spans="16:29" x14ac:dyDescent="0.2">
      <c r="P631" s="33">
        <v>1</v>
      </c>
      <c r="Q631" s="27" t="str">
        <f>_xll.qlPeriodEquivalent(Q630&amp;"+"&amp;P631&amp;"M")</f>
        <v>52Y4M</v>
      </c>
      <c r="R631" s="28">
        <f>_xll.qlCalendarAdvance(Calendar,SettlementDate,Q631,"f",,Trigger)</f>
        <v>61395</v>
      </c>
      <c r="S631" s="28">
        <f>_xll.qlInterestRateIndexValueDate(Index,R631,Trigger)</f>
        <v>61399</v>
      </c>
      <c r="T631" s="28">
        <f>_xll.qlInterestRateIndexMaturity(Index,S631,Trigger)</f>
        <v>61428</v>
      </c>
      <c r="U631" s="30">
        <f>_xll.qlIndexFixing($M$5,R631,TRUE,InterestRatesTrigger)</f>
        <v>1.2576916018115234E-2</v>
      </c>
      <c r="V631" s="74">
        <f>_xll.qlIndexFixing(Index,R631,TRUE,InterestRatesTrigger)</f>
        <v>1.2430450947596485E-2</v>
      </c>
      <c r="W631" s="30">
        <f t="shared" si="42"/>
        <v>-1.4646507051874896E-4</v>
      </c>
      <c r="X631" s="29">
        <f>_xll.qlDayCounterYearFraction(DayCounter,SettlementDate,S631,,,Trigger)</f>
        <v>53.111111111111114</v>
      </c>
      <c r="Y631" s="29">
        <f>_xll.qlDayCounterYearFraction(DayCounter,S631,T631)</f>
        <v>8.0555555555555561E-2</v>
      </c>
      <c r="Z631" s="29">
        <f>IF($M$13,_xll.qlYieldTSDiscount(Currency&amp;"ON",S631)/(1+V631*Y631),1)</f>
        <v>1</v>
      </c>
      <c r="AA631" s="30">
        <f>_xll.qlTenorBasisValue(TenorBasis1M,S631,InterestRatesTrigger)</f>
        <v>1.1143328925240084E-6</v>
      </c>
      <c r="AB631" s="74">
        <f t="shared" si="43"/>
        <v>1.2578030351007758E-2</v>
      </c>
      <c r="AC631" s="76">
        <f t="shared" si="44"/>
        <v>1.0118724094591121</v>
      </c>
    </row>
    <row r="632" spans="16:29" x14ac:dyDescent="0.2">
      <c r="P632" s="33">
        <v>1</v>
      </c>
      <c r="Q632" s="27" t="str">
        <f>_xll.qlPeriodEquivalent(Q631&amp;"+"&amp;P632&amp;"M")</f>
        <v>52Y5M</v>
      </c>
      <c r="R632" s="28">
        <f>_xll.qlCalendarAdvance(Calendar,SettlementDate,Q632,"f",,Trigger)</f>
        <v>61424</v>
      </c>
      <c r="S632" s="28">
        <f>_xll.qlInterestRateIndexValueDate(Index,R632,Trigger)</f>
        <v>61428</v>
      </c>
      <c r="T632" s="28">
        <f>_xll.qlInterestRateIndexMaturity(Index,S632,Trigger)</f>
        <v>61459</v>
      </c>
      <c r="U632" s="30">
        <f>_xll.qlIndexFixing($M$5,R632,TRUE,InterestRatesTrigger)</f>
        <v>1.2599694408783182E-2</v>
      </c>
      <c r="V632" s="74">
        <f>_xll.qlIndexFixing(Index,R632,TRUE,InterestRatesTrigger)</f>
        <v>1.2454582513527043E-2</v>
      </c>
      <c r="W632" s="30">
        <f t="shared" si="42"/>
        <v>-1.4511189525613991E-4</v>
      </c>
      <c r="X632" s="29">
        <f>_xll.qlDayCounterYearFraction(DayCounter,SettlementDate,S632,,,Trigger)</f>
        <v>53.19166666666667</v>
      </c>
      <c r="Y632" s="29">
        <f>_xll.qlDayCounterYearFraction(DayCounter,S632,T632)</f>
        <v>8.611111111111111E-2</v>
      </c>
      <c r="Z632" s="29">
        <f>IF($M$13,_xll.qlYieldTSDiscount(Currency&amp;"ON",S632)/(1+V632*Y632),1)</f>
        <v>1</v>
      </c>
      <c r="AA632" s="30">
        <f>_xll.qlTenorBasisValue(TenorBasis1M,S632,InterestRatesTrigger)</f>
        <v>1.1005364371899633E-6</v>
      </c>
      <c r="AB632" s="74">
        <f t="shared" si="43"/>
        <v>1.2600794945220373E-2</v>
      </c>
      <c r="AC632" s="76">
        <f t="shared" si="44"/>
        <v>1.0117396493647641</v>
      </c>
    </row>
    <row r="633" spans="16:29" x14ac:dyDescent="0.2">
      <c r="P633" s="33">
        <v>1</v>
      </c>
      <c r="Q633" s="27" t="str">
        <f>_xll.qlPeriodEquivalent(Q632&amp;"+"&amp;P633&amp;"M")</f>
        <v>52Y6M</v>
      </c>
      <c r="R633" s="28">
        <f>_xll.qlCalendarAdvance(Calendar,SettlementDate,Q633,"f",,Trigger)</f>
        <v>61455</v>
      </c>
      <c r="S633" s="28">
        <f>_xll.qlInterestRateIndexValueDate(Index,R633,Trigger)</f>
        <v>61457</v>
      </c>
      <c r="T633" s="28">
        <f>_xll.qlInterestRateIndexMaturity(Index,S633,Trigger)</f>
        <v>61487</v>
      </c>
      <c r="U633" s="30">
        <f>_xll.qlIndexFixing($M$5,R633,TRUE,InterestRatesTrigger)</f>
        <v>1.2620472979919306E-2</v>
      </c>
      <c r="V633" s="74">
        <f>_xll.qlIndexFixing(Index,R633,TRUE,InterestRatesTrigger)</f>
        <v>1.2476726558388052E-2</v>
      </c>
      <c r="W633" s="30">
        <f t="shared" si="42"/>
        <v>-1.437464215312545E-4</v>
      </c>
      <c r="X633" s="29">
        <f>_xll.qlDayCounterYearFraction(DayCounter,SettlementDate,S633,,,Trigger)</f>
        <v>53.272222222222226</v>
      </c>
      <c r="Y633" s="29">
        <f>_xll.qlDayCounterYearFraction(DayCounter,S633,T633)</f>
        <v>8.3333333333333329E-2</v>
      </c>
      <c r="Z633" s="29">
        <f>IF($M$13,_xll.qlYieldTSDiscount(Currency&amp;"ON",S633)/(1+V633*Y633),1)</f>
        <v>1</v>
      </c>
      <c r="AA633" s="30">
        <f>_xll.qlTenorBasisValue(TenorBasis1M,S633,InterestRatesTrigger)</f>
        <v>1.0869084414797194E-6</v>
      </c>
      <c r="AB633" s="74">
        <f t="shared" si="43"/>
        <v>1.2621559888360785E-2</v>
      </c>
      <c r="AC633" s="76">
        <f t="shared" si="44"/>
        <v>1.0116082795671564</v>
      </c>
    </row>
    <row r="634" spans="16:29" x14ac:dyDescent="0.2">
      <c r="P634" s="33">
        <v>1</v>
      </c>
      <c r="Q634" s="27" t="str">
        <f>_xll.qlPeriodEquivalent(Q633&amp;"+"&amp;P634&amp;"M")</f>
        <v>52Y7M</v>
      </c>
      <c r="R634" s="28">
        <f>_xll.qlCalendarAdvance(Calendar,SettlementDate,Q634,"f",,Trigger)</f>
        <v>61485</v>
      </c>
      <c r="S634" s="28">
        <f>_xll.qlInterestRateIndexValueDate(Index,R634,Trigger)</f>
        <v>61487</v>
      </c>
      <c r="T634" s="28">
        <f>_xll.qlInterestRateIndexMaturity(Index,S634,Trigger)</f>
        <v>61518</v>
      </c>
      <c r="U634" s="30">
        <f>_xll.qlIndexFixing($M$5,R634,TRUE,InterestRatesTrigger)</f>
        <v>1.2642923842439164E-2</v>
      </c>
      <c r="V634" s="74">
        <f>_xll.qlIndexFixing(Index,R634,TRUE,InterestRatesTrigger)</f>
        <v>1.2500697987144876E-2</v>
      </c>
      <c r="W634" s="30">
        <f t="shared" si="42"/>
        <v>-1.4222585529428781E-4</v>
      </c>
      <c r="X634" s="29">
        <f>_xll.qlDayCounterYearFraction(DayCounter,SettlementDate,S634,,,Trigger)</f>
        <v>53.355555555555554</v>
      </c>
      <c r="Y634" s="29">
        <f>_xll.qlDayCounterYearFraction(DayCounter,S634,T634)</f>
        <v>8.611111111111111E-2</v>
      </c>
      <c r="Z634" s="29">
        <f>IF($M$13,_xll.qlYieldTSDiscount(Currency&amp;"ON",S634)/(1+V634*Y634),1)</f>
        <v>1</v>
      </c>
      <c r="AA634" s="30">
        <f>_xll.qlTenorBasisValue(TenorBasis1M,S634,InterestRatesTrigger)</f>
        <v>1.0729856375743172E-6</v>
      </c>
      <c r="AB634" s="74">
        <f t="shared" si="43"/>
        <v>1.2643996828076738E-2</v>
      </c>
      <c r="AC634" s="76">
        <f t="shared" si="44"/>
        <v>1.0114632671774988</v>
      </c>
    </row>
    <row r="635" spans="16:29" x14ac:dyDescent="0.2">
      <c r="P635" s="33">
        <v>1</v>
      </c>
      <c r="Q635" s="27" t="str">
        <f>_xll.qlPeriodEquivalent(Q634&amp;"+"&amp;P635&amp;"M")</f>
        <v>52Y8M</v>
      </c>
      <c r="R635" s="28">
        <f>_xll.qlCalendarAdvance(Calendar,SettlementDate,Q635,"f",,Trigger)</f>
        <v>61518</v>
      </c>
      <c r="S635" s="28">
        <f>_xll.qlInterestRateIndexValueDate(Index,R635,Trigger)</f>
        <v>61520</v>
      </c>
      <c r="T635" s="28">
        <f>_xll.qlInterestRateIndexMaturity(Index,S635,Trigger)</f>
        <v>61550</v>
      </c>
      <c r="U635" s="30">
        <f>_xll.qlIndexFixing($M$5,R635,TRUE,InterestRatesTrigger)</f>
        <v>1.266611429226483E-2</v>
      </c>
      <c r="V635" s="74">
        <f>_xll.qlIndexFixing(Index,R635,TRUE,InterestRatesTrigger)</f>
        <v>1.2525595165967296E-2</v>
      </c>
      <c r="W635" s="30">
        <f t="shared" si="42"/>
        <v>-1.405191262975336E-4</v>
      </c>
      <c r="X635" s="29">
        <f>_xll.qlDayCounterYearFraction(DayCounter,SettlementDate,S635,,,Trigger)</f>
        <v>53.447222222222223</v>
      </c>
      <c r="Y635" s="29">
        <f>_xll.qlDayCounterYearFraction(DayCounter,S635,T635)</f>
        <v>8.3333333333333329E-2</v>
      </c>
      <c r="Z635" s="29">
        <f>IF($M$13,_xll.qlYieldTSDiscount(Currency&amp;"ON",S635)/(1+V635*Y635),1)</f>
        <v>1</v>
      </c>
      <c r="AA635" s="30">
        <f>_xll.qlTenorBasisValue(TenorBasis1M,S635,InterestRatesTrigger)</f>
        <v>1.0578736397266607E-6</v>
      </c>
      <c r="AB635" s="74">
        <f t="shared" si="43"/>
        <v>1.2667172165904557E-2</v>
      </c>
      <c r="AC635" s="76">
        <f t="shared" si="44"/>
        <v>1.0113030157897753</v>
      </c>
    </row>
    <row r="636" spans="16:29" x14ac:dyDescent="0.2">
      <c r="P636" s="33">
        <v>1</v>
      </c>
      <c r="Q636" s="27" t="str">
        <f>_xll.qlPeriodEquivalent(Q635&amp;"+"&amp;P636&amp;"M")</f>
        <v>52Y9M</v>
      </c>
      <c r="R636" s="28">
        <f>_xll.qlCalendarAdvance(Calendar,SettlementDate,Q636,"f",,Trigger)</f>
        <v>61546</v>
      </c>
      <c r="S636" s="28">
        <f>_xll.qlInterestRateIndexValueDate(Index,R636,Trigger)</f>
        <v>61548</v>
      </c>
      <c r="T636" s="28">
        <f>_xll.qlInterestRateIndexMaturity(Index,S636,Trigger)</f>
        <v>61581</v>
      </c>
      <c r="U636" s="30">
        <f>_xll.qlIndexFixing($M$5,R636,TRUE,InterestRatesTrigger)</f>
        <v>1.2687787039516705E-2</v>
      </c>
      <c r="V636" s="74">
        <f>_xll.qlIndexFixing(Index,R636,TRUE,InterestRatesTrigger)</f>
        <v>1.2548865174450571E-2</v>
      </c>
      <c r="W636" s="30">
        <f t="shared" si="42"/>
        <v>-1.3892186506613349E-4</v>
      </c>
      <c r="X636" s="29">
        <f>_xll.qlDayCounterYearFraction(DayCounter,SettlementDate,S636,,,Trigger)</f>
        <v>53.524999999999999</v>
      </c>
      <c r="Y636" s="29">
        <f>_xll.qlDayCounterYearFraction(DayCounter,S636,T636)</f>
        <v>9.166666666666666E-2</v>
      </c>
      <c r="Z636" s="29">
        <f>IF($M$13,_xll.qlYieldTSDiscount(Currency&amp;"ON",S636)/(1+V636*Y636),1)</f>
        <v>1</v>
      </c>
      <c r="AA636" s="30">
        <f>_xll.qlTenorBasisValue(TenorBasis1M,S636,InterestRatesTrigger)</f>
        <v>1.0452160899189441E-6</v>
      </c>
      <c r="AB636" s="74">
        <f t="shared" si="43"/>
        <v>1.2688832255606623E-2</v>
      </c>
      <c r="AC636" s="76">
        <f t="shared" si="44"/>
        <v>1.0111537640424271</v>
      </c>
    </row>
    <row r="637" spans="16:29" x14ac:dyDescent="0.2">
      <c r="P637" s="33">
        <v>1</v>
      </c>
      <c r="Q637" s="27" t="str">
        <f>_xll.qlPeriodEquivalent(Q636&amp;"+"&amp;P637&amp;"M")</f>
        <v>52Y10M</v>
      </c>
      <c r="R637" s="28">
        <f>_xll.qlCalendarAdvance(Calendar,SettlementDate,Q637,"f",,Trigger)</f>
        <v>61577</v>
      </c>
      <c r="S637" s="28">
        <f>_xll.qlInterestRateIndexValueDate(Index,R637,Trigger)</f>
        <v>61581</v>
      </c>
      <c r="T637" s="28">
        <f>_xll.qlInterestRateIndexMaturity(Index,S637,Trigger)</f>
        <v>61612</v>
      </c>
      <c r="U637" s="30">
        <f>_xll.qlIndexFixing($M$5,R637,TRUE,InterestRatesTrigger)</f>
        <v>1.2709861802834396E-2</v>
      </c>
      <c r="V637" s="74">
        <f>_xll.qlIndexFixing(Index,R637,TRUE,InterestRatesTrigger)</f>
        <v>1.2572766552113554E-2</v>
      </c>
      <c r="W637" s="30">
        <f t="shared" si="42"/>
        <v>-1.3709525072084193E-4</v>
      </c>
      <c r="X637" s="29">
        <f>_xll.qlDayCounterYearFraction(DayCounter,SettlementDate,S637,,,Trigger)</f>
        <v>53.616666666666667</v>
      </c>
      <c r="Y637" s="29">
        <f>_xll.qlDayCounterYearFraction(DayCounter,S637,T637)</f>
        <v>8.611111111111111E-2</v>
      </c>
      <c r="Z637" s="29">
        <f>IF($M$13,_xll.qlYieldTSDiscount(Currency&amp;"ON",S637)/(1+V637*Y637),1)</f>
        <v>1</v>
      </c>
      <c r="AA637" s="30">
        <f>_xll.qlTenorBasisValue(TenorBasis1M,S637,InterestRatesTrigger)</f>
        <v>1.03048991724565E-6</v>
      </c>
      <c r="AB637" s="74">
        <f t="shared" si="43"/>
        <v>1.2710892292751642E-2</v>
      </c>
      <c r="AC637" s="76">
        <f t="shared" si="44"/>
        <v>1.0109861055691731</v>
      </c>
    </row>
    <row r="638" spans="16:29" x14ac:dyDescent="0.2">
      <c r="P638" s="33">
        <v>1</v>
      </c>
      <c r="Q638" s="27" t="str">
        <f>_xll.qlPeriodEquivalent(Q637&amp;"+"&amp;P638&amp;"M")</f>
        <v>52Y11M</v>
      </c>
      <c r="R638" s="28">
        <f>_xll.qlCalendarAdvance(Calendar,SettlementDate,Q638,"f",,Trigger)</f>
        <v>61609</v>
      </c>
      <c r="S638" s="28">
        <f>_xll.qlInterestRateIndexValueDate(Index,R638,Trigger)</f>
        <v>61611</v>
      </c>
      <c r="T638" s="28">
        <f>_xll.qlInterestRateIndexMaturity(Index,S638,Trigger)</f>
        <v>61641</v>
      </c>
      <c r="U638" s="30">
        <f>_xll.qlIndexFixing($M$5,R638,TRUE,InterestRatesTrigger)</f>
        <v>1.2730154164525942E-2</v>
      </c>
      <c r="V638" s="74">
        <f>_xll.qlIndexFixing(Index,R638,TRUE,InterestRatesTrigger)</f>
        <v>1.2594800806612128E-2</v>
      </c>
      <c r="W638" s="30">
        <f t="shared" si="42"/>
        <v>-1.3535335791381442E-4</v>
      </c>
      <c r="X638" s="29">
        <f>_xll.qlDayCounterYearFraction(DayCounter,SettlementDate,S638,,,Trigger)</f>
        <v>53.7</v>
      </c>
      <c r="Y638" s="29">
        <f>_xll.qlDayCounterYearFraction(DayCounter,S638,T638)</f>
        <v>8.3333333333333329E-2</v>
      </c>
      <c r="Z638" s="29">
        <f>IF($M$13,_xll.qlYieldTSDiscount(Currency&amp;"ON",S638)/(1+V638*Y638),1)</f>
        <v>1</v>
      </c>
      <c r="AA638" s="30">
        <f>_xll.qlTenorBasisValue(TenorBasis1M,S638,InterestRatesTrigger)</f>
        <v>1.0172801713570622E-6</v>
      </c>
      <c r="AB638" s="74">
        <f t="shared" si="43"/>
        <v>1.2731171444697299E-2</v>
      </c>
      <c r="AC638" s="76">
        <f t="shared" si="44"/>
        <v>1.0108275343277822</v>
      </c>
    </row>
    <row r="639" spans="16:29" x14ac:dyDescent="0.2">
      <c r="P639" s="33">
        <v>1</v>
      </c>
      <c r="Q639" s="27" t="str">
        <f>_xll.qlPeriodEquivalent(Q638&amp;"+"&amp;P639&amp;"M")</f>
        <v>53Y</v>
      </c>
      <c r="R639" s="28">
        <f>_xll.qlCalendarAdvance(Calendar,SettlementDate,Q639,"f",,Trigger)</f>
        <v>61638</v>
      </c>
      <c r="S639" s="28">
        <f>_xll.qlInterestRateIndexValueDate(Index,R639,Trigger)</f>
        <v>61640</v>
      </c>
      <c r="T639" s="28">
        <f>_xll.qlInterestRateIndexMaturity(Index,S639,Trigger)</f>
        <v>61672</v>
      </c>
      <c r="U639" s="30">
        <f>_xll.qlIndexFixing($M$5,R639,TRUE,InterestRatesTrigger)</f>
        <v>1.2751227636570994E-2</v>
      </c>
      <c r="V639" s="74">
        <f>_xll.qlIndexFixing(Index,R639,TRUE,InterestRatesTrigger)</f>
        <v>1.2617691022951683E-2</v>
      </c>
      <c r="W639" s="30">
        <f t="shared" si="42"/>
        <v>-1.3353661361931168E-4</v>
      </c>
      <c r="X639" s="29">
        <f>_xll.qlDayCounterYearFraction(DayCounter,SettlementDate,S639,,,Trigger)</f>
        <v>53.780555555555559</v>
      </c>
      <c r="Y639" s="29">
        <f>_xll.qlDayCounterYearFraction(DayCounter,S639,T639)</f>
        <v>8.8888888888888892E-2</v>
      </c>
      <c r="Z639" s="29">
        <f>IF($M$13,_xll.qlYieldTSDiscount(Currency&amp;"ON",S639)/(1+V639*Y639),1)</f>
        <v>1</v>
      </c>
      <c r="AA639" s="30">
        <f>_xll.qlTenorBasisValue(TenorBasis1M,S639,InterestRatesTrigger)</f>
        <v>1.0046695630207086E-6</v>
      </c>
      <c r="AB639" s="74">
        <f t="shared" si="43"/>
        <v>1.2752232306134014E-2</v>
      </c>
      <c r="AC639" s="76">
        <f t="shared" si="44"/>
        <v>1.0106629083671173</v>
      </c>
    </row>
    <row r="640" spans="16:29" x14ac:dyDescent="0.2">
      <c r="P640" s="33">
        <v>1</v>
      </c>
      <c r="Q640" s="27" t="str">
        <f>_xll.qlPeriodEquivalent(Q639&amp;"+"&amp;P640&amp;"M")</f>
        <v>53Y1M</v>
      </c>
      <c r="R640" s="28">
        <f>_xll.qlCalendarAdvance(Calendar,SettlementDate,Q640,"f",,Trigger)</f>
        <v>61669</v>
      </c>
      <c r="S640" s="28">
        <f>_xll.qlInterestRateIndexValueDate(Index,R640,Trigger)</f>
        <v>61673</v>
      </c>
      <c r="T640" s="28">
        <f>_xll.qlInterestRateIndexMaturity(Index,S640,Trigger)</f>
        <v>61703</v>
      </c>
      <c r="U640" s="30">
        <f>_xll.qlIndexFixing($M$5,R640,TRUE,InterestRatesTrigger)</f>
        <v>1.2772508769946178E-2</v>
      </c>
      <c r="V640" s="74">
        <f>_xll.qlIndexFixing(Index,R640,TRUE,InterestRatesTrigger)</f>
        <v>1.2640992366029558E-2</v>
      </c>
      <c r="W640" s="30">
        <f t="shared" si="42"/>
        <v>-1.3151640391662056E-4</v>
      </c>
      <c r="X640" s="29">
        <f>_xll.qlDayCounterYearFraction(DayCounter,SettlementDate,S640,,,Trigger)</f>
        <v>53.87222222222222</v>
      </c>
      <c r="Y640" s="29">
        <f>_xll.qlDayCounterYearFraction(DayCounter,S640,T640)</f>
        <v>8.3333333333333329E-2</v>
      </c>
      <c r="Z640" s="29">
        <f>IF($M$13,_xll.qlYieldTSDiscount(Currency&amp;"ON",S640)/(1+V640*Y640),1)</f>
        <v>1</v>
      </c>
      <c r="AA640" s="30">
        <f>_xll.qlTenorBasisValue(TenorBasis1M,S640,InterestRatesTrigger)</f>
        <v>9.905070553972404E-7</v>
      </c>
      <c r="AB640" s="74">
        <f t="shared" si="43"/>
        <v>1.2773499277001575E-2</v>
      </c>
      <c r="AC640" s="76">
        <f t="shared" si="44"/>
        <v>1.0104823187242884</v>
      </c>
    </row>
    <row r="641" spans="16:29" x14ac:dyDescent="0.2">
      <c r="P641" s="33">
        <v>1</v>
      </c>
      <c r="Q641" s="27" t="str">
        <f>_xll.qlPeriodEquivalent(Q640&amp;"+"&amp;P641&amp;"M")</f>
        <v>53Y2M</v>
      </c>
      <c r="R641" s="28">
        <f>_xll.qlCalendarAdvance(Calendar,SettlementDate,Q641,"f",,Trigger)</f>
        <v>61700</v>
      </c>
      <c r="S641" s="28">
        <f>_xll.qlInterestRateIndexValueDate(Index,R641,Trigger)</f>
        <v>61702</v>
      </c>
      <c r="T641" s="28">
        <f>_xll.qlInterestRateIndexMaturity(Index,S641,Trigger)</f>
        <v>61735</v>
      </c>
      <c r="U641" s="30">
        <f>_xll.qlIndexFixing($M$5,R641,TRUE,InterestRatesTrigger)</f>
        <v>1.2793644295018584E-2</v>
      </c>
      <c r="V641" s="74">
        <f>_xll.qlIndexFixing(Index,R641,TRUE,InterestRatesTrigger)</f>
        <v>1.2664090548960259E-2</v>
      </c>
      <c r="W641" s="30">
        <f t="shared" si="42"/>
        <v>-1.2955374605832549E-4</v>
      </c>
      <c r="X641" s="29">
        <f>_xll.qlDayCounterYearFraction(DayCounter,SettlementDate,S641,,,Trigger)</f>
        <v>53.952777777777776</v>
      </c>
      <c r="Y641" s="29">
        <f>_xll.qlDayCounterYearFraction(DayCounter,S641,T641)</f>
        <v>9.166666666666666E-2</v>
      </c>
      <c r="Z641" s="29">
        <f>IF($M$13,_xll.qlYieldTSDiscount(Currency&amp;"ON",S641)/(1+V641*Y641),1)</f>
        <v>1</v>
      </c>
      <c r="AA641" s="30">
        <f>_xll.qlTenorBasisValue(TenorBasis1M,S641,InterestRatesTrigger)</f>
        <v>9.7822391277004669E-7</v>
      </c>
      <c r="AB641" s="74">
        <f t="shared" si="43"/>
        <v>1.2794622518931355E-2</v>
      </c>
      <c r="AC641" s="76">
        <f t="shared" si="44"/>
        <v>1.010307251789337</v>
      </c>
    </row>
    <row r="642" spans="16:29" x14ac:dyDescent="0.2">
      <c r="P642" s="33">
        <v>1</v>
      </c>
      <c r="Q642" s="27" t="str">
        <f>_xll.qlPeriodEquivalent(Q641&amp;"+"&amp;P642&amp;"M")</f>
        <v>53Y3M</v>
      </c>
      <c r="R642" s="28">
        <f>_xll.qlCalendarAdvance(Calendar,SettlementDate,Q642,"f",,Trigger)</f>
        <v>61730</v>
      </c>
      <c r="S642" s="28">
        <f>_xll.qlInterestRateIndexValueDate(Index,R642,Trigger)</f>
        <v>61732</v>
      </c>
      <c r="T642" s="28">
        <f>_xll.qlInterestRateIndexMaturity(Index,S642,Trigger)</f>
        <v>61763</v>
      </c>
      <c r="U642" s="30">
        <f>_xll.qlIndexFixing($M$5,R642,TRUE,InterestRatesTrigger)</f>
        <v>1.281240957870017E-2</v>
      </c>
      <c r="V642" s="74">
        <f>_xll.qlIndexFixing(Index,R642,TRUE,InterestRatesTrigger)</f>
        <v>1.2684795090737418E-2</v>
      </c>
      <c r="W642" s="30">
        <f t="shared" si="42"/>
        <v>-1.2761448796275165E-4</v>
      </c>
      <c r="X642" s="29">
        <f>_xll.qlDayCounterYearFraction(DayCounter,SettlementDate,S642,,,Trigger)</f>
        <v>54.036111111111111</v>
      </c>
      <c r="Y642" s="29">
        <f>_xll.qlDayCounterYearFraction(DayCounter,S642,T642)</f>
        <v>8.611111111111111E-2</v>
      </c>
      <c r="Z642" s="29">
        <f>IF($M$13,_xll.qlYieldTSDiscount(Currency&amp;"ON",S642)/(1+V642*Y642),1)</f>
        <v>1</v>
      </c>
      <c r="AA642" s="30">
        <f>_xll.qlTenorBasisValue(TenorBasis1M,S642,InterestRatesTrigger)</f>
        <v>9.6567534143684807E-7</v>
      </c>
      <c r="AB642" s="74">
        <f t="shared" si="43"/>
        <v>1.2813375254041607E-2</v>
      </c>
      <c r="AC642" s="76">
        <f t="shared" si="44"/>
        <v>1.0101365581694008</v>
      </c>
    </row>
    <row r="643" spans="16:29" x14ac:dyDescent="0.2">
      <c r="P643" s="33">
        <v>1</v>
      </c>
      <c r="Q643" s="27" t="str">
        <f>_xll.qlPeriodEquivalent(Q642&amp;"+"&amp;P643&amp;"M")</f>
        <v>53Y4M</v>
      </c>
      <c r="R643" s="28">
        <f>_xll.qlCalendarAdvance(Calendar,SettlementDate,Q643,"f",,Trigger)</f>
        <v>61763</v>
      </c>
      <c r="S643" s="28">
        <f>_xll.qlInterestRateIndexValueDate(Index,R643,Trigger)</f>
        <v>61765</v>
      </c>
      <c r="T643" s="28">
        <f>_xll.qlInterestRateIndexMaturity(Index,S643,Trigger)</f>
        <v>61793</v>
      </c>
      <c r="U643" s="30">
        <f>_xll.qlIndexFixing($M$5,R643,TRUE,InterestRatesTrigger)</f>
        <v>1.2832344161427374E-2</v>
      </c>
      <c r="V643" s="74">
        <f>_xll.qlIndexFixing(Index,R643,TRUE,InterestRatesTrigger)</f>
        <v>1.2706894443930456E-2</v>
      </c>
      <c r="W643" s="30">
        <f t="shared" si="42"/>
        <v>-1.2544971749691748E-4</v>
      </c>
      <c r="X643" s="29">
        <f>_xll.qlDayCounterYearFraction(DayCounter,SettlementDate,S643,,,Trigger)</f>
        <v>54.12777777777778</v>
      </c>
      <c r="Y643" s="29">
        <f>_xll.qlDayCounterYearFraction(DayCounter,S643,T643)</f>
        <v>7.7777777777777779E-2</v>
      </c>
      <c r="Z643" s="29">
        <f>IF($M$13,_xll.qlYieldTSDiscount(Currency&amp;"ON",S643)/(1+V643*Y643),1)</f>
        <v>1</v>
      </c>
      <c r="AA643" s="30">
        <f>_xll.qlTenorBasisValue(TenorBasis1M,S643,InterestRatesTrigger)</f>
        <v>9.5205528534634432E-7</v>
      </c>
      <c r="AB643" s="74">
        <f t="shared" si="43"/>
        <v>1.283329621671272E-2</v>
      </c>
      <c r="AC643" s="76">
        <f t="shared" si="44"/>
        <v>1.0099474953018628</v>
      </c>
    </row>
    <row r="644" spans="16:29" x14ac:dyDescent="0.2">
      <c r="P644" s="33">
        <v>1</v>
      </c>
      <c r="Q644" s="27" t="str">
        <f>_xll.qlPeriodEquivalent(Q643&amp;"+"&amp;P644&amp;"M")</f>
        <v>53Y5M</v>
      </c>
      <c r="R644" s="28">
        <f>_xll.qlCalendarAdvance(Calendar,SettlementDate,Q644,"f",,Trigger)</f>
        <v>61791</v>
      </c>
      <c r="S644" s="28">
        <f>_xll.qlInterestRateIndexValueDate(Index,R644,Trigger)</f>
        <v>61793</v>
      </c>
      <c r="T644" s="28">
        <f>_xll.qlInterestRateIndexMaturity(Index,S644,Trigger)</f>
        <v>61826</v>
      </c>
      <c r="U644" s="30">
        <f>_xll.qlIndexFixing($M$5,R644,TRUE,InterestRatesTrigger)</f>
        <v>1.2853194753987426E-2</v>
      </c>
      <c r="V644" s="74">
        <f>_xll.qlIndexFixing(Index,R644,TRUE,InterestRatesTrigger)</f>
        <v>1.2729859726787753E-2</v>
      </c>
      <c r="W644" s="30">
        <f t="shared" si="42"/>
        <v>-1.2333502719967353E-4</v>
      </c>
      <c r="X644" s="29">
        <f>_xll.qlDayCounterYearFraction(DayCounter,SettlementDate,S644,,,Trigger)</f>
        <v>54.205555555555556</v>
      </c>
      <c r="Y644" s="29">
        <f>_xll.qlDayCounterYearFraction(DayCounter,S644,T644)</f>
        <v>9.166666666666666E-2</v>
      </c>
      <c r="Z644" s="29">
        <f>IF($M$13,_xll.qlYieldTSDiscount(Currency&amp;"ON",S644)/(1+V644*Y644),1)</f>
        <v>1</v>
      </c>
      <c r="AA644" s="30">
        <f>_xll.qlTenorBasisValue(TenorBasis1M,S644,InterestRatesTrigger)</f>
        <v>9.406476282533985E-7</v>
      </c>
      <c r="AB644" s="74">
        <f t="shared" si="43"/>
        <v>1.2854135401615679E-2</v>
      </c>
      <c r="AC644" s="76">
        <f t="shared" si="44"/>
        <v>1.009762532933997</v>
      </c>
    </row>
    <row r="645" spans="16:29" x14ac:dyDescent="0.2">
      <c r="P645" s="33">
        <v>1</v>
      </c>
      <c r="Q645" s="27" t="str">
        <f>_xll.qlPeriodEquivalent(Q644&amp;"+"&amp;P645&amp;"M")</f>
        <v>53Y6M</v>
      </c>
      <c r="R645" s="28">
        <f>_xll.qlCalendarAdvance(Calendar,SettlementDate,Q645,"f",,Trigger)</f>
        <v>61820</v>
      </c>
      <c r="S645" s="28">
        <f>_xll.qlInterestRateIndexValueDate(Index,R645,Trigger)</f>
        <v>61822</v>
      </c>
      <c r="T645" s="28">
        <f>_xll.qlInterestRateIndexMaturity(Index,S645,Trigger)</f>
        <v>61854</v>
      </c>
      <c r="U645" s="30">
        <f>_xll.qlIndexFixing($M$5,R645,TRUE,InterestRatesTrigger)</f>
        <v>1.2871157373494924E-2</v>
      </c>
      <c r="V645" s="74">
        <f>_xll.qlIndexFixing(Index,R645,TRUE,InterestRatesTrigger)</f>
        <v>1.2749867648591262E-2</v>
      </c>
      <c r="W645" s="30">
        <f t="shared" si="42"/>
        <v>-1.2128972490366152E-4</v>
      </c>
      <c r="X645" s="29">
        <f>_xll.qlDayCounterYearFraction(DayCounter,SettlementDate,S645,,,Trigger)</f>
        <v>54.286111111111111</v>
      </c>
      <c r="Y645" s="29">
        <f>_xll.qlDayCounterYearFraction(DayCounter,S645,T645)</f>
        <v>8.8888888888888892E-2</v>
      </c>
      <c r="Z645" s="29">
        <f>IF($M$13,_xll.qlYieldTSDiscount(Currency&amp;"ON",S645)/(1+V645*Y645),1)</f>
        <v>1</v>
      </c>
      <c r="AA645" s="30">
        <f>_xll.qlTenorBasisValue(TenorBasis1M,S645,InterestRatesTrigger)</f>
        <v>9.2897472690451708E-7</v>
      </c>
      <c r="AB645" s="74">
        <f t="shared" si="43"/>
        <v>1.2872086348221828E-2</v>
      </c>
      <c r="AC645" s="76">
        <f t="shared" si="44"/>
        <v>1.009585879869433</v>
      </c>
    </row>
    <row r="646" spans="16:29" x14ac:dyDescent="0.2">
      <c r="P646" s="33">
        <v>1</v>
      </c>
      <c r="Q646" s="27" t="str">
        <f>_xll.qlPeriodEquivalent(Q645&amp;"+"&amp;P646&amp;"M")</f>
        <v>53Y7M</v>
      </c>
      <c r="R646" s="28">
        <f>_xll.qlCalendarAdvance(Calendar,SettlementDate,Q646,"f",,Trigger)</f>
        <v>61850</v>
      </c>
      <c r="S646" s="28">
        <f>_xll.qlInterestRateIndexValueDate(Index,R646,Trigger)</f>
        <v>61854</v>
      </c>
      <c r="T646" s="28">
        <f>_xll.qlInterestRateIndexMaturity(Index,S646,Trigger)</f>
        <v>61885</v>
      </c>
      <c r="U646" s="30">
        <f>_xll.qlIndexFixing($M$5,R646,TRUE,InterestRatesTrigger)</f>
        <v>1.2890779037338892E-2</v>
      </c>
      <c r="V646" s="74">
        <f>_xll.qlIndexFixing(Index,R646,TRUE,InterestRatesTrigger)</f>
        <v>1.2771797909537103E-2</v>
      </c>
      <c r="W646" s="30">
        <f t="shared" si="42"/>
        <v>-1.1898112780178889E-4</v>
      </c>
      <c r="X646" s="29">
        <f>_xll.qlDayCounterYearFraction(DayCounter,SettlementDate,S646,,,Trigger)</f>
        <v>54.375</v>
      </c>
      <c r="Y646" s="29">
        <f>_xll.qlDayCounterYearFraction(DayCounter,S646,T646)</f>
        <v>8.611111111111111E-2</v>
      </c>
      <c r="Z646" s="29">
        <f>IF($M$13,_xll.qlYieldTSDiscount(Currency&amp;"ON",S646)/(1+V646*Y646),1)</f>
        <v>1</v>
      </c>
      <c r="AA646" s="30">
        <f>_xll.qlTenorBasisValue(TenorBasis1M,S646,InterestRatesTrigger)</f>
        <v>9.162601059334062E-7</v>
      </c>
      <c r="AB646" s="74">
        <f t="shared" si="43"/>
        <v>1.2891695297444826E-2</v>
      </c>
      <c r="AC646" s="76">
        <f t="shared" si="44"/>
        <v>1.0093876671676891</v>
      </c>
    </row>
    <row r="647" spans="16:29" x14ac:dyDescent="0.2">
      <c r="P647" s="33">
        <v>1</v>
      </c>
      <c r="Q647" s="27" t="str">
        <f>_xll.qlPeriodEquivalent(Q646&amp;"+"&amp;P647&amp;"M")</f>
        <v>53Y8M</v>
      </c>
      <c r="R647" s="28">
        <f>_xll.qlCalendarAdvance(Calendar,SettlementDate,Q647,"f",,Trigger)</f>
        <v>61882</v>
      </c>
      <c r="S647" s="28">
        <f>_xll.qlInterestRateIndexValueDate(Index,R647,Trigger)</f>
        <v>61884</v>
      </c>
      <c r="T647" s="28">
        <f>_xll.qlInterestRateIndexMaturity(Index,S647,Trigger)</f>
        <v>61914</v>
      </c>
      <c r="U647" s="30">
        <f>_xll.qlIndexFixing($M$5,R647,TRUE,InterestRatesTrigger)</f>
        <v>1.2908896681745219E-2</v>
      </c>
      <c r="V647" s="74">
        <f>_xll.qlIndexFixing(Index,R647,TRUE,InterestRatesTrigger)</f>
        <v>1.279212207790259E-2</v>
      </c>
      <c r="W647" s="30">
        <f t="shared" si="42"/>
        <v>-1.1677460384262872E-4</v>
      </c>
      <c r="X647" s="29">
        <f>_xll.qlDayCounterYearFraction(DayCounter,SettlementDate,S647,,,Trigger)</f>
        <v>54.458333333333336</v>
      </c>
      <c r="Y647" s="29">
        <f>_xll.qlDayCounterYearFraction(DayCounter,S647,T647)</f>
        <v>8.3333333333333329E-2</v>
      </c>
      <c r="Z647" s="29">
        <f>IF($M$13,_xll.qlYieldTSDiscount(Currency&amp;"ON",S647)/(1+V647*Y647),1)</f>
        <v>1</v>
      </c>
      <c r="AA647" s="30">
        <f>_xll.qlTenorBasisValue(TenorBasis1M,S647,InterestRatesTrigger)</f>
        <v>9.0449616603240086E-7</v>
      </c>
      <c r="AB647" s="74">
        <f t="shared" si="43"/>
        <v>1.2909801177911252E-2</v>
      </c>
      <c r="AC647" s="76">
        <f t="shared" si="44"/>
        <v>1.0091993415394263</v>
      </c>
    </row>
    <row r="648" spans="16:29" x14ac:dyDescent="0.2">
      <c r="P648" s="33">
        <v>1</v>
      </c>
      <c r="Q648" s="27" t="str">
        <f>_xll.qlPeriodEquivalent(Q647&amp;"+"&amp;P648&amp;"M")</f>
        <v>53Y9M</v>
      </c>
      <c r="R648" s="28">
        <f>_xll.qlCalendarAdvance(Calendar,SettlementDate,Q648,"f",,Trigger)</f>
        <v>61911</v>
      </c>
      <c r="S648" s="28">
        <f>_xll.qlInterestRateIndexValueDate(Index,R648,Trigger)</f>
        <v>61913</v>
      </c>
      <c r="T648" s="28">
        <f>_xll.qlInterestRateIndexMaturity(Index,S648,Trigger)</f>
        <v>61945</v>
      </c>
      <c r="U648" s="30">
        <f>_xll.qlIndexFixing($M$5,R648,TRUE,InterestRatesTrigger)</f>
        <v>1.2927777690005249E-2</v>
      </c>
      <c r="V648" s="74">
        <f>_xll.qlIndexFixing(Index,R648,TRUE,InterestRatesTrigger)</f>
        <v>1.2813277000515433E-2</v>
      </c>
      <c r="W648" s="30">
        <f t="shared" si="42"/>
        <v>-1.1450068948981595E-4</v>
      </c>
      <c r="X648" s="29">
        <f>_xll.qlDayCounterYearFraction(DayCounter,SettlementDate,S648,,,Trigger)</f>
        <v>54.538888888888891</v>
      </c>
      <c r="Y648" s="29">
        <f>_xll.qlDayCounterYearFraction(DayCounter,S648,T648)</f>
        <v>8.8888888888888892E-2</v>
      </c>
      <c r="Z648" s="29">
        <f>IF($M$13,_xll.qlYieldTSDiscount(Currency&amp;"ON",S648)/(1+V648*Y648),1)</f>
        <v>1</v>
      </c>
      <c r="AA648" s="30">
        <f>_xll.qlTenorBasisValue(TenorBasis1M,S648,InterestRatesTrigger)</f>
        <v>8.9326606893992391E-7</v>
      </c>
      <c r="AB648" s="74">
        <f t="shared" si="43"/>
        <v>1.2928670956074188E-2</v>
      </c>
      <c r="AC648" s="76">
        <f t="shared" si="44"/>
        <v>1.0090058113591172</v>
      </c>
    </row>
    <row r="649" spans="16:29" x14ac:dyDescent="0.2">
      <c r="P649" s="33">
        <v>1</v>
      </c>
      <c r="Q649" s="27" t="str">
        <f>_xll.qlPeriodEquivalent(Q648&amp;"+"&amp;P649&amp;"M")</f>
        <v>53Y10M</v>
      </c>
      <c r="R649" s="28">
        <f>_xll.qlCalendarAdvance(Calendar,SettlementDate,Q649,"f",,Trigger)</f>
        <v>61942</v>
      </c>
      <c r="S649" s="28">
        <f>_xll.qlInterestRateIndexValueDate(Index,R649,Trigger)</f>
        <v>61946</v>
      </c>
      <c r="T649" s="28">
        <f>_xll.qlInterestRateIndexMaturity(Index,S649,Trigger)</f>
        <v>61977</v>
      </c>
      <c r="U649" s="30">
        <f>_xll.qlIndexFixing($M$5,R649,TRUE,InterestRatesTrigger)</f>
        <v>1.2947226831254138E-2</v>
      </c>
      <c r="V649" s="74">
        <f>_xll.qlIndexFixing(Index,R649,TRUE,InterestRatesTrigger)</f>
        <v>1.2835247973398162E-2</v>
      </c>
      <c r="W649" s="30">
        <f t="shared" si="42"/>
        <v>-1.1197885785597592E-4</v>
      </c>
      <c r="X649" s="29">
        <f>_xll.qlDayCounterYearFraction(DayCounter,SettlementDate,S649,,,Trigger)</f>
        <v>54.630555555555553</v>
      </c>
      <c r="Y649" s="29">
        <f>_xll.qlDayCounterYearFraction(DayCounter,S649,T649)</f>
        <v>8.611111111111111E-2</v>
      </c>
      <c r="Z649" s="29">
        <f>IF($M$13,_xll.qlYieldTSDiscount(Currency&amp;"ON",S649)/(1+V649*Y649),1)</f>
        <v>1</v>
      </c>
      <c r="AA649" s="30">
        <f>_xll.qlTenorBasisValue(TenorBasis1M,S649,InterestRatesTrigger)</f>
        <v>8.8065429258595409E-7</v>
      </c>
      <c r="AB649" s="74">
        <f t="shared" si="43"/>
        <v>1.2948107485546723E-2</v>
      </c>
      <c r="AC649" s="76">
        <f t="shared" si="44"/>
        <v>1.0087929358577621</v>
      </c>
    </row>
    <row r="650" spans="16:29" x14ac:dyDescent="0.2">
      <c r="P650" s="33">
        <v>1</v>
      </c>
      <c r="Q650" s="27" t="str">
        <f>_xll.qlPeriodEquivalent(Q649&amp;"+"&amp;P650&amp;"M")</f>
        <v>53Y11M</v>
      </c>
      <c r="R650" s="28">
        <f>_xll.qlCalendarAdvance(Calendar,SettlementDate,Q650,"f",,Trigger)</f>
        <v>61973</v>
      </c>
      <c r="S650" s="28">
        <f>_xll.qlInterestRateIndexValueDate(Index,R650,Trigger)</f>
        <v>61975</v>
      </c>
      <c r="T650" s="28">
        <f>_xll.qlInterestRateIndexMaturity(Index,S650,Trigger)</f>
        <v>62005</v>
      </c>
      <c r="U650" s="30">
        <f>_xll.qlIndexFixing($M$5,R650,TRUE,InterestRatesTrigger)</f>
        <v>1.296401837704142E-2</v>
      </c>
      <c r="V650" s="74">
        <f>_xll.qlIndexFixing(Index,R650,TRUE,InterestRatesTrigger)</f>
        <v>1.285428864619842E-2</v>
      </c>
      <c r="W650" s="30">
        <f t="shared" si="42"/>
        <v>-1.0972973084300008E-4</v>
      </c>
      <c r="X650" s="29">
        <f>_xll.qlDayCounterYearFraction(DayCounter,SettlementDate,S650,,,Trigger)</f>
        <v>54.711111111111109</v>
      </c>
      <c r="Y650" s="29">
        <f>_xll.qlDayCounterYearFraction(DayCounter,S650,T650)</f>
        <v>8.3333333333333329E-2</v>
      </c>
      <c r="Z650" s="29">
        <f>IF($M$13,_xll.qlYieldTSDiscount(Currency&amp;"ON",S650)/(1+V650*Y650),1)</f>
        <v>1</v>
      </c>
      <c r="AA650" s="30">
        <f>_xll.qlTenorBasisValue(TenorBasis1M,S650,InterestRatesTrigger)</f>
        <v>8.6971638471080511E-7</v>
      </c>
      <c r="AB650" s="74">
        <f t="shared" si="43"/>
        <v>1.296488809342613E-2</v>
      </c>
      <c r="AC650" s="76">
        <f t="shared" si="44"/>
        <v>1.0086040892866071</v>
      </c>
    </row>
    <row r="651" spans="16:29" x14ac:dyDescent="0.2">
      <c r="P651" s="33">
        <v>1</v>
      </c>
      <c r="Q651" s="27" t="str">
        <f>_xll.qlPeriodEquivalent(Q650&amp;"+"&amp;P651&amp;"M")</f>
        <v>54Y</v>
      </c>
      <c r="R651" s="28">
        <f>_xll.qlCalendarAdvance(Calendar,SettlementDate,Q651,"f",,Trigger)</f>
        <v>62003</v>
      </c>
      <c r="S651" s="28">
        <f>_xll.qlInterestRateIndexValueDate(Index,R651,Trigger)</f>
        <v>62005</v>
      </c>
      <c r="T651" s="28">
        <f>_xll.qlInterestRateIndexMaturity(Index,S651,Trigger)</f>
        <v>62036</v>
      </c>
      <c r="U651" s="30">
        <f>_xll.qlIndexFixing($M$5,R651,TRUE,InterestRatesTrigger)</f>
        <v>1.2982227660204114E-2</v>
      </c>
      <c r="V651" s="74">
        <f>_xll.qlIndexFixing(Index,R651,TRUE,InterestRatesTrigger)</f>
        <v>1.2874933688550985E-2</v>
      </c>
      <c r="W651" s="30">
        <f t="shared" si="42"/>
        <v>-1.0729397165312911E-4</v>
      </c>
      <c r="X651" s="29">
        <f>_xll.qlDayCounterYearFraction(DayCounter,SettlementDate,S651,,,Trigger)</f>
        <v>54.794444444444444</v>
      </c>
      <c r="Y651" s="29">
        <f>_xll.qlDayCounterYearFraction(DayCounter,S651,T651)</f>
        <v>8.611111111111111E-2</v>
      </c>
      <c r="Z651" s="29">
        <f>IF($M$13,_xll.qlYieldTSDiscount(Currency&amp;"ON",S651)/(1+V651*Y651),1)</f>
        <v>1</v>
      </c>
      <c r="AA651" s="30">
        <f>_xll.qlTenorBasisValue(TenorBasis1M,S651,InterestRatesTrigger)</f>
        <v>8.5854239411132433E-7</v>
      </c>
      <c r="AB651" s="74">
        <f t="shared" si="43"/>
        <v>1.2983086202598226E-2</v>
      </c>
      <c r="AC651" s="76">
        <f t="shared" si="44"/>
        <v>1.0084002385304256</v>
      </c>
    </row>
    <row r="652" spans="16:29" x14ac:dyDescent="0.2">
      <c r="P652" s="33">
        <v>1</v>
      </c>
      <c r="Q652" s="27" t="str">
        <f>_xll.qlPeriodEquivalent(Q651&amp;"+"&amp;P652&amp;"M")</f>
        <v>54Y1M</v>
      </c>
      <c r="R652" s="28">
        <f>_xll.qlCalendarAdvance(Calendar,SettlementDate,Q652,"f",,Trigger)</f>
        <v>62036</v>
      </c>
      <c r="S652" s="28">
        <f>_xll.qlInterestRateIndexValueDate(Index,R652,Trigger)</f>
        <v>62038</v>
      </c>
      <c r="T652" s="28">
        <f>_xll.qlInterestRateIndexMaturity(Index,S652,Trigger)</f>
        <v>62068</v>
      </c>
      <c r="U652" s="30">
        <f>_xll.qlIndexFixing($M$5,R652,TRUE,InterestRatesTrigger)</f>
        <v>1.3000873441351146E-2</v>
      </c>
      <c r="V652" s="74">
        <f>_xll.qlIndexFixing(Index,R652,TRUE,InterestRatesTrigger)</f>
        <v>1.2896222308732774E-2</v>
      </c>
      <c r="W652" s="30">
        <f t="shared" si="42"/>
        <v>-1.0465113261837189E-4</v>
      </c>
      <c r="X652" s="29">
        <f>_xll.qlDayCounterYearFraction(DayCounter,SettlementDate,S652,,,Trigger)</f>
        <v>54.886111111111113</v>
      </c>
      <c r="Y652" s="29">
        <f>_xll.qlDayCounterYearFraction(DayCounter,S652,T652)</f>
        <v>8.3333333333333329E-2</v>
      </c>
      <c r="Z652" s="29">
        <f>IF($M$13,_xll.qlYieldTSDiscount(Currency&amp;"ON",S652)/(1+V652*Y652),1)</f>
        <v>1</v>
      </c>
      <c r="AA652" s="30">
        <f>_xll.qlTenorBasisValue(TenorBasis1M,S652,InterestRatesTrigger)</f>
        <v>8.4641460944718184E-7</v>
      </c>
      <c r="AB652" s="74">
        <f t="shared" si="43"/>
        <v>1.3001719855960594E-2</v>
      </c>
      <c r="AC652" s="76">
        <f t="shared" si="44"/>
        <v>1.008180500048947</v>
      </c>
    </row>
    <row r="653" spans="16:29" x14ac:dyDescent="0.2">
      <c r="P653" s="33">
        <v>1</v>
      </c>
      <c r="Q653" s="27" t="str">
        <f>_xll.qlPeriodEquivalent(Q652&amp;"+"&amp;P653&amp;"M")</f>
        <v>54Y2M</v>
      </c>
      <c r="R653" s="28">
        <f>_xll.qlCalendarAdvance(Calendar,SettlementDate,Q653,"f",,Trigger)</f>
        <v>62064</v>
      </c>
      <c r="S653" s="28">
        <f>_xll.qlInterestRateIndexValueDate(Index,R653,Trigger)</f>
        <v>62066</v>
      </c>
      <c r="T653" s="28">
        <f>_xll.qlInterestRateIndexMaturity(Index,S653,Trigger)</f>
        <v>62099</v>
      </c>
      <c r="U653" s="30">
        <f>_xll.qlIndexFixing($M$5,R653,TRUE,InterestRatesTrigger)</f>
        <v>1.3018467358408939E-2</v>
      </c>
      <c r="V653" s="74">
        <f>_xll.qlIndexFixing(Index,R653,TRUE,InterestRatesTrigger)</f>
        <v>1.2916234348152792E-2</v>
      </c>
      <c r="W653" s="30">
        <f t="shared" si="42"/>
        <v>-1.0223301025614681E-4</v>
      </c>
      <c r="X653" s="29">
        <f>_xll.qlDayCounterYearFraction(DayCounter,SettlementDate,S653,,,Trigger)</f>
        <v>54.963888888888889</v>
      </c>
      <c r="Y653" s="29">
        <f>_xll.qlDayCounterYearFraction(DayCounter,S653,T653)</f>
        <v>9.166666666666666E-2</v>
      </c>
      <c r="Z653" s="29">
        <f>IF($M$13,_xll.qlYieldTSDiscount(Currency&amp;"ON",S653)/(1+V653*Y653),1)</f>
        <v>1</v>
      </c>
      <c r="AA653" s="30">
        <f>_xll.qlTenorBasisValue(TenorBasis1M,S653,InterestRatesTrigger)</f>
        <v>8.3625708219189606E-7</v>
      </c>
      <c r="AB653" s="74">
        <f t="shared" si="43"/>
        <v>1.301930361549113E-2</v>
      </c>
      <c r="AC653" s="76">
        <f t="shared" si="44"/>
        <v>1.0079798232642843</v>
      </c>
    </row>
    <row r="654" spans="16:29" x14ac:dyDescent="0.2">
      <c r="P654" s="33">
        <v>1</v>
      </c>
      <c r="Q654" s="27" t="str">
        <f>_xll.qlPeriodEquivalent(Q653&amp;"+"&amp;P654&amp;"M")</f>
        <v>54Y3M</v>
      </c>
      <c r="R654" s="28">
        <f>_xll.qlCalendarAdvance(Calendar,SettlementDate,Q654,"f",,Trigger)</f>
        <v>62095</v>
      </c>
      <c r="S654" s="28">
        <f>_xll.qlInterestRateIndexValueDate(Index,R654,Trigger)</f>
        <v>62099</v>
      </c>
      <c r="T654" s="28">
        <f>_xll.qlInterestRateIndexMaturity(Index,S654,Trigger)</f>
        <v>62130</v>
      </c>
      <c r="U654" s="30">
        <f>_xll.qlIndexFixing($M$5,R654,TRUE,InterestRatesTrigger)</f>
        <v>1.303605547149109E-2</v>
      </c>
      <c r="V654" s="74">
        <f>_xll.qlIndexFixing(Index,R654,TRUE,InterestRatesTrigger)</f>
        <v>1.2936498255087319E-2</v>
      </c>
      <c r="W654" s="30">
        <f t="shared" si="42"/>
        <v>-9.9557216403771756E-5</v>
      </c>
      <c r="X654" s="29">
        <f>_xll.qlDayCounterYearFraction(DayCounter,SettlementDate,S654,,,Trigger)</f>
        <v>55.055555555555557</v>
      </c>
      <c r="Y654" s="29">
        <f>_xll.qlDayCounterYearFraction(DayCounter,S654,T654)</f>
        <v>8.611111111111111E-2</v>
      </c>
      <c r="Z654" s="29">
        <f>IF($M$13,_xll.qlYieldTSDiscount(Currency&amp;"ON",S654)/(1+V654*Y654),1)</f>
        <v>1</v>
      </c>
      <c r="AA654" s="30">
        <f>_xll.qlTenorBasisValue(TenorBasis1M,S654,InterestRatesTrigger)</f>
        <v>8.2444008626450164E-7</v>
      </c>
      <c r="AB654" s="74">
        <f t="shared" si="43"/>
        <v>1.3036879911577355E-2</v>
      </c>
      <c r="AC654" s="76">
        <f t="shared" si="44"/>
        <v>1.0077595694376227</v>
      </c>
    </row>
    <row r="655" spans="16:29" x14ac:dyDescent="0.2">
      <c r="P655" s="33">
        <v>1</v>
      </c>
      <c r="Q655" s="27" t="str">
        <f>_xll.qlPeriodEquivalent(Q654&amp;"+"&amp;P655&amp;"M")</f>
        <v>54Y4M</v>
      </c>
      <c r="R655" s="28">
        <f>_xll.qlCalendarAdvance(Calendar,SettlementDate,Q655,"f",,Trigger)</f>
        <v>62127</v>
      </c>
      <c r="S655" s="28">
        <f>_xll.qlInterestRateIndexValueDate(Index,R655,Trigger)</f>
        <v>62129</v>
      </c>
      <c r="T655" s="28">
        <f>_xll.qlInterestRateIndexMaturity(Index,S655,Trigger)</f>
        <v>62157</v>
      </c>
      <c r="U655" s="30">
        <f>_xll.qlIndexFixing($M$5,R655,TRUE,InterestRatesTrigger)</f>
        <v>1.3051198057464511E-2</v>
      </c>
      <c r="V655" s="74">
        <f>_xll.qlIndexFixing(Index,R655,TRUE,InterestRatesTrigger)</f>
        <v>1.2954055689237924E-2</v>
      </c>
      <c r="W655" s="30">
        <f t="shared" si="42"/>
        <v>-9.714236822658609E-5</v>
      </c>
      <c r="X655" s="29">
        <f>_xll.qlDayCounterYearFraction(DayCounter,SettlementDate,S655,,,Trigger)</f>
        <v>55.138888888888886</v>
      </c>
      <c r="Y655" s="29">
        <f>_xll.qlDayCounterYearFraction(DayCounter,S655,T655)</f>
        <v>7.7777777777777779E-2</v>
      </c>
      <c r="Z655" s="29">
        <f>IF($M$13,_xll.qlYieldTSDiscount(Currency&amp;"ON",S655)/(1+V655*Y655),1)</f>
        <v>1</v>
      </c>
      <c r="AA655" s="30">
        <f>_xll.qlTenorBasisValue(TenorBasis1M,S655,InterestRatesTrigger)</f>
        <v>8.1384047655868082E-7</v>
      </c>
      <c r="AB655" s="74">
        <f t="shared" si="43"/>
        <v>1.3052011897941069E-2</v>
      </c>
      <c r="AC655" s="76">
        <f t="shared" si="44"/>
        <v>1.0075618177853385</v>
      </c>
    </row>
    <row r="656" spans="16:29" x14ac:dyDescent="0.2">
      <c r="P656" s="33">
        <v>1</v>
      </c>
      <c r="Q656" s="27" t="str">
        <f>_xll.qlPeriodEquivalent(Q655&amp;"+"&amp;P656&amp;"M")</f>
        <v>54Y5M</v>
      </c>
      <c r="R656" s="28">
        <f>_xll.qlCalendarAdvance(Calendar,SettlementDate,Q656,"f",,Trigger)</f>
        <v>62155</v>
      </c>
      <c r="S656" s="28">
        <f>_xll.qlInterestRateIndexValueDate(Index,R656,Trigger)</f>
        <v>62157</v>
      </c>
      <c r="T656" s="28">
        <f>_xll.qlInterestRateIndexMaturity(Index,S656,Trigger)</f>
        <v>62190</v>
      </c>
      <c r="U656" s="30">
        <f>_xll.qlIndexFixing($M$5,R656,TRUE,InterestRatesTrigger)</f>
        <v>1.3069098523240574E-2</v>
      </c>
      <c r="V656" s="74">
        <f>_xll.qlIndexFixing(Index,R656,TRUE,InterestRatesTrigger)</f>
        <v>1.2974539582267495E-2</v>
      </c>
      <c r="W656" s="30">
        <f t="shared" si="42"/>
        <v>-9.4558940973078764E-5</v>
      </c>
      <c r="X656" s="29">
        <f>_xll.qlDayCounterYearFraction(DayCounter,SettlementDate,S656,,,Trigger)</f>
        <v>55.216666666666669</v>
      </c>
      <c r="Y656" s="29">
        <f>_xll.qlDayCounterYearFraction(DayCounter,S656,T656)</f>
        <v>9.166666666666666E-2</v>
      </c>
      <c r="Z656" s="29">
        <f>IF($M$13,_xll.qlYieldTSDiscount(Currency&amp;"ON",S656)/(1+V656*Y656),1)</f>
        <v>1</v>
      </c>
      <c r="AA656" s="30">
        <f>_xll.qlTenorBasisValue(TenorBasis1M,S656,InterestRatesTrigger)</f>
        <v>8.0406892700206697E-7</v>
      </c>
      <c r="AB656" s="74">
        <f t="shared" si="43"/>
        <v>1.3069902592167575E-2</v>
      </c>
      <c r="AC656" s="76">
        <f t="shared" si="44"/>
        <v>1.0073500110963793</v>
      </c>
    </row>
    <row r="657" spans="16:29" x14ac:dyDescent="0.2">
      <c r="P657" s="33">
        <v>1</v>
      </c>
      <c r="Q657" s="27" t="str">
        <f>_xll.qlPeriodEquivalent(Q656&amp;"+"&amp;P657&amp;"M")</f>
        <v>54Y6M</v>
      </c>
      <c r="R657" s="28">
        <f>_xll.qlCalendarAdvance(Calendar,SettlementDate,Q657,"f",,Trigger)</f>
        <v>62185</v>
      </c>
      <c r="S657" s="28">
        <f>_xll.qlInterestRateIndexValueDate(Index,R657,Trigger)</f>
        <v>62187</v>
      </c>
      <c r="T657" s="28">
        <f>_xll.qlInterestRateIndexMaturity(Index,S657,Trigger)</f>
        <v>62218</v>
      </c>
      <c r="U657" s="30">
        <f>_xll.qlIndexFixing($M$5,R657,TRUE,InterestRatesTrigger)</f>
        <v>1.3084291235939575E-2</v>
      </c>
      <c r="V657" s="74">
        <f>_xll.qlIndexFixing(Index,R657,TRUE,InterestRatesTrigger)</f>
        <v>1.2992235747043378E-2</v>
      </c>
      <c r="W657" s="30">
        <f t="shared" si="42"/>
        <v>-9.2055488896196705E-5</v>
      </c>
      <c r="X657" s="29">
        <f>_xll.qlDayCounterYearFraction(DayCounter,SettlementDate,S657,,,Trigger)</f>
        <v>55.3</v>
      </c>
      <c r="Y657" s="29">
        <f>_xll.qlDayCounterYearFraction(DayCounter,S657,T657)</f>
        <v>8.611111111111111E-2</v>
      </c>
      <c r="Z657" s="29">
        <f>IF($M$13,_xll.qlYieldTSDiscount(Currency&amp;"ON",S657)/(1+V657*Y657),1)</f>
        <v>1</v>
      </c>
      <c r="AA657" s="30">
        <f>_xll.qlTenorBasisValue(TenorBasis1M,S657,InterestRatesTrigger)</f>
        <v>7.9372791329680347E-7</v>
      </c>
      <c r="AB657" s="74">
        <f t="shared" si="43"/>
        <v>1.3085084963852871E-2</v>
      </c>
      <c r="AC657" s="76">
        <f t="shared" si="44"/>
        <v>1.0071465157050143</v>
      </c>
    </row>
    <row r="658" spans="16:29" x14ac:dyDescent="0.2">
      <c r="P658" s="33">
        <v>1</v>
      </c>
      <c r="Q658" s="27" t="str">
        <f>_xll.qlPeriodEquivalent(Q657&amp;"+"&amp;P658&amp;"M")</f>
        <v>54Y7M</v>
      </c>
      <c r="R658" s="28">
        <f>_xll.qlCalendarAdvance(Calendar,SettlementDate,Q658,"f",,Trigger)</f>
        <v>62215</v>
      </c>
      <c r="S658" s="28">
        <f>_xll.qlInterestRateIndexValueDate(Index,R658,Trigger)</f>
        <v>62219</v>
      </c>
      <c r="T658" s="28">
        <f>_xll.qlInterestRateIndexMaturity(Index,S658,Trigger)</f>
        <v>62250</v>
      </c>
      <c r="U658" s="30">
        <f>_xll.qlIndexFixing($M$5,R658,TRUE,InterestRatesTrigger)</f>
        <v>1.3101314530661825E-2</v>
      </c>
      <c r="V658" s="74">
        <f>_xll.qlIndexFixing(Index,R658,TRUE,InterestRatesTrigger)</f>
        <v>1.3012039440631609E-2</v>
      </c>
      <c r="W658" s="30">
        <f t="shared" si="42"/>
        <v>-8.9275090030215692E-5</v>
      </c>
      <c r="X658" s="29">
        <f>_xll.qlDayCounterYearFraction(DayCounter,SettlementDate,S658,,,Trigger)</f>
        <v>55.388888888888886</v>
      </c>
      <c r="Y658" s="29">
        <f>_xll.qlDayCounterYearFraction(DayCounter,S658,T658)</f>
        <v>8.611111111111111E-2</v>
      </c>
      <c r="Z658" s="29">
        <f>IF($M$13,_xll.qlYieldTSDiscount(Currency&amp;"ON",S658)/(1+V658*Y658),1)</f>
        <v>1</v>
      </c>
      <c r="AA658" s="30">
        <f>_xll.qlTenorBasisValue(TenorBasis1M,S658,InterestRatesTrigger)</f>
        <v>7.8284219246003926E-7</v>
      </c>
      <c r="AB658" s="74">
        <f t="shared" si="43"/>
        <v>1.3102097372854284E-2</v>
      </c>
      <c r="AC658" s="76">
        <f t="shared" si="44"/>
        <v>1.0069211235205342</v>
      </c>
    </row>
    <row r="659" spans="16:29" x14ac:dyDescent="0.2">
      <c r="P659" s="33">
        <v>1</v>
      </c>
      <c r="Q659" s="27" t="str">
        <f>_xll.qlPeriodEquivalent(Q658&amp;"+"&amp;P659&amp;"M")</f>
        <v>54Y8M</v>
      </c>
      <c r="R659" s="28">
        <f>_xll.qlCalendarAdvance(Calendar,SettlementDate,Q659,"f",,Trigger)</f>
        <v>62246</v>
      </c>
      <c r="S659" s="28">
        <f>_xll.qlInterestRateIndexValueDate(Index,R659,Trigger)</f>
        <v>62248</v>
      </c>
      <c r="T659" s="28">
        <f>_xll.qlInterestRateIndexMaturity(Index,S659,Trigger)</f>
        <v>62278</v>
      </c>
      <c r="U659" s="30">
        <f>_xll.qlIndexFixing($M$5,R659,TRUE,InterestRatesTrigger)</f>
        <v>1.3116005601873759E-2</v>
      </c>
      <c r="V659" s="74">
        <f>_xll.qlIndexFixing(Index,R659,TRUE,InterestRatesTrigger)</f>
        <v>1.3029230494435495E-2</v>
      </c>
      <c r="W659" s="30">
        <f t="shared" si="42"/>
        <v>-8.6775107438263888E-5</v>
      </c>
      <c r="X659" s="29">
        <f>_xll.qlDayCounterYearFraction(DayCounter,SettlementDate,S659,,,Trigger)</f>
        <v>55.469444444444441</v>
      </c>
      <c r="Y659" s="29">
        <f>_xll.qlDayCounterYearFraction(DayCounter,S659,T659)</f>
        <v>8.3333333333333329E-2</v>
      </c>
      <c r="Z659" s="29">
        <f>IF($M$13,_xll.qlYieldTSDiscount(Currency&amp;"ON",S659)/(1+V659*Y659),1)</f>
        <v>1</v>
      </c>
      <c r="AA659" s="30">
        <f>_xll.qlTenorBasisValue(TenorBasis1M,S659,InterestRatesTrigger)</f>
        <v>7.7310439194142101E-7</v>
      </c>
      <c r="AB659" s="74">
        <f t="shared" si="43"/>
        <v>1.3116778706265701E-2</v>
      </c>
      <c r="AC659" s="76">
        <f t="shared" si="44"/>
        <v>1.0067193693340213</v>
      </c>
    </row>
    <row r="660" spans="16:29" x14ac:dyDescent="0.2">
      <c r="P660" s="33">
        <v>1</v>
      </c>
      <c r="Q660" s="27" t="str">
        <f>_xll.qlPeriodEquivalent(Q659&amp;"+"&amp;P660&amp;"M")</f>
        <v>54Y9M</v>
      </c>
      <c r="R660" s="28">
        <f>_xll.qlCalendarAdvance(Calendar,SettlementDate,Q660,"f",,Trigger)</f>
        <v>62276</v>
      </c>
      <c r="S660" s="28">
        <f>_xll.qlInterestRateIndexValueDate(Index,R660,Trigger)</f>
        <v>62278</v>
      </c>
      <c r="T660" s="28">
        <f>_xll.qlInterestRateIndexMaturity(Index,S660,Trigger)</f>
        <v>62309</v>
      </c>
      <c r="U660" s="30">
        <f>_xll.qlIndexFixing($M$5,R660,TRUE,InterestRatesTrigger)</f>
        <v>1.3131978390213997E-2</v>
      </c>
      <c r="V660" s="74">
        <f>_xll.qlIndexFixing(Index,R660,TRUE,InterestRatesTrigger)</f>
        <v>1.3047891888586578E-2</v>
      </c>
      <c r="W660" s="30">
        <f t="shared" si="42"/>
        <v>-8.4086501627419E-5</v>
      </c>
      <c r="X660" s="29">
        <f>_xll.qlDayCounterYearFraction(DayCounter,SettlementDate,S660,,,Trigger)</f>
        <v>55.552777777777777</v>
      </c>
      <c r="Y660" s="29">
        <f>_xll.qlDayCounterYearFraction(DayCounter,S660,T660)</f>
        <v>8.611111111111111E-2</v>
      </c>
      <c r="Z660" s="29">
        <f>IF($M$13,_xll.qlYieldTSDiscount(Currency&amp;"ON",S660)/(1+V660*Y660),1)</f>
        <v>1</v>
      </c>
      <c r="AA660" s="30">
        <f>_xll.qlTenorBasisValue(TenorBasis1M,S660,InterestRatesTrigger)</f>
        <v>7.6315665061541257E-7</v>
      </c>
      <c r="AB660" s="74">
        <f t="shared" si="43"/>
        <v>1.3132741546864612E-2</v>
      </c>
      <c r="AC660" s="76">
        <f t="shared" si="44"/>
        <v>1.0065029400153334</v>
      </c>
    </row>
    <row r="661" spans="16:29" x14ac:dyDescent="0.2">
      <c r="P661" s="33">
        <v>1</v>
      </c>
      <c r="Q661" s="27" t="str">
        <f>_xll.qlPeriodEquivalent(Q660&amp;"+"&amp;P661&amp;"M")</f>
        <v>54Y10M</v>
      </c>
      <c r="R661" s="28">
        <f>_xll.qlCalendarAdvance(Calendar,SettlementDate,Q661,"f",,Trigger)</f>
        <v>62309</v>
      </c>
      <c r="S661" s="28">
        <f>_xll.qlInterestRateIndexValueDate(Index,R661,Trigger)</f>
        <v>62311</v>
      </c>
      <c r="T661" s="28">
        <f>_xll.qlInterestRateIndexMaturity(Index,S661,Trigger)</f>
        <v>62344</v>
      </c>
      <c r="U661" s="30">
        <f>_xll.qlIndexFixing($M$5,R661,TRUE,InterestRatesTrigger)</f>
        <v>1.3149702057400474E-2</v>
      </c>
      <c r="V661" s="74">
        <f>_xll.qlIndexFixing(Index,R661,TRUE,InterestRatesTrigger)</f>
        <v>1.3068631834603748E-2</v>
      </c>
      <c r="W661" s="30">
        <f t="shared" si="42"/>
        <v>-8.1070222796726307E-5</v>
      </c>
      <c r="X661" s="29">
        <f>_xll.qlDayCounterYearFraction(DayCounter,SettlementDate,S661,,,Trigger)</f>
        <v>55.644444444444446</v>
      </c>
      <c r="Y661" s="29">
        <f>_xll.qlDayCounterYearFraction(DayCounter,S661,T661)</f>
        <v>9.166666666666666E-2</v>
      </c>
      <c r="Z661" s="29">
        <f>IF($M$13,_xll.qlYieldTSDiscount(Currency&amp;"ON",S661)/(1+V661*Y661),1)</f>
        <v>1</v>
      </c>
      <c r="AA661" s="30">
        <f>_xll.qlTenorBasisValue(TenorBasis1M,S661,InterestRatesTrigger)</f>
        <v>7.5236006183361791E-7</v>
      </c>
      <c r="AB661" s="74">
        <f t="shared" si="43"/>
        <v>1.3150454417462308E-2</v>
      </c>
      <c r="AC661" s="76">
        <f t="shared" si="44"/>
        <v>1.0062609907367583</v>
      </c>
    </row>
    <row r="662" spans="16:29" x14ac:dyDescent="0.2">
      <c r="P662" s="33">
        <v>1</v>
      </c>
      <c r="Q662" s="27" t="str">
        <f>_xll.qlPeriodEquivalent(Q661&amp;"+"&amp;P662&amp;"M")</f>
        <v>54Y11M</v>
      </c>
      <c r="R662" s="28">
        <f>_xll.qlCalendarAdvance(Calendar,SettlementDate,Q662,"f",,Trigger)</f>
        <v>62338</v>
      </c>
      <c r="S662" s="28">
        <f>_xll.qlInterestRateIndexValueDate(Index,R662,Trigger)</f>
        <v>62340</v>
      </c>
      <c r="T662" s="28">
        <f>_xll.qlInterestRateIndexMaturity(Index,S662,Trigger)</f>
        <v>62372</v>
      </c>
      <c r="U662" s="30">
        <f>_xll.qlIndexFixing($M$5,R662,TRUE,InterestRatesTrigger)</f>
        <v>1.3163678788720434E-2</v>
      </c>
      <c r="V662" s="74">
        <f>_xll.qlIndexFixing(Index,R662,TRUE,InterestRatesTrigger)</f>
        <v>1.3085160313631161E-2</v>
      </c>
      <c r="W662" s="30">
        <f t="shared" si="42"/>
        <v>-7.8518475089273121E-5</v>
      </c>
      <c r="X662" s="29">
        <f>_xll.qlDayCounterYearFraction(DayCounter,SettlementDate,S662,,,Trigger)</f>
        <v>55.725000000000001</v>
      </c>
      <c r="Y662" s="29">
        <f>_xll.qlDayCounterYearFraction(DayCounter,S662,T662)</f>
        <v>8.8888888888888892E-2</v>
      </c>
      <c r="Z662" s="29">
        <f>IF($M$13,_xll.qlYieldTSDiscount(Currency&amp;"ON",S662)/(1+V662*Y662),1)</f>
        <v>1</v>
      </c>
      <c r="AA662" s="30">
        <f>_xll.qlTenorBasisValue(TenorBasis1M,S662,InterestRatesTrigger)</f>
        <v>7.4299674056481486E-7</v>
      </c>
      <c r="AB662" s="74">
        <f t="shared" si="43"/>
        <v>1.3164421785460999E-2</v>
      </c>
      <c r="AC662" s="76">
        <f t="shared" si="44"/>
        <v>1.0060573558084167</v>
      </c>
    </row>
    <row r="663" spans="16:29" x14ac:dyDescent="0.2">
      <c r="P663" s="33">
        <v>1</v>
      </c>
      <c r="Q663" s="27" t="str">
        <f>_xll.qlPeriodEquivalent(Q662&amp;"+"&amp;P663&amp;"M")</f>
        <v>55Y</v>
      </c>
      <c r="R663" s="28">
        <f>_xll.qlCalendarAdvance(Calendar,SettlementDate,Q663,"f",,Trigger)</f>
        <v>62368</v>
      </c>
      <c r="S663" s="28">
        <f>_xll.qlInterestRateIndexValueDate(Index,R663,Trigger)</f>
        <v>62372</v>
      </c>
      <c r="T663" s="28">
        <f>_xll.qlInterestRateIndexMaturity(Index,S663,Trigger)</f>
        <v>62403</v>
      </c>
      <c r="U663" s="30">
        <f>_xll.qlIndexFixing($M$5,R663,TRUE,InterestRatesTrigger)</f>
        <v>1.3178896379248531E-2</v>
      </c>
      <c r="V663" s="74">
        <f>_xll.qlIndexFixing(Index,R663,TRUE,InterestRatesTrigger)</f>
        <v>1.3103212198764482E-2</v>
      </c>
      <c r="W663" s="30">
        <f t="shared" si="42"/>
        <v>-7.5684180484049055E-5</v>
      </c>
      <c r="X663" s="29">
        <f>_xll.qlDayCounterYearFraction(DayCounter,SettlementDate,S663,,,Trigger)</f>
        <v>55.81388888888889</v>
      </c>
      <c r="Y663" s="29">
        <f>_xll.qlDayCounterYearFraction(DayCounter,S663,T663)</f>
        <v>8.611111111111111E-2</v>
      </c>
      <c r="Z663" s="29">
        <f>IF($M$13,_xll.qlYieldTSDiscount(Currency&amp;"ON",S663)/(1+V663*Y663),1)</f>
        <v>1</v>
      </c>
      <c r="AA663" s="30">
        <f>_xll.qlTenorBasisValue(TenorBasis1M,S663,InterestRatesTrigger)</f>
        <v>7.3279829460543888E-7</v>
      </c>
      <c r="AB663" s="74">
        <f t="shared" si="43"/>
        <v>1.3179629177543136E-2</v>
      </c>
      <c r="AC663" s="76">
        <f t="shared" si="44"/>
        <v>1.0058319271350775</v>
      </c>
    </row>
    <row r="664" spans="16:29" x14ac:dyDescent="0.2">
      <c r="P664" s="33">
        <v>1</v>
      </c>
      <c r="Q664" s="27" t="str">
        <f>_xll.qlPeriodEquivalent(Q663&amp;"+"&amp;P664&amp;"M")</f>
        <v>55Y1M</v>
      </c>
      <c r="R664" s="28">
        <f>_xll.qlCalendarAdvance(Calendar,SettlementDate,Q664,"f",,Trigger)</f>
        <v>62400</v>
      </c>
      <c r="S664" s="28">
        <f>_xll.qlInterestRateIndexValueDate(Index,R664,Trigger)</f>
        <v>62402</v>
      </c>
      <c r="T664" s="28">
        <f>_xll.qlInterestRateIndexMaturity(Index,S664,Trigger)</f>
        <v>62432</v>
      </c>
      <c r="U664" s="30">
        <f>_xll.qlIndexFixing($M$5,R664,TRUE,InterestRatesTrigger)</f>
        <v>1.3192889165946298E-2</v>
      </c>
      <c r="V664" s="74">
        <f>_xll.qlIndexFixing(Index,R664,TRUE,InterestRatesTrigger)</f>
        <v>1.3119871182454723E-2</v>
      </c>
      <c r="W664" s="30">
        <f t="shared" si="42"/>
        <v>-7.3017983491574512E-5</v>
      </c>
      <c r="X664" s="29">
        <f>_xll.qlDayCounterYearFraction(DayCounter,SettlementDate,S664,,,Trigger)</f>
        <v>55.897222222222226</v>
      </c>
      <c r="Y664" s="29">
        <f>_xll.qlDayCounterYearFraction(DayCounter,S664,T664)</f>
        <v>8.3333333333333329E-2</v>
      </c>
      <c r="Z664" s="29">
        <f>IF($M$13,_xll.qlYieldTSDiscount(Currency&amp;"ON",S664)/(1+V664*Y664),1)</f>
        <v>1</v>
      </c>
      <c r="AA664" s="30">
        <f>_xll.qlTenorBasisValue(TenorBasis1M,S664,InterestRatesTrigger)</f>
        <v>7.2336284554936147E-7</v>
      </c>
      <c r="AB664" s="74">
        <f t="shared" si="43"/>
        <v>1.3193612528791848E-2</v>
      </c>
      <c r="AC664" s="76">
        <f t="shared" si="44"/>
        <v>1.0056205846316342</v>
      </c>
    </row>
    <row r="665" spans="16:29" x14ac:dyDescent="0.2">
      <c r="P665" s="33">
        <v>1</v>
      </c>
      <c r="Q665" s="27" t="str">
        <f>_xll.qlPeriodEquivalent(Q664&amp;"+"&amp;P665&amp;"M")</f>
        <v>55Y2M</v>
      </c>
      <c r="R665" s="28">
        <f>_xll.qlCalendarAdvance(Calendar,SettlementDate,Q665,"f",,Trigger)</f>
        <v>62429</v>
      </c>
      <c r="S665" s="28">
        <f>_xll.qlInterestRateIndexValueDate(Index,R665,Trigger)</f>
        <v>62431</v>
      </c>
      <c r="T665" s="28">
        <f>_xll.qlInterestRateIndexMaturity(Index,S665,Trigger)</f>
        <v>62463</v>
      </c>
      <c r="U665" s="30">
        <f>_xll.qlIndexFixing($M$5,R665,TRUE,InterestRatesTrigger)</f>
        <v>1.3207606291905372E-2</v>
      </c>
      <c r="V665" s="74">
        <f>_xll.qlIndexFixing(Index,R665,TRUE,InterestRatesTrigger)</f>
        <v>1.3137301701241222E-2</v>
      </c>
      <c r="W665" s="30">
        <f t="shared" si="42"/>
        <v>-7.0304590664149735E-5</v>
      </c>
      <c r="X665" s="29">
        <f>_xll.qlDayCounterYearFraction(DayCounter,SettlementDate,S665,,,Trigger)</f>
        <v>55.977777777777774</v>
      </c>
      <c r="Y665" s="29">
        <f>_xll.qlDayCounterYearFraction(DayCounter,S665,T665)</f>
        <v>8.8888888888888892E-2</v>
      </c>
      <c r="Z665" s="29">
        <f>IF($M$13,_xll.qlYieldTSDiscount(Currency&amp;"ON",S665)/(1+V665*Y665),1)</f>
        <v>1</v>
      </c>
      <c r="AA665" s="30">
        <f>_xll.qlTenorBasisValue(TenorBasis1M,S665,InterestRatesTrigger)</f>
        <v>7.1435598253158367E-7</v>
      </c>
      <c r="AB665" s="74">
        <f t="shared" si="43"/>
        <v>1.3208320647887904E-2</v>
      </c>
      <c r="AC665" s="76">
        <f t="shared" si="44"/>
        <v>1.0054059005617548</v>
      </c>
    </row>
    <row r="666" spans="16:29" x14ac:dyDescent="0.2">
      <c r="P666" s="33">
        <v>1</v>
      </c>
      <c r="Q666" s="27" t="str">
        <f>_xll.qlPeriodEquivalent(Q665&amp;"+"&amp;P666&amp;"M")</f>
        <v>55Y3M</v>
      </c>
      <c r="R666" s="28">
        <f>_xll.qlCalendarAdvance(Calendar,SettlementDate,Q666,"f",,Trigger)</f>
        <v>62460</v>
      </c>
      <c r="S666" s="28">
        <f>_xll.qlInterestRateIndexValueDate(Index,R666,Trigger)</f>
        <v>62464</v>
      </c>
      <c r="T666" s="28">
        <f>_xll.qlInterestRateIndexMaturity(Index,S666,Trigger)</f>
        <v>62495</v>
      </c>
      <c r="U666" s="30">
        <f>_xll.qlIndexFixing($M$5,R666,TRUE,InterestRatesTrigger)</f>
        <v>1.3222512244575692E-2</v>
      </c>
      <c r="V666" s="74">
        <f>_xll.qlIndexFixing(Index,R666,TRUE,InterestRatesTrigger)</f>
        <v>1.3155164394264902E-2</v>
      </c>
      <c r="W666" s="30">
        <f t="shared" si="42"/>
        <v>-6.7347850310789381E-5</v>
      </c>
      <c r="X666" s="29">
        <f>_xll.qlDayCounterYearFraction(DayCounter,SettlementDate,S666,,,Trigger)</f>
        <v>56.069444444444443</v>
      </c>
      <c r="Y666" s="29">
        <f>_xll.qlDayCounterYearFraction(DayCounter,S666,T666)</f>
        <v>8.611111111111111E-2</v>
      </c>
      <c r="Z666" s="29">
        <f>IF($M$13,_xll.qlYieldTSDiscount(Currency&amp;"ON",S666)/(1+V666*Y666),1)</f>
        <v>1</v>
      </c>
      <c r="AA666" s="30">
        <f>_xll.qlTenorBasisValue(TenorBasis1M,S666,InterestRatesTrigger)</f>
        <v>7.0424145384673446E-7</v>
      </c>
      <c r="AB666" s="74">
        <f t="shared" si="43"/>
        <v>1.3223216486029539E-2</v>
      </c>
      <c r="AC666" s="76">
        <f t="shared" si="44"/>
        <v>1.0051730324095611</v>
      </c>
    </row>
    <row r="667" spans="16:29" x14ac:dyDescent="0.2">
      <c r="P667" s="33">
        <v>1</v>
      </c>
      <c r="Q667" s="27" t="str">
        <f>_xll.qlPeriodEquivalent(Q666&amp;"+"&amp;P667&amp;"M")</f>
        <v>55Y4M</v>
      </c>
      <c r="R667" s="28">
        <f>_xll.qlCalendarAdvance(Calendar,SettlementDate,Q667,"f",,Trigger)</f>
        <v>62491</v>
      </c>
      <c r="S667" s="28">
        <f>_xll.qlInterestRateIndexValueDate(Index,R667,Trigger)</f>
        <v>62493</v>
      </c>
      <c r="T667" s="28">
        <f>_xll.qlInterestRateIndexMaturity(Index,S667,Trigger)</f>
        <v>62521</v>
      </c>
      <c r="U667" s="30">
        <f>_xll.qlIndexFixing($M$5,R667,TRUE,InterestRatesTrigger)</f>
        <v>1.3234379571327766E-2</v>
      </c>
      <c r="V667" s="74">
        <f>_xll.qlIndexFixing(Index,R667,TRUE,InterestRatesTrigger)</f>
        <v>1.3169544154658017E-2</v>
      </c>
      <c r="W667" s="30">
        <f t="shared" si="42"/>
        <v>-6.483541666974825E-5</v>
      </c>
      <c r="X667" s="29">
        <f>_xll.qlDayCounterYearFraction(DayCounter,SettlementDate,S667,,,Trigger)</f>
        <v>56.15</v>
      </c>
      <c r="Y667" s="29">
        <f>_xll.qlDayCounterYearFraction(DayCounter,S667,T667)</f>
        <v>7.7777777777777779E-2</v>
      </c>
      <c r="Z667" s="29">
        <f>IF($M$13,_xll.qlYieldTSDiscount(Currency&amp;"ON",S667)/(1+V667*Y667),1)</f>
        <v>1</v>
      </c>
      <c r="AA667" s="30">
        <f>_xll.qlTenorBasisValue(TenorBasis1M,S667,InterestRatesTrigger)</f>
        <v>6.9546976838592078E-7</v>
      </c>
      <c r="AB667" s="74">
        <f t="shared" si="43"/>
        <v>1.3235075041096151E-2</v>
      </c>
      <c r="AC667" s="76">
        <f t="shared" si="44"/>
        <v>1.0049759418905138</v>
      </c>
    </row>
    <row r="668" spans="16:29" x14ac:dyDescent="0.2">
      <c r="P668" s="33">
        <v>1</v>
      </c>
      <c r="Q668" s="27" t="str">
        <f>_xll.qlPeriodEquivalent(Q667&amp;"+"&amp;P668&amp;"M")</f>
        <v>55Y5M</v>
      </c>
      <c r="R668" s="28">
        <f>_xll.qlCalendarAdvance(Calendar,SettlementDate,Q668,"f",,Trigger)</f>
        <v>62519</v>
      </c>
      <c r="S668" s="28">
        <f>_xll.qlInterestRateIndexValueDate(Index,R668,Trigger)</f>
        <v>62521</v>
      </c>
      <c r="T668" s="28">
        <f>_xll.qlInterestRateIndexMaturity(Index,S668,Trigger)</f>
        <v>62554</v>
      </c>
      <c r="U668" s="30">
        <f>_xll.qlIndexFixing($M$5,R668,TRUE,InterestRatesTrigger)</f>
        <v>1.3249323848105734E-2</v>
      </c>
      <c r="V668" s="74">
        <f>_xll.qlIndexFixing(Index,R668,TRUE,InterestRatesTrigger)</f>
        <v>1.3187259628201725E-2</v>
      </c>
      <c r="W668" s="30">
        <f t="shared" si="42"/>
        <v>-6.2064219904008761E-5</v>
      </c>
      <c r="X668" s="29">
        <f>_xll.qlDayCounterYearFraction(DayCounter,SettlementDate,S668,,,Trigger)</f>
        <v>56.227777777777774</v>
      </c>
      <c r="Y668" s="29">
        <f>_xll.qlDayCounterYearFraction(DayCounter,S668,T668)</f>
        <v>9.166666666666666E-2</v>
      </c>
      <c r="Z668" s="29">
        <f>IF($M$13,_xll.qlYieldTSDiscount(Currency&amp;"ON",S668)/(1+V668*Y668),1)</f>
        <v>1</v>
      </c>
      <c r="AA668" s="30">
        <f>_xll.qlTenorBasisValue(TenorBasis1M,S668,InterestRatesTrigger)</f>
        <v>6.8710296883544651E-7</v>
      </c>
      <c r="AB668" s="74">
        <f t="shared" si="43"/>
        <v>1.3250010951074569E-2</v>
      </c>
      <c r="AC668" s="76">
        <f t="shared" si="44"/>
        <v>1.0047584808854939</v>
      </c>
    </row>
    <row r="669" spans="16:29" x14ac:dyDescent="0.2">
      <c r="P669" s="33">
        <v>1</v>
      </c>
      <c r="Q669" s="27" t="str">
        <f>_xll.qlPeriodEquivalent(Q668&amp;"+"&amp;P669&amp;"M")</f>
        <v>55Y6M</v>
      </c>
      <c r="R669" s="28">
        <f>_xll.qlCalendarAdvance(Calendar,SettlementDate,Q669,"f",,Trigger)</f>
        <v>62550</v>
      </c>
      <c r="S669" s="28">
        <f>_xll.qlInterestRateIndexValueDate(Index,R669,Trigger)</f>
        <v>62554</v>
      </c>
      <c r="T669" s="28">
        <f>_xll.qlInterestRateIndexMaturity(Index,S669,Trigger)</f>
        <v>62584</v>
      </c>
      <c r="U669" s="30">
        <f>_xll.qlIndexFixing($M$5,R669,TRUE,InterestRatesTrigger)</f>
        <v>1.3262512306060792E-2</v>
      </c>
      <c r="V669" s="74">
        <f>_xll.qlIndexFixing(Index,R669,TRUE,InterestRatesTrigger)</f>
        <v>1.320333145716468E-2</v>
      </c>
      <c r="W669" s="30">
        <f t="shared" si="42"/>
        <v>-5.9180848896112082E-5</v>
      </c>
      <c r="X669" s="29">
        <f>_xll.qlDayCounterYearFraction(DayCounter,SettlementDate,S669,,,Trigger)</f>
        <v>56.319444444444443</v>
      </c>
      <c r="Y669" s="29">
        <f>_xll.qlDayCounterYearFraction(DayCounter,S669,T669)</f>
        <v>8.3333333333333329E-2</v>
      </c>
      <c r="Z669" s="29">
        <f>IF($M$13,_xll.qlYieldTSDiscount(Currency&amp;"ON",S669)/(1+V669*Y669),1)</f>
        <v>1</v>
      </c>
      <c r="AA669" s="30">
        <f>_xll.qlTenorBasisValue(TenorBasis1M,S669,InterestRatesTrigger)</f>
        <v>6.7736965249764307E-7</v>
      </c>
      <c r="AB669" s="74">
        <f t="shared" si="43"/>
        <v>1.3263189675713289E-2</v>
      </c>
      <c r="AC669" s="76">
        <f t="shared" si="44"/>
        <v>1.0045335693300441</v>
      </c>
    </row>
    <row r="670" spans="16:29" x14ac:dyDescent="0.2">
      <c r="P670" s="33">
        <v>1</v>
      </c>
      <c r="Q670" s="27" t="str">
        <f>_xll.qlPeriodEquivalent(Q669&amp;"+"&amp;P670&amp;"M")</f>
        <v>55Y7M</v>
      </c>
      <c r="R670" s="28">
        <f>_xll.qlCalendarAdvance(Calendar,SettlementDate,Q670,"f",,Trigger)</f>
        <v>62582</v>
      </c>
      <c r="S670" s="28">
        <f>_xll.qlInterestRateIndexValueDate(Index,R670,Trigger)</f>
        <v>62584</v>
      </c>
      <c r="T670" s="28">
        <f>_xll.qlInterestRateIndexMaturity(Index,S670,Trigger)</f>
        <v>62617</v>
      </c>
      <c r="U670" s="30">
        <f>_xll.qlIndexFixing($M$5,R670,TRUE,InterestRatesTrigger)</f>
        <v>1.3276894614921987E-2</v>
      </c>
      <c r="V670" s="74">
        <f>_xll.qlIndexFixing(Index,R670,TRUE,InterestRatesTrigger)</f>
        <v>1.3220584568836621E-2</v>
      </c>
      <c r="W670" s="30">
        <f t="shared" si="42"/>
        <v>-5.6310046085366813E-5</v>
      </c>
      <c r="X670" s="29">
        <f>_xll.qlDayCounterYearFraction(DayCounter,SettlementDate,S670,,,Trigger)</f>
        <v>56.402777777777779</v>
      </c>
      <c r="Y670" s="29">
        <f>_xll.qlDayCounterYearFraction(DayCounter,S670,T670)</f>
        <v>9.166666666666666E-2</v>
      </c>
      <c r="Z670" s="29">
        <f>IF($M$13,_xll.qlYieldTSDiscount(Currency&amp;"ON",S670)/(1+V670*Y670),1)</f>
        <v>1</v>
      </c>
      <c r="AA670" s="30">
        <f>_xll.qlTenorBasisValue(TenorBasis1M,S670,InterestRatesTrigger)</f>
        <v>6.6863942657053621E-7</v>
      </c>
      <c r="AB670" s="74">
        <f t="shared" si="43"/>
        <v>1.3277563254348559E-2</v>
      </c>
      <c r="AC670" s="76">
        <f t="shared" si="44"/>
        <v>1.0043098461505438</v>
      </c>
    </row>
    <row r="671" spans="16:29" x14ac:dyDescent="0.2">
      <c r="P671" s="33">
        <v>1</v>
      </c>
      <c r="Q671" s="27" t="str">
        <f>_xll.qlPeriodEquivalent(Q670&amp;"+"&amp;P671&amp;"M")</f>
        <v>55Y8M</v>
      </c>
      <c r="R671" s="28">
        <f>_xll.qlCalendarAdvance(Calendar,SettlementDate,Q671,"f",,Trigger)</f>
        <v>62611</v>
      </c>
      <c r="S671" s="28">
        <f>_xll.qlInterestRateIndexValueDate(Index,R671,Trigger)</f>
        <v>62613</v>
      </c>
      <c r="T671" s="28">
        <f>_xll.qlInterestRateIndexMaturity(Index,S671,Trigger)</f>
        <v>62645</v>
      </c>
      <c r="U671" s="30">
        <f>_xll.qlIndexFixing($M$5,R671,TRUE,InterestRatesTrigger)</f>
        <v>1.3288771535129307E-2</v>
      </c>
      <c r="V671" s="74">
        <f>_xll.qlIndexFixing(Index,R671,TRUE,InterestRatesTrigger)</f>
        <v>1.32350653536073E-2</v>
      </c>
      <c r="W671" s="30">
        <f t="shared" si="42"/>
        <v>-5.3706181522006347E-5</v>
      </c>
      <c r="X671" s="29">
        <f>_xll.qlDayCounterYearFraction(DayCounter,SettlementDate,S671,,,Trigger)</f>
        <v>56.483333333333334</v>
      </c>
      <c r="Y671" s="29">
        <f>_xll.qlDayCounterYearFraction(DayCounter,S671,T671)</f>
        <v>8.8888888888888892E-2</v>
      </c>
      <c r="Z671" s="29">
        <f>IF($M$13,_xll.qlYieldTSDiscount(Currency&amp;"ON",S671)/(1+V671*Y671),1)</f>
        <v>1</v>
      </c>
      <c r="AA671" s="30">
        <f>_xll.qlTenorBasisValue(TenorBasis1M,S671,InterestRatesTrigger)</f>
        <v>6.6030588142370452E-7</v>
      </c>
      <c r="AB671" s="74">
        <f t="shared" si="43"/>
        <v>1.3289431841010731E-2</v>
      </c>
      <c r="AC671" s="76">
        <f t="shared" si="44"/>
        <v>1.004107761159533</v>
      </c>
    </row>
    <row r="672" spans="16:29" x14ac:dyDescent="0.2">
      <c r="P672" s="33">
        <v>1</v>
      </c>
      <c r="Q672" s="27" t="str">
        <f>_xll.qlPeriodEquivalent(Q671&amp;"+"&amp;P672&amp;"M")</f>
        <v>55Y9M</v>
      </c>
      <c r="R672" s="28">
        <f>_xll.qlCalendarAdvance(Calendar,SettlementDate,Q672,"f",,Trigger)</f>
        <v>62641</v>
      </c>
      <c r="S672" s="28">
        <f>_xll.qlInterestRateIndexValueDate(Index,R672,Trigger)</f>
        <v>62645</v>
      </c>
      <c r="T672" s="28">
        <f>_xll.qlInterestRateIndexMaturity(Index,S672,Trigger)</f>
        <v>62676</v>
      </c>
      <c r="U672" s="30">
        <f>_xll.qlIndexFixing($M$5,R672,TRUE,InterestRatesTrigger)</f>
        <v>1.3301668917028549E-2</v>
      </c>
      <c r="V672" s="74">
        <f>_xll.qlIndexFixing(Index,R672,TRUE,InterestRatesTrigger)</f>
        <v>1.3250836711853127E-2</v>
      </c>
      <c r="W672" s="30">
        <f t="shared" si="42"/>
        <v>-5.0832205175422446E-5</v>
      </c>
      <c r="X672" s="29">
        <f>_xll.qlDayCounterYearFraction(DayCounter,SettlementDate,S672,,,Trigger)</f>
        <v>56.572222222222223</v>
      </c>
      <c r="Y672" s="29">
        <f>_xll.qlDayCounterYearFraction(DayCounter,S672,T672)</f>
        <v>8.611111111111111E-2</v>
      </c>
      <c r="Z672" s="29">
        <f>IF($M$13,_xll.qlYieldTSDiscount(Currency&amp;"ON",S672)/(1+V672*Y672),1)</f>
        <v>1</v>
      </c>
      <c r="AA672" s="30">
        <f>_xll.qlTenorBasisValue(TenorBasis1M,S672,InterestRatesTrigger)</f>
        <v>6.5122927504116358E-7</v>
      </c>
      <c r="AB672" s="74">
        <f t="shared" si="43"/>
        <v>1.330232014630359E-2</v>
      </c>
      <c r="AC672" s="76">
        <f t="shared" si="44"/>
        <v>1.0038852968736993</v>
      </c>
    </row>
    <row r="673" spans="16:29" x14ac:dyDescent="0.2">
      <c r="P673" s="33">
        <v>1</v>
      </c>
      <c r="Q673" s="27" t="str">
        <f>_xll.qlPeriodEquivalent(Q672&amp;"+"&amp;P673&amp;"M")</f>
        <v>55Y10M</v>
      </c>
      <c r="R673" s="28">
        <f>_xll.qlCalendarAdvance(Calendar,SettlementDate,Q673,"f",,Trigger)</f>
        <v>62673</v>
      </c>
      <c r="S673" s="28">
        <f>_xll.qlInterestRateIndexValueDate(Index,R673,Trigger)</f>
        <v>62675</v>
      </c>
      <c r="T673" s="28">
        <f>_xll.qlInterestRateIndexMaturity(Index,S673,Trigger)</f>
        <v>62708</v>
      </c>
      <c r="U673" s="30">
        <f>_xll.qlIndexFixing($M$5,R673,TRUE,InterestRatesTrigger)</f>
        <v>1.3314832103834754E-2</v>
      </c>
      <c r="V673" s="74">
        <f>_xll.qlIndexFixing(Index,R673,TRUE,InterestRatesTrigger)</f>
        <v>1.3266817000566858E-2</v>
      </c>
      <c r="W673" s="30">
        <f t="shared" si="42"/>
        <v>-4.8015103267896181E-5</v>
      </c>
      <c r="X673" s="29">
        <f>_xll.qlDayCounterYearFraction(DayCounter,SettlementDate,S673,,,Trigger)</f>
        <v>56.655555555555559</v>
      </c>
      <c r="Y673" s="29">
        <f>_xll.qlDayCounterYearFraction(DayCounter,S673,T673)</f>
        <v>9.166666666666666E-2</v>
      </c>
      <c r="Z673" s="29">
        <f>IF($M$13,_xll.qlYieldTSDiscount(Currency&amp;"ON",S673)/(1+V673*Y673),1)</f>
        <v>1</v>
      </c>
      <c r="AA673" s="30">
        <f>_xll.qlTenorBasisValue(TenorBasis1M,S673,InterestRatesTrigger)</f>
        <v>6.4283193821747373E-7</v>
      </c>
      <c r="AB673" s="74">
        <f t="shared" si="43"/>
        <v>1.3315474935772972E-2</v>
      </c>
      <c r="AC673" s="76">
        <f t="shared" si="44"/>
        <v>1.0036676419976274</v>
      </c>
    </row>
    <row r="674" spans="16:29" x14ac:dyDescent="0.2">
      <c r="P674" s="33">
        <v>1</v>
      </c>
      <c r="Q674" s="27" t="str">
        <f>_xll.qlPeriodEquivalent(Q673&amp;"+"&amp;P674&amp;"M")</f>
        <v>55Y11M</v>
      </c>
      <c r="R674" s="28">
        <f>_xll.qlCalendarAdvance(Calendar,SettlementDate,Q674,"f",,Trigger)</f>
        <v>62703</v>
      </c>
      <c r="S674" s="28">
        <f>_xll.qlInterestRateIndexValueDate(Index,R674,Trigger)</f>
        <v>62705</v>
      </c>
      <c r="T674" s="28">
        <f>_xll.qlInterestRateIndexMaturity(Index,S674,Trigger)</f>
        <v>62736</v>
      </c>
      <c r="U674" s="30">
        <f>_xll.qlIndexFixing($M$5,R674,TRUE,InterestRatesTrigger)</f>
        <v>1.3325961827215238E-2</v>
      </c>
      <c r="V674" s="74">
        <f>_xll.qlIndexFixing(Index,R674,TRUE,InterestRatesTrigger)</f>
        <v>1.3280582035401911E-2</v>
      </c>
      <c r="W674" s="30">
        <f t="shared" si="42"/>
        <v>-4.5379791813326617E-5</v>
      </c>
      <c r="X674" s="29">
        <f>_xll.qlDayCounterYearFraction(DayCounter,SettlementDate,S674,,,Trigger)</f>
        <v>56.738888888888887</v>
      </c>
      <c r="Y674" s="29">
        <f>_xll.qlDayCounterYearFraction(DayCounter,S674,T674)</f>
        <v>8.611111111111111E-2</v>
      </c>
      <c r="Z674" s="29">
        <f>IF($M$13,_xll.qlYieldTSDiscount(Currency&amp;"ON",S674)/(1+V674*Y674),1)</f>
        <v>1</v>
      </c>
      <c r="AA674" s="30">
        <f>_xll.qlTenorBasisValue(TenorBasis1M,S674,InterestRatesTrigger)</f>
        <v>6.3454158129379188E-7</v>
      </c>
      <c r="AB674" s="74">
        <f t="shared" si="43"/>
        <v>1.3326596368796531E-2</v>
      </c>
      <c r="AC674" s="76">
        <f t="shared" si="44"/>
        <v>1.0034647828891805</v>
      </c>
    </row>
    <row r="675" spans="16:29" x14ac:dyDescent="0.2">
      <c r="P675" s="33">
        <v>1</v>
      </c>
      <c r="Q675" s="27" t="str">
        <f>_xll.qlPeriodEquivalent(Q674&amp;"+"&amp;P675&amp;"M")</f>
        <v>56Y</v>
      </c>
      <c r="R675" s="28">
        <f>_xll.qlCalendarAdvance(Calendar,SettlementDate,Q675,"f",,Trigger)</f>
        <v>62733</v>
      </c>
      <c r="S675" s="28">
        <f>_xll.qlInterestRateIndexValueDate(Index,R675,Trigger)</f>
        <v>62737</v>
      </c>
      <c r="T675" s="28">
        <f>_xll.qlInterestRateIndexMaturity(Index,S675,Trigger)</f>
        <v>62768</v>
      </c>
      <c r="U675" s="30">
        <f>_xll.qlIndexFixing($M$5,R675,TRUE,InterestRatesTrigger)</f>
        <v>1.3338521666773306E-2</v>
      </c>
      <c r="V675" s="74">
        <f>_xll.qlIndexFixing(Index,R675,TRUE,InterestRatesTrigger)</f>
        <v>1.3296035925961406E-2</v>
      </c>
      <c r="W675" s="30">
        <f t="shared" si="42"/>
        <v>-4.2485740811899764E-5</v>
      </c>
      <c r="X675" s="29">
        <f>_xll.qlDayCounterYearFraction(DayCounter,SettlementDate,S675,,,Trigger)</f>
        <v>56.827777777777776</v>
      </c>
      <c r="Y675" s="29">
        <f>_xll.qlDayCounterYearFraction(DayCounter,S675,T675)</f>
        <v>8.611111111111111E-2</v>
      </c>
      <c r="Z675" s="29">
        <f>IF($M$13,_xll.qlYieldTSDiscount(Currency&amp;"ON",S675)/(1+V675*Y675),1)</f>
        <v>1</v>
      </c>
      <c r="AA675" s="30">
        <f>_xll.qlTenorBasisValue(TenorBasis1M,S675,InterestRatesTrigger)</f>
        <v>6.258149375048925E-7</v>
      </c>
      <c r="AB675" s="74">
        <f t="shared" si="43"/>
        <v>1.3339147481710811E-2</v>
      </c>
      <c r="AC675" s="76">
        <f t="shared" si="44"/>
        <v>1.0032424367675803</v>
      </c>
    </row>
    <row r="676" spans="16:29" x14ac:dyDescent="0.2">
      <c r="P676" s="33">
        <v>1</v>
      </c>
      <c r="Q676" s="27" t="str">
        <f>_xll.qlPeriodEquivalent(Q675&amp;"+"&amp;P676&amp;"M")</f>
        <v>56Y1M</v>
      </c>
      <c r="R676" s="28">
        <f>_xll.qlCalendarAdvance(Calendar,SettlementDate,Q676,"f",,Trigger)</f>
        <v>62764</v>
      </c>
      <c r="S676" s="28">
        <f>_xll.qlInterestRateIndexValueDate(Index,R676,Trigger)</f>
        <v>62766</v>
      </c>
      <c r="T676" s="28">
        <f>_xll.qlInterestRateIndexMaturity(Index,S676,Trigger)</f>
        <v>62796</v>
      </c>
      <c r="U676" s="30">
        <f>_xll.qlIndexFixing($M$5,R676,TRUE,InterestRatesTrigger)</f>
        <v>1.3349228890941589E-2</v>
      </c>
      <c r="V676" s="74">
        <f>_xll.qlIndexFixing(Index,R676,TRUE,InterestRatesTrigger)</f>
        <v>1.3309311619381425E-2</v>
      </c>
      <c r="W676" s="30">
        <f t="shared" si="42"/>
        <v>-3.991727156016367E-5</v>
      </c>
      <c r="X676" s="29">
        <f>_xll.qlDayCounterYearFraction(DayCounter,SettlementDate,S676,,,Trigger)</f>
        <v>56.908333333333331</v>
      </c>
      <c r="Y676" s="29">
        <f>_xll.qlDayCounterYearFraction(DayCounter,S676,T676)</f>
        <v>8.3333333333333329E-2</v>
      </c>
      <c r="Z676" s="29">
        <f>IF($M$13,_xll.qlYieldTSDiscount(Currency&amp;"ON",S676)/(1+V676*Y676),1)</f>
        <v>1</v>
      </c>
      <c r="AA676" s="30">
        <f>_xll.qlTenorBasisValue(TenorBasis1M,S676,InterestRatesTrigger)</f>
        <v>6.1800888888546728E-7</v>
      </c>
      <c r="AB676" s="74">
        <f t="shared" si="43"/>
        <v>1.3349846899830474E-2</v>
      </c>
      <c r="AC676" s="76">
        <f t="shared" si="44"/>
        <v>1.0030456331332733</v>
      </c>
    </row>
    <row r="677" spans="16:29" x14ac:dyDescent="0.2">
      <c r="P677" s="33">
        <v>1</v>
      </c>
      <c r="Q677" s="27" t="str">
        <f>_xll.qlPeriodEquivalent(Q676&amp;"+"&amp;P677&amp;"M")</f>
        <v>56Y2M</v>
      </c>
      <c r="R677" s="28">
        <f>_xll.qlCalendarAdvance(Calendar,SettlementDate,Q677,"f",,Trigger)</f>
        <v>62794</v>
      </c>
      <c r="S677" s="28">
        <f>_xll.qlInterestRateIndexValueDate(Index,R677,Trigger)</f>
        <v>62796</v>
      </c>
      <c r="T677" s="28">
        <f>_xll.qlInterestRateIndexMaturity(Index,S677,Trigger)</f>
        <v>62827</v>
      </c>
      <c r="U677" s="30">
        <f>_xll.qlIndexFixing($M$5,R677,TRUE,InterestRatesTrigger)</f>
        <v>1.3360955986860107E-2</v>
      </c>
      <c r="V677" s="74">
        <f>_xll.qlIndexFixing(Index,R677,TRUE,InterestRatesTrigger)</f>
        <v>1.3323771371274735E-2</v>
      </c>
      <c r="W677" s="30">
        <f t="shared" si="42"/>
        <v>-3.7184615585371741E-5</v>
      </c>
      <c r="X677" s="29">
        <f>_xll.qlDayCounterYearFraction(DayCounter,SettlementDate,S677,,,Trigger)</f>
        <v>56.991666666666667</v>
      </c>
      <c r="Y677" s="29">
        <f>_xll.qlDayCounterYearFraction(DayCounter,S677,T677)</f>
        <v>8.611111111111111E-2</v>
      </c>
      <c r="Z677" s="29">
        <f>IF($M$13,_xll.qlYieldTSDiscount(Currency&amp;"ON",S677)/(1+V677*Y677),1)</f>
        <v>1</v>
      </c>
      <c r="AA677" s="30">
        <f>_xll.qlTenorBasisValue(TenorBasis1M,S677,InterestRatesTrigger)</f>
        <v>6.1003489503895233E-7</v>
      </c>
      <c r="AB677" s="74">
        <f t="shared" si="43"/>
        <v>1.3361566021755145E-2</v>
      </c>
      <c r="AC677" s="76">
        <f t="shared" si="44"/>
        <v>1.0028366330693645</v>
      </c>
    </row>
    <row r="678" spans="16:29" x14ac:dyDescent="0.2">
      <c r="P678" s="33">
        <v>1</v>
      </c>
      <c r="Q678" s="27" t="str">
        <f>_xll.qlPeriodEquivalent(Q677&amp;"+"&amp;P678&amp;"M")</f>
        <v>56Y3M</v>
      </c>
      <c r="R678" s="28">
        <f>_xll.qlCalendarAdvance(Calendar,SettlementDate,Q678,"f",,Trigger)</f>
        <v>62827</v>
      </c>
      <c r="S678" s="28">
        <f>_xll.qlInterestRateIndexValueDate(Index,R678,Trigger)</f>
        <v>62829</v>
      </c>
      <c r="T678" s="28">
        <f>_xll.qlInterestRateIndexMaturity(Index,S678,Trigger)</f>
        <v>62862</v>
      </c>
      <c r="U678" s="30">
        <f>_xll.qlIndexFixing($M$5,R678,TRUE,InterestRatesTrigger)</f>
        <v>1.3373953693771187E-2</v>
      </c>
      <c r="V678" s="74">
        <f>_xll.qlIndexFixing(Index,R678,TRUE,InterestRatesTrigger)</f>
        <v>1.3339796250722621E-2</v>
      </c>
      <c r="W678" s="30">
        <f t="shared" si="42"/>
        <v>-3.4157443048566521E-5</v>
      </c>
      <c r="X678" s="29">
        <f>_xll.qlDayCounterYearFraction(DayCounter,SettlementDate,S678,,,Trigger)</f>
        <v>57.083333333333336</v>
      </c>
      <c r="Y678" s="29">
        <f>_xll.qlDayCounterYearFraction(DayCounter,S678,T678)</f>
        <v>9.166666666666666E-2</v>
      </c>
      <c r="Z678" s="29">
        <f>IF($M$13,_xll.qlYieldTSDiscount(Currency&amp;"ON",S678)/(1+V678*Y678),1)</f>
        <v>1</v>
      </c>
      <c r="AA678" s="30">
        <f>_xll.qlTenorBasisValue(TenorBasis1M,S678,InterestRatesTrigger)</f>
        <v>6.0138087711318876E-7</v>
      </c>
      <c r="AB678" s="74">
        <f t="shared" si="43"/>
        <v>1.3374555074648301E-2</v>
      </c>
      <c r="AC678" s="76">
        <f t="shared" si="44"/>
        <v>1.0026056487874617</v>
      </c>
    </row>
    <row r="679" spans="16:29" x14ac:dyDescent="0.2">
      <c r="P679" s="33">
        <v>1</v>
      </c>
      <c r="Q679" s="27" t="str">
        <f>_xll.qlPeriodEquivalent(Q678&amp;"+"&amp;P679&amp;"M")</f>
        <v>56Y4M</v>
      </c>
      <c r="R679" s="28">
        <f>_xll.qlCalendarAdvance(Calendar,SettlementDate,Q679,"f",,Trigger)</f>
        <v>62856</v>
      </c>
      <c r="S679" s="28">
        <f>_xll.qlInterestRateIndexValueDate(Index,R679,Trigger)</f>
        <v>62858</v>
      </c>
      <c r="T679" s="28">
        <f>_xll.qlInterestRateIndexMaturity(Index,S679,Trigger)</f>
        <v>62887</v>
      </c>
      <c r="U679" s="30">
        <f>_xll.qlIndexFixing($M$5,R679,TRUE,InterestRatesTrigger)</f>
        <v>1.3382669244440652E-2</v>
      </c>
      <c r="V679" s="74">
        <f>_xll.qlIndexFixing(Index,R679,TRUE,InterestRatesTrigger)</f>
        <v>1.3350907556644949E-2</v>
      </c>
      <c r="W679" s="30">
        <f t="shared" si="42"/>
        <v>-3.1761687795702279E-5</v>
      </c>
      <c r="X679" s="29">
        <f>_xll.qlDayCounterYearFraction(DayCounter,SettlementDate,S679,,,Trigger)</f>
        <v>57.163888888888891</v>
      </c>
      <c r="Y679" s="29">
        <f>_xll.qlDayCounterYearFraction(DayCounter,S679,T679)</f>
        <v>8.0555555555555561E-2</v>
      </c>
      <c r="Z679" s="29">
        <f>IF($M$13,_xll.qlYieldTSDiscount(Currency&amp;"ON",S679)/(1+V679*Y679),1)</f>
        <v>1</v>
      </c>
      <c r="AA679" s="30">
        <f>_xll.qlTenorBasisValue(TenorBasis1M,S679,InterestRatesTrigger)</f>
        <v>5.9387603866506438E-7</v>
      </c>
      <c r="AB679" s="74">
        <f t="shared" si="43"/>
        <v>1.3383263120479317E-2</v>
      </c>
      <c r="AC679" s="76">
        <f t="shared" si="44"/>
        <v>1.0024234729884161</v>
      </c>
    </row>
    <row r="680" spans="16:29" x14ac:dyDescent="0.2">
      <c r="P680" s="33">
        <v>1</v>
      </c>
      <c r="Q680" s="27" t="str">
        <f>_xll.qlPeriodEquivalent(Q679&amp;"+"&amp;P680&amp;"M")</f>
        <v>56Y5M</v>
      </c>
      <c r="R680" s="28">
        <f>_xll.qlCalendarAdvance(Calendar,SettlementDate,Q680,"f",,Trigger)</f>
        <v>62885</v>
      </c>
      <c r="S680" s="28">
        <f>_xll.qlInterestRateIndexValueDate(Index,R680,Trigger)</f>
        <v>62887</v>
      </c>
      <c r="T680" s="28">
        <f>_xll.qlInterestRateIndexMaturity(Index,S680,Trigger)</f>
        <v>62918</v>
      </c>
      <c r="U680" s="30">
        <f>_xll.qlIndexFixing($M$5,R680,TRUE,InterestRatesTrigger)</f>
        <v>1.339372022200444E-2</v>
      </c>
      <c r="V680" s="74">
        <f>_xll.qlIndexFixing(Index,R680,TRUE,InterestRatesTrigger)</f>
        <v>1.3364594604646535E-2</v>
      </c>
      <c r="W680" s="30">
        <f t="shared" si="42"/>
        <v>-2.9125617357905753E-5</v>
      </c>
      <c r="X680" s="29">
        <f>_xll.qlDayCounterYearFraction(DayCounter,SettlementDate,S680,,,Trigger)</f>
        <v>57.244444444444447</v>
      </c>
      <c r="Y680" s="29">
        <f>_xll.qlDayCounterYearFraction(DayCounter,S680,T680)</f>
        <v>8.611111111111111E-2</v>
      </c>
      <c r="Z680" s="29">
        <f>IF($M$13,_xll.qlYieldTSDiscount(Currency&amp;"ON",S680)/(1+V680*Y680),1)</f>
        <v>1</v>
      </c>
      <c r="AA680" s="30">
        <f>_xll.qlTenorBasisValue(TenorBasis1M,S680,InterestRatesTrigger)</f>
        <v>5.8646375199726221E-7</v>
      </c>
      <c r="AB680" s="74">
        <f t="shared" si="43"/>
        <v>1.3394306685756438E-2</v>
      </c>
      <c r="AC680" s="76">
        <f t="shared" si="44"/>
        <v>1.0022231935938837</v>
      </c>
    </row>
    <row r="681" spans="16:29" x14ac:dyDescent="0.2">
      <c r="P681" s="33">
        <v>1</v>
      </c>
      <c r="Q681" s="27" t="str">
        <f>_xll.qlPeriodEquivalent(Q680&amp;"+"&amp;P681&amp;"M")</f>
        <v>56Y6M</v>
      </c>
      <c r="R681" s="28">
        <f>_xll.qlCalendarAdvance(Calendar,SettlementDate,Q681,"f",,Trigger)</f>
        <v>62918</v>
      </c>
      <c r="S681" s="28">
        <f>_xll.qlInterestRateIndexValueDate(Index,R681,Trigger)</f>
        <v>62920</v>
      </c>
      <c r="T681" s="28">
        <f>_xll.qlInterestRateIndexMaturity(Index,S681,Trigger)</f>
        <v>62950</v>
      </c>
      <c r="U681" s="30">
        <f>_xll.qlIndexFixing($M$5,R681,TRUE,InterestRatesTrigger)</f>
        <v>1.3404632528430049E-2</v>
      </c>
      <c r="V681" s="74">
        <f>_xll.qlIndexFixing(Index,R681,TRUE,InterestRatesTrigger)</f>
        <v>1.3378343152665728E-2</v>
      </c>
      <c r="W681" s="30">
        <f t="shared" si="42"/>
        <v>-2.6289375764321221E-5</v>
      </c>
      <c r="X681" s="29">
        <f>_xll.qlDayCounterYearFraction(DayCounter,SettlementDate,S681,,,Trigger)</f>
        <v>57.336111111111109</v>
      </c>
      <c r="Y681" s="29">
        <f>_xll.qlDayCounterYearFraction(DayCounter,S681,T681)</f>
        <v>8.3333333333333329E-2</v>
      </c>
      <c r="Z681" s="29">
        <f>IF($M$13,_xll.qlYieldTSDiscount(Currency&amp;"ON",S681)/(1+V681*Y681),1)</f>
        <v>1</v>
      </c>
      <c r="AA681" s="30">
        <f>_xll.qlTenorBasisValue(TenorBasis1M,S681,InterestRatesTrigger)</f>
        <v>5.7814023169586918E-7</v>
      </c>
      <c r="AB681" s="74">
        <f t="shared" si="43"/>
        <v>1.3405210668661745E-2</v>
      </c>
      <c r="AC681" s="76">
        <f t="shared" si="44"/>
        <v>1.0020082842613185</v>
      </c>
    </row>
    <row r="682" spans="16:29" x14ac:dyDescent="0.2">
      <c r="P682" s="33">
        <v>1</v>
      </c>
      <c r="Q682" s="27" t="str">
        <f>_xll.qlPeriodEquivalent(Q681&amp;"+"&amp;P682&amp;"M")</f>
        <v>56Y7M</v>
      </c>
      <c r="R682" s="28">
        <f>_xll.qlCalendarAdvance(Calendar,SettlementDate,Q682,"f",,Trigger)</f>
        <v>62946</v>
      </c>
      <c r="S682" s="28">
        <f>_xll.qlInterestRateIndexValueDate(Index,R682,Trigger)</f>
        <v>62948</v>
      </c>
      <c r="T682" s="28">
        <f>_xll.qlInterestRateIndexMaturity(Index,S682,Trigger)</f>
        <v>62981</v>
      </c>
      <c r="U682" s="30">
        <f>_xll.qlIndexFixing($M$5,R682,TRUE,InterestRatesTrigger)</f>
        <v>1.3415264154418597E-2</v>
      </c>
      <c r="V682" s="74">
        <f>_xll.qlIndexFixing(Index,R682,TRUE,InterestRatesTrigger)</f>
        <v>1.339152246153542E-2</v>
      </c>
      <c r="W682" s="30">
        <f t="shared" ref="W682:W721" si="45">V682-U682</f>
        <v>-2.3741692883176915E-5</v>
      </c>
      <c r="X682" s="29">
        <f>_xll.qlDayCounterYearFraction(DayCounter,SettlementDate,S682,,,Trigger)</f>
        <v>57.413888888888891</v>
      </c>
      <c r="Y682" s="29">
        <f>_xll.qlDayCounterYearFraction(DayCounter,S682,T682)</f>
        <v>9.166666666666666E-2</v>
      </c>
      <c r="Z682" s="29">
        <f>IF($M$13,_xll.qlYieldTSDiscount(Currency&amp;"ON",S682)/(1+V682*Y682),1)</f>
        <v>1</v>
      </c>
      <c r="AA682" s="30">
        <f>_xll.qlTenorBasisValue(TenorBasis1M,S682,InterestRatesTrigger)</f>
        <v>5.7116947313710461E-7</v>
      </c>
      <c r="AB682" s="74">
        <f t="shared" ref="AB682:AB721" si="46">AA682+U682</f>
        <v>1.3415835323891734E-2</v>
      </c>
      <c r="AC682" s="76">
        <f t="shared" ref="AC682:AC721" si="47">AB682/V682</f>
        <v>1.00181554131923</v>
      </c>
    </row>
    <row r="683" spans="16:29" x14ac:dyDescent="0.2">
      <c r="P683" s="33">
        <v>1</v>
      </c>
      <c r="Q683" s="27" t="str">
        <f>_xll.qlPeriodEquivalent(Q682&amp;"+"&amp;P683&amp;"M")</f>
        <v>56Y8M</v>
      </c>
      <c r="R683" s="28">
        <f>_xll.qlCalendarAdvance(Calendar,SettlementDate,Q683,"f",,Trigger)</f>
        <v>62977</v>
      </c>
      <c r="S683" s="28">
        <f>_xll.qlInterestRateIndexValueDate(Index,R683,Trigger)</f>
        <v>62981</v>
      </c>
      <c r="T683" s="28">
        <f>_xll.qlInterestRateIndexMaturity(Index,S683,Trigger)</f>
        <v>63011</v>
      </c>
      <c r="U683" s="30">
        <f>_xll.qlIndexFixing($M$5,R683,TRUE,InterestRatesTrigger)</f>
        <v>1.3424812356518601E-2</v>
      </c>
      <c r="V683" s="74">
        <f>_xll.qlIndexFixing(Index,R683,TRUE,InterestRatesTrigger)</f>
        <v>1.3403770893837041E-2</v>
      </c>
      <c r="W683" s="30">
        <f t="shared" si="45"/>
        <v>-2.1041462681559153E-5</v>
      </c>
      <c r="X683" s="29">
        <f>_xll.qlDayCounterYearFraction(DayCounter,SettlementDate,S683,,,Trigger)</f>
        <v>57.505555555555553</v>
      </c>
      <c r="Y683" s="29">
        <f>_xll.qlDayCounterYearFraction(DayCounter,S683,T683)</f>
        <v>8.3333333333333329E-2</v>
      </c>
      <c r="Z683" s="29">
        <f>IF($M$13,_xll.qlYieldTSDiscount(Currency&amp;"ON",S683)/(1+V683*Y683),1)</f>
        <v>1</v>
      </c>
      <c r="AA683" s="30">
        <f>_xll.qlTenorBasisValue(TenorBasis1M,S683,InterestRatesTrigger)</f>
        <v>5.6306050218711914E-7</v>
      </c>
      <c r="AB683" s="74">
        <f t="shared" si="46"/>
        <v>1.3425375417020788E-2</v>
      </c>
      <c r="AC683" s="76">
        <f t="shared" si="47"/>
        <v>1.0016118242660861</v>
      </c>
    </row>
    <row r="684" spans="16:29" x14ac:dyDescent="0.2">
      <c r="P684" s="33">
        <v>1</v>
      </c>
      <c r="Q684" s="27" t="str">
        <f>_xll.qlPeriodEquivalent(Q683&amp;"+"&amp;P684&amp;"M")</f>
        <v>56Y9M</v>
      </c>
      <c r="R684" s="28">
        <f>_xll.qlCalendarAdvance(Calendar,SettlementDate,Q684,"f",,Trigger)</f>
        <v>63009</v>
      </c>
      <c r="S684" s="28">
        <f>_xll.qlInterestRateIndexValueDate(Index,R684,Trigger)</f>
        <v>63011</v>
      </c>
      <c r="T684" s="28">
        <f>_xll.qlInterestRateIndexMaturity(Index,S684,Trigger)</f>
        <v>63044</v>
      </c>
      <c r="U684" s="30">
        <f>_xll.qlIndexFixing($M$5,R684,TRUE,InterestRatesTrigger)</f>
        <v>1.3435590474112661E-2</v>
      </c>
      <c r="V684" s="74">
        <f>_xll.qlIndexFixing(Index,R684,TRUE,InterestRatesTrigger)</f>
        <v>1.3417214986728836E-2</v>
      </c>
      <c r="W684" s="30">
        <f t="shared" si="45"/>
        <v>-1.8375487383825301E-5</v>
      </c>
      <c r="X684" s="29">
        <f>_xll.qlDayCounterYearFraction(DayCounter,SettlementDate,S684,,,Trigger)</f>
        <v>57.588888888888889</v>
      </c>
      <c r="Y684" s="29">
        <f>_xll.qlDayCounterYearFraction(DayCounter,S684,T684)</f>
        <v>9.166666666666666E-2</v>
      </c>
      <c r="Z684" s="29">
        <f>IF($M$13,_xll.qlYieldTSDiscount(Currency&amp;"ON",S684)/(1+V684*Y684),1)</f>
        <v>1</v>
      </c>
      <c r="AA684" s="30">
        <f>_xll.qlTenorBasisValue(TenorBasis1M,S684,InterestRatesTrigger)</f>
        <v>5.5578749285701214E-7</v>
      </c>
      <c r="AB684" s="74">
        <f t="shared" si="46"/>
        <v>1.3436146261605518E-2</v>
      </c>
      <c r="AC684" s="76">
        <f t="shared" si="47"/>
        <v>1.0014109690345878</v>
      </c>
    </row>
    <row r="685" spans="16:29" x14ac:dyDescent="0.2">
      <c r="P685" s="33">
        <v>1</v>
      </c>
      <c r="Q685" s="27" t="str">
        <f>_xll.qlPeriodEquivalent(Q684&amp;"+"&amp;P685&amp;"M")</f>
        <v>56Y10M</v>
      </c>
      <c r="R685" s="28">
        <f>_xll.qlCalendarAdvance(Calendar,SettlementDate,Q685,"f",,Trigger)</f>
        <v>63038</v>
      </c>
      <c r="S685" s="28">
        <f>_xll.qlInterestRateIndexValueDate(Index,R685,Trigger)</f>
        <v>63040</v>
      </c>
      <c r="T685" s="28">
        <f>_xll.qlInterestRateIndexMaturity(Index,S685,Trigger)</f>
        <v>63072</v>
      </c>
      <c r="U685" s="30">
        <f>_xll.qlIndexFixing($M$5,R685,TRUE,InterestRatesTrigger)</f>
        <v>1.3444184361984524E-2</v>
      </c>
      <c r="V685" s="74">
        <f>_xll.qlIndexFixing(Index,R685,TRUE,InterestRatesTrigger)</f>
        <v>1.3428197083863169E-2</v>
      </c>
      <c r="W685" s="30">
        <f t="shared" si="45"/>
        <v>-1.5987278121354365E-5</v>
      </c>
      <c r="X685" s="29">
        <f>_xll.qlDayCounterYearFraction(DayCounter,SettlementDate,S685,,,Trigger)</f>
        <v>57.669444444444444</v>
      </c>
      <c r="Y685" s="29">
        <f>_xll.qlDayCounterYearFraction(DayCounter,S685,T685)</f>
        <v>8.8888888888888892E-2</v>
      </c>
      <c r="Z685" s="29">
        <f>IF($M$13,_xll.qlYieldTSDiscount(Currency&amp;"ON",S685)/(1+V685*Y685),1)</f>
        <v>1</v>
      </c>
      <c r="AA685" s="30">
        <f>_xll.qlTenorBasisValue(TenorBasis1M,S685,InterestRatesTrigger)</f>
        <v>5.4884519420503531E-7</v>
      </c>
      <c r="AB685" s="74">
        <f t="shared" si="46"/>
        <v>1.3444733207178729E-2</v>
      </c>
      <c r="AC685" s="76">
        <f t="shared" si="47"/>
        <v>1.001231447767134</v>
      </c>
    </row>
    <row r="686" spans="16:29" x14ac:dyDescent="0.2">
      <c r="P686" s="33">
        <v>1</v>
      </c>
      <c r="Q686" s="27" t="str">
        <f>_xll.qlPeriodEquivalent(Q685&amp;"+"&amp;P686&amp;"M")</f>
        <v>56Y11M</v>
      </c>
      <c r="R686" s="28">
        <f>_xll.qlCalendarAdvance(Calendar,SettlementDate,Q686,"f",,Trigger)</f>
        <v>63069</v>
      </c>
      <c r="S686" s="28">
        <f>_xll.qlInterestRateIndexValueDate(Index,R686,Trigger)</f>
        <v>63073</v>
      </c>
      <c r="T686" s="28">
        <f>_xll.qlInterestRateIndexMaturity(Index,S686,Trigger)</f>
        <v>63103</v>
      </c>
      <c r="U686" s="30">
        <f>_xll.qlIndexFixing($M$5,R686,TRUE,InterestRatesTrigger)</f>
        <v>1.3453352335783819E-2</v>
      </c>
      <c r="V686" s="74">
        <f>_xll.qlIndexFixing(Index,R686,TRUE,InterestRatesTrigger)</f>
        <v>1.3440014361112418E-2</v>
      </c>
      <c r="W686" s="30">
        <f t="shared" si="45"/>
        <v>-1.3337974671401298E-5</v>
      </c>
      <c r="X686" s="29">
        <f>_xll.qlDayCounterYearFraction(DayCounter,SettlementDate,S686,,,Trigger)</f>
        <v>57.761111111111113</v>
      </c>
      <c r="Y686" s="29">
        <f>_xll.qlDayCounterYearFraction(DayCounter,S686,T686)</f>
        <v>8.3333333333333329E-2</v>
      </c>
      <c r="Z686" s="29">
        <f>IF($M$13,_xll.qlYieldTSDiscount(Currency&amp;"ON",S686)/(1+V686*Y686),1)</f>
        <v>1</v>
      </c>
      <c r="AA686" s="30">
        <f>_xll.qlTenorBasisValue(TenorBasis1M,S686,InterestRatesTrigger)</f>
        <v>5.4104954080438634E-7</v>
      </c>
      <c r="AB686" s="74">
        <f t="shared" si="46"/>
        <v>1.3453893385324624E-2</v>
      </c>
      <c r="AC686" s="76">
        <f t="shared" si="47"/>
        <v>1.0010326643885414</v>
      </c>
    </row>
    <row r="687" spans="16:29" x14ac:dyDescent="0.2">
      <c r="P687" s="33">
        <v>1</v>
      </c>
      <c r="Q687" s="27" t="str">
        <f>_xll.qlPeriodEquivalent(Q686&amp;"+"&amp;P687&amp;"M")</f>
        <v>57Y</v>
      </c>
      <c r="R687" s="28">
        <f>_xll.qlCalendarAdvance(Calendar,SettlementDate,Q687,"f",,Trigger)</f>
        <v>63100</v>
      </c>
      <c r="S687" s="28">
        <f>_xll.qlInterestRateIndexValueDate(Index,R687,Trigger)</f>
        <v>63102</v>
      </c>
      <c r="T687" s="28">
        <f>_xll.qlInterestRateIndexMaturity(Index,S687,Trigger)</f>
        <v>63135</v>
      </c>
      <c r="U687" s="30">
        <f>_xll.qlIndexFixing($M$5,R687,TRUE,InterestRatesTrigger)</f>
        <v>1.3463063679929636E-2</v>
      </c>
      <c r="V687" s="74">
        <f>_xll.qlIndexFixing(Index,R687,TRUE,InterestRatesTrigger)</f>
        <v>1.3452213981035174E-2</v>
      </c>
      <c r="W687" s="30">
        <f t="shared" si="45"/>
        <v>-1.0849698894461676E-5</v>
      </c>
      <c r="X687" s="29">
        <f>_xll.qlDayCounterYearFraction(DayCounter,SettlementDate,S687,,,Trigger)</f>
        <v>57.841666666666669</v>
      </c>
      <c r="Y687" s="29">
        <f>_xll.qlDayCounterYearFraction(DayCounter,S687,T687)</f>
        <v>9.166666666666666E-2</v>
      </c>
      <c r="Z687" s="29">
        <f>IF($M$13,_xll.qlYieldTSDiscount(Currency&amp;"ON",S687)/(1+V687*Y687),1)</f>
        <v>1</v>
      </c>
      <c r="AA687" s="30">
        <f>_xll.qlTenorBasisValue(TenorBasis1M,S687,InterestRatesTrigger)</f>
        <v>5.3428922291385229E-7</v>
      </c>
      <c r="AB687" s="74">
        <f t="shared" si="46"/>
        <v>1.3463597969152551E-2</v>
      </c>
      <c r="AC687" s="76">
        <f t="shared" si="47"/>
        <v>1.0008462538682052</v>
      </c>
    </row>
    <row r="688" spans="16:29" x14ac:dyDescent="0.2">
      <c r="P688" s="33">
        <v>1</v>
      </c>
      <c r="Q688" s="27" t="str">
        <f>_xll.qlPeriodEquivalent(Q687&amp;"+"&amp;P688&amp;"M")</f>
        <v>57Y1M</v>
      </c>
      <c r="R688" s="28">
        <f>_xll.qlCalendarAdvance(Calendar,SettlementDate,Q688,"f",,Trigger)</f>
        <v>63130</v>
      </c>
      <c r="S688" s="28">
        <f>_xll.qlInterestRateIndexValueDate(Index,R688,Trigger)</f>
        <v>63132</v>
      </c>
      <c r="T688" s="28">
        <f>_xll.qlInterestRateIndexMaturity(Index,S688,Trigger)</f>
        <v>63163</v>
      </c>
      <c r="U688" s="30">
        <f>_xll.qlIndexFixing($M$5,R688,TRUE,InterestRatesTrigger)</f>
        <v>1.3470847833553486E-2</v>
      </c>
      <c r="V688" s="74">
        <f>_xll.qlIndexFixing(Index,R688,TRUE,InterestRatesTrigger)</f>
        <v>1.3462333935164609E-2</v>
      </c>
      <c r="W688" s="30">
        <f t="shared" si="45"/>
        <v>-8.513898388877103E-6</v>
      </c>
      <c r="X688" s="29">
        <f>_xll.qlDayCounterYearFraction(DayCounter,SettlementDate,S688,,,Trigger)</f>
        <v>57.924999999999997</v>
      </c>
      <c r="Y688" s="29">
        <f>_xll.qlDayCounterYearFraction(DayCounter,S688,T688)</f>
        <v>8.611111111111111E-2</v>
      </c>
      <c r="Z688" s="29">
        <f>IF($M$13,_xll.qlYieldTSDiscount(Currency&amp;"ON",S688)/(1+V688*Y688),1)</f>
        <v>1</v>
      </c>
      <c r="AA688" s="30">
        <f>_xll.qlTenorBasisValue(TenorBasis1M,S688,InterestRatesTrigger)</f>
        <v>5.2738364539679691E-7</v>
      </c>
      <c r="AB688" s="74">
        <f t="shared" si="46"/>
        <v>1.3471375217198883E-2</v>
      </c>
      <c r="AC688" s="76">
        <f t="shared" si="47"/>
        <v>1.0006715984076622</v>
      </c>
    </row>
    <row r="689" spans="16:29" x14ac:dyDescent="0.2">
      <c r="P689" s="33">
        <v>1</v>
      </c>
      <c r="Q689" s="27" t="str">
        <f>_xll.qlPeriodEquivalent(Q688&amp;"+"&amp;P689&amp;"M")</f>
        <v>57Y2M</v>
      </c>
      <c r="R689" s="28">
        <f>_xll.qlCalendarAdvance(Calendar,SettlementDate,Q689,"f",,Trigger)</f>
        <v>63160</v>
      </c>
      <c r="S689" s="28">
        <f>_xll.qlInterestRateIndexValueDate(Index,R689,Trigger)</f>
        <v>63164</v>
      </c>
      <c r="T689" s="28">
        <f>_xll.qlInterestRateIndexMaturity(Index,S689,Trigger)</f>
        <v>63195</v>
      </c>
      <c r="U689" s="30">
        <f>_xll.qlIndexFixing($M$5,R689,TRUE,InterestRatesTrigger)</f>
        <v>1.3479728158704843E-2</v>
      </c>
      <c r="V689" s="74">
        <f>_xll.qlIndexFixing(Index,R689,TRUE,InterestRatesTrigger)</f>
        <v>1.3473751580837398E-2</v>
      </c>
      <c r="W689" s="30">
        <f t="shared" si="45"/>
        <v>-5.9765778674444187E-6</v>
      </c>
      <c r="X689" s="29">
        <f>_xll.qlDayCounterYearFraction(DayCounter,SettlementDate,S689,,,Trigger)</f>
        <v>58.013888888888886</v>
      </c>
      <c r="Y689" s="29">
        <f>_xll.qlDayCounterYearFraction(DayCounter,S689,T689)</f>
        <v>8.611111111111111E-2</v>
      </c>
      <c r="Z689" s="29">
        <f>IF($M$13,_xll.qlYieldTSDiscount(Currency&amp;"ON",S689)/(1+V689*Y689),1)</f>
        <v>1</v>
      </c>
      <c r="AA689" s="30">
        <f>_xll.qlTenorBasisValue(TenorBasis1M,S689,InterestRatesTrigger)</f>
        <v>5.2011491938972284E-7</v>
      </c>
      <c r="AB689" s="74">
        <f t="shared" si="46"/>
        <v>1.3480248273624233E-2</v>
      </c>
      <c r="AC689" s="76">
        <f t="shared" si="47"/>
        <v>1.0004821740068353</v>
      </c>
    </row>
    <row r="690" spans="16:29" x14ac:dyDescent="0.2">
      <c r="P690" s="33">
        <v>1</v>
      </c>
      <c r="Q690" s="27" t="str">
        <f>_xll.qlPeriodEquivalent(Q689&amp;"+"&amp;P690&amp;"M")</f>
        <v>57Y3M</v>
      </c>
      <c r="R690" s="28">
        <f>_xll.qlCalendarAdvance(Calendar,SettlementDate,Q690,"f",,Trigger)</f>
        <v>63191</v>
      </c>
      <c r="S690" s="28">
        <f>_xll.qlInterestRateIndexValueDate(Index,R690,Trigger)</f>
        <v>63193</v>
      </c>
      <c r="T690" s="28">
        <f>_xll.qlInterestRateIndexMaturity(Index,S690,Trigger)</f>
        <v>63226</v>
      </c>
      <c r="U690" s="30">
        <f>_xll.qlIndexFixing($M$5,R690,TRUE,InterestRatesTrigger)</f>
        <v>1.3488306739940403E-2</v>
      </c>
      <c r="V690" s="74">
        <f>_xll.qlIndexFixing(Index,R690,TRUE,InterestRatesTrigger)</f>
        <v>1.3484669264545572E-2</v>
      </c>
      <c r="W690" s="30">
        <f t="shared" si="45"/>
        <v>-3.6374753948301836E-6</v>
      </c>
      <c r="X690" s="29">
        <f>_xll.qlDayCounterYearFraction(DayCounter,SettlementDate,S690,,,Trigger)</f>
        <v>58.094444444444441</v>
      </c>
      <c r="Y690" s="29">
        <f>_xll.qlDayCounterYearFraction(DayCounter,S690,T690)</f>
        <v>9.166666666666666E-2</v>
      </c>
      <c r="Z690" s="29">
        <f>IF($M$13,_xll.qlYieldTSDiscount(Currency&amp;"ON",S690)/(1+V690*Y690),1)</f>
        <v>1</v>
      </c>
      <c r="AA690" s="30">
        <f>_xll.qlTenorBasisValue(TenorBasis1M,S690,InterestRatesTrigger)</f>
        <v>5.1361322020403461E-7</v>
      </c>
      <c r="AB690" s="74">
        <f t="shared" si="46"/>
        <v>1.3488820353160607E-2</v>
      </c>
      <c r="AC690" s="76">
        <f t="shared" si="47"/>
        <v>1.0003078376290584</v>
      </c>
    </row>
    <row r="691" spans="16:29" x14ac:dyDescent="0.2">
      <c r="P691" s="33">
        <v>1</v>
      </c>
      <c r="Q691" s="27" t="str">
        <f>_xll.qlPeriodEquivalent(Q690&amp;"+"&amp;P691&amp;"M")</f>
        <v>57Y4M</v>
      </c>
      <c r="R691" s="28">
        <f>_xll.qlCalendarAdvance(Calendar,SettlementDate,Q691,"f",,Trigger)</f>
        <v>63222</v>
      </c>
      <c r="S691" s="28">
        <f>_xll.qlInterestRateIndexValueDate(Index,R691,Trigger)</f>
        <v>63226</v>
      </c>
      <c r="T691" s="28">
        <f>_xll.qlInterestRateIndexMaturity(Index,S691,Trigger)</f>
        <v>63254</v>
      </c>
      <c r="U691" s="30">
        <f>_xll.qlIndexFixing($M$5,R691,TRUE,InterestRatesTrigger)</f>
        <v>1.3495007424598273E-2</v>
      </c>
      <c r="V691" s="74">
        <f>_xll.qlIndexFixing(Index,R691,TRUE,InterestRatesTrigger)</f>
        <v>1.3493708747515256E-2</v>
      </c>
      <c r="W691" s="30">
        <f t="shared" si="45"/>
        <v>-1.2986770830166611E-6</v>
      </c>
      <c r="X691" s="29">
        <f>_xll.qlDayCounterYearFraction(DayCounter,SettlementDate,S691,,,Trigger)</f>
        <v>58.18611111111111</v>
      </c>
      <c r="Y691" s="29">
        <f>_xll.qlDayCounterYearFraction(DayCounter,S691,T691)</f>
        <v>7.7777777777777779E-2</v>
      </c>
      <c r="Z691" s="29">
        <f>IF($M$13,_xll.qlYieldTSDiscount(Currency&amp;"ON",S691)/(1+V691*Y691),1)</f>
        <v>1</v>
      </c>
      <c r="AA691" s="30">
        <f>_xll.qlTenorBasisValue(TenorBasis1M,S691,InterestRatesTrigger)</f>
        <v>5.0631241799344669E-7</v>
      </c>
      <c r="AB691" s="74">
        <f t="shared" si="46"/>
        <v>1.3495513737016266E-2</v>
      </c>
      <c r="AC691" s="76">
        <f t="shared" si="47"/>
        <v>1.000133765263115</v>
      </c>
    </row>
    <row r="692" spans="16:29" x14ac:dyDescent="0.2">
      <c r="P692" s="33">
        <v>1</v>
      </c>
      <c r="Q692" s="27" t="str">
        <f>_xll.qlPeriodEquivalent(Q691&amp;"+"&amp;P692&amp;"M")</f>
        <v>57Y5M</v>
      </c>
      <c r="R692" s="28">
        <f>_xll.qlCalendarAdvance(Calendar,SettlementDate,Q692,"f",,Trigger)</f>
        <v>63250</v>
      </c>
      <c r="S692" s="28">
        <f>_xll.qlInterestRateIndexValueDate(Index,R692,Trigger)</f>
        <v>63254</v>
      </c>
      <c r="T692" s="28">
        <f>_xll.qlInterestRateIndexMaturity(Index,S692,Trigger)</f>
        <v>63285</v>
      </c>
      <c r="U692" s="30">
        <f>_xll.qlIndexFixing($M$5,R692,TRUE,InterestRatesTrigger)</f>
        <v>1.3503225667510643E-2</v>
      </c>
      <c r="V692" s="74">
        <f>_xll.qlIndexFixing(Index,R692,TRUE,InterestRatesTrigger)</f>
        <v>1.3504146665591023E-2</v>
      </c>
      <c r="W692" s="30">
        <f t="shared" si="45"/>
        <v>9.2099808038023645E-7</v>
      </c>
      <c r="X692" s="29">
        <f>_xll.qlDayCounterYearFraction(DayCounter,SettlementDate,S692,,,Trigger)</f>
        <v>58.263888888888886</v>
      </c>
      <c r="Y692" s="29">
        <f>_xll.qlDayCounterYearFraction(DayCounter,S692,T692)</f>
        <v>8.611111111111111E-2</v>
      </c>
      <c r="Z692" s="29">
        <f>IF($M$13,_xll.qlYieldTSDiscount(Currency&amp;"ON",S692)/(1+V692*Y692),1)</f>
        <v>1</v>
      </c>
      <c r="AA692" s="30">
        <f>_xll.qlTenorBasisValue(TenorBasis1M,S692,InterestRatesTrigger)</f>
        <v>5.0019831624540601E-7</v>
      </c>
      <c r="AB692" s="74">
        <f t="shared" si="46"/>
        <v>1.3503725865826889E-2</v>
      </c>
      <c r="AC692" s="76">
        <f t="shared" si="47"/>
        <v>0.99996883921845969</v>
      </c>
    </row>
    <row r="693" spans="16:29" x14ac:dyDescent="0.2">
      <c r="P693" s="33">
        <v>1</v>
      </c>
      <c r="Q693" s="27" t="str">
        <f>_xll.qlPeriodEquivalent(Q692&amp;"+"&amp;P693&amp;"M")</f>
        <v>57Y6M</v>
      </c>
      <c r="R693" s="28">
        <f>_xll.qlCalendarAdvance(Calendar,SettlementDate,Q693,"f",,Trigger)</f>
        <v>63282</v>
      </c>
      <c r="S693" s="28">
        <f>_xll.qlInterestRateIndexValueDate(Index,R693,Trigger)</f>
        <v>63284</v>
      </c>
      <c r="T693" s="28">
        <f>_xll.qlInterestRateIndexMaturity(Index,S693,Trigger)</f>
        <v>63314</v>
      </c>
      <c r="U693" s="30">
        <f>_xll.qlIndexFixing($M$5,R693,TRUE,InterestRatesTrigger)</f>
        <v>1.3510200237399239E-2</v>
      </c>
      <c r="V693" s="74">
        <f>_xll.qlIndexFixing(Index,R693,TRUE,InterestRatesTrigger)</f>
        <v>1.3513299292004177E-2</v>
      </c>
      <c r="W693" s="30">
        <f t="shared" si="45"/>
        <v>3.0990546049380896E-6</v>
      </c>
      <c r="X693" s="29">
        <f>_xll.qlDayCounterYearFraction(DayCounter,SettlementDate,S693,,,Trigger)</f>
        <v>58.347222222222221</v>
      </c>
      <c r="Y693" s="29">
        <f>_xll.qlDayCounterYearFraction(DayCounter,S693,T693)</f>
        <v>8.3333333333333329E-2</v>
      </c>
      <c r="Z693" s="29">
        <f>IF($M$13,_xll.qlYieldTSDiscount(Currency&amp;"ON",S693)/(1+V693*Y693),1)</f>
        <v>1</v>
      </c>
      <c r="AA693" s="30">
        <f>_xll.qlTenorBasisValue(TenorBasis1M,S693,InterestRatesTrigger)</f>
        <v>4.9372847452374004E-7</v>
      </c>
      <c r="AB693" s="74">
        <f t="shared" si="46"/>
        <v>1.3510693965873764E-2</v>
      </c>
      <c r="AC693" s="76">
        <f t="shared" si="47"/>
        <v>0.99980720281005286</v>
      </c>
    </row>
    <row r="694" spans="16:29" x14ac:dyDescent="0.2">
      <c r="P694" s="33">
        <v>1</v>
      </c>
      <c r="Q694" s="27" t="str">
        <f>_xll.qlPeriodEquivalent(Q693&amp;"+"&amp;P694&amp;"M")</f>
        <v>57Y7M</v>
      </c>
      <c r="R694" s="28">
        <f>_xll.qlCalendarAdvance(Calendar,SettlementDate,Q694,"f",,Trigger)</f>
        <v>63311</v>
      </c>
      <c r="S694" s="28">
        <f>_xll.qlInterestRateIndexValueDate(Index,R694,Trigger)</f>
        <v>63313</v>
      </c>
      <c r="T694" s="28">
        <f>_xll.qlInterestRateIndexMaturity(Index,S694,Trigger)</f>
        <v>63345</v>
      </c>
      <c r="U694" s="30">
        <f>_xll.qlIndexFixing($M$5,R694,TRUE,InterestRatesTrigger)</f>
        <v>1.3517815404814892E-2</v>
      </c>
      <c r="V694" s="74">
        <f>_xll.qlIndexFixing(Index,R694,TRUE,InterestRatesTrigger)</f>
        <v>1.3523084425247356E-2</v>
      </c>
      <c r="W694" s="30">
        <f t="shared" si="45"/>
        <v>5.2690204324634671E-6</v>
      </c>
      <c r="X694" s="29">
        <f>_xll.qlDayCounterYearFraction(DayCounter,SettlementDate,S694,,,Trigger)</f>
        <v>58.427777777777777</v>
      </c>
      <c r="Y694" s="29">
        <f>_xll.qlDayCounterYearFraction(DayCounter,S694,T694)</f>
        <v>8.8888888888888892E-2</v>
      </c>
      <c r="Z694" s="29">
        <f>IF($M$13,_xll.qlYieldTSDiscount(Currency&amp;"ON",S694)/(1+V694*Y694),1)</f>
        <v>1</v>
      </c>
      <c r="AA694" s="30">
        <f>_xll.qlTenorBasisValue(TenorBasis1M,S694,InterestRatesTrigger)</f>
        <v>4.8755295557016543E-7</v>
      </c>
      <c r="AB694" s="74">
        <f t="shared" si="46"/>
        <v>1.3518302957770463E-2</v>
      </c>
      <c r="AC694" s="76">
        <f t="shared" si="47"/>
        <v>0.99964642182755536</v>
      </c>
    </row>
    <row r="695" spans="16:29" x14ac:dyDescent="0.2">
      <c r="P695" s="33">
        <v>1</v>
      </c>
      <c r="Q695" s="27" t="str">
        <f>_xll.qlPeriodEquivalent(Q694&amp;"+"&amp;P695&amp;"M")</f>
        <v>57Y8M</v>
      </c>
      <c r="R695" s="28">
        <f>_xll.qlCalendarAdvance(Calendar,SettlementDate,Q695,"f",,Trigger)</f>
        <v>63342</v>
      </c>
      <c r="S695" s="28">
        <f>_xll.qlInterestRateIndexValueDate(Index,R695,Trigger)</f>
        <v>63346</v>
      </c>
      <c r="T695" s="28">
        <f>_xll.qlInterestRateIndexMaturity(Index,S695,Trigger)</f>
        <v>63376</v>
      </c>
      <c r="U695" s="30">
        <f>_xll.qlIndexFixing($M$5,R695,TRUE,InterestRatesTrigger)</f>
        <v>1.3524625429669257E-2</v>
      </c>
      <c r="V695" s="74">
        <f>_xll.qlIndexFixing(Index,R695,TRUE,InterestRatesTrigger)</f>
        <v>1.3532156650907901E-2</v>
      </c>
      <c r="W695" s="30">
        <f t="shared" si="45"/>
        <v>7.5312212386435817E-6</v>
      </c>
      <c r="X695" s="29">
        <f>_xll.qlDayCounterYearFraction(DayCounter,SettlementDate,S695,,,Trigger)</f>
        <v>58.519444444444446</v>
      </c>
      <c r="Y695" s="29">
        <f>_xll.qlDayCounterYearFraction(DayCounter,S695,T695)</f>
        <v>8.3333333333333329E-2</v>
      </c>
      <c r="Z695" s="29">
        <f>IF($M$13,_xll.qlYieldTSDiscount(Currency&amp;"ON",S695)/(1+V695*Y695),1)</f>
        <v>1</v>
      </c>
      <c r="AA695" s="30">
        <f>_xll.qlTenorBasisValue(TenorBasis1M,S695,InterestRatesTrigger)</f>
        <v>4.8061849150068218E-7</v>
      </c>
      <c r="AB695" s="74">
        <f t="shared" si="46"/>
        <v>1.3525106048160757E-2</v>
      </c>
      <c r="AC695" s="76">
        <f t="shared" si="47"/>
        <v>0.99947897419982423</v>
      </c>
    </row>
    <row r="696" spans="16:29" x14ac:dyDescent="0.2">
      <c r="P696" s="33">
        <v>1</v>
      </c>
      <c r="Q696" s="27" t="str">
        <f>_xll.qlPeriodEquivalent(Q695&amp;"+"&amp;P696&amp;"M")</f>
        <v>57Y9M</v>
      </c>
      <c r="R696" s="28">
        <f>_xll.qlCalendarAdvance(Calendar,SettlementDate,Q696,"f",,Trigger)</f>
        <v>63373</v>
      </c>
      <c r="S696" s="28">
        <f>_xll.qlInterestRateIndexValueDate(Index,R696,Trigger)</f>
        <v>63375</v>
      </c>
      <c r="T696" s="28">
        <f>_xll.qlInterestRateIndexMaturity(Index,S696,Trigger)</f>
        <v>63408</v>
      </c>
      <c r="U696" s="30">
        <f>_xll.qlIndexFixing($M$5,R696,TRUE,InterestRatesTrigger)</f>
        <v>1.3532102362082587E-2</v>
      </c>
      <c r="V696" s="74">
        <f>_xll.qlIndexFixing(Index,R696,TRUE,InterestRatesTrigger)</f>
        <v>1.3541738320981269E-2</v>
      </c>
      <c r="W696" s="30">
        <f t="shared" si="45"/>
        <v>9.6359588986818373E-6</v>
      </c>
      <c r="X696" s="29">
        <f>_xll.qlDayCounterYearFraction(DayCounter,SettlementDate,S696,,,Trigger)</f>
        <v>58.6</v>
      </c>
      <c r="Y696" s="29">
        <f>_xll.qlDayCounterYearFraction(DayCounter,S696,T696)</f>
        <v>9.166666666666666E-2</v>
      </c>
      <c r="Z696" s="29">
        <f>IF($M$13,_xll.qlYieldTSDiscount(Currency&amp;"ON",S696)/(1+V696*Y696),1)</f>
        <v>1</v>
      </c>
      <c r="AA696" s="30">
        <f>_xll.qlTenorBasisValue(TenorBasis1M,S696,InterestRatesTrigger)</f>
        <v>4.7460512411658702E-7</v>
      </c>
      <c r="AB696" s="74">
        <f t="shared" si="46"/>
        <v>1.3532576967206703E-2</v>
      </c>
      <c r="AC696" s="76">
        <f t="shared" si="47"/>
        <v>0.99932347283949718</v>
      </c>
    </row>
    <row r="697" spans="16:29" x14ac:dyDescent="0.2">
      <c r="P697" s="33">
        <v>1</v>
      </c>
      <c r="Q697" s="27" t="str">
        <f>_xll.qlPeriodEquivalent(Q696&amp;"+"&amp;P697&amp;"M")</f>
        <v>57Y10M</v>
      </c>
      <c r="R697" s="28">
        <f>_xll.qlCalendarAdvance(Calendar,SettlementDate,Q697,"f",,Trigger)</f>
        <v>63403</v>
      </c>
      <c r="S697" s="28">
        <f>_xll.qlInterestRateIndexValueDate(Index,R697,Trigger)</f>
        <v>63405</v>
      </c>
      <c r="T697" s="28">
        <f>_xll.qlInterestRateIndexMaturity(Index,S697,Trigger)</f>
        <v>63436</v>
      </c>
      <c r="U697" s="30">
        <f>_xll.qlIndexFixing($M$5,R697,TRUE,InterestRatesTrigger)</f>
        <v>1.353774935838963E-2</v>
      </c>
      <c r="V697" s="74">
        <f>_xll.qlIndexFixing(Index,R697,TRUE,InterestRatesTrigger)</f>
        <v>1.3549336517299414E-2</v>
      </c>
      <c r="W697" s="30">
        <f t="shared" si="45"/>
        <v>1.1587158909783304E-5</v>
      </c>
      <c r="X697" s="29">
        <f>_xll.qlDayCounterYearFraction(DayCounter,SettlementDate,S697,,,Trigger)</f>
        <v>58.68333333333333</v>
      </c>
      <c r="Y697" s="29">
        <f>_xll.qlDayCounterYearFraction(DayCounter,S697,T697)</f>
        <v>8.611111111111111E-2</v>
      </c>
      <c r="Z697" s="29">
        <f>IF($M$13,_xll.qlYieldTSDiscount(Currency&amp;"ON",S697)/(1+V697*Y697),1)</f>
        <v>1</v>
      </c>
      <c r="AA697" s="30">
        <f>_xll.qlTenorBasisValue(TenorBasis1M,S697,InterestRatesTrigger)</f>
        <v>4.6846267782001082E-7</v>
      </c>
      <c r="AB697" s="74">
        <f t="shared" si="46"/>
        <v>1.353821782106745E-2</v>
      </c>
      <c r="AC697" s="76">
        <f t="shared" si="47"/>
        <v>0.99917939183090132</v>
      </c>
    </row>
    <row r="698" spans="16:29" x14ac:dyDescent="0.2">
      <c r="P698" s="33">
        <v>1</v>
      </c>
      <c r="Q698" s="27" t="str">
        <f>_xll.qlPeriodEquivalent(Q697&amp;"+"&amp;P698&amp;"M")</f>
        <v>57Y11M</v>
      </c>
      <c r="R698" s="28">
        <f>_xll.qlCalendarAdvance(Calendar,SettlementDate,Q698,"f",,Trigger)</f>
        <v>63436</v>
      </c>
      <c r="S698" s="28">
        <f>_xll.qlInterestRateIndexValueDate(Index,R698,Trigger)</f>
        <v>63438</v>
      </c>
      <c r="T698" s="28">
        <f>_xll.qlInterestRateIndexMaturity(Index,S698,Trigger)</f>
        <v>63468</v>
      </c>
      <c r="U698" s="30">
        <f>_xll.qlIndexFixing($M$5,R698,TRUE,InterestRatesTrigger)</f>
        <v>1.3544122948633941E-2</v>
      </c>
      <c r="V698" s="74">
        <f>_xll.qlIndexFixing(Index,R698,TRUE,InterestRatesTrigger)</f>
        <v>1.3557837930722627E-2</v>
      </c>
      <c r="W698" s="30">
        <f t="shared" si="45"/>
        <v>1.3714982088686156E-5</v>
      </c>
      <c r="X698" s="29">
        <f>_xll.qlDayCounterYearFraction(DayCounter,SettlementDate,S698,,,Trigger)</f>
        <v>58.774999999999999</v>
      </c>
      <c r="Y698" s="29">
        <f>_xll.qlDayCounterYearFraction(DayCounter,S698,T698)</f>
        <v>8.3333333333333329E-2</v>
      </c>
      <c r="Z698" s="29">
        <f>IF($M$13,_xll.qlYieldTSDiscount(Currency&amp;"ON",S698)/(1+V698*Y698),1)</f>
        <v>1</v>
      </c>
      <c r="AA698" s="30">
        <f>_xll.qlTenorBasisValue(TenorBasis1M,S698,InterestRatesTrigger)</f>
        <v>4.6179674552366977E-7</v>
      </c>
      <c r="AB698" s="74">
        <f t="shared" si="46"/>
        <v>1.3544584745379465E-2</v>
      </c>
      <c r="AC698" s="76">
        <f t="shared" si="47"/>
        <v>0.99902247058779703</v>
      </c>
    </row>
    <row r="699" spans="16:29" x14ac:dyDescent="0.2">
      <c r="P699" s="33">
        <v>1</v>
      </c>
      <c r="Q699" s="27" t="str">
        <f>_xll.qlPeriodEquivalent(Q698&amp;"+"&amp;P699&amp;"M")</f>
        <v>58Y</v>
      </c>
      <c r="R699" s="28">
        <f>_xll.qlCalendarAdvance(Calendar,SettlementDate,Q699,"f",,Trigger)</f>
        <v>63464</v>
      </c>
      <c r="S699" s="28">
        <f>_xll.qlInterestRateIndexValueDate(Index,R699,Trigger)</f>
        <v>63466</v>
      </c>
      <c r="T699" s="28">
        <f>_xll.qlInterestRateIndexMaturity(Index,S699,Trigger)</f>
        <v>63499</v>
      </c>
      <c r="U699" s="30">
        <f>_xll.qlIndexFixing($M$5,R699,TRUE,InterestRatesTrigger)</f>
        <v>1.3550654897384556E-2</v>
      </c>
      <c r="V699" s="74">
        <f>_xll.qlIndexFixing(Index,R699,TRUE,InterestRatesTrigger)</f>
        <v>1.3566246908053808E-2</v>
      </c>
      <c r="W699" s="30">
        <f t="shared" si="45"/>
        <v>1.5592010669251977E-5</v>
      </c>
      <c r="X699" s="29">
        <f>_xll.qlDayCounterYearFraction(DayCounter,SettlementDate,S699,,,Trigger)</f>
        <v>58.852777777777774</v>
      </c>
      <c r="Y699" s="29">
        <f>_xll.qlDayCounterYearFraction(DayCounter,S699,T699)</f>
        <v>9.166666666666666E-2</v>
      </c>
      <c r="Z699" s="29">
        <f>IF($M$13,_xll.qlYieldTSDiscount(Currency&amp;"ON",S699)/(1+V699*Y699),1)</f>
        <v>1</v>
      </c>
      <c r="AA699" s="30">
        <f>_xll.qlTenorBasisValue(TenorBasis1M,S699,InterestRatesTrigger)</f>
        <v>4.562144141621706E-7</v>
      </c>
      <c r="AB699" s="74">
        <f t="shared" si="46"/>
        <v>1.3551111111798719E-2</v>
      </c>
      <c r="AC699" s="76">
        <f t="shared" si="47"/>
        <v>0.99888430482227897</v>
      </c>
    </row>
    <row r="700" spans="16:29" x14ac:dyDescent="0.2">
      <c r="P700" s="33">
        <v>1</v>
      </c>
      <c r="Q700" s="27" t="str">
        <f>_xll.qlPeriodEquivalent(Q699&amp;"+"&amp;P700&amp;"M")</f>
        <v>58Y1M</v>
      </c>
      <c r="R700" s="28">
        <f>_xll.qlCalendarAdvance(Calendar,SettlementDate,Q700,"f",,Trigger)</f>
        <v>63495</v>
      </c>
      <c r="S700" s="28">
        <f>_xll.qlInterestRateIndexValueDate(Index,R700,Trigger)</f>
        <v>63499</v>
      </c>
      <c r="T700" s="28">
        <f>_xll.qlInterestRateIndexMaturity(Index,S700,Trigger)</f>
        <v>63529</v>
      </c>
      <c r="U700" s="30">
        <f>_xll.qlIndexFixing($M$5,R700,TRUE,InterestRatesTrigger)</f>
        <v>1.3555794034720847E-2</v>
      </c>
      <c r="V700" s="74">
        <f>_xll.qlIndexFixing(Index,R700,TRUE,InterestRatesTrigger)</f>
        <v>1.3573326901721749E-2</v>
      </c>
      <c r="W700" s="30">
        <f t="shared" si="45"/>
        <v>1.7532867000902286E-5</v>
      </c>
      <c r="X700" s="29">
        <f>_xll.qlDayCounterYearFraction(DayCounter,SettlementDate,S700,,,Trigger)</f>
        <v>58.944444444444443</v>
      </c>
      <c r="Y700" s="29">
        <f>_xll.qlDayCounterYearFraction(DayCounter,S700,T700)</f>
        <v>8.3333333333333329E-2</v>
      </c>
      <c r="Z700" s="29">
        <f>IF($M$13,_xll.qlYieldTSDiscount(Currency&amp;"ON",S700)/(1+V700*Y700),1)</f>
        <v>1</v>
      </c>
      <c r="AA700" s="30">
        <f>_xll.qlTenorBasisValue(TenorBasis1M,S700,InterestRatesTrigger)</f>
        <v>4.4972085047303798E-7</v>
      </c>
      <c r="AB700" s="74">
        <f t="shared" si="46"/>
        <v>1.355624375557132E-2</v>
      </c>
      <c r="AC700" s="76">
        <f t="shared" si="47"/>
        <v>0.99874141790924797</v>
      </c>
    </row>
    <row r="701" spans="16:29" x14ac:dyDescent="0.2">
      <c r="P701" s="33">
        <v>1</v>
      </c>
      <c r="Q701" s="27" t="str">
        <f>_xll.qlPeriodEquivalent(Q700&amp;"+"&amp;P701&amp;"M")</f>
        <v>58Y2M</v>
      </c>
      <c r="R701" s="28">
        <f>_xll.qlCalendarAdvance(Calendar,SettlementDate,Q701,"f",,Trigger)</f>
        <v>63527</v>
      </c>
      <c r="S701" s="28">
        <f>_xll.qlInterestRateIndexValueDate(Index,R701,Trigger)</f>
        <v>63529</v>
      </c>
      <c r="T701" s="28">
        <f>_xll.qlInterestRateIndexMaturity(Index,S701,Trigger)</f>
        <v>63562</v>
      </c>
      <c r="U701" s="30">
        <f>_xll.qlIndexFixing($M$5,R701,TRUE,InterestRatesTrigger)</f>
        <v>1.3562192512710717E-2</v>
      </c>
      <c r="V701" s="74">
        <f>_xll.qlIndexFixing(Index,R701,TRUE,InterestRatesTrigger)</f>
        <v>1.358160421298458E-2</v>
      </c>
      <c r="W701" s="30">
        <f t="shared" si="45"/>
        <v>1.941170027386363E-5</v>
      </c>
      <c r="X701" s="29">
        <f>_xll.qlDayCounterYearFraction(DayCounter,SettlementDate,S701,,,Trigger)</f>
        <v>59.027777777777779</v>
      </c>
      <c r="Y701" s="29">
        <f>_xll.qlDayCounterYearFraction(DayCounter,S701,T701)</f>
        <v>9.166666666666666E-2</v>
      </c>
      <c r="Z701" s="29">
        <f>IF($M$13,_xll.qlYieldTSDiscount(Currency&amp;"ON",S701)/(1+V701*Y701),1)</f>
        <v>1</v>
      </c>
      <c r="AA701" s="30">
        <f>_xll.qlTenorBasisValue(TenorBasis1M,S701,InterestRatesTrigger)</f>
        <v>4.4389696610248681E-7</v>
      </c>
      <c r="AB701" s="74">
        <f t="shared" si="46"/>
        <v>1.356263640967682E-2</v>
      </c>
      <c r="AC701" s="76">
        <f t="shared" si="47"/>
        <v>0.99860341952170673</v>
      </c>
    </row>
    <row r="702" spans="16:29" x14ac:dyDescent="0.2">
      <c r="P702" s="33">
        <v>1</v>
      </c>
      <c r="Q702" s="27" t="str">
        <f>_xll.qlPeriodEquivalent(Q701&amp;"+"&amp;P702&amp;"M")</f>
        <v>58Y3M</v>
      </c>
      <c r="R702" s="28">
        <f>_xll.qlCalendarAdvance(Calendar,SettlementDate,Q702,"f",,Trigger)</f>
        <v>63556</v>
      </c>
      <c r="S702" s="28">
        <f>_xll.qlInterestRateIndexValueDate(Index,R702,Trigger)</f>
        <v>63558</v>
      </c>
      <c r="T702" s="28">
        <f>_xll.qlInterestRateIndexMaturity(Index,S702,Trigger)</f>
        <v>63590</v>
      </c>
      <c r="U702" s="30">
        <f>_xll.qlIndexFixing($M$5,R702,TRUE,InterestRatesTrigger)</f>
        <v>1.3566805948264371E-2</v>
      </c>
      <c r="V702" s="74">
        <f>_xll.qlIndexFixing(Index,R702,TRUE,InterestRatesTrigger)</f>
        <v>1.35878578258955E-2</v>
      </c>
      <c r="W702" s="30">
        <f t="shared" si="45"/>
        <v>2.105187763112859E-5</v>
      </c>
      <c r="X702" s="29">
        <f>_xll.qlDayCounterYearFraction(DayCounter,SettlementDate,S702,,,Trigger)</f>
        <v>59.108333333333334</v>
      </c>
      <c r="Y702" s="29">
        <f>_xll.qlDayCounterYearFraction(DayCounter,S702,T702)</f>
        <v>8.8888888888888892E-2</v>
      </c>
      <c r="Z702" s="29">
        <f>IF($M$13,_xll.qlYieldTSDiscount(Currency&amp;"ON",S702)/(1+V702*Y702),1)</f>
        <v>1</v>
      </c>
      <c r="AA702" s="30">
        <f>_xll.qlTenorBasisValue(TenorBasis1M,S702,InterestRatesTrigger)</f>
        <v>4.383381234655802E-7</v>
      </c>
      <c r="AB702" s="74">
        <f t="shared" si="46"/>
        <v>1.3567244286387836E-2</v>
      </c>
      <c r="AC702" s="76">
        <f t="shared" si="47"/>
        <v>0.99848294412763294</v>
      </c>
    </row>
    <row r="703" spans="16:29" x14ac:dyDescent="0.2">
      <c r="P703" s="33">
        <v>1</v>
      </c>
      <c r="Q703" s="27" t="str">
        <f>_xll.qlPeriodEquivalent(Q702&amp;"+"&amp;P703&amp;"M")</f>
        <v>58Y4M</v>
      </c>
      <c r="R703" s="28">
        <f>_xll.qlCalendarAdvance(Calendar,SettlementDate,Q703,"f",,Trigger)</f>
        <v>63587</v>
      </c>
      <c r="S703" s="28">
        <f>_xll.qlInterestRateIndexValueDate(Index,R703,Trigger)</f>
        <v>63591</v>
      </c>
      <c r="T703" s="28">
        <f>_xll.qlInterestRateIndexMaturity(Index,S703,Trigger)</f>
        <v>63619</v>
      </c>
      <c r="U703" s="30">
        <f>_xll.qlIndexFixing($M$5,R703,TRUE,InterestRatesTrigger)</f>
        <v>1.3570832511730238E-2</v>
      </c>
      <c r="V703" s="74">
        <f>_xll.qlIndexFixing(Index,R703,TRUE,InterestRatesTrigger)</f>
        <v>1.3593602037897628E-2</v>
      </c>
      <c r="W703" s="30">
        <f t="shared" si="45"/>
        <v>2.2769526167389781E-5</v>
      </c>
      <c r="X703" s="29">
        <f>_xll.qlDayCounterYearFraction(DayCounter,SettlementDate,S703,,,Trigger)</f>
        <v>59.2</v>
      </c>
      <c r="Y703" s="29">
        <f>_xll.qlDayCounterYearFraction(DayCounter,S703,T703)</f>
        <v>7.7777777777777779E-2</v>
      </c>
      <c r="Z703" s="29">
        <f>IF($M$13,_xll.qlYieldTSDiscount(Currency&amp;"ON",S703)/(1+V703*Y703),1)</f>
        <v>1</v>
      </c>
      <c r="AA703" s="30">
        <f>_xll.qlTenorBasisValue(TenorBasis1M,S703,InterestRatesTrigger)</f>
        <v>4.3209624553361424E-7</v>
      </c>
      <c r="AB703" s="74">
        <f t="shared" si="46"/>
        <v>1.3571264607975772E-2</v>
      </c>
      <c r="AC703" s="76">
        <f t="shared" si="47"/>
        <v>0.99835676887850766</v>
      </c>
    </row>
    <row r="704" spans="16:29" x14ac:dyDescent="0.2">
      <c r="P704" s="33">
        <v>1</v>
      </c>
      <c r="Q704" s="27" t="str">
        <f>_xll.qlPeriodEquivalent(Q703&amp;"+"&amp;P704&amp;"M")</f>
        <v>58Y5M</v>
      </c>
      <c r="R704" s="28">
        <f>_xll.qlCalendarAdvance(Calendar,SettlementDate,Q704,"f",,Trigger)</f>
        <v>63615</v>
      </c>
      <c r="S704" s="28">
        <f>_xll.qlInterestRateIndexValueDate(Index,R704,Trigger)</f>
        <v>63619</v>
      </c>
      <c r="T704" s="28">
        <f>_xll.qlInterestRateIndexMaturity(Index,S704,Trigger)</f>
        <v>63650</v>
      </c>
      <c r="U704" s="30">
        <f>_xll.qlIndexFixing($M$5,R704,TRUE,InterestRatesTrigger)</f>
        <v>1.3576159673589064E-2</v>
      </c>
      <c r="V704" s="74">
        <f>_xll.qlIndexFixing(Index,R704,TRUE,InterestRatesTrigger)</f>
        <v>1.3600504265180715E-2</v>
      </c>
      <c r="W704" s="30">
        <f t="shared" si="45"/>
        <v>2.4344591591651463E-5</v>
      </c>
      <c r="X704" s="29">
        <f>_xll.qlDayCounterYearFraction(DayCounter,SettlementDate,S704,,,Trigger)</f>
        <v>59.277777777777779</v>
      </c>
      <c r="Y704" s="29">
        <f>_xll.qlDayCounterYearFraction(DayCounter,S704,T704)</f>
        <v>8.611111111111111E-2</v>
      </c>
      <c r="Z704" s="29">
        <f>IF($M$13,_xll.qlYieldTSDiscount(Currency&amp;"ON",S704)/(1+V704*Y704),1)</f>
        <v>1</v>
      </c>
      <c r="AA704" s="30">
        <f>_xll.qlTenorBasisValue(TenorBasis1M,S704,InterestRatesTrigger)</f>
        <v>4.2686909788258537E-7</v>
      </c>
      <c r="AB704" s="74">
        <f t="shared" si="46"/>
        <v>1.3576586542686946E-2</v>
      </c>
      <c r="AC704" s="76">
        <f t="shared" si="47"/>
        <v>0.99824140913988002</v>
      </c>
    </row>
    <row r="705" spans="16:29" x14ac:dyDescent="0.2">
      <c r="P705" s="33">
        <v>1</v>
      </c>
      <c r="Q705" s="27" t="str">
        <f>_xll.qlPeriodEquivalent(Q704&amp;"+"&amp;P705&amp;"M")</f>
        <v>58Y6M</v>
      </c>
      <c r="R705" s="28">
        <f>_xll.qlCalendarAdvance(Calendar,SettlementDate,Q705,"f",,Trigger)</f>
        <v>63646</v>
      </c>
      <c r="S705" s="28">
        <f>_xll.qlInterestRateIndexValueDate(Index,R705,Trigger)</f>
        <v>63648</v>
      </c>
      <c r="T705" s="28">
        <f>_xll.qlInterestRateIndexMaturity(Index,S705,Trigger)</f>
        <v>63678</v>
      </c>
      <c r="U705" s="30">
        <f>_xll.qlIndexFixing($M$5,R705,TRUE,InterestRatesTrigger)</f>
        <v>1.3580089119619387E-2</v>
      </c>
      <c r="V705" s="74">
        <f>_xll.qlIndexFixing(Index,R705,TRUE,InterestRatesTrigger)</f>
        <v>1.3605891597901376E-2</v>
      </c>
      <c r="W705" s="30">
        <f t="shared" si="45"/>
        <v>2.5802478281988783E-5</v>
      </c>
      <c r="X705" s="29">
        <f>_xll.qlDayCounterYearFraction(DayCounter,SettlementDate,S705,,,Trigger)</f>
        <v>59.358333333333334</v>
      </c>
      <c r="Y705" s="29">
        <f>_xll.qlDayCounterYearFraction(DayCounter,S705,T705)</f>
        <v>8.3333333333333329E-2</v>
      </c>
      <c r="Z705" s="29">
        <f>IF($M$13,_xll.qlYieldTSDiscount(Currency&amp;"ON",S705)/(1+V705*Y705),1)</f>
        <v>1</v>
      </c>
      <c r="AA705" s="30">
        <f>_xll.qlTenorBasisValue(TenorBasis1M,S705,InterestRatesTrigger)</f>
        <v>4.2152119204324316E-7</v>
      </c>
      <c r="AB705" s="74">
        <f t="shared" si="46"/>
        <v>1.358051064081143E-2</v>
      </c>
      <c r="AC705" s="76">
        <f t="shared" si="47"/>
        <v>0.99813456127389255</v>
      </c>
    </row>
    <row r="706" spans="16:29" x14ac:dyDescent="0.2">
      <c r="P706" s="33">
        <v>1</v>
      </c>
      <c r="Q706" s="27" t="str">
        <f>_xll.qlPeriodEquivalent(Q705&amp;"+"&amp;P706&amp;"M")</f>
        <v>58Y7M</v>
      </c>
      <c r="R706" s="28">
        <f>_xll.qlCalendarAdvance(Calendar,SettlementDate,Q706,"f",,Trigger)</f>
        <v>63676</v>
      </c>
      <c r="S706" s="28">
        <f>_xll.qlInterestRateIndexValueDate(Index,R706,Trigger)</f>
        <v>63678</v>
      </c>
      <c r="T706" s="28">
        <f>_xll.qlInterestRateIndexMaturity(Index,S706,Trigger)</f>
        <v>63709</v>
      </c>
      <c r="U706" s="30">
        <f>_xll.qlIndexFixing($M$5,R706,TRUE,InterestRatesTrigger)</f>
        <v>1.3584580654830416E-2</v>
      </c>
      <c r="V706" s="74">
        <f>_xll.qlIndexFixing(Index,R706,TRUE,InterestRatesTrigger)</f>
        <v>1.3611876655005403E-2</v>
      </c>
      <c r="W706" s="30">
        <f t="shared" si="45"/>
        <v>2.7296000174986332E-5</v>
      </c>
      <c r="X706" s="29">
        <f>_xll.qlDayCounterYearFraction(DayCounter,SettlementDate,S706,,,Trigger)</f>
        <v>59.44166666666667</v>
      </c>
      <c r="Y706" s="29">
        <f>_xll.qlDayCounterYearFraction(DayCounter,S706,T706)</f>
        <v>8.611111111111111E-2</v>
      </c>
      <c r="Z706" s="29">
        <f>IF($M$13,_xll.qlYieldTSDiscount(Currency&amp;"ON",S706)/(1+V706*Y706),1)</f>
        <v>1</v>
      </c>
      <c r="AA706" s="30">
        <f>_xll.qlTenorBasisValue(TenorBasis1M,S706,InterestRatesTrigger)</f>
        <v>4.160586048640347E-7</v>
      </c>
      <c r="AB706" s="74">
        <f t="shared" si="46"/>
        <v>1.358499671343528E-2</v>
      </c>
      <c r="AC706" s="76">
        <f t="shared" si="47"/>
        <v>0.9980252582174084</v>
      </c>
    </row>
    <row r="707" spans="16:29" x14ac:dyDescent="0.2">
      <c r="P707" s="33">
        <v>1</v>
      </c>
      <c r="Q707" s="27" t="str">
        <f>_xll.qlPeriodEquivalent(Q706&amp;"+"&amp;P707&amp;"M")</f>
        <v>58Y8M</v>
      </c>
      <c r="R707" s="28">
        <f>_xll.qlCalendarAdvance(Calendar,SettlementDate,Q707,"f",,Trigger)</f>
        <v>63709</v>
      </c>
      <c r="S707" s="28">
        <f>_xll.qlInterestRateIndexValueDate(Index,R707,Trigger)</f>
        <v>63711</v>
      </c>
      <c r="T707" s="28">
        <f>_xll.qlInterestRateIndexMaturity(Index,S707,Trigger)</f>
        <v>63741</v>
      </c>
      <c r="U707" s="30">
        <f>_xll.qlIndexFixing($M$5,R707,TRUE,InterestRatesTrigger)</f>
        <v>1.35885632402033E-2</v>
      </c>
      <c r="V707" s="74">
        <f>_xll.qlIndexFixing(Index,R707,TRUE,InterestRatesTrigger)</f>
        <v>1.361736910299971E-2</v>
      </c>
      <c r="W707" s="30">
        <f t="shared" si="45"/>
        <v>2.8805862796410509E-5</v>
      </c>
      <c r="X707" s="29">
        <f>_xll.qlDayCounterYearFraction(DayCounter,SettlementDate,S707,,,Trigger)</f>
        <v>59.533333333333331</v>
      </c>
      <c r="Y707" s="29">
        <f>_xll.qlDayCounterYearFraction(DayCounter,S707,T707)</f>
        <v>8.3333333333333329E-2</v>
      </c>
      <c r="Z707" s="29">
        <f>IF($M$13,_xll.qlYieldTSDiscount(Currency&amp;"ON",S707)/(1+V707*Y707),1)</f>
        <v>1</v>
      </c>
      <c r="AA707" s="30">
        <f>_xll.qlTenorBasisValue(TenorBasis1M,S707,InterestRatesTrigger)</f>
        <v>4.1013060300909168E-7</v>
      </c>
      <c r="AB707" s="74">
        <f t="shared" si="46"/>
        <v>1.3588973370806308E-2</v>
      </c>
      <c r="AC707" s="76">
        <f t="shared" si="47"/>
        <v>0.99791474168184613</v>
      </c>
    </row>
    <row r="708" spans="16:29" x14ac:dyDescent="0.2">
      <c r="P708" s="33">
        <v>1</v>
      </c>
      <c r="Q708" s="27" t="str">
        <f>_xll.qlPeriodEquivalent(Q707&amp;"+"&amp;P708&amp;"M")</f>
        <v>58Y9M</v>
      </c>
      <c r="R708" s="28">
        <f>_xll.qlCalendarAdvance(Calendar,SettlementDate,Q708,"f",,Trigger)</f>
        <v>63737</v>
      </c>
      <c r="S708" s="28">
        <f>_xll.qlInterestRateIndexValueDate(Index,R708,Trigger)</f>
        <v>63739</v>
      </c>
      <c r="T708" s="28">
        <f>_xll.qlInterestRateIndexMaturity(Index,S708,Trigger)</f>
        <v>63772</v>
      </c>
      <c r="U708" s="30">
        <f>_xll.qlIndexFixing($M$5,R708,TRUE,InterestRatesTrigger)</f>
        <v>1.3592931267939177E-2</v>
      </c>
      <c r="V708" s="74">
        <f>_xll.qlIndexFixing(Index,R708,TRUE,InterestRatesTrigger)</f>
        <v>1.3623037821262266E-2</v>
      </c>
      <c r="W708" s="30">
        <f t="shared" si="45"/>
        <v>3.0106553323088966E-5</v>
      </c>
      <c r="X708" s="29">
        <f>_xll.qlDayCounterYearFraction(DayCounter,SettlementDate,S708,,,Trigger)</f>
        <v>59.611111111111114</v>
      </c>
      <c r="Y708" s="29">
        <f>_xll.qlDayCounterYearFraction(DayCounter,S708,T708)</f>
        <v>9.166666666666666E-2</v>
      </c>
      <c r="Z708" s="29">
        <f>IF($M$13,_xll.qlYieldTSDiscount(Currency&amp;"ON",S708)/(1+V708*Y708),1)</f>
        <v>1</v>
      </c>
      <c r="AA708" s="30">
        <f>_xll.qlTenorBasisValue(TenorBasis1M,S708,InterestRatesTrigger)</f>
        <v>4.0516635132810427E-7</v>
      </c>
      <c r="AB708" s="74">
        <f t="shared" si="46"/>
        <v>1.3593336434290506E-2</v>
      </c>
      <c r="AC708" s="76">
        <f t="shared" si="47"/>
        <v>0.99781976770809488</v>
      </c>
    </row>
    <row r="709" spans="16:29" x14ac:dyDescent="0.2">
      <c r="P709" s="33">
        <v>1</v>
      </c>
      <c r="Q709" s="27" t="str">
        <f>_xll.qlPeriodEquivalent(Q708&amp;"+"&amp;P709&amp;"M")</f>
        <v>58Y10M</v>
      </c>
      <c r="R709" s="28">
        <f>_xll.qlCalendarAdvance(Calendar,SettlementDate,Q709,"f",,Trigger)</f>
        <v>63768</v>
      </c>
      <c r="S709" s="28">
        <f>_xll.qlInterestRateIndexValueDate(Index,R709,Trigger)</f>
        <v>63772</v>
      </c>
      <c r="T709" s="28">
        <f>_xll.qlInterestRateIndexMaturity(Index,S709,Trigger)</f>
        <v>63803</v>
      </c>
      <c r="U709" s="30">
        <f>_xll.qlIndexFixing($M$5,R709,TRUE,InterestRatesTrigger)</f>
        <v>1.3596060613788059E-2</v>
      </c>
      <c r="V709" s="74">
        <f>_xll.qlIndexFixing(Index,R709,TRUE,InterestRatesTrigger)</f>
        <v>1.3627492254832807E-2</v>
      </c>
      <c r="W709" s="30">
        <f t="shared" si="45"/>
        <v>3.1431641044748701E-5</v>
      </c>
      <c r="X709" s="29">
        <f>_xll.qlDayCounterYearFraction(DayCounter,SettlementDate,S709,,,Trigger)</f>
        <v>59.702777777777776</v>
      </c>
      <c r="Y709" s="29">
        <f>_xll.qlDayCounterYearFraction(DayCounter,S709,T709)</f>
        <v>8.611111111111111E-2</v>
      </c>
      <c r="Z709" s="29">
        <f>IF($M$13,_xll.qlYieldTSDiscount(Currency&amp;"ON",S709)/(1+V709*Y709),1)</f>
        <v>1</v>
      </c>
      <c r="AA709" s="30">
        <f>_xll.qlTenorBasisValue(TenorBasis1M,S709,InterestRatesTrigger)</f>
        <v>3.9939188216431172E-7</v>
      </c>
      <c r="AB709" s="74">
        <f t="shared" si="46"/>
        <v>1.3596460005670222E-2</v>
      </c>
      <c r="AC709" s="76">
        <f t="shared" si="47"/>
        <v>0.99772282026786108</v>
      </c>
    </row>
    <row r="710" spans="16:29" x14ac:dyDescent="0.2">
      <c r="P710" s="33">
        <v>1</v>
      </c>
      <c r="Q710" s="27" t="str">
        <f>_xll.qlPeriodEquivalent(Q709&amp;"+"&amp;P710&amp;"M")</f>
        <v>58Y11M</v>
      </c>
      <c r="R710" s="28">
        <f>_xll.qlCalendarAdvance(Calendar,SettlementDate,Q710,"f",,Trigger)</f>
        <v>63800</v>
      </c>
      <c r="S710" s="28">
        <f>_xll.qlInterestRateIndexValueDate(Index,R710,Trigger)</f>
        <v>63802</v>
      </c>
      <c r="T710" s="28">
        <f>_xll.qlInterestRateIndexMaturity(Index,S710,Trigger)</f>
        <v>63832</v>
      </c>
      <c r="U710" s="30">
        <f>_xll.qlIndexFixing($M$5,R710,TRUE,InterestRatesTrigger)</f>
        <v>1.3598916736759392E-2</v>
      </c>
      <c r="V710" s="74">
        <f>_xll.qlIndexFixing(Index,R710,TRUE,InterestRatesTrigger)</f>
        <v>1.3631493990613919E-2</v>
      </c>
      <c r="W710" s="30">
        <f t="shared" si="45"/>
        <v>3.2577253854526589E-5</v>
      </c>
      <c r="X710" s="29">
        <f>_xll.qlDayCounterYearFraction(DayCounter,SettlementDate,S710,,,Trigger)</f>
        <v>59.786111111111111</v>
      </c>
      <c r="Y710" s="29">
        <f>_xll.qlDayCounterYearFraction(DayCounter,S710,T710)</f>
        <v>8.3333333333333329E-2</v>
      </c>
      <c r="Z710" s="29">
        <f>IF($M$13,_xll.qlYieldTSDiscount(Currency&amp;"ON",S710)/(1+V710*Y710),1)</f>
        <v>1</v>
      </c>
      <c r="AA710" s="30">
        <f>_xll.qlTenorBasisValue(TenorBasis1M,S710,InterestRatesTrigger)</f>
        <v>3.9421304554815633E-7</v>
      </c>
      <c r="AB710" s="74">
        <f t="shared" si="46"/>
        <v>1.3599310949804941E-2</v>
      </c>
      <c r="AC710" s="76">
        <f t="shared" si="47"/>
        <v>0.99763906723421969</v>
      </c>
    </row>
    <row r="711" spans="16:29" x14ac:dyDescent="0.2">
      <c r="P711" s="33">
        <v>1</v>
      </c>
      <c r="Q711" s="27" t="str">
        <f>_xll.qlPeriodEquivalent(Q710&amp;"+"&amp;P711&amp;"M")</f>
        <v>59Y</v>
      </c>
      <c r="R711" s="28">
        <f>_xll.qlCalendarAdvance(Calendar,SettlementDate,Q711,"f",,Trigger)</f>
        <v>63829</v>
      </c>
      <c r="S711" s="28">
        <f>_xll.qlInterestRateIndexValueDate(Index,R711,Trigger)</f>
        <v>63831</v>
      </c>
      <c r="T711" s="28">
        <f>_xll.qlInterestRateIndexMaturity(Index,S711,Trigger)</f>
        <v>63863</v>
      </c>
      <c r="U711" s="30">
        <f>_xll.qlIndexFixing($M$5,R711,TRUE,InterestRatesTrigger)</f>
        <v>1.3602353563435809E-2</v>
      </c>
      <c r="V711" s="74">
        <f>_xll.qlIndexFixing(Index,R711,TRUE,InterestRatesTrigger)</f>
        <v>1.3636021630202833E-2</v>
      </c>
      <c r="W711" s="30">
        <f t="shared" si="45"/>
        <v>3.3668066767023053E-5</v>
      </c>
      <c r="X711" s="29">
        <f>_xll.qlDayCounterYearFraction(DayCounter,SettlementDate,S711,,,Trigger)</f>
        <v>59.866666666666667</v>
      </c>
      <c r="Y711" s="29">
        <f>_xll.qlDayCounterYearFraction(DayCounter,S711,T711)</f>
        <v>8.8888888888888892E-2</v>
      </c>
      <c r="Z711" s="29">
        <f>IF($M$13,_xll.qlYieldTSDiscount(Currency&amp;"ON",S711)/(1+V711*Y711),1)</f>
        <v>1</v>
      </c>
      <c r="AA711" s="30">
        <f>_xll.qlTenorBasisValue(TenorBasis1M,S711,InterestRatesTrigger)</f>
        <v>3.8926999579348805E-7</v>
      </c>
      <c r="AB711" s="74">
        <f t="shared" si="46"/>
        <v>1.3602742833431603E-2</v>
      </c>
      <c r="AC711" s="76">
        <f t="shared" si="47"/>
        <v>0.99755949369444241</v>
      </c>
    </row>
    <row r="712" spans="16:29" x14ac:dyDescent="0.2">
      <c r="P712" s="33">
        <v>1</v>
      </c>
      <c r="Q712" s="27" t="str">
        <f>_xll.qlPeriodEquivalent(Q711&amp;"+"&amp;P712&amp;"M")</f>
        <v>59Y1M</v>
      </c>
      <c r="R712" s="28">
        <f>_xll.qlCalendarAdvance(Calendar,SettlementDate,Q712,"f",,Trigger)</f>
        <v>63860</v>
      </c>
      <c r="S712" s="28">
        <f>_xll.qlInterestRateIndexValueDate(Index,R712,Trigger)</f>
        <v>63864</v>
      </c>
      <c r="T712" s="28">
        <f>_xll.qlInterestRateIndexMaturity(Index,S712,Trigger)</f>
        <v>63894</v>
      </c>
      <c r="U712" s="30">
        <f>_xll.qlIndexFixing($M$5,R712,TRUE,InterestRatesTrigger)</f>
        <v>1.3604693532577095E-2</v>
      </c>
      <c r="V712" s="74">
        <f>_xll.qlIndexFixing(Index,R712,TRUE,InterestRatesTrigger)</f>
        <v>1.363943279704749E-2</v>
      </c>
      <c r="W712" s="30">
        <f t="shared" si="45"/>
        <v>3.4739264470395881E-5</v>
      </c>
      <c r="X712" s="29">
        <f>_xll.qlDayCounterYearFraction(DayCounter,SettlementDate,S712,,,Trigger)</f>
        <v>59.958333333333336</v>
      </c>
      <c r="Y712" s="29">
        <f>_xll.qlDayCounterYearFraction(DayCounter,S712,T712)</f>
        <v>8.3333333333333329E-2</v>
      </c>
      <c r="Z712" s="29">
        <f>IF($M$13,_xll.qlYieldTSDiscount(Currency&amp;"ON",S712)/(1+V712*Y712),1)</f>
        <v>1</v>
      </c>
      <c r="AA712" s="30">
        <f>_xll.qlTenorBasisValue(TenorBasis1M,S712,InterestRatesTrigger)</f>
        <v>3.8371969410154167E-7</v>
      </c>
      <c r="AB712" s="74">
        <f t="shared" si="46"/>
        <v>1.3605077252271195E-2</v>
      </c>
      <c r="AC712" s="76">
        <f t="shared" si="47"/>
        <v>0.99748116030281464</v>
      </c>
    </row>
    <row r="713" spans="16:29" x14ac:dyDescent="0.2">
      <c r="P713" s="33">
        <v>1</v>
      </c>
      <c r="Q713" s="27" t="str">
        <f>_xll.qlPeriodEquivalent(Q712&amp;"+"&amp;P713&amp;"M")</f>
        <v>59Y2M</v>
      </c>
      <c r="R713" s="28">
        <f>_xll.qlCalendarAdvance(Calendar,SettlementDate,Q713,"f",,Trigger)</f>
        <v>63891</v>
      </c>
      <c r="S713" s="28">
        <f>_xll.qlInterestRateIndexValueDate(Index,R713,Trigger)</f>
        <v>63893</v>
      </c>
      <c r="T713" s="28">
        <f>_xll.qlInterestRateIndexMaturity(Index,S713,Trigger)</f>
        <v>63926</v>
      </c>
      <c r="U713" s="30">
        <f>_xll.qlIndexFixing($M$5,R713,TRUE,InterestRatesTrigger)</f>
        <v>1.3607924572573376E-2</v>
      </c>
      <c r="V713" s="74">
        <f>_xll.qlIndexFixing(Index,R713,TRUE,InterestRatesTrigger)</f>
        <v>1.3643603505319811E-2</v>
      </c>
      <c r="W713" s="30">
        <f t="shared" si="45"/>
        <v>3.5678932746434702E-5</v>
      </c>
      <c r="X713" s="29">
        <f>_xll.qlDayCounterYearFraction(DayCounter,SettlementDate,S713,,,Trigger)</f>
        <v>60.038888888888891</v>
      </c>
      <c r="Y713" s="29">
        <f>_xll.qlDayCounterYearFraction(DayCounter,S713,T713)</f>
        <v>9.166666666666666E-2</v>
      </c>
      <c r="Z713" s="29">
        <f>IF($M$13,_xll.qlYieldTSDiscount(Currency&amp;"ON",S713)/(1+V713*Y713),1)</f>
        <v>1</v>
      </c>
      <c r="AA713" s="30">
        <f>_xll.qlTenorBasisValue(TenorBasis1M,S713,InterestRatesTrigger)</f>
        <v>3.7890682959747288E-7</v>
      </c>
      <c r="AB713" s="74">
        <f t="shared" si="46"/>
        <v>1.3608303479402974E-2</v>
      </c>
      <c r="AC713" s="76">
        <f t="shared" si="47"/>
        <v>0.99741270508901314</v>
      </c>
    </row>
    <row r="714" spans="16:29" x14ac:dyDescent="0.2">
      <c r="P714" s="33">
        <v>1</v>
      </c>
      <c r="Q714" s="27" t="str">
        <f>_xll.qlPeriodEquivalent(Q713&amp;"+"&amp;P714&amp;"M")</f>
        <v>59Y3M</v>
      </c>
      <c r="R714" s="28">
        <f>_xll.qlCalendarAdvance(Calendar,SettlementDate,Q714,"f",,Trigger)</f>
        <v>63921</v>
      </c>
      <c r="S714" s="28">
        <f>_xll.qlInterestRateIndexValueDate(Index,R714,Trigger)</f>
        <v>63923</v>
      </c>
      <c r="T714" s="28">
        <f>_xll.qlInterestRateIndexMaturity(Index,S714,Trigger)</f>
        <v>63954</v>
      </c>
      <c r="U714" s="30">
        <f>_xll.qlIndexFixing($M$5,R714,TRUE,InterestRatesTrigger)</f>
        <v>1.3609520475480367E-2</v>
      </c>
      <c r="V714" s="74">
        <f>_xll.qlIndexFixing(Index,R714,TRUE,InterestRatesTrigger)</f>
        <v>1.3646007288857464E-2</v>
      </c>
      <c r="W714" s="30">
        <f t="shared" si="45"/>
        <v>3.6486813377097083E-5</v>
      </c>
      <c r="X714" s="29">
        <f>_xll.qlDayCounterYearFraction(DayCounter,SettlementDate,S714,,,Trigger)</f>
        <v>60.12222222222222</v>
      </c>
      <c r="Y714" s="29">
        <f>_xll.qlDayCounterYearFraction(DayCounter,S714,T714)</f>
        <v>8.611111111111111E-2</v>
      </c>
      <c r="Z714" s="29">
        <f>IF($M$13,_xll.qlYieldTSDiscount(Currency&amp;"ON",S714)/(1+V714*Y714),1)</f>
        <v>1</v>
      </c>
      <c r="AA714" s="30">
        <f>_xll.qlTenorBasisValue(TenorBasis1M,S714,InterestRatesTrigger)</f>
        <v>3.7399084634872646E-7</v>
      </c>
      <c r="AB714" s="74">
        <f t="shared" si="46"/>
        <v>1.3609894466326716E-2</v>
      </c>
      <c r="AC714" s="76">
        <f t="shared" si="47"/>
        <v>0.99735359788645028</v>
      </c>
    </row>
    <row r="715" spans="16:29" x14ac:dyDescent="0.2">
      <c r="P715" s="33">
        <v>1</v>
      </c>
      <c r="Q715" s="27" t="str">
        <f>_xll.qlPeriodEquivalent(Q714&amp;"+"&amp;P715&amp;"M")</f>
        <v>59Y4M</v>
      </c>
      <c r="R715" s="28">
        <f>_xll.qlCalendarAdvance(Calendar,SettlementDate,Q715,"f",,Trigger)</f>
        <v>63954</v>
      </c>
      <c r="S715" s="28">
        <f>_xll.qlInterestRateIndexValueDate(Index,R715,Trigger)</f>
        <v>63956</v>
      </c>
      <c r="T715" s="28">
        <f>_xll.qlInterestRateIndexMaturity(Index,S715,Trigger)</f>
        <v>63984</v>
      </c>
      <c r="U715" s="30">
        <f>_xll.qlIndexFixing($M$5,R715,TRUE,InterestRatesTrigger)</f>
        <v>1.3610784600581738E-2</v>
      </c>
      <c r="V715" s="74">
        <f>_xll.qlIndexFixing(Index,R715,TRUE,InterestRatesTrigger)</f>
        <v>1.3648057171106016E-2</v>
      </c>
      <c r="W715" s="30">
        <f t="shared" si="45"/>
        <v>3.7272570524278514E-5</v>
      </c>
      <c r="X715" s="29">
        <f>_xll.qlDayCounterYearFraction(DayCounter,SettlementDate,S715,,,Trigger)</f>
        <v>60.213888888888889</v>
      </c>
      <c r="Y715" s="29">
        <f>_xll.qlDayCounterYearFraction(DayCounter,S715,T715)</f>
        <v>7.7777777777777779E-2</v>
      </c>
      <c r="Z715" s="29">
        <f>IF($M$13,_xll.qlYieldTSDiscount(Currency&amp;"ON",S715)/(1+V715*Y715),1)</f>
        <v>1</v>
      </c>
      <c r="AA715" s="30">
        <f>_xll.qlTenorBasisValue(TenorBasis1M,S715,InterestRatesTrigger)</f>
        <v>3.6865612219934765E-7</v>
      </c>
      <c r="AB715" s="74">
        <f t="shared" si="46"/>
        <v>1.3611153256703937E-2</v>
      </c>
      <c r="AC715" s="76">
        <f t="shared" si="47"/>
        <v>0.99729603166667502</v>
      </c>
    </row>
    <row r="716" spans="16:29" x14ac:dyDescent="0.2">
      <c r="P716" s="33">
        <v>1</v>
      </c>
      <c r="Q716" s="27" t="str">
        <f>_xll.qlPeriodEquivalent(Q715&amp;"+"&amp;P716&amp;"M")</f>
        <v>59Y5M</v>
      </c>
      <c r="R716" s="28">
        <f>_xll.qlCalendarAdvance(Calendar,SettlementDate,Q716,"f",,Trigger)</f>
        <v>63982</v>
      </c>
      <c r="S716" s="28">
        <f>_xll.qlInterestRateIndexValueDate(Index,R716,Trigger)</f>
        <v>63984</v>
      </c>
      <c r="T716" s="28">
        <f>_xll.qlInterestRateIndexMaturity(Index,S716,Trigger)</f>
        <v>64018</v>
      </c>
      <c r="U716" s="30">
        <f>_xll.qlIndexFixing($M$5,R716,TRUE,InterestRatesTrigger)</f>
        <v>1.3614064593499009E-2</v>
      </c>
      <c r="V716" s="74">
        <f>_xll.qlIndexFixing(Index,R716,TRUE,InterestRatesTrigger)</f>
        <v>1.3652026704407912E-2</v>
      </c>
      <c r="W716" s="30">
        <f t="shared" si="45"/>
        <v>3.7962110908902613E-5</v>
      </c>
      <c r="X716" s="29">
        <f>_xll.qlDayCounterYearFraction(DayCounter,SettlementDate,S716,,,Trigger)</f>
        <v>60.291666666666664</v>
      </c>
      <c r="Y716" s="29">
        <f>_xll.qlDayCounterYearFraction(DayCounter,S716,T716)</f>
        <v>9.4444444444444442E-2</v>
      </c>
      <c r="Z716" s="29">
        <f>IF($M$13,_xll.qlYieldTSDiscount(Currency&amp;"ON",S716)/(1+V716*Y716),1)</f>
        <v>1</v>
      </c>
      <c r="AA716" s="30">
        <f>_xll.qlTenorBasisValue(TenorBasis1M,S716,InterestRatesTrigger)</f>
        <v>3.6418877879845465E-7</v>
      </c>
      <c r="AB716" s="74">
        <f t="shared" si="46"/>
        <v>1.3614428782277808E-2</v>
      </c>
      <c r="AC716" s="76">
        <f t="shared" si="47"/>
        <v>0.99724598237725659</v>
      </c>
    </row>
    <row r="717" spans="16:29" x14ac:dyDescent="0.2">
      <c r="P717" s="33">
        <v>1</v>
      </c>
      <c r="Q717" s="27" t="str">
        <f>_xll.qlPeriodEquivalent(Q716&amp;"+"&amp;P717&amp;"M")</f>
        <v>59Y6M</v>
      </c>
      <c r="R717" s="28">
        <f>_xll.qlCalendarAdvance(Calendar,SettlementDate,Q717,"f",,Trigger)</f>
        <v>64011</v>
      </c>
      <c r="S717" s="28">
        <f>_xll.qlInterestRateIndexValueDate(Index,R717,Trigger)</f>
        <v>64013</v>
      </c>
      <c r="T717" s="28">
        <f>_xll.qlInterestRateIndexMaturity(Index,S717,Trigger)</f>
        <v>64045</v>
      </c>
      <c r="U717" s="30">
        <f>_xll.qlIndexFixing($M$5,R717,TRUE,InterestRatesTrigger)</f>
        <v>1.3614901248941436E-2</v>
      </c>
      <c r="V717" s="74">
        <f>_xll.qlIndexFixing(Index,R717,TRUE,InterestRatesTrigger)</f>
        <v>1.365339544913885E-2</v>
      </c>
      <c r="W717" s="30">
        <f t="shared" si="45"/>
        <v>3.849420019741423E-5</v>
      </c>
      <c r="X717" s="29">
        <f>_xll.qlDayCounterYearFraction(DayCounter,SettlementDate,S717,,,Trigger)</f>
        <v>60.37222222222222</v>
      </c>
      <c r="Y717" s="29">
        <f>_xll.qlDayCounterYearFraction(DayCounter,S717,T717)</f>
        <v>8.8888888888888892E-2</v>
      </c>
      <c r="Z717" s="29">
        <f>IF($M$13,_xll.qlYieldTSDiscount(Currency&amp;"ON",S717)/(1+V717*Y717),1)</f>
        <v>1</v>
      </c>
      <c r="AA717" s="30">
        <f>_xll.qlTenorBasisValue(TenorBasis1M,S717,InterestRatesTrigger)</f>
        <v>3.5961834913975237E-7</v>
      </c>
      <c r="AB717" s="74">
        <f t="shared" si="46"/>
        <v>1.3615260867290575E-2</v>
      </c>
      <c r="AC717" s="76">
        <f t="shared" si="47"/>
        <v>0.99720695251299707</v>
      </c>
    </row>
    <row r="718" spans="16:29" x14ac:dyDescent="0.2">
      <c r="P718" s="33">
        <v>1</v>
      </c>
      <c r="Q718" s="27" t="str">
        <f>_xll.qlPeriodEquivalent(Q717&amp;"+"&amp;P718&amp;"M")</f>
        <v>59Y7M</v>
      </c>
      <c r="R718" s="28">
        <f>_xll.qlCalendarAdvance(Calendar,SettlementDate,Q718,"f",,Trigger)</f>
        <v>64041</v>
      </c>
      <c r="S718" s="28">
        <f>_xll.qlInterestRateIndexValueDate(Index,R718,Trigger)</f>
        <v>64045</v>
      </c>
      <c r="T718" s="28">
        <f>_xll.qlInterestRateIndexMaturity(Index,S718,Trigger)</f>
        <v>64076</v>
      </c>
      <c r="U718" s="30">
        <f>_xll.qlIndexFixing($M$5,R718,TRUE,InterestRatesTrigger)</f>
        <v>1.3615910690374378E-2</v>
      </c>
      <c r="V718" s="74">
        <f>_xll.qlIndexFixing(Index,R718,TRUE,InterestRatesTrigger)</f>
        <v>1.3654909812999855E-2</v>
      </c>
      <c r="W718" s="30">
        <f t="shared" si="45"/>
        <v>3.8999122625477112E-5</v>
      </c>
      <c r="X718" s="29">
        <f>_xll.qlDayCounterYearFraction(DayCounter,SettlementDate,S718,,,Trigger)</f>
        <v>60.461111111111109</v>
      </c>
      <c r="Y718" s="29">
        <f>_xll.qlDayCounterYearFraction(DayCounter,S718,T718)</f>
        <v>8.611111111111111E-2</v>
      </c>
      <c r="Z718" s="29">
        <f>IF($M$13,_xll.qlYieldTSDiscount(Currency&amp;"ON",S718)/(1+V718*Y718),1)</f>
        <v>1</v>
      </c>
      <c r="AA718" s="30">
        <f>_xll.qlTenorBasisValue(TenorBasis1M,S718,InterestRatesTrigger)</f>
        <v>3.5464095551552667E-7</v>
      </c>
      <c r="AB718" s="74">
        <f t="shared" si="46"/>
        <v>1.3616265331329893E-2</v>
      </c>
      <c r="AC718" s="76">
        <f t="shared" si="47"/>
        <v>0.99716992040231778</v>
      </c>
    </row>
    <row r="719" spans="16:29" x14ac:dyDescent="0.2">
      <c r="P719" s="33">
        <v>1</v>
      </c>
      <c r="Q719" s="27" t="str">
        <f>_xll.qlPeriodEquivalent(Q718&amp;"+"&amp;P719&amp;"M")</f>
        <v>59Y8M</v>
      </c>
      <c r="R719" s="28">
        <f>_xll.qlCalendarAdvance(Calendar,SettlementDate,Q719,"f",,Trigger)</f>
        <v>64073</v>
      </c>
      <c r="S719" s="28">
        <f>_xll.qlInterestRateIndexValueDate(Index,R719,Trigger)</f>
        <v>64075</v>
      </c>
      <c r="T719" s="28">
        <f>_xll.qlInterestRateIndexMaturity(Index,S719,Trigger)</f>
        <v>64105</v>
      </c>
      <c r="U719" s="30">
        <f>_xll.qlIndexFixing($M$5,R719,TRUE,InterestRatesTrigger)</f>
        <v>1.3616597343815151E-2</v>
      </c>
      <c r="V719" s="74">
        <f>_xll.qlIndexFixing(Index,R719,TRUE,InterestRatesTrigger)</f>
        <v>1.3655976066263342E-2</v>
      </c>
      <c r="W719" s="30">
        <f t="shared" si="45"/>
        <v>3.9378722448191184E-5</v>
      </c>
      <c r="X719" s="29">
        <f>_xll.qlDayCounterYearFraction(DayCounter,SettlementDate,S719,,,Trigger)</f>
        <v>60.544444444444444</v>
      </c>
      <c r="Y719" s="29">
        <f>_xll.qlDayCounterYearFraction(DayCounter,S719,T719)</f>
        <v>8.3333333333333329E-2</v>
      </c>
      <c r="Z719" s="29">
        <f>IF($M$13,_xll.qlYieldTSDiscount(Currency&amp;"ON",S719)/(1+V719*Y719),1)</f>
        <v>1</v>
      </c>
      <c r="AA719" s="30">
        <f>_xll.qlTenorBasisValue(TenorBasis1M,S719,InterestRatesTrigger)</f>
        <v>3.5003658097760838E-7</v>
      </c>
      <c r="AB719" s="74">
        <f t="shared" si="46"/>
        <v>1.3616947380396129E-2</v>
      </c>
      <c r="AC719" s="76">
        <f t="shared" si="47"/>
        <v>0.99714200686367394</v>
      </c>
    </row>
    <row r="720" spans="16:29" x14ac:dyDescent="0.2">
      <c r="P720" s="33">
        <v>1</v>
      </c>
      <c r="Q720" s="27" t="str">
        <f>_xll.qlPeriodEquivalent(Q719&amp;"+"&amp;P720&amp;"M")</f>
        <v>59Y9M</v>
      </c>
      <c r="R720" s="28">
        <f>_xll.qlCalendarAdvance(Calendar,SettlementDate,Q720,"f",,Trigger)</f>
        <v>64102</v>
      </c>
      <c r="S720" s="28">
        <f>_xll.qlInterestRateIndexValueDate(Index,R720,Trigger)</f>
        <v>64104</v>
      </c>
      <c r="T720" s="28">
        <f>_xll.qlInterestRateIndexMaturity(Index,S720,Trigger)</f>
        <v>64136</v>
      </c>
      <c r="U720" s="30">
        <f>_xll.qlIndexFixing($M$5,R720,TRUE,InterestRatesTrigger)</f>
        <v>1.3617829861149178E-2</v>
      </c>
      <c r="V720" s="74">
        <f>_xll.qlIndexFixing(Index,R720,TRUE,InterestRatesTrigger)</f>
        <v>1.36575040068454E-2</v>
      </c>
      <c r="W720" s="30">
        <f t="shared" si="45"/>
        <v>3.9674145696222407E-5</v>
      </c>
      <c r="X720" s="29">
        <f>_xll.qlDayCounterYearFraction(DayCounter,SettlementDate,S720,,,Trigger)</f>
        <v>60.625</v>
      </c>
      <c r="Y720" s="29">
        <f>_xll.qlDayCounterYearFraction(DayCounter,S720,T720)</f>
        <v>8.8888888888888892E-2</v>
      </c>
      <c r="Z720" s="29">
        <f>IF($M$13,_xll.qlYieldTSDiscount(Currency&amp;"ON",S720)/(1+V720*Y720),1)</f>
        <v>1</v>
      </c>
      <c r="AA720" s="30">
        <f>_xll.qlTenorBasisValue(TenorBasis1M,S720,InterestRatesTrigger)</f>
        <v>3.4564192594357417E-7</v>
      </c>
      <c r="AB720" s="74">
        <f t="shared" si="46"/>
        <v>1.3618175503075121E-2</v>
      </c>
      <c r="AC720" s="76">
        <f t="shared" si="47"/>
        <v>0.99712037398996434</v>
      </c>
    </row>
    <row r="721" spans="16:29" x14ac:dyDescent="0.2">
      <c r="P721" s="33">
        <v>1</v>
      </c>
      <c r="Q721" s="83" t="str">
        <f>_xll.qlPeriodEquivalent(Q720&amp;"+"&amp;P721&amp;"M")</f>
        <v>59Y10M</v>
      </c>
      <c r="R721" s="31">
        <f>_xll.qlCalendarAdvance(Calendar,SettlementDate,Q721,"f",,Trigger)</f>
        <v>64133</v>
      </c>
      <c r="S721" s="31">
        <f>_xll.qlInterestRateIndexValueDate(Index,R721,Trigger)</f>
        <v>64137</v>
      </c>
      <c r="T721" s="31">
        <f>_xll.qlInterestRateIndexMaturity(Index,S721,Trigger)</f>
        <v>64168</v>
      </c>
      <c r="U721" s="32">
        <f>_xll.qlIndexFixing($M$5,R721,TRUE,InterestRatesTrigger)</f>
        <v>1.3618078554538688E-2</v>
      </c>
      <c r="V721" s="75">
        <f>_xll.qlIndexFixing(Index,R721,TRUE,InterestRatesTrigger)</f>
        <v>1.3657959401710443E-2</v>
      </c>
      <c r="W721" s="32">
        <f t="shared" si="45"/>
        <v>3.988084717175544E-5</v>
      </c>
      <c r="X721" s="73">
        <f>_xll.qlDayCounterYearFraction(DayCounter,SettlementDate,S721,,,Trigger)</f>
        <v>60.716666666666669</v>
      </c>
      <c r="Y721" s="73">
        <f>_xll.qlDayCounterYearFraction(DayCounter,S721,T721)</f>
        <v>8.611111111111111E-2</v>
      </c>
      <c r="Z721" s="73">
        <f>IF($M$13,_xll.qlYieldTSDiscount(Currency&amp;"ON",S721)/(1+V721*Y721),1)</f>
        <v>1</v>
      </c>
      <c r="AA721" s="32">
        <f>_xll.qlTenorBasisValue(TenorBasis1M,S721,InterestRatesTrigger)</f>
        <v>3.4070749170947738E-7</v>
      </c>
      <c r="AB721" s="75">
        <f t="shared" si="46"/>
        <v>1.3618419262030397E-2</v>
      </c>
      <c r="AC721" s="77">
        <f t="shared" si="47"/>
        <v>0.99710497457804026</v>
      </c>
    </row>
    <row r="722" spans="16:29" x14ac:dyDescent="0.2">
      <c r="Q722" s="36"/>
      <c r="R722" s="40"/>
      <c r="S722" s="40"/>
      <c r="T722" s="40"/>
      <c r="U722" s="41"/>
      <c r="V722" s="41"/>
      <c r="W722" s="41"/>
      <c r="X722" s="36"/>
      <c r="Y722" s="36"/>
      <c r="Z722" s="36"/>
      <c r="AA722" s="36"/>
      <c r="AB722" s="36"/>
      <c r="AC722" s="36"/>
    </row>
    <row r="723" spans="16:29" x14ac:dyDescent="0.2">
      <c r="Q723" s="36"/>
      <c r="R723" s="40"/>
      <c r="S723" s="40"/>
      <c r="T723" s="40"/>
      <c r="U723" s="41"/>
      <c r="V723" s="41"/>
      <c r="W723" s="41"/>
      <c r="X723" s="36"/>
      <c r="Y723" s="36"/>
      <c r="Z723" s="36"/>
      <c r="AA723" s="36"/>
      <c r="AB723" s="36"/>
      <c r="AC723" s="36"/>
    </row>
    <row r="724" spans="16:29" x14ac:dyDescent="0.2">
      <c r="Q724" s="36"/>
      <c r="R724" s="40"/>
      <c r="S724" s="40"/>
      <c r="T724" s="40"/>
      <c r="U724" s="41"/>
      <c r="V724" s="41"/>
      <c r="W724" s="41"/>
      <c r="X724" s="36"/>
      <c r="Y724" s="36"/>
      <c r="Z724" s="36"/>
      <c r="AA724" s="36"/>
      <c r="AB724" s="36"/>
      <c r="AC724" s="36"/>
    </row>
    <row r="725" spans="16:29" x14ac:dyDescent="0.2">
      <c r="Q725" s="36"/>
      <c r="R725" s="40"/>
      <c r="S725" s="40"/>
      <c r="T725" s="40"/>
      <c r="U725" s="41"/>
      <c r="V725" s="41"/>
      <c r="W725" s="41"/>
      <c r="X725" s="36"/>
      <c r="Y725" s="36"/>
      <c r="Z725" s="36"/>
      <c r="AA725" s="36"/>
      <c r="AB725" s="36"/>
      <c r="AC725" s="36"/>
    </row>
    <row r="726" spans="16:29" x14ac:dyDescent="0.2">
      <c r="Q726" s="36"/>
      <c r="R726" s="40"/>
      <c r="S726" s="40"/>
      <c r="T726" s="40"/>
      <c r="U726" s="41"/>
      <c r="V726" s="41"/>
      <c r="W726" s="41"/>
      <c r="X726" s="36"/>
      <c r="Y726" s="36"/>
      <c r="Z726" s="36"/>
      <c r="AA726" s="36"/>
      <c r="AB726" s="36"/>
      <c r="AC726" s="36"/>
    </row>
    <row r="727" spans="16:29" x14ac:dyDescent="0.2">
      <c r="Q727" s="36"/>
      <c r="R727" s="40"/>
      <c r="S727" s="40"/>
      <c r="T727" s="40"/>
      <c r="U727" s="41"/>
      <c r="V727" s="41"/>
      <c r="W727" s="41"/>
      <c r="X727" s="36"/>
      <c r="Y727" s="36"/>
      <c r="Z727" s="36"/>
      <c r="AA727" s="36"/>
      <c r="AB727" s="36"/>
      <c r="AC727" s="36"/>
    </row>
    <row r="728" spans="16:29" x14ac:dyDescent="0.2">
      <c r="Q728" s="36"/>
      <c r="R728" s="40"/>
      <c r="S728" s="40"/>
      <c r="T728" s="40"/>
      <c r="U728" s="41"/>
      <c r="V728" s="41"/>
      <c r="W728" s="41"/>
      <c r="X728" s="36"/>
      <c r="Y728" s="36"/>
      <c r="Z728" s="36"/>
      <c r="AA728" s="36"/>
      <c r="AB728" s="36"/>
      <c r="AC728" s="36"/>
    </row>
    <row r="729" spans="16:29" x14ac:dyDescent="0.2">
      <c r="Q729" s="36"/>
      <c r="R729" s="40"/>
      <c r="S729" s="40"/>
      <c r="T729" s="40"/>
      <c r="U729" s="41"/>
      <c r="V729" s="41"/>
      <c r="W729" s="41"/>
      <c r="X729" s="36"/>
      <c r="Y729" s="36"/>
      <c r="Z729" s="36"/>
      <c r="AA729" s="36"/>
      <c r="AB729" s="36"/>
      <c r="AC729" s="36"/>
    </row>
    <row r="730" spans="16:29" x14ac:dyDescent="0.2">
      <c r="Q730" s="36"/>
      <c r="R730" s="40"/>
      <c r="S730" s="40"/>
      <c r="T730" s="40"/>
      <c r="U730" s="41"/>
      <c r="V730" s="41"/>
      <c r="W730" s="41"/>
      <c r="X730" s="36"/>
      <c r="Y730" s="36"/>
      <c r="Z730" s="36"/>
      <c r="AA730" s="36"/>
      <c r="AB730" s="36"/>
      <c r="AC730" s="36"/>
    </row>
    <row r="731" spans="16:29" x14ac:dyDescent="0.2">
      <c r="Q731" s="36"/>
      <c r="R731" s="40"/>
      <c r="S731" s="40"/>
      <c r="T731" s="40"/>
      <c r="U731" s="41"/>
      <c r="V731" s="41"/>
      <c r="W731" s="41"/>
      <c r="X731" s="36"/>
      <c r="Y731" s="36"/>
      <c r="Z731" s="36"/>
      <c r="AA731" s="36"/>
      <c r="AB731" s="36"/>
      <c r="AC731" s="36"/>
    </row>
    <row r="732" spans="16:29" x14ac:dyDescent="0.2">
      <c r="Q732" s="36"/>
      <c r="R732" s="40"/>
      <c r="S732" s="40"/>
      <c r="T732" s="40"/>
      <c r="U732" s="41"/>
      <c r="V732" s="41"/>
      <c r="W732" s="41"/>
      <c r="X732" s="36"/>
      <c r="Y732" s="36"/>
      <c r="Z732" s="36"/>
      <c r="AA732" s="36"/>
      <c r="AB732" s="36"/>
      <c r="AC732" s="36"/>
    </row>
    <row r="733" spans="16:29" x14ac:dyDescent="0.2">
      <c r="Q733" s="36"/>
      <c r="R733" s="40"/>
      <c r="S733" s="40"/>
      <c r="T733" s="40"/>
      <c r="U733" s="41"/>
      <c r="V733" s="41"/>
      <c r="W733" s="41"/>
      <c r="X733" s="36"/>
      <c r="Y733" s="36"/>
      <c r="Z733" s="36"/>
      <c r="AA733" s="36"/>
      <c r="AB733" s="36"/>
      <c r="AC733" s="36"/>
    </row>
    <row r="734" spans="16:29" x14ac:dyDescent="0.2">
      <c r="Q734" s="36"/>
      <c r="R734" s="40"/>
      <c r="S734" s="40"/>
      <c r="T734" s="40"/>
      <c r="U734" s="41"/>
      <c r="V734" s="41"/>
      <c r="W734" s="41"/>
      <c r="X734" s="36"/>
      <c r="Y734" s="36"/>
      <c r="Z734" s="36"/>
      <c r="AA734" s="36"/>
      <c r="AB734" s="36"/>
      <c r="AC734" s="36"/>
    </row>
    <row r="735" spans="16:29" x14ac:dyDescent="0.2">
      <c r="Q735" s="36"/>
      <c r="R735" s="40"/>
      <c r="S735" s="40"/>
      <c r="T735" s="40"/>
      <c r="U735" s="41"/>
      <c r="V735" s="41"/>
      <c r="W735" s="41"/>
      <c r="X735" s="36"/>
      <c r="Y735" s="36"/>
      <c r="Z735" s="36"/>
      <c r="AA735" s="36"/>
      <c r="AB735" s="36"/>
      <c r="AC735" s="36"/>
    </row>
    <row r="736" spans="16:29" x14ac:dyDescent="0.2">
      <c r="Q736" s="36"/>
      <c r="R736" s="40"/>
      <c r="S736" s="40"/>
      <c r="T736" s="40"/>
      <c r="U736" s="41"/>
      <c r="V736" s="41"/>
      <c r="W736" s="41"/>
      <c r="X736" s="36"/>
      <c r="Y736" s="36"/>
      <c r="Z736" s="36"/>
      <c r="AA736" s="36"/>
      <c r="AB736" s="36"/>
      <c r="AC736" s="36"/>
    </row>
    <row r="737" spans="17:29" x14ac:dyDescent="0.2">
      <c r="Q737" s="36"/>
      <c r="R737" s="40"/>
      <c r="S737" s="40"/>
      <c r="T737" s="40"/>
      <c r="U737" s="41"/>
      <c r="V737" s="41"/>
      <c r="W737" s="41"/>
      <c r="X737" s="36"/>
      <c r="Y737" s="36"/>
      <c r="Z737" s="36"/>
      <c r="AA737" s="36"/>
      <c r="AB737" s="36"/>
      <c r="AC737" s="36"/>
    </row>
    <row r="738" spans="17:29" x14ac:dyDescent="0.2">
      <c r="Q738" s="36"/>
      <c r="R738" s="40"/>
      <c r="S738" s="40"/>
      <c r="T738" s="40"/>
      <c r="U738" s="41"/>
      <c r="V738" s="41"/>
      <c r="W738" s="41"/>
      <c r="X738" s="36"/>
      <c r="Y738" s="36"/>
      <c r="Z738" s="36"/>
      <c r="AA738" s="36"/>
      <c r="AB738" s="36"/>
      <c r="AC738" s="36"/>
    </row>
    <row r="739" spans="17:29" x14ac:dyDescent="0.2">
      <c r="Q739" s="36"/>
      <c r="R739" s="40"/>
      <c r="S739" s="40"/>
      <c r="T739" s="40"/>
      <c r="U739" s="41"/>
      <c r="V739" s="41"/>
      <c r="W739" s="41"/>
      <c r="X739" s="36"/>
      <c r="Y739" s="36"/>
      <c r="Z739" s="36"/>
      <c r="AA739" s="36"/>
      <c r="AB739" s="36"/>
      <c r="AC739" s="36"/>
    </row>
    <row r="740" spans="17:29" x14ac:dyDescent="0.2">
      <c r="Q740" s="36"/>
      <c r="R740" s="40"/>
      <c r="S740" s="40"/>
      <c r="T740" s="40"/>
      <c r="U740" s="41"/>
      <c r="V740" s="41"/>
      <c r="W740" s="41"/>
      <c r="X740" s="36"/>
      <c r="Y740" s="36"/>
      <c r="Z740" s="36"/>
      <c r="AA740" s="36"/>
      <c r="AB740" s="36"/>
      <c r="AC740" s="36"/>
    </row>
    <row r="741" spans="17:29" x14ac:dyDescent="0.2">
      <c r="Q741" s="36"/>
      <c r="R741" s="40"/>
      <c r="S741" s="40"/>
      <c r="T741" s="40"/>
      <c r="U741" s="41"/>
      <c r="V741" s="41"/>
      <c r="W741" s="41"/>
      <c r="X741" s="36"/>
      <c r="Y741" s="36"/>
      <c r="Z741" s="36"/>
      <c r="AA741" s="36"/>
      <c r="AB741" s="36"/>
      <c r="AC741" s="36"/>
    </row>
    <row r="742" spans="17:29" x14ac:dyDescent="0.2">
      <c r="Q742" s="36"/>
      <c r="R742" s="40"/>
      <c r="S742" s="40"/>
      <c r="T742" s="40"/>
      <c r="U742" s="41"/>
      <c r="V742" s="41"/>
      <c r="W742" s="41"/>
      <c r="X742" s="36"/>
      <c r="Y742" s="36"/>
      <c r="Z742" s="36"/>
      <c r="AA742" s="36"/>
      <c r="AB742" s="36"/>
      <c r="AC742" s="36"/>
    </row>
    <row r="743" spans="17:29" x14ac:dyDescent="0.2">
      <c r="Q743" s="36"/>
      <c r="R743" s="40"/>
      <c r="S743" s="40"/>
      <c r="T743" s="40"/>
      <c r="U743" s="41"/>
      <c r="V743" s="41"/>
      <c r="W743" s="41"/>
      <c r="X743" s="36"/>
      <c r="Y743" s="36"/>
      <c r="Z743" s="36"/>
      <c r="AA743" s="36"/>
      <c r="AB743" s="36"/>
      <c r="AC743" s="36"/>
    </row>
    <row r="744" spans="17:29" x14ac:dyDescent="0.2">
      <c r="Q744" s="36"/>
      <c r="R744" s="40"/>
      <c r="S744" s="40"/>
      <c r="T744" s="40"/>
      <c r="U744" s="41"/>
      <c r="V744" s="41"/>
      <c r="W744" s="41"/>
      <c r="X744" s="36"/>
      <c r="Y744" s="36"/>
      <c r="Z744" s="36"/>
      <c r="AA744" s="36"/>
      <c r="AB744" s="36"/>
      <c r="AC744" s="36"/>
    </row>
    <row r="745" spans="17:29" x14ac:dyDescent="0.2">
      <c r="Q745" s="36"/>
      <c r="R745" s="40"/>
      <c r="S745" s="40"/>
      <c r="T745" s="40"/>
      <c r="U745" s="41"/>
      <c r="V745" s="41"/>
      <c r="W745" s="41"/>
      <c r="X745" s="36"/>
      <c r="Y745" s="36"/>
      <c r="Z745" s="36"/>
      <c r="AA745" s="36"/>
      <c r="AB745" s="36"/>
      <c r="AC745" s="36"/>
    </row>
    <row r="746" spans="17:29" x14ac:dyDescent="0.2">
      <c r="Q746" s="36"/>
      <c r="R746" s="40"/>
      <c r="S746" s="40"/>
      <c r="T746" s="40"/>
      <c r="U746" s="41"/>
      <c r="V746" s="41"/>
      <c r="W746" s="41"/>
      <c r="X746" s="36"/>
      <c r="Y746" s="36"/>
      <c r="Z746" s="36"/>
      <c r="AA746" s="36"/>
      <c r="AB746" s="36"/>
      <c r="AC746" s="36"/>
    </row>
    <row r="747" spans="17:29" x14ac:dyDescent="0.2">
      <c r="Q747" s="36"/>
      <c r="R747" s="40"/>
      <c r="S747" s="40"/>
      <c r="T747" s="40"/>
      <c r="U747" s="41"/>
      <c r="V747" s="41"/>
      <c r="W747" s="41"/>
      <c r="X747" s="36"/>
      <c r="Y747" s="36"/>
      <c r="Z747" s="36"/>
      <c r="AA747" s="36"/>
      <c r="AB747" s="36"/>
      <c r="AC747" s="36"/>
    </row>
    <row r="748" spans="17:29" x14ac:dyDescent="0.2">
      <c r="Q748" s="36"/>
      <c r="R748" s="40"/>
      <c r="S748" s="40"/>
      <c r="T748" s="40"/>
      <c r="U748" s="41"/>
      <c r="V748" s="41"/>
      <c r="W748" s="41"/>
      <c r="X748" s="36"/>
      <c r="Y748" s="36"/>
      <c r="Z748" s="36"/>
      <c r="AA748" s="36"/>
      <c r="AB748" s="36"/>
      <c r="AC748" s="36"/>
    </row>
    <row r="749" spans="17:29" x14ac:dyDescent="0.2">
      <c r="Q749" s="36"/>
      <c r="R749" s="40"/>
      <c r="S749" s="40"/>
      <c r="T749" s="40"/>
      <c r="U749" s="41"/>
      <c r="V749" s="41"/>
      <c r="W749" s="41"/>
      <c r="X749" s="36"/>
      <c r="Y749" s="36"/>
      <c r="Z749" s="36"/>
      <c r="AA749" s="36"/>
      <c r="AB749" s="36"/>
      <c r="AC749" s="36"/>
    </row>
    <row r="750" spans="17:29" x14ac:dyDescent="0.2">
      <c r="Q750" s="36"/>
      <c r="R750" s="40"/>
      <c r="S750" s="40"/>
      <c r="T750" s="40"/>
      <c r="U750" s="41"/>
      <c r="V750" s="41"/>
      <c r="W750" s="41"/>
      <c r="X750" s="36"/>
      <c r="Y750" s="36"/>
      <c r="Z750" s="36"/>
      <c r="AA750" s="36"/>
      <c r="AB750" s="36"/>
      <c r="AC750" s="36"/>
    </row>
    <row r="751" spans="17:29" x14ac:dyDescent="0.2">
      <c r="Q751" s="36"/>
      <c r="R751" s="40"/>
      <c r="S751" s="40"/>
      <c r="T751" s="40"/>
      <c r="U751" s="41"/>
      <c r="V751" s="41"/>
      <c r="W751" s="41"/>
      <c r="X751" s="36"/>
      <c r="Y751" s="36"/>
      <c r="Z751" s="36"/>
      <c r="AA751" s="36"/>
      <c r="AB751" s="36"/>
      <c r="AC751" s="36"/>
    </row>
    <row r="752" spans="17:29" x14ac:dyDescent="0.2">
      <c r="Q752" s="36"/>
      <c r="R752" s="40"/>
      <c r="S752" s="40"/>
      <c r="T752" s="40"/>
      <c r="U752" s="41"/>
      <c r="V752" s="41"/>
      <c r="W752" s="41"/>
      <c r="X752" s="36"/>
      <c r="Y752" s="36"/>
      <c r="Z752" s="36"/>
      <c r="AA752" s="36"/>
      <c r="AB752" s="36"/>
      <c r="AC752" s="36"/>
    </row>
    <row r="753" spans="17:29" x14ac:dyDescent="0.2">
      <c r="Q753" s="36"/>
      <c r="R753" s="40"/>
      <c r="S753" s="40"/>
      <c r="T753" s="40"/>
      <c r="U753" s="41"/>
      <c r="V753" s="41"/>
      <c r="W753" s="41"/>
      <c r="X753" s="36"/>
      <c r="Y753" s="36"/>
      <c r="Z753" s="36"/>
      <c r="AA753" s="36"/>
      <c r="AB753" s="36"/>
      <c r="AC753" s="36"/>
    </row>
    <row r="754" spans="17:29" x14ac:dyDescent="0.2">
      <c r="Q754" s="36"/>
      <c r="R754" s="40"/>
      <c r="S754" s="40"/>
      <c r="T754" s="40"/>
      <c r="U754" s="41"/>
      <c r="V754" s="41"/>
      <c r="W754" s="41"/>
      <c r="X754" s="36"/>
      <c r="Y754" s="36"/>
      <c r="Z754" s="36"/>
      <c r="AA754" s="36"/>
      <c r="AB754" s="36"/>
      <c r="AC754" s="36"/>
    </row>
    <row r="755" spans="17:29" x14ac:dyDescent="0.2">
      <c r="Q755" s="36"/>
      <c r="R755" s="40"/>
      <c r="S755" s="40"/>
      <c r="T755" s="40"/>
      <c r="U755" s="41"/>
      <c r="V755" s="41"/>
      <c r="W755" s="41"/>
      <c r="X755" s="36"/>
      <c r="Y755" s="36"/>
      <c r="Z755" s="36"/>
      <c r="AA755" s="36"/>
      <c r="AB755" s="36"/>
      <c r="AC755" s="36"/>
    </row>
    <row r="756" spans="17:29" x14ac:dyDescent="0.2">
      <c r="Q756" s="36"/>
      <c r="R756" s="40"/>
      <c r="S756" s="40"/>
      <c r="T756" s="40"/>
      <c r="U756" s="41"/>
      <c r="V756" s="41"/>
      <c r="W756" s="41"/>
      <c r="X756" s="36"/>
      <c r="Y756" s="36"/>
      <c r="Z756" s="36"/>
      <c r="AA756" s="36"/>
      <c r="AB756" s="36"/>
      <c r="AC756" s="36"/>
    </row>
    <row r="757" spans="17:29" x14ac:dyDescent="0.2">
      <c r="Q757" s="36"/>
      <c r="R757" s="40"/>
      <c r="S757" s="40"/>
      <c r="T757" s="40"/>
      <c r="U757" s="41"/>
      <c r="V757" s="41"/>
      <c r="W757" s="41"/>
      <c r="X757" s="36"/>
      <c r="Y757" s="36"/>
      <c r="Z757" s="36"/>
      <c r="AA757" s="36"/>
      <c r="AB757" s="36"/>
      <c r="AC757" s="36"/>
    </row>
    <row r="758" spans="17:29" x14ac:dyDescent="0.2">
      <c r="Q758" s="36"/>
      <c r="R758" s="40"/>
      <c r="S758" s="40"/>
      <c r="T758" s="40"/>
      <c r="U758" s="41"/>
      <c r="V758" s="41"/>
      <c r="W758" s="41"/>
      <c r="X758" s="36"/>
      <c r="Y758" s="36"/>
      <c r="Z758" s="36"/>
      <c r="AA758" s="36"/>
      <c r="AB758" s="36"/>
      <c r="AC758" s="36"/>
    </row>
    <row r="759" spans="17:29" x14ac:dyDescent="0.2">
      <c r="Q759" s="36"/>
      <c r="R759" s="40"/>
      <c r="S759" s="40"/>
      <c r="T759" s="40"/>
      <c r="U759" s="41"/>
      <c r="V759" s="41"/>
      <c r="W759" s="41"/>
      <c r="X759" s="36"/>
      <c r="Y759" s="36"/>
      <c r="Z759" s="36"/>
      <c r="AA759" s="36"/>
      <c r="AB759" s="36"/>
      <c r="AC759" s="36"/>
    </row>
    <row r="760" spans="17:29" x14ac:dyDescent="0.2">
      <c r="Q760" s="36"/>
      <c r="R760" s="40"/>
      <c r="S760" s="40"/>
      <c r="T760" s="40"/>
      <c r="U760" s="41"/>
      <c r="V760" s="41"/>
      <c r="W760" s="41"/>
      <c r="X760" s="36"/>
      <c r="Y760" s="36"/>
      <c r="Z760" s="36"/>
      <c r="AA760" s="36"/>
      <c r="AB760" s="36"/>
      <c r="AC760" s="36"/>
    </row>
    <row r="761" spans="17:29" x14ac:dyDescent="0.2">
      <c r="Q761" s="36"/>
      <c r="R761" s="40"/>
      <c r="S761" s="40"/>
      <c r="T761" s="40"/>
      <c r="U761" s="41"/>
      <c r="V761" s="41"/>
      <c r="W761" s="41"/>
      <c r="X761" s="36"/>
      <c r="Y761" s="36"/>
      <c r="Z761" s="36"/>
      <c r="AA761" s="36"/>
      <c r="AB761" s="36"/>
      <c r="AC761" s="36"/>
    </row>
    <row r="762" spans="17:29" x14ac:dyDescent="0.2">
      <c r="Q762" s="36"/>
      <c r="R762" s="40"/>
      <c r="S762" s="40"/>
      <c r="T762" s="40"/>
      <c r="U762" s="41"/>
      <c r="V762" s="41"/>
      <c r="W762" s="41"/>
      <c r="X762" s="36"/>
      <c r="Y762" s="36"/>
      <c r="Z762" s="36"/>
      <c r="AA762" s="36"/>
      <c r="AB762" s="36"/>
      <c r="AC762" s="36"/>
    </row>
    <row r="763" spans="17:29" x14ac:dyDescent="0.2">
      <c r="Q763" s="36"/>
      <c r="R763" s="40"/>
      <c r="S763" s="40"/>
      <c r="T763" s="40"/>
      <c r="U763" s="41"/>
      <c r="V763" s="41"/>
      <c r="W763" s="41"/>
      <c r="X763" s="36"/>
      <c r="Y763" s="36"/>
      <c r="Z763" s="36"/>
      <c r="AA763" s="36"/>
      <c r="AB763" s="36"/>
      <c r="AC763" s="36"/>
    </row>
    <row r="764" spans="17:29" x14ac:dyDescent="0.2">
      <c r="Q764" s="36"/>
      <c r="R764" s="40"/>
      <c r="S764" s="40"/>
      <c r="T764" s="40"/>
      <c r="U764" s="41"/>
      <c r="V764" s="41"/>
      <c r="W764" s="41"/>
      <c r="X764" s="36"/>
      <c r="Y764" s="36"/>
      <c r="Z764" s="36"/>
      <c r="AA764" s="36"/>
      <c r="AB764" s="36"/>
      <c r="AC764" s="36"/>
    </row>
    <row r="765" spans="17:29" x14ac:dyDescent="0.2">
      <c r="Q765" s="36"/>
      <c r="R765" s="40"/>
      <c r="S765" s="40"/>
      <c r="T765" s="40"/>
      <c r="U765" s="41"/>
      <c r="V765" s="41"/>
      <c r="W765" s="41"/>
      <c r="X765" s="36"/>
      <c r="Y765" s="36"/>
      <c r="Z765" s="36"/>
      <c r="AA765" s="36"/>
      <c r="AB765" s="36"/>
      <c r="AC765" s="36"/>
    </row>
    <row r="766" spans="17:29" x14ac:dyDescent="0.2">
      <c r="Q766" s="36"/>
      <c r="R766" s="40"/>
      <c r="S766" s="40"/>
      <c r="T766" s="40"/>
      <c r="U766" s="41"/>
      <c r="V766" s="41"/>
      <c r="W766" s="41"/>
      <c r="X766" s="36"/>
      <c r="Y766" s="36"/>
      <c r="Z766" s="36"/>
      <c r="AA766" s="36"/>
      <c r="AB766" s="36"/>
      <c r="AC766" s="36"/>
    </row>
    <row r="767" spans="17:29" x14ac:dyDescent="0.2">
      <c r="Q767" s="36"/>
      <c r="R767" s="40"/>
      <c r="S767" s="40"/>
      <c r="T767" s="40"/>
      <c r="U767" s="41"/>
      <c r="V767" s="41"/>
      <c r="W767" s="41"/>
      <c r="X767" s="36"/>
      <c r="Y767" s="36"/>
      <c r="Z767" s="36"/>
      <c r="AA767" s="36"/>
      <c r="AB767" s="36"/>
      <c r="AC767" s="36"/>
    </row>
    <row r="768" spans="17:29" x14ac:dyDescent="0.2">
      <c r="Q768" s="36"/>
      <c r="R768" s="40"/>
      <c r="S768" s="40"/>
      <c r="T768" s="40"/>
      <c r="U768" s="41"/>
      <c r="V768" s="41"/>
      <c r="W768" s="41"/>
      <c r="X768" s="36"/>
      <c r="Y768" s="36"/>
      <c r="Z768" s="36"/>
      <c r="AA768" s="36"/>
      <c r="AB768" s="36"/>
      <c r="AC768" s="36"/>
    </row>
    <row r="769" spans="17:29" x14ac:dyDescent="0.2">
      <c r="Q769" s="36"/>
      <c r="R769" s="40"/>
      <c r="S769" s="40"/>
      <c r="T769" s="40"/>
      <c r="U769" s="41"/>
      <c r="V769" s="41"/>
      <c r="W769" s="41"/>
      <c r="X769" s="36"/>
      <c r="Y769" s="36"/>
      <c r="Z769" s="36"/>
      <c r="AA769" s="36"/>
      <c r="AB769" s="36"/>
      <c r="AC769" s="36"/>
    </row>
    <row r="770" spans="17:29" x14ac:dyDescent="0.2">
      <c r="Q770" s="36"/>
      <c r="R770" s="40"/>
      <c r="S770" s="40"/>
      <c r="T770" s="40"/>
      <c r="U770" s="41"/>
      <c r="V770" s="41"/>
      <c r="W770" s="41"/>
      <c r="X770" s="36"/>
      <c r="Y770" s="36"/>
      <c r="Z770" s="36"/>
      <c r="AA770" s="36"/>
      <c r="AB770" s="36"/>
      <c r="AC770" s="36"/>
    </row>
    <row r="771" spans="17:29" x14ac:dyDescent="0.2">
      <c r="Q771" s="36"/>
      <c r="R771" s="40"/>
      <c r="S771" s="40"/>
      <c r="T771" s="40"/>
      <c r="U771" s="41"/>
      <c r="V771" s="41"/>
      <c r="W771" s="41"/>
      <c r="X771" s="36"/>
      <c r="Y771" s="36"/>
      <c r="Z771" s="36"/>
      <c r="AA771" s="36"/>
      <c r="AB771" s="36"/>
      <c r="AC771" s="36"/>
    </row>
    <row r="772" spans="17:29" x14ac:dyDescent="0.2">
      <c r="Q772" s="36"/>
      <c r="R772" s="40"/>
      <c r="S772" s="40"/>
      <c r="T772" s="40"/>
      <c r="U772" s="41"/>
      <c r="V772" s="41"/>
      <c r="W772" s="41"/>
      <c r="X772" s="36"/>
      <c r="Y772" s="36"/>
      <c r="Z772" s="36"/>
      <c r="AA772" s="36"/>
      <c r="AB772" s="36"/>
      <c r="AC772" s="36"/>
    </row>
    <row r="773" spans="17:29" x14ac:dyDescent="0.2">
      <c r="Q773" s="36"/>
      <c r="R773" s="40"/>
      <c r="S773" s="40"/>
      <c r="T773" s="40"/>
      <c r="U773" s="41"/>
      <c r="V773" s="41"/>
      <c r="W773" s="41"/>
      <c r="X773" s="36"/>
      <c r="Y773" s="36"/>
      <c r="Z773" s="36"/>
      <c r="AA773" s="36"/>
      <c r="AB773" s="36"/>
      <c r="AC773" s="36"/>
    </row>
    <row r="774" spans="17:29" x14ac:dyDescent="0.2">
      <c r="Q774" s="36"/>
      <c r="R774" s="40"/>
      <c r="S774" s="40"/>
      <c r="T774" s="40"/>
      <c r="U774" s="41"/>
      <c r="V774" s="41"/>
      <c r="W774" s="41"/>
      <c r="X774" s="36"/>
      <c r="Y774" s="36"/>
      <c r="Z774" s="36"/>
      <c r="AA774" s="36"/>
      <c r="AB774" s="36"/>
      <c r="AC774" s="36"/>
    </row>
    <row r="775" spans="17:29" x14ac:dyDescent="0.2">
      <c r="Q775" s="36"/>
      <c r="R775" s="40"/>
      <c r="S775" s="40"/>
      <c r="T775" s="40"/>
      <c r="U775" s="41"/>
      <c r="V775" s="41"/>
      <c r="W775" s="41"/>
      <c r="X775" s="36"/>
      <c r="Y775" s="36"/>
      <c r="Z775" s="36"/>
      <c r="AA775" s="36"/>
      <c r="AB775" s="36"/>
      <c r="AC775" s="36"/>
    </row>
    <row r="776" spans="17:29" x14ac:dyDescent="0.2">
      <c r="Q776" s="36"/>
      <c r="R776" s="40"/>
      <c r="S776" s="40"/>
      <c r="T776" s="40"/>
      <c r="U776" s="41"/>
      <c r="V776" s="41"/>
      <c r="W776" s="41"/>
      <c r="X776" s="36"/>
      <c r="Y776" s="36"/>
      <c r="Z776" s="36"/>
      <c r="AA776" s="36"/>
      <c r="AB776" s="36"/>
      <c r="AC776" s="36"/>
    </row>
    <row r="777" spans="17:29" x14ac:dyDescent="0.2">
      <c r="Q777" s="36"/>
      <c r="R777" s="40"/>
      <c r="S777" s="40"/>
      <c r="T777" s="40"/>
      <c r="U777" s="41"/>
      <c r="V777" s="41"/>
      <c r="W777" s="41"/>
      <c r="X777" s="36"/>
      <c r="Y777" s="36"/>
      <c r="Z777" s="36"/>
      <c r="AA777" s="36"/>
      <c r="AB777" s="36"/>
      <c r="AC777" s="36"/>
    </row>
    <row r="778" spans="17:29" x14ac:dyDescent="0.2">
      <c r="Q778" s="36"/>
      <c r="R778" s="40"/>
      <c r="S778" s="40"/>
      <c r="T778" s="40"/>
      <c r="U778" s="41"/>
      <c r="V778" s="41"/>
      <c r="W778" s="41"/>
      <c r="X778" s="36"/>
      <c r="Y778" s="36"/>
      <c r="Z778" s="36"/>
      <c r="AA778" s="36"/>
      <c r="AB778" s="36"/>
      <c r="AC778" s="36"/>
    </row>
    <row r="779" spans="17:29" x14ac:dyDescent="0.2">
      <c r="Q779" s="36"/>
      <c r="R779" s="40"/>
      <c r="S779" s="40"/>
      <c r="T779" s="40"/>
      <c r="U779" s="41"/>
      <c r="V779" s="41"/>
      <c r="W779" s="41"/>
      <c r="X779" s="36"/>
      <c r="Y779" s="36"/>
      <c r="Z779" s="36"/>
      <c r="AA779" s="36"/>
      <c r="AB779" s="36"/>
      <c r="AC779" s="36"/>
    </row>
    <row r="780" spans="17:29" x14ac:dyDescent="0.2">
      <c r="Q780" s="36"/>
      <c r="R780" s="40"/>
      <c r="S780" s="40"/>
      <c r="T780" s="40"/>
      <c r="U780" s="41"/>
      <c r="V780" s="41"/>
      <c r="W780" s="41"/>
      <c r="X780" s="36"/>
      <c r="Y780" s="36"/>
      <c r="Z780" s="36"/>
      <c r="AA780" s="36"/>
      <c r="AB780" s="36"/>
      <c r="AC780" s="36"/>
    </row>
    <row r="781" spans="17:29" x14ac:dyDescent="0.2">
      <c r="Q781" s="36"/>
      <c r="R781" s="40"/>
      <c r="S781" s="40"/>
      <c r="T781" s="40"/>
      <c r="U781" s="41"/>
      <c r="V781" s="41"/>
      <c r="W781" s="41"/>
      <c r="X781" s="36"/>
      <c r="Y781" s="36"/>
      <c r="Z781" s="36"/>
      <c r="AA781" s="36"/>
      <c r="AB781" s="36"/>
      <c r="AC781" s="36"/>
    </row>
    <row r="782" spans="17:29" x14ac:dyDescent="0.2">
      <c r="Q782" s="36"/>
      <c r="R782" s="40"/>
      <c r="S782" s="40"/>
      <c r="T782" s="40"/>
      <c r="U782" s="41"/>
      <c r="V782" s="41"/>
      <c r="W782" s="41"/>
      <c r="X782" s="36"/>
      <c r="Y782" s="36"/>
      <c r="Z782" s="36"/>
      <c r="AA782" s="36"/>
      <c r="AB782" s="36"/>
      <c r="AC782" s="36"/>
    </row>
    <row r="783" spans="17:29" x14ac:dyDescent="0.2">
      <c r="Q783" s="36"/>
      <c r="R783" s="40"/>
      <c r="S783" s="40"/>
      <c r="T783" s="40"/>
      <c r="U783" s="41"/>
      <c r="V783" s="41"/>
      <c r="W783" s="41"/>
      <c r="X783" s="36"/>
      <c r="Y783" s="36"/>
      <c r="Z783" s="36"/>
      <c r="AA783" s="36"/>
      <c r="AB783" s="36"/>
      <c r="AC783" s="36"/>
    </row>
    <row r="784" spans="17:29" x14ac:dyDescent="0.2">
      <c r="Q784" s="36"/>
      <c r="R784" s="40"/>
      <c r="S784" s="40"/>
      <c r="T784" s="40"/>
      <c r="U784" s="41"/>
      <c r="V784" s="41"/>
      <c r="W784" s="41"/>
      <c r="X784" s="36"/>
      <c r="Y784" s="36"/>
      <c r="Z784" s="36"/>
      <c r="AA784" s="36"/>
      <c r="AB784" s="36"/>
      <c r="AC784" s="36"/>
    </row>
    <row r="785" spans="17:29" x14ac:dyDescent="0.2">
      <c r="Q785" s="36"/>
      <c r="R785" s="40"/>
      <c r="S785" s="40"/>
      <c r="T785" s="40"/>
      <c r="U785" s="41"/>
      <c r="V785" s="41"/>
      <c r="W785" s="41"/>
      <c r="X785" s="36"/>
      <c r="Y785" s="36"/>
      <c r="Z785" s="36"/>
      <c r="AA785" s="36"/>
      <c r="AB785" s="36"/>
      <c r="AC785" s="36"/>
    </row>
    <row r="786" spans="17:29" x14ac:dyDescent="0.2">
      <c r="Q786" s="36"/>
      <c r="R786" s="40"/>
      <c r="S786" s="40"/>
      <c r="T786" s="40"/>
      <c r="U786" s="41"/>
      <c r="V786" s="41"/>
      <c r="W786" s="41"/>
      <c r="X786" s="36"/>
      <c r="Y786" s="36"/>
      <c r="Z786" s="36"/>
      <c r="AA786" s="36"/>
      <c r="AB786" s="36"/>
      <c r="AC786" s="36"/>
    </row>
    <row r="787" spans="17:29" x14ac:dyDescent="0.2">
      <c r="Q787" s="36"/>
      <c r="R787" s="40"/>
      <c r="S787" s="40"/>
      <c r="T787" s="40"/>
      <c r="U787" s="41"/>
      <c r="V787" s="41"/>
      <c r="W787" s="41"/>
      <c r="X787" s="36"/>
      <c r="Y787" s="36"/>
      <c r="Z787" s="36"/>
      <c r="AA787" s="36"/>
      <c r="AB787" s="36"/>
      <c r="AC787" s="36"/>
    </row>
    <row r="788" spans="17:29" x14ac:dyDescent="0.2">
      <c r="Q788" s="36"/>
      <c r="R788" s="40"/>
      <c r="S788" s="40"/>
      <c r="T788" s="40"/>
      <c r="U788" s="41"/>
      <c r="V788" s="41"/>
      <c r="W788" s="41"/>
      <c r="X788" s="36"/>
      <c r="Y788" s="36"/>
      <c r="Z788" s="36"/>
      <c r="AA788" s="36"/>
      <c r="AB788" s="36"/>
      <c r="AC788" s="36"/>
    </row>
    <row r="789" spans="17:29" x14ac:dyDescent="0.2">
      <c r="Q789" s="36"/>
      <c r="R789" s="40"/>
      <c r="S789" s="40"/>
      <c r="T789" s="40"/>
      <c r="U789" s="41"/>
      <c r="V789" s="41"/>
      <c r="W789" s="41"/>
      <c r="X789" s="36"/>
      <c r="Y789" s="36"/>
      <c r="Z789" s="36"/>
      <c r="AA789" s="36"/>
      <c r="AB789" s="36"/>
      <c r="AC789" s="36"/>
    </row>
    <row r="790" spans="17:29" x14ac:dyDescent="0.2">
      <c r="Q790" s="36"/>
      <c r="R790" s="40"/>
      <c r="S790" s="40"/>
      <c r="T790" s="40"/>
      <c r="U790" s="41"/>
      <c r="V790" s="41"/>
      <c r="W790" s="41"/>
      <c r="X790" s="36"/>
      <c r="Y790" s="36"/>
      <c r="Z790" s="36"/>
      <c r="AA790" s="36"/>
      <c r="AB790" s="36"/>
      <c r="AC790" s="36"/>
    </row>
    <row r="791" spans="17:29" x14ac:dyDescent="0.2">
      <c r="Q791" s="36"/>
      <c r="R791" s="40"/>
      <c r="S791" s="40"/>
      <c r="T791" s="40"/>
      <c r="U791" s="41"/>
      <c r="V791" s="41"/>
      <c r="W791" s="41"/>
      <c r="X791" s="36"/>
      <c r="Y791" s="36"/>
      <c r="Z791" s="36"/>
      <c r="AA791" s="36"/>
      <c r="AB791" s="36"/>
      <c r="AC791" s="36"/>
    </row>
    <row r="792" spans="17:29" x14ac:dyDescent="0.2">
      <c r="Q792" s="36"/>
      <c r="R792" s="40"/>
      <c r="S792" s="40"/>
      <c r="T792" s="40"/>
      <c r="U792" s="41"/>
      <c r="V792" s="41"/>
      <c r="W792" s="41"/>
      <c r="X792" s="36"/>
      <c r="Y792" s="36"/>
      <c r="Z792" s="36"/>
      <c r="AA792" s="36"/>
      <c r="AB792" s="36"/>
      <c r="AC792" s="36"/>
    </row>
    <row r="793" spans="17:29" x14ac:dyDescent="0.2">
      <c r="Q793" s="36"/>
      <c r="R793" s="40"/>
      <c r="S793" s="40"/>
      <c r="T793" s="40"/>
      <c r="U793" s="41"/>
      <c r="V793" s="41"/>
      <c r="W793" s="41"/>
      <c r="X793" s="36"/>
      <c r="Y793" s="36"/>
      <c r="Z793" s="36"/>
      <c r="AA793" s="36"/>
      <c r="AB793" s="36"/>
      <c r="AC793" s="36"/>
    </row>
    <row r="794" spans="17:29" x14ac:dyDescent="0.2">
      <c r="Q794" s="36"/>
      <c r="R794" s="40"/>
      <c r="S794" s="40"/>
      <c r="T794" s="40"/>
      <c r="U794" s="41"/>
      <c r="V794" s="41"/>
      <c r="W794" s="41"/>
      <c r="X794" s="36"/>
      <c r="Y794" s="36"/>
      <c r="Z794" s="36"/>
      <c r="AA794" s="36"/>
      <c r="AB794" s="36"/>
      <c r="AC794" s="36"/>
    </row>
    <row r="795" spans="17:29" x14ac:dyDescent="0.2">
      <c r="Q795" s="36"/>
      <c r="R795" s="40"/>
      <c r="S795" s="40"/>
      <c r="T795" s="40"/>
      <c r="U795" s="41"/>
      <c r="V795" s="41"/>
      <c r="W795" s="41"/>
      <c r="X795" s="36"/>
      <c r="Y795" s="36"/>
      <c r="Z795" s="36"/>
      <c r="AA795" s="36"/>
      <c r="AB795" s="36"/>
      <c r="AC795" s="36"/>
    </row>
    <row r="796" spans="17:29" x14ac:dyDescent="0.2">
      <c r="Q796" s="36"/>
      <c r="R796" s="40"/>
      <c r="S796" s="40"/>
      <c r="T796" s="40"/>
      <c r="U796" s="41"/>
      <c r="V796" s="41"/>
      <c r="W796" s="41"/>
      <c r="X796" s="36"/>
      <c r="Y796" s="36"/>
      <c r="Z796" s="36"/>
      <c r="AA796" s="36"/>
      <c r="AB796" s="36"/>
      <c r="AC796" s="36"/>
    </row>
    <row r="797" spans="17:29" x14ac:dyDescent="0.2">
      <c r="Q797" s="36"/>
      <c r="R797" s="40"/>
      <c r="S797" s="40"/>
      <c r="T797" s="40"/>
      <c r="U797" s="41"/>
      <c r="V797" s="41"/>
      <c r="W797" s="41"/>
      <c r="X797" s="36"/>
      <c r="Y797" s="36"/>
      <c r="Z797" s="36"/>
      <c r="AA797" s="36"/>
      <c r="AB797" s="36"/>
      <c r="AC797" s="36"/>
    </row>
    <row r="798" spans="17:29" x14ac:dyDescent="0.2">
      <c r="Q798" s="36"/>
      <c r="R798" s="40"/>
      <c r="S798" s="40"/>
      <c r="T798" s="40"/>
      <c r="U798" s="41"/>
      <c r="V798" s="41"/>
      <c r="W798" s="41"/>
      <c r="X798" s="36"/>
      <c r="Y798" s="36"/>
      <c r="Z798" s="36"/>
      <c r="AA798" s="36"/>
      <c r="AB798" s="36"/>
      <c r="AC798" s="36"/>
    </row>
    <row r="799" spans="17:29" x14ac:dyDescent="0.2">
      <c r="Q799" s="36"/>
      <c r="R799" s="40"/>
      <c r="S799" s="40"/>
      <c r="T799" s="40"/>
      <c r="U799" s="41"/>
      <c r="V799" s="41"/>
      <c r="W799" s="41"/>
      <c r="X799" s="36"/>
      <c r="Y799" s="36"/>
      <c r="Z799" s="36"/>
      <c r="AA799" s="36"/>
      <c r="AB799" s="36"/>
      <c r="AC799" s="36"/>
    </row>
    <row r="800" spans="17:29" x14ac:dyDescent="0.2">
      <c r="Q800" s="36"/>
      <c r="R800" s="40"/>
      <c r="S800" s="40"/>
      <c r="T800" s="40"/>
      <c r="U800" s="41"/>
      <c r="V800" s="41"/>
      <c r="W800" s="41"/>
      <c r="X800" s="36"/>
      <c r="Y800" s="36"/>
      <c r="Z800" s="36"/>
      <c r="AA800" s="36"/>
      <c r="AB800" s="36"/>
      <c r="AC800" s="36"/>
    </row>
    <row r="801" spans="17:29" x14ac:dyDescent="0.2">
      <c r="Q801" s="36"/>
      <c r="R801" s="40"/>
      <c r="S801" s="40"/>
      <c r="T801" s="40"/>
      <c r="U801" s="41"/>
      <c r="V801" s="41"/>
      <c r="W801" s="41"/>
      <c r="X801" s="36"/>
      <c r="Y801" s="36"/>
      <c r="Z801" s="36"/>
      <c r="AA801" s="36"/>
      <c r="AB801" s="36"/>
      <c r="AC801" s="36"/>
    </row>
    <row r="802" spans="17:29" x14ac:dyDescent="0.2">
      <c r="Q802" s="36"/>
      <c r="R802" s="40"/>
      <c r="S802" s="40"/>
      <c r="T802" s="40"/>
      <c r="U802" s="41"/>
      <c r="V802" s="41"/>
      <c r="W802" s="41"/>
      <c r="X802" s="36"/>
      <c r="Y802" s="36"/>
      <c r="Z802" s="36"/>
      <c r="AA802" s="36"/>
      <c r="AB802" s="36"/>
      <c r="AC802" s="36"/>
    </row>
    <row r="803" spans="17:29" x14ac:dyDescent="0.2">
      <c r="Q803" s="36"/>
      <c r="R803" s="40"/>
      <c r="S803" s="40"/>
      <c r="T803" s="40"/>
      <c r="U803" s="41"/>
      <c r="V803" s="41"/>
      <c r="W803" s="41"/>
      <c r="X803" s="36"/>
      <c r="Y803" s="36"/>
      <c r="Z803" s="36"/>
      <c r="AA803" s="36"/>
      <c r="AB803" s="36"/>
      <c r="AC803" s="36"/>
    </row>
    <row r="804" spans="17:29" x14ac:dyDescent="0.2">
      <c r="Q804" s="36"/>
      <c r="R804" s="40"/>
      <c r="S804" s="40"/>
      <c r="T804" s="40"/>
      <c r="U804" s="41"/>
      <c r="V804" s="41"/>
      <c r="W804" s="41"/>
      <c r="X804" s="36"/>
      <c r="Y804" s="36"/>
      <c r="Z804" s="36"/>
      <c r="AA804" s="36"/>
      <c r="AB804" s="36"/>
      <c r="AC804" s="36"/>
    </row>
    <row r="805" spans="17:29" x14ac:dyDescent="0.2">
      <c r="Q805" s="36"/>
      <c r="R805" s="40"/>
      <c r="S805" s="40"/>
      <c r="T805" s="40"/>
      <c r="U805" s="41"/>
      <c r="V805" s="41"/>
      <c r="W805" s="41"/>
      <c r="X805" s="36"/>
      <c r="Y805" s="36"/>
      <c r="Z805" s="36"/>
      <c r="AA805" s="36"/>
      <c r="AB805" s="36"/>
      <c r="AC805" s="36"/>
    </row>
    <row r="806" spans="17:29" x14ac:dyDescent="0.2">
      <c r="Q806" s="36"/>
      <c r="R806" s="40"/>
      <c r="S806" s="40"/>
      <c r="T806" s="40"/>
      <c r="U806" s="41"/>
      <c r="V806" s="41"/>
      <c r="W806" s="41"/>
      <c r="X806" s="36"/>
      <c r="Y806" s="36"/>
      <c r="Z806" s="36"/>
      <c r="AA806" s="36"/>
      <c r="AB806" s="36"/>
      <c r="AC806" s="36"/>
    </row>
    <row r="807" spans="17:29" x14ac:dyDescent="0.2">
      <c r="Q807" s="36"/>
      <c r="R807" s="40"/>
      <c r="S807" s="40"/>
      <c r="T807" s="40"/>
      <c r="U807" s="41"/>
      <c r="V807" s="41"/>
      <c r="W807" s="41"/>
      <c r="X807" s="36"/>
      <c r="Y807" s="36"/>
      <c r="Z807" s="36"/>
      <c r="AA807" s="36"/>
      <c r="AB807" s="36"/>
      <c r="AC807" s="36"/>
    </row>
    <row r="808" spans="17:29" x14ac:dyDescent="0.2">
      <c r="Q808" s="36"/>
      <c r="R808" s="40"/>
      <c r="S808" s="40"/>
      <c r="T808" s="40"/>
      <c r="U808" s="41"/>
      <c r="V808" s="41"/>
      <c r="W808" s="41"/>
      <c r="X808" s="36"/>
      <c r="Y808" s="36"/>
      <c r="Z808" s="36"/>
      <c r="AA808" s="36"/>
      <c r="AB808" s="36"/>
      <c r="AC808" s="36"/>
    </row>
    <row r="809" spans="17:29" x14ac:dyDescent="0.2">
      <c r="Q809" s="36"/>
      <c r="R809" s="40"/>
      <c r="S809" s="40"/>
      <c r="T809" s="40"/>
      <c r="U809" s="41"/>
      <c r="V809" s="41"/>
      <c r="W809" s="41"/>
      <c r="X809" s="36"/>
      <c r="Y809" s="36"/>
      <c r="Z809" s="36"/>
      <c r="AA809" s="36"/>
      <c r="AB809" s="36"/>
      <c r="AC809" s="36"/>
    </row>
    <row r="810" spans="17:29" x14ac:dyDescent="0.2">
      <c r="Q810" s="36"/>
      <c r="R810" s="40"/>
      <c r="S810" s="40"/>
      <c r="T810" s="40"/>
      <c r="U810" s="41"/>
      <c r="V810" s="41"/>
      <c r="W810" s="41"/>
      <c r="X810" s="36"/>
      <c r="Y810" s="36"/>
      <c r="Z810" s="36"/>
      <c r="AA810" s="36"/>
      <c r="AB810" s="36"/>
      <c r="AC810" s="36"/>
    </row>
    <row r="811" spans="17:29" x14ac:dyDescent="0.2">
      <c r="Q811" s="36"/>
      <c r="R811" s="40"/>
      <c r="S811" s="40"/>
      <c r="T811" s="40"/>
      <c r="U811" s="41"/>
      <c r="V811" s="41"/>
      <c r="W811" s="41"/>
      <c r="X811" s="36"/>
      <c r="Y811" s="36"/>
      <c r="Z811" s="36"/>
      <c r="AA811" s="36"/>
      <c r="AB811" s="36"/>
      <c r="AC811" s="36"/>
    </row>
    <row r="812" spans="17:29" x14ac:dyDescent="0.2">
      <c r="Q812" s="36"/>
      <c r="R812" s="40"/>
      <c r="S812" s="40"/>
      <c r="T812" s="40"/>
      <c r="U812" s="41"/>
      <c r="V812" s="41"/>
      <c r="W812" s="41"/>
      <c r="X812" s="36"/>
      <c r="Y812" s="36"/>
      <c r="Z812" s="36"/>
      <c r="AA812" s="36"/>
      <c r="AB812" s="36"/>
      <c r="AC812" s="36"/>
    </row>
    <row r="813" spans="17:29" x14ac:dyDescent="0.2">
      <c r="Q813" s="36"/>
      <c r="R813" s="40"/>
      <c r="S813" s="40"/>
      <c r="T813" s="40"/>
      <c r="U813" s="41"/>
      <c r="V813" s="41"/>
      <c r="W813" s="41"/>
      <c r="X813" s="36"/>
      <c r="Y813" s="36"/>
      <c r="Z813" s="36"/>
      <c r="AA813" s="36"/>
      <c r="AB813" s="36"/>
      <c r="AC813" s="36"/>
    </row>
    <row r="814" spans="17:29" x14ac:dyDescent="0.2">
      <c r="Q814" s="36"/>
      <c r="R814" s="40"/>
      <c r="S814" s="40"/>
      <c r="T814" s="40"/>
      <c r="U814" s="41"/>
      <c r="V814" s="41"/>
      <c r="W814" s="41"/>
      <c r="X814" s="36"/>
      <c r="Y814" s="36"/>
      <c r="Z814" s="36"/>
      <c r="AA814" s="36"/>
      <c r="AB814" s="36"/>
      <c r="AC814" s="36"/>
    </row>
    <row r="815" spans="17:29" x14ac:dyDescent="0.2">
      <c r="Q815" s="36"/>
      <c r="R815" s="40"/>
      <c r="S815" s="40"/>
      <c r="T815" s="40"/>
      <c r="U815" s="41"/>
      <c r="V815" s="41"/>
      <c r="W815" s="41"/>
      <c r="X815" s="36"/>
      <c r="Y815" s="36"/>
      <c r="Z815" s="36"/>
      <c r="AA815" s="36"/>
      <c r="AB815" s="36"/>
      <c r="AC815" s="36"/>
    </row>
    <row r="816" spans="17:29" x14ac:dyDescent="0.2">
      <c r="Q816" s="36"/>
      <c r="R816" s="40"/>
      <c r="S816" s="40"/>
      <c r="T816" s="40"/>
      <c r="U816" s="41"/>
      <c r="V816" s="41"/>
      <c r="W816" s="41"/>
      <c r="X816" s="36"/>
      <c r="Y816" s="36"/>
      <c r="Z816" s="36"/>
      <c r="AA816" s="36"/>
      <c r="AB816" s="36"/>
      <c r="AC816" s="36"/>
    </row>
    <row r="817" spans="17:29" x14ac:dyDescent="0.2">
      <c r="Q817" s="36"/>
      <c r="R817" s="40"/>
      <c r="S817" s="40"/>
      <c r="T817" s="40"/>
      <c r="U817" s="41"/>
      <c r="V817" s="41"/>
      <c r="W817" s="41"/>
      <c r="X817" s="36"/>
      <c r="Y817" s="36"/>
      <c r="Z817" s="36"/>
      <c r="AA817" s="36"/>
      <c r="AB817" s="36"/>
      <c r="AC817" s="36"/>
    </row>
    <row r="818" spans="17:29" x14ac:dyDescent="0.2">
      <c r="Q818" s="36"/>
      <c r="R818" s="40"/>
      <c r="S818" s="40"/>
      <c r="T818" s="40"/>
      <c r="U818" s="41"/>
      <c r="V818" s="41"/>
      <c r="W818" s="41"/>
      <c r="X818" s="36"/>
      <c r="Y818" s="36"/>
      <c r="Z818" s="36"/>
      <c r="AA818" s="36"/>
      <c r="AB818" s="36"/>
      <c r="AC818" s="36"/>
    </row>
    <row r="819" spans="17:29" x14ac:dyDescent="0.2">
      <c r="Q819" s="36"/>
      <c r="R819" s="40"/>
      <c r="S819" s="40"/>
      <c r="T819" s="40"/>
      <c r="U819" s="41"/>
      <c r="V819" s="41"/>
      <c r="W819" s="41"/>
      <c r="X819" s="36"/>
      <c r="Y819" s="36"/>
      <c r="Z819" s="36"/>
      <c r="AA819" s="36"/>
      <c r="AB819" s="36"/>
      <c r="AC819" s="36"/>
    </row>
    <row r="820" spans="17:29" x14ac:dyDescent="0.2">
      <c r="Q820" s="36"/>
      <c r="R820" s="40"/>
      <c r="S820" s="40"/>
      <c r="T820" s="40"/>
      <c r="U820" s="41"/>
      <c r="V820" s="41"/>
      <c r="W820" s="41"/>
      <c r="X820" s="36"/>
      <c r="Y820" s="36"/>
      <c r="Z820" s="36"/>
      <c r="AA820" s="36"/>
      <c r="AB820" s="36"/>
      <c r="AC820" s="36"/>
    </row>
    <row r="821" spans="17:29" x14ac:dyDescent="0.2">
      <c r="Q821" s="36"/>
      <c r="R821" s="40"/>
      <c r="S821" s="40"/>
      <c r="T821" s="40"/>
      <c r="U821" s="41"/>
      <c r="V821" s="41"/>
      <c r="W821" s="41"/>
      <c r="X821" s="36"/>
      <c r="Y821" s="36"/>
      <c r="Z821" s="36"/>
      <c r="AA821" s="36"/>
      <c r="AB821" s="36"/>
      <c r="AC821" s="36"/>
    </row>
    <row r="822" spans="17:29" x14ac:dyDescent="0.2">
      <c r="Q822" s="36"/>
      <c r="R822" s="40"/>
      <c r="S822" s="40"/>
      <c r="T822" s="40"/>
      <c r="U822" s="41"/>
      <c r="V822" s="41"/>
      <c r="W822" s="41"/>
      <c r="X822" s="36"/>
      <c r="Y822" s="36"/>
      <c r="Z822" s="36"/>
      <c r="AA822" s="36"/>
      <c r="AB822" s="36"/>
      <c r="AC822" s="36"/>
    </row>
    <row r="823" spans="17:29" x14ac:dyDescent="0.2">
      <c r="Q823" s="36"/>
      <c r="R823" s="40"/>
      <c r="S823" s="40"/>
      <c r="T823" s="40"/>
      <c r="U823" s="41"/>
      <c r="V823" s="41"/>
      <c r="W823" s="41"/>
      <c r="X823" s="36"/>
      <c r="Y823" s="36"/>
      <c r="Z823" s="36"/>
      <c r="AA823" s="36"/>
      <c r="AB823" s="36"/>
      <c r="AC823" s="36"/>
    </row>
    <row r="824" spans="17:29" x14ac:dyDescent="0.2">
      <c r="Q824" s="36"/>
      <c r="R824" s="40"/>
      <c r="S824" s="40"/>
      <c r="T824" s="40"/>
      <c r="U824" s="41"/>
      <c r="V824" s="41"/>
      <c r="W824" s="41"/>
      <c r="X824" s="36"/>
      <c r="Y824" s="36"/>
      <c r="Z824" s="36"/>
      <c r="AA824" s="36"/>
      <c r="AB824" s="36"/>
      <c r="AC824" s="36"/>
    </row>
    <row r="825" spans="17:29" x14ac:dyDescent="0.2">
      <c r="Q825" s="36"/>
      <c r="R825" s="40"/>
      <c r="S825" s="40"/>
      <c r="T825" s="40"/>
      <c r="U825" s="41"/>
      <c r="V825" s="41"/>
      <c r="W825" s="41"/>
      <c r="X825" s="36"/>
      <c r="Y825" s="36"/>
      <c r="Z825" s="36"/>
      <c r="AA825" s="36"/>
      <c r="AB825" s="36"/>
      <c r="AC825" s="36"/>
    </row>
    <row r="826" spans="17:29" x14ac:dyDescent="0.2">
      <c r="Q826" s="36"/>
      <c r="R826" s="40"/>
      <c r="S826" s="40"/>
      <c r="T826" s="40"/>
      <c r="U826" s="41"/>
      <c r="V826" s="41"/>
      <c r="W826" s="41"/>
      <c r="X826" s="36"/>
      <c r="Y826" s="36"/>
      <c r="Z826" s="36"/>
      <c r="AA826" s="36"/>
      <c r="AB826" s="36"/>
      <c r="AC826" s="36"/>
    </row>
    <row r="827" spans="17:29" x14ac:dyDescent="0.2">
      <c r="Q827" s="36"/>
      <c r="R827" s="40"/>
      <c r="S827" s="40"/>
      <c r="T827" s="40"/>
      <c r="U827" s="41"/>
      <c r="V827" s="41"/>
      <c r="W827" s="41"/>
      <c r="X827" s="36"/>
      <c r="Y827" s="36"/>
      <c r="Z827" s="36"/>
      <c r="AA827" s="36"/>
      <c r="AB827" s="36"/>
      <c r="AC827" s="36"/>
    </row>
    <row r="828" spans="17:29" x14ac:dyDescent="0.2">
      <c r="Q828" s="36"/>
      <c r="R828" s="40"/>
      <c r="S828" s="40"/>
      <c r="T828" s="40"/>
      <c r="U828" s="41"/>
      <c r="V828" s="41"/>
      <c r="W828" s="41"/>
      <c r="X828" s="36"/>
      <c r="Y828" s="36"/>
      <c r="Z828" s="36"/>
      <c r="AA828" s="36"/>
      <c r="AB828" s="36"/>
      <c r="AC828" s="36"/>
    </row>
    <row r="829" spans="17:29" x14ac:dyDescent="0.2">
      <c r="Q829" s="36"/>
      <c r="R829" s="40"/>
      <c r="S829" s="40"/>
      <c r="T829" s="40"/>
      <c r="U829" s="41"/>
      <c r="V829" s="41"/>
      <c r="W829" s="41"/>
      <c r="X829" s="36"/>
      <c r="Y829" s="36"/>
      <c r="Z829" s="36"/>
      <c r="AA829" s="36"/>
      <c r="AB829" s="36"/>
      <c r="AC829" s="36"/>
    </row>
    <row r="830" spans="17:29" x14ac:dyDescent="0.2">
      <c r="Q830" s="36"/>
      <c r="R830" s="40"/>
      <c r="S830" s="40"/>
      <c r="T830" s="40"/>
      <c r="U830" s="41"/>
      <c r="V830" s="41"/>
      <c r="W830" s="41"/>
      <c r="X830" s="36"/>
      <c r="Y830" s="36"/>
      <c r="Z830" s="36"/>
      <c r="AA830" s="36"/>
      <c r="AB830" s="36"/>
      <c r="AC830" s="36"/>
    </row>
    <row r="831" spans="17:29" x14ac:dyDescent="0.2">
      <c r="Q831" s="36"/>
      <c r="R831" s="40"/>
      <c r="S831" s="40"/>
      <c r="T831" s="40"/>
      <c r="U831" s="41"/>
      <c r="V831" s="41"/>
      <c r="W831" s="41"/>
      <c r="X831" s="36"/>
      <c r="Y831" s="36"/>
      <c r="Z831" s="36"/>
      <c r="AA831" s="36"/>
      <c r="AB831" s="36"/>
      <c r="AC831" s="36"/>
    </row>
    <row r="832" spans="17:29" x14ac:dyDescent="0.2">
      <c r="Q832" s="36"/>
      <c r="R832" s="40"/>
      <c r="S832" s="40"/>
      <c r="T832" s="40"/>
      <c r="U832" s="41"/>
      <c r="V832" s="41"/>
      <c r="W832" s="41"/>
      <c r="X832" s="36"/>
      <c r="Y832" s="36"/>
      <c r="Z832" s="36"/>
      <c r="AA832" s="36"/>
      <c r="AB832" s="36"/>
      <c r="AC832" s="36"/>
    </row>
    <row r="833" spans="17:29" x14ac:dyDescent="0.2">
      <c r="Q833" s="36"/>
      <c r="R833" s="40"/>
      <c r="S833" s="40"/>
      <c r="T833" s="40"/>
      <c r="U833" s="41"/>
      <c r="V833" s="41"/>
      <c r="W833" s="41"/>
      <c r="X833" s="36"/>
      <c r="Y833" s="36"/>
      <c r="Z833" s="36"/>
      <c r="AA833" s="36"/>
      <c r="AB833" s="36"/>
      <c r="AC833" s="36"/>
    </row>
    <row r="834" spans="17:29" x14ac:dyDescent="0.2">
      <c r="Q834" s="36"/>
      <c r="R834" s="40"/>
      <c r="S834" s="40"/>
      <c r="T834" s="40"/>
      <c r="U834" s="41"/>
      <c r="V834" s="41"/>
      <c r="W834" s="41"/>
      <c r="X834" s="36"/>
      <c r="Y834" s="36"/>
      <c r="Z834" s="36"/>
      <c r="AA834" s="36"/>
      <c r="AB834" s="36"/>
      <c r="AC834" s="36"/>
    </row>
    <row r="835" spans="17:29" x14ac:dyDescent="0.2">
      <c r="Q835" s="36"/>
      <c r="R835" s="40"/>
      <c r="S835" s="40"/>
      <c r="T835" s="40"/>
      <c r="U835" s="41"/>
      <c r="V835" s="41"/>
      <c r="W835" s="41"/>
      <c r="X835" s="36"/>
      <c r="Y835" s="36"/>
      <c r="Z835" s="36"/>
      <c r="AA835" s="36"/>
      <c r="AB835" s="36"/>
      <c r="AC835" s="36"/>
    </row>
    <row r="836" spans="17:29" x14ac:dyDescent="0.2">
      <c r="Q836" s="36"/>
      <c r="R836" s="40"/>
      <c r="S836" s="40"/>
      <c r="T836" s="40"/>
      <c r="U836" s="41"/>
      <c r="V836" s="41"/>
      <c r="W836" s="41"/>
      <c r="X836" s="36"/>
      <c r="Y836" s="36"/>
      <c r="Z836" s="36"/>
      <c r="AA836" s="36"/>
      <c r="AB836" s="36"/>
      <c r="AC836" s="36"/>
    </row>
    <row r="837" spans="17:29" x14ac:dyDescent="0.2">
      <c r="Q837" s="36"/>
      <c r="R837" s="40"/>
      <c r="S837" s="40"/>
      <c r="T837" s="40"/>
      <c r="U837" s="41"/>
      <c r="V837" s="41"/>
      <c r="W837" s="41"/>
      <c r="X837" s="36"/>
      <c r="Y837" s="36"/>
      <c r="Z837" s="36"/>
      <c r="AA837" s="36"/>
      <c r="AB837" s="36"/>
      <c r="AC837" s="36"/>
    </row>
    <row r="838" spans="17:29" x14ac:dyDescent="0.2">
      <c r="Q838" s="36"/>
      <c r="R838" s="40"/>
      <c r="S838" s="40"/>
      <c r="T838" s="40"/>
      <c r="U838" s="41"/>
      <c r="V838" s="41"/>
      <c r="W838" s="41"/>
      <c r="X838" s="36"/>
      <c r="Y838" s="36"/>
      <c r="Z838" s="36"/>
      <c r="AA838" s="36"/>
      <c r="AB838" s="36"/>
      <c r="AC838" s="36"/>
    </row>
    <row r="839" spans="17:29" x14ac:dyDescent="0.2">
      <c r="Q839" s="36"/>
      <c r="R839" s="40"/>
      <c r="S839" s="40"/>
      <c r="T839" s="40"/>
      <c r="U839" s="41"/>
      <c r="V839" s="41"/>
      <c r="W839" s="41"/>
      <c r="X839" s="36"/>
      <c r="Y839" s="36"/>
      <c r="Z839" s="36"/>
      <c r="AA839" s="36"/>
      <c r="AB839" s="36"/>
      <c r="AC839" s="36"/>
    </row>
    <row r="840" spans="17:29" x14ac:dyDescent="0.2">
      <c r="Q840" s="36"/>
      <c r="R840" s="40"/>
      <c r="S840" s="40"/>
      <c r="T840" s="40"/>
      <c r="U840" s="41"/>
      <c r="V840" s="41"/>
      <c r="W840" s="41"/>
      <c r="X840" s="36"/>
      <c r="Y840" s="36"/>
      <c r="Z840" s="36"/>
      <c r="AA840" s="36"/>
      <c r="AB840" s="36"/>
      <c r="AC840" s="36"/>
    </row>
    <row r="841" spans="17:29" x14ac:dyDescent="0.2">
      <c r="Q841" s="36"/>
      <c r="R841" s="40"/>
      <c r="S841" s="40"/>
      <c r="T841" s="40"/>
      <c r="U841" s="41"/>
      <c r="V841" s="41"/>
      <c r="W841" s="41"/>
      <c r="X841" s="36"/>
      <c r="Y841" s="36"/>
      <c r="Z841" s="36"/>
      <c r="AA841" s="36"/>
      <c r="AB841" s="36"/>
      <c r="AC841" s="36"/>
    </row>
    <row r="842" spans="17:29" x14ac:dyDescent="0.2">
      <c r="Q842" s="36"/>
      <c r="R842" s="40"/>
      <c r="S842" s="40"/>
      <c r="T842" s="40"/>
      <c r="U842" s="41"/>
      <c r="V842" s="41"/>
      <c r="W842" s="41"/>
      <c r="X842" s="36"/>
      <c r="Y842" s="36"/>
      <c r="Z842" s="36"/>
      <c r="AA842" s="36"/>
      <c r="AB842" s="36"/>
      <c r="AC842" s="36"/>
    </row>
    <row r="843" spans="17:29" x14ac:dyDescent="0.2">
      <c r="Q843" s="36"/>
      <c r="R843" s="40"/>
      <c r="S843" s="40"/>
      <c r="T843" s="40"/>
      <c r="U843" s="41"/>
      <c r="V843" s="41"/>
      <c r="W843" s="41"/>
      <c r="X843" s="36"/>
      <c r="Y843" s="36"/>
      <c r="Z843" s="36"/>
      <c r="AA843" s="36"/>
      <c r="AB843" s="36"/>
      <c r="AC843" s="36"/>
    </row>
    <row r="844" spans="17:29" x14ac:dyDescent="0.2">
      <c r="Q844" s="36"/>
      <c r="R844" s="40"/>
      <c r="S844" s="40"/>
      <c r="T844" s="40"/>
      <c r="U844" s="41"/>
      <c r="V844" s="41"/>
      <c r="W844" s="41"/>
      <c r="X844" s="36"/>
      <c r="Y844" s="36"/>
      <c r="Z844" s="36"/>
      <c r="AA844" s="36"/>
      <c r="AB844" s="36"/>
      <c r="AC844" s="36"/>
    </row>
    <row r="845" spans="17:29" x14ac:dyDescent="0.2">
      <c r="Q845" s="36"/>
      <c r="R845" s="40"/>
      <c r="S845" s="40"/>
      <c r="T845" s="40"/>
      <c r="U845" s="41"/>
      <c r="V845" s="41"/>
      <c r="W845" s="41"/>
      <c r="X845" s="36"/>
      <c r="Y845" s="36"/>
      <c r="Z845" s="36"/>
      <c r="AA845" s="36"/>
      <c r="AB845" s="36"/>
      <c r="AC845" s="36"/>
    </row>
    <row r="846" spans="17:29" x14ac:dyDescent="0.2">
      <c r="Q846" s="36"/>
      <c r="R846" s="40"/>
      <c r="S846" s="40"/>
      <c r="T846" s="40"/>
      <c r="U846" s="41"/>
      <c r="V846" s="41"/>
      <c r="W846" s="41"/>
      <c r="X846" s="36"/>
      <c r="Y846" s="36"/>
      <c r="Z846" s="36"/>
      <c r="AA846" s="36"/>
      <c r="AB846" s="36"/>
      <c r="AC846" s="36"/>
    </row>
    <row r="847" spans="17:29" x14ac:dyDescent="0.2">
      <c r="Q847" s="36"/>
      <c r="R847" s="40"/>
      <c r="S847" s="40"/>
      <c r="T847" s="40"/>
      <c r="U847" s="41"/>
      <c r="V847" s="41"/>
      <c r="W847" s="41"/>
      <c r="X847" s="36"/>
      <c r="Y847" s="36"/>
      <c r="Z847" s="36"/>
      <c r="AA847" s="36"/>
      <c r="AB847" s="36"/>
      <c r="AC847" s="36"/>
    </row>
    <row r="848" spans="17:29" x14ac:dyDescent="0.2">
      <c r="Q848" s="36"/>
      <c r="R848" s="40"/>
      <c r="S848" s="40"/>
      <c r="T848" s="40"/>
      <c r="U848" s="41"/>
      <c r="V848" s="41"/>
      <c r="W848" s="41"/>
      <c r="X848" s="36"/>
      <c r="Y848" s="36"/>
      <c r="Z848" s="36"/>
      <c r="AA848" s="36"/>
      <c r="AB848" s="36"/>
      <c r="AC848" s="36"/>
    </row>
    <row r="849" spans="17:29" x14ac:dyDescent="0.2">
      <c r="Q849" s="36"/>
      <c r="R849" s="40"/>
      <c r="S849" s="40"/>
      <c r="T849" s="40"/>
      <c r="U849" s="41"/>
      <c r="V849" s="41"/>
      <c r="W849" s="41"/>
      <c r="X849" s="36"/>
      <c r="Y849" s="36"/>
      <c r="Z849" s="36"/>
      <c r="AA849" s="36"/>
      <c r="AB849" s="36"/>
      <c r="AC849" s="36"/>
    </row>
    <row r="850" spans="17:29" x14ac:dyDescent="0.2">
      <c r="Q850" s="36"/>
      <c r="R850" s="40"/>
      <c r="S850" s="40"/>
      <c r="T850" s="40"/>
      <c r="U850" s="41"/>
      <c r="V850" s="41"/>
      <c r="W850" s="41"/>
      <c r="X850" s="36"/>
      <c r="Y850" s="36"/>
      <c r="Z850" s="36"/>
      <c r="AA850" s="36"/>
      <c r="AB850" s="36"/>
      <c r="AC850" s="36"/>
    </row>
    <row r="851" spans="17:29" x14ac:dyDescent="0.2">
      <c r="Q851" s="36"/>
      <c r="R851" s="40"/>
      <c r="S851" s="40"/>
      <c r="T851" s="40"/>
      <c r="U851" s="41"/>
      <c r="V851" s="41"/>
      <c r="W851" s="41"/>
      <c r="X851" s="36"/>
      <c r="Y851" s="36"/>
      <c r="Z851" s="36"/>
      <c r="AA851" s="36"/>
      <c r="AB851" s="36"/>
      <c r="AC851" s="36"/>
    </row>
    <row r="852" spans="17:29" x14ac:dyDescent="0.2">
      <c r="Q852" s="36"/>
      <c r="R852" s="40"/>
      <c r="S852" s="40"/>
      <c r="T852" s="40"/>
      <c r="U852" s="41"/>
      <c r="V852" s="41"/>
      <c r="W852" s="41"/>
      <c r="X852" s="36"/>
      <c r="Y852" s="36"/>
      <c r="Z852" s="36"/>
      <c r="AA852" s="36"/>
      <c r="AB852" s="36"/>
      <c r="AC852" s="36"/>
    </row>
    <row r="853" spans="17:29" x14ac:dyDescent="0.2">
      <c r="Q853" s="36"/>
      <c r="R853" s="40"/>
      <c r="S853" s="40"/>
      <c r="T853" s="40"/>
      <c r="U853" s="41"/>
      <c r="V853" s="41"/>
      <c r="W853" s="36"/>
      <c r="X853" s="36"/>
      <c r="Y853" s="36"/>
      <c r="Z853" s="36"/>
      <c r="AA853" s="36"/>
      <c r="AB853" s="36"/>
      <c r="AC853" s="36"/>
    </row>
    <row r="854" spans="17:29" x14ac:dyDescent="0.2">
      <c r="Q854" s="36"/>
      <c r="R854" s="40"/>
      <c r="S854" s="40"/>
      <c r="T854" s="40"/>
      <c r="U854" s="41"/>
      <c r="V854" s="41"/>
      <c r="W854" s="36"/>
      <c r="X854" s="36"/>
      <c r="Y854" s="36"/>
      <c r="Z854" s="36"/>
      <c r="AA854" s="36"/>
      <c r="AB854" s="36"/>
      <c r="AC854" s="36"/>
    </row>
    <row r="855" spans="17:29" x14ac:dyDescent="0.2">
      <c r="Q855" s="36"/>
      <c r="R855" s="40"/>
      <c r="S855" s="40"/>
      <c r="T855" s="40"/>
      <c r="U855" s="41"/>
      <c r="V855" s="41"/>
      <c r="W855" s="36"/>
      <c r="X855" s="36"/>
      <c r="Y855" s="36"/>
      <c r="Z855" s="36"/>
      <c r="AA855" s="36"/>
      <c r="AB855" s="36"/>
      <c r="AC855" s="36"/>
    </row>
    <row r="856" spans="17:29" x14ac:dyDescent="0.2">
      <c r="Q856" s="36"/>
      <c r="R856" s="40"/>
      <c r="S856" s="40"/>
      <c r="T856" s="40"/>
      <c r="U856" s="41"/>
      <c r="V856" s="41"/>
      <c r="W856" s="36"/>
      <c r="X856" s="36"/>
      <c r="Y856" s="36"/>
      <c r="Z856" s="36"/>
      <c r="AA856" s="36"/>
      <c r="AB856" s="36"/>
      <c r="AC856" s="36"/>
    </row>
    <row r="857" spans="17:29" x14ac:dyDescent="0.2">
      <c r="Q857" s="36"/>
      <c r="R857" s="40"/>
      <c r="S857" s="40"/>
      <c r="T857" s="40"/>
      <c r="U857" s="41"/>
      <c r="V857" s="41"/>
      <c r="W857" s="36"/>
      <c r="X857" s="36"/>
      <c r="Y857" s="36"/>
      <c r="Z857" s="36"/>
      <c r="AA857" s="36"/>
      <c r="AB857" s="36"/>
      <c r="AC857" s="36"/>
    </row>
    <row r="858" spans="17:29" x14ac:dyDescent="0.2">
      <c r="Q858" s="36"/>
      <c r="R858" s="40"/>
      <c r="S858" s="40"/>
      <c r="T858" s="40"/>
      <c r="U858" s="41"/>
      <c r="V858" s="41"/>
      <c r="W858" s="36"/>
      <c r="X858" s="36"/>
      <c r="Y858" s="36"/>
      <c r="Z858" s="36"/>
      <c r="AA858" s="36"/>
      <c r="AB858" s="36"/>
      <c r="AC858" s="36"/>
    </row>
    <row r="859" spans="17:29" x14ac:dyDescent="0.2">
      <c r="Q859" s="36"/>
      <c r="R859" s="40"/>
      <c r="S859" s="40"/>
      <c r="T859" s="40"/>
      <c r="U859" s="41"/>
      <c r="V859" s="41"/>
      <c r="W859" s="36"/>
      <c r="X859" s="36"/>
      <c r="Y859" s="36"/>
      <c r="Z859" s="36"/>
      <c r="AA859" s="36"/>
      <c r="AB859" s="36"/>
      <c r="AC859" s="36"/>
    </row>
    <row r="860" spans="17:29" x14ac:dyDescent="0.2">
      <c r="Q860" s="36"/>
      <c r="R860" s="40"/>
      <c r="S860" s="40"/>
      <c r="T860" s="40"/>
      <c r="U860" s="41"/>
      <c r="V860" s="41"/>
      <c r="W860" s="36"/>
      <c r="X860" s="36"/>
      <c r="Y860" s="36"/>
      <c r="Z860" s="36"/>
      <c r="AA860" s="36"/>
      <c r="AB860" s="36"/>
      <c r="AC860" s="36"/>
    </row>
    <row r="861" spans="17:29" x14ac:dyDescent="0.2">
      <c r="Q861" s="36"/>
      <c r="R861" s="40"/>
      <c r="S861" s="40"/>
      <c r="T861" s="40"/>
      <c r="U861" s="41"/>
      <c r="V861" s="41"/>
      <c r="W861" s="36"/>
      <c r="X861" s="36"/>
      <c r="Y861" s="36"/>
      <c r="Z861" s="36"/>
      <c r="AA861" s="36"/>
      <c r="AB861" s="36"/>
      <c r="AC861" s="36"/>
    </row>
    <row r="862" spans="17:29" x14ac:dyDescent="0.2">
      <c r="Q862" s="36"/>
      <c r="R862" s="40"/>
      <c r="S862" s="40"/>
      <c r="T862" s="40"/>
      <c r="U862" s="41"/>
      <c r="V862" s="41"/>
      <c r="W862" s="36"/>
      <c r="X862" s="36"/>
      <c r="Y862" s="36"/>
      <c r="Z862" s="36"/>
      <c r="AA862" s="36"/>
      <c r="AB862" s="36"/>
      <c r="AC862" s="36"/>
    </row>
    <row r="863" spans="17:29" x14ac:dyDescent="0.2">
      <c r="Q863" s="36"/>
      <c r="R863" s="40"/>
      <c r="S863" s="40"/>
      <c r="T863" s="40"/>
      <c r="U863" s="41"/>
      <c r="V863" s="41"/>
      <c r="W863" s="36"/>
      <c r="X863" s="36"/>
      <c r="Y863" s="36"/>
      <c r="Z863" s="36"/>
      <c r="AA863" s="36"/>
      <c r="AB863" s="36"/>
      <c r="AC863" s="36"/>
    </row>
    <row r="864" spans="17:29" x14ac:dyDescent="0.2">
      <c r="Q864" s="36"/>
      <c r="R864" s="40"/>
      <c r="S864" s="40"/>
      <c r="T864" s="40"/>
      <c r="U864" s="41"/>
      <c r="V864" s="41"/>
      <c r="W864" s="36"/>
      <c r="X864" s="36"/>
      <c r="Y864" s="36"/>
      <c r="Z864" s="36"/>
      <c r="AA864" s="36"/>
      <c r="AB864" s="36"/>
      <c r="AC864" s="36"/>
    </row>
    <row r="865" spans="17:29" x14ac:dyDescent="0.2">
      <c r="Q865" s="36"/>
      <c r="R865" s="40"/>
      <c r="S865" s="40"/>
      <c r="T865" s="40"/>
      <c r="U865" s="41"/>
      <c r="V865" s="41"/>
      <c r="W865" s="36"/>
      <c r="X865" s="36"/>
      <c r="Y865" s="36"/>
      <c r="Z865" s="36"/>
      <c r="AA865" s="36"/>
      <c r="AB865" s="36"/>
      <c r="AC865" s="36"/>
    </row>
    <row r="866" spans="17:29" x14ac:dyDescent="0.2">
      <c r="Q866" s="36"/>
      <c r="R866" s="40"/>
      <c r="S866" s="40"/>
      <c r="T866" s="40"/>
      <c r="U866" s="41"/>
      <c r="V866" s="41"/>
      <c r="W866" s="36"/>
      <c r="X866" s="36"/>
      <c r="Y866" s="36"/>
      <c r="Z866" s="36"/>
      <c r="AA866" s="36"/>
      <c r="AB866" s="36"/>
      <c r="AC866" s="36"/>
    </row>
    <row r="867" spans="17:29" x14ac:dyDescent="0.2">
      <c r="Q867" s="36"/>
      <c r="R867" s="40"/>
      <c r="S867" s="40"/>
      <c r="T867" s="40"/>
      <c r="U867" s="41"/>
      <c r="V867" s="41"/>
      <c r="W867" s="36"/>
      <c r="X867" s="36"/>
      <c r="Y867" s="36"/>
      <c r="Z867" s="36"/>
      <c r="AA867" s="36"/>
      <c r="AB867" s="36"/>
      <c r="AC867" s="36"/>
    </row>
    <row r="868" spans="17:29" x14ac:dyDescent="0.2">
      <c r="Q868" s="36"/>
      <c r="R868" s="40"/>
      <c r="S868" s="40"/>
      <c r="T868" s="40"/>
      <c r="U868" s="41"/>
      <c r="V868" s="41"/>
      <c r="W868" s="36"/>
      <c r="X868" s="36"/>
      <c r="Y868" s="36"/>
      <c r="Z868" s="36"/>
      <c r="AA868" s="36"/>
      <c r="AB868" s="36"/>
      <c r="AC868" s="36"/>
    </row>
    <row r="869" spans="17:29" x14ac:dyDescent="0.2">
      <c r="Q869" s="36"/>
      <c r="R869" s="40"/>
      <c r="S869" s="40"/>
      <c r="T869" s="40"/>
      <c r="U869" s="41"/>
      <c r="V869" s="41"/>
      <c r="W869" s="36"/>
      <c r="X869" s="36"/>
      <c r="Y869" s="36"/>
      <c r="Z869" s="36"/>
      <c r="AA869" s="36"/>
      <c r="AB869" s="36"/>
      <c r="AC869" s="36"/>
    </row>
    <row r="870" spans="17:29" x14ac:dyDescent="0.2">
      <c r="Q870" s="36"/>
      <c r="R870" s="40"/>
      <c r="S870" s="40"/>
      <c r="T870" s="40"/>
      <c r="U870" s="41"/>
      <c r="V870" s="41"/>
      <c r="W870" s="36"/>
      <c r="X870" s="36"/>
      <c r="Y870" s="36"/>
      <c r="Z870" s="36"/>
      <c r="AA870" s="36"/>
      <c r="AB870" s="36"/>
      <c r="AC870" s="36"/>
    </row>
    <row r="871" spans="17:29" x14ac:dyDescent="0.2">
      <c r="Q871" s="36"/>
      <c r="R871" s="40"/>
      <c r="S871" s="40"/>
      <c r="T871" s="40"/>
      <c r="U871" s="41"/>
      <c r="V871" s="41"/>
      <c r="W871" s="36"/>
      <c r="X871" s="36"/>
      <c r="Y871" s="36"/>
      <c r="Z871" s="36"/>
      <c r="AA871" s="36"/>
      <c r="AB871" s="36"/>
      <c r="AC871" s="36"/>
    </row>
    <row r="872" spans="17:29" x14ac:dyDescent="0.2">
      <c r="Q872" s="36"/>
      <c r="R872" s="40"/>
      <c r="S872" s="40"/>
      <c r="T872" s="40"/>
      <c r="U872" s="41"/>
      <c r="V872" s="41"/>
      <c r="W872" s="36"/>
      <c r="X872" s="36"/>
      <c r="Y872" s="36"/>
      <c r="Z872" s="36"/>
      <c r="AA872" s="36"/>
      <c r="AB872" s="36"/>
      <c r="AC872" s="36"/>
    </row>
    <row r="873" spans="17:29" x14ac:dyDescent="0.2">
      <c r="Q873" s="36"/>
      <c r="R873" s="40"/>
      <c r="S873" s="40"/>
      <c r="T873" s="40"/>
      <c r="U873" s="41"/>
      <c r="V873" s="41"/>
      <c r="W873" s="36"/>
      <c r="X873" s="36"/>
      <c r="Y873" s="36"/>
      <c r="Z873" s="36"/>
      <c r="AA873" s="36"/>
      <c r="AB873" s="36"/>
      <c r="AC873" s="36"/>
    </row>
    <row r="874" spans="17:29" x14ac:dyDescent="0.2">
      <c r="Q874" s="36"/>
      <c r="R874" s="40"/>
      <c r="S874" s="40"/>
      <c r="T874" s="40"/>
      <c r="U874" s="41"/>
      <c r="V874" s="41"/>
      <c r="W874" s="36"/>
      <c r="X874" s="36"/>
      <c r="Y874" s="36"/>
      <c r="Z874" s="36"/>
      <c r="AA874" s="36"/>
      <c r="AB874" s="36"/>
      <c r="AC874" s="36"/>
    </row>
    <row r="875" spans="17:29" x14ac:dyDescent="0.2">
      <c r="Q875" s="36"/>
      <c r="R875" s="40"/>
      <c r="S875" s="40"/>
      <c r="T875" s="40"/>
      <c r="U875" s="41"/>
      <c r="V875" s="41"/>
      <c r="W875" s="36"/>
      <c r="X875" s="36"/>
      <c r="Y875" s="36"/>
      <c r="Z875" s="36"/>
      <c r="AA875" s="36"/>
      <c r="AB875" s="36"/>
      <c r="AC875" s="36"/>
    </row>
    <row r="876" spans="17:29" x14ac:dyDescent="0.2">
      <c r="Q876" s="36"/>
      <c r="R876" s="40"/>
      <c r="S876" s="40"/>
      <c r="T876" s="40"/>
      <c r="U876" s="41"/>
      <c r="V876" s="41"/>
      <c r="W876" s="36"/>
      <c r="X876" s="36"/>
      <c r="Y876" s="36"/>
      <c r="Z876" s="36"/>
      <c r="AA876" s="36"/>
      <c r="AB876" s="36"/>
      <c r="AC876" s="36"/>
    </row>
    <row r="877" spans="17:29" x14ac:dyDescent="0.2">
      <c r="Q877" s="36"/>
      <c r="R877" s="40"/>
      <c r="S877" s="40"/>
      <c r="T877" s="40"/>
      <c r="U877" s="41"/>
      <c r="V877" s="41"/>
      <c r="W877" s="36"/>
      <c r="X877" s="36"/>
      <c r="Y877" s="36"/>
      <c r="Z877" s="36"/>
      <c r="AA877" s="36"/>
      <c r="AB877" s="36"/>
      <c r="AC877" s="36"/>
    </row>
    <row r="878" spans="17:29" x14ac:dyDescent="0.2">
      <c r="Q878" s="36"/>
      <c r="R878" s="40"/>
      <c r="S878" s="40"/>
      <c r="T878" s="40"/>
      <c r="U878" s="41"/>
      <c r="V878" s="41"/>
      <c r="W878" s="36"/>
      <c r="X878" s="36"/>
      <c r="Y878" s="36"/>
      <c r="Z878" s="36"/>
      <c r="AA878" s="36"/>
      <c r="AB878" s="36"/>
      <c r="AC878" s="36"/>
    </row>
    <row r="879" spans="17:29" x14ac:dyDescent="0.2">
      <c r="Q879" s="36"/>
      <c r="R879" s="40"/>
      <c r="S879" s="40"/>
      <c r="T879" s="40"/>
      <c r="U879" s="41"/>
      <c r="V879" s="41"/>
      <c r="W879" s="36"/>
      <c r="X879" s="36"/>
      <c r="Y879" s="36"/>
      <c r="Z879" s="36"/>
      <c r="AA879" s="36"/>
      <c r="AB879" s="36"/>
      <c r="AC879" s="36"/>
    </row>
    <row r="880" spans="17:29" x14ac:dyDescent="0.2">
      <c r="Q880" s="36"/>
      <c r="R880" s="40"/>
      <c r="S880" s="40"/>
      <c r="T880" s="40"/>
      <c r="U880" s="41"/>
      <c r="V880" s="41"/>
      <c r="W880" s="36"/>
      <c r="X880" s="36"/>
      <c r="Y880" s="36"/>
      <c r="Z880" s="36"/>
      <c r="AA880" s="36"/>
      <c r="AB880" s="36"/>
      <c r="AC880" s="36"/>
    </row>
    <row r="881" spans="17:29" x14ac:dyDescent="0.2">
      <c r="Q881" s="36"/>
      <c r="R881" s="40"/>
      <c r="S881" s="40"/>
      <c r="T881" s="40"/>
      <c r="U881" s="41"/>
      <c r="V881" s="41"/>
      <c r="W881" s="36"/>
      <c r="X881" s="36"/>
      <c r="Y881" s="36"/>
      <c r="Z881" s="36"/>
      <c r="AA881" s="36"/>
      <c r="AB881" s="36"/>
      <c r="AC881" s="36"/>
    </row>
    <row r="882" spans="17:29" x14ac:dyDescent="0.2">
      <c r="Q882" s="36"/>
      <c r="R882" s="40"/>
      <c r="S882" s="40"/>
      <c r="T882" s="40"/>
      <c r="U882" s="41"/>
      <c r="V882" s="41"/>
      <c r="W882" s="36"/>
      <c r="X882" s="36"/>
      <c r="Y882" s="36"/>
      <c r="Z882" s="36"/>
      <c r="AA882" s="36"/>
      <c r="AB882" s="36"/>
      <c r="AC882" s="36"/>
    </row>
    <row r="883" spans="17:29" x14ac:dyDescent="0.2">
      <c r="Q883" s="36"/>
      <c r="R883" s="40"/>
      <c r="S883" s="40"/>
      <c r="T883" s="40"/>
      <c r="U883" s="41"/>
      <c r="V883" s="41"/>
      <c r="W883" s="36"/>
      <c r="X883" s="36"/>
      <c r="Y883" s="36"/>
      <c r="Z883" s="36"/>
      <c r="AA883" s="36"/>
      <c r="AB883" s="36"/>
      <c r="AC883" s="36"/>
    </row>
    <row r="884" spans="17:29" x14ac:dyDescent="0.2">
      <c r="Q884" s="36"/>
      <c r="R884" s="40"/>
      <c r="S884" s="40"/>
      <c r="T884" s="40"/>
      <c r="U884" s="41"/>
      <c r="V884" s="41"/>
      <c r="W884" s="36"/>
      <c r="X884" s="36"/>
      <c r="Y884" s="36"/>
      <c r="Z884" s="36"/>
      <c r="AA884" s="36"/>
      <c r="AB884" s="36"/>
      <c r="AC884" s="36"/>
    </row>
    <row r="885" spans="17:29" x14ac:dyDescent="0.2">
      <c r="Q885" s="36"/>
      <c r="R885" s="40"/>
      <c r="S885" s="40"/>
      <c r="T885" s="40"/>
      <c r="U885" s="41"/>
      <c r="V885" s="41"/>
      <c r="W885" s="36"/>
      <c r="X885" s="36"/>
      <c r="Y885" s="36"/>
      <c r="Z885" s="36"/>
      <c r="AA885" s="36"/>
      <c r="AB885" s="36"/>
      <c r="AC885" s="36"/>
    </row>
    <row r="886" spans="17:29" x14ac:dyDescent="0.2">
      <c r="Q886" s="36"/>
      <c r="R886" s="40"/>
      <c r="S886" s="40"/>
      <c r="T886" s="40"/>
      <c r="U886" s="41"/>
      <c r="V886" s="41"/>
      <c r="W886" s="36"/>
      <c r="X886" s="36"/>
      <c r="Y886" s="36"/>
      <c r="Z886" s="36"/>
      <c r="AA886" s="36"/>
      <c r="AB886" s="36"/>
      <c r="AC886" s="36"/>
    </row>
    <row r="887" spans="17:29" x14ac:dyDescent="0.2">
      <c r="Q887" s="36"/>
      <c r="R887" s="40"/>
      <c r="S887" s="40"/>
      <c r="T887" s="40"/>
      <c r="U887" s="41"/>
      <c r="V887" s="41"/>
      <c r="W887" s="36"/>
      <c r="X887" s="36"/>
      <c r="Y887" s="36"/>
      <c r="Z887" s="36"/>
      <c r="AA887" s="36"/>
      <c r="AB887" s="36"/>
      <c r="AC887" s="36"/>
    </row>
    <row r="888" spans="17:29" x14ac:dyDescent="0.2">
      <c r="Q888" s="36"/>
      <c r="R888" s="40"/>
      <c r="S888" s="40"/>
      <c r="T888" s="40"/>
      <c r="U888" s="41"/>
      <c r="V888" s="41"/>
      <c r="W888" s="36"/>
      <c r="X888" s="36"/>
      <c r="Y888" s="36"/>
      <c r="Z888" s="36"/>
      <c r="AA888" s="36"/>
      <c r="AB888" s="36"/>
      <c r="AC888" s="36"/>
    </row>
    <row r="889" spans="17:29" x14ac:dyDescent="0.2">
      <c r="Q889" s="36"/>
      <c r="R889" s="40"/>
      <c r="S889" s="40"/>
      <c r="T889" s="40"/>
      <c r="U889" s="41"/>
      <c r="V889" s="41"/>
      <c r="W889" s="36"/>
      <c r="X889" s="36"/>
      <c r="Y889" s="36"/>
      <c r="Z889" s="36"/>
      <c r="AA889" s="36"/>
      <c r="AB889" s="36"/>
      <c r="AC889" s="36"/>
    </row>
    <row r="890" spans="17:29" x14ac:dyDescent="0.2">
      <c r="Q890" s="36"/>
      <c r="R890" s="40"/>
      <c r="S890" s="40"/>
      <c r="T890" s="40"/>
      <c r="U890" s="41"/>
      <c r="V890" s="41"/>
      <c r="W890" s="36"/>
      <c r="X890" s="36"/>
      <c r="Y890" s="36"/>
      <c r="Z890" s="36"/>
      <c r="AA890" s="36"/>
      <c r="AB890" s="36"/>
      <c r="AC890" s="36"/>
    </row>
    <row r="891" spans="17:29" x14ac:dyDescent="0.2">
      <c r="Q891" s="36"/>
      <c r="R891" s="40"/>
      <c r="S891" s="40"/>
      <c r="T891" s="40"/>
      <c r="U891" s="41"/>
      <c r="V891" s="41"/>
      <c r="W891" s="36"/>
      <c r="X891" s="36"/>
      <c r="Y891" s="36"/>
      <c r="Z891" s="36"/>
      <c r="AA891" s="36"/>
      <c r="AB891" s="36"/>
      <c r="AC891" s="36"/>
    </row>
    <row r="892" spans="17:29" x14ac:dyDescent="0.2">
      <c r="Q892" s="36"/>
      <c r="R892" s="40"/>
      <c r="S892" s="40"/>
      <c r="T892" s="40"/>
      <c r="U892" s="41"/>
      <c r="V892" s="41"/>
      <c r="W892" s="36"/>
      <c r="X892" s="36"/>
      <c r="Y892" s="36"/>
      <c r="Z892" s="36"/>
      <c r="AA892" s="36"/>
      <c r="AB892" s="36"/>
      <c r="AC892" s="36"/>
    </row>
    <row r="893" spans="17:29" x14ac:dyDescent="0.2">
      <c r="Q893" s="36"/>
      <c r="R893" s="40"/>
      <c r="S893" s="40"/>
      <c r="T893" s="40"/>
      <c r="U893" s="41"/>
      <c r="V893" s="41"/>
      <c r="W893" s="36"/>
      <c r="X893" s="36"/>
      <c r="Y893" s="36"/>
      <c r="Z893" s="36"/>
      <c r="AA893" s="36"/>
      <c r="AB893" s="36"/>
      <c r="AC893" s="36"/>
    </row>
    <row r="894" spans="17:29" x14ac:dyDescent="0.2">
      <c r="Q894" s="36"/>
      <c r="R894" s="40"/>
      <c r="S894" s="40"/>
      <c r="T894" s="40"/>
      <c r="U894" s="41"/>
      <c r="V894" s="41"/>
      <c r="W894" s="36"/>
      <c r="X894" s="36"/>
      <c r="Y894" s="36"/>
      <c r="Z894" s="36"/>
      <c r="AA894" s="36"/>
      <c r="AB894" s="36"/>
      <c r="AC894" s="36"/>
    </row>
    <row r="895" spans="17:29" x14ac:dyDescent="0.2">
      <c r="Q895" s="36"/>
      <c r="R895" s="40"/>
      <c r="S895" s="40"/>
      <c r="T895" s="40"/>
      <c r="U895" s="41"/>
      <c r="V895" s="41"/>
      <c r="W895" s="36"/>
      <c r="X895" s="36"/>
      <c r="Y895" s="36"/>
      <c r="Z895" s="36"/>
      <c r="AA895" s="36"/>
      <c r="AB895" s="36"/>
      <c r="AC895" s="36"/>
    </row>
    <row r="896" spans="17:29" x14ac:dyDescent="0.2">
      <c r="Q896" s="36"/>
      <c r="R896" s="40"/>
      <c r="S896" s="40"/>
      <c r="T896" s="40"/>
      <c r="U896" s="41"/>
      <c r="V896" s="41"/>
      <c r="W896" s="36"/>
      <c r="X896" s="36"/>
      <c r="Y896" s="36"/>
      <c r="Z896" s="36"/>
      <c r="AA896" s="36"/>
      <c r="AB896" s="36"/>
      <c r="AC896" s="36"/>
    </row>
    <row r="897" spans="17:29" x14ac:dyDescent="0.2">
      <c r="Q897" s="36"/>
      <c r="R897" s="40"/>
      <c r="S897" s="40"/>
      <c r="T897" s="40"/>
      <c r="U897" s="41"/>
      <c r="V897" s="41"/>
      <c r="W897" s="36"/>
      <c r="X897" s="36"/>
      <c r="Y897" s="36"/>
      <c r="Z897" s="36"/>
      <c r="AA897" s="36"/>
      <c r="AB897" s="36"/>
      <c r="AC897" s="36"/>
    </row>
    <row r="898" spans="17:29" x14ac:dyDescent="0.2">
      <c r="Q898" s="36"/>
      <c r="R898" s="40"/>
      <c r="S898" s="40"/>
      <c r="T898" s="40"/>
      <c r="U898" s="41"/>
      <c r="V898" s="41"/>
      <c r="W898" s="36"/>
      <c r="X898" s="36"/>
      <c r="Y898" s="36"/>
      <c r="Z898" s="36"/>
      <c r="AA898" s="36"/>
      <c r="AB898" s="36"/>
      <c r="AC898" s="36"/>
    </row>
    <row r="899" spans="17:29" x14ac:dyDescent="0.2">
      <c r="Q899" s="36"/>
      <c r="R899" s="40"/>
      <c r="S899" s="40"/>
      <c r="T899" s="40"/>
      <c r="U899" s="41"/>
      <c r="V899" s="41"/>
      <c r="W899" s="36"/>
      <c r="X899" s="36"/>
      <c r="Y899" s="36"/>
      <c r="Z899" s="36"/>
      <c r="AA899" s="36"/>
      <c r="AB899" s="36"/>
      <c r="AC899" s="36"/>
    </row>
    <row r="900" spans="17:29" x14ac:dyDescent="0.2">
      <c r="Q900" s="36"/>
      <c r="R900" s="40"/>
      <c r="S900" s="40"/>
      <c r="T900" s="40"/>
      <c r="U900" s="41"/>
      <c r="V900" s="41"/>
      <c r="W900" s="36"/>
      <c r="X900" s="36"/>
      <c r="Y900" s="36"/>
      <c r="Z900" s="36"/>
      <c r="AA900" s="36"/>
      <c r="AB900" s="36"/>
      <c r="AC900" s="36"/>
    </row>
    <row r="901" spans="17:29" x14ac:dyDescent="0.2">
      <c r="Q901" s="36"/>
      <c r="R901" s="40"/>
      <c r="S901" s="40"/>
      <c r="T901" s="40"/>
      <c r="U901" s="41"/>
      <c r="V901" s="41"/>
      <c r="W901" s="36"/>
      <c r="X901" s="36"/>
      <c r="Y901" s="36"/>
      <c r="Z901" s="36"/>
      <c r="AA901" s="36"/>
      <c r="AB901" s="36"/>
      <c r="AC901" s="36"/>
    </row>
    <row r="902" spans="17:29" x14ac:dyDescent="0.2">
      <c r="Q902" s="36"/>
      <c r="R902" s="40"/>
      <c r="S902" s="40"/>
      <c r="T902" s="40"/>
      <c r="U902" s="41"/>
      <c r="V902" s="41"/>
      <c r="W902" s="36"/>
      <c r="X902" s="36"/>
      <c r="Y902" s="36"/>
      <c r="Z902" s="36"/>
      <c r="AA902" s="36"/>
      <c r="AB902" s="36"/>
      <c r="AC902" s="36"/>
    </row>
    <row r="903" spans="17:29" x14ac:dyDescent="0.2">
      <c r="Q903" s="36"/>
      <c r="R903" s="40"/>
      <c r="S903" s="40"/>
      <c r="T903" s="40"/>
      <c r="U903" s="41"/>
      <c r="V903" s="41"/>
      <c r="W903" s="36"/>
      <c r="X903" s="36"/>
      <c r="Y903" s="36"/>
      <c r="Z903" s="36"/>
      <c r="AA903" s="36"/>
      <c r="AB903" s="36"/>
      <c r="AC903" s="36"/>
    </row>
    <row r="904" spans="17:29" x14ac:dyDescent="0.2">
      <c r="Q904" s="36"/>
      <c r="R904" s="40"/>
      <c r="S904" s="40"/>
      <c r="T904" s="40"/>
      <c r="U904" s="41"/>
      <c r="V904" s="41"/>
      <c r="W904" s="36"/>
      <c r="X904" s="36"/>
      <c r="Y904" s="36"/>
      <c r="Z904" s="36"/>
      <c r="AA904" s="36"/>
      <c r="AB904" s="36"/>
      <c r="AC904" s="36"/>
    </row>
    <row r="905" spans="17:29" x14ac:dyDescent="0.2">
      <c r="Q905" s="36"/>
      <c r="R905" s="40"/>
      <c r="S905" s="40"/>
      <c r="T905" s="40"/>
      <c r="U905" s="41"/>
      <c r="V905" s="41"/>
      <c r="W905" s="36"/>
      <c r="X905" s="36"/>
      <c r="Y905" s="36"/>
      <c r="Z905" s="36"/>
      <c r="AA905" s="36"/>
      <c r="AB905" s="36"/>
      <c r="AC905" s="36"/>
    </row>
    <row r="906" spans="17:29" x14ac:dyDescent="0.2">
      <c r="Q906" s="36"/>
      <c r="R906" s="40"/>
      <c r="S906" s="40"/>
      <c r="T906" s="40"/>
      <c r="U906" s="41"/>
      <c r="V906" s="41"/>
      <c r="W906" s="36"/>
      <c r="X906" s="36"/>
      <c r="Y906" s="36"/>
      <c r="Z906" s="36"/>
      <c r="AA906" s="36"/>
      <c r="AB906" s="36"/>
      <c r="AC906" s="36"/>
    </row>
    <row r="907" spans="17:29" x14ac:dyDescent="0.2">
      <c r="Q907" s="36"/>
      <c r="R907" s="40"/>
      <c r="S907" s="40"/>
      <c r="T907" s="40"/>
      <c r="U907" s="41"/>
      <c r="V907" s="41"/>
      <c r="W907" s="36"/>
      <c r="X907" s="36"/>
      <c r="Y907" s="36"/>
      <c r="Z907" s="36"/>
      <c r="AA907" s="36"/>
      <c r="AB907" s="36"/>
      <c r="AC907" s="36"/>
    </row>
    <row r="908" spans="17:29" x14ac:dyDescent="0.2">
      <c r="Q908" s="36"/>
      <c r="R908" s="40"/>
      <c r="S908" s="40"/>
      <c r="T908" s="40"/>
      <c r="U908" s="41"/>
      <c r="V908" s="41"/>
      <c r="W908" s="36"/>
      <c r="X908" s="36"/>
      <c r="Y908" s="36"/>
      <c r="Z908" s="36"/>
      <c r="AA908" s="36"/>
      <c r="AB908" s="36"/>
      <c r="AC908" s="36"/>
    </row>
    <row r="909" spans="17:29" x14ac:dyDescent="0.2">
      <c r="Q909" s="36"/>
      <c r="R909" s="40"/>
      <c r="S909" s="40"/>
      <c r="T909" s="40"/>
      <c r="U909" s="41"/>
      <c r="V909" s="41"/>
      <c r="W909" s="36"/>
      <c r="X909" s="36"/>
      <c r="Y909" s="36"/>
      <c r="Z909" s="36"/>
      <c r="AA909" s="36"/>
      <c r="AB909" s="36"/>
      <c r="AC909" s="36"/>
    </row>
    <row r="910" spans="17:29" x14ac:dyDescent="0.2">
      <c r="Q910" s="36"/>
      <c r="R910" s="40"/>
      <c r="S910" s="40"/>
      <c r="T910" s="40"/>
      <c r="U910" s="41"/>
      <c r="V910" s="41"/>
      <c r="W910" s="36"/>
      <c r="X910" s="36"/>
      <c r="Y910" s="36"/>
      <c r="Z910" s="36"/>
      <c r="AA910" s="36"/>
      <c r="AB910" s="36"/>
      <c r="AC910" s="36"/>
    </row>
    <row r="911" spans="17:29" x14ac:dyDescent="0.2">
      <c r="Q911" s="36"/>
      <c r="R911" s="40"/>
      <c r="S911" s="40"/>
      <c r="T911" s="40"/>
      <c r="U911" s="41"/>
      <c r="V911" s="41"/>
      <c r="W911" s="36"/>
      <c r="X911" s="36"/>
      <c r="Y911" s="36"/>
      <c r="Z911" s="36"/>
      <c r="AA911" s="36"/>
      <c r="AB911" s="36"/>
      <c r="AC911" s="36"/>
    </row>
    <row r="912" spans="17:29" x14ac:dyDescent="0.2">
      <c r="Q912" s="36"/>
      <c r="R912" s="40"/>
      <c r="S912" s="40"/>
      <c r="T912" s="40"/>
      <c r="U912" s="41"/>
      <c r="V912" s="41"/>
      <c r="W912" s="36"/>
      <c r="X912" s="36"/>
      <c r="Y912" s="36"/>
      <c r="Z912" s="36"/>
      <c r="AA912" s="36"/>
      <c r="AB912" s="36"/>
      <c r="AC912" s="36"/>
    </row>
    <row r="913" spans="17:29" x14ac:dyDescent="0.2">
      <c r="Q913" s="36"/>
      <c r="R913" s="40"/>
      <c r="S913" s="40"/>
      <c r="T913" s="40"/>
      <c r="U913" s="41"/>
      <c r="V913" s="41"/>
      <c r="W913" s="36"/>
      <c r="X913" s="36"/>
      <c r="Y913" s="36"/>
      <c r="Z913" s="36"/>
      <c r="AA913" s="36"/>
      <c r="AB913" s="36"/>
      <c r="AC913" s="36"/>
    </row>
    <row r="914" spans="17:29" x14ac:dyDescent="0.2">
      <c r="Q914" s="36"/>
      <c r="R914" s="40"/>
      <c r="S914" s="40"/>
      <c r="T914" s="40"/>
      <c r="U914" s="41"/>
      <c r="V914" s="41"/>
      <c r="W914" s="36"/>
      <c r="X914" s="36"/>
      <c r="Y914" s="36"/>
      <c r="Z914" s="36"/>
      <c r="AA914" s="36"/>
      <c r="AB914" s="36"/>
      <c r="AC914" s="36"/>
    </row>
    <row r="915" spans="17:29" x14ac:dyDescent="0.2">
      <c r="Q915" s="36"/>
      <c r="R915" s="40"/>
      <c r="S915" s="40"/>
      <c r="T915" s="40"/>
      <c r="U915" s="41"/>
      <c r="V915" s="41"/>
      <c r="W915" s="36"/>
      <c r="X915" s="36"/>
      <c r="Y915" s="36"/>
      <c r="Z915" s="36"/>
      <c r="AA915" s="36"/>
      <c r="AB915" s="36"/>
      <c r="AC915" s="36"/>
    </row>
    <row r="916" spans="17:29" x14ac:dyDescent="0.2">
      <c r="Q916" s="36"/>
      <c r="R916" s="40"/>
      <c r="S916" s="40"/>
      <c r="T916" s="40"/>
      <c r="U916" s="41"/>
      <c r="V916" s="41"/>
      <c r="W916" s="36"/>
      <c r="X916" s="36"/>
      <c r="Y916" s="36"/>
      <c r="Z916" s="36"/>
      <c r="AA916" s="36"/>
      <c r="AB916" s="36"/>
      <c r="AC916" s="36"/>
    </row>
    <row r="917" spans="17:29" x14ac:dyDescent="0.2">
      <c r="Q917" s="36"/>
      <c r="R917" s="36"/>
      <c r="S917" s="36"/>
      <c r="T917" s="36"/>
      <c r="U917" s="36"/>
      <c r="V917" s="36"/>
      <c r="W917" s="36"/>
      <c r="X917" s="36"/>
      <c r="Y917" s="36"/>
      <c r="Z917" s="36"/>
      <c r="AA917" s="36"/>
      <c r="AB917" s="36"/>
      <c r="AC917" s="36"/>
    </row>
    <row r="918" spans="17:29" x14ac:dyDescent="0.2">
      <c r="Q918" s="36"/>
      <c r="R918" s="36"/>
      <c r="S918" s="36"/>
      <c r="T918" s="36"/>
      <c r="U918" s="36"/>
      <c r="V918" s="36"/>
      <c r="W918" s="36"/>
      <c r="X918" s="36"/>
      <c r="Y918" s="36"/>
      <c r="Z918" s="36"/>
      <c r="AA918" s="36"/>
      <c r="AB918" s="36"/>
      <c r="AC918" s="36"/>
    </row>
    <row r="919" spans="17:29" x14ac:dyDescent="0.2">
      <c r="Q919" s="36"/>
      <c r="R919" s="36"/>
      <c r="S919" s="36"/>
      <c r="T919" s="36"/>
      <c r="U919" s="36"/>
      <c r="V919" s="36"/>
      <c r="W919" s="36"/>
      <c r="X919" s="36"/>
      <c r="Y919" s="36"/>
      <c r="Z919" s="36"/>
      <c r="AA919" s="36"/>
      <c r="AB919" s="36"/>
      <c r="AC919" s="36"/>
    </row>
    <row r="920" spans="17:29" x14ac:dyDescent="0.2">
      <c r="Q920" s="36"/>
      <c r="R920" s="36"/>
      <c r="S920" s="36"/>
      <c r="T920" s="36"/>
      <c r="U920" s="36"/>
      <c r="V920" s="36"/>
      <c r="W920" s="36"/>
      <c r="X920" s="36"/>
      <c r="Y920" s="36"/>
      <c r="Z920" s="36"/>
      <c r="AA920" s="36"/>
      <c r="AB920" s="36"/>
      <c r="AC920" s="36"/>
    </row>
    <row r="921" spans="17:29" x14ac:dyDescent="0.2">
      <c r="Q921" s="36"/>
      <c r="R921" s="36"/>
      <c r="S921" s="36"/>
      <c r="T921" s="36"/>
      <c r="U921" s="36"/>
      <c r="V921" s="36"/>
      <c r="W921" s="36"/>
      <c r="X921" s="36"/>
      <c r="Y921" s="36"/>
      <c r="Z921" s="36"/>
      <c r="AA921" s="36"/>
      <c r="AB921" s="36"/>
      <c r="AC921" s="36"/>
    </row>
    <row r="922" spans="17:29" x14ac:dyDescent="0.2">
      <c r="Q922" s="36"/>
      <c r="R922" s="36"/>
      <c r="S922" s="36"/>
      <c r="T922" s="36"/>
      <c r="U922" s="36"/>
      <c r="V922" s="36"/>
      <c r="W922" s="36"/>
      <c r="X922" s="36"/>
      <c r="Y922" s="36"/>
      <c r="Z922" s="36"/>
      <c r="AA922" s="36"/>
      <c r="AB922" s="36"/>
      <c r="AC922" s="36"/>
    </row>
    <row r="923" spans="17:29" x14ac:dyDescent="0.2">
      <c r="Q923" s="36"/>
      <c r="R923" s="36"/>
      <c r="S923" s="36"/>
      <c r="T923" s="36"/>
      <c r="U923" s="36"/>
      <c r="V923" s="36"/>
      <c r="W923" s="36"/>
      <c r="X923" s="36"/>
      <c r="Y923" s="36"/>
      <c r="Z923" s="36"/>
      <c r="AA923" s="36"/>
      <c r="AB923" s="36"/>
      <c r="AC923" s="36"/>
    </row>
    <row r="924" spans="17:29" x14ac:dyDescent="0.2">
      <c r="Q924" s="36"/>
      <c r="R924" s="36"/>
      <c r="S924" s="36"/>
      <c r="T924" s="36"/>
      <c r="U924" s="36"/>
      <c r="V924" s="36"/>
      <c r="W924" s="36"/>
      <c r="X924" s="36"/>
      <c r="Y924" s="36"/>
      <c r="Z924" s="36"/>
      <c r="AA924" s="36"/>
      <c r="AB924" s="36"/>
      <c r="AC924" s="36"/>
    </row>
    <row r="925" spans="17:29" x14ac:dyDescent="0.2">
      <c r="Q925" s="36"/>
      <c r="R925" s="36"/>
      <c r="S925" s="36"/>
      <c r="T925" s="36"/>
      <c r="U925" s="36"/>
      <c r="V925" s="36"/>
      <c r="W925" s="36"/>
      <c r="X925" s="36"/>
      <c r="Y925" s="36"/>
      <c r="Z925" s="36"/>
      <c r="AA925" s="36"/>
      <c r="AB925" s="36"/>
      <c r="AC925" s="36"/>
    </row>
    <row r="926" spans="17:29" x14ac:dyDescent="0.2">
      <c r="Q926" s="36"/>
      <c r="R926" s="36"/>
      <c r="S926" s="36"/>
      <c r="T926" s="36"/>
      <c r="U926" s="36"/>
      <c r="V926" s="36"/>
      <c r="W926" s="36"/>
      <c r="X926" s="36"/>
      <c r="Y926" s="36"/>
      <c r="Z926" s="36"/>
      <c r="AA926" s="36"/>
      <c r="AB926" s="36"/>
      <c r="AC926" s="36"/>
    </row>
    <row r="927" spans="17:29" x14ac:dyDescent="0.2">
      <c r="Q927" s="36"/>
      <c r="R927" s="36"/>
      <c r="S927" s="36"/>
      <c r="T927" s="36"/>
      <c r="U927" s="36"/>
      <c r="V927" s="36"/>
      <c r="W927" s="36"/>
      <c r="X927" s="36"/>
      <c r="Y927" s="36"/>
      <c r="Z927" s="36"/>
      <c r="AA927" s="36"/>
      <c r="AB927" s="36"/>
      <c r="AC927" s="36"/>
    </row>
    <row r="928" spans="17:29" x14ac:dyDescent="0.2">
      <c r="Q928" s="36"/>
      <c r="R928" s="36"/>
      <c r="S928" s="36"/>
      <c r="T928" s="36"/>
      <c r="U928" s="36"/>
      <c r="V928" s="36"/>
      <c r="W928" s="36"/>
      <c r="X928" s="36"/>
      <c r="Y928" s="36"/>
      <c r="Z928" s="36"/>
      <c r="AA928" s="36"/>
      <c r="AB928" s="36"/>
      <c r="AC928" s="36"/>
    </row>
    <row r="929" spans="17:29" x14ac:dyDescent="0.2">
      <c r="Q929" s="36"/>
      <c r="R929" s="36"/>
      <c r="S929" s="36"/>
      <c r="T929" s="36"/>
      <c r="U929" s="36"/>
      <c r="V929" s="36"/>
      <c r="W929" s="36"/>
      <c r="X929" s="36"/>
      <c r="Y929" s="36"/>
      <c r="Z929" s="36"/>
      <c r="AA929" s="36"/>
      <c r="AB929" s="36"/>
      <c r="AC929" s="36"/>
    </row>
    <row r="930" spans="17:29" x14ac:dyDescent="0.2">
      <c r="Q930" s="36"/>
      <c r="R930" s="36"/>
      <c r="S930" s="36"/>
      <c r="T930" s="36"/>
      <c r="U930" s="36"/>
      <c r="V930" s="36"/>
      <c r="W930" s="36"/>
      <c r="X930" s="36"/>
      <c r="Y930" s="36"/>
      <c r="Z930" s="36"/>
      <c r="AA930" s="36"/>
      <c r="AB930" s="36"/>
      <c r="AC930" s="36"/>
    </row>
    <row r="931" spans="17:29" x14ac:dyDescent="0.2">
      <c r="Q931" s="36"/>
      <c r="R931" s="36"/>
      <c r="S931" s="36"/>
      <c r="T931" s="36"/>
      <c r="U931" s="36"/>
      <c r="V931" s="36"/>
      <c r="W931" s="36"/>
      <c r="X931" s="36"/>
      <c r="Y931" s="36"/>
      <c r="Z931" s="36"/>
      <c r="AA931" s="36"/>
      <c r="AB931" s="36"/>
      <c r="AC931" s="36"/>
    </row>
    <row r="932" spans="17:29" x14ac:dyDescent="0.2">
      <c r="Q932" s="36"/>
      <c r="R932" s="36"/>
      <c r="S932" s="36"/>
      <c r="T932" s="36"/>
      <c r="U932" s="36"/>
      <c r="V932" s="36"/>
      <c r="W932" s="36"/>
      <c r="X932" s="36"/>
      <c r="Y932" s="36"/>
      <c r="Z932" s="36"/>
      <c r="AA932" s="36"/>
      <c r="AB932" s="36"/>
      <c r="AC932" s="36"/>
    </row>
    <row r="933" spans="17:29" x14ac:dyDescent="0.2">
      <c r="Q933" s="36"/>
      <c r="R933" s="36"/>
      <c r="S933" s="36"/>
      <c r="T933" s="36"/>
      <c r="U933" s="36"/>
      <c r="V933" s="36"/>
      <c r="W933" s="36"/>
      <c r="X933" s="36"/>
      <c r="Y933" s="36"/>
      <c r="Z933" s="36"/>
      <c r="AA933" s="36"/>
      <c r="AB933" s="36"/>
      <c r="AC933" s="36"/>
    </row>
    <row r="934" spans="17:29" x14ac:dyDescent="0.2">
      <c r="Q934" s="36"/>
      <c r="R934" s="36"/>
      <c r="S934" s="36"/>
      <c r="T934" s="36"/>
      <c r="U934" s="36"/>
      <c r="V934" s="36"/>
      <c r="W934" s="36"/>
      <c r="X934" s="36"/>
      <c r="Y934" s="36"/>
      <c r="Z934" s="36"/>
      <c r="AA934" s="36"/>
      <c r="AB934" s="36"/>
      <c r="AC934" s="36"/>
    </row>
    <row r="935" spans="17:29" x14ac:dyDescent="0.2">
      <c r="Q935" s="36"/>
      <c r="R935" s="36"/>
      <c r="S935" s="36"/>
      <c r="T935" s="36"/>
      <c r="U935" s="36"/>
      <c r="V935" s="36"/>
      <c r="W935" s="36"/>
      <c r="X935" s="36"/>
      <c r="Y935" s="36"/>
      <c r="Z935" s="36"/>
      <c r="AA935" s="36"/>
      <c r="AB935" s="36"/>
      <c r="AC935" s="36"/>
    </row>
    <row r="936" spans="17:29" x14ac:dyDescent="0.2">
      <c r="Q936" s="36"/>
      <c r="R936" s="36"/>
      <c r="S936" s="36"/>
      <c r="T936" s="36"/>
      <c r="U936" s="36"/>
      <c r="V936" s="36"/>
      <c r="W936" s="36"/>
      <c r="X936" s="36"/>
      <c r="Y936" s="36"/>
      <c r="Z936" s="36"/>
      <c r="AA936" s="36"/>
      <c r="AB936" s="36"/>
      <c r="AC936" s="36"/>
    </row>
    <row r="937" spans="17:29" x14ac:dyDescent="0.2">
      <c r="Q937" s="36"/>
      <c r="R937" s="36"/>
      <c r="S937" s="36"/>
      <c r="T937" s="36"/>
      <c r="U937" s="36"/>
      <c r="V937" s="36"/>
      <c r="W937" s="36"/>
      <c r="X937" s="36"/>
      <c r="Y937" s="36"/>
      <c r="Z937" s="36"/>
      <c r="AA937" s="36"/>
      <c r="AB937" s="36"/>
      <c r="AC937" s="36"/>
    </row>
    <row r="938" spans="17:29" x14ac:dyDescent="0.2">
      <c r="Q938" s="36"/>
      <c r="R938" s="36"/>
      <c r="S938" s="36"/>
      <c r="T938" s="36"/>
      <c r="U938" s="36"/>
      <c r="V938" s="36"/>
      <c r="W938" s="36"/>
      <c r="X938" s="36"/>
      <c r="Y938" s="36"/>
      <c r="Z938" s="36"/>
      <c r="AA938" s="36"/>
      <c r="AB938" s="36"/>
      <c r="AC938" s="36"/>
    </row>
    <row r="939" spans="17:29" x14ac:dyDescent="0.2">
      <c r="Q939" s="36"/>
      <c r="R939" s="36"/>
      <c r="S939" s="36"/>
      <c r="T939" s="36"/>
      <c r="U939" s="36"/>
      <c r="V939" s="36"/>
      <c r="W939" s="36"/>
      <c r="X939" s="36"/>
      <c r="Y939" s="36"/>
      <c r="Z939" s="36"/>
      <c r="AA939" s="36"/>
      <c r="AB939" s="36"/>
      <c r="AC939" s="36"/>
    </row>
    <row r="940" spans="17:29" x14ac:dyDescent="0.2">
      <c r="Q940" s="36"/>
      <c r="R940" s="36"/>
      <c r="S940" s="36"/>
      <c r="T940" s="36"/>
      <c r="U940" s="36"/>
      <c r="V940" s="36"/>
      <c r="W940" s="36"/>
      <c r="X940" s="36"/>
      <c r="Y940" s="36"/>
      <c r="Z940" s="36"/>
      <c r="AA940" s="36"/>
      <c r="AB940" s="36"/>
      <c r="AC940" s="36"/>
    </row>
    <row r="941" spans="17:29" x14ac:dyDescent="0.2">
      <c r="Q941" s="36"/>
      <c r="R941" s="36"/>
      <c r="S941" s="36"/>
      <c r="T941" s="36"/>
      <c r="U941" s="36"/>
      <c r="V941" s="36"/>
      <c r="W941" s="36"/>
      <c r="X941" s="36"/>
      <c r="Y941" s="36"/>
      <c r="Z941" s="36"/>
      <c r="AA941" s="36"/>
      <c r="AB941" s="36"/>
      <c r="AC941" s="36"/>
    </row>
    <row r="942" spans="17:29" x14ac:dyDescent="0.2">
      <c r="Q942" s="36"/>
      <c r="R942" s="36"/>
      <c r="S942" s="36"/>
      <c r="T942" s="36"/>
      <c r="U942" s="36"/>
      <c r="V942" s="36"/>
      <c r="W942" s="36"/>
      <c r="X942" s="36"/>
      <c r="Y942" s="36"/>
      <c r="Z942" s="36"/>
      <c r="AA942" s="36"/>
      <c r="AB942" s="36"/>
      <c r="AC942" s="36"/>
    </row>
    <row r="943" spans="17:29" x14ac:dyDescent="0.2">
      <c r="Q943" s="36"/>
      <c r="R943" s="36"/>
      <c r="S943" s="36"/>
      <c r="T943" s="36"/>
      <c r="U943" s="36"/>
      <c r="V943" s="36"/>
      <c r="W943" s="36"/>
      <c r="X943" s="36"/>
      <c r="Y943" s="36"/>
      <c r="Z943" s="36"/>
      <c r="AA943" s="36"/>
      <c r="AB943" s="36"/>
      <c r="AC943" s="36"/>
    </row>
    <row r="944" spans="17:29" x14ac:dyDescent="0.2">
      <c r="Q944" s="36"/>
      <c r="R944" s="36"/>
      <c r="S944" s="36"/>
      <c r="T944" s="36"/>
      <c r="U944" s="36"/>
      <c r="V944" s="36"/>
      <c r="W944" s="36"/>
      <c r="X944" s="36"/>
      <c r="Y944" s="36"/>
      <c r="Z944" s="36"/>
      <c r="AA944" s="36"/>
      <c r="AB944" s="36"/>
      <c r="AC944" s="36"/>
    </row>
    <row r="945" spans="17:29" x14ac:dyDescent="0.2">
      <c r="Q945" s="36"/>
      <c r="R945" s="36"/>
      <c r="S945" s="36"/>
      <c r="T945" s="36"/>
      <c r="U945" s="36"/>
      <c r="V945" s="36"/>
      <c r="W945" s="36"/>
      <c r="X945" s="36"/>
      <c r="Y945" s="36"/>
      <c r="Z945" s="36"/>
      <c r="AA945" s="36"/>
      <c r="AB945" s="36"/>
      <c r="AC945" s="36"/>
    </row>
    <row r="946" spans="17:29" x14ac:dyDescent="0.2">
      <c r="Q946" s="36"/>
      <c r="R946" s="36"/>
      <c r="S946" s="36"/>
      <c r="T946" s="36"/>
      <c r="U946" s="36"/>
      <c r="V946" s="36"/>
      <c r="W946" s="36"/>
      <c r="X946" s="36"/>
      <c r="Y946" s="36"/>
      <c r="Z946" s="36"/>
      <c r="AA946" s="36"/>
      <c r="AB946" s="36"/>
      <c r="AC946" s="36"/>
    </row>
    <row r="947" spans="17:29" x14ac:dyDescent="0.2">
      <c r="Q947" s="36"/>
      <c r="R947" s="36"/>
      <c r="S947" s="36"/>
      <c r="T947" s="36"/>
      <c r="U947" s="36"/>
      <c r="V947" s="36"/>
      <c r="W947" s="36"/>
      <c r="X947" s="36"/>
      <c r="Y947" s="36"/>
      <c r="Z947" s="36"/>
      <c r="AA947" s="36"/>
      <c r="AB947" s="36"/>
      <c r="AC947" s="36"/>
    </row>
    <row r="948" spans="17:29" x14ac:dyDescent="0.2">
      <c r="Q948" s="36"/>
      <c r="R948" s="36"/>
      <c r="S948" s="36"/>
      <c r="T948" s="36"/>
      <c r="U948" s="36"/>
      <c r="V948" s="36"/>
      <c r="W948" s="36"/>
      <c r="X948" s="36"/>
      <c r="Y948" s="36"/>
      <c r="Z948" s="36"/>
      <c r="AA948" s="36"/>
      <c r="AB948" s="36"/>
      <c r="AC948" s="36"/>
    </row>
    <row r="949" spans="17:29" x14ac:dyDescent="0.2">
      <c r="Q949" s="36"/>
      <c r="R949" s="36"/>
      <c r="S949" s="36"/>
      <c r="T949" s="36"/>
      <c r="U949" s="36"/>
      <c r="V949" s="36"/>
      <c r="W949" s="36"/>
      <c r="X949" s="36"/>
      <c r="Y949" s="36"/>
      <c r="Z949" s="36"/>
      <c r="AA949" s="36"/>
      <c r="AB949" s="36"/>
      <c r="AC949" s="36"/>
    </row>
    <row r="950" spans="17:29" x14ac:dyDescent="0.2">
      <c r="Q950" s="36"/>
      <c r="R950" s="36"/>
      <c r="S950" s="36"/>
      <c r="T950" s="36"/>
      <c r="U950" s="36"/>
      <c r="V950" s="36"/>
      <c r="W950" s="36"/>
      <c r="X950" s="36"/>
      <c r="Y950" s="36"/>
      <c r="Z950" s="36"/>
      <c r="AA950" s="36"/>
      <c r="AB950" s="36"/>
      <c r="AC950" s="36"/>
    </row>
    <row r="951" spans="17:29" x14ac:dyDescent="0.2">
      <c r="Q951" s="36"/>
      <c r="R951" s="36"/>
      <c r="S951" s="36"/>
      <c r="T951" s="36"/>
      <c r="U951" s="36"/>
      <c r="V951" s="36"/>
      <c r="W951" s="36"/>
      <c r="X951" s="36"/>
      <c r="Y951" s="36"/>
      <c r="Z951" s="36"/>
      <c r="AA951" s="36"/>
      <c r="AB951" s="36"/>
      <c r="AC951" s="36"/>
    </row>
    <row r="952" spans="17:29" x14ac:dyDescent="0.2">
      <c r="Q952" s="36"/>
      <c r="R952" s="36"/>
      <c r="S952" s="36"/>
      <c r="T952" s="36"/>
      <c r="U952" s="36"/>
      <c r="V952" s="36"/>
      <c r="W952" s="36"/>
      <c r="X952" s="36"/>
      <c r="Y952" s="36"/>
      <c r="Z952" s="36"/>
      <c r="AA952" s="36"/>
      <c r="AB952" s="36"/>
      <c r="AC952" s="36"/>
    </row>
    <row r="953" spans="17:29" x14ac:dyDescent="0.2">
      <c r="Q953" s="36"/>
      <c r="R953" s="36"/>
      <c r="S953" s="36"/>
      <c r="T953" s="36"/>
      <c r="U953" s="36"/>
      <c r="V953" s="36"/>
      <c r="W953" s="36"/>
      <c r="X953" s="36"/>
      <c r="Y953" s="36"/>
      <c r="Z953" s="36"/>
      <c r="AA953" s="36"/>
      <c r="AB953" s="36"/>
      <c r="AC953" s="36"/>
    </row>
    <row r="954" spans="17:29" x14ac:dyDescent="0.2">
      <c r="Q954" s="36"/>
      <c r="R954" s="36"/>
      <c r="S954" s="36"/>
      <c r="T954" s="36"/>
      <c r="U954" s="36"/>
      <c r="V954" s="36"/>
      <c r="W954" s="36"/>
      <c r="X954" s="36"/>
      <c r="Y954" s="36"/>
      <c r="Z954" s="36"/>
      <c r="AA954" s="36"/>
      <c r="AB954" s="36"/>
      <c r="AC954" s="36"/>
    </row>
    <row r="955" spans="17:29" x14ac:dyDescent="0.2">
      <c r="Q955" s="36"/>
      <c r="R955" s="36"/>
      <c r="S955" s="36"/>
      <c r="T955" s="36"/>
      <c r="U955" s="36"/>
      <c r="V955" s="36"/>
      <c r="W955" s="36"/>
      <c r="X955" s="36"/>
      <c r="Y955" s="36"/>
      <c r="Z955" s="36"/>
      <c r="AA955" s="36"/>
      <c r="AB955" s="36"/>
      <c r="AC955" s="36"/>
    </row>
    <row r="956" spans="17:29" x14ac:dyDescent="0.2">
      <c r="Q956" s="36"/>
      <c r="R956" s="36"/>
      <c r="S956" s="36"/>
      <c r="T956" s="36"/>
      <c r="U956" s="36"/>
      <c r="V956" s="36"/>
      <c r="W956" s="36"/>
      <c r="X956" s="36"/>
      <c r="Y956" s="36"/>
      <c r="Z956" s="36"/>
      <c r="AA956" s="36"/>
      <c r="AB956" s="36"/>
      <c r="AC956" s="36"/>
    </row>
    <row r="957" spans="17:29" x14ac:dyDescent="0.2">
      <c r="Q957" s="36"/>
      <c r="R957" s="36"/>
      <c r="S957" s="36"/>
      <c r="T957" s="36"/>
      <c r="U957" s="36"/>
      <c r="V957" s="36"/>
      <c r="W957" s="36"/>
      <c r="X957" s="36"/>
      <c r="Y957" s="36"/>
      <c r="Z957" s="36"/>
      <c r="AA957" s="36"/>
      <c r="AB957" s="36"/>
      <c r="AC957" s="36"/>
    </row>
    <row r="958" spans="17:29" x14ac:dyDescent="0.2">
      <c r="Q958" s="36"/>
      <c r="R958" s="36"/>
      <c r="S958" s="36"/>
      <c r="T958" s="36"/>
      <c r="U958" s="36"/>
      <c r="V958" s="36"/>
      <c r="W958" s="36"/>
      <c r="X958" s="36"/>
      <c r="Y958" s="36"/>
      <c r="Z958" s="36"/>
      <c r="AA958" s="36"/>
      <c r="AB958" s="36"/>
      <c r="AC958" s="36"/>
    </row>
    <row r="959" spans="17:29" x14ac:dyDescent="0.2">
      <c r="Q959" s="36"/>
      <c r="R959" s="36"/>
      <c r="S959" s="36"/>
      <c r="T959" s="36"/>
      <c r="U959" s="36"/>
      <c r="V959" s="36"/>
      <c r="W959" s="36"/>
      <c r="X959" s="36"/>
      <c r="Y959" s="36"/>
      <c r="Z959" s="36"/>
      <c r="AA959" s="36"/>
      <c r="AB959" s="36"/>
      <c r="AC959" s="36"/>
    </row>
    <row r="960" spans="17:29" x14ac:dyDescent="0.2">
      <c r="Q960" s="36"/>
      <c r="R960" s="36"/>
      <c r="S960" s="36"/>
      <c r="T960" s="36"/>
      <c r="U960" s="36"/>
      <c r="V960" s="36"/>
      <c r="W960" s="36"/>
      <c r="X960" s="36"/>
      <c r="Y960" s="36"/>
      <c r="Z960" s="36"/>
      <c r="AA960" s="36"/>
      <c r="AB960" s="36"/>
      <c r="AC960" s="36"/>
    </row>
    <row r="961" spans="17:29" x14ac:dyDescent="0.2">
      <c r="Q961" s="36"/>
      <c r="R961" s="36"/>
      <c r="S961" s="36"/>
      <c r="T961" s="36"/>
      <c r="U961" s="36"/>
      <c r="V961" s="36"/>
      <c r="W961" s="36"/>
      <c r="X961" s="36"/>
      <c r="Y961" s="36"/>
      <c r="Z961" s="36"/>
      <c r="AA961" s="36"/>
      <c r="AB961" s="36"/>
      <c r="AC961" s="36"/>
    </row>
    <row r="962" spans="17:29" x14ac:dyDescent="0.2">
      <c r="Q962" s="36"/>
      <c r="R962" s="36"/>
      <c r="S962" s="36"/>
      <c r="T962" s="36"/>
      <c r="U962" s="36"/>
      <c r="V962" s="36"/>
      <c r="W962" s="36"/>
      <c r="X962" s="36"/>
      <c r="Y962" s="36"/>
      <c r="Z962" s="36"/>
      <c r="AA962" s="36"/>
      <c r="AB962" s="36"/>
      <c r="AC962" s="36"/>
    </row>
    <row r="963" spans="17:29" x14ac:dyDescent="0.2">
      <c r="Q963" s="36"/>
      <c r="R963" s="36"/>
      <c r="S963" s="36"/>
      <c r="T963" s="36"/>
      <c r="U963" s="36"/>
      <c r="V963" s="36"/>
      <c r="W963" s="36"/>
      <c r="X963" s="36"/>
      <c r="Y963" s="36"/>
      <c r="Z963" s="36"/>
      <c r="AA963" s="36"/>
      <c r="AB963" s="36"/>
      <c r="AC963" s="36"/>
    </row>
    <row r="964" spans="17:29" x14ac:dyDescent="0.2">
      <c r="Q964" s="36"/>
      <c r="R964" s="36"/>
      <c r="S964" s="36"/>
      <c r="T964" s="36"/>
      <c r="U964" s="36"/>
      <c r="V964" s="36"/>
      <c r="W964" s="36"/>
      <c r="X964" s="36"/>
      <c r="Y964" s="36"/>
      <c r="Z964" s="36"/>
      <c r="AA964" s="36"/>
      <c r="AB964" s="36"/>
      <c r="AC964" s="36"/>
    </row>
    <row r="965" spans="17:29" x14ac:dyDescent="0.2">
      <c r="Q965" s="36"/>
      <c r="R965" s="36"/>
      <c r="S965" s="36"/>
      <c r="T965" s="36"/>
      <c r="U965" s="36"/>
      <c r="V965" s="36"/>
      <c r="W965" s="36"/>
      <c r="X965" s="36"/>
      <c r="Y965" s="36"/>
      <c r="Z965" s="36"/>
      <c r="AA965" s="36"/>
      <c r="AB965" s="36"/>
      <c r="AC965" s="36"/>
    </row>
    <row r="966" spans="17:29" x14ac:dyDescent="0.2">
      <c r="Q966" s="36"/>
      <c r="R966" s="36"/>
      <c r="S966" s="36"/>
      <c r="T966" s="36"/>
      <c r="U966" s="36"/>
      <c r="V966" s="36"/>
      <c r="W966" s="36"/>
      <c r="X966" s="36"/>
      <c r="Y966" s="36"/>
      <c r="Z966" s="36"/>
      <c r="AA966" s="36"/>
      <c r="AB966" s="36"/>
      <c r="AC966" s="36"/>
    </row>
    <row r="967" spans="17:29" x14ac:dyDescent="0.2">
      <c r="Q967" s="36"/>
      <c r="R967" s="36"/>
      <c r="S967" s="36"/>
      <c r="T967" s="36"/>
      <c r="U967" s="36"/>
      <c r="V967" s="36"/>
      <c r="W967" s="36"/>
      <c r="X967" s="36"/>
      <c r="Y967" s="36"/>
      <c r="Z967" s="36"/>
      <c r="AA967" s="36"/>
      <c r="AB967" s="36"/>
      <c r="AC967" s="36"/>
    </row>
    <row r="968" spans="17:29" x14ac:dyDescent="0.2">
      <c r="Q968" s="36"/>
      <c r="R968" s="36"/>
      <c r="S968" s="36"/>
      <c r="T968" s="36"/>
      <c r="U968" s="36"/>
      <c r="V968" s="36"/>
      <c r="W968" s="36"/>
      <c r="X968" s="36"/>
      <c r="Y968" s="36"/>
      <c r="Z968" s="36"/>
      <c r="AA968" s="36"/>
      <c r="AB968" s="36"/>
      <c r="AC968" s="36"/>
    </row>
    <row r="969" spans="17:29" x14ac:dyDescent="0.2">
      <c r="Q969" s="36"/>
      <c r="R969" s="36"/>
      <c r="S969" s="36"/>
      <c r="T969" s="36"/>
      <c r="U969" s="36"/>
      <c r="V969" s="36"/>
      <c r="W969" s="36"/>
      <c r="X969" s="36"/>
      <c r="Y969" s="36"/>
      <c r="Z969" s="36"/>
      <c r="AA969" s="36"/>
      <c r="AB969" s="36"/>
      <c r="AC969" s="36"/>
    </row>
    <row r="970" spans="17:29" x14ac:dyDescent="0.2">
      <c r="Q970" s="36"/>
      <c r="R970" s="36"/>
      <c r="S970" s="36"/>
      <c r="T970" s="36"/>
      <c r="U970" s="36"/>
      <c r="V970" s="36"/>
      <c r="W970" s="36"/>
      <c r="X970" s="36"/>
      <c r="Y970" s="36"/>
      <c r="Z970" s="36"/>
      <c r="AA970" s="36"/>
      <c r="AB970" s="36"/>
      <c r="AC970" s="36"/>
    </row>
    <row r="971" spans="17:29" x14ac:dyDescent="0.2">
      <c r="Q971" s="36"/>
      <c r="R971" s="36"/>
      <c r="S971" s="36"/>
      <c r="T971" s="36"/>
      <c r="U971" s="36"/>
      <c r="V971" s="36"/>
      <c r="W971" s="36"/>
      <c r="X971" s="36"/>
      <c r="Y971" s="36"/>
      <c r="Z971" s="36"/>
      <c r="AA971" s="36"/>
      <c r="AB971" s="36"/>
      <c r="AC971" s="36"/>
    </row>
    <row r="972" spans="17:29" x14ac:dyDescent="0.2">
      <c r="Q972" s="36"/>
      <c r="R972" s="36"/>
      <c r="S972" s="36"/>
      <c r="T972" s="36"/>
      <c r="U972" s="36"/>
      <c r="V972" s="36"/>
      <c r="W972" s="36"/>
      <c r="X972" s="36"/>
      <c r="Y972" s="36"/>
      <c r="Z972" s="36"/>
      <c r="AA972" s="36"/>
      <c r="AB972" s="36"/>
      <c r="AC972" s="36"/>
    </row>
    <row r="973" spans="17:29" x14ac:dyDescent="0.2">
      <c r="Q973" s="36"/>
      <c r="R973" s="36"/>
      <c r="S973" s="36"/>
      <c r="T973" s="36"/>
      <c r="U973" s="36"/>
      <c r="V973" s="36"/>
      <c r="W973" s="36"/>
      <c r="X973" s="36"/>
      <c r="Y973" s="36"/>
      <c r="Z973" s="36"/>
      <c r="AA973" s="36"/>
      <c r="AB973" s="36"/>
      <c r="AC973" s="36"/>
    </row>
    <row r="974" spans="17:29" x14ac:dyDescent="0.2">
      <c r="Q974" s="36"/>
      <c r="R974" s="36"/>
      <c r="S974" s="36"/>
      <c r="T974" s="36"/>
      <c r="U974" s="36"/>
      <c r="V974" s="36"/>
      <c r="W974" s="36"/>
      <c r="X974" s="36"/>
      <c r="Y974" s="36"/>
      <c r="Z974" s="36"/>
      <c r="AA974" s="36"/>
      <c r="AB974" s="36"/>
      <c r="AC974" s="36"/>
    </row>
    <row r="975" spans="17:29" x14ac:dyDescent="0.2">
      <c r="Q975" s="36"/>
      <c r="R975" s="36"/>
      <c r="S975" s="36"/>
      <c r="T975" s="36"/>
      <c r="U975" s="36"/>
      <c r="V975" s="36"/>
      <c r="W975" s="36"/>
      <c r="X975" s="36"/>
      <c r="Y975" s="36"/>
      <c r="Z975" s="36"/>
      <c r="AA975" s="36"/>
      <c r="AB975" s="36"/>
      <c r="AC975" s="36"/>
    </row>
    <row r="976" spans="17:29" x14ac:dyDescent="0.2">
      <c r="Q976" s="36"/>
      <c r="R976" s="36"/>
      <c r="S976" s="36"/>
      <c r="T976" s="36"/>
      <c r="U976" s="36"/>
      <c r="V976" s="36"/>
      <c r="W976" s="36"/>
      <c r="X976" s="36"/>
      <c r="Y976" s="36"/>
      <c r="Z976" s="36"/>
      <c r="AA976" s="36"/>
      <c r="AB976" s="36"/>
      <c r="AC976" s="36"/>
    </row>
    <row r="977" spans="17:29" x14ac:dyDescent="0.2">
      <c r="Q977" s="36"/>
      <c r="R977" s="36"/>
      <c r="S977" s="36"/>
      <c r="T977" s="36"/>
      <c r="U977" s="36"/>
      <c r="V977" s="36"/>
      <c r="W977" s="36"/>
      <c r="X977" s="36"/>
      <c r="Y977" s="36"/>
      <c r="Z977" s="36"/>
      <c r="AA977" s="36"/>
      <c r="AB977" s="36"/>
      <c r="AC977" s="36"/>
    </row>
    <row r="978" spans="17:29" x14ac:dyDescent="0.2">
      <c r="Q978" s="36"/>
      <c r="R978" s="36"/>
      <c r="S978" s="36"/>
      <c r="T978" s="36"/>
      <c r="U978" s="36"/>
      <c r="V978" s="36"/>
      <c r="W978" s="36"/>
      <c r="X978" s="36"/>
      <c r="Y978" s="36"/>
      <c r="Z978" s="36"/>
      <c r="AA978" s="36"/>
      <c r="AB978" s="36"/>
      <c r="AC978" s="36"/>
    </row>
    <row r="979" spans="17:29" x14ac:dyDescent="0.2">
      <c r="Q979" s="36"/>
      <c r="R979" s="36"/>
      <c r="S979" s="36"/>
      <c r="T979" s="36"/>
      <c r="U979" s="36"/>
      <c r="V979" s="36"/>
      <c r="W979" s="36"/>
      <c r="X979" s="36"/>
      <c r="Y979" s="36"/>
      <c r="Z979" s="36"/>
      <c r="AA979" s="36"/>
      <c r="AB979" s="36"/>
      <c r="AC979" s="36"/>
    </row>
    <row r="980" spans="17:29" x14ac:dyDescent="0.2">
      <c r="Q980" s="36"/>
      <c r="R980" s="36"/>
      <c r="S980" s="36"/>
      <c r="T980" s="36"/>
      <c r="U980" s="36"/>
      <c r="V980" s="36"/>
      <c r="W980" s="36"/>
      <c r="X980" s="36"/>
      <c r="Y980" s="36"/>
      <c r="Z980" s="36"/>
      <c r="AA980" s="36"/>
      <c r="AB980" s="36"/>
      <c r="AC980" s="36"/>
    </row>
    <row r="981" spans="17:29" x14ac:dyDescent="0.2">
      <c r="Q981" s="36"/>
      <c r="R981" s="36"/>
      <c r="S981" s="36"/>
      <c r="T981" s="36"/>
      <c r="U981" s="36"/>
      <c r="V981" s="36"/>
      <c r="W981" s="36"/>
      <c r="X981" s="36"/>
      <c r="Y981" s="36"/>
      <c r="Z981" s="36"/>
      <c r="AA981" s="36"/>
      <c r="AB981" s="36"/>
      <c r="AC981" s="36"/>
    </row>
    <row r="982" spans="17:29" x14ac:dyDescent="0.2">
      <c r="Q982" s="36"/>
      <c r="R982" s="36"/>
      <c r="S982" s="36"/>
      <c r="T982" s="36"/>
      <c r="U982" s="36"/>
      <c r="V982" s="36"/>
      <c r="W982" s="36"/>
      <c r="X982" s="36"/>
      <c r="Y982" s="36"/>
      <c r="Z982" s="36"/>
      <c r="AA982" s="36"/>
      <c r="AB982" s="36"/>
      <c r="AC982" s="36"/>
    </row>
    <row r="983" spans="17:29" x14ac:dyDescent="0.2">
      <c r="Q983" s="36"/>
      <c r="R983" s="36"/>
      <c r="S983" s="36"/>
      <c r="T983" s="36"/>
      <c r="U983" s="36"/>
      <c r="V983" s="36"/>
      <c r="W983" s="36"/>
      <c r="X983" s="36"/>
      <c r="Y983" s="36"/>
      <c r="Z983" s="36"/>
      <c r="AA983" s="36"/>
      <c r="AB983" s="36"/>
      <c r="AC983" s="36"/>
    </row>
    <row r="984" spans="17:29" x14ac:dyDescent="0.2">
      <c r="Q984" s="36"/>
      <c r="R984" s="36"/>
      <c r="S984" s="36"/>
      <c r="T984" s="36"/>
      <c r="U984" s="36"/>
      <c r="V984" s="36"/>
      <c r="W984" s="36"/>
      <c r="X984" s="36"/>
      <c r="Y984" s="36"/>
      <c r="Z984" s="36"/>
      <c r="AA984" s="36"/>
      <c r="AB984" s="36"/>
      <c r="AC984" s="36"/>
    </row>
    <row r="985" spans="17:29" x14ac:dyDescent="0.2">
      <c r="Q985" s="36"/>
      <c r="R985" s="36"/>
      <c r="S985" s="36"/>
      <c r="T985" s="36"/>
      <c r="U985" s="36"/>
      <c r="V985" s="36"/>
      <c r="W985" s="36"/>
      <c r="X985" s="36"/>
      <c r="Y985" s="36"/>
      <c r="Z985" s="36"/>
      <c r="AA985" s="36"/>
      <c r="AB985" s="36"/>
      <c r="AC985" s="36"/>
    </row>
    <row r="986" spans="17:29" x14ac:dyDescent="0.2">
      <c r="Q986" s="36"/>
      <c r="R986" s="36"/>
      <c r="S986" s="36"/>
      <c r="T986" s="36"/>
      <c r="U986" s="36"/>
      <c r="V986" s="36"/>
      <c r="W986" s="36"/>
      <c r="X986" s="36"/>
      <c r="Y986" s="36"/>
      <c r="Z986" s="36"/>
      <c r="AA986" s="36"/>
      <c r="AB986" s="36"/>
      <c r="AC986" s="36"/>
    </row>
    <row r="987" spans="17:29" x14ac:dyDescent="0.2">
      <c r="Q987" s="36"/>
      <c r="R987" s="36"/>
      <c r="S987" s="36"/>
      <c r="T987" s="36"/>
      <c r="U987" s="36"/>
      <c r="V987" s="36"/>
      <c r="W987" s="36"/>
      <c r="X987" s="36"/>
      <c r="Y987" s="36"/>
      <c r="Z987" s="36"/>
      <c r="AA987" s="36"/>
      <c r="AB987" s="36"/>
      <c r="AC987" s="36"/>
    </row>
    <row r="988" spans="17:29" x14ac:dyDescent="0.2">
      <c r="Q988" s="36"/>
      <c r="R988" s="36"/>
      <c r="S988" s="36"/>
      <c r="T988" s="36"/>
      <c r="U988" s="36"/>
      <c r="V988" s="36"/>
      <c r="W988" s="36"/>
      <c r="X988" s="36"/>
      <c r="Y988" s="36"/>
      <c r="Z988" s="36"/>
      <c r="AA988" s="36"/>
      <c r="AB988" s="36"/>
      <c r="AC988" s="36"/>
    </row>
    <row r="989" spans="17:29" x14ac:dyDescent="0.2">
      <c r="Q989" s="36"/>
      <c r="R989" s="36"/>
      <c r="S989" s="36"/>
      <c r="T989" s="36"/>
      <c r="U989" s="36"/>
      <c r="V989" s="36"/>
      <c r="W989" s="36"/>
      <c r="X989" s="36"/>
      <c r="Y989" s="36"/>
      <c r="Z989" s="36"/>
      <c r="AA989" s="36"/>
      <c r="AB989" s="36"/>
      <c r="AC989" s="36"/>
    </row>
    <row r="990" spans="17:29" x14ac:dyDescent="0.2">
      <c r="Q990" s="36"/>
      <c r="R990" s="36"/>
      <c r="S990" s="36"/>
      <c r="T990" s="36"/>
      <c r="U990" s="36"/>
      <c r="V990" s="36"/>
      <c r="W990" s="36"/>
      <c r="X990" s="36"/>
      <c r="Y990" s="36"/>
      <c r="Z990" s="36"/>
      <c r="AA990" s="36"/>
      <c r="AB990" s="36"/>
      <c r="AC990" s="36"/>
    </row>
    <row r="991" spans="17:29" x14ac:dyDescent="0.2">
      <c r="Q991" s="36"/>
      <c r="R991" s="36"/>
      <c r="S991" s="36"/>
      <c r="T991" s="36"/>
      <c r="U991" s="36"/>
      <c r="V991" s="36"/>
      <c r="W991" s="36"/>
      <c r="X991" s="36"/>
      <c r="Y991" s="36"/>
      <c r="Z991" s="36"/>
      <c r="AA991" s="36"/>
      <c r="AB991" s="36"/>
      <c r="AC991" s="36"/>
    </row>
    <row r="992" spans="17:29" x14ac:dyDescent="0.2">
      <c r="Q992" s="36"/>
      <c r="R992" s="36"/>
      <c r="S992" s="36"/>
      <c r="T992" s="36"/>
      <c r="U992" s="36"/>
      <c r="V992" s="36"/>
      <c r="W992" s="36"/>
      <c r="X992" s="36"/>
      <c r="Y992" s="36"/>
      <c r="Z992" s="36"/>
      <c r="AA992" s="36"/>
      <c r="AB992" s="36"/>
      <c r="AC992" s="36"/>
    </row>
    <row r="993" spans="17:29" x14ac:dyDescent="0.2">
      <c r="Q993" s="36"/>
      <c r="R993" s="36"/>
      <c r="S993" s="36"/>
      <c r="T993" s="36"/>
      <c r="U993" s="36"/>
      <c r="V993" s="36"/>
      <c r="W993" s="36"/>
      <c r="X993" s="36"/>
      <c r="Y993" s="36"/>
      <c r="Z993" s="36"/>
      <c r="AA993" s="36"/>
      <c r="AB993" s="36"/>
      <c r="AC993" s="36"/>
    </row>
    <row r="994" spans="17:29" x14ac:dyDescent="0.2">
      <c r="Q994" s="36"/>
      <c r="R994" s="36"/>
      <c r="S994" s="36"/>
      <c r="T994" s="36"/>
      <c r="U994" s="36"/>
      <c r="V994" s="36"/>
      <c r="W994" s="36"/>
      <c r="X994" s="36"/>
      <c r="Y994" s="36"/>
      <c r="Z994" s="36"/>
      <c r="AA994" s="36"/>
      <c r="AB994" s="36"/>
      <c r="AC994" s="36"/>
    </row>
    <row r="995" spans="17:29" x14ac:dyDescent="0.2">
      <c r="Q995" s="36"/>
      <c r="R995" s="36"/>
      <c r="S995" s="36"/>
      <c r="T995" s="36"/>
      <c r="U995" s="36"/>
      <c r="V995" s="36"/>
      <c r="W995" s="36"/>
      <c r="X995" s="36"/>
      <c r="Y995" s="36"/>
      <c r="Z995" s="36"/>
      <c r="AA995" s="36"/>
      <c r="AB995" s="36"/>
      <c r="AC995" s="36"/>
    </row>
    <row r="996" spans="17:29" x14ac:dyDescent="0.2">
      <c r="Q996" s="36"/>
      <c r="R996" s="36"/>
      <c r="S996" s="36"/>
      <c r="T996" s="36"/>
      <c r="U996" s="36"/>
      <c r="V996" s="36"/>
      <c r="W996" s="36"/>
      <c r="X996" s="36"/>
      <c r="Y996" s="36"/>
      <c r="Z996" s="36"/>
      <c r="AA996" s="36"/>
      <c r="AB996" s="36"/>
      <c r="AC996" s="36"/>
    </row>
    <row r="997" spans="17:29" x14ac:dyDescent="0.2">
      <c r="Q997" s="36"/>
      <c r="R997" s="36"/>
      <c r="S997" s="36"/>
      <c r="T997" s="36"/>
      <c r="U997" s="36"/>
      <c r="V997" s="36"/>
      <c r="W997" s="36"/>
      <c r="X997" s="36"/>
      <c r="Y997" s="36"/>
      <c r="Z997" s="36"/>
      <c r="AA997" s="36"/>
      <c r="AB997" s="36"/>
      <c r="AC997" s="36"/>
    </row>
    <row r="998" spans="17:29" x14ac:dyDescent="0.2">
      <c r="Q998" s="36"/>
      <c r="R998" s="36"/>
      <c r="S998" s="36"/>
      <c r="T998" s="36"/>
      <c r="U998" s="36"/>
      <c r="V998" s="36"/>
      <c r="W998" s="36"/>
      <c r="X998" s="36"/>
      <c r="Y998" s="36"/>
      <c r="Z998" s="36"/>
      <c r="AA998" s="36"/>
      <c r="AB998" s="36"/>
      <c r="AC998" s="36"/>
    </row>
    <row r="999" spans="17:29" x14ac:dyDescent="0.2">
      <c r="Q999" s="36"/>
      <c r="R999" s="36"/>
      <c r="S999" s="36"/>
      <c r="T999" s="36"/>
      <c r="U999" s="36"/>
      <c r="V999" s="36"/>
      <c r="W999" s="36"/>
      <c r="X999" s="36"/>
      <c r="Y999" s="36"/>
      <c r="Z999" s="36"/>
      <c r="AA999" s="36"/>
      <c r="AB999" s="36"/>
      <c r="AC999" s="36"/>
    </row>
    <row r="1000" spans="17:29" x14ac:dyDescent="0.2">
      <c r="Q1000" s="36"/>
      <c r="R1000" s="36"/>
      <c r="S1000" s="36"/>
      <c r="T1000" s="36"/>
      <c r="U1000" s="36"/>
      <c r="V1000" s="36"/>
      <c r="W1000" s="36"/>
      <c r="X1000" s="36"/>
      <c r="Y1000" s="36"/>
      <c r="Z1000" s="36"/>
      <c r="AA1000" s="36"/>
      <c r="AB1000" s="36"/>
      <c r="AC1000" s="36"/>
    </row>
    <row r="1001" spans="17:29" x14ac:dyDescent="0.2">
      <c r="Q1001" s="36"/>
      <c r="R1001" s="36"/>
      <c r="S1001" s="36"/>
      <c r="T1001" s="36"/>
      <c r="U1001" s="36"/>
      <c r="V1001" s="36"/>
      <c r="W1001" s="36"/>
      <c r="X1001" s="36"/>
      <c r="Y1001" s="36"/>
      <c r="Z1001" s="36"/>
      <c r="AA1001" s="36"/>
      <c r="AB1001" s="36"/>
      <c r="AC1001" s="36"/>
    </row>
    <row r="1002" spans="17:29" x14ac:dyDescent="0.2">
      <c r="Q1002" s="36"/>
      <c r="R1002" s="36"/>
      <c r="S1002" s="36"/>
      <c r="T1002" s="36"/>
      <c r="U1002" s="36"/>
      <c r="V1002" s="36"/>
      <c r="W1002" s="36"/>
      <c r="X1002" s="36"/>
      <c r="Y1002" s="36"/>
      <c r="Z1002" s="36"/>
      <c r="AA1002" s="36"/>
      <c r="AB1002" s="36"/>
      <c r="AC1002" s="36"/>
    </row>
    <row r="1003" spans="17:29" x14ac:dyDescent="0.2">
      <c r="Q1003" s="36"/>
      <c r="R1003" s="36"/>
      <c r="S1003" s="36"/>
      <c r="T1003" s="36"/>
      <c r="U1003" s="36"/>
      <c r="V1003" s="36"/>
      <c r="W1003" s="36"/>
      <c r="X1003" s="36"/>
      <c r="Y1003" s="36"/>
      <c r="Z1003" s="36"/>
      <c r="AA1003" s="36"/>
      <c r="AB1003" s="36"/>
      <c r="AC1003" s="36"/>
    </row>
    <row r="1004" spans="17:29" x14ac:dyDescent="0.2">
      <c r="Q1004" s="36"/>
      <c r="R1004" s="36"/>
      <c r="S1004" s="36"/>
      <c r="T1004" s="36"/>
      <c r="U1004" s="36"/>
      <c r="V1004" s="36"/>
      <c r="W1004" s="36"/>
      <c r="X1004" s="36"/>
      <c r="Y1004" s="36"/>
      <c r="Z1004" s="36"/>
      <c r="AA1004" s="36"/>
      <c r="AB1004" s="36"/>
      <c r="AC1004" s="36"/>
    </row>
    <row r="1005" spans="17:29" x14ac:dyDescent="0.2">
      <c r="Q1005" s="36"/>
      <c r="R1005" s="36"/>
      <c r="S1005" s="36"/>
      <c r="T1005" s="36"/>
      <c r="U1005" s="36"/>
      <c r="V1005" s="36"/>
      <c r="W1005" s="36"/>
      <c r="X1005" s="36"/>
      <c r="Y1005" s="36"/>
      <c r="Z1005" s="36"/>
      <c r="AA1005" s="36"/>
      <c r="AB1005" s="36"/>
      <c r="AC1005" s="36"/>
    </row>
    <row r="1006" spans="17:29" x14ac:dyDescent="0.2">
      <c r="Q1006" s="36"/>
      <c r="R1006" s="36"/>
      <c r="S1006" s="36"/>
      <c r="T1006" s="36"/>
      <c r="U1006" s="36"/>
      <c r="V1006" s="36"/>
      <c r="W1006" s="36"/>
      <c r="X1006" s="36"/>
      <c r="Y1006" s="36"/>
      <c r="Z1006" s="36"/>
      <c r="AA1006" s="36"/>
      <c r="AB1006" s="36"/>
      <c r="AC1006" s="36"/>
    </row>
    <row r="1007" spans="17:29" x14ac:dyDescent="0.2">
      <c r="Q1007" s="36"/>
      <c r="R1007" s="36"/>
      <c r="S1007" s="36"/>
      <c r="T1007" s="36"/>
      <c r="U1007" s="36"/>
      <c r="V1007" s="36"/>
      <c r="W1007" s="36"/>
      <c r="X1007" s="36"/>
      <c r="Y1007" s="36"/>
      <c r="Z1007" s="36"/>
      <c r="AA1007" s="36"/>
      <c r="AB1007" s="36"/>
      <c r="AC1007" s="36"/>
    </row>
    <row r="1008" spans="17:29" x14ac:dyDescent="0.2">
      <c r="Q1008" s="36"/>
      <c r="R1008" s="36"/>
      <c r="S1008" s="36"/>
      <c r="T1008" s="36"/>
      <c r="U1008" s="36"/>
      <c r="V1008" s="36"/>
      <c r="W1008" s="36"/>
      <c r="X1008" s="36"/>
      <c r="Y1008" s="36"/>
      <c r="Z1008" s="36"/>
      <c r="AA1008" s="36"/>
      <c r="AB1008" s="36"/>
      <c r="AC1008" s="36"/>
    </row>
    <row r="1009" spans="17:29" x14ac:dyDescent="0.2">
      <c r="Q1009" s="36"/>
      <c r="R1009" s="36"/>
      <c r="S1009" s="36"/>
      <c r="T1009" s="36"/>
      <c r="U1009" s="36"/>
      <c r="V1009" s="36"/>
      <c r="W1009" s="36"/>
      <c r="X1009" s="36"/>
      <c r="Y1009" s="36"/>
      <c r="Z1009" s="36"/>
      <c r="AA1009" s="36"/>
      <c r="AB1009" s="36"/>
      <c r="AC1009" s="36"/>
    </row>
    <row r="1010" spans="17:29" x14ac:dyDescent="0.2">
      <c r="Q1010" s="36"/>
      <c r="R1010" s="36"/>
      <c r="S1010" s="36"/>
      <c r="T1010" s="36"/>
      <c r="U1010" s="36"/>
      <c r="V1010" s="36"/>
      <c r="W1010" s="36"/>
      <c r="X1010" s="36"/>
      <c r="Y1010" s="36"/>
      <c r="Z1010" s="36"/>
      <c r="AA1010" s="36"/>
      <c r="AB1010" s="36"/>
      <c r="AC1010" s="36"/>
    </row>
    <row r="1011" spans="17:29" x14ac:dyDescent="0.2">
      <c r="Q1011" s="36"/>
      <c r="R1011" s="36"/>
      <c r="S1011" s="36"/>
      <c r="T1011" s="36"/>
      <c r="U1011" s="36"/>
      <c r="V1011" s="36"/>
      <c r="W1011" s="36"/>
      <c r="X1011" s="36"/>
      <c r="Y1011" s="36"/>
      <c r="Z1011" s="36"/>
      <c r="AA1011" s="36"/>
      <c r="AB1011" s="36"/>
      <c r="AC1011" s="36"/>
    </row>
    <row r="1012" spans="17:29" x14ac:dyDescent="0.2">
      <c r="Q1012" s="36"/>
      <c r="R1012" s="36"/>
      <c r="S1012" s="36"/>
      <c r="T1012" s="36"/>
      <c r="U1012" s="36"/>
      <c r="V1012" s="36"/>
      <c r="W1012" s="36"/>
      <c r="X1012" s="36"/>
      <c r="Y1012" s="36"/>
      <c r="Z1012" s="36"/>
      <c r="AA1012" s="36"/>
      <c r="AB1012" s="36"/>
      <c r="AC1012" s="36"/>
    </row>
    <row r="1013" spans="17:29" x14ac:dyDescent="0.2">
      <c r="Q1013" s="36"/>
      <c r="R1013" s="36"/>
      <c r="S1013" s="36"/>
      <c r="T1013" s="36"/>
      <c r="U1013" s="36"/>
      <c r="V1013" s="36"/>
      <c r="W1013" s="36"/>
      <c r="X1013" s="36"/>
      <c r="Y1013" s="36"/>
      <c r="Z1013" s="36"/>
      <c r="AA1013" s="36"/>
      <c r="AB1013" s="36"/>
      <c r="AC1013" s="36"/>
    </row>
    <row r="1014" spans="17:29" x14ac:dyDescent="0.2">
      <c r="Q1014" s="36"/>
      <c r="R1014" s="36"/>
      <c r="S1014" s="36"/>
      <c r="T1014" s="36"/>
      <c r="U1014" s="36"/>
      <c r="V1014" s="36"/>
      <c r="W1014" s="36"/>
      <c r="X1014" s="36"/>
      <c r="Y1014" s="36"/>
      <c r="Z1014" s="36"/>
      <c r="AA1014" s="36"/>
      <c r="AB1014" s="36"/>
      <c r="AC1014" s="36"/>
    </row>
    <row r="1015" spans="17:29" x14ac:dyDescent="0.2">
      <c r="Q1015" s="36"/>
      <c r="R1015" s="36"/>
      <c r="S1015" s="36"/>
      <c r="T1015" s="36"/>
      <c r="U1015" s="36"/>
      <c r="V1015" s="36"/>
      <c r="W1015" s="36"/>
      <c r="X1015" s="36"/>
      <c r="Y1015" s="36"/>
      <c r="Z1015" s="36"/>
      <c r="AA1015" s="36"/>
      <c r="AB1015" s="36"/>
      <c r="AC1015" s="36"/>
    </row>
    <row r="1016" spans="17:29" x14ac:dyDescent="0.2">
      <c r="Q1016" s="36"/>
      <c r="R1016" s="36"/>
      <c r="S1016" s="36"/>
      <c r="T1016" s="36"/>
      <c r="U1016" s="36"/>
      <c r="V1016" s="36"/>
      <c r="W1016" s="36"/>
      <c r="X1016" s="36"/>
      <c r="Y1016" s="36"/>
      <c r="Z1016" s="36"/>
      <c r="AA1016" s="36"/>
      <c r="AB1016" s="36"/>
      <c r="AC1016" s="36"/>
    </row>
    <row r="1017" spans="17:29" x14ac:dyDescent="0.2">
      <c r="Q1017" s="36"/>
      <c r="R1017" s="36"/>
      <c r="S1017" s="36"/>
      <c r="T1017" s="36"/>
      <c r="U1017" s="36"/>
      <c r="V1017" s="36"/>
      <c r="W1017" s="36"/>
      <c r="X1017" s="36"/>
      <c r="Y1017" s="36"/>
      <c r="Z1017" s="36"/>
      <c r="AA1017" s="36"/>
      <c r="AB1017" s="36"/>
      <c r="AC1017" s="36"/>
    </row>
    <row r="1018" spans="17:29" x14ac:dyDescent="0.2">
      <c r="Q1018" s="36"/>
      <c r="R1018" s="36"/>
      <c r="S1018" s="36"/>
      <c r="T1018" s="36"/>
      <c r="U1018" s="36"/>
      <c r="V1018" s="36"/>
      <c r="W1018" s="36"/>
      <c r="X1018" s="36"/>
      <c r="Y1018" s="36"/>
      <c r="Z1018" s="36"/>
      <c r="AA1018" s="36"/>
      <c r="AB1018" s="36"/>
      <c r="AC1018" s="36"/>
    </row>
    <row r="1019" spans="17:29" x14ac:dyDescent="0.2">
      <c r="Q1019" s="36"/>
      <c r="R1019" s="36"/>
      <c r="S1019" s="36"/>
      <c r="T1019" s="36"/>
      <c r="U1019" s="36"/>
      <c r="V1019" s="36"/>
      <c r="W1019" s="36"/>
      <c r="X1019" s="36"/>
      <c r="Y1019" s="36"/>
      <c r="Z1019" s="36"/>
      <c r="AA1019" s="36"/>
      <c r="AB1019" s="36"/>
      <c r="AC1019" s="36"/>
    </row>
    <row r="1020" spans="17:29" x14ac:dyDescent="0.2">
      <c r="Q1020" s="36"/>
      <c r="R1020" s="36"/>
      <c r="S1020" s="36"/>
      <c r="T1020" s="36"/>
      <c r="U1020" s="36"/>
      <c r="V1020" s="36"/>
      <c r="W1020" s="36"/>
      <c r="X1020" s="36"/>
      <c r="Y1020" s="36"/>
      <c r="Z1020" s="36"/>
      <c r="AA1020" s="36"/>
      <c r="AB1020" s="36"/>
      <c r="AC1020" s="36"/>
    </row>
    <row r="1021" spans="17:29" x14ac:dyDescent="0.2">
      <c r="Q1021" s="36"/>
      <c r="R1021" s="36"/>
      <c r="S1021" s="36"/>
      <c r="T1021" s="36"/>
      <c r="U1021" s="36"/>
      <c r="V1021" s="36"/>
      <c r="W1021" s="36"/>
      <c r="X1021" s="36"/>
      <c r="Y1021" s="36"/>
      <c r="Z1021" s="36"/>
      <c r="AA1021" s="36"/>
      <c r="AB1021" s="36"/>
      <c r="AC1021" s="36"/>
    </row>
    <row r="1022" spans="17:29" x14ac:dyDescent="0.2">
      <c r="Q1022" s="36"/>
      <c r="R1022" s="36"/>
      <c r="S1022" s="36"/>
      <c r="T1022" s="36"/>
      <c r="U1022" s="36"/>
      <c r="V1022" s="36"/>
      <c r="W1022" s="36"/>
      <c r="X1022" s="36"/>
      <c r="Y1022" s="36"/>
      <c r="Z1022" s="36"/>
      <c r="AA1022" s="36"/>
      <c r="AB1022" s="36"/>
      <c r="AC1022" s="36"/>
    </row>
    <row r="1023" spans="17:29" x14ac:dyDescent="0.2">
      <c r="Q1023" s="36"/>
      <c r="R1023" s="36"/>
      <c r="S1023" s="36"/>
      <c r="T1023" s="36"/>
      <c r="U1023" s="36"/>
      <c r="V1023" s="36"/>
      <c r="W1023" s="36"/>
      <c r="X1023" s="36"/>
      <c r="Y1023" s="36"/>
      <c r="Z1023" s="36"/>
      <c r="AA1023" s="36"/>
      <c r="AB1023" s="36"/>
      <c r="AC1023" s="36"/>
    </row>
    <row r="1024" spans="17:29" x14ac:dyDescent="0.2">
      <c r="Q1024" s="36"/>
      <c r="R1024" s="36"/>
      <c r="S1024" s="36"/>
      <c r="T1024" s="36"/>
      <c r="U1024" s="36"/>
      <c r="V1024" s="36"/>
      <c r="W1024" s="36"/>
      <c r="X1024" s="36"/>
      <c r="Y1024" s="36"/>
      <c r="Z1024" s="36"/>
      <c r="AA1024" s="36"/>
      <c r="AB1024" s="36"/>
      <c r="AC1024" s="36"/>
    </row>
    <row r="1025" spans="17:29" x14ac:dyDescent="0.2">
      <c r="Q1025" s="36"/>
      <c r="R1025" s="36"/>
      <c r="S1025" s="36"/>
      <c r="T1025" s="36"/>
      <c r="U1025" s="36"/>
      <c r="V1025" s="36"/>
      <c r="W1025" s="36"/>
      <c r="X1025" s="36"/>
      <c r="Y1025" s="36"/>
      <c r="Z1025" s="36"/>
      <c r="AA1025" s="36"/>
      <c r="AB1025" s="36"/>
      <c r="AC1025" s="36"/>
    </row>
    <row r="1026" spans="17:29" x14ac:dyDescent="0.2">
      <c r="Q1026" s="36"/>
      <c r="R1026" s="36"/>
      <c r="S1026" s="36"/>
      <c r="T1026" s="36"/>
      <c r="U1026" s="36"/>
      <c r="V1026" s="36"/>
      <c r="W1026" s="36"/>
      <c r="X1026" s="36"/>
      <c r="Y1026" s="36"/>
      <c r="Z1026" s="36"/>
      <c r="AA1026" s="36"/>
      <c r="AB1026" s="36"/>
      <c r="AC1026" s="36"/>
    </row>
    <row r="1027" spans="17:29" x14ac:dyDescent="0.2">
      <c r="Q1027" s="36"/>
      <c r="R1027" s="36"/>
      <c r="S1027" s="36"/>
      <c r="T1027" s="36"/>
      <c r="U1027" s="36"/>
      <c r="V1027" s="36"/>
      <c r="W1027" s="36"/>
      <c r="X1027" s="36"/>
      <c r="Y1027" s="36"/>
      <c r="Z1027" s="36"/>
      <c r="AA1027" s="36"/>
      <c r="AB1027" s="36"/>
      <c r="AC1027" s="36"/>
    </row>
    <row r="1028" spans="17:29" x14ac:dyDescent="0.2">
      <c r="Q1028" s="36"/>
      <c r="R1028" s="36"/>
      <c r="S1028" s="36"/>
      <c r="T1028" s="36"/>
      <c r="U1028" s="36"/>
      <c r="V1028" s="36"/>
      <c r="W1028" s="36"/>
      <c r="X1028" s="36"/>
      <c r="Y1028" s="36"/>
      <c r="Z1028" s="36"/>
      <c r="AA1028" s="36"/>
      <c r="AB1028" s="36"/>
      <c r="AC1028" s="36"/>
    </row>
    <row r="1029" spans="17:29" x14ac:dyDescent="0.2">
      <c r="Q1029" s="36"/>
      <c r="R1029" s="36"/>
      <c r="S1029" s="36"/>
      <c r="T1029" s="36"/>
      <c r="U1029" s="36"/>
      <c r="V1029" s="36"/>
      <c r="W1029" s="36"/>
      <c r="X1029" s="36"/>
      <c r="Y1029" s="36"/>
      <c r="Z1029" s="36"/>
      <c r="AA1029" s="36"/>
      <c r="AB1029" s="36"/>
      <c r="AC1029" s="36"/>
    </row>
    <row r="1030" spans="17:29" x14ac:dyDescent="0.2">
      <c r="Q1030" s="36"/>
      <c r="R1030" s="36"/>
      <c r="S1030" s="36"/>
      <c r="T1030" s="36"/>
      <c r="U1030" s="36"/>
      <c r="V1030" s="36"/>
      <c r="W1030" s="36"/>
      <c r="X1030" s="36"/>
      <c r="Y1030" s="36"/>
      <c r="Z1030" s="36"/>
      <c r="AA1030" s="36"/>
      <c r="AB1030" s="36"/>
      <c r="AC1030" s="36"/>
    </row>
    <row r="1031" spans="17:29" x14ac:dyDescent="0.2">
      <c r="Q1031" s="36"/>
      <c r="R1031" s="36"/>
      <c r="S1031" s="36"/>
      <c r="T1031" s="36"/>
      <c r="U1031" s="36"/>
      <c r="V1031" s="36"/>
      <c r="W1031" s="36"/>
      <c r="X1031" s="36"/>
      <c r="Y1031" s="36"/>
      <c r="Z1031" s="36"/>
      <c r="AA1031" s="36"/>
      <c r="AB1031" s="36"/>
      <c r="AC1031" s="36"/>
    </row>
    <row r="1032" spans="17:29" x14ac:dyDescent="0.2">
      <c r="Q1032" s="36"/>
      <c r="R1032" s="36"/>
      <c r="S1032" s="36"/>
      <c r="T1032" s="36"/>
      <c r="U1032" s="36"/>
      <c r="V1032" s="36"/>
      <c r="W1032" s="36"/>
      <c r="X1032" s="36"/>
      <c r="Y1032" s="36"/>
      <c r="Z1032" s="36"/>
      <c r="AA1032" s="36"/>
      <c r="AB1032" s="36"/>
      <c r="AC1032" s="36"/>
    </row>
    <row r="1033" spans="17:29" x14ac:dyDescent="0.2">
      <c r="Q1033" s="36"/>
      <c r="R1033" s="36"/>
      <c r="S1033" s="36"/>
      <c r="T1033" s="36"/>
      <c r="U1033" s="36"/>
      <c r="V1033" s="36"/>
      <c r="W1033" s="36"/>
      <c r="X1033" s="36"/>
      <c r="Y1033" s="36"/>
      <c r="Z1033" s="36"/>
      <c r="AA1033" s="36"/>
      <c r="AB1033" s="36"/>
      <c r="AC1033" s="36"/>
    </row>
    <row r="1034" spans="17:29" x14ac:dyDescent="0.2">
      <c r="Q1034" s="36"/>
      <c r="R1034" s="36"/>
      <c r="S1034" s="36"/>
      <c r="T1034" s="36"/>
      <c r="U1034" s="36"/>
      <c r="V1034" s="36"/>
      <c r="W1034" s="36"/>
      <c r="X1034" s="36"/>
      <c r="Y1034" s="36"/>
      <c r="Z1034" s="36"/>
      <c r="AA1034" s="36"/>
      <c r="AB1034" s="36"/>
      <c r="AC1034" s="36"/>
    </row>
    <row r="1035" spans="17:29" x14ac:dyDescent="0.2">
      <c r="Q1035" s="36"/>
      <c r="R1035" s="36"/>
      <c r="S1035" s="36"/>
      <c r="T1035" s="36"/>
      <c r="U1035" s="36"/>
      <c r="V1035" s="36"/>
      <c r="W1035" s="36"/>
      <c r="X1035" s="36"/>
      <c r="Y1035" s="36"/>
      <c r="Z1035" s="36"/>
      <c r="AA1035" s="36"/>
      <c r="AB1035" s="36"/>
      <c r="AC1035" s="36"/>
    </row>
    <row r="1036" spans="17:29" x14ac:dyDescent="0.2">
      <c r="Q1036" s="36"/>
      <c r="R1036" s="36"/>
      <c r="S1036" s="36"/>
      <c r="T1036" s="36"/>
      <c r="U1036" s="36"/>
      <c r="V1036" s="36"/>
      <c r="W1036" s="36"/>
      <c r="X1036" s="36"/>
      <c r="Y1036" s="36"/>
      <c r="Z1036" s="36"/>
      <c r="AA1036" s="36"/>
      <c r="AB1036" s="36"/>
      <c r="AC1036" s="36"/>
    </row>
    <row r="1037" spans="17:29" x14ac:dyDescent="0.2">
      <c r="Q1037" s="36"/>
      <c r="R1037" s="36"/>
      <c r="S1037" s="36"/>
      <c r="T1037" s="36"/>
      <c r="U1037" s="36"/>
      <c r="V1037" s="36"/>
      <c r="W1037" s="36"/>
      <c r="X1037" s="36"/>
      <c r="Y1037" s="36"/>
      <c r="Z1037" s="36"/>
      <c r="AA1037" s="36"/>
      <c r="AB1037" s="36"/>
      <c r="AC1037" s="36"/>
    </row>
    <row r="1038" spans="17:29" x14ac:dyDescent="0.2">
      <c r="Q1038" s="36"/>
      <c r="R1038" s="36"/>
      <c r="S1038" s="36"/>
      <c r="T1038" s="36"/>
      <c r="U1038" s="36"/>
      <c r="V1038" s="36"/>
      <c r="W1038" s="36"/>
      <c r="X1038" s="36"/>
      <c r="Y1038" s="36"/>
      <c r="Z1038" s="36"/>
      <c r="AA1038" s="36"/>
      <c r="AB1038" s="36"/>
      <c r="AC1038" s="36"/>
    </row>
    <row r="1039" spans="17:29" x14ac:dyDescent="0.2">
      <c r="Q1039" s="36"/>
      <c r="R1039" s="36"/>
      <c r="S1039" s="36"/>
      <c r="T1039" s="36"/>
      <c r="U1039" s="36"/>
      <c r="V1039" s="36"/>
      <c r="W1039" s="36"/>
      <c r="X1039" s="36"/>
      <c r="Y1039" s="36"/>
      <c r="Z1039" s="36"/>
      <c r="AA1039" s="36"/>
      <c r="AB1039" s="36"/>
      <c r="AC1039" s="36"/>
    </row>
    <row r="1040" spans="17:29" x14ac:dyDescent="0.2">
      <c r="Q1040" s="36"/>
      <c r="R1040" s="36"/>
      <c r="S1040" s="36"/>
      <c r="T1040" s="36"/>
      <c r="U1040" s="36"/>
      <c r="V1040" s="36"/>
      <c r="W1040" s="36"/>
      <c r="X1040" s="36"/>
      <c r="Y1040" s="36"/>
      <c r="Z1040" s="36"/>
      <c r="AA1040" s="36"/>
      <c r="AB1040" s="36"/>
      <c r="AC1040" s="36"/>
    </row>
    <row r="1041" spans="17:29" x14ac:dyDescent="0.2">
      <c r="Q1041" s="36"/>
      <c r="R1041" s="36"/>
      <c r="S1041" s="36"/>
      <c r="T1041" s="36"/>
      <c r="U1041" s="36"/>
      <c r="V1041" s="36"/>
      <c r="W1041" s="36"/>
      <c r="X1041" s="36"/>
      <c r="Y1041" s="36"/>
      <c r="Z1041" s="36"/>
      <c r="AA1041" s="36"/>
      <c r="AB1041" s="36"/>
      <c r="AC1041" s="36"/>
    </row>
    <row r="1042" spans="17:29" x14ac:dyDescent="0.2">
      <c r="Q1042" s="36"/>
      <c r="R1042" s="36"/>
      <c r="S1042" s="36"/>
      <c r="T1042" s="36"/>
      <c r="U1042" s="36"/>
      <c r="V1042" s="36"/>
      <c r="W1042" s="36"/>
      <c r="X1042" s="36"/>
      <c r="Y1042" s="36"/>
      <c r="Z1042" s="36"/>
      <c r="AA1042" s="36"/>
      <c r="AB1042" s="36"/>
      <c r="AC1042" s="36"/>
    </row>
    <row r="1043" spans="17:29" x14ac:dyDescent="0.2">
      <c r="Q1043" s="36"/>
      <c r="R1043" s="36"/>
      <c r="S1043" s="36"/>
      <c r="T1043" s="36"/>
      <c r="U1043" s="36"/>
      <c r="V1043" s="36"/>
      <c r="W1043" s="36"/>
      <c r="X1043" s="36"/>
      <c r="Y1043" s="36"/>
      <c r="Z1043" s="36"/>
      <c r="AA1043" s="36"/>
      <c r="AB1043" s="36"/>
      <c r="AC1043" s="36"/>
    </row>
    <row r="1044" spans="17:29" x14ac:dyDescent="0.2">
      <c r="Q1044" s="36"/>
      <c r="R1044" s="36"/>
      <c r="S1044" s="36"/>
      <c r="T1044" s="36"/>
      <c r="U1044" s="36"/>
      <c r="V1044" s="36"/>
      <c r="W1044" s="36"/>
      <c r="X1044" s="36"/>
      <c r="Y1044" s="36"/>
      <c r="Z1044" s="36"/>
      <c r="AA1044" s="36"/>
      <c r="AB1044" s="36"/>
      <c r="AC1044" s="36"/>
    </row>
    <row r="1045" spans="17:29" x14ac:dyDescent="0.2">
      <c r="Q1045" s="36"/>
      <c r="R1045" s="36"/>
      <c r="S1045" s="36"/>
      <c r="T1045" s="36"/>
      <c r="U1045" s="36"/>
      <c r="V1045" s="36"/>
      <c r="W1045" s="36"/>
      <c r="X1045" s="36"/>
      <c r="Y1045" s="36"/>
      <c r="Z1045" s="36"/>
      <c r="AA1045" s="36"/>
      <c r="AB1045" s="36"/>
      <c r="AC1045" s="36"/>
    </row>
    <row r="1046" spans="17:29" x14ac:dyDescent="0.2">
      <c r="Q1046" s="36"/>
      <c r="R1046" s="36"/>
      <c r="S1046" s="36"/>
      <c r="T1046" s="36"/>
      <c r="U1046" s="36"/>
      <c r="V1046" s="36"/>
      <c r="W1046" s="36"/>
      <c r="X1046" s="36"/>
      <c r="Y1046" s="36"/>
      <c r="Z1046" s="36"/>
      <c r="AA1046" s="36"/>
      <c r="AB1046" s="36"/>
      <c r="AC1046" s="36"/>
    </row>
    <row r="1047" spans="17:29" x14ac:dyDescent="0.2">
      <c r="Q1047" s="36"/>
      <c r="R1047" s="36"/>
      <c r="S1047" s="36"/>
      <c r="T1047" s="36"/>
      <c r="U1047" s="36"/>
      <c r="V1047" s="36"/>
      <c r="W1047" s="36"/>
      <c r="X1047" s="36"/>
      <c r="Y1047" s="36"/>
      <c r="Z1047" s="36"/>
      <c r="AA1047" s="36"/>
      <c r="AB1047" s="36"/>
      <c r="AC1047" s="36"/>
    </row>
    <row r="1048" spans="17:29" x14ac:dyDescent="0.2">
      <c r="Q1048" s="36"/>
      <c r="R1048" s="36"/>
      <c r="S1048" s="36"/>
      <c r="T1048" s="36"/>
      <c r="U1048" s="36"/>
      <c r="V1048" s="36"/>
      <c r="W1048" s="36"/>
      <c r="X1048" s="36"/>
      <c r="Y1048" s="36"/>
      <c r="Z1048" s="36"/>
      <c r="AA1048" s="36"/>
      <c r="AB1048" s="36"/>
      <c r="AC1048" s="36"/>
    </row>
    <row r="1049" spans="17:29" x14ac:dyDescent="0.2">
      <c r="Q1049" s="36"/>
      <c r="R1049" s="36"/>
      <c r="S1049" s="36"/>
      <c r="T1049" s="36"/>
      <c r="U1049" s="36"/>
      <c r="V1049" s="36"/>
      <c r="W1049" s="36"/>
      <c r="X1049" s="36"/>
      <c r="Y1049" s="36"/>
      <c r="Z1049" s="36"/>
      <c r="AA1049" s="36"/>
      <c r="AB1049" s="36"/>
      <c r="AC1049" s="36"/>
    </row>
    <row r="1050" spans="17:29" x14ac:dyDescent="0.2">
      <c r="Q1050" s="36"/>
      <c r="R1050" s="36"/>
      <c r="S1050" s="36"/>
      <c r="T1050" s="36"/>
      <c r="U1050" s="36"/>
      <c r="V1050" s="36"/>
      <c r="W1050" s="36"/>
      <c r="X1050" s="36"/>
      <c r="Y1050" s="36"/>
      <c r="Z1050" s="36"/>
      <c r="AA1050" s="36"/>
      <c r="AB1050" s="36"/>
      <c r="AC1050" s="36"/>
    </row>
    <row r="1051" spans="17:29" x14ac:dyDescent="0.2">
      <c r="Q1051" s="36"/>
      <c r="R1051" s="36"/>
      <c r="S1051" s="36"/>
      <c r="T1051" s="36"/>
      <c r="U1051" s="36"/>
      <c r="V1051" s="36"/>
      <c r="W1051" s="36"/>
      <c r="X1051" s="36"/>
      <c r="Y1051" s="36"/>
      <c r="Z1051" s="36"/>
      <c r="AA1051" s="36"/>
      <c r="AB1051" s="36"/>
      <c r="AC1051" s="36"/>
    </row>
    <row r="1052" spans="17:29" x14ac:dyDescent="0.2">
      <c r="Q1052" s="36"/>
      <c r="R1052" s="36"/>
      <c r="S1052" s="36"/>
      <c r="T1052" s="36"/>
      <c r="U1052" s="36"/>
      <c r="V1052" s="36"/>
      <c r="W1052" s="36"/>
      <c r="X1052" s="36"/>
      <c r="Y1052" s="36"/>
      <c r="Z1052" s="36"/>
      <c r="AA1052" s="36"/>
      <c r="AB1052" s="36"/>
      <c r="AC1052" s="36"/>
    </row>
    <row r="1053" spans="17:29" x14ac:dyDescent="0.2">
      <c r="Q1053" s="36"/>
      <c r="R1053" s="36"/>
      <c r="S1053" s="36"/>
      <c r="T1053" s="36"/>
      <c r="U1053" s="36"/>
      <c r="V1053" s="36"/>
      <c r="W1053" s="36"/>
      <c r="X1053" s="36"/>
      <c r="Y1053" s="36"/>
      <c r="Z1053" s="36"/>
      <c r="AA1053" s="36"/>
      <c r="AB1053" s="36"/>
      <c r="AC1053" s="36"/>
    </row>
    <row r="1054" spans="17:29" x14ac:dyDescent="0.2">
      <c r="Q1054" s="36"/>
      <c r="R1054" s="36"/>
      <c r="S1054" s="36"/>
      <c r="T1054" s="36"/>
      <c r="U1054" s="36"/>
      <c r="V1054" s="36"/>
      <c r="W1054" s="36"/>
      <c r="X1054" s="36"/>
      <c r="Y1054" s="36"/>
      <c r="Z1054" s="36"/>
      <c r="AA1054" s="36"/>
      <c r="AB1054" s="36"/>
      <c r="AC1054" s="36"/>
    </row>
    <row r="1055" spans="17:29" x14ac:dyDescent="0.2">
      <c r="Q1055" s="36"/>
      <c r="R1055" s="36"/>
      <c r="S1055" s="36"/>
      <c r="T1055" s="36"/>
      <c r="U1055" s="36"/>
      <c r="V1055" s="36"/>
      <c r="W1055" s="36"/>
      <c r="X1055" s="36"/>
      <c r="Y1055" s="36"/>
      <c r="Z1055" s="36"/>
      <c r="AA1055" s="36"/>
      <c r="AB1055" s="36"/>
      <c r="AC1055" s="36"/>
    </row>
    <row r="1056" spans="17:29" x14ac:dyDescent="0.2">
      <c r="Q1056" s="36"/>
      <c r="R1056" s="36"/>
      <c r="S1056" s="36"/>
      <c r="T1056" s="36"/>
      <c r="U1056" s="36"/>
      <c r="V1056" s="36"/>
      <c r="W1056" s="36"/>
      <c r="X1056" s="36"/>
      <c r="Y1056" s="36"/>
      <c r="Z1056" s="36"/>
      <c r="AA1056" s="36"/>
      <c r="AB1056" s="36"/>
      <c r="AC1056" s="36"/>
    </row>
    <row r="1057" spans="17:29" x14ac:dyDescent="0.2">
      <c r="Q1057" s="36"/>
      <c r="R1057" s="36"/>
      <c r="S1057" s="36"/>
      <c r="T1057" s="36"/>
      <c r="U1057" s="36"/>
      <c r="V1057" s="36"/>
      <c r="W1057" s="36"/>
      <c r="X1057" s="36"/>
      <c r="Y1057" s="36"/>
      <c r="Z1057" s="36"/>
      <c r="AA1057" s="36"/>
      <c r="AB1057" s="36"/>
      <c r="AC1057" s="36"/>
    </row>
    <row r="1058" spans="17:29" x14ac:dyDescent="0.2">
      <c r="Q1058" s="36"/>
      <c r="R1058" s="36"/>
      <c r="S1058" s="36"/>
      <c r="T1058" s="36"/>
      <c r="U1058" s="36"/>
      <c r="V1058" s="36"/>
      <c r="W1058" s="36"/>
      <c r="X1058" s="36"/>
      <c r="Y1058" s="36"/>
      <c r="Z1058" s="36"/>
      <c r="AA1058" s="36"/>
      <c r="AB1058" s="36"/>
      <c r="AC1058" s="36"/>
    </row>
    <row r="1059" spans="17:29" x14ac:dyDescent="0.2">
      <c r="Q1059" s="36"/>
      <c r="R1059" s="36"/>
      <c r="S1059" s="36"/>
      <c r="T1059" s="36"/>
      <c r="U1059" s="36"/>
      <c r="V1059" s="36"/>
      <c r="W1059" s="36"/>
      <c r="X1059" s="36"/>
      <c r="Y1059" s="36"/>
      <c r="Z1059" s="36"/>
      <c r="AA1059" s="36"/>
      <c r="AB1059" s="36"/>
      <c r="AC1059" s="36"/>
    </row>
    <row r="1060" spans="17:29" x14ac:dyDescent="0.2">
      <c r="Q1060" s="36"/>
      <c r="R1060" s="36"/>
      <c r="S1060" s="36"/>
      <c r="T1060" s="36"/>
      <c r="U1060" s="36"/>
      <c r="V1060" s="36"/>
      <c r="W1060" s="36"/>
      <c r="X1060" s="36"/>
      <c r="Y1060" s="36"/>
      <c r="Z1060" s="36"/>
      <c r="AA1060" s="36"/>
      <c r="AB1060" s="36"/>
      <c r="AC1060" s="36"/>
    </row>
    <row r="1061" spans="17:29" x14ac:dyDescent="0.2">
      <c r="Q1061" s="36"/>
      <c r="R1061" s="36"/>
      <c r="S1061" s="36"/>
      <c r="T1061" s="36"/>
      <c r="U1061" s="36"/>
      <c r="V1061" s="36"/>
      <c r="W1061" s="36"/>
      <c r="X1061" s="36"/>
      <c r="Y1061" s="36"/>
      <c r="Z1061" s="36"/>
      <c r="AA1061" s="36"/>
      <c r="AB1061" s="36"/>
      <c r="AC1061" s="36"/>
    </row>
    <row r="1062" spans="17:29" x14ac:dyDescent="0.2">
      <c r="Q1062" s="36"/>
      <c r="R1062" s="36"/>
      <c r="S1062" s="36"/>
      <c r="T1062" s="36"/>
      <c r="U1062" s="36"/>
      <c r="V1062" s="36"/>
      <c r="W1062" s="36"/>
      <c r="X1062" s="36"/>
      <c r="Y1062" s="36"/>
      <c r="Z1062" s="36"/>
      <c r="AA1062" s="36"/>
      <c r="AB1062" s="36"/>
      <c r="AC1062" s="36"/>
    </row>
    <row r="1063" spans="17:29" x14ac:dyDescent="0.2">
      <c r="Q1063" s="36"/>
      <c r="R1063" s="36"/>
      <c r="S1063" s="36"/>
      <c r="T1063" s="36"/>
      <c r="U1063" s="36"/>
      <c r="V1063" s="36"/>
      <c r="W1063" s="36"/>
      <c r="X1063" s="36"/>
      <c r="Y1063" s="36"/>
      <c r="Z1063" s="36"/>
      <c r="AA1063" s="36"/>
      <c r="AB1063" s="36"/>
      <c r="AC1063" s="36"/>
    </row>
    <row r="1064" spans="17:29" x14ac:dyDescent="0.2">
      <c r="Q1064" s="36"/>
      <c r="R1064" s="36"/>
      <c r="S1064" s="36"/>
      <c r="T1064" s="36"/>
      <c r="U1064" s="36"/>
      <c r="V1064" s="36"/>
      <c r="W1064" s="36"/>
      <c r="X1064" s="36"/>
      <c r="Y1064" s="36"/>
      <c r="Z1064" s="36"/>
      <c r="AA1064" s="36"/>
      <c r="AB1064" s="36"/>
      <c r="AC1064" s="36"/>
    </row>
    <row r="1065" spans="17:29" x14ac:dyDescent="0.2">
      <c r="Q1065" s="36"/>
      <c r="R1065" s="36"/>
      <c r="S1065" s="36"/>
      <c r="T1065" s="36"/>
      <c r="U1065" s="36"/>
      <c r="V1065" s="36"/>
      <c r="W1065" s="36"/>
      <c r="X1065" s="36"/>
      <c r="Y1065" s="36"/>
      <c r="Z1065" s="36"/>
      <c r="AA1065" s="36"/>
      <c r="AB1065" s="36"/>
      <c r="AC1065" s="36"/>
    </row>
    <row r="1066" spans="17:29" x14ac:dyDescent="0.2">
      <c r="Q1066" s="36"/>
      <c r="R1066" s="36"/>
      <c r="S1066" s="36"/>
      <c r="T1066" s="36"/>
      <c r="U1066" s="36"/>
      <c r="V1066" s="36"/>
      <c r="W1066" s="36"/>
      <c r="X1066" s="36"/>
      <c r="Y1066" s="36"/>
      <c r="Z1066" s="36"/>
      <c r="AA1066" s="36"/>
      <c r="AB1066" s="36"/>
      <c r="AC1066" s="36"/>
    </row>
    <row r="1067" spans="17:29" x14ac:dyDescent="0.2">
      <c r="Q1067" s="36"/>
      <c r="R1067" s="36"/>
      <c r="S1067" s="36"/>
      <c r="T1067" s="36"/>
      <c r="U1067" s="36"/>
      <c r="V1067" s="36"/>
      <c r="W1067" s="36"/>
      <c r="X1067" s="36"/>
      <c r="Y1067" s="36"/>
      <c r="Z1067" s="36"/>
      <c r="AA1067" s="36"/>
      <c r="AB1067" s="36"/>
      <c r="AC1067" s="36"/>
    </row>
    <row r="1068" spans="17:29" x14ac:dyDescent="0.2">
      <c r="Q1068" s="36"/>
      <c r="R1068" s="36"/>
      <c r="S1068" s="36"/>
      <c r="T1068" s="36"/>
      <c r="U1068" s="36"/>
      <c r="V1068" s="36"/>
      <c r="W1068" s="36"/>
      <c r="X1068" s="36"/>
      <c r="Y1068" s="36"/>
      <c r="Z1068" s="36"/>
      <c r="AA1068" s="36"/>
      <c r="AB1068" s="36"/>
      <c r="AC1068" s="36"/>
    </row>
    <row r="1069" spans="17:29" x14ac:dyDescent="0.2">
      <c r="Q1069" s="36"/>
      <c r="R1069" s="36"/>
      <c r="S1069" s="36"/>
      <c r="T1069" s="36"/>
      <c r="U1069" s="36"/>
      <c r="V1069" s="36"/>
      <c r="W1069" s="36"/>
      <c r="X1069" s="36"/>
      <c r="Y1069" s="36"/>
      <c r="Z1069" s="36"/>
      <c r="AA1069" s="36"/>
      <c r="AB1069" s="36"/>
      <c r="AC1069" s="36"/>
    </row>
    <row r="1070" spans="17:29" x14ac:dyDescent="0.2">
      <c r="Q1070" s="36"/>
      <c r="R1070" s="36"/>
      <c r="S1070" s="36"/>
      <c r="T1070" s="36"/>
      <c r="U1070" s="36"/>
      <c r="V1070" s="36"/>
      <c r="W1070" s="36"/>
      <c r="X1070" s="36"/>
      <c r="Y1070" s="36"/>
      <c r="Z1070" s="36"/>
      <c r="AA1070" s="36"/>
      <c r="AB1070" s="36"/>
      <c r="AC1070" s="36"/>
    </row>
    <row r="1071" spans="17:29" x14ac:dyDescent="0.2">
      <c r="Q1071" s="36"/>
      <c r="R1071" s="36"/>
      <c r="S1071" s="36"/>
      <c r="T1071" s="36"/>
      <c r="U1071" s="36"/>
      <c r="V1071" s="36"/>
      <c r="W1071" s="36"/>
      <c r="X1071" s="36"/>
      <c r="Y1071" s="36"/>
      <c r="Z1071" s="36"/>
      <c r="AA1071" s="36"/>
      <c r="AB1071" s="36"/>
      <c r="AC1071" s="36"/>
    </row>
    <row r="1072" spans="17:29" x14ac:dyDescent="0.2">
      <c r="Q1072" s="36"/>
      <c r="R1072" s="36"/>
      <c r="S1072" s="36"/>
      <c r="T1072" s="36"/>
      <c r="U1072" s="36"/>
      <c r="V1072" s="36"/>
      <c r="W1072" s="36"/>
      <c r="X1072" s="36"/>
      <c r="Y1072" s="36"/>
      <c r="Z1072" s="36"/>
      <c r="AA1072" s="36"/>
      <c r="AB1072" s="36"/>
      <c r="AC1072" s="36"/>
    </row>
    <row r="1073" spans="17:29" x14ac:dyDescent="0.2">
      <c r="Q1073" s="36"/>
      <c r="R1073" s="36"/>
      <c r="S1073" s="36"/>
      <c r="T1073" s="36"/>
      <c r="U1073" s="36"/>
      <c r="V1073" s="36"/>
      <c r="W1073" s="36"/>
      <c r="X1073" s="36"/>
      <c r="Y1073" s="36"/>
      <c r="Z1073" s="36"/>
      <c r="AA1073" s="36"/>
      <c r="AB1073" s="36"/>
      <c r="AC1073" s="36"/>
    </row>
    <row r="1074" spans="17:29" x14ac:dyDescent="0.2">
      <c r="Q1074" s="36"/>
      <c r="R1074" s="36"/>
      <c r="S1074" s="36"/>
      <c r="T1074" s="36"/>
      <c r="U1074" s="36"/>
      <c r="V1074" s="36"/>
      <c r="W1074" s="36"/>
      <c r="X1074" s="36"/>
      <c r="Y1074" s="36"/>
      <c r="Z1074" s="36"/>
      <c r="AA1074" s="36"/>
      <c r="AB1074" s="36"/>
      <c r="AC1074" s="36"/>
    </row>
    <row r="1075" spans="17:29" x14ac:dyDescent="0.2">
      <c r="Q1075" s="36"/>
      <c r="R1075" s="36"/>
      <c r="S1075" s="36"/>
      <c r="T1075" s="36"/>
      <c r="U1075" s="36"/>
      <c r="V1075" s="36"/>
      <c r="W1075" s="36"/>
      <c r="X1075" s="36"/>
      <c r="Y1075" s="36"/>
      <c r="Z1075" s="36"/>
      <c r="AA1075" s="36"/>
      <c r="AB1075" s="36"/>
      <c r="AC1075" s="36"/>
    </row>
    <row r="1076" spans="17:29" x14ac:dyDescent="0.2">
      <c r="Q1076" s="36"/>
      <c r="R1076" s="36"/>
      <c r="S1076" s="36"/>
      <c r="T1076" s="36"/>
      <c r="U1076" s="36"/>
      <c r="V1076" s="36"/>
      <c r="W1076" s="36"/>
      <c r="X1076" s="36"/>
      <c r="Y1076" s="36"/>
      <c r="Z1076" s="36"/>
      <c r="AA1076" s="36"/>
      <c r="AB1076" s="36"/>
      <c r="AC1076" s="36"/>
    </row>
    <row r="1077" spans="17:29" x14ac:dyDescent="0.2">
      <c r="Q1077" s="36"/>
      <c r="R1077" s="36"/>
      <c r="S1077" s="36"/>
      <c r="T1077" s="36"/>
      <c r="U1077" s="36"/>
      <c r="V1077" s="36"/>
      <c r="W1077" s="36"/>
      <c r="X1077" s="36"/>
      <c r="Y1077" s="36"/>
      <c r="Z1077" s="36"/>
      <c r="AA1077" s="36"/>
      <c r="AB1077" s="36"/>
      <c r="AC1077" s="36"/>
    </row>
    <row r="1078" spans="17:29" x14ac:dyDescent="0.2">
      <c r="Q1078" s="36"/>
      <c r="R1078" s="36"/>
      <c r="S1078" s="36"/>
      <c r="T1078" s="36"/>
      <c r="U1078" s="36"/>
      <c r="V1078" s="36"/>
      <c r="W1078" s="36"/>
      <c r="X1078" s="36"/>
      <c r="Y1078" s="36"/>
      <c r="Z1078" s="36"/>
      <c r="AA1078" s="36"/>
      <c r="AB1078" s="36"/>
      <c r="AC1078" s="36"/>
    </row>
    <row r="1079" spans="17:29" x14ac:dyDescent="0.2">
      <c r="Q1079" s="36"/>
      <c r="R1079" s="36"/>
      <c r="S1079" s="36"/>
      <c r="T1079" s="36"/>
      <c r="U1079" s="36"/>
      <c r="V1079" s="36"/>
      <c r="W1079" s="36"/>
      <c r="X1079" s="36"/>
      <c r="Y1079" s="36"/>
      <c r="Z1079" s="36"/>
      <c r="AA1079" s="36"/>
      <c r="AB1079" s="36"/>
      <c r="AC1079" s="36"/>
    </row>
    <row r="1080" spans="17:29" x14ac:dyDescent="0.2">
      <c r="Q1080" s="36"/>
      <c r="R1080" s="36"/>
      <c r="S1080" s="36"/>
      <c r="T1080" s="36"/>
      <c r="U1080" s="36"/>
      <c r="V1080" s="36"/>
      <c r="W1080" s="36"/>
      <c r="X1080" s="36"/>
      <c r="Y1080" s="36"/>
      <c r="Z1080" s="36"/>
      <c r="AA1080" s="36"/>
      <c r="AB1080" s="36"/>
      <c r="AC1080" s="36"/>
    </row>
    <row r="1081" spans="17:29" x14ac:dyDescent="0.2">
      <c r="Q1081" s="36"/>
      <c r="R1081" s="36"/>
      <c r="S1081" s="36"/>
      <c r="T1081" s="36"/>
      <c r="U1081" s="36"/>
      <c r="V1081" s="36"/>
      <c r="W1081" s="36"/>
      <c r="X1081" s="36"/>
      <c r="Y1081" s="36"/>
      <c r="Z1081" s="36"/>
      <c r="AA1081" s="36"/>
      <c r="AB1081" s="36"/>
      <c r="AC1081" s="36"/>
    </row>
    <row r="1082" spans="17:29" x14ac:dyDescent="0.2">
      <c r="Q1082" s="36"/>
      <c r="R1082" s="36"/>
      <c r="S1082" s="36"/>
      <c r="T1082" s="36"/>
      <c r="U1082" s="36"/>
      <c r="V1082" s="36"/>
      <c r="W1082" s="36"/>
      <c r="X1082" s="36"/>
      <c r="Y1082" s="36"/>
      <c r="Z1082" s="36"/>
      <c r="AA1082" s="36"/>
      <c r="AB1082" s="36"/>
      <c r="AC1082" s="36"/>
    </row>
    <row r="1083" spans="17:29" x14ac:dyDescent="0.2">
      <c r="Q1083" s="36"/>
      <c r="R1083" s="36"/>
      <c r="S1083" s="36"/>
      <c r="T1083" s="36"/>
      <c r="U1083" s="36"/>
      <c r="V1083" s="36"/>
      <c r="W1083" s="36"/>
      <c r="X1083" s="36"/>
      <c r="Y1083" s="36"/>
      <c r="Z1083" s="36"/>
      <c r="AA1083" s="36"/>
      <c r="AB1083" s="36"/>
      <c r="AC1083" s="36"/>
    </row>
    <row r="1084" spans="17:29" x14ac:dyDescent="0.2">
      <c r="Q1084" s="36"/>
      <c r="R1084" s="36"/>
      <c r="S1084" s="36"/>
      <c r="T1084" s="36"/>
      <c r="U1084" s="36"/>
      <c r="V1084" s="36"/>
      <c r="W1084" s="36"/>
      <c r="X1084" s="36"/>
      <c r="Y1084" s="36"/>
      <c r="Z1084" s="36"/>
      <c r="AA1084" s="36"/>
      <c r="AB1084" s="36"/>
      <c r="AC1084" s="36"/>
    </row>
    <row r="1085" spans="17:29" x14ac:dyDescent="0.2">
      <c r="Q1085" s="36"/>
      <c r="R1085" s="36"/>
      <c r="S1085" s="36"/>
      <c r="T1085" s="36"/>
      <c r="U1085" s="36"/>
      <c r="V1085" s="36"/>
      <c r="W1085" s="36"/>
      <c r="X1085" s="36"/>
      <c r="Y1085" s="36"/>
      <c r="Z1085" s="36"/>
      <c r="AA1085" s="36"/>
      <c r="AB1085" s="36"/>
      <c r="AC1085" s="36"/>
    </row>
    <row r="1086" spans="17:29" x14ac:dyDescent="0.2">
      <c r="Q1086" s="36"/>
      <c r="R1086" s="36"/>
      <c r="S1086" s="36"/>
      <c r="T1086" s="36"/>
      <c r="U1086" s="36"/>
      <c r="V1086" s="36"/>
      <c r="W1086" s="36"/>
      <c r="X1086" s="36"/>
      <c r="Y1086" s="36"/>
      <c r="Z1086" s="36"/>
      <c r="AA1086" s="36"/>
      <c r="AB1086" s="36"/>
      <c r="AC1086" s="36"/>
    </row>
    <row r="1087" spans="17:29" x14ac:dyDescent="0.2">
      <c r="Q1087" s="36"/>
      <c r="R1087" s="36"/>
      <c r="S1087" s="36"/>
      <c r="T1087" s="36"/>
      <c r="U1087" s="36"/>
      <c r="V1087" s="36"/>
      <c r="W1087" s="36"/>
      <c r="X1087" s="36"/>
      <c r="Y1087" s="36"/>
      <c r="Z1087" s="36"/>
      <c r="AA1087" s="36"/>
      <c r="AB1087" s="36"/>
      <c r="AC1087" s="36"/>
    </row>
    <row r="1088" spans="17:29" x14ac:dyDescent="0.2">
      <c r="Q1088" s="36"/>
      <c r="R1088" s="36"/>
      <c r="S1088" s="36"/>
      <c r="T1088" s="36"/>
      <c r="U1088" s="36"/>
      <c r="V1088" s="36"/>
      <c r="W1088" s="36"/>
      <c r="X1088" s="36"/>
      <c r="Y1088" s="36"/>
      <c r="Z1088" s="36"/>
      <c r="AA1088" s="36"/>
      <c r="AB1088" s="36"/>
      <c r="AC1088" s="36"/>
    </row>
    <row r="1089" spans="17:29" x14ac:dyDescent="0.2">
      <c r="Q1089" s="36"/>
      <c r="R1089" s="36"/>
      <c r="S1089" s="36"/>
      <c r="T1089" s="36"/>
      <c r="U1089" s="36"/>
      <c r="V1089" s="36"/>
      <c r="W1089" s="36"/>
      <c r="X1089" s="36"/>
      <c r="Y1089" s="36"/>
      <c r="Z1089" s="36"/>
      <c r="AA1089" s="36"/>
      <c r="AB1089" s="36"/>
      <c r="AC1089" s="36"/>
    </row>
    <row r="1090" spans="17:29" x14ac:dyDescent="0.2">
      <c r="Q1090" s="36"/>
      <c r="R1090" s="36"/>
      <c r="S1090" s="36"/>
      <c r="T1090" s="36"/>
      <c r="U1090" s="36"/>
      <c r="V1090" s="36"/>
      <c r="W1090" s="36"/>
      <c r="X1090" s="36"/>
      <c r="Y1090" s="36"/>
      <c r="Z1090" s="36"/>
      <c r="AA1090" s="36"/>
      <c r="AB1090" s="36"/>
      <c r="AC1090" s="36"/>
    </row>
    <row r="1091" spans="17:29" x14ac:dyDescent="0.2">
      <c r="Q1091" s="36"/>
      <c r="R1091" s="36"/>
      <c r="S1091" s="36"/>
      <c r="T1091" s="36"/>
      <c r="U1091" s="36"/>
      <c r="V1091" s="36"/>
      <c r="W1091" s="36"/>
      <c r="X1091" s="36"/>
      <c r="Y1091" s="36"/>
      <c r="Z1091" s="36"/>
      <c r="AA1091" s="36"/>
      <c r="AB1091" s="36"/>
      <c r="AC1091" s="36"/>
    </row>
    <row r="1092" spans="17:29" x14ac:dyDescent="0.2">
      <c r="Q1092" s="36"/>
      <c r="R1092" s="36"/>
      <c r="S1092" s="36"/>
      <c r="T1092" s="36"/>
      <c r="U1092" s="36"/>
      <c r="V1092" s="36"/>
      <c r="W1092" s="36"/>
      <c r="X1092" s="36"/>
      <c r="Y1092" s="36"/>
      <c r="Z1092" s="36"/>
      <c r="AA1092" s="36"/>
      <c r="AB1092" s="36"/>
      <c r="AC1092" s="36"/>
    </row>
    <row r="1093" spans="17:29" x14ac:dyDescent="0.2">
      <c r="Q1093" s="36"/>
      <c r="R1093" s="36"/>
      <c r="S1093" s="36"/>
      <c r="T1093" s="36"/>
      <c r="U1093" s="36"/>
      <c r="V1093" s="36"/>
      <c r="W1093" s="36"/>
      <c r="X1093" s="36"/>
      <c r="Y1093" s="36"/>
      <c r="Z1093" s="36"/>
      <c r="AA1093" s="36"/>
      <c r="AB1093" s="36"/>
      <c r="AC1093" s="36"/>
    </row>
    <row r="1094" spans="17:29" x14ac:dyDescent="0.2">
      <c r="Q1094" s="36"/>
      <c r="R1094" s="36"/>
      <c r="S1094" s="36"/>
      <c r="T1094" s="36"/>
      <c r="U1094" s="36"/>
      <c r="V1094" s="36"/>
      <c r="W1094" s="36"/>
      <c r="X1094" s="36"/>
      <c r="Y1094" s="36"/>
      <c r="Z1094" s="36"/>
      <c r="AA1094" s="36"/>
      <c r="AB1094" s="36"/>
      <c r="AC1094" s="36"/>
    </row>
    <row r="1095" spans="17:29" x14ac:dyDescent="0.2">
      <c r="Q1095" s="36"/>
      <c r="R1095" s="36"/>
      <c r="S1095" s="36"/>
      <c r="T1095" s="36"/>
      <c r="U1095" s="36"/>
      <c r="V1095" s="36"/>
      <c r="W1095" s="36"/>
      <c r="X1095" s="36"/>
      <c r="Y1095" s="36"/>
      <c r="Z1095" s="36"/>
      <c r="AA1095" s="36"/>
      <c r="AB1095" s="36"/>
      <c r="AC1095" s="36"/>
    </row>
    <row r="1096" spans="17:29" x14ac:dyDescent="0.2">
      <c r="Q1096" s="36"/>
      <c r="R1096" s="36"/>
      <c r="S1096" s="36"/>
      <c r="T1096" s="36"/>
      <c r="U1096" s="36"/>
      <c r="V1096" s="36"/>
      <c r="W1096" s="36"/>
      <c r="X1096" s="36"/>
      <c r="Y1096" s="36"/>
      <c r="Z1096" s="36"/>
      <c r="AA1096" s="36"/>
      <c r="AB1096" s="36"/>
      <c r="AC1096" s="36"/>
    </row>
    <row r="1097" spans="17:29" x14ac:dyDescent="0.2">
      <c r="Q1097" s="36"/>
      <c r="R1097" s="36"/>
      <c r="S1097" s="36"/>
      <c r="T1097" s="36"/>
      <c r="U1097" s="36"/>
      <c r="V1097" s="36"/>
      <c r="W1097" s="36"/>
      <c r="X1097" s="36"/>
      <c r="Y1097" s="36"/>
      <c r="Z1097" s="36"/>
      <c r="AA1097" s="36"/>
      <c r="AB1097" s="36"/>
      <c r="AC1097" s="36"/>
    </row>
    <row r="1098" spans="17:29" x14ac:dyDescent="0.2">
      <c r="Q1098" s="36"/>
      <c r="R1098" s="36"/>
      <c r="S1098" s="36"/>
      <c r="T1098" s="36"/>
      <c r="U1098" s="36"/>
      <c r="V1098" s="36"/>
      <c r="W1098" s="36"/>
      <c r="X1098" s="36"/>
      <c r="Y1098" s="36"/>
      <c r="Z1098" s="36"/>
      <c r="AA1098" s="36"/>
      <c r="AB1098" s="36"/>
      <c r="AC1098" s="36"/>
    </row>
    <row r="1099" spans="17:29" x14ac:dyDescent="0.2">
      <c r="Q1099" s="36"/>
      <c r="R1099" s="36"/>
      <c r="S1099" s="36"/>
      <c r="T1099" s="36"/>
      <c r="U1099" s="36"/>
      <c r="V1099" s="36"/>
      <c r="W1099" s="36"/>
      <c r="X1099" s="36"/>
      <c r="Y1099" s="36"/>
      <c r="Z1099" s="36"/>
      <c r="AA1099" s="36"/>
      <c r="AB1099" s="36"/>
      <c r="AC1099" s="36"/>
    </row>
    <row r="1100" spans="17:29" x14ac:dyDescent="0.2">
      <c r="Q1100" s="36"/>
      <c r="R1100" s="36"/>
      <c r="S1100" s="36"/>
      <c r="T1100" s="36"/>
      <c r="U1100" s="36"/>
      <c r="V1100" s="36"/>
      <c r="W1100" s="36"/>
      <c r="X1100" s="36"/>
      <c r="Y1100" s="36"/>
      <c r="Z1100" s="36"/>
      <c r="AA1100" s="36"/>
      <c r="AB1100" s="36"/>
      <c r="AC1100" s="36"/>
    </row>
    <row r="1101" spans="17:29" x14ac:dyDescent="0.2">
      <c r="Q1101" s="36"/>
      <c r="R1101" s="36"/>
      <c r="S1101" s="36"/>
      <c r="T1101" s="36"/>
      <c r="U1101" s="36"/>
      <c r="V1101" s="36"/>
      <c r="W1101" s="36"/>
      <c r="X1101" s="36"/>
      <c r="Y1101" s="36"/>
      <c r="Z1101" s="36"/>
      <c r="AA1101" s="36"/>
      <c r="AB1101" s="36"/>
      <c r="AC1101" s="36"/>
    </row>
    <row r="1102" spans="17:29" x14ac:dyDescent="0.2">
      <c r="Q1102" s="36"/>
      <c r="R1102" s="36"/>
      <c r="S1102" s="36"/>
      <c r="T1102" s="36"/>
      <c r="U1102" s="36"/>
      <c r="V1102" s="36"/>
      <c r="W1102" s="36"/>
      <c r="X1102" s="36"/>
      <c r="Y1102" s="36"/>
      <c r="Z1102" s="36"/>
      <c r="AA1102" s="36"/>
      <c r="AB1102" s="36"/>
      <c r="AC1102" s="36"/>
    </row>
    <row r="1103" spans="17:29" x14ac:dyDescent="0.2">
      <c r="Q1103" s="36"/>
      <c r="R1103" s="36"/>
      <c r="S1103" s="36"/>
      <c r="T1103" s="36"/>
      <c r="U1103" s="36"/>
      <c r="V1103" s="36"/>
      <c r="W1103" s="36"/>
      <c r="X1103" s="36"/>
      <c r="Y1103" s="36"/>
      <c r="Z1103" s="36"/>
      <c r="AA1103" s="36"/>
      <c r="AB1103" s="36"/>
      <c r="AC1103" s="36"/>
    </row>
    <row r="1104" spans="17:29" x14ac:dyDescent="0.2">
      <c r="Q1104" s="36"/>
      <c r="R1104" s="36"/>
      <c r="S1104" s="36"/>
      <c r="T1104" s="36"/>
      <c r="U1104" s="36"/>
      <c r="V1104" s="36"/>
      <c r="W1104" s="36"/>
      <c r="X1104" s="36"/>
      <c r="Y1104" s="36"/>
      <c r="Z1104" s="36"/>
      <c r="AA1104" s="36"/>
      <c r="AB1104" s="36"/>
      <c r="AC1104" s="36"/>
    </row>
    <row r="1105" spans="17:29" x14ac:dyDescent="0.2">
      <c r="Q1105" s="36"/>
      <c r="R1105" s="36"/>
      <c r="S1105" s="36"/>
      <c r="T1105" s="36"/>
      <c r="U1105" s="36"/>
      <c r="V1105" s="36"/>
      <c r="W1105" s="36"/>
      <c r="X1105" s="36"/>
      <c r="Y1105" s="36"/>
      <c r="Z1105" s="36"/>
      <c r="AA1105" s="36"/>
      <c r="AB1105" s="36"/>
      <c r="AC1105" s="36"/>
    </row>
    <row r="1106" spans="17:29" x14ac:dyDescent="0.2">
      <c r="Q1106" s="36"/>
      <c r="R1106" s="36"/>
      <c r="S1106" s="36"/>
      <c r="T1106" s="36"/>
      <c r="U1106" s="36"/>
      <c r="V1106" s="36"/>
      <c r="W1106" s="36"/>
      <c r="X1106" s="36"/>
      <c r="Y1106" s="36"/>
      <c r="Z1106" s="36"/>
      <c r="AA1106" s="36"/>
      <c r="AB1106" s="36"/>
      <c r="AC1106" s="36"/>
    </row>
    <row r="1107" spans="17:29" x14ac:dyDescent="0.2">
      <c r="Q1107" s="36"/>
      <c r="R1107" s="36"/>
      <c r="S1107" s="36"/>
      <c r="T1107" s="36"/>
      <c r="U1107" s="36"/>
      <c r="V1107" s="36"/>
      <c r="W1107" s="36"/>
      <c r="X1107" s="36"/>
      <c r="Y1107" s="36"/>
      <c r="Z1107" s="36"/>
      <c r="AA1107" s="36"/>
      <c r="AB1107" s="36"/>
      <c r="AC1107" s="36"/>
    </row>
    <row r="1108" spans="17:29" x14ac:dyDescent="0.2">
      <c r="Q1108" s="36"/>
      <c r="R1108" s="36"/>
      <c r="S1108" s="36"/>
      <c r="T1108" s="36"/>
      <c r="U1108" s="36"/>
      <c r="V1108" s="36"/>
      <c r="W1108" s="36"/>
      <c r="X1108" s="36"/>
      <c r="Y1108" s="36"/>
      <c r="Z1108" s="36"/>
      <c r="AA1108" s="36"/>
      <c r="AB1108" s="36"/>
      <c r="AC1108" s="36"/>
    </row>
    <row r="1109" spans="17:29" x14ac:dyDescent="0.2">
      <c r="Q1109" s="36"/>
      <c r="R1109" s="36"/>
      <c r="S1109" s="36"/>
      <c r="T1109" s="36"/>
      <c r="U1109" s="36"/>
      <c r="V1109" s="36"/>
      <c r="W1109" s="36"/>
      <c r="X1109" s="36"/>
      <c r="Y1109" s="36"/>
      <c r="Z1109" s="36"/>
      <c r="AA1109" s="36"/>
      <c r="AB1109" s="36"/>
      <c r="AC1109" s="36"/>
    </row>
    <row r="1110" spans="17:29" x14ac:dyDescent="0.2">
      <c r="Q1110" s="36"/>
      <c r="R1110" s="36"/>
      <c r="S1110" s="36"/>
      <c r="T1110" s="36"/>
      <c r="U1110" s="36"/>
      <c r="V1110" s="36"/>
      <c r="W1110" s="36"/>
      <c r="X1110" s="36"/>
      <c r="Y1110" s="36"/>
      <c r="Z1110" s="36"/>
      <c r="AA1110" s="36"/>
      <c r="AB1110" s="36"/>
      <c r="AC1110" s="36"/>
    </row>
    <row r="1111" spans="17:29" x14ac:dyDescent="0.2">
      <c r="Q1111" s="36"/>
      <c r="R1111" s="36"/>
      <c r="S1111" s="36"/>
      <c r="T1111" s="36"/>
      <c r="U1111" s="36"/>
      <c r="V1111" s="36"/>
      <c r="W1111" s="36"/>
      <c r="X1111" s="36"/>
      <c r="Y1111" s="36"/>
      <c r="Z1111" s="36"/>
      <c r="AA1111" s="36"/>
      <c r="AB1111" s="36"/>
      <c r="AC1111" s="36"/>
    </row>
    <row r="1112" spans="17:29" x14ac:dyDescent="0.2">
      <c r="Q1112" s="36"/>
      <c r="R1112" s="36"/>
      <c r="S1112" s="36"/>
      <c r="T1112" s="36"/>
      <c r="U1112" s="36"/>
      <c r="V1112" s="36"/>
      <c r="W1112" s="36"/>
      <c r="X1112" s="36"/>
      <c r="Y1112" s="36"/>
      <c r="Z1112" s="36"/>
      <c r="AA1112" s="36"/>
      <c r="AB1112" s="36"/>
      <c r="AC1112" s="36"/>
    </row>
    <row r="1113" spans="17:29" x14ac:dyDescent="0.2">
      <c r="Q1113" s="36"/>
      <c r="R1113" s="36"/>
      <c r="S1113" s="36"/>
      <c r="T1113" s="36"/>
      <c r="U1113" s="36"/>
      <c r="V1113" s="36"/>
      <c r="W1113" s="36"/>
      <c r="X1113" s="36"/>
      <c r="Y1113" s="36"/>
      <c r="Z1113" s="36"/>
      <c r="AA1113" s="36"/>
      <c r="AB1113" s="36"/>
      <c r="AC1113" s="36"/>
    </row>
    <row r="1114" spans="17:29" x14ac:dyDescent="0.2">
      <c r="Q1114" s="36"/>
      <c r="R1114" s="36"/>
      <c r="S1114" s="36"/>
      <c r="T1114" s="36"/>
      <c r="U1114" s="36"/>
      <c r="V1114" s="36"/>
      <c r="W1114" s="36"/>
      <c r="X1114" s="36"/>
      <c r="Y1114" s="36"/>
      <c r="Z1114" s="36"/>
      <c r="AA1114" s="36"/>
      <c r="AB1114" s="36"/>
      <c r="AC1114" s="36"/>
    </row>
    <row r="1115" spans="17:29" x14ac:dyDescent="0.2">
      <c r="Q1115" s="36"/>
      <c r="R1115" s="36"/>
      <c r="S1115" s="36"/>
      <c r="T1115" s="36"/>
      <c r="U1115" s="36"/>
      <c r="V1115" s="36"/>
      <c r="W1115" s="36"/>
      <c r="X1115" s="36"/>
      <c r="Y1115" s="36"/>
      <c r="Z1115" s="36"/>
      <c r="AA1115" s="36"/>
      <c r="AB1115" s="36"/>
      <c r="AC1115" s="36"/>
    </row>
    <row r="1116" spans="17:29" x14ac:dyDescent="0.2">
      <c r="Q1116" s="36"/>
      <c r="R1116" s="36"/>
      <c r="S1116" s="36"/>
      <c r="T1116" s="36"/>
      <c r="U1116" s="36"/>
      <c r="V1116" s="36"/>
      <c r="W1116" s="36"/>
      <c r="X1116" s="36"/>
      <c r="Y1116" s="36"/>
      <c r="Z1116" s="36"/>
      <c r="AA1116" s="36"/>
      <c r="AB1116" s="36"/>
      <c r="AC1116" s="36"/>
    </row>
    <row r="1117" spans="17:29" x14ac:dyDescent="0.2">
      <c r="Q1117" s="36"/>
      <c r="R1117" s="36"/>
      <c r="S1117" s="36"/>
      <c r="T1117" s="36"/>
      <c r="U1117" s="36"/>
      <c r="V1117" s="36"/>
      <c r="W1117" s="36"/>
      <c r="X1117" s="36"/>
      <c r="Y1117" s="36"/>
      <c r="Z1117" s="36"/>
      <c r="AA1117" s="36"/>
      <c r="AB1117" s="36"/>
      <c r="AC1117" s="36"/>
    </row>
    <row r="1118" spans="17:29" x14ac:dyDescent="0.2">
      <c r="Q1118" s="36"/>
      <c r="R1118" s="36"/>
      <c r="S1118" s="36"/>
      <c r="T1118" s="36"/>
      <c r="U1118" s="36"/>
      <c r="V1118" s="36"/>
      <c r="W1118" s="36"/>
      <c r="X1118" s="36"/>
      <c r="Y1118" s="36"/>
      <c r="Z1118" s="36"/>
      <c r="AA1118" s="36"/>
      <c r="AB1118" s="36"/>
      <c r="AC1118" s="36"/>
    </row>
    <row r="1119" spans="17:29" x14ac:dyDescent="0.2">
      <c r="Q1119" s="36"/>
      <c r="R1119" s="36"/>
      <c r="S1119" s="36"/>
      <c r="T1119" s="36"/>
      <c r="U1119" s="36"/>
      <c r="V1119" s="36"/>
      <c r="W1119" s="36"/>
      <c r="X1119" s="36"/>
      <c r="Y1119" s="36"/>
      <c r="Z1119" s="36"/>
      <c r="AA1119" s="36"/>
      <c r="AB1119" s="36"/>
      <c r="AC1119" s="36"/>
    </row>
    <row r="1120" spans="17:29" x14ac:dyDescent="0.2">
      <c r="Q1120" s="36"/>
      <c r="R1120" s="36"/>
      <c r="S1120" s="36"/>
      <c r="T1120" s="36"/>
      <c r="U1120" s="36"/>
      <c r="V1120" s="36"/>
      <c r="W1120" s="36"/>
      <c r="X1120" s="36"/>
      <c r="Y1120" s="36"/>
      <c r="Z1120" s="36"/>
      <c r="AA1120" s="36"/>
      <c r="AB1120" s="36"/>
      <c r="AC1120" s="36"/>
    </row>
    <row r="1121" spans="17:29" x14ac:dyDescent="0.2">
      <c r="Q1121" s="36"/>
      <c r="R1121" s="36"/>
      <c r="S1121" s="36"/>
      <c r="T1121" s="36"/>
      <c r="U1121" s="36"/>
      <c r="V1121" s="36"/>
      <c r="W1121" s="36"/>
      <c r="X1121" s="36"/>
      <c r="Y1121" s="36"/>
      <c r="Z1121" s="36"/>
      <c r="AA1121" s="36"/>
      <c r="AB1121" s="36"/>
      <c r="AC1121" s="36"/>
    </row>
    <row r="1122" spans="17:29" x14ac:dyDescent="0.2">
      <c r="Q1122" s="36"/>
      <c r="R1122" s="36"/>
      <c r="S1122" s="36"/>
      <c r="T1122" s="36"/>
      <c r="U1122" s="36"/>
      <c r="V1122" s="36"/>
      <c r="W1122" s="36"/>
      <c r="X1122" s="36"/>
      <c r="Y1122" s="36"/>
      <c r="Z1122" s="36"/>
      <c r="AA1122" s="36"/>
      <c r="AB1122" s="36"/>
      <c r="AC1122" s="36"/>
    </row>
    <row r="1123" spans="17:29" x14ac:dyDescent="0.2">
      <c r="Q1123" s="36"/>
      <c r="R1123" s="36"/>
      <c r="S1123" s="36"/>
      <c r="T1123" s="36"/>
      <c r="U1123" s="36"/>
      <c r="V1123" s="36"/>
      <c r="W1123" s="36"/>
      <c r="X1123" s="36"/>
      <c r="Y1123" s="36"/>
      <c r="Z1123" s="36"/>
      <c r="AA1123" s="36"/>
      <c r="AB1123" s="36"/>
      <c r="AC1123" s="36"/>
    </row>
    <row r="1124" spans="17:29" x14ac:dyDescent="0.2">
      <c r="Q1124" s="36"/>
      <c r="R1124" s="36"/>
      <c r="S1124" s="36"/>
      <c r="T1124" s="36"/>
      <c r="U1124" s="36"/>
      <c r="V1124" s="36"/>
      <c r="W1124" s="36"/>
      <c r="X1124" s="36"/>
      <c r="Y1124" s="36"/>
      <c r="Z1124" s="36"/>
      <c r="AA1124" s="36"/>
      <c r="AB1124" s="36"/>
      <c r="AC1124" s="36"/>
    </row>
    <row r="1125" spans="17:29" x14ac:dyDescent="0.2">
      <c r="Q1125" s="36"/>
      <c r="R1125" s="36"/>
      <c r="S1125" s="36"/>
      <c r="T1125" s="36"/>
      <c r="U1125" s="36"/>
      <c r="V1125" s="36"/>
      <c r="W1125" s="36"/>
      <c r="X1125" s="36"/>
      <c r="Y1125" s="36"/>
      <c r="Z1125" s="36"/>
      <c r="AA1125" s="36"/>
      <c r="AB1125" s="36"/>
      <c r="AC1125" s="36"/>
    </row>
    <row r="1126" spans="17:29" x14ac:dyDescent="0.2">
      <c r="Q1126" s="36"/>
      <c r="R1126" s="36"/>
      <c r="S1126" s="36"/>
      <c r="T1126" s="36"/>
      <c r="U1126" s="36"/>
      <c r="V1126" s="36"/>
      <c r="W1126" s="36"/>
      <c r="X1126" s="36"/>
      <c r="Y1126" s="36"/>
      <c r="Z1126" s="36"/>
      <c r="AA1126" s="36"/>
      <c r="AB1126" s="36"/>
      <c r="AC1126" s="36"/>
    </row>
    <row r="1127" spans="17:29" x14ac:dyDescent="0.2">
      <c r="Q1127" s="36"/>
      <c r="R1127" s="36"/>
      <c r="S1127" s="36"/>
      <c r="T1127" s="36"/>
      <c r="U1127" s="36"/>
      <c r="V1127" s="36"/>
      <c r="W1127" s="36"/>
      <c r="X1127" s="36"/>
      <c r="Y1127" s="36"/>
      <c r="Z1127" s="36"/>
      <c r="AA1127" s="36"/>
      <c r="AB1127" s="36"/>
      <c r="AC1127" s="36"/>
    </row>
    <row r="1128" spans="17:29" x14ac:dyDescent="0.2">
      <c r="Q1128" s="36"/>
      <c r="R1128" s="36"/>
      <c r="S1128" s="36"/>
      <c r="T1128" s="36"/>
      <c r="U1128" s="36"/>
      <c r="V1128" s="36"/>
      <c r="W1128" s="36"/>
      <c r="X1128" s="36"/>
      <c r="Y1128" s="36"/>
      <c r="Z1128" s="36"/>
      <c r="AA1128" s="36"/>
      <c r="AB1128" s="36"/>
      <c r="AC1128" s="36"/>
    </row>
    <row r="1129" spans="17:29" x14ac:dyDescent="0.2">
      <c r="Q1129" s="36"/>
      <c r="R1129" s="36"/>
      <c r="S1129" s="36"/>
      <c r="T1129" s="36"/>
      <c r="U1129" s="36"/>
      <c r="V1129" s="36"/>
      <c r="W1129" s="36"/>
      <c r="X1129" s="36"/>
      <c r="Y1129" s="36"/>
      <c r="Z1129" s="36"/>
      <c r="AA1129" s="36"/>
      <c r="AB1129" s="36"/>
      <c r="AC1129" s="36"/>
    </row>
    <row r="1130" spans="17:29" x14ac:dyDescent="0.2">
      <c r="Q1130" s="36"/>
      <c r="R1130" s="36"/>
      <c r="S1130" s="36"/>
      <c r="T1130" s="36"/>
      <c r="U1130" s="36"/>
      <c r="V1130" s="36"/>
      <c r="W1130" s="36"/>
      <c r="X1130" s="36"/>
      <c r="Y1130" s="36"/>
      <c r="Z1130" s="36"/>
      <c r="AA1130" s="36"/>
      <c r="AB1130" s="36"/>
      <c r="AC1130" s="36"/>
    </row>
    <row r="1131" spans="17:29" x14ac:dyDescent="0.2">
      <c r="Q1131" s="36"/>
      <c r="R1131" s="36"/>
      <c r="S1131" s="36"/>
      <c r="T1131" s="36"/>
      <c r="U1131" s="36"/>
      <c r="V1131" s="36"/>
      <c r="W1131" s="36"/>
      <c r="X1131" s="36"/>
      <c r="Y1131" s="36"/>
      <c r="Z1131" s="36"/>
      <c r="AA1131" s="36"/>
      <c r="AB1131" s="36"/>
      <c r="AC1131" s="36"/>
    </row>
    <row r="1132" spans="17:29" x14ac:dyDescent="0.2">
      <c r="Q1132" s="36"/>
      <c r="R1132" s="36"/>
      <c r="S1132" s="36"/>
      <c r="T1132" s="36"/>
      <c r="U1132" s="36"/>
      <c r="V1132" s="36"/>
      <c r="W1132" s="36"/>
      <c r="X1132" s="36"/>
      <c r="Y1132" s="36"/>
      <c r="Z1132" s="36"/>
      <c r="AA1132" s="36"/>
      <c r="AB1132" s="36"/>
      <c r="AC1132" s="36"/>
    </row>
    <row r="1133" spans="17:29" x14ac:dyDescent="0.2">
      <c r="Q1133" s="36"/>
      <c r="R1133" s="36"/>
      <c r="S1133" s="36"/>
      <c r="T1133" s="36"/>
      <c r="U1133" s="36"/>
      <c r="V1133" s="36"/>
      <c r="W1133" s="36"/>
      <c r="X1133" s="36"/>
      <c r="Y1133" s="36"/>
      <c r="Z1133" s="36"/>
      <c r="AA1133" s="36"/>
      <c r="AB1133" s="36"/>
      <c r="AC1133" s="36"/>
    </row>
    <row r="1134" spans="17:29" x14ac:dyDescent="0.2">
      <c r="Q1134" s="36"/>
      <c r="R1134" s="36"/>
      <c r="S1134" s="36"/>
      <c r="T1134" s="36"/>
      <c r="U1134" s="36"/>
      <c r="V1134" s="36"/>
      <c r="W1134" s="36"/>
      <c r="X1134" s="36"/>
      <c r="Y1134" s="36"/>
      <c r="Z1134" s="36"/>
      <c r="AA1134" s="36"/>
      <c r="AB1134" s="36"/>
      <c r="AC1134" s="36"/>
    </row>
    <row r="1135" spans="17:29" x14ac:dyDescent="0.2">
      <c r="Q1135" s="36"/>
      <c r="R1135" s="36"/>
      <c r="S1135" s="36"/>
      <c r="T1135" s="36"/>
      <c r="U1135" s="36"/>
      <c r="V1135" s="36"/>
      <c r="W1135" s="36"/>
      <c r="X1135" s="36"/>
      <c r="Y1135" s="36"/>
      <c r="Z1135" s="36"/>
      <c r="AA1135" s="36"/>
      <c r="AB1135" s="36"/>
      <c r="AC1135" s="36"/>
    </row>
    <row r="1136" spans="17:29" x14ac:dyDescent="0.2">
      <c r="Q1136" s="36"/>
      <c r="R1136" s="36"/>
      <c r="S1136" s="36"/>
      <c r="T1136" s="36"/>
      <c r="U1136" s="36"/>
      <c r="V1136" s="36"/>
      <c r="W1136" s="36"/>
      <c r="X1136" s="36"/>
      <c r="Y1136" s="36"/>
      <c r="Z1136" s="36"/>
      <c r="AA1136" s="36"/>
      <c r="AB1136" s="36"/>
      <c r="AC1136" s="36"/>
    </row>
    <row r="1137" spans="17:29" x14ac:dyDescent="0.2">
      <c r="Q1137" s="36"/>
      <c r="R1137" s="36"/>
      <c r="S1137" s="36"/>
      <c r="T1137" s="36"/>
      <c r="U1137" s="36"/>
      <c r="V1137" s="36"/>
      <c r="W1137" s="36"/>
      <c r="X1137" s="36"/>
      <c r="Y1137" s="36"/>
      <c r="Z1137" s="36"/>
      <c r="AA1137" s="36"/>
      <c r="AB1137" s="36"/>
      <c r="AC1137" s="36"/>
    </row>
    <row r="1138" spans="17:29" x14ac:dyDescent="0.2">
      <c r="Q1138" s="36"/>
      <c r="R1138" s="36"/>
      <c r="S1138" s="36"/>
      <c r="T1138" s="36"/>
      <c r="U1138" s="36"/>
      <c r="V1138" s="36"/>
      <c r="W1138" s="36"/>
      <c r="X1138" s="36"/>
      <c r="Y1138" s="36"/>
      <c r="Z1138" s="36"/>
      <c r="AA1138" s="36"/>
      <c r="AB1138" s="36"/>
      <c r="AC1138" s="36"/>
    </row>
    <row r="1139" spans="17:29" x14ac:dyDescent="0.2">
      <c r="Q1139" s="36"/>
      <c r="R1139" s="36"/>
      <c r="S1139" s="36"/>
      <c r="T1139" s="36"/>
      <c r="U1139" s="36"/>
      <c r="V1139" s="36"/>
      <c r="W1139" s="36"/>
      <c r="X1139" s="36"/>
      <c r="Y1139" s="36"/>
      <c r="Z1139" s="36"/>
      <c r="AA1139" s="36"/>
      <c r="AB1139" s="36"/>
      <c r="AC1139" s="36"/>
    </row>
    <row r="1140" spans="17:29" x14ac:dyDescent="0.2">
      <c r="Q1140" s="36"/>
      <c r="R1140" s="36"/>
      <c r="S1140" s="36"/>
      <c r="T1140" s="36"/>
      <c r="U1140" s="36"/>
      <c r="V1140" s="36"/>
      <c r="W1140" s="36"/>
      <c r="X1140" s="36"/>
      <c r="Y1140" s="36"/>
      <c r="Z1140" s="36"/>
      <c r="AA1140" s="36"/>
      <c r="AB1140" s="36"/>
      <c r="AC1140" s="36"/>
    </row>
    <row r="1141" spans="17:29" x14ac:dyDescent="0.2">
      <c r="Q1141" s="36"/>
      <c r="R1141" s="36"/>
      <c r="S1141" s="36"/>
      <c r="T1141" s="36"/>
      <c r="U1141" s="36"/>
      <c r="V1141" s="36"/>
      <c r="W1141" s="36"/>
      <c r="X1141" s="36"/>
      <c r="Y1141" s="36"/>
      <c r="Z1141" s="36"/>
      <c r="AA1141" s="36"/>
      <c r="AB1141" s="36"/>
      <c r="AC1141" s="36"/>
    </row>
    <row r="1142" spans="17:29" x14ac:dyDescent="0.2">
      <c r="Q1142" s="36"/>
      <c r="R1142" s="36"/>
      <c r="S1142" s="36"/>
      <c r="T1142" s="36"/>
      <c r="U1142" s="36"/>
      <c r="V1142" s="36"/>
      <c r="W1142" s="36"/>
      <c r="X1142" s="36"/>
      <c r="Y1142" s="36"/>
      <c r="Z1142" s="36"/>
      <c r="AA1142" s="36"/>
      <c r="AB1142" s="36"/>
      <c r="AC1142" s="36"/>
    </row>
    <row r="1143" spans="17:29" x14ac:dyDescent="0.2">
      <c r="Q1143" s="36"/>
      <c r="R1143" s="36"/>
      <c r="S1143" s="36"/>
      <c r="T1143" s="36"/>
      <c r="U1143" s="36"/>
      <c r="V1143" s="36"/>
      <c r="W1143" s="36"/>
      <c r="X1143" s="36"/>
      <c r="Y1143" s="36"/>
      <c r="Z1143" s="36"/>
      <c r="AA1143" s="36"/>
      <c r="AB1143" s="36"/>
      <c r="AC1143" s="36"/>
    </row>
    <row r="1144" spans="17:29" x14ac:dyDescent="0.2">
      <c r="Q1144" s="36"/>
      <c r="R1144" s="36"/>
      <c r="S1144" s="36"/>
      <c r="T1144" s="36"/>
      <c r="U1144" s="36"/>
      <c r="V1144" s="36"/>
      <c r="W1144" s="36"/>
      <c r="X1144" s="36"/>
      <c r="Y1144" s="36"/>
      <c r="Z1144" s="36"/>
      <c r="AA1144" s="36"/>
      <c r="AB1144" s="36"/>
      <c r="AC1144" s="36"/>
    </row>
    <row r="1145" spans="17:29" x14ac:dyDescent="0.2">
      <c r="Q1145" s="36"/>
      <c r="R1145" s="36"/>
      <c r="S1145" s="36"/>
      <c r="T1145" s="36"/>
      <c r="U1145" s="36"/>
      <c r="V1145" s="36"/>
      <c r="W1145" s="36"/>
      <c r="X1145" s="36"/>
      <c r="Y1145" s="36"/>
      <c r="Z1145" s="36"/>
      <c r="AA1145" s="36"/>
      <c r="AB1145" s="36"/>
      <c r="AC1145" s="36"/>
    </row>
    <row r="1146" spans="17:29" x14ac:dyDescent="0.2">
      <c r="Q1146" s="36"/>
      <c r="R1146" s="36"/>
      <c r="S1146" s="36"/>
      <c r="T1146" s="36"/>
      <c r="U1146" s="36"/>
      <c r="V1146" s="36"/>
      <c r="W1146" s="36"/>
      <c r="X1146" s="36"/>
      <c r="Y1146" s="36"/>
      <c r="Z1146" s="36"/>
      <c r="AA1146" s="36"/>
      <c r="AB1146" s="36"/>
      <c r="AC1146" s="36"/>
    </row>
    <row r="1147" spans="17:29" x14ac:dyDescent="0.2">
      <c r="Q1147" s="36"/>
      <c r="R1147" s="36"/>
      <c r="S1147" s="36"/>
      <c r="T1147" s="36"/>
      <c r="U1147" s="36"/>
      <c r="V1147" s="36"/>
      <c r="W1147" s="36"/>
      <c r="X1147" s="36"/>
      <c r="Y1147" s="36"/>
      <c r="Z1147" s="36"/>
      <c r="AA1147" s="36"/>
      <c r="AB1147" s="36"/>
      <c r="AC1147" s="36"/>
    </row>
    <row r="1148" spans="17:29" x14ac:dyDescent="0.2">
      <c r="Q1148" s="36"/>
      <c r="R1148" s="36"/>
      <c r="S1148" s="36"/>
      <c r="T1148" s="36"/>
      <c r="U1148" s="36"/>
      <c r="V1148" s="36"/>
      <c r="W1148" s="36"/>
      <c r="X1148" s="36"/>
      <c r="Y1148" s="36"/>
      <c r="Z1148" s="36"/>
      <c r="AA1148" s="36"/>
      <c r="AB1148" s="36"/>
      <c r="AC1148" s="36"/>
    </row>
    <row r="1149" spans="17:29" x14ac:dyDescent="0.2">
      <c r="Q1149" s="36"/>
      <c r="R1149" s="36"/>
      <c r="S1149" s="36"/>
      <c r="T1149" s="36"/>
      <c r="U1149" s="36"/>
      <c r="V1149" s="36"/>
      <c r="W1149" s="36"/>
      <c r="X1149" s="36"/>
      <c r="Y1149" s="36"/>
      <c r="Z1149" s="36"/>
      <c r="AA1149" s="36"/>
      <c r="AB1149" s="36"/>
      <c r="AC1149" s="36"/>
    </row>
    <row r="1150" spans="17:29" x14ac:dyDescent="0.2">
      <c r="Q1150" s="36"/>
      <c r="R1150" s="36"/>
      <c r="S1150" s="36"/>
      <c r="T1150" s="36"/>
      <c r="U1150" s="36"/>
      <c r="V1150" s="36"/>
      <c r="W1150" s="36"/>
      <c r="X1150" s="36"/>
      <c r="Y1150" s="36"/>
      <c r="Z1150" s="36"/>
      <c r="AA1150" s="36"/>
      <c r="AB1150" s="36"/>
      <c r="AC1150" s="36"/>
    </row>
    <row r="1151" spans="17:29" x14ac:dyDescent="0.2">
      <c r="Q1151" s="36"/>
      <c r="R1151" s="36"/>
      <c r="S1151" s="36"/>
      <c r="T1151" s="36"/>
      <c r="U1151" s="36"/>
      <c r="V1151" s="36"/>
      <c r="W1151" s="36"/>
      <c r="X1151" s="36"/>
      <c r="Y1151" s="36"/>
      <c r="Z1151" s="36"/>
      <c r="AA1151" s="36"/>
      <c r="AB1151" s="36"/>
      <c r="AC1151" s="36"/>
    </row>
    <row r="1152" spans="17:29" x14ac:dyDescent="0.2">
      <c r="Q1152" s="36"/>
      <c r="R1152" s="36"/>
      <c r="S1152" s="36"/>
      <c r="T1152" s="36"/>
      <c r="U1152" s="36"/>
      <c r="V1152" s="36"/>
      <c r="W1152" s="36"/>
      <c r="X1152" s="36"/>
      <c r="Y1152" s="36"/>
      <c r="Z1152" s="36"/>
      <c r="AA1152" s="36"/>
      <c r="AB1152" s="36"/>
      <c r="AC1152" s="36"/>
    </row>
    <row r="1153" spans="17:29" x14ac:dyDescent="0.2">
      <c r="Q1153" s="36"/>
      <c r="R1153" s="36"/>
      <c r="S1153" s="36"/>
      <c r="T1153" s="36"/>
      <c r="U1153" s="36"/>
      <c r="V1153" s="36"/>
      <c r="W1153" s="36"/>
      <c r="X1153" s="36"/>
      <c r="Y1153" s="36"/>
      <c r="Z1153" s="36"/>
      <c r="AA1153" s="36"/>
      <c r="AB1153" s="36"/>
      <c r="AC1153" s="36"/>
    </row>
    <row r="1154" spans="17:29" x14ac:dyDescent="0.2">
      <c r="Q1154" s="36"/>
      <c r="R1154" s="36"/>
      <c r="S1154" s="36"/>
      <c r="T1154" s="36"/>
      <c r="U1154" s="36"/>
      <c r="V1154" s="36"/>
      <c r="W1154" s="36"/>
      <c r="X1154" s="36"/>
      <c r="Y1154" s="36"/>
      <c r="Z1154" s="36"/>
      <c r="AA1154" s="36"/>
      <c r="AB1154" s="36"/>
      <c r="AC1154" s="36"/>
    </row>
    <row r="1155" spans="17:29" x14ac:dyDescent="0.2">
      <c r="Q1155" s="36"/>
      <c r="R1155" s="36"/>
      <c r="S1155" s="36"/>
      <c r="T1155" s="36"/>
      <c r="U1155" s="36"/>
      <c r="V1155" s="36"/>
      <c r="W1155" s="36"/>
      <c r="X1155" s="36"/>
      <c r="Y1155" s="36"/>
      <c r="Z1155" s="36"/>
      <c r="AA1155" s="36"/>
      <c r="AB1155" s="36"/>
      <c r="AC1155" s="36"/>
    </row>
    <row r="1156" spans="17:29" x14ac:dyDescent="0.2">
      <c r="Q1156" s="36"/>
      <c r="R1156" s="36"/>
      <c r="S1156" s="36"/>
      <c r="T1156" s="36"/>
      <c r="U1156" s="36"/>
      <c r="V1156" s="36"/>
      <c r="W1156" s="36"/>
      <c r="X1156" s="36"/>
      <c r="Y1156" s="36"/>
      <c r="Z1156" s="36"/>
      <c r="AA1156" s="36"/>
      <c r="AB1156" s="36"/>
      <c r="AC1156" s="36"/>
    </row>
    <row r="1157" spans="17:29" x14ac:dyDescent="0.2">
      <c r="Q1157" s="36"/>
      <c r="R1157" s="36"/>
      <c r="S1157" s="36"/>
      <c r="T1157" s="36"/>
      <c r="U1157" s="36"/>
      <c r="V1157" s="36"/>
      <c r="W1157" s="36"/>
      <c r="X1157" s="36"/>
      <c r="Y1157" s="36"/>
      <c r="Z1157" s="36"/>
      <c r="AA1157" s="36"/>
      <c r="AB1157" s="36"/>
      <c r="AC1157" s="36"/>
    </row>
    <row r="1158" spans="17:29" x14ac:dyDescent="0.2">
      <c r="Q1158" s="36"/>
      <c r="R1158" s="36"/>
      <c r="S1158" s="36"/>
      <c r="T1158" s="36"/>
      <c r="U1158" s="36"/>
      <c r="V1158" s="36"/>
      <c r="W1158" s="36"/>
      <c r="X1158" s="36"/>
      <c r="Y1158" s="36"/>
      <c r="Z1158" s="36"/>
      <c r="AA1158" s="36"/>
      <c r="AB1158" s="36"/>
      <c r="AC1158" s="36"/>
    </row>
    <row r="1159" spans="17:29" x14ac:dyDescent="0.2">
      <c r="Q1159" s="36"/>
      <c r="R1159" s="36"/>
      <c r="S1159" s="36"/>
      <c r="T1159" s="36"/>
      <c r="U1159" s="36"/>
      <c r="V1159" s="36"/>
      <c r="W1159" s="36"/>
      <c r="X1159" s="36"/>
      <c r="Y1159" s="36"/>
      <c r="Z1159" s="36"/>
      <c r="AA1159" s="36"/>
      <c r="AB1159" s="36"/>
      <c r="AC1159" s="36"/>
    </row>
    <row r="1160" spans="17:29" x14ac:dyDescent="0.2">
      <c r="Q1160" s="36"/>
      <c r="R1160" s="36"/>
      <c r="S1160" s="36"/>
      <c r="T1160" s="36"/>
      <c r="U1160" s="36"/>
      <c r="V1160" s="36"/>
      <c r="W1160" s="36"/>
      <c r="X1160" s="36"/>
      <c r="Y1160" s="36"/>
      <c r="Z1160" s="36"/>
      <c r="AA1160" s="36"/>
      <c r="AB1160" s="36"/>
      <c r="AC1160" s="36"/>
    </row>
  </sheetData>
  <dataValidations count="2">
    <dataValidation type="list" allowBlank="1" showInputMessage="1" showErrorMessage="1" sqref="N8:N11 M13">
      <formula1>"TRUE, FALSE"</formula1>
    </dataValidation>
    <dataValidation type="list" allowBlank="1" showInputMessage="1" showErrorMessage="1" sqref="Y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Length4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9</xdr:row>
                    <xdr:rowOff>123825</xdr:rowOff>
                  </from>
                  <to>
                    <xdr:col>31</xdr:col>
                    <xdr:colOff>361950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Length1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</xdr:row>
                    <xdr:rowOff>276225</xdr:rowOff>
                  </from>
                  <to>
                    <xdr:col>31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Length7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18</xdr:row>
                    <xdr:rowOff>0</xdr:rowOff>
                  </from>
                  <to>
                    <xdr:col>31</xdr:col>
                    <xdr:colOff>361950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Length2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4</xdr:row>
                    <xdr:rowOff>38100</xdr:rowOff>
                  </from>
                  <to>
                    <xdr:col>31</xdr:col>
                    <xdr:colOff>361950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Length3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7</xdr:row>
                    <xdr:rowOff>0</xdr:rowOff>
                  </from>
                  <to>
                    <xdr:col>31</xdr:col>
                    <xdr:colOff>361950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Length5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12</xdr:row>
                    <xdr:rowOff>66675</xdr:rowOff>
                  </from>
                  <to>
                    <xdr:col>31</xdr:col>
                    <xdr:colOff>361950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Length6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15</xdr:row>
                    <xdr:rowOff>19050</xdr:rowOff>
                  </from>
                  <to>
                    <xdr:col>31</xdr:col>
                    <xdr:colOff>361950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1618"/>
  <sheetViews>
    <sheetView showGridLines="0" topLeftCell="K1" workbookViewId="0">
      <selection activeCell="Q2" sqref="Q2"/>
    </sheetView>
  </sheetViews>
  <sheetFormatPr defaultRowHeight="11.25" outlineLevelCol="1" x14ac:dyDescent="0.2"/>
  <cols>
    <col min="1" max="1" width="10" style="33" hidden="1" customWidth="1" outlineLevel="1"/>
    <col min="2" max="2" width="17.28515625" style="33" hidden="1" customWidth="1" outlineLevel="1"/>
    <col min="3" max="3" width="7" style="33" hidden="1" customWidth="1" outlineLevel="1"/>
    <col min="4" max="4" width="17.28515625" style="33" hidden="1" customWidth="1" outlineLevel="1"/>
    <col min="5" max="5" width="6" style="33" hidden="1" customWidth="1" outlineLevel="1"/>
    <col min="6" max="6" width="10" style="33" hidden="1" customWidth="1" outlineLevel="1"/>
    <col min="7" max="7" width="6" style="33" hidden="1" customWidth="1" outlineLevel="1"/>
    <col min="8" max="8" width="8" style="33" hidden="1" customWidth="1" outlineLevel="1"/>
    <col min="9" max="10" width="12" style="33" hidden="1" customWidth="1" outlineLevel="1"/>
    <col min="11" max="11" width="2.7109375" style="33" customWidth="1" collapsed="1"/>
    <col min="12" max="12" width="12" style="33" bestFit="1" customWidth="1"/>
    <col min="13" max="13" width="15.140625" style="33" bestFit="1" customWidth="1"/>
    <col min="14" max="14" width="9" style="33" bestFit="1" customWidth="1"/>
    <col min="15" max="15" width="2.7109375" style="33" customWidth="1"/>
    <col min="16" max="16" width="3" style="33" bestFit="1" customWidth="1"/>
    <col min="17" max="17" width="6" style="33" bestFit="1" customWidth="1"/>
    <col min="18" max="19" width="17.28515625" style="33" bestFit="1" customWidth="1"/>
    <col min="20" max="20" width="17.28515625" style="33" customWidth="1"/>
    <col min="21" max="23" width="9.7109375" style="33" customWidth="1"/>
    <col min="24" max="26" width="9" style="33" hidden="1" customWidth="1" outlineLevel="1"/>
    <col min="27" max="27" width="11" style="33" bestFit="1" customWidth="1" collapsed="1"/>
    <col min="28" max="28" width="10" style="33" bestFit="1" customWidth="1"/>
    <col min="29" max="29" width="7" style="33" bestFit="1" customWidth="1"/>
    <col min="30" max="33" width="9.140625" style="33"/>
    <col min="34" max="34" width="15.140625" style="33" bestFit="1" customWidth="1"/>
    <col min="35" max="36" width="9.140625" style="33"/>
    <col min="37" max="37" width="13.140625" style="33" bestFit="1" customWidth="1"/>
    <col min="38" max="16384" width="9.140625" style="33"/>
  </cols>
  <sheetData>
    <row r="1" spans="1:29" x14ac:dyDescent="0.2">
      <c r="A1" s="84" t="s">
        <v>25</v>
      </c>
      <c r="B1" s="84"/>
      <c r="C1" s="84"/>
      <c r="D1" s="84"/>
      <c r="E1" s="84"/>
      <c r="F1" s="84" t="s">
        <v>26</v>
      </c>
      <c r="G1" s="84"/>
      <c r="H1" s="84"/>
      <c r="I1" s="84"/>
      <c r="J1" s="84"/>
      <c r="U1" s="42"/>
      <c r="V1" s="42"/>
      <c r="W1" s="34"/>
      <c r="X1" s="34"/>
      <c r="Y1" s="34"/>
      <c r="Z1" s="34"/>
    </row>
    <row r="2" spans="1:29" ht="22.5" customHeight="1" x14ac:dyDescent="0.2">
      <c r="A2" s="85" t="s">
        <v>27</v>
      </c>
      <c r="B2" s="85" t="s">
        <v>28</v>
      </c>
      <c r="C2" s="85" t="s">
        <v>29</v>
      </c>
      <c r="D2" s="85" t="s">
        <v>30</v>
      </c>
      <c r="E2" s="85" t="s">
        <v>31</v>
      </c>
      <c r="F2" s="85" t="s">
        <v>28</v>
      </c>
      <c r="G2" s="85" t="s">
        <v>30</v>
      </c>
      <c r="H2" s="85" t="s">
        <v>31</v>
      </c>
      <c r="I2" s="85" t="s">
        <v>32</v>
      </c>
      <c r="J2" s="85" t="s">
        <v>33</v>
      </c>
      <c r="R2" s="44" t="s">
        <v>22</v>
      </c>
      <c r="S2" s="44" t="s">
        <v>23</v>
      </c>
      <c r="T2" s="44" t="s">
        <v>53</v>
      </c>
      <c r="U2" s="44" t="s">
        <v>24</v>
      </c>
      <c r="V2" s="44" t="str">
        <f>"F "&amp;$M$3</f>
        <v>F 3M</v>
      </c>
      <c r="W2" s="44" t="s">
        <v>36</v>
      </c>
      <c r="X2" s="44" t="s">
        <v>37</v>
      </c>
      <c r="Y2" s="44" t="s">
        <v>54</v>
      </c>
      <c r="Z2" s="44" t="s">
        <v>43</v>
      </c>
      <c r="AA2" s="44" t="s">
        <v>60</v>
      </c>
      <c r="AB2" s="44" t="s">
        <v>61</v>
      </c>
      <c r="AC2" s="44" t="s">
        <v>56</v>
      </c>
    </row>
    <row r="3" spans="1:29" x14ac:dyDescent="0.2">
      <c r="A3" s="18" t="str">
        <f>_xll.qlPeriodEquivalent(C3&amp;"M")</f>
        <v>1Y</v>
      </c>
      <c r="B3" s="10">
        <f>_xll.qlDateEndOfMonth(EDATE(_xll.qlSettingsEvaluationDate(Trigger),-1))</f>
        <v>42247</v>
      </c>
      <c r="C3" s="11">
        <v>12</v>
      </c>
      <c r="D3" s="10">
        <f>EDATE($R$3,C3)</f>
        <v>42643</v>
      </c>
      <c r="E3" s="12">
        <f>IF(C3&lt;=12,1,IF(C3&lt;=24,3,IF(C3&lt;=120,6,IF(C3&lt;=240,12,IF(C3&lt;=360,36,60)))))</f>
        <v>1</v>
      </c>
      <c r="F3" s="16">
        <f>ROUNDDOWN(I3*10,2)/10</f>
        <v>0</v>
      </c>
      <c r="G3" s="17">
        <f>IF(J3-I3&gt;1%,(QUOTIENT(J3*10000,50)+1)*0.5%,(QUOTIENT(J3*10000,10)+1)*0.1%)</f>
        <v>2E-3</v>
      </c>
      <c r="H3" s="12">
        <f>IF(G3-F3&lt;0.5%,0.025%,IF(G3-F3&lt;1%,0.1%,IF(G3-F3&lt;2%,0.25%,0.5%)))</f>
        <v>2.5000000000000001E-4</v>
      </c>
      <c r="I3" s="17">
        <f>MIN(_xll.ohPack($W$3:INDEX($W$3:$W$253,MATCH(D3+1,$S$3:$S$253,1),1)))</f>
        <v>9.8946447470969713E-4</v>
      </c>
      <c r="J3" s="17">
        <f>MAX(_xll.ohPack($W$3:INDEX($W$3:$W$253,MATCH(D3+1,$S$3:$S$253,1),1)))</f>
        <v>1.3354828742104469E-3</v>
      </c>
      <c r="L3" s="45" t="s">
        <v>21</v>
      </c>
      <c r="M3" s="82" t="s">
        <v>0</v>
      </c>
      <c r="N3" s="36"/>
      <c r="O3" s="36"/>
      <c r="P3" s="33">
        <v>0</v>
      </c>
      <c r="Q3" s="26" t="str">
        <f>P3&amp;"M"</f>
        <v>0M</v>
      </c>
      <c r="R3" s="28">
        <f>EvaluationDate</f>
        <v>42277</v>
      </c>
      <c r="S3" s="28">
        <f>_xll.qlInterestRateIndexValueDate(Index,R3,Trigger)</f>
        <v>42279</v>
      </c>
      <c r="T3" s="28">
        <f>_xll.qlInterestRateIndexMaturity(Index,S3,Trigger)</f>
        <v>42373</v>
      </c>
      <c r="U3" s="30">
        <f>_xll.qlIndexFixing($M$5,R3,TRUE,InterestRatesTrigger)</f>
        <v>-1.435464475435309E-3</v>
      </c>
      <c r="V3" s="74">
        <f>_xll.qlIndexFixing(Index,R3,TRUE,InterestRatesTrigger)</f>
        <v>-4.4600000072561179E-4</v>
      </c>
      <c r="W3" s="30">
        <f>V3-U3</f>
        <v>9.8946447470969713E-4</v>
      </c>
      <c r="X3" s="29">
        <f>_xll.qlDayCounterYearFraction(DayCounter,SettlementDate,S3,,,Trigger)</f>
        <v>0</v>
      </c>
      <c r="Y3" s="29">
        <f>_xll.qlDayCounterYearFraction(DayCounter,S3,T3)</f>
        <v>0.26111111111111113</v>
      </c>
      <c r="Z3" s="29">
        <f>IF($M$13,_xll.qlYieldTSDiscount(Currency&amp;"ON",S3)/(1+V3*Y3),1)</f>
        <v>1</v>
      </c>
      <c r="AA3" s="30">
        <f>_xll.qlTenorBasisValue(TenorBasis3M,S3,InterestRatesTrigger)</f>
        <v>1.0504274936596202E-3</v>
      </c>
      <c r="AB3" s="74">
        <f t="shared" ref="AB3:AB66" si="0">AA3+U3</f>
        <v>-3.850369817756888E-4</v>
      </c>
      <c r="AC3" s="76">
        <f t="shared" ref="AC3:AC66" si="1">AB3/V3</f>
        <v>0.86331161692659131</v>
      </c>
    </row>
    <row r="4" spans="1:29" x14ac:dyDescent="0.2">
      <c r="A4" s="18" t="str">
        <f>_xll.qlPeriodEquivalent(C4&amp;"M")</f>
        <v>2Y</v>
      </c>
      <c r="B4" s="10">
        <f>_xll.qlDateEndOfMonth(EDATE(_xll.qlIMMNextDate(_xll.qlSettingsEvaluationDate(Trigger)-1,TRUE),-3))</f>
        <v>42277</v>
      </c>
      <c r="C4" s="11">
        <v>24</v>
      </c>
      <c r="D4" s="10">
        <f t="shared" ref="D4:D9" si="2">EDATE($R$3,C4)</f>
        <v>43008</v>
      </c>
      <c r="E4" s="12">
        <f t="shared" ref="E4:E9" si="3">IF(C4&lt;=12,1,IF(C4&lt;=24,3,IF(C4&lt;=120,6,IF(C4&lt;=240,12,IF(C4&lt;=360,36,60)))))</f>
        <v>3</v>
      </c>
      <c r="F4" s="16">
        <f t="shared" ref="F4:F9" si="4">ROUNDDOWN(I4*10,2)/10</f>
        <v>0</v>
      </c>
      <c r="G4" s="17">
        <f t="shared" ref="G4:G9" si="5">IF(J4-I4&gt;1%,(QUOTIENT(J4*10000,50)+1)*0.5%,(QUOTIENT(J4*10000,10)+1)*0.1%)</f>
        <v>2E-3</v>
      </c>
      <c r="H4" s="12">
        <f t="shared" ref="H4:H9" si="6">IF(G4-F4&lt;0.5%,0.025%,IF(G4-F4&lt;1%,0.1%,IF(G4-F4&lt;2%,0.25%,0.5%)))</f>
        <v>2.5000000000000001E-4</v>
      </c>
      <c r="I4" s="17">
        <f>MIN(_xll.ohPack($W$3:INDEX($W$3:$W$253,MATCH(D4+1,$S$3:$S$253,1),1)))</f>
        <v>9.8946447470969713E-4</v>
      </c>
      <c r="J4" s="17">
        <f>MAX(_xll.ohPack($W$3:INDEX($W$3:$W$253,MATCH(D4+1,$S$3:$S$253,1),1)))</f>
        <v>1.5283343631082278E-3</v>
      </c>
      <c r="L4" s="45" t="s">
        <v>20</v>
      </c>
      <c r="M4" s="82" t="str">
        <f>PROPER(Currency)&amp;IborType&amp;M3</f>
        <v>Euribor3M</v>
      </c>
      <c r="N4" s="36"/>
      <c r="O4" s="36"/>
      <c r="P4" s="33">
        <v>1</v>
      </c>
      <c r="Q4" s="26" t="str">
        <f>_xll.qlPeriodEquivalent(Q3&amp;"+"&amp;P4&amp;"M")</f>
        <v>1M</v>
      </c>
      <c r="R4" s="28">
        <f>_xll.qlCalendarAdvance(Calendar,SettlementDate,Q4,"f",,Trigger)</f>
        <v>42310</v>
      </c>
      <c r="S4" s="28">
        <f>_xll.qlInterestRateIndexValueDate(Index,R4,Trigger)</f>
        <v>42312</v>
      </c>
      <c r="T4" s="28">
        <f>_xll.qlInterestRateIndexMaturity(Index,S4,Trigger)</f>
        <v>42404</v>
      </c>
      <c r="U4" s="30">
        <f>_xll.qlIndexFixing($M$5,R4,TRUE,InterestRatesTrigger)</f>
        <v>-1.5208732243548776E-3</v>
      </c>
      <c r="V4" s="74">
        <f>_xll.qlIndexFixing(Index,R4,TRUE,InterestRatesTrigger)</f>
        <v>-4.5931404401508921E-4</v>
      </c>
      <c r="W4" s="30">
        <f t="shared" ref="W4:W67" si="7">V4-U4</f>
        <v>1.0615591803397884E-3</v>
      </c>
      <c r="X4" s="29">
        <f>_xll.qlDayCounterYearFraction(DayCounter,SettlementDate,S4,,,Trigger)</f>
        <v>9.166666666666666E-2</v>
      </c>
      <c r="Y4" s="29">
        <f>_xll.qlDayCounterYearFraction(DayCounter,S4,T4)</f>
        <v>0.25555555555555554</v>
      </c>
      <c r="Z4" s="29">
        <f>IF($M$13,_xll.qlYieldTSDiscount(Currency&amp;"ON",S4)/(1+V4*Y4),1)</f>
        <v>1</v>
      </c>
      <c r="AA4" s="30">
        <f>_xll.qlTenorBasisValue(TenorBasis3M,S4,InterestRatesTrigger)</f>
        <v>1.0837810386732515E-3</v>
      </c>
      <c r="AB4" s="74">
        <f t="shared" si="0"/>
        <v>-4.3709218568162614E-4</v>
      </c>
      <c r="AC4" s="76">
        <f t="shared" si="1"/>
        <v>0.95161946684840959</v>
      </c>
    </row>
    <row r="5" spans="1:29" x14ac:dyDescent="0.2">
      <c r="A5" s="18" t="str">
        <f>_xll.qlPeriodEquivalent(C5&amp;"M")</f>
        <v>5Y</v>
      </c>
      <c r="B5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C5" s="11">
        <v>60</v>
      </c>
      <c r="D5" s="10">
        <f t="shared" si="2"/>
        <v>44104</v>
      </c>
      <c r="E5" s="12">
        <f t="shared" si="3"/>
        <v>6</v>
      </c>
      <c r="F5" s="16">
        <f t="shared" si="4"/>
        <v>0</v>
      </c>
      <c r="G5" s="17">
        <f t="shared" si="5"/>
        <v>2E-3</v>
      </c>
      <c r="H5" s="12">
        <f t="shared" si="6"/>
        <v>2.5000000000000001E-4</v>
      </c>
      <c r="I5" s="17">
        <f>MIN(_xll.ohPack($W$3:INDEX($W$3:$W$253,MATCH(D5+1,$S$3:$S$253,1),1)))</f>
        <v>9.8946447470969713E-4</v>
      </c>
      <c r="J5" s="17">
        <f>MAX(_xll.ohPack($W$3:INDEX($W$3:$W$253,MATCH(D5+1,$S$3:$S$253,1),1)))</f>
        <v>1.8105657035298447E-3</v>
      </c>
      <c r="L5" s="45" t="str">
        <f>"ON Index "&amp;$M$3</f>
        <v>ON Index 3M</v>
      </c>
      <c r="M5" s="35" t="str">
        <f>_xll.qlEuribor(,M3,Currency&amp;"ON",,Trigger)</f>
        <v>obj_0059f#0003</v>
      </c>
      <c r="P5" s="33">
        <v>1</v>
      </c>
      <c r="Q5" s="27" t="str">
        <f>_xll.qlPeriodEquivalent(Q4&amp;"+"&amp;P5&amp;"M")</f>
        <v>2M</v>
      </c>
      <c r="R5" s="28">
        <f>_xll.qlCalendarAdvance(Calendar,SettlementDate,Q5,"f",,Trigger)</f>
        <v>42340</v>
      </c>
      <c r="S5" s="28">
        <f>_xll.qlInterestRateIndexValueDate(Index,R5,Trigger)</f>
        <v>42342</v>
      </c>
      <c r="T5" s="28">
        <f>_xll.qlInterestRateIndexMaturity(Index,S5,Trigger)</f>
        <v>42433</v>
      </c>
      <c r="U5" s="30">
        <f>_xll.qlIndexFixing($M$5,R5,TRUE,InterestRatesTrigger)</f>
        <v>-1.5780641519625982E-3</v>
      </c>
      <c r="V5" s="74">
        <f>_xll.qlIndexFixing(Index,R5,TRUE,InterestRatesTrigger)</f>
        <v>-4.8040239807958703E-4</v>
      </c>
      <c r="W5" s="30">
        <f t="shared" si="7"/>
        <v>1.0976617538830111E-3</v>
      </c>
      <c r="X5" s="29">
        <f>_xll.qlDayCounterYearFraction(DayCounter,SettlementDate,S5,,,Trigger)</f>
        <v>0.17499999999999999</v>
      </c>
      <c r="Y5" s="29">
        <f>_xll.qlDayCounterYearFraction(DayCounter,S5,T5)</f>
        <v>0.25277777777777777</v>
      </c>
      <c r="Z5" s="29">
        <f>IF($M$13,_xll.qlYieldTSDiscount(Currency&amp;"ON",S5)/(1+V5*Y5),1)</f>
        <v>1</v>
      </c>
      <c r="AA5" s="30">
        <f>_xll.qlTenorBasisValue(TenorBasis3M,S5,InterestRatesTrigger)</f>
        <v>1.1130523715295858E-3</v>
      </c>
      <c r="AB5" s="74">
        <f t="shared" si="0"/>
        <v>-4.6501178043301247E-4</v>
      </c>
      <c r="AC5" s="76">
        <f t="shared" si="1"/>
        <v>0.96796307073382915</v>
      </c>
    </row>
    <row r="6" spans="1:29" x14ac:dyDescent="0.2">
      <c r="A6" s="18" t="str">
        <f>_xll.qlPeriodEquivalent(C6&amp;"M")</f>
        <v>10Y</v>
      </c>
      <c r="B6" s="10">
        <f t="shared" ref="B6:B9" si="8">B5</f>
        <v>42185</v>
      </c>
      <c r="C6" s="11">
        <v>120</v>
      </c>
      <c r="D6" s="10">
        <f t="shared" si="2"/>
        <v>45930</v>
      </c>
      <c r="E6" s="12">
        <f t="shared" si="3"/>
        <v>6</v>
      </c>
      <c r="F6" s="16">
        <f t="shared" si="4"/>
        <v>0</v>
      </c>
      <c r="G6" s="17">
        <f t="shared" si="5"/>
        <v>2E-3</v>
      </c>
      <c r="H6" s="12">
        <f t="shared" si="6"/>
        <v>2.5000000000000001E-4</v>
      </c>
      <c r="I6" s="17">
        <f>MIN(_xll.ohPack($W$3:INDEX($W$3:$W$253,MATCH(D6+1,$S$3:$S$253,1),1)))</f>
        <v>9.8946447470969713E-4</v>
      </c>
      <c r="J6" s="17">
        <f>MAX(_xll.ohPack($W$3:INDEX($W$3:$W$253,MATCH(D6+1,$S$3:$S$253,1),1)))</f>
        <v>1.8105657035298447E-3</v>
      </c>
      <c r="P6" s="33">
        <v>1</v>
      </c>
      <c r="Q6" s="27" t="str">
        <f>_xll.qlPeriodEquivalent(Q5&amp;"+"&amp;P6&amp;"M")</f>
        <v>3M</v>
      </c>
      <c r="R6" s="28">
        <f>_xll.qlCalendarAdvance(Calendar,SettlementDate,Q6,"f",,Trigger)</f>
        <v>42373</v>
      </c>
      <c r="S6" s="28">
        <f>_xll.qlInterestRateIndexValueDate(Index,R6,Trigger)</f>
        <v>42375</v>
      </c>
      <c r="T6" s="28">
        <f>_xll.qlInterestRateIndexMaturity(Index,S6,Trigger)</f>
        <v>42466</v>
      </c>
      <c r="U6" s="30">
        <f>_xll.qlIndexFixing($M$5,R6,TRUE,InterestRatesTrigger)</f>
        <v>-1.6873348249714204E-3</v>
      </c>
      <c r="V6" s="74">
        <f>_xll.qlIndexFixing(Index,R6,TRUE,InterestRatesTrigger)</f>
        <v>-5.5455065672384242E-4</v>
      </c>
      <c r="W6" s="30">
        <f t="shared" si="7"/>
        <v>1.1327841682475779E-3</v>
      </c>
      <c r="X6" s="29">
        <f>_xll.qlDayCounterYearFraction(DayCounter,SettlementDate,S6,,,Trigger)</f>
        <v>0.26666666666666666</v>
      </c>
      <c r="Y6" s="29">
        <f>_xll.qlDayCounterYearFraction(DayCounter,S6,T6)</f>
        <v>0.25277777777777777</v>
      </c>
      <c r="Z6" s="29">
        <f>IF($M$13,_xll.qlYieldTSDiscount(Currency&amp;"ON",S6)/(1+V6*Y6),1)</f>
        <v>1</v>
      </c>
      <c r="AA6" s="30">
        <f>_xll.qlTenorBasisValue(TenorBasis3M,S6,InterestRatesTrigger)</f>
        <v>1.1441225692935121E-3</v>
      </c>
      <c r="AB6" s="74">
        <f t="shared" si="0"/>
        <v>-5.4321225567790826E-4</v>
      </c>
      <c r="AC6" s="76">
        <f t="shared" si="1"/>
        <v>0.9795538948363729</v>
      </c>
    </row>
    <row r="7" spans="1:29" x14ac:dyDescent="0.2">
      <c r="A7" s="18" t="str">
        <f>_xll.qlPeriodEquivalent(C7&amp;"M")</f>
        <v>20Y</v>
      </c>
      <c r="B7" s="10">
        <f>IF(AND(MONTH(B6)=12),B6,_xll.qlDateEndOfMonth(EDATE(B6,-6)))</f>
        <v>42004</v>
      </c>
      <c r="C7" s="11">
        <v>240</v>
      </c>
      <c r="D7" s="10">
        <f t="shared" si="2"/>
        <v>49582</v>
      </c>
      <c r="E7" s="13">
        <f t="shared" si="3"/>
        <v>12</v>
      </c>
      <c r="F7" s="16">
        <f t="shared" si="4"/>
        <v>0</v>
      </c>
      <c r="G7" s="17">
        <f t="shared" si="5"/>
        <v>2E-3</v>
      </c>
      <c r="H7" s="12">
        <f t="shared" si="6"/>
        <v>2.5000000000000001E-4</v>
      </c>
      <c r="I7" s="17">
        <f>MIN(_xll.ohPack($W$3:INDEX($W$3:$W$253,MATCH(D7+1,$S$3:$S$253,1),1)))</f>
        <v>4.9934181564929847E-4</v>
      </c>
      <c r="J7" s="17">
        <f>MAX(_xll.ohPack($W$3:INDEX($W$3:$W$253,MATCH(D7+1,$S$3:$S$253,1),1)))</f>
        <v>1.8105657035298447E-3</v>
      </c>
      <c r="N7" s="45" t="s">
        <v>59</v>
      </c>
      <c r="P7" s="33">
        <v>1</v>
      </c>
      <c r="Q7" s="27" t="str">
        <f>_xll.qlPeriodEquivalent(Q6&amp;"+"&amp;P7&amp;"M")</f>
        <v>4M</v>
      </c>
      <c r="R7" s="28">
        <f>_xll.qlCalendarAdvance(Calendar,SettlementDate,Q7,"f",,Trigger)</f>
        <v>42402</v>
      </c>
      <c r="S7" s="28">
        <f>_xll.qlInterestRateIndexValueDate(Index,R7,Trigger)</f>
        <v>42404</v>
      </c>
      <c r="T7" s="28">
        <f>_xll.qlInterestRateIndexMaturity(Index,S7,Trigger)</f>
        <v>42494</v>
      </c>
      <c r="U7" s="30">
        <f>_xll.qlIndexFixing($M$5,R7,TRUE,InterestRatesTrigger)</f>
        <v>-1.7281276544176549E-3</v>
      </c>
      <c r="V7" s="74">
        <f>_xll.qlIndexFixing(Index,R7,TRUE,InterestRatesTrigger)</f>
        <v>-5.6958456882183484E-4</v>
      </c>
      <c r="W7" s="30">
        <f t="shared" si="7"/>
        <v>1.1585430855958201E-3</v>
      </c>
      <c r="X7" s="29">
        <f>_xll.qlDayCounterYearFraction(DayCounter,SettlementDate,S7,,,Trigger)</f>
        <v>0.34722222222222221</v>
      </c>
      <c r="Y7" s="29">
        <f>_xll.qlDayCounterYearFraction(DayCounter,S7,T7)</f>
        <v>0.25</v>
      </c>
      <c r="Z7" s="29">
        <f>IF($M$13,_xll.qlYieldTSDiscount(Currency&amp;"ON",S7)/(1+V7*Y7),1)</f>
        <v>1</v>
      </c>
      <c r="AA7" s="30">
        <f>_xll.qlTenorBasisValue(TenorBasis3M,S7,InterestRatesTrigger)</f>
        <v>1.1704726972672332E-3</v>
      </c>
      <c r="AB7" s="74">
        <f t="shared" si="0"/>
        <v>-5.5765495715042173E-4</v>
      </c>
      <c r="AC7" s="76">
        <f t="shared" si="1"/>
        <v>0.97905559187446201</v>
      </c>
    </row>
    <row r="8" spans="1:29" x14ac:dyDescent="0.2">
      <c r="A8" s="18" t="str">
        <f>_xll.qlPeriodEquivalent(C8&amp;"M")</f>
        <v>30Y</v>
      </c>
      <c r="B8" s="10">
        <f t="shared" si="8"/>
        <v>42004</v>
      </c>
      <c r="C8" s="11">
        <v>360</v>
      </c>
      <c r="D8" s="10">
        <f t="shared" si="2"/>
        <v>53235</v>
      </c>
      <c r="E8" s="13">
        <f t="shared" si="3"/>
        <v>36</v>
      </c>
      <c r="F8" s="16">
        <f t="shared" si="4"/>
        <v>0</v>
      </c>
      <c r="G8" s="17">
        <f t="shared" si="5"/>
        <v>2E-3</v>
      </c>
      <c r="H8" s="12">
        <f t="shared" si="6"/>
        <v>2.5000000000000001E-4</v>
      </c>
      <c r="I8" s="17">
        <f>MIN(_xll.ohPack($W$3:INDEX($W$3:$W$253,MATCH(D8+1,$S$3:$S$253,1),1)))</f>
        <v>3.8195567464915578E-4</v>
      </c>
      <c r="J8" s="17">
        <f>MAX(_xll.ohPack($W$3:INDEX($W$3:$W$253,MATCH(D8+1,$S$3:$S$253,1),1)))</f>
        <v>1.8105657035298447E-3</v>
      </c>
      <c r="L8" s="45" t="s">
        <v>39</v>
      </c>
      <c r="M8" s="80">
        <v>1.511365712587327E-3</v>
      </c>
      <c r="N8" s="78" t="b">
        <v>0</v>
      </c>
      <c r="P8" s="33">
        <v>1</v>
      </c>
      <c r="Q8" s="27" t="str">
        <f>_xll.qlPeriodEquivalent(Q7&amp;"+"&amp;P8&amp;"M")</f>
        <v>5M</v>
      </c>
      <c r="R8" s="28">
        <f>_xll.qlCalendarAdvance(Calendar,SettlementDate,Q8,"f",,Trigger)</f>
        <v>42431</v>
      </c>
      <c r="S8" s="28">
        <f>_xll.qlInterestRateIndexValueDate(Index,R8,Trigger)</f>
        <v>42433</v>
      </c>
      <c r="T8" s="28">
        <f>_xll.qlInterestRateIndexMaturity(Index,S8,Trigger)</f>
        <v>42527</v>
      </c>
      <c r="U8" s="30">
        <f>_xll.qlIndexFixing($M$5,R8,TRUE,InterestRatesTrigger)</f>
        <v>-1.7855336642459015E-3</v>
      </c>
      <c r="V8" s="74">
        <f>_xll.qlIndexFixing(Index,R8,TRUE,InterestRatesTrigger)</f>
        <v>-5.7163160891197083E-4</v>
      </c>
      <c r="W8" s="30">
        <f t="shared" si="7"/>
        <v>1.2139020553339308E-3</v>
      </c>
      <c r="X8" s="29">
        <f>_xll.qlDayCounterYearFraction(DayCounter,SettlementDate,S8,,,Trigger)</f>
        <v>0.42777777777777776</v>
      </c>
      <c r="Y8" s="29">
        <f>_xll.qlDayCounterYearFraction(DayCounter,S8,T8)</f>
        <v>0.26111111111111113</v>
      </c>
      <c r="Z8" s="29">
        <f>IF($M$13,_xll.qlYieldTSDiscount(Currency&amp;"ON",S8)/(1+V8*Y8),1)</f>
        <v>1</v>
      </c>
      <c r="AA8" s="30">
        <f>_xll.qlTenorBasisValue(TenorBasis3M,S8,InterestRatesTrigger)</f>
        <v>1.1959501624821912E-3</v>
      </c>
      <c r="AB8" s="74">
        <f t="shared" si="0"/>
        <v>-5.895835017637103E-4</v>
      </c>
      <c r="AC8" s="76">
        <f t="shared" si="1"/>
        <v>1.0314046539272184</v>
      </c>
    </row>
    <row r="9" spans="1:29" x14ac:dyDescent="0.2">
      <c r="A9" s="19" t="str">
        <f>_xll.qlPeriodEquivalent(C9&amp;"M")</f>
        <v>60Y</v>
      </c>
      <c r="B9" s="20">
        <f t="shared" si="8"/>
        <v>42004</v>
      </c>
      <c r="C9" s="21">
        <v>720</v>
      </c>
      <c r="D9" s="20">
        <f t="shared" si="2"/>
        <v>64192</v>
      </c>
      <c r="E9" s="22">
        <f t="shared" si="3"/>
        <v>60</v>
      </c>
      <c r="F9" s="23">
        <f t="shared" si="4"/>
        <v>0</v>
      </c>
      <c r="G9" s="24">
        <f t="shared" si="5"/>
        <v>2E-3</v>
      </c>
      <c r="H9" s="25">
        <f t="shared" si="6"/>
        <v>2.5000000000000001E-4</v>
      </c>
      <c r="I9" s="24">
        <f>MIN(_xll.ohPack($W$3:INDEX($W$3:$W$253,MATCH(D9+1,$S$3:$S$253,1),1)))</f>
        <v>1.3041107010367849E-4</v>
      </c>
      <c r="J9" s="24">
        <f>MAX(_xll.ohPack($W$3:INDEX($W$3:$W$253,MATCH(D9+1,$S$3:$S$253,1),1)))</f>
        <v>1.8105657035298447E-3</v>
      </c>
      <c r="L9" s="45" t="s">
        <v>40</v>
      </c>
      <c r="M9" s="81">
        <v>1.0658070562731107E-3</v>
      </c>
      <c r="N9" s="78" t="b">
        <v>0</v>
      </c>
      <c r="P9" s="33">
        <v>1</v>
      </c>
      <c r="Q9" s="27" t="str">
        <f>_xll.qlPeriodEquivalent(Q8&amp;"+"&amp;P9&amp;"M")</f>
        <v>6M</v>
      </c>
      <c r="R9" s="28">
        <f>_xll.qlCalendarAdvance(Calendar,SettlementDate,Q9,"f",,Trigger)</f>
        <v>42464</v>
      </c>
      <c r="S9" s="28">
        <f>_xll.qlInterestRateIndexValueDate(Index,R9,Trigger)</f>
        <v>42466</v>
      </c>
      <c r="T9" s="28">
        <f>_xll.qlInterestRateIndexMaturity(Index,S9,Trigger)</f>
        <v>42557</v>
      </c>
      <c r="U9" s="30">
        <f>_xll.qlIndexFixing($M$5,R9,TRUE,InterestRatesTrigger)</f>
        <v>-1.8469846950988909E-3</v>
      </c>
      <c r="V9" s="74">
        <f>_xll.qlIndexFixing(Index,R9,TRUE,InterestRatesTrigger)</f>
        <v>-5.9212872807385775E-4</v>
      </c>
      <c r="W9" s="30">
        <f t="shared" si="7"/>
        <v>1.254855967025033E-3</v>
      </c>
      <c r="X9" s="29">
        <f>_xll.qlDayCounterYearFraction(DayCounter,SettlementDate,S9,,,Trigger)</f>
        <v>0.51944444444444449</v>
      </c>
      <c r="Y9" s="29">
        <f>_xll.qlDayCounterYearFraction(DayCounter,S9,T9)</f>
        <v>0.25277777777777777</v>
      </c>
      <c r="Z9" s="29">
        <f>IF($M$13,_xll.qlYieldTSDiscount(Currency&amp;"ON",S9)/(1+V9*Y9),1)</f>
        <v>1</v>
      </c>
      <c r="AA9" s="30">
        <f>_xll.qlTenorBasisValue(TenorBasis3M,S9,InterestRatesTrigger)</f>
        <v>1.223903831482148E-3</v>
      </c>
      <c r="AB9" s="74">
        <f t="shared" si="0"/>
        <v>-6.2308086361674282E-4</v>
      </c>
      <c r="AC9" s="76">
        <f t="shared" si="1"/>
        <v>1.0522726462598253</v>
      </c>
    </row>
    <row r="10" spans="1:29" x14ac:dyDescent="0.2">
      <c r="L10" s="45" t="s">
        <v>41</v>
      </c>
      <c r="M10" s="81">
        <v>0.20255568603684723</v>
      </c>
      <c r="N10" s="78" t="b">
        <v>0</v>
      </c>
      <c r="P10" s="33">
        <v>1</v>
      </c>
      <c r="Q10" s="27" t="str">
        <f>_xll.qlPeriodEquivalent(Q9&amp;"+"&amp;P10&amp;"M")</f>
        <v>7M</v>
      </c>
      <c r="R10" s="28">
        <f>_xll.qlCalendarAdvance(Calendar,SettlementDate,Q10,"f",,Trigger)</f>
        <v>42492</v>
      </c>
      <c r="S10" s="28">
        <f>_xll.qlInterestRateIndexValueDate(Index,R10,Trigger)</f>
        <v>42494</v>
      </c>
      <c r="T10" s="28">
        <f>_xll.qlInterestRateIndexMaturity(Index,S10,Trigger)</f>
        <v>42586</v>
      </c>
      <c r="U10" s="30">
        <f>_xll.qlIndexFixing($M$5,R10,TRUE,InterestRatesTrigger)</f>
        <v>-1.8940456261515185E-3</v>
      </c>
      <c r="V10" s="74">
        <f>_xll.qlIndexFixing(Index,R10,TRUE,InterestRatesTrigger)</f>
        <v>-6.2919066678898564E-4</v>
      </c>
      <c r="W10" s="30">
        <f t="shared" si="7"/>
        <v>1.2648549593625327E-3</v>
      </c>
      <c r="X10" s="29">
        <f>_xll.qlDayCounterYearFraction(DayCounter,SettlementDate,S10,,,Trigger)</f>
        <v>0.59722222222222221</v>
      </c>
      <c r="Y10" s="29">
        <f>_xll.qlDayCounterYearFraction(DayCounter,S10,T10)</f>
        <v>0.25555555555555554</v>
      </c>
      <c r="Z10" s="29">
        <f>IF($M$13,_xll.qlYieldTSDiscount(Currency&amp;"ON",S10)/(1+V10*Y10),1)</f>
        <v>1</v>
      </c>
      <c r="AA10" s="30">
        <f>_xll.qlTenorBasisValue(TenorBasis3M,S10,InterestRatesTrigger)</f>
        <v>1.2467747408724649E-3</v>
      </c>
      <c r="AB10" s="74">
        <f t="shared" si="0"/>
        <v>-6.4727088527905354E-4</v>
      </c>
      <c r="AC10" s="76">
        <f t="shared" si="1"/>
        <v>1.0287356749621519</v>
      </c>
    </row>
    <row r="11" spans="1:29" x14ac:dyDescent="0.2">
      <c r="L11" s="45" t="s">
        <v>42</v>
      </c>
      <c r="M11" s="80">
        <v>2.4409004578928803E-4</v>
      </c>
      <c r="N11" s="78" t="b">
        <v>0</v>
      </c>
      <c r="O11" s="34"/>
      <c r="P11" s="33">
        <v>1</v>
      </c>
      <c r="Q11" s="27" t="str">
        <f>_xll.qlPeriodEquivalent(Q10&amp;"+"&amp;P11&amp;"M")</f>
        <v>8M</v>
      </c>
      <c r="R11" s="28">
        <f>_xll.qlCalendarAdvance(Calendar,SettlementDate,Q11,"f",,Trigger)</f>
        <v>42523</v>
      </c>
      <c r="S11" s="28">
        <f>_xll.qlInterestRateIndexValueDate(Index,R11,Trigger)</f>
        <v>42527</v>
      </c>
      <c r="T11" s="28">
        <f>_xll.qlInterestRateIndexMaturity(Index,S11,Trigger)</f>
        <v>42619</v>
      </c>
      <c r="U11" s="30">
        <f>_xll.qlIndexFixing($M$5,R11,TRUE,InterestRatesTrigger)</f>
        <v>-1.935083992507549E-3</v>
      </c>
      <c r="V11" s="74">
        <f>_xll.qlIndexFixing(Index,R11,TRUE,InterestRatesTrigger)</f>
        <v>-6.6844494913970403E-4</v>
      </c>
      <c r="W11" s="30">
        <f t="shared" si="7"/>
        <v>1.2666390433678449E-3</v>
      </c>
      <c r="X11" s="29">
        <f>_xll.qlDayCounterYearFraction(DayCounter,SettlementDate,S11,,,Trigger)</f>
        <v>0.68888888888888888</v>
      </c>
      <c r="Y11" s="29">
        <f>_xll.qlDayCounterYearFraction(DayCounter,S11,T11)</f>
        <v>0.25555555555555554</v>
      </c>
      <c r="Z11" s="29">
        <f>IF($M$13,_xll.qlYieldTSDiscount(Currency&amp;"ON",S11)/(1+V11*Y11),1)</f>
        <v>1</v>
      </c>
      <c r="AA11" s="30">
        <f>_xll.qlTenorBasisValue(TenorBasis3M,S11,InterestRatesTrigger)</f>
        <v>1.2727541371780758E-3</v>
      </c>
      <c r="AB11" s="74">
        <f t="shared" si="0"/>
        <v>-6.6232985532947318E-4</v>
      </c>
      <c r="AC11" s="76">
        <f t="shared" si="1"/>
        <v>0.99085176151289489</v>
      </c>
    </row>
    <row r="12" spans="1:29" x14ac:dyDescent="0.2">
      <c r="N12" s="34"/>
      <c r="P12" s="33">
        <v>1</v>
      </c>
      <c r="Q12" s="27" t="str">
        <f>_xll.qlPeriodEquivalent(Q11&amp;"+"&amp;P12&amp;"M")</f>
        <v>9M</v>
      </c>
      <c r="R12" s="28">
        <f>_xll.qlCalendarAdvance(Calendar,SettlementDate,Q12,"f",,Trigger)</f>
        <v>42555</v>
      </c>
      <c r="S12" s="28">
        <f>_xll.qlInterestRateIndexValueDate(Index,R12,Trigger)</f>
        <v>42557</v>
      </c>
      <c r="T12" s="28">
        <f>_xll.qlInterestRateIndexMaturity(Index,S12,Trigger)</f>
        <v>42649</v>
      </c>
      <c r="U12" s="30">
        <f>_xll.qlIndexFixing($M$5,R12,TRUE,InterestRatesTrigger)</f>
        <v>-1.9622130699081808E-3</v>
      </c>
      <c r="V12" s="74">
        <f>_xll.qlIndexFixing(Index,R12,TRUE,InterestRatesTrigger)</f>
        <v>-6.7985353378408541E-4</v>
      </c>
      <c r="W12" s="30">
        <f t="shared" si="7"/>
        <v>1.2823595361240955E-3</v>
      </c>
      <c r="X12" s="29">
        <f>_xll.qlDayCounterYearFraction(DayCounter,SettlementDate,S12,,,Trigger)</f>
        <v>0.77222222222222225</v>
      </c>
      <c r="Y12" s="29">
        <f>_xll.qlDayCounterYearFraction(DayCounter,S12,T12)</f>
        <v>0.25555555555555554</v>
      </c>
      <c r="Z12" s="29">
        <f>IF($M$13,_xll.qlYieldTSDiscount(Currency&amp;"ON",S12)/(1+V12*Y12),1)</f>
        <v>1</v>
      </c>
      <c r="AA12" s="30">
        <f>_xll.qlTenorBasisValue(TenorBasis3M,S12,InterestRatesTrigger)</f>
        <v>1.2954763319158328E-3</v>
      </c>
      <c r="AB12" s="74">
        <f t="shared" si="0"/>
        <v>-6.6673673799234803E-4</v>
      </c>
      <c r="AC12" s="76">
        <f t="shared" si="1"/>
        <v>0.98070643875493457</v>
      </c>
    </row>
    <row r="13" spans="1:29" x14ac:dyDescent="0.2">
      <c r="L13" s="45" t="s">
        <v>58</v>
      </c>
      <c r="M13" s="78" t="b">
        <v>0</v>
      </c>
      <c r="P13" s="33">
        <v>1</v>
      </c>
      <c r="Q13" s="27" t="str">
        <f>_xll.qlPeriodEquivalent(Q12&amp;"+"&amp;P13&amp;"M")</f>
        <v>10M</v>
      </c>
      <c r="R13" s="28">
        <f>_xll.qlCalendarAdvance(Calendar,SettlementDate,Q13,"f",,Trigger)</f>
        <v>42584</v>
      </c>
      <c r="S13" s="28">
        <f>_xll.qlInterestRateIndexValueDate(Index,R13,Trigger)</f>
        <v>42586</v>
      </c>
      <c r="T13" s="28">
        <f>_xll.qlInterestRateIndexMaturity(Index,S13,Trigger)</f>
        <v>42678</v>
      </c>
      <c r="U13" s="30">
        <f>_xll.qlIndexFixing($M$5,R13,TRUE,InterestRatesTrigger)</f>
        <v>-1.975593001519099E-3</v>
      </c>
      <c r="V13" s="74">
        <f>_xll.qlIndexFixing(Index,R13,TRUE,InterestRatesTrigger)</f>
        <v>-6.6759052262972511E-4</v>
      </c>
      <c r="W13" s="30">
        <f t="shared" si="7"/>
        <v>1.3080024788893739E-3</v>
      </c>
      <c r="X13" s="29">
        <f>_xll.qlDayCounterYearFraction(DayCounter,SettlementDate,S13,,,Trigger)</f>
        <v>0.85277777777777775</v>
      </c>
      <c r="Y13" s="29">
        <f>_xll.qlDayCounterYearFraction(DayCounter,S13,T13)</f>
        <v>0.25555555555555554</v>
      </c>
      <c r="Z13" s="29">
        <f>IF($M$13,_xll.qlYieldTSDiscount(Currency&amp;"ON",S13)/(1+V13*Y13),1)</f>
        <v>1</v>
      </c>
      <c r="AA13" s="30">
        <f>_xll.qlTenorBasisValue(TenorBasis3M,S13,InterestRatesTrigger)</f>
        <v>1.3166489422933377E-3</v>
      </c>
      <c r="AB13" s="74">
        <f t="shared" si="0"/>
        <v>-6.589440592257613E-4</v>
      </c>
      <c r="AC13" s="76">
        <f t="shared" si="1"/>
        <v>0.98704825321680079</v>
      </c>
    </row>
    <row r="14" spans="1:29" x14ac:dyDescent="0.2">
      <c r="L14" s="45" t="s">
        <v>44</v>
      </c>
      <c r="M14" s="35" t="str">
        <f>_xll.qlAbcdCalibration2(,X3:X253,W3:W253,Z3:Z253,ContBasis,N8:N11,,,,Trigger)</f>
        <v>obj_005a0#0008</v>
      </c>
      <c r="P14" s="33">
        <v>1</v>
      </c>
      <c r="Q14" s="27" t="str">
        <f>_xll.qlPeriodEquivalent(Q13&amp;"+"&amp;P14&amp;"M")</f>
        <v>11M</v>
      </c>
      <c r="R14" s="28">
        <f>_xll.qlCalendarAdvance(Calendar,SettlementDate,Q14,"f",,Trigger)</f>
        <v>42615</v>
      </c>
      <c r="S14" s="28">
        <f>_xll.qlInterestRateIndexValueDate(Index,R14,Trigger)</f>
        <v>42619</v>
      </c>
      <c r="T14" s="28">
        <f>_xll.qlInterestRateIndexMaturity(Index,S14,Trigger)</f>
        <v>42710</v>
      </c>
      <c r="U14" s="30">
        <f>_xll.qlIndexFixing($M$5,R14,TRUE,InterestRatesTrigger)</f>
        <v>-1.9748368054911965E-3</v>
      </c>
      <c r="V14" s="74">
        <f>_xll.qlIndexFixing(Index,R14,TRUE,InterestRatesTrigger)</f>
        <v>-6.3935393128074973E-4</v>
      </c>
      <c r="W14" s="30">
        <f t="shared" si="7"/>
        <v>1.3354828742104469E-3</v>
      </c>
      <c r="X14" s="29">
        <f>_xll.qlDayCounterYearFraction(DayCounter,SettlementDate,S14,,,Trigger)</f>
        <v>0.94444444444444442</v>
      </c>
      <c r="Y14" s="29">
        <f>_xll.qlDayCounterYearFraction(DayCounter,S14,T14)</f>
        <v>0.25277777777777777</v>
      </c>
      <c r="Z14" s="29">
        <f>IF($M$13,_xll.qlYieldTSDiscount(Currency&amp;"ON",S14)/(1+V14*Y14),1)</f>
        <v>1</v>
      </c>
      <c r="AA14" s="30">
        <f>_xll.qlTenorBasisValue(TenorBasis3M,S14,InterestRatesTrigger)</f>
        <v>1.339816263477513E-3</v>
      </c>
      <c r="AB14" s="74">
        <f t="shared" si="0"/>
        <v>-6.3502054201368353E-4</v>
      </c>
      <c r="AC14" s="76">
        <f t="shared" si="1"/>
        <v>0.99322223723816705</v>
      </c>
    </row>
    <row r="15" spans="1:29" x14ac:dyDescent="0.2">
      <c r="L15" s="45" t="s">
        <v>38</v>
      </c>
      <c r="M15" s="35" t="b">
        <f>_xll.qlAbcdCalibration2Compute(M14,AllTriggers)</f>
        <v>1</v>
      </c>
      <c r="P15" s="33">
        <v>1</v>
      </c>
      <c r="Q15" s="27" t="str">
        <f>_xll.qlPeriodEquivalent(Q14&amp;"+"&amp;P15&amp;"M")</f>
        <v>1Y</v>
      </c>
      <c r="R15" s="28">
        <f>_xll.qlCalendarAdvance(Calendar,SettlementDate,Q15,"f",,Trigger)</f>
        <v>42646</v>
      </c>
      <c r="S15" s="28">
        <f>_xll.qlInterestRateIndexValueDate(Index,R15,Trigger)</f>
        <v>42648</v>
      </c>
      <c r="T15" s="28">
        <f>_xll.qlInterestRateIndexMaturity(Index,S15,Trigger)</f>
        <v>42740</v>
      </c>
      <c r="U15" s="30">
        <f>_xll.qlIndexFixing($M$5,R15,TRUE,InterestRatesTrigger)</f>
        <v>-1.9413846110826823E-3</v>
      </c>
      <c r="V15" s="74">
        <f>_xll.qlIndexFixing(Index,R15,TRUE,InterestRatesTrigger)</f>
        <v>-5.8526309471176516E-4</v>
      </c>
      <c r="W15" s="30">
        <f t="shared" si="7"/>
        <v>1.356121516370917E-3</v>
      </c>
      <c r="X15" s="29">
        <f>_xll.qlDayCounterYearFraction(DayCounter,SettlementDate,S15,,,Trigger)</f>
        <v>1.0249999999999999</v>
      </c>
      <c r="Y15" s="29">
        <f>_xll.qlDayCounterYearFraction(DayCounter,S15,T15)</f>
        <v>0.25555555555555554</v>
      </c>
      <c r="Z15" s="29">
        <f>IF($M$13,_xll.qlYieldTSDiscount(Currency&amp;"ON",S15)/(1+V15*Y15),1)</f>
        <v>1</v>
      </c>
      <c r="AA15" s="30">
        <f>_xll.qlTenorBasisValue(TenorBasis3M,S15,InterestRatesTrigger)</f>
        <v>1.3593804163444328E-3</v>
      </c>
      <c r="AB15" s="74">
        <f t="shared" si="0"/>
        <v>-5.8200419473824951E-4</v>
      </c>
      <c r="AC15" s="76">
        <f t="shared" si="1"/>
        <v>0.99443173505563232</v>
      </c>
    </row>
    <row r="16" spans="1:29" x14ac:dyDescent="0.2">
      <c r="L16" s="45" t="s">
        <v>35</v>
      </c>
      <c r="M16" s="43">
        <f>_xll.qlAbcdCalibration2Error(M14)</f>
        <v>4.5082157228234468E-4</v>
      </c>
      <c r="P16" s="33">
        <v>1</v>
      </c>
      <c r="Q16" s="27" t="str">
        <f>_xll.qlPeriodEquivalent(Q15&amp;"+"&amp;P16&amp;"M")</f>
        <v>1Y1M</v>
      </c>
      <c r="R16" s="28">
        <f>_xll.qlCalendarAdvance(Calendar,SettlementDate,Q16,"f",,Trigger)</f>
        <v>42676</v>
      </c>
      <c r="S16" s="28">
        <f>_xll.qlInterestRateIndexValueDate(Index,R16,Trigger)</f>
        <v>42678</v>
      </c>
      <c r="T16" s="28">
        <f>_xll.qlInterestRateIndexMaturity(Index,S16,Trigger)</f>
        <v>42772</v>
      </c>
      <c r="U16" s="30">
        <f>_xll.qlIndexFixing($M$5,R16,TRUE,InterestRatesTrigger)</f>
        <v>-1.9128208648239518E-3</v>
      </c>
      <c r="V16" s="74">
        <f>_xll.qlIndexFixing(Index,R16,TRUE,InterestRatesTrigger)</f>
        <v>-5.5282342601701607E-4</v>
      </c>
      <c r="W16" s="30">
        <f t="shared" si="7"/>
        <v>1.3599974388069356E-3</v>
      </c>
      <c r="X16" s="29">
        <f>_xll.qlDayCounterYearFraction(DayCounter,SettlementDate,S16,,,Trigger)</f>
        <v>1.1083333333333334</v>
      </c>
      <c r="Y16" s="29">
        <f>_xll.qlDayCounterYearFraction(DayCounter,S16,T16)</f>
        <v>0.26111111111111113</v>
      </c>
      <c r="Z16" s="29">
        <f>IF($M$13,_xll.qlYieldTSDiscount(Currency&amp;"ON",S16)/(1+V16*Y16),1)</f>
        <v>1</v>
      </c>
      <c r="AA16" s="30">
        <f>_xll.qlTenorBasisValue(TenorBasis3M,S16,InterestRatesTrigger)</f>
        <v>1.3788545681132627E-3</v>
      </c>
      <c r="AB16" s="74">
        <f t="shared" si="0"/>
        <v>-5.3396629671068909E-4</v>
      </c>
      <c r="AC16" s="76">
        <f t="shared" si="1"/>
        <v>0.9658894170925626</v>
      </c>
    </row>
    <row r="17" spans="12:29" x14ac:dyDescent="0.2">
      <c r="L17" s="45" t="s">
        <v>55</v>
      </c>
      <c r="M17" s="43">
        <f>_xll.qlAbcdCalibration2MaxError(M14)</f>
        <v>1.1860690436711675E-3</v>
      </c>
      <c r="P17" s="33">
        <v>1</v>
      </c>
      <c r="Q17" s="27" t="str">
        <f>_xll.qlPeriodEquivalent(Q16&amp;"+"&amp;P17&amp;"M")</f>
        <v>1Y2M</v>
      </c>
      <c r="R17" s="28">
        <f>_xll.qlCalendarAdvance(Calendar,SettlementDate,Q17,"f",,Trigger)</f>
        <v>42706</v>
      </c>
      <c r="S17" s="28">
        <f>_xll.qlInterestRateIndexValueDate(Index,R17,Trigger)</f>
        <v>42710</v>
      </c>
      <c r="T17" s="28">
        <f>_xll.qlInterestRateIndexMaturity(Index,S17,Trigger)</f>
        <v>42800</v>
      </c>
      <c r="U17" s="30">
        <f>_xll.qlIndexFixing($M$5,R17,TRUE,InterestRatesTrigger)</f>
        <v>-1.8676455041841677E-3</v>
      </c>
      <c r="V17" s="74">
        <f>_xll.qlIndexFixing(Index,R17,TRUE,InterestRatesTrigger)</f>
        <v>-5.0654000956118495E-4</v>
      </c>
      <c r="W17" s="30">
        <f t="shared" si="7"/>
        <v>1.3611054946229828E-3</v>
      </c>
      <c r="X17" s="29">
        <f>_xll.qlDayCounterYearFraction(DayCounter,SettlementDate,S17,,,Trigger)</f>
        <v>1.1972222222222222</v>
      </c>
      <c r="Y17" s="29">
        <f>_xll.qlDayCounterYearFraction(DayCounter,S17,T17)</f>
        <v>0.25</v>
      </c>
      <c r="Z17" s="29">
        <f>IF($M$13,_xll.qlYieldTSDiscount(Currency&amp;"ON",S17)/(1+V17*Y17),1)</f>
        <v>1</v>
      </c>
      <c r="AA17" s="30">
        <f>_xll.qlTenorBasisValue(TenorBasis3M,S17,InterestRatesTrigger)</f>
        <v>1.3987894869732704E-3</v>
      </c>
      <c r="AB17" s="74">
        <f t="shared" si="0"/>
        <v>-4.6885601721089734E-4</v>
      </c>
      <c r="AC17" s="76">
        <f t="shared" si="1"/>
        <v>0.92560510198802814</v>
      </c>
    </row>
    <row r="18" spans="12:29" x14ac:dyDescent="0.2">
      <c r="P18" s="33">
        <v>1</v>
      </c>
      <c r="Q18" s="27" t="str">
        <f>_xll.qlPeriodEquivalent(Q17&amp;"+"&amp;P18&amp;"M")</f>
        <v>1Y3M</v>
      </c>
      <c r="R18" s="28">
        <f>_xll.qlCalendarAdvance(Calendar,SettlementDate,Q18,"f",,Trigger)</f>
        <v>42737</v>
      </c>
      <c r="S18" s="28">
        <f>_xll.qlInterestRateIndexValueDate(Index,R18,Trigger)</f>
        <v>42739</v>
      </c>
      <c r="T18" s="28">
        <f>_xll.qlInterestRateIndexMaturity(Index,S18,Trigger)</f>
        <v>42829</v>
      </c>
      <c r="U18" s="30">
        <f>_xll.qlIndexFixing($M$5,R18,TRUE,InterestRatesTrigger)</f>
        <v>-1.8272405068584519E-3</v>
      </c>
      <c r="V18" s="74">
        <f>_xll.qlIndexFixing(Index,R18,TRUE,InterestRatesTrigger)</f>
        <v>-4.6586283986238541E-4</v>
      </c>
      <c r="W18" s="30">
        <f t="shared" si="7"/>
        <v>1.3613776669960664E-3</v>
      </c>
      <c r="X18" s="29">
        <f>_xll.qlDayCounterYearFraction(DayCounter,SettlementDate,S18,,,Trigger)</f>
        <v>1.2777777777777777</v>
      </c>
      <c r="Y18" s="29">
        <f>_xll.qlDayCounterYearFraction(DayCounter,S18,T18)</f>
        <v>0.25</v>
      </c>
      <c r="Z18" s="29">
        <f>IF($M$13,_xll.qlYieldTSDiscount(Currency&amp;"ON",S18)/(1+V18*Y18),1)</f>
        <v>1</v>
      </c>
      <c r="AA18" s="30">
        <f>_xll.qlTenorBasisValue(TenorBasis3M,S18,InterestRatesTrigger)</f>
        <v>1.416125865898973E-3</v>
      </c>
      <c r="AB18" s="74">
        <f t="shared" si="0"/>
        <v>-4.1111464095947882E-4</v>
      </c>
      <c r="AC18" s="76">
        <f t="shared" si="1"/>
        <v>0.88248000437407914</v>
      </c>
    </row>
    <row r="19" spans="12:29" x14ac:dyDescent="0.2">
      <c r="L19" s="71" t="s">
        <v>50</v>
      </c>
      <c r="M19" s="72"/>
      <c r="P19" s="33">
        <v>1</v>
      </c>
      <c r="Q19" s="27" t="str">
        <f>_xll.qlPeriodEquivalent(Q18&amp;"+"&amp;P19&amp;"M")</f>
        <v>1Y4M</v>
      </c>
      <c r="R19" s="28">
        <f>_xll.qlCalendarAdvance(Calendar,SettlementDate,Q19,"f",,Trigger)</f>
        <v>42768</v>
      </c>
      <c r="S19" s="28">
        <f>_xll.qlInterestRateIndexValueDate(Index,R19,Trigger)</f>
        <v>42772</v>
      </c>
      <c r="T19" s="28">
        <f>_xll.qlInterestRateIndexMaturity(Index,S19,Trigger)</f>
        <v>42863</v>
      </c>
      <c r="U19" s="30">
        <f>_xll.qlIndexFixing($M$5,R19,TRUE,InterestRatesTrigger)</f>
        <v>-1.7553223724718061E-3</v>
      </c>
      <c r="V19" s="74">
        <f>_xll.qlIndexFixing(Index,R19,TRUE,InterestRatesTrigger)</f>
        <v>-3.5990218372736654E-4</v>
      </c>
      <c r="W19" s="30">
        <f t="shared" si="7"/>
        <v>1.3954201887444396E-3</v>
      </c>
      <c r="X19" s="29">
        <f>_xll.qlDayCounterYearFraction(DayCounter,SettlementDate,S19,,,Trigger)</f>
        <v>1.3694444444444445</v>
      </c>
      <c r="Y19" s="29">
        <f>_xll.qlDayCounterYearFraction(DayCounter,S19,T19)</f>
        <v>0.25277777777777777</v>
      </c>
      <c r="Z19" s="29">
        <f>IF($M$13,_xll.qlYieldTSDiscount(Currency&amp;"ON",S19)/(1+V19*Y19),1)</f>
        <v>1</v>
      </c>
      <c r="AA19" s="30">
        <f>_xll.qlTenorBasisValue(TenorBasis3M,S19,InterestRatesTrigger)</f>
        <v>1.4350296139353483E-3</v>
      </c>
      <c r="AB19" s="74">
        <f t="shared" si="0"/>
        <v>-3.2029275853645784E-4</v>
      </c>
      <c r="AC19" s="76">
        <f t="shared" si="1"/>
        <v>0.88994391536975592</v>
      </c>
    </row>
    <row r="20" spans="12:29" x14ac:dyDescent="0.2">
      <c r="L20" s="45" t="s">
        <v>45</v>
      </c>
      <c r="M20" s="78">
        <f>_xll.qlAbcdCalibration2A($M$14,M15)</f>
        <v>8.784565821552318E-4</v>
      </c>
      <c r="P20" s="33">
        <v>1</v>
      </c>
      <c r="Q20" s="27" t="str">
        <f>_xll.qlPeriodEquivalent(Q19&amp;"+"&amp;P20&amp;"M")</f>
        <v>1Y5M</v>
      </c>
      <c r="R20" s="28">
        <f>_xll.qlCalendarAdvance(Calendar,SettlementDate,Q20,"f",,Trigger)</f>
        <v>42796</v>
      </c>
      <c r="S20" s="28">
        <f>_xll.qlInterestRateIndexValueDate(Index,R20,Trigger)</f>
        <v>42800</v>
      </c>
      <c r="T20" s="28">
        <f>_xll.qlInterestRateIndexMaturity(Index,S20,Trigger)</f>
        <v>42892</v>
      </c>
      <c r="U20" s="30">
        <f>_xll.qlIndexFixing($M$5,R20,TRUE,InterestRatesTrigger)</f>
        <v>-1.6990498873100139E-3</v>
      </c>
      <c r="V20" s="74">
        <f>_xll.qlIndexFixing(Index,R20,TRUE,InterestRatesTrigger)</f>
        <v>-2.5780698795861159E-4</v>
      </c>
      <c r="W20" s="30">
        <f t="shared" si="7"/>
        <v>1.4412428993514023E-3</v>
      </c>
      <c r="X20" s="29">
        <f>_xll.qlDayCounterYearFraction(DayCounter,SettlementDate,S20,,,Trigger)</f>
        <v>1.4472222222222222</v>
      </c>
      <c r="Y20" s="29">
        <f>_xll.qlDayCounterYearFraction(DayCounter,S20,T20)</f>
        <v>0.25555555555555554</v>
      </c>
      <c r="Z20" s="29">
        <f>IF($M$13,_xll.qlYieldTSDiscount(Currency&amp;"ON",S20)/(1+V20*Y20),1)</f>
        <v>1</v>
      </c>
      <c r="AA20" s="30">
        <f>_xll.qlTenorBasisValue(TenorBasis3M,S20,InterestRatesTrigger)</f>
        <v>1.4503971061245896E-3</v>
      </c>
      <c r="AB20" s="74">
        <f t="shared" si="0"/>
        <v>-2.4865278118542432E-4</v>
      </c>
      <c r="AC20" s="76">
        <f t="shared" si="1"/>
        <v>0.96449201456611844</v>
      </c>
    </row>
    <row r="21" spans="12:29" x14ac:dyDescent="0.2">
      <c r="L21" s="45" t="s">
        <v>46</v>
      </c>
      <c r="M21" s="79">
        <f>_xll.qlAbcdCalibration2B($M$14,M15)</f>
        <v>5.237126816991642E-4</v>
      </c>
      <c r="P21" s="33">
        <v>1</v>
      </c>
      <c r="Q21" s="27" t="str">
        <f>_xll.qlPeriodEquivalent(Q20&amp;"+"&amp;P21&amp;"M")</f>
        <v>1Y6M</v>
      </c>
      <c r="R21" s="28">
        <f>_xll.qlCalendarAdvance(Calendar,SettlementDate,Q21,"f",,Trigger)</f>
        <v>42828</v>
      </c>
      <c r="S21" s="28">
        <f>_xll.qlInterestRateIndexValueDate(Index,R21,Trigger)</f>
        <v>42830</v>
      </c>
      <c r="T21" s="28">
        <f>_xll.qlInterestRateIndexMaturity(Index,S21,Trigger)</f>
        <v>42921</v>
      </c>
      <c r="U21" s="30">
        <f>_xll.qlIndexFixing($M$5,R21,TRUE,InterestRatesTrigger)</f>
        <v>-1.6361615665793339E-3</v>
      </c>
      <c r="V21" s="74">
        <f>_xll.qlIndexFixing(Index,R21,TRUE,InterestRatesTrigger)</f>
        <v>-1.5129460726479119E-4</v>
      </c>
      <c r="W21" s="30">
        <f t="shared" si="7"/>
        <v>1.4848669593145428E-3</v>
      </c>
      <c r="X21" s="29">
        <f>_xll.qlDayCounterYearFraction(DayCounter,SettlementDate,S21,,,Trigger)</f>
        <v>1.5305555555555554</v>
      </c>
      <c r="Y21" s="29">
        <f>_xll.qlDayCounterYearFraction(DayCounter,S21,T21)</f>
        <v>0.25277777777777777</v>
      </c>
      <c r="Z21" s="29">
        <f>IF($M$13,_xll.qlYieldTSDiscount(Currency&amp;"ON",S21)/(1+V21*Y21),1)</f>
        <v>1</v>
      </c>
      <c r="AA21" s="30">
        <f>_xll.qlTenorBasisValue(TenorBasis3M,S21,InterestRatesTrigger)</f>
        <v>1.4661934973434375E-3</v>
      </c>
      <c r="AB21" s="74">
        <f t="shared" si="0"/>
        <v>-1.6996806923589647E-4</v>
      </c>
      <c r="AC21" s="76">
        <f t="shared" si="1"/>
        <v>1.1234245047374594</v>
      </c>
    </row>
    <row r="22" spans="12:29" x14ac:dyDescent="0.2">
      <c r="L22" s="45" t="s">
        <v>47</v>
      </c>
      <c r="M22" s="79">
        <f>_xll.qlAbcdCalibration2C($M$14,M15)</f>
        <v>0.16848487019121725</v>
      </c>
      <c r="P22" s="33">
        <v>3</v>
      </c>
      <c r="Q22" s="27" t="str">
        <f>_xll.qlPeriodEquivalent(Q21&amp;"+"&amp;P22&amp;"M")</f>
        <v>1Y9M</v>
      </c>
      <c r="R22" s="28">
        <f>_xll.qlCalendarAdvance(Calendar,SettlementDate,Q22,"f",,Trigger)</f>
        <v>42919</v>
      </c>
      <c r="S22" s="28">
        <f>_xll.qlInterestRateIndexValueDate(Index,R22,Trigger)</f>
        <v>42921</v>
      </c>
      <c r="T22" s="28">
        <f>_xll.qlInterestRateIndexMaturity(Index,S22,Trigger)</f>
        <v>43013</v>
      </c>
      <c r="U22" s="30">
        <f>_xll.qlIndexFixing($M$5,R22,TRUE,InterestRatesTrigger)</f>
        <v>-1.3506826046503508E-3</v>
      </c>
      <c r="V22" s="74">
        <f>_xll.qlIndexFixing(Index,R22,TRUE,InterestRatesTrigger)</f>
        <v>1.7765175845787712E-4</v>
      </c>
      <c r="W22" s="30">
        <f t="shared" si="7"/>
        <v>1.5283343631082278E-3</v>
      </c>
      <c r="X22" s="29">
        <f>_xll.qlDayCounterYearFraction(DayCounter,SettlementDate,S22,,,Trigger)</f>
        <v>1.7833333333333334</v>
      </c>
      <c r="Y22" s="29">
        <f>_xll.qlDayCounterYearFraction(DayCounter,S22,T22)</f>
        <v>0.25555555555555554</v>
      </c>
      <c r="Z22" s="29">
        <f>IF($M$13,_xll.qlYieldTSDiscount(Currency&amp;"ON",S22)/(1+V22*Y22),1)</f>
        <v>1</v>
      </c>
      <c r="AA22" s="30">
        <f>_xll.qlTenorBasisValue(TenorBasis3M,S22,InterestRatesTrigger)</f>
        <v>1.5100366833913415E-3</v>
      </c>
      <c r="AB22" s="74">
        <f t="shared" si="0"/>
        <v>1.5935407874099073E-4</v>
      </c>
      <c r="AC22" s="76">
        <f t="shared" si="1"/>
        <v>0.89700254095022125</v>
      </c>
    </row>
    <row r="23" spans="12:29" x14ac:dyDescent="0.2">
      <c r="L23" s="45" t="s">
        <v>48</v>
      </c>
      <c r="M23" s="78">
        <f>_xll.qlAbcdCalibration2D($M$14,M15)</f>
        <v>1.7197091150438837E-4</v>
      </c>
      <c r="P23" s="33">
        <v>3</v>
      </c>
      <c r="Q23" s="27" t="str">
        <f>_xll.qlPeriodEquivalent(Q22&amp;"+"&amp;P23&amp;"M")</f>
        <v>2Y</v>
      </c>
      <c r="R23" s="28">
        <f>_xll.qlCalendarAdvance(Calendar,SettlementDate,Q23,"f",,Trigger)</f>
        <v>43010</v>
      </c>
      <c r="S23" s="28">
        <f>_xll.qlInterestRateIndexValueDate(Index,R23,Trigger)</f>
        <v>43012</v>
      </c>
      <c r="T23" s="28">
        <f>_xll.qlInterestRateIndexMaturity(Index,S23,Trigger)</f>
        <v>43104</v>
      </c>
      <c r="U23" s="30">
        <f>_xll.qlIndexFixing($M$5,R23,TRUE,InterestRatesTrigger)</f>
        <v>-9.229615486153319E-4</v>
      </c>
      <c r="V23" s="74">
        <f>_xll.qlIndexFixing(Index,R23,TRUE,InterestRatesTrigger)</f>
        <v>6.0954534702108219E-4</v>
      </c>
      <c r="W23" s="30">
        <f t="shared" si="7"/>
        <v>1.5325068956364141E-3</v>
      </c>
      <c r="X23" s="29">
        <f>_xll.qlDayCounterYearFraction(DayCounter,SettlementDate,S23,,,Trigger)</f>
        <v>2.036111111111111</v>
      </c>
      <c r="Y23" s="29">
        <f>_xll.qlDayCounterYearFraction(DayCounter,S23,T23)</f>
        <v>0.25555555555555554</v>
      </c>
      <c r="Z23" s="29">
        <f>IF($M$13,_xll.qlYieldTSDiscount(Currency&amp;"ON",S23)/(1+V23*Y23),1)</f>
        <v>1</v>
      </c>
      <c r="AA23" s="30">
        <f>_xll.qlTenorBasisValue(TenorBasis3M,S23,InterestRatesTrigger)</f>
        <v>1.5480827969556006E-3</v>
      </c>
      <c r="AB23" s="74">
        <f t="shared" si="0"/>
        <v>6.2512124834026867E-4</v>
      </c>
      <c r="AC23" s="76">
        <f t="shared" si="1"/>
        <v>1.0255533101766878</v>
      </c>
    </row>
    <row r="24" spans="12:29" x14ac:dyDescent="0.2">
      <c r="L24" s="45" t="s">
        <v>49</v>
      </c>
      <c r="M24" s="35" t="str">
        <f>_xll.qlAbcdTenorBasis(,Index,Currency&amp;"ON",SettlementDate,TRUE,M20:M23,,Trigger)</f>
        <v>obj_005a1#0008</v>
      </c>
      <c r="P24" s="33">
        <v>3</v>
      </c>
      <c r="Q24" s="27" t="str">
        <f>_xll.qlPeriodEquivalent(Q23&amp;"+"&amp;P24&amp;"M")</f>
        <v>2Y3M</v>
      </c>
      <c r="R24" s="28">
        <f>_xll.qlCalendarAdvance(Calendar,SettlementDate,Q24,"f",,Trigger)</f>
        <v>43102</v>
      </c>
      <c r="S24" s="28">
        <f>_xll.qlInterestRateIndexValueDate(Index,R24,Trigger)</f>
        <v>43104</v>
      </c>
      <c r="T24" s="28">
        <f>_xll.qlInterestRateIndexMaturity(Index,S24,Trigger)</f>
        <v>43194</v>
      </c>
      <c r="U24" s="30">
        <f>_xll.qlIndexFixing($M$5,R24,TRUE,InterestRatesTrigger)</f>
        <v>-4.189368443250352E-4</v>
      </c>
      <c r="V24" s="74">
        <f>_xll.qlIndexFixing(Index,R24,TRUE,InterestRatesTrigger)</f>
        <v>1.2340606773353358E-3</v>
      </c>
      <c r="W24" s="30">
        <f t="shared" si="7"/>
        <v>1.6529975216603709E-3</v>
      </c>
      <c r="X24" s="29">
        <f>_xll.qlDayCounterYearFraction(DayCounter,SettlementDate,S24,,,Trigger)</f>
        <v>2.2916666666666665</v>
      </c>
      <c r="Y24" s="29">
        <f>_xll.qlDayCounterYearFraction(DayCounter,S24,T24)</f>
        <v>0.25</v>
      </c>
      <c r="Z24" s="29">
        <f>IF($M$13,_xll.qlYieldTSDiscount(Currency&amp;"ON",S24)/(1+V24*Y24),1)</f>
        <v>1</v>
      </c>
      <c r="AA24" s="30">
        <f>_xll.qlTenorBasisValue(TenorBasis3M,S24,InterestRatesTrigger)</f>
        <v>1.5810648625726943E-3</v>
      </c>
      <c r="AB24" s="74">
        <f t="shared" si="0"/>
        <v>1.1621280182476591E-3</v>
      </c>
      <c r="AC24" s="76">
        <f t="shared" si="1"/>
        <v>0.9417105978589333</v>
      </c>
    </row>
    <row r="25" spans="12:29" x14ac:dyDescent="0.2">
      <c r="M25" s="42"/>
      <c r="P25" s="33">
        <v>3</v>
      </c>
      <c r="Q25" s="27" t="str">
        <f>_xll.qlPeriodEquivalent(Q24&amp;"+"&amp;P25&amp;"M")</f>
        <v>2Y6M</v>
      </c>
      <c r="R25" s="28">
        <f>_xll.qlCalendarAdvance(Calendar,SettlementDate,Q25,"f",,Trigger)</f>
        <v>43193</v>
      </c>
      <c r="S25" s="28">
        <f>_xll.qlInterestRateIndexValueDate(Index,R25,Trigger)</f>
        <v>43195</v>
      </c>
      <c r="T25" s="28">
        <f>_xll.qlInterestRateIndexMaturity(Index,S25,Trigger)</f>
        <v>43286</v>
      </c>
      <c r="U25" s="30">
        <f>_xll.qlIndexFixing($M$5,R25,TRUE,InterestRatesTrigger)</f>
        <v>1.4793180995516624E-4</v>
      </c>
      <c r="V25" s="74">
        <f>_xll.qlIndexFixing(Index,R25,TRUE,InterestRatesTrigger)</f>
        <v>1.8927683255501103E-3</v>
      </c>
      <c r="W25" s="30">
        <f t="shared" ref="W25:W88" si="9">V25-U25</f>
        <v>1.744836515594944E-3</v>
      </c>
      <c r="X25" s="29">
        <f>_xll.qlDayCounterYearFraction(DayCounter,SettlementDate,S25,,,Trigger)</f>
        <v>2.5444444444444443</v>
      </c>
      <c r="Y25" s="29">
        <f>_xll.qlDayCounterYearFraction(DayCounter,S25,T25)</f>
        <v>0.25277777777777777</v>
      </c>
      <c r="Z25" s="29">
        <f>IF($M$13,_xll.qlYieldTSDiscount(Currency&amp;"ON",S25)/(1+V25*Y25),1)</f>
        <v>1</v>
      </c>
      <c r="AA25" s="30">
        <f>_xll.qlTenorBasisValue(TenorBasis3M,S25,InterestRatesTrigger)</f>
        <v>1.6086486565916073E-3</v>
      </c>
      <c r="AB25" s="74">
        <f t="shared" ref="AB25:AB88" si="10">AA25+U25</f>
        <v>1.7565804665467736E-3</v>
      </c>
      <c r="AC25" s="76">
        <f t="shared" ref="AC25:AC88" si="11">AB25/V25</f>
        <v>0.92804832098838341</v>
      </c>
    </row>
    <row r="26" spans="12:29" x14ac:dyDescent="0.2">
      <c r="P26" s="33">
        <v>3</v>
      </c>
      <c r="Q26" s="27" t="str">
        <f>_xll.qlPeriodEquivalent(Q25&amp;"+"&amp;P26&amp;"M")</f>
        <v>2Y9M</v>
      </c>
      <c r="R26" s="28">
        <f>_xll.qlCalendarAdvance(Calendar,SettlementDate,Q26,"f",,Trigger)</f>
        <v>43283</v>
      </c>
      <c r="S26" s="28">
        <f>_xll.qlInterestRateIndexValueDate(Index,R26,Trigger)</f>
        <v>43285</v>
      </c>
      <c r="T26" s="28">
        <f>_xll.qlInterestRateIndexMaturity(Index,S26,Trigger)</f>
        <v>43377</v>
      </c>
      <c r="U26" s="30">
        <f>_xll.qlIndexFixing($M$5,R26,TRUE,InterestRatesTrigger)</f>
        <v>7.6772455957800818E-4</v>
      </c>
      <c r="V26" s="74">
        <f>_xll.qlIndexFixing(Index,R26,TRUE,InterestRatesTrigger)</f>
        <v>2.5457381857187161E-3</v>
      </c>
      <c r="W26" s="30">
        <f t="shared" si="9"/>
        <v>1.778013626140708E-3</v>
      </c>
      <c r="X26" s="29">
        <f>_xll.qlDayCounterYearFraction(DayCounter,SettlementDate,S26,,,Trigger)</f>
        <v>2.7944444444444443</v>
      </c>
      <c r="Y26" s="29">
        <f>_xll.qlDayCounterYearFraction(DayCounter,S26,T26)</f>
        <v>0.25555555555555554</v>
      </c>
      <c r="Z26" s="29">
        <f>IF($M$13,_xll.qlYieldTSDiscount(Currency&amp;"ON",S26)/(1+V26*Y26),1)</f>
        <v>1</v>
      </c>
      <c r="AA26" s="30">
        <f>_xll.qlTenorBasisValue(TenorBasis3M,S26,InterestRatesTrigger)</f>
        <v>1.6313507653625101E-3</v>
      </c>
      <c r="AB26" s="74">
        <f t="shared" si="10"/>
        <v>2.3990753249405181E-3</v>
      </c>
      <c r="AC26" s="76">
        <f t="shared" si="11"/>
        <v>0.94238886716593284</v>
      </c>
    </row>
    <row r="27" spans="12:29" x14ac:dyDescent="0.2">
      <c r="L27" s="71" t="s">
        <v>52</v>
      </c>
      <c r="M27" s="72"/>
      <c r="P27" s="33">
        <v>3</v>
      </c>
      <c r="Q27" s="27" t="str">
        <f>_xll.qlPeriodEquivalent(Q26&amp;"+"&amp;P27&amp;"M")</f>
        <v>3Y</v>
      </c>
      <c r="R27" s="28">
        <f>_xll.qlCalendarAdvance(Calendar,SettlementDate,Q27,"f",,Trigger)</f>
        <v>43375</v>
      </c>
      <c r="S27" s="28">
        <f>_xll.qlInterestRateIndexValueDate(Index,R27,Trigger)</f>
        <v>43377</v>
      </c>
      <c r="T27" s="28">
        <f>_xll.qlInterestRateIndexMaturity(Index,S27,Trigger)</f>
        <v>43469</v>
      </c>
      <c r="U27" s="30">
        <f>_xll.qlIndexFixing($M$5,R27,TRUE,InterestRatesTrigger)</f>
        <v>1.4452332386716766E-3</v>
      </c>
      <c r="V27" s="74">
        <f>_xll.qlIndexFixing(Index,R27,TRUE,InterestRatesTrigger)</f>
        <v>3.2113990102471306E-3</v>
      </c>
      <c r="W27" s="30">
        <f t="shared" si="9"/>
        <v>1.766165771575454E-3</v>
      </c>
      <c r="X27" s="29">
        <f>_xll.qlDayCounterYearFraction(DayCounter,SettlementDate,S27,,,Trigger)</f>
        <v>3.05</v>
      </c>
      <c r="Y27" s="29">
        <f>_xll.qlDayCounterYearFraction(DayCounter,S27,T27)</f>
        <v>0.25555555555555554</v>
      </c>
      <c r="Z27" s="29">
        <f>IF($M$13,_xll.qlYieldTSDiscount(Currency&amp;"ON",S27)/(1+V27*Y27),1)</f>
        <v>1</v>
      </c>
      <c r="AA27" s="30">
        <f>_xll.qlTenorBasisValue(TenorBasis3M,S27,InterestRatesTrigger)</f>
        <v>1.6501911421941888E-3</v>
      </c>
      <c r="AB27" s="74">
        <f t="shared" si="10"/>
        <v>3.0954243808658652E-3</v>
      </c>
      <c r="AC27" s="76">
        <f t="shared" si="11"/>
        <v>0.96388657123851429</v>
      </c>
    </row>
    <row r="28" spans="12:29" x14ac:dyDescent="0.2">
      <c r="L28" s="45" t="s">
        <v>45</v>
      </c>
      <c r="M28" s="78">
        <f t="array" ref="M28:M31">_xll.qlTenorInstCoefficients(M24)</f>
        <v>8.2854515321897199E-4</v>
      </c>
      <c r="P28" s="33">
        <v>3</v>
      </c>
      <c r="Q28" s="27" t="str">
        <f>_xll.qlPeriodEquivalent(Q27&amp;"+"&amp;P28&amp;"M")</f>
        <v>3Y3M</v>
      </c>
      <c r="R28" s="28">
        <f>_xll.qlCalendarAdvance(Calendar,SettlementDate,Q28,"f",,Trigger)</f>
        <v>43467</v>
      </c>
      <c r="S28" s="28">
        <f>_xll.qlInterestRateIndexValueDate(Index,R28,Trigger)</f>
        <v>43469</v>
      </c>
      <c r="T28" s="28">
        <f>_xll.qlInterestRateIndexMaturity(Index,S28,Trigger)</f>
        <v>43559</v>
      </c>
      <c r="U28" s="30">
        <f>_xll.qlIndexFixing($M$5,R28,TRUE,InterestRatesTrigger)</f>
        <v>2.1155096097063009E-3</v>
      </c>
      <c r="V28" s="74">
        <f>_xll.qlIndexFixing(Index,R28,TRUE,InterestRatesTrigger)</f>
        <v>3.8730703876721506E-3</v>
      </c>
      <c r="W28" s="30">
        <f t="shared" si="9"/>
        <v>1.7575607779658498E-3</v>
      </c>
      <c r="X28" s="29">
        <f>_xll.qlDayCounterYearFraction(DayCounter,SettlementDate,S28,,,Trigger)</f>
        <v>3.3055555555555554</v>
      </c>
      <c r="Y28" s="29">
        <f>_xll.qlDayCounterYearFraction(DayCounter,S28,T28)</f>
        <v>0.25</v>
      </c>
      <c r="Z28" s="29">
        <f>IF($M$13,_xll.qlYieldTSDiscount(Currency&amp;"ON",S28)/(1+V28*Y28),1)</f>
        <v>1</v>
      </c>
      <c r="AA28" s="30">
        <f>_xll.qlTenorBasisValue(TenorBasis3M,S28,InterestRatesTrigger)</f>
        <v>1.6649419056545198E-3</v>
      </c>
      <c r="AB28" s="74">
        <f t="shared" si="10"/>
        <v>3.7804515153608206E-3</v>
      </c>
      <c r="AC28" s="76">
        <f t="shared" si="11"/>
        <v>0.97608644743298945</v>
      </c>
    </row>
    <row r="29" spans="12:29" x14ac:dyDescent="0.2">
      <c r="L29" s="45" t="s">
        <v>46</v>
      </c>
      <c r="M29" s="79">
        <v>5.3531706258786946E-4</v>
      </c>
      <c r="P29" s="33">
        <v>3</v>
      </c>
      <c r="Q29" s="27" t="str">
        <f>_xll.qlPeriodEquivalent(Q28&amp;"+"&amp;P29&amp;"M")</f>
        <v>3Y6M</v>
      </c>
      <c r="R29" s="28">
        <f>_xll.qlCalendarAdvance(Calendar,SettlementDate,Q29,"f",,Trigger)</f>
        <v>43557</v>
      </c>
      <c r="S29" s="28">
        <f>_xll.qlInterestRateIndexValueDate(Index,R29,Trigger)</f>
        <v>43559</v>
      </c>
      <c r="T29" s="28">
        <f>_xll.qlInterestRateIndexMaturity(Index,S29,Trigger)</f>
        <v>43650</v>
      </c>
      <c r="U29" s="30">
        <f>_xll.qlIndexFixing($M$5,R29,TRUE,InterestRatesTrigger)</f>
        <v>2.7712500501171407E-3</v>
      </c>
      <c r="V29" s="74">
        <f>_xll.qlIndexFixing(Index,R29,TRUE,InterestRatesTrigger)</f>
        <v>4.5347553110722406E-3</v>
      </c>
      <c r="W29" s="30">
        <f t="shared" si="9"/>
        <v>1.7635052609550998E-3</v>
      </c>
      <c r="X29" s="29">
        <f>_xll.qlDayCounterYearFraction(DayCounter,SettlementDate,S29,,,Trigger)</f>
        <v>3.5555555555555554</v>
      </c>
      <c r="Y29" s="29">
        <f>_xll.qlDayCounterYearFraction(DayCounter,S29,T29)</f>
        <v>0.25277777777777777</v>
      </c>
      <c r="Z29" s="29">
        <f>IF($M$13,_xll.qlYieldTSDiscount(Currency&amp;"ON",S29)/(1+V29*Y29),1)</f>
        <v>1</v>
      </c>
      <c r="AA29" s="30">
        <f>_xll.qlTenorBasisValue(TenorBasis3M,S29,InterestRatesTrigger)</f>
        <v>1.6757102723108214E-3</v>
      </c>
      <c r="AB29" s="74">
        <f t="shared" si="10"/>
        <v>4.4469603224279626E-3</v>
      </c>
      <c r="AC29" s="76">
        <f t="shared" si="11"/>
        <v>0.98063953121573855</v>
      </c>
    </row>
    <row r="30" spans="12:29" x14ac:dyDescent="0.2">
      <c r="L30" s="45" t="s">
        <v>47</v>
      </c>
      <c r="M30" s="79">
        <v>0.16848487019121725</v>
      </c>
      <c r="P30" s="33">
        <v>3</v>
      </c>
      <c r="Q30" s="27" t="str">
        <f>_xll.qlPeriodEquivalent(Q29&amp;"+"&amp;P30&amp;"M")</f>
        <v>3Y9M</v>
      </c>
      <c r="R30" s="28">
        <f>_xll.qlCalendarAdvance(Calendar,SettlementDate,Q30,"f",,Trigger)</f>
        <v>43648</v>
      </c>
      <c r="S30" s="28">
        <f>_xll.qlInterestRateIndexValueDate(Index,R30,Trigger)</f>
        <v>43650</v>
      </c>
      <c r="T30" s="28">
        <f>_xll.qlInterestRateIndexMaturity(Index,S30,Trigger)</f>
        <v>43742</v>
      </c>
      <c r="U30" s="30">
        <f>_xll.qlIndexFixing($M$5,R30,TRUE,InterestRatesTrigger)</f>
        <v>3.4232526957485602E-3</v>
      </c>
      <c r="V30" s="74">
        <f>_xll.qlIndexFixing(Index,R30,TRUE,InterestRatesTrigger)</f>
        <v>5.2074034556374212E-3</v>
      </c>
      <c r="W30" s="30">
        <f t="shared" si="9"/>
        <v>1.784150759888861E-3</v>
      </c>
      <c r="X30" s="29">
        <f>_xll.qlDayCounterYearFraction(DayCounter,SettlementDate,S30,,,Trigger)</f>
        <v>3.8083333333333331</v>
      </c>
      <c r="Y30" s="29">
        <f>_xll.qlDayCounterYearFraction(DayCounter,S30,T30)</f>
        <v>0.25555555555555554</v>
      </c>
      <c r="Z30" s="29">
        <f>IF($M$13,_xll.qlYieldTSDiscount(Currency&amp;"ON",S30)/(1+V30*Y30),1)</f>
        <v>1</v>
      </c>
      <c r="AA30" s="30">
        <f>_xll.qlTenorBasisValue(TenorBasis3M,S30,InterestRatesTrigger)</f>
        <v>1.6831945967987058E-3</v>
      </c>
      <c r="AB30" s="74">
        <f t="shared" si="10"/>
        <v>5.106447292547266E-3</v>
      </c>
      <c r="AC30" s="76">
        <f t="shared" si="11"/>
        <v>0.98061295539125892</v>
      </c>
    </row>
    <row r="31" spans="12:29" x14ac:dyDescent="0.2">
      <c r="L31" s="45" t="s">
        <v>48</v>
      </c>
      <c r="M31" s="78">
        <v>1.7197091150438837E-4</v>
      </c>
      <c r="P31" s="33">
        <v>3</v>
      </c>
      <c r="Q31" s="27" t="str">
        <f>_xll.qlPeriodEquivalent(Q30&amp;"+"&amp;P31&amp;"M")</f>
        <v>4Y</v>
      </c>
      <c r="R31" s="28">
        <f>_xll.qlCalendarAdvance(Calendar,SettlementDate,Q31,"f",,Trigger)</f>
        <v>43740</v>
      </c>
      <c r="S31" s="28">
        <f>_xll.qlInterestRateIndexValueDate(Index,R31,Trigger)</f>
        <v>43742</v>
      </c>
      <c r="T31" s="28">
        <f>_xll.qlInterestRateIndexMaturity(Index,S31,Trigger)</f>
        <v>43836</v>
      </c>
      <c r="U31" s="30">
        <f>_xll.qlIndexFixing($M$5,R31,TRUE,InterestRatesTrigger)</f>
        <v>4.0917684137036503E-3</v>
      </c>
      <c r="V31" s="74">
        <f>_xll.qlIndexFixing(Index,R31,TRUE,InterestRatesTrigger)</f>
        <v>5.902334117233495E-3</v>
      </c>
      <c r="W31" s="30">
        <f t="shared" si="9"/>
        <v>1.8105657035298447E-3</v>
      </c>
      <c r="X31" s="29">
        <f>_xll.qlDayCounterYearFraction(DayCounter,SettlementDate,S31,,,Trigger)</f>
        <v>4.0638888888888891</v>
      </c>
      <c r="Y31" s="29">
        <f>_xll.qlDayCounterYearFraction(DayCounter,S31,T31)</f>
        <v>0.26111111111111113</v>
      </c>
      <c r="Z31" s="29">
        <f>IF($M$13,_xll.qlYieldTSDiscount(Currency&amp;"ON",S31)/(1+V31*Y31),1)</f>
        <v>1</v>
      </c>
      <c r="AA31" s="30">
        <f>_xll.qlTenorBasisValue(TenorBasis3M,S31,InterestRatesTrigger)</f>
        <v>1.6875495123672771E-3</v>
      </c>
      <c r="AB31" s="74">
        <f t="shared" si="10"/>
        <v>5.7793179260709274E-3</v>
      </c>
      <c r="AC31" s="76">
        <f t="shared" si="11"/>
        <v>0.97915804345887703</v>
      </c>
    </row>
    <row r="32" spans="12:29" x14ac:dyDescent="0.2">
      <c r="M32" s="42"/>
      <c r="P32" s="33">
        <v>3</v>
      </c>
      <c r="Q32" s="27" t="str">
        <f>_xll.qlPeriodEquivalent(Q31&amp;"+"&amp;P32&amp;"M")</f>
        <v>4Y3M</v>
      </c>
      <c r="R32" s="28">
        <f>_xll.qlCalendarAdvance(Calendar,SettlementDate,Q32,"f",,Trigger)</f>
        <v>43832</v>
      </c>
      <c r="S32" s="28">
        <f>_xll.qlInterestRateIndexValueDate(Index,R32,Trigger)</f>
        <v>43836</v>
      </c>
      <c r="T32" s="28">
        <f>_xll.qlInterestRateIndexMaturity(Index,S32,Trigger)</f>
        <v>43927</v>
      </c>
      <c r="U32" s="30">
        <f>_xll.qlIndexFixing($M$5,R32,TRUE,InterestRatesTrigger)</f>
        <v>4.8242277656985371E-3</v>
      </c>
      <c r="V32" s="74">
        <f>_xll.qlIndexFixing(Index,R32,TRUE,InterestRatesTrigger)</f>
        <v>6.631277396100102E-3</v>
      </c>
      <c r="W32" s="30">
        <f t="shared" si="9"/>
        <v>1.807049630401565E-3</v>
      </c>
      <c r="X32" s="29">
        <f>_xll.qlDayCounterYearFraction(DayCounter,SettlementDate,S32,,,Trigger)</f>
        <v>4.3250000000000002</v>
      </c>
      <c r="Y32" s="29">
        <f>_xll.qlDayCounterYearFraction(DayCounter,S32,T32)</f>
        <v>0.25277777777777777</v>
      </c>
      <c r="Z32" s="29">
        <f>IF($M$13,_xll.qlYieldTSDiscount(Currency&amp;"ON",S32)/(1+V32*Y32),1)</f>
        <v>1</v>
      </c>
      <c r="AA32" s="30">
        <f>_xll.qlTenorBasisValue(TenorBasis3M,S32,InterestRatesTrigger)</f>
        <v>1.6889285427783541E-3</v>
      </c>
      <c r="AB32" s="74">
        <f t="shared" si="10"/>
        <v>6.5131563084768907E-3</v>
      </c>
      <c r="AC32" s="76">
        <f t="shared" si="11"/>
        <v>0.98218727998127797</v>
      </c>
    </row>
    <row r="33" spans="16:29" x14ac:dyDescent="0.2">
      <c r="P33" s="33">
        <v>3</v>
      </c>
      <c r="Q33" s="27" t="str">
        <f>_xll.qlPeriodEquivalent(Q32&amp;"+"&amp;P33&amp;"M")</f>
        <v>4Y6M</v>
      </c>
      <c r="R33" s="28">
        <f>_xll.qlCalendarAdvance(Calendar,SettlementDate,Q33,"f",,Trigger)</f>
        <v>43923</v>
      </c>
      <c r="S33" s="28">
        <f>_xll.qlInterestRateIndexValueDate(Index,R33,Trigger)</f>
        <v>43927</v>
      </c>
      <c r="T33" s="28">
        <f>_xll.qlInterestRateIndexMaturity(Index,S33,Trigger)</f>
        <v>44018</v>
      </c>
      <c r="U33" s="30">
        <f>_xll.qlIndexFixing($M$5,R33,TRUE,InterestRatesTrigger)</f>
        <v>5.6253039454205473E-3</v>
      </c>
      <c r="V33" s="74">
        <f>_xll.qlIndexFixing(Index,R33,TRUE,InterestRatesTrigger)</f>
        <v>7.3919174906781192E-3</v>
      </c>
      <c r="W33" s="30">
        <f t="shared" si="9"/>
        <v>1.7666135452575719E-3</v>
      </c>
      <c r="X33" s="29">
        <f>_xll.qlDayCounterYearFraction(DayCounter,SettlementDate,S33,,,Trigger)</f>
        <v>4.5777777777777775</v>
      </c>
      <c r="Y33" s="29">
        <f>_xll.qlDayCounterYearFraction(DayCounter,S33,T33)</f>
        <v>0.25277777777777777</v>
      </c>
      <c r="Z33" s="29">
        <f>IF($M$13,_xll.qlYieldTSDiscount(Currency&amp;"ON",S33)/(1+V33*Y33),1)</f>
        <v>1</v>
      </c>
      <c r="AA33" s="30">
        <f>_xll.qlTenorBasisValue(TenorBasis3M,S33,InterestRatesTrigger)</f>
        <v>1.6875462417369597E-3</v>
      </c>
      <c r="AB33" s="74">
        <f t="shared" si="10"/>
        <v>7.3128501871575075E-3</v>
      </c>
      <c r="AC33" s="76">
        <f t="shared" si="11"/>
        <v>0.98930354625571471</v>
      </c>
    </row>
    <row r="34" spans="16:29" x14ac:dyDescent="0.2">
      <c r="P34" s="33">
        <v>3</v>
      </c>
      <c r="Q34" s="27" t="str">
        <f>_xll.qlPeriodEquivalent(Q33&amp;"+"&amp;P34&amp;"M")</f>
        <v>4Y9M</v>
      </c>
      <c r="R34" s="28">
        <f>_xll.qlCalendarAdvance(Calendar,SettlementDate,Q34,"f",,Trigger)</f>
        <v>44014</v>
      </c>
      <c r="S34" s="28">
        <f>_xll.qlInterestRateIndexValueDate(Index,R34,Trigger)</f>
        <v>44018</v>
      </c>
      <c r="T34" s="28">
        <f>_xll.qlInterestRateIndexMaturity(Index,S34,Trigger)</f>
        <v>44110</v>
      </c>
      <c r="U34" s="30">
        <f>_xll.qlIndexFixing($M$5,R34,TRUE,InterestRatesTrigger)</f>
        <v>6.5111697036003141E-3</v>
      </c>
      <c r="V34" s="74">
        <f>_xll.qlIndexFixing(Index,R34,TRUE,InterestRatesTrigger)</f>
        <v>8.2001517090816694E-3</v>
      </c>
      <c r="W34" s="30">
        <f t="shared" si="9"/>
        <v>1.6889820054813553E-3</v>
      </c>
      <c r="X34" s="29">
        <f>_xll.qlDayCounterYearFraction(DayCounter,SettlementDate,S34,,,Trigger)</f>
        <v>4.8305555555555557</v>
      </c>
      <c r="Y34" s="29">
        <f>_xll.qlDayCounterYearFraction(DayCounter,S34,T34)</f>
        <v>0.25555555555555554</v>
      </c>
      <c r="Z34" s="29">
        <f>IF($M$13,_xll.qlYieldTSDiscount(Currency&amp;"ON",S34)/(1+V34*Y34),1)</f>
        <v>1</v>
      </c>
      <c r="AA34" s="30">
        <f>_xll.qlTenorBasisValue(TenorBasis3M,S34,InterestRatesTrigger)</f>
        <v>1.6837107391797852E-3</v>
      </c>
      <c r="AB34" s="74">
        <f t="shared" si="10"/>
        <v>8.1948804427800989E-3</v>
      </c>
      <c r="AC34" s="76">
        <f t="shared" si="11"/>
        <v>0.99935717453913286</v>
      </c>
    </row>
    <row r="35" spans="16:29" x14ac:dyDescent="0.2">
      <c r="P35" s="33">
        <v>3</v>
      </c>
      <c r="Q35" s="27" t="str">
        <f>_xll.qlPeriodEquivalent(Q34&amp;"+"&amp;P35&amp;"M")</f>
        <v>5Y</v>
      </c>
      <c r="R35" s="28">
        <f>_xll.qlCalendarAdvance(Calendar,SettlementDate,Q35,"f",,Trigger)</f>
        <v>44106</v>
      </c>
      <c r="S35" s="28">
        <f>_xll.qlInterestRateIndexValueDate(Index,R35,Trigger)</f>
        <v>44110</v>
      </c>
      <c r="T35" s="28">
        <f>_xll.qlInterestRateIndexMaturity(Index,S35,Trigger)</f>
        <v>44202</v>
      </c>
      <c r="U35" s="30">
        <f>_xll.qlIndexFixing($M$5,R35,TRUE,InterestRatesTrigger)</f>
        <v>7.4563540866100656E-3</v>
      </c>
      <c r="V35" s="74">
        <f>_xll.qlIndexFixing(Index,R35,TRUE,InterestRatesTrigger)</f>
        <v>9.0434029980346331E-3</v>
      </c>
      <c r="W35" s="30">
        <f t="shared" si="9"/>
        <v>1.5870489114245675E-3</v>
      </c>
      <c r="X35" s="29">
        <f>_xll.qlDayCounterYearFraction(DayCounter,SettlementDate,S35,,,Trigger)</f>
        <v>5.0861111111111112</v>
      </c>
      <c r="Y35" s="29">
        <f>_xll.qlDayCounterYearFraction(DayCounter,S35,T35)</f>
        <v>0.25555555555555554</v>
      </c>
      <c r="Z35" s="29">
        <f>IF($M$13,_xll.qlYieldTSDiscount(Currency&amp;"ON",S35)/(1+V35*Y35),1)</f>
        <v>1</v>
      </c>
      <c r="AA35" s="30">
        <f>_xll.qlTenorBasisValue(TenorBasis3M,S35,InterestRatesTrigger)</f>
        <v>1.6775475712169766E-3</v>
      </c>
      <c r="AB35" s="74">
        <f t="shared" si="10"/>
        <v>9.1339016578270427E-3</v>
      </c>
      <c r="AC35" s="76">
        <f t="shared" si="11"/>
        <v>1.0100071466252336</v>
      </c>
    </row>
    <row r="36" spans="16:29" x14ac:dyDescent="0.2">
      <c r="P36" s="33">
        <v>3</v>
      </c>
      <c r="Q36" s="27" t="str">
        <f>_xll.qlPeriodEquivalent(Q35&amp;"+"&amp;P36&amp;"M")</f>
        <v>5Y3M</v>
      </c>
      <c r="R36" s="28">
        <f>_xll.qlCalendarAdvance(Calendar,SettlementDate,Q36,"f",,Trigger)</f>
        <v>44200</v>
      </c>
      <c r="S36" s="28">
        <f>_xll.qlInterestRateIndexValueDate(Index,R36,Trigger)</f>
        <v>44202</v>
      </c>
      <c r="T36" s="28">
        <f>_xll.qlInterestRateIndexMaturity(Index,S36,Trigger)</f>
        <v>44292</v>
      </c>
      <c r="U36" s="30">
        <f>_xll.qlIndexFixing($M$5,R36,TRUE,InterestRatesTrigger)</f>
        <v>8.3533360872518614E-3</v>
      </c>
      <c r="V36" s="74">
        <f>_xll.qlIndexFixing(Index,R36,TRUE,InterestRatesTrigger)</f>
        <v>9.8625078640575126E-3</v>
      </c>
      <c r="W36" s="30">
        <f t="shared" si="9"/>
        <v>1.5091717768056512E-3</v>
      </c>
      <c r="X36" s="29">
        <f>_xll.qlDayCounterYearFraction(DayCounter,SettlementDate,S36,,,Trigger)</f>
        <v>5.3416666666666668</v>
      </c>
      <c r="Y36" s="29">
        <f>_xll.qlDayCounterYearFraction(DayCounter,S36,T36)</f>
        <v>0.25</v>
      </c>
      <c r="Z36" s="29">
        <f>IF($M$13,_xll.qlYieldTSDiscount(Currency&amp;"ON",S36)/(1+V36*Y36),1)</f>
        <v>1</v>
      </c>
      <c r="AA36" s="30">
        <f>_xll.qlTenorBasisValue(TenorBasis3M,S36,InterestRatesTrigger)</f>
        <v>1.6692834824973456E-3</v>
      </c>
      <c r="AB36" s="74">
        <f t="shared" si="10"/>
        <v>1.0022619569749206E-2</v>
      </c>
      <c r="AC36" s="76">
        <f t="shared" si="11"/>
        <v>1.0162343805347114</v>
      </c>
    </row>
    <row r="37" spans="16:29" x14ac:dyDescent="0.2">
      <c r="P37" s="33">
        <v>3</v>
      </c>
      <c r="Q37" s="27" t="str">
        <f>_xll.qlPeriodEquivalent(Q36&amp;"+"&amp;P37&amp;"M")</f>
        <v>5Y6M</v>
      </c>
      <c r="R37" s="28">
        <f>_xll.qlCalendarAdvance(Calendar,SettlementDate,Q37,"f",,Trigger)</f>
        <v>44292</v>
      </c>
      <c r="S37" s="28">
        <f>_xll.qlInterestRateIndexValueDate(Index,R37,Trigger)</f>
        <v>44294</v>
      </c>
      <c r="T37" s="28">
        <f>_xll.qlInterestRateIndexMaturity(Index,S37,Trigger)</f>
        <v>44385</v>
      </c>
      <c r="U37" s="30">
        <f>_xll.qlIndexFixing($M$5,R37,TRUE,InterestRatesTrigger)</f>
        <v>9.2059475215026439E-3</v>
      </c>
      <c r="V37" s="74">
        <f>_xll.qlIndexFixing(Index,R37,TRUE,InterestRatesTrigger)</f>
        <v>1.0670225402043867E-2</v>
      </c>
      <c r="W37" s="30">
        <f t="shared" si="9"/>
        <v>1.4642778805412232E-3</v>
      </c>
      <c r="X37" s="29">
        <f>_xll.qlDayCounterYearFraction(DayCounter,SettlementDate,S37,,,Trigger)</f>
        <v>5.5972222222222223</v>
      </c>
      <c r="Y37" s="29">
        <f>_xll.qlDayCounterYearFraction(DayCounter,S37,T37)</f>
        <v>0.25277777777777777</v>
      </c>
      <c r="Z37" s="29">
        <f>IF($M$13,_xll.qlYieldTSDiscount(Currency&amp;"ON",S37)/(1+V37*Y37),1)</f>
        <v>1</v>
      </c>
      <c r="AA37" s="30">
        <f>_xll.qlTenorBasisValue(TenorBasis3M,S37,InterestRatesTrigger)</f>
        <v>1.6591038330978215E-3</v>
      </c>
      <c r="AB37" s="74">
        <f t="shared" si="10"/>
        <v>1.0865051354600466E-2</v>
      </c>
      <c r="AC37" s="76">
        <f t="shared" si="11"/>
        <v>1.0182588413286264</v>
      </c>
    </row>
    <row r="38" spans="16:29" x14ac:dyDescent="0.2">
      <c r="P38" s="33">
        <v>3</v>
      </c>
      <c r="Q38" s="27" t="str">
        <f>_xll.qlPeriodEquivalent(Q37&amp;"+"&amp;P38&amp;"M")</f>
        <v>5Y9M</v>
      </c>
      <c r="R38" s="28">
        <f>_xll.qlCalendarAdvance(Calendar,SettlementDate,Q38,"f",,Trigger)</f>
        <v>44379</v>
      </c>
      <c r="S38" s="28">
        <f>_xll.qlInterestRateIndexValueDate(Index,R38,Trigger)</f>
        <v>44383</v>
      </c>
      <c r="T38" s="28">
        <f>_xll.qlInterestRateIndexMaturity(Index,S38,Trigger)</f>
        <v>44475</v>
      </c>
      <c r="U38" s="30">
        <f>_xll.qlIndexFixing($M$5,R38,TRUE,InterestRatesTrigger)</f>
        <v>9.9740347016020123E-3</v>
      </c>
      <c r="V38" s="74">
        <f>_xll.qlIndexFixing(Index,R38,TRUE,InterestRatesTrigger)</f>
        <v>1.1427590607966966E-2</v>
      </c>
      <c r="W38" s="30">
        <f t="shared" si="9"/>
        <v>1.453555906364954E-3</v>
      </c>
      <c r="X38" s="29">
        <f>_xll.qlDayCounterYearFraction(DayCounter,SettlementDate,S38,,,Trigger)</f>
        <v>5.8444444444444441</v>
      </c>
      <c r="Y38" s="29">
        <f>_xll.qlDayCounterYearFraction(DayCounter,S38,T38)</f>
        <v>0.25555555555555554</v>
      </c>
      <c r="Z38" s="29">
        <f>IF($M$13,_xll.qlYieldTSDiscount(Currency&amp;"ON",S38)/(1+V38*Y38),1)</f>
        <v>1</v>
      </c>
      <c r="AA38" s="30">
        <f>_xll.qlTenorBasisValue(TenorBasis3M,S38,InterestRatesTrigger)</f>
        <v>1.6475967166856309E-3</v>
      </c>
      <c r="AB38" s="74">
        <f t="shared" si="10"/>
        <v>1.1621631418287643E-2</v>
      </c>
      <c r="AC38" s="76">
        <f t="shared" si="11"/>
        <v>1.016980028159689</v>
      </c>
    </row>
    <row r="39" spans="16:29" x14ac:dyDescent="0.2">
      <c r="P39" s="33">
        <v>3</v>
      </c>
      <c r="Q39" s="27" t="str">
        <f>_xll.qlPeriodEquivalent(Q38&amp;"+"&amp;P39&amp;"M")</f>
        <v>6Y</v>
      </c>
      <c r="R39" s="28">
        <f>_xll.qlCalendarAdvance(Calendar,SettlementDate,Q39,"f",,Trigger)</f>
        <v>44473</v>
      </c>
      <c r="S39" s="28">
        <f>_xll.qlInterestRateIndexValueDate(Index,R39,Trigger)</f>
        <v>44475</v>
      </c>
      <c r="T39" s="28">
        <f>_xll.qlInterestRateIndexMaturity(Index,S39,Trigger)</f>
        <v>44567</v>
      </c>
      <c r="U39" s="30">
        <f>_xll.qlIndexFixing($M$5,R39,TRUE,InterestRatesTrigger)</f>
        <v>1.0709258976539975E-2</v>
      </c>
      <c r="V39" s="74">
        <f>_xll.qlIndexFixing(Index,R39,TRUE,InterestRatesTrigger)</f>
        <v>1.217798774578582E-2</v>
      </c>
      <c r="W39" s="30">
        <f t="shared" si="9"/>
        <v>1.4687287692458448E-3</v>
      </c>
      <c r="X39" s="29">
        <f>_xll.qlDayCounterYearFraction(DayCounter,SettlementDate,S39,,,Trigger)</f>
        <v>6.1</v>
      </c>
      <c r="Y39" s="29">
        <f>_xll.qlDayCounterYearFraction(DayCounter,S39,T39)</f>
        <v>0.25555555555555554</v>
      </c>
      <c r="Z39" s="29">
        <f>IF($M$13,_xll.qlYieldTSDiscount(Currency&amp;"ON",S39)/(1+V39*Y39),1)</f>
        <v>1</v>
      </c>
      <c r="AA39" s="30">
        <f>_xll.qlTenorBasisValue(TenorBasis3M,S39,InterestRatesTrigger)</f>
        <v>1.6341446118666382E-3</v>
      </c>
      <c r="AB39" s="74">
        <f t="shared" si="10"/>
        <v>1.2343403588406613E-2</v>
      </c>
      <c r="AC39" s="76">
        <f t="shared" si="11"/>
        <v>1.0135831835335878</v>
      </c>
    </row>
    <row r="40" spans="16:29" x14ac:dyDescent="0.2">
      <c r="P40" s="33">
        <v>3</v>
      </c>
      <c r="Q40" s="27" t="str">
        <f>_xll.qlPeriodEquivalent(Q39&amp;"+"&amp;P40&amp;"M")</f>
        <v>6Y3M</v>
      </c>
      <c r="R40" s="28">
        <f>_xll.qlCalendarAdvance(Calendar,SettlementDate,Q40,"f",,Trigger)</f>
        <v>44564</v>
      </c>
      <c r="S40" s="28">
        <f>_xll.qlInterestRateIndexValueDate(Index,R40,Trigger)</f>
        <v>44566</v>
      </c>
      <c r="T40" s="28">
        <f>_xll.qlInterestRateIndexMaturity(Index,S40,Trigger)</f>
        <v>44656</v>
      </c>
      <c r="U40" s="30">
        <f>_xll.qlIndexFixing($M$5,R40,TRUE,InterestRatesTrigger)</f>
        <v>1.1389827315041678E-2</v>
      </c>
      <c r="V40" s="74">
        <f>_xll.qlIndexFixing(Index,R40,TRUE,InterestRatesTrigger)</f>
        <v>1.2872842259393558E-2</v>
      </c>
      <c r="W40" s="30">
        <f t="shared" si="9"/>
        <v>1.4830149443518792E-3</v>
      </c>
      <c r="X40" s="29">
        <f>_xll.qlDayCounterYearFraction(DayCounter,SettlementDate,S40,,,Trigger)</f>
        <v>6.3527777777777779</v>
      </c>
      <c r="Y40" s="29">
        <f>_xll.qlDayCounterYearFraction(DayCounter,S40,T40)</f>
        <v>0.25</v>
      </c>
      <c r="Z40" s="29">
        <f>IF($M$13,_xll.qlYieldTSDiscount(Currency&amp;"ON",S40)/(1+V40*Y40),1)</f>
        <v>1</v>
      </c>
      <c r="AA40" s="30">
        <f>_xll.qlTenorBasisValue(TenorBasis3M,S40,InterestRatesTrigger)</f>
        <v>1.6194291135765105E-3</v>
      </c>
      <c r="AB40" s="74">
        <f t="shared" si="10"/>
        <v>1.300925642861819E-2</v>
      </c>
      <c r="AC40" s="76">
        <f t="shared" si="11"/>
        <v>1.0105970512553346</v>
      </c>
    </row>
    <row r="41" spans="16:29" x14ac:dyDescent="0.2">
      <c r="P41" s="33">
        <v>3</v>
      </c>
      <c r="Q41" s="27" t="str">
        <f>_xll.qlPeriodEquivalent(Q40&amp;"+"&amp;P41&amp;"M")</f>
        <v>6Y6M</v>
      </c>
      <c r="R41" s="28">
        <f>_xll.qlCalendarAdvance(Calendar,SettlementDate,Q41,"f",,Trigger)</f>
        <v>44655</v>
      </c>
      <c r="S41" s="28">
        <f>_xll.qlInterestRateIndexValueDate(Index,R41,Trigger)</f>
        <v>44657</v>
      </c>
      <c r="T41" s="28">
        <f>_xll.qlInterestRateIndexMaturity(Index,S41,Trigger)</f>
        <v>44748</v>
      </c>
      <c r="U41" s="30">
        <f>_xll.qlIndexFixing($M$5,R41,TRUE,InterestRatesTrigger)</f>
        <v>1.204682764285302E-2</v>
      </c>
      <c r="V41" s="74">
        <f>_xll.qlIndexFixing(Index,R41,TRUE,InterestRatesTrigger)</f>
        <v>1.3537676994102363E-2</v>
      </c>
      <c r="W41" s="30">
        <f t="shared" si="9"/>
        <v>1.4908493512493428E-3</v>
      </c>
      <c r="X41" s="29">
        <f>_xll.qlDayCounterYearFraction(DayCounter,SettlementDate,S41,,,Trigger)</f>
        <v>6.6055555555555552</v>
      </c>
      <c r="Y41" s="29">
        <f>_xll.qlDayCounterYearFraction(DayCounter,S41,T41)</f>
        <v>0.25277777777777777</v>
      </c>
      <c r="Z41" s="29">
        <f>IF($M$13,_xll.qlYieldTSDiscount(Currency&amp;"ON",S41)/(1+V41*Y41),1)</f>
        <v>1</v>
      </c>
      <c r="AA41" s="30">
        <f>_xll.qlTenorBasisValue(TenorBasis3M,S41,InterestRatesTrigger)</f>
        <v>1.6034500600014081E-3</v>
      </c>
      <c r="AB41" s="74">
        <f t="shared" si="10"/>
        <v>1.3650277702854428E-2</v>
      </c>
      <c r="AC41" s="76">
        <f t="shared" si="11"/>
        <v>1.0083175798034714</v>
      </c>
    </row>
    <row r="42" spans="16:29" x14ac:dyDescent="0.2">
      <c r="P42" s="33">
        <v>3</v>
      </c>
      <c r="Q42" s="27" t="str">
        <f>_xll.qlPeriodEquivalent(Q41&amp;"+"&amp;P42&amp;"M")</f>
        <v>6Y9M</v>
      </c>
      <c r="R42" s="28">
        <f>_xll.qlCalendarAdvance(Calendar,SettlementDate,Q42,"f",,Trigger)</f>
        <v>44746</v>
      </c>
      <c r="S42" s="28">
        <f>_xll.qlInterestRateIndexValueDate(Index,R42,Trigger)</f>
        <v>44748</v>
      </c>
      <c r="T42" s="28">
        <f>_xll.qlInterestRateIndexMaturity(Index,S42,Trigger)</f>
        <v>44840</v>
      </c>
      <c r="U42" s="30">
        <f>_xll.qlIndexFixing($M$5,R42,TRUE,InterestRatesTrigger)</f>
        <v>1.266822306392253E-2</v>
      </c>
      <c r="V42" s="74">
        <f>_xll.qlIndexFixing(Index,R42,TRUE,InterestRatesTrigger)</f>
        <v>1.4160033336927972E-2</v>
      </c>
      <c r="W42" s="30">
        <f t="shared" si="9"/>
        <v>1.4918102730054426E-3</v>
      </c>
      <c r="X42" s="29">
        <f>_xll.qlDayCounterYearFraction(DayCounter,SettlementDate,S42,,,Trigger)</f>
        <v>6.8583333333333334</v>
      </c>
      <c r="Y42" s="29">
        <f>_xll.qlDayCounterYearFraction(DayCounter,S42,T42)</f>
        <v>0.25555555555555554</v>
      </c>
      <c r="Z42" s="29">
        <f>IF($M$13,_xll.qlYieldTSDiscount(Currency&amp;"ON",S42)/(1+V42*Y42),1)</f>
        <v>1</v>
      </c>
      <c r="AA42" s="30">
        <f>_xll.qlTenorBasisValue(TenorBasis3M,S42,InterestRatesTrigger)</f>
        <v>1.5863363067354194E-3</v>
      </c>
      <c r="AB42" s="74">
        <f t="shared" si="10"/>
        <v>1.4254559370657949E-2</v>
      </c>
      <c r="AC42" s="76">
        <f t="shared" si="11"/>
        <v>1.0066755516375419</v>
      </c>
    </row>
    <row r="43" spans="16:29" x14ac:dyDescent="0.2">
      <c r="P43" s="33">
        <v>3</v>
      </c>
      <c r="Q43" s="27" t="str">
        <f>_xll.qlPeriodEquivalent(Q42&amp;"+"&amp;P43&amp;"M")</f>
        <v>7Y</v>
      </c>
      <c r="R43" s="28">
        <f>_xll.qlCalendarAdvance(Calendar,SettlementDate,Q43,"f",,Trigger)</f>
        <v>44837</v>
      </c>
      <c r="S43" s="28">
        <f>_xll.qlInterestRateIndexValueDate(Index,R43,Trigger)</f>
        <v>44839</v>
      </c>
      <c r="T43" s="28">
        <f>_xll.qlInterestRateIndexMaturity(Index,S43,Trigger)</f>
        <v>44931</v>
      </c>
      <c r="U43" s="30">
        <f>_xll.qlIndexFixing($M$5,R43,TRUE,InterestRatesTrigger)</f>
        <v>1.3253871862258551E-2</v>
      </c>
      <c r="V43" s="74">
        <f>_xll.qlIndexFixing(Index,R43,TRUE,InterestRatesTrigger)</f>
        <v>1.4740413536611858E-2</v>
      </c>
      <c r="W43" s="30">
        <f t="shared" si="9"/>
        <v>1.4865416743533068E-3</v>
      </c>
      <c r="X43" s="29">
        <f>_xll.qlDayCounterYearFraction(DayCounter,SettlementDate,S43,,,Trigger)</f>
        <v>7.1111111111111107</v>
      </c>
      <c r="Y43" s="29">
        <f>_xll.qlDayCounterYearFraction(DayCounter,S43,T43)</f>
        <v>0.25555555555555554</v>
      </c>
      <c r="Z43" s="29">
        <f>IF($M$13,_xll.qlYieldTSDiscount(Currency&amp;"ON",S43)/(1+V43*Y43),1)</f>
        <v>1</v>
      </c>
      <c r="AA43" s="30">
        <f>_xll.qlTenorBasisValue(TenorBasis3M,S43,InterestRatesTrigger)</f>
        <v>1.5682082463473663E-3</v>
      </c>
      <c r="AB43" s="74">
        <f t="shared" si="10"/>
        <v>1.4822080108605917E-2</v>
      </c>
      <c r="AC43" s="76">
        <f t="shared" si="11"/>
        <v>1.0055403175624087</v>
      </c>
    </row>
    <row r="44" spans="16:29" x14ac:dyDescent="0.2">
      <c r="P44" s="33">
        <v>3</v>
      </c>
      <c r="Q44" s="27" t="str">
        <f>_xll.qlPeriodEquivalent(Q43&amp;"+"&amp;P44&amp;"M")</f>
        <v>7Y3M</v>
      </c>
      <c r="R44" s="28">
        <f>_xll.qlCalendarAdvance(Calendar,SettlementDate,Q44,"f",,Trigger)</f>
        <v>44928</v>
      </c>
      <c r="S44" s="28">
        <f>_xll.qlInterestRateIndexValueDate(Index,R44,Trigger)</f>
        <v>44930</v>
      </c>
      <c r="T44" s="28">
        <f>_xll.qlInterestRateIndexMaturity(Index,S44,Trigger)</f>
        <v>45020</v>
      </c>
      <c r="U44" s="30">
        <f>_xll.qlIndexFixing($M$5,R44,TRUE,InterestRatesTrigger)</f>
        <v>1.3812467560278208E-2</v>
      </c>
      <c r="V44" s="74">
        <f>_xll.qlIndexFixing(Index,R44,TRUE,InterestRatesTrigger)</f>
        <v>1.5289953289197022E-2</v>
      </c>
      <c r="W44" s="30">
        <f t="shared" si="9"/>
        <v>1.4774857289188148E-3</v>
      </c>
      <c r="X44" s="29">
        <f>_xll.qlDayCounterYearFraction(DayCounter,SettlementDate,S44,,,Trigger)</f>
        <v>7.3638888888888889</v>
      </c>
      <c r="Y44" s="29">
        <f>_xll.qlDayCounterYearFraction(DayCounter,S44,T44)</f>
        <v>0.25</v>
      </c>
      <c r="Z44" s="29">
        <f>IF($M$13,_xll.qlYieldTSDiscount(Currency&amp;"ON",S44)/(1+V44*Y44),1)</f>
        <v>1</v>
      </c>
      <c r="AA44" s="30">
        <f>_xll.qlTenorBasisValue(TenorBasis3M,S44,InterestRatesTrigger)</f>
        <v>1.5491782866038995E-3</v>
      </c>
      <c r="AB44" s="74">
        <f t="shared" si="10"/>
        <v>1.5361645846882106E-2</v>
      </c>
      <c r="AC44" s="76">
        <f t="shared" si="11"/>
        <v>1.0046888670180396</v>
      </c>
    </row>
    <row r="45" spans="16:29" x14ac:dyDescent="0.2">
      <c r="P45" s="33">
        <v>3</v>
      </c>
      <c r="Q45" s="27" t="str">
        <f>_xll.qlPeriodEquivalent(Q44&amp;"+"&amp;P45&amp;"M")</f>
        <v>7Y6M</v>
      </c>
      <c r="R45" s="28">
        <f>_xll.qlCalendarAdvance(Calendar,SettlementDate,Q45,"f",,Trigger)</f>
        <v>45019</v>
      </c>
      <c r="S45" s="28">
        <f>_xll.qlInterestRateIndexValueDate(Index,R45,Trigger)</f>
        <v>45021</v>
      </c>
      <c r="T45" s="28">
        <f>_xll.qlInterestRateIndexMaturity(Index,S45,Trigger)</f>
        <v>45112</v>
      </c>
      <c r="U45" s="30">
        <f>_xll.qlIndexFixing($M$5,R45,TRUE,InterestRatesTrigger)</f>
        <v>1.436331408662596E-2</v>
      </c>
      <c r="V45" s="74">
        <f>_xll.qlIndexFixing(Index,R45,TRUE,InterestRatesTrigger)</f>
        <v>1.5828512125088907E-2</v>
      </c>
      <c r="W45" s="30">
        <f t="shared" si="9"/>
        <v>1.4651980384629473E-3</v>
      </c>
      <c r="X45" s="29">
        <f>_xll.qlDayCounterYearFraction(DayCounter,SettlementDate,S45,,,Trigger)</f>
        <v>7.6166666666666663</v>
      </c>
      <c r="Y45" s="29">
        <f>_xll.qlDayCounterYearFraction(DayCounter,S45,T45)</f>
        <v>0.25277777777777777</v>
      </c>
      <c r="Z45" s="29">
        <f>IF($M$13,_xll.qlYieldTSDiscount(Currency&amp;"ON",S45)/(1+V45*Y45),1)</f>
        <v>1</v>
      </c>
      <c r="AA45" s="30">
        <f>_xll.qlTenorBasisValue(TenorBasis3M,S45,InterestRatesTrigger)</f>
        <v>1.5293513036691592E-3</v>
      </c>
      <c r="AB45" s="74">
        <f t="shared" si="10"/>
        <v>1.5892665390295119E-2</v>
      </c>
      <c r="AC45" s="76">
        <f t="shared" si="11"/>
        <v>1.0040530193046082</v>
      </c>
    </row>
    <row r="46" spans="16:29" x14ac:dyDescent="0.2">
      <c r="P46" s="33">
        <v>3</v>
      </c>
      <c r="Q46" s="27" t="str">
        <f>_xll.qlPeriodEquivalent(Q45&amp;"+"&amp;P46&amp;"M")</f>
        <v>7Y9M</v>
      </c>
      <c r="R46" s="28">
        <f>_xll.qlCalendarAdvance(Calendar,SettlementDate,Q46,"f",,Trigger)</f>
        <v>45110</v>
      </c>
      <c r="S46" s="28">
        <f>_xll.qlInterestRateIndexValueDate(Index,R46,Trigger)</f>
        <v>45112</v>
      </c>
      <c r="T46" s="28">
        <f>_xll.qlInterestRateIndexMaturity(Index,S46,Trigger)</f>
        <v>45204</v>
      </c>
      <c r="U46" s="30">
        <f>_xll.qlIndexFixing($M$5,R46,TRUE,InterestRatesTrigger)</f>
        <v>1.4896257565027077E-2</v>
      </c>
      <c r="V46" s="74">
        <f>_xll.qlIndexFixing(Index,R46,TRUE,InterestRatesTrigger)</f>
        <v>1.6345892421684501E-2</v>
      </c>
      <c r="W46" s="30">
        <f t="shared" si="9"/>
        <v>1.4496348566574238E-3</v>
      </c>
      <c r="X46" s="29">
        <f>_xll.qlDayCounterYearFraction(DayCounter,SettlementDate,S46,,,Trigger)</f>
        <v>7.8694444444444445</v>
      </c>
      <c r="Y46" s="29">
        <f>_xll.qlDayCounterYearFraction(DayCounter,S46,T46)</f>
        <v>0.25555555555555554</v>
      </c>
      <c r="Z46" s="29">
        <f>IF($M$13,_xll.qlYieldTSDiscount(Currency&amp;"ON",S46)/(1+V46*Y46),1)</f>
        <v>1</v>
      </c>
      <c r="AA46" s="30">
        <f>_xll.qlTenorBasisValue(TenorBasis3M,S46,InterestRatesTrigger)</f>
        <v>1.5088250715304908E-3</v>
      </c>
      <c r="AB46" s="74">
        <f t="shared" si="10"/>
        <v>1.6405082636557568E-2</v>
      </c>
      <c r="AC46" s="76">
        <f t="shared" si="11"/>
        <v>1.0036211063517428</v>
      </c>
    </row>
    <row r="47" spans="16:29" x14ac:dyDescent="0.2">
      <c r="P47" s="33">
        <v>3</v>
      </c>
      <c r="Q47" s="27" t="str">
        <f>_xll.qlPeriodEquivalent(Q46&amp;"+"&amp;P47&amp;"M")</f>
        <v>8Y</v>
      </c>
      <c r="R47" s="28">
        <f>_xll.qlCalendarAdvance(Calendar,SettlementDate,Q47,"f",,Trigger)</f>
        <v>45201</v>
      </c>
      <c r="S47" s="28">
        <f>_xll.qlInterestRateIndexValueDate(Index,R47,Trigger)</f>
        <v>45203</v>
      </c>
      <c r="T47" s="28">
        <f>_xll.qlInterestRateIndexMaturity(Index,S47,Trigger)</f>
        <v>45295</v>
      </c>
      <c r="U47" s="30">
        <f>_xll.qlIndexFixing($M$5,R47,TRUE,InterestRatesTrigger)</f>
        <v>1.5399368937984414E-2</v>
      </c>
      <c r="V47" s="74">
        <f>_xll.qlIndexFixing(Index,R47,TRUE,InterestRatesTrigger)</f>
        <v>1.6833469572860752E-2</v>
      </c>
      <c r="W47" s="30">
        <f t="shared" si="9"/>
        <v>1.4341006348763379E-3</v>
      </c>
      <c r="X47" s="29">
        <f>_xll.qlDayCounterYearFraction(DayCounter,SettlementDate,S47,,,Trigger)</f>
        <v>8.1222222222222218</v>
      </c>
      <c r="Y47" s="29">
        <f>_xll.qlDayCounterYearFraction(DayCounter,S47,T47)</f>
        <v>0.25555555555555554</v>
      </c>
      <c r="Z47" s="29">
        <f>IF($M$13,_xll.qlYieldTSDiscount(Currency&amp;"ON",S47)/(1+V47*Y47),1)</f>
        <v>1</v>
      </c>
      <c r="AA47" s="30">
        <f>_xll.qlTenorBasisValue(TenorBasis3M,S47,InterestRatesTrigger)</f>
        <v>1.4876906688392534E-3</v>
      </c>
      <c r="AB47" s="74">
        <f t="shared" si="10"/>
        <v>1.6887059606823667E-2</v>
      </c>
      <c r="AC47" s="76">
        <f t="shared" si="11"/>
        <v>1.0031835406082483</v>
      </c>
    </row>
    <row r="48" spans="16:29" x14ac:dyDescent="0.2">
      <c r="P48" s="33">
        <v>3</v>
      </c>
      <c r="Q48" s="27" t="str">
        <f>_xll.qlPeriodEquivalent(Q47&amp;"+"&amp;P48&amp;"M")</f>
        <v>8Y3M</v>
      </c>
      <c r="R48" s="28">
        <f>_xll.qlCalendarAdvance(Calendar,SettlementDate,Q48,"f",,Trigger)</f>
        <v>45293</v>
      </c>
      <c r="S48" s="28">
        <f>_xll.qlInterestRateIndexValueDate(Index,R48,Trigger)</f>
        <v>45295</v>
      </c>
      <c r="T48" s="28">
        <f>_xll.qlInterestRateIndexMaturity(Index,S48,Trigger)</f>
        <v>45386</v>
      </c>
      <c r="U48" s="30">
        <f>_xll.qlIndexFixing($M$5,R48,TRUE,InterestRatesTrigger)</f>
        <v>1.5845502350089875E-2</v>
      </c>
      <c r="V48" s="74">
        <f>_xll.qlIndexFixing(Index,R48,TRUE,InterestRatesTrigger)</f>
        <v>1.7275920668241171E-2</v>
      </c>
      <c r="W48" s="30">
        <f t="shared" si="9"/>
        <v>1.4304183181512962E-3</v>
      </c>
      <c r="X48" s="29">
        <f>_xll.qlDayCounterYearFraction(DayCounter,SettlementDate,S48,,,Trigger)</f>
        <v>8.3777777777777782</v>
      </c>
      <c r="Y48" s="29">
        <f>_xll.qlDayCounterYearFraction(DayCounter,S48,T48)</f>
        <v>0.25277777777777777</v>
      </c>
      <c r="Z48" s="29">
        <f>IF($M$13,_xll.qlYieldTSDiscount(Currency&amp;"ON",S48)/(1+V48*Y48),1)</f>
        <v>1</v>
      </c>
      <c r="AA48" s="30">
        <f>_xll.qlTenorBasisValue(TenorBasis3M,S48,InterestRatesTrigger)</f>
        <v>1.4657922577958693E-3</v>
      </c>
      <c r="AB48" s="74">
        <f t="shared" si="10"/>
        <v>1.7311294607885743E-2</v>
      </c>
      <c r="AC48" s="76">
        <f t="shared" si="11"/>
        <v>1.0020475863673999</v>
      </c>
    </row>
    <row r="49" spans="16:29" x14ac:dyDescent="0.2">
      <c r="P49" s="33">
        <v>3</v>
      </c>
      <c r="Q49" s="27" t="str">
        <f>_xll.qlPeriodEquivalent(Q48&amp;"+"&amp;P49&amp;"M")</f>
        <v>8Y6M</v>
      </c>
      <c r="R49" s="28">
        <f>_xll.qlCalendarAdvance(Calendar,SettlementDate,Q49,"f",,Trigger)</f>
        <v>45384</v>
      </c>
      <c r="S49" s="28">
        <f>_xll.qlInterestRateIndexValueDate(Index,R49,Trigger)</f>
        <v>45386</v>
      </c>
      <c r="T49" s="28">
        <f>_xll.qlInterestRateIndexMaturity(Index,S49,Trigger)</f>
        <v>45477</v>
      </c>
      <c r="U49" s="30">
        <f>_xll.qlIndexFixing($M$5,R49,TRUE,InterestRatesTrigger)</f>
        <v>1.6222806167372025E-2</v>
      </c>
      <c r="V49" s="74">
        <f>_xll.qlIndexFixing(Index,R49,TRUE,InterestRatesTrigger)</f>
        <v>1.7664357606582217E-2</v>
      </c>
      <c r="W49" s="30">
        <f t="shared" si="9"/>
        <v>1.4415514392101918E-3</v>
      </c>
      <c r="X49" s="29">
        <f>_xll.qlDayCounterYearFraction(DayCounter,SettlementDate,S49,,,Trigger)</f>
        <v>8.6305555555555564</v>
      </c>
      <c r="Y49" s="29">
        <f>_xll.qlDayCounterYearFraction(DayCounter,S49,T49)</f>
        <v>0.25277777777777777</v>
      </c>
      <c r="Z49" s="29">
        <f>IF($M$13,_xll.qlYieldTSDiscount(Currency&amp;"ON",S49)/(1+V49*Y49),1)</f>
        <v>1</v>
      </c>
      <c r="AA49" s="30">
        <f>_xll.qlTenorBasisValue(TenorBasis3M,S49,InterestRatesTrigger)</f>
        <v>1.4436854063955098E-3</v>
      </c>
      <c r="AB49" s="74">
        <f t="shared" si="10"/>
        <v>1.7666491573767536E-2</v>
      </c>
      <c r="AC49" s="76">
        <f t="shared" si="11"/>
        <v>1.0001208063849729</v>
      </c>
    </row>
    <row r="50" spans="16:29" x14ac:dyDescent="0.2">
      <c r="P50" s="33">
        <v>3</v>
      </c>
      <c r="Q50" s="27" t="str">
        <f>_xll.qlPeriodEquivalent(Q49&amp;"+"&amp;P50&amp;"M")</f>
        <v>8Y9M</v>
      </c>
      <c r="R50" s="28">
        <f>_xll.qlCalendarAdvance(Calendar,SettlementDate,Q50,"f",,Trigger)</f>
        <v>45475</v>
      </c>
      <c r="S50" s="28">
        <f>_xll.qlInterestRateIndexValueDate(Index,R50,Trigger)</f>
        <v>45477</v>
      </c>
      <c r="T50" s="28">
        <f>_xll.qlInterestRateIndexMaturity(Index,S50,Trigger)</f>
        <v>45569</v>
      </c>
      <c r="U50" s="30">
        <f>_xll.qlIndexFixing($M$5,R50,TRUE,InterestRatesTrigger)</f>
        <v>1.6535457856705918E-2</v>
      </c>
      <c r="V50" s="74">
        <f>_xll.qlIndexFixing(Index,R50,TRUE,InterestRatesTrigger)</f>
        <v>1.8003090083545323E-2</v>
      </c>
      <c r="W50" s="30">
        <f t="shared" si="9"/>
        <v>1.4676322268394049E-3</v>
      </c>
      <c r="X50" s="29">
        <f>_xll.qlDayCounterYearFraction(DayCounter,SettlementDate,S50,,,Trigger)</f>
        <v>8.8833333333333329</v>
      </c>
      <c r="Y50" s="29">
        <f>_xll.qlDayCounterYearFraction(DayCounter,S50,T50)</f>
        <v>0.25555555555555554</v>
      </c>
      <c r="Z50" s="29">
        <f>IF($M$13,_xll.qlYieldTSDiscount(Currency&amp;"ON",S50)/(1+V50*Y50),1)</f>
        <v>1</v>
      </c>
      <c r="AA50" s="30">
        <f>_xll.qlTenorBasisValue(TenorBasis3M,S50,InterestRatesTrigger)</f>
        <v>1.4212079761903446E-3</v>
      </c>
      <c r="AB50" s="74">
        <f t="shared" si="10"/>
        <v>1.7956665832896263E-2</v>
      </c>
      <c r="AC50" s="76">
        <f t="shared" si="11"/>
        <v>0.99742131764971331</v>
      </c>
    </row>
    <row r="51" spans="16:29" x14ac:dyDescent="0.2">
      <c r="P51" s="33">
        <v>3</v>
      </c>
      <c r="Q51" s="27" t="str">
        <f>_xll.qlPeriodEquivalent(Q50&amp;"+"&amp;P51&amp;"M")</f>
        <v>9Y</v>
      </c>
      <c r="R51" s="28">
        <f>_xll.qlCalendarAdvance(Calendar,SettlementDate,Q51,"f",,Trigger)</f>
        <v>45567</v>
      </c>
      <c r="S51" s="28">
        <f>_xll.qlInterestRateIndexValueDate(Index,R51,Trigger)</f>
        <v>45569</v>
      </c>
      <c r="T51" s="28">
        <f>_xll.qlInterestRateIndexMaturity(Index,S51,Trigger)</f>
        <v>45663</v>
      </c>
      <c r="U51" s="30">
        <f>_xll.qlIndexFixing($M$5,R51,TRUE,InterestRatesTrigger)</f>
        <v>1.6804330492052971E-2</v>
      </c>
      <c r="V51" s="74">
        <f>_xll.qlIndexFixing(Index,R51,TRUE,InterestRatesTrigger)</f>
        <v>1.8303842134516905E-2</v>
      </c>
      <c r="W51" s="30">
        <f t="shared" si="9"/>
        <v>1.4995116424639347E-3</v>
      </c>
      <c r="X51" s="29">
        <f>_xll.qlDayCounterYearFraction(DayCounter,SettlementDate,S51,,,Trigger)</f>
        <v>9.1388888888888893</v>
      </c>
      <c r="Y51" s="29">
        <f>_xll.qlDayCounterYearFraction(DayCounter,S51,T51)</f>
        <v>0.26111111111111113</v>
      </c>
      <c r="Z51" s="29">
        <f>IF($M$13,_xll.qlYieldTSDiscount(Currency&amp;"ON",S51)/(1+V51*Y51),1)</f>
        <v>1</v>
      </c>
      <c r="AA51" s="30">
        <f>_xll.qlTenorBasisValue(TenorBasis3M,S51,InterestRatesTrigger)</f>
        <v>1.3981760899609836E-3</v>
      </c>
      <c r="AB51" s="74">
        <f t="shared" si="10"/>
        <v>1.8202506582013955E-2</v>
      </c>
      <c r="AC51" s="76">
        <f t="shared" si="11"/>
        <v>0.99446370047565835</v>
      </c>
    </row>
    <row r="52" spans="16:29" x14ac:dyDescent="0.2">
      <c r="P52" s="33">
        <v>3</v>
      </c>
      <c r="Q52" s="27" t="str">
        <f>_xll.qlPeriodEquivalent(Q51&amp;"+"&amp;P52&amp;"M")</f>
        <v>9Y3M</v>
      </c>
      <c r="R52" s="28">
        <f>_xll.qlCalendarAdvance(Calendar,SettlementDate,Q52,"f",,Trigger)</f>
        <v>45659</v>
      </c>
      <c r="S52" s="28">
        <f>_xll.qlInterestRateIndexValueDate(Index,R52,Trigger)</f>
        <v>45663</v>
      </c>
      <c r="T52" s="28">
        <f>_xll.qlInterestRateIndexMaturity(Index,S52,Trigger)</f>
        <v>45754</v>
      </c>
      <c r="U52" s="30">
        <f>_xll.qlIndexFixing($M$5,R52,TRUE,InterestRatesTrigger)</f>
        <v>1.7091738242343123E-2</v>
      </c>
      <c r="V52" s="74">
        <f>_xll.qlIndexFixing(Index,R52,TRUE,InterestRatesTrigger)</f>
        <v>1.8591969963378176E-2</v>
      </c>
      <c r="W52" s="30">
        <f t="shared" si="9"/>
        <v>1.5002317210350523E-3</v>
      </c>
      <c r="X52" s="29">
        <f>_xll.qlDayCounterYearFraction(DayCounter,SettlementDate,S52,,,Trigger)</f>
        <v>9.4</v>
      </c>
      <c r="Y52" s="29">
        <f>_xll.qlDayCounterYearFraction(DayCounter,S52,T52)</f>
        <v>0.25277777777777777</v>
      </c>
      <c r="Z52" s="29">
        <f>IF($M$13,_xll.qlYieldTSDiscount(Currency&amp;"ON",S52)/(1+V52*Y52),1)</f>
        <v>1</v>
      </c>
      <c r="AA52" s="30">
        <f>_xll.qlTenorBasisValue(TenorBasis3M,S52,InterestRatesTrigger)</f>
        <v>1.3743915708067569E-3</v>
      </c>
      <c r="AB52" s="74">
        <f t="shared" si="10"/>
        <v>1.8466129813149879E-2</v>
      </c>
      <c r="AC52" s="76">
        <f t="shared" si="11"/>
        <v>0.99323147840297865</v>
      </c>
    </row>
    <row r="53" spans="16:29" x14ac:dyDescent="0.2">
      <c r="P53" s="33">
        <v>3</v>
      </c>
      <c r="Q53" s="27" t="str">
        <f>_xll.qlPeriodEquivalent(Q52&amp;"+"&amp;P53&amp;"M")</f>
        <v>9Y6M</v>
      </c>
      <c r="R53" s="28">
        <f>_xll.qlCalendarAdvance(Calendar,SettlementDate,Q53,"f",,Trigger)</f>
        <v>45749</v>
      </c>
      <c r="S53" s="28">
        <f>_xll.qlInterestRateIndexValueDate(Index,R53,Trigger)</f>
        <v>45751</v>
      </c>
      <c r="T53" s="28">
        <f>_xll.qlInterestRateIndexMaturity(Index,S53,Trigger)</f>
        <v>45842</v>
      </c>
      <c r="U53" s="30">
        <f>_xll.qlIndexFixing($M$5,R53,TRUE,InterestRatesTrigger)</f>
        <v>1.7402098524337835E-2</v>
      </c>
      <c r="V53" s="74">
        <f>_xll.qlIndexFixing(Index,R53,TRUE,InterestRatesTrigger)</f>
        <v>1.8866907111747398E-2</v>
      </c>
      <c r="W53" s="30">
        <f t="shared" si="9"/>
        <v>1.4648085874095634E-3</v>
      </c>
      <c r="X53" s="29">
        <f>_xll.qlDayCounterYearFraction(DayCounter,SettlementDate,S53,,,Trigger)</f>
        <v>9.6444444444444439</v>
      </c>
      <c r="Y53" s="29">
        <f>_xll.qlDayCounterYearFraction(DayCounter,S53,T53)</f>
        <v>0.25277777777777777</v>
      </c>
      <c r="Z53" s="29">
        <f>IF($M$13,_xll.qlYieldTSDiscount(Currency&amp;"ON",S53)/(1+V53*Y53),1)</f>
        <v>1</v>
      </c>
      <c r="AA53" s="30">
        <f>_xll.qlTenorBasisValue(TenorBasis3M,S53,InterestRatesTrigger)</f>
        <v>1.3519509113276138E-3</v>
      </c>
      <c r="AB53" s="74">
        <f t="shared" si="10"/>
        <v>1.875404943566545E-2</v>
      </c>
      <c r="AC53" s="76">
        <f t="shared" si="11"/>
        <v>0.99401822061170386</v>
      </c>
    </row>
    <row r="54" spans="16:29" x14ac:dyDescent="0.2">
      <c r="P54" s="33">
        <v>3</v>
      </c>
      <c r="Q54" s="27" t="str">
        <f>_xll.qlPeriodEquivalent(Q53&amp;"+"&amp;P54&amp;"M")</f>
        <v>9Y9M</v>
      </c>
      <c r="R54" s="28">
        <f>_xll.qlCalendarAdvance(Calendar,SettlementDate,Q54,"f",,Trigger)</f>
        <v>45840</v>
      </c>
      <c r="S54" s="28">
        <f>_xll.qlInterestRateIndexValueDate(Index,R54,Trigger)</f>
        <v>45842</v>
      </c>
      <c r="T54" s="28">
        <f>_xll.qlInterestRateIndexMaturity(Index,S54,Trigger)</f>
        <v>45936</v>
      </c>
      <c r="U54" s="30">
        <f>_xll.qlIndexFixing($M$5,R54,TRUE,InterestRatesTrigger)</f>
        <v>1.7767298802450274E-2</v>
      </c>
      <c r="V54" s="74">
        <f>_xll.qlIndexFixing(Index,R54,TRUE,InterestRatesTrigger)</f>
        <v>1.9156904568484637E-2</v>
      </c>
      <c r="W54" s="30">
        <f t="shared" si="9"/>
        <v>1.389605766034363E-3</v>
      </c>
      <c r="X54" s="29">
        <f>_xll.qlDayCounterYearFraction(DayCounter,SettlementDate,S54,,,Trigger)</f>
        <v>9.8972222222222221</v>
      </c>
      <c r="Y54" s="29">
        <f>_xll.qlDayCounterYearFraction(DayCounter,S54,T54)</f>
        <v>0.26111111111111113</v>
      </c>
      <c r="Z54" s="29">
        <f>IF($M$13,_xll.qlYieldTSDiscount(Currency&amp;"ON",S54)/(1+V54*Y54),1)</f>
        <v>1</v>
      </c>
      <c r="AA54" s="30">
        <f>_xll.qlTenorBasisValue(TenorBasis3M,S54,InterestRatesTrigger)</f>
        <v>1.3286208716333688E-3</v>
      </c>
      <c r="AB54" s="74">
        <f t="shared" si="10"/>
        <v>1.9095919674083642E-2</v>
      </c>
      <c r="AC54" s="76">
        <f t="shared" si="11"/>
        <v>0.99681655801003877</v>
      </c>
    </row>
    <row r="55" spans="16:29" x14ac:dyDescent="0.2">
      <c r="P55" s="33">
        <v>3</v>
      </c>
      <c r="Q55" s="27" t="str">
        <f>_xll.qlPeriodEquivalent(Q54&amp;"+"&amp;P55&amp;"M")</f>
        <v>10Y</v>
      </c>
      <c r="R55" s="28">
        <f>_xll.qlCalendarAdvance(Calendar,SettlementDate,Q55,"f",,Trigger)</f>
        <v>45932</v>
      </c>
      <c r="S55" s="28">
        <f>_xll.qlInterestRateIndexValueDate(Index,R55,Trigger)</f>
        <v>45936</v>
      </c>
      <c r="T55" s="28">
        <f>_xll.qlInterestRateIndexMaturity(Index,S55,Trigger)</f>
        <v>46028</v>
      </c>
      <c r="U55" s="30">
        <f>_xll.qlIndexFixing($M$5,R55,TRUE,InterestRatesTrigger)</f>
        <v>1.8150598142114838E-2</v>
      </c>
      <c r="V55" s="74">
        <f>_xll.qlIndexFixing(Index,R55,TRUE,InterestRatesTrigger)</f>
        <v>1.9441382153598856E-2</v>
      </c>
      <c r="W55" s="30">
        <f t="shared" si="9"/>
        <v>1.2907840114840183E-3</v>
      </c>
      <c r="X55" s="29">
        <f>_xll.qlDayCounterYearFraction(DayCounter,SettlementDate,S55,,,Trigger)</f>
        <v>10.158333333333333</v>
      </c>
      <c r="Y55" s="29">
        <f>_xll.qlDayCounterYearFraction(DayCounter,S55,T55)</f>
        <v>0.25555555555555554</v>
      </c>
      <c r="Z55" s="29">
        <f>IF($M$13,_xll.qlYieldTSDiscount(Currency&amp;"ON",S55)/(1+V55*Y55),1)</f>
        <v>1</v>
      </c>
      <c r="AA55" s="30">
        <f>_xll.qlTenorBasisValue(TenorBasis3M,S55,InterestRatesTrigger)</f>
        <v>1.3044410760327651E-3</v>
      </c>
      <c r="AB55" s="74">
        <f t="shared" si="10"/>
        <v>1.9455039218147605E-2</v>
      </c>
      <c r="AC55" s="76">
        <f t="shared" si="11"/>
        <v>1.0007024739517412</v>
      </c>
    </row>
    <row r="56" spans="16:29" x14ac:dyDescent="0.2">
      <c r="P56" s="33">
        <v>3</v>
      </c>
      <c r="Q56" s="27" t="str">
        <f>_xll.qlPeriodEquivalent(Q55&amp;"+"&amp;P56&amp;"M")</f>
        <v>10Y3M</v>
      </c>
      <c r="R56" s="28">
        <f>_xll.qlCalendarAdvance(Calendar,SettlementDate,Q56,"f",,Trigger)</f>
        <v>46024</v>
      </c>
      <c r="S56" s="28">
        <f>_xll.qlInterestRateIndexValueDate(Index,R56,Trigger)</f>
        <v>46028</v>
      </c>
      <c r="T56" s="28">
        <f>_xll.qlInterestRateIndexMaturity(Index,S56,Trigger)</f>
        <v>46119</v>
      </c>
      <c r="U56" s="30">
        <f>_xll.qlIndexFixing($M$5,R56,TRUE,InterestRatesTrigger)</f>
        <v>1.8475032298607447E-2</v>
      </c>
      <c r="V56" s="74">
        <f>_xll.qlIndexFixing(Index,R56,TRUE,InterestRatesTrigger)</f>
        <v>1.9703234951571166E-2</v>
      </c>
      <c r="W56" s="30">
        <f t="shared" si="9"/>
        <v>1.228202652963719E-3</v>
      </c>
      <c r="X56" s="29">
        <f>_xll.qlDayCounterYearFraction(DayCounter,SettlementDate,S56,,,Trigger)</f>
        <v>10.41388888888889</v>
      </c>
      <c r="Y56" s="29">
        <f>_xll.qlDayCounterYearFraction(DayCounter,S56,T56)</f>
        <v>0.25277777777777777</v>
      </c>
      <c r="Z56" s="29">
        <f>IF($M$13,_xll.qlYieldTSDiscount(Currency&amp;"ON",S56)/(1+V56*Y56),1)</f>
        <v>1</v>
      </c>
      <c r="AA56" s="30">
        <f>_xll.qlTenorBasisValue(TenorBasis3M,S56,InterestRatesTrigger)</f>
        <v>1.2807443792532645E-3</v>
      </c>
      <c r="AB56" s="74">
        <f t="shared" si="10"/>
        <v>1.9755776677860711E-2</v>
      </c>
      <c r="AC56" s="76">
        <f t="shared" si="11"/>
        <v>1.002666654811694</v>
      </c>
    </row>
    <row r="57" spans="16:29" x14ac:dyDescent="0.2">
      <c r="P57" s="33">
        <v>3</v>
      </c>
      <c r="Q57" s="27" t="str">
        <f>_xll.qlPeriodEquivalent(Q56&amp;"+"&amp;P57&amp;"M")</f>
        <v>10Y6M</v>
      </c>
      <c r="R57" s="28">
        <f>_xll.qlCalendarAdvance(Calendar,SettlementDate,Q57,"f",,Trigger)</f>
        <v>46114</v>
      </c>
      <c r="S57" s="28">
        <f>_xll.qlInterestRateIndexValueDate(Index,R57,Trigger)</f>
        <v>46120</v>
      </c>
      <c r="T57" s="28">
        <f>_xll.qlInterestRateIndexMaturity(Index,S57,Trigger)</f>
        <v>46211</v>
      </c>
      <c r="U57" s="30">
        <f>_xll.qlIndexFixing($M$5,R57,TRUE,InterestRatesTrigger)</f>
        <v>1.8732473556332719E-2</v>
      </c>
      <c r="V57" s="74">
        <f>_xll.qlIndexFixing(Index,R57,TRUE,InterestRatesTrigger)</f>
        <v>1.9945358828623583E-2</v>
      </c>
      <c r="W57" s="30">
        <f t="shared" si="9"/>
        <v>1.2128852722908638E-3</v>
      </c>
      <c r="X57" s="29">
        <f>_xll.qlDayCounterYearFraction(DayCounter,SettlementDate,S57,,,Trigger)</f>
        <v>10.669444444444444</v>
      </c>
      <c r="Y57" s="29">
        <f>_xll.qlDayCounterYearFraction(DayCounter,S57,T57)</f>
        <v>0.25277777777777777</v>
      </c>
      <c r="Z57" s="29">
        <f>IF($M$13,_xll.qlYieldTSDiscount(Currency&amp;"ON",S57)/(1+V57*Y57),1)</f>
        <v>1</v>
      </c>
      <c r="AA57" s="30">
        <f>_xll.qlTenorBasisValue(TenorBasis3M,S57,InterestRatesTrigger)</f>
        <v>1.2570604552951917E-3</v>
      </c>
      <c r="AB57" s="74">
        <f t="shared" si="10"/>
        <v>1.998953401162791E-2</v>
      </c>
      <c r="AC57" s="76">
        <f t="shared" si="11"/>
        <v>1.0022148101412411</v>
      </c>
    </row>
    <row r="58" spans="16:29" x14ac:dyDescent="0.2">
      <c r="P58" s="33">
        <v>3</v>
      </c>
      <c r="Q58" s="27" t="str">
        <f>_xll.qlPeriodEquivalent(Q57&amp;"+"&amp;P58&amp;"M")</f>
        <v>10Y9M</v>
      </c>
      <c r="R58" s="28">
        <f>_xll.qlCalendarAdvance(Calendar,SettlementDate,Q58,"f",,Trigger)</f>
        <v>46205</v>
      </c>
      <c r="S58" s="28">
        <f>_xll.qlInterestRateIndexValueDate(Index,R58,Trigger)</f>
        <v>46209</v>
      </c>
      <c r="T58" s="28">
        <f>_xll.qlInterestRateIndexMaturity(Index,S58,Trigger)</f>
        <v>46301</v>
      </c>
      <c r="U58" s="30">
        <f>_xll.qlIndexFixing($M$5,R58,TRUE,InterestRatesTrigger)</f>
        <v>1.8916791626520116E-2</v>
      </c>
      <c r="V58" s="74">
        <f>_xll.qlIndexFixing(Index,R58,TRUE,InterestRatesTrigger)</f>
        <v>2.0160594882882264E-2</v>
      </c>
      <c r="W58" s="30">
        <f t="shared" si="9"/>
        <v>1.2438032563621484E-3</v>
      </c>
      <c r="X58" s="29">
        <f>_xll.qlDayCounterYearFraction(DayCounter,SettlementDate,S58,,,Trigger)</f>
        <v>10.916666666666666</v>
      </c>
      <c r="Y58" s="29">
        <f>_xll.qlDayCounterYearFraction(DayCounter,S58,T58)</f>
        <v>0.25555555555555554</v>
      </c>
      <c r="Z58" s="29">
        <f>IF($M$13,_xll.qlYieldTSDiscount(Currency&amp;"ON",S58)/(1+V58*Y58),1)</f>
        <v>1</v>
      </c>
      <c r="AA58" s="30">
        <f>_xll.qlTenorBasisValue(TenorBasis3M,S58,InterestRatesTrigger)</f>
        <v>1.2341985743412548E-3</v>
      </c>
      <c r="AB58" s="74">
        <f t="shared" si="10"/>
        <v>2.015099020086137E-2</v>
      </c>
      <c r="AC58" s="76">
        <f t="shared" si="11"/>
        <v>0.99952359133861424</v>
      </c>
    </row>
    <row r="59" spans="16:29" x14ac:dyDescent="0.2">
      <c r="P59" s="33">
        <v>3</v>
      </c>
      <c r="Q59" s="27" t="str">
        <f>_xll.qlPeriodEquivalent(Q58&amp;"+"&amp;P59&amp;"M")</f>
        <v>11Y</v>
      </c>
      <c r="R59" s="28">
        <f>_xll.qlCalendarAdvance(Calendar,SettlementDate,Q59,"f",,Trigger)</f>
        <v>46297</v>
      </c>
      <c r="S59" s="28">
        <f>_xll.qlInterestRateIndexValueDate(Index,R59,Trigger)</f>
        <v>46301</v>
      </c>
      <c r="T59" s="28">
        <f>_xll.qlInterestRateIndexMaturity(Index,S59,Trigger)</f>
        <v>46393</v>
      </c>
      <c r="U59" s="30">
        <f>_xll.qlIndexFixing($M$5,R59,TRUE,InterestRatesTrigger)</f>
        <v>1.9053316256071175E-2</v>
      </c>
      <c r="V59" s="74">
        <f>_xll.qlIndexFixing(Index,R59,TRUE,InterestRatesTrigger)</f>
        <v>2.0359856839192194E-2</v>
      </c>
      <c r="W59" s="30">
        <f t="shared" si="9"/>
        <v>1.3065405831210186E-3</v>
      </c>
      <c r="X59" s="29">
        <f>_xll.qlDayCounterYearFraction(DayCounter,SettlementDate,S59,,,Trigger)</f>
        <v>11.172222222222222</v>
      </c>
      <c r="Y59" s="29">
        <f>_xll.qlDayCounterYearFraction(DayCounter,S59,T59)</f>
        <v>0.25555555555555554</v>
      </c>
      <c r="Z59" s="29">
        <f>IF($M$13,_xll.qlYieldTSDiscount(Currency&amp;"ON",S59)/(1+V59*Y59),1)</f>
        <v>1</v>
      </c>
      <c r="AA59" s="30">
        <f>_xll.qlTenorBasisValue(TenorBasis3M,S59,InterestRatesTrigger)</f>
        <v>1.2106531128975614E-3</v>
      </c>
      <c r="AB59" s="74">
        <f t="shared" si="10"/>
        <v>2.0263969368968737E-2</v>
      </c>
      <c r="AC59" s="76">
        <f t="shared" si="11"/>
        <v>0.99529036618573485</v>
      </c>
    </row>
    <row r="60" spans="16:29" x14ac:dyDescent="0.2">
      <c r="P60" s="33">
        <v>3</v>
      </c>
      <c r="Q60" s="27" t="str">
        <f>_xll.qlPeriodEquivalent(Q59&amp;"+"&amp;P60&amp;"M")</f>
        <v>11Y3M</v>
      </c>
      <c r="R60" s="28">
        <f>_xll.qlCalendarAdvance(Calendar,SettlementDate,Q60,"f",,Trigger)</f>
        <v>46391</v>
      </c>
      <c r="S60" s="28">
        <f>_xll.qlInterestRateIndexValueDate(Index,R60,Trigger)</f>
        <v>46393</v>
      </c>
      <c r="T60" s="28">
        <f>_xll.qlInterestRateIndexMaturity(Index,S60,Trigger)</f>
        <v>46483</v>
      </c>
      <c r="U60" s="30">
        <f>_xll.qlIndexFixing($M$5,R60,TRUE,InterestRatesTrigger)</f>
        <v>1.9189685161935088E-2</v>
      </c>
      <c r="V60" s="74">
        <f>_xll.qlIndexFixing(Index,R60,TRUE,InterestRatesTrigger)</f>
        <v>2.0534437714247566E-2</v>
      </c>
      <c r="W60" s="30">
        <f t="shared" si="9"/>
        <v>1.3447525523124781E-3</v>
      </c>
      <c r="X60" s="29">
        <f>_xll.qlDayCounterYearFraction(DayCounter,SettlementDate,S60,,,Trigger)</f>
        <v>11.427777777777777</v>
      </c>
      <c r="Y60" s="29">
        <f>_xll.qlDayCounterYearFraction(DayCounter,S60,T60)</f>
        <v>0.25</v>
      </c>
      <c r="Z60" s="29">
        <f>IF($M$13,_xll.qlYieldTSDiscount(Currency&amp;"ON",S60)/(1+V60*Y60),1)</f>
        <v>1</v>
      </c>
      <c r="AA60" s="30">
        <f>_xll.qlTenorBasisValue(TenorBasis3M,S60,InterestRatesTrigger)</f>
        <v>1.187229280186847E-3</v>
      </c>
      <c r="AB60" s="74">
        <f t="shared" si="10"/>
        <v>2.0376914442121936E-2</v>
      </c>
      <c r="AC60" s="76">
        <f t="shared" si="11"/>
        <v>0.99232882466431815</v>
      </c>
    </row>
    <row r="61" spans="16:29" x14ac:dyDescent="0.2">
      <c r="P61" s="33">
        <v>3</v>
      </c>
      <c r="Q61" s="27" t="str">
        <f>_xll.qlPeriodEquivalent(Q60&amp;"+"&amp;P61&amp;"M")</f>
        <v>11Y6M</v>
      </c>
      <c r="R61" s="28">
        <f>_xll.qlCalendarAdvance(Calendar,SettlementDate,Q61,"f",,Trigger)</f>
        <v>46479</v>
      </c>
      <c r="S61" s="28">
        <f>_xll.qlInterestRateIndexValueDate(Index,R61,Trigger)</f>
        <v>46483</v>
      </c>
      <c r="T61" s="28">
        <f>_xll.qlInterestRateIndexMaturity(Index,S61,Trigger)</f>
        <v>46574</v>
      </c>
      <c r="U61" s="30">
        <f>_xll.qlIndexFixing($M$5,R61,TRUE,InterestRatesTrigger)</f>
        <v>1.9341180048631241E-2</v>
      </c>
      <c r="V61" s="74">
        <f>_xll.qlIndexFixing(Index,R61,TRUE,InterestRatesTrigger)</f>
        <v>2.0688644166847837E-2</v>
      </c>
      <c r="W61" s="30">
        <f t="shared" si="9"/>
        <v>1.3474641182165958E-3</v>
      </c>
      <c r="X61" s="29">
        <f>_xll.qlDayCounterYearFraction(DayCounter,SettlementDate,S61,,,Trigger)</f>
        <v>11.677777777777777</v>
      </c>
      <c r="Y61" s="29">
        <f>_xll.qlDayCounterYearFraction(DayCounter,S61,T61)</f>
        <v>0.25277777777777777</v>
      </c>
      <c r="Z61" s="29">
        <f>IF($M$13,_xll.qlYieldTSDiscount(Currency&amp;"ON",S61)/(1+V61*Y61),1)</f>
        <v>1</v>
      </c>
      <c r="AA61" s="30">
        <f>_xll.qlTenorBasisValue(TenorBasis3M,S61,InterestRatesTrigger)</f>
        <v>1.1644617524704821E-3</v>
      </c>
      <c r="AB61" s="74">
        <f t="shared" si="10"/>
        <v>2.0505641801101725E-2</v>
      </c>
      <c r="AC61" s="76">
        <f t="shared" si="11"/>
        <v>0.99115445341559105</v>
      </c>
    </row>
    <row r="62" spans="16:29" x14ac:dyDescent="0.2">
      <c r="P62" s="33">
        <v>3</v>
      </c>
      <c r="Q62" s="27" t="str">
        <f>_xll.qlPeriodEquivalent(Q61&amp;"+"&amp;P62&amp;"M")</f>
        <v>11Y9M</v>
      </c>
      <c r="R62" s="28">
        <f>_xll.qlCalendarAdvance(Calendar,SettlementDate,Q62,"f",,Trigger)</f>
        <v>46570</v>
      </c>
      <c r="S62" s="28">
        <f>_xll.qlInterestRateIndexValueDate(Index,R62,Trigger)</f>
        <v>46574</v>
      </c>
      <c r="T62" s="28">
        <f>_xll.qlInterestRateIndexMaturity(Index,S62,Trigger)</f>
        <v>46666</v>
      </c>
      <c r="U62" s="30">
        <f>_xll.qlIndexFixing($M$5,R62,TRUE,InterestRatesTrigger)</f>
        <v>1.9508876759872399E-2</v>
      </c>
      <c r="V62" s="74">
        <f>_xll.qlIndexFixing(Index,R62,TRUE,InterestRatesTrigger)</f>
        <v>2.0823175547861523E-2</v>
      </c>
      <c r="W62" s="30">
        <f t="shared" si="9"/>
        <v>1.3142987879891238E-3</v>
      </c>
      <c r="X62" s="29">
        <f>_xll.qlDayCounterYearFraction(DayCounter,SettlementDate,S62,,,Trigger)</f>
        <v>11.930555555555555</v>
      </c>
      <c r="Y62" s="29">
        <f>_xll.qlDayCounterYearFraction(DayCounter,S62,T62)</f>
        <v>0.25555555555555554</v>
      </c>
      <c r="Z62" s="29">
        <f>IF($M$13,_xll.qlYieldTSDiscount(Currency&amp;"ON",S62)/(1+V62*Y62),1)</f>
        <v>1</v>
      </c>
      <c r="AA62" s="30">
        <f>_xll.qlTenorBasisValue(TenorBasis3M,S62,InterestRatesTrigger)</f>
        <v>1.1416159851908609E-3</v>
      </c>
      <c r="AB62" s="74">
        <f t="shared" si="10"/>
        <v>2.0650492745063261E-2</v>
      </c>
      <c r="AC62" s="76">
        <f t="shared" si="11"/>
        <v>0.99170718210575737</v>
      </c>
    </row>
    <row r="63" spans="16:29" x14ac:dyDescent="0.2">
      <c r="P63" s="33">
        <v>3</v>
      </c>
      <c r="Q63" s="27" t="str">
        <f>_xll.qlPeriodEquivalent(Q62&amp;"+"&amp;P63&amp;"M")</f>
        <v>12Y</v>
      </c>
      <c r="R63" s="28">
        <f>_xll.qlCalendarAdvance(Calendar,SettlementDate,Q63,"f",,Trigger)</f>
        <v>46664</v>
      </c>
      <c r="S63" s="28">
        <f>_xll.qlInterestRateIndexValueDate(Index,R63,Trigger)</f>
        <v>46666</v>
      </c>
      <c r="T63" s="28">
        <f>_xll.qlInterestRateIndexMaturity(Index,S63,Trigger)</f>
        <v>46758</v>
      </c>
      <c r="U63" s="30">
        <f>_xll.qlIndexFixing($M$5,R63,TRUE,InterestRatesTrigger)</f>
        <v>1.9685306084166816E-2</v>
      </c>
      <c r="V63" s="74">
        <f>_xll.qlIndexFixing(Index,R63,TRUE,InterestRatesTrigger)</f>
        <v>2.0937113279645668E-2</v>
      </c>
      <c r="W63" s="30">
        <f t="shared" si="9"/>
        <v>1.2518071954788525E-3</v>
      </c>
      <c r="X63" s="29">
        <f>_xll.qlDayCounterYearFraction(DayCounter,SettlementDate,S63,,,Trigger)</f>
        <v>12.186111111111112</v>
      </c>
      <c r="Y63" s="29">
        <f>_xll.qlDayCounterYearFraction(DayCounter,S63,T63)</f>
        <v>0.25555555555555554</v>
      </c>
      <c r="Z63" s="29">
        <f>IF($M$13,_xll.qlYieldTSDiscount(Currency&amp;"ON",S63)/(1+V63*Y63),1)</f>
        <v>1</v>
      </c>
      <c r="AA63" s="30">
        <f>_xll.qlTenorBasisValue(TenorBasis3M,S63,InterestRatesTrigger)</f>
        <v>1.1187226713666942E-3</v>
      </c>
      <c r="AB63" s="74">
        <f t="shared" si="10"/>
        <v>2.0804028755533509E-2</v>
      </c>
      <c r="AC63" s="76">
        <f t="shared" si="11"/>
        <v>0.99364360681749098</v>
      </c>
    </row>
    <row r="64" spans="16:29" x14ac:dyDescent="0.2">
      <c r="P64" s="33">
        <v>3</v>
      </c>
      <c r="Q64" s="27" t="str">
        <f>_xll.qlPeriodEquivalent(Q63&amp;"+"&amp;P64&amp;"M")</f>
        <v>12Y3M</v>
      </c>
      <c r="R64" s="28">
        <f>_xll.qlCalendarAdvance(Calendar,SettlementDate,Q64,"f",,Trigger)</f>
        <v>46755</v>
      </c>
      <c r="S64" s="28">
        <f>_xll.qlInterestRateIndexValueDate(Index,R64,Trigger)</f>
        <v>46757</v>
      </c>
      <c r="T64" s="28">
        <f>_xll.qlInterestRateIndexMaturity(Index,S64,Trigger)</f>
        <v>46848</v>
      </c>
      <c r="U64" s="30">
        <f>_xll.qlIndexFixing($M$5,R64,TRUE,InterestRatesTrigger)</f>
        <v>1.98432811674462E-2</v>
      </c>
      <c r="V64" s="74">
        <f>_xll.qlIndexFixing(Index,R64,TRUE,InterestRatesTrigger)</f>
        <v>2.1031699876804057E-2</v>
      </c>
      <c r="W64" s="30">
        <f t="shared" si="9"/>
        <v>1.1884187093578573E-3</v>
      </c>
      <c r="X64" s="29">
        <f>_xll.qlDayCounterYearFraction(DayCounter,SettlementDate,S64,,,Trigger)</f>
        <v>12.438888888888888</v>
      </c>
      <c r="Y64" s="29">
        <f>_xll.qlDayCounterYearFraction(DayCounter,S64,T64)</f>
        <v>0.25277777777777777</v>
      </c>
      <c r="Z64" s="29">
        <f>IF($M$13,_xll.qlYieldTSDiscount(Currency&amp;"ON",S64)/(1+V64*Y64),1)</f>
        <v>1</v>
      </c>
      <c r="AA64" s="30">
        <f>_xll.qlTenorBasisValue(TenorBasis3M,S64,InterestRatesTrigger)</f>
        <v>1.0963018783308291E-3</v>
      </c>
      <c r="AB64" s="74">
        <f t="shared" si="10"/>
        <v>2.0939583045777029E-2</v>
      </c>
      <c r="AC64" s="76">
        <f t="shared" si="11"/>
        <v>0.99562009578081589</v>
      </c>
    </row>
    <row r="65" spans="16:29" x14ac:dyDescent="0.2">
      <c r="P65" s="33">
        <v>3</v>
      </c>
      <c r="Q65" s="27" t="str">
        <f>_xll.qlPeriodEquivalent(Q64&amp;"+"&amp;P65&amp;"M")</f>
        <v>12Y6M</v>
      </c>
      <c r="R65" s="28">
        <f>_xll.qlCalendarAdvance(Calendar,SettlementDate,Q65,"f",,Trigger)</f>
        <v>46846</v>
      </c>
      <c r="S65" s="28">
        <f>_xll.qlInterestRateIndexValueDate(Index,R65,Trigger)</f>
        <v>46848</v>
      </c>
      <c r="T65" s="28">
        <f>_xll.qlInterestRateIndexMaturity(Index,S65,Trigger)</f>
        <v>46939</v>
      </c>
      <c r="U65" s="30">
        <f>_xll.qlIndexFixing($M$5,R65,TRUE,InterestRatesTrigger)</f>
        <v>1.9982100143857776E-2</v>
      </c>
      <c r="V65" s="74">
        <f>_xll.qlIndexFixing(Index,R65,TRUE,InterestRatesTrigger)</f>
        <v>2.1111316745469396E-2</v>
      </c>
      <c r="W65" s="30">
        <f t="shared" si="9"/>
        <v>1.1292166016116205E-3</v>
      </c>
      <c r="X65" s="29">
        <f>_xll.qlDayCounterYearFraction(DayCounter,SettlementDate,S65,,,Trigger)</f>
        <v>12.691666666666666</v>
      </c>
      <c r="Y65" s="29">
        <f>_xll.qlDayCounterYearFraction(DayCounter,S65,T65)</f>
        <v>0.25277777777777777</v>
      </c>
      <c r="Z65" s="29">
        <f>IF($M$13,_xll.qlYieldTSDiscount(Currency&amp;"ON",S65)/(1+V65*Y65),1)</f>
        <v>1</v>
      </c>
      <c r="AA65" s="30">
        <f>_xll.qlTenorBasisValue(TenorBasis3M,S65,InterestRatesTrigger)</f>
        <v>1.0741236300899064E-3</v>
      </c>
      <c r="AB65" s="74">
        <f t="shared" si="10"/>
        <v>2.1056223773947683E-2</v>
      </c>
      <c r="AC65" s="76">
        <f t="shared" si="11"/>
        <v>0.9973903583473287</v>
      </c>
    </row>
    <row r="66" spans="16:29" x14ac:dyDescent="0.2">
      <c r="P66" s="33">
        <v>3</v>
      </c>
      <c r="Q66" s="27" t="str">
        <f>_xll.qlPeriodEquivalent(Q65&amp;"+"&amp;P66&amp;"M")</f>
        <v>12Y9M</v>
      </c>
      <c r="R66" s="28">
        <f>_xll.qlCalendarAdvance(Calendar,SettlementDate,Q66,"f",,Trigger)</f>
        <v>46937</v>
      </c>
      <c r="S66" s="28">
        <f>_xll.qlInterestRateIndexValueDate(Index,R66,Trigger)</f>
        <v>46939</v>
      </c>
      <c r="T66" s="28">
        <f>_xll.qlInterestRateIndexMaturity(Index,S66,Trigger)</f>
        <v>47031</v>
      </c>
      <c r="U66" s="30">
        <f>_xll.qlIndexFixing($M$5,R66,TRUE,InterestRatesTrigger)</f>
        <v>2.010144410145542E-2</v>
      </c>
      <c r="V66" s="74">
        <f>_xll.qlIndexFixing(Index,R66,TRUE,InterestRatesTrigger)</f>
        <v>2.1175710901000813E-2</v>
      </c>
      <c r="W66" s="30">
        <f t="shared" si="9"/>
        <v>1.0742667995453925E-3</v>
      </c>
      <c r="X66" s="29">
        <f>_xll.qlDayCounterYearFraction(DayCounter,SettlementDate,S66,,,Trigger)</f>
        <v>12.944444444444445</v>
      </c>
      <c r="Y66" s="29">
        <f>_xll.qlDayCounterYearFraction(DayCounter,S66,T66)</f>
        <v>0.25555555555555554</v>
      </c>
      <c r="Z66" s="29">
        <f>IF($M$13,_xll.qlYieldTSDiscount(Currency&amp;"ON",S66)/(1+V66*Y66),1)</f>
        <v>1</v>
      </c>
      <c r="AA66" s="30">
        <f>_xll.qlTenorBasisValue(TenorBasis3M,S66,InterestRatesTrigger)</f>
        <v>1.0522059115271978E-3</v>
      </c>
      <c r="AB66" s="74">
        <f t="shared" si="10"/>
        <v>2.1153650012982618E-2</v>
      </c>
      <c r="AC66" s="76">
        <f t="shared" si="11"/>
        <v>0.99895819846987277</v>
      </c>
    </row>
    <row r="67" spans="16:29" x14ac:dyDescent="0.2">
      <c r="P67" s="33">
        <v>3</v>
      </c>
      <c r="Q67" s="27" t="str">
        <f>_xll.qlPeriodEquivalent(Q66&amp;"+"&amp;P67&amp;"M")</f>
        <v>13Y</v>
      </c>
      <c r="R67" s="28">
        <f>_xll.qlCalendarAdvance(Calendar,SettlementDate,Q67,"f",,Trigger)</f>
        <v>47028</v>
      </c>
      <c r="S67" s="28">
        <f>_xll.qlInterestRateIndexValueDate(Index,R67,Trigger)</f>
        <v>47030</v>
      </c>
      <c r="T67" s="28">
        <f>_xll.qlInterestRateIndexMaturity(Index,S67,Trigger)</f>
        <v>47122</v>
      </c>
      <c r="U67" s="30">
        <f>_xll.qlIndexFixing($M$5,R67,TRUE,InterestRatesTrigger)</f>
        <v>2.0198935734307304E-2</v>
      </c>
      <c r="V67" s="74">
        <f>_xll.qlIndexFixing(Index,R67,TRUE,InterestRatesTrigger)</f>
        <v>2.1222973607619617E-2</v>
      </c>
      <c r="W67" s="30">
        <f t="shared" si="9"/>
        <v>1.0240378733123133E-3</v>
      </c>
      <c r="X67" s="29">
        <f>_xll.qlDayCounterYearFraction(DayCounter,SettlementDate,S67,,,Trigger)</f>
        <v>13.197222222222223</v>
      </c>
      <c r="Y67" s="29">
        <f>_xll.qlDayCounterYearFraction(DayCounter,S67,T67)</f>
        <v>0.25555555555555554</v>
      </c>
      <c r="Z67" s="29">
        <f>IF($M$13,_xll.qlYieldTSDiscount(Currency&amp;"ON",S67)/(1+V67*Y67),1)</f>
        <v>1</v>
      </c>
      <c r="AA67" s="30">
        <f>_xll.qlTenorBasisValue(TenorBasis3M,S67,InterestRatesTrigger)</f>
        <v>1.0305648174578608E-3</v>
      </c>
      <c r="AB67" s="74">
        <f t="shared" si="10"/>
        <v>2.1229500551765163E-2</v>
      </c>
      <c r="AC67" s="76">
        <f t="shared" si="11"/>
        <v>1.0003075414532487</v>
      </c>
    </row>
    <row r="68" spans="16:29" x14ac:dyDescent="0.2">
      <c r="P68" s="33">
        <v>3</v>
      </c>
      <c r="Q68" s="27" t="str">
        <f>_xll.qlPeriodEquivalent(Q67&amp;"+"&amp;P68&amp;"M")</f>
        <v>13Y3M</v>
      </c>
      <c r="R68" s="28">
        <f>_xll.qlCalendarAdvance(Calendar,SettlementDate,Q68,"f",,Trigger)</f>
        <v>47120</v>
      </c>
      <c r="S68" s="28">
        <f>_xll.qlInterestRateIndexValueDate(Index,R68,Trigger)</f>
        <v>47122</v>
      </c>
      <c r="T68" s="28">
        <f>_xll.qlInterestRateIndexMaturity(Index,S68,Trigger)</f>
        <v>47212</v>
      </c>
      <c r="U68" s="30">
        <f>_xll.qlIndexFixing($M$5,R68,TRUE,InterestRatesTrigger)</f>
        <v>2.0274711817589441E-2</v>
      </c>
      <c r="V68" s="74">
        <f>_xll.qlIndexFixing(Index,R68,TRUE,InterestRatesTrigger)</f>
        <v>2.1252877303916229E-2</v>
      </c>
      <c r="W68" s="30">
        <f t="shared" si="9"/>
        <v>9.7816548632678746E-4</v>
      </c>
      <c r="X68" s="29">
        <f>_xll.qlDayCounterYearFraction(DayCounter,SettlementDate,S68,,,Trigger)</f>
        <v>13.452777777777778</v>
      </c>
      <c r="Y68" s="29">
        <f>_xll.qlDayCounterYearFraction(DayCounter,S68,T68)</f>
        <v>0.25</v>
      </c>
      <c r="Z68" s="29">
        <f>IF($M$13,_xll.qlYieldTSDiscount(Currency&amp;"ON",S68)/(1+V68*Y68),1)</f>
        <v>1</v>
      </c>
      <c r="AA68" s="30">
        <f>_xll.qlTenorBasisValue(TenorBasis3M,S68,InterestRatesTrigger)</f>
        <v>1.008981725670966E-3</v>
      </c>
      <c r="AB68" s="74">
        <f t="shared" si="10"/>
        <v>2.1283693543260408E-2</v>
      </c>
      <c r="AC68" s="76">
        <f t="shared" si="11"/>
        <v>1.0014499796382159</v>
      </c>
    </row>
    <row r="69" spans="16:29" x14ac:dyDescent="0.2">
      <c r="P69" s="33">
        <v>3</v>
      </c>
      <c r="Q69" s="27" t="str">
        <f>_xll.qlPeriodEquivalent(Q68&amp;"+"&amp;P69&amp;"M")</f>
        <v>13Y6M</v>
      </c>
      <c r="R69" s="28">
        <f>_xll.qlCalendarAdvance(Calendar,SettlementDate,Q69,"f",,Trigger)</f>
        <v>47211</v>
      </c>
      <c r="S69" s="28">
        <f>_xll.qlInterestRateIndexValueDate(Index,R69,Trigger)</f>
        <v>47213</v>
      </c>
      <c r="T69" s="28">
        <f>_xll.qlInterestRateIndexMaturity(Index,S69,Trigger)</f>
        <v>47304</v>
      </c>
      <c r="U69" s="30">
        <f>_xll.qlIndexFixing($M$5,R69,TRUE,InterestRatesTrigger)</f>
        <v>2.0331775765111811E-2</v>
      </c>
      <c r="V69" s="74">
        <f>_xll.qlIndexFixing(Index,R69,TRUE,InterestRatesTrigger)</f>
        <v>2.1268515977403393E-2</v>
      </c>
      <c r="W69" s="30">
        <f t="shared" si="9"/>
        <v>9.3674021229158203E-4</v>
      </c>
      <c r="X69" s="29">
        <f>_xll.qlDayCounterYearFraction(DayCounter,SettlementDate,S69,,,Trigger)</f>
        <v>13.705555555555556</v>
      </c>
      <c r="Y69" s="29">
        <f>_xll.qlDayCounterYearFraction(DayCounter,S69,T69)</f>
        <v>0.25277777777777777</v>
      </c>
      <c r="Z69" s="29">
        <f>IF($M$13,_xll.qlYieldTSDiscount(Currency&amp;"ON",S69)/(1+V69*Y69),1)</f>
        <v>1</v>
      </c>
      <c r="AA69" s="30">
        <f>_xll.qlTenorBasisValue(TenorBasis3M,S69,InterestRatesTrigger)</f>
        <v>9.8793862430424247E-4</v>
      </c>
      <c r="AB69" s="74">
        <f t="shared" si="10"/>
        <v>2.1319714389416052E-2</v>
      </c>
      <c r="AC69" s="76">
        <f t="shared" si="11"/>
        <v>1.0024072395115415</v>
      </c>
    </row>
    <row r="70" spans="16:29" x14ac:dyDescent="0.2">
      <c r="P70" s="33">
        <v>3</v>
      </c>
      <c r="Q70" s="27" t="str">
        <f>_xll.qlPeriodEquivalent(Q69&amp;"+"&amp;P70&amp;"M")</f>
        <v>13Y9M</v>
      </c>
      <c r="R70" s="28">
        <f>_xll.qlCalendarAdvance(Calendar,SettlementDate,Q70,"f",,Trigger)</f>
        <v>47301</v>
      </c>
      <c r="S70" s="28">
        <f>_xll.qlInterestRateIndexValueDate(Index,R70,Trigger)</f>
        <v>47303</v>
      </c>
      <c r="T70" s="28">
        <f>_xll.qlInterestRateIndexMaturity(Index,S70,Trigger)</f>
        <v>47395</v>
      </c>
      <c r="U70" s="30">
        <f>_xll.qlIndexFixing($M$5,R70,TRUE,InterestRatesTrigger)</f>
        <v>2.0367726054031077E-2</v>
      </c>
      <c r="V70" s="74">
        <f>_xll.qlIndexFixing(Index,R70,TRUE,InterestRatesTrigger)</f>
        <v>2.1267944084524551E-2</v>
      </c>
      <c r="W70" s="30">
        <f t="shared" si="9"/>
        <v>9.0021803049347357E-4</v>
      </c>
      <c r="X70" s="29">
        <f>_xll.qlDayCounterYearFraction(DayCounter,SettlementDate,S70,,,Trigger)</f>
        <v>13.955555555555556</v>
      </c>
      <c r="Y70" s="29">
        <f>_xll.qlDayCounterYearFraction(DayCounter,S70,T70)</f>
        <v>0.25555555555555554</v>
      </c>
      <c r="Z70" s="29">
        <f>IF($M$13,_xll.qlYieldTSDiscount(Currency&amp;"ON",S70)/(1+V70*Y70),1)</f>
        <v>1</v>
      </c>
      <c r="AA70" s="30">
        <f>_xll.qlTenorBasisValue(TenorBasis3M,S70,InterestRatesTrigger)</f>
        <v>9.6743645645446484E-4</v>
      </c>
      <c r="AB70" s="74">
        <f t="shared" si="10"/>
        <v>2.1335162510485541E-2</v>
      </c>
      <c r="AC70" s="76">
        <f t="shared" si="11"/>
        <v>1.0031605511888617</v>
      </c>
    </row>
    <row r="71" spans="16:29" x14ac:dyDescent="0.2">
      <c r="P71" s="33">
        <v>3</v>
      </c>
      <c r="Q71" s="27" t="str">
        <f>_xll.qlPeriodEquivalent(Q70&amp;"+"&amp;P71&amp;"M")</f>
        <v>14Y</v>
      </c>
      <c r="R71" s="28">
        <f>_xll.qlCalendarAdvance(Calendar,SettlementDate,Q71,"f",,Trigger)</f>
        <v>47393</v>
      </c>
      <c r="S71" s="28">
        <f>_xll.qlInterestRateIndexValueDate(Index,R71,Trigger)</f>
        <v>47395</v>
      </c>
      <c r="T71" s="28">
        <f>_xll.qlInterestRateIndexMaturity(Index,S71,Trigger)</f>
        <v>47487</v>
      </c>
      <c r="U71" s="30">
        <f>_xll.qlIndexFixing($M$5,R71,TRUE,InterestRatesTrigger)</f>
        <v>2.0382809021526917E-2</v>
      </c>
      <c r="V71" s="74">
        <f>_xll.qlIndexFixing(Index,R71,TRUE,InterestRatesTrigger)</f>
        <v>2.1250381521536299E-2</v>
      </c>
      <c r="W71" s="30">
        <f t="shared" si="9"/>
        <v>8.675725000093816E-4</v>
      </c>
      <c r="X71" s="29">
        <f>_xll.qlDayCounterYearFraction(DayCounter,SettlementDate,S71,,,Trigger)</f>
        <v>14.21111111111111</v>
      </c>
      <c r="Y71" s="29">
        <f>_xll.qlDayCounterYearFraction(DayCounter,S71,T71)</f>
        <v>0.25555555555555554</v>
      </c>
      <c r="Z71" s="29">
        <f>IF($M$13,_xll.qlYieldTSDiscount(Currency&amp;"ON",S71)/(1+V71*Y71),1)</f>
        <v>1</v>
      </c>
      <c r="AA71" s="30">
        <f>_xll.qlTenorBasisValue(TenorBasis3M,S71,InterestRatesTrigger)</f>
        <v>9.4680681792723897E-4</v>
      </c>
      <c r="AB71" s="74">
        <f t="shared" si="10"/>
        <v>2.1329615839454155E-2</v>
      </c>
      <c r="AC71" s="76">
        <f t="shared" si="11"/>
        <v>1.0037286068411315</v>
      </c>
    </row>
    <row r="72" spans="16:29" x14ac:dyDescent="0.2">
      <c r="P72" s="33">
        <v>3</v>
      </c>
      <c r="Q72" s="27" t="str">
        <f>_xll.qlPeriodEquivalent(Q71&amp;"+"&amp;P72&amp;"M")</f>
        <v>14Y3M</v>
      </c>
      <c r="R72" s="28">
        <f>_xll.qlCalendarAdvance(Calendar,SettlementDate,Q72,"f",,Trigger)</f>
        <v>47485</v>
      </c>
      <c r="S72" s="28">
        <f>_xll.qlInterestRateIndexValueDate(Index,R72,Trigger)</f>
        <v>47487</v>
      </c>
      <c r="T72" s="28">
        <f>_xll.qlInterestRateIndexMaturity(Index,S72,Trigger)</f>
        <v>47577</v>
      </c>
      <c r="U72" s="30">
        <f>_xll.qlIndexFixing($M$5,R72,TRUE,InterestRatesTrigger)</f>
        <v>2.0375884932498423E-2</v>
      </c>
      <c r="V72" s="74">
        <f>_xll.qlIndexFixing(Index,R72,TRUE,InterestRatesTrigger)</f>
        <v>2.1215566235806449E-2</v>
      </c>
      <c r="W72" s="30">
        <f t="shared" si="9"/>
        <v>8.3968130330802637E-4</v>
      </c>
      <c r="X72" s="29">
        <f>_xll.qlDayCounterYearFraction(DayCounter,SettlementDate,S72,,,Trigger)</f>
        <v>14.466666666666667</v>
      </c>
      <c r="Y72" s="29">
        <f>_xll.qlDayCounterYearFraction(DayCounter,S72,T72)</f>
        <v>0.25</v>
      </c>
      <c r="Z72" s="29">
        <f>IF($M$13,_xll.qlYieldTSDiscount(Currency&amp;"ON",S72)/(1+V72*Y72),1)</f>
        <v>1</v>
      </c>
      <c r="AA72" s="30">
        <f>_xll.qlTenorBasisValue(TenorBasis3M,S72,InterestRatesTrigger)</f>
        <v>9.2651750471311805E-4</v>
      </c>
      <c r="AB72" s="74">
        <f t="shared" si="10"/>
        <v>2.1302402437211539E-2</v>
      </c>
      <c r="AC72" s="76">
        <f t="shared" si="11"/>
        <v>1.0040930418938587</v>
      </c>
    </row>
    <row r="73" spans="16:29" x14ac:dyDescent="0.2">
      <c r="P73" s="33">
        <v>3</v>
      </c>
      <c r="Q73" s="27" t="str">
        <f>_xll.qlPeriodEquivalent(Q72&amp;"+"&amp;P73&amp;"M")</f>
        <v>14Y6M</v>
      </c>
      <c r="R73" s="28">
        <f>_xll.qlCalendarAdvance(Calendar,SettlementDate,Q73,"f",,Trigger)</f>
        <v>47575</v>
      </c>
      <c r="S73" s="28">
        <f>_xll.qlInterestRateIndexValueDate(Index,R73,Trigger)</f>
        <v>47577</v>
      </c>
      <c r="T73" s="28">
        <f>_xll.qlInterestRateIndexMaturity(Index,S73,Trigger)</f>
        <v>47668</v>
      </c>
      <c r="U73" s="30">
        <f>_xll.qlIndexFixing($M$5,R73,TRUE,InterestRatesTrigger)</f>
        <v>2.0350218199661874E-2</v>
      </c>
      <c r="V73" s="74">
        <f>_xll.qlIndexFixing(Index,R73,TRUE,InterestRatesTrigger)</f>
        <v>2.1166763140173968E-2</v>
      </c>
      <c r="W73" s="30">
        <f t="shared" si="9"/>
        <v>8.165449405120942E-4</v>
      </c>
      <c r="X73" s="29">
        <f>_xll.qlDayCounterYearFraction(DayCounter,SettlementDate,S73,,,Trigger)</f>
        <v>14.716666666666667</v>
      </c>
      <c r="Y73" s="29">
        <f>_xll.qlDayCounterYearFraction(DayCounter,S73,T73)</f>
        <v>0.25277777777777777</v>
      </c>
      <c r="Z73" s="29">
        <f>IF($M$13,_xll.qlYieldTSDiscount(Currency&amp;"ON",S73)/(1+V73*Y73),1)</f>
        <v>1</v>
      </c>
      <c r="AA73" s="30">
        <f>_xll.qlTenorBasisValue(TenorBasis3M,S73,InterestRatesTrigger)</f>
        <v>9.0700565136108617E-4</v>
      </c>
      <c r="AB73" s="74">
        <f t="shared" si="10"/>
        <v>2.1257223851022959E-2</v>
      </c>
      <c r="AC73" s="76">
        <f t="shared" si="11"/>
        <v>1.0042737148920657</v>
      </c>
    </row>
    <row r="74" spans="16:29" x14ac:dyDescent="0.2">
      <c r="P74" s="33">
        <v>3</v>
      </c>
      <c r="Q74" s="27" t="str">
        <f>_xll.qlPeriodEquivalent(Q73&amp;"+"&amp;P74&amp;"M")</f>
        <v>14Y9M</v>
      </c>
      <c r="R74" s="28">
        <f>_xll.qlCalendarAdvance(Calendar,SettlementDate,Q74,"f",,Trigger)</f>
        <v>47666</v>
      </c>
      <c r="S74" s="28">
        <f>_xll.qlInterestRateIndexValueDate(Index,R74,Trigger)</f>
        <v>47668</v>
      </c>
      <c r="T74" s="28">
        <f>_xll.qlInterestRateIndexMaturity(Index,S74,Trigger)</f>
        <v>47760</v>
      </c>
      <c r="U74" s="30">
        <f>_xll.qlIndexFixing($M$5,R74,TRUE,InterestRatesTrigger)</f>
        <v>2.0303529561276346E-2</v>
      </c>
      <c r="V74" s="74">
        <f>_xll.qlIndexFixing(Index,R74,TRUE,InterestRatesTrigger)</f>
        <v>2.1101184073346411E-2</v>
      </c>
      <c r="W74" s="30">
        <f t="shared" si="9"/>
        <v>7.9765451207006524E-4</v>
      </c>
      <c r="X74" s="29">
        <f>_xll.qlDayCounterYearFraction(DayCounter,SettlementDate,S74,,,Trigger)</f>
        <v>14.969444444444445</v>
      </c>
      <c r="Y74" s="29">
        <f>_xll.qlDayCounterYearFraction(DayCounter,S74,T74)</f>
        <v>0.25555555555555554</v>
      </c>
      <c r="Z74" s="29">
        <f>IF($M$13,_xll.qlYieldTSDiscount(Currency&amp;"ON",S74)/(1+V74*Y74),1)</f>
        <v>1</v>
      </c>
      <c r="AA74" s="30">
        <f>_xll.qlTenorBasisValue(TenorBasis3M,S74,InterestRatesTrigger)</f>
        <v>8.8762120228315822E-4</v>
      </c>
      <c r="AB74" s="74">
        <f t="shared" si="10"/>
        <v>2.1191150763559503E-2</v>
      </c>
      <c r="AC74" s="76">
        <f t="shared" si="11"/>
        <v>1.0042635849201813</v>
      </c>
    </row>
    <row r="75" spans="16:29" x14ac:dyDescent="0.2">
      <c r="P75" s="33">
        <v>3</v>
      </c>
      <c r="Q75" s="27" t="str">
        <f>_xll.qlPeriodEquivalent(Q74&amp;"+"&amp;P75&amp;"M")</f>
        <v>15Y</v>
      </c>
      <c r="R75" s="28">
        <f>_xll.qlCalendarAdvance(Calendar,SettlementDate,Q75,"f",,Trigger)</f>
        <v>47758</v>
      </c>
      <c r="S75" s="28">
        <f>_xll.qlInterestRateIndexValueDate(Index,R75,Trigger)</f>
        <v>47760</v>
      </c>
      <c r="T75" s="28">
        <f>_xll.qlInterestRateIndexMaturity(Index,S75,Trigger)</f>
        <v>47854</v>
      </c>
      <c r="U75" s="30">
        <f>_xll.qlIndexFixing($M$5,R75,TRUE,InterestRatesTrigger)</f>
        <v>2.0237915730867841E-2</v>
      </c>
      <c r="V75" s="74">
        <f>_xll.qlIndexFixing(Index,R75,TRUE,InterestRatesTrigger)</f>
        <v>2.1020200843180157E-2</v>
      </c>
      <c r="W75" s="30">
        <f t="shared" si="9"/>
        <v>7.8228511231231632E-4</v>
      </c>
      <c r="X75" s="29">
        <f>_xll.qlDayCounterYearFraction(DayCounter,SettlementDate,S75,,,Trigger)</f>
        <v>15.225</v>
      </c>
      <c r="Y75" s="29">
        <f>_xll.qlDayCounterYearFraction(DayCounter,S75,T75)</f>
        <v>0.26111111111111113</v>
      </c>
      <c r="Z75" s="29">
        <f>IF($M$13,_xll.qlYieldTSDiscount(Currency&amp;"ON",S75)/(1+V75*Y75),1)</f>
        <v>1</v>
      </c>
      <c r="AA75" s="30">
        <f>_xll.qlTenorBasisValue(TenorBasis3M,S75,InterestRatesTrigger)</f>
        <v>8.6838055733094992E-4</v>
      </c>
      <c r="AB75" s="74">
        <f t="shared" si="10"/>
        <v>2.1106296288198791E-2</v>
      </c>
      <c r="AC75" s="76">
        <f t="shared" si="11"/>
        <v>1.0040958431206697</v>
      </c>
    </row>
    <row r="76" spans="16:29" x14ac:dyDescent="0.2">
      <c r="P76" s="33">
        <v>3</v>
      </c>
      <c r="Q76" s="27" t="str">
        <f>_xll.qlPeriodEquivalent(Q75&amp;"+"&amp;P76&amp;"M")</f>
        <v>15Y3M</v>
      </c>
      <c r="R76" s="28">
        <f>_xll.qlCalendarAdvance(Calendar,SettlementDate,Q76,"f",,Trigger)</f>
        <v>47850</v>
      </c>
      <c r="S76" s="28">
        <f>_xll.qlInterestRateIndexValueDate(Index,R76,Trigger)</f>
        <v>47854</v>
      </c>
      <c r="T76" s="28">
        <f>_xll.qlInterestRateIndexMaturity(Index,S76,Trigger)</f>
        <v>47945</v>
      </c>
      <c r="U76" s="30">
        <f>_xll.qlIndexFixing($M$5,R76,TRUE,InterestRatesTrigger)</f>
        <v>2.0160842982727099E-2</v>
      </c>
      <c r="V76" s="74">
        <f>_xll.qlIndexFixing(Index,R76,TRUE,InterestRatesTrigger)</f>
        <v>2.0928291997844593E-2</v>
      </c>
      <c r="W76" s="30">
        <f t="shared" si="9"/>
        <v>7.6744901511749397E-4</v>
      </c>
      <c r="X76" s="29">
        <f>_xll.qlDayCounterYearFraction(DayCounter,SettlementDate,S76,,,Trigger)</f>
        <v>15.486111111111111</v>
      </c>
      <c r="Y76" s="29">
        <f>_xll.qlDayCounterYearFraction(DayCounter,S76,T76)</f>
        <v>0.25277777777777777</v>
      </c>
      <c r="Z76" s="29">
        <f>IF($M$13,_xll.qlYieldTSDiscount(Currency&amp;"ON",S76)/(1+V76*Y76),1)</f>
        <v>1</v>
      </c>
      <c r="AA76" s="30">
        <f>_xll.qlTenorBasisValue(TenorBasis3M,S76,InterestRatesTrigger)</f>
        <v>8.4909638093486073E-4</v>
      </c>
      <c r="AB76" s="74">
        <f t="shared" si="10"/>
        <v>2.100993936366196E-2</v>
      </c>
      <c r="AC76" s="76">
        <f t="shared" si="11"/>
        <v>1.0039012914109653</v>
      </c>
    </row>
    <row r="77" spans="16:29" x14ac:dyDescent="0.2">
      <c r="P77" s="33">
        <v>3</v>
      </c>
      <c r="Q77" s="27" t="str">
        <f>_xll.qlPeriodEquivalent(Q76&amp;"+"&amp;P77&amp;"M")</f>
        <v>15Y6M</v>
      </c>
      <c r="R77" s="28">
        <f>_xll.qlCalendarAdvance(Calendar,SettlementDate,Q77,"f",,Trigger)</f>
        <v>47940</v>
      </c>
      <c r="S77" s="28">
        <f>_xll.qlInterestRateIndexValueDate(Index,R77,Trigger)</f>
        <v>47942</v>
      </c>
      <c r="T77" s="28">
        <f>_xll.qlInterestRateIndexMaturity(Index,S77,Trigger)</f>
        <v>48033</v>
      </c>
      <c r="U77" s="30">
        <f>_xll.qlIndexFixing($M$5,R77,TRUE,InterestRatesTrigger)</f>
        <v>2.0082845671273615E-2</v>
      </c>
      <c r="V77" s="74">
        <f>_xll.qlIndexFixing(Index,R77,TRUE,InterestRatesTrigger)</f>
        <v>2.0836266118640139E-2</v>
      </c>
      <c r="W77" s="30">
        <f t="shared" si="9"/>
        <v>7.5342044736652347E-4</v>
      </c>
      <c r="X77" s="29">
        <f>_xll.qlDayCounterYearFraction(DayCounter,SettlementDate,S77,,,Trigger)</f>
        <v>15.730555555555556</v>
      </c>
      <c r="Y77" s="29">
        <f>_xll.qlDayCounterYearFraction(DayCounter,S77,T77)</f>
        <v>0.25277777777777777</v>
      </c>
      <c r="Z77" s="29">
        <f>IF($M$13,_xll.qlYieldTSDiscount(Currency&amp;"ON",S77)/(1+V77*Y77),1)</f>
        <v>1</v>
      </c>
      <c r="AA77" s="30">
        <f>_xll.qlTenorBasisValue(TenorBasis3M,S77,InterestRatesTrigger)</f>
        <v>8.3138929351905409E-4</v>
      </c>
      <c r="AB77" s="74">
        <f t="shared" si="10"/>
        <v>2.091423496479267E-2</v>
      </c>
      <c r="AC77" s="76">
        <f t="shared" si="11"/>
        <v>1.003741977843275</v>
      </c>
    </row>
    <row r="78" spans="16:29" x14ac:dyDescent="0.2">
      <c r="P78" s="33">
        <v>3</v>
      </c>
      <c r="Q78" s="27" t="str">
        <f>_xll.qlPeriodEquivalent(Q77&amp;"+"&amp;P78&amp;"M")</f>
        <v>15Y9M</v>
      </c>
      <c r="R78" s="28">
        <f>_xll.qlCalendarAdvance(Calendar,SettlementDate,Q78,"f",,Trigger)</f>
        <v>48031</v>
      </c>
      <c r="S78" s="28">
        <f>_xll.qlInterestRateIndexValueDate(Index,R78,Trigger)</f>
        <v>48033</v>
      </c>
      <c r="T78" s="28">
        <f>_xll.qlInterestRateIndexMaturity(Index,S78,Trigger)</f>
        <v>48127</v>
      </c>
      <c r="U78" s="30">
        <f>_xll.qlIndexFixing($M$5,R78,TRUE,InterestRatesTrigger)</f>
        <v>1.9995906740397307E-2</v>
      </c>
      <c r="V78" s="74">
        <f>_xll.qlIndexFixing(Index,R78,TRUE,InterestRatesTrigger)</f>
        <v>2.0734662407782746E-2</v>
      </c>
      <c r="W78" s="30">
        <f t="shared" si="9"/>
        <v>7.3875566738543924E-4</v>
      </c>
      <c r="X78" s="29">
        <f>_xll.qlDayCounterYearFraction(DayCounter,SettlementDate,S78,,,Trigger)</f>
        <v>15.983333333333333</v>
      </c>
      <c r="Y78" s="29">
        <f>_xll.qlDayCounterYearFraction(DayCounter,S78,T78)</f>
        <v>0.26111111111111113</v>
      </c>
      <c r="Z78" s="29">
        <f>IF($M$13,_xll.qlYieldTSDiscount(Currency&amp;"ON",S78)/(1+V78*Y78),1)</f>
        <v>1</v>
      </c>
      <c r="AA78" s="30">
        <f>_xll.qlTenorBasisValue(TenorBasis3M,S78,InterestRatesTrigger)</f>
        <v>8.134327488253277E-4</v>
      </c>
      <c r="AB78" s="74">
        <f t="shared" si="10"/>
        <v>2.0809339489222634E-2</v>
      </c>
      <c r="AC78" s="76">
        <f t="shared" si="11"/>
        <v>1.0036015576222672</v>
      </c>
    </row>
    <row r="79" spans="16:29" x14ac:dyDescent="0.2">
      <c r="P79" s="33">
        <v>3</v>
      </c>
      <c r="Q79" s="27" t="str">
        <f>_xll.qlPeriodEquivalent(Q78&amp;"+"&amp;P79&amp;"M")</f>
        <v>16Y</v>
      </c>
      <c r="R79" s="28">
        <f>_xll.qlCalendarAdvance(Calendar,SettlementDate,Q79,"f",,Trigger)</f>
        <v>48123</v>
      </c>
      <c r="S79" s="28">
        <f>_xll.qlInterestRateIndexValueDate(Index,R79,Trigger)</f>
        <v>48127</v>
      </c>
      <c r="T79" s="28">
        <f>_xll.qlInterestRateIndexMaturity(Index,S79,Trigger)</f>
        <v>48219</v>
      </c>
      <c r="U79" s="30">
        <f>_xll.qlIndexFixing($M$5,R79,TRUE,InterestRatesTrigger)</f>
        <v>1.9898925719369499E-2</v>
      </c>
      <c r="V79" s="74">
        <f>_xll.qlIndexFixing(Index,R79,TRUE,InterestRatesTrigger)</f>
        <v>2.0622682302974406E-2</v>
      </c>
      <c r="W79" s="30">
        <f t="shared" si="9"/>
        <v>7.2375658360490647E-4</v>
      </c>
      <c r="X79" s="29">
        <f>_xll.qlDayCounterYearFraction(DayCounter,SettlementDate,S79,,,Trigger)</f>
        <v>16.244444444444444</v>
      </c>
      <c r="Y79" s="29">
        <f>_xll.qlDayCounterYearFraction(DayCounter,S79,T79)</f>
        <v>0.25555555555555554</v>
      </c>
      <c r="Z79" s="29">
        <f>IF($M$13,_xll.qlYieldTSDiscount(Currency&amp;"ON",S79)/(1+V79*Y79),1)</f>
        <v>1</v>
      </c>
      <c r="AA79" s="30">
        <f>_xll.qlTenorBasisValue(TenorBasis3M,S79,InterestRatesTrigger)</f>
        <v>7.9526378736415211E-4</v>
      </c>
      <c r="AB79" s="74">
        <f t="shared" si="10"/>
        <v>2.069418950673365E-2</v>
      </c>
      <c r="AC79" s="76">
        <f t="shared" si="11"/>
        <v>1.0034674055832655</v>
      </c>
    </row>
    <row r="80" spans="16:29" x14ac:dyDescent="0.2">
      <c r="P80" s="33">
        <v>3</v>
      </c>
      <c r="Q80" s="27" t="str">
        <f>_xll.qlPeriodEquivalent(Q79&amp;"+"&amp;P80&amp;"M")</f>
        <v>16Y3M</v>
      </c>
      <c r="R80" s="28">
        <f>_xll.qlCalendarAdvance(Calendar,SettlementDate,Q80,"f",,Trigger)</f>
        <v>48215</v>
      </c>
      <c r="S80" s="28">
        <f>_xll.qlInterestRateIndexValueDate(Index,R80,Trigger)</f>
        <v>48219</v>
      </c>
      <c r="T80" s="28">
        <f>_xll.qlInterestRateIndexMaturity(Index,S80,Trigger)</f>
        <v>48310</v>
      </c>
      <c r="U80" s="30">
        <f>_xll.qlIndexFixing($M$5,R80,TRUE,InterestRatesTrigger)</f>
        <v>1.9797379659463508E-2</v>
      </c>
      <c r="V80" s="74">
        <f>_xll.qlIndexFixing(Index,R80,TRUE,InterestRatesTrigger)</f>
        <v>2.0506377373923357E-2</v>
      </c>
      <c r="W80" s="30">
        <f t="shared" si="9"/>
        <v>7.0899771445984833E-4</v>
      </c>
      <c r="X80" s="29">
        <f>_xll.qlDayCounterYearFraction(DayCounter,SettlementDate,S80,,,Trigger)</f>
        <v>16.5</v>
      </c>
      <c r="Y80" s="29">
        <f>_xll.qlDayCounterYearFraction(DayCounter,S80,T80)</f>
        <v>0.25277777777777777</v>
      </c>
      <c r="Z80" s="29">
        <f>IF($M$13,_xll.qlYieldTSDiscount(Currency&amp;"ON",S80)/(1+V80*Y80),1)</f>
        <v>1</v>
      </c>
      <c r="AA80" s="30">
        <f>_xll.qlTenorBasisValue(TenorBasis3M,S80,InterestRatesTrigger)</f>
        <v>7.7785555264174458E-4</v>
      </c>
      <c r="AB80" s="74">
        <f t="shared" si="10"/>
        <v>2.0575235212105254E-2</v>
      </c>
      <c r="AC80" s="76">
        <f t="shared" si="11"/>
        <v>1.0033578743298395</v>
      </c>
    </row>
    <row r="81" spans="16:29" x14ac:dyDescent="0.2">
      <c r="P81" s="33">
        <v>3</v>
      </c>
      <c r="Q81" s="27" t="str">
        <f>_xll.qlPeriodEquivalent(Q80&amp;"+"&amp;P81&amp;"M")</f>
        <v>16Y6M</v>
      </c>
      <c r="R81" s="28">
        <f>_xll.qlCalendarAdvance(Calendar,SettlementDate,Q81,"f",,Trigger)</f>
        <v>48306</v>
      </c>
      <c r="S81" s="28">
        <f>_xll.qlInterestRateIndexValueDate(Index,R81,Trigger)</f>
        <v>48310</v>
      </c>
      <c r="T81" s="28">
        <f>_xll.qlInterestRateIndexMaturity(Index,S81,Trigger)</f>
        <v>48401</v>
      </c>
      <c r="U81" s="30">
        <f>_xll.qlIndexFixing($M$5,R81,TRUE,InterestRatesTrigger)</f>
        <v>1.9690367153176871E-2</v>
      </c>
      <c r="V81" s="74">
        <f>_xll.qlIndexFixing(Index,R81,TRUE,InterestRatesTrigger)</f>
        <v>2.0384683723073817E-2</v>
      </c>
      <c r="W81" s="30">
        <f t="shared" si="9"/>
        <v>6.9431656989694598E-4</v>
      </c>
      <c r="X81" s="29">
        <f>_xll.qlDayCounterYearFraction(DayCounter,SettlementDate,S81,,,Trigger)</f>
        <v>16.752777777777776</v>
      </c>
      <c r="Y81" s="29">
        <f>_xll.qlDayCounterYearFraction(DayCounter,S81,T81)</f>
        <v>0.25277777777777777</v>
      </c>
      <c r="Z81" s="29">
        <f>IF($M$13,_xll.qlYieldTSDiscount(Currency&amp;"ON",S81)/(1+V81*Y81),1)</f>
        <v>1</v>
      </c>
      <c r="AA81" s="30">
        <f>_xll.qlTenorBasisValue(TenorBasis3M,S81,InterestRatesTrigger)</f>
        <v>7.6100061631505223E-4</v>
      </c>
      <c r="AB81" s="74">
        <f t="shared" si="10"/>
        <v>2.0451367769491923E-2</v>
      </c>
      <c r="AC81" s="76">
        <f t="shared" si="11"/>
        <v>1.0032712818763347</v>
      </c>
    </row>
    <row r="82" spans="16:29" x14ac:dyDescent="0.2">
      <c r="P82" s="33">
        <v>3</v>
      </c>
      <c r="Q82" s="27" t="str">
        <f>_xll.qlPeriodEquivalent(Q81&amp;"+"&amp;P82&amp;"M")</f>
        <v>16Y9M</v>
      </c>
      <c r="R82" s="28">
        <f>_xll.qlCalendarAdvance(Calendar,SettlementDate,Q82,"f",,Trigger)</f>
        <v>48397</v>
      </c>
      <c r="S82" s="28">
        <f>_xll.qlInterestRateIndexValueDate(Index,R82,Trigger)</f>
        <v>48401</v>
      </c>
      <c r="T82" s="28">
        <f>_xll.qlInterestRateIndexMaturity(Index,S82,Trigger)</f>
        <v>48493</v>
      </c>
      <c r="U82" s="30">
        <f>_xll.qlIndexFixing($M$5,R82,TRUE,InterestRatesTrigger)</f>
        <v>1.9576695152082265E-2</v>
      </c>
      <c r="V82" s="74">
        <f>_xll.qlIndexFixing(Index,R82,TRUE,InterestRatesTrigger)</f>
        <v>2.0256243919985994E-2</v>
      </c>
      <c r="W82" s="30">
        <f t="shared" si="9"/>
        <v>6.7954876790372876E-4</v>
      </c>
      <c r="X82" s="29">
        <f>_xll.qlDayCounterYearFraction(DayCounter,SettlementDate,S82,,,Trigger)</f>
        <v>17.005555555555556</v>
      </c>
      <c r="Y82" s="29">
        <f>_xll.qlDayCounterYearFraction(DayCounter,S82,T82)</f>
        <v>0.25555555555555554</v>
      </c>
      <c r="Z82" s="29">
        <f>IF($M$13,_xll.qlYieldTSDiscount(Currency&amp;"ON",S82)/(1+V82*Y82),1)</f>
        <v>1</v>
      </c>
      <c r="AA82" s="30">
        <f>_xll.qlTenorBasisValue(TenorBasis3M,S82,InterestRatesTrigger)</f>
        <v>7.4450711247021364E-4</v>
      </c>
      <c r="AB82" s="74">
        <f t="shared" si="10"/>
        <v>2.0321202264552477E-2</v>
      </c>
      <c r="AC82" s="76">
        <f t="shared" si="11"/>
        <v>1.0032068306850508</v>
      </c>
    </row>
    <row r="83" spans="16:29" x14ac:dyDescent="0.2">
      <c r="P83" s="33">
        <v>3</v>
      </c>
      <c r="Q83" s="27" t="str">
        <f>_xll.qlPeriodEquivalent(Q82&amp;"+"&amp;P83&amp;"M")</f>
        <v>17Y</v>
      </c>
      <c r="R83" s="28">
        <f>_xll.qlCalendarAdvance(Calendar,SettlementDate,Q83,"f",,Trigger)</f>
        <v>48491</v>
      </c>
      <c r="S83" s="28">
        <f>_xll.qlInterestRateIndexValueDate(Index,R83,Trigger)</f>
        <v>48493</v>
      </c>
      <c r="T83" s="28">
        <f>_xll.qlInterestRateIndexMaturity(Index,S83,Trigger)</f>
        <v>48585</v>
      </c>
      <c r="U83" s="30">
        <f>_xll.qlIndexFixing($M$5,R83,TRUE,InterestRatesTrigger)</f>
        <v>1.9455198489109315E-2</v>
      </c>
      <c r="V83" s="74">
        <f>_xll.qlIndexFixing(Index,R83,TRUE,InterestRatesTrigger)</f>
        <v>2.0119816184959512E-2</v>
      </c>
      <c r="W83" s="30">
        <f t="shared" si="9"/>
        <v>6.646176958501962E-4</v>
      </c>
      <c r="X83" s="29">
        <f>_xll.qlDayCounterYearFraction(DayCounter,SettlementDate,S83,,,Trigger)</f>
        <v>17.261111111111113</v>
      </c>
      <c r="Y83" s="29">
        <f>_xll.qlDayCounterYearFraction(DayCounter,S83,T83)</f>
        <v>0.25555555555555554</v>
      </c>
      <c r="Z83" s="29">
        <f>IF($M$13,_xll.qlYieldTSDiscount(Currency&amp;"ON",S83)/(1+V83*Y83),1)</f>
        <v>1</v>
      </c>
      <c r="AA83" s="30">
        <f>_xll.qlTenorBasisValue(TenorBasis3M,S83,InterestRatesTrigger)</f>
        <v>7.2819853275791504E-4</v>
      </c>
      <c r="AB83" s="74">
        <f t="shared" si="10"/>
        <v>2.0183397021867229E-2</v>
      </c>
      <c r="AC83" s="76">
        <f t="shared" si="11"/>
        <v>1.0031601102278085</v>
      </c>
    </row>
    <row r="84" spans="16:29" x14ac:dyDescent="0.2">
      <c r="P84" s="33">
        <v>3</v>
      </c>
      <c r="Q84" s="27" t="str">
        <f>_xll.qlPeriodEquivalent(Q83&amp;"+"&amp;P84&amp;"M")</f>
        <v>17Y3M</v>
      </c>
      <c r="R84" s="28">
        <f>_xll.qlCalendarAdvance(Calendar,SettlementDate,Q84,"f",,Trigger)</f>
        <v>48582</v>
      </c>
      <c r="S84" s="28">
        <f>_xll.qlInterestRateIndexValueDate(Index,R84,Trigger)</f>
        <v>48584</v>
      </c>
      <c r="T84" s="28">
        <f>_xll.qlInterestRateIndexMaturity(Index,S84,Trigger)</f>
        <v>48674</v>
      </c>
      <c r="U84" s="30">
        <f>_xll.qlIndexFixing($M$5,R84,TRUE,InterestRatesTrigger)</f>
        <v>1.9328848769242235E-2</v>
      </c>
      <c r="V84" s="74">
        <f>_xll.qlIndexFixing(Index,R84,TRUE,InterestRatesTrigger)</f>
        <v>1.9978746799648839E-2</v>
      </c>
      <c r="W84" s="30">
        <f t="shared" si="9"/>
        <v>6.4989803040660377E-4</v>
      </c>
      <c r="X84" s="29">
        <f>_xll.qlDayCounterYearFraction(DayCounter,SettlementDate,S84,,,Trigger)</f>
        <v>17.513888888888889</v>
      </c>
      <c r="Y84" s="29">
        <f>_xll.qlDayCounterYearFraction(DayCounter,S84,T84)</f>
        <v>0.25</v>
      </c>
      <c r="Z84" s="29">
        <f>IF($M$13,_xll.qlYieldTSDiscount(Currency&amp;"ON",S84)/(1+V84*Y84),1)</f>
        <v>1</v>
      </c>
      <c r="AA84" s="30">
        <f>_xll.qlTenorBasisValue(TenorBasis3M,S84,InterestRatesTrigger)</f>
        <v>7.1242766685130168E-4</v>
      </c>
      <c r="AB84" s="74">
        <f t="shared" si="10"/>
        <v>2.0041276436093537E-2</v>
      </c>
      <c r="AC84" s="76">
        <f t="shared" si="11"/>
        <v>1.0031298077437869</v>
      </c>
    </row>
    <row r="85" spans="16:29" x14ac:dyDescent="0.2">
      <c r="P85" s="33">
        <v>3</v>
      </c>
      <c r="Q85" s="27" t="str">
        <f>_xll.qlPeriodEquivalent(Q84&amp;"+"&amp;P85&amp;"M")</f>
        <v>17Y6M</v>
      </c>
      <c r="R85" s="28">
        <f>_xll.qlCalendarAdvance(Calendar,SettlementDate,Q85,"f",,Trigger)</f>
        <v>48673</v>
      </c>
      <c r="S85" s="28">
        <f>_xll.qlInterestRateIndexValueDate(Index,R85,Trigger)</f>
        <v>48675</v>
      </c>
      <c r="T85" s="28">
        <f>_xll.qlInterestRateIndexMaturity(Index,S85,Trigger)</f>
        <v>48766</v>
      </c>
      <c r="U85" s="30">
        <f>_xll.qlIndexFixing($M$5,R85,TRUE,InterestRatesTrigger)</f>
        <v>1.919539447522807E-2</v>
      </c>
      <c r="V85" s="74">
        <f>_xll.qlIndexFixing(Index,R85,TRUE,InterestRatesTrigger)</f>
        <v>1.983039283604628E-2</v>
      </c>
      <c r="W85" s="30">
        <f t="shared" si="9"/>
        <v>6.3499836081820984E-4</v>
      </c>
      <c r="X85" s="29">
        <f>_xll.qlDayCounterYearFraction(DayCounter,SettlementDate,S85,,,Trigger)</f>
        <v>17.766666666666666</v>
      </c>
      <c r="Y85" s="29">
        <f>_xll.qlDayCounterYearFraction(DayCounter,S85,T85)</f>
        <v>0.25277777777777777</v>
      </c>
      <c r="Z85" s="29">
        <f>IF($M$13,_xll.qlYieldTSDiscount(Currency&amp;"ON",S85)/(1+V85*Y85),1)</f>
        <v>1</v>
      </c>
      <c r="AA85" s="30">
        <f>_xll.qlTenorBasisValue(TenorBasis3M,S85,InterestRatesTrigger)</f>
        <v>6.9701307253992211E-4</v>
      </c>
      <c r="AB85" s="74">
        <f t="shared" si="10"/>
        <v>1.9892407547767992E-2</v>
      </c>
      <c r="AC85" s="76">
        <f t="shared" si="11"/>
        <v>1.0031272558357485</v>
      </c>
    </row>
    <row r="86" spans="16:29" x14ac:dyDescent="0.2">
      <c r="P86" s="33">
        <v>3</v>
      </c>
      <c r="Q86" s="27" t="str">
        <f>_xll.qlPeriodEquivalent(Q85&amp;"+"&amp;P86&amp;"M")</f>
        <v>17Y9M</v>
      </c>
      <c r="R86" s="28">
        <f>_xll.qlCalendarAdvance(Calendar,SettlementDate,Q86,"f",,Trigger)</f>
        <v>48764</v>
      </c>
      <c r="S86" s="28">
        <f>_xll.qlInterestRateIndexValueDate(Index,R86,Trigger)</f>
        <v>48766</v>
      </c>
      <c r="T86" s="28">
        <f>_xll.qlInterestRateIndexMaturity(Index,S86,Trigger)</f>
        <v>48858</v>
      </c>
      <c r="U86" s="30">
        <f>_xll.qlIndexFixing($M$5,R86,TRUE,InterestRatesTrigger)</f>
        <v>1.905531304969988E-2</v>
      </c>
      <c r="V86" s="74">
        <f>_xll.qlIndexFixing(Index,R86,TRUE,InterestRatesTrigger)</f>
        <v>1.9675366362097921E-2</v>
      </c>
      <c r="W86" s="30">
        <f t="shared" si="9"/>
        <v>6.2005331239804035E-4</v>
      </c>
      <c r="X86" s="29">
        <f>_xll.qlDayCounterYearFraction(DayCounter,SettlementDate,S86,,,Trigger)</f>
        <v>18.019444444444446</v>
      </c>
      <c r="Y86" s="29">
        <f>_xll.qlDayCounterYearFraction(DayCounter,S86,T86)</f>
        <v>0.25555555555555554</v>
      </c>
      <c r="Z86" s="29">
        <f>IF($M$13,_xll.qlYieldTSDiscount(Currency&amp;"ON",S86)/(1+V86*Y86),1)</f>
        <v>1</v>
      </c>
      <c r="AA86" s="30">
        <f>_xll.qlTenorBasisValue(TenorBasis3M,S86,InterestRatesTrigger)</f>
        <v>6.8195212552239651E-4</v>
      </c>
      <c r="AB86" s="74">
        <f t="shared" si="10"/>
        <v>1.9737265175222278E-2</v>
      </c>
      <c r="AC86" s="76">
        <f t="shared" si="11"/>
        <v>1.0031460056186601</v>
      </c>
    </row>
    <row r="87" spans="16:29" x14ac:dyDescent="0.2">
      <c r="P87" s="33">
        <v>3</v>
      </c>
      <c r="Q87" s="27" t="str">
        <f>_xll.qlPeriodEquivalent(Q86&amp;"+"&amp;P87&amp;"M")</f>
        <v>18Y</v>
      </c>
      <c r="R87" s="28">
        <f>_xll.qlCalendarAdvance(Calendar,SettlementDate,Q87,"f",,Trigger)</f>
        <v>48855</v>
      </c>
      <c r="S87" s="28">
        <f>_xll.qlInterestRateIndexValueDate(Index,R87,Trigger)</f>
        <v>48857</v>
      </c>
      <c r="T87" s="28">
        <f>_xll.qlInterestRateIndexMaturity(Index,S87,Trigger)</f>
        <v>48949</v>
      </c>
      <c r="U87" s="30">
        <f>_xll.qlIndexFixing($M$5,R87,TRUE,InterestRatesTrigger)</f>
        <v>1.8908936969411906E-2</v>
      </c>
      <c r="V87" s="74">
        <f>_xll.qlIndexFixing(Index,R87,TRUE,InterestRatesTrigger)</f>
        <v>1.9514049970072615E-2</v>
      </c>
      <c r="W87" s="30">
        <f t="shared" si="9"/>
        <v>6.0511300066070847E-4</v>
      </c>
      <c r="X87" s="29">
        <f>_xll.qlDayCounterYearFraction(DayCounter,SettlementDate,S87,,,Trigger)</f>
        <v>18.272222222222222</v>
      </c>
      <c r="Y87" s="29">
        <f>_xll.qlDayCounterYearFraction(DayCounter,S87,T87)</f>
        <v>0.25555555555555554</v>
      </c>
      <c r="Z87" s="29">
        <f>IF($M$13,_xll.qlYieldTSDiscount(Currency&amp;"ON",S87)/(1+V87*Y87),1)</f>
        <v>1</v>
      </c>
      <c r="AA87" s="30">
        <f>_xll.qlTenorBasisValue(TenorBasis3M,S87,InterestRatesTrigger)</f>
        <v>6.672418145364672E-4</v>
      </c>
      <c r="AB87" s="74">
        <f t="shared" si="10"/>
        <v>1.9576178783948375E-2</v>
      </c>
      <c r="AC87" s="76">
        <f t="shared" si="11"/>
        <v>1.0031837990561181</v>
      </c>
    </row>
    <row r="88" spans="16:29" x14ac:dyDescent="0.2">
      <c r="P88" s="33">
        <v>3</v>
      </c>
      <c r="Q88" s="27" t="str">
        <f>_xll.qlPeriodEquivalent(Q87&amp;"+"&amp;P88&amp;"M")</f>
        <v>18Y3M</v>
      </c>
      <c r="R88" s="28">
        <f>_xll.qlCalendarAdvance(Calendar,SettlementDate,Q88,"f",,Trigger)</f>
        <v>48946</v>
      </c>
      <c r="S88" s="28">
        <f>_xll.qlInterestRateIndexValueDate(Index,R88,Trigger)</f>
        <v>48948</v>
      </c>
      <c r="T88" s="28">
        <f>_xll.qlInterestRateIndexMaturity(Index,S88,Trigger)</f>
        <v>49038</v>
      </c>
      <c r="U88" s="30">
        <f>_xll.qlIndexFixing($M$5,R88,TRUE,InterestRatesTrigger)</f>
        <v>1.8756773742583555E-2</v>
      </c>
      <c r="V88" s="74">
        <f>_xll.qlIndexFixing(Index,R88,TRUE,InterestRatesTrigger)</f>
        <v>1.9347006437302028E-2</v>
      </c>
      <c r="W88" s="30">
        <f t="shared" si="9"/>
        <v>5.9023269471847328E-4</v>
      </c>
      <c r="X88" s="29">
        <f>_xll.qlDayCounterYearFraction(DayCounter,SettlementDate,S88,,,Trigger)</f>
        <v>18.524999999999999</v>
      </c>
      <c r="Y88" s="29">
        <f>_xll.qlDayCounterYearFraction(DayCounter,S88,T88)</f>
        <v>0.25</v>
      </c>
      <c r="Z88" s="29">
        <f>IF($M$13,_xll.qlYieldTSDiscount(Currency&amp;"ON",S88)/(1+V88*Y88),1)</f>
        <v>1</v>
      </c>
      <c r="AA88" s="30">
        <f>_xll.qlTenorBasisValue(TenorBasis3M,S88,InterestRatesTrigger)</f>
        <v>6.5287877763560973E-4</v>
      </c>
      <c r="AB88" s="74">
        <f t="shared" si="10"/>
        <v>1.9409652520219166E-2</v>
      </c>
      <c r="AC88" s="76">
        <f t="shared" si="11"/>
        <v>1.0032380246070707</v>
      </c>
    </row>
    <row r="89" spans="16:29" x14ac:dyDescent="0.2">
      <c r="P89" s="33">
        <v>3</v>
      </c>
      <c r="Q89" s="27" t="str">
        <f>_xll.qlPeriodEquivalent(Q88&amp;"+"&amp;P89&amp;"M")</f>
        <v>18Y6M</v>
      </c>
      <c r="R89" s="28">
        <f>_xll.qlCalendarAdvance(Calendar,SettlementDate,Q89,"f",,Trigger)</f>
        <v>49037</v>
      </c>
      <c r="S89" s="28">
        <f>_xll.qlInterestRateIndexValueDate(Index,R89,Trigger)</f>
        <v>49039</v>
      </c>
      <c r="T89" s="28">
        <f>_xll.qlInterestRateIndexMaturity(Index,S89,Trigger)</f>
        <v>49130</v>
      </c>
      <c r="U89" s="30">
        <f>_xll.qlIndexFixing($M$5,R89,TRUE,InterestRatesTrigger)</f>
        <v>1.8596988150936855E-2</v>
      </c>
      <c r="V89" s="74">
        <f>_xll.qlIndexFixing(Index,R89,TRUE,InterestRatesTrigger)</f>
        <v>1.9172145344363185E-2</v>
      </c>
      <c r="W89" s="30">
        <f t="shared" ref="W89:W152" si="12">V89-U89</f>
        <v>5.7515719342633026E-4</v>
      </c>
      <c r="X89" s="29">
        <f>_xll.qlDayCounterYearFraction(DayCounter,SettlementDate,S89,,,Trigger)</f>
        <v>18.777777777777779</v>
      </c>
      <c r="Y89" s="29">
        <f>_xll.qlDayCounterYearFraction(DayCounter,S89,T89)</f>
        <v>0.25277777777777777</v>
      </c>
      <c r="Z89" s="29">
        <f>IF($M$13,_xll.qlYieldTSDiscount(Currency&amp;"ON",S89)/(1+V89*Y89),1)</f>
        <v>1</v>
      </c>
      <c r="AA89" s="30">
        <f>_xll.qlTenorBasisValue(TenorBasis3M,S89,InterestRatesTrigger)</f>
        <v>6.3885933613590489E-4</v>
      </c>
      <c r="AB89" s="74">
        <f t="shared" ref="AB89:AB152" si="13">AA89+U89</f>
        <v>1.9235847487072761E-2</v>
      </c>
      <c r="AC89" s="76">
        <f t="shared" ref="AC89:AC152" si="14">AB89/V89</f>
        <v>1.0033226402974409</v>
      </c>
    </row>
    <row r="90" spans="16:29" x14ac:dyDescent="0.2">
      <c r="P90" s="33">
        <v>3</v>
      </c>
      <c r="Q90" s="27" t="str">
        <f>_xll.qlPeriodEquivalent(Q89&amp;"+"&amp;P90&amp;"M")</f>
        <v>18Y9M</v>
      </c>
      <c r="R90" s="28">
        <f>_xll.qlCalendarAdvance(Calendar,SettlementDate,Q90,"f",,Trigger)</f>
        <v>49128</v>
      </c>
      <c r="S90" s="28">
        <f>_xll.qlInterestRateIndexValueDate(Index,R90,Trigger)</f>
        <v>49130</v>
      </c>
      <c r="T90" s="28">
        <f>_xll.qlInterestRateIndexMaturity(Index,S90,Trigger)</f>
        <v>49222</v>
      </c>
      <c r="U90" s="30">
        <f>_xll.qlIndexFixing($M$5,R90,TRUE,InterestRatesTrigger)</f>
        <v>1.8430576157575183E-2</v>
      </c>
      <c r="V90" s="74">
        <f>_xll.qlIndexFixing(Index,R90,TRUE,InterestRatesTrigger)</f>
        <v>1.8990612788572916E-2</v>
      </c>
      <c r="W90" s="30">
        <f t="shared" si="12"/>
        <v>5.600366309977331E-4</v>
      </c>
      <c r="X90" s="29">
        <f>_xll.qlDayCounterYearFraction(DayCounter,SettlementDate,S90,,,Trigger)</f>
        <v>19.030555555555555</v>
      </c>
      <c r="Y90" s="29">
        <f>_xll.qlDayCounterYearFraction(DayCounter,S90,T90)</f>
        <v>0.25555555555555554</v>
      </c>
      <c r="Z90" s="29">
        <f>IF($M$13,_xll.qlYieldTSDiscount(Currency&amp;"ON",S90)/(1+V90*Y90),1)</f>
        <v>1</v>
      </c>
      <c r="AA90" s="30">
        <f>_xll.qlTenorBasisValue(TenorBasis3M,S90,InterestRatesTrigger)</f>
        <v>6.2517952636346108E-4</v>
      </c>
      <c r="AB90" s="74">
        <f t="shared" si="13"/>
        <v>1.9055755683938642E-2</v>
      </c>
      <c r="AC90" s="76">
        <f t="shared" si="14"/>
        <v>1.0034302682115095</v>
      </c>
    </row>
    <row r="91" spans="16:29" x14ac:dyDescent="0.2">
      <c r="P91" s="33">
        <v>3</v>
      </c>
      <c r="Q91" s="27" t="str">
        <f>_xll.qlPeriodEquivalent(Q90&amp;"+"&amp;P91&amp;"M")</f>
        <v>19Y</v>
      </c>
      <c r="R91" s="28">
        <f>_xll.qlCalendarAdvance(Calendar,SettlementDate,Q91,"f",,Trigger)</f>
        <v>49219</v>
      </c>
      <c r="S91" s="28">
        <f>_xll.qlInterestRateIndexValueDate(Index,R91,Trigger)</f>
        <v>49221</v>
      </c>
      <c r="T91" s="28">
        <f>_xll.qlInterestRateIndexMaturity(Index,S91,Trigger)</f>
        <v>49313</v>
      </c>
      <c r="U91" s="30">
        <f>_xll.qlIndexFixing($M$5,R91,TRUE,InterestRatesTrigger)</f>
        <v>1.8258047683296811E-2</v>
      </c>
      <c r="V91" s="74">
        <f>_xll.qlIndexFixing(Index,R91,TRUE,InterestRatesTrigger)</f>
        <v>1.8802973981751951E-2</v>
      </c>
      <c r="W91" s="30">
        <f t="shared" si="12"/>
        <v>5.4492629845514021E-4</v>
      </c>
      <c r="X91" s="29">
        <f>_xll.qlDayCounterYearFraction(DayCounter,SettlementDate,S91,,,Trigger)</f>
        <v>19.283333333333335</v>
      </c>
      <c r="Y91" s="29">
        <f>_xll.qlDayCounterYearFraction(DayCounter,S91,T91)</f>
        <v>0.25555555555555554</v>
      </c>
      <c r="Z91" s="29">
        <f>IF($M$13,_xll.qlYieldTSDiscount(Currency&amp;"ON",S91)/(1+V91*Y91),1)</f>
        <v>1</v>
      </c>
      <c r="AA91" s="30">
        <f>_xll.qlTenorBasisValue(TenorBasis3M,S91,InterestRatesTrigger)</f>
        <v>6.1183512932589073E-4</v>
      </c>
      <c r="AB91" s="74">
        <f t="shared" si="13"/>
        <v>1.8869882812622703E-2</v>
      </c>
      <c r="AC91" s="76">
        <f t="shared" si="14"/>
        <v>1.003558417457562</v>
      </c>
    </row>
    <row r="92" spans="16:29" x14ac:dyDescent="0.2">
      <c r="P92" s="33">
        <v>3</v>
      </c>
      <c r="Q92" s="27" t="str">
        <f>_xll.qlPeriodEquivalent(Q91&amp;"+"&amp;P92&amp;"M")</f>
        <v>19Y3M</v>
      </c>
      <c r="R92" s="28">
        <f>_xll.qlCalendarAdvance(Calendar,SettlementDate,Q92,"f",,Trigger)</f>
        <v>49311</v>
      </c>
      <c r="S92" s="28">
        <f>_xll.qlInterestRateIndexValueDate(Index,R92,Trigger)</f>
        <v>49313</v>
      </c>
      <c r="T92" s="28">
        <f>_xll.qlInterestRateIndexMaturity(Index,S92,Trigger)</f>
        <v>49403</v>
      </c>
      <c r="U92" s="30">
        <f>_xll.qlIndexFixing($M$5,R92,TRUE,InterestRatesTrigger)</f>
        <v>1.8078088675113513E-2</v>
      </c>
      <c r="V92" s="74">
        <f>_xll.qlIndexFixing(Index,R92,TRUE,InterestRatesTrigger)</f>
        <v>1.8607808557927541E-2</v>
      </c>
      <c r="W92" s="30">
        <f t="shared" si="12"/>
        <v>5.2971988281402815E-4</v>
      </c>
      <c r="X92" s="29">
        <f>_xll.qlDayCounterYearFraction(DayCounter,SettlementDate,S92,,,Trigger)</f>
        <v>19.538888888888888</v>
      </c>
      <c r="Y92" s="29">
        <f>_xll.qlDayCounterYearFraction(DayCounter,S92,T92)</f>
        <v>0.25</v>
      </c>
      <c r="Z92" s="29">
        <f>IF($M$13,_xll.qlYieldTSDiscount(Currency&amp;"ON",S92)/(1+V92*Y92),1)</f>
        <v>1</v>
      </c>
      <c r="AA92" s="30">
        <f>_xll.qlTenorBasisValue(TenorBasis3M,S92,InterestRatesTrigger)</f>
        <v>5.9868051503194014E-4</v>
      </c>
      <c r="AB92" s="74">
        <f t="shared" si="13"/>
        <v>1.8676769190145454E-2</v>
      </c>
      <c r="AC92" s="76">
        <f t="shared" si="14"/>
        <v>1.0037060050356406</v>
      </c>
    </row>
    <row r="93" spans="16:29" x14ac:dyDescent="0.2">
      <c r="P93" s="33">
        <v>3</v>
      </c>
      <c r="Q93" s="27" t="str">
        <f>_xll.qlPeriodEquivalent(Q92&amp;"+"&amp;P93&amp;"M")</f>
        <v>19Y6M</v>
      </c>
      <c r="R93" s="28">
        <f>_xll.qlCalendarAdvance(Calendar,SettlementDate,Q93,"f",,Trigger)</f>
        <v>49401</v>
      </c>
      <c r="S93" s="28">
        <f>_xll.qlInterestRateIndexValueDate(Index,R93,Trigger)</f>
        <v>49403</v>
      </c>
      <c r="T93" s="28">
        <f>_xll.qlInterestRateIndexMaturity(Index,S93,Trigger)</f>
        <v>49494</v>
      </c>
      <c r="U93" s="30">
        <f>_xll.qlIndexFixing($M$5,R93,TRUE,InterestRatesTrigger)</f>
        <v>1.7893983151025777E-2</v>
      </c>
      <c r="V93" s="74">
        <f>_xll.qlIndexFixing(Index,R93,TRUE,InterestRatesTrigger)</f>
        <v>1.8408619712925168E-2</v>
      </c>
      <c r="W93" s="30">
        <f t="shared" si="12"/>
        <v>5.1463656189939047E-4</v>
      </c>
      <c r="X93" s="29">
        <f>_xll.qlDayCounterYearFraction(DayCounter,SettlementDate,S93,,,Trigger)</f>
        <v>19.788888888888888</v>
      </c>
      <c r="Y93" s="29">
        <f>_xll.qlDayCounterYearFraction(DayCounter,S93,T93)</f>
        <v>0.25277777777777777</v>
      </c>
      <c r="Z93" s="29">
        <f>IF($M$13,_xll.qlYieldTSDiscount(Currency&amp;"ON",S93)/(1+V93*Y93),1)</f>
        <v>1</v>
      </c>
      <c r="AA93" s="30">
        <f>_xll.qlTenorBasisValue(TenorBasis3M,S93,InterestRatesTrigger)</f>
        <v>5.8613458532105723E-4</v>
      </c>
      <c r="AB93" s="74">
        <f t="shared" si="13"/>
        <v>1.8480117736346835E-2</v>
      </c>
      <c r="AC93" s="76">
        <f t="shared" si="14"/>
        <v>1.0038839426603758</v>
      </c>
    </row>
    <row r="94" spans="16:29" x14ac:dyDescent="0.2">
      <c r="P94" s="33">
        <v>3</v>
      </c>
      <c r="Q94" s="27" t="str">
        <f>_xll.qlPeriodEquivalent(Q93&amp;"+"&amp;P94&amp;"M")</f>
        <v>19Y9M</v>
      </c>
      <c r="R94" s="28">
        <f>_xll.qlCalendarAdvance(Calendar,SettlementDate,Q94,"f",,Trigger)</f>
        <v>49492</v>
      </c>
      <c r="S94" s="28">
        <f>_xll.qlInterestRateIndexValueDate(Index,R94,Trigger)</f>
        <v>49494</v>
      </c>
      <c r="T94" s="28">
        <f>_xll.qlInterestRateIndexMaturity(Index,S94,Trigger)</f>
        <v>49586</v>
      </c>
      <c r="U94" s="30">
        <f>_xll.qlIndexFixing($M$5,R94,TRUE,InterestRatesTrigger)</f>
        <v>1.7701249729330855E-2</v>
      </c>
      <c r="V94" s="74">
        <f>_xll.qlIndexFixing(Index,R94,TRUE,InterestRatesTrigger)</f>
        <v>1.8200591544980153E-2</v>
      </c>
      <c r="W94" s="30">
        <f t="shared" si="12"/>
        <v>4.9934181564929847E-4</v>
      </c>
      <c r="X94" s="29">
        <f>_xll.qlDayCounterYearFraction(DayCounter,SettlementDate,S94,,,Trigger)</f>
        <v>20.041666666666668</v>
      </c>
      <c r="Y94" s="29">
        <f>_xll.qlDayCounterYearFraction(DayCounter,S94,T94)</f>
        <v>0.25555555555555554</v>
      </c>
      <c r="Z94" s="29">
        <f>IF($M$13,_xll.qlYieldTSDiscount(Currency&amp;"ON",S94)/(1+V94*Y94),1)</f>
        <v>1</v>
      </c>
      <c r="AA94" s="30">
        <f>_xll.qlTenorBasisValue(TenorBasis3M,S94,InterestRatesTrigger)</f>
        <v>5.7376896405552139E-4</v>
      </c>
      <c r="AB94" s="74">
        <f t="shared" si="13"/>
        <v>1.8275018693386377E-2</v>
      </c>
      <c r="AC94" s="76">
        <f t="shared" si="14"/>
        <v>1.0040892708471747</v>
      </c>
    </row>
    <row r="95" spans="16:29" x14ac:dyDescent="0.2">
      <c r="P95" s="33">
        <v>3</v>
      </c>
      <c r="Q95" s="27" t="str">
        <f>_xll.qlPeriodEquivalent(Q94&amp;"+"&amp;P95&amp;"M")</f>
        <v>20Y</v>
      </c>
      <c r="R95" s="28">
        <f>_xll.qlCalendarAdvance(Calendar,SettlementDate,Q95,"f",,Trigger)</f>
        <v>49584</v>
      </c>
      <c r="S95" s="28">
        <f>_xll.qlInterestRateIndexValueDate(Index,R95,Trigger)</f>
        <v>49586</v>
      </c>
      <c r="T95" s="28">
        <f>_xll.qlInterestRateIndexMaturity(Index,S95,Trigger)</f>
        <v>49678</v>
      </c>
      <c r="U95" s="30">
        <f>_xll.qlIndexFixing($M$5,R95,TRUE,InterestRatesTrigger)</f>
        <v>1.7502735075888336E-2</v>
      </c>
      <c r="V95" s="74">
        <f>_xll.qlIndexFixing(Index,R95,TRUE,InterestRatesTrigger)</f>
        <v>1.7986830214845161E-2</v>
      </c>
      <c r="W95" s="30">
        <f t="shared" si="12"/>
        <v>4.8409513895682557E-4</v>
      </c>
      <c r="X95" s="29">
        <f>_xll.qlDayCounterYearFraction(DayCounter,SettlementDate,S95,,,Trigger)</f>
        <v>20.297222222222221</v>
      </c>
      <c r="Y95" s="29">
        <f>_xll.qlDayCounterYearFraction(DayCounter,S95,T95)</f>
        <v>0.25555555555555554</v>
      </c>
      <c r="Z95" s="29">
        <f>IF($M$13,_xll.qlYieldTSDiscount(Currency&amp;"ON",S95)/(1+V95*Y95),1)</f>
        <v>1</v>
      </c>
      <c r="AA95" s="30">
        <f>_xll.qlTenorBasisValue(TenorBasis3M,S95,InterestRatesTrigger)</f>
        <v>5.6158918496673044E-4</v>
      </c>
      <c r="AB95" s="74">
        <f t="shared" si="13"/>
        <v>1.8064324260855066E-2</v>
      </c>
      <c r="AC95" s="76">
        <f t="shared" si="14"/>
        <v>1.004308377022759</v>
      </c>
    </row>
    <row r="96" spans="16:29" x14ac:dyDescent="0.2">
      <c r="P96" s="33">
        <v>3</v>
      </c>
      <c r="Q96" s="27" t="str">
        <f>_xll.qlPeriodEquivalent(Q95&amp;"+"&amp;P96&amp;"M")</f>
        <v>20Y3M</v>
      </c>
      <c r="R96" s="28">
        <f>_xll.qlCalendarAdvance(Calendar,SettlementDate,Q96,"f",,Trigger)</f>
        <v>49676</v>
      </c>
      <c r="S96" s="28">
        <f>_xll.qlInterestRateIndexValueDate(Index,R96,Trigger)</f>
        <v>49678</v>
      </c>
      <c r="T96" s="28">
        <f>_xll.qlInterestRateIndexMaturity(Index,S96,Trigger)</f>
        <v>49769</v>
      </c>
      <c r="U96" s="30">
        <f>_xll.qlIndexFixing($M$5,R96,TRUE,InterestRatesTrigger)</f>
        <v>1.7309417949931592E-2</v>
      </c>
      <c r="V96" s="74">
        <f>_xll.qlIndexFixing(Index,R96,TRUE,InterestRatesTrigger)</f>
        <v>1.7779226460292022E-2</v>
      </c>
      <c r="W96" s="30">
        <f t="shared" si="12"/>
        <v>4.6980851036042964E-4</v>
      </c>
      <c r="X96" s="29">
        <f>_xll.qlDayCounterYearFraction(DayCounter,SettlementDate,S96,,,Trigger)</f>
        <v>20.552777777777777</v>
      </c>
      <c r="Y96" s="29">
        <f>_xll.qlDayCounterYearFraction(DayCounter,S96,T96)</f>
        <v>0.25277777777777777</v>
      </c>
      <c r="Z96" s="29">
        <f>IF($M$13,_xll.qlYieldTSDiscount(Currency&amp;"ON",S96)/(1+V96*Y96),1)</f>
        <v>1</v>
      </c>
      <c r="AA96" s="30">
        <f>_xll.qlTenorBasisValue(TenorBasis3M,S96,InterestRatesTrigger)</f>
        <v>5.4972762440974078E-4</v>
      </c>
      <c r="AB96" s="74">
        <f t="shared" si="13"/>
        <v>1.7859145574341331E-2</v>
      </c>
      <c r="AC96" s="76">
        <f t="shared" si="14"/>
        <v>1.0044950838681199</v>
      </c>
    </row>
    <row r="97" spans="16:29" x14ac:dyDescent="0.2">
      <c r="P97" s="33">
        <v>3</v>
      </c>
      <c r="Q97" s="27" t="str">
        <f>_xll.qlPeriodEquivalent(Q96&amp;"+"&amp;P97&amp;"M")</f>
        <v>20Y6M</v>
      </c>
      <c r="R97" s="28">
        <f>_xll.qlCalendarAdvance(Calendar,SettlementDate,Q97,"f",,Trigger)</f>
        <v>49767</v>
      </c>
      <c r="S97" s="28">
        <f>_xll.qlInterestRateIndexValueDate(Index,R97,Trigger)</f>
        <v>49769</v>
      </c>
      <c r="T97" s="28">
        <f>_xll.qlInterestRateIndexMaturity(Index,S97,Trigger)</f>
        <v>49860</v>
      </c>
      <c r="U97" s="30">
        <f>_xll.qlIndexFixing($M$5,R97,TRUE,InterestRatesTrigger)</f>
        <v>1.7124123146651252E-2</v>
      </c>
      <c r="V97" s="74">
        <f>_xll.qlIndexFixing(Index,R97,TRUE,InterestRatesTrigger)</f>
        <v>1.7580811774746248E-2</v>
      </c>
      <c r="W97" s="30">
        <f t="shared" si="12"/>
        <v>4.5668862809499638E-4</v>
      </c>
      <c r="X97" s="29">
        <f>_xll.qlDayCounterYearFraction(DayCounter,SettlementDate,S97,,,Trigger)</f>
        <v>20.805555555555557</v>
      </c>
      <c r="Y97" s="29">
        <f>_xll.qlDayCounterYearFraction(DayCounter,S97,T97)</f>
        <v>0.25277777777777777</v>
      </c>
      <c r="Z97" s="29">
        <f>IF($M$13,_xll.qlYieldTSDiscount(Currency&amp;"ON",S97)/(1+V97*Y97),1)</f>
        <v>1</v>
      </c>
      <c r="AA97" s="30">
        <f>_xll.qlTenorBasisValue(TenorBasis3M,S97,InterestRatesTrigger)</f>
        <v>5.3830274410052799E-4</v>
      </c>
      <c r="AB97" s="74">
        <f t="shared" si="13"/>
        <v>1.766242589075178E-2</v>
      </c>
      <c r="AC97" s="76">
        <f t="shared" si="14"/>
        <v>1.0046422268238355</v>
      </c>
    </row>
    <row r="98" spans="16:29" x14ac:dyDescent="0.2">
      <c r="P98" s="33">
        <v>3</v>
      </c>
      <c r="Q98" s="27" t="str">
        <f>_xll.qlPeriodEquivalent(Q97&amp;"+"&amp;P98&amp;"M")</f>
        <v>20Y9M</v>
      </c>
      <c r="R98" s="28">
        <f>_xll.qlCalendarAdvance(Calendar,SettlementDate,Q98,"f",,Trigger)</f>
        <v>49858</v>
      </c>
      <c r="S98" s="28">
        <f>_xll.qlInterestRateIndexValueDate(Index,R98,Trigger)</f>
        <v>49860</v>
      </c>
      <c r="T98" s="28">
        <f>_xll.qlInterestRateIndexMaturity(Index,S98,Trigger)</f>
        <v>49954</v>
      </c>
      <c r="U98" s="30">
        <f>_xll.qlIndexFixing($M$5,R98,TRUE,InterestRatesTrigger)</f>
        <v>1.6943667291638112E-2</v>
      </c>
      <c r="V98" s="74">
        <f>_xll.qlIndexFixing(Index,R98,TRUE,InterestRatesTrigger)</f>
        <v>1.7388173439182569E-2</v>
      </c>
      <c r="W98" s="30">
        <f t="shared" si="12"/>
        <v>4.4450614754445658E-4</v>
      </c>
      <c r="X98" s="29">
        <f>_xll.qlDayCounterYearFraction(DayCounter,SettlementDate,S98,,,Trigger)</f>
        <v>21.058333333333334</v>
      </c>
      <c r="Y98" s="29">
        <f>_xll.qlDayCounterYearFraction(DayCounter,S98,T98)</f>
        <v>0.26111111111111113</v>
      </c>
      <c r="Z98" s="29">
        <f>IF($M$13,_xll.qlYieldTSDiscount(Currency&amp;"ON",S98)/(1+V98*Y98),1)</f>
        <v>1</v>
      </c>
      <c r="AA98" s="30">
        <f>_xll.qlTenorBasisValue(TenorBasis3M,S98,InterestRatesTrigger)</f>
        <v>5.2717858444944012E-4</v>
      </c>
      <c r="AB98" s="74">
        <f t="shared" si="13"/>
        <v>1.7470845876087552E-2</v>
      </c>
      <c r="AC98" s="76">
        <f t="shared" si="14"/>
        <v>1.0047545210653748</v>
      </c>
    </row>
    <row r="99" spans="16:29" x14ac:dyDescent="0.2">
      <c r="P99" s="33">
        <v>3</v>
      </c>
      <c r="Q99" s="27" t="str">
        <f>_xll.qlPeriodEquivalent(Q98&amp;"+"&amp;P99&amp;"M")</f>
        <v>21Y</v>
      </c>
      <c r="R99" s="28">
        <f>_xll.qlCalendarAdvance(Calendar,SettlementDate,Q99,"f",,Trigger)</f>
        <v>49950</v>
      </c>
      <c r="S99" s="28">
        <f>_xll.qlInterestRateIndexValueDate(Index,R99,Trigger)</f>
        <v>49954</v>
      </c>
      <c r="T99" s="28">
        <f>_xll.qlInterestRateIndexMaturity(Index,S99,Trigger)</f>
        <v>50046</v>
      </c>
      <c r="U99" s="30">
        <f>_xll.qlIndexFixing($M$5,R99,TRUE,InterestRatesTrigger)</f>
        <v>1.6766989300767338E-2</v>
      </c>
      <c r="V99" s="74">
        <f>_xll.qlIndexFixing(Index,R99,TRUE,InterestRatesTrigger)</f>
        <v>1.7200240163196885E-2</v>
      </c>
      <c r="W99" s="30">
        <f t="shared" si="12"/>
        <v>4.3325086242954752E-4</v>
      </c>
      <c r="X99" s="29">
        <f>_xll.qlDayCounterYearFraction(DayCounter,SettlementDate,S99,,,Trigger)</f>
        <v>21.319444444444443</v>
      </c>
      <c r="Y99" s="29">
        <f>_xll.qlDayCounterYearFraction(DayCounter,S99,T99)</f>
        <v>0.25555555555555554</v>
      </c>
      <c r="Z99" s="29">
        <f>IF($M$13,_xll.qlYieldTSDiscount(Currency&amp;"ON",S99)/(1+V99*Y99),1)</f>
        <v>1</v>
      </c>
      <c r="AA99" s="30">
        <f>_xll.qlTenorBasisValue(TenorBasis3M,S99,InterestRatesTrigger)</f>
        <v>5.1599770766413695E-4</v>
      </c>
      <c r="AB99" s="74">
        <f t="shared" si="13"/>
        <v>1.7282987008431474E-2</v>
      </c>
      <c r="AC99" s="76">
        <f t="shared" si="14"/>
        <v>1.0048107959220036</v>
      </c>
    </row>
    <row r="100" spans="16:29" x14ac:dyDescent="0.2">
      <c r="P100" s="33">
        <v>3</v>
      </c>
      <c r="Q100" s="27" t="str">
        <f>_xll.qlPeriodEquivalent(Q99&amp;"+"&amp;P100&amp;"M")</f>
        <v>21Y3M</v>
      </c>
      <c r="R100" s="28">
        <f>_xll.qlCalendarAdvance(Calendar,SettlementDate,Q100,"f",,Trigger)</f>
        <v>50042</v>
      </c>
      <c r="S100" s="28">
        <f>_xll.qlInterestRateIndexValueDate(Index,R100,Trigger)</f>
        <v>50046</v>
      </c>
      <c r="T100" s="28">
        <f>_xll.qlInterestRateIndexMaturity(Index,S100,Trigger)</f>
        <v>50137</v>
      </c>
      <c r="U100" s="30">
        <f>_xll.qlIndexFixing($M$5,R100,TRUE,InterestRatesTrigger)</f>
        <v>1.660021126330382E-2</v>
      </c>
      <c r="V100" s="74">
        <f>_xll.qlIndexFixing(Index,R100,TRUE,InterestRatesTrigger)</f>
        <v>1.7023492255224901E-2</v>
      </c>
      <c r="W100" s="30">
        <f t="shared" si="12"/>
        <v>4.2328099192108157E-4</v>
      </c>
      <c r="X100" s="29">
        <f>_xll.qlDayCounterYearFraction(DayCounter,SettlementDate,S100,,,Trigger)</f>
        <v>21.574999999999999</v>
      </c>
      <c r="Y100" s="29">
        <f>_xll.qlDayCounterYearFraction(DayCounter,S100,T100)</f>
        <v>0.25277777777777777</v>
      </c>
      <c r="Z100" s="29">
        <f>IF($M$13,_xll.qlYieldTSDiscount(Currency&amp;"ON",S100)/(1+V100*Y100),1)</f>
        <v>1</v>
      </c>
      <c r="AA100" s="30">
        <f>_xll.qlTenorBasisValue(TenorBasis3M,S100,InterestRatesTrigger)</f>
        <v>5.053540416650647E-4</v>
      </c>
      <c r="AB100" s="74">
        <f t="shared" si="13"/>
        <v>1.7105565304968883E-2</v>
      </c>
      <c r="AC100" s="76">
        <f t="shared" si="14"/>
        <v>1.0048211641015545</v>
      </c>
    </row>
    <row r="101" spans="16:29" x14ac:dyDescent="0.2">
      <c r="P101" s="33">
        <v>3</v>
      </c>
      <c r="Q101" s="27" t="str">
        <f>_xll.qlPeriodEquivalent(Q100&amp;"+"&amp;P101&amp;"M")</f>
        <v>21Y6M</v>
      </c>
      <c r="R101" s="28">
        <f>_xll.qlCalendarAdvance(Calendar,SettlementDate,Q101,"f",,Trigger)</f>
        <v>50132</v>
      </c>
      <c r="S101" s="28">
        <f>_xll.qlInterestRateIndexValueDate(Index,R101,Trigger)</f>
        <v>50138</v>
      </c>
      <c r="T101" s="28">
        <f>_xll.qlInterestRateIndexMaturity(Index,S101,Trigger)</f>
        <v>50229</v>
      </c>
      <c r="U101" s="30">
        <f>_xll.qlIndexFixing($M$5,R101,TRUE,InterestRatesTrigger)</f>
        <v>1.6439561887444543E-2</v>
      </c>
      <c r="V101" s="74">
        <f>_xll.qlIndexFixing(Index,R101,TRUE,InterestRatesTrigger)</f>
        <v>1.6853920782491566E-2</v>
      </c>
      <c r="W101" s="30">
        <f t="shared" si="12"/>
        <v>4.143588950470227E-4</v>
      </c>
      <c r="X101" s="29">
        <f>_xll.qlDayCounterYearFraction(DayCounter,SettlementDate,S101,,,Trigger)</f>
        <v>21.830555555555556</v>
      </c>
      <c r="Y101" s="29">
        <f>_xll.qlDayCounterYearFraction(DayCounter,S101,T101)</f>
        <v>0.25277777777777777</v>
      </c>
      <c r="Z101" s="29">
        <f>IF($M$13,_xll.qlYieldTSDiscount(Currency&amp;"ON",S101)/(1+V101*Y101),1)</f>
        <v>1</v>
      </c>
      <c r="AA101" s="30">
        <f>_xll.qlTenorBasisValue(TenorBasis3M,S101,InterestRatesTrigger)</f>
        <v>4.9500072862170312E-4</v>
      </c>
      <c r="AB101" s="74">
        <f t="shared" si="13"/>
        <v>1.6934562616066247E-2</v>
      </c>
      <c r="AC101" s="76">
        <f t="shared" si="14"/>
        <v>1.004784752142567</v>
      </c>
    </row>
    <row r="102" spans="16:29" x14ac:dyDescent="0.2">
      <c r="P102" s="33">
        <v>3</v>
      </c>
      <c r="Q102" s="27" t="str">
        <f>_xll.qlPeriodEquivalent(Q101&amp;"+"&amp;P102&amp;"M")</f>
        <v>21Y9M</v>
      </c>
      <c r="R102" s="28">
        <f>_xll.qlCalendarAdvance(Calendar,SettlementDate,Q102,"f",,Trigger)</f>
        <v>50223</v>
      </c>
      <c r="S102" s="28">
        <f>_xll.qlInterestRateIndexValueDate(Index,R102,Trigger)</f>
        <v>50227</v>
      </c>
      <c r="T102" s="28">
        <f>_xll.qlInterestRateIndexMaturity(Index,S102,Trigger)</f>
        <v>50319</v>
      </c>
      <c r="U102" s="30">
        <f>_xll.qlIndexFixing($M$5,R102,TRUE,InterestRatesTrigger)</f>
        <v>1.6290042306053989E-2</v>
      </c>
      <c r="V102" s="74">
        <f>_xll.qlIndexFixing(Index,R102,TRUE,InterestRatesTrigger)</f>
        <v>1.6696780887665841E-2</v>
      </c>
      <c r="W102" s="30">
        <f t="shared" si="12"/>
        <v>4.0673858161185267E-4</v>
      </c>
      <c r="X102" s="29">
        <f>_xll.qlDayCounterYearFraction(DayCounter,SettlementDate,S102,,,Trigger)</f>
        <v>22.077777777777779</v>
      </c>
      <c r="Y102" s="29">
        <f>_xll.qlDayCounterYearFraction(DayCounter,S102,T102)</f>
        <v>0.25555555555555554</v>
      </c>
      <c r="Z102" s="29">
        <f>IF($M$13,_xll.qlYieldTSDiscount(Currency&amp;"ON",S102)/(1+V102*Y102),1)</f>
        <v>1</v>
      </c>
      <c r="AA102" s="30">
        <f>_xll.qlTenorBasisValue(TenorBasis3M,S102,InterestRatesTrigger)</f>
        <v>4.852559219706761E-4</v>
      </c>
      <c r="AB102" s="74">
        <f t="shared" si="13"/>
        <v>1.6775298228024666E-2</v>
      </c>
      <c r="AC102" s="76">
        <f t="shared" si="14"/>
        <v>1.0047025436152681</v>
      </c>
    </row>
    <row r="103" spans="16:29" x14ac:dyDescent="0.2">
      <c r="P103" s="33">
        <v>3</v>
      </c>
      <c r="Q103" s="27" t="str">
        <f>_xll.qlPeriodEquivalent(Q102&amp;"+"&amp;P103&amp;"M")</f>
        <v>22Y</v>
      </c>
      <c r="R103" s="28">
        <f>_xll.qlCalendarAdvance(Calendar,SettlementDate,Q103,"f",,Trigger)</f>
        <v>50315</v>
      </c>
      <c r="S103" s="28">
        <f>_xll.qlInterestRateIndexValueDate(Index,R103,Trigger)</f>
        <v>50319</v>
      </c>
      <c r="T103" s="28">
        <f>_xll.qlInterestRateIndexMaturity(Index,S103,Trigger)</f>
        <v>50411</v>
      </c>
      <c r="U103" s="30">
        <f>_xll.qlIndexFixing($M$5,R103,TRUE,InterestRatesTrigger)</f>
        <v>1.6142523104354572E-2</v>
      </c>
      <c r="V103" s="74">
        <f>_xll.qlIndexFixing(Index,R103,TRUE,InterestRatesTrigger)</f>
        <v>1.6542476560429349E-2</v>
      </c>
      <c r="W103" s="30">
        <f t="shared" si="12"/>
        <v>3.9995345607477667E-4</v>
      </c>
      <c r="X103" s="29">
        <f>_xll.qlDayCounterYearFraction(DayCounter,SettlementDate,S103,,,Trigger)</f>
        <v>22.333333333333332</v>
      </c>
      <c r="Y103" s="29">
        <f>_xll.qlDayCounterYearFraction(DayCounter,S103,T103)</f>
        <v>0.25555555555555554</v>
      </c>
      <c r="Z103" s="29">
        <f>IF($M$13,_xll.qlYieldTSDiscount(Currency&amp;"ON",S103)/(1+V103*Y103),1)</f>
        <v>1</v>
      </c>
      <c r="AA103" s="30">
        <f>_xll.qlTenorBasisValue(TenorBasis3M,S103,InterestRatesTrigger)</f>
        <v>4.7545705571329339E-4</v>
      </c>
      <c r="AB103" s="74">
        <f t="shared" si="13"/>
        <v>1.6617980160067866E-2</v>
      </c>
      <c r="AC103" s="76">
        <f t="shared" si="14"/>
        <v>1.0045642258801277</v>
      </c>
    </row>
    <row r="104" spans="16:29" x14ac:dyDescent="0.2">
      <c r="P104" s="33">
        <v>3</v>
      </c>
      <c r="Q104" s="27" t="str">
        <f>_xll.qlPeriodEquivalent(Q103&amp;"+"&amp;P104&amp;"M")</f>
        <v>22Y3M</v>
      </c>
      <c r="R104" s="28">
        <f>_xll.qlCalendarAdvance(Calendar,SettlementDate,Q104,"f",,Trigger)</f>
        <v>50409</v>
      </c>
      <c r="S104" s="28">
        <f>_xll.qlInterestRateIndexValueDate(Index,R104,Trigger)</f>
        <v>50411</v>
      </c>
      <c r="T104" s="28">
        <f>_xll.qlInterestRateIndexMaturity(Index,S104,Trigger)</f>
        <v>50501</v>
      </c>
      <c r="U104" s="30">
        <f>_xll.qlIndexFixing($M$5,R104,TRUE,InterestRatesTrigger)</f>
        <v>1.6002435003267479E-2</v>
      </c>
      <c r="V104" s="74">
        <f>_xll.qlIndexFixing(Index,R104,TRUE,InterestRatesTrigger)</f>
        <v>1.6396705397631273E-2</v>
      </c>
      <c r="W104" s="30">
        <f t="shared" si="12"/>
        <v>3.9427039436379374E-4</v>
      </c>
      <c r="X104" s="29">
        <f>_xll.qlDayCounterYearFraction(DayCounter,SettlementDate,S104,,,Trigger)</f>
        <v>22.588888888888889</v>
      </c>
      <c r="Y104" s="29">
        <f>_xll.qlDayCounterYearFraction(DayCounter,S104,T104)</f>
        <v>0.25</v>
      </c>
      <c r="Z104" s="29">
        <f>IF($M$13,_xll.qlYieldTSDiscount(Currency&amp;"ON",S104)/(1+V104*Y104),1)</f>
        <v>1</v>
      </c>
      <c r="AA104" s="30">
        <f>_xll.qlTenorBasisValue(TenorBasis3M,S104,InterestRatesTrigger)</f>
        <v>4.659314367618746E-4</v>
      </c>
      <c r="AB104" s="74">
        <f t="shared" si="13"/>
        <v>1.6468366440029355E-2</v>
      </c>
      <c r="AC104" s="76">
        <f t="shared" si="14"/>
        <v>1.0043704537381293</v>
      </c>
    </row>
    <row r="105" spans="16:29" x14ac:dyDescent="0.2">
      <c r="P105" s="33">
        <v>3</v>
      </c>
      <c r="Q105" s="27" t="str">
        <f>_xll.qlPeriodEquivalent(Q104&amp;"+"&amp;P105&amp;"M")</f>
        <v>22Y6M</v>
      </c>
      <c r="R105" s="28">
        <f>_xll.qlCalendarAdvance(Calendar,SettlementDate,Q105,"f",,Trigger)</f>
        <v>50497</v>
      </c>
      <c r="S105" s="28">
        <f>_xll.qlInterestRateIndexValueDate(Index,R105,Trigger)</f>
        <v>50501</v>
      </c>
      <c r="T105" s="28">
        <f>_xll.qlInterestRateIndexMaturity(Index,S105,Trigger)</f>
        <v>50592</v>
      </c>
      <c r="U105" s="30">
        <f>_xll.qlIndexFixing($M$5,R105,TRUE,InterestRatesTrigger)</f>
        <v>1.5870661815297341E-2</v>
      </c>
      <c r="V105" s="74">
        <f>_xll.qlIndexFixing(Index,R105,TRUE,InterestRatesTrigger)</f>
        <v>1.626038752197E-2</v>
      </c>
      <c r="W105" s="30">
        <f t="shared" si="12"/>
        <v>3.8972570667265838E-4</v>
      </c>
      <c r="X105" s="29">
        <f>_xll.qlDayCounterYearFraction(DayCounter,SettlementDate,S105,,,Trigger)</f>
        <v>22.838888888888889</v>
      </c>
      <c r="Y105" s="29">
        <f>_xll.qlDayCounterYearFraction(DayCounter,S105,T105)</f>
        <v>0.25277777777777777</v>
      </c>
      <c r="Z105" s="29">
        <f>IF($M$13,_xll.qlYieldTSDiscount(Currency&amp;"ON",S105)/(1+V105*Y105),1)</f>
        <v>1</v>
      </c>
      <c r="AA105" s="30">
        <f>_xll.qlTenorBasisValue(TenorBasis3M,S105,InterestRatesTrigger)</f>
        <v>4.5687174334690397E-4</v>
      </c>
      <c r="AB105" s="74">
        <f t="shared" si="13"/>
        <v>1.6327533558644244E-2</v>
      </c>
      <c r="AC105" s="76">
        <f t="shared" si="14"/>
        <v>1.0041294241347889</v>
      </c>
    </row>
    <row r="106" spans="16:29" x14ac:dyDescent="0.2">
      <c r="P106" s="33">
        <v>3</v>
      </c>
      <c r="Q106" s="27" t="str">
        <f>_xll.qlPeriodEquivalent(Q105&amp;"+"&amp;P106&amp;"M")</f>
        <v>22Y9M</v>
      </c>
      <c r="R106" s="28">
        <f>_xll.qlCalendarAdvance(Calendar,SettlementDate,Q106,"f",,Trigger)</f>
        <v>50588</v>
      </c>
      <c r="S106" s="28">
        <f>_xll.qlInterestRateIndexValueDate(Index,R106,Trigger)</f>
        <v>50592</v>
      </c>
      <c r="T106" s="28">
        <f>_xll.qlInterestRateIndexMaturity(Index,S106,Trigger)</f>
        <v>50684</v>
      </c>
      <c r="U106" s="30">
        <f>_xll.qlIndexFixing($M$5,R106,TRUE,InterestRatesTrigger)</f>
        <v>1.5743965507381143E-2</v>
      </c>
      <c r="V106" s="74">
        <f>_xll.qlIndexFixing(Index,R106,TRUE,InterestRatesTrigger)</f>
        <v>1.6130160795294661E-2</v>
      </c>
      <c r="W106" s="30">
        <f t="shared" si="12"/>
        <v>3.8619528791351831E-4</v>
      </c>
      <c r="X106" s="29">
        <f>_xll.qlDayCounterYearFraction(DayCounter,SettlementDate,S106,,,Trigger)</f>
        <v>23.091666666666665</v>
      </c>
      <c r="Y106" s="29">
        <f>_xll.qlDayCounterYearFraction(DayCounter,S106,T106)</f>
        <v>0.25555555555555554</v>
      </c>
      <c r="Z106" s="29">
        <f>IF($M$13,_xll.qlYieldTSDiscount(Currency&amp;"ON",S106)/(1+V106*Y106),1)</f>
        <v>1</v>
      </c>
      <c r="AA106" s="30">
        <f>_xll.qlTenorBasisValue(TenorBasis3M,S106,InterestRatesTrigger)</f>
        <v>4.4796611431804212E-4</v>
      </c>
      <c r="AB106" s="74">
        <f t="shared" si="13"/>
        <v>1.6191931621699185E-2</v>
      </c>
      <c r="AC106" s="76">
        <f t="shared" si="14"/>
        <v>1.003829523287985</v>
      </c>
    </row>
    <row r="107" spans="16:29" x14ac:dyDescent="0.2">
      <c r="P107" s="33">
        <v>3</v>
      </c>
      <c r="Q107" s="27" t="str">
        <f>_xll.qlPeriodEquivalent(Q106&amp;"+"&amp;P107&amp;"M")</f>
        <v>23Y</v>
      </c>
      <c r="R107" s="28">
        <f>_xll.qlCalendarAdvance(Calendar,SettlementDate,Q107,"f",,Trigger)</f>
        <v>50682</v>
      </c>
      <c r="S107" s="28">
        <f>_xll.qlInterestRateIndexValueDate(Index,R107,Trigger)</f>
        <v>50684</v>
      </c>
      <c r="T107" s="28">
        <f>_xll.qlInterestRateIndexMaturity(Index,S107,Trigger)</f>
        <v>50776</v>
      </c>
      <c r="U107" s="30">
        <f>_xll.qlIndexFixing($M$5,R107,TRUE,InterestRatesTrigger)</f>
        <v>1.5622857567135244E-2</v>
      </c>
      <c r="V107" s="74">
        <f>_xll.qlIndexFixing(Index,R107,TRUE,InterestRatesTrigger)</f>
        <v>1.6006564621584275E-2</v>
      </c>
      <c r="W107" s="30">
        <f t="shared" si="12"/>
        <v>3.8370705444903085E-4</v>
      </c>
      <c r="X107" s="29">
        <f>_xll.qlDayCounterYearFraction(DayCounter,SettlementDate,S107,,,Trigger)</f>
        <v>23.347222222222221</v>
      </c>
      <c r="Y107" s="29">
        <f>_xll.qlDayCounterYearFraction(DayCounter,S107,T107)</f>
        <v>0.25555555555555554</v>
      </c>
      <c r="Z107" s="29">
        <f>IF($M$13,_xll.qlYieldTSDiscount(Currency&amp;"ON",S107)/(1+V107*Y107),1)</f>
        <v>1</v>
      </c>
      <c r="AA107" s="30">
        <f>_xll.qlTenorBasisValue(TenorBasis3M,S107,InterestRatesTrigger)</f>
        <v>4.3921733046610342E-4</v>
      </c>
      <c r="AB107" s="74">
        <f t="shared" si="13"/>
        <v>1.6062074897601347E-2</v>
      </c>
      <c r="AC107" s="76">
        <f t="shared" si="14"/>
        <v>1.0034679693819009</v>
      </c>
    </row>
    <row r="108" spans="16:29" x14ac:dyDescent="0.2">
      <c r="P108" s="33">
        <v>3</v>
      </c>
      <c r="Q108" s="27" t="str">
        <f>_xll.qlPeriodEquivalent(Q107&amp;"+"&amp;P108&amp;"M")</f>
        <v>23Y3M</v>
      </c>
      <c r="R108" s="28">
        <f>_xll.qlCalendarAdvance(Calendar,SettlementDate,Q108,"f",,Trigger)</f>
        <v>50773</v>
      </c>
      <c r="S108" s="28">
        <f>_xll.qlInterestRateIndexValueDate(Index,R108,Trigger)</f>
        <v>50775</v>
      </c>
      <c r="T108" s="28">
        <f>_xll.qlInterestRateIndexMaturity(Index,S108,Trigger)</f>
        <v>50865</v>
      </c>
      <c r="U108" s="30">
        <f>_xll.qlIndexFixing($M$5,R108,TRUE,InterestRatesTrigger)</f>
        <v>1.5510143121216124E-2</v>
      </c>
      <c r="V108" s="74">
        <f>_xll.qlIndexFixing(Index,R108,TRUE,InterestRatesTrigger)</f>
        <v>1.5892428499580724E-2</v>
      </c>
      <c r="W108" s="30">
        <f t="shared" si="12"/>
        <v>3.8228537836459964E-4</v>
      </c>
      <c r="X108" s="29">
        <f>_xll.qlDayCounterYearFraction(DayCounter,SettlementDate,S108,,,Trigger)</f>
        <v>23.6</v>
      </c>
      <c r="Y108" s="29">
        <f>_xll.qlDayCounterYearFraction(DayCounter,S108,T108)</f>
        <v>0.25</v>
      </c>
      <c r="Z108" s="29">
        <f>IF($M$13,_xll.qlYieldTSDiscount(Currency&amp;"ON",S108)/(1+V108*Y108),1)</f>
        <v>1</v>
      </c>
      <c r="AA108" s="30">
        <f>_xll.qlTenorBasisValue(TenorBasis3M,S108,InterestRatesTrigger)</f>
        <v>4.308099857366821E-4</v>
      </c>
      <c r="AB108" s="74">
        <f t="shared" si="13"/>
        <v>1.5940953106952805E-2</v>
      </c>
      <c r="AC108" s="76">
        <f t="shared" si="14"/>
        <v>1.0030533160727046</v>
      </c>
    </row>
    <row r="109" spans="16:29" x14ac:dyDescent="0.2">
      <c r="P109" s="33">
        <v>3</v>
      </c>
      <c r="Q109" s="27" t="str">
        <f>_xll.qlPeriodEquivalent(Q108&amp;"+"&amp;P109&amp;"M")</f>
        <v>23Y6M</v>
      </c>
      <c r="R109" s="28">
        <f>_xll.qlCalendarAdvance(Calendar,SettlementDate,Q109,"f",,Trigger)</f>
        <v>50864</v>
      </c>
      <c r="S109" s="28">
        <f>_xll.qlInterestRateIndexValueDate(Index,R109,Trigger)</f>
        <v>50866</v>
      </c>
      <c r="T109" s="28">
        <f>_xll.qlInterestRateIndexMaturity(Index,S109,Trigger)</f>
        <v>50957</v>
      </c>
      <c r="U109" s="30">
        <f>_xll.qlIndexFixing($M$5,R109,TRUE,InterestRatesTrigger)</f>
        <v>1.540311375839561E-2</v>
      </c>
      <c r="V109" s="74">
        <f>_xll.qlIndexFixing(Index,R109,TRUE,InterestRatesTrigger)</f>
        <v>1.5785069433044766E-2</v>
      </c>
      <c r="W109" s="30">
        <f t="shared" si="12"/>
        <v>3.8195567464915578E-4</v>
      </c>
      <c r="X109" s="29">
        <f>_xll.qlDayCounterYearFraction(DayCounter,SettlementDate,S109,,,Trigger)</f>
        <v>23.852777777777778</v>
      </c>
      <c r="Y109" s="29">
        <f>_xll.qlDayCounterYearFraction(DayCounter,S109,T109)</f>
        <v>0.25277777777777777</v>
      </c>
      <c r="Z109" s="29">
        <f>IF($M$13,_xll.qlYieldTSDiscount(Currency&amp;"ON",S109)/(1+V109*Y109),1)</f>
        <v>1</v>
      </c>
      <c r="AA109" s="30">
        <f>_xll.qlTenorBasisValue(TenorBasis3M,S109,InterestRatesTrigger)</f>
        <v>4.2264210461688626E-4</v>
      </c>
      <c r="AB109" s="74">
        <f t="shared" si="13"/>
        <v>1.5825755863012495E-2</v>
      </c>
      <c r="AC109" s="76">
        <f t="shared" si="14"/>
        <v>1.0025775261958974</v>
      </c>
    </row>
    <row r="110" spans="16:29" x14ac:dyDescent="0.2">
      <c r="P110" s="33">
        <v>3</v>
      </c>
      <c r="Q110" s="27" t="str">
        <f>_xll.qlPeriodEquivalent(Q109&amp;"+"&amp;P110&amp;"M")</f>
        <v>23Y9M</v>
      </c>
      <c r="R110" s="28">
        <f>_xll.qlCalendarAdvance(Calendar,SettlementDate,Q110,"f",,Trigger)</f>
        <v>50955</v>
      </c>
      <c r="S110" s="28">
        <f>_xll.qlInterestRateIndexValueDate(Index,R110,Trigger)</f>
        <v>50957</v>
      </c>
      <c r="T110" s="28">
        <f>_xll.qlInterestRateIndexMaturity(Index,S110,Trigger)</f>
        <v>51049</v>
      </c>
      <c r="U110" s="30">
        <f>_xll.qlIndexFixing($M$5,R110,TRUE,InterestRatesTrigger)</f>
        <v>1.5302657494320568E-2</v>
      </c>
      <c r="V110" s="74">
        <f>_xll.qlIndexFixing(Index,R110,TRUE,InterestRatesTrigger)</f>
        <v>1.5685354030784658E-2</v>
      </c>
      <c r="W110" s="30">
        <f t="shared" si="12"/>
        <v>3.8269653646409024E-4</v>
      </c>
      <c r="X110" s="29">
        <f>_xll.qlDayCounterYearFraction(DayCounter,SettlementDate,S110,,,Trigger)</f>
        <v>24.105555555555554</v>
      </c>
      <c r="Y110" s="29">
        <f>_xll.qlDayCounterYearFraction(DayCounter,S110,T110)</f>
        <v>0.25555555555555554</v>
      </c>
      <c r="Z110" s="29">
        <f>IF($M$13,_xll.qlYieldTSDiscount(Currency&amp;"ON",S110)/(1+V110*Y110),1)</f>
        <v>1</v>
      </c>
      <c r="AA110" s="30">
        <f>_xll.qlTenorBasisValue(TenorBasis3M,S110,InterestRatesTrigger)</f>
        <v>4.1470821257415887E-4</v>
      </c>
      <c r="AB110" s="74">
        <f t="shared" si="13"/>
        <v>1.5717365706894727E-2</v>
      </c>
      <c r="AC110" s="76">
        <f t="shared" si="14"/>
        <v>1.0020408641110199</v>
      </c>
    </row>
    <row r="111" spans="16:29" x14ac:dyDescent="0.2">
      <c r="P111" s="33">
        <v>3</v>
      </c>
      <c r="Q111" s="27" t="str">
        <f>_xll.qlPeriodEquivalent(Q110&amp;"+"&amp;P111&amp;"M")</f>
        <v>24Y</v>
      </c>
      <c r="R111" s="28">
        <f>_xll.qlCalendarAdvance(Calendar,SettlementDate,Q111,"f",,Trigger)</f>
        <v>51046</v>
      </c>
      <c r="S111" s="28">
        <f>_xll.qlInterestRateIndexValueDate(Index,R111,Trigger)</f>
        <v>51048</v>
      </c>
      <c r="T111" s="28">
        <f>_xll.qlInterestRateIndexMaturity(Index,S111,Trigger)</f>
        <v>51140</v>
      </c>
      <c r="U111" s="30">
        <f>_xll.qlIndexFixing($M$5,R111,TRUE,InterestRatesTrigger)</f>
        <v>1.5208944780269174E-2</v>
      </c>
      <c r="V111" s="74">
        <f>_xll.qlIndexFixing(Index,R111,TRUE,InterestRatesTrigger)</f>
        <v>1.5593422710585692E-2</v>
      </c>
      <c r="W111" s="30">
        <f t="shared" si="12"/>
        <v>3.8447793031651765E-4</v>
      </c>
      <c r="X111" s="29">
        <f>_xll.qlDayCounterYearFraction(DayCounter,SettlementDate,S111,,,Trigger)</f>
        <v>24.358333333333334</v>
      </c>
      <c r="Y111" s="29">
        <f>_xll.qlDayCounterYearFraction(DayCounter,S111,T111)</f>
        <v>0.25555555555555554</v>
      </c>
      <c r="Z111" s="29">
        <f>IF($M$13,_xll.qlYieldTSDiscount(Currency&amp;"ON",S111)/(1+V111*Y111),1)</f>
        <v>1</v>
      </c>
      <c r="AA111" s="30">
        <f>_xll.qlTenorBasisValue(TenorBasis3M,S111,InterestRatesTrigger)</f>
        <v>4.0700288026520638E-4</v>
      </c>
      <c r="AB111" s="74">
        <f t="shared" si="13"/>
        <v>1.561594766053438E-2</v>
      </c>
      <c r="AC111" s="76">
        <f t="shared" si="14"/>
        <v>1.0014445160864778</v>
      </c>
    </row>
    <row r="112" spans="16:29" x14ac:dyDescent="0.2">
      <c r="P112" s="33">
        <v>3</v>
      </c>
      <c r="Q112" s="27" t="str">
        <f>_xll.qlPeriodEquivalent(Q111&amp;"+"&amp;P112&amp;"M")</f>
        <v>24Y3M</v>
      </c>
      <c r="R112" s="28">
        <f>_xll.qlCalendarAdvance(Calendar,SettlementDate,Q112,"f",,Trigger)</f>
        <v>51137</v>
      </c>
      <c r="S112" s="28">
        <f>_xll.qlInterestRateIndexValueDate(Index,R112,Trigger)</f>
        <v>51139</v>
      </c>
      <c r="T112" s="28">
        <f>_xll.qlInterestRateIndexMaturity(Index,S112,Trigger)</f>
        <v>51230</v>
      </c>
      <c r="U112" s="30">
        <f>_xll.qlIndexFixing($M$5,R112,TRUE,InterestRatesTrigger)</f>
        <v>1.5121879747643664E-2</v>
      </c>
      <c r="V112" s="74">
        <f>_xll.qlIndexFixing(Index,R112,TRUE,InterestRatesTrigger)</f>
        <v>1.5509162150119996E-2</v>
      </c>
      <c r="W112" s="30">
        <f t="shared" si="12"/>
        <v>3.8728240247633272E-4</v>
      </c>
      <c r="X112" s="29">
        <f>_xll.qlDayCounterYearFraction(DayCounter,SettlementDate,S112,,,Trigger)</f>
        <v>24.611111111111111</v>
      </c>
      <c r="Y112" s="29">
        <f>_xll.qlDayCounterYearFraction(DayCounter,S112,T112)</f>
        <v>0.25277777777777777</v>
      </c>
      <c r="Z112" s="29">
        <f>IF($M$13,_xll.qlYieldTSDiscount(Currency&amp;"ON",S112)/(1+V112*Y112),1)</f>
        <v>1</v>
      </c>
      <c r="AA112" s="30">
        <f>_xll.qlTenorBasisValue(TenorBasis3M,S112,InterestRatesTrigger)</f>
        <v>3.9952072908195594E-4</v>
      </c>
      <c r="AB112" s="74">
        <f t="shared" si="13"/>
        <v>1.552140047672562E-2</v>
      </c>
      <c r="AC112" s="76">
        <f t="shared" si="14"/>
        <v>1.0007891030145384</v>
      </c>
    </row>
    <row r="113" spans="16:29" x14ac:dyDescent="0.2">
      <c r="P113" s="33">
        <v>3</v>
      </c>
      <c r="Q113" s="27" t="str">
        <f>_xll.qlPeriodEquivalent(Q112&amp;"+"&amp;P113&amp;"M")</f>
        <v>24Y6M</v>
      </c>
      <c r="R113" s="28">
        <f>_xll.qlCalendarAdvance(Calendar,SettlementDate,Q113,"f",,Trigger)</f>
        <v>51229</v>
      </c>
      <c r="S113" s="28">
        <f>_xll.qlInterestRateIndexValueDate(Index,R113,Trigger)</f>
        <v>51231</v>
      </c>
      <c r="T113" s="28">
        <f>_xll.qlInterestRateIndexMaturity(Index,S113,Trigger)</f>
        <v>51322</v>
      </c>
      <c r="U113" s="30">
        <f>_xll.qlIndexFixing($M$5,R113,TRUE,InterestRatesTrigger)</f>
        <v>1.5040302299480014E-2</v>
      </c>
      <c r="V113" s="74">
        <f>_xll.qlIndexFixing(Index,R113,TRUE,InterestRatesTrigger)</f>
        <v>1.5431526806399663E-2</v>
      </c>
      <c r="W113" s="30">
        <f t="shared" si="12"/>
        <v>3.912245069196494E-4</v>
      </c>
      <c r="X113" s="29">
        <f>_xll.qlDayCounterYearFraction(DayCounter,SettlementDate,S113,,,Trigger)</f>
        <v>24.866666666666667</v>
      </c>
      <c r="Y113" s="29">
        <f>_xll.qlDayCounterYearFraction(DayCounter,S113,T113)</f>
        <v>0.25277777777777777</v>
      </c>
      <c r="Z113" s="29">
        <f>IF($M$13,_xll.qlYieldTSDiscount(Currency&amp;"ON",S113)/(1+V113*Y113),1)</f>
        <v>1</v>
      </c>
      <c r="AA113" s="30">
        <f>_xll.qlTenorBasisValue(TenorBasis3M,S113,InterestRatesTrigger)</f>
        <v>3.9217779929398783E-4</v>
      </c>
      <c r="AB113" s="74">
        <f t="shared" si="13"/>
        <v>1.5432480098774001E-2</v>
      </c>
      <c r="AC113" s="76">
        <f t="shared" si="14"/>
        <v>1.0000617756354442</v>
      </c>
    </row>
    <row r="114" spans="16:29" x14ac:dyDescent="0.2">
      <c r="P114" s="33">
        <v>3</v>
      </c>
      <c r="Q114" s="27" t="str">
        <f>_xll.qlPeriodEquivalent(Q113&amp;"+"&amp;P114&amp;"M")</f>
        <v>24Y9M</v>
      </c>
      <c r="R114" s="28">
        <f>_xll.qlCalendarAdvance(Calendar,SettlementDate,Q114,"f",,Trigger)</f>
        <v>51319</v>
      </c>
      <c r="S114" s="28">
        <f>_xll.qlInterestRateIndexValueDate(Index,R114,Trigger)</f>
        <v>51321</v>
      </c>
      <c r="T114" s="28">
        <f>_xll.qlInterestRateIndexMaturity(Index,S114,Trigger)</f>
        <v>51413</v>
      </c>
      <c r="U114" s="30">
        <f>_xll.qlIndexFixing($M$5,R114,TRUE,InterestRatesTrigger)</f>
        <v>1.4966862048296541E-2</v>
      </c>
      <c r="V114" s="74">
        <f>_xll.qlIndexFixing(Index,R114,TRUE,InterestRatesTrigger)</f>
        <v>1.5363037940433141E-2</v>
      </c>
      <c r="W114" s="30">
        <f t="shared" si="12"/>
        <v>3.9617589213659932E-4</v>
      </c>
      <c r="X114" s="29">
        <f>_xll.qlDayCounterYearFraction(DayCounter,SettlementDate,S114,,,Trigger)</f>
        <v>25.116666666666667</v>
      </c>
      <c r="Y114" s="29">
        <f>_xll.qlDayCounterYearFraction(DayCounter,S114,T114)</f>
        <v>0.25555555555555554</v>
      </c>
      <c r="Z114" s="29">
        <f>IF($M$13,_xll.qlYieldTSDiscount(Currency&amp;"ON",S114)/(1+V114*Y114),1)</f>
        <v>1</v>
      </c>
      <c r="AA114" s="30">
        <f>_xll.qlTenorBasisValue(TenorBasis3M,S114,InterestRatesTrigger)</f>
        <v>3.8520473891738062E-4</v>
      </c>
      <c r="AB114" s="74">
        <f t="shared" si="13"/>
        <v>1.5352066787213922E-2</v>
      </c>
      <c r="AC114" s="76">
        <f t="shared" si="14"/>
        <v>0.99928587345408137</v>
      </c>
    </row>
    <row r="115" spans="16:29" x14ac:dyDescent="0.2">
      <c r="P115" s="33">
        <v>3</v>
      </c>
      <c r="Q115" s="27" t="str">
        <f>_xll.qlPeriodEquivalent(Q114&amp;"+"&amp;P115&amp;"M")</f>
        <v>25Y</v>
      </c>
      <c r="R115" s="28">
        <f>_xll.qlCalendarAdvance(Calendar,SettlementDate,Q115,"f",,Trigger)</f>
        <v>51411</v>
      </c>
      <c r="S115" s="28">
        <f>_xll.qlInterestRateIndexValueDate(Index,R115,Trigger)</f>
        <v>51413</v>
      </c>
      <c r="T115" s="28">
        <f>_xll.qlInterestRateIndexMaturity(Index,S115,Trigger)</f>
        <v>51505</v>
      </c>
      <c r="U115" s="30">
        <f>_xll.qlIndexFixing($M$5,R115,TRUE,InterestRatesTrigger)</f>
        <v>1.489852524012608E-2</v>
      </c>
      <c r="V115" s="74">
        <f>_xll.qlIndexFixing(Index,R115,TRUE,InterestRatesTrigger)</f>
        <v>1.5300479757893727E-2</v>
      </c>
      <c r="W115" s="30">
        <f t="shared" si="12"/>
        <v>4.0195451776764771E-4</v>
      </c>
      <c r="X115" s="29">
        <f>_xll.qlDayCounterYearFraction(DayCounter,SettlementDate,S115,,,Trigger)</f>
        <v>25.372222222222224</v>
      </c>
      <c r="Y115" s="29">
        <f>_xll.qlDayCounterYearFraction(DayCounter,S115,T115)</f>
        <v>0.25555555555555554</v>
      </c>
      <c r="Z115" s="29">
        <f>IF($M$13,_xll.qlYieldTSDiscount(Currency&amp;"ON",S115)/(1+V115*Y115),1)</f>
        <v>1</v>
      </c>
      <c r="AA115" s="30">
        <f>_xll.qlTenorBasisValue(TenorBasis3M,S115,InterestRatesTrigger)</f>
        <v>3.7828635987035842E-4</v>
      </c>
      <c r="AB115" s="74">
        <f t="shared" si="13"/>
        <v>1.5276811599996437E-2</v>
      </c>
      <c r="AC115" s="76">
        <f t="shared" si="14"/>
        <v>0.99845311008074245</v>
      </c>
    </row>
    <row r="116" spans="16:29" x14ac:dyDescent="0.2">
      <c r="P116" s="33">
        <v>3</v>
      </c>
      <c r="Q116" s="27" t="str">
        <f>_xll.qlPeriodEquivalent(Q115&amp;"+"&amp;P116&amp;"M")</f>
        <v>25Y3M</v>
      </c>
      <c r="R116" s="28">
        <f>_xll.qlCalendarAdvance(Calendar,SettlementDate,Q116,"f",,Trigger)</f>
        <v>51503</v>
      </c>
      <c r="S116" s="28">
        <f>_xll.qlInterestRateIndexValueDate(Index,R116,Trigger)</f>
        <v>51505</v>
      </c>
      <c r="T116" s="28">
        <f>_xll.qlInterestRateIndexMaturity(Index,S116,Trigger)</f>
        <v>51595</v>
      </c>
      <c r="U116" s="30">
        <f>_xll.qlIndexFixing($M$5,R116,TRUE,InterestRatesTrigger)</f>
        <v>1.4837075073921291E-2</v>
      </c>
      <c r="V116" s="74">
        <f>_xll.qlIndexFixing(Index,R116,TRUE,InterestRatesTrigger)</f>
        <v>1.5244328705397159E-2</v>
      </c>
      <c r="W116" s="30">
        <f t="shared" si="12"/>
        <v>4.0725363147586791E-4</v>
      </c>
      <c r="X116" s="29">
        <f>_xll.qlDayCounterYearFraction(DayCounter,SettlementDate,S116,,,Trigger)</f>
        <v>25.627777777777776</v>
      </c>
      <c r="Y116" s="29">
        <f>_xll.qlDayCounterYearFraction(DayCounter,S116,T116)</f>
        <v>0.25</v>
      </c>
      <c r="Z116" s="29">
        <f>IF($M$13,_xll.qlYieldTSDiscount(Currency&amp;"ON",S116)/(1+V116*Y116),1)</f>
        <v>1</v>
      </c>
      <c r="AA116" s="30">
        <f>_xll.qlTenorBasisValue(TenorBasis3M,S116,InterestRatesTrigger)</f>
        <v>3.7157466061555315E-4</v>
      </c>
      <c r="AB116" s="74">
        <f t="shared" si="13"/>
        <v>1.5208649734536844E-2</v>
      </c>
      <c r="AC116" s="76">
        <f t="shared" si="14"/>
        <v>0.99765952495844024</v>
      </c>
    </row>
    <row r="117" spans="16:29" x14ac:dyDescent="0.2">
      <c r="P117" s="33">
        <v>3</v>
      </c>
      <c r="Q117" s="27" t="str">
        <f>_xll.qlPeriodEquivalent(Q116&amp;"+"&amp;P117&amp;"M")</f>
        <v>25Y6M</v>
      </c>
      <c r="R117" s="28">
        <f>_xll.qlCalendarAdvance(Calendar,SettlementDate,Q117,"f",,Trigger)</f>
        <v>51593</v>
      </c>
      <c r="S117" s="28">
        <f>_xll.qlInterestRateIndexValueDate(Index,R117,Trigger)</f>
        <v>51595</v>
      </c>
      <c r="T117" s="28">
        <f>_xll.qlInterestRateIndexMaturity(Index,S117,Trigger)</f>
        <v>51686</v>
      </c>
      <c r="U117" s="30">
        <f>_xll.qlIndexFixing($M$5,R117,TRUE,InterestRatesTrigger)</f>
        <v>1.4783611362621281E-2</v>
      </c>
      <c r="V117" s="74">
        <f>_xll.qlIndexFixing(Index,R117,TRUE,InterestRatesTrigger)</f>
        <v>1.519553933536529E-2</v>
      </c>
      <c r="W117" s="30">
        <f t="shared" si="12"/>
        <v>4.1192797274400977E-4</v>
      </c>
      <c r="X117" s="29">
        <f>_xll.qlDayCounterYearFraction(DayCounter,SettlementDate,S117,,,Trigger)</f>
        <v>25.877777777777776</v>
      </c>
      <c r="Y117" s="29">
        <f>_xll.qlDayCounterYearFraction(DayCounter,S117,T117)</f>
        <v>0.25277777777777777</v>
      </c>
      <c r="Z117" s="29">
        <f>IF($M$13,_xll.qlYieldTSDiscount(Currency&amp;"ON",S117)/(1+V117*Y117),1)</f>
        <v>1</v>
      </c>
      <c r="AA117" s="30">
        <f>_xll.qlTenorBasisValue(TenorBasis3M,S117,InterestRatesTrigger)</f>
        <v>3.6520383577749098E-4</v>
      </c>
      <c r="AB117" s="74">
        <f t="shared" si="13"/>
        <v>1.5148815198398771E-2</v>
      </c>
      <c r="AC117" s="76">
        <f t="shared" si="14"/>
        <v>0.99692514125788378</v>
      </c>
    </row>
    <row r="118" spans="16:29" x14ac:dyDescent="0.2">
      <c r="P118" s="33">
        <v>3</v>
      </c>
      <c r="Q118" s="27" t="str">
        <f>_xll.qlPeriodEquivalent(Q117&amp;"+"&amp;P118&amp;"M")</f>
        <v>25Y9M</v>
      </c>
      <c r="R118" s="28">
        <f>_xll.qlCalendarAdvance(Calendar,SettlementDate,Q118,"f",,Trigger)</f>
        <v>51684</v>
      </c>
      <c r="S118" s="28">
        <f>_xll.qlInterestRateIndexValueDate(Index,R118,Trigger)</f>
        <v>51686</v>
      </c>
      <c r="T118" s="28">
        <f>_xll.qlInterestRateIndexMaturity(Index,S118,Trigger)</f>
        <v>51778</v>
      </c>
      <c r="U118" s="30">
        <f>_xll.qlIndexFixing($M$5,R118,TRUE,InterestRatesTrigger)</f>
        <v>1.4736357044226383E-2</v>
      </c>
      <c r="V118" s="74">
        <f>_xll.qlIndexFixing(Index,R118,TRUE,InterestRatesTrigger)</f>
        <v>1.5152357716436199E-2</v>
      </c>
      <c r="W118" s="30">
        <f t="shared" si="12"/>
        <v>4.1600067220981529E-4</v>
      </c>
      <c r="X118" s="29">
        <f>_xll.qlDayCounterYearFraction(DayCounter,SettlementDate,S118,,,Trigger)</f>
        <v>26.130555555555556</v>
      </c>
      <c r="Y118" s="29">
        <f>_xll.qlDayCounterYearFraction(DayCounter,S118,T118)</f>
        <v>0.25555555555555554</v>
      </c>
      <c r="Z118" s="29">
        <f>IF($M$13,_xll.qlYieldTSDiscount(Currency&amp;"ON",S118)/(1+V118*Y118),1)</f>
        <v>1</v>
      </c>
      <c r="AA118" s="30">
        <f>_xll.qlTenorBasisValue(TenorBasis3M,S118,InterestRatesTrigger)</f>
        <v>3.5895331822280679E-4</v>
      </c>
      <c r="AB118" s="74">
        <f t="shared" si="13"/>
        <v>1.5095310362449189E-2</v>
      </c>
      <c r="AC118" s="76">
        <f t="shared" si="14"/>
        <v>0.99623508400114336</v>
      </c>
    </row>
    <row r="119" spans="16:29" x14ac:dyDescent="0.2">
      <c r="P119" s="33">
        <v>3</v>
      </c>
      <c r="Q119" s="27" t="str">
        <f>_xll.qlPeriodEquivalent(Q118&amp;"+"&amp;P119&amp;"M")</f>
        <v>26Y</v>
      </c>
      <c r="R119" s="28">
        <f>_xll.qlCalendarAdvance(Calendar,SettlementDate,Q119,"f",,Trigger)</f>
        <v>51776</v>
      </c>
      <c r="S119" s="28">
        <f>_xll.qlInterestRateIndexValueDate(Index,R119,Trigger)</f>
        <v>51778</v>
      </c>
      <c r="T119" s="28">
        <f>_xll.qlInterestRateIndexMaturity(Index,S119,Trigger)</f>
        <v>51872</v>
      </c>
      <c r="U119" s="30">
        <f>_xll.qlIndexFixing($M$5,R119,TRUE,InterestRatesTrigger)</f>
        <v>1.4695639725207068E-2</v>
      </c>
      <c r="V119" s="74">
        <f>_xll.qlIndexFixing(Index,R119,TRUE,InterestRatesTrigger)</f>
        <v>1.5115123354960963E-2</v>
      </c>
      <c r="W119" s="30">
        <f t="shared" si="12"/>
        <v>4.1948362975389487E-4</v>
      </c>
      <c r="X119" s="29">
        <f>_xll.qlDayCounterYearFraction(DayCounter,SettlementDate,S119,,,Trigger)</f>
        <v>26.386111111111113</v>
      </c>
      <c r="Y119" s="29">
        <f>_xll.qlDayCounterYearFraction(DayCounter,S119,T119)</f>
        <v>0.26111111111111113</v>
      </c>
      <c r="Z119" s="29">
        <f>IF($M$13,_xll.qlYieldTSDiscount(Currency&amp;"ON",S119)/(1+V119*Y119),1)</f>
        <v>1</v>
      </c>
      <c r="AA119" s="30">
        <f>_xll.qlTenorBasisValue(TenorBasis3M,S119,InterestRatesTrigger)</f>
        <v>3.5282445383551621E-4</v>
      </c>
      <c r="AB119" s="74">
        <f t="shared" si="13"/>
        <v>1.5048464179042584E-2</v>
      </c>
      <c r="AC119" s="76">
        <f t="shared" si="14"/>
        <v>0.99558990195759789</v>
      </c>
    </row>
    <row r="120" spans="16:29" x14ac:dyDescent="0.2">
      <c r="P120" s="33">
        <v>3</v>
      </c>
      <c r="Q120" s="27" t="str">
        <f>_xll.qlPeriodEquivalent(Q119&amp;"+"&amp;P120&amp;"M")</f>
        <v>26Y3M</v>
      </c>
      <c r="R120" s="28">
        <f>_xll.qlCalendarAdvance(Calendar,SettlementDate,Q120,"f",,Trigger)</f>
        <v>51868</v>
      </c>
      <c r="S120" s="28">
        <f>_xll.qlInterestRateIndexValueDate(Index,R120,Trigger)</f>
        <v>51872</v>
      </c>
      <c r="T120" s="28">
        <f>_xll.qlInterestRateIndexMaturity(Index,S120,Trigger)</f>
        <v>51964</v>
      </c>
      <c r="U120" s="30">
        <f>_xll.qlIndexFixing($M$5,R120,TRUE,InterestRatesTrigger)</f>
        <v>1.4660770003021115E-2</v>
      </c>
      <c r="V120" s="74">
        <f>_xll.qlIndexFixing(Index,R120,TRUE,InterestRatesTrigger)</f>
        <v>1.5082991085537775E-2</v>
      </c>
      <c r="W120" s="30">
        <f t="shared" si="12"/>
        <v>4.2222108251666057E-4</v>
      </c>
      <c r="X120" s="29">
        <f>_xll.qlDayCounterYearFraction(DayCounter,SettlementDate,S120,,,Trigger)</f>
        <v>26.647222222222222</v>
      </c>
      <c r="Y120" s="29">
        <f>_xll.qlDayCounterYearFraction(DayCounter,S120,T120)</f>
        <v>0.25555555555555554</v>
      </c>
      <c r="Z120" s="29">
        <f>IF($M$13,_xll.qlYieldTSDiscount(Currency&amp;"ON",S120)/(1+V120*Y120),1)</f>
        <v>1</v>
      </c>
      <c r="AA120" s="30">
        <f>_xll.qlTenorBasisValue(TenorBasis3M,S120,InterestRatesTrigger)</f>
        <v>3.4675484770422919E-4</v>
      </c>
      <c r="AB120" s="74">
        <f t="shared" si="13"/>
        <v>1.5007524850725344E-2</v>
      </c>
      <c r="AC120" s="76">
        <f t="shared" si="14"/>
        <v>0.99499660018464164</v>
      </c>
    </row>
    <row r="121" spans="16:29" x14ac:dyDescent="0.2">
      <c r="P121" s="33">
        <v>3</v>
      </c>
      <c r="Q121" s="27" t="str">
        <f>_xll.qlPeriodEquivalent(Q120&amp;"+"&amp;P121&amp;"M")</f>
        <v>26Y6M</v>
      </c>
      <c r="R121" s="28">
        <f>_xll.qlCalendarAdvance(Calendar,SettlementDate,Q121,"f",,Trigger)</f>
        <v>51958</v>
      </c>
      <c r="S121" s="28">
        <f>_xll.qlInterestRateIndexValueDate(Index,R121,Trigger)</f>
        <v>51964</v>
      </c>
      <c r="T121" s="28">
        <f>_xll.qlInterestRateIndexMaturity(Index,S121,Trigger)</f>
        <v>52055</v>
      </c>
      <c r="U121" s="30">
        <f>_xll.qlIndexFixing($M$5,R121,TRUE,InterestRatesTrigger)</f>
        <v>1.4633662145299679E-2</v>
      </c>
      <c r="V121" s="74">
        <f>_xll.qlIndexFixing(Index,R121,TRUE,InterestRatesTrigger)</f>
        <v>1.5057930332921769E-2</v>
      </c>
      <c r="W121" s="30">
        <f t="shared" si="12"/>
        <v>4.2426818762208995E-4</v>
      </c>
      <c r="X121" s="29">
        <f>_xll.qlDayCounterYearFraction(DayCounter,SettlementDate,S121,,,Trigger)</f>
        <v>26.902777777777779</v>
      </c>
      <c r="Y121" s="29">
        <f>_xll.qlDayCounterYearFraction(DayCounter,S121,T121)</f>
        <v>0.25277777777777777</v>
      </c>
      <c r="Z121" s="29">
        <f>IF($M$13,_xll.qlYieldTSDiscount(Currency&amp;"ON",S121)/(1+V121*Y121),1)</f>
        <v>1</v>
      </c>
      <c r="AA121" s="30">
        <f>_xll.qlTenorBasisValue(TenorBasis3M,S121,InterestRatesTrigger)</f>
        <v>3.409977868159234E-4</v>
      </c>
      <c r="AB121" s="74">
        <f t="shared" si="13"/>
        <v>1.4974659932115603E-2</v>
      </c>
      <c r="AC121" s="76">
        <f t="shared" si="14"/>
        <v>0.9944699969408074</v>
      </c>
    </row>
    <row r="122" spans="16:29" x14ac:dyDescent="0.2">
      <c r="P122" s="33">
        <v>3</v>
      </c>
      <c r="Q122" s="27" t="str">
        <f>_xll.qlPeriodEquivalent(Q121&amp;"+"&amp;P122&amp;"M")</f>
        <v>26Y9M</v>
      </c>
      <c r="R122" s="28">
        <f>_xll.qlCalendarAdvance(Calendar,SettlementDate,Q122,"f",,Trigger)</f>
        <v>52049</v>
      </c>
      <c r="S122" s="28">
        <f>_xll.qlInterestRateIndexValueDate(Index,R122,Trigger)</f>
        <v>52051</v>
      </c>
      <c r="T122" s="28">
        <f>_xll.qlInterestRateIndexMaturity(Index,S122,Trigger)</f>
        <v>52145</v>
      </c>
      <c r="U122" s="30">
        <f>_xll.qlIndexFixing($M$5,R122,TRUE,InterestRatesTrigger)</f>
        <v>1.4615156599929569E-2</v>
      </c>
      <c r="V122" s="74">
        <f>_xll.qlIndexFixing(Index,R122,TRUE,InterestRatesTrigger)</f>
        <v>1.5040846850661481E-2</v>
      </c>
      <c r="W122" s="30">
        <f t="shared" si="12"/>
        <v>4.2569025073191206E-4</v>
      </c>
      <c r="X122" s="29">
        <f>_xll.qlDayCounterYearFraction(DayCounter,SettlementDate,S122,,,Trigger)</f>
        <v>27.144444444444446</v>
      </c>
      <c r="Y122" s="29">
        <f>_xll.qlDayCounterYearFraction(DayCounter,S122,T122)</f>
        <v>0.26111111111111113</v>
      </c>
      <c r="Z122" s="29">
        <f>IF($M$13,_xll.qlYieldTSDiscount(Currency&amp;"ON",S122)/(1+V122*Y122),1)</f>
        <v>1</v>
      </c>
      <c r="AA122" s="30">
        <f>_xll.qlTenorBasisValue(TenorBasis3M,S122,InterestRatesTrigger)</f>
        <v>3.3571613363366713E-4</v>
      </c>
      <c r="AB122" s="74">
        <f t="shared" si="13"/>
        <v>1.4950872733563235E-2</v>
      </c>
      <c r="AC122" s="76">
        <f t="shared" si="14"/>
        <v>0.99401801520941035</v>
      </c>
    </row>
    <row r="123" spans="16:29" x14ac:dyDescent="0.2">
      <c r="P123" s="33">
        <v>3</v>
      </c>
      <c r="Q123" s="27" t="str">
        <f>_xll.qlPeriodEquivalent(Q122&amp;"+"&amp;P123&amp;"M")</f>
        <v>27Y</v>
      </c>
      <c r="R123" s="28">
        <f>_xll.qlCalendarAdvance(Calendar,SettlementDate,Q123,"f",,Trigger)</f>
        <v>52141</v>
      </c>
      <c r="S123" s="28">
        <f>_xll.qlInterestRateIndexValueDate(Index,R123,Trigger)</f>
        <v>52145</v>
      </c>
      <c r="T123" s="28">
        <f>_xll.qlInterestRateIndexMaturity(Index,S123,Trigger)</f>
        <v>52237</v>
      </c>
      <c r="U123" s="30">
        <f>_xll.qlIndexFixing($M$5,R123,TRUE,InterestRatesTrigger)</f>
        <v>1.4601049779240132E-2</v>
      </c>
      <c r="V123" s="74">
        <f>_xll.qlIndexFixing(Index,R123,TRUE,InterestRatesTrigger)</f>
        <v>1.502748528268729E-2</v>
      </c>
      <c r="W123" s="30">
        <f t="shared" si="12"/>
        <v>4.2643550344715828E-4</v>
      </c>
      <c r="X123" s="29">
        <f>_xll.qlDayCounterYearFraction(DayCounter,SettlementDate,S123,,,Trigger)</f>
        <v>27.405555555555555</v>
      </c>
      <c r="Y123" s="29">
        <f>_xll.qlDayCounterYearFraction(DayCounter,S123,T123)</f>
        <v>0.25555555555555554</v>
      </c>
      <c r="Z123" s="29">
        <f>IF($M$13,_xll.qlYieldTSDiscount(Currency&amp;"ON",S123)/(1+V123*Y123),1)</f>
        <v>1</v>
      </c>
      <c r="AA123" s="30">
        <f>_xll.qlTenorBasisValue(TenorBasis3M,S123,InterestRatesTrigger)</f>
        <v>3.3018237706580874E-4</v>
      </c>
      <c r="AB123" s="74">
        <f t="shared" si="13"/>
        <v>1.4931232156305941E-2</v>
      </c>
      <c r="AC123" s="76">
        <f t="shared" si="14"/>
        <v>0.99359486137762254</v>
      </c>
    </row>
    <row r="124" spans="16:29" x14ac:dyDescent="0.2">
      <c r="P124" s="33">
        <v>3</v>
      </c>
      <c r="Q124" s="27" t="str">
        <f>_xll.qlPeriodEquivalent(Q123&amp;"+"&amp;P124&amp;"M")</f>
        <v>27Y3M</v>
      </c>
      <c r="R124" s="28">
        <f>_xll.qlCalendarAdvance(Calendar,SettlementDate,Q124,"f",,Trigger)</f>
        <v>52233</v>
      </c>
      <c r="S124" s="28">
        <f>_xll.qlInterestRateIndexValueDate(Index,R124,Trigger)</f>
        <v>52237</v>
      </c>
      <c r="T124" s="28">
        <f>_xll.qlInterestRateIndexMaturity(Index,S124,Trigger)</f>
        <v>52327</v>
      </c>
      <c r="U124" s="30">
        <f>_xll.qlIndexFixing($M$5,R124,TRUE,InterestRatesTrigger)</f>
        <v>1.4594079436673901E-2</v>
      </c>
      <c r="V124" s="74">
        <f>_xll.qlIndexFixing(Index,R124,TRUE,InterestRatesTrigger)</f>
        <v>1.502058660109995E-2</v>
      </c>
      <c r="W124" s="30">
        <f t="shared" si="12"/>
        <v>4.2650716442604875E-4</v>
      </c>
      <c r="X124" s="29">
        <f>_xll.qlDayCounterYearFraction(DayCounter,SettlementDate,S124,,,Trigger)</f>
        <v>27.661111111111111</v>
      </c>
      <c r="Y124" s="29">
        <f>_xll.qlDayCounterYearFraction(DayCounter,S124,T124)</f>
        <v>0.25</v>
      </c>
      <c r="Z124" s="29">
        <f>IF($M$13,_xll.qlYieldTSDiscount(Currency&amp;"ON",S124)/(1+V124*Y124),1)</f>
        <v>1</v>
      </c>
      <c r="AA124" s="30">
        <f>_xll.qlTenorBasisValue(TenorBasis3M,S124,InterestRatesTrigger)</f>
        <v>3.2493556777130582E-4</v>
      </c>
      <c r="AB124" s="74">
        <f t="shared" si="13"/>
        <v>1.4919015004445207E-2</v>
      </c>
      <c r="AC124" s="76">
        <f t="shared" si="14"/>
        <v>0.99323784088117406</v>
      </c>
    </row>
    <row r="125" spans="16:29" x14ac:dyDescent="0.2">
      <c r="P125" s="33">
        <v>3</v>
      </c>
      <c r="Q125" s="27" t="str">
        <f>_xll.qlPeriodEquivalent(Q124&amp;"+"&amp;P125&amp;"M")</f>
        <v>27Y6M</v>
      </c>
      <c r="R125" s="28">
        <f>_xll.qlCalendarAdvance(Calendar,SettlementDate,Q125,"f",,Trigger)</f>
        <v>52323</v>
      </c>
      <c r="S125" s="28">
        <f>_xll.qlInterestRateIndexValueDate(Index,R125,Trigger)</f>
        <v>52327</v>
      </c>
      <c r="T125" s="28">
        <f>_xll.qlInterestRateIndexMaturity(Index,S125,Trigger)</f>
        <v>52418</v>
      </c>
      <c r="U125" s="30">
        <f>_xll.qlIndexFixing($M$5,R125,TRUE,InterestRatesTrigger)</f>
        <v>1.459476310170379E-2</v>
      </c>
      <c r="V125" s="74">
        <f>_xll.qlIndexFixing(Index,R125,TRUE,InterestRatesTrigger)</f>
        <v>1.5020747820393495E-2</v>
      </c>
      <c r="W125" s="30">
        <f t="shared" si="12"/>
        <v>4.2598471868970575E-4</v>
      </c>
      <c r="X125" s="29">
        <f>_xll.qlDayCounterYearFraction(DayCounter,SettlementDate,S125,,,Trigger)</f>
        <v>27.911111111111111</v>
      </c>
      <c r="Y125" s="29">
        <f>_xll.qlDayCounterYearFraction(DayCounter,S125,T125)</f>
        <v>0.25277777777777777</v>
      </c>
      <c r="Z125" s="29">
        <f>IF($M$13,_xll.qlYieldTSDiscount(Currency&amp;"ON",S125)/(1+V125*Y125),1)</f>
        <v>1</v>
      </c>
      <c r="AA125" s="30">
        <f>_xll.qlTenorBasisValue(TenorBasis3M,S125,InterestRatesTrigger)</f>
        <v>3.1996037880405821E-4</v>
      </c>
      <c r="AB125" s="74">
        <f t="shared" si="13"/>
        <v>1.4914723480507848E-2</v>
      </c>
      <c r="AC125" s="76">
        <f t="shared" si="14"/>
        <v>0.99294147394301502</v>
      </c>
    </row>
    <row r="126" spans="16:29" x14ac:dyDescent="0.2">
      <c r="P126" s="33">
        <v>3</v>
      </c>
      <c r="Q126" s="27" t="str">
        <f>_xll.qlPeriodEquivalent(Q125&amp;"+"&amp;P126&amp;"M")</f>
        <v>27Y9M</v>
      </c>
      <c r="R126" s="28">
        <f>_xll.qlCalendarAdvance(Calendar,SettlementDate,Q126,"f",,Trigger)</f>
        <v>52414</v>
      </c>
      <c r="S126" s="28">
        <f>_xll.qlInterestRateIndexValueDate(Index,R126,Trigger)</f>
        <v>52418</v>
      </c>
      <c r="T126" s="28">
        <f>_xll.qlInterestRateIndexMaturity(Index,S126,Trigger)</f>
        <v>52510</v>
      </c>
      <c r="U126" s="30">
        <f>_xll.qlIndexFixing($M$5,R126,TRUE,InterestRatesTrigger)</f>
        <v>1.4602258073589055E-2</v>
      </c>
      <c r="V126" s="74">
        <f>_xll.qlIndexFixing(Index,R126,TRUE,InterestRatesTrigger)</f>
        <v>1.5027061119072623E-2</v>
      </c>
      <c r="W126" s="30">
        <f t="shared" si="12"/>
        <v>4.2480304548356794E-4</v>
      </c>
      <c r="X126" s="29">
        <f>_xll.qlDayCounterYearFraction(DayCounter,SettlementDate,S126,,,Trigger)</f>
        <v>28.163888888888888</v>
      </c>
      <c r="Y126" s="29">
        <f>_xll.qlDayCounterYearFraction(DayCounter,S126,T126)</f>
        <v>0.25555555555555554</v>
      </c>
      <c r="Z126" s="29">
        <f>IF($M$13,_xll.qlYieldTSDiscount(Currency&amp;"ON",S126)/(1+V126*Y126),1)</f>
        <v>1</v>
      </c>
      <c r="AA126" s="30">
        <f>_xll.qlTenorBasisValue(TenorBasis3M,S126,InterestRatesTrigger)</f>
        <v>3.1508404394251882E-4</v>
      </c>
      <c r="AB126" s="74">
        <f t="shared" si="13"/>
        <v>1.4917342117531573E-2</v>
      </c>
      <c r="AC126" s="76">
        <f t="shared" si="14"/>
        <v>0.99269857221770452</v>
      </c>
    </row>
    <row r="127" spans="16:29" x14ac:dyDescent="0.2">
      <c r="P127" s="33">
        <v>3</v>
      </c>
      <c r="Q127" s="27" t="str">
        <f>_xll.qlPeriodEquivalent(Q126&amp;"+"&amp;P127&amp;"M")</f>
        <v>28Y</v>
      </c>
      <c r="R127" s="28">
        <f>_xll.qlCalendarAdvance(Calendar,SettlementDate,Q127,"f",,Trigger)</f>
        <v>52506</v>
      </c>
      <c r="S127" s="28">
        <f>_xll.qlInterestRateIndexValueDate(Index,R127,Trigger)</f>
        <v>52510</v>
      </c>
      <c r="T127" s="28">
        <f>_xll.qlInterestRateIndexMaturity(Index,S127,Trigger)</f>
        <v>52602</v>
      </c>
      <c r="U127" s="30">
        <f>_xll.qlIndexFixing($M$5,R127,TRUE,InterestRatesTrigger)</f>
        <v>1.461639125568674E-2</v>
      </c>
      <c r="V127" s="74">
        <f>_xll.qlIndexFixing(Index,R127,TRUE,InterestRatesTrigger)</f>
        <v>1.5039326977632774E-2</v>
      </c>
      <c r="W127" s="30">
        <f t="shared" si="12"/>
        <v>4.2293572194603349E-4</v>
      </c>
      <c r="X127" s="29">
        <f>_xll.qlDayCounterYearFraction(DayCounter,SettlementDate,S127,,,Trigger)</f>
        <v>28.419444444444444</v>
      </c>
      <c r="Y127" s="29">
        <f>_xll.qlDayCounterYearFraction(DayCounter,S127,T127)</f>
        <v>0.25555555555555554</v>
      </c>
      <c r="Z127" s="29">
        <f>IF($M$13,_xll.qlYieldTSDiscount(Currency&amp;"ON",S127)/(1+V127*Y127),1)</f>
        <v>1</v>
      </c>
      <c r="AA127" s="30">
        <f>_xll.qlTenorBasisValue(TenorBasis3M,S127,InterestRatesTrigger)</f>
        <v>3.1030736455230903E-4</v>
      </c>
      <c r="AB127" s="74">
        <f t="shared" si="13"/>
        <v>1.492669862023905E-2</v>
      </c>
      <c r="AC127" s="76">
        <f t="shared" si="14"/>
        <v>0.99251107728682075</v>
      </c>
    </row>
    <row r="128" spans="16:29" x14ac:dyDescent="0.2">
      <c r="P128" s="33">
        <v>3</v>
      </c>
      <c r="Q128" s="27" t="str">
        <f>_xll.qlPeriodEquivalent(Q127&amp;"+"&amp;P128&amp;"M")</f>
        <v>28Y3M</v>
      </c>
      <c r="R128" s="28">
        <f>_xll.qlCalendarAdvance(Calendar,SettlementDate,Q128,"f",,Trigger)</f>
        <v>52600</v>
      </c>
      <c r="S128" s="28">
        <f>_xll.qlInterestRateIndexValueDate(Index,R128,Trigger)</f>
        <v>52602</v>
      </c>
      <c r="T128" s="28">
        <f>_xll.qlInterestRateIndexMaturity(Index,S128,Trigger)</f>
        <v>52693</v>
      </c>
      <c r="U128" s="30">
        <f>_xll.qlIndexFixing($M$5,R128,TRUE,InterestRatesTrigger)</f>
        <v>1.4637007388228058E-2</v>
      </c>
      <c r="V128" s="74">
        <f>_xll.qlIndexFixing(Index,R128,TRUE,InterestRatesTrigger)</f>
        <v>1.505741060066278E-2</v>
      </c>
      <c r="W128" s="30">
        <f t="shared" si="12"/>
        <v>4.2040321243472234E-4</v>
      </c>
      <c r="X128" s="29">
        <f>_xll.qlDayCounterYearFraction(DayCounter,SettlementDate,S128,,,Trigger)</f>
        <v>28.675000000000001</v>
      </c>
      <c r="Y128" s="29">
        <f>_xll.qlDayCounterYearFraction(DayCounter,S128,T128)</f>
        <v>0.25277777777777777</v>
      </c>
      <c r="Z128" s="29">
        <f>IF($M$13,_xll.qlYieldTSDiscount(Currency&amp;"ON",S128)/(1+V128*Y128),1)</f>
        <v>1</v>
      </c>
      <c r="AA128" s="30">
        <f>_xll.qlTenorBasisValue(TenorBasis3M,S128,InterestRatesTrigger)</f>
        <v>3.0568049001072786E-4</v>
      </c>
      <c r="AB128" s="74">
        <f t="shared" si="13"/>
        <v>1.4942687878238785E-2</v>
      </c>
      <c r="AC128" s="76">
        <f t="shared" si="14"/>
        <v>0.99238097934189662</v>
      </c>
    </row>
    <row r="129" spans="16:29" x14ac:dyDescent="0.2">
      <c r="P129" s="33">
        <v>3</v>
      </c>
      <c r="Q129" s="27" t="str">
        <f>_xll.qlPeriodEquivalent(Q128&amp;"+"&amp;P129&amp;"M")</f>
        <v>28Y6M</v>
      </c>
      <c r="R129" s="28">
        <f>_xll.qlCalendarAdvance(Calendar,SettlementDate,Q129,"f",,Trigger)</f>
        <v>52691</v>
      </c>
      <c r="S129" s="28">
        <f>_xll.qlInterestRateIndexValueDate(Index,R129,Trigger)</f>
        <v>52693</v>
      </c>
      <c r="T129" s="28">
        <f>_xll.qlInterestRateIndexMaturity(Index,S129,Trigger)</f>
        <v>52784</v>
      </c>
      <c r="U129" s="30">
        <f>_xll.qlIndexFixing($M$5,R129,TRUE,InterestRatesTrigger)</f>
        <v>1.4664600113086436E-2</v>
      </c>
      <c r="V129" s="74">
        <f>_xll.qlIndexFixing(Index,R129,TRUE,InterestRatesTrigger)</f>
        <v>1.5081849891507026E-2</v>
      </c>
      <c r="W129" s="30">
        <f t="shared" si="12"/>
        <v>4.1724977842058988E-4</v>
      </c>
      <c r="X129" s="29">
        <f>_xll.qlDayCounterYearFraction(DayCounter,SettlementDate,S129,,,Trigger)</f>
        <v>28.927777777777777</v>
      </c>
      <c r="Y129" s="29">
        <f>_xll.qlDayCounterYearFraction(DayCounter,S129,T129)</f>
        <v>0.25277777777777777</v>
      </c>
      <c r="Z129" s="29">
        <f>IF($M$13,_xll.qlYieldTSDiscount(Currency&amp;"ON",S129)/(1+V129*Y129),1)</f>
        <v>1</v>
      </c>
      <c r="AA129" s="30">
        <f>_xll.qlTenorBasisValue(TenorBasis3M,S129,InterestRatesTrigger)</f>
        <v>3.0124716221004529E-4</v>
      </c>
      <c r="AB129" s="74">
        <f t="shared" si="13"/>
        <v>1.4965847275296481E-2</v>
      </c>
      <c r="AC129" s="76">
        <f t="shared" si="14"/>
        <v>0.99230846235408632</v>
      </c>
    </row>
    <row r="130" spans="16:29" x14ac:dyDescent="0.2">
      <c r="P130" s="33">
        <v>3</v>
      </c>
      <c r="Q130" s="27" t="str">
        <f>_xll.qlPeriodEquivalent(Q129&amp;"+"&amp;P130&amp;"M")</f>
        <v>28Y9M</v>
      </c>
      <c r="R130" s="28">
        <f>_xll.qlCalendarAdvance(Calendar,SettlementDate,Q130,"f",,Trigger)</f>
        <v>52782</v>
      </c>
      <c r="S130" s="28">
        <f>_xll.qlInterestRateIndexValueDate(Index,R130,Trigger)</f>
        <v>52784</v>
      </c>
      <c r="T130" s="28">
        <f>_xll.qlInterestRateIndexMaturity(Index,S130,Trigger)</f>
        <v>52876</v>
      </c>
      <c r="U130" s="30">
        <f>_xll.qlIndexFixing($M$5,R130,TRUE,InterestRatesTrigger)</f>
        <v>1.4699476166498067E-2</v>
      </c>
      <c r="V130" s="74">
        <f>_xll.qlIndexFixing(Index,R130,TRUE,InterestRatesTrigger)</f>
        <v>1.5112916604060117E-2</v>
      </c>
      <c r="W130" s="30">
        <f t="shared" si="12"/>
        <v>4.1344043756205012E-4</v>
      </c>
      <c r="X130" s="29">
        <f>_xll.qlDayCounterYearFraction(DayCounter,SettlementDate,S130,,,Trigger)</f>
        <v>29.180555555555557</v>
      </c>
      <c r="Y130" s="29">
        <f>_xll.qlDayCounterYearFraction(DayCounter,S130,T130)</f>
        <v>0.25555555555555554</v>
      </c>
      <c r="Z130" s="29">
        <f>IF($M$13,_xll.qlYieldTSDiscount(Currency&amp;"ON",S130)/(1+V130*Y130),1)</f>
        <v>1</v>
      </c>
      <c r="AA130" s="30">
        <f>_xll.qlTenorBasisValue(TenorBasis3M,S130,InterestRatesTrigger)</f>
        <v>2.9695231418333957E-4</v>
      </c>
      <c r="AB130" s="74">
        <f t="shared" si="13"/>
        <v>1.4996428480681407E-2</v>
      </c>
      <c r="AC130" s="76">
        <f t="shared" si="14"/>
        <v>0.99229214807237043</v>
      </c>
    </row>
    <row r="131" spans="16:29" x14ac:dyDescent="0.2">
      <c r="P131" s="33">
        <v>3</v>
      </c>
      <c r="Q131" s="27" t="str">
        <f>_xll.qlPeriodEquivalent(Q130&amp;"+"&amp;P131&amp;"M")</f>
        <v>29Y</v>
      </c>
      <c r="R131" s="28">
        <f>_xll.qlCalendarAdvance(Calendar,SettlementDate,Q131,"f",,Trigger)</f>
        <v>52873</v>
      </c>
      <c r="S131" s="28">
        <f>_xll.qlInterestRateIndexValueDate(Index,R131,Trigger)</f>
        <v>52875</v>
      </c>
      <c r="T131" s="28">
        <f>_xll.qlInterestRateIndexMaturity(Index,S131,Trigger)</f>
        <v>52967</v>
      </c>
      <c r="U131" s="30">
        <f>_xll.qlIndexFixing($M$5,R131,TRUE,InterestRatesTrigger)</f>
        <v>1.4740647674487902E-2</v>
      </c>
      <c r="V131" s="74">
        <f>_xll.qlIndexFixing(Index,R131,TRUE,InterestRatesTrigger)</f>
        <v>1.5149631526157458E-2</v>
      </c>
      <c r="W131" s="30">
        <f t="shared" si="12"/>
        <v>4.0898385166955598E-4</v>
      </c>
      <c r="X131" s="29">
        <f>_xll.qlDayCounterYearFraction(DayCounter,SettlementDate,S131,,,Trigger)</f>
        <v>29.433333333333334</v>
      </c>
      <c r="Y131" s="29">
        <f>_xll.qlDayCounterYearFraction(DayCounter,S131,T131)</f>
        <v>0.25555555555555554</v>
      </c>
      <c r="Z131" s="29">
        <f>IF($M$13,_xll.qlYieldTSDiscount(Currency&amp;"ON",S131)/(1+V131*Y131),1)</f>
        <v>1</v>
      </c>
      <c r="AA131" s="30">
        <f>_xll.qlTenorBasisValue(TenorBasis3M,S131,InterestRatesTrigger)</f>
        <v>2.9279205485133994E-4</v>
      </c>
      <c r="AB131" s="74">
        <f t="shared" si="13"/>
        <v>1.5033439729339243E-2</v>
      </c>
      <c r="AC131" s="76">
        <f t="shared" si="14"/>
        <v>0.99233038792939632</v>
      </c>
    </row>
    <row r="132" spans="16:29" x14ac:dyDescent="0.2">
      <c r="P132" s="33">
        <v>3</v>
      </c>
      <c r="Q132" s="27" t="str">
        <f>_xll.qlPeriodEquivalent(Q131&amp;"+"&amp;P132&amp;"M")</f>
        <v>29Y3M</v>
      </c>
      <c r="R132" s="28">
        <f>_xll.qlCalendarAdvance(Calendar,SettlementDate,Q132,"f",,Trigger)</f>
        <v>52964</v>
      </c>
      <c r="S132" s="28">
        <f>_xll.qlInterestRateIndexValueDate(Index,R132,Trigger)</f>
        <v>52966</v>
      </c>
      <c r="T132" s="28">
        <f>_xll.qlInterestRateIndexMaturity(Index,S132,Trigger)</f>
        <v>53056</v>
      </c>
      <c r="U132" s="30">
        <f>_xll.qlIndexFixing($M$5,R132,TRUE,InterestRatesTrigger)</f>
        <v>1.4787407009525744E-2</v>
      </c>
      <c r="V132" s="74">
        <f>_xll.qlIndexFixing(Index,R132,TRUE,InterestRatesTrigger)</f>
        <v>1.5191311737404511E-2</v>
      </c>
      <c r="W132" s="30">
        <f t="shared" si="12"/>
        <v>4.0390472787876774E-4</v>
      </c>
      <c r="X132" s="29">
        <f>_xll.qlDayCounterYearFraction(DayCounter,SettlementDate,S132,,,Trigger)</f>
        <v>29.68611111111111</v>
      </c>
      <c r="Y132" s="29">
        <f>_xll.qlDayCounterYearFraction(DayCounter,S132,T132)</f>
        <v>0.25</v>
      </c>
      <c r="Z132" s="29">
        <f>IF($M$13,_xll.qlYieldTSDiscount(Currency&amp;"ON",S132)/(1+V132*Y132),1)</f>
        <v>1</v>
      </c>
      <c r="AA132" s="30">
        <f>_xll.qlTenorBasisValue(TenorBasis3M,S132,InterestRatesTrigger)</f>
        <v>2.8876257893099464E-4</v>
      </c>
      <c r="AB132" s="74">
        <f t="shared" si="13"/>
        <v>1.5076169588456739E-2</v>
      </c>
      <c r="AC132" s="76">
        <f t="shared" si="14"/>
        <v>0.99242052622327104</v>
      </c>
    </row>
    <row r="133" spans="16:29" x14ac:dyDescent="0.2">
      <c r="P133" s="33">
        <v>3</v>
      </c>
      <c r="Q133" s="27" t="str">
        <f>_xll.qlPeriodEquivalent(Q132&amp;"+"&amp;P133&amp;"M")</f>
        <v>29Y6M</v>
      </c>
      <c r="R133" s="28">
        <f>_xll.qlCalendarAdvance(Calendar,SettlementDate,Q133,"f",,Trigger)</f>
        <v>53055</v>
      </c>
      <c r="S133" s="28">
        <f>_xll.qlInterestRateIndexValueDate(Index,R133,Trigger)</f>
        <v>53057</v>
      </c>
      <c r="T133" s="28">
        <f>_xll.qlInterestRateIndexMaturity(Index,S133,Trigger)</f>
        <v>53148</v>
      </c>
      <c r="U133" s="30">
        <f>_xll.qlIndexFixing($M$5,R133,TRUE,InterestRatesTrigger)</f>
        <v>1.484267158555856E-2</v>
      </c>
      <c r="V133" s="74">
        <f>_xll.qlIndexFixing(Index,R133,TRUE,InterestRatesTrigger)</f>
        <v>1.5240810215608943E-2</v>
      </c>
      <c r="W133" s="30">
        <f t="shared" si="12"/>
        <v>3.9813863005038266E-4</v>
      </c>
      <c r="X133" s="29">
        <f>_xll.qlDayCounterYearFraction(DayCounter,SettlementDate,S133,,,Trigger)</f>
        <v>29.93888888888889</v>
      </c>
      <c r="Y133" s="29">
        <f>_xll.qlDayCounterYearFraction(DayCounter,S133,T133)</f>
        <v>0.25277777777777777</v>
      </c>
      <c r="Z133" s="29">
        <f>IF($M$13,_xll.qlYieldTSDiscount(Currency&amp;"ON",S133)/(1+V133*Y133),1)</f>
        <v>1</v>
      </c>
      <c r="AA133" s="30">
        <f>_xll.qlTenorBasisValue(TenorBasis3M,S133,InterestRatesTrigger)</f>
        <v>2.8486016646118306E-4</v>
      </c>
      <c r="AB133" s="74">
        <f t="shared" si="13"/>
        <v>1.5127531752019743E-2</v>
      </c>
      <c r="AC133" s="76">
        <f t="shared" si="14"/>
        <v>0.99256742509179829</v>
      </c>
    </row>
    <row r="134" spans="16:29" x14ac:dyDescent="0.2">
      <c r="P134" s="33">
        <v>3</v>
      </c>
      <c r="Q134" s="27" t="str">
        <f>_xll.qlPeriodEquivalent(Q133&amp;"+"&amp;P134&amp;"M")</f>
        <v>29Y9M</v>
      </c>
      <c r="R134" s="28">
        <f>_xll.qlCalendarAdvance(Calendar,SettlementDate,Q134,"f",,Trigger)</f>
        <v>53146</v>
      </c>
      <c r="S134" s="28">
        <f>_xll.qlInterestRateIndexValueDate(Index,R134,Trigger)</f>
        <v>53148</v>
      </c>
      <c r="T134" s="28">
        <f>_xll.qlInterestRateIndexMaturity(Index,S134,Trigger)</f>
        <v>53240</v>
      </c>
      <c r="U134" s="30">
        <f>_xll.qlIndexFixing($M$5,R134,TRUE,InterestRatesTrigger)</f>
        <v>1.4904786355307179E-2</v>
      </c>
      <c r="V134" s="74">
        <f>_xll.qlIndexFixing(Index,R134,TRUE,InterestRatesTrigger)</f>
        <v>1.5296501457375147E-2</v>
      </c>
      <c r="W134" s="30">
        <f t="shared" si="12"/>
        <v>3.9171510206796774E-4</v>
      </c>
      <c r="X134" s="29">
        <f>_xll.qlDayCounterYearFraction(DayCounter,SettlementDate,S134,,,Trigger)</f>
        <v>30.191666666666666</v>
      </c>
      <c r="Y134" s="29">
        <f>_xll.qlDayCounterYearFraction(DayCounter,S134,T134)</f>
        <v>0.25555555555555554</v>
      </c>
      <c r="Z134" s="29">
        <f>IF($M$13,_xll.qlYieldTSDiscount(Currency&amp;"ON",S134)/(1+V134*Y134),1)</f>
        <v>1</v>
      </c>
      <c r="AA134" s="30">
        <f>_xll.qlTenorBasisValue(TenorBasis3M,S134,InterestRatesTrigger)</f>
        <v>2.8108118222226909E-4</v>
      </c>
      <c r="AB134" s="74">
        <f t="shared" si="13"/>
        <v>1.5185867537529448E-2</v>
      </c>
      <c r="AC134" s="76">
        <f t="shared" si="14"/>
        <v>0.992767371012647</v>
      </c>
    </row>
    <row r="135" spans="16:29" x14ac:dyDescent="0.2">
      <c r="P135" s="33">
        <v>3</v>
      </c>
      <c r="Q135" s="27" t="str">
        <f>_xll.qlPeriodEquivalent(Q134&amp;"+"&amp;P135&amp;"M")</f>
        <v>30Y</v>
      </c>
      <c r="R135" s="28">
        <f>_xll.qlCalendarAdvance(Calendar,SettlementDate,Q135,"f",,Trigger)</f>
        <v>53237</v>
      </c>
      <c r="S135" s="28">
        <f>_xll.qlInterestRateIndexValueDate(Index,R135,Trigger)</f>
        <v>53239</v>
      </c>
      <c r="T135" s="28">
        <f>_xll.qlInterestRateIndexMaturity(Index,S135,Trigger)</f>
        <v>53331</v>
      </c>
      <c r="U135" s="30">
        <f>_xll.qlIndexFixing($M$5,R135,TRUE,InterestRatesTrigger)</f>
        <v>1.4970796659636758E-2</v>
      </c>
      <c r="V135" s="74">
        <f>_xll.qlIndexFixing(Index,R135,TRUE,InterestRatesTrigger)</f>
        <v>1.5355589954763195E-2</v>
      </c>
      <c r="W135" s="30">
        <f t="shared" si="12"/>
        <v>3.8479329512643677E-4</v>
      </c>
      <c r="X135" s="29">
        <f>_xll.qlDayCounterYearFraction(DayCounter,SettlementDate,S135,,,Trigger)</f>
        <v>30.444444444444443</v>
      </c>
      <c r="Y135" s="29">
        <f>_xll.qlDayCounterYearFraction(DayCounter,S135,T135)</f>
        <v>0.25555555555555554</v>
      </c>
      <c r="Z135" s="29">
        <f>IF($M$13,_xll.qlYieldTSDiscount(Currency&amp;"ON",S135)/(1+V135*Y135),1)</f>
        <v>1</v>
      </c>
      <c r="AA135" s="30">
        <f>_xll.qlTenorBasisValue(TenorBasis3M,S135,InterestRatesTrigger)</f>
        <v>2.7742207505903E-4</v>
      </c>
      <c r="AB135" s="74">
        <f t="shared" si="13"/>
        <v>1.5248218734695788E-2</v>
      </c>
      <c r="AC135" s="76">
        <f t="shared" si="14"/>
        <v>0.99300767861191153</v>
      </c>
    </row>
    <row r="136" spans="16:29" x14ac:dyDescent="0.2">
      <c r="P136" s="33">
        <v>3</v>
      </c>
      <c r="Q136" s="27" t="str">
        <f>_xll.qlPeriodEquivalent(Q135&amp;"+"&amp;P136&amp;"M")</f>
        <v>30Y3M</v>
      </c>
      <c r="R136" s="28">
        <f>_xll.qlCalendarAdvance(Calendar,SettlementDate,Q136,"f",,Trigger)</f>
        <v>53329</v>
      </c>
      <c r="S136" s="28">
        <f>_xll.qlInterestRateIndexValueDate(Index,R136,Trigger)</f>
        <v>53331</v>
      </c>
      <c r="T136" s="28">
        <f>_xll.qlInterestRateIndexMaturity(Index,S136,Trigger)</f>
        <v>53421</v>
      </c>
      <c r="U136" s="30">
        <f>_xll.qlIndexFixing($M$5,R136,TRUE,InterestRatesTrigger)</f>
        <v>1.5032511572652396E-2</v>
      </c>
      <c r="V136" s="74">
        <f>_xll.qlIndexFixing(Index,R136,TRUE,InterestRatesTrigger)</f>
        <v>1.541032613033444E-2</v>
      </c>
      <c r="W136" s="30">
        <f t="shared" si="12"/>
        <v>3.7781455768204353E-4</v>
      </c>
      <c r="X136" s="29">
        <f>_xll.qlDayCounterYearFraction(DayCounter,SettlementDate,S136,,,Trigger)</f>
        <v>30.7</v>
      </c>
      <c r="Y136" s="29">
        <f>_xll.qlDayCounterYearFraction(DayCounter,S136,T136)</f>
        <v>0.25</v>
      </c>
      <c r="Z136" s="29">
        <f>IF($M$13,_xll.qlYieldTSDiscount(Currency&amp;"ON",S136)/(1+V136*Y136),1)</f>
        <v>1</v>
      </c>
      <c r="AA136" s="30">
        <f>_xll.qlTenorBasisValue(TenorBasis3M,S136,InterestRatesTrigger)</f>
        <v>2.7384108032775116E-4</v>
      </c>
      <c r="AB136" s="74">
        <f t="shared" si="13"/>
        <v>1.5306352652980148E-2</v>
      </c>
      <c r="AC136" s="76">
        <f t="shared" si="14"/>
        <v>0.99325299954881385</v>
      </c>
    </row>
    <row r="137" spans="16:29" x14ac:dyDescent="0.2">
      <c r="P137" s="33">
        <v>3</v>
      </c>
      <c r="Q137" s="27" t="str">
        <f>_xll.qlPeriodEquivalent(Q136&amp;"+"&amp;P137&amp;"M")</f>
        <v>30Y6M</v>
      </c>
      <c r="R137" s="28">
        <f>_xll.qlCalendarAdvance(Calendar,SettlementDate,Q137,"f",,Trigger)</f>
        <v>53419</v>
      </c>
      <c r="S137" s="28">
        <f>_xll.qlInterestRateIndexValueDate(Index,R137,Trigger)</f>
        <v>53421</v>
      </c>
      <c r="T137" s="28">
        <f>_xll.qlInterestRateIndexMaturity(Index,S137,Trigger)</f>
        <v>53512</v>
      </c>
      <c r="U137" s="30">
        <f>_xll.qlIndexFixing($M$5,R137,TRUE,InterestRatesTrigger)</f>
        <v>1.5089268251717101E-2</v>
      </c>
      <c r="V137" s="74">
        <f>_xll.qlIndexFixing(Index,R137,TRUE,InterestRatesTrigger)</f>
        <v>1.5460278956821951E-2</v>
      </c>
      <c r="W137" s="30">
        <f t="shared" si="12"/>
        <v>3.7101070510484925E-4</v>
      </c>
      <c r="X137" s="29">
        <f>_xll.qlDayCounterYearFraction(DayCounter,SettlementDate,S137,,,Trigger)</f>
        <v>30.95</v>
      </c>
      <c r="Y137" s="29">
        <f>_xll.qlDayCounterYearFraction(DayCounter,S137,T137)</f>
        <v>0.25277777777777777</v>
      </c>
      <c r="Z137" s="29">
        <f>IF($M$13,_xll.qlYieldTSDiscount(Currency&amp;"ON",S137)/(1+V137*Y137),1)</f>
        <v>1</v>
      </c>
      <c r="AA137" s="30">
        <f>_xll.qlTenorBasisValue(TenorBasis3M,S137,InterestRatesTrigger)</f>
        <v>2.704497029928475E-4</v>
      </c>
      <c r="AB137" s="74">
        <f t="shared" si="13"/>
        <v>1.5359717954709948E-2</v>
      </c>
      <c r="AC137" s="76">
        <f t="shared" si="14"/>
        <v>0.99349552473193703</v>
      </c>
    </row>
    <row r="138" spans="16:29" x14ac:dyDescent="0.2">
      <c r="P138" s="33">
        <v>3</v>
      </c>
      <c r="Q138" s="27" t="str">
        <f>_xll.qlPeriodEquivalent(Q137&amp;"+"&amp;P138&amp;"M")</f>
        <v>30Y9M</v>
      </c>
      <c r="R138" s="28">
        <f>_xll.qlCalendarAdvance(Calendar,SettlementDate,Q138,"f",,Trigger)</f>
        <v>53510</v>
      </c>
      <c r="S138" s="28">
        <f>_xll.qlInterestRateIndexValueDate(Index,R138,Trigger)</f>
        <v>53512</v>
      </c>
      <c r="T138" s="28">
        <f>_xll.qlInterestRateIndexMaturity(Index,S138,Trigger)</f>
        <v>53604</v>
      </c>
      <c r="U138" s="30">
        <f>_xll.qlIndexFixing($M$5,R138,TRUE,InterestRatesTrigger)</f>
        <v>1.5141038000571544E-2</v>
      </c>
      <c r="V138" s="74">
        <f>_xll.qlIndexFixing(Index,R138,TRUE,InterestRatesTrigger)</f>
        <v>1.5505258686796338E-2</v>
      </c>
      <c r="W138" s="30">
        <f t="shared" si="12"/>
        <v>3.6422068622479417E-4</v>
      </c>
      <c r="X138" s="29">
        <f>_xll.qlDayCounterYearFraction(DayCounter,SettlementDate,S138,,,Trigger)</f>
        <v>31.202777777777779</v>
      </c>
      <c r="Y138" s="29">
        <f>_xll.qlDayCounterYearFraction(DayCounter,S138,T138)</f>
        <v>0.25555555555555554</v>
      </c>
      <c r="Z138" s="29">
        <f>IF($M$13,_xll.qlYieldTSDiscount(Currency&amp;"ON",S138)/(1+V138*Y138),1)</f>
        <v>1</v>
      </c>
      <c r="AA138" s="30">
        <f>_xll.qlTenorBasisValue(TenorBasis3M,S138,InterestRatesTrigger)</f>
        <v>2.6712974882982634E-4</v>
      </c>
      <c r="AB138" s="74">
        <f t="shared" si="13"/>
        <v>1.5408167749401369E-2</v>
      </c>
      <c r="AC138" s="76">
        <f t="shared" si="14"/>
        <v>0.99373819299915023</v>
      </c>
    </row>
    <row r="139" spans="16:29" x14ac:dyDescent="0.2">
      <c r="P139" s="33">
        <v>3</v>
      </c>
      <c r="Q139" s="27" t="str">
        <f>_xll.qlPeriodEquivalent(Q138&amp;"+"&amp;P139&amp;"M")</f>
        <v>31Y</v>
      </c>
      <c r="R139" s="28">
        <f>_xll.qlCalendarAdvance(Calendar,SettlementDate,Q139,"f",,Trigger)</f>
        <v>53602</v>
      </c>
      <c r="S139" s="28">
        <f>_xll.qlInterestRateIndexValueDate(Index,R139,Trigger)</f>
        <v>53604</v>
      </c>
      <c r="T139" s="28">
        <f>_xll.qlInterestRateIndexMaturity(Index,S139,Trigger)</f>
        <v>53696</v>
      </c>
      <c r="U139" s="30">
        <f>_xll.qlIndexFixing($M$5,R139,TRUE,InterestRatesTrigger)</f>
        <v>1.5187085453540462E-2</v>
      </c>
      <c r="V139" s="74">
        <f>_xll.qlIndexFixing(Index,R139,TRUE,InterestRatesTrigger)</f>
        <v>1.5544554061169885E-2</v>
      </c>
      <c r="W139" s="30">
        <f t="shared" si="12"/>
        <v>3.5746860762942388E-4</v>
      </c>
      <c r="X139" s="29">
        <f>_xll.qlDayCounterYearFraction(DayCounter,SettlementDate,S139,,,Trigger)</f>
        <v>31.458333333333332</v>
      </c>
      <c r="Y139" s="29">
        <f>_xll.qlDayCounterYearFraction(DayCounter,S139,T139)</f>
        <v>0.25555555555555554</v>
      </c>
      <c r="Z139" s="29">
        <f>IF($M$13,_xll.qlYieldTSDiscount(Currency&amp;"ON",S139)/(1+V139*Y139),1)</f>
        <v>1</v>
      </c>
      <c r="AA139" s="30">
        <f>_xll.qlTenorBasisValue(TenorBasis3M,S139,InterestRatesTrigger)</f>
        <v>2.6388155840496787E-4</v>
      </c>
      <c r="AB139" s="74">
        <f t="shared" si="13"/>
        <v>1.545096701194543E-2</v>
      </c>
      <c r="AC139" s="76">
        <f t="shared" si="14"/>
        <v>0.99397943171247127</v>
      </c>
    </row>
    <row r="140" spans="16:29" x14ac:dyDescent="0.2">
      <c r="P140" s="33">
        <v>3</v>
      </c>
      <c r="Q140" s="27" t="str">
        <f>_xll.qlPeriodEquivalent(Q139&amp;"+"&amp;P140&amp;"M")</f>
        <v>31Y3M</v>
      </c>
      <c r="R140" s="28">
        <f>_xll.qlCalendarAdvance(Calendar,SettlementDate,Q140,"f",,Trigger)</f>
        <v>53694</v>
      </c>
      <c r="S140" s="28">
        <f>_xll.qlInterestRateIndexValueDate(Index,R140,Trigger)</f>
        <v>53696</v>
      </c>
      <c r="T140" s="28">
        <f>_xll.qlInterestRateIndexMaturity(Index,S140,Trigger)</f>
        <v>53786</v>
      </c>
      <c r="U140" s="30">
        <f>_xll.qlIndexFixing($M$5,R140,TRUE,InterestRatesTrigger)</f>
        <v>1.52263836333697E-2</v>
      </c>
      <c r="V140" s="74">
        <f>_xll.qlIndexFixing(Index,R140,TRUE,InterestRatesTrigger)</f>
        <v>1.5577233149484115E-2</v>
      </c>
      <c r="W140" s="30">
        <f t="shared" si="12"/>
        <v>3.5084951611441539E-4</v>
      </c>
      <c r="X140" s="29">
        <f>_xll.qlDayCounterYearFraction(DayCounter,SettlementDate,S140,,,Trigger)</f>
        <v>31.713888888888889</v>
      </c>
      <c r="Y140" s="29">
        <f>_xll.qlDayCounterYearFraction(DayCounter,S140,T140)</f>
        <v>0.25</v>
      </c>
      <c r="Z140" s="29">
        <f>IF($M$13,_xll.qlYieldTSDiscount(Currency&amp;"ON",S140)/(1+V140*Y140),1)</f>
        <v>1</v>
      </c>
      <c r="AA140" s="30">
        <f>_xll.qlTenorBasisValue(TenorBasis3M,S140,InterestRatesTrigger)</f>
        <v>2.6073897012052173E-4</v>
      </c>
      <c r="AB140" s="74">
        <f t="shared" si="13"/>
        <v>1.5487122603490222E-2</v>
      </c>
      <c r="AC140" s="76">
        <f t="shared" si="14"/>
        <v>0.99421524059316801</v>
      </c>
    </row>
    <row r="141" spans="16:29" x14ac:dyDescent="0.2">
      <c r="P141" s="33">
        <v>3</v>
      </c>
      <c r="Q141" s="27" t="str">
        <f>_xll.qlPeriodEquivalent(Q140&amp;"+"&amp;P141&amp;"M")</f>
        <v>31Y6M</v>
      </c>
      <c r="R141" s="28">
        <f>_xll.qlCalendarAdvance(Calendar,SettlementDate,Q141,"f",,Trigger)</f>
        <v>53784</v>
      </c>
      <c r="S141" s="28">
        <f>_xll.qlInterestRateIndexValueDate(Index,R141,Trigger)</f>
        <v>53786</v>
      </c>
      <c r="T141" s="28">
        <f>_xll.qlInterestRateIndexMaturity(Index,S141,Trigger)</f>
        <v>53877</v>
      </c>
      <c r="U141" s="30">
        <f>_xll.qlIndexFixing($M$5,R141,TRUE,InterestRatesTrigger)</f>
        <v>1.5260871148407837E-2</v>
      </c>
      <c r="V141" s="74">
        <f>_xll.qlIndexFixing(Index,R141,TRUE,InterestRatesTrigger)</f>
        <v>1.5605271742538193E-2</v>
      </c>
      <c r="W141" s="30">
        <f t="shared" si="12"/>
        <v>3.4440059413035594E-4</v>
      </c>
      <c r="X141" s="29">
        <f>_xll.qlDayCounterYearFraction(DayCounter,SettlementDate,S141,,,Trigger)</f>
        <v>31.963888888888889</v>
      </c>
      <c r="Y141" s="29">
        <f>_xll.qlDayCounterYearFraction(DayCounter,S141,T141)</f>
        <v>0.25277777777777777</v>
      </c>
      <c r="Z141" s="29">
        <f>IF($M$13,_xll.qlYieldTSDiscount(Currency&amp;"ON",S141)/(1+V141*Y141),1)</f>
        <v>1</v>
      </c>
      <c r="AA141" s="30">
        <f>_xll.qlTenorBasisValue(TenorBasis3M,S141,InterestRatesTrigger)</f>
        <v>2.5776384060443902E-4</v>
      </c>
      <c r="AB141" s="74">
        <f t="shared" si="13"/>
        <v>1.5518634989012276E-2</v>
      </c>
      <c r="AC141" s="76">
        <f t="shared" si="14"/>
        <v>0.99444823807266658</v>
      </c>
    </row>
    <row r="142" spans="16:29" x14ac:dyDescent="0.2">
      <c r="P142" s="33">
        <v>3</v>
      </c>
      <c r="Q142" s="27" t="str">
        <f>_xll.qlPeriodEquivalent(Q141&amp;"+"&amp;P142&amp;"M")</f>
        <v>31Y9M</v>
      </c>
      <c r="R142" s="28">
        <f>_xll.qlCalendarAdvance(Calendar,SettlementDate,Q142,"f",,Trigger)</f>
        <v>53875</v>
      </c>
      <c r="S142" s="28">
        <f>_xll.qlInterestRateIndexValueDate(Index,R142,Trigger)</f>
        <v>53877</v>
      </c>
      <c r="T142" s="28">
        <f>_xll.qlInterestRateIndexMaturity(Index,S142,Trigger)</f>
        <v>53969</v>
      </c>
      <c r="U142" s="30">
        <f>_xll.qlIndexFixing($M$5,R142,TRUE,InterestRatesTrigger)</f>
        <v>1.5290123003947104E-2</v>
      </c>
      <c r="V142" s="74">
        <f>_xll.qlIndexFixing(Index,R142,TRUE,InterestRatesTrigger)</f>
        <v>1.5628092539907906E-2</v>
      </c>
      <c r="W142" s="30">
        <f t="shared" si="12"/>
        <v>3.3796953596080224E-4</v>
      </c>
      <c r="X142" s="29">
        <f>_xll.qlDayCounterYearFraction(DayCounter,SettlementDate,S142,,,Trigger)</f>
        <v>32.216666666666669</v>
      </c>
      <c r="Y142" s="29">
        <f>_xll.qlDayCounterYearFraction(DayCounter,S142,T142)</f>
        <v>0.25555555555555554</v>
      </c>
      <c r="Z142" s="29">
        <f>IF($M$13,_xll.qlYieldTSDiscount(Currency&amp;"ON",S142)/(1+V142*Y142),1)</f>
        <v>1</v>
      </c>
      <c r="AA142" s="30">
        <f>_xll.qlTenorBasisValue(TenorBasis3M,S142,InterestRatesTrigger)</f>
        <v>2.5485237593789357E-4</v>
      </c>
      <c r="AB142" s="74">
        <f t="shared" si="13"/>
        <v>1.5544975379884998E-2</v>
      </c>
      <c r="AC142" s="76">
        <f t="shared" si="14"/>
        <v>0.99468155439887107</v>
      </c>
    </row>
    <row r="143" spans="16:29" x14ac:dyDescent="0.2">
      <c r="P143" s="33">
        <v>3</v>
      </c>
      <c r="Q143" s="27" t="str">
        <f>_xll.qlPeriodEquivalent(Q142&amp;"+"&amp;P143&amp;"M")</f>
        <v>32Y</v>
      </c>
      <c r="R143" s="28">
        <f>_xll.qlCalendarAdvance(Calendar,SettlementDate,Q143,"f",,Trigger)</f>
        <v>53967</v>
      </c>
      <c r="S143" s="28">
        <f>_xll.qlInterestRateIndexValueDate(Index,R143,Trigger)</f>
        <v>53969</v>
      </c>
      <c r="T143" s="28">
        <f>_xll.qlInterestRateIndexMaturity(Index,S143,Trigger)</f>
        <v>54063</v>
      </c>
      <c r="U143" s="30">
        <f>_xll.qlIndexFixing($M$5,R143,TRUE,InterestRatesTrigger)</f>
        <v>1.5314384708968542E-2</v>
      </c>
      <c r="V143" s="74">
        <f>_xll.qlIndexFixing(Index,R143,TRUE,InterestRatesTrigger)</f>
        <v>1.5645923858539947E-2</v>
      </c>
      <c r="W143" s="30">
        <f t="shared" si="12"/>
        <v>3.3153914957140436E-4</v>
      </c>
      <c r="X143" s="29">
        <f>_xll.qlDayCounterYearFraction(DayCounter,SettlementDate,S143,,,Trigger)</f>
        <v>32.472222222222221</v>
      </c>
      <c r="Y143" s="29">
        <f>_xll.qlDayCounterYearFraction(DayCounter,S143,T143)</f>
        <v>0.26111111111111113</v>
      </c>
      <c r="Z143" s="29">
        <f>IF($M$13,_xll.qlYieldTSDiscount(Currency&amp;"ON",S143)/(1+V143*Y143),1)</f>
        <v>1</v>
      </c>
      <c r="AA143" s="30">
        <f>_xll.qlTenorBasisValue(TenorBasis3M,S143,InterestRatesTrigger)</f>
        <v>2.5200482354932786E-4</v>
      </c>
      <c r="AB143" s="74">
        <f t="shared" si="13"/>
        <v>1.556638953251787E-2</v>
      </c>
      <c r="AC143" s="76">
        <f t="shared" si="14"/>
        <v>0.99491661043852875</v>
      </c>
    </row>
    <row r="144" spans="16:29" x14ac:dyDescent="0.2">
      <c r="P144" s="33">
        <v>3</v>
      </c>
      <c r="Q144" s="27" t="str">
        <f>_xll.qlPeriodEquivalent(Q143&amp;"+"&amp;P144&amp;"M")</f>
        <v>32Y3M</v>
      </c>
      <c r="R144" s="28">
        <f>_xll.qlCalendarAdvance(Calendar,SettlementDate,Q144,"f",,Trigger)</f>
        <v>54059</v>
      </c>
      <c r="S144" s="28">
        <f>_xll.qlInterestRateIndexValueDate(Index,R144,Trigger)</f>
        <v>54063</v>
      </c>
      <c r="T144" s="28">
        <f>_xll.qlInterestRateIndexMaturity(Index,S144,Trigger)</f>
        <v>54155</v>
      </c>
      <c r="U144" s="30">
        <f>_xll.qlIndexFixing($M$5,R144,TRUE,InterestRatesTrigger)</f>
        <v>1.5331532296695777E-2</v>
      </c>
      <c r="V144" s="74">
        <f>_xll.qlIndexFixing(Index,R144,TRUE,InterestRatesTrigger)</f>
        <v>1.5656677138269254E-2</v>
      </c>
      <c r="W144" s="30">
        <f t="shared" si="12"/>
        <v>3.2514484157347701E-4</v>
      </c>
      <c r="X144" s="29">
        <f>_xll.qlDayCounterYearFraction(DayCounter,SettlementDate,S144,,,Trigger)</f>
        <v>32.733333333333334</v>
      </c>
      <c r="Y144" s="29">
        <f>_xll.qlDayCounterYearFraction(DayCounter,S144,T144)</f>
        <v>0.25555555555555554</v>
      </c>
      <c r="Z144" s="29">
        <f>IF($M$13,_xll.qlYieldTSDiscount(Currency&amp;"ON",S144)/(1+V144*Y144),1)</f>
        <v>1</v>
      </c>
      <c r="AA144" s="30">
        <f>_xll.qlTenorBasisValue(TenorBasis3M,S144,InterestRatesTrigger)</f>
        <v>2.4919192873714411E-4</v>
      </c>
      <c r="AB144" s="74">
        <f t="shared" si="13"/>
        <v>1.5580724225432921E-2</v>
      </c>
      <c r="AC144" s="76">
        <f t="shared" si="14"/>
        <v>0.99514884849667862</v>
      </c>
    </row>
    <row r="145" spans="16:29" x14ac:dyDescent="0.2">
      <c r="P145" s="33">
        <v>3</v>
      </c>
      <c r="Q145" s="27" t="str">
        <f>_xll.qlPeriodEquivalent(Q144&amp;"+"&amp;P145&amp;"M")</f>
        <v>32Y6M</v>
      </c>
      <c r="R145" s="28">
        <f>_xll.qlCalendarAdvance(Calendar,SettlementDate,Q145,"f",,Trigger)</f>
        <v>54150</v>
      </c>
      <c r="S145" s="28">
        <f>_xll.qlInterestRateIndexValueDate(Index,R145,Trigger)</f>
        <v>54156</v>
      </c>
      <c r="T145" s="28">
        <f>_xll.qlInterestRateIndexMaturity(Index,S145,Trigger)</f>
        <v>54247</v>
      </c>
      <c r="U145" s="30">
        <f>_xll.qlIndexFixing($M$5,R145,TRUE,InterestRatesTrigger)</f>
        <v>1.534311601839918E-2</v>
      </c>
      <c r="V145" s="74">
        <f>_xll.qlIndexFixing(Index,R145,TRUE,InterestRatesTrigger)</f>
        <v>1.5662008207902294E-2</v>
      </c>
      <c r="W145" s="30">
        <f t="shared" si="12"/>
        <v>3.1889218950311403E-4</v>
      </c>
      <c r="X145" s="29">
        <f>_xll.qlDayCounterYearFraction(DayCounter,SettlementDate,S145,,,Trigger)</f>
        <v>32.991666666666667</v>
      </c>
      <c r="Y145" s="29">
        <f>_xll.qlDayCounterYearFraction(DayCounter,S145,T145)</f>
        <v>0.25277777777777777</v>
      </c>
      <c r="Z145" s="29">
        <f>IF($M$13,_xll.qlYieldTSDiscount(Currency&amp;"ON",S145)/(1+V145*Y145),1)</f>
        <v>1</v>
      </c>
      <c r="AA145" s="30">
        <f>_xll.qlTenorBasisValue(TenorBasis3M,S145,InterestRatesTrigger)</f>
        <v>2.4650204343543158E-4</v>
      </c>
      <c r="AB145" s="74">
        <f t="shared" si="13"/>
        <v>1.5589618061834612E-2</v>
      </c>
      <c r="AC145" s="76">
        <f t="shared" si="14"/>
        <v>0.99537797802767347</v>
      </c>
    </row>
    <row r="146" spans="16:29" x14ac:dyDescent="0.2">
      <c r="P146" s="33">
        <v>3</v>
      </c>
      <c r="Q146" s="27" t="str">
        <f>_xll.qlPeriodEquivalent(Q145&amp;"+"&amp;P146&amp;"M")</f>
        <v>32Y9M</v>
      </c>
      <c r="R146" s="28">
        <f>_xll.qlCalendarAdvance(Calendar,SettlementDate,Q146,"f",,Trigger)</f>
        <v>54241</v>
      </c>
      <c r="S146" s="28">
        <f>_xll.qlInterestRateIndexValueDate(Index,R146,Trigger)</f>
        <v>54245</v>
      </c>
      <c r="T146" s="28">
        <f>_xll.qlInterestRateIndexMaturity(Index,S146,Trigger)</f>
        <v>54337</v>
      </c>
      <c r="U146" s="30">
        <f>_xll.qlIndexFixing($M$5,R146,TRUE,InterestRatesTrigger)</f>
        <v>1.5349462742791486E-2</v>
      </c>
      <c r="V146" s="74">
        <f>_xll.qlIndexFixing(Index,R146,TRUE,InterestRatesTrigger)</f>
        <v>1.5662420129346731E-2</v>
      </c>
      <c r="W146" s="30">
        <f t="shared" si="12"/>
        <v>3.1295738655524527E-4</v>
      </c>
      <c r="X146" s="29">
        <f>_xll.qlDayCounterYearFraction(DayCounter,SettlementDate,S146,,,Trigger)</f>
        <v>33.238888888888887</v>
      </c>
      <c r="Y146" s="29">
        <f>_xll.qlDayCounterYearFraction(DayCounter,S146,T146)</f>
        <v>0.25555555555555554</v>
      </c>
      <c r="Z146" s="29">
        <f>IF($M$13,_xll.qlYieldTSDiscount(Currency&amp;"ON",S146)/(1+V146*Y146),1)</f>
        <v>1</v>
      </c>
      <c r="AA146" s="30">
        <f>_xll.qlTenorBasisValue(TenorBasis3M,S146,InterestRatesTrigger)</f>
        <v>2.4401189474480991E-4</v>
      </c>
      <c r="AB146" s="74">
        <f t="shared" si="13"/>
        <v>1.5593474637536296E-2</v>
      </c>
      <c r="AC146" s="76">
        <f t="shared" si="14"/>
        <v>0.99559803074869302</v>
      </c>
    </row>
    <row r="147" spans="16:29" x14ac:dyDescent="0.2">
      <c r="P147" s="33">
        <v>3</v>
      </c>
      <c r="Q147" s="27" t="str">
        <f>_xll.qlPeriodEquivalent(Q146&amp;"+"&amp;P147&amp;"M")</f>
        <v>33Y</v>
      </c>
      <c r="R147" s="28">
        <f>_xll.qlCalendarAdvance(Calendar,SettlementDate,Q147,"f",,Trigger)</f>
        <v>54333</v>
      </c>
      <c r="S147" s="28">
        <f>_xll.qlInterestRateIndexValueDate(Index,R147,Trigger)</f>
        <v>54337</v>
      </c>
      <c r="T147" s="28">
        <f>_xll.qlInterestRateIndexMaturity(Index,S147,Trigger)</f>
        <v>54429</v>
      </c>
      <c r="U147" s="30">
        <f>_xll.qlIndexFixing($M$5,R147,TRUE,InterestRatesTrigger)</f>
        <v>1.5350024721411648E-2</v>
      </c>
      <c r="V147" s="74">
        <f>_xll.qlIndexFixing(Index,R147,TRUE,InterestRatesTrigger)</f>
        <v>1.5656957520383302E-2</v>
      </c>
      <c r="W147" s="30">
        <f t="shared" si="12"/>
        <v>3.0693279897165381E-4</v>
      </c>
      <c r="X147" s="29">
        <f>_xll.qlDayCounterYearFraction(DayCounter,SettlementDate,S147,,,Trigger)</f>
        <v>33.494444444444447</v>
      </c>
      <c r="Y147" s="29">
        <f>_xll.qlDayCounterYearFraction(DayCounter,S147,T147)</f>
        <v>0.25555555555555554</v>
      </c>
      <c r="Z147" s="29">
        <f>IF($M$13,_xll.qlYieldTSDiscount(Currency&amp;"ON",S147)/(1+V147*Y147),1)</f>
        <v>1</v>
      </c>
      <c r="AA147" s="30">
        <f>_xll.qlTenorBasisValue(TenorBasis3M,S147,InterestRatesTrigger)</f>
        <v>2.4152156750511229E-4</v>
      </c>
      <c r="AB147" s="74">
        <f t="shared" si="13"/>
        <v>1.559154628891676E-2</v>
      </c>
      <c r="AC147" s="76">
        <f t="shared" si="14"/>
        <v>0.99582222590938341</v>
      </c>
    </row>
    <row r="148" spans="16:29" x14ac:dyDescent="0.2">
      <c r="P148" s="33">
        <v>3</v>
      </c>
      <c r="Q148" s="27" t="str">
        <f>_xll.qlPeriodEquivalent(Q147&amp;"+"&amp;P148&amp;"M")</f>
        <v>33Y3M</v>
      </c>
      <c r="R148" s="28">
        <f>_xll.qlCalendarAdvance(Calendar,SettlementDate,Q148,"f",,Trigger)</f>
        <v>54427</v>
      </c>
      <c r="S148" s="28">
        <f>_xll.qlInterestRateIndexValueDate(Index,R148,Trigger)</f>
        <v>54429</v>
      </c>
      <c r="T148" s="28">
        <f>_xll.qlInterestRateIndexMaturity(Index,S148,Trigger)</f>
        <v>54519</v>
      </c>
      <c r="U148" s="30">
        <f>_xll.qlIndexFixing($M$5,R148,TRUE,InterestRatesTrigger)</f>
        <v>1.5344321138534234E-2</v>
      </c>
      <c r="V148" s="74">
        <f>_xll.qlIndexFixing(Index,R148,TRUE,InterestRatesTrigger)</f>
        <v>1.5645358753067384E-2</v>
      </c>
      <c r="W148" s="30">
        <f t="shared" si="12"/>
        <v>3.0103761453315059E-4</v>
      </c>
      <c r="X148" s="29">
        <f>_xll.qlDayCounterYearFraction(DayCounter,SettlementDate,S148,,,Trigger)</f>
        <v>33.75</v>
      </c>
      <c r="Y148" s="29">
        <f>_xll.qlDayCounterYearFraction(DayCounter,S148,T148)</f>
        <v>0.25</v>
      </c>
      <c r="Z148" s="29">
        <f>IF($M$13,_xll.qlYieldTSDiscount(Currency&amp;"ON",S148)/(1+V148*Y148),1)</f>
        <v>1</v>
      </c>
      <c r="AA148" s="30">
        <f>_xll.qlTenorBasisValue(TenorBasis3M,S148,InterestRatesTrigger)</f>
        <v>2.3911378619028567E-4</v>
      </c>
      <c r="AB148" s="74">
        <f t="shared" si="13"/>
        <v>1.5583434924724519E-2</v>
      </c>
      <c r="AC148" s="76">
        <f t="shared" si="14"/>
        <v>0.99604203206073982</v>
      </c>
    </row>
    <row r="149" spans="16:29" x14ac:dyDescent="0.2">
      <c r="P149" s="33">
        <v>3</v>
      </c>
      <c r="Q149" s="27" t="str">
        <f>_xll.qlPeriodEquivalent(Q148&amp;"+"&amp;P149&amp;"M")</f>
        <v>33Y6M</v>
      </c>
      <c r="R149" s="28">
        <f>_xll.qlCalendarAdvance(Calendar,SettlementDate,Q149,"f",,Trigger)</f>
        <v>54515</v>
      </c>
      <c r="S149" s="28">
        <f>_xll.qlInterestRateIndexValueDate(Index,R149,Trigger)</f>
        <v>54519</v>
      </c>
      <c r="T149" s="28">
        <f>_xll.qlInterestRateIndexMaturity(Index,S149,Trigger)</f>
        <v>54610</v>
      </c>
      <c r="U149" s="30">
        <f>_xll.qlIndexFixing($M$5,R149,TRUE,InterestRatesTrigger)</f>
        <v>1.5334070486855167E-2</v>
      </c>
      <c r="V149" s="74">
        <f>_xll.qlIndexFixing(Index,R149,TRUE,InterestRatesTrigger)</f>
        <v>1.56293732097347E-2</v>
      </c>
      <c r="W149" s="30">
        <f t="shared" si="12"/>
        <v>2.9530272287953303E-4</v>
      </c>
      <c r="X149" s="29">
        <f>_xll.qlDayCounterYearFraction(DayCounter,SettlementDate,S149,,,Trigger)</f>
        <v>34</v>
      </c>
      <c r="Y149" s="29">
        <f>_xll.qlDayCounterYearFraction(DayCounter,S149,T149)</f>
        <v>0.25277777777777777</v>
      </c>
      <c r="Z149" s="29">
        <f>IF($M$13,_xll.qlYieldTSDiscount(Currency&amp;"ON",S149)/(1+V149*Y149),1)</f>
        <v>1</v>
      </c>
      <c r="AA149" s="30">
        <f>_xll.qlTenorBasisValue(TenorBasis3M,S149,InterestRatesTrigger)</f>
        <v>2.3683576300981762E-4</v>
      </c>
      <c r="AB149" s="74">
        <f t="shared" si="13"/>
        <v>1.5570906249864985E-2</v>
      </c>
      <c r="AC149" s="76">
        <f t="shared" si="14"/>
        <v>0.99625916157448346</v>
      </c>
    </row>
    <row r="150" spans="16:29" x14ac:dyDescent="0.2">
      <c r="P150" s="33">
        <v>3</v>
      </c>
      <c r="Q150" s="27" t="str">
        <f>_xll.qlPeriodEquivalent(Q149&amp;"+"&amp;P150&amp;"M")</f>
        <v>33Y9M</v>
      </c>
      <c r="R150" s="28">
        <f>_xll.qlCalendarAdvance(Calendar,SettlementDate,Q150,"f",,Trigger)</f>
        <v>54606</v>
      </c>
      <c r="S150" s="28">
        <f>_xll.qlInterestRateIndexValueDate(Index,R150,Trigger)</f>
        <v>54610</v>
      </c>
      <c r="T150" s="28">
        <f>_xll.qlInterestRateIndexMaturity(Index,S150,Trigger)</f>
        <v>54702</v>
      </c>
      <c r="U150" s="30">
        <f>_xll.qlIndexFixing($M$5,R150,TRUE,InterestRatesTrigger)</f>
        <v>1.5318085654612497E-2</v>
      </c>
      <c r="V150" s="74">
        <f>_xll.qlIndexFixing(Index,R150,TRUE,InterestRatesTrigger)</f>
        <v>1.5607679451416188E-2</v>
      </c>
      <c r="W150" s="30">
        <f t="shared" si="12"/>
        <v>2.8959379680369192E-4</v>
      </c>
      <c r="X150" s="29">
        <f>_xll.qlDayCounterYearFraction(DayCounter,SettlementDate,S150,,,Trigger)</f>
        <v>34.25277777777778</v>
      </c>
      <c r="Y150" s="29">
        <f>_xll.qlDayCounterYearFraction(DayCounter,S150,T150)</f>
        <v>0.25555555555555554</v>
      </c>
      <c r="Z150" s="29">
        <f>IF($M$13,_xll.qlYieldTSDiscount(Currency&amp;"ON",S150)/(1+V150*Y150),1)</f>
        <v>1</v>
      </c>
      <c r="AA150" s="30">
        <f>_xll.qlTenorBasisValue(TenorBasis3M,S150,InterestRatesTrigger)</f>
        <v>2.3460787725037668E-4</v>
      </c>
      <c r="AB150" s="74">
        <f t="shared" si="13"/>
        <v>1.5552693531862873E-2</v>
      </c>
      <c r="AC150" s="76">
        <f t="shared" si="14"/>
        <v>0.99647699584525185</v>
      </c>
    </row>
    <row r="151" spans="16:29" x14ac:dyDescent="0.2">
      <c r="P151" s="33">
        <v>3</v>
      </c>
      <c r="Q151" s="27" t="str">
        <f>_xll.qlPeriodEquivalent(Q150&amp;"+"&amp;P151&amp;"M")</f>
        <v>34Y</v>
      </c>
      <c r="R151" s="28">
        <f>_xll.qlCalendarAdvance(Calendar,SettlementDate,Q151,"f",,Trigger)</f>
        <v>54700</v>
      </c>
      <c r="S151" s="28">
        <f>_xll.qlInterestRateIndexValueDate(Index,R151,Trigger)</f>
        <v>54702</v>
      </c>
      <c r="T151" s="28">
        <f>_xll.qlInterestRateIndexMaturity(Index,S151,Trigger)</f>
        <v>54794</v>
      </c>
      <c r="U151" s="30">
        <f>_xll.qlIndexFixing($M$5,R151,TRUE,InterestRatesTrigger)</f>
        <v>1.529599713309455E-2</v>
      </c>
      <c r="V151" s="74">
        <f>_xll.qlIndexFixing(Index,R151,TRUE,InterestRatesTrigger)</f>
        <v>1.5579929236896861E-2</v>
      </c>
      <c r="W151" s="30">
        <f t="shared" si="12"/>
        <v>2.8393210380231113E-4</v>
      </c>
      <c r="X151" s="29">
        <f>_xll.qlDayCounterYearFraction(DayCounter,SettlementDate,S151,,,Trigger)</f>
        <v>34.508333333333333</v>
      </c>
      <c r="Y151" s="29">
        <f>_xll.qlDayCounterYearFraction(DayCounter,S151,T151)</f>
        <v>0.25555555555555554</v>
      </c>
      <c r="Z151" s="29">
        <f>IF($M$13,_xll.qlYieldTSDiscount(Currency&amp;"ON",S151)/(1+V151*Y151),1)</f>
        <v>1</v>
      </c>
      <c r="AA151" s="30">
        <f>_xll.qlTenorBasisValue(TenorBasis3M,S151,InterestRatesTrigger)</f>
        <v>2.3243024757049885E-4</v>
      </c>
      <c r="AB151" s="74">
        <f t="shared" si="13"/>
        <v>1.5528427380665049E-2</v>
      </c>
      <c r="AC151" s="76">
        <f t="shared" si="14"/>
        <v>0.99669434594671691</v>
      </c>
    </row>
    <row r="152" spans="16:29" x14ac:dyDescent="0.2">
      <c r="P152" s="33">
        <v>3</v>
      </c>
      <c r="Q152" s="27" t="str">
        <f>_xll.qlPeriodEquivalent(Q151&amp;"+"&amp;P152&amp;"M")</f>
        <v>34Y3M</v>
      </c>
      <c r="R152" s="28">
        <f>_xll.qlCalendarAdvance(Calendar,SettlementDate,Q152,"f",,Trigger)</f>
        <v>54791</v>
      </c>
      <c r="S152" s="28">
        <f>_xll.qlInterestRateIndexValueDate(Index,R152,Trigger)</f>
        <v>54793</v>
      </c>
      <c r="T152" s="28">
        <f>_xll.qlInterestRateIndexMaturity(Index,S152,Trigger)</f>
        <v>54883</v>
      </c>
      <c r="U152" s="30">
        <f>_xll.qlIndexFixing($M$5,R152,TRUE,InterestRatesTrigger)</f>
        <v>1.5268228102655712E-2</v>
      </c>
      <c r="V152" s="74">
        <f>_xll.qlIndexFixing(Index,R152,TRUE,InterestRatesTrigger)</f>
        <v>1.5546686204071847E-2</v>
      </c>
      <c r="W152" s="30">
        <f t="shared" si="12"/>
        <v>2.784581014161347E-4</v>
      </c>
      <c r="X152" s="29">
        <f>_xll.qlDayCounterYearFraction(DayCounter,SettlementDate,S152,,,Trigger)</f>
        <v>34.761111111111113</v>
      </c>
      <c r="Y152" s="29">
        <f>_xll.qlDayCounterYearFraction(DayCounter,S152,T152)</f>
        <v>0.25</v>
      </c>
      <c r="Z152" s="29">
        <f>IF($M$13,_xll.qlYieldTSDiscount(Currency&amp;"ON",S152)/(1+V152*Y152),1)</f>
        <v>1</v>
      </c>
      <c r="AA152" s="30">
        <f>_xll.qlTenorBasisValue(TenorBasis3M,S152,InterestRatesTrigger)</f>
        <v>2.3034791363871091E-4</v>
      </c>
      <c r="AB152" s="74">
        <f t="shared" si="13"/>
        <v>1.5498576016294422E-2</v>
      </c>
      <c r="AC152" s="76">
        <f t="shared" si="14"/>
        <v>0.99690543777973573</v>
      </c>
    </row>
    <row r="153" spans="16:29" x14ac:dyDescent="0.2">
      <c r="P153" s="33">
        <v>3</v>
      </c>
      <c r="Q153" s="27" t="str">
        <f>_xll.qlPeriodEquivalent(Q152&amp;"+"&amp;P153&amp;"M")</f>
        <v>34Y6M</v>
      </c>
      <c r="R153" s="28">
        <f>_xll.qlCalendarAdvance(Calendar,SettlementDate,Q153,"f",,Trigger)</f>
        <v>54882</v>
      </c>
      <c r="S153" s="28">
        <f>_xll.qlInterestRateIndexValueDate(Index,R153,Trigger)</f>
        <v>54884</v>
      </c>
      <c r="T153" s="28">
        <f>_xll.qlInterestRateIndexMaturity(Index,S153,Trigger)</f>
        <v>54975</v>
      </c>
      <c r="U153" s="30">
        <f>_xll.qlIndexFixing($M$5,R153,TRUE,InterestRatesTrigger)</f>
        <v>1.5235362368435125E-2</v>
      </c>
      <c r="V153" s="74">
        <f>_xll.qlIndexFixing(Index,R153,TRUE,InterestRatesTrigger)</f>
        <v>1.5508381638681658E-2</v>
      </c>
      <c r="W153" s="30">
        <f t="shared" ref="W153:W216" si="15">V153-U153</f>
        <v>2.7301927024653283E-4</v>
      </c>
      <c r="X153" s="29">
        <f>_xll.qlDayCounterYearFraction(DayCounter,SettlementDate,S153,,,Trigger)</f>
        <v>35.013888888888886</v>
      </c>
      <c r="Y153" s="29">
        <f>_xll.qlDayCounterYearFraction(DayCounter,S153,T153)</f>
        <v>0.25277777777777777</v>
      </c>
      <c r="Z153" s="29">
        <f>IF($M$13,_xll.qlYieldTSDiscount(Currency&amp;"ON",S153)/(1+V153*Y153),1)</f>
        <v>1</v>
      </c>
      <c r="AA153" s="30">
        <f>_xll.qlTenorBasisValue(TenorBasis3M,S153,InterestRatesTrigger)</f>
        <v>2.2833459014368515E-4</v>
      </c>
      <c r="AB153" s="74">
        <f t="shared" ref="AB153:AB216" si="16">AA153+U153</f>
        <v>1.5463696958578811E-2</v>
      </c>
      <c r="AC153" s="76">
        <f t="shared" ref="AC153:AC216" si="17">AB153/V153</f>
        <v>0.9971186754914908</v>
      </c>
    </row>
    <row r="154" spans="16:29" x14ac:dyDescent="0.2">
      <c r="P154" s="33">
        <v>3</v>
      </c>
      <c r="Q154" s="27" t="str">
        <f>_xll.qlPeriodEquivalent(Q153&amp;"+"&amp;P154&amp;"M")</f>
        <v>34Y9M</v>
      </c>
      <c r="R154" s="28">
        <f>_xll.qlCalendarAdvance(Calendar,SettlementDate,Q154,"f",,Trigger)</f>
        <v>54973</v>
      </c>
      <c r="S154" s="28">
        <f>_xll.qlInterestRateIndexValueDate(Index,R154,Trigger)</f>
        <v>54975</v>
      </c>
      <c r="T154" s="28">
        <f>_xll.qlInterestRateIndexMaturity(Index,S154,Trigger)</f>
        <v>55067</v>
      </c>
      <c r="U154" s="30">
        <f>_xll.qlIndexFixing($M$5,R154,TRUE,InterestRatesTrigger)</f>
        <v>1.5196846936946399E-2</v>
      </c>
      <c r="V154" s="74">
        <f>_xll.qlIndexFixing(Index,R154,TRUE,InterestRatesTrigger)</f>
        <v>1.5464517435147493E-2</v>
      </c>
      <c r="W154" s="30">
        <f t="shared" si="15"/>
        <v>2.6767049820109433E-4</v>
      </c>
      <c r="X154" s="29">
        <f>_xll.qlDayCounterYearFraction(DayCounter,SettlementDate,S154,,,Trigger)</f>
        <v>35.266666666666666</v>
      </c>
      <c r="Y154" s="29">
        <f>_xll.qlDayCounterYearFraction(DayCounter,S154,T154)</f>
        <v>0.25555555555555554</v>
      </c>
      <c r="Z154" s="29">
        <f>IF($M$13,_xll.qlYieldTSDiscount(Currency&amp;"ON",S154)/(1+V154*Y154),1)</f>
        <v>1</v>
      </c>
      <c r="AA154" s="30">
        <f>_xll.qlTenorBasisValue(TenorBasis3M,S154,InterestRatesTrigger)</f>
        <v>2.2638812311605476E-4</v>
      </c>
      <c r="AB154" s="74">
        <f t="shared" si="16"/>
        <v>1.5423235060062454E-2</v>
      </c>
      <c r="AC154" s="76">
        <f t="shared" si="17"/>
        <v>0.99733050997173611</v>
      </c>
    </row>
    <row r="155" spans="16:29" x14ac:dyDescent="0.2">
      <c r="P155" s="33">
        <v>3</v>
      </c>
      <c r="Q155" s="27" t="str">
        <f>_xll.qlPeriodEquivalent(Q154&amp;"+"&amp;P155&amp;"M")</f>
        <v>35Y</v>
      </c>
      <c r="R155" s="28">
        <f>_xll.qlCalendarAdvance(Calendar,SettlementDate,Q155,"f",,Trigger)</f>
        <v>55064</v>
      </c>
      <c r="S155" s="28">
        <f>_xll.qlInterestRateIndexValueDate(Index,R155,Trigger)</f>
        <v>55066</v>
      </c>
      <c r="T155" s="28">
        <f>_xll.qlInterestRateIndexMaturity(Index,S155,Trigger)</f>
        <v>55158</v>
      </c>
      <c r="U155" s="30">
        <f>_xll.qlIndexFixing($M$5,R155,TRUE,InterestRatesTrigger)</f>
        <v>1.5152626395233671E-2</v>
      </c>
      <c r="V155" s="74">
        <f>_xll.qlIndexFixing(Index,R155,TRUE,InterestRatesTrigger)</f>
        <v>1.5415055552217199E-2</v>
      </c>
      <c r="W155" s="30">
        <f t="shared" si="15"/>
        <v>2.6242915698352839E-4</v>
      </c>
      <c r="X155" s="29">
        <f>_xll.qlDayCounterYearFraction(DayCounter,SettlementDate,S155,,,Trigger)</f>
        <v>35.519444444444446</v>
      </c>
      <c r="Y155" s="29">
        <f>_xll.qlDayCounterYearFraction(DayCounter,S155,T155)</f>
        <v>0.25555555555555554</v>
      </c>
      <c r="Z155" s="29">
        <f>IF($M$13,_xll.qlYieldTSDiscount(Currency&amp;"ON",S155)/(1+V155*Y155),1)</f>
        <v>1</v>
      </c>
      <c r="AA155" s="30">
        <f>_xll.qlTenorBasisValue(TenorBasis3M,S155,InterestRatesTrigger)</f>
        <v>2.2450641902067397E-4</v>
      </c>
      <c r="AB155" s="74">
        <f t="shared" si="16"/>
        <v>1.5377132814254344E-2</v>
      </c>
      <c r="AC155" s="76">
        <f t="shared" si="17"/>
        <v>0.9975398896335862</v>
      </c>
    </row>
    <row r="156" spans="16:29" x14ac:dyDescent="0.2">
      <c r="P156" s="33">
        <v>3</v>
      </c>
      <c r="Q156" s="27" t="str">
        <f>_xll.qlPeriodEquivalent(Q155&amp;"+"&amp;P156&amp;"M")</f>
        <v>35Y3M</v>
      </c>
      <c r="R156" s="28">
        <f>_xll.qlCalendarAdvance(Calendar,SettlementDate,Q156,"f",,Trigger)</f>
        <v>55155</v>
      </c>
      <c r="S156" s="28">
        <f>_xll.qlInterestRateIndexValueDate(Index,R156,Trigger)</f>
        <v>55157</v>
      </c>
      <c r="T156" s="28">
        <f>_xll.qlInterestRateIndexMaturity(Index,S156,Trigger)</f>
        <v>55247</v>
      </c>
      <c r="U156" s="30">
        <f>_xll.qlIndexFixing($M$5,R156,TRUE,InterestRatesTrigger)</f>
        <v>1.510277598543297E-2</v>
      </c>
      <c r="V156" s="74">
        <f>_xll.qlIndexFixing(Index,R156,TRUE,InterestRatesTrigger)</f>
        <v>1.5360087658552679E-2</v>
      </c>
      <c r="W156" s="30">
        <f t="shared" si="15"/>
        <v>2.5731167311970893E-4</v>
      </c>
      <c r="X156" s="29">
        <f>_xll.qlDayCounterYearFraction(DayCounter,SettlementDate,S156,,,Trigger)</f>
        <v>35.772222222222226</v>
      </c>
      <c r="Y156" s="29">
        <f>_xll.qlDayCounterYearFraction(DayCounter,S156,T156)</f>
        <v>0.25</v>
      </c>
      <c r="Z156" s="29">
        <f>IF($M$13,_xll.qlYieldTSDiscount(Currency&amp;"ON",S156)/(1+V156*Y156),1)</f>
        <v>1</v>
      </c>
      <c r="AA156" s="30">
        <f>_xll.qlTenorBasisValue(TenorBasis3M,S156,InterestRatesTrigger)</f>
        <v>2.2268744342944508E-4</v>
      </c>
      <c r="AB156" s="74">
        <f t="shared" si="16"/>
        <v>1.5325463428862415E-2</v>
      </c>
      <c r="AC156" s="76">
        <f t="shared" si="17"/>
        <v>0.99774583124393923</v>
      </c>
    </row>
    <row r="157" spans="16:29" x14ac:dyDescent="0.2">
      <c r="P157" s="33">
        <v>3</v>
      </c>
      <c r="Q157" s="27" t="str">
        <f>_xll.qlPeriodEquivalent(Q156&amp;"+"&amp;P157&amp;"M")</f>
        <v>35Y6M</v>
      </c>
      <c r="R157" s="28">
        <f>_xll.qlCalendarAdvance(Calendar,SettlementDate,Q157,"f",,Trigger)</f>
        <v>55247</v>
      </c>
      <c r="S157" s="28">
        <f>_xll.qlInterestRateIndexValueDate(Index,R157,Trigger)</f>
        <v>55249</v>
      </c>
      <c r="T157" s="28">
        <f>_xll.qlInterestRateIndexMaturity(Index,S157,Trigger)</f>
        <v>55340</v>
      </c>
      <c r="U157" s="30">
        <f>_xll.qlIndexFixing($M$5,R157,TRUE,InterestRatesTrigger)</f>
        <v>1.5046802008266148E-2</v>
      </c>
      <c r="V157" s="74">
        <f>_xll.qlIndexFixing(Index,R157,TRUE,InterestRatesTrigger)</f>
        <v>1.5298979132018735E-2</v>
      </c>
      <c r="W157" s="30">
        <f t="shared" si="15"/>
        <v>2.521771237525873E-4</v>
      </c>
      <c r="X157" s="29">
        <f>_xll.qlDayCounterYearFraction(DayCounter,SettlementDate,S157,,,Trigger)</f>
        <v>36.027777777777779</v>
      </c>
      <c r="Y157" s="29">
        <f>_xll.qlDayCounterYearFraction(DayCounter,S157,T157)</f>
        <v>0.25277777777777777</v>
      </c>
      <c r="Z157" s="29">
        <f>IF($M$13,_xll.qlYieldTSDiscount(Currency&amp;"ON",S157)/(1+V157*Y157),1)</f>
        <v>1</v>
      </c>
      <c r="AA157" s="30">
        <f>_xll.qlTenorBasisValue(TenorBasis3M,S157,InterestRatesTrigger)</f>
        <v>2.2091022882958128E-4</v>
      </c>
      <c r="AB157" s="74">
        <f t="shared" si="16"/>
        <v>1.5267712237095729E-2</v>
      </c>
      <c r="AC157" s="76">
        <f t="shared" si="17"/>
        <v>0.99795627573230894</v>
      </c>
    </row>
    <row r="158" spans="16:29" x14ac:dyDescent="0.2">
      <c r="P158" s="33">
        <v>3</v>
      </c>
      <c r="Q158" s="27" t="str">
        <f>_xll.qlPeriodEquivalent(Q157&amp;"+"&amp;P158&amp;"M")</f>
        <v>35Y9M</v>
      </c>
      <c r="R158" s="28">
        <f>_xll.qlCalendarAdvance(Calendar,SettlementDate,Q158,"f",,Trigger)</f>
        <v>55337</v>
      </c>
      <c r="S158" s="28">
        <f>_xll.qlInterestRateIndexValueDate(Index,R158,Trigger)</f>
        <v>55339</v>
      </c>
      <c r="T158" s="28">
        <f>_xll.qlInterestRateIndexMaturity(Index,S158,Trigger)</f>
        <v>55431</v>
      </c>
      <c r="U158" s="30">
        <f>_xll.qlIndexFixing($M$5,R158,TRUE,InterestRatesTrigger)</f>
        <v>1.4986455981862629E-2</v>
      </c>
      <c r="V158" s="74">
        <f>_xll.qlIndexFixing(Index,R158,TRUE,InterestRatesTrigger)</f>
        <v>1.5233698962588778E-2</v>
      </c>
      <c r="W158" s="30">
        <f t="shared" si="15"/>
        <v>2.4724298072614954E-4</v>
      </c>
      <c r="X158" s="29">
        <f>_xll.qlDayCounterYearFraction(DayCounter,SettlementDate,S158,,,Trigger)</f>
        <v>36.277777777777779</v>
      </c>
      <c r="Y158" s="29">
        <f>_xll.qlDayCounterYearFraction(DayCounter,S158,T158)</f>
        <v>0.25555555555555554</v>
      </c>
      <c r="Z158" s="29">
        <f>IF($M$13,_xll.qlYieldTSDiscount(Currency&amp;"ON",S158)/(1+V158*Y158),1)</f>
        <v>1</v>
      </c>
      <c r="AA158" s="30">
        <f>_xll.qlTenorBasisValue(TenorBasis3M,S158,InterestRatesTrigger)</f>
        <v>2.1922982766940953E-4</v>
      </c>
      <c r="AB158" s="74">
        <f t="shared" si="16"/>
        <v>1.5205685809532039E-2</v>
      </c>
      <c r="AC158" s="76">
        <f t="shared" si="17"/>
        <v>0.99816110629955768</v>
      </c>
    </row>
    <row r="159" spans="16:29" x14ac:dyDescent="0.2">
      <c r="P159" s="33">
        <v>3</v>
      </c>
      <c r="Q159" s="27" t="str">
        <f>_xll.qlPeriodEquivalent(Q158&amp;"+"&amp;P159&amp;"M")</f>
        <v>36Y</v>
      </c>
      <c r="R159" s="28">
        <f>_xll.qlCalendarAdvance(Calendar,SettlementDate,Q159,"f",,Trigger)</f>
        <v>55428</v>
      </c>
      <c r="S159" s="28">
        <f>_xll.qlInterestRateIndexValueDate(Index,R159,Trigger)</f>
        <v>55430</v>
      </c>
      <c r="T159" s="28">
        <f>_xll.qlInterestRateIndexMaturity(Index,S159,Trigger)</f>
        <v>55522</v>
      </c>
      <c r="U159" s="30">
        <f>_xll.qlIndexFixing($M$5,R159,TRUE,InterestRatesTrigger)</f>
        <v>1.4919897035548163E-2</v>
      </c>
      <c r="V159" s="74">
        <f>_xll.qlIndexFixing(Index,R159,TRUE,InterestRatesTrigger)</f>
        <v>1.5162257298128857E-2</v>
      </c>
      <c r="W159" s="30">
        <f t="shared" si="15"/>
        <v>2.4236026258069379E-4</v>
      </c>
      <c r="X159" s="29">
        <f>_xll.qlDayCounterYearFraction(DayCounter,SettlementDate,S159,,,Trigger)</f>
        <v>36.530555555555559</v>
      </c>
      <c r="Y159" s="29">
        <f>_xll.qlDayCounterYearFraction(DayCounter,S159,T159)</f>
        <v>0.25555555555555554</v>
      </c>
      <c r="Z159" s="29">
        <f>IF($M$13,_xll.qlYieldTSDiscount(Currency&amp;"ON",S159)/(1+V159*Y159),1)</f>
        <v>1</v>
      </c>
      <c r="AA159" s="30">
        <f>_xll.qlTenorBasisValue(TenorBasis3M,S159,InterestRatesTrigger)</f>
        <v>2.1758740234195068E-4</v>
      </c>
      <c r="AB159" s="74">
        <f t="shared" si="16"/>
        <v>1.5137484437890114E-2</v>
      </c>
      <c r="AC159" s="76">
        <f t="shared" si="17"/>
        <v>0.99836614959424286</v>
      </c>
    </row>
    <row r="160" spans="16:29" x14ac:dyDescent="0.2">
      <c r="P160" s="33">
        <v>3</v>
      </c>
      <c r="Q160" s="27" t="str">
        <f>_xll.qlPeriodEquivalent(Q159&amp;"+"&amp;P160&amp;"M")</f>
        <v>36Y3M</v>
      </c>
      <c r="R160" s="28">
        <f>_xll.qlCalendarAdvance(Calendar,SettlementDate,Q160,"f",,Trigger)</f>
        <v>55520</v>
      </c>
      <c r="S160" s="28">
        <f>_xll.qlInterestRateIndexValueDate(Index,R160,Trigger)</f>
        <v>55522</v>
      </c>
      <c r="T160" s="28">
        <f>_xll.qlInterestRateIndexMaturity(Index,S160,Trigger)</f>
        <v>55613</v>
      </c>
      <c r="U160" s="30">
        <f>_xll.qlIndexFixing($M$5,R160,TRUE,InterestRatesTrigger)</f>
        <v>1.4847041685992173E-2</v>
      </c>
      <c r="V160" s="74">
        <f>_xll.qlIndexFixing(Index,R160,TRUE,InterestRatesTrigger)</f>
        <v>1.5084572901841163E-2</v>
      </c>
      <c r="W160" s="30">
        <f t="shared" si="15"/>
        <v>2.3753121584899062E-4</v>
      </c>
      <c r="X160" s="29">
        <f>_xll.qlDayCounterYearFraction(DayCounter,SettlementDate,S160,,,Trigger)</f>
        <v>36.786111111111111</v>
      </c>
      <c r="Y160" s="29">
        <f>_xll.qlDayCounterYearFraction(DayCounter,S160,T160)</f>
        <v>0.25277777777777777</v>
      </c>
      <c r="Z160" s="29">
        <f>IF($M$13,_xll.qlYieldTSDiscount(Currency&amp;"ON",S160)/(1+V160*Y160),1)</f>
        <v>1</v>
      </c>
      <c r="AA160" s="30">
        <f>_xll.qlTenorBasisValue(TenorBasis3M,S160,InterestRatesTrigger)</f>
        <v>2.1598298987255836E-4</v>
      </c>
      <c r="AB160" s="74">
        <f t="shared" si="16"/>
        <v>1.5063024675864732E-2</v>
      </c>
      <c r="AC160" s="76">
        <f t="shared" si="17"/>
        <v>0.99857150572862419</v>
      </c>
    </row>
    <row r="161" spans="16:29" x14ac:dyDescent="0.2">
      <c r="P161" s="33">
        <v>3</v>
      </c>
      <c r="Q161" s="27" t="str">
        <f>_xll.qlPeriodEquivalent(Q160&amp;"+"&amp;P161&amp;"M")</f>
        <v>36Y6M</v>
      </c>
      <c r="R161" s="28">
        <f>_xll.qlCalendarAdvance(Calendar,SettlementDate,Q161,"f",,Trigger)</f>
        <v>55611</v>
      </c>
      <c r="S161" s="28">
        <f>_xll.qlInterestRateIndexValueDate(Index,R161,Trigger)</f>
        <v>55613</v>
      </c>
      <c r="T161" s="28">
        <f>_xll.qlInterestRateIndexMaturity(Index,S161,Trigger)</f>
        <v>55704</v>
      </c>
      <c r="U161" s="30">
        <f>_xll.qlIndexFixing($M$5,R161,TRUE,InterestRatesTrigger)</f>
        <v>1.4769287659361309E-2</v>
      </c>
      <c r="V161" s="74">
        <f>_xll.qlIndexFixing(Index,R161,TRUE,InterestRatesTrigger)</f>
        <v>1.5002116306868537E-2</v>
      </c>
      <c r="W161" s="30">
        <f t="shared" si="15"/>
        <v>2.3282864750722755E-4</v>
      </c>
      <c r="X161" s="29">
        <f>_xll.qlDayCounterYearFraction(DayCounter,SettlementDate,S161,,,Trigger)</f>
        <v>37.038888888888891</v>
      </c>
      <c r="Y161" s="29">
        <f>_xll.qlDayCounterYearFraction(DayCounter,S161,T161)</f>
        <v>0.25277777777777777</v>
      </c>
      <c r="Z161" s="29">
        <f>IF($M$13,_xll.qlYieldTSDiscount(Currency&amp;"ON",S161)/(1+V161*Y161),1)</f>
        <v>1</v>
      </c>
      <c r="AA161" s="30">
        <f>_xll.qlTenorBasisValue(TenorBasis3M,S161,InterestRatesTrigger)</f>
        <v>2.1444969443854797E-4</v>
      </c>
      <c r="AB161" s="74">
        <f t="shared" si="16"/>
        <v>1.4983737353799858E-2</v>
      </c>
      <c r="AC161" s="76">
        <f t="shared" si="17"/>
        <v>0.99877490930661128</v>
      </c>
    </row>
    <row r="162" spans="16:29" x14ac:dyDescent="0.2">
      <c r="P162" s="33">
        <v>3</v>
      </c>
      <c r="Q162" s="27" t="str">
        <f>_xll.qlPeriodEquivalent(Q161&amp;"+"&amp;P162&amp;"M")</f>
        <v>36Y9M</v>
      </c>
      <c r="R162" s="28">
        <f>_xll.qlCalendarAdvance(Calendar,SettlementDate,Q162,"f",,Trigger)</f>
        <v>55702</v>
      </c>
      <c r="S162" s="28">
        <f>_xll.qlInterestRateIndexValueDate(Index,R162,Trigger)</f>
        <v>55704</v>
      </c>
      <c r="T162" s="28">
        <f>_xll.qlInterestRateIndexMaturity(Index,S162,Trigger)</f>
        <v>55796</v>
      </c>
      <c r="U162" s="30">
        <f>_xll.qlIndexFixing($M$5,R162,TRUE,InterestRatesTrigger)</f>
        <v>1.4685771239412703E-2</v>
      </c>
      <c r="V162" s="74">
        <f>_xll.qlIndexFixing(Index,R162,TRUE,InterestRatesTrigger)</f>
        <v>1.4913971392034032E-2</v>
      </c>
      <c r="W162" s="30">
        <f t="shared" si="15"/>
        <v>2.2820015262132835E-4</v>
      </c>
      <c r="X162" s="29">
        <f>_xll.qlDayCounterYearFraction(DayCounter,SettlementDate,S162,,,Trigger)</f>
        <v>37.291666666666664</v>
      </c>
      <c r="Y162" s="29">
        <f>_xll.qlDayCounterYearFraction(DayCounter,S162,T162)</f>
        <v>0.25555555555555554</v>
      </c>
      <c r="Z162" s="29">
        <f>IF($M$13,_xll.qlYieldTSDiscount(Currency&amp;"ON",S162)/(1+V162*Y162),1)</f>
        <v>1</v>
      </c>
      <c r="AA162" s="30">
        <f>_xll.qlTenorBasisValue(TenorBasis3M,S162,InterestRatesTrigger)</f>
        <v>2.1296807045847641E-4</v>
      </c>
      <c r="AB162" s="74">
        <f t="shared" si="16"/>
        <v>1.489873930987118E-2</v>
      </c>
      <c r="AC162" s="76">
        <f t="shared" si="17"/>
        <v>0.99897867028422838</v>
      </c>
    </row>
    <row r="163" spans="16:29" x14ac:dyDescent="0.2">
      <c r="P163" s="33">
        <v>3</v>
      </c>
      <c r="Q163" s="27" t="str">
        <f>_xll.qlPeriodEquivalent(Q162&amp;"+"&amp;P163&amp;"M")</f>
        <v>37Y</v>
      </c>
      <c r="R163" s="28">
        <f>_xll.qlCalendarAdvance(Calendar,SettlementDate,Q163,"f",,Trigger)</f>
        <v>55794</v>
      </c>
      <c r="S163" s="28">
        <f>_xll.qlInterestRateIndexValueDate(Index,R163,Trigger)</f>
        <v>55796</v>
      </c>
      <c r="T163" s="28">
        <f>_xll.qlInterestRateIndexMaturity(Index,S163,Trigger)</f>
        <v>55890</v>
      </c>
      <c r="U163" s="30">
        <f>_xll.qlIndexFixing($M$5,R163,TRUE,InterestRatesTrigger)</f>
        <v>1.4595379865657216E-2</v>
      </c>
      <c r="V163" s="74">
        <f>_xll.qlIndexFixing(Index,R163,TRUE,InterestRatesTrigger)</f>
        <v>1.4818977169939325E-2</v>
      </c>
      <c r="W163" s="30">
        <f t="shared" si="15"/>
        <v>2.2359730428210892E-4</v>
      </c>
      <c r="X163" s="29">
        <f>_xll.qlDayCounterYearFraction(DayCounter,SettlementDate,S163,,,Trigger)</f>
        <v>37.547222222222224</v>
      </c>
      <c r="Y163" s="29">
        <f>_xll.qlDayCounterYearFraction(DayCounter,S163,T163)</f>
        <v>0.26111111111111113</v>
      </c>
      <c r="Z163" s="29">
        <f>IF($M$13,_xll.qlYieldTSDiscount(Currency&amp;"ON",S163)/(1+V163*Y163),1)</f>
        <v>1</v>
      </c>
      <c r="AA163" s="30">
        <f>_xll.qlTenorBasisValue(TenorBasis3M,S163,InterestRatesTrigger)</f>
        <v>2.1152100124015161E-4</v>
      </c>
      <c r="AB163" s="74">
        <f t="shared" si="16"/>
        <v>1.4806900866897368E-2</v>
      </c>
      <c r="AC163" s="76">
        <f t="shared" si="17"/>
        <v>0.99918507850417271</v>
      </c>
    </row>
    <row r="164" spans="16:29" x14ac:dyDescent="0.2">
      <c r="P164" s="33">
        <v>3</v>
      </c>
      <c r="Q164" s="27" t="str">
        <f>_xll.qlPeriodEquivalent(Q163&amp;"+"&amp;P164&amp;"M")</f>
        <v>37Y3M</v>
      </c>
      <c r="R164" s="28">
        <f>_xll.qlCalendarAdvance(Calendar,SettlementDate,Q164,"f",,Trigger)</f>
        <v>55886</v>
      </c>
      <c r="S164" s="28">
        <f>_xll.qlInterestRateIndexValueDate(Index,R164,Trigger)</f>
        <v>55890</v>
      </c>
      <c r="T164" s="28">
        <f>_xll.qlInterestRateIndexMaturity(Index,S164,Trigger)</f>
        <v>55982</v>
      </c>
      <c r="U164" s="30">
        <f>_xll.qlIndexFixing($M$5,R164,TRUE,InterestRatesTrigger)</f>
        <v>1.4497996809704906E-2</v>
      </c>
      <c r="V164" s="74">
        <f>_xll.qlIndexFixing(Index,R164,TRUE,InterestRatesTrigger)</f>
        <v>1.4717048205733932E-2</v>
      </c>
      <c r="W164" s="30">
        <f t="shared" si="15"/>
        <v>2.1905139602902517E-4</v>
      </c>
      <c r="X164" s="29">
        <f>_xll.qlDayCounterYearFraction(DayCounter,SettlementDate,S164,,,Trigger)</f>
        <v>37.80833333333333</v>
      </c>
      <c r="Y164" s="29">
        <f>_xll.qlDayCounterYearFraction(DayCounter,S164,T164)</f>
        <v>0.25555555555555554</v>
      </c>
      <c r="Z164" s="29">
        <f>IF($M$13,_xll.qlYieldTSDiscount(Currency&amp;"ON",S164)/(1+V164*Y164),1)</f>
        <v>1</v>
      </c>
      <c r="AA164" s="30">
        <f>_xll.qlTenorBasisValue(TenorBasis3M,S164,InterestRatesTrigger)</f>
        <v>2.1009354564376266E-4</v>
      </c>
      <c r="AB164" s="74">
        <f t="shared" si="16"/>
        <v>1.4708090355348669E-2</v>
      </c>
      <c r="AC164" s="76">
        <f t="shared" si="17"/>
        <v>0.99939132832480815</v>
      </c>
    </row>
    <row r="165" spans="16:29" x14ac:dyDescent="0.2">
      <c r="P165" s="33">
        <v>3</v>
      </c>
      <c r="Q165" s="27" t="str">
        <f>_xll.qlPeriodEquivalent(Q164&amp;"+"&amp;P165&amp;"M")</f>
        <v>37Y6M</v>
      </c>
      <c r="R165" s="28">
        <f>_xll.qlCalendarAdvance(Calendar,SettlementDate,Q165,"f",,Trigger)</f>
        <v>55976</v>
      </c>
      <c r="S165" s="28">
        <f>_xll.qlInterestRateIndexValueDate(Index,R165,Trigger)</f>
        <v>55982</v>
      </c>
      <c r="T165" s="28">
        <f>_xll.qlInterestRateIndexMaturity(Index,S165,Trigger)</f>
        <v>56073</v>
      </c>
      <c r="U165" s="30">
        <f>_xll.qlIndexFixing($M$5,R165,TRUE,InterestRatesTrigger)</f>
        <v>1.4396783293377083E-2</v>
      </c>
      <c r="V165" s="74">
        <f>_xll.qlIndexFixing(Index,R165,TRUE,InterestRatesTrigger)</f>
        <v>1.4611462989892582E-2</v>
      </c>
      <c r="W165" s="30">
        <f t="shared" si="15"/>
        <v>2.1467969651549866E-4</v>
      </c>
      <c r="X165" s="29">
        <f>_xll.qlDayCounterYearFraction(DayCounter,SettlementDate,S165,,,Trigger)</f>
        <v>38.06388888888889</v>
      </c>
      <c r="Y165" s="29">
        <f>_xll.qlDayCounterYearFraction(DayCounter,S165,T165)</f>
        <v>0.25277777777777777</v>
      </c>
      <c r="Z165" s="29">
        <f>IF($M$13,_xll.qlYieldTSDiscount(Currency&amp;"ON",S165)/(1+V165*Y165),1)</f>
        <v>1</v>
      </c>
      <c r="AA165" s="30">
        <f>_xll.qlTenorBasisValue(TenorBasis3M,S165,InterestRatesTrigger)</f>
        <v>2.0874480644585616E-4</v>
      </c>
      <c r="AB165" s="74">
        <f t="shared" si="16"/>
        <v>1.4605528099822939E-2</v>
      </c>
      <c r="AC165" s="76">
        <f t="shared" si="17"/>
        <v>0.99959381958714555</v>
      </c>
    </row>
    <row r="166" spans="16:29" x14ac:dyDescent="0.2">
      <c r="P166" s="33">
        <v>3</v>
      </c>
      <c r="Q166" s="27" t="str">
        <f>_xll.qlPeriodEquivalent(Q165&amp;"+"&amp;P166&amp;"M")</f>
        <v>37Y9M</v>
      </c>
      <c r="R166" s="28">
        <f>_xll.qlCalendarAdvance(Calendar,SettlementDate,Q166,"f",,Trigger)</f>
        <v>56067</v>
      </c>
      <c r="S166" s="28">
        <f>_xll.qlInterestRateIndexValueDate(Index,R166,Trigger)</f>
        <v>56069</v>
      </c>
      <c r="T166" s="28">
        <f>_xll.qlInterestRateIndexMaturity(Index,S166,Trigger)</f>
        <v>56163</v>
      </c>
      <c r="U166" s="30">
        <f>_xll.qlIndexFixing($M$5,R166,TRUE,InterestRatesTrigger)</f>
        <v>1.4294631463502233E-2</v>
      </c>
      <c r="V166" s="74">
        <f>_xll.qlIndexFixing(Index,R166,TRUE,InterestRatesTrigger)</f>
        <v>1.4505203274007153E-2</v>
      </c>
      <c r="W166" s="30">
        <f t="shared" si="15"/>
        <v>2.105718105049198E-4</v>
      </c>
      <c r="X166" s="29">
        <f>_xll.qlDayCounterYearFraction(DayCounter,SettlementDate,S166,,,Trigger)</f>
        <v>38.305555555555557</v>
      </c>
      <c r="Y166" s="29">
        <f>_xll.qlDayCounterYearFraction(DayCounter,S166,T166)</f>
        <v>0.26111111111111113</v>
      </c>
      <c r="Z166" s="29">
        <f>IF($M$13,_xll.qlYieldTSDiscount(Currency&amp;"ON",S166)/(1+V166*Y166),1)</f>
        <v>1</v>
      </c>
      <c r="AA166" s="30">
        <f>_xll.qlTenorBasisValue(TenorBasis3M,S166,InterestRatesTrigger)</f>
        <v>2.075119433764427E-4</v>
      </c>
      <c r="AB166" s="74">
        <f t="shared" si="16"/>
        <v>1.4502143406878677E-2</v>
      </c>
      <c r="AC166" s="76">
        <f t="shared" si="17"/>
        <v>0.99978905037932431</v>
      </c>
    </row>
    <row r="167" spans="16:29" x14ac:dyDescent="0.2">
      <c r="P167" s="33">
        <v>3</v>
      </c>
      <c r="Q167" s="27" t="str">
        <f>_xll.qlPeriodEquivalent(Q166&amp;"+"&amp;P167&amp;"M")</f>
        <v>38Y</v>
      </c>
      <c r="R167" s="28">
        <f>_xll.qlCalendarAdvance(Calendar,SettlementDate,Q167,"f",,Trigger)</f>
        <v>56159</v>
      </c>
      <c r="S167" s="28">
        <f>_xll.qlInterestRateIndexValueDate(Index,R167,Trigger)</f>
        <v>56163</v>
      </c>
      <c r="T167" s="28">
        <f>_xll.qlInterestRateIndexMaturity(Index,S167,Trigger)</f>
        <v>56255</v>
      </c>
      <c r="U167" s="30">
        <f>_xll.qlIndexFixing($M$5,R167,TRUE,InterestRatesTrigger)</f>
        <v>1.4180159309241032E-2</v>
      </c>
      <c r="V167" s="74">
        <f>_xll.qlIndexFixing(Index,R167,TRUE,InterestRatesTrigger)</f>
        <v>1.4386461882850567E-2</v>
      </c>
      <c r="W167" s="30">
        <f t="shared" si="15"/>
        <v>2.0630257360953509E-4</v>
      </c>
      <c r="X167" s="29">
        <f>_xll.qlDayCounterYearFraction(DayCounter,SettlementDate,S167,,,Trigger)</f>
        <v>38.56666666666667</v>
      </c>
      <c r="Y167" s="29">
        <f>_xll.qlDayCounterYearFraction(DayCounter,S167,T167)</f>
        <v>0.25555555555555554</v>
      </c>
      <c r="Z167" s="29">
        <f>IF($M$13,_xll.qlYieldTSDiscount(Currency&amp;"ON",S167)/(1+V167*Y167),1)</f>
        <v>1</v>
      </c>
      <c r="AA167" s="30">
        <f>_xll.qlTenorBasisValue(TenorBasis3M,S167,InterestRatesTrigger)</f>
        <v>2.0622489240919835E-4</v>
      </c>
      <c r="AB167" s="74">
        <f t="shared" si="16"/>
        <v>1.438638420165023E-2</v>
      </c>
      <c r="AC167" s="76">
        <f t="shared" si="17"/>
        <v>0.99999460039577703</v>
      </c>
    </row>
    <row r="168" spans="16:29" x14ac:dyDescent="0.2">
      <c r="P168" s="33">
        <v>3</v>
      </c>
      <c r="Q168" s="27" t="str">
        <f>_xll.qlPeriodEquivalent(Q167&amp;"+"&amp;P168&amp;"M")</f>
        <v>38Y3M</v>
      </c>
      <c r="R168" s="28">
        <f>_xll.qlCalendarAdvance(Calendar,SettlementDate,Q168,"f",,Trigger)</f>
        <v>56251</v>
      </c>
      <c r="S168" s="28">
        <f>_xll.qlInterestRateIndexValueDate(Index,R168,Trigger)</f>
        <v>56255</v>
      </c>
      <c r="T168" s="28">
        <f>_xll.qlInterestRateIndexMaturity(Index,S168,Trigger)</f>
        <v>56345</v>
      </c>
      <c r="U168" s="30">
        <f>_xll.qlIndexFixing($M$5,R168,TRUE,InterestRatesTrigger)</f>
        <v>1.4062512795709026E-2</v>
      </c>
      <c r="V168" s="74">
        <f>_xll.qlIndexFixing(Index,R168,TRUE,InterestRatesTrigger)</f>
        <v>1.426472929617173E-2</v>
      </c>
      <c r="W168" s="30">
        <f t="shared" si="15"/>
        <v>2.0221650046270412E-4</v>
      </c>
      <c r="X168" s="29">
        <f>_xll.qlDayCounterYearFraction(DayCounter,SettlementDate,S168,,,Trigger)</f>
        <v>38.822222222222223</v>
      </c>
      <c r="Y168" s="29">
        <f>_xll.qlDayCounterYearFraction(DayCounter,S168,T168)</f>
        <v>0.25</v>
      </c>
      <c r="Z168" s="29">
        <f>IF($M$13,_xll.qlYieldTSDiscount(Currency&amp;"ON",S168)/(1+V168*Y168),1)</f>
        <v>1</v>
      </c>
      <c r="AA168" s="30">
        <f>_xll.qlTenorBasisValue(TenorBasis3M,S168,InterestRatesTrigger)</f>
        <v>2.0500902302479266E-4</v>
      </c>
      <c r="AB168" s="74">
        <f t="shared" si="16"/>
        <v>1.4267521818733819E-2</v>
      </c>
      <c r="AC168" s="76">
        <f t="shared" si="17"/>
        <v>1.0001957641469466</v>
      </c>
    </row>
    <row r="169" spans="16:29" x14ac:dyDescent="0.2">
      <c r="P169" s="33">
        <v>3</v>
      </c>
      <c r="Q169" s="27" t="str">
        <f>_xll.qlPeriodEquivalent(Q168&amp;"+"&amp;P169&amp;"M")</f>
        <v>38Y6M</v>
      </c>
      <c r="R169" s="28">
        <f>_xll.qlCalendarAdvance(Calendar,SettlementDate,Q169,"f",,Trigger)</f>
        <v>56341</v>
      </c>
      <c r="S169" s="28">
        <f>_xll.qlInterestRateIndexValueDate(Index,R169,Trigger)</f>
        <v>56345</v>
      </c>
      <c r="T169" s="28">
        <f>_xll.qlInterestRateIndexMaturity(Index,S169,Trigger)</f>
        <v>56436</v>
      </c>
      <c r="U169" s="30">
        <f>_xll.qlIndexFixing($M$5,R169,TRUE,InterestRatesTrigger)</f>
        <v>1.3940787797035399E-2</v>
      </c>
      <c r="V169" s="74">
        <f>_xll.qlIndexFixing(Index,R169,TRUE,InterestRatesTrigger)</f>
        <v>1.4139053950663861E-2</v>
      </c>
      <c r="W169" s="30">
        <f t="shared" si="15"/>
        <v>1.9826615362846141E-4</v>
      </c>
      <c r="X169" s="29">
        <f>_xll.qlDayCounterYearFraction(DayCounter,SettlementDate,S169,,,Trigger)</f>
        <v>39.072222222222223</v>
      </c>
      <c r="Y169" s="29">
        <f>_xll.qlDayCounterYearFraction(DayCounter,S169,T169)</f>
        <v>0.25277777777777777</v>
      </c>
      <c r="Z169" s="29">
        <f>IF($M$13,_xll.qlYieldTSDiscount(Currency&amp;"ON",S169)/(1+V169*Y169),1)</f>
        <v>1</v>
      </c>
      <c r="AA169" s="30">
        <f>_xll.qlTenorBasisValue(TenorBasis3M,S169,InterestRatesTrigger)</f>
        <v>2.0386013005975018E-4</v>
      </c>
      <c r="AB169" s="74">
        <f t="shared" si="16"/>
        <v>1.4144647927095149E-2</v>
      </c>
      <c r="AC169" s="76">
        <f t="shared" si="17"/>
        <v>1.000395640079655</v>
      </c>
    </row>
    <row r="170" spans="16:29" x14ac:dyDescent="0.2">
      <c r="P170" s="33">
        <v>3</v>
      </c>
      <c r="Q170" s="27" t="str">
        <f>_xll.qlPeriodEquivalent(Q169&amp;"+"&amp;P170&amp;"M")</f>
        <v>38Y9M</v>
      </c>
      <c r="R170" s="28">
        <f>_xll.qlCalendarAdvance(Calendar,SettlementDate,Q170,"f",,Trigger)</f>
        <v>56432</v>
      </c>
      <c r="S170" s="28">
        <f>_xll.qlInterestRateIndexValueDate(Index,R170,Trigger)</f>
        <v>56436</v>
      </c>
      <c r="T170" s="28">
        <f>_xll.qlInterestRateIndexMaturity(Index,S170,Trigger)</f>
        <v>56528</v>
      </c>
      <c r="U170" s="30">
        <f>_xll.qlIndexFixing($M$5,R170,TRUE,InterestRatesTrigger)</f>
        <v>1.3812094788723637E-2</v>
      </c>
      <c r="V170" s="74">
        <f>_xll.qlIndexFixing(Index,R170,TRUE,InterestRatesTrigger)</f>
        <v>1.4006456717125793E-2</v>
      </c>
      <c r="W170" s="30">
        <f t="shared" si="15"/>
        <v>1.9436192840215603E-4</v>
      </c>
      <c r="X170" s="29">
        <f>_xll.qlDayCounterYearFraction(DayCounter,SettlementDate,S170,,,Trigger)</f>
        <v>39.325000000000003</v>
      </c>
      <c r="Y170" s="29">
        <f>_xll.qlDayCounterYearFraction(DayCounter,S170,T170)</f>
        <v>0.25555555555555554</v>
      </c>
      <c r="Z170" s="29">
        <f>IF($M$13,_xll.qlYieldTSDiscount(Currency&amp;"ON",S170)/(1+V170*Y170),1)</f>
        <v>1</v>
      </c>
      <c r="AA170" s="30">
        <f>_xll.qlTenorBasisValue(TenorBasis3M,S170,InterestRatesTrigger)</f>
        <v>2.0273791113241526E-4</v>
      </c>
      <c r="AB170" s="74">
        <f t="shared" si="16"/>
        <v>1.4014832699856053E-2</v>
      </c>
      <c r="AC170" s="76">
        <f t="shared" si="17"/>
        <v>1.0005980086826685</v>
      </c>
    </row>
    <row r="171" spans="16:29" x14ac:dyDescent="0.2">
      <c r="P171" s="33">
        <v>3</v>
      </c>
      <c r="Q171" s="27" t="str">
        <f>_xll.qlPeriodEquivalent(Q170&amp;"+"&amp;P171&amp;"M")</f>
        <v>39Y</v>
      </c>
      <c r="R171" s="28">
        <f>_xll.qlCalendarAdvance(Calendar,SettlementDate,Q171,"f",,Trigger)</f>
        <v>56524</v>
      </c>
      <c r="S171" s="28">
        <f>_xll.qlInterestRateIndexValueDate(Index,R171,Trigger)</f>
        <v>56528</v>
      </c>
      <c r="T171" s="28">
        <f>_xll.qlInterestRateIndexMaturity(Index,S171,Trigger)</f>
        <v>56620</v>
      </c>
      <c r="U171" s="30">
        <f>_xll.qlIndexFixing($M$5,R171,TRUE,InterestRatesTrigger)</f>
        <v>1.3676745601617695E-2</v>
      </c>
      <c r="V171" s="74">
        <f>_xll.qlIndexFixing(Index,R171,TRUE,InterestRatesTrigger)</f>
        <v>1.3867265684636289E-2</v>
      </c>
      <c r="W171" s="30">
        <f t="shared" si="15"/>
        <v>1.9052008301859331E-4</v>
      </c>
      <c r="X171" s="29">
        <f>_xll.qlDayCounterYearFraction(DayCounter,SettlementDate,S171,,,Trigger)</f>
        <v>39.580555555555556</v>
      </c>
      <c r="Y171" s="29">
        <f>_xll.qlDayCounterYearFraction(DayCounter,S171,T171)</f>
        <v>0.25555555555555554</v>
      </c>
      <c r="Z171" s="29">
        <f>IF($M$13,_xll.qlYieldTSDiscount(Currency&amp;"ON",S171)/(1+V171*Y171),1)</f>
        <v>1</v>
      </c>
      <c r="AA171" s="30">
        <f>_xll.qlTenorBasisValue(TenorBasis3M,S171,InterestRatesTrigger)</f>
        <v>2.0164235539990409E-4</v>
      </c>
      <c r="AB171" s="74">
        <f t="shared" si="16"/>
        <v>1.38783879570176E-2</v>
      </c>
      <c r="AC171" s="76">
        <f t="shared" si="17"/>
        <v>1.00080205230319</v>
      </c>
    </row>
    <row r="172" spans="16:29" x14ac:dyDescent="0.2">
      <c r="P172" s="33">
        <v>3</v>
      </c>
      <c r="Q172" s="27" t="str">
        <f>_xll.qlPeriodEquivalent(Q171&amp;"+"&amp;P172&amp;"M")</f>
        <v>39Y3M</v>
      </c>
      <c r="R172" s="28">
        <f>_xll.qlCalendarAdvance(Calendar,SettlementDate,Q172,"f",,Trigger)</f>
        <v>56618</v>
      </c>
      <c r="S172" s="28">
        <f>_xll.qlInterestRateIndexValueDate(Index,R172,Trigger)</f>
        <v>56620</v>
      </c>
      <c r="T172" s="28">
        <f>_xll.qlInterestRateIndexMaturity(Index,S172,Trigger)</f>
        <v>56710</v>
      </c>
      <c r="U172" s="30">
        <f>_xll.qlIndexFixing($M$5,R172,TRUE,InterestRatesTrigger)</f>
        <v>1.3536760073714404E-2</v>
      </c>
      <c r="V172" s="74">
        <f>_xll.qlIndexFixing(Index,R172,TRUE,InterestRatesTrigger)</f>
        <v>1.3723556108396373E-2</v>
      </c>
      <c r="W172" s="30">
        <f t="shared" si="15"/>
        <v>1.8679603468196859E-4</v>
      </c>
      <c r="X172" s="29">
        <f>_xll.qlDayCounterYearFraction(DayCounter,SettlementDate,S172,,,Trigger)</f>
        <v>39.836111111111109</v>
      </c>
      <c r="Y172" s="29">
        <f>_xll.qlDayCounterYearFraction(DayCounter,S172,T172)</f>
        <v>0.25</v>
      </c>
      <c r="Z172" s="29">
        <f>IF($M$13,_xll.qlYieldTSDiscount(Currency&amp;"ON",S172)/(1+V172*Y172),1)</f>
        <v>1</v>
      </c>
      <c r="AA172" s="30">
        <f>_xll.qlTenorBasisValue(TenorBasis3M,S172,InterestRatesTrigger)</f>
        <v>2.0058471374853051E-4</v>
      </c>
      <c r="AB172" s="74">
        <f t="shared" si="16"/>
        <v>1.3737344787462935E-2</v>
      </c>
      <c r="AC172" s="76">
        <f t="shared" si="17"/>
        <v>1.0010047453413424</v>
      </c>
    </row>
    <row r="173" spans="16:29" x14ac:dyDescent="0.2">
      <c r="P173" s="33">
        <v>3</v>
      </c>
      <c r="Q173" s="27" t="str">
        <f>_xll.qlPeriodEquivalent(Q172&amp;"+"&amp;P173&amp;"M")</f>
        <v>39Y6M</v>
      </c>
      <c r="R173" s="28">
        <f>_xll.qlCalendarAdvance(Calendar,SettlementDate,Q173,"f",,Trigger)</f>
        <v>56706</v>
      </c>
      <c r="S173" s="28">
        <f>_xll.qlInterestRateIndexValueDate(Index,R173,Trigger)</f>
        <v>56710</v>
      </c>
      <c r="T173" s="28">
        <f>_xll.qlInterestRateIndexMaturity(Index,S173,Trigger)</f>
        <v>56801</v>
      </c>
      <c r="U173" s="30">
        <f>_xll.qlIndexFixing($M$5,R173,TRUE,InterestRatesTrigger)</f>
        <v>1.3392761541054742E-2</v>
      </c>
      <c r="V173" s="74">
        <f>_xll.qlIndexFixing(Index,R173,TRUE,InterestRatesTrigger)</f>
        <v>1.3575964644776029E-2</v>
      </c>
      <c r="W173" s="30">
        <f t="shared" si="15"/>
        <v>1.8320310372128661E-4</v>
      </c>
      <c r="X173" s="29">
        <f>_xll.qlDayCounterYearFraction(DayCounter,SettlementDate,S173,,,Trigger)</f>
        <v>40.086111111111109</v>
      </c>
      <c r="Y173" s="29">
        <f>_xll.qlDayCounterYearFraction(DayCounter,S173,T173)</f>
        <v>0.25277777777777777</v>
      </c>
      <c r="Z173" s="29">
        <f>IF($M$13,_xll.qlYieldTSDiscount(Currency&amp;"ON",S173)/(1+V173*Y173),1)</f>
        <v>1</v>
      </c>
      <c r="AA173" s="30">
        <f>_xll.qlTenorBasisValue(TenorBasis3M,S173,InterestRatesTrigger)</f>
        <v>1.99585541533458E-4</v>
      </c>
      <c r="AB173" s="74">
        <f t="shared" si="16"/>
        <v>1.35923470825882E-2</v>
      </c>
      <c r="AC173" s="76">
        <f t="shared" si="17"/>
        <v>1.0012067236650086</v>
      </c>
    </row>
    <row r="174" spans="16:29" x14ac:dyDescent="0.2">
      <c r="P174" s="33">
        <v>3</v>
      </c>
      <c r="Q174" s="27" t="str">
        <f>_xll.qlPeriodEquivalent(Q173&amp;"+"&amp;P174&amp;"M")</f>
        <v>39Y9M</v>
      </c>
      <c r="R174" s="28">
        <f>_xll.qlCalendarAdvance(Calendar,SettlementDate,Q174,"f",,Trigger)</f>
        <v>56797</v>
      </c>
      <c r="S174" s="28">
        <f>_xll.qlInterestRateIndexValueDate(Index,R174,Trigger)</f>
        <v>56801</v>
      </c>
      <c r="T174" s="28">
        <f>_xll.qlInterestRateIndexMaturity(Index,S174,Trigger)</f>
        <v>56893</v>
      </c>
      <c r="U174" s="30">
        <f>_xll.qlIndexFixing($M$5,R174,TRUE,InterestRatesTrigger)</f>
        <v>1.3241550168390721E-2</v>
      </c>
      <c r="V174" s="74">
        <f>_xll.qlIndexFixing(Index,R174,TRUE,InterestRatesTrigger)</f>
        <v>1.3421210474395142E-2</v>
      </c>
      <c r="W174" s="30">
        <f t="shared" si="15"/>
        <v>1.7966030600442134E-4</v>
      </c>
      <c r="X174" s="29">
        <f>_xll.qlDayCounterYearFraction(DayCounter,SettlementDate,S174,,,Trigger)</f>
        <v>40.338888888888889</v>
      </c>
      <c r="Y174" s="29">
        <f>_xll.qlDayCounterYearFraction(DayCounter,S174,T174)</f>
        <v>0.25555555555555554</v>
      </c>
      <c r="Z174" s="29">
        <f>IF($M$13,_xll.qlYieldTSDiscount(Currency&amp;"ON",S174)/(1+V174*Y174),1)</f>
        <v>1</v>
      </c>
      <c r="AA174" s="30">
        <f>_xll.qlTenorBasisValue(TenorBasis3M,S174,InterestRatesTrigger)</f>
        <v>1.9860976733345902E-4</v>
      </c>
      <c r="AB174" s="74">
        <f t="shared" si="16"/>
        <v>1.3440159935724181E-2</v>
      </c>
      <c r="AC174" s="76">
        <f t="shared" si="17"/>
        <v>1.0014119040428722</v>
      </c>
    </row>
    <row r="175" spans="16:29" x14ac:dyDescent="0.2">
      <c r="P175" s="33">
        <v>3</v>
      </c>
      <c r="Q175" s="27" t="str">
        <f>_xll.qlPeriodEquivalent(Q174&amp;"+"&amp;P175&amp;"M")</f>
        <v>40Y</v>
      </c>
      <c r="R175" s="28">
        <f>_xll.qlCalendarAdvance(Calendar,SettlementDate,Q175,"f",,Trigger)</f>
        <v>56891</v>
      </c>
      <c r="S175" s="28">
        <f>_xll.qlInterestRateIndexValueDate(Index,R175,Trigger)</f>
        <v>56893</v>
      </c>
      <c r="T175" s="28">
        <f>_xll.qlInterestRateIndexMaturity(Index,S175,Trigger)</f>
        <v>56985</v>
      </c>
      <c r="U175" s="30">
        <f>_xll.qlIndexFixing($M$5,R175,TRUE,InterestRatesTrigger)</f>
        <v>1.3085710504969086E-2</v>
      </c>
      <c r="V175" s="74">
        <f>_xll.qlIndexFixing(Index,R175,TRUE,InterestRatesTrigger)</f>
        <v>1.3261899595905079E-2</v>
      </c>
      <c r="W175" s="30">
        <f t="shared" si="15"/>
        <v>1.7618909093599332E-4</v>
      </c>
      <c r="X175" s="29">
        <f>_xll.qlDayCounterYearFraction(DayCounter,SettlementDate,S175,,,Trigger)</f>
        <v>40.594444444444441</v>
      </c>
      <c r="Y175" s="29">
        <f>_xll.qlDayCounterYearFraction(DayCounter,S175,T175)</f>
        <v>0.25555555555555554</v>
      </c>
      <c r="Z175" s="29">
        <f>IF($M$13,_xll.qlYieldTSDiscount(Currency&amp;"ON",S175)/(1+V175*Y175),1)</f>
        <v>1</v>
      </c>
      <c r="AA175" s="30">
        <f>_xll.qlTenorBasisValue(TenorBasis3M,S175,InterestRatesTrigger)</f>
        <v>1.9765737152861046E-4</v>
      </c>
      <c r="AB175" s="74">
        <f t="shared" si="16"/>
        <v>1.3283367876497696E-2</v>
      </c>
      <c r="AC175" s="76">
        <f t="shared" si="17"/>
        <v>1.00161879378119</v>
      </c>
    </row>
    <row r="176" spans="16:29" x14ac:dyDescent="0.2">
      <c r="P176" s="33">
        <v>3</v>
      </c>
      <c r="Q176" s="27" t="str">
        <f>_xll.qlPeriodEquivalent(Q175&amp;"+"&amp;P176&amp;"M")</f>
        <v>40Y3M</v>
      </c>
      <c r="R176" s="28">
        <f>_xll.qlCalendarAdvance(Calendar,SettlementDate,Q176,"f",,Trigger)</f>
        <v>56982</v>
      </c>
      <c r="S176" s="28">
        <f>_xll.qlInterestRateIndexValueDate(Index,R176,Trigger)</f>
        <v>56984</v>
      </c>
      <c r="T176" s="28">
        <f>_xll.qlInterestRateIndexMaturity(Index,S176,Trigger)</f>
        <v>57075</v>
      </c>
      <c r="U176" s="30">
        <f>_xll.qlIndexFixing($M$5,R176,TRUE,InterestRatesTrigger)</f>
        <v>1.2936452728730669E-2</v>
      </c>
      <c r="V176" s="74">
        <f>_xll.qlIndexFixing(Index,R176,TRUE,InterestRatesTrigger)</f>
        <v>1.3109339714774054E-2</v>
      </c>
      <c r="W176" s="30">
        <f t="shared" si="15"/>
        <v>1.7288698604338466E-4</v>
      </c>
      <c r="X176" s="29">
        <f>_xll.qlDayCounterYearFraction(DayCounter,SettlementDate,S176,,,Trigger)</f>
        <v>40.847222222222221</v>
      </c>
      <c r="Y176" s="29">
        <f>_xll.qlDayCounterYearFraction(DayCounter,S176,T176)</f>
        <v>0.25277777777777777</v>
      </c>
      <c r="Z176" s="29">
        <f>IF($M$13,_xll.qlYieldTSDiscount(Currency&amp;"ON",S176)/(1+V176*Y176),1)</f>
        <v>1</v>
      </c>
      <c r="AA176" s="30">
        <f>_xll.qlTenorBasisValue(TenorBasis3M,S176,InterestRatesTrigger)</f>
        <v>1.9674793931312402E-4</v>
      </c>
      <c r="AB176" s="74">
        <f t="shared" si="16"/>
        <v>1.3133200668043793E-2</v>
      </c>
      <c r="AC176" s="76">
        <f t="shared" si="17"/>
        <v>1.0018201491294676</v>
      </c>
    </row>
    <row r="177" spans="16:29" x14ac:dyDescent="0.2">
      <c r="P177" s="33">
        <v>3</v>
      </c>
      <c r="Q177" s="27" t="str">
        <f>_xll.qlPeriodEquivalent(Q176&amp;"+"&amp;P177&amp;"M")</f>
        <v>40Y6M</v>
      </c>
      <c r="R177" s="28">
        <f>_xll.qlCalendarAdvance(Calendar,SettlementDate,Q177,"f",,Trigger)</f>
        <v>57074</v>
      </c>
      <c r="S177" s="28">
        <f>_xll.qlInterestRateIndexValueDate(Index,R177,Trigger)</f>
        <v>57076</v>
      </c>
      <c r="T177" s="28">
        <f>_xll.qlInterestRateIndexMaturity(Index,S177,Trigger)</f>
        <v>57167</v>
      </c>
      <c r="U177" s="30">
        <f>_xll.qlIndexFixing($M$5,R177,TRUE,InterestRatesTrigger)</f>
        <v>1.2791184561758167E-2</v>
      </c>
      <c r="V177" s="74">
        <f>_xll.qlIndexFixing(Index,R177,TRUE,InterestRatesTrigger)</f>
        <v>1.2960847733265788E-2</v>
      </c>
      <c r="W177" s="30">
        <f t="shared" si="15"/>
        <v>1.6966317150762106E-4</v>
      </c>
      <c r="X177" s="29">
        <f>_xll.qlDayCounterYearFraction(DayCounter,SettlementDate,S177,,,Trigger)</f>
        <v>41.102777777777774</v>
      </c>
      <c r="Y177" s="29">
        <f>_xll.qlDayCounterYearFraction(DayCounter,S177,T177)</f>
        <v>0.25277777777777777</v>
      </c>
      <c r="Z177" s="29">
        <f>IF($M$13,_xll.qlYieldTSDiscount(Currency&amp;"ON",S177)/(1+V177*Y177),1)</f>
        <v>1</v>
      </c>
      <c r="AA177" s="30">
        <f>_xll.qlTenorBasisValue(TenorBasis3M,S177,InterestRatesTrigger)</f>
        <v>1.9586038316241983E-4</v>
      </c>
      <c r="AB177" s="74">
        <f t="shared" si="16"/>
        <v>1.2987044944920586E-2</v>
      </c>
      <c r="AC177" s="76">
        <f t="shared" si="17"/>
        <v>1.0020212575746539</v>
      </c>
    </row>
    <row r="178" spans="16:29" x14ac:dyDescent="0.2">
      <c r="P178" s="33">
        <v>3</v>
      </c>
      <c r="Q178" s="27" t="str">
        <f>_xll.qlPeriodEquivalent(Q177&amp;"+"&amp;P178&amp;"M")</f>
        <v>40Y9M</v>
      </c>
      <c r="R178" s="28">
        <f>_xll.qlCalendarAdvance(Calendar,SettlementDate,Q178,"f",,Trigger)</f>
        <v>57164</v>
      </c>
      <c r="S178" s="28">
        <f>_xll.qlInterestRateIndexValueDate(Index,R178,Trigger)</f>
        <v>57166</v>
      </c>
      <c r="T178" s="28">
        <f>_xll.qlInterestRateIndexMaturity(Index,S178,Trigger)</f>
        <v>57258</v>
      </c>
      <c r="U178" s="30">
        <f>_xll.qlIndexFixing($M$5,R178,TRUE,InterestRatesTrigger)</f>
        <v>1.265462695927866E-2</v>
      </c>
      <c r="V178" s="74">
        <f>_xll.qlIndexFixing(Index,R178,TRUE,InterestRatesTrigger)</f>
        <v>1.2821249151921087E-2</v>
      </c>
      <c r="W178" s="30">
        <f t="shared" si="15"/>
        <v>1.6662219264242627E-4</v>
      </c>
      <c r="X178" s="29">
        <f>_xll.qlDayCounterYearFraction(DayCounter,SettlementDate,S178,,,Trigger)</f>
        <v>41.352777777777774</v>
      </c>
      <c r="Y178" s="29">
        <f>_xll.qlDayCounterYearFraction(DayCounter,S178,T178)</f>
        <v>0.25555555555555554</v>
      </c>
      <c r="Z178" s="29">
        <f>IF($M$13,_xll.qlYieldTSDiscount(Currency&amp;"ON",S178)/(1+V178*Y178),1)</f>
        <v>1</v>
      </c>
      <c r="AA178" s="30">
        <f>_xll.qlTenorBasisValue(TenorBasis3M,S178,InterestRatesTrigger)</f>
        <v>1.950220991472249E-4</v>
      </c>
      <c r="AB178" s="74">
        <f t="shared" si="16"/>
        <v>1.2849649058425885E-2</v>
      </c>
      <c r="AC178" s="76">
        <f t="shared" si="17"/>
        <v>1.0022150654876356</v>
      </c>
    </row>
    <row r="179" spans="16:29" x14ac:dyDescent="0.2">
      <c r="P179" s="33">
        <v>3</v>
      </c>
      <c r="Q179" s="27" t="str">
        <f>_xll.qlPeriodEquivalent(Q178&amp;"+"&amp;P179&amp;"M")</f>
        <v>41Y</v>
      </c>
      <c r="R179" s="28">
        <f>_xll.qlCalendarAdvance(Calendar,SettlementDate,Q179,"f",,Trigger)</f>
        <v>57255</v>
      </c>
      <c r="S179" s="28">
        <f>_xll.qlInterestRateIndexValueDate(Index,R179,Trigger)</f>
        <v>57257</v>
      </c>
      <c r="T179" s="28">
        <f>_xll.qlInterestRateIndexMaturity(Index,S179,Trigger)</f>
        <v>57349</v>
      </c>
      <c r="U179" s="30">
        <f>_xll.qlIndexFixing($M$5,R179,TRUE,InterestRatesTrigger)</f>
        <v>1.2523194935575927E-2</v>
      </c>
      <c r="V179" s="74">
        <f>_xll.qlIndexFixing(Index,R179,TRUE,InterestRatesTrigger)</f>
        <v>1.2686877398178089E-2</v>
      </c>
      <c r="W179" s="30">
        <f t="shared" si="15"/>
        <v>1.636824626021615E-4</v>
      </c>
      <c r="X179" s="29">
        <f>_xll.qlDayCounterYearFraction(DayCounter,SettlementDate,S179,,,Trigger)</f>
        <v>41.605555555555554</v>
      </c>
      <c r="Y179" s="29">
        <f>_xll.qlDayCounterYearFraction(DayCounter,S179,T179)</f>
        <v>0.25555555555555554</v>
      </c>
      <c r="Z179" s="29">
        <f>IF($M$13,_xll.qlYieldTSDiscount(Currency&amp;"ON",S179)/(1+V179*Y179),1)</f>
        <v>1</v>
      </c>
      <c r="AA179" s="30">
        <f>_xll.qlTenorBasisValue(TenorBasis3M,S179,InterestRatesTrigger)</f>
        <v>1.9420364230871492E-4</v>
      </c>
      <c r="AB179" s="74">
        <f t="shared" si="16"/>
        <v>1.2717398577884642E-2</v>
      </c>
      <c r="AC179" s="76">
        <f t="shared" si="17"/>
        <v>1.0024057282772305</v>
      </c>
    </row>
    <row r="180" spans="16:29" x14ac:dyDescent="0.2">
      <c r="P180" s="33">
        <v>3</v>
      </c>
      <c r="Q180" s="27" t="str">
        <f>_xll.qlPeriodEquivalent(Q179&amp;"+"&amp;P180&amp;"M")</f>
        <v>41Y3M</v>
      </c>
      <c r="R180" s="28">
        <f>_xll.qlCalendarAdvance(Calendar,SettlementDate,Q180,"f",,Trigger)</f>
        <v>57347</v>
      </c>
      <c r="S180" s="28">
        <f>_xll.qlInterestRateIndexValueDate(Index,R180,Trigger)</f>
        <v>57349</v>
      </c>
      <c r="T180" s="28">
        <f>_xll.qlInterestRateIndexMaturity(Index,S180,Trigger)</f>
        <v>57439</v>
      </c>
      <c r="U180" s="30">
        <f>_xll.qlIndexFixing($M$5,R180,TRUE,InterestRatesTrigger)</f>
        <v>1.2397455383298173E-2</v>
      </c>
      <c r="V180" s="74">
        <f>_xll.qlIndexFixing(Index,R180,TRUE,InterestRatesTrigger)</f>
        <v>1.2558311327099503E-2</v>
      </c>
      <c r="W180" s="30">
        <f t="shared" si="15"/>
        <v>1.6085594380133017E-4</v>
      </c>
      <c r="X180" s="29">
        <f>_xll.qlDayCounterYearFraction(DayCounter,SettlementDate,S180,,,Trigger)</f>
        <v>41.861111111111114</v>
      </c>
      <c r="Y180" s="29">
        <f>_xll.qlDayCounterYearFraction(DayCounter,S180,T180)</f>
        <v>0.25</v>
      </c>
      <c r="Z180" s="29">
        <f>IF($M$13,_xll.qlYieldTSDiscount(Currency&amp;"ON",S180)/(1+V180*Y180),1)</f>
        <v>1</v>
      </c>
      <c r="AA180" s="30">
        <f>_xll.qlTenorBasisValue(TenorBasis3M,S180,InterestRatesTrigger)</f>
        <v>1.9340498616543368E-4</v>
      </c>
      <c r="AB180" s="74">
        <f t="shared" si="16"/>
        <v>1.2590860369463606E-2</v>
      </c>
      <c r="AC180" s="76">
        <f t="shared" si="17"/>
        <v>1.0025918327326275</v>
      </c>
    </row>
    <row r="181" spans="16:29" x14ac:dyDescent="0.2">
      <c r="P181" s="33">
        <v>3</v>
      </c>
      <c r="Q181" s="27" t="str">
        <f>_xll.qlPeriodEquivalent(Q180&amp;"+"&amp;P181&amp;"M")</f>
        <v>41Y6M</v>
      </c>
      <c r="R181" s="28">
        <f>_xll.qlCalendarAdvance(Calendar,SettlementDate,Q181,"f",,Trigger)</f>
        <v>57437</v>
      </c>
      <c r="S181" s="28">
        <f>_xll.qlInterestRateIndexValueDate(Index,R181,Trigger)</f>
        <v>57439</v>
      </c>
      <c r="T181" s="28">
        <f>_xll.qlInterestRateIndexMaturity(Index,S181,Trigger)</f>
        <v>57530</v>
      </c>
      <c r="U181" s="30">
        <f>_xll.qlIndexFixing($M$5,R181,TRUE,InterestRatesTrigger)</f>
        <v>1.2279144096539704E-2</v>
      </c>
      <c r="V181" s="74">
        <f>_xll.qlIndexFixing(Index,R181,TRUE,InterestRatesTrigger)</f>
        <v>1.2437329699191552E-2</v>
      </c>
      <c r="W181" s="30">
        <f t="shared" si="15"/>
        <v>1.5818560265184849E-4</v>
      </c>
      <c r="X181" s="29">
        <f>_xll.qlDayCounterYearFraction(DayCounter,SettlementDate,S181,,,Trigger)</f>
        <v>42.111111111111114</v>
      </c>
      <c r="Y181" s="29">
        <f>_xll.qlDayCounterYearFraction(DayCounter,S181,T181)</f>
        <v>0.25277777777777777</v>
      </c>
      <c r="Z181" s="29">
        <f>IF($M$13,_xll.qlYieldTSDiscount(Currency&amp;"ON",S181)/(1+V181*Y181),1)</f>
        <v>1</v>
      </c>
      <c r="AA181" s="30">
        <f>_xll.qlTenorBasisValue(TenorBasis3M,S181,InterestRatesTrigger)</f>
        <v>1.9265077164783341E-4</v>
      </c>
      <c r="AB181" s="74">
        <f t="shared" si="16"/>
        <v>1.2471794868187537E-2</v>
      </c>
      <c r="AC181" s="76">
        <f t="shared" si="17"/>
        <v>1.0027711068074545</v>
      </c>
    </row>
    <row r="182" spans="16:29" x14ac:dyDescent="0.2">
      <c r="P182" s="33">
        <v>3</v>
      </c>
      <c r="Q182" s="27" t="str">
        <f>_xll.qlPeriodEquivalent(Q181&amp;"+"&amp;P182&amp;"M")</f>
        <v>41Y9M</v>
      </c>
      <c r="R182" s="28">
        <f>_xll.qlCalendarAdvance(Calendar,SettlementDate,Q182,"f",,Trigger)</f>
        <v>57528</v>
      </c>
      <c r="S182" s="28">
        <f>_xll.qlInterestRateIndexValueDate(Index,R182,Trigger)</f>
        <v>57530</v>
      </c>
      <c r="T182" s="28">
        <f>_xll.qlInterestRateIndexMaturity(Index,S182,Trigger)</f>
        <v>57622</v>
      </c>
      <c r="U182" s="30">
        <f>_xll.qlIndexFixing($M$5,R182,TRUE,InterestRatesTrigger)</f>
        <v>1.2165677722552013E-2</v>
      </c>
      <c r="V182" s="74">
        <f>_xll.qlIndexFixing(Index,R182,TRUE,InterestRatesTrigger)</f>
        <v>1.2321288331938776E-2</v>
      </c>
      <c r="W182" s="30">
        <f t="shared" si="15"/>
        <v>1.5561060938676374E-4</v>
      </c>
      <c r="X182" s="29">
        <f>_xll.qlDayCounterYearFraction(DayCounter,SettlementDate,S182,,,Trigger)</f>
        <v>42.363888888888887</v>
      </c>
      <c r="Y182" s="29">
        <f>_xll.qlDayCounterYearFraction(DayCounter,S182,T182)</f>
        <v>0.25555555555555554</v>
      </c>
      <c r="Z182" s="29">
        <f>IF($M$13,_xll.qlYieldTSDiscount(Currency&amp;"ON",S182)/(1+V182*Y182),1)</f>
        <v>1</v>
      </c>
      <c r="AA182" s="30">
        <f>_xll.qlTenorBasisValue(TenorBasis3M,S182,InterestRatesTrigger)</f>
        <v>1.9191449616508212E-4</v>
      </c>
      <c r="AB182" s="74">
        <f t="shared" si="16"/>
        <v>1.2357592218717095E-2</v>
      </c>
      <c r="AC182" s="76">
        <f t="shared" si="17"/>
        <v>1.0029464359408109</v>
      </c>
    </row>
    <row r="183" spans="16:29" x14ac:dyDescent="0.2">
      <c r="P183" s="33">
        <v>3</v>
      </c>
      <c r="Q183" s="27" t="str">
        <f>_xll.qlPeriodEquivalent(Q182&amp;"+"&amp;P183&amp;"M")</f>
        <v>42Y</v>
      </c>
      <c r="R183" s="28">
        <f>_xll.qlCalendarAdvance(Calendar,SettlementDate,Q183,"f",,Trigger)</f>
        <v>57620</v>
      </c>
      <c r="S183" s="28">
        <f>_xll.qlInterestRateIndexValueDate(Index,R183,Trigger)</f>
        <v>57622</v>
      </c>
      <c r="T183" s="28">
        <f>_xll.qlInterestRateIndexMaturity(Index,S183,Trigger)</f>
        <v>57714</v>
      </c>
      <c r="U183" s="30">
        <f>_xll.qlIndexFixing($M$5,R183,TRUE,InterestRatesTrigger)</f>
        <v>1.2057622232604962E-2</v>
      </c>
      <c r="V183" s="74">
        <f>_xll.qlIndexFixing(Index,R183,TRUE,InterestRatesTrigger)</f>
        <v>1.2210765116899631E-2</v>
      </c>
      <c r="W183" s="30">
        <f t="shared" si="15"/>
        <v>1.5314288429466895E-4</v>
      </c>
      <c r="X183" s="29">
        <f>_xll.qlDayCounterYearFraction(DayCounter,SettlementDate,S183,,,Trigger)</f>
        <v>42.619444444444447</v>
      </c>
      <c r="Y183" s="29">
        <f>_xll.qlDayCounterYearFraction(DayCounter,S183,T183)</f>
        <v>0.25555555555555554</v>
      </c>
      <c r="Z183" s="29">
        <f>IF($M$13,_xll.qlYieldTSDiscount(Currency&amp;"ON",S183)/(1+V183*Y183),1)</f>
        <v>1</v>
      </c>
      <c r="AA183" s="30">
        <f>_xll.qlTenorBasisValue(TenorBasis3M,S183,InterestRatesTrigger)</f>
        <v>1.9119613078403568E-4</v>
      </c>
      <c r="AB183" s="74">
        <f t="shared" si="16"/>
        <v>1.2248818363388998E-2</v>
      </c>
      <c r="AC183" s="76">
        <f t="shared" si="17"/>
        <v>1.0031163687226037</v>
      </c>
    </row>
    <row r="184" spans="16:29" x14ac:dyDescent="0.2">
      <c r="P184" s="33">
        <v>3</v>
      </c>
      <c r="Q184" s="27" t="str">
        <f>_xll.qlPeriodEquivalent(Q183&amp;"+"&amp;P184&amp;"M")</f>
        <v>42Y3M</v>
      </c>
      <c r="R184" s="28">
        <f>_xll.qlCalendarAdvance(Calendar,SettlementDate,Q184,"f",,Trigger)</f>
        <v>57712</v>
      </c>
      <c r="S184" s="28">
        <f>_xll.qlInterestRateIndexValueDate(Index,R184,Trigger)</f>
        <v>57714</v>
      </c>
      <c r="T184" s="28">
        <f>_xll.qlInterestRateIndexMaturity(Index,S184,Trigger)</f>
        <v>57804</v>
      </c>
      <c r="U184" s="30">
        <f>_xll.qlIndexFixing($M$5,R184,TRUE,InterestRatesTrigger)</f>
        <v>1.1956495010321255E-2</v>
      </c>
      <c r="V184" s="74">
        <f>_xll.qlIndexFixing(Index,R184,TRUE,InterestRatesTrigger)</f>
        <v>1.210731186083347E-2</v>
      </c>
      <c r="W184" s="30">
        <f t="shared" si="15"/>
        <v>1.5081685051221427E-4</v>
      </c>
      <c r="X184" s="29">
        <f>_xll.qlDayCounterYearFraction(DayCounter,SettlementDate,S184,,,Trigger)</f>
        <v>42.875</v>
      </c>
      <c r="Y184" s="29">
        <f>_xll.qlDayCounterYearFraction(DayCounter,S184,T184)</f>
        <v>0.25</v>
      </c>
      <c r="Z184" s="29">
        <f>IF($M$13,_xll.qlYieldTSDiscount(Currency&amp;"ON",S184)/(1+V184*Y184),1)</f>
        <v>1</v>
      </c>
      <c r="AA184" s="30">
        <f>_xll.qlTenorBasisValue(TenorBasis3M,S184,InterestRatesTrigger)</f>
        <v>1.9050302465132931E-4</v>
      </c>
      <c r="AB184" s="74">
        <f t="shared" si="16"/>
        <v>1.2146998034972585E-2</v>
      </c>
      <c r="AC184" s="76">
        <f t="shared" si="17"/>
        <v>1.0032778683324</v>
      </c>
    </row>
    <row r="185" spans="16:29" x14ac:dyDescent="0.2">
      <c r="P185" s="33">
        <v>3</v>
      </c>
      <c r="Q185" s="27" t="str">
        <f>_xll.qlPeriodEquivalent(Q184&amp;"+"&amp;P185&amp;"M")</f>
        <v>42Y6M</v>
      </c>
      <c r="R185" s="28">
        <f>_xll.qlCalendarAdvance(Calendar,SettlementDate,Q185,"f",,Trigger)</f>
        <v>57802</v>
      </c>
      <c r="S185" s="28">
        <f>_xll.qlInterestRateIndexValueDate(Index,R185,Trigger)</f>
        <v>57804</v>
      </c>
      <c r="T185" s="28">
        <f>_xll.qlInterestRateIndexMaturity(Index,S185,Trigger)</f>
        <v>57895</v>
      </c>
      <c r="U185" s="30">
        <f>_xll.qlIndexFixing($M$5,R185,TRUE,InterestRatesTrigger)</f>
        <v>1.1862613306751263E-2</v>
      </c>
      <c r="V185" s="74">
        <f>_xll.qlIndexFixing(Index,R185,TRUE,InterestRatesTrigger)</f>
        <v>1.201125583358255E-2</v>
      </c>
      <c r="W185" s="30">
        <f t="shared" si="15"/>
        <v>1.4864252683128784E-4</v>
      </c>
      <c r="X185" s="29">
        <f>_xll.qlDayCounterYearFraction(DayCounter,SettlementDate,S185,,,Trigger)</f>
        <v>43.125</v>
      </c>
      <c r="Y185" s="29">
        <f>_xll.qlDayCounterYearFraction(DayCounter,S185,T185)</f>
        <v>0.25277777777777777</v>
      </c>
      <c r="Z185" s="29">
        <f>IF($M$13,_xll.qlYieldTSDiscount(Currency&amp;"ON",S185)/(1+V185*Y185),1)</f>
        <v>1</v>
      </c>
      <c r="AA185" s="30">
        <f>_xll.qlTenorBasisValue(TenorBasis3M,S185,InterestRatesTrigger)</f>
        <v>1.8984860266314349E-4</v>
      </c>
      <c r="AB185" s="74">
        <f t="shared" si="16"/>
        <v>1.2052461909414405E-2</v>
      </c>
      <c r="AC185" s="76">
        <f t="shared" si="17"/>
        <v>1.0034306217770039</v>
      </c>
    </row>
    <row r="186" spans="16:29" x14ac:dyDescent="0.2">
      <c r="P186" s="33">
        <v>3</v>
      </c>
      <c r="Q186" s="27" t="str">
        <f>_xll.qlPeriodEquivalent(Q185&amp;"+"&amp;P186&amp;"M")</f>
        <v>42Y9M</v>
      </c>
      <c r="R186" s="28">
        <f>_xll.qlCalendarAdvance(Calendar,SettlementDate,Q186,"f",,Trigger)</f>
        <v>57893</v>
      </c>
      <c r="S186" s="28">
        <f>_xll.qlInterestRateIndexValueDate(Index,R186,Trigger)</f>
        <v>57895</v>
      </c>
      <c r="T186" s="28">
        <f>_xll.qlInterestRateIndexMaturity(Index,S186,Trigger)</f>
        <v>57987</v>
      </c>
      <c r="U186" s="30">
        <f>_xll.qlIndexFixing($M$5,R186,TRUE,InterestRatesTrigger)</f>
        <v>1.1773846566437672E-2</v>
      </c>
      <c r="V186" s="74">
        <f>_xll.qlIndexFixing(Index,R186,TRUE,InterestRatesTrigger)</f>
        <v>1.1920415585419362E-2</v>
      </c>
      <c r="W186" s="30">
        <f t="shared" si="15"/>
        <v>1.4656901898169039E-4</v>
      </c>
      <c r="X186" s="29">
        <f>_xll.qlDayCounterYearFraction(DayCounter,SettlementDate,S186,,,Trigger)</f>
        <v>43.37777777777778</v>
      </c>
      <c r="Y186" s="29">
        <f>_xll.qlDayCounterYearFraction(DayCounter,S186,T186)</f>
        <v>0.25555555555555554</v>
      </c>
      <c r="Z186" s="29">
        <f>IF($M$13,_xll.qlYieldTSDiscount(Currency&amp;"ON",S186)/(1+V186*Y186),1)</f>
        <v>1</v>
      </c>
      <c r="AA186" s="30">
        <f>_xll.qlTenorBasisValue(TenorBasis3M,S186,InterestRatesTrigger)</f>
        <v>1.8920985714131753E-4</v>
      </c>
      <c r="AB186" s="74">
        <f t="shared" si="16"/>
        <v>1.1963056423578989E-2</v>
      </c>
      <c r="AC186" s="76">
        <f t="shared" si="17"/>
        <v>1.0035771268085472</v>
      </c>
    </row>
    <row r="187" spans="16:29" x14ac:dyDescent="0.2">
      <c r="P187" s="33">
        <v>3</v>
      </c>
      <c r="Q187" s="27" t="str">
        <f>_xll.qlPeriodEquivalent(Q186&amp;"+"&amp;P187&amp;"M")</f>
        <v>43Y</v>
      </c>
      <c r="R187" s="28">
        <f>_xll.qlCalendarAdvance(Calendar,SettlementDate,Q187,"f",,Trigger)</f>
        <v>57985</v>
      </c>
      <c r="S187" s="28">
        <f>_xll.qlInterestRateIndexValueDate(Index,R187,Trigger)</f>
        <v>57987</v>
      </c>
      <c r="T187" s="28">
        <f>_xll.qlInterestRateIndexMaturity(Index,S187,Trigger)</f>
        <v>58081</v>
      </c>
      <c r="U187" s="30">
        <f>_xll.qlIndexFixing($M$5,R187,TRUE,InterestRatesTrigger)</f>
        <v>1.1690158472464221E-2</v>
      </c>
      <c r="V187" s="74">
        <f>_xll.qlIndexFixing(Index,R187,TRUE,InterestRatesTrigger)</f>
        <v>1.1834753441026188E-2</v>
      </c>
      <c r="W187" s="30">
        <f t="shared" si="15"/>
        <v>1.4459496856196637E-4</v>
      </c>
      <c r="X187" s="29">
        <f>_xll.qlDayCounterYearFraction(DayCounter,SettlementDate,S187,,,Trigger)</f>
        <v>43.633333333333333</v>
      </c>
      <c r="Y187" s="29">
        <f>_xll.qlDayCounterYearFraction(DayCounter,S187,T187)</f>
        <v>0.26111111111111113</v>
      </c>
      <c r="Z187" s="29">
        <f>IF($M$13,_xll.qlYieldTSDiscount(Currency&amp;"ON",S187)/(1+V187*Y187),1)</f>
        <v>1</v>
      </c>
      <c r="AA187" s="30">
        <f>_xll.qlTenorBasisValue(TenorBasis3M,S187,InterestRatesTrigger)</f>
        <v>1.8858675732728134E-4</v>
      </c>
      <c r="AB187" s="74">
        <f t="shared" si="16"/>
        <v>1.1878745229791503E-2</v>
      </c>
      <c r="AC187" s="76">
        <f t="shared" si="17"/>
        <v>1.0037171698577863</v>
      </c>
    </row>
    <row r="188" spans="16:29" x14ac:dyDescent="0.2">
      <c r="P188" s="33">
        <v>3</v>
      </c>
      <c r="Q188" s="27" t="str">
        <f>_xll.qlPeriodEquivalent(Q187&amp;"+"&amp;P188&amp;"M")</f>
        <v>43Y3M</v>
      </c>
      <c r="R188" s="28">
        <f>_xll.qlCalendarAdvance(Calendar,SettlementDate,Q188,"f",,Trigger)</f>
        <v>58077</v>
      </c>
      <c r="S188" s="28">
        <f>_xll.qlInterestRateIndexValueDate(Index,R188,Trigger)</f>
        <v>58081</v>
      </c>
      <c r="T188" s="28">
        <f>_xll.qlInterestRateIndexMaturity(Index,S188,Trigger)</f>
        <v>58172</v>
      </c>
      <c r="U188" s="30">
        <f>_xll.qlIndexFixing($M$5,R188,TRUE,InterestRatesTrigger)</f>
        <v>1.1612295342548503E-2</v>
      </c>
      <c r="V188" s="74">
        <f>_xll.qlIndexFixing(Index,R188,TRUE,InterestRatesTrigger)</f>
        <v>1.175503173709062E-2</v>
      </c>
      <c r="W188" s="30">
        <f t="shared" si="15"/>
        <v>1.4273639454211694E-4</v>
      </c>
      <c r="X188" s="29">
        <f>_xll.qlDayCounterYearFraction(DayCounter,SettlementDate,S188,,,Trigger)</f>
        <v>43.894444444444446</v>
      </c>
      <c r="Y188" s="29">
        <f>_xll.qlDayCounterYearFraction(DayCounter,S188,T188)</f>
        <v>0.25277777777777777</v>
      </c>
      <c r="Z188" s="29">
        <f>IF($M$13,_xll.qlYieldTSDiscount(Currency&amp;"ON",S188)/(1+V188*Y188),1)</f>
        <v>1</v>
      </c>
      <c r="AA188" s="30">
        <f>_xll.qlTenorBasisValue(TenorBasis3M,S188,InterestRatesTrigger)</f>
        <v>1.8797284214264472E-4</v>
      </c>
      <c r="AB188" s="74">
        <f t="shared" si="16"/>
        <v>1.1800268184691149E-2</v>
      </c>
      <c r="AC188" s="76">
        <f t="shared" si="17"/>
        <v>1.0038482624813163</v>
      </c>
    </row>
    <row r="189" spans="16:29" x14ac:dyDescent="0.2">
      <c r="P189" s="33">
        <v>3</v>
      </c>
      <c r="Q189" s="27" t="str">
        <f>_xll.qlPeriodEquivalent(Q188&amp;"+"&amp;P189&amp;"M")</f>
        <v>43Y6M</v>
      </c>
      <c r="R189" s="28">
        <f>_xll.qlCalendarAdvance(Calendar,SettlementDate,Q189,"f",,Trigger)</f>
        <v>58167</v>
      </c>
      <c r="S189" s="28">
        <f>_xll.qlInterestRateIndexValueDate(Index,R189,Trigger)</f>
        <v>58169</v>
      </c>
      <c r="T189" s="28">
        <f>_xll.qlInterestRateIndexMaturity(Index,S189,Trigger)</f>
        <v>58260</v>
      </c>
      <c r="U189" s="30">
        <f>_xll.qlIndexFixing($M$5,R189,TRUE,InterestRatesTrigger)</f>
        <v>1.154465252214773E-2</v>
      </c>
      <c r="V189" s="74">
        <f>_xll.qlIndexFixing(Index,R189,TRUE,InterestRatesTrigger)</f>
        <v>1.1685753840205969E-2</v>
      </c>
      <c r="W189" s="30">
        <f t="shared" si="15"/>
        <v>1.4110131805823885E-4</v>
      </c>
      <c r="X189" s="29">
        <f>_xll.qlDayCounterYearFraction(DayCounter,SettlementDate,S189,,,Trigger)</f>
        <v>44.138888888888886</v>
      </c>
      <c r="Y189" s="29">
        <f>_xll.qlDayCounterYearFraction(DayCounter,S189,T189)</f>
        <v>0.25277777777777777</v>
      </c>
      <c r="Z189" s="29">
        <f>IF($M$13,_xll.qlYieldTSDiscount(Currency&amp;"ON",S189)/(1+V189*Y189),1)</f>
        <v>1</v>
      </c>
      <c r="AA189" s="30">
        <f>_xll.qlTenorBasisValue(TenorBasis3M,S189,InterestRatesTrigger)</f>
        <v>1.8741822723760654E-4</v>
      </c>
      <c r="AB189" s="74">
        <f t="shared" si="16"/>
        <v>1.1732070749385337E-2</v>
      </c>
      <c r="AC189" s="76">
        <f t="shared" si="17"/>
        <v>1.0039635362692658</v>
      </c>
    </row>
    <row r="190" spans="16:29" x14ac:dyDescent="0.2">
      <c r="P190" s="33">
        <v>3</v>
      </c>
      <c r="Q190" s="27" t="str">
        <f>_xll.qlPeriodEquivalent(Q189&amp;"+"&amp;P190&amp;"M")</f>
        <v>43Y9M</v>
      </c>
      <c r="R190" s="28">
        <f>_xll.qlCalendarAdvance(Calendar,SettlementDate,Q190,"f",,Trigger)</f>
        <v>58258</v>
      </c>
      <c r="S190" s="28">
        <f>_xll.qlInterestRateIndexValueDate(Index,R190,Trigger)</f>
        <v>58260</v>
      </c>
      <c r="T190" s="28">
        <f>_xll.qlInterestRateIndexMaturity(Index,S190,Trigger)</f>
        <v>58354</v>
      </c>
      <c r="U190" s="30">
        <f>_xll.qlIndexFixing($M$5,R190,TRUE,InterestRatesTrigger)</f>
        <v>1.1480291438324229E-2</v>
      </c>
      <c r="V190" s="74">
        <f>_xll.qlIndexFixing(Index,R190,TRUE,InterestRatesTrigger)</f>
        <v>1.161981319631711E-2</v>
      </c>
      <c r="W190" s="30">
        <f t="shared" si="15"/>
        <v>1.3952175799288036E-4</v>
      </c>
      <c r="X190" s="29">
        <f>_xll.qlDayCounterYearFraction(DayCounter,SettlementDate,S190,,,Trigger)</f>
        <v>44.391666666666666</v>
      </c>
      <c r="Y190" s="29">
        <f>_xll.qlDayCounterYearFraction(DayCounter,S190,T190)</f>
        <v>0.26111111111111113</v>
      </c>
      <c r="Z190" s="29">
        <f>IF($M$13,_xll.qlYieldTSDiscount(Currency&amp;"ON",S190)/(1+V190*Y190),1)</f>
        <v>1</v>
      </c>
      <c r="AA190" s="30">
        <f>_xll.qlTenorBasisValue(TenorBasis3M,S190,InterestRatesTrigger)</f>
        <v>1.8686446826641885E-4</v>
      </c>
      <c r="AB190" s="74">
        <f t="shared" si="16"/>
        <v>1.1667155906590648E-2</v>
      </c>
      <c r="AC190" s="76">
        <f t="shared" si="17"/>
        <v>1.0040743090679414</v>
      </c>
    </row>
    <row r="191" spans="16:29" x14ac:dyDescent="0.2">
      <c r="P191" s="33">
        <v>3</v>
      </c>
      <c r="Q191" s="27" t="str">
        <f>_xll.qlPeriodEquivalent(Q190&amp;"+"&amp;P191&amp;"M")</f>
        <v>44Y</v>
      </c>
      <c r="R191" s="28">
        <f>_xll.qlCalendarAdvance(Calendar,SettlementDate,Q191,"f",,Trigger)</f>
        <v>58350</v>
      </c>
      <c r="S191" s="28">
        <f>_xll.qlInterestRateIndexValueDate(Index,R191,Trigger)</f>
        <v>58354</v>
      </c>
      <c r="T191" s="28">
        <f>_xll.qlInterestRateIndexMaturity(Index,S191,Trigger)</f>
        <v>58446</v>
      </c>
      <c r="U191" s="30">
        <f>_xll.qlIndexFixing($M$5,R191,TRUE,InterestRatesTrigger)</f>
        <v>1.1421014746167534E-2</v>
      </c>
      <c r="V191" s="74">
        <f>_xll.qlIndexFixing(Index,R191,TRUE,InterestRatesTrigger)</f>
        <v>1.1559054863116775E-2</v>
      </c>
      <c r="W191" s="30">
        <f t="shared" si="15"/>
        <v>1.3804011694924095E-4</v>
      </c>
      <c r="X191" s="29">
        <f>_xll.qlDayCounterYearFraction(DayCounter,SettlementDate,S191,,,Trigger)</f>
        <v>44.652777777777779</v>
      </c>
      <c r="Y191" s="29">
        <f>_xll.qlDayCounterYearFraction(DayCounter,S191,T191)</f>
        <v>0.25555555555555554</v>
      </c>
      <c r="Z191" s="29">
        <f>IF($M$13,_xll.qlYieldTSDiscount(Currency&amp;"ON",S191)/(1+V191*Y191),1)</f>
        <v>1</v>
      </c>
      <c r="AA191" s="30">
        <f>_xll.qlTenorBasisValue(TenorBasis3M,S191,InterestRatesTrigger)</f>
        <v>1.8631283607382172E-4</v>
      </c>
      <c r="AB191" s="74">
        <f t="shared" si="16"/>
        <v>1.1607327582241356E-2</v>
      </c>
      <c r="AC191" s="76">
        <f t="shared" si="17"/>
        <v>1.004176182196229</v>
      </c>
    </row>
    <row r="192" spans="16:29" x14ac:dyDescent="0.2">
      <c r="P192" s="33">
        <v>3</v>
      </c>
      <c r="Q192" s="27" t="str">
        <f>_xll.qlPeriodEquivalent(Q191&amp;"+"&amp;P192&amp;"M")</f>
        <v>44Y3M</v>
      </c>
      <c r="R192" s="28">
        <f>_xll.qlCalendarAdvance(Calendar,SettlementDate,Q192,"f",,Trigger)</f>
        <v>58442</v>
      </c>
      <c r="S192" s="28">
        <f>_xll.qlInterestRateIndexValueDate(Index,R192,Trigger)</f>
        <v>58446</v>
      </c>
      <c r="T192" s="28">
        <f>_xll.qlInterestRateIndexMaturity(Index,S192,Trigger)</f>
        <v>58537</v>
      </c>
      <c r="U192" s="30">
        <f>_xll.qlIndexFixing($M$5,R192,TRUE,InterestRatesTrigger)</f>
        <v>1.1369123534758734E-2</v>
      </c>
      <c r="V192" s="74">
        <f>_xll.qlIndexFixing(Index,R192,TRUE,InterestRatesTrigger)</f>
        <v>1.1505837226505469E-2</v>
      </c>
      <c r="W192" s="30">
        <f t="shared" si="15"/>
        <v>1.3671369174673466E-4</v>
      </c>
      <c r="X192" s="29">
        <f>_xll.qlDayCounterYearFraction(DayCounter,SettlementDate,S192,,,Trigger)</f>
        <v>44.908333333333331</v>
      </c>
      <c r="Y192" s="29">
        <f>_xll.qlDayCounterYearFraction(DayCounter,S192,T192)</f>
        <v>0.25277777777777777</v>
      </c>
      <c r="Z192" s="29">
        <f>IF($M$13,_xll.qlYieldTSDiscount(Currency&amp;"ON",S192)/(1+V192*Y192),1)</f>
        <v>1</v>
      </c>
      <c r="AA192" s="30">
        <f>_xll.qlTenorBasisValue(TenorBasis3M,S192,InterestRatesTrigger)</f>
        <v>1.857923053436549E-4</v>
      </c>
      <c r="AB192" s="74">
        <f t="shared" si="16"/>
        <v>1.1554915840102389E-2</v>
      </c>
      <c r="AC192" s="76">
        <f t="shared" si="17"/>
        <v>1.0042655404062089</v>
      </c>
    </row>
    <row r="193" spans="16:29" x14ac:dyDescent="0.2">
      <c r="P193" s="33">
        <v>3</v>
      </c>
      <c r="Q193" s="27" t="str">
        <f>_xll.qlPeriodEquivalent(Q192&amp;"+"&amp;P193&amp;"M")</f>
        <v>44Y6M</v>
      </c>
      <c r="R193" s="28">
        <f>_xll.qlCalendarAdvance(Calendar,SettlementDate,Q193,"f",,Trigger)</f>
        <v>58533</v>
      </c>
      <c r="S193" s="28">
        <f>_xll.qlInterestRateIndexValueDate(Index,R193,Trigger)</f>
        <v>58537</v>
      </c>
      <c r="T193" s="28">
        <f>_xll.qlInterestRateIndexMaturity(Index,S193,Trigger)</f>
        <v>58628</v>
      </c>
      <c r="U193" s="30">
        <f>_xll.qlIndexFixing($M$5,R193,TRUE,InterestRatesTrigger)</f>
        <v>1.1323842909053502E-2</v>
      </c>
      <c r="V193" s="74">
        <f>_xll.qlIndexFixing(Index,R193,TRUE,InterestRatesTrigger)</f>
        <v>1.1459366582381484E-2</v>
      </c>
      <c r="W193" s="30">
        <f t="shared" si="15"/>
        <v>1.3552367332798215E-4</v>
      </c>
      <c r="X193" s="29">
        <f>_xll.qlDayCounterYearFraction(DayCounter,SettlementDate,S193,,,Trigger)</f>
        <v>45.161111111111111</v>
      </c>
      <c r="Y193" s="29">
        <f>_xll.qlDayCounterYearFraction(DayCounter,S193,T193)</f>
        <v>0.25277777777777777</v>
      </c>
      <c r="Z193" s="29">
        <f>IF($M$13,_xll.qlYieldTSDiscount(Currency&amp;"ON",S193)/(1+V193*Y193),1)</f>
        <v>1</v>
      </c>
      <c r="AA193" s="30">
        <f>_xll.qlTenorBasisValue(TenorBasis3M,S193,InterestRatesTrigger)</f>
        <v>1.8529562633322534E-4</v>
      </c>
      <c r="AB193" s="74">
        <f t="shared" si="16"/>
        <v>1.1509138535386727E-2</v>
      </c>
      <c r="AC193" s="76">
        <f t="shared" si="17"/>
        <v>1.0043433424218897</v>
      </c>
    </row>
    <row r="194" spans="16:29" x14ac:dyDescent="0.2">
      <c r="P194" s="33">
        <v>3</v>
      </c>
      <c r="Q194" s="27" t="str">
        <f>_xll.qlPeriodEquivalent(Q193&amp;"+"&amp;P194&amp;"M")</f>
        <v>44Y9M</v>
      </c>
      <c r="R194" s="28">
        <f>_xll.qlCalendarAdvance(Calendar,SettlementDate,Q194,"f",,Trigger)</f>
        <v>58624</v>
      </c>
      <c r="S194" s="28">
        <f>_xll.qlInterestRateIndexValueDate(Index,R194,Trigger)</f>
        <v>58628</v>
      </c>
      <c r="T194" s="28">
        <f>_xll.qlInterestRateIndexMaturity(Index,S194,Trigger)</f>
        <v>58720</v>
      </c>
      <c r="U194" s="30">
        <f>_xll.qlIndexFixing($M$5,R194,TRUE,InterestRatesTrigger)</f>
        <v>1.1284670773962949E-2</v>
      </c>
      <c r="V194" s="74">
        <f>_xll.qlIndexFixing(Index,R194,TRUE,InterestRatesTrigger)</f>
        <v>1.1419127582896664E-2</v>
      </c>
      <c r="W194" s="30">
        <f t="shared" si="15"/>
        <v>1.3445680893371496E-4</v>
      </c>
      <c r="X194" s="29">
        <f>_xll.qlDayCounterYearFraction(DayCounter,SettlementDate,S194,,,Trigger)</f>
        <v>45.413888888888891</v>
      </c>
      <c r="Y194" s="29">
        <f>_xll.qlDayCounterYearFraction(DayCounter,S194,T194)</f>
        <v>0.25555555555555554</v>
      </c>
      <c r="Z194" s="29">
        <f>IF($M$13,_xll.qlYieldTSDiscount(Currency&amp;"ON",S194)/(1+V194*Y194),1)</f>
        <v>1</v>
      </c>
      <c r="AA194" s="30">
        <f>_xll.qlTenorBasisValue(TenorBasis3M,S194,InterestRatesTrigger)</f>
        <v>1.8481642197263937E-4</v>
      </c>
      <c r="AB194" s="74">
        <f t="shared" si="16"/>
        <v>1.1469487195935589E-2</v>
      </c>
      <c r="AC194" s="76">
        <f t="shared" si="17"/>
        <v>1.0044101103760634</v>
      </c>
    </row>
    <row r="195" spans="16:29" x14ac:dyDescent="0.2">
      <c r="P195" s="33">
        <v>3</v>
      </c>
      <c r="Q195" s="27" t="str">
        <f>_xll.qlPeriodEquivalent(Q194&amp;"+"&amp;P195&amp;"M")</f>
        <v>45Y</v>
      </c>
      <c r="R195" s="28">
        <f>_xll.qlCalendarAdvance(Calendar,SettlementDate,Q195,"f",,Trigger)</f>
        <v>58718</v>
      </c>
      <c r="S195" s="28">
        <f>_xll.qlInterestRateIndexValueDate(Index,R195,Trigger)</f>
        <v>58720</v>
      </c>
      <c r="T195" s="28">
        <f>_xll.qlInterestRateIndexMaturity(Index,S195,Trigger)</f>
        <v>58812</v>
      </c>
      <c r="U195" s="30">
        <f>_xll.qlIndexFixing($M$5,R195,TRUE,InterestRatesTrigger)</f>
        <v>1.1251342741128567E-2</v>
      </c>
      <c r="V195" s="74">
        <f>_xll.qlIndexFixing(Index,R195,TRUE,InterestRatesTrigger)</f>
        <v>1.1384849152651078E-2</v>
      </c>
      <c r="W195" s="30">
        <f t="shared" si="15"/>
        <v>1.3350641152251076E-4</v>
      </c>
      <c r="X195" s="29">
        <f>_xll.qlDayCounterYearFraction(DayCounter,SettlementDate,S195,,,Trigger)</f>
        <v>45.669444444444444</v>
      </c>
      <c r="Y195" s="29">
        <f>_xll.qlDayCounterYearFraction(DayCounter,S195,T195)</f>
        <v>0.25555555555555554</v>
      </c>
      <c r="Z195" s="29">
        <f>IF($M$13,_xll.qlYieldTSDiscount(Currency&amp;"ON",S195)/(1+V195*Y195),1)</f>
        <v>1</v>
      </c>
      <c r="AA195" s="30">
        <f>_xll.qlTenorBasisValue(TenorBasis3M,S195,InterestRatesTrigger)</f>
        <v>1.8434910611988869E-4</v>
      </c>
      <c r="AB195" s="74">
        <f t="shared" si="16"/>
        <v>1.1435691847248457E-2</v>
      </c>
      <c r="AC195" s="76">
        <f t="shared" si="17"/>
        <v>1.0044658206635562</v>
      </c>
    </row>
    <row r="196" spans="16:29" x14ac:dyDescent="0.2">
      <c r="P196" s="33">
        <v>3</v>
      </c>
      <c r="Q196" s="27" t="str">
        <f>_xll.qlPeriodEquivalent(Q195&amp;"+"&amp;P196&amp;"M")</f>
        <v>45Y3M</v>
      </c>
      <c r="R196" s="28">
        <f>_xll.qlCalendarAdvance(Calendar,SettlementDate,Q196,"f",,Trigger)</f>
        <v>58809</v>
      </c>
      <c r="S196" s="28">
        <f>_xll.qlInterestRateIndexValueDate(Index,R196,Trigger)</f>
        <v>58811</v>
      </c>
      <c r="T196" s="28">
        <f>_xll.qlInterestRateIndexMaturity(Index,S196,Trigger)</f>
        <v>58901</v>
      </c>
      <c r="U196" s="30">
        <f>_xll.qlIndexFixing($M$5,R196,TRUE,InterestRatesTrigger)</f>
        <v>1.1224435310467129E-2</v>
      </c>
      <c r="V196" s="74">
        <f>_xll.qlIndexFixing(Index,R196,TRUE,InterestRatesTrigger)</f>
        <v>1.1357126388010563E-2</v>
      </c>
      <c r="W196" s="30">
        <f t="shared" si="15"/>
        <v>1.3269107754343423E-4</v>
      </c>
      <c r="X196" s="29">
        <f>_xll.qlDayCounterYearFraction(DayCounter,SettlementDate,S196,,,Trigger)</f>
        <v>45.922222222222224</v>
      </c>
      <c r="Y196" s="29">
        <f>_xll.qlDayCounterYearFraction(DayCounter,S196,T196)</f>
        <v>0.25</v>
      </c>
      <c r="Z196" s="29">
        <f>IF($M$13,_xll.qlYieldTSDiscount(Currency&amp;"ON",S196)/(1+V196*Y196),1)</f>
        <v>1</v>
      </c>
      <c r="AA196" s="30">
        <f>_xll.qlTenorBasisValue(TenorBasis3M,S196,InterestRatesTrigger)</f>
        <v>1.8390325497355195E-4</v>
      </c>
      <c r="AB196" s="74">
        <f t="shared" si="16"/>
        <v>1.1408338565440681E-2</v>
      </c>
      <c r="AC196" s="76">
        <f t="shared" si="17"/>
        <v>1.0045092548661061</v>
      </c>
    </row>
    <row r="197" spans="16:29" x14ac:dyDescent="0.2">
      <c r="P197" s="33">
        <v>3</v>
      </c>
      <c r="Q197" s="27" t="str">
        <f>_xll.qlPeriodEquivalent(Q196&amp;"+"&amp;P197&amp;"M")</f>
        <v>45Y6M</v>
      </c>
      <c r="R197" s="28">
        <f>_xll.qlCalendarAdvance(Calendar,SettlementDate,Q197,"f",,Trigger)</f>
        <v>58900</v>
      </c>
      <c r="S197" s="28">
        <f>_xll.qlInterestRateIndexValueDate(Index,R197,Trigger)</f>
        <v>58902</v>
      </c>
      <c r="T197" s="28">
        <f>_xll.qlInterestRateIndexMaturity(Index,S197,Trigger)</f>
        <v>58993</v>
      </c>
      <c r="U197" s="30">
        <f>_xll.qlIndexFixing($M$5,R197,TRUE,InterestRatesTrigger)</f>
        <v>1.1203768195336009E-2</v>
      </c>
      <c r="V197" s="74">
        <f>_xll.qlIndexFixing(Index,R197,TRUE,InterestRatesTrigger)</f>
        <v>1.1335767971536483E-2</v>
      </c>
      <c r="W197" s="30">
        <f t="shared" si="15"/>
        <v>1.3199977620047439E-4</v>
      </c>
      <c r="X197" s="29">
        <f>_xll.qlDayCounterYearFraction(DayCounter,SettlementDate,S197,,,Trigger)</f>
        <v>46.174999999999997</v>
      </c>
      <c r="Y197" s="29">
        <f>_xll.qlDayCounterYearFraction(DayCounter,S197,T197)</f>
        <v>0.25277777777777777</v>
      </c>
      <c r="Z197" s="29">
        <f>IF($M$13,_xll.qlYieldTSDiscount(Currency&amp;"ON",S197)/(1+V197*Y197),1)</f>
        <v>1</v>
      </c>
      <c r="AA197" s="30">
        <f>_xll.qlTenorBasisValue(TenorBasis3M,S197,InterestRatesTrigger)</f>
        <v>1.8347313890270531E-4</v>
      </c>
      <c r="AB197" s="74">
        <f t="shared" si="16"/>
        <v>1.1387241334238714E-2</v>
      </c>
      <c r="AC197" s="76">
        <f t="shared" si="17"/>
        <v>1.0045407918397304</v>
      </c>
    </row>
    <row r="198" spans="16:29" x14ac:dyDescent="0.2">
      <c r="P198" s="33">
        <v>3</v>
      </c>
      <c r="Q198" s="27" t="str">
        <f>_xll.qlPeriodEquivalent(Q197&amp;"+"&amp;P198&amp;"M")</f>
        <v>45Y9M</v>
      </c>
      <c r="R198" s="28">
        <f>_xll.qlCalendarAdvance(Calendar,SettlementDate,Q198,"f",,Trigger)</f>
        <v>58991</v>
      </c>
      <c r="S198" s="28">
        <f>_xll.qlInterestRateIndexValueDate(Index,R198,Trigger)</f>
        <v>58993</v>
      </c>
      <c r="T198" s="28">
        <f>_xll.qlInterestRateIndexMaturity(Index,S198,Trigger)</f>
        <v>59085</v>
      </c>
      <c r="U198" s="30">
        <f>_xll.qlIndexFixing($M$5,R198,TRUE,InterestRatesTrigger)</f>
        <v>1.1189291349692151E-2</v>
      </c>
      <c r="V198" s="74">
        <f>_xll.qlIndexFixing(Index,R198,TRUE,InterestRatesTrigger)</f>
        <v>1.1320725432864E-2</v>
      </c>
      <c r="W198" s="30">
        <f t="shared" si="15"/>
        <v>1.3143408317184933E-4</v>
      </c>
      <c r="X198" s="29">
        <f>_xll.qlDayCounterYearFraction(DayCounter,SettlementDate,S198,,,Trigger)</f>
        <v>46.427777777777777</v>
      </c>
      <c r="Y198" s="29">
        <f>_xll.qlDayCounterYearFraction(DayCounter,S198,T198)</f>
        <v>0.25555555555555554</v>
      </c>
      <c r="Z198" s="29">
        <f>IF($M$13,_xll.qlYieldTSDiscount(Currency&amp;"ON",S198)/(1+V198*Y198),1)</f>
        <v>1</v>
      </c>
      <c r="AA198" s="30">
        <f>_xll.qlTenorBasisValue(TenorBasis3M,S198,InterestRatesTrigger)</f>
        <v>1.8305821780631633E-4</v>
      </c>
      <c r="AB198" s="74">
        <f t="shared" si="16"/>
        <v>1.1372349567498467E-2</v>
      </c>
      <c r="AC198" s="76">
        <f t="shared" si="17"/>
        <v>1.0045601436887253</v>
      </c>
    </row>
    <row r="199" spans="16:29" x14ac:dyDescent="0.2">
      <c r="P199" s="33">
        <v>3</v>
      </c>
      <c r="Q199" s="27" t="str">
        <f>_xll.qlPeriodEquivalent(Q198&amp;"+"&amp;P199&amp;"M")</f>
        <v>46Y</v>
      </c>
      <c r="R199" s="28">
        <f>_xll.qlCalendarAdvance(Calendar,SettlementDate,Q199,"f",,Trigger)</f>
        <v>59082</v>
      </c>
      <c r="S199" s="28">
        <f>_xll.qlInterestRateIndexValueDate(Index,R199,Trigger)</f>
        <v>59084</v>
      </c>
      <c r="T199" s="28">
        <f>_xll.qlInterestRateIndexMaturity(Index,S199,Trigger)</f>
        <v>59176</v>
      </c>
      <c r="U199" s="30">
        <f>_xll.qlIndexFixing($M$5,R199,TRUE,InterestRatesTrigger)</f>
        <v>1.1180855554012763E-2</v>
      </c>
      <c r="V199" s="74">
        <f>_xll.qlIndexFixing(Index,R199,TRUE,InterestRatesTrigger)</f>
        <v>1.131184745137925E-2</v>
      </c>
      <c r="W199" s="30">
        <f t="shared" si="15"/>
        <v>1.3099189736648711E-4</v>
      </c>
      <c r="X199" s="29">
        <f>_xll.qlDayCounterYearFraction(DayCounter,SettlementDate,S199,,,Trigger)</f>
        <v>46.680555555555557</v>
      </c>
      <c r="Y199" s="29">
        <f>_xll.qlDayCounterYearFraction(DayCounter,S199,T199)</f>
        <v>0.25555555555555554</v>
      </c>
      <c r="Z199" s="29">
        <f>IF($M$13,_xll.qlYieldTSDiscount(Currency&amp;"ON",S199)/(1+V199*Y199),1)</f>
        <v>1</v>
      </c>
      <c r="AA199" s="30">
        <f>_xll.qlTenorBasisValue(TenorBasis3M,S199,InterestRatesTrigger)</f>
        <v>1.8265796939215761E-4</v>
      </c>
      <c r="AB199" s="74">
        <f t="shared" si="16"/>
        <v>1.1363513523404921E-2</v>
      </c>
      <c r="AC199" s="76">
        <f t="shared" si="17"/>
        <v>1.0045674300548821</v>
      </c>
    </row>
    <row r="200" spans="16:29" x14ac:dyDescent="0.2">
      <c r="P200" s="33">
        <v>3</v>
      </c>
      <c r="Q200" s="27" t="str">
        <f>_xll.qlPeriodEquivalent(Q199&amp;"+"&amp;P200&amp;"M")</f>
        <v>46Y3M</v>
      </c>
      <c r="R200" s="28">
        <f>_xll.qlCalendarAdvance(Calendar,SettlementDate,Q200,"f",,Trigger)</f>
        <v>59173</v>
      </c>
      <c r="S200" s="28">
        <f>_xll.qlInterestRateIndexValueDate(Index,R200,Trigger)</f>
        <v>59175</v>
      </c>
      <c r="T200" s="28">
        <f>_xll.qlInterestRateIndexMaturity(Index,S200,Trigger)</f>
        <v>59265</v>
      </c>
      <c r="U200" s="30">
        <f>_xll.qlIndexFixing($M$5,R200,TRUE,InterestRatesTrigger)</f>
        <v>1.117817780846142E-2</v>
      </c>
      <c r="V200" s="74">
        <f>_xll.qlIndexFixing(Index,R200,TRUE,InterestRatesTrigger)</f>
        <v>1.1308846248810234E-2</v>
      </c>
      <c r="W200" s="30">
        <f t="shared" si="15"/>
        <v>1.3066844034881342E-4</v>
      </c>
      <c r="X200" s="29">
        <f>_xll.qlDayCounterYearFraction(DayCounter,SettlementDate,S200,,,Trigger)</f>
        <v>46.93333333333333</v>
      </c>
      <c r="Y200" s="29">
        <f>_xll.qlDayCounterYearFraction(DayCounter,S200,T200)</f>
        <v>0.25</v>
      </c>
      <c r="Z200" s="29">
        <f>IF($M$13,_xll.qlYieldTSDiscount(Currency&amp;"ON",S200)/(1+V200*Y200),1)</f>
        <v>1</v>
      </c>
      <c r="AA200" s="30">
        <f>_xll.qlTenorBasisValue(TenorBasis3M,S200,InterestRatesTrigger)</f>
        <v>1.8227188862558215E-4</v>
      </c>
      <c r="AB200" s="74">
        <f t="shared" si="16"/>
        <v>1.1360449697087003E-2</v>
      </c>
      <c r="AC200" s="76">
        <f t="shared" si="17"/>
        <v>1.0045631045945291</v>
      </c>
    </row>
    <row r="201" spans="16:29" x14ac:dyDescent="0.2">
      <c r="P201" s="33">
        <v>3</v>
      </c>
      <c r="Q201" s="27" t="str">
        <f>_xll.qlPeriodEquivalent(Q200&amp;"+"&amp;P201&amp;"M")</f>
        <v>46Y6M</v>
      </c>
      <c r="R201" s="28">
        <f>_xll.qlCalendarAdvance(Calendar,SettlementDate,Q201,"f",,Trigger)</f>
        <v>59264</v>
      </c>
      <c r="S201" s="28">
        <f>_xll.qlInterestRateIndexValueDate(Index,R201,Trigger)</f>
        <v>59266</v>
      </c>
      <c r="T201" s="28">
        <f>_xll.qlInterestRateIndexMaturity(Index,S201,Trigger)</f>
        <v>59357</v>
      </c>
      <c r="U201" s="30">
        <f>_xll.qlIndexFixing($M$5,R201,TRUE,InterestRatesTrigger)</f>
        <v>1.1182138864097422E-2</v>
      </c>
      <c r="V201" s="74">
        <f>_xll.qlIndexFixing(Index,R201,TRUE,InterestRatesTrigger)</f>
        <v>1.1312615795118709E-2</v>
      </c>
      <c r="W201" s="30">
        <f t="shared" si="15"/>
        <v>1.30476931021287E-4</v>
      </c>
      <c r="X201" s="29">
        <f>_xll.qlDayCounterYearFraction(DayCounter,SettlementDate,S201,,,Trigger)</f>
        <v>47.18611111111111</v>
      </c>
      <c r="Y201" s="29">
        <f>_xll.qlDayCounterYearFraction(DayCounter,S201,T201)</f>
        <v>0.25277777777777777</v>
      </c>
      <c r="Z201" s="29">
        <f>IF($M$13,_xll.qlYieldTSDiscount(Currency&amp;"ON",S201)/(1+V201*Y201),1)</f>
        <v>1</v>
      </c>
      <c r="AA201" s="30">
        <f>_xll.qlTenorBasisValue(TenorBasis3M,S201,InterestRatesTrigger)</f>
        <v>1.8189948719351347E-4</v>
      </c>
      <c r="AB201" s="74">
        <f t="shared" si="16"/>
        <v>1.1364038351290935E-2</v>
      </c>
      <c r="AC201" s="76">
        <f t="shared" si="17"/>
        <v>1.0045455937957706</v>
      </c>
    </row>
    <row r="202" spans="16:29" x14ac:dyDescent="0.2">
      <c r="P202" s="33">
        <v>3</v>
      </c>
      <c r="Q202" s="27" t="str">
        <f>_xll.qlPeriodEquivalent(Q201&amp;"+"&amp;P202&amp;"M")</f>
        <v>46Y9M</v>
      </c>
      <c r="R202" s="28">
        <f>_xll.qlCalendarAdvance(Calendar,SettlementDate,Q202,"f",,Trigger)</f>
        <v>59355</v>
      </c>
      <c r="S202" s="28">
        <f>_xll.qlInterestRateIndexValueDate(Index,R202,Trigger)</f>
        <v>59357</v>
      </c>
      <c r="T202" s="28">
        <f>_xll.qlInterestRateIndexMaturity(Index,S202,Trigger)</f>
        <v>59449</v>
      </c>
      <c r="U202" s="30">
        <f>_xll.qlIndexFixing($M$5,R202,TRUE,InterestRatesTrigger)</f>
        <v>1.1192291618462098E-2</v>
      </c>
      <c r="V202" s="74">
        <f>_xll.qlIndexFixing(Index,R202,TRUE,InterestRatesTrigger)</f>
        <v>1.1322702688565776E-2</v>
      </c>
      <c r="W202" s="30">
        <f t="shared" si="15"/>
        <v>1.3041107010367849E-4</v>
      </c>
      <c r="X202" s="29">
        <f>_xll.qlDayCounterYearFraction(DayCounter,SettlementDate,S202,,,Trigger)</f>
        <v>47.43888888888889</v>
      </c>
      <c r="Y202" s="29">
        <f>_xll.qlDayCounterYearFraction(DayCounter,S202,T202)</f>
        <v>0.25555555555555554</v>
      </c>
      <c r="Z202" s="29">
        <f>IF($M$13,_xll.qlYieldTSDiscount(Currency&amp;"ON",S202)/(1+V202*Y202),1)</f>
        <v>1</v>
      </c>
      <c r="AA202" s="30">
        <f>_xll.qlTenorBasisValue(TenorBasis3M,S202,InterestRatesTrigger)</f>
        <v>1.8154029298333155E-4</v>
      </c>
      <c r="AB202" s="74">
        <f t="shared" si="16"/>
        <v>1.1373831911445429E-2</v>
      </c>
      <c r="AC202" s="76">
        <f t="shared" si="17"/>
        <v>1.0045156376782096</v>
      </c>
    </row>
    <row r="203" spans="16:29" x14ac:dyDescent="0.2">
      <c r="P203" s="33">
        <v>3</v>
      </c>
      <c r="Q203" s="27" t="str">
        <f>_xll.qlPeriodEquivalent(Q202&amp;"+"&amp;P203&amp;"M")</f>
        <v>47Y</v>
      </c>
      <c r="R203" s="28">
        <f>_xll.qlCalendarAdvance(Calendar,SettlementDate,Q203,"f",,Trigger)</f>
        <v>59446</v>
      </c>
      <c r="S203" s="28">
        <f>_xll.qlInterestRateIndexValueDate(Index,R203,Trigger)</f>
        <v>59448</v>
      </c>
      <c r="T203" s="28">
        <f>_xll.qlInterestRateIndexMaturity(Index,S203,Trigger)</f>
        <v>59540</v>
      </c>
      <c r="U203" s="30">
        <f>_xll.qlIndexFixing($M$5,R203,TRUE,InterestRatesTrigger)</f>
        <v>1.1208351516595196E-2</v>
      </c>
      <c r="V203" s="74">
        <f>_xll.qlIndexFixing(Index,R203,TRUE,InterestRatesTrigger)</f>
        <v>1.1338817552455168E-2</v>
      </c>
      <c r="W203" s="30">
        <f t="shared" si="15"/>
        <v>1.304660358599722E-4</v>
      </c>
      <c r="X203" s="29">
        <f>_xll.qlDayCounterYearFraction(DayCounter,SettlementDate,S203,,,Trigger)</f>
        <v>47.69166666666667</v>
      </c>
      <c r="Y203" s="29">
        <f>_xll.qlDayCounterYearFraction(DayCounter,S203,T203)</f>
        <v>0.25555555555555554</v>
      </c>
      <c r="Z203" s="29">
        <f>IF($M$13,_xll.qlYieldTSDiscount(Currency&amp;"ON",S203)/(1+V203*Y203),1)</f>
        <v>1</v>
      </c>
      <c r="AA203" s="30">
        <f>_xll.qlTenorBasisValue(TenorBasis3M,S203,InterestRatesTrigger)</f>
        <v>1.8119384957633643E-4</v>
      </c>
      <c r="AB203" s="74">
        <f t="shared" si="16"/>
        <v>1.1389545366171532E-2</v>
      </c>
      <c r="AC203" s="76">
        <f t="shared" si="17"/>
        <v>1.0044738186748035</v>
      </c>
    </row>
    <row r="204" spans="16:29" x14ac:dyDescent="0.2">
      <c r="P204" s="33">
        <v>3</v>
      </c>
      <c r="Q204" s="27" t="str">
        <f>_xll.qlPeriodEquivalent(Q203&amp;"+"&amp;P204&amp;"M")</f>
        <v>47Y3M</v>
      </c>
      <c r="R204" s="28">
        <f>_xll.qlCalendarAdvance(Calendar,SettlementDate,Q204,"f",,Trigger)</f>
        <v>59538</v>
      </c>
      <c r="S204" s="28">
        <f>_xll.qlInterestRateIndexValueDate(Index,R204,Trigger)</f>
        <v>59540</v>
      </c>
      <c r="T204" s="28">
        <f>_xll.qlInterestRateIndexMaturity(Index,S204,Trigger)</f>
        <v>59630</v>
      </c>
      <c r="U204" s="30">
        <f>_xll.qlIndexFixing($M$5,R204,TRUE,InterestRatesTrigger)</f>
        <v>1.1230174234036383E-2</v>
      </c>
      <c r="V204" s="74">
        <f>_xll.qlIndexFixing(Index,R204,TRUE,InterestRatesTrigger)</f>
        <v>1.1360811110907143E-2</v>
      </c>
      <c r="W204" s="30">
        <f t="shared" si="15"/>
        <v>1.3063687687075998E-4</v>
      </c>
      <c r="X204" s="29">
        <f>_xll.qlDayCounterYearFraction(DayCounter,SettlementDate,S204,,,Trigger)</f>
        <v>47.947222222222223</v>
      </c>
      <c r="Y204" s="29">
        <f>_xll.qlDayCounterYearFraction(DayCounter,S204,T204)</f>
        <v>0.25</v>
      </c>
      <c r="Z204" s="29">
        <f>IF($M$13,_xll.qlYieldTSDiscount(Currency&amp;"ON",S204)/(1+V204*Y204),1)</f>
        <v>1</v>
      </c>
      <c r="AA204" s="30">
        <f>_xll.qlTenorBasisValue(TenorBasis3M,S204,InterestRatesTrigger)</f>
        <v>1.8085611073218445E-4</v>
      </c>
      <c r="AB204" s="74">
        <f t="shared" si="16"/>
        <v>1.1411030344768567E-2</v>
      </c>
      <c r="AC204" s="76">
        <f t="shared" si="17"/>
        <v>1.0044203915874643</v>
      </c>
    </row>
    <row r="205" spans="16:29" x14ac:dyDescent="0.2">
      <c r="P205" s="33">
        <v>3</v>
      </c>
      <c r="Q205" s="27" t="str">
        <f>_xll.qlPeriodEquivalent(Q204&amp;"+"&amp;P205&amp;"M")</f>
        <v>47Y6M</v>
      </c>
      <c r="R205" s="28">
        <f>_xll.qlCalendarAdvance(Calendar,SettlementDate,Q205,"f",,Trigger)</f>
        <v>59628</v>
      </c>
      <c r="S205" s="28">
        <f>_xll.qlInterestRateIndexValueDate(Index,R205,Trigger)</f>
        <v>59630</v>
      </c>
      <c r="T205" s="28">
        <f>_xll.qlInterestRateIndexMaturity(Index,S205,Trigger)</f>
        <v>59721</v>
      </c>
      <c r="U205" s="30">
        <f>_xll.qlIndexFixing($M$5,R205,TRUE,InterestRatesTrigger)</f>
        <v>1.1258489744080624E-2</v>
      </c>
      <c r="V205" s="74">
        <f>_xll.qlIndexFixing(Index,R205,TRUE,InterestRatesTrigger)</f>
        <v>1.1389432347743457E-2</v>
      </c>
      <c r="W205" s="30">
        <f t="shared" si="15"/>
        <v>1.3094260366283347E-4</v>
      </c>
      <c r="X205" s="29">
        <f>_xll.qlDayCounterYearFraction(DayCounter,SettlementDate,S205,,,Trigger)</f>
        <v>48.197222222222223</v>
      </c>
      <c r="Y205" s="29">
        <f>_xll.qlDayCounterYearFraction(DayCounter,S205,T205)</f>
        <v>0.25277777777777777</v>
      </c>
      <c r="Z205" s="29">
        <f>IF($M$13,_xll.qlYieldTSDiscount(Currency&amp;"ON",S205)/(1+V205*Y205),1)</f>
        <v>1</v>
      </c>
      <c r="AA205" s="30">
        <f>_xll.qlTenorBasisValue(TenorBasis3M,S205,InterestRatesTrigger)</f>
        <v>1.8053746502699039E-4</v>
      </c>
      <c r="AB205" s="74">
        <f t="shared" si="16"/>
        <v>1.1439027209107614E-2</v>
      </c>
      <c r="AC205" s="76">
        <f t="shared" si="17"/>
        <v>1.0043544629661885</v>
      </c>
    </row>
    <row r="206" spans="16:29" x14ac:dyDescent="0.2">
      <c r="P206" s="33">
        <v>3</v>
      </c>
      <c r="Q206" s="27" t="str">
        <f>_xll.qlPeriodEquivalent(Q205&amp;"+"&amp;P206&amp;"M")</f>
        <v>47Y9M</v>
      </c>
      <c r="R206" s="28">
        <f>_xll.qlCalendarAdvance(Calendar,SettlementDate,Q206,"f",,Trigger)</f>
        <v>59719</v>
      </c>
      <c r="S206" s="28">
        <f>_xll.qlInterestRateIndexValueDate(Index,R206,Trigger)</f>
        <v>59721</v>
      </c>
      <c r="T206" s="28">
        <f>_xll.qlInterestRateIndexMaturity(Index,S206,Trigger)</f>
        <v>59813</v>
      </c>
      <c r="U206" s="30">
        <f>_xll.qlIndexFixing($M$5,R206,TRUE,InterestRatesTrigger)</f>
        <v>1.1293275893570258E-2</v>
      </c>
      <c r="V206" s="74">
        <f>_xll.qlIndexFixing(Index,R206,TRUE,InterestRatesTrigger)</f>
        <v>1.142465257622125E-2</v>
      </c>
      <c r="W206" s="30">
        <f t="shared" si="15"/>
        <v>1.3137668265099205E-4</v>
      </c>
      <c r="X206" s="29">
        <f>_xll.qlDayCounterYearFraction(DayCounter,SettlementDate,S206,,,Trigger)</f>
        <v>48.45</v>
      </c>
      <c r="Y206" s="29">
        <f>_xll.qlDayCounterYearFraction(DayCounter,S206,T206)</f>
        <v>0.25555555555555554</v>
      </c>
      <c r="Z206" s="29">
        <f>IF($M$13,_xll.qlYieldTSDiscount(Currency&amp;"ON",S206)/(1+V206*Y206),1)</f>
        <v>1</v>
      </c>
      <c r="AA206" s="30">
        <f>_xll.qlTenorBasisValue(TenorBasis3M,S206,InterestRatesTrigger)</f>
        <v>1.8022668515575466E-4</v>
      </c>
      <c r="AB206" s="74">
        <f t="shared" si="16"/>
        <v>1.1473502578726013E-2</v>
      </c>
      <c r="AC206" s="76">
        <f t="shared" si="17"/>
        <v>1.004275841403391</v>
      </c>
    </row>
    <row r="207" spans="16:29" x14ac:dyDescent="0.2">
      <c r="P207" s="33">
        <v>3</v>
      </c>
      <c r="Q207" s="27" t="str">
        <f>_xll.qlPeriodEquivalent(Q206&amp;"+"&amp;P207&amp;"M")</f>
        <v>48Y</v>
      </c>
      <c r="R207" s="28">
        <f>_xll.qlCalendarAdvance(Calendar,SettlementDate,Q207,"f",,Trigger)</f>
        <v>59811</v>
      </c>
      <c r="S207" s="28">
        <f>_xll.qlInterestRateIndexValueDate(Index,R207,Trigger)</f>
        <v>59813</v>
      </c>
      <c r="T207" s="28">
        <f>_xll.qlInterestRateIndexMaturity(Index,S207,Trigger)</f>
        <v>59905</v>
      </c>
      <c r="U207" s="30">
        <f>_xll.qlIndexFixing($M$5,R207,TRUE,InterestRatesTrigger)</f>
        <v>1.1334312388805204E-2</v>
      </c>
      <c r="V207" s="74">
        <f>_xll.qlIndexFixing(Index,R207,TRUE,InterestRatesTrigger)</f>
        <v>1.1466247975389764E-2</v>
      </c>
      <c r="W207" s="30">
        <f t="shared" si="15"/>
        <v>1.3193558658456013E-4</v>
      </c>
      <c r="X207" s="29">
        <f>_xll.qlDayCounterYearFraction(DayCounter,SettlementDate,S207,,,Trigger)</f>
        <v>48.705555555555556</v>
      </c>
      <c r="Y207" s="29">
        <f>_xll.qlDayCounterYearFraction(DayCounter,S207,T207)</f>
        <v>0.25555555555555554</v>
      </c>
      <c r="Z207" s="29">
        <f>IF($M$13,_xll.qlYieldTSDiscount(Currency&amp;"ON",S207)/(1+V207*Y207),1)</f>
        <v>1</v>
      </c>
      <c r="AA207" s="30">
        <f>_xll.qlTenorBasisValue(TenorBasis3M,S207,InterestRatesTrigger)</f>
        <v>1.799237442856654E-4</v>
      </c>
      <c r="AB207" s="74">
        <f t="shared" si="16"/>
        <v>1.1514236133090869E-2</v>
      </c>
      <c r="AC207" s="76">
        <f t="shared" si="17"/>
        <v>1.0041851665692301</v>
      </c>
    </row>
    <row r="208" spans="16:29" x14ac:dyDescent="0.2">
      <c r="P208" s="33">
        <v>3</v>
      </c>
      <c r="Q208" s="27" t="str">
        <f>_xll.qlPeriodEquivalent(Q207&amp;"+"&amp;P208&amp;"M")</f>
        <v>48Y3M</v>
      </c>
      <c r="R208" s="28">
        <f>_xll.qlCalendarAdvance(Calendar,SettlementDate,Q208,"f",,Trigger)</f>
        <v>59903</v>
      </c>
      <c r="S208" s="28">
        <f>_xll.qlInterestRateIndexValueDate(Index,R208,Trigger)</f>
        <v>59905</v>
      </c>
      <c r="T208" s="28">
        <f>_xll.qlInterestRateIndexMaturity(Index,S208,Trigger)</f>
        <v>60000</v>
      </c>
      <c r="U208" s="30">
        <f>_xll.qlIndexFixing($M$5,R208,TRUE,InterestRatesTrigger)</f>
        <v>1.1382988479498479E-2</v>
      </c>
      <c r="V208" s="74">
        <f>_xll.qlIndexFixing(Index,R208,TRUE,InterestRatesTrigger)</f>
        <v>1.1515635249425296E-2</v>
      </c>
      <c r="W208" s="30">
        <f t="shared" si="15"/>
        <v>1.326467699268169E-4</v>
      </c>
      <c r="X208" s="29">
        <f>_xll.qlDayCounterYearFraction(DayCounter,SettlementDate,S208,,,Trigger)</f>
        <v>48.961111111111109</v>
      </c>
      <c r="Y208" s="29">
        <f>_xll.qlDayCounterYearFraction(DayCounter,S208,T208)</f>
        <v>0.2638888888888889</v>
      </c>
      <c r="Z208" s="29">
        <f>IF($M$13,_xll.qlYieldTSDiscount(Currency&amp;"ON",S208)/(1+V208*Y208),1)</f>
        <v>1</v>
      </c>
      <c r="AA208" s="30">
        <f>_xll.qlTenorBasisValue(TenorBasis3M,S208,InterestRatesTrigger)</f>
        <v>1.7963172273737659E-4</v>
      </c>
      <c r="AB208" s="74">
        <f t="shared" si="16"/>
        <v>1.1562620202235856E-2</v>
      </c>
      <c r="AC208" s="76">
        <f t="shared" si="17"/>
        <v>1.0040801008188327</v>
      </c>
    </row>
    <row r="209" spans="16:29" x14ac:dyDescent="0.2">
      <c r="P209" s="33">
        <v>3</v>
      </c>
      <c r="Q209" s="27" t="str">
        <f>_xll.qlPeriodEquivalent(Q208&amp;"+"&amp;P209&amp;"M")</f>
        <v>48Y6M</v>
      </c>
      <c r="R209" s="28">
        <f>_xll.qlCalendarAdvance(Calendar,SettlementDate,Q209,"f",,Trigger)</f>
        <v>59994</v>
      </c>
      <c r="S209" s="28">
        <f>_xll.qlInterestRateIndexValueDate(Index,R209,Trigger)</f>
        <v>60000</v>
      </c>
      <c r="T209" s="28">
        <f>_xll.qlInterestRateIndexMaturity(Index,S209,Trigger)</f>
        <v>60091</v>
      </c>
      <c r="U209" s="30">
        <f>_xll.qlIndexFixing($M$5,R209,TRUE,InterestRatesTrigger)</f>
        <v>1.1436521125217659E-2</v>
      </c>
      <c r="V209" s="74">
        <f>_xll.qlIndexFixing(Index,R209,TRUE,InterestRatesTrigger)</f>
        <v>1.1569975187720067E-2</v>
      </c>
      <c r="W209" s="30">
        <f t="shared" si="15"/>
        <v>1.3345406250240763E-4</v>
      </c>
      <c r="X209" s="29">
        <f>_xll.qlDayCounterYearFraction(DayCounter,SettlementDate,S209,,,Trigger)</f>
        <v>49.225000000000001</v>
      </c>
      <c r="Y209" s="29">
        <f>_xll.qlDayCounterYearFraction(DayCounter,S209,T209)</f>
        <v>0.25277777777777777</v>
      </c>
      <c r="Z209" s="29">
        <f>IF($M$13,_xll.qlYieldTSDiscount(Currency&amp;"ON",S209)/(1+V209*Y209),1)</f>
        <v>1</v>
      </c>
      <c r="AA209" s="30">
        <f>_xll.qlTenorBasisValue(TenorBasis3M,S209,InterestRatesTrigger)</f>
        <v>1.7934123039700799E-4</v>
      </c>
      <c r="AB209" s="74">
        <f t="shared" si="16"/>
        <v>1.1615862355614667E-2</v>
      </c>
      <c r="AC209" s="76">
        <f t="shared" si="17"/>
        <v>1.0039660558601113</v>
      </c>
    </row>
    <row r="210" spans="16:29" x14ac:dyDescent="0.2">
      <c r="P210" s="33">
        <v>3</v>
      </c>
      <c r="Q210" s="27" t="str">
        <f>_xll.qlPeriodEquivalent(Q209&amp;"+"&amp;P210&amp;"M")</f>
        <v>48Y9M</v>
      </c>
      <c r="R210" s="28">
        <f>_xll.qlCalendarAdvance(Calendar,SettlementDate,Q210,"f",,Trigger)</f>
        <v>60085</v>
      </c>
      <c r="S210" s="28">
        <f>_xll.qlInterestRateIndexValueDate(Index,R210,Trigger)</f>
        <v>60087</v>
      </c>
      <c r="T210" s="28">
        <f>_xll.qlInterestRateIndexMaturity(Index,S210,Trigger)</f>
        <v>60181</v>
      </c>
      <c r="U210" s="30">
        <f>_xll.qlIndexFixing($M$5,R210,TRUE,InterestRatesTrigger)</f>
        <v>1.1494676936259223E-2</v>
      </c>
      <c r="V210" s="74">
        <f>_xll.qlIndexFixing(Index,R210,TRUE,InterestRatesTrigger)</f>
        <v>1.1629049549243004E-2</v>
      </c>
      <c r="W210" s="30">
        <f t="shared" si="15"/>
        <v>1.3437261298378071E-4</v>
      </c>
      <c r="X210" s="29">
        <f>_xll.qlDayCounterYearFraction(DayCounter,SettlementDate,S210,,,Trigger)</f>
        <v>49.466666666666669</v>
      </c>
      <c r="Y210" s="29">
        <f>_xll.qlDayCounterYearFraction(DayCounter,S210,T210)</f>
        <v>0.26111111111111113</v>
      </c>
      <c r="Z210" s="29">
        <f>IF($M$13,_xll.qlYieldTSDiscount(Currency&amp;"ON",S210)/(1+V210*Y210),1)</f>
        <v>1</v>
      </c>
      <c r="AA210" s="30">
        <f>_xll.qlTenorBasisValue(TenorBasis3M,S210,InterestRatesTrigger)</f>
        <v>1.7908470625665237E-4</v>
      </c>
      <c r="AB210" s="74">
        <f t="shared" si="16"/>
        <v>1.1673761642515875E-2</v>
      </c>
      <c r="AC210" s="76">
        <f t="shared" si="17"/>
        <v>1.0038448622205571</v>
      </c>
    </row>
    <row r="211" spans="16:29" x14ac:dyDescent="0.2">
      <c r="P211" s="33">
        <v>3</v>
      </c>
      <c r="Q211" s="27" t="str">
        <f>_xll.qlPeriodEquivalent(Q210&amp;"+"&amp;P211&amp;"M")</f>
        <v>49Y</v>
      </c>
      <c r="R211" s="28">
        <f>_xll.qlCalendarAdvance(Calendar,SettlementDate,Q211,"f",,Trigger)</f>
        <v>60177</v>
      </c>
      <c r="S211" s="28">
        <f>_xll.qlInterestRateIndexValueDate(Index,R211,Trigger)</f>
        <v>60181</v>
      </c>
      <c r="T211" s="28">
        <f>_xll.qlInterestRateIndexMaturity(Index,S211,Trigger)</f>
        <v>60273</v>
      </c>
      <c r="U211" s="30">
        <f>_xll.qlIndexFixing($M$5,R211,TRUE,InterestRatesTrigger)</f>
        <v>1.15610605462772E-2</v>
      </c>
      <c r="V211" s="74">
        <f>_xll.qlIndexFixing(Index,R211,TRUE,InterestRatesTrigger)</f>
        <v>1.1696502388607505E-2</v>
      </c>
      <c r="W211" s="30">
        <f t="shared" si="15"/>
        <v>1.354418423303045E-4</v>
      </c>
      <c r="X211" s="29">
        <f>_xll.qlDayCounterYearFraction(DayCounter,SettlementDate,S211,,,Trigger)</f>
        <v>49.727777777777774</v>
      </c>
      <c r="Y211" s="29">
        <f>_xll.qlDayCounterYearFraction(DayCounter,S211,T211)</f>
        <v>0.25555555555555554</v>
      </c>
      <c r="Z211" s="29">
        <f>IF($M$13,_xll.qlYieldTSDiscount(Currency&amp;"ON",S211)/(1+V211*Y211),1)</f>
        <v>1</v>
      </c>
      <c r="AA211" s="30">
        <f>_xll.qlTenorBasisValue(TenorBasis3M,S211,InterestRatesTrigger)</f>
        <v>1.7881739597155297E-4</v>
      </c>
      <c r="AB211" s="74">
        <f t="shared" si="16"/>
        <v>1.1739877942248754E-2</v>
      </c>
      <c r="AC211" s="76">
        <f t="shared" si="17"/>
        <v>1.0037084208766116</v>
      </c>
    </row>
    <row r="212" spans="16:29" x14ac:dyDescent="0.2">
      <c r="P212" s="33">
        <v>3</v>
      </c>
      <c r="Q212" s="27" t="str">
        <f>_xll.qlPeriodEquivalent(Q211&amp;"+"&amp;P212&amp;"M")</f>
        <v>49Y3M</v>
      </c>
      <c r="R212" s="28">
        <f>_xll.qlCalendarAdvance(Calendar,SettlementDate,Q212,"f",,Trigger)</f>
        <v>60269</v>
      </c>
      <c r="S212" s="28">
        <f>_xll.qlInterestRateIndexValueDate(Index,R212,Trigger)</f>
        <v>60273</v>
      </c>
      <c r="T212" s="28">
        <f>_xll.qlInterestRateIndexMaturity(Index,S212,Trigger)</f>
        <v>60363</v>
      </c>
      <c r="U212" s="30">
        <f>_xll.qlIndexFixing($M$5,R212,TRUE,InterestRatesTrigger)</f>
        <v>1.1632192817617515E-2</v>
      </c>
      <c r="V212" s="74">
        <f>_xll.qlIndexFixing(Index,R212,TRUE,InterestRatesTrigger)</f>
        <v>1.1768806173022561E-2</v>
      </c>
      <c r="W212" s="30">
        <f t="shared" si="15"/>
        <v>1.3661335540504638E-4</v>
      </c>
      <c r="X212" s="29">
        <f>_xll.qlDayCounterYearFraction(DayCounter,SettlementDate,S212,,,Trigger)</f>
        <v>49.983333333333334</v>
      </c>
      <c r="Y212" s="29">
        <f>_xll.qlDayCounterYearFraction(DayCounter,S212,T212)</f>
        <v>0.25</v>
      </c>
      <c r="Z212" s="29">
        <f>IF($M$13,_xll.qlYieldTSDiscount(Currency&amp;"ON",S212)/(1+V212*Y212),1)</f>
        <v>1</v>
      </c>
      <c r="AA212" s="30">
        <f>_xll.qlTenorBasisValue(TenorBasis3M,S212,InterestRatesTrigger)</f>
        <v>1.7856533738036499E-4</v>
      </c>
      <c r="AB212" s="74">
        <f t="shared" si="16"/>
        <v>1.181075815499788E-2</v>
      </c>
      <c r="AC212" s="76">
        <f t="shared" si="17"/>
        <v>1.0035646760902126</v>
      </c>
    </row>
    <row r="213" spans="16:29" x14ac:dyDescent="0.2">
      <c r="P213" s="33">
        <v>3</v>
      </c>
      <c r="Q213" s="27" t="str">
        <f>_xll.qlPeriodEquivalent(Q212&amp;"+"&amp;P213&amp;"M")</f>
        <v>49Y6M</v>
      </c>
      <c r="R213" s="28">
        <f>_xll.qlCalendarAdvance(Calendar,SettlementDate,Q213,"f",,Trigger)</f>
        <v>60359</v>
      </c>
      <c r="S213" s="28">
        <f>_xll.qlInterestRateIndexValueDate(Index,R213,Trigger)</f>
        <v>60363</v>
      </c>
      <c r="T213" s="28">
        <f>_xll.qlInterestRateIndexMaturity(Index,S213,Trigger)</f>
        <v>60454</v>
      </c>
      <c r="U213" s="30">
        <f>_xll.qlIndexFixing($M$5,R213,TRUE,InterestRatesTrigger)</f>
        <v>1.1709585298956986E-2</v>
      </c>
      <c r="V213" s="74">
        <f>_xll.qlIndexFixing(Index,R213,TRUE,InterestRatesTrigger)</f>
        <v>1.1847500586888908E-2</v>
      </c>
      <c r="W213" s="30">
        <f t="shared" si="15"/>
        <v>1.3791528793192197E-4</v>
      </c>
      <c r="X213" s="29">
        <f>_xll.qlDayCounterYearFraction(DayCounter,SettlementDate,S213,,,Trigger)</f>
        <v>50.233333333333334</v>
      </c>
      <c r="Y213" s="29">
        <f>_xll.qlDayCounterYearFraction(DayCounter,S213,T213)</f>
        <v>0.25277777777777777</v>
      </c>
      <c r="Z213" s="29">
        <f>IF($M$13,_xll.qlYieldTSDiscount(Currency&amp;"ON",S213)/(1+V213*Y213),1)</f>
        <v>1</v>
      </c>
      <c r="AA213" s="30">
        <f>_xll.qlTenorBasisValue(TenorBasis3M,S213,InterestRatesTrigger)</f>
        <v>1.7832758966912181E-4</v>
      </c>
      <c r="AB213" s="74">
        <f t="shared" si="16"/>
        <v>1.1887912888626107E-2</v>
      </c>
      <c r="AC213" s="76">
        <f t="shared" si="17"/>
        <v>1.0034110402815191</v>
      </c>
    </row>
    <row r="214" spans="16:29" x14ac:dyDescent="0.2">
      <c r="P214" s="33">
        <v>3</v>
      </c>
      <c r="Q214" s="27" t="str">
        <f>_xll.qlPeriodEquivalent(Q213&amp;"+"&amp;P214&amp;"M")</f>
        <v>49Y9M</v>
      </c>
      <c r="R214" s="28">
        <f>_xll.qlCalendarAdvance(Calendar,SettlementDate,Q214,"f",,Trigger)</f>
        <v>60450</v>
      </c>
      <c r="S214" s="28">
        <f>_xll.qlInterestRateIndexValueDate(Index,R214,Trigger)</f>
        <v>60454</v>
      </c>
      <c r="T214" s="28">
        <f>_xll.qlInterestRateIndexMaturity(Index,S214,Trigger)</f>
        <v>60546</v>
      </c>
      <c r="U214" s="30">
        <f>_xll.qlIndexFixing($M$5,R214,TRUE,InterestRatesTrigger)</f>
        <v>1.1793995834913121E-2</v>
      </c>
      <c r="V214" s="74">
        <f>_xll.qlIndexFixing(Index,R214,TRUE,InterestRatesTrigger)</f>
        <v>1.1933352590742893E-2</v>
      </c>
      <c r="W214" s="30">
        <f t="shared" si="15"/>
        <v>1.3935675582977224E-4</v>
      </c>
      <c r="X214" s="29">
        <f>_xll.qlDayCounterYearFraction(DayCounter,SettlementDate,S214,,,Trigger)</f>
        <v>50.486111111111114</v>
      </c>
      <c r="Y214" s="29">
        <f>_xll.qlDayCounterYearFraction(DayCounter,S214,T214)</f>
        <v>0.25555555555555554</v>
      </c>
      <c r="Z214" s="29">
        <f>IF($M$13,_xll.qlYieldTSDiscount(Currency&amp;"ON",S214)/(1+V214*Y214),1)</f>
        <v>1</v>
      </c>
      <c r="AA214" s="30">
        <f>_xll.qlTenorBasisValue(TenorBasis3M,S214,InterestRatesTrigger)</f>
        <v>1.7809576970519728E-4</v>
      </c>
      <c r="AB214" s="74">
        <f t="shared" si="16"/>
        <v>1.1972091604618318E-2</v>
      </c>
      <c r="AC214" s="76">
        <f t="shared" si="17"/>
        <v>1.0032462808402625</v>
      </c>
    </row>
    <row r="215" spans="16:29" x14ac:dyDescent="0.2">
      <c r="P215" s="33">
        <v>3</v>
      </c>
      <c r="Q215" s="27" t="str">
        <f>_xll.qlPeriodEquivalent(Q214&amp;"+"&amp;P215&amp;"M")</f>
        <v>50Y</v>
      </c>
      <c r="R215" s="28">
        <f>_xll.qlCalendarAdvance(Calendar,SettlementDate,Q215,"f",,Trigger)</f>
        <v>60542</v>
      </c>
      <c r="S215" s="28">
        <f>_xll.qlInterestRateIndexValueDate(Index,R215,Trigger)</f>
        <v>60546</v>
      </c>
      <c r="T215" s="28">
        <f>_xll.qlInterestRateIndexMaturity(Index,S215,Trigger)</f>
        <v>60638</v>
      </c>
      <c r="U215" s="30">
        <f>_xll.qlIndexFixing($M$5,R215,TRUE,InterestRatesTrigger)</f>
        <v>1.1883298258515152E-2</v>
      </c>
      <c r="V215" s="74">
        <f>_xll.qlIndexFixing(Index,R215,TRUE,InterestRatesTrigger)</f>
        <v>1.2024194977619217E-2</v>
      </c>
      <c r="W215" s="30">
        <f t="shared" si="15"/>
        <v>1.4089671910406422E-4</v>
      </c>
      <c r="X215" s="29">
        <f>_xll.qlDayCounterYearFraction(DayCounter,SettlementDate,S215,,,Trigger)</f>
        <v>50.741666666666667</v>
      </c>
      <c r="Y215" s="29">
        <f>_xll.qlDayCounterYearFraction(DayCounter,S215,T215)</f>
        <v>0.25555555555555554</v>
      </c>
      <c r="Z215" s="29">
        <f>IF($M$13,_xll.qlYieldTSDiscount(Currency&amp;"ON",S215)/(1+V215*Y215),1)</f>
        <v>1</v>
      </c>
      <c r="AA215" s="30">
        <f>_xll.qlTenorBasisValue(TenorBasis3M,S215,InterestRatesTrigger)</f>
        <v>1.7786985446833662E-4</v>
      </c>
      <c r="AB215" s="74">
        <f t="shared" si="16"/>
        <v>1.2061168112983489E-2</v>
      </c>
      <c r="AC215" s="76">
        <f t="shared" si="17"/>
        <v>1.0030748948626576</v>
      </c>
    </row>
    <row r="216" spans="16:29" x14ac:dyDescent="0.2">
      <c r="P216" s="33">
        <v>3</v>
      </c>
      <c r="Q216" s="27" t="str">
        <f>_xll.qlPeriodEquivalent(Q215&amp;"+"&amp;P216&amp;"M")</f>
        <v>50Y3M</v>
      </c>
      <c r="R216" s="28">
        <f>_xll.qlCalendarAdvance(Calendar,SettlementDate,Q216,"f",,Trigger)</f>
        <v>60636</v>
      </c>
      <c r="S216" s="28">
        <f>_xll.qlInterestRateIndexValueDate(Index,R216,Trigger)</f>
        <v>60638</v>
      </c>
      <c r="T216" s="28">
        <f>_xll.qlInterestRateIndexMaturity(Index,S216,Trigger)</f>
        <v>60728</v>
      </c>
      <c r="U216" s="30">
        <f>_xll.qlIndexFixing($M$5,R216,TRUE,InterestRatesTrigger)</f>
        <v>1.1970224607631863E-2</v>
      </c>
      <c r="V216" s="74">
        <f>_xll.qlIndexFixing(Index,R216,TRUE,InterestRatesTrigger)</f>
        <v>1.2112620394509221E-2</v>
      </c>
      <c r="W216" s="30">
        <f t="shared" si="15"/>
        <v>1.4239578687735843E-4</v>
      </c>
      <c r="X216" s="29">
        <f>_xll.qlDayCounterYearFraction(DayCounter,SettlementDate,S216,,,Trigger)</f>
        <v>50.99722222222222</v>
      </c>
      <c r="Y216" s="29">
        <f>_xll.qlDayCounterYearFraction(DayCounter,S216,T216)</f>
        <v>0.25</v>
      </c>
      <c r="Z216" s="29">
        <f>IF($M$13,_xll.qlYieldTSDiscount(Currency&amp;"ON",S216)/(1+V216*Y216),1)</f>
        <v>1</v>
      </c>
      <c r="AA216" s="30">
        <f>_xll.qlTenorBasisValue(TenorBasis3M,S216,InterestRatesTrigger)</f>
        <v>1.7765213719451748E-4</v>
      </c>
      <c r="AB216" s="74">
        <f t="shared" si="16"/>
        <v>1.2147876744826381E-2</v>
      </c>
      <c r="AC216" s="76">
        <f t="shared" si="17"/>
        <v>1.0029107120646779</v>
      </c>
    </row>
    <row r="217" spans="16:29" x14ac:dyDescent="0.2">
      <c r="P217" s="33">
        <v>3</v>
      </c>
      <c r="Q217" s="27" t="str">
        <f>_xll.qlPeriodEquivalent(Q216&amp;"+"&amp;P217&amp;"M")</f>
        <v>50Y6M</v>
      </c>
      <c r="R217" s="28">
        <f>_xll.qlCalendarAdvance(Calendar,SettlementDate,Q217,"f",,Trigger)</f>
        <v>60724</v>
      </c>
      <c r="S217" s="28">
        <f>_xll.qlInterestRateIndexValueDate(Index,R217,Trigger)</f>
        <v>60728</v>
      </c>
      <c r="T217" s="28">
        <f>_xll.qlInterestRateIndexMaturity(Index,S217,Trigger)</f>
        <v>60819</v>
      </c>
      <c r="U217" s="30">
        <f>_xll.qlIndexFixing($M$5,R217,TRUE,InterestRatesTrigger)</f>
        <v>1.2055044657510288E-2</v>
      </c>
      <c r="V217" s="74">
        <f>_xll.qlIndexFixing(Index,R217,TRUE,InterestRatesTrigger)</f>
        <v>1.2198907086557605E-2</v>
      </c>
      <c r="W217" s="30">
        <f t="shared" ref="W217:W280" si="18">V217-U217</f>
        <v>1.4386242904731658E-4</v>
      </c>
      <c r="X217" s="29">
        <f>_xll.qlDayCounterYearFraction(DayCounter,SettlementDate,S217,,,Trigger)</f>
        <v>51.24722222222222</v>
      </c>
      <c r="Y217" s="29">
        <f>_xll.qlDayCounterYearFraction(DayCounter,S217,T217)</f>
        <v>0.25277777777777777</v>
      </c>
      <c r="Z217" s="29">
        <f>IF($M$13,_xll.qlYieldTSDiscount(Currency&amp;"ON",S217)/(1+V217*Y217),1)</f>
        <v>1</v>
      </c>
      <c r="AA217" s="30">
        <f>_xll.qlTenorBasisValue(TenorBasis3M,S217,InterestRatesTrigger)</f>
        <v>1.7744680573203098E-4</v>
      </c>
      <c r="AB217" s="74">
        <f t="shared" ref="AB217:AB280" si="19">AA217+U217</f>
        <v>1.2232491463242319E-2</v>
      </c>
      <c r="AC217" s="76">
        <f t="shared" ref="AC217:AC280" si="20">AB217/V217</f>
        <v>1.0027530643889995</v>
      </c>
    </row>
    <row r="218" spans="16:29" x14ac:dyDescent="0.2">
      <c r="P218" s="33">
        <v>3</v>
      </c>
      <c r="Q218" s="27" t="str">
        <f>_xll.qlPeriodEquivalent(Q217&amp;"+"&amp;P218&amp;"M")</f>
        <v>50Y9M</v>
      </c>
      <c r="R218" s="28">
        <f>_xll.qlCalendarAdvance(Calendar,SettlementDate,Q218,"f",,Trigger)</f>
        <v>60815</v>
      </c>
      <c r="S218" s="28">
        <f>_xll.qlInterestRateIndexValueDate(Index,R218,Trigger)</f>
        <v>60819</v>
      </c>
      <c r="T218" s="28">
        <f>_xll.qlInterestRateIndexMaturity(Index,S218,Trigger)</f>
        <v>60911</v>
      </c>
      <c r="U218" s="30">
        <f>_xll.qlIndexFixing($M$5,R218,TRUE,InterestRatesTrigger)</f>
        <v>1.2138560630307292E-2</v>
      </c>
      <c r="V218" s="74">
        <f>_xll.qlIndexFixing(Index,R218,TRUE,InterestRatesTrigger)</f>
        <v>1.2283867271807304E-2</v>
      </c>
      <c r="W218" s="30">
        <f t="shared" si="18"/>
        <v>1.4530664150001239E-4</v>
      </c>
      <c r="X218" s="29">
        <f>_xll.qlDayCounterYearFraction(DayCounter,SettlementDate,S218,,,Trigger)</f>
        <v>51.5</v>
      </c>
      <c r="Y218" s="29">
        <f>_xll.qlDayCounterYearFraction(DayCounter,S218,T218)</f>
        <v>0.25555555555555554</v>
      </c>
      <c r="Z218" s="29">
        <f>IF($M$13,_xll.qlYieldTSDiscount(Currency&amp;"ON",S218)/(1+V218*Y218),1)</f>
        <v>1</v>
      </c>
      <c r="AA218" s="30">
        <f>_xll.qlTenorBasisValue(TenorBasis3M,S218,InterestRatesTrigger)</f>
        <v>1.772466174632844E-4</v>
      </c>
      <c r="AB218" s="74">
        <f t="shared" si="19"/>
        <v>1.2315807247770576E-2</v>
      </c>
      <c r="AC218" s="76">
        <f t="shared" si="20"/>
        <v>1.0026001563885811</v>
      </c>
    </row>
    <row r="219" spans="16:29" x14ac:dyDescent="0.2">
      <c r="P219" s="33">
        <v>3</v>
      </c>
      <c r="Q219" s="27" t="str">
        <f>_xll.qlPeriodEquivalent(Q218&amp;"+"&amp;P219&amp;"M")</f>
        <v>51Y</v>
      </c>
      <c r="R219" s="28">
        <f>_xll.qlCalendarAdvance(Calendar,SettlementDate,Q219,"f",,Trigger)</f>
        <v>60909</v>
      </c>
      <c r="S219" s="28">
        <f>_xll.qlInterestRateIndexValueDate(Index,R219,Trigger)</f>
        <v>60911</v>
      </c>
      <c r="T219" s="28">
        <f>_xll.qlInterestRateIndexMaturity(Index,S219,Trigger)</f>
        <v>61003</v>
      </c>
      <c r="U219" s="30">
        <f>_xll.qlIndexFixing($M$5,R219,TRUE,InterestRatesTrigger)</f>
        <v>1.2220056498434226E-2</v>
      </c>
      <c r="V219" s="74">
        <f>_xll.qlIndexFixing(Index,R219,TRUE,InterestRatesTrigger)</f>
        <v>1.2366771126944698E-2</v>
      </c>
      <c r="W219" s="30">
        <f t="shared" si="18"/>
        <v>1.4671462851047201E-4</v>
      </c>
      <c r="X219" s="29">
        <f>_xll.qlDayCounterYearFraction(DayCounter,SettlementDate,S219,,,Trigger)</f>
        <v>51.755555555555553</v>
      </c>
      <c r="Y219" s="29">
        <f>_xll.qlDayCounterYearFraction(DayCounter,S219,T219)</f>
        <v>0.25555555555555554</v>
      </c>
      <c r="Z219" s="29">
        <f>IF($M$13,_xll.qlYieldTSDiscount(Currency&amp;"ON",S219)/(1+V219*Y219),1)</f>
        <v>1</v>
      </c>
      <c r="AA219" s="30">
        <f>_xll.qlTenorBasisValue(TenorBasis3M,S219,InterestRatesTrigger)</f>
        <v>1.7705155130075896E-4</v>
      </c>
      <c r="AB219" s="74">
        <f t="shared" si="19"/>
        <v>1.2397108049734986E-2</v>
      </c>
      <c r="AC219" s="76">
        <f t="shared" si="20"/>
        <v>1.0024530997201193</v>
      </c>
    </row>
    <row r="220" spans="16:29" x14ac:dyDescent="0.2">
      <c r="P220" s="33">
        <v>3</v>
      </c>
      <c r="Q220" s="27" t="str">
        <f>_xll.qlPeriodEquivalent(Q219&amp;"+"&amp;P220&amp;"M")</f>
        <v>51Y3M</v>
      </c>
      <c r="R220" s="28">
        <f>_xll.qlCalendarAdvance(Calendar,SettlementDate,Q220,"f",,Trigger)</f>
        <v>61000</v>
      </c>
      <c r="S220" s="28">
        <f>_xll.qlInterestRateIndexValueDate(Index,R220,Trigger)</f>
        <v>61002</v>
      </c>
      <c r="T220" s="28">
        <f>_xll.qlInterestRateIndexMaturity(Index,S220,Trigger)</f>
        <v>61092</v>
      </c>
      <c r="U220" s="30">
        <f>_xll.qlIndexFixing($M$5,R220,TRUE,InterestRatesTrigger)</f>
        <v>1.229715690449229E-2</v>
      </c>
      <c r="V220" s="74">
        <f>_xll.qlIndexFixing(Index,R220,TRUE,InterestRatesTrigger)</f>
        <v>1.2445200698514292E-2</v>
      </c>
      <c r="W220" s="30">
        <f t="shared" si="18"/>
        <v>1.4804379402200141E-4</v>
      </c>
      <c r="X220" s="29">
        <f>_xll.qlDayCounterYearFraction(DayCounter,SettlementDate,S220,,,Trigger)</f>
        <v>52.008333333333333</v>
      </c>
      <c r="Y220" s="29">
        <f>_xll.qlDayCounterYearFraction(DayCounter,S220,T220)</f>
        <v>0.25</v>
      </c>
      <c r="Z220" s="29">
        <f>IF($M$13,_xll.qlYieldTSDiscount(Currency&amp;"ON",S220)/(1+V220*Y220),1)</f>
        <v>1</v>
      </c>
      <c r="AA220" s="30">
        <f>_xll.qlTenorBasisValue(TenorBasis3M,S220,InterestRatesTrigger)</f>
        <v>1.7686559161670176E-4</v>
      </c>
      <c r="AB220" s="74">
        <f t="shared" si="19"/>
        <v>1.2474022496108992E-2</v>
      </c>
      <c r="AC220" s="76">
        <f t="shared" si="20"/>
        <v>1.0023158965687184</v>
      </c>
    </row>
    <row r="221" spans="16:29" x14ac:dyDescent="0.2">
      <c r="P221" s="33">
        <v>3</v>
      </c>
      <c r="Q221" s="27" t="str">
        <f>_xll.qlPeriodEquivalent(Q220&amp;"+"&amp;P221&amp;"M")</f>
        <v>51Y6M</v>
      </c>
      <c r="R221" s="28">
        <f>_xll.qlCalendarAdvance(Calendar,SettlementDate,Q221,"f",,Trigger)</f>
        <v>61092</v>
      </c>
      <c r="S221" s="28">
        <f>_xll.qlInterestRateIndexValueDate(Index,R221,Trigger)</f>
        <v>61094</v>
      </c>
      <c r="T221" s="28">
        <f>_xll.qlInterestRateIndexMaturity(Index,S221,Trigger)</f>
        <v>61185</v>
      </c>
      <c r="U221" s="30">
        <f>_xll.qlIndexFixing($M$5,R221,TRUE,InterestRatesTrigger)</f>
        <v>1.2374755224238729E-2</v>
      </c>
      <c r="V221" s="74">
        <f>_xll.qlIndexFixing(Index,R221,TRUE,InterestRatesTrigger)</f>
        <v>1.2524141144730492E-2</v>
      </c>
      <c r="W221" s="30">
        <f t="shared" si="18"/>
        <v>1.4938592049176282E-4</v>
      </c>
      <c r="X221" s="29">
        <f>_xll.qlDayCounterYearFraction(DayCounter,SettlementDate,S221,,,Trigger)</f>
        <v>52.263888888888886</v>
      </c>
      <c r="Y221" s="29">
        <f>_xll.qlDayCounterYearFraction(DayCounter,S221,T221)</f>
        <v>0.25277777777777777</v>
      </c>
      <c r="Z221" s="29">
        <f>IF($M$13,_xll.qlYieldTSDiscount(Currency&amp;"ON",S221)/(1+V221*Y221),1)</f>
        <v>1</v>
      </c>
      <c r="AA221" s="30">
        <f>_xll.qlTenorBasisValue(TenorBasis3M,S221,InterestRatesTrigger)</f>
        <v>1.7668440038312816E-4</v>
      </c>
      <c r="AB221" s="74">
        <f t="shared" si="19"/>
        <v>1.2551439624621857E-2</v>
      </c>
      <c r="AC221" s="76">
        <f t="shared" si="20"/>
        <v>1.0021796688152824</v>
      </c>
    </row>
    <row r="222" spans="16:29" x14ac:dyDescent="0.2">
      <c r="P222" s="33">
        <v>3</v>
      </c>
      <c r="Q222" s="27" t="str">
        <f>_xll.qlPeriodEquivalent(Q221&amp;"+"&amp;P222&amp;"M")</f>
        <v>51Y9M</v>
      </c>
      <c r="R222" s="28">
        <f>_xll.qlCalendarAdvance(Calendar,SettlementDate,Q222,"f",,Trigger)</f>
        <v>61182</v>
      </c>
      <c r="S222" s="28">
        <f>_xll.qlInterestRateIndexValueDate(Index,R222,Trigger)</f>
        <v>61184</v>
      </c>
      <c r="T222" s="28">
        <f>_xll.qlInterestRateIndexMaturity(Index,S222,Trigger)</f>
        <v>61276</v>
      </c>
      <c r="U222" s="30">
        <f>_xll.qlIndexFixing($M$5,R222,TRUE,InterestRatesTrigger)</f>
        <v>1.2448452452402864E-2</v>
      </c>
      <c r="V222" s="74">
        <f>_xll.qlIndexFixing(Index,R222,TRUE,InterestRatesTrigger)</f>
        <v>1.259911318798314E-2</v>
      </c>
      <c r="W222" s="30">
        <f t="shared" si="18"/>
        <v>1.5066073558027589E-4</v>
      </c>
      <c r="X222" s="29">
        <f>_xll.qlDayCounterYearFraction(DayCounter,SettlementDate,S222,,,Trigger)</f>
        <v>52.513888888888886</v>
      </c>
      <c r="Y222" s="29">
        <f>_xll.qlDayCounterYearFraction(DayCounter,S222,T222)</f>
        <v>0.25555555555555554</v>
      </c>
      <c r="Z222" s="29">
        <f>IF($M$13,_xll.qlYieldTSDiscount(Currency&amp;"ON",S222)/(1+V222*Y222),1)</f>
        <v>1</v>
      </c>
      <c r="AA222" s="30">
        <f>_xll.qlTenorBasisValue(TenorBasis3M,S222,InterestRatesTrigger)</f>
        <v>1.7651354146587934E-4</v>
      </c>
      <c r="AB222" s="74">
        <f t="shared" si="19"/>
        <v>1.2624965993868743E-2</v>
      </c>
      <c r="AC222" s="76">
        <f t="shared" si="20"/>
        <v>1.0020519544113835</v>
      </c>
    </row>
    <row r="223" spans="16:29" x14ac:dyDescent="0.2">
      <c r="P223" s="33">
        <v>3</v>
      </c>
      <c r="Q223" s="27" t="str">
        <f>_xll.qlPeriodEquivalent(Q222&amp;"+"&amp;P223&amp;"M")</f>
        <v>52Y</v>
      </c>
      <c r="R223" s="28">
        <f>_xll.qlCalendarAdvance(Calendar,SettlementDate,Q223,"f",,Trigger)</f>
        <v>61273</v>
      </c>
      <c r="S223" s="28">
        <f>_xll.qlInterestRateIndexValueDate(Index,R223,Trigger)</f>
        <v>61275</v>
      </c>
      <c r="T223" s="28">
        <f>_xll.qlInterestRateIndexMaturity(Index,S223,Trigger)</f>
        <v>61367</v>
      </c>
      <c r="U223" s="30">
        <f>_xll.qlIndexFixing($M$5,R223,TRUE,InterestRatesTrigger)</f>
        <v>1.2520118212630816E-2</v>
      </c>
      <c r="V223" s="74">
        <f>_xll.qlIndexFixing(Index,R223,TRUE,InterestRatesTrigger)</f>
        <v>1.2672017200156418E-2</v>
      </c>
      <c r="W223" s="30">
        <f t="shared" si="18"/>
        <v>1.5189898752560223E-4</v>
      </c>
      <c r="X223" s="29">
        <f>_xll.qlDayCounterYearFraction(DayCounter,SettlementDate,S223,,,Trigger)</f>
        <v>52.766666666666666</v>
      </c>
      <c r="Y223" s="29">
        <f>_xll.qlDayCounterYearFraction(DayCounter,S223,T223)</f>
        <v>0.25555555555555554</v>
      </c>
      <c r="Z223" s="29">
        <f>IF($M$13,_xll.qlYieldTSDiscount(Currency&amp;"ON",S223)/(1+V223*Y223),1)</f>
        <v>1</v>
      </c>
      <c r="AA223" s="30">
        <f>_xll.qlTenorBasisValue(TenorBasis3M,S223,InterestRatesTrigger)</f>
        <v>1.7634698571315752E-4</v>
      </c>
      <c r="AB223" s="74">
        <f t="shared" si="19"/>
        <v>1.2696465198343974E-2</v>
      </c>
      <c r="AC223" s="76">
        <f t="shared" si="20"/>
        <v>1.0019292901675712</v>
      </c>
    </row>
    <row r="224" spans="16:29" x14ac:dyDescent="0.2">
      <c r="P224" s="33">
        <v>3</v>
      </c>
      <c r="Q224" s="27" t="str">
        <f>_xll.qlPeriodEquivalent(Q223&amp;"+"&amp;P224&amp;"M")</f>
        <v>52Y3M</v>
      </c>
      <c r="R224" s="28">
        <f>_xll.qlCalendarAdvance(Calendar,SettlementDate,Q224,"f",,Trigger)</f>
        <v>61364</v>
      </c>
      <c r="S224" s="28">
        <f>_xll.qlInterestRateIndexValueDate(Index,R224,Trigger)</f>
        <v>61366</v>
      </c>
      <c r="T224" s="28">
        <f>_xll.qlInterestRateIndexMaturity(Index,S224,Trigger)</f>
        <v>61457</v>
      </c>
      <c r="U224" s="30">
        <f>_xll.qlIndexFixing($M$5,R224,TRUE,InterestRatesTrigger)</f>
        <v>1.2588957433082847E-2</v>
      </c>
      <c r="V224" s="74">
        <f>_xll.qlIndexFixing(Index,R224,TRUE,InterestRatesTrigger)</f>
        <v>1.2742044278664514E-2</v>
      </c>
      <c r="W224" s="30">
        <f t="shared" si="18"/>
        <v>1.5308684558166738E-4</v>
      </c>
      <c r="X224" s="29">
        <f>_xll.qlDayCounterYearFraction(DayCounter,SettlementDate,S224,,,Trigger)</f>
        <v>53.019444444444446</v>
      </c>
      <c r="Y224" s="29">
        <f>_xll.qlDayCounterYearFraction(DayCounter,S224,T224)</f>
        <v>0.25277777777777777</v>
      </c>
      <c r="Z224" s="29">
        <f>IF($M$13,_xll.qlYieldTSDiscount(Currency&amp;"ON",S224)/(1+V224*Y224),1)</f>
        <v>1</v>
      </c>
      <c r="AA224" s="30">
        <f>_xll.qlTenorBasisValue(TenorBasis3M,S224,InterestRatesTrigger)</f>
        <v>1.761864459391697E-4</v>
      </c>
      <c r="AB224" s="74">
        <f t="shared" si="19"/>
        <v>1.2765143879022016E-2</v>
      </c>
      <c r="AC224" s="76">
        <f t="shared" si="20"/>
        <v>1.0018128645492295</v>
      </c>
    </row>
    <row r="225" spans="16:29" x14ac:dyDescent="0.2">
      <c r="P225" s="33">
        <v>3</v>
      </c>
      <c r="Q225" s="27" t="str">
        <f>_xll.qlPeriodEquivalent(Q224&amp;"+"&amp;P225&amp;"M")</f>
        <v>52Y6M</v>
      </c>
      <c r="R225" s="28">
        <f>_xll.qlCalendarAdvance(Calendar,SettlementDate,Q225,"f",,Trigger)</f>
        <v>61455</v>
      </c>
      <c r="S225" s="28">
        <f>_xll.qlInterestRateIndexValueDate(Index,R225,Trigger)</f>
        <v>61457</v>
      </c>
      <c r="T225" s="28">
        <f>_xll.qlInterestRateIndexMaturity(Index,S225,Trigger)</f>
        <v>61548</v>
      </c>
      <c r="U225" s="30">
        <f>_xll.qlIndexFixing($M$5,R225,TRUE,InterestRatesTrigger)</f>
        <v>1.2656166355287126E-2</v>
      </c>
      <c r="V225" s="74">
        <f>_xll.qlIndexFixing(Index,R225,TRUE,InterestRatesTrigger)</f>
        <v>1.2810414459375292E-2</v>
      </c>
      <c r="W225" s="30">
        <f t="shared" si="18"/>
        <v>1.542481040881661E-4</v>
      </c>
      <c r="X225" s="29">
        <f>_xll.qlDayCounterYearFraction(DayCounter,SettlementDate,S225,,,Trigger)</f>
        <v>53.272222222222226</v>
      </c>
      <c r="Y225" s="29">
        <f>_xll.qlDayCounterYearFraction(DayCounter,S225,T225)</f>
        <v>0.25277777777777777</v>
      </c>
      <c r="Z225" s="29">
        <f>IF($M$13,_xll.qlYieldTSDiscount(Currency&amp;"ON",S225)/(1+V225*Y225),1)</f>
        <v>1</v>
      </c>
      <c r="AA225" s="30">
        <f>_xll.qlTenorBasisValue(TenorBasis3M,S225,InterestRatesTrigger)</f>
        <v>1.7603170903770514E-4</v>
      </c>
      <c r="AB225" s="74">
        <f t="shared" si="19"/>
        <v>1.2832198064324831E-2</v>
      </c>
      <c r="AC225" s="76">
        <f t="shared" si="20"/>
        <v>1.001700460591546</v>
      </c>
    </row>
    <row r="226" spans="16:29" x14ac:dyDescent="0.2">
      <c r="P226" s="33">
        <v>3</v>
      </c>
      <c r="Q226" s="27" t="str">
        <f>_xll.qlPeriodEquivalent(Q225&amp;"+"&amp;P226&amp;"M")</f>
        <v>52Y9M</v>
      </c>
      <c r="R226" s="28">
        <f>_xll.qlCalendarAdvance(Calendar,SettlementDate,Q226,"f",,Trigger)</f>
        <v>61546</v>
      </c>
      <c r="S226" s="28">
        <f>_xll.qlInterestRateIndexValueDate(Index,R226,Trigger)</f>
        <v>61548</v>
      </c>
      <c r="T226" s="28">
        <f>_xll.qlInterestRateIndexMaturity(Index,S226,Trigger)</f>
        <v>61640</v>
      </c>
      <c r="U226" s="30">
        <f>_xll.qlIndexFixing($M$5,R226,TRUE,InterestRatesTrigger)</f>
        <v>1.2721715106980185E-2</v>
      </c>
      <c r="V226" s="74">
        <f>_xll.qlIndexFixing(Index,R226,TRUE,InterestRatesTrigger)</f>
        <v>1.2877097439466089E-2</v>
      </c>
      <c r="W226" s="30">
        <f t="shared" si="18"/>
        <v>1.5538233248590418E-4</v>
      </c>
      <c r="X226" s="29">
        <f>_xll.qlDayCounterYearFraction(DayCounter,SettlementDate,S226,,,Trigger)</f>
        <v>53.524999999999999</v>
      </c>
      <c r="Y226" s="29">
        <f>_xll.qlDayCounterYearFraction(DayCounter,S226,T226)</f>
        <v>0.25555555555555554</v>
      </c>
      <c r="Z226" s="29">
        <f>IF($M$13,_xll.qlYieldTSDiscount(Currency&amp;"ON",S226)/(1+V226*Y226),1)</f>
        <v>1</v>
      </c>
      <c r="AA226" s="30">
        <f>_xll.qlTenorBasisValue(TenorBasis3M,S226,InterestRatesTrigger)</f>
        <v>1.7588256925517954E-4</v>
      </c>
      <c r="AB226" s="74">
        <f t="shared" si="19"/>
        <v>1.2897597676235365E-2</v>
      </c>
      <c r="AC226" s="76">
        <f t="shared" si="20"/>
        <v>1.0015919920514422</v>
      </c>
    </row>
    <row r="227" spans="16:29" x14ac:dyDescent="0.2">
      <c r="P227" s="33">
        <v>3</v>
      </c>
      <c r="Q227" s="27" t="str">
        <f>_xll.qlPeriodEquivalent(Q226&amp;"+"&amp;P227&amp;"M")</f>
        <v>53Y</v>
      </c>
      <c r="R227" s="28">
        <f>_xll.qlCalendarAdvance(Calendar,SettlementDate,Q227,"f",,Trigger)</f>
        <v>61638</v>
      </c>
      <c r="S227" s="28">
        <f>_xll.qlInterestRateIndexValueDate(Index,R227,Trigger)</f>
        <v>61640</v>
      </c>
      <c r="T227" s="28">
        <f>_xll.qlInterestRateIndexMaturity(Index,S227,Trigger)</f>
        <v>61732</v>
      </c>
      <c r="U227" s="30">
        <f>_xll.qlIndexFixing($M$5,R227,TRUE,InterestRatesTrigger)</f>
        <v>1.2785123846010054E-2</v>
      </c>
      <c r="V227" s="74">
        <f>_xll.qlIndexFixing(Index,R227,TRUE,InterestRatesTrigger)</f>
        <v>1.2941601840603089E-2</v>
      </c>
      <c r="W227" s="30">
        <f t="shared" si="18"/>
        <v>1.5647799459303502E-4</v>
      </c>
      <c r="X227" s="29">
        <f>_xll.qlDayCounterYearFraction(DayCounter,SettlementDate,S227,,,Trigger)</f>
        <v>53.780555555555559</v>
      </c>
      <c r="Y227" s="29">
        <f>_xll.qlDayCounterYearFraction(DayCounter,S227,T227)</f>
        <v>0.25555555555555554</v>
      </c>
      <c r="Z227" s="29">
        <f>IF($M$13,_xll.qlYieldTSDiscount(Currency&amp;"ON",S227)/(1+V227*Y227),1)</f>
        <v>1</v>
      </c>
      <c r="AA227" s="30">
        <f>_xll.qlTenorBasisValue(TenorBasis3M,S227,InterestRatesTrigger)</f>
        <v>1.757372776391203E-4</v>
      </c>
      <c r="AB227" s="74">
        <f t="shared" si="19"/>
        <v>1.2960861123649175E-2</v>
      </c>
      <c r="AC227" s="76">
        <f t="shared" si="20"/>
        <v>1.0014881684109351</v>
      </c>
    </row>
    <row r="228" spans="16:29" x14ac:dyDescent="0.2">
      <c r="P228" s="33">
        <v>3</v>
      </c>
      <c r="Q228" s="27" t="str">
        <f>_xll.qlPeriodEquivalent(Q227&amp;"+"&amp;P228&amp;"M")</f>
        <v>53Y3M</v>
      </c>
      <c r="R228" s="28">
        <f>_xll.qlCalendarAdvance(Calendar,SettlementDate,Q228,"f",,Trigger)</f>
        <v>61730</v>
      </c>
      <c r="S228" s="28">
        <f>_xll.qlInterestRateIndexValueDate(Index,R228,Trigger)</f>
        <v>61732</v>
      </c>
      <c r="T228" s="28">
        <f>_xll.qlInterestRateIndexMaturity(Index,S228,Trigger)</f>
        <v>61822</v>
      </c>
      <c r="U228" s="30">
        <f>_xll.qlIndexFixing($M$5,R228,TRUE,InterestRatesTrigger)</f>
        <v>1.284514355968458E-2</v>
      </c>
      <c r="V228" s="74">
        <f>_xll.qlIndexFixing(Index,R228,TRUE,InterestRatesTrigger)</f>
        <v>1.3002655292836174E-2</v>
      </c>
      <c r="W228" s="30">
        <f t="shared" si="18"/>
        <v>1.5751173315159406E-4</v>
      </c>
      <c r="X228" s="29">
        <f>_xll.qlDayCounterYearFraction(DayCounter,SettlementDate,S228,,,Trigger)</f>
        <v>54.036111111111111</v>
      </c>
      <c r="Y228" s="29">
        <f>_xll.qlDayCounterYearFraction(DayCounter,S228,T228)</f>
        <v>0.25</v>
      </c>
      <c r="Z228" s="29">
        <f>IF($M$13,_xll.qlYieldTSDiscount(Currency&amp;"ON",S228)/(1+V228*Y228),1)</f>
        <v>1</v>
      </c>
      <c r="AA228" s="30">
        <f>_xll.qlTenorBasisValue(TenorBasis3M,S228,InterestRatesTrigger)</f>
        <v>1.7559730568153395E-4</v>
      </c>
      <c r="AB228" s="74">
        <f t="shared" si="19"/>
        <v>1.3020740865366113E-2</v>
      </c>
      <c r="AC228" s="76">
        <f t="shared" si="20"/>
        <v>1.001390913788194</v>
      </c>
    </row>
    <row r="229" spans="16:29" x14ac:dyDescent="0.2">
      <c r="P229" s="33">
        <v>3</v>
      </c>
      <c r="Q229" s="27" t="str">
        <f>_xll.qlPeriodEquivalent(Q228&amp;"+"&amp;P229&amp;"M")</f>
        <v>53Y6M</v>
      </c>
      <c r="R229" s="28">
        <f>_xll.qlCalendarAdvance(Calendar,SettlementDate,Q229,"f",,Trigger)</f>
        <v>61820</v>
      </c>
      <c r="S229" s="28">
        <f>_xll.qlInterestRateIndexValueDate(Index,R229,Trigger)</f>
        <v>61822</v>
      </c>
      <c r="T229" s="28">
        <f>_xll.qlInterestRateIndexMaturity(Index,S229,Trigger)</f>
        <v>61913</v>
      </c>
      <c r="U229" s="30">
        <f>_xll.qlIndexFixing($M$5,R229,TRUE,InterestRatesTrigger)</f>
        <v>1.2903294077067124E-2</v>
      </c>
      <c r="V229" s="74">
        <f>_xll.qlIndexFixing(Index,R229,TRUE,InterestRatesTrigger)</f>
        <v>1.306181230921391E-2</v>
      </c>
      <c r="W229" s="30">
        <f t="shared" si="18"/>
        <v>1.5851823214678602E-4</v>
      </c>
      <c r="X229" s="29">
        <f>_xll.qlDayCounterYearFraction(DayCounter,SettlementDate,S229,,,Trigger)</f>
        <v>54.286111111111111</v>
      </c>
      <c r="Y229" s="29">
        <f>_xll.qlDayCounterYearFraction(DayCounter,S229,T229)</f>
        <v>0.25277777777777777</v>
      </c>
      <c r="Z229" s="29">
        <f>IF($M$13,_xll.qlYieldTSDiscount(Currency&amp;"ON",S229)/(1+V229*Y229),1)</f>
        <v>1</v>
      </c>
      <c r="AA229" s="30">
        <f>_xll.qlTenorBasisValue(TenorBasis3M,S229,InterestRatesTrigger)</f>
        <v>1.7546534034453191E-4</v>
      </c>
      <c r="AB229" s="74">
        <f t="shared" si="19"/>
        <v>1.3078759417411656E-2</v>
      </c>
      <c r="AC229" s="76">
        <f t="shared" si="20"/>
        <v>1.001297454579545</v>
      </c>
    </row>
    <row r="230" spans="16:29" x14ac:dyDescent="0.2">
      <c r="P230" s="33">
        <v>3</v>
      </c>
      <c r="Q230" s="27" t="str">
        <f>_xll.qlPeriodEquivalent(Q229&amp;"+"&amp;P230&amp;"M")</f>
        <v>53Y9M</v>
      </c>
      <c r="R230" s="28">
        <f>_xll.qlCalendarAdvance(Calendar,SettlementDate,Q230,"f",,Trigger)</f>
        <v>61911</v>
      </c>
      <c r="S230" s="28">
        <f>_xll.qlInterestRateIndexValueDate(Index,R230,Trigger)</f>
        <v>61913</v>
      </c>
      <c r="T230" s="28">
        <f>_xll.qlInterestRateIndexMaturity(Index,S230,Trigger)</f>
        <v>62005</v>
      </c>
      <c r="U230" s="30">
        <f>_xll.qlIndexFixing($M$5,R230,TRUE,InterestRatesTrigger)</f>
        <v>1.295984252753964E-2</v>
      </c>
      <c r="V230" s="74">
        <f>_xll.qlIndexFixing(Index,R230,TRUE,InterestRatesTrigger)</f>
        <v>1.311933964116745E-2</v>
      </c>
      <c r="W230" s="30">
        <f t="shared" si="18"/>
        <v>1.5949711362781005E-4</v>
      </c>
      <c r="X230" s="29">
        <f>_xll.qlDayCounterYearFraction(DayCounter,SettlementDate,S230,,,Trigger)</f>
        <v>54.538888888888891</v>
      </c>
      <c r="Y230" s="29">
        <f>_xll.qlDayCounterYearFraction(DayCounter,S230,T230)</f>
        <v>0.25555555555555554</v>
      </c>
      <c r="Z230" s="29">
        <f>IF($M$13,_xll.qlYieldTSDiscount(Currency&amp;"ON",S230)/(1+V230*Y230),1)</f>
        <v>1</v>
      </c>
      <c r="AA230" s="30">
        <f>_xll.qlTenorBasisValue(TenorBasis3M,S230,InterestRatesTrigger)</f>
        <v>1.7533672241191732E-4</v>
      </c>
      <c r="AB230" s="74">
        <f t="shared" si="19"/>
        <v>1.3135179249951556E-2</v>
      </c>
      <c r="AC230" s="76">
        <f t="shared" si="20"/>
        <v>1.0012073480234023</v>
      </c>
    </row>
    <row r="231" spans="16:29" x14ac:dyDescent="0.2">
      <c r="P231" s="33">
        <v>3</v>
      </c>
      <c r="Q231" s="27" t="str">
        <f>_xll.qlPeriodEquivalent(Q230&amp;"+"&amp;P231&amp;"M")</f>
        <v>54Y</v>
      </c>
      <c r="R231" s="28">
        <f>_xll.qlCalendarAdvance(Calendar,SettlementDate,Q231,"f",,Trigger)</f>
        <v>62003</v>
      </c>
      <c r="S231" s="28">
        <f>_xll.qlInterestRateIndexValueDate(Index,R231,Trigger)</f>
        <v>62005</v>
      </c>
      <c r="T231" s="28">
        <f>_xll.qlInterestRateIndexMaturity(Index,S231,Trigger)</f>
        <v>62099</v>
      </c>
      <c r="U231" s="30">
        <f>_xll.qlIndexFixing($M$5,R231,TRUE,InterestRatesTrigger)</f>
        <v>1.3015236597289518E-2</v>
      </c>
      <c r="V231" s="74">
        <f>_xll.qlIndexFixing(Index,R231,TRUE,InterestRatesTrigger)</f>
        <v>1.3175694474147336E-2</v>
      </c>
      <c r="W231" s="30">
        <f t="shared" si="18"/>
        <v>1.6045787685781826E-4</v>
      </c>
      <c r="X231" s="29">
        <f>_xll.qlDayCounterYearFraction(DayCounter,SettlementDate,S231,,,Trigger)</f>
        <v>54.794444444444444</v>
      </c>
      <c r="Y231" s="29">
        <f>_xll.qlDayCounterYearFraction(DayCounter,S231,T231)</f>
        <v>0.26111111111111113</v>
      </c>
      <c r="Z231" s="29">
        <f>IF($M$13,_xll.qlYieldTSDiscount(Currency&amp;"ON",S231)/(1+V231*Y231),1)</f>
        <v>1</v>
      </c>
      <c r="AA231" s="30">
        <f>_xll.qlTenorBasisValue(TenorBasis3M,S231,InterestRatesTrigger)</f>
        <v>1.7521143619659405E-4</v>
      </c>
      <c r="AB231" s="74">
        <f t="shared" si="19"/>
        <v>1.3190448033486112E-2</v>
      </c>
      <c r="AC231" s="76">
        <f t="shared" si="20"/>
        <v>1.0011197557265559</v>
      </c>
    </row>
    <row r="232" spans="16:29" x14ac:dyDescent="0.2">
      <c r="P232" s="33">
        <v>3</v>
      </c>
      <c r="Q232" s="27" t="str">
        <f>_xll.qlPeriodEquivalent(Q231&amp;"+"&amp;P232&amp;"M")</f>
        <v>54Y3M</v>
      </c>
      <c r="R232" s="28">
        <f>_xll.qlCalendarAdvance(Calendar,SettlementDate,Q232,"f",,Trigger)</f>
        <v>62095</v>
      </c>
      <c r="S232" s="28">
        <f>_xll.qlInterestRateIndexValueDate(Index,R232,Trigger)</f>
        <v>62099</v>
      </c>
      <c r="T232" s="28">
        <f>_xll.qlInterestRateIndexMaturity(Index,S232,Trigger)</f>
        <v>62190</v>
      </c>
      <c r="U232" s="30">
        <f>_xll.qlIndexFixing($M$5,R232,TRUE,InterestRatesTrigger)</f>
        <v>1.3066854225512002E-2</v>
      </c>
      <c r="V232" s="74">
        <f>_xll.qlIndexFixing(Index,R232,TRUE,InterestRatesTrigger)</f>
        <v>1.3228198767260967E-2</v>
      </c>
      <c r="W232" s="30">
        <f t="shared" si="18"/>
        <v>1.6134454174896416E-4</v>
      </c>
      <c r="X232" s="29">
        <f>_xll.qlDayCounterYearFraction(DayCounter,SettlementDate,S232,,,Trigger)</f>
        <v>55.055555555555557</v>
      </c>
      <c r="Y232" s="29">
        <f>_xll.qlDayCounterYearFraction(DayCounter,S232,T232)</f>
        <v>0.25277777777777777</v>
      </c>
      <c r="Z232" s="29">
        <f>IF($M$13,_xll.qlYieldTSDiscount(Currency&amp;"ON",S232)/(1+V232*Y232),1)</f>
        <v>1</v>
      </c>
      <c r="AA232" s="30">
        <f>_xll.qlTenorBasisValue(TenorBasis3M,S232,InterestRatesTrigger)</f>
        <v>1.7508817590575286E-4</v>
      </c>
      <c r="AB232" s="74">
        <f t="shared" si="19"/>
        <v>1.3241942401417755E-2</v>
      </c>
      <c r="AC232" s="76">
        <f t="shared" si="20"/>
        <v>1.0010389648960221</v>
      </c>
    </row>
    <row r="233" spans="16:29" x14ac:dyDescent="0.2">
      <c r="P233" s="33">
        <v>3</v>
      </c>
      <c r="Q233" s="27" t="str">
        <f>_xll.qlPeriodEquivalent(Q232&amp;"+"&amp;P233&amp;"M")</f>
        <v>54Y6M</v>
      </c>
      <c r="R233" s="28">
        <f>_xll.qlCalendarAdvance(Calendar,SettlementDate,Q233,"f",,Trigger)</f>
        <v>62185</v>
      </c>
      <c r="S233" s="28">
        <f>_xll.qlInterestRateIndexValueDate(Index,R233,Trigger)</f>
        <v>62187</v>
      </c>
      <c r="T233" s="28">
        <f>_xll.qlInterestRateIndexMaturity(Index,S233,Trigger)</f>
        <v>62278</v>
      </c>
      <c r="U233" s="30">
        <f>_xll.qlIndexFixing($M$5,R233,TRUE,InterestRatesTrigger)</f>
        <v>1.3114482769131831E-2</v>
      </c>
      <c r="V233" s="74">
        <f>_xll.qlIndexFixing(Index,R233,TRUE,InterestRatesTrigger)</f>
        <v>1.3276650351492284E-2</v>
      </c>
      <c r="W233" s="30">
        <f t="shared" si="18"/>
        <v>1.6216758236045278E-4</v>
      </c>
      <c r="X233" s="29">
        <f>_xll.qlDayCounterYearFraction(DayCounter,SettlementDate,S233,,,Trigger)</f>
        <v>55.3</v>
      </c>
      <c r="Y233" s="29">
        <f>_xll.qlDayCounterYearFraction(DayCounter,S233,T233)</f>
        <v>0.25277777777777777</v>
      </c>
      <c r="Z233" s="29">
        <f>IF($M$13,_xll.qlYieldTSDiscount(Currency&amp;"ON",S233)/(1+V233*Y233),1)</f>
        <v>1</v>
      </c>
      <c r="AA233" s="30">
        <f>_xll.qlTenorBasisValue(TenorBasis3M,S233,InterestRatesTrigger)</f>
        <v>1.7497697821658754E-4</v>
      </c>
      <c r="AB233" s="74">
        <f t="shared" si="19"/>
        <v>1.3289459747348419E-2</v>
      </c>
      <c r="AC233" s="76">
        <f t="shared" si="20"/>
        <v>1.0009648062965442</v>
      </c>
    </row>
    <row r="234" spans="16:29" x14ac:dyDescent="0.2">
      <c r="P234" s="33">
        <v>3</v>
      </c>
      <c r="Q234" s="27" t="str">
        <f>_xll.qlPeriodEquivalent(Q233&amp;"+"&amp;P234&amp;"M")</f>
        <v>54Y9M</v>
      </c>
      <c r="R234" s="28">
        <f>_xll.qlCalendarAdvance(Calendar,SettlementDate,Q234,"f",,Trigger)</f>
        <v>62276</v>
      </c>
      <c r="S234" s="28">
        <f>_xll.qlInterestRateIndexValueDate(Index,R234,Trigger)</f>
        <v>62278</v>
      </c>
      <c r="T234" s="28">
        <f>_xll.qlInterestRateIndexMaturity(Index,S234,Trigger)</f>
        <v>62372</v>
      </c>
      <c r="U234" s="30">
        <f>_xll.qlIndexFixing($M$5,R234,TRUE,InterestRatesTrigger)</f>
        <v>1.3163009335212326E-2</v>
      </c>
      <c r="V234" s="74">
        <f>_xll.qlIndexFixing(Index,R234,TRUE,InterestRatesTrigger)</f>
        <v>1.3326020985543686E-2</v>
      </c>
      <c r="W234" s="30">
        <f t="shared" si="18"/>
        <v>1.6301165033135931E-4</v>
      </c>
      <c r="X234" s="29">
        <f>_xll.qlDayCounterYearFraction(DayCounter,SettlementDate,S234,,,Trigger)</f>
        <v>55.552777777777777</v>
      </c>
      <c r="Y234" s="29">
        <f>_xll.qlDayCounterYearFraction(DayCounter,S234,T234)</f>
        <v>0.26111111111111113</v>
      </c>
      <c r="Z234" s="29">
        <f>IF($M$13,_xll.qlYieldTSDiscount(Currency&amp;"ON",S234)/(1+V234*Y234),1)</f>
        <v>1</v>
      </c>
      <c r="AA234" s="30">
        <f>_xll.qlTenorBasisValue(TenorBasis3M,S234,InterestRatesTrigger)</f>
        <v>1.7486610373452832E-4</v>
      </c>
      <c r="AB234" s="74">
        <f t="shared" si="19"/>
        <v>1.3337875438946855E-2</v>
      </c>
      <c r="AC234" s="76">
        <f t="shared" si="20"/>
        <v>1.0008895718696549</v>
      </c>
    </row>
    <row r="235" spans="16:29" x14ac:dyDescent="0.2">
      <c r="P235" s="33">
        <v>3</v>
      </c>
      <c r="Q235" s="27" t="str">
        <f>_xll.qlPeriodEquivalent(Q234&amp;"+"&amp;P235&amp;"M")</f>
        <v>55Y</v>
      </c>
      <c r="R235" s="28">
        <f>_xll.qlCalendarAdvance(Calendar,SettlementDate,Q235,"f",,Trigger)</f>
        <v>62368</v>
      </c>
      <c r="S235" s="28">
        <f>_xll.qlInterestRateIndexValueDate(Index,R235,Trigger)</f>
        <v>62372</v>
      </c>
      <c r="T235" s="28">
        <f>_xll.qlInterestRateIndexMaturity(Index,S235,Trigger)</f>
        <v>62464</v>
      </c>
      <c r="U235" s="30">
        <f>_xll.qlIndexFixing($M$5,R235,TRUE,InterestRatesTrigger)</f>
        <v>1.3208277266657763E-2</v>
      </c>
      <c r="V235" s="74">
        <f>_xll.qlIndexFixing(Index,R235,TRUE,InterestRatesTrigger)</f>
        <v>1.337206753923739E-2</v>
      </c>
      <c r="W235" s="30">
        <f t="shared" si="18"/>
        <v>1.6379027257962774E-4</v>
      </c>
      <c r="X235" s="29">
        <f>_xll.qlDayCounterYearFraction(DayCounter,SettlementDate,S235,,,Trigger)</f>
        <v>55.81388888888889</v>
      </c>
      <c r="Y235" s="29">
        <f>_xll.qlDayCounterYearFraction(DayCounter,S235,T235)</f>
        <v>0.25555555555555554</v>
      </c>
      <c r="Z235" s="29">
        <f>IF($M$13,_xll.qlYieldTSDiscount(Currency&amp;"ON",S235)/(1+V235*Y235),1)</f>
        <v>1</v>
      </c>
      <c r="AA235" s="30">
        <f>_xll.qlTenorBasisValue(TenorBasis3M,S235,InterestRatesTrigger)</f>
        <v>1.747558091933145E-4</v>
      </c>
      <c r="AB235" s="74">
        <f t="shared" si="19"/>
        <v>1.3383033075851078E-2</v>
      </c>
      <c r="AC235" s="76">
        <f t="shared" si="20"/>
        <v>1.0008200329965065</v>
      </c>
    </row>
    <row r="236" spans="16:29" x14ac:dyDescent="0.2">
      <c r="P236" s="33">
        <v>3</v>
      </c>
      <c r="Q236" s="27" t="str">
        <f>_xll.qlPeriodEquivalent(Q235&amp;"+"&amp;P236&amp;"M")</f>
        <v>55Y3M</v>
      </c>
      <c r="R236" s="28">
        <f>_xll.qlCalendarAdvance(Calendar,SettlementDate,Q236,"f",,Trigger)</f>
        <v>62460</v>
      </c>
      <c r="S236" s="28">
        <f>_xll.qlInterestRateIndexValueDate(Index,R236,Trigger)</f>
        <v>62464</v>
      </c>
      <c r="T236" s="28">
        <f>_xll.qlInterestRateIndexMaturity(Index,S236,Trigger)</f>
        <v>62554</v>
      </c>
      <c r="U236" s="30">
        <f>_xll.qlIndexFixing($M$5,R236,TRUE,InterestRatesTrigger)</f>
        <v>1.3250295866643391E-2</v>
      </c>
      <c r="V236" s="74">
        <f>_xll.qlIndexFixing(Index,R236,TRUE,InterestRatesTrigger)</f>
        <v>1.3414808536304612E-2</v>
      </c>
      <c r="W236" s="30">
        <f t="shared" si="18"/>
        <v>1.6451266966122091E-4</v>
      </c>
      <c r="X236" s="29">
        <f>_xll.qlDayCounterYearFraction(DayCounter,SettlementDate,S236,,,Trigger)</f>
        <v>56.069444444444443</v>
      </c>
      <c r="Y236" s="29">
        <f>_xll.qlDayCounterYearFraction(DayCounter,S236,T236)</f>
        <v>0.25</v>
      </c>
      <c r="Z236" s="29">
        <f>IF($M$13,_xll.qlYieldTSDiscount(Currency&amp;"ON",S236)/(1+V236*Y236),1)</f>
        <v>1</v>
      </c>
      <c r="AA236" s="30">
        <f>_xll.qlTenorBasisValue(TenorBasis3M,S236,InterestRatesTrigger)</f>
        <v>1.7465187755079527E-4</v>
      </c>
      <c r="AB236" s="74">
        <f t="shared" si="19"/>
        <v>1.3424947744194187E-2</v>
      </c>
      <c r="AC236" s="76">
        <f t="shared" si="20"/>
        <v>1.0007558220351886</v>
      </c>
    </row>
    <row r="237" spans="16:29" x14ac:dyDescent="0.2">
      <c r="P237" s="33">
        <v>3</v>
      </c>
      <c r="Q237" s="27" t="str">
        <f>_xll.qlPeriodEquivalent(Q236&amp;"+"&amp;P237&amp;"M")</f>
        <v>55Y6M</v>
      </c>
      <c r="R237" s="28">
        <f>_xll.qlCalendarAdvance(Calendar,SettlementDate,Q237,"f",,Trigger)</f>
        <v>62550</v>
      </c>
      <c r="S237" s="28">
        <f>_xll.qlInterestRateIndexValueDate(Index,R237,Trigger)</f>
        <v>62554</v>
      </c>
      <c r="T237" s="28">
        <f>_xll.qlInterestRateIndexMaturity(Index,S237,Trigger)</f>
        <v>62645</v>
      </c>
      <c r="U237" s="30">
        <f>_xll.qlIndexFixing($M$5,R237,TRUE,InterestRatesTrigger)</f>
        <v>1.329058790603925E-2</v>
      </c>
      <c r="V237" s="74">
        <f>_xll.qlIndexFixing(Index,R237,TRUE,InterestRatesTrigger)</f>
        <v>1.345579874385657E-2</v>
      </c>
      <c r="W237" s="30">
        <f t="shared" si="18"/>
        <v>1.652108378173197E-4</v>
      </c>
      <c r="X237" s="29">
        <f>_xll.qlDayCounterYearFraction(DayCounter,SettlementDate,S237,,,Trigger)</f>
        <v>56.319444444444443</v>
      </c>
      <c r="Y237" s="29">
        <f>_xll.qlDayCounterYearFraction(DayCounter,S237,T237)</f>
        <v>0.25277777777777777</v>
      </c>
      <c r="Z237" s="29">
        <f>IF($M$13,_xll.qlYieldTSDiscount(Currency&amp;"ON",S237)/(1+V237*Y237),1)</f>
        <v>1</v>
      </c>
      <c r="AA237" s="30">
        <f>_xll.qlTenorBasisValue(TenorBasis3M,S237,InterestRatesTrigger)</f>
        <v>1.7455391054106898E-4</v>
      </c>
      <c r="AB237" s="74">
        <f t="shared" si="19"/>
        <v>1.3465141816580319E-2</v>
      </c>
      <c r="AC237" s="76">
        <f t="shared" si="20"/>
        <v>1.0006943528884167</v>
      </c>
    </row>
    <row r="238" spans="16:29" x14ac:dyDescent="0.2">
      <c r="P238" s="33">
        <v>3</v>
      </c>
      <c r="Q238" s="27" t="str">
        <f>_xll.qlPeriodEquivalent(Q237&amp;"+"&amp;P238&amp;"M")</f>
        <v>55Y9M</v>
      </c>
      <c r="R238" s="28">
        <f>_xll.qlCalendarAdvance(Calendar,SettlementDate,Q238,"f",,Trigger)</f>
        <v>62641</v>
      </c>
      <c r="S238" s="28">
        <f>_xll.qlInterestRateIndexValueDate(Index,R238,Trigger)</f>
        <v>62645</v>
      </c>
      <c r="T238" s="28">
        <f>_xll.qlInterestRateIndexMaturity(Index,S238,Trigger)</f>
        <v>62737</v>
      </c>
      <c r="U238" s="30">
        <f>_xll.qlIndexFixing($M$5,R238,TRUE,InterestRatesTrigger)</f>
        <v>1.3329078525952593E-2</v>
      </c>
      <c r="V238" s="74">
        <f>_xll.qlIndexFixing(Index,R238,TRUE,InterestRatesTrigger)</f>
        <v>1.3494956444397094E-2</v>
      </c>
      <c r="W238" s="30">
        <f t="shared" si="18"/>
        <v>1.6587791844450105E-4</v>
      </c>
      <c r="X238" s="29">
        <f>_xll.qlDayCounterYearFraction(DayCounter,SettlementDate,S238,,,Trigger)</f>
        <v>56.572222222222223</v>
      </c>
      <c r="Y238" s="29">
        <f>_xll.qlDayCounterYearFraction(DayCounter,S238,T238)</f>
        <v>0.25555555555555554</v>
      </c>
      <c r="Z238" s="29">
        <f>IF($M$13,_xll.qlYieldTSDiscount(Currency&amp;"ON",S238)/(1+V238*Y238),1)</f>
        <v>1</v>
      </c>
      <c r="AA238" s="30">
        <f>_xll.qlTenorBasisValue(TenorBasis3M,S238,InterestRatesTrigger)</f>
        <v>1.7445844732082519E-4</v>
      </c>
      <c r="AB238" s="74">
        <f t="shared" si="19"/>
        <v>1.3503536973273418E-2</v>
      </c>
      <c r="AC238" s="76">
        <f t="shared" si="20"/>
        <v>1.0006358322764271</v>
      </c>
    </row>
    <row r="239" spans="16:29" x14ac:dyDescent="0.2">
      <c r="P239" s="33">
        <v>3</v>
      </c>
      <c r="Q239" s="27" t="str">
        <f>_xll.qlPeriodEquivalent(Q238&amp;"+"&amp;P239&amp;"M")</f>
        <v>56Y</v>
      </c>
      <c r="R239" s="28">
        <f>_xll.qlCalendarAdvance(Calendar,SettlementDate,Q239,"f",,Trigger)</f>
        <v>62733</v>
      </c>
      <c r="S239" s="28">
        <f>_xll.qlInterestRateIndexValueDate(Index,R239,Trigger)</f>
        <v>62737</v>
      </c>
      <c r="T239" s="28">
        <f>_xll.qlInterestRateIndexMaturity(Index,S239,Trigger)</f>
        <v>62829</v>
      </c>
      <c r="U239" s="30">
        <f>_xll.qlIndexFixing($M$5,R239,TRUE,InterestRatesTrigger)</f>
        <v>1.3365257267363997E-2</v>
      </c>
      <c r="V239" s="74">
        <f>_xll.qlIndexFixing(Index,R239,TRUE,InterestRatesTrigger)</f>
        <v>1.3531760427071609E-2</v>
      </c>
      <c r="W239" s="30">
        <f t="shared" si="18"/>
        <v>1.6650315970761186E-4</v>
      </c>
      <c r="X239" s="29">
        <f>_xll.qlDayCounterYearFraction(DayCounter,SettlementDate,S239,,,Trigger)</f>
        <v>56.827777777777776</v>
      </c>
      <c r="Y239" s="29">
        <f>_xll.qlDayCounterYearFraction(DayCounter,S239,T239)</f>
        <v>0.25555555555555554</v>
      </c>
      <c r="Z239" s="29">
        <f>IF($M$13,_xll.qlYieldTSDiscount(Currency&amp;"ON",S239)/(1+V239*Y239),1)</f>
        <v>1</v>
      </c>
      <c r="AA239" s="30">
        <f>_xll.qlTenorBasisValue(TenorBasis3M,S239,InterestRatesTrigger)</f>
        <v>1.7436547528796101E-4</v>
      </c>
      <c r="AB239" s="74">
        <f t="shared" si="19"/>
        <v>1.3539622742651958E-2</v>
      </c>
      <c r="AC239" s="76">
        <f t="shared" si="20"/>
        <v>1.000581026808945</v>
      </c>
    </row>
    <row r="240" spans="16:29" x14ac:dyDescent="0.2">
      <c r="P240" s="33">
        <v>3</v>
      </c>
      <c r="Q240" s="27" t="str">
        <f>_xll.qlPeriodEquivalent(Q239&amp;"+"&amp;P240&amp;"M")</f>
        <v>56Y3M</v>
      </c>
      <c r="R240" s="28">
        <f>_xll.qlCalendarAdvance(Calendar,SettlementDate,Q240,"f",,Trigger)</f>
        <v>62827</v>
      </c>
      <c r="S240" s="28">
        <f>_xll.qlInterestRateIndexValueDate(Index,R240,Trigger)</f>
        <v>62829</v>
      </c>
      <c r="T240" s="28">
        <f>_xll.qlInterestRateIndexMaturity(Index,S240,Trigger)</f>
        <v>62920</v>
      </c>
      <c r="U240" s="30">
        <f>_xll.qlIndexFixing($M$5,R240,TRUE,InterestRatesTrigger)</f>
        <v>1.3398726818860528E-2</v>
      </c>
      <c r="V240" s="74">
        <f>_xll.qlIndexFixing(Index,R240,TRUE,InterestRatesTrigger)</f>
        <v>1.3565806462439416E-2</v>
      </c>
      <c r="W240" s="30">
        <f t="shared" si="18"/>
        <v>1.6707964357888863E-4</v>
      </c>
      <c r="X240" s="29">
        <f>_xll.qlDayCounterYearFraction(DayCounter,SettlementDate,S240,,,Trigger)</f>
        <v>57.083333333333336</v>
      </c>
      <c r="Y240" s="29">
        <f>_xll.qlDayCounterYearFraction(DayCounter,S240,T240)</f>
        <v>0.25277777777777777</v>
      </c>
      <c r="Z240" s="29">
        <f>IF($M$13,_xll.qlYieldTSDiscount(Currency&amp;"ON",S240)/(1+V240*Y240),1)</f>
        <v>1</v>
      </c>
      <c r="AA240" s="30">
        <f>_xll.qlTenorBasisValue(TenorBasis3M,S240,InterestRatesTrigger)</f>
        <v>1.7427593415300009E-4</v>
      </c>
      <c r="AB240" s="74">
        <f t="shared" si="19"/>
        <v>1.3573002753013527E-2</v>
      </c>
      <c r="AC240" s="76">
        <f t="shared" si="20"/>
        <v>1.0005304727436615</v>
      </c>
    </row>
    <row r="241" spans="16:29" x14ac:dyDescent="0.2">
      <c r="P241" s="33">
        <v>3</v>
      </c>
      <c r="Q241" s="27" t="str">
        <f>_xll.qlPeriodEquivalent(Q240&amp;"+"&amp;P241&amp;"M")</f>
        <v>56Y6M</v>
      </c>
      <c r="R241" s="28">
        <f>_xll.qlCalendarAdvance(Calendar,SettlementDate,Q241,"f",,Trigger)</f>
        <v>62918</v>
      </c>
      <c r="S241" s="28">
        <f>_xll.qlInterestRateIndexValueDate(Index,R241,Trigger)</f>
        <v>62920</v>
      </c>
      <c r="T241" s="28">
        <f>_xll.qlInterestRateIndexMaturity(Index,S241,Trigger)</f>
        <v>63011</v>
      </c>
      <c r="U241" s="30">
        <f>_xll.qlIndexFixing($M$5,R241,TRUE,InterestRatesTrigger)</f>
        <v>1.3430017008932031E-2</v>
      </c>
      <c r="V241" s="74">
        <f>_xll.qlIndexFixing(Index,R241,TRUE,InterestRatesTrigger)</f>
        <v>1.3597637404476323E-2</v>
      </c>
      <c r="W241" s="30">
        <f t="shared" si="18"/>
        <v>1.6762039554429203E-4</v>
      </c>
      <c r="X241" s="29">
        <f>_xll.qlDayCounterYearFraction(DayCounter,SettlementDate,S241,,,Trigger)</f>
        <v>57.336111111111109</v>
      </c>
      <c r="Y241" s="29">
        <f>_xll.qlDayCounterYearFraction(DayCounter,S241,T241)</f>
        <v>0.25277777777777777</v>
      </c>
      <c r="Z241" s="29">
        <f>IF($M$13,_xll.qlYieldTSDiscount(Currency&amp;"ON",S241)/(1+V241*Y241),1)</f>
        <v>1</v>
      </c>
      <c r="AA241" s="30">
        <f>_xll.qlTenorBasisValue(TenorBasis3M,S241,InterestRatesTrigger)</f>
        <v>1.7419061933326624E-4</v>
      </c>
      <c r="AB241" s="74">
        <f t="shared" si="19"/>
        <v>1.3604207628265298E-2</v>
      </c>
      <c r="AC241" s="76">
        <f t="shared" si="20"/>
        <v>1.0004831886300198</v>
      </c>
    </row>
    <row r="242" spans="16:29" x14ac:dyDescent="0.2">
      <c r="P242" s="33">
        <v>3</v>
      </c>
      <c r="Q242" s="27" t="str">
        <f>_xll.qlPeriodEquivalent(Q241&amp;"+"&amp;P242&amp;"M")</f>
        <v>56Y9M</v>
      </c>
      <c r="R242" s="28">
        <f>_xll.qlCalendarAdvance(Calendar,SettlementDate,Q242,"f",,Trigger)</f>
        <v>63009</v>
      </c>
      <c r="S242" s="28">
        <f>_xll.qlInterestRateIndexValueDate(Index,R242,Trigger)</f>
        <v>63011</v>
      </c>
      <c r="T242" s="28">
        <f>_xll.qlInterestRateIndexMaturity(Index,S242,Trigger)</f>
        <v>63103</v>
      </c>
      <c r="U242" s="30">
        <f>_xll.qlIndexFixing($M$5,R242,TRUE,InterestRatesTrigger)</f>
        <v>1.3459475136457537E-2</v>
      </c>
      <c r="V242" s="74">
        <f>_xll.qlIndexFixing(Index,R242,TRUE,InterestRatesTrigger)</f>
        <v>1.3627606597478931E-2</v>
      </c>
      <c r="W242" s="30">
        <f t="shared" si="18"/>
        <v>1.6813146102139485E-4</v>
      </c>
      <c r="X242" s="29">
        <f>_xll.qlDayCounterYearFraction(DayCounter,SettlementDate,S242,,,Trigger)</f>
        <v>57.588888888888889</v>
      </c>
      <c r="Y242" s="29">
        <f>_xll.qlDayCounterYearFraction(DayCounter,S242,T242)</f>
        <v>0.25555555555555554</v>
      </c>
      <c r="Z242" s="29">
        <f>IF($M$13,_xll.qlYieldTSDiscount(Currency&amp;"ON",S242)/(1+V242*Y242),1)</f>
        <v>1</v>
      </c>
      <c r="AA242" s="30">
        <f>_xll.qlTenorBasisValue(TenorBasis3M,S242,InterestRatesTrigger)</f>
        <v>1.7410842304691962E-4</v>
      </c>
      <c r="AB242" s="74">
        <f t="shared" si="19"/>
        <v>1.3633583559504456E-2</v>
      </c>
      <c r="AC242" s="76">
        <f t="shared" si="20"/>
        <v>1.0004385922049313</v>
      </c>
    </row>
    <row r="243" spans="16:29" x14ac:dyDescent="0.2">
      <c r="P243" s="33">
        <v>3</v>
      </c>
      <c r="Q243" s="27" t="str">
        <f>_xll.qlPeriodEquivalent(Q242&amp;"+"&amp;P243&amp;"M")</f>
        <v>57Y</v>
      </c>
      <c r="R243" s="28">
        <f>_xll.qlCalendarAdvance(Calendar,SettlementDate,Q243,"f",,Trigger)</f>
        <v>63100</v>
      </c>
      <c r="S243" s="28">
        <f>_xll.qlInterestRateIndexValueDate(Index,R243,Trigger)</f>
        <v>63102</v>
      </c>
      <c r="T243" s="28">
        <f>_xll.qlInterestRateIndexMaturity(Index,S243,Trigger)</f>
        <v>63194</v>
      </c>
      <c r="U243" s="30">
        <f>_xll.qlIndexFixing($M$5,R243,TRUE,InterestRatesTrigger)</f>
        <v>1.3486284414103229E-2</v>
      </c>
      <c r="V243" s="74">
        <f>_xll.qlIndexFixing(Index,R243,TRUE,InterestRatesTrigger)</f>
        <v>1.3654879208301668E-2</v>
      </c>
      <c r="W243" s="30">
        <f t="shared" si="18"/>
        <v>1.6859479419843899E-4</v>
      </c>
      <c r="X243" s="29">
        <f>_xll.qlDayCounterYearFraction(DayCounter,SettlementDate,S243,,,Trigger)</f>
        <v>57.841666666666669</v>
      </c>
      <c r="Y243" s="29">
        <f>_xll.qlDayCounterYearFraction(DayCounter,S243,T243)</f>
        <v>0.25555555555555554</v>
      </c>
      <c r="Z243" s="29">
        <f>IF($M$13,_xll.qlYieldTSDiscount(Currency&amp;"ON",S243)/(1+V243*Y243),1)</f>
        <v>1</v>
      </c>
      <c r="AA243" s="30">
        <f>_xll.qlTenorBasisValue(TenorBasis3M,S243,InterestRatesTrigger)</f>
        <v>1.7402923309304356E-4</v>
      </c>
      <c r="AB243" s="74">
        <f t="shared" si="19"/>
        <v>1.3660313647196273E-2</v>
      </c>
      <c r="AC243" s="76">
        <f t="shared" si="20"/>
        <v>1.0003979851313003</v>
      </c>
    </row>
    <row r="244" spans="16:29" x14ac:dyDescent="0.2">
      <c r="P244" s="33">
        <v>3</v>
      </c>
      <c r="Q244" s="27" t="str">
        <f>_xll.qlPeriodEquivalent(Q243&amp;"+"&amp;P244&amp;"M")</f>
        <v>57Y3M</v>
      </c>
      <c r="R244" s="28">
        <f>_xll.qlCalendarAdvance(Calendar,SettlementDate,Q244,"f",,Trigger)</f>
        <v>63191</v>
      </c>
      <c r="S244" s="28">
        <f>_xll.qlInterestRateIndexValueDate(Index,R244,Trigger)</f>
        <v>63193</v>
      </c>
      <c r="T244" s="28">
        <f>_xll.qlInterestRateIndexMaturity(Index,S244,Trigger)</f>
        <v>63283</v>
      </c>
      <c r="U244" s="30">
        <f>_xll.qlIndexFixing($M$5,R244,TRUE,InterestRatesTrigger)</f>
        <v>1.3510098463783038E-2</v>
      </c>
      <c r="V244" s="74">
        <f>_xll.qlIndexFixing(Index,R244,TRUE,InterestRatesTrigger)</f>
        <v>1.3679100838631442E-2</v>
      </c>
      <c r="W244" s="30">
        <f t="shared" si="18"/>
        <v>1.6900237484840375E-4</v>
      </c>
      <c r="X244" s="29">
        <f>_xll.qlDayCounterYearFraction(DayCounter,SettlementDate,S244,,,Trigger)</f>
        <v>58.094444444444441</v>
      </c>
      <c r="Y244" s="29">
        <f>_xll.qlDayCounterYearFraction(DayCounter,S244,T244)</f>
        <v>0.25</v>
      </c>
      <c r="Z244" s="29">
        <f>IF($M$13,_xll.qlYieldTSDiscount(Currency&amp;"ON",S244)/(1+V244*Y244),1)</f>
        <v>1</v>
      </c>
      <c r="AA244" s="30">
        <f>_xll.qlTenorBasisValue(TenorBasis3M,S244,InterestRatesTrigger)</f>
        <v>1.7395294122463155E-4</v>
      </c>
      <c r="AB244" s="74">
        <f t="shared" si="19"/>
        <v>1.3684051405007669E-2</v>
      </c>
      <c r="AC244" s="76">
        <f t="shared" si="20"/>
        <v>1.0003619072945384</v>
      </c>
    </row>
    <row r="245" spans="16:29" x14ac:dyDescent="0.2">
      <c r="P245" s="33">
        <v>3</v>
      </c>
      <c r="Q245" s="27" t="str">
        <f>_xll.qlPeriodEquivalent(Q244&amp;"+"&amp;P245&amp;"M")</f>
        <v>57Y6M</v>
      </c>
      <c r="R245" s="28">
        <f>_xll.qlCalendarAdvance(Calendar,SettlementDate,Q245,"f",,Trigger)</f>
        <v>63282</v>
      </c>
      <c r="S245" s="28">
        <f>_xll.qlInterestRateIndexValueDate(Index,R245,Trigger)</f>
        <v>63284</v>
      </c>
      <c r="T245" s="28">
        <f>_xll.qlInterestRateIndexMaturity(Index,S245,Trigger)</f>
        <v>63375</v>
      </c>
      <c r="U245" s="30">
        <f>_xll.qlIndexFixing($M$5,R245,TRUE,InterestRatesTrigger)</f>
        <v>1.3532829370106079E-2</v>
      </c>
      <c r="V245" s="74">
        <f>_xll.qlIndexFixing(Index,R245,TRUE,InterestRatesTrigger)</f>
        <v>1.3702226582576051E-2</v>
      </c>
      <c r="W245" s="30">
        <f t="shared" si="18"/>
        <v>1.6939721246997212E-4</v>
      </c>
      <c r="X245" s="29">
        <f>_xll.qlDayCounterYearFraction(DayCounter,SettlementDate,S245,,,Trigger)</f>
        <v>58.347222222222221</v>
      </c>
      <c r="Y245" s="29">
        <f>_xll.qlDayCounterYearFraction(DayCounter,S245,T245)</f>
        <v>0.25277777777777777</v>
      </c>
      <c r="Z245" s="29">
        <f>IF($M$13,_xll.qlYieldTSDiscount(Currency&amp;"ON",S245)/(1+V245*Y245),1)</f>
        <v>1</v>
      </c>
      <c r="AA245" s="30">
        <f>_xll.qlTenorBasisValue(TenorBasis3M,S245,InterestRatesTrigger)</f>
        <v>1.7387944301315399E-4</v>
      </c>
      <c r="AB245" s="74">
        <f t="shared" si="19"/>
        <v>1.3706708813119233E-2</v>
      </c>
      <c r="AC245" s="76">
        <f t="shared" si="20"/>
        <v>1.000327116948196</v>
      </c>
    </row>
    <row r="246" spans="16:29" x14ac:dyDescent="0.2">
      <c r="P246" s="33">
        <v>3</v>
      </c>
      <c r="Q246" s="27" t="str">
        <f>_xll.qlPeriodEquivalent(Q245&amp;"+"&amp;P246&amp;"M")</f>
        <v>57Y9M</v>
      </c>
      <c r="R246" s="28">
        <f>_xll.qlCalendarAdvance(Calendar,SettlementDate,Q246,"f",,Trigger)</f>
        <v>63373</v>
      </c>
      <c r="S246" s="28">
        <f>_xll.qlInterestRateIndexValueDate(Index,R246,Trigger)</f>
        <v>63375</v>
      </c>
      <c r="T246" s="28">
        <f>_xll.qlInterestRateIndexMaturity(Index,S246,Trigger)</f>
        <v>63467</v>
      </c>
      <c r="U246" s="30">
        <f>_xll.qlIndexFixing($M$5,R246,TRUE,InterestRatesTrigger)</f>
        <v>1.3553302268460566E-2</v>
      </c>
      <c r="V246" s="74">
        <f>_xll.qlIndexFixing(Index,R246,TRUE,InterestRatesTrigger)</f>
        <v>1.3723055317360719E-2</v>
      </c>
      <c r="W246" s="30">
        <f t="shared" si="18"/>
        <v>1.6975304890015294E-4</v>
      </c>
      <c r="X246" s="29">
        <f>_xll.qlDayCounterYearFraction(DayCounter,SettlementDate,S246,,,Trigger)</f>
        <v>58.6</v>
      </c>
      <c r="Y246" s="29">
        <f>_xll.qlDayCounterYearFraction(DayCounter,S246,T246)</f>
        <v>0.25555555555555554</v>
      </c>
      <c r="Z246" s="29">
        <f>IF($M$13,_xll.qlYieldTSDiscount(Currency&amp;"ON",S246)/(1+V246*Y246),1)</f>
        <v>1</v>
      </c>
      <c r="AA246" s="30">
        <f>_xll.qlTenorBasisValue(TenorBasis3M,S246,InterestRatesTrigger)</f>
        <v>1.7380863771757649E-4</v>
      </c>
      <c r="AB246" s="74">
        <f t="shared" si="19"/>
        <v>1.3727110906178142E-2</v>
      </c>
      <c r="AC246" s="76">
        <f t="shared" si="20"/>
        <v>1.000295531040547</v>
      </c>
    </row>
    <row r="247" spans="16:29" x14ac:dyDescent="0.2">
      <c r="P247" s="33">
        <v>3</v>
      </c>
      <c r="Q247" s="27" t="str">
        <f>_xll.qlPeriodEquivalent(Q246&amp;"+"&amp;P247&amp;"M")</f>
        <v>58Y</v>
      </c>
      <c r="R247" s="28">
        <f>_xll.qlCalendarAdvance(Calendar,SettlementDate,Q247,"f",,Trigger)</f>
        <v>63464</v>
      </c>
      <c r="S247" s="28">
        <f>_xll.qlInterestRateIndexValueDate(Index,R247,Trigger)</f>
        <v>63466</v>
      </c>
      <c r="T247" s="28">
        <f>_xll.qlInterestRateIndexMaturity(Index,S247,Trigger)</f>
        <v>63558</v>
      </c>
      <c r="U247" s="30">
        <f>_xll.qlIndexFixing($M$5,R247,TRUE,InterestRatesTrigger)</f>
        <v>1.3571171433224959E-2</v>
      </c>
      <c r="V247" s="74">
        <f>_xll.qlIndexFixing(Index,R247,TRUE,InterestRatesTrigger)</f>
        <v>1.3741233314321451E-2</v>
      </c>
      <c r="W247" s="30">
        <f t="shared" si="18"/>
        <v>1.7006188109649177E-4</v>
      </c>
      <c r="X247" s="29">
        <f>_xll.qlDayCounterYearFraction(DayCounter,SettlementDate,S247,,,Trigger)</f>
        <v>58.852777777777774</v>
      </c>
      <c r="Y247" s="29">
        <f>_xll.qlDayCounterYearFraction(DayCounter,S247,T247)</f>
        <v>0.25555555555555554</v>
      </c>
      <c r="Z247" s="29">
        <f>IF($M$13,_xll.qlYieldTSDiscount(Currency&amp;"ON",S247)/(1+V247*Y247),1)</f>
        <v>1</v>
      </c>
      <c r="AA247" s="30">
        <f>_xll.qlTenorBasisValue(TenorBasis3M,S247,InterestRatesTrigger)</f>
        <v>1.7374042815769298E-4</v>
      </c>
      <c r="AB247" s="74">
        <f t="shared" si="19"/>
        <v>1.3744911861382653E-2</v>
      </c>
      <c r="AC247" s="76">
        <f t="shared" si="20"/>
        <v>1.0002677013756376</v>
      </c>
    </row>
    <row r="248" spans="16:29" x14ac:dyDescent="0.2">
      <c r="P248" s="33">
        <v>3</v>
      </c>
      <c r="Q248" s="27" t="str">
        <f>_xll.qlPeriodEquivalent(Q247&amp;"+"&amp;P248&amp;"M")</f>
        <v>58Y3M</v>
      </c>
      <c r="R248" s="28">
        <f>_xll.qlCalendarAdvance(Calendar,SettlementDate,Q248,"f",,Trigger)</f>
        <v>63556</v>
      </c>
      <c r="S248" s="28">
        <f>_xll.qlInterestRateIndexValueDate(Index,R248,Trigger)</f>
        <v>63558</v>
      </c>
      <c r="T248" s="28">
        <f>_xll.qlInterestRateIndexMaturity(Index,S248,Trigger)</f>
        <v>63648</v>
      </c>
      <c r="U248" s="30">
        <f>_xll.qlIndexFixing($M$5,R248,TRUE,InterestRatesTrigger)</f>
        <v>1.358629740138273E-2</v>
      </c>
      <c r="V248" s="74">
        <f>_xll.qlIndexFixing(Index,R248,TRUE,InterestRatesTrigger)</f>
        <v>1.3756616642581321E-2</v>
      </c>
      <c r="W248" s="30">
        <f t="shared" si="18"/>
        <v>1.7031924119859099E-4</v>
      </c>
      <c r="X248" s="29">
        <f>_xll.qlDayCounterYearFraction(DayCounter,SettlementDate,S248,,,Trigger)</f>
        <v>59.108333333333334</v>
      </c>
      <c r="Y248" s="29">
        <f>_xll.qlDayCounterYearFraction(DayCounter,S248,T248)</f>
        <v>0.25</v>
      </c>
      <c r="Z248" s="29">
        <f>IF($M$13,_xll.qlYieldTSDiscount(Currency&amp;"ON",S248)/(1+V248*Y248),1)</f>
        <v>1</v>
      </c>
      <c r="AA248" s="30">
        <f>_xll.qlTenorBasisValue(TenorBasis3M,S248,InterestRatesTrigger)</f>
        <v>1.7367401208907387E-4</v>
      </c>
      <c r="AB248" s="74">
        <f t="shared" si="19"/>
        <v>1.3759971413471803E-2</v>
      </c>
      <c r="AC248" s="76">
        <f t="shared" si="20"/>
        <v>1.0002438659866482</v>
      </c>
    </row>
    <row r="249" spans="16:29" x14ac:dyDescent="0.2">
      <c r="P249" s="33">
        <v>3</v>
      </c>
      <c r="Q249" s="27" t="str">
        <f>_xll.qlPeriodEquivalent(Q248&amp;"+"&amp;P249&amp;"M")</f>
        <v>58Y6M</v>
      </c>
      <c r="R249" s="28">
        <f>_xll.qlCalendarAdvance(Calendar,SettlementDate,Q249,"f",,Trigger)</f>
        <v>63646</v>
      </c>
      <c r="S249" s="28">
        <f>_xll.qlInterestRateIndexValueDate(Index,R249,Trigger)</f>
        <v>63648</v>
      </c>
      <c r="T249" s="28">
        <f>_xll.qlInterestRateIndexMaturity(Index,S249,Trigger)</f>
        <v>63739</v>
      </c>
      <c r="U249" s="30">
        <f>_xll.qlIndexFixing($M$5,R249,TRUE,InterestRatesTrigger)</f>
        <v>1.3599882344650299E-2</v>
      </c>
      <c r="V249" s="74">
        <f>_xll.qlIndexFixing(Index,R249,TRUE,InterestRatesTrigger)</f>
        <v>1.377043840072069E-2</v>
      </c>
      <c r="W249" s="30">
        <f t="shared" si="18"/>
        <v>1.7055605607039191E-4</v>
      </c>
      <c r="X249" s="29">
        <f>_xll.qlDayCounterYearFraction(DayCounter,SettlementDate,S249,,,Trigger)</f>
        <v>59.358333333333334</v>
      </c>
      <c r="Y249" s="29">
        <f>_xll.qlDayCounterYearFraction(DayCounter,S249,T249)</f>
        <v>0.25277777777777777</v>
      </c>
      <c r="Z249" s="29">
        <f>IF($M$13,_xll.qlYieldTSDiscount(Currency&amp;"ON",S249)/(1+V249*Y249),1)</f>
        <v>1</v>
      </c>
      <c r="AA249" s="30">
        <f>_xll.qlTenorBasisValue(TenorBasis3M,S249,InterestRatesTrigger)</f>
        <v>1.7361142459746258E-4</v>
      </c>
      <c r="AB249" s="74">
        <f t="shared" si="19"/>
        <v>1.377349376924776E-2</v>
      </c>
      <c r="AC249" s="76">
        <f t="shared" si="20"/>
        <v>1.0002218788130166</v>
      </c>
    </row>
    <row r="250" spans="16:29" x14ac:dyDescent="0.2">
      <c r="P250" s="33">
        <v>3</v>
      </c>
      <c r="Q250" s="27" t="str">
        <f>_xll.qlPeriodEquivalent(Q249&amp;"+"&amp;P250&amp;"M")</f>
        <v>58Y9M</v>
      </c>
      <c r="R250" s="28">
        <f>_xll.qlCalendarAdvance(Calendar,SettlementDate,Q250,"f",,Trigger)</f>
        <v>63737</v>
      </c>
      <c r="S250" s="28">
        <f>_xll.qlInterestRateIndexValueDate(Index,R250,Trigger)</f>
        <v>63739</v>
      </c>
      <c r="T250" s="28">
        <f>_xll.qlInterestRateIndexMaturity(Index,S250,Trigger)</f>
        <v>63831</v>
      </c>
      <c r="U250" s="30">
        <f>_xll.qlIndexFixing($M$5,R250,TRUE,InterestRatesTrigger)</f>
        <v>1.3611368140243548E-2</v>
      </c>
      <c r="V250" s="74">
        <f>_xll.qlIndexFixing(Index,R250,TRUE,InterestRatesTrigger)</f>
        <v>1.378212474493695E-2</v>
      </c>
      <c r="W250" s="30">
        <f t="shared" si="18"/>
        <v>1.7075660469340233E-4</v>
      </c>
      <c r="X250" s="29">
        <f>_xll.qlDayCounterYearFraction(DayCounter,SettlementDate,S250,,,Trigger)</f>
        <v>59.611111111111114</v>
      </c>
      <c r="Y250" s="29">
        <f>_xll.qlDayCounterYearFraction(DayCounter,S250,T250)</f>
        <v>0.25555555555555554</v>
      </c>
      <c r="Z250" s="29">
        <f>IF($M$13,_xll.qlYieldTSDiscount(Currency&amp;"ON",S250)/(1+V250*Y250),1)</f>
        <v>1</v>
      </c>
      <c r="AA250" s="30">
        <f>_xll.qlTenorBasisValue(TenorBasis3M,S250,InterestRatesTrigger)</f>
        <v>1.7355045295860581E-4</v>
      </c>
      <c r="AB250" s="74">
        <f t="shared" si="19"/>
        <v>1.3784918593202154E-2</v>
      </c>
      <c r="AC250" s="76">
        <f t="shared" si="20"/>
        <v>1.0002027153517261</v>
      </c>
    </row>
    <row r="251" spans="16:29" x14ac:dyDescent="0.2">
      <c r="P251" s="33">
        <v>3</v>
      </c>
      <c r="Q251" s="27" t="str">
        <f>_xll.qlPeriodEquivalent(Q250&amp;"+"&amp;P251&amp;"M")</f>
        <v>59Y</v>
      </c>
      <c r="R251" s="28">
        <f>_xll.qlCalendarAdvance(Calendar,SettlementDate,Q251,"f",,Trigger)</f>
        <v>63829</v>
      </c>
      <c r="S251" s="28">
        <f>_xll.qlInterestRateIndexValueDate(Index,R251,Trigger)</f>
        <v>63831</v>
      </c>
      <c r="T251" s="28">
        <f>_xll.qlInterestRateIndexMaturity(Index,S251,Trigger)</f>
        <v>63923</v>
      </c>
      <c r="U251" s="30">
        <f>_xll.qlIndexFixing($M$5,R251,TRUE,InterestRatesTrigger)</f>
        <v>1.3620382403727897E-2</v>
      </c>
      <c r="V251" s="74">
        <f>_xll.qlIndexFixing(Index,R251,TRUE,InterestRatesTrigger)</f>
        <v>1.3791294803805719E-2</v>
      </c>
      <c r="W251" s="30">
        <f t="shared" si="18"/>
        <v>1.7091240007782206E-4</v>
      </c>
      <c r="X251" s="29">
        <f>_xll.qlDayCounterYearFraction(DayCounter,SettlementDate,S251,,,Trigger)</f>
        <v>59.866666666666667</v>
      </c>
      <c r="Y251" s="29">
        <f>_xll.qlDayCounterYearFraction(DayCounter,S251,T251)</f>
        <v>0.25555555555555554</v>
      </c>
      <c r="Z251" s="29">
        <f>IF($M$13,_xll.qlYieldTSDiscount(Currency&amp;"ON",S251)/(1+V251*Y251),1)</f>
        <v>1</v>
      </c>
      <c r="AA251" s="30">
        <f>_xll.qlTenorBasisValue(TenorBasis3M,S251,InterestRatesTrigger)</f>
        <v>1.7349108829258422E-4</v>
      </c>
      <c r="AB251" s="74">
        <f t="shared" si="19"/>
        <v>1.3793873492020482E-2</v>
      </c>
      <c r="AC251" s="76">
        <f t="shared" si="20"/>
        <v>1.0001869794135683</v>
      </c>
    </row>
    <row r="252" spans="16:29" x14ac:dyDescent="0.2">
      <c r="P252" s="33">
        <v>3</v>
      </c>
      <c r="Q252" s="27" t="str">
        <f>_xll.qlPeriodEquivalent(Q251&amp;"+"&amp;P252&amp;"M")</f>
        <v>59Y3M</v>
      </c>
      <c r="R252" s="28">
        <f>_xll.qlCalendarAdvance(Calendar,SettlementDate,Q252,"f",,Trigger)</f>
        <v>63921</v>
      </c>
      <c r="S252" s="28">
        <f>_xll.qlInterestRateIndexValueDate(Index,R252,Trigger)</f>
        <v>63923</v>
      </c>
      <c r="T252" s="28">
        <f>_xll.qlInterestRateIndexMaturity(Index,S252,Trigger)</f>
        <v>64013</v>
      </c>
      <c r="U252" s="30">
        <f>_xll.qlIndexFixing($M$5,R252,TRUE,InterestRatesTrigger)</f>
        <v>1.3626540087283701E-2</v>
      </c>
      <c r="V252" s="74">
        <f>_xll.qlIndexFixing(Index,R252,TRUE,InterestRatesTrigger)</f>
        <v>1.379755481086864E-2</v>
      </c>
      <c r="W252" s="30">
        <f t="shared" si="18"/>
        <v>1.7101472358493908E-4</v>
      </c>
      <c r="X252" s="29">
        <f>_xll.qlDayCounterYearFraction(DayCounter,SettlementDate,S252,,,Trigger)</f>
        <v>60.12222222222222</v>
      </c>
      <c r="Y252" s="29">
        <f>_xll.qlDayCounterYearFraction(DayCounter,S252,T252)</f>
        <v>0.25</v>
      </c>
      <c r="Z252" s="29">
        <f>IF($M$13,_xll.qlYieldTSDiscount(Currency&amp;"ON",S252)/(1+V252*Y252),1)</f>
        <v>1</v>
      </c>
      <c r="AA252" s="30">
        <f>_xll.qlTenorBasisValue(TenorBasis3M,S252,InterestRatesTrigger)</f>
        <v>1.7343392955000039E-4</v>
      </c>
      <c r="AB252" s="74">
        <f t="shared" si="19"/>
        <v>1.3799974016833701E-2</v>
      </c>
      <c r="AC252" s="76">
        <f t="shared" si="20"/>
        <v>1.0001753358474181</v>
      </c>
    </row>
    <row r="253" spans="16:29" x14ac:dyDescent="0.2">
      <c r="P253" s="33">
        <v>3</v>
      </c>
      <c r="Q253" s="83" t="str">
        <f>_xll.qlPeriodEquivalent(Q252&amp;"+"&amp;P253&amp;"M")</f>
        <v>59Y6M</v>
      </c>
      <c r="R253" s="31">
        <f>_xll.qlCalendarAdvance(Calendar,SettlementDate,Q253,"f",,Trigger)</f>
        <v>64011</v>
      </c>
      <c r="S253" s="31">
        <f>_xll.qlInterestRateIndexValueDate(Index,R253,Trigger)</f>
        <v>64013</v>
      </c>
      <c r="T253" s="31">
        <f>_xll.qlInterestRateIndexMaturity(Index,S253,Trigger)</f>
        <v>64104</v>
      </c>
      <c r="U253" s="32">
        <f>_xll.qlIndexFixing($M$5,R253,TRUE,InterestRatesTrigger)</f>
        <v>1.3631210828323937E-2</v>
      </c>
      <c r="V253" s="75">
        <f>_xll.qlIndexFixing(Index,R253,TRUE,InterestRatesTrigger)</f>
        <v>1.3802308325987427E-2</v>
      </c>
      <c r="W253" s="32">
        <f t="shared" si="18"/>
        <v>1.7109749766349054E-4</v>
      </c>
      <c r="X253" s="73">
        <f>_xll.qlDayCounterYearFraction(DayCounter,SettlementDate,S253,,,Trigger)</f>
        <v>60.37222222222222</v>
      </c>
      <c r="Y253" s="73">
        <f>_xll.qlDayCounterYearFraction(DayCounter,S253,T253)</f>
        <v>0.25277777777777777</v>
      </c>
      <c r="Z253" s="73">
        <f>IF($M$13,_xll.qlYieldTSDiscount(Currency&amp;"ON",S253)/(1+V253*Y253),1)</f>
        <v>1</v>
      </c>
      <c r="AA253" s="32">
        <f>_xll.qlTenorBasisValue(TenorBasis3M,S253,InterestRatesTrigger)</f>
        <v>1.7338007025841215E-4</v>
      </c>
      <c r="AB253" s="75">
        <f t="shared" si="19"/>
        <v>1.3804590898582349E-2</v>
      </c>
      <c r="AC253" s="77">
        <f t="shared" si="20"/>
        <v>1.0001653761487579</v>
      </c>
    </row>
    <row r="254" spans="16:29" x14ac:dyDescent="0.2">
      <c r="Q254" s="36"/>
      <c r="R254" s="40"/>
      <c r="S254" s="40"/>
      <c r="T254" s="40"/>
      <c r="U254" s="41"/>
      <c r="V254" s="41"/>
      <c r="W254" s="41"/>
      <c r="X254" s="36"/>
      <c r="Y254" s="36"/>
      <c r="Z254" s="36"/>
      <c r="AA254" s="36"/>
      <c r="AB254" s="36"/>
      <c r="AC254" s="36"/>
    </row>
    <row r="255" spans="16:29" x14ac:dyDescent="0.2">
      <c r="Q255" s="36"/>
      <c r="R255" s="40"/>
      <c r="S255" s="40"/>
      <c r="T255" s="40"/>
      <c r="U255" s="41"/>
      <c r="V255" s="41"/>
      <c r="W255" s="41"/>
      <c r="X255" s="36"/>
      <c r="Y255" s="36"/>
      <c r="Z255" s="36"/>
      <c r="AA255" s="36"/>
      <c r="AB255" s="36"/>
      <c r="AC255" s="36"/>
    </row>
    <row r="256" spans="16:29" x14ac:dyDescent="0.2">
      <c r="Q256" s="36"/>
      <c r="R256" s="40"/>
      <c r="S256" s="40"/>
      <c r="T256" s="40"/>
      <c r="U256" s="41"/>
      <c r="V256" s="41"/>
      <c r="W256" s="41"/>
      <c r="X256" s="36"/>
      <c r="Y256" s="36"/>
      <c r="Z256" s="36"/>
      <c r="AA256" s="36"/>
      <c r="AB256" s="36"/>
      <c r="AC256" s="36"/>
    </row>
    <row r="257" spans="17:29" x14ac:dyDescent="0.2">
      <c r="Q257" s="36"/>
      <c r="R257" s="40"/>
      <c r="S257" s="40"/>
      <c r="T257" s="40"/>
      <c r="U257" s="41"/>
      <c r="V257" s="41"/>
      <c r="W257" s="41"/>
      <c r="X257" s="36"/>
      <c r="Y257" s="36"/>
      <c r="Z257" s="36"/>
      <c r="AA257" s="36"/>
      <c r="AB257" s="36"/>
      <c r="AC257" s="36"/>
    </row>
    <row r="258" spans="17:29" x14ac:dyDescent="0.2">
      <c r="Q258" s="36"/>
      <c r="R258" s="40"/>
      <c r="S258" s="40"/>
      <c r="T258" s="40"/>
      <c r="U258" s="41"/>
      <c r="V258" s="41"/>
      <c r="W258" s="41"/>
      <c r="X258" s="36"/>
      <c r="Y258" s="36"/>
      <c r="Z258" s="36"/>
      <c r="AA258" s="36"/>
      <c r="AB258" s="36"/>
      <c r="AC258" s="36"/>
    </row>
    <row r="259" spans="17:29" x14ac:dyDescent="0.2">
      <c r="Q259" s="36"/>
      <c r="R259" s="40"/>
      <c r="S259" s="40"/>
      <c r="T259" s="40"/>
      <c r="U259" s="41"/>
      <c r="V259" s="41"/>
      <c r="W259" s="41"/>
      <c r="X259" s="36"/>
      <c r="Y259" s="36"/>
      <c r="Z259" s="36"/>
      <c r="AA259" s="36"/>
      <c r="AB259" s="36"/>
      <c r="AC259" s="36"/>
    </row>
    <row r="260" spans="17:29" x14ac:dyDescent="0.2">
      <c r="Q260" s="36"/>
      <c r="R260" s="40"/>
      <c r="S260" s="40"/>
      <c r="T260" s="40"/>
      <c r="U260" s="41"/>
      <c r="V260" s="41"/>
      <c r="W260" s="41"/>
      <c r="X260" s="36"/>
      <c r="Y260" s="36"/>
      <c r="Z260" s="36"/>
      <c r="AA260" s="36"/>
      <c r="AB260" s="36"/>
      <c r="AC260" s="36"/>
    </row>
    <row r="261" spans="17:29" x14ac:dyDescent="0.2">
      <c r="Q261" s="36"/>
      <c r="R261" s="40"/>
      <c r="S261" s="40"/>
      <c r="T261" s="40"/>
      <c r="U261" s="41"/>
      <c r="V261" s="41"/>
      <c r="W261" s="41"/>
      <c r="X261" s="36"/>
      <c r="Y261" s="36"/>
      <c r="Z261" s="36"/>
      <c r="AA261" s="36"/>
      <c r="AB261" s="36"/>
      <c r="AC261" s="36"/>
    </row>
    <row r="262" spans="17:29" x14ac:dyDescent="0.2">
      <c r="Q262" s="36"/>
      <c r="R262" s="40"/>
      <c r="S262" s="40"/>
      <c r="T262" s="40"/>
      <c r="U262" s="41"/>
      <c r="V262" s="41"/>
      <c r="W262" s="41"/>
      <c r="X262" s="36"/>
      <c r="Y262" s="36"/>
      <c r="Z262" s="36"/>
      <c r="AA262" s="36"/>
      <c r="AB262" s="36"/>
      <c r="AC262" s="36"/>
    </row>
    <row r="263" spans="17:29" x14ac:dyDescent="0.2">
      <c r="Q263" s="36"/>
      <c r="R263" s="40"/>
      <c r="S263" s="40"/>
      <c r="T263" s="40"/>
      <c r="U263" s="41"/>
      <c r="V263" s="41"/>
      <c r="W263" s="41"/>
      <c r="X263" s="36"/>
      <c r="Y263" s="36"/>
      <c r="Z263" s="36"/>
      <c r="AA263" s="36"/>
      <c r="AB263" s="36"/>
      <c r="AC263" s="36"/>
    </row>
    <row r="264" spans="17:29" x14ac:dyDescent="0.2">
      <c r="Q264" s="36"/>
      <c r="R264" s="40"/>
      <c r="S264" s="40"/>
      <c r="T264" s="40"/>
      <c r="U264" s="41"/>
      <c r="V264" s="41"/>
      <c r="W264" s="41"/>
      <c r="X264" s="36"/>
      <c r="Y264" s="36"/>
      <c r="Z264" s="36"/>
      <c r="AA264" s="36"/>
      <c r="AB264" s="36"/>
      <c r="AC264" s="36"/>
    </row>
    <row r="265" spans="17:29" x14ac:dyDescent="0.2">
      <c r="Q265" s="36"/>
      <c r="R265" s="40"/>
      <c r="S265" s="40"/>
      <c r="T265" s="40"/>
      <c r="U265" s="41"/>
      <c r="V265" s="41"/>
      <c r="W265" s="41"/>
      <c r="X265" s="36"/>
      <c r="Y265" s="36"/>
      <c r="Z265" s="36"/>
      <c r="AA265" s="36"/>
      <c r="AB265" s="36"/>
      <c r="AC265" s="36"/>
    </row>
    <row r="266" spans="17:29" x14ac:dyDescent="0.2">
      <c r="Q266" s="36"/>
      <c r="R266" s="40"/>
      <c r="S266" s="40"/>
      <c r="T266" s="40"/>
      <c r="U266" s="41"/>
      <c r="V266" s="41"/>
      <c r="W266" s="41"/>
      <c r="X266" s="36"/>
      <c r="Y266" s="36"/>
      <c r="Z266" s="36"/>
      <c r="AA266" s="36"/>
      <c r="AB266" s="36"/>
      <c r="AC266" s="36"/>
    </row>
    <row r="267" spans="17:29" x14ac:dyDescent="0.2">
      <c r="Q267" s="36"/>
      <c r="R267" s="40"/>
      <c r="S267" s="40"/>
      <c r="T267" s="40"/>
      <c r="U267" s="41"/>
      <c r="V267" s="41"/>
      <c r="W267" s="41"/>
      <c r="X267" s="36"/>
      <c r="Y267" s="36"/>
      <c r="Z267" s="36"/>
      <c r="AA267" s="36"/>
      <c r="AB267" s="36"/>
      <c r="AC267" s="36"/>
    </row>
    <row r="268" spans="17:29" x14ac:dyDescent="0.2">
      <c r="Q268" s="36"/>
      <c r="R268" s="40"/>
      <c r="S268" s="40"/>
      <c r="T268" s="40"/>
      <c r="U268" s="41"/>
      <c r="V268" s="41"/>
      <c r="W268" s="41"/>
      <c r="X268" s="36"/>
      <c r="Y268" s="36"/>
      <c r="Z268" s="36"/>
      <c r="AA268" s="36"/>
      <c r="AB268" s="36"/>
      <c r="AC268" s="36"/>
    </row>
    <row r="269" spans="17:29" x14ac:dyDescent="0.2">
      <c r="Q269" s="36"/>
      <c r="R269" s="40"/>
      <c r="S269" s="40"/>
      <c r="T269" s="40"/>
      <c r="U269" s="41"/>
      <c r="V269" s="41"/>
      <c r="W269" s="41"/>
      <c r="X269" s="36"/>
      <c r="Y269" s="36"/>
      <c r="Z269" s="36"/>
      <c r="AA269" s="36"/>
      <c r="AB269" s="36"/>
      <c r="AC269" s="36"/>
    </row>
    <row r="270" spans="17:29" x14ac:dyDescent="0.2">
      <c r="Q270" s="36"/>
      <c r="R270" s="40"/>
      <c r="S270" s="40"/>
      <c r="T270" s="40"/>
      <c r="U270" s="41"/>
      <c r="V270" s="41"/>
      <c r="W270" s="41"/>
      <c r="X270" s="36"/>
      <c r="Y270" s="36"/>
      <c r="Z270" s="36"/>
      <c r="AA270" s="36"/>
      <c r="AB270" s="36"/>
      <c r="AC270" s="36"/>
    </row>
    <row r="271" spans="17:29" x14ac:dyDescent="0.2">
      <c r="Q271" s="36"/>
      <c r="R271" s="40"/>
      <c r="S271" s="40"/>
      <c r="T271" s="40"/>
      <c r="U271" s="41"/>
      <c r="V271" s="41"/>
      <c r="W271" s="41"/>
      <c r="X271" s="36"/>
      <c r="Y271" s="36"/>
      <c r="Z271" s="36"/>
      <c r="AA271" s="36"/>
      <c r="AB271" s="36"/>
      <c r="AC271" s="36"/>
    </row>
    <row r="272" spans="17:29" x14ac:dyDescent="0.2">
      <c r="Q272" s="36"/>
      <c r="R272" s="40"/>
      <c r="S272" s="40"/>
      <c r="T272" s="40"/>
      <c r="U272" s="41"/>
      <c r="V272" s="41"/>
      <c r="W272" s="41"/>
      <c r="X272" s="36"/>
      <c r="Y272" s="36"/>
      <c r="Z272" s="36"/>
      <c r="AA272" s="36"/>
      <c r="AB272" s="36"/>
      <c r="AC272" s="36"/>
    </row>
    <row r="273" spans="17:29" x14ac:dyDescent="0.2">
      <c r="Q273" s="36"/>
      <c r="R273" s="40"/>
      <c r="S273" s="40"/>
      <c r="T273" s="40"/>
      <c r="U273" s="41"/>
      <c r="V273" s="41"/>
      <c r="W273" s="41"/>
      <c r="X273" s="36"/>
      <c r="Y273" s="36"/>
      <c r="Z273" s="36"/>
      <c r="AA273" s="36"/>
      <c r="AB273" s="36"/>
      <c r="AC273" s="36"/>
    </row>
    <row r="274" spans="17:29" x14ac:dyDescent="0.2">
      <c r="Q274" s="36"/>
      <c r="R274" s="40"/>
      <c r="S274" s="40"/>
      <c r="T274" s="40"/>
      <c r="U274" s="41"/>
      <c r="V274" s="41"/>
      <c r="W274" s="41"/>
      <c r="X274" s="36"/>
      <c r="Y274" s="36"/>
      <c r="Z274" s="36"/>
      <c r="AA274" s="36"/>
      <c r="AB274" s="36"/>
      <c r="AC274" s="36"/>
    </row>
    <row r="275" spans="17:29" x14ac:dyDescent="0.2">
      <c r="Q275" s="36"/>
      <c r="R275" s="40"/>
      <c r="S275" s="40"/>
      <c r="T275" s="40"/>
      <c r="U275" s="41"/>
      <c r="V275" s="41"/>
      <c r="W275" s="41"/>
      <c r="X275" s="36"/>
      <c r="Y275" s="36"/>
      <c r="Z275" s="36"/>
      <c r="AA275" s="36"/>
      <c r="AB275" s="36"/>
      <c r="AC275" s="36"/>
    </row>
    <row r="276" spans="17:29" x14ac:dyDescent="0.2">
      <c r="Q276" s="36"/>
      <c r="R276" s="40"/>
      <c r="S276" s="40"/>
      <c r="T276" s="40"/>
      <c r="U276" s="41"/>
      <c r="V276" s="41"/>
      <c r="W276" s="41"/>
      <c r="X276" s="36"/>
      <c r="Y276" s="36"/>
      <c r="Z276" s="36"/>
      <c r="AA276" s="36"/>
      <c r="AB276" s="36"/>
      <c r="AC276" s="36"/>
    </row>
    <row r="277" spans="17:29" x14ac:dyDescent="0.2">
      <c r="Q277" s="36"/>
      <c r="R277" s="40"/>
      <c r="S277" s="40"/>
      <c r="T277" s="40"/>
      <c r="U277" s="41"/>
      <c r="V277" s="41"/>
      <c r="W277" s="41"/>
      <c r="X277" s="36"/>
      <c r="Y277" s="36"/>
      <c r="Z277" s="36"/>
      <c r="AA277" s="36"/>
      <c r="AB277" s="36"/>
      <c r="AC277" s="36"/>
    </row>
    <row r="278" spans="17:29" x14ac:dyDescent="0.2">
      <c r="Q278" s="36"/>
      <c r="R278" s="40"/>
      <c r="S278" s="40"/>
      <c r="T278" s="40"/>
      <c r="U278" s="41"/>
      <c r="V278" s="41"/>
      <c r="W278" s="41"/>
      <c r="X278" s="36"/>
      <c r="Y278" s="36"/>
      <c r="Z278" s="36"/>
      <c r="AA278" s="36"/>
      <c r="AB278" s="36"/>
      <c r="AC278" s="36"/>
    </row>
    <row r="279" spans="17:29" x14ac:dyDescent="0.2">
      <c r="Q279" s="36"/>
      <c r="R279" s="40"/>
      <c r="S279" s="40"/>
      <c r="T279" s="40"/>
      <c r="U279" s="41"/>
      <c r="V279" s="41"/>
      <c r="W279" s="41"/>
      <c r="X279" s="36"/>
      <c r="Y279" s="36"/>
      <c r="Z279" s="36"/>
      <c r="AA279" s="36"/>
      <c r="AB279" s="36"/>
      <c r="AC279" s="36"/>
    </row>
    <row r="280" spans="17:29" x14ac:dyDescent="0.2">
      <c r="Q280" s="36"/>
      <c r="R280" s="40"/>
      <c r="S280" s="40"/>
      <c r="T280" s="40"/>
      <c r="U280" s="41"/>
      <c r="V280" s="41"/>
      <c r="W280" s="41"/>
      <c r="X280" s="36"/>
      <c r="Y280" s="36"/>
      <c r="Z280" s="36"/>
      <c r="AA280" s="36"/>
      <c r="AB280" s="36"/>
      <c r="AC280" s="36"/>
    </row>
    <row r="281" spans="17:29" x14ac:dyDescent="0.2">
      <c r="Q281" s="36"/>
      <c r="R281" s="40"/>
      <c r="S281" s="40"/>
      <c r="T281" s="40"/>
      <c r="U281" s="41"/>
      <c r="V281" s="41"/>
      <c r="W281" s="41"/>
      <c r="X281" s="36"/>
      <c r="Y281" s="36"/>
      <c r="Z281" s="36"/>
      <c r="AA281" s="36"/>
      <c r="AB281" s="36"/>
      <c r="AC281" s="36"/>
    </row>
    <row r="282" spans="17:29" x14ac:dyDescent="0.2">
      <c r="Q282" s="36"/>
      <c r="R282" s="40"/>
      <c r="S282" s="40"/>
      <c r="T282" s="40"/>
      <c r="U282" s="41"/>
      <c r="V282" s="41"/>
      <c r="W282" s="41"/>
      <c r="X282" s="36"/>
      <c r="Y282" s="36"/>
      <c r="Z282" s="36"/>
      <c r="AA282" s="36"/>
      <c r="AB282" s="36"/>
      <c r="AC282" s="36"/>
    </row>
    <row r="283" spans="17:29" x14ac:dyDescent="0.2">
      <c r="Q283" s="36"/>
      <c r="R283" s="40"/>
      <c r="S283" s="40"/>
      <c r="T283" s="40"/>
      <c r="U283" s="41"/>
      <c r="V283" s="41"/>
      <c r="W283" s="41"/>
      <c r="X283" s="36"/>
      <c r="Y283" s="36"/>
      <c r="Z283" s="36"/>
      <c r="AA283" s="36"/>
      <c r="AB283" s="36"/>
      <c r="AC283" s="36"/>
    </row>
    <row r="284" spans="17:29" x14ac:dyDescent="0.2">
      <c r="Q284" s="36"/>
      <c r="R284" s="40"/>
      <c r="S284" s="40"/>
      <c r="T284" s="40"/>
      <c r="U284" s="41"/>
      <c r="V284" s="41"/>
      <c r="W284" s="41"/>
      <c r="X284" s="36"/>
      <c r="Y284" s="36"/>
      <c r="Z284" s="36"/>
      <c r="AA284" s="36"/>
      <c r="AB284" s="36"/>
      <c r="AC284" s="36"/>
    </row>
    <row r="285" spans="17:29" x14ac:dyDescent="0.2">
      <c r="Q285" s="36"/>
      <c r="R285" s="40"/>
      <c r="S285" s="40"/>
      <c r="T285" s="40"/>
      <c r="U285" s="41"/>
      <c r="V285" s="41"/>
      <c r="W285" s="41"/>
      <c r="X285" s="36"/>
      <c r="Y285" s="36"/>
      <c r="Z285" s="36"/>
      <c r="AA285" s="36"/>
      <c r="AB285" s="36"/>
      <c r="AC285" s="36"/>
    </row>
    <row r="286" spans="17:29" x14ac:dyDescent="0.2">
      <c r="Q286" s="36"/>
      <c r="R286" s="40"/>
      <c r="S286" s="40"/>
      <c r="T286" s="40"/>
      <c r="U286" s="41"/>
      <c r="V286" s="41"/>
      <c r="W286" s="41"/>
      <c r="X286" s="36"/>
      <c r="Y286" s="36"/>
      <c r="Z286" s="36"/>
      <c r="AA286" s="36"/>
      <c r="AB286" s="36"/>
      <c r="AC286" s="36"/>
    </row>
    <row r="287" spans="17:29" x14ac:dyDescent="0.2">
      <c r="Q287" s="36"/>
      <c r="R287" s="40"/>
      <c r="S287" s="40"/>
      <c r="T287" s="40"/>
      <c r="U287" s="41"/>
      <c r="V287" s="41"/>
      <c r="W287" s="41"/>
      <c r="X287" s="36"/>
      <c r="Y287" s="36"/>
      <c r="Z287" s="36"/>
      <c r="AA287" s="36"/>
      <c r="AB287" s="36"/>
      <c r="AC287" s="36"/>
    </row>
    <row r="288" spans="17:29" x14ac:dyDescent="0.2">
      <c r="Q288" s="36"/>
      <c r="R288" s="40"/>
      <c r="S288" s="40"/>
      <c r="T288" s="40"/>
      <c r="U288" s="41"/>
      <c r="V288" s="41"/>
      <c r="W288" s="41"/>
      <c r="X288" s="36"/>
      <c r="Y288" s="36"/>
      <c r="Z288" s="36"/>
      <c r="AA288" s="36"/>
      <c r="AB288" s="36"/>
      <c r="AC288" s="36"/>
    </row>
    <row r="289" spans="17:29" x14ac:dyDescent="0.2">
      <c r="Q289" s="36"/>
      <c r="R289" s="40"/>
      <c r="S289" s="40"/>
      <c r="T289" s="40"/>
      <c r="U289" s="41"/>
      <c r="V289" s="41"/>
      <c r="W289" s="41"/>
      <c r="X289" s="36"/>
      <c r="Y289" s="36"/>
      <c r="Z289" s="36"/>
      <c r="AA289" s="36"/>
      <c r="AB289" s="36"/>
      <c r="AC289" s="36"/>
    </row>
    <row r="290" spans="17:29" x14ac:dyDescent="0.2">
      <c r="Q290" s="36"/>
      <c r="R290" s="40"/>
      <c r="S290" s="40"/>
      <c r="T290" s="40"/>
      <c r="U290" s="41"/>
      <c r="V290" s="41"/>
      <c r="W290" s="41"/>
      <c r="X290" s="36"/>
      <c r="Y290" s="36"/>
      <c r="Z290" s="36"/>
      <c r="AA290" s="36"/>
      <c r="AB290" s="36"/>
      <c r="AC290" s="36"/>
    </row>
    <row r="291" spans="17:29" x14ac:dyDescent="0.2">
      <c r="Q291" s="36"/>
      <c r="R291" s="40"/>
      <c r="S291" s="40"/>
      <c r="T291" s="40"/>
      <c r="U291" s="41"/>
      <c r="V291" s="41"/>
      <c r="W291" s="41"/>
      <c r="X291" s="36"/>
      <c r="Y291" s="36"/>
      <c r="Z291" s="36"/>
      <c r="AA291" s="36"/>
      <c r="AB291" s="36"/>
      <c r="AC291" s="36"/>
    </row>
    <row r="292" spans="17:29" x14ac:dyDescent="0.2">
      <c r="Q292" s="36"/>
      <c r="R292" s="40"/>
      <c r="S292" s="40"/>
      <c r="T292" s="40"/>
      <c r="U292" s="41"/>
      <c r="V292" s="41"/>
      <c r="W292" s="41"/>
      <c r="X292" s="36"/>
      <c r="Y292" s="36"/>
      <c r="Z292" s="36"/>
      <c r="AA292" s="36"/>
      <c r="AB292" s="36"/>
      <c r="AC292" s="36"/>
    </row>
    <row r="293" spans="17:29" x14ac:dyDescent="0.2">
      <c r="Q293" s="36"/>
      <c r="R293" s="40"/>
      <c r="S293" s="40"/>
      <c r="T293" s="40"/>
      <c r="U293" s="41"/>
      <c r="V293" s="41"/>
      <c r="W293" s="41"/>
      <c r="X293" s="36"/>
      <c r="Y293" s="36"/>
      <c r="Z293" s="36"/>
      <c r="AA293" s="36"/>
      <c r="AB293" s="36"/>
      <c r="AC293" s="36"/>
    </row>
    <row r="294" spans="17:29" x14ac:dyDescent="0.2">
      <c r="Q294" s="36"/>
      <c r="R294" s="40"/>
      <c r="S294" s="40"/>
      <c r="T294" s="40"/>
      <c r="U294" s="41"/>
      <c r="V294" s="41"/>
      <c r="W294" s="41"/>
      <c r="X294" s="36"/>
      <c r="Y294" s="36"/>
      <c r="Z294" s="36"/>
      <c r="AA294" s="36"/>
      <c r="AB294" s="36"/>
      <c r="AC294" s="36"/>
    </row>
    <row r="295" spans="17:29" x14ac:dyDescent="0.2">
      <c r="Q295" s="36"/>
      <c r="R295" s="40"/>
      <c r="S295" s="40"/>
      <c r="T295" s="40"/>
      <c r="U295" s="41"/>
      <c r="V295" s="41"/>
      <c r="W295" s="41"/>
      <c r="X295" s="36"/>
      <c r="Y295" s="36"/>
      <c r="Z295" s="36"/>
      <c r="AA295" s="36"/>
      <c r="AB295" s="36"/>
      <c r="AC295" s="36"/>
    </row>
    <row r="296" spans="17:29" x14ac:dyDescent="0.2">
      <c r="Q296" s="36"/>
      <c r="R296" s="40"/>
      <c r="S296" s="40"/>
      <c r="T296" s="40"/>
      <c r="U296" s="41"/>
      <c r="V296" s="41"/>
      <c r="W296" s="41"/>
      <c r="X296" s="36"/>
      <c r="Y296" s="36"/>
      <c r="Z296" s="36"/>
      <c r="AA296" s="36"/>
      <c r="AB296" s="36"/>
      <c r="AC296" s="36"/>
    </row>
    <row r="297" spans="17:29" x14ac:dyDescent="0.2">
      <c r="Q297" s="36"/>
      <c r="R297" s="40"/>
      <c r="S297" s="40"/>
      <c r="T297" s="40"/>
      <c r="U297" s="41"/>
      <c r="V297" s="41"/>
      <c r="W297" s="41"/>
      <c r="X297" s="36"/>
      <c r="Y297" s="36"/>
      <c r="Z297" s="36"/>
      <c r="AA297" s="36"/>
      <c r="AB297" s="36"/>
      <c r="AC297" s="36"/>
    </row>
    <row r="298" spans="17:29" x14ac:dyDescent="0.2">
      <c r="Q298" s="36"/>
      <c r="R298" s="40"/>
      <c r="S298" s="40"/>
      <c r="T298" s="40"/>
      <c r="U298" s="41"/>
      <c r="V298" s="41"/>
      <c r="W298" s="41"/>
      <c r="X298" s="36"/>
      <c r="Y298" s="36"/>
      <c r="Z298" s="36"/>
      <c r="AA298" s="36"/>
      <c r="AB298" s="36"/>
      <c r="AC298" s="36"/>
    </row>
    <row r="299" spans="17:29" x14ac:dyDescent="0.2">
      <c r="Q299" s="36"/>
      <c r="R299" s="40"/>
      <c r="S299" s="40"/>
      <c r="T299" s="40"/>
      <c r="U299" s="41"/>
      <c r="V299" s="41"/>
      <c r="W299" s="41"/>
      <c r="X299" s="36"/>
      <c r="Y299" s="36"/>
      <c r="Z299" s="36"/>
      <c r="AA299" s="36"/>
      <c r="AB299" s="36"/>
      <c r="AC299" s="36"/>
    </row>
    <row r="300" spans="17:29" x14ac:dyDescent="0.2">
      <c r="Q300" s="36"/>
      <c r="R300" s="40"/>
      <c r="S300" s="40"/>
      <c r="T300" s="40"/>
      <c r="U300" s="41"/>
      <c r="V300" s="41"/>
      <c r="W300" s="41"/>
      <c r="X300" s="36"/>
      <c r="Y300" s="36"/>
      <c r="Z300" s="36"/>
      <c r="AA300" s="36"/>
      <c r="AB300" s="36"/>
      <c r="AC300" s="36"/>
    </row>
    <row r="301" spans="17:29" x14ac:dyDescent="0.2">
      <c r="Q301" s="36"/>
      <c r="R301" s="40"/>
      <c r="S301" s="40"/>
      <c r="T301" s="40"/>
      <c r="U301" s="41"/>
      <c r="V301" s="41"/>
      <c r="W301" s="41"/>
      <c r="X301" s="36"/>
      <c r="Y301" s="36"/>
      <c r="Z301" s="36"/>
      <c r="AA301" s="36"/>
      <c r="AB301" s="36"/>
      <c r="AC301" s="36"/>
    </row>
    <row r="302" spans="17:29" x14ac:dyDescent="0.2">
      <c r="Q302" s="36"/>
      <c r="R302" s="40"/>
      <c r="S302" s="40"/>
      <c r="T302" s="40"/>
      <c r="U302" s="41"/>
      <c r="V302" s="41"/>
      <c r="W302" s="41"/>
      <c r="X302" s="36"/>
      <c r="Y302" s="36"/>
      <c r="Z302" s="36"/>
      <c r="AA302" s="36"/>
      <c r="AB302" s="36"/>
      <c r="AC302" s="36"/>
    </row>
    <row r="303" spans="17:29" x14ac:dyDescent="0.2">
      <c r="Q303" s="36"/>
      <c r="R303" s="40"/>
      <c r="S303" s="40"/>
      <c r="T303" s="40"/>
      <c r="U303" s="41"/>
      <c r="V303" s="41"/>
      <c r="W303" s="41"/>
      <c r="X303" s="36"/>
      <c r="Y303" s="36"/>
      <c r="Z303" s="36"/>
      <c r="AA303" s="36"/>
      <c r="AB303" s="36"/>
      <c r="AC303" s="36"/>
    </row>
    <row r="304" spans="17:29" x14ac:dyDescent="0.2">
      <c r="Q304" s="36"/>
      <c r="R304" s="40"/>
      <c r="S304" s="40"/>
      <c r="T304" s="40"/>
      <c r="U304" s="41"/>
      <c r="V304" s="41"/>
      <c r="W304" s="41"/>
      <c r="X304" s="36"/>
      <c r="Y304" s="36"/>
      <c r="Z304" s="36"/>
      <c r="AA304" s="36"/>
      <c r="AB304" s="36"/>
      <c r="AC304" s="36"/>
    </row>
    <row r="305" spans="17:29" x14ac:dyDescent="0.2">
      <c r="Q305" s="36"/>
      <c r="R305" s="40"/>
      <c r="S305" s="40"/>
      <c r="T305" s="40"/>
      <c r="U305" s="41"/>
      <c r="V305" s="41"/>
      <c r="W305" s="41"/>
      <c r="X305" s="36"/>
      <c r="Y305" s="36"/>
      <c r="Z305" s="36"/>
      <c r="AA305" s="36"/>
      <c r="AB305" s="36"/>
      <c r="AC305" s="36"/>
    </row>
    <row r="306" spans="17:29" x14ac:dyDescent="0.2">
      <c r="Q306" s="36"/>
      <c r="R306" s="40"/>
      <c r="S306" s="40"/>
      <c r="T306" s="40"/>
      <c r="U306" s="41"/>
      <c r="V306" s="41"/>
      <c r="W306" s="41"/>
      <c r="X306" s="36"/>
      <c r="Y306" s="36"/>
      <c r="Z306" s="36"/>
      <c r="AA306" s="36"/>
      <c r="AB306" s="36"/>
      <c r="AC306" s="36"/>
    </row>
    <row r="307" spans="17:29" x14ac:dyDescent="0.2">
      <c r="Q307" s="36"/>
      <c r="R307" s="40"/>
      <c r="S307" s="40"/>
      <c r="T307" s="40"/>
      <c r="U307" s="41"/>
      <c r="V307" s="41"/>
      <c r="W307" s="41"/>
      <c r="X307" s="36"/>
      <c r="Y307" s="36"/>
      <c r="Z307" s="36"/>
      <c r="AA307" s="36"/>
      <c r="AB307" s="36"/>
      <c r="AC307" s="36"/>
    </row>
    <row r="308" spans="17:29" x14ac:dyDescent="0.2">
      <c r="Q308" s="36"/>
      <c r="R308" s="40"/>
      <c r="S308" s="40"/>
      <c r="T308" s="40"/>
      <c r="U308" s="41"/>
      <c r="V308" s="41"/>
      <c r="W308" s="41"/>
      <c r="X308" s="36"/>
      <c r="Y308" s="36"/>
      <c r="Z308" s="36"/>
      <c r="AA308" s="36"/>
      <c r="AB308" s="36"/>
      <c r="AC308" s="36"/>
    </row>
    <row r="309" spans="17:29" x14ac:dyDescent="0.2">
      <c r="Q309" s="36"/>
      <c r="R309" s="40"/>
      <c r="S309" s="40"/>
      <c r="T309" s="40"/>
      <c r="U309" s="41"/>
      <c r="V309" s="41"/>
      <c r="W309" s="41"/>
      <c r="X309" s="36"/>
      <c r="Y309" s="36"/>
      <c r="Z309" s="36"/>
      <c r="AA309" s="36"/>
      <c r="AB309" s="36"/>
      <c r="AC309" s="36"/>
    </row>
    <row r="310" spans="17:29" x14ac:dyDescent="0.2">
      <c r="Q310" s="36"/>
      <c r="R310" s="40"/>
      <c r="S310" s="40"/>
      <c r="T310" s="40"/>
      <c r="U310" s="41"/>
      <c r="V310" s="41"/>
      <c r="W310" s="41"/>
      <c r="X310" s="36"/>
      <c r="Y310" s="36"/>
      <c r="Z310" s="36"/>
      <c r="AA310" s="36"/>
      <c r="AB310" s="36"/>
      <c r="AC310" s="36"/>
    </row>
    <row r="311" spans="17:29" x14ac:dyDescent="0.2">
      <c r="Q311" s="36"/>
      <c r="R311" s="40"/>
      <c r="S311" s="40"/>
      <c r="T311" s="40"/>
      <c r="U311" s="41"/>
      <c r="V311" s="41"/>
      <c r="W311" s="41"/>
      <c r="X311" s="36"/>
      <c r="Y311" s="36"/>
      <c r="Z311" s="36"/>
      <c r="AA311" s="36"/>
      <c r="AB311" s="36"/>
      <c r="AC311" s="36"/>
    </row>
    <row r="312" spans="17:29" x14ac:dyDescent="0.2">
      <c r="Q312" s="36"/>
      <c r="R312" s="40"/>
      <c r="S312" s="40"/>
      <c r="T312" s="40"/>
      <c r="U312" s="41"/>
      <c r="V312" s="41"/>
      <c r="W312" s="41"/>
      <c r="X312" s="36"/>
      <c r="Y312" s="36"/>
      <c r="Z312" s="36"/>
      <c r="AA312" s="36"/>
      <c r="AB312" s="36"/>
      <c r="AC312" s="36"/>
    </row>
    <row r="313" spans="17:29" x14ac:dyDescent="0.2">
      <c r="Q313" s="36"/>
      <c r="R313" s="40"/>
      <c r="S313" s="40"/>
      <c r="T313" s="40"/>
      <c r="U313" s="41"/>
      <c r="V313" s="41"/>
      <c r="W313" s="41"/>
      <c r="X313" s="36"/>
      <c r="Y313" s="36"/>
      <c r="Z313" s="36"/>
      <c r="AA313" s="36"/>
      <c r="AB313" s="36"/>
      <c r="AC313" s="36"/>
    </row>
    <row r="314" spans="17:29" x14ac:dyDescent="0.2">
      <c r="Q314" s="36"/>
      <c r="R314" s="40"/>
      <c r="S314" s="40"/>
      <c r="T314" s="40"/>
      <c r="U314" s="41"/>
      <c r="V314" s="41"/>
      <c r="W314" s="41"/>
      <c r="X314" s="36"/>
      <c r="Y314" s="36"/>
      <c r="Z314" s="36"/>
      <c r="AA314" s="36"/>
      <c r="AB314" s="36"/>
      <c r="AC314" s="36"/>
    </row>
    <row r="315" spans="17:29" x14ac:dyDescent="0.2">
      <c r="Q315" s="36"/>
      <c r="R315" s="40"/>
      <c r="S315" s="40"/>
      <c r="T315" s="40"/>
      <c r="U315" s="41"/>
      <c r="V315" s="41"/>
      <c r="W315" s="41"/>
      <c r="X315" s="36"/>
      <c r="Y315" s="36"/>
      <c r="Z315" s="36"/>
      <c r="AA315" s="36"/>
      <c r="AB315" s="36"/>
      <c r="AC315" s="36"/>
    </row>
    <row r="316" spans="17:29" x14ac:dyDescent="0.2">
      <c r="Q316" s="36"/>
      <c r="R316" s="40"/>
      <c r="S316" s="40"/>
      <c r="T316" s="40"/>
      <c r="U316" s="41"/>
      <c r="V316" s="41"/>
      <c r="W316" s="41"/>
      <c r="X316" s="36"/>
      <c r="Y316" s="36"/>
      <c r="Z316" s="36"/>
      <c r="AA316" s="36"/>
      <c r="AB316" s="36"/>
      <c r="AC316" s="36"/>
    </row>
    <row r="317" spans="17:29" x14ac:dyDescent="0.2">
      <c r="Q317" s="36"/>
      <c r="R317" s="40"/>
      <c r="S317" s="40"/>
      <c r="T317" s="40"/>
      <c r="U317" s="41"/>
      <c r="V317" s="41"/>
      <c r="W317" s="41"/>
      <c r="X317" s="36"/>
      <c r="Y317" s="36"/>
      <c r="Z317" s="36"/>
      <c r="AA317" s="36"/>
      <c r="AB317" s="36"/>
      <c r="AC317" s="36"/>
    </row>
    <row r="318" spans="17:29" x14ac:dyDescent="0.2">
      <c r="Q318" s="36"/>
      <c r="R318" s="40"/>
      <c r="S318" s="40"/>
      <c r="T318" s="40"/>
      <c r="U318" s="41"/>
      <c r="V318" s="41"/>
      <c r="W318" s="41"/>
      <c r="X318" s="36"/>
      <c r="Y318" s="36"/>
      <c r="Z318" s="36"/>
      <c r="AA318" s="36"/>
      <c r="AB318" s="36"/>
      <c r="AC318" s="36"/>
    </row>
    <row r="319" spans="17:29" x14ac:dyDescent="0.2">
      <c r="Q319" s="36"/>
      <c r="R319" s="40"/>
      <c r="S319" s="40"/>
      <c r="T319" s="40"/>
      <c r="U319" s="41"/>
      <c r="V319" s="41"/>
      <c r="W319" s="41"/>
      <c r="X319" s="36"/>
      <c r="Y319" s="36"/>
      <c r="Z319" s="36"/>
      <c r="AA319" s="36"/>
      <c r="AB319" s="36"/>
      <c r="AC319" s="36"/>
    </row>
    <row r="320" spans="17:29" x14ac:dyDescent="0.2">
      <c r="Q320" s="36"/>
      <c r="R320" s="40"/>
      <c r="S320" s="40"/>
      <c r="T320" s="40"/>
      <c r="U320" s="41"/>
      <c r="V320" s="41"/>
      <c r="W320" s="41"/>
      <c r="X320" s="36"/>
      <c r="Y320" s="36"/>
      <c r="Z320" s="36"/>
      <c r="AA320" s="36"/>
      <c r="AB320" s="36"/>
      <c r="AC320" s="36"/>
    </row>
    <row r="321" spans="17:29" x14ac:dyDescent="0.2">
      <c r="Q321" s="36"/>
      <c r="R321" s="40"/>
      <c r="S321" s="40"/>
      <c r="T321" s="40"/>
      <c r="U321" s="41"/>
      <c r="V321" s="41"/>
      <c r="W321" s="41"/>
      <c r="X321" s="36"/>
      <c r="Y321" s="36"/>
      <c r="Z321" s="36"/>
      <c r="AA321" s="36"/>
      <c r="AB321" s="36"/>
      <c r="AC321" s="36"/>
    </row>
    <row r="322" spans="17:29" x14ac:dyDescent="0.2">
      <c r="Q322" s="36"/>
      <c r="R322" s="40"/>
      <c r="S322" s="40"/>
      <c r="T322" s="40"/>
      <c r="U322" s="41"/>
      <c r="V322" s="41"/>
      <c r="W322" s="41"/>
      <c r="X322" s="36"/>
      <c r="Y322" s="36"/>
      <c r="Z322" s="36"/>
      <c r="AA322" s="36"/>
      <c r="AB322" s="36"/>
      <c r="AC322" s="36"/>
    </row>
    <row r="323" spans="17:29" x14ac:dyDescent="0.2">
      <c r="Q323" s="36"/>
      <c r="R323" s="40"/>
      <c r="S323" s="40"/>
      <c r="T323" s="40"/>
      <c r="U323" s="41"/>
      <c r="V323" s="41"/>
      <c r="W323" s="41"/>
      <c r="X323" s="36"/>
      <c r="Y323" s="36"/>
      <c r="Z323" s="36"/>
      <c r="AA323" s="36"/>
      <c r="AB323" s="36"/>
      <c r="AC323" s="36"/>
    </row>
    <row r="324" spans="17:29" x14ac:dyDescent="0.2">
      <c r="Q324" s="36"/>
      <c r="R324" s="40"/>
      <c r="S324" s="40"/>
      <c r="T324" s="40"/>
      <c r="U324" s="41"/>
      <c r="V324" s="41"/>
      <c r="W324" s="41"/>
      <c r="X324" s="36"/>
      <c r="Y324" s="36"/>
      <c r="Z324" s="36"/>
      <c r="AA324" s="36"/>
      <c r="AB324" s="36"/>
      <c r="AC324" s="36"/>
    </row>
    <row r="325" spans="17:29" x14ac:dyDescent="0.2">
      <c r="Q325" s="36"/>
      <c r="R325" s="40"/>
      <c r="S325" s="40"/>
      <c r="T325" s="40"/>
      <c r="U325" s="41"/>
      <c r="V325" s="41"/>
      <c r="W325" s="41"/>
      <c r="X325" s="36"/>
      <c r="Y325" s="36"/>
      <c r="Z325" s="36"/>
      <c r="AA325" s="36"/>
      <c r="AB325" s="36"/>
      <c r="AC325" s="36"/>
    </row>
    <row r="326" spans="17:29" x14ac:dyDescent="0.2">
      <c r="Q326" s="36"/>
      <c r="R326" s="40"/>
      <c r="S326" s="40"/>
      <c r="T326" s="40"/>
      <c r="U326" s="41"/>
      <c r="V326" s="41"/>
      <c r="W326" s="41"/>
      <c r="X326" s="36"/>
      <c r="Y326" s="36"/>
      <c r="Z326" s="36"/>
      <c r="AA326" s="36"/>
      <c r="AB326" s="36"/>
      <c r="AC326" s="36"/>
    </row>
    <row r="327" spans="17:29" x14ac:dyDescent="0.2">
      <c r="Q327" s="36"/>
      <c r="R327" s="40"/>
      <c r="S327" s="40"/>
      <c r="T327" s="40"/>
      <c r="U327" s="41"/>
      <c r="V327" s="41"/>
      <c r="W327" s="41"/>
      <c r="X327" s="36"/>
      <c r="Y327" s="36"/>
      <c r="Z327" s="36"/>
      <c r="AA327" s="36"/>
      <c r="AB327" s="36"/>
      <c r="AC327" s="36"/>
    </row>
    <row r="328" spans="17:29" x14ac:dyDescent="0.2">
      <c r="Q328" s="36"/>
      <c r="R328" s="40"/>
      <c r="S328" s="40"/>
      <c r="T328" s="40"/>
      <c r="U328" s="41"/>
      <c r="V328" s="41"/>
      <c r="W328" s="41"/>
      <c r="X328" s="36"/>
      <c r="Y328" s="36"/>
      <c r="Z328" s="36"/>
      <c r="AA328" s="36"/>
      <c r="AB328" s="36"/>
      <c r="AC328" s="36"/>
    </row>
    <row r="329" spans="17:29" x14ac:dyDescent="0.2">
      <c r="Q329" s="36"/>
      <c r="R329" s="40"/>
      <c r="S329" s="40"/>
      <c r="T329" s="40"/>
      <c r="U329" s="41"/>
      <c r="V329" s="41"/>
      <c r="W329" s="41"/>
      <c r="X329" s="36"/>
      <c r="Y329" s="36"/>
      <c r="Z329" s="36"/>
      <c r="AA329" s="36"/>
      <c r="AB329" s="36"/>
      <c r="AC329" s="36"/>
    </row>
    <row r="330" spans="17:29" x14ac:dyDescent="0.2">
      <c r="Q330" s="36"/>
      <c r="R330" s="40"/>
      <c r="S330" s="40"/>
      <c r="T330" s="40"/>
      <c r="U330" s="41"/>
      <c r="V330" s="41"/>
      <c r="W330" s="41"/>
      <c r="X330" s="36"/>
      <c r="Y330" s="36"/>
      <c r="Z330" s="36"/>
      <c r="AA330" s="36"/>
      <c r="AB330" s="36"/>
      <c r="AC330" s="36"/>
    </row>
    <row r="331" spans="17:29" x14ac:dyDescent="0.2">
      <c r="Q331" s="36"/>
      <c r="R331" s="40"/>
      <c r="S331" s="40"/>
      <c r="T331" s="40"/>
      <c r="U331" s="41"/>
      <c r="V331" s="41"/>
      <c r="W331" s="41"/>
      <c r="X331" s="36"/>
      <c r="Y331" s="36"/>
      <c r="Z331" s="36"/>
      <c r="AA331" s="36"/>
      <c r="AB331" s="36"/>
      <c r="AC331" s="36"/>
    </row>
    <row r="332" spans="17:29" x14ac:dyDescent="0.2">
      <c r="Q332" s="36"/>
      <c r="R332" s="40"/>
      <c r="S332" s="40"/>
      <c r="T332" s="40"/>
      <c r="U332" s="41"/>
      <c r="V332" s="41"/>
      <c r="W332" s="41"/>
      <c r="X332" s="36"/>
      <c r="Y332" s="36"/>
      <c r="Z332" s="36"/>
      <c r="AA332" s="36"/>
      <c r="AB332" s="36"/>
      <c r="AC332" s="36"/>
    </row>
    <row r="333" spans="17:29" x14ac:dyDescent="0.2">
      <c r="Q333" s="36"/>
      <c r="R333" s="40"/>
      <c r="S333" s="40"/>
      <c r="T333" s="40"/>
      <c r="U333" s="41"/>
      <c r="V333" s="41"/>
      <c r="W333" s="41"/>
      <c r="X333" s="36"/>
      <c r="Y333" s="36"/>
      <c r="Z333" s="36"/>
      <c r="AA333" s="36"/>
      <c r="AB333" s="36"/>
      <c r="AC333" s="36"/>
    </row>
    <row r="334" spans="17:29" x14ac:dyDescent="0.2">
      <c r="Q334" s="36"/>
      <c r="R334" s="40"/>
      <c r="S334" s="40"/>
      <c r="T334" s="40"/>
      <c r="U334" s="41"/>
      <c r="V334" s="41"/>
      <c r="W334" s="41"/>
      <c r="X334" s="36"/>
      <c r="Y334" s="36"/>
      <c r="Z334" s="36"/>
      <c r="AA334" s="36"/>
      <c r="AB334" s="36"/>
      <c r="AC334" s="36"/>
    </row>
    <row r="335" spans="17:29" x14ac:dyDescent="0.2">
      <c r="Q335" s="36"/>
      <c r="R335" s="40"/>
      <c r="S335" s="40"/>
      <c r="T335" s="40"/>
      <c r="U335" s="41"/>
      <c r="V335" s="41"/>
      <c r="W335" s="41"/>
      <c r="X335" s="36"/>
      <c r="Y335" s="36"/>
      <c r="Z335" s="36"/>
      <c r="AA335" s="36"/>
      <c r="AB335" s="36"/>
      <c r="AC335" s="36"/>
    </row>
    <row r="336" spans="17:29" x14ac:dyDescent="0.2">
      <c r="Q336" s="36"/>
      <c r="R336" s="40"/>
      <c r="S336" s="40"/>
      <c r="T336" s="40"/>
      <c r="U336" s="41"/>
      <c r="V336" s="41"/>
      <c r="W336" s="41"/>
      <c r="X336" s="36"/>
      <c r="Y336" s="36"/>
      <c r="Z336" s="36"/>
      <c r="AA336" s="36"/>
      <c r="AB336" s="36"/>
      <c r="AC336" s="36"/>
    </row>
    <row r="337" spans="17:29" x14ac:dyDescent="0.2">
      <c r="Q337" s="36"/>
      <c r="R337" s="40"/>
      <c r="S337" s="40"/>
      <c r="T337" s="40"/>
      <c r="U337" s="41"/>
      <c r="V337" s="41"/>
      <c r="W337" s="41"/>
      <c r="X337" s="36"/>
      <c r="Y337" s="36"/>
      <c r="Z337" s="36"/>
      <c r="AA337" s="36"/>
      <c r="AB337" s="36"/>
      <c r="AC337" s="36"/>
    </row>
    <row r="338" spans="17:29" x14ac:dyDescent="0.2">
      <c r="Q338" s="36"/>
      <c r="R338" s="40"/>
      <c r="S338" s="40"/>
      <c r="T338" s="40"/>
      <c r="U338" s="41"/>
      <c r="V338" s="41"/>
      <c r="W338" s="41"/>
      <c r="X338" s="36"/>
      <c r="Y338" s="36"/>
      <c r="Z338" s="36"/>
      <c r="AA338" s="36"/>
      <c r="AB338" s="36"/>
      <c r="AC338" s="36"/>
    </row>
    <row r="339" spans="17:29" x14ac:dyDescent="0.2">
      <c r="Q339" s="36"/>
      <c r="R339" s="40"/>
      <c r="S339" s="40"/>
      <c r="T339" s="40"/>
      <c r="U339" s="41"/>
      <c r="V339" s="41"/>
      <c r="W339" s="41"/>
      <c r="X339" s="36"/>
      <c r="Y339" s="36"/>
      <c r="Z339" s="36"/>
      <c r="AA339" s="36"/>
      <c r="AB339" s="36"/>
      <c r="AC339" s="36"/>
    </row>
    <row r="340" spans="17:29" x14ac:dyDescent="0.2">
      <c r="Q340" s="36"/>
      <c r="R340" s="40"/>
      <c r="S340" s="40"/>
      <c r="T340" s="40"/>
      <c r="U340" s="41"/>
      <c r="V340" s="41"/>
      <c r="W340" s="41"/>
      <c r="X340" s="36"/>
      <c r="Y340" s="36"/>
      <c r="Z340" s="36"/>
      <c r="AA340" s="36"/>
      <c r="AB340" s="36"/>
      <c r="AC340" s="36"/>
    </row>
    <row r="341" spans="17:29" x14ac:dyDescent="0.2">
      <c r="Q341" s="36"/>
      <c r="R341" s="40"/>
      <c r="S341" s="40"/>
      <c r="T341" s="40"/>
      <c r="U341" s="41"/>
      <c r="V341" s="41"/>
      <c r="W341" s="41"/>
      <c r="X341" s="36"/>
      <c r="Y341" s="36"/>
      <c r="Z341" s="36"/>
      <c r="AA341" s="36"/>
      <c r="AB341" s="36"/>
      <c r="AC341" s="36"/>
    </row>
    <row r="342" spans="17:29" x14ac:dyDescent="0.2">
      <c r="Q342" s="36"/>
      <c r="R342" s="40"/>
      <c r="S342" s="40"/>
      <c r="T342" s="40"/>
      <c r="U342" s="41"/>
      <c r="V342" s="41"/>
      <c r="W342" s="41"/>
      <c r="X342" s="36"/>
      <c r="Y342" s="36"/>
      <c r="Z342" s="36"/>
      <c r="AA342" s="36"/>
      <c r="AB342" s="36"/>
      <c r="AC342" s="36"/>
    </row>
    <row r="343" spans="17:29" x14ac:dyDescent="0.2">
      <c r="Q343" s="36"/>
      <c r="R343" s="40"/>
      <c r="S343" s="40"/>
      <c r="T343" s="40"/>
      <c r="U343" s="41"/>
      <c r="V343" s="41"/>
      <c r="W343" s="41"/>
      <c r="X343" s="36"/>
      <c r="Y343" s="36"/>
      <c r="Z343" s="36"/>
      <c r="AA343" s="36"/>
      <c r="AB343" s="36"/>
      <c r="AC343" s="36"/>
    </row>
    <row r="344" spans="17:29" x14ac:dyDescent="0.2">
      <c r="Q344" s="36"/>
      <c r="R344" s="40"/>
      <c r="S344" s="40"/>
      <c r="T344" s="40"/>
      <c r="U344" s="41"/>
      <c r="V344" s="41"/>
      <c r="W344" s="41"/>
      <c r="X344" s="36"/>
      <c r="Y344" s="36"/>
      <c r="Z344" s="36"/>
      <c r="AA344" s="36"/>
      <c r="AB344" s="36"/>
      <c r="AC344" s="36"/>
    </row>
    <row r="345" spans="17:29" x14ac:dyDescent="0.2">
      <c r="Q345" s="36"/>
      <c r="R345" s="40"/>
      <c r="S345" s="40"/>
      <c r="T345" s="40"/>
      <c r="U345" s="41"/>
      <c r="V345" s="41"/>
      <c r="W345" s="41"/>
      <c r="X345" s="36"/>
      <c r="Y345" s="36"/>
      <c r="Z345" s="36"/>
      <c r="AA345" s="36"/>
      <c r="AB345" s="36"/>
      <c r="AC345" s="36"/>
    </row>
    <row r="346" spans="17:29" x14ac:dyDescent="0.2">
      <c r="Q346" s="36"/>
      <c r="R346" s="40"/>
      <c r="S346" s="40"/>
      <c r="T346" s="40"/>
      <c r="U346" s="41"/>
      <c r="V346" s="41"/>
      <c r="W346" s="41"/>
      <c r="X346" s="36"/>
      <c r="Y346" s="36"/>
      <c r="Z346" s="36"/>
      <c r="AA346" s="36"/>
      <c r="AB346" s="36"/>
      <c r="AC346" s="36"/>
    </row>
    <row r="347" spans="17:29" x14ac:dyDescent="0.2">
      <c r="Q347" s="36"/>
      <c r="R347" s="40"/>
      <c r="S347" s="40"/>
      <c r="T347" s="40"/>
      <c r="U347" s="41"/>
      <c r="V347" s="41"/>
      <c r="W347" s="41"/>
      <c r="X347" s="36"/>
      <c r="Y347" s="36"/>
      <c r="Z347" s="36"/>
      <c r="AA347" s="36"/>
      <c r="AB347" s="36"/>
      <c r="AC347" s="36"/>
    </row>
    <row r="348" spans="17:29" x14ac:dyDescent="0.2">
      <c r="Q348" s="36"/>
      <c r="R348" s="40"/>
      <c r="S348" s="40"/>
      <c r="T348" s="40"/>
      <c r="U348" s="41"/>
      <c r="V348" s="41"/>
      <c r="W348" s="41"/>
      <c r="X348" s="36"/>
      <c r="Y348" s="36"/>
      <c r="Z348" s="36"/>
      <c r="AA348" s="36"/>
      <c r="AB348" s="36"/>
      <c r="AC348" s="36"/>
    </row>
    <row r="349" spans="17:29" x14ac:dyDescent="0.2">
      <c r="Q349" s="36"/>
      <c r="R349" s="40"/>
      <c r="S349" s="40"/>
      <c r="T349" s="40"/>
      <c r="U349" s="41"/>
      <c r="V349" s="41"/>
      <c r="W349" s="41"/>
      <c r="X349" s="36"/>
      <c r="Y349" s="36"/>
      <c r="Z349" s="36"/>
      <c r="AA349" s="36"/>
      <c r="AB349" s="36"/>
      <c r="AC349" s="36"/>
    </row>
    <row r="350" spans="17:29" x14ac:dyDescent="0.2">
      <c r="Q350" s="36"/>
      <c r="R350" s="40"/>
      <c r="S350" s="40"/>
      <c r="T350" s="40"/>
      <c r="U350" s="41"/>
      <c r="V350" s="41"/>
      <c r="W350" s="41"/>
      <c r="X350" s="36"/>
      <c r="Y350" s="36"/>
      <c r="Z350" s="36"/>
      <c r="AA350" s="36"/>
      <c r="AB350" s="36"/>
      <c r="AC350" s="36"/>
    </row>
    <row r="351" spans="17:29" x14ac:dyDescent="0.2">
      <c r="Q351" s="36"/>
      <c r="R351" s="40"/>
      <c r="S351" s="40"/>
      <c r="T351" s="40"/>
      <c r="U351" s="41"/>
      <c r="V351" s="41"/>
      <c r="W351" s="41"/>
      <c r="X351" s="36"/>
      <c r="Y351" s="36"/>
      <c r="Z351" s="36"/>
      <c r="AA351" s="36"/>
      <c r="AB351" s="36"/>
      <c r="AC351" s="36"/>
    </row>
    <row r="352" spans="17:29" x14ac:dyDescent="0.2">
      <c r="Q352" s="36"/>
      <c r="R352" s="40"/>
      <c r="S352" s="40"/>
      <c r="T352" s="40"/>
      <c r="U352" s="41"/>
      <c r="V352" s="41"/>
      <c r="W352" s="41"/>
      <c r="X352" s="36"/>
      <c r="Y352" s="36"/>
      <c r="Z352" s="36"/>
      <c r="AA352" s="36"/>
      <c r="AB352" s="36"/>
      <c r="AC352" s="36"/>
    </row>
    <row r="353" spans="17:29" x14ac:dyDescent="0.2">
      <c r="Q353" s="36"/>
      <c r="R353" s="40"/>
      <c r="S353" s="40"/>
      <c r="T353" s="40"/>
      <c r="U353" s="41"/>
      <c r="V353" s="41"/>
      <c r="W353" s="41"/>
      <c r="X353" s="36"/>
      <c r="Y353" s="36"/>
      <c r="Z353" s="36"/>
      <c r="AA353" s="36"/>
      <c r="AB353" s="36"/>
      <c r="AC353" s="36"/>
    </row>
    <row r="354" spans="17:29" x14ac:dyDescent="0.2">
      <c r="Q354" s="36"/>
      <c r="R354" s="40"/>
      <c r="S354" s="40"/>
      <c r="T354" s="40"/>
      <c r="U354" s="41"/>
      <c r="V354" s="41"/>
      <c r="W354" s="41"/>
      <c r="X354" s="36"/>
      <c r="Y354" s="36"/>
      <c r="Z354" s="36"/>
      <c r="AA354" s="36"/>
      <c r="AB354" s="36"/>
      <c r="AC354" s="36"/>
    </row>
    <row r="355" spans="17:29" x14ac:dyDescent="0.2">
      <c r="Q355" s="36"/>
      <c r="R355" s="40"/>
      <c r="S355" s="40"/>
      <c r="T355" s="40"/>
      <c r="U355" s="41"/>
      <c r="V355" s="41"/>
      <c r="W355" s="41"/>
      <c r="X355" s="36"/>
      <c r="Y355" s="36"/>
      <c r="Z355" s="36"/>
      <c r="AA355" s="36"/>
      <c r="AB355" s="36"/>
      <c r="AC355" s="36"/>
    </row>
    <row r="356" spans="17:29" x14ac:dyDescent="0.2">
      <c r="Q356" s="36"/>
      <c r="R356" s="40"/>
      <c r="S356" s="40"/>
      <c r="T356" s="40"/>
      <c r="U356" s="41"/>
      <c r="V356" s="41"/>
      <c r="W356" s="41"/>
      <c r="X356" s="36"/>
      <c r="Y356" s="36"/>
      <c r="Z356" s="36"/>
      <c r="AA356" s="36"/>
      <c r="AB356" s="36"/>
      <c r="AC356" s="36"/>
    </row>
    <row r="357" spans="17:29" x14ac:dyDescent="0.2">
      <c r="Q357" s="36"/>
      <c r="R357" s="40"/>
      <c r="S357" s="40"/>
      <c r="T357" s="40"/>
      <c r="U357" s="41"/>
      <c r="V357" s="41"/>
      <c r="W357" s="41"/>
      <c r="X357" s="36"/>
      <c r="Y357" s="36"/>
      <c r="Z357" s="36"/>
      <c r="AA357" s="36"/>
      <c r="AB357" s="36"/>
      <c r="AC357" s="36"/>
    </row>
    <row r="358" spans="17:29" x14ac:dyDescent="0.2">
      <c r="Q358" s="36"/>
      <c r="R358" s="40"/>
      <c r="S358" s="40"/>
      <c r="T358" s="40"/>
      <c r="U358" s="41"/>
      <c r="V358" s="41"/>
      <c r="W358" s="41"/>
      <c r="X358" s="36"/>
      <c r="Y358" s="36"/>
      <c r="Z358" s="36"/>
      <c r="AA358" s="36"/>
      <c r="AB358" s="36"/>
      <c r="AC358" s="36"/>
    </row>
    <row r="359" spans="17:29" x14ac:dyDescent="0.2">
      <c r="Q359" s="36"/>
      <c r="R359" s="40"/>
      <c r="S359" s="40"/>
      <c r="T359" s="40"/>
      <c r="U359" s="41"/>
      <c r="V359" s="41"/>
      <c r="W359" s="41"/>
      <c r="X359" s="36"/>
      <c r="Y359" s="36"/>
      <c r="Z359" s="36"/>
      <c r="AA359" s="36"/>
      <c r="AB359" s="36"/>
      <c r="AC359" s="36"/>
    </row>
    <row r="360" spans="17:29" x14ac:dyDescent="0.2">
      <c r="Q360" s="36"/>
      <c r="R360" s="40"/>
      <c r="S360" s="40"/>
      <c r="T360" s="40"/>
      <c r="U360" s="41"/>
      <c r="V360" s="41"/>
      <c r="W360" s="41"/>
      <c r="X360" s="36"/>
      <c r="Y360" s="36"/>
      <c r="Z360" s="36"/>
      <c r="AA360" s="36"/>
      <c r="AB360" s="36"/>
      <c r="AC360" s="36"/>
    </row>
    <row r="361" spans="17:29" x14ac:dyDescent="0.2">
      <c r="Q361" s="36"/>
      <c r="R361" s="40"/>
      <c r="S361" s="40"/>
      <c r="T361" s="40"/>
      <c r="U361" s="41"/>
      <c r="V361" s="41"/>
      <c r="W361" s="41"/>
      <c r="X361" s="36"/>
      <c r="Y361" s="36"/>
      <c r="Z361" s="36"/>
      <c r="AA361" s="36"/>
      <c r="AB361" s="36"/>
      <c r="AC361" s="36"/>
    </row>
    <row r="362" spans="17:29" x14ac:dyDescent="0.2">
      <c r="Q362" s="36"/>
      <c r="R362" s="40"/>
      <c r="S362" s="40"/>
      <c r="T362" s="40"/>
      <c r="U362" s="41"/>
      <c r="V362" s="41"/>
      <c r="W362" s="41"/>
      <c r="X362" s="36"/>
      <c r="Y362" s="36"/>
      <c r="Z362" s="36"/>
      <c r="AA362" s="36"/>
      <c r="AB362" s="36"/>
      <c r="AC362" s="36"/>
    </row>
    <row r="363" spans="17:29" x14ac:dyDescent="0.2">
      <c r="Q363" s="36"/>
      <c r="R363" s="40"/>
      <c r="S363" s="40"/>
      <c r="T363" s="40"/>
      <c r="U363" s="41"/>
      <c r="V363" s="41"/>
      <c r="W363" s="41"/>
      <c r="X363" s="36"/>
      <c r="Y363" s="36"/>
      <c r="Z363" s="36"/>
      <c r="AA363" s="36"/>
      <c r="AB363" s="36"/>
      <c r="AC363" s="36"/>
    </row>
    <row r="364" spans="17:29" x14ac:dyDescent="0.2">
      <c r="Q364" s="36"/>
      <c r="R364" s="40"/>
      <c r="S364" s="40"/>
      <c r="T364" s="40"/>
      <c r="U364" s="41"/>
      <c r="V364" s="41"/>
      <c r="W364" s="41"/>
      <c r="X364" s="36"/>
      <c r="Y364" s="36"/>
      <c r="Z364" s="36"/>
      <c r="AA364" s="36"/>
      <c r="AB364" s="36"/>
      <c r="AC364" s="36"/>
    </row>
    <row r="365" spans="17:29" x14ac:dyDescent="0.2">
      <c r="Q365" s="36"/>
      <c r="R365" s="40"/>
      <c r="S365" s="40"/>
      <c r="T365" s="40"/>
      <c r="U365" s="41"/>
      <c r="V365" s="41"/>
      <c r="W365" s="41"/>
      <c r="X365" s="36"/>
      <c r="Y365" s="36"/>
      <c r="Z365" s="36"/>
      <c r="AA365" s="36"/>
      <c r="AB365" s="36"/>
      <c r="AC365" s="36"/>
    </row>
    <row r="366" spans="17:29" x14ac:dyDescent="0.2">
      <c r="Q366" s="36"/>
      <c r="R366" s="40"/>
      <c r="S366" s="40"/>
      <c r="T366" s="40"/>
      <c r="U366" s="41"/>
      <c r="V366" s="41"/>
      <c r="W366" s="41"/>
      <c r="X366" s="36"/>
      <c r="Y366" s="36"/>
      <c r="Z366" s="36"/>
      <c r="AA366" s="36"/>
      <c r="AB366" s="36"/>
      <c r="AC366" s="36"/>
    </row>
    <row r="367" spans="17:29" x14ac:dyDescent="0.2">
      <c r="Q367" s="36"/>
      <c r="R367" s="40"/>
      <c r="S367" s="40"/>
      <c r="T367" s="40"/>
      <c r="U367" s="41"/>
      <c r="V367" s="41"/>
      <c r="W367" s="41"/>
      <c r="X367" s="36"/>
      <c r="Y367" s="36"/>
      <c r="Z367" s="36"/>
      <c r="AA367" s="36"/>
      <c r="AB367" s="36"/>
      <c r="AC367" s="36"/>
    </row>
    <row r="368" spans="17:29" x14ac:dyDescent="0.2">
      <c r="Q368" s="36"/>
      <c r="R368" s="40"/>
      <c r="S368" s="40"/>
      <c r="T368" s="40"/>
      <c r="U368" s="41"/>
      <c r="V368" s="41"/>
      <c r="W368" s="41"/>
      <c r="X368" s="36"/>
      <c r="Y368" s="36"/>
      <c r="Z368" s="36"/>
      <c r="AA368" s="36"/>
      <c r="AB368" s="36"/>
      <c r="AC368" s="36"/>
    </row>
    <row r="369" spans="17:29" x14ac:dyDescent="0.2">
      <c r="Q369" s="36"/>
      <c r="R369" s="40"/>
      <c r="S369" s="40"/>
      <c r="T369" s="40"/>
      <c r="U369" s="41"/>
      <c r="V369" s="41"/>
      <c r="W369" s="41"/>
      <c r="X369" s="36"/>
      <c r="Y369" s="36"/>
      <c r="Z369" s="36"/>
      <c r="AA369" s="36"/>
      <c r="AB369" s="36"/>
      <c r="AC369" s="36"/>
    </row>
    <row r="370" spans="17:29" x14ac:dyDescent="0.2">
      <c r="Q370" s="36"/>
      <c r="R370" s="40"/>
      <c r="S370" s="40"/>
      <c r="T370" s="40"/>
      <c r="U370" s="41"/>
      <c r="V370" s="41"/>
      <c r="W370" s="41"/>
      <c r="X370" s="36"/>
      <c r="Y370" s="36"/>
      <c r="Z370" s="36"/>
      <c r="AA370" s="36"/>
      <c r="AB370" s="36"/>
      <c r="AC370" s="36"/>
    </row>
    <row r="371" spans="17:29" x14ac:dyDescent="0.2">
      <c r="Q371" s="36"/>
      <c r="R371" s="40"/>
      <c r="S371" s="40"/>
      <c r="T371" s="40"/>
      <c r="U371" s="41"/>
      <c r="V371" s="41"/>
      <c r="W371" s="41"/>
      <c r="X371" s="36"/>
      <c r="Y371" s="36"/>
      <c r="Z371" s="36"/>
      <c r="AA371" s="36"/>
      <c r="AB371" s="36"/>
      <c r="AC371" s="36"/>
    </row>
    <row r="372" spans="17:29" x14ac:dyDescent="0.2">
      <c r="Q372" s="36"/>
      <c r="R372" s="40"/>
      <c r="S372" s="40"/>
      <c r="T372" s="40"/>
      <c r="U372" s="41"/>
      <c r="V372" s="41"/>
      <c r="W372" s="41"/>
      <c r="X372" s="36"/>
      <c r="Y372" s="36"/>
      <c r="Z372" s="36"/>
      <c r="AA372" s="36"/>
      <c r="AB372" s="36"/>
      <c r="AC372" s="36"/>
    </row>
    <row r="373" spans="17:29" x14ac:dyDescent="0.2">
      <c r="Q373" s="36"/>
      <c r="R373" s="40"/>
      <c r="S373" s="40"/>
      <c r="T373" s="40"/>
      <c r="U373" s="41"/>
      <c r="V373" s="41"/>
      <c r="W373" s="41"/>
      <c r="X373" s="36"/>
      <c r="Y373" s="36"/>
      <c r="Z373" s="36"/>
      <c r="AA373" s="36"/>
      <c r="AB373" s="36"/>
      <c r="AC373" s="36"/>
    </row>
    <row r="374" spans="17:29" x14ac:dyDescent="0.2">
      <c r="Q374" s="36"/>
      <c r="R374" s="40"/>
      <c r="S374" s="40"/>
      <c r="T374" s="40"/>
      <c r="U374" s="41"/>
      <c r="V374" s="41"/>
      <c r="W374" s="41"/>
      <c r="X374" s="36"/>
      <c r="Y374" s="36"/>
      <c r="Z374" s="36"/>
      <c r="AA374" s="36"/>
      <c r="AB374" s="36"/>
      <c r="AC374" s="36"/>
    </row>
    <row r="375" spans="17:29" x14ac:dyDescent="0.2">
      <c r="Q375" s="36"/>
      <c r="R375" s="40"/>
      <c r="S375" s="40"/>
      <c r="T375" s="40"/>
      <c r="U375" s="41"/>
      <c r="V375" s="41"/>
      <c r="W375" s="41"/>
      <c r="X375" s="36"/>
      <c r="Y375" s="36"/>
      <c r="Z375" s="36"/>
      <c r="AA375" s="36"/>
      <c r="AB375" s="36"/>
      <c r="AC375" s="36"/>
    </row>
    <row r="376" spans="17:29" x14ac:dyDescent="0.2">
      <c r="Q376" s="36"/>
      <c r="R376" s="40"/>
      <c r="S376" s="40"/>
      <c r="T376" s="40"/>
      <c r="U376" s="41"/>
      <c r="V376" s="41"/>
      <c r="W376" s="41"/>
      <c r="X376" s="36"/>
      <c r="Y376" s="36"/>
      <c r="Z376" s="36"/>
      <c r="AA376" s="36"/>
      <c r="AB376" s="36"/>
      <c r="AC376" s="36"/>
    </row>
    <row r="377" spans="17:29" x14ac:dyDescent="0.2">
      <c r="Q377" s="36"/>
      <c r="R377" s="40"/>
      <c r="S377" s="40"/>
      <c r="T377" s="40"/>
      <c r="U377" s="41"/>
      <c r="V377" s="41"/>
      <c r="W377" s="41"/>
      <c r="X377" s="36"/>
      <c r="Y377" s="36"/>
      <c r="Z377" s="36"/>
      <c r="AA377" s="36"/>
      <c r="AB377" s="36"/>
      <c r="AC377" s="36"/>
    </row>
    <row r="378" spans="17:29" x14ac:dyDescent="0.2">
      <c r="Q378" s="36"/>
      <c r="R378" s="40"/>
      <c r="S378" s="40"/>
      <c r="T378" s="40"/>
      <c r="U378" s="41"/>
      <c r="V378" s="41"/>
      <c r="W378" s="41"/>
      <c r="X378" s="36"/>
      <c r="Y378" s="36"/>
      <c r="Z378" s="36"/>
      <c r="AA378" s="36"/>
      <c r="AB378" s="36"/>
      <c r="AC378" s="36"/>
    </row>
    <row r="379" spans="17:29" x14ac:dyDescent="0.2">
      <c r="Q379" s="36"/>
      <c r="R379" s="40"/>
      <c r="S379" s="40"/>
      <c r="T379" s="40"/>
      <c r="U379" s="41"/>
      <c r="V379" s="41"/>
      <c r="W379" s="41"/>
      <c r="X379" s="36"/>
      <c r="Y379" s="36"/>
      <c r="Z379" s="36"/>
      <c r="AA379" s="36"/>
      <c r="AB379" s="36"/>
      <c r="AC379" s="36"/>
    </row>
    <row r="380" spans="17:29" x14ac:dyDescent="0.2">
      <c r="Q380" s="36"/>
      <c r="R380" s="40"/>
      <c r="S380" s="40"/>
      <c r="T380" s="40"/>
      <c r="U380" s="41"/>
      <c r="V380" s="41"/>
      <c r="W380" s="41"/>
      <c r="X380" s="36"/>
      <c r="Y380" s="36"/>
      <c r="Z380" s="36"/>
      <c r="AA380" s="36"/>
      <c r="AB380" s="36"/>
      <c r="AC380" s="36"/>
    </row>
    <row r="381" spans="17:29" x14ac:dyDescent="0.2">
      <c r="Q381" s="36"/>
      <c r="R381" s="40"/>
      <c r="S381" s="40"/>
      <c r="T381" s="40"/>
      <c r="U381" s="41"/>
      <c r="V381" s="41"/>
      <c r="W381" s="41"/>
      <c r="X381" s="36"/>
      <c r="Y381" s="36"/>
      <c r="Z381" s="36"/>
      <c r="AA381" s="36"/>
      <c r="AB381" s="36"/>
      <c r="AC381" s="36"/>
    </row>
    <row r="382" spans="17:29" x14ac:dyDescent="0.2">
      <c r="Q382" s="36"/>
      <c r="R382" s="40"/>
      <c r="S382" s="40"/>
      <c r="T382" s="40"/>
      <c r="U382" s="41"/>
      <c r="V382" s="41"/>
      <c r="W382" s="41"/>
      <c r="X382" s="36"/>
      <c r="Y382" s="36"/>
      <c r="Z382" s="36"/>
      <c r="AA382" s="36"/>
      <c r="AB382" s="36"/>
      <c r="AC382" s="36"/>
    </row>
    <row r="383" spans="17:29" x14ac:dyDescent="0.2">
      <c r="Q383" s="36"/>
      <c r="R383" s="40"/>
      <c r="S383" s="40"/>
      <c r="T383" s="40"/>
      <c r="U383" s="41"/>
      <c r="V383" s="41"/>
      <c r="W383" s="41"/>
      <c r="X383" s="36"/>
      <c r="Y383" s="36"/>
      <c r="Z383" s="36"/>
      <c r="AA383" s="36"/>
      <c r="AB383" s="36"/>
      <c r="AC383" s="36"/>
    </row>
    <row r="384" spans="17:29" x14ac:dyDescent="0.2">
      <c r="Q384" s="36"/>
      <c r="R384" s="40"/>
      <c r="S384" s="40"/>
      <c r="T384" s="40"/>
      <c r="U384" s="41"/>
      <c r="V384" s="41"/>
      <c r="W384" s="41"/>
      <c r="X384" s="36"/>
      <c r="Y384" s="36"/>
      <c r="Z384" s="36"/>
      <c r="AA384" s="36"/>
      <c r="AB384" s="36"/>
      <c r="AC384" s="36"/>
    </row>
    <row r="385" spans="17:29" x14ac:dyDescent="0.2">
      <c r="Q385" s="36"/>
      <c r="R385" s="40"/>
      <c r="S385" s="40"/>
      <c r="T385" s="40"/>
      <c r="U385" s="41"/>
      <c r="V385" s="41"/>
      <c r="W385" s="41"/>
      <c r="X385" s="36"/>
      <c r="Y385" s="36"/>
      <c r="Z385" s="36"/>
      <c r="AA385" s="36"/>
      <c r="AB385" s="36"/>
      <c r="AC385" s="36"/>
    </row>
    <row r="386" spans="17:29" x14ac:dyDescent="0.2">
      <c r="Q386" s="36"/>
      <c r="R386" s="40"/>
      <c r="S386" s="40"/>
      <c r="T386" s="40"/>
      <c r="U386" s="41"/>
      <c r="V386" s="41"/>
      <c r="W386" s="41"/>
      <c r="X386" s="36"/>
      <c r="Y386" s="36"/>
      <c r="Z386" s="36"/>
      <c r="AA386" s="36"/>
      <c r="AB386" s="36"/>
      <c r="AC386" s="36"/>
    </row>
    <row r="387" spans="17:29" x14ac:dyDescent="0.2">
      <c r="Q387" s="36"/>
      <c r="R387" s="40"/>
      <c r="S387" s="40"/>
      <c r="T387" s="40"/>
      <c r="U387" s="41"/>
      <c r="V387" s="41"/>
      <c r="W387" s="41"/>
      <c r="X387" s="36"/>
      <c r="Y387" s="36"/>
      <c r="Z387" s="36"/>
      <c r="AA387" s="36"/>
      <c r="AB387" s="36"/>
      <c r="AC387" s="36"/>
    </row>
    <row r="388" spans="17:29" x14ac:dyDescent="0.2">
      <c r="Q388" s="36"/>
      <c r="R388" s="40"/>
      <c r="S388" s="40"/>
      <c r="T388" s="40"/>
      <c r="U388" s="41"/>
      <c r="V388" s="41"/>
      <c r="W388" s="41"/>
      <c r="X388" s="36"/>
      <c r="Y388" s="36"/>
      <c r="Z388" s="36"/>
      <c r="AA388" s="36"/>
      <c r="AB388" s="36"/>
      <c r="AC388" s="36"/>
    </row>
    <row r="389" spans="17:29" x14ac:dyDescent="0.2">
      <c r="Q389" s="36"/>
      <c r="R389" s="40"/>
      <c r="S389" s="40"/>
      <c r="T389" s="40"/>
      <c r="U389" s="41"/>
      <c r="V389" s="41"/>
      <c r="W389" s="41"/>
      <c r="X389" s="36"/>
      <c r="Y389" s="36"/>
      <c r="Z389" s="36"/>
      <c r="AA389" s="36"/>
      <c r="AB389" s="36"/>
      <c r="AC389" s="36"/>
    </row>
    <row r="390" spans="17:29" x14ac:dyDescent="0.2">
      <c r="Q390" s="36"/>
      <c r="R390" s="40"/>
      <c r="S390" s="40"/>
      <c r="T390" s="40"/>
      <c r="U390" s="41"/>
      <c r="V390" s="41"/>
      <c r="W390" s="41"/>
      <c r="X390" s="36"/>
      <c r="Y390" s="36"/>
      <c r="Z390" s="36"/>
      <c r="AA390" s="36"/>
      <c r="AB390" s="36"/>
      <c r="AC390" s="36"/>
    </row>
    <row r="391" spans="17:29" x14ac:dyDescent="0.2">
      <c r="Q391" s="36"/>
      <c r="R391" s="40"/>
      <c r="S391" s="40"/>
      <c r="T391" s="40"/>
      <c r="U391" s="41"/>
      <c r="V391" s="41"/>
      <c r="W391" s="41"/>
      <c r="X391" s="36"/>
      <c r="Y391" s="36"/>
      <c r="Z391" s="36"/>
      <c r="AA391" s="36"/>
      <c r="AB391" s="36"/>
      <c r="AC391" s="36"/>
    </row>
    <row r="392" spans="17:29" x14ac:dyDescent="0.2">
      <c r="Q392" s="36"/>
      <c r="R392" s="40"/>
      <c r="S392" s="40"/>
      <c r="T392" s="40"/>
      <c r="U392" s="41"/>
      <c r="V392" s="41"/>
      <c r="W392" s="41"/>
      <c r="X392" s="36"/>
      <c r="Y392" s="36"/>
      <c r="Z392" s="36"/>
      <c r="AA392" s="36"/>
      <c r="AB392" s="36"/>
      <c r="AC392" s="36"/>
    </row>
    <row r="393" spans="17:29" x14ac:dyDescent="0.2">
      <c r="Q393" s="36"/>
      <c r="R393" s="40"/>
      <c r="S393" s="40"/>
      <c r="T393" s="40"/>
      <c r="U393" s="41"/>
      <c r="V393" s="41"/>
      <c r="W393" s="41"/>
      <c r="X393" s="36"/>
      <c r="Y393" s="36"/>
      <c r="Z393" s="36"/>
      <c r="AA393" s="36"/>
      <c r="AB393" s="36"/>
      <c r="AC393" s="36"/>
    </row>
    <row r="394" spans="17:29" x14ac:dyDescent="0.2">
      <c r="Q394" s="36"/>
      <c r="R394" s="40"/>
      <c r="S394" s="40"/>
      <c r="T394" s="40"/>
      <c r="U394" s="41"/>
      <c r="V394" s="41"/>
      <c r="W394" s="41"/>
      <c r="X394" s="36"/>
      <c r="Y394" s="36"/>
      <c r="Z394" s="36"/>
      <c r="AA394" s="36"/>
      <c r="AB394" s="36"/>
      <c r="AC394" s="36"/>
    </row>
    <row r="395" spans="17:29" x14ac:dyDescent="0.2">
      <c r="Q395" s="36"/>
      <c r="R395" s="40"/>
      <c r="S395" s="40"/>
      <c r="T395" s="40"/>
      <c r="U395" s="41"/>
      <c r="V395" s="41"/>
      <c r="W395" s="41"/>
      <c r="X395" s="36"/>
      <c r="Y395" s="36"/>
      <c r="Z395" s="36"/>
      <c r="AA395" s="36"/>
      <c r="AB395" s="36"/>
      <c r="AC395" s="36"/>
    </row>
    <row r="396" spans="17:29" x14ac:dyDescent="0.2">
      <c r="Q396" s="36"/>
      <c r="R396" s="40"/>
      <c r="S396" s="40"/>
      <c r="T396" s="40"/>
      <c r="U396" s="41"/>
      <c r="V396" s="41"/>
      <c r="W396" s="41"/>
      <c r="X396" s="36"/>
      <c r="Y396" s="36"/>
      <c r="Z396" s="36"/>
      <c r="AA396" s="36"/>
      <c r="AB396" s="36"/>
      <c r="AC396" s="36"/>
    </row>
    <row r="397" spans="17:29" x14ac:dyDescent="0.2">
      <c r="Q397" s="36"/>
      <c r="R397" s="40"/>
      <c r="S397" s="40"/>
      <c r="T397" s="40"/>
      <c r="U397" s="41"/>
      <c r="V397" s="41"/>
      <c r="W397" s="41"/>
      <c r="X397" s="36"/>
      <c r="Y397" s="36"/>
      <c r="Z397" s="36"/>
      <c r="AA397" s="36"/>
      <c r="AB397" s="36"/>
      <c r="AC397" s="36"/>
    </row>
    <row r="398" spans="17:29" x14ac:dyDescent="0.2">
      <c r="Q398" s="36"/>
      <c r="R398" s="40"/>
      <c r="S398" s="40"/>
      <c r="T398" s="40"/>
      <c r="U398" s="41"/>
      <c r="V398" s="41"/>
      <c r="W398" s="41"/>
      <c r="X398" s="36"/>
      <c r="Y398" s="36"/>
      <c r="Z398" s="36"/>
      <c r="AA398" s="36"/>
      <c r="AB398" s="36"/>
      <c r="AC398" s="36"/>
    </row>
    <row r="399" spans="17:29" x14ac:dyDescent="0.2">
      <c r="Q399" s="36"/>
      <c r="R399" s="40"/>
      <c r="S399" s="40"/>
      <c r="T399" s="40"/>
      <c r="U399" s="41"/>
      <c r="V399" s="41"/>
      <c r="W399" s="41"/>
      <c r="X399" s="36"/>
      <c r="Y399" s="36"/>
      <c r="Z399" s="36"/>
      <c r="AA399" s="36"/>
      <c r="AB399" s="36"/>
      <c r="AC399" s="36"/>
    </row>
    <row r="400" spans="17:29" x14ac:dyDescent="0.2">
      <c r="Q400" s="36"/>
      <c r="R400" s="40"/>
      <c r="S400" s="40"/>
      <c r="T400" s="40"/>
      <c r="U400" s="41"/>
      <c r="V400" s="41"/>
      <c r="W400" s="41"/>
      <c r="X400" s="36"/>
      <c r="Y400" s="36"/>
      <c r="Z400" s="36"/>
      <c r="AA400" s="36"/>
      <c r="AB400" s="36"/>
      <c r="AC400" s="36"/>
    </row>
    <row r="401" spans="17:29" x14ac:dyDescent="0.2">
      <c r="Q401" s="36"/>
      <c r="R401" s="40"/>
      <c r="S401" s="40"/>
      <c r="T401" s="40"/>
      <c r="U401" s="41"/>
      <c r="V401" s="41"/>
      <c r="W401" s="41"/>
      <c r="X401" s="36"/>
      <c r="Y401" s="36"/>
      <c r="Z401" s="36"/>
      <c r="AA401" s="36"/>
      <c r="AB401" s="36"/>
      <c r="AC401" s="36"/>
    </row>
    <row r="402" spans="17:29" x14ac:dyDescent="0.2">
      <c r="Q402" s="36"/>
      <c r="R402" s="40"/>
      <c r="S402" s="40"/>
      <c r="T402" s="40"/>
      <c r="U402" s="41"/>
      <c r="V402" s="41"/>
      <c r="W402" s="41"/>
      <c r="X402" s="36"/>
      <c r="Y402" s="36"/>
      <c r="Z402" s="36"/>
      <c r="AA402" s="36"/>
      <c r="AB402" s="36"/>
      <c r="AC402" s="36"/>
    </row>
    <row r="403" spans="17:29" x14ac:dyDescent="0.2">
      <c r="Q403" s="36"/>
      <c r="R403" s="40"/>
      <c r="S403" s="40"/>
      <c r="T403" s="40"/>
      <c r="U403" s="41"/>
      <c r="V403" s="41"/>
      <c r="W403" s="41"/>
      <c r="X403" s="36"/>
      <c r="Y403" s="36"/>
      <c r="Z403" s="36"/>
      <c r="AA403" s="36"/>
      <c r="AB403" s="36"/>
      <c r="AC403" s="36"/>
    </row>
    <row r="404" spans="17:29" x14ac:dyDescent="0.2">
      <c r="Q404" s="36"/>
      <c r="R404" s="40"/>
      <c r="S404" s="40"/>
      <c r="T404" s="40"/>
      <c r="U404" s="41"/>
      <c r="V404" s="41"/>
      <c r="W404" s="41"/>
      <c r="X404" s="36"/>
      <c r="Y404" s="36"/>
      <c r="Z404" s="36"/>
      <c r="AA404" s="36"/>
      <c r="AB404" s="36"/>
      <c r="AC404" s="36"/>
    </row>
    <row r="405" spans="17:29" x14ac:dyDescent="0.2">
      <c r="Q405" s="36"/>
      <c r="R405" s="40"/>
      <c r="S405" s="40"/>
      <c r="T405" s="40"/>
      <c r="U405" s="41"/>
      <c r="V405" s="41"/>
      <c r="W405" s="41"/>
      <c r="X405" s="36"/>
      <c r="Y405" s="36"/>
      <c r="Z405" s="36"/>
      <c r="AA405" s="36"/>
      <c r="AB405" s="36"/>
      <c r="AC405" s="36"/>
    </row>
    <row r="406" spans="17:29" x14ac:dyDescent="0.2">
      <c r="Q406" s="36"/>
      <c r="R406" s="40"/>
      <c r="S406" s="40"/>
      <c r="T406" s="40"/>
      <c r="U406" s="41"/>
      <c r="V406" s="41"/>
      <c r="W406" s="41"/>
      <c r="X406" s="36"/>
      <c r="Y406" s="36"/>
      <c r="Z406" s="36"/>
      <c r="AA406" s="36"/>
      <c r="AB406" s="36"/>
      <c r="AC406" s="36"/>
    </row>
    <row r="407" spans="17:29" x14ac:dyDescent="0.2">
      <c r="Q407" s="36"/>
      <c r="R407" s="40"/>
      <c r="S407" s="40"/>
      <c r="T407" s="40"/>
      <c r="U407" s="41"/>
      <c r="V407" s="41"/>
      <c r="W407" s="41"/>
      <c r="X407" s="36"/>
      <c r="Y407" s="36"/>
      <c r="Z407" s="36"/>
      <c r="AA407" s="36"/>
      <c r="AB407" s="36"/>
      <c r="AC407" s="36"/>
    </row>
    <row r="408" spans="17:29" x14ac:dyDescent="0.2">
      <c r="Q408" s="36"/>
      <c r="R408" s="40"/>
      <c r="S408" s="40"/>
      <c r="T408" s="40"/>
      <c r="U408" s="41"/>
      <c r="V408" s="41"/>
      <c r="W408" s="41"/>
      <c r="X408" s="36"/>
      <c r="Y408" s="36"/>
      <c r="Z408" s="36"/>
      <c r="AA408" s="36"/>
      <c r="AB408" s="36"/>
      <c r="AC408" s="36"/>
    </row>
    <row r="409" spans="17:29" x14ac:dyDescent="0.2">
      <c r="Q409" s="36"/>
      <c r="R409" s="40"/>
      <c r="S409" s="40"/>
      <c r="T409" s="40"/>
      <c r="U409" s="41"/>
      <c r="V409" s="41"/>
      <c r="W409" s="41"/>
      <c r="X409" s="36"/>
      <c r="Y409" s="36"/>
      <c r="Z409" s="36"/>
      <c r="AA409" s="36"/>
      <c r="AB409" s="36"/>
      <c r="AC409" s="36"/>
    </row>
    <row r="410" spans="17:29" x14ac:dyDescent="0.2">
      <c r="Q410" s="36"/>
      <c r="R410" s="40"/>
      <c r="S410" s="40"/>
      <c r="T410" s="40"/>
      <c r="U410" s="41"/>
      <c r="V410" s="41"/>
      <c r="W410" s="41"/>
      <c r="X410" s="36"/>
      <c r="Y410" s="36"/>
      <c r="Z410" s="36"/>
      <c r="AA410" s="36"/>
      <c r="AB410" s="36"/>
      <c r="AC410" s="36"/>
    </row>
    <row r="411" spans="17:29" x14ac:dyDescent="0.2">
      <c r="Q411" s="36"/>
      <c r="R411" s="40"/>
      <c r="S411" s="40"/>
      <c r="T411" s="40"/>
      <c r="U411" s="41"/>
      <c r="V411" s="41"/>
      <c r="W411" s="41"/>
      <c r="X411" s="36"/>
      <c r="Y411" s="36"/>
      <c r="Z411" s="36"/>
      <c r="AA411" s="36"/>
      <c r="AB411" s="36"/>
      <c r="AC411" s="36"/>
    </row>
    <row r="412" spans="17:29" x14ac:dyDescent="0.2">
      <c r="Q412" s="36"/>
      <c r="R412" s="40"/>
      <c r="S412" s="40"/>
      <c r="T412" s="40"/>
      <c r="U412" s="41"/>
      <c r="V412" s="41"/>
      <c r="W412" s="41"/>
      <c r="X412" s="36"/>
      <c r="Y412" s="36"/>
      <c r="Z412" s="36"/>
      <c r="AA412" s="36"/>
      <c r="AB412" s="36"/>
      <c r="AC412" s="36"/>
    </row>
    <row r="413" spans="17:29" x14ac:dyDescent="0.2">
      <c r="Q413" s="36"/>
      <c r="R413" s="40"/>
      <c r="S413" s="40"/>
      <c r="T413" s="40"/>
      <c r="U413" s="41"/>
      <c r="V413" s="41"/>
      <c r="W413" s="41"/>
      <c r="X413" s="36"/>
      <c r="Y413" s="36"/>
      <c r="Z413" s="36"/>
      <c r="AA413" s="36"/>
      <c r="AB413" s="36"/>
      <c r="AC413" s="36"/>
    </row>
    <row r="414" spans="17:29" x14ac:dyDescent="0.2">
      <c r="Q414" s="36"/>
      <c r="R414" s="40"/>
      <c r="S414" s="40"/>
      <c r="T414" s="40"/>
      <c r="U414" s="41"/>
      <c r="V414" s="41"/>
      <c r="W414" s="41"/>
      <c r="X414" s="36"/>
      <c r="Y414" s="36"/>
      <c r="Z414" s="36"/>
      <c r="AA414" s="36"/>
      <c r="AB414" s="36"/>
      <c r="AC414" s="36"/>
    </row>
    <row r="415" spans="17:29" x14ac:dyDescent="0.2">
      <c r="Q415" s="36"/>
      <c r="R415" s="40"/>
      <c r="S415" s="40"/>
      <c r="T415" s="40"/>
      <c r="U415" s="41"/>
      <c r="V415" s="41"/>
      <c r="W415" s="41"/>
      <c r="X415" s="36"/>
      <c r="Y415" s="36"/>
      <c r="Z415" s="36"/>
      <c r="AA415" s="36"/>
      <c r="AB415" s="36"/>
      <c r="AC415" s="36"/>
    </row>
    <row r="416" spans="17:29" x14ac:dyDescent="0.2">
      <c r="Q416" s="36"/>
      <c r="R416" s="40"/>
      <c r="S416" s="40"/>
      <c r="T416" s="40"/>
      <c r="U416" s="41"/>
      <c r="V416" s="41"/>
      <c r="W416" s="41"/>
      <c r="X416" s="36"/>
      <c r="Y416" s="36"/>
      <c r="Z416" s="36"/>
      <c r="AA416" s="36"/>
      <c r="AB416" s="36"/>
      <c r="AC416" s="36"/>
    </row>
    <row r="417" spans="17:29" x14ac:dyDescent="0.2">
      <c r="Q417" s="36"/>
      <c r="R417" s="40"/>
      <c r="S417" s="40"/>
      <c r="T417" s="40"/>
      <c r="U417" s="41"/>
      <c r="V417" s="41"/>
      <c r="W417" s="41"/>
      <c r="X417" s="36"/>
      <c r="Y417" s="36"/>
      <c r="Z417" s="36"/>
      <c r="AA417" s="36"/>
      <c r="AB417" s="36"/>
      <c r="AC417" s="36"/>
    </row>
    <row r="418" spans="17:29" x14ac:dyDescent="0.2">
      <c r="Q418" s="36"/>
      <c r="R418" s="40"/>
      <c r="S418" s="40"/>
      <c r="T418" s="40"/>
      <c r="U418" s="41"/>
      <c r="V418" s="41"/>
      <c r="W418" s="41"/>
      <c r="X418" s="36"/>
      <c r="Y418" s="36"/>
      <c r="Z418" s="36"/>
      <c r="AA418" s="36"/>
      <c r="AB418" s="36"/>
      <c r="AC418" s="36"/>
    </row>
    <row r="419" spans="17:29" x14ac:dyDescent="0.2">
      <c r="Q419" s="36"/>
      <c r="R419" s="40"/>
      <c r="S419" s="40"/>
      <c r="T419" s="40"/>
      <c r="U419" s="41"/>
      <c r="V419" s="41"/>
      <c r="W419" s="41"/>
      <c r="X419" s="36"/>
      <c r="Y419" s="36"/>
      <c r="Z419" s="36"/>
      <c r="AA419" s="36"/>
      <c r="AB419" s="36"/>
      <c r="AC419" s="36"/>
    </row>
    <row r="420" spans="17:29" x14ac:dyDescent="0.2">
      <c r="Q420" s="36"/>
      <c r="R420" s="40"/>
      <c r="S420" s="40"/>
      <c r="T420" s="40"/>
      <c r="U420" s="41"/>
      <c r="V420" s="41"/>
      <c r="W420" s="41"/>
      <c r="X420" s="36"/>
      <c r="Y420" s="36"/>
      <c r="Z420" s="36"/>
      <c r="AA420" s="36"/>
      <c r="AB420" s="36"/>
      <c r="AC420" s="36"/>
    </row>
    <row r="421" spans="17:29" x14ac:dyDescent="0.2">
      <c r="Q421" s="36"/>
      <c r="R421" s="40"/>
      <c r="S421" s="40"/>
      <c r="T421" s="40"/>
      <c r="U421" s="41"/>
      <c r="V421" s="41"/>
      <c r="W421" s="41"/>
      <c r="X421" s="36"/>
      <c r="Y421" s="36"/>
      <c r="Z421" s="36"/>
      <c r="AA421" s="36"/>
      <c r="AB421" s="36"/>
      <c r="AC421" s="36"/>
    </row>
    <row r="422" spans="17:29" x14ac:dyDescent="0.2">
      <c r="Q422" s="36"/>
      <c r="R422" s="40"/>
      <c r="S422" s="40"/>
      <c r="T422" s="40"/>
      <c r="U422" s="41"/>
      <c r="V422" s="41"/>
      <c r="W422" s="41"/>
      <c r="X422" s="36"/>
      <c r="Y422" s="36"/>
      <c r="Z422" s="36"/>
      <c r="AA422" s="36"/>
      <c r="AB422" s="36"/>
      <c r="AC422" s="36"/>
    </row>
    <row r="423" spans="17:29" x14ac:dyDescent="0.2">
      <c r="Q423" s="36"/>
      <c r="R423" s="40"/>
      <c r="S423" s="40"/>
      <c r="T423" s="40"/>
      <c r="U423" s="41"/>
      <c r="V423" s="41"/>
      <c r="W423" s="41"/>
      <c r="X423" s="36"/>
      <c r="Y423" s="36"/>
      <c r="Z423" s="36"/>
      <c r="AA423" s="36"/>
      <c r="AB423" s="36"/>
      <c r="AC423" s="36"/>
    </row>
    <row r="424" spans="17:29" x14ac:dyDescent="0.2">
      <c r="Q424" s="36"/>
      <c r="R424" s="40"/>
      <c r="S424" s="40"/>
      <c r="T424" s="40"/>
      <c r="U424" s="41"/>
      <c r="V424" s="41"/>
      <c r="W424" s="41"/>
      <c r="X424" s="36"/>
      <c r="Y424" s="36"/>
      <c r="Z424" s="36"/>
      <c r="AA424" s="36"/>
      <c r="AB424" s="36"/>
      <c r="AC424" s="36"/>
    </row>
    <row r="425" spans="17:29" x14ac:dyDescent="0.2">
      <c r="Q425" s="36"/>
      <c r="R425" s="40"/>
      <c r="S425" s="40"/>
      <c r="T425" s="40"/>
      <c r="U425" s="41"/>
      <c r="V425" s="41"/>
      <c r="W425" s="41"/>
      <c r="X425" s="36"/>
      <c r="Y425" s="36"/>
      <c r="Z425" s="36"/>
      <c r="AA425" s="36"/>
      <c r="AB425" s="36"/>
      <c r="AC425" s="36"/>
    </row>
    <row r="426" spans="17:29" x14ac:dyDescent="0.2">
      <c r="Q426" s="36"/>
      <c r="R426" s="40"/>
      <c r="S426" s="40"/>
      <c r="T426" s="40"/>
      <c r="U426" s="41"/>
      <c r="V426" s="41"/>
      <c r="W426" s="41"/>
      <c r="X426" s="36"/>
      <c r="Y426" s="36"/>
      <c r="Z426" s="36"/>
      <c r="AA426" s="36"/>
      <c r="AB426" s="36"/>
      <c r="AC426" s="36"/>
    </row>
    <row r="427" spans="17:29" x14ac:dyDescent="0.2">
      <c r="Q427" s="36"/>
      <c r="R427" s="40"/>
      <c r="S427" s="40"/>
      <c r="T427" s="40"/>
      <c r="U427" s="41"/>
      <c r="V427" s="41"/>
      <c r="W427" s="41"/>
      <c r="X427" s="36"/>
      <c r="Y427" s="36"/>
      <c r="Z427" s="36"/>
      <c r="AA427" s="36"/>
      <c r="AB427" s="36"/>
      <c r="AC427" s="36"/>
    </row>
    <row r="428" spans="17:29" x14ac:dyDescent="0.2">
      <c r="Q428" s="36"/>
      <c r="R428" s="40"/>
      <c r="S428" s="40"/>
      <c r="T428" s="40"/>
      <c r="U428" s="41"/>
      <c r="V428" s="41"/>
      <c r="W428" s="41"/>
      <c r="X428" s="36"/>
      <c r="Y428" s="36"/>
      <c r="Z428" s="36"/>
      <c r="AA428" s="36"/>
      <c r="AB428" s="36"/>
      <c r="AC428" s="36"/>
    </row>
    <row r="429" spans="17:29" x14ac:dyDescent="0.2">
      <c r="Q429" s="36"/>
      <c r="R429" s="40"/>
      <c r="S429" s="40"/>
      <c r="T429" s="40"/>
      <c r="U429" s="41"/>
      <c r="V429" s="41"/>
      <c r="W429" s="41"/>
      <c r="X429" s="36"/>
      <c r="Y429" s="36"/>
      <c r="Z429" s="36"/>
      <c r="AA429" s="36"/>
      <c r="AB429" s="36"/>
      <c r="AC429" s="36"/>
    </row>
    <row r="430" spans="17:29" x14ac:dyDescent="0.2">
      <c r="Q430" s="36"/>
      <c r="R430" s="40"/>
      <c r="S430" s="40"/>
      <c r="T430" s="40"/>
      <c r="U430" s="41"/>
      <c r="V430" s="41"/>
      <c r="W430" s="41"/>
      <c r="X430" s="36"/>
      <c r="Y430" s="36"/>
      <c r="Z430" s="36"/>
      <c r="AA430" s="36"/>
      <c r="AB430" s="36"/>
      <c r="AC430" s="36"/>
    </row>
    <row r="431" spans="17:29" x14ac:dyDescent="0.2">
      <c r="Q431" s="36"/>
      <c r="R431" s="40"/>
      <c r="S431" s="40"/>
      <c r="T431" s="40"/>
      <c r="U431" s="41"/>
      <c r="V431" s="41"/>
      <c r="W431" s="41"/>
      <c r="X431" s="36"/>
      <c r="Y431" s="36"/>
      <c r="Z431" s="36"/>
      <c r="AA431" s="36"/>
      <c r="AB431" s="36"/>
      <c r="AC431" s="36"/>
    </row>
    <row r="432" spans="17:29" x14ac:dyDescent="0.2">
      <c r="Q432" s="36"/>
      <c r="R432" s="40"/>
      <c r="S432" s="40"/>
      <c r="T432" s="40"/>
      <c r="U432" s="41"/>
      <c r="V432" s="41"/>
      <c r="W432" s="41"/>
      <c r="X432" s="36"/>
      <c r="Y432" s="36"/>
      <c r="Z432" s="36"/>
      <c r="AA432" s="36"/>
      <c r="AB432" s="36"/>
      <c r="AC432" s="36"/>
    </row>
    <row r="433" spans="17:29" x14ac:dyDescent="0.2">
      <c r="Q433" s="36"/>
      <c r="R433" s="40"/>
      <c r="S433" s="40"/>
      <c r="T433" s="40"/>
      <c r="U433" s="41"/>
      <c r="V433" s="41"/>
      <c r="W433" s="41"/>
      <c r="X433" s="36"/>
      <c r="Y433" s="36"/>
      <c r="Z433" s="36"/>
      <c r="AA433" s="36"/>
      <c r="AB433" s="36"/>
      <c r="AC433" s="36"/>
    </row>
    <row r="434" spans="17:29" x14ac:dyDescent="0.2">
      <c r="Q434" s="36"/>
      <c r="R434" s="40"/>
      <c r="S434" s="40"/>
      <c r="T434" s="40"/>
      <c r="U434" s="41"/>
      <c r="V434" s="41"/>
      <c r="W434" s="41"/>
      <c r="X434" s="36"/>
      <c r="Y434" s="36"/>
      <c r="Z434" s="36"/>
      <c r="AA434" s="36"/>
      <c r="AB434" s="36"/>
      <c r="AC434" s="36"/>
    </row>
    <row r="435" spans="17:29" x14ac:dyDescent="0.2">
      <c r="Q435" s="36"/>
      <c r="R435" s="40"/>
      <c r="S435" s="40"/>
      <c r="T435" s="40"/>
      <c r="U435" s="41"/>
      <c r="V435" s="41"/>
      <c r="W435" s="41"/>
      <c r="X435" s="36"/>
      <c r="Y435" s="36"/>
      <c r="Z435" s="36"/>
      <c r="AA435" s="36"/>
      <c r="AB435" s="36"/>
      <c r="AC435" s="36"/>
    </row>
    <row r="436" spans="17:29" x14ac:dyDescent="0.2">
      <c r="Q436" s="36"/>
      <c r="R436" s="40"/>
      <c r="S436" s="40"/>
      <c r="T436" s="40"/>
      <c r="U436" s="41"/>
      <c r="V436" s="41"/>
      <c r="W436" s="41"/>
      <c r="X436" s="36"/>
      <c r="Y436" s="36"/>
      <c r="Z436" s="36"/>
      <c r="AA436" s="36"/>
      <c r="AB436" s="36"/>
      <c r="AC436" s="36"/>
    </row>
    <row r="437" spans="17:29" x14ac:dyDescent="0.2">
      <c r="Q437" s="36"/>
      <c r="R437" s="40"/>
      <c r="S437" s="40"/>
      <c r="T437" s="40"/>
      <c r="U437" s="41"/>
      <c r="V437" s="41"/>
      <c r="W437" s="41"/>
      <c r="X437" s="36"/>
      <c r="Y437" s="36"/>
      <c r="Z437" s="36"/>
      <c r="AA437" s="36"/>
      <c r="AB437" s="36"/>
      <c r="AC437" s="36"/>
    </row>
    <row r="438" spans="17:29" x14ac:dyDescent="0.2">
      <c r="Q438" s="36"/>
      <c r="R438" s="40"/>
      <c r="S438" s="40"/>
      <c r="T438" s="40"/>
      <c r="U438" s="41"/>
      <c r="V438" s="41"/>
      <c r="W438" s="41"/>
      <c r="X438" s="36"/>
      <c r="Y438" s="36"/>
      <c r="Z438" s="36"/>
      <c r="AA438" s="36"/>
      <c r="AB438" s="36"/>
      <c r="AC438" s="36"/>
    </row>
    <row r="439" spans="17:29" x14ac:dyDescent="0.2">
      <c r="Q439" s="36"/>
      <c r="R439" s="40"/>
      <c r="S439" s="40"/>
      <c r="T439" s="40"/>
      <c r="U439" s="41"/>
      <c r="V439" s="41"/>
      <c r="W439" s="41"/>
      <c r="X439" s="36"/>
      <c r="Y439" s="36"/>
      <c r="Z439" s="36"/>
      <c r="AA439" s="36"/>
      <c r="AB439" s="36"/>
      <c r="AC439" s="36"/>
    </row>
    <row r="440" spans="17:29" x14ac:dyDescent="0.2">
      <c r="Q440" s="36"/>
      <c r="R440" s="40"/>
      <c r="S440" s="40"/>
      <c r="T440" s="40"/>
      <c r="U440" s="41"/>
      <c r="V440" s="41"/>
      <c r="W440" s="41"/>
      <c r="X440" s="36"/>
      <c r="Y440" s="36"/>
      <c r="Z440" s="36"/>
      <c r="AA440" s="36"/>
      <c r="AB440" s="36"/>
      <c r="AC440" s="36"/>
    </row>
    <row r="441" spans="17:29" x14ac:dyDescent="0.2">
      <c r="Q441" s="36"/>
      <c r="R441" s="40"/>
      <c r="S441" s="40"/>
      <c r="T441" s="40"/>
      <c r="U441" s="41"/>
      <c r="V441" s="41"/>
      <c r="W441" s="41"/>
      <c r="X441" s="36"/>
      <c r="Y441" s="36"/>
      <c r="Z441" s="36"/>
      <c r="AA441" s="36"/>
      <c r="AB441" s="36"/>
      <c r="AC441" s="36"/>
    </row>
    <row r="442" spans="17:29" x14ac:dyDescent="0.2">
      <c r="Q442" s="36"/>
      <c r="R442" s="40"/>
      <c r="S442" s="40"/>
      <c r="T442" s="40"/>
      <c r="U442" s="41"/>
      <c r="V442" s="41"/>
      <c r="W442" s="41"/>
      <c r="X442" s="36"/>
      <c r="Y442" s="36"/>
      <c r="Z442" s="36"/>
      <c r="AA442" s="36"/>
      <c r="AB442" s="36"/>
      <c r="AC442" s="36"/>
    </row>
    <row r="443" spans="17:29" x14ac:dyDescent="0.2">
      <c r="Q443" s="36"/>
      <c r="R443" s="40"/>
      <c r="S443" s="40"/>
      <c r="T443" s="40"/>
      <c r="U443" s="41"/>
      <c r="V443" s="41"/>
      <c r="W443" s="41"/>
      <c r="X443" s="36"/>
      <c r="Y443" s="36"/>
      <c r="Z443" s="36"/>
      <c r="AA443" s="36"/>
      <c r="AB443" s="36"/>
      <c r="AC443" s="36"/>
    </row>
    <row r="444" spans="17:29" x14ac:dyDescent="0.2">
      <c r="Q444" s="36"/>
      <c r="R444" s="40"/>
      <c r="S444" s="40"/>
      <c r="T444" s="40"/>
      <c r="U444" s="41"/>
      <c r="V444" s="41"/>
      <c r="W444" s="41"/>
      <c r="X444" s="36"/>
      <c r="Y444" s="36"/>
      <c r="Z444" s="36"/>
      <c r="AA444" s="36"/>
      <c r="AB444" s="36"/>
      <c r="AC444" s="36"/>
    </row>
    <row r="445" spans="17:29" x14ac:dyDescent="0.2">
      <c r="Q445" s="36"/>
      <c r="R445" s="40"/>
      <c r="S445" s="40"/>
      <c r="T445" s="40"/>
      <c r="U445" s="41"/>
      <c r="V445" s="41"/>
      <c r="W445" s="41"/>
      <c r="X445" s="36"/>
      <c r="Y445" s="36"/>
      <c r="Z445" s="36"/>
      <c r="AA445" s="36"/>
      <c r="AB445" s="36"/>
      <c r="AC445" s="36"/>
    </row>
    <row r="446" spans="17:29" x14ac:dyDescent="0.2">
      <c r="Q446" s="36"/>
      <c r="R446" s="40"/>
      <c r="S446" s="40"/>
      <c r="T446" s="40"/>
      <c r="U446" s="41"/>
      <c r="V446" s="41"/>
      <c r="W446" s="41"/>
      <c r="X446" s="36"/>
      <c r="Y446" s="36"/>
      <c r="Z446" s="36"/>
      <c r="AA446" s="36"/>
      <c r="AB446" s="36"/>
      <c r="AC446" s="36"/>
    </row>
    <row r="447" spans="17:29" x14ac:dyDescent="0.2">
      <c r="Q447" s="36"/>
      <c r="R447" s="40"/>
      <c r="S447" s="40"/>
      <c r="T447" s="40"/>
      <c r="U447" s="41"/>
      <c r="V447" s="41"/>
      <c r="W447" s="41"/>
      <c r="X447" s="36"/>
      <c r="Y447" s="36"/>
      <c r="Z447" s="36"/>
      <c r="AA447" s="36"/>
      <c r="AB447" s="36"/>
      <c r="AC447" s="36"/>
    </row>
    <row r="448" spans="17:29" x14ac:dyDescent="0.2">
      <c r="Q448" s="36"/>
      <c r="R448" s="40"/>
      <c r="S448" s="40"/>
      <c r="T448" s="40"/>
      <c r="U448" s="41"/>
      <c r="V448" s="41"/>
      <c r="W448" s="41"/>
      <c r="X448" s="36"/>
      <c r="Y448" s="36"/>
      <c r="Z448" s="36"/>
      <c r="AA448" s="36"/>
      <c r="AB448" s="36"/>
      <c r="AC448" s="36"/>
    </row>
    <row r="449" spans="17:29" x14ac:dyDescent="0.2">
      <c r="Q449" s="36"/>
      <c r="R449" s="40"/>
      <c r="S449" s="40"/>
      <c r="T449" s="40"/>
      <c r="U449" s="41"/>
      <c r="V449" s="41"/>
      <c r="W449" s="41"/>
      <c r="X449" s="36"/>
      <c r="Y449" s="36"/>
      <c r="Z449" s="36"/>
      <c r="AA449" s="36"/>
      <c r="AB449" s="36"/>
      <c r="AC449" s="36"/>
    </row>
    <row r="450" spans="17:29" x14ac:dyDescent="0.2">
      <c r="Q450" s="36"/>
      <c r="R450" s="40"/>
      <c r="S450" s="40"/>
      <c r="T450" s="40"/>
      <c r="U450" s="41"/>
      <c r="V450" s="41"/>
      <c r="W450" s="41"/>
      <c r="X450" s="36"/>
      <c r="Y450" s="36"/>
      <c r="Z450" s="36"/>
      <c r="AA450" s="36"/>
      <c r="AB450" s="36"/>
      <c r="AC450" s="36"/>
    </row>
    <row r="451" spans="17:29" x14ac:dyDescent="0.2">
      <c r="Q451" s="36"/>
      <c r="R451" s="40"/>
      <c r="S451" s="40"/>
      <c r="T451" s="40"/>
      <c r="U451" s="41"/>
      <c r="V451" s="41"/>
      <c r="W451" s="41"/>
      <c r="X451" s="36"/>
      <c r="Y451" s="36"/>
      <c r="Z451" s="36"/>
      <c r="AA451" s="36"/>
      <c r="AB451" s="36"/>
      <c r="AC451" s="36"/>
    </row>
    <row r="452" spans="17:29" x14ac:dyDescent="0.2">
      <c r="Q452" s="36"/>
      <c r="R452" s="40"/>
      <c r="S452" s="40"/>
      <c r="T452" s="40"/>
      <c r="U452" s="41"/>
      <c r="V452" s="41"/>
      <c r="W452" s="41"/>
      <c r="X452" s="36"/>
      <c r="Y452" s="36"/>
      <c r="Z452" s="36"/>
      <c r="AA452" s="36"/>
      <c r="AB452" s="36"/>
      <c r="AC452" s="36"/>
    </row>
    <row r="453" spans="17:29" x14ac:dyDescent="0.2">
      <c r="Q453" s="36"/>
      <c r="R453" s="40"/>
      <c r="S453" s="40"/>
      <c r="T453" s="40"/>
      <c r="U453" s="41"/>
      <c r="V453" s="41"/>
      <c r="W453" s="41"/>
      <c r="X453" s="36"/>
      <c r="Y453" s="36"/>
      <c r="Z453" s="36"/>
      <c r="AA453" s="36"/>
      <c r="AB453" s="36"/>
      <c r="AC453" s="36"/>
    </row>
    <row r="454" spans="17:29" x14ac:dyDescent="0.2">
      <c r="Q454" s="36"/>
      <c r="R454" s="40"/>
      <c r="S454" s="40"/>
      <c r="T454" s="40"/>
      <c r="U454" s="41"/>
      <c r="V454" s="41"/>
      <c r="W454" s="41"/>
      <c r="X454" s="36"/>
      <c r="Y454" s="36"/>
      <c r="Z454" s="36"/>
      <c r="AA454" s="36"/>
      <c r="AB454" s="36"/>
      <c r="AC454" s="36"/>
    </row>
    <row r="455" spans="17:29" x14ac:dyDescent="0.2">
      <c r="Q455" s="36"/>
      <c r="R455" s="40"/>
      <c r="S455" s="40"/>
      <c r="T455" s="40"/>
      <c r="U455" s="41"/>
      <c r="V455" s="41"/>
      <c r="W455" s="41"/>
      <c r="X455" s="36"/>
      <c r="Y455" s="36"/>
      <c r="Z455" s="36"/>
      <c r="AA455" s="36"/>
      <c r="AB455" s="36"/>
      <c r="AC455" s="36"/>
    </row>
    <row r="456" spans="17:29" x14ac:dyDescent="0.2">
      <c r="Q456" s="36"/>
      <c r="R456" s="40"/>
      <c r="S456" s="40"/>
      <c r="T456" s="40"/>
      <c r="U456" s="41"/>
      <c r="V456" s="41"/>
      <c r="W456" s="41"/>
      <c r="X456" s="36"/>
      <c r="Y456" s="36"/>
      <c r="Z456" s="36"/>
      <c r="AA456" s="36"/>
      <c r="AB456" s="36"/>
      <c r="AC456" s="36"/>
    </row>
    <row r="457" spans="17:29" x14ac:dyDescent="0.2">
      <c r="Q457" s="36"/>
      <c r="R457" s="40"/>
      <c r="S457" s="40"/>
      <c r="T457" s="40"/>
      <c r="U457" s="41"/>
      <c r="V457" s="41"/>
      <c r="W457" s="41"/>
      <c r="X457" s="36"/>
      <c r="Y457" s="36"/>
      <c r="Z457" s="36"/>
      <c r="AA457" s="36"/>
      <c r="AB457" s="36"/>
      <c r="AC457" s="36"/>
    </row>
    <row r="458" spans="17:29" x14ac:dyDescent="0.2">
      <c r="Q458" s="36"/>
      <c r="R458" s="40"/>
      <c r="S458" s="40"/>
      <c r="T458" s="40"/>
      <c r="U458" s="41"/>
      <c r="V458" s="41"/>
      <c r="W458" s="41"/>
      <c r="X458" s="36"/>
      <c r="Y458" s="36"/>
      <c r="Z458" s="36"/>
      <c r="AA458" s="36"/>
      <c r="AB458" s="36"/>
      <c r="AC458" s="36"/>
    </row>
    <row r="459" spans="17:29" x14ac:dyDescent="0.2">
      <c r="Q459" s="36"/>
      <c r="R459" s="40"/>
      <c r="S459" s="40"/>
      <c r="T459" s="40"/>
      <c r="U459" s="41"/>
      <c r="V459" s="41"/>
      <c r="W459" s="41"/>
      <c r="X459" s="36"/>
      <c r="Y459" s="36"/>
      <c r="Z459" s="36"/>
      <c r="AA459" s="36"/>
      <c r="AB459" s="36"/>
      <c r="AC459" s="36"/>
    </row>
    <row r="460" spans="17:29" x14ac:dyDescent="0.2">
      <c r="Q460" s="36"/>
      <c r="R460" s="40"/>
      <c r="S460" s="40"/>
      <c r="T460" s="40"/>
      <c r="U460" s="41"/>
      <c r="V460" s="41"/>
      <c r="W460" s="41"/>
      <c r="X460" s="36"/>
      <c r="Y460" s="36"/>
      <c r="Z460" s="36"/>
      <c r="AA460" s="36"/>
      <c r="AB460" s="36"/>
      <c r="AC460" s="36"/>
    </row>
    <row r="461" spans="17:29" x14ac:dyDescent="0.2">
      <c r="Q461" s="36"/>
      <c r="R461" s="40"/>
      <c r="S461" s="40"/>
      <c r="T461" s="40"/>
      <c r="U461" s="41"/>
      <c r="V461" s="41"/>
      <c r="W461" s="41"/>
      <c r="X461" s="36"/>
      <c r="Y461" s="36"/>
      <c r="Z461" s="36"/>
      <c r="AA461" s="36"/>
      <c r="AB461" s="36"/>
      <c r="AC461" s="36"/>
    </row>
    <row r="462" spans="17:29" x14ac:dyDescent="0.2">
      <c r="Q462" s="36"/>
      <c r="R462" s="40"/>
      <c r="S462" s="40"/>
      <c r="T462" s="40"/>
      <c r="U462" s="41"/>
      <c r="V462" s="41"/>
      <c r="W462" s="41"/>
      <c r="X462" s="36"/>
      <c r="Y462" s="36"/>
      <c r="Z462" s="36"/>
      <c r="AA462" s="36"/>
      <c r="AB462" s="36"/>
      <c r="AC462" s="36"/>
    </row>
    <row r="463" spans="17:29" x14ac:dyDescent="0.2">
      <c r="Q463" s="36"/>
      <c r="R463" s="40"/>
      <c r="S463" s="40"/>
      <c r="T463" s="40"/>
      <c r="U463" s="41"/>
      <c r="V463" s="41"/>
      <c r="W463" s="41"/>
      <c r="X463" s="36"/>
      <c r="Y463" s="36"/>
      <c r="Z463" s="36"/>
      <c r="AA463" s="36"/>
      <c r="AB463" s="36"/>
      <c r="AC463" s="36"/>
    </row>
    <row r="464" spans="17:29" x14ac:dyDescent="0.2">
      <c r="Q464" s="36"/>
      <c r="R464" s="40"/>
      <c r="S464" s="40"/>
      <c r="T464" s="40"/>
      <c r="U464" s="41"/>
      <c r="V464" s="41"/>
      <c r="W464" s="41"/>
      <c r="X464" s="36"/>
      <c r="Y464" s="36"/>
      <c r="Z464" s="36"/>
      <c r="AA464" s="36"/>
      <c r="AB464" s="36"/>
      <c r="AC464" s="36"/>
    </row>
    <row r="465" spans="17:29" x14ac:dyDescent="0.2">
      <c r="Q465" s="36"/>
      <c r="R465" s="40"/>
      <c r="S465" s="40"/>
      <c r="T465" s="40"/>
      <c r="U465" s="41"/>
      <c r="V465" s="41"/>
      <c r="W465" s="41"/>
      <c r="X465" s="36"/>
      <c r="Y465" s="36"/>
      <c r="Z465" s="36"/>
      <c r="AA465" s="36"/>
      <c r="AB465" s="36"/>
      <c r="AC465" s="36"/>
    </row>
    <row r="466" spans="17:29" x14ac:dyDescent="0.2">
      <c r="Q466" s="36"/>
      <c r="R466" s="40"/>
      <c r="S466" s="40"/>
      <c r="T466" s="40"/>
      <c r="U466" s="41"/>
      <c r="V466" s="41"/>
      <c r="W466" s="41"/>
      <c r="X466" s="36"/>
      <c r="Y466" s="36"/>
      <c r="Z466" s="36"/>
      <c r="AA466" s="36"/>
      <c r="AB466" s="36"/>
      <c r="AC466" s="36"/>
    </row>
    <row r="467" spans="17:29" x14ac:dyDescent="0.2">
      <c r="Q467" s="36"/>
      <c r="R467" s="40"/>
      <c r="S467" s="40"/>
      <c r="T467" s="40"/>
      <c r="U467" s="41"/>
      <c r="V467" s="41"/>
      <c r="W467" s="41"/>
      <c r="X467" s="36"/>
      <c r="Y467" s="36"/>
      <c r="Z467" s="36"/>
      <c r="AA467" s="36"/>
      <c r="AB467" s="36"/>
      <c r="AC467" s="36"/>
    </row>
    <row r="468" spans="17:29" x14ac:dyDescent="0.2">
      <c r="Q468" s="36"/>
      <c r="R468" s="40"/>
      <c r="S468" s="40"/>
      <c r="T468" s="40"/>
      <c r="U468" s="41"/>
      <c r="V468" s="41"/>
      <c r="W468" s="41"/>
      <c r="X468" s="36"/>
      <c r="Y468" s="36"/>
      <c r="Z468" s="36"/>
      <c r="AA468" s="36"/>
      <c r="AB468" s="36"/>
      <c r="AC468" s="36"/>
    </row>
    <row r="469" spans="17:29" x14ac:dyDescent="0.2">
      <c r="Q469" s="36"/>
      <c r="R469" s="40"/>
      <c r="S469" s="40"/>
      <c r="T469" s="40"/>
      <c r="U469" s="41"/>
      <c r="V469" s="41"/>
      <c r="W469" s="41"/>
      <c r="X469" s="36"/>
      <c r="Y469" s="36"/>
      <c r="Z469" s="36"/>
      <c r="AA469" s="36"/>
      <c r="AB469" s="36"/>
      <c r="AC469" s="36"/>
    </row>
    <row r="470" spans="17:29" x14ac:dyDescent="0.2">
      <c r="Q470" s="36"/>
      <c r="R470" s="40"/>
      <c r="S470" s="40"/>
      <c r="T470" s="40"/>
      <c r="U470" s="41"/>
      <c r="V470" s="41"/>
      <c r="W470" s="41"/>
      <c r="X470" s="36"/>
      <c r="Y470" s="36"/>
      <c r="Z470" s="36"/>
      <c r="AA470" s="36"/>
      <c r="AB470" s="36"/>
      <c r="AC470" s="36"/>
    </row>
    <row r="471" spans="17:29" x14ac:dyDescent="0.2">
      <c r="Q471" s="36"/>
      <c r="R471" s="40"/>
      <c r="S471" s="40"/>
      <c r="T471" s="40"/>
      <c r="U471" s="41"/>
      <c r="V471" s="41"/>
      <c r="W471" s="41"/>
      <c r="X471" s="36"/>
      <c r="Y471" s="36"/>
      <c r="Z471" s="36"/>
      <c r="AA471" s="36"/>
      <c r="AB471" s="36"/>
      <c r="AC471" s="36"/>
    </row>
    <row r="472" spans="17:29" x14ac:dyDescent="0.2">
      <c r="Q472" s="36"/>
      <c r="R472" s="40"/>
      <c r="S472" s="40"/>
      <c r="T472" s="40"/>
      <c r="U472" s="41"/>
      <c r="V472" s="41"/>
      <c r="W472" s="41"/>
      <c r="X472" s="36"/>
      <c r="Y472" s="36"/>
      <c r="Z472" s="36"/>
      <c r="AA472" s="36"/>
      <c r="AB472" s="36"/>
      <c r="AC472" s="36"/>
    </row>
    <row r="473" spans="17:29" x14ac:dyDescent="0.2">
      <c r="Q473" s="36"/>
      <c r="R473" s="40"/>
      <c r="S473" s="40"/>
      <c r="T473" s="40"/>
      <c r="U473" s="41"/>
      <c r="V473" s="41"/>
      <c r="W473" s="41"/>
      <c r="X473" s="36"/>
      <c r="Y473" s="36"/>
      <c r="Z473" s="36"/>
      <c r="AA473" s="36"/>
      <c r="AB473" s="36"/>
      <c r="AC473" s="36"/>
    </row>
    <row r="474" spans="17:29" x14ac:dyDescent="0.2">
      <c r="Q474" s="36"/>
      <c r="R474" s="40"/>
      <c r="S474" s="40"/>
      <c r="T474" s="40"/>
      <c r="U474" s="41"/>
      <c r="V474" s="41"/>
      <c r="W474" s="41"/>
      <c r="X474" s="36"/>
      <c r="Y474" s="36"/>
      <c r="Z474" s="36"/>
      <c r="AA474" s="36"/>
      <c r="AB474" s="36"/>
      <c r="AC474" s="36"/>
    </row>
    <row r="475" spans="17:29" x14ac:dyDescent="0.2">
      <c r="Q475" s="36"/>
      <c r="R475" s="40"/>
      <c r="S475" s="40"/>
      <c r="T475" s="40"/>
      <c r="U475" s="41"/>
      <c r="V475" s="41"/>
      <c r="W475" s="41"/>
      <c r="X475" s="36"/>
      <c r="Y475" s="36"/>
      <c r="Z475" s="36"/>
      <c r="AA475" s="36"/>
      <c r="AB475" s="36"/>
      <c r="AC475" s="36"/>
    </row>
    <row r="476" spans="17:29" x14ac:dyDescent="0.2">
      <c r="Q476" s="36"/>
      <c r="R476" s="40"/>
      <c r="S476" s="40"/>
      <c r="T476" s="40"/>
      <c r="U476" s="41"/>
      <c r="V476" s="41"/>
      <c r="W476" s="41"/>
      <c r="X476" s="36"/>
      <c r="Y476" s="36"/>
      <c r="Z476" s="36"/>
      <c r="AA476" s="36"/>
      <c r="AB476" s="36"/>
      <c r="AC476" s="36"/>
    </row>
    <row r="477" spans="17:29" x14ac:dyDescent="0.2">
      <c r="Q477" s="36"/>
      <c r="R477" s="40"/>
      <c r="S477" s="40"/>
      <c r="T477" s="40"/>
      <c r="U477" s="41"/>
      <c r="V477" s="41"/>
      <c r="W477" s="41"/>
      <c r="X477" s="36"/>
      <c r="Y477" s="36"/>
      <c r="Z477" s="36"/>
      <c r="AA477" s="36"/>
      <c r="AB477" s="36"/>
      <c r="AC477" s="36"/>
    </row>
    <row r="478" spans="17:29" x14ac:dyDescent="0.2">
      <c r="Q478" s="36"/>
      <c r="R478" s="40"/>
      <c r="S478" s="40"/>
      <c r="T478" s="40"/>
      <c r="U478" s="41"/>
      <c r="V478" s="41"/>
      <c r="W478" s="41"/>
      <c r="X478" s="36"/>
      <c r="Y478" s="36"/>
      <c r="Z478" s="36"/>
      <c r="AA478" s="36"/>
      <c r="AB478" s="36"/>
      <c r="AC478" s="36"/>
    </row>
    <row r="479" spans="17:29" x14ac:dyDescent="0.2">
      <c r="Q479" s="36"/>
      <c r="R479" s="40"/>
      <c r="S479" s="40"/>
      <c r="T479" s="40"/>
      <c r="U479" s="41"/>
      <c r="V479" s="41"/>
      <c r="W479" s="41"/>
      <c r="X479" s="36"/>
      <c r="Y479" s="36"/>
      <c r="Z479" s="36"/>
      <c r="AA479" s="36"/>
      <c r="AB479" s="36"/>
      <c r="AC479" s="36"/>
    </row>
    <row r="480" spans="17:29" x14ac:dyDescent="0.2">
      <c r="Q480" s="36"/>
      <c r="R480" s="40"/>
      <c r="S480" s="40"/>
      <c r="T480" s="40"/>
      <c r="U480" s="41"/>
      <c r="V480" s="41"/>
      <c r="W480" s="41"/>
      <c r="X480" s="36"/>
      <c r="Y480" s="36"/>
      <c r="Z480" s="36"/>
      <c r="AA480" s="36"/>
      <c r="AB480" s="36"/>
      <c r="AC480" s="36"/>
    </row>
    <row r="481" spans="17:29" x14ac:dyDescent="0.2">
      <c r="Q481" s="36"/>
      <c r="R481" s="40"/>
      <c r="S481" s="40"/>
      <c r="T481" s="40"/>
      <c r="U481" s="41"/>
      <c r="V481" s="41"/>
      <c r="W481" s="41"/>
      <c r="X481" s="36"/>
      <c r="Y481" s="36"/>
      <c r="Z481" s="36"/>
      <c r="AA481" s="36"/>
      <c r="AB481" s="36"/>
      <c r="AC481" s="36"/>
    </row>
    <row r="482" spans="17:29" x14ac:dyDescent="0.2">
      <c r="Q482" s="36"/>
      <c r="R482" s="40"/>
      <c r="S482" s="40"/>
      <c r="T482" s="40"/>
      <c r="U482" s="41"/>
      <c r="V482" s="41"/>
      <c r="W482" s="41"/>
      <c r="X482" s="36"/>
      <c r="Y482" s="36"/>
      <c r="Z482" s="36"/>
      <c r="AA482" s="36"/>
      <c r="AB482" s="36"/>
      <c r="AC482" s="36"/>
    </row>
    <row r="483" spans="17:29" x14ac:dyDescent="0.2">
      <c r="Q483" s="36"/>
      <c r="R483" s="40"/>
      <c r="S483" s="40"/>
      <c r="T483" s="40"/>
      <c r="U483" s="41"/>
      <c r="V483" s="41"/>
      <c r="W483" s="41"/>
      <c r="X483" s="36"/>
      <c r="Y483" s="36"/>
      <c r="Z483" s="36"/>
      <c r="AA483" s="36"/>
      <c r="AB483" s="36"/>
      <c r="AC483" s="36"/>
    </row>
    <row r="484" spans="17:29" x14ac:dyDescent="0.2">
      <c r="Q484" s="36"/>
      <c r="R484" s="40"/>
      <c r="S484" s="40"/>
      <c r="T484" s="40"/>
      <c r="U484" s="41"/>
      <c r="V484" s="41"/>
      <c r="W484" s="41"/>
      <c r="X484" s="36"/>
      <c r="Y484" s="36"/>
      <c r="Z484" s="36"/>
      <c r="AA484" s="36"/>
      <c r="AB484" s="36"/>
      <c r="AC484" s="36"/>
    </row>
    <row r="485" spans="17:29" x14ac:dyDescent="0.2">
      <c r="Q485" s="36"/>
      <c r="R485" s="40"/>
      <c r="S485" s="40"/>
      <c r="T485" s="40"/>
      <c r="U485" s="41"/>
      <c r="V485" s="41"/>
      <c r="W485" s="41"/>
      <c r="X485" s="36"/>
      <c r="Y485" s="36"/>
      <c r="Z485" s="36"/>
      <c r="AA485" s="36"/>
      <c r="AB485" s="36"/>
      <c r="AC485" s="36"/>
    </row>
    <row r="486" spans="17:29" x14ac:dyDescent="0.2">
      <c r="Q486" s="36"/>
      <c r="R486" s="40"/>
      <c r="S486" s="40"/>
      <c r="T486" s="40"/>
      <c r="U486" s="41"/>
      <c r="V486" s="41"/>
      <c r="W486" s="41"/>
      <c r="X486" s="36"/>
      <c r="Y486" s="36"/>
      <c r="Z486" s="36"/>
      <c r="AA486" s="36"/>
      <c r="AB486" s="36"/>
      <c r="AC486" s="36"/>
    </row>
    <row r="487" spans="17:29" x14ac:dyDescent="0.2">
      <c r="Q487" s="36"/>
      <c r="R487" s="40"/>
      <c r="S487" s="40"/>
      <c r="T487" s="40"/>
      <c r="U487" s="41"/>
      <c r="V487" s="41"/>
      <c r="W487" s="41"/>
      <c r="X487" s="36"/>
      <c r="Y487" s="36"/>
      <c r="Z487" s="36"/>
      <c r="AA487" s="36"/>
      <c r="AB487" s="36"/>
      <c r="AC487" s="36"/>
    </row>
    <row r="488" spans="17:29" x14ac:dyDescent="0.2">
      <c r="Q488" s="36"/>
      <c r="R488" s="40"/>
      <c r="S488" s="40"/>
      <c r="T488" s="40"/>
      <c r="U488" s="41"/>
      <c r="V488" s="41"/>
      <c r="W488" s="41"/>
      <c r="X488" s="36"/>
      <c r="Y488" s="36"/>
      <c r="Z488" s="36"/>
      <c r="AA488" s="36"/>
      <c r="AB488" s="36"/>
      <c r="AC488" s="36"/>
    </row>
    <row r="489" spans="17:29" x14ac:dyDescent="0.2">
      <c r="Q489" s="36"/>
      <c r="R489" s="40"/>
      <c r="S489" s="40"/>
      <c r="T489" s="40"/>
      <c r="U489" s="41"/>
      <c r="V489" s="41"/>
      <c r="W489" s="41"/>
      <c r="X489" s="36"/>
      <c r="Y489" s="36"/>
      <c r="Z489" s="36"/>
      <c r="AA489" s="36"/>
      <c r="AB489" s="36"/>
      <c r="AC489" s="36"/>
    </row>
    <row r="490" spans="17:29" x14ac:dyDescent="0.2">
      <c r="Q490" s="36"/>
      <c r="R490" s="40"/>
      <c r="S490" s="40"/>
      <c r="T490" s="40"/>
      <c r="U490" s="41"/>
      <c r="V490" s="41"/>
      <c r="W490" s="41"/>
      <c r="X490" s="36"/>
      <c r="Y490" s="36"/>
      <c r="Z490" s="36"/>
      <c r="AA490" s="36"/>
      <c r="AB490" s="36"/>
      <c r="AC490" s="36"/>
    </row>
    <row r="491" spans="17:29" x14ac:dyDescent="0.2">
      <c r="Q491" s="36"/>
      <c r="R491" s="40"/>
      <c r="S491" s="40"/>
      <c r="T491" s="40"/>
      <c r="U491" s="41"/>
      <c r="V491" s="41"/>
      <c r="W491" s="41"/>
      <c r="X491" s="36"/>
      <c r="Y491" s="36"/>
      <c r="Z491" s="36"/>
      <c r="AA491" s="36"/>
      <c r="AB491" s="36"/>
      <c r="AC491" s="36"/>
    </row>
    <row r="492" spans="17:29" x14ac:dyDescent="0.2">
      <c r="Q492" s="36"/>
      <c r="R492" s="40"/>
      <c r="S492" s="40"/>
      <c r="T492" s="40"/>
      <c r="U492" s="41"/>
      <c r="V492" s="41"/>
      <c r="W492" s="41"/>
      <c r="X492" s="36"/>
      <c r="Y492" s="36"/>
      <c r="Z492" s="36"/>
      <c r="AA492" s="36"/>
      <c r="AB492" s="36"/>
      <c r="AC492" s="36"/>
    </row>
    <row r="493" spans="17:29" x14ac:dyDescent="0.2">
      <c r="Q493" s="36"/>
      <c r="R493" s="40"/>
      <c r="S493" s="40"/>
      <c r="T493" s="40"/>
      <c r="U493" s="41"/>
      <c r="V493" s="41"/>
      <c r="W493" s="41"/>
      <c r="X493" s="36"/>
      <c r="Y493" s="36"/>
      <c r="Z493" s="36"/>
      <c r="AA493" s="36"/>
      <c r="AB493" s="36"/>
      <c r="AC493" s="36"/>
    </row>
    <row r="494" spans="17:29" x14ac:dyDescent="0.2">
      <c r="Q494" s="36"/>
      <c r="R494" s="40"/>
      <c r="S494" s="40"/>
      <c r="T494" s="40"/>
      <c r="U494" s="41"/>
      <c r="V494" s="41"/>
      <c r="W494" s="41"/>
      <c r="X494" s="36"/>
      <c r="Y494" s="36"/>
      <c r="Z494" s="36"/>
      <c r="AA494" s="36"/>
      <c r="AB494" s="36"/>
      <c r="AC494" s="36"/>
    </row>
    <row r="495" spans="17:29" x14ac:dyDescent="0.2">
      <c r="Q495" s="36"/>
      <c r="R495" s="40"/>
      <c r="S495" s="40"/>
      <c r="T495" s="40"/>
      <c r="U495" s="41"/>
      <c r="V495" s="41"/>
      <c r="W495" s="41"/>
      <c r="X495" s="36"/>
      <c r="Y495" s="36"/>
      <c r="Z495" s="36"/>
      <c r="AA495" s="36"/>
      <c r="AB495" s="36"/>
      <c r="AC495" s="36"/>
    </row>
    <row r="496" spans="17:29" x14ac:dyDescent="0.2">
      <c r="Q496" s="36"/>
      <c r="R496" s="40"/>
      <c r="S496" s="40"/>
      <c r="T496" s="40"/>
      <c r="U496" s="41"/>
      <c r="V496" s="41"/>
      <c r="W496" s="41"/>
      <c r="X496" s="36"/>
      <c r="Y496" s="36"/>
      <c r="Z496" s="36"/>
      <c r="AA496" s="36"/>
      <c r="AB496" s="36"/>
      <c r="AC496" s="36"/>
    </row>
    <row r="497" spans="17:29" x14ac:dyDescent="0.2">
      <c r="Q497" s="36"/>
      <c r="R497" s="40"/>
      <c r="S497" s="40"/>
      <c r="T497" s="40"/>
      <c r="U497" s="41"/>
      <c r="V497" s="41"/>
      <c r="W497" s="41"/>
      <c r="X497" s="36"/>
      <c r="Y497" s="36"/>
      <c r="Z497" s="36"/>
      <c r="AA497" s="36"/>
      <c r="AB497" s="36"/>
      <c r="AC497" s="36"/>
    </row>
    <row r="498" spans="17:29" x14ac:dyDescent="0.2">
      <c r="Q498" s="36"/>
      <c r="R498" s="40"/>
      <c r="S498" s="40"/>
      <c r="T498" s="40"/>
      <c r="U498" s="41"/>
      <c r="V498" s="41"/>
      <c r="W498" s="41"/>
      <c r="X498" s="36"/>
      <c r="Y498" s="36"/>
      <c r="Z498" s="36"/>
      <c r="AA498" s="36"/>
      <c r="AB498" s="36"/>
      <c r="AC498" s="36"/>
    </row>
    <row r="499" spans="17:29" x14ac:dyDescent="0.2">
      <c r="Q499" s="36"/>
      <c r="R499" s="40"/>
      <c r="S499" s="40"/>
      <c r="T499" s="40"/>
      <c r="U499" s="41"/>
      <c r="V499" s="41"/>
      <c r="W499" s="41"/>
      <c r="X499" s="36"/>
      <c r="Y499" s="36"/>
      <c r="Z499" s="36"/>
      <c r="AA499" s="36"/>
      <c r="AB499" s="36"/>
      <c r="AC499" s="36"/>
    </row>
    <row r="500" spans="17:29" x14ac:dyDescent="0.2">
      <c r="Q500" s="36"/>
      <c r="R500" s="40"/>
      <c r="S500" s="40"/>
      <c r="T500" s="40"/>
      <c r="U500" s="41"/>
      <c r="V500" s="41"/>
      <c r="W500" s="41"/>
      <c r="X500" s="36"/>
      <c r="Y500" s="36"/>
      <c r="Z500" s="36"/>
      <c r="AA500" s="36"/>
      <c r="AB500" s="36"/>
      <c r="AC500" s="36"/>
    </row>
    <row r="501" spans="17:29" x14ac:dyDescent="0.2">
      <c r="Q501" s="36"/>
      <c r="R501" s="40"/>
      <c r="S501" s="40"/>
      <c r="T501" s="40"/>
      <c r="U501" s="41"/>
      <c r="V501" s="41"/>
      <c r="W501" s="41"/>
      <c r="X501" s="36"/>
      <c r="Y501" s="36"/>
      <c r="Z501" s="36"/>
      <c r="AA501" s="36"/>
      <c r="AB501" s="36"/>
      <c r="AC501" s="36"/>
    </row>
    <row r="502" spans="17:29" x14ac:dyDescent="0.2">
      <c r="Q502" s="36"/>
      <c r="R502" s="40"/>
      <c r="S502" s="40"/>
      <c r="T502" s="40"/>
      <c r="U502" s="41"/>
      <c r="V502" s="41"/>
      <c r="W502" s="41"/>
      <c r="X502" s="36"/>
      <c r="Y502" s="36"/>
      <c r="Z502" s="36"/>
      <c r="AA502" s="36"/>
      <c r="AB502" s="36"/>
      <c r="AC502" s="36"/>
    </row>
    <row r="503" spans="17:29" x14ac:dyDescent="0.2">
      <c r="Q503" s="36"/>
      <c r="R503" s="40"/>
      <c r="S503" s="40"/>
      <c r="T503" s="40"/>
      <c r="U503" s="41"/>
      <c r="V503" s="41"/>
      <c r="W503" s="41"/>
      <c r="X503" s="36"/>
      <c r="Y503" s="36"/>
      <c r="Z503" s="36"/>
      <c r="AA503" s="36"/>
      <c r="AB503" s="36"/>
      <c r="AC503" s="36"/>
    </row>
    <row r="504" spans="17:29" x14ac:dyDescent="0.2">
      <c r="Q504" s="36"/>
      <c r="R504" s="40"/>
      <c r="S504" s="40"/>
      <c r="T504" s="40"/>
      <c r="U504" s="41"/>
      <c r="V504" s="41"/>
      <c r="W504" s="41"/>
      <c r="X504" s="36"/>
      <c r="Y504" s="36"/>
      <c r="Z504" s="36"/>
      <c r="AA504" s="36"/>
      <c r="AB504" s="36"/>
      <c r="AC504" s="36"/>
    </row>
    <row r="505" spans="17:29" x14ac:dyDescent="0.2">
      <c r="Q505" s="36"/>
      <c r="R505" s="40"/>
      <c r="S505" s="40"/>
      <c r="T505" s="40"/>
      <c r="U505" s="41"/>
      <c r="V505" s="41"/>
      <c r="W505" s="41"/>
      <c r="X505" s="36"/>
      <c r="Y505" s="36"/>
      <c r="Z505" s="36"/>
      <c r="AA505" s="36"/>
      <c r="AB505" s="36"/>
      <c r="AC505" s="36"/>
    </row>
    <row r="506" spans="17:29" x14ac:dyDescent="0.2">
      <c r="Q506" s="36"/>
      <c r="R506" s="40"/>
      <c r="S506" s="40"/>
      <c r="T506" s="40"/>
      <c r="U506" s="41"/>
      <c r="V506" s="41"/>
      <c r="W506" s="41"/>
      <c r="X506" s="36"/>
      <c r="Y506" s="36"/>
      <c r="Z506" s="36"/>
      <c r="AA506" s="36"/>
      <c r="AB506" s="36"/>
      <c r="AC506" s="36"/>
    </row>
    <row r="507" spans="17:29" x14ac:dyDescent="0.2">
      <c r="Q507" s="36"/>
      <c r="R507" s="40"/>
      <c r="S507" s="40"/>
      <c r="T507" s="40"/>
      <c r="U507" s="41"/>
      <c r="V507" s="41"/>
      <c r="W507" s="41"/>
      <c r="X507" s="36"/>
      <c r="Y507" s="36"/>
      <c r="Z507" s="36"/>
      <c r="AA507" s="36"/>
      <c r="AB507" s="36"/>
      <c r="AC507" s="36"/>
    </row>
    <row r="508" spans="17:29" x14ac:dyDescent="0.2">
      <c r="Q508" s="36"/>
      <c r="R508" s="40"/>
      <c r="S508" s="40"/>
      <c r="T508" s="40"/>
      <c r="U508" s="41"/>
      <c r="V508" s="41"/>
      <c r="W508" s="41"/>
      <c r="X508" s="36"/>
      <c r="Y508" s="36"/>
      <c r="Z508" s="36"/>
      <c r="AA508" s="36"/>
      <c r="AB508" s="36"/>
      <c r="AC508" s="36"/>
    </row>
    <row r="509" spans="17:29" x14ac:dyDescent="0.2">
      <c r="Q509" s="36"/>
      <c r="R509" s="40"/>
      <c r="S509" s="40"/>
      <c r="T509" s="40"/>
      <c r="U509" s="41"/>
      <c r="V509" s="41"/>
      <c r="W509" s="41"/>
      <c r="X509" s="36"/>
      <c r="Y509" s="36"/>
      <c r="Z509" s="36"/>
      <c r="AA509" s="36"/>
      <c r="AB509" s="36"/>
      <c r="AC509" s="36"/>
    </row>
    <row r="510" spans="17:29" x14ac:dyDescent="0.2">
      <c r="Q510" s="36"/>
      <c r="R510" s="40"/>
      <c r="S510" s="40"/>
      <c r="T510" s="40"/>
      <c r="U510" s="41"/>
      <c r="V510" s="41"/>
      <c r="W510" s="41"/>
      <c r="X510" s="36"/>
      <c r="Y510" s="36"/>
      <c r="Z510" s="36"/>
      <c r="AA510" s="36"/>
      <c r="AB510" s="36"/>
      <c r="AC510" s="36"/>
    </row>
    <row r="511" spans="17:29" x14ac:dyDescent="0.2">
      <c r="Q511" s="36"/>
      <c r="R511" s="40"/>
      <c r="S511" s="40"/>
      <c r="T511" s="40"/>
      <c r="U511" s="41"/>
      <c r="V511" s="41"/>
      <c r="W511" s="41"/>
      <c r="X511" s="36"/>
      <c r="Y511" s="36"/>
      <c r="Z511" s="36"/>
      <c r="AA511" s="36"/>
      <c r="AB511" s="36"/>
      <c r="AC511" s="36"/>
    </row>
    <row r="512" spans="17:29" x14ac:dyDescent="0.2">
      <c r="Q512" s="36"/>
      <c r="R512" s="40"/>
      <c r="S512" s="40"/>
      <c r="T512" s="40"/>
      <c r="U512" s="41"/>
      <c r="V512" s="41"/>
      <c r="W512" s="41"/>
      <c r="X512" s="36"/>
      <c r="Y512" s="36"/>
      <c r="Z512" s="36"/>
      <c r="AA512" s="36"/>
      <c r="AB512" s="36"/>
      <c r="AC512" s="36"/>
    </row>
    <row r="513" spans="17:29" x14ac:dyDescent="0.2">
      <c r="Q513" s="36"/>
      <c r="R513" s="40"/>
      <c r="S513" s="40"/>
      <c r="T513" s="40"/>
      <c r="U513" s="41"/>
      <c r="V513" s="41"/>
      <c r="W513" s="41"/>
      <c r="X513" s="36"/>
      <c r="Y513" s="36"/>
      <c r="Z513" s="36"/>
      <c r="AA513" s="36"/>
      <c r="AB513" s="36"/>
      <c r="AC513" s="36"/>
    </row>
    <row r="514" spans="17:29" x14ac:dyDescent="0.2">
      <c r="Q514" s="36"/>
      <c r="R514" s="40"/>
      <c r="S514" s="40"/>
      <c r="T514" s="40"/>
      <c r="U514" s="41"/>
      <c r="V514" s="41"/>
      <c r="W514" s="41"/>
      <c r="X514" s="36"/>
      <c r="Y514" s="36"/>
      <c r="Z514" s="36"/>
      <c r="AA514" s="36"/>
      <c r="AB514" s="36"/>
      <c r="AC514" s="36"/>
    </row>
    <row r="515" spans="17:29" x14ac:dyDescent="0.2">
      <c r="Q515" s="36"/>
      <c r="R515" s="40"/>
      <c r="S515" s="40"/>
      <c r="T515" s="40"/>
      <c r="U515" s="41"/>
      <c r="V515" s="41"/>
      <c r="W515" s="41"/>
      <c r="X515" s="36"/>
      <c r="Y515" s="36"/>
      <c r="Z515" s="36"/>
      <c r="AA515" s="36"/>
      <c r="AB515" s="36"/>
      <c r="AC515" s="36"/>
    </row>
    <row r="516" spans="17:29" x14ac:dyDescent="0.2">
      <c r="Q516" s="36"/>
      <c r="R516" s="40"/>
      <c r="S516" s="40"/>
      <c r="T516" s="40"/>
      <c r="U516" s="41"/>
      <c r="V516" s="41"/>
      <c r="W516" s="41"/>
      <c r="X516" s="36"/>
      <c r="Y516" s="36"/>
      <c r="Z516" s="36"/>
      <c r="AA516" s="36"/>
      <c r="AB516" s="36"/>
      <c r="AC516" s="36"/>
    </row>
    <row r="517" spans="17:29" x14ac:dyDescent="0.2">
      <c r="Q517" s="36"/>
      <c r="R517" s="40"/>
      <c r="S517" s="40"/>
      <c r="T517" s="40"/>
      <c r="U517" s="41"/>
      <c r="V517" s="41"/>
      <c r="W517" s="41"/>
      <c r="X517" s="36"/>
      <c r="Y517" s="36"/>
      <c r="Z517" s="36"/>
      <c r="AA517" s="36"/>
      <c r="AB517" s="36"/>
      <c r="AC517" s="36"/>
    </row>
    <row r="518" spans="17:29" x14ac:dyDescent="0.2">
      <c r="Q518" s="36"/>
      <c r="R518" s="40"/>
      <c r="S518" s="40"/>
      <c r="T518" s="40"/>
      <c r="U518" s="41"/>
      <c r="V518" s="41"/>
      <c r="W518" s="41"/>
      <c r="X518" s="36"/>
      <c r="Y518" s="36"/>
      <c r="Z518" s="36"/>
      <c r="AA518" s="36"/>
      <c r="AB518" s="36"/>
      <c r="AC518" s="36"/>
    </row>
    <row r="519" spans="17:29" x14ac:dyDescent="0.2">
      <c r="Q519" s="36"/>
      <c r="R519" s="40"/>
      <c r="S519" s="40"/>
      <c r="T519" s="40"/>
      <c r="U519" s="41"/>
      <c r="V519" s="41"/>
      <c r="W519" s="41"/>
      <c r="X519" s="36"/>
      <c r="Y519" s="36"/>
      <c r="Z519" s="36"/>
      <c r="AA519" s="36"/>
      <c r="AB519" s="36"/>
      <c r="AC519" s="36"/>
    </row>
    <row r="520" spans="17:29" x14ac:dyDescent="0.2">
      <c r="Q520" s="36"/>
      <c r="R520" s="40"/>
      <c r="S520" s="40"/>
      <c r="T520" s="40"/>
      <c r="U520" s="41"/>
      <c r="V520" s="41"/>
      <c r="W520" s="41"/>
      <c r="X520" s="36"/>
      <c r="Y520" s="36"/>
      <c r="Z520" s="36"/>
      <c r="AA520" s="36"/>
      <c r="AB520" s="36"/>
      <c r="AC520" s="36"/>
    </row>
    <row r="521" spans="17:29" x14ac:dyDescent="0.2">
      <c r="Q521" s="36"/>
      <c r="R521" s="40"/>
      <c r="S521" s="40"/>
      <c r="T521" s="40"/>
      <c r="U521" s="41"/>
      <c r="V521" s="41"/>
      <c r="W521" s="41"/>
      <c r="X521" s="36"/>
      <c r="Y521" s="36"/>
      <c r="Z521" s="36"/>
      <c r="AA521" s="36"/>
      <c r="AB521" s="36"/>
      <c r="AC521" s="36"/>
    </row>
    <row r="522" spans="17:29" x14ac:dyDescent="0.2">
      <c r="Q522" s="36"/>
      <c r="R522" s="40"/>
      <c r="S522" s="40"/>
      <c r="T522" s="40"/>
      <c r="U522" s="41"/>
      <c r="V522" s="41"/>
      <c r="W522" s="41"/>
      <c r="X522" s="36"/>
      <c r="Y522" s="36"/>
      <c r="Z522" s="36"/>
      <c r="AA522" s="36"/>
      <c r="AB522" s="36"/>
      <c r="AC522" s="36"/>
    </row>
    <row r="523" spans="17:29" x14ac:dyDescent="0.2">
      <c r="Q523" s="36"/>
      <c r="R523" s="40"/>
      <c r="S523" s="40"/>
      <c r="T523" s="40"/>
      <c r="U523" s="41"/>
      <c r="V523" s="41"/>
      <c r="W523" s="41"/>
      <c r="X523" s="36"/>
      <c r="Y523" s="36"/>
      <c r="Z523" s="36"/>
      <c r="AA523" s="36"/>
      <c r="AB523" s="36"/>
      <c r="AC523" s="36"/>
    </row>
    <row r="524" spans="17:29" x14ac:dyDescent="0.2">
      <c r="Q524" s="36"/>
      <c r="R524" s="40"/>
      <c r="S524" s="40"/>
      <c r="T524" s="40"/>
      <c r="U524" s="41"/>
      <c r="V524" s="41"/>
      <c r="W524" s="41"/>
      <c r="X524" s="36"/>
      <c r="Y524" s="36"/>
      <c r="Z524" s="36"/>
      <c r="AA524" s="36"/>
      <c r="AB524" s="36"/>
      <c r="AC524" s="36"/>
    </row>
    <row r="525" spans="17:29" x14ac:dyDescent="0.2">
      <c r="Q525" s="36"/>
      <c r="R525" s="40"/>
      <c r="S525" s="40"/>
      <c r="T525" s="40"/>
      <c r="U525" s="41"/>
      <c r="V525" s="41"/>
      <c r="W525" s="41"/>
      <c r="X525" s="36"/>
      <c r="Y525" s="36"/>
      <c r="Z525" s="36"/>
      <c r="AA525" s="36"/>
      <c r="AB525" s="36"/>
      <c r="AC525" s="36"/>
    </row>
    <row r="526" spans="17:29" x14ac:dyDescent="0.2">
      <c r="Q526" s="36"/>
      <c r="R526" s="40"/>
      <c r="S526" s="40"/>
      <c r="T526" s="40"/>
      <c r="U526" s="41"/>
      <c r="V526" s="41"/>
      <c r="W526" s="41"/>
      <c r="X526" s="36"/>
      <c r="Y526" s="36"/>
      <c r="Z526" s="36"/>
      <c r="AA526" s="36"/>
      <c r="AB526" s="36"/>
      <c r="AC526" s="36"/>
    </row>
    <row r="527" spans="17:29" x14ac:dyDescent="0.2">
      <c r="Q527" s="36"/>
      <c r="R527" s="40"/>
      <c r="S527" s="40"/>
      <c r="T527" s="40"/>
      <c r="U527" s="41"/>
      <c r="V527" s="41"/>
      <c r="W527" s="41"/>
      <c r="X527" s="36"/>
      <c r="Y527" s="36"/>
      <c r="Z527" s="36"/>
      <c r="AA527" s="36"/>
      <c r="AB527" s="36"/>
      <c r="AC527" s="36"/>
    </row>
    <row r="528" spans="17:29" x14ac:dyDescent="0.2">
      <c r="Q528" s="36"/>
      <c r="R528" s="40"/>
      <c r="S528" s="40"/>
      <c r="T528" s="40"/>
      <c r="U528" s="41"/>
      <c r="V528" s="41"/>
      <c r="W528" s="41"/>
      <c r="X528" s="36"/>
      <c r="Y528" s="36"/>
      <c r="Z528" s="36"/>
      <c r="AA528" s="36"/>
      <c r="AB528" s="36"/>
      <c r="AC528" s="36"/>
    </row>
    <row r="529" spans="17:29" x14ac:dyDescent="0.2">
      <c r="Q529" s="36"/>
      <c r="R529" s="40"/>
      <c r="S529" s="40"/>
      <c r="T529" s="40"/>
      <c r="U529" s="41"/>
      <c r="V529" s="41"/>
      <c r="W529" s="41"/>
      <c r="X529" s="36"/>
      <c r="Y529" s="36"/>
      <c r="Z529" s="36"/>
      <c r="AA529" s="36"/>
      <c r="AB529" s="36"/>
      <c r="AC529" s="36"/>
    </row>
    <row r="530" spans="17:29" x14ac:dyDescent="0.2">
      <c r="Q530" s="36"/>
      <c r="R530" s="40"/>
      <c r="S530" s="40"/>
      <c r="T530" s="40"/>
      <c r="U530" s="41"/>
      <c r="V530" s="41"/>
      <c r="W530" s="41"/>
      <c r="X530" s="36"/>
      <c r="Y530" s="36"/>
      <c r="Z530" s="36"/>
      <c r="AA530" s="36"/>
      <c r="AB530" s="36"/>
      <c r="AC530" s="36"/>
    </row>
    <row r="531" spans="17:29" x14ac:dyDescent="0.2">
      <c r="Q531" s="36"/>
      <c r="R531" s="40"/>
      <c r="S531" s="40"/>
      <c r="T531" s="40"/>
      <c r="U531" s="41"/>
      <c r="V531" s="41"/>
      <c r="W531" s="41"/>
      <c r="X531" s="36"/>
      <c r="Y531" s="36"/>
      <c r="Z531" s="36"/>
      <c r="AA531" s="36"/>
      <c r="AB531" s="36"/>
      <c r="AC531" s="36"/>
    </row>
    <row r="532" spans="17:29" x14ac:dyDescent="0.2">
      <c r="Q532" s="36"/>
      <c r="R532" s="40"/>
      <c r="S532" s="40"/>
      <c r="T532" s="40"/>
      <c r="U532" s="41"/>
      <c r="V532" s="41"/>
      <c r="W532" s="41"/>
      <c r="X532" s="36"/>
      <c r="Y532" s="36"/>
      <c r="Z532" s="36"/>
      <c r="AA532" s="36"/>
      <c r="AB532" s="36"/>
      <c r="AC532" s="36"/>
    </row>
    <row r="533" spans="17:29" x14ac:dyDescent="0.2">
      <c r="Q533" s="36"/>
      <c r="R533" s="40"/>
      <c r="S533" s="40"/>
      <c r="T533" s="40"/>
      <c r="U533" s="41"/>
      <c r="V533" s="41"/>
      <c r="W533" s="41"/>
      <c r="X533" s="36"/>
      <c r="Y533" s="36"/>
      <c r="Z533" s="36"/>
      <c r="AA533" s="36"/>
      <c r="AB533" s="36"/>
      <c r="AC533" s="36"/>
    </row>
    <row r="534" spans="17:29" x14ac:dyDescent="0.2">
      <c r="Q534" s="36"/>
      <c r="R534" s="40"/>
      <c r="S534" s="40"/>
      <c r="T534" s="40"/>
      <c r="U534" s="41"/>
      <c r="V534" s="41"/>
      <c r="W534" s="41"/>
      <c r="X534" s="36"/>
      <c r="Y534" s="36"/>
      <c r="Z534" s="36"/>
      <c r="AA534" s="36"/>
      <c r="AB534" s="36"/>
      <c r="AC534" s="36"/>
    </row>
    <row r="535" spans="17:29" x14ac:dyDescent="0.2">
      <c r="Q535" s="36"/>
      <c r="R535" s="40"/>
      <c r="S535" s="40"/>
      <c r="T535" s="40"/>
      <c r="U535" s="41"/>
      <c r="V535" s="41"/>
      <c r="W535" s="41"/>
      <c r="X535" s="36"/>
      <c r="Y535" s="36"/>
      <c r="Z535" s="36"/>
      <c r="AA535" s="36"/>
      <c r="AB535" s="36"/>
      <c r="AC535" s="36"/>
    </row>
    <row r="536" spans="17:29" x14ac:dyDescent="0.2">
      <c r="Q536" s="36"/>
      <c r="R536" s="40"/>
      <c r="S536" s="40"/>
      <c r="T536" s="40"/>
      <c r="U536" s="41"/>
      <c r="V536" s="41"/>
      <c r="W536" s="41"/>
      <c r="X536" s="36"/>
      <c r="Y536" s="36"/>
      <c r="Z536" s="36"/>
      <c r="AA536" s="36"/>
      <c r="AB536" s="36"/>
      <c r="AC536" s="36"/>
    </row>
    <row r="537" spans="17:29" x14ac:dyDescent="0.2">
      <c r="Q537" s="36"/>
      <c r="R537" s="40"/>
      <c r="S537" s="40"/>
      <c r="T537" s="40"/>
      <c r="U537" s="41"/>
      <c r="V537" s="41"/>
      <c r="W537" s="41"/>
      <c r="X537" s="36"/>
      <c r="Y537" s="36"/>
      <c r="Z537" s="36"/>
      <c r="AA537" s="36"/>
      <c r="AB537" s="36"/>
      <c r="AC537" s="36"/>
    </row>
    <row r="538" spans="17:29" x14ac:dyDescent="0.2">
      <c r="Q538" s="36"/>
      <c r="R538" s="40"/>
      <c r="S538" s="40"/>
      <c r="T538" s="40"/>
      <c r="U538" s="41"/>
      <c r="V538" s="41"/>
      <c r="W538" s="41"/>
      <c r="X538" s="36"/>
      <c r="Y538" s="36"/>
      <c r="Z538" s="36"/>
      <c r="AA538" s="36"/>
      <c r="AB538" s="36"/>
      <c r="AC538" s="36"/>
    </row>
    <row r="539" spans="17:29" x14ac:dyDescent="0.2">
      <c r="Q539" s="36"/>
      <c r="R539" s="40"/>
      <c r="S539" s="40"/>
      <c r="T539" s="40"/>
      <c r="U539" s="41"/>
      <c r="V539" s="41"/>
      <c r="W539" s="41"/>
      <c r="X539" s="36"/>
      <c r="Y539" s="36"/>
      <c r="Z539" s="36"/>
      <c r="AA539" s="36"/>
      <c r="AB539" s="36"/>
      <c r="AC539" s="36"/>
    </row>
    <row r="540" spans="17:29" x14ac:dyDescent="0.2">
      <c r="Q540" s="36"/>
      <c r="R540" s="40"/>
      <c r="S540" s="40"/>
      <c r="T540" s="40"/>
      <c r="U540" s="41"/>
      <c r="V540" s="41"/>
      <c r="W540" s="41"/>
      <c r="X540" s="36"/>
      <c r="Y540" s="36"/>
      <c r="Z540" s="36"/>
      <c r="AA540" s="36"/>
      <c r="AB540" s="36"/>
      <c r="AC540" s="36"/>
    </row>
    <row r="541" spans="17:29" x14ac:dyDescent="0.2">
      <c r="Q541" s="36"/>
      <c r="R541" s="40"/>
      <c r="S541" s="40"/>
      <c r="T541" s="40"/>
      <c r="U541" s="41"/>
      <c r="V541" s="41"/>
      <c r="W541" s="41"/>
      <c r="X541" s="36"/>
      <c r="Y541" s="36"/>
      <c r="Z541" s="36"/>
      <c r="AA541" s="36"/>
      <c r="AB541" s="36"/>
      <c r="AC541" s="36"/>
    </row>
    <row r="542" spans="17:29" x14ac:dyDescent="0.2">
      <c r="Q542" s="36"/>
      <c r="R542" s="40"/>
      <c r="S542" s="40"/>
      <c r="T542" s="40"/>
      <c r="U542" s="41"/>
      <c r="V542" s="41"/>
      <c r="W542" s="41"/>
      <c r="X542" s="36"/>
      <c r="Y542" s="36"/>
      <c r="Z542" s="36"/>
      <c r="AA542" s="36"/>
      <c r="AB542" s="36"/>
      <c r="AC542" s="36"/>
    </row>
    <row r="543" spans="17:29" x14ac:dyDescent="0.2">
      <c r="Q543" s="36"/>
      <c r="R543" s="40"/>
      <c r="S543" s="40"/>
      <c r="T543" s="40"/>
      <c r="U543" s="41"/>
      <c r="V543" s="41"/>
      <c r="W543" s="41"/>
      <c r="X543" s="36"/>
      <c r="Y543" s="36"/>
      <c r="Z543" s="36"/>
      <c r="AA543" s="36"/>
      <c r="AB543" s="36"/>
      <c r="AC543" s="36"/>
    </row>
    <row r="544" spans="17:29" x14ac:dyDescent="0.2">
      <c r="Q544" s="36"/>
      <c r="R544" s="40"/>
      <c r="S544" s="40"/>
      <c r="T544" s="40"/>
      <c r="U544" s="41"/>
      <c r="V544" s="41"/>
      <c r="W544" s="41"/>
      <c r="X544" s="36"/>
      <c r="Y544" s="36"/>
      <c r="Z544" s="36"/>
      <c r="AA544" s="36"/>
      <c r="AB544" s="36"/>
      <c r="AC544" s="36"/>
    </row>
    <row r="545" spans="17:29" x14ac:dyDescent="0.2">
      <c r="Q545" s="36"/>
      <c r="R545" s="40"/>
      <c r="S545" s="40"/>
      <c r="T545" s="40"/>
      <c r="U545" s="41"/>
      <c r="V545" s="41"/>
      <c r="W545" s="41"/>
      <c r="X545" s="36"/>
      <c r="Y545" s="36"/>
      <c r="Z545" s="36"/>
      <c r="AA545" s="36"/>
      <c r="AB545" s="36"/>
      <c r="AC545" s="36"/>
    </row>
    <row r="546" spans="17:29" x14ac:dyDescent="0.2">
      <c r="Q546" s="36"/>
      <c r="R546" s="40"/>
      <c r="S546" s="40"/>
      <c r="T546" s="40"/>
      <c r="U546" s="41"/>
      <c r="V546" s="41"/>
      <c r="W546" s="41"/>
      <c r="X546" s="36"/>
      <c r="Y546" s="36"/>
      <c r="Z546" s="36"/>
      <c r="AA546" s="36"/>
      <c r="AB546" s="36"/>
      <c r="AC546" s="36"/>
    </row>
    <row r="547" spans="17:29" x14ac:dyDescent="0.2">
      <c r="Q547" s="36"/>
      <c r="R547" s="40"/>
      <c r="S547" s="40"/>
      <c r="T547" s="40"/>
      <c r="U547" s="41"/>
      <c r="V547" s="41"/>
      <c r="W547" s="41"/>
      <c r="X547" s="36"/>
      <c r="Y547" s="36"/>
      <c r="Z547" s="36"/>
      <c r="AA547" s="36"/>
      <c r="AB547" s="36"/>
      <c r="AC547" s="36"/>
    </row>
    <row r="548" spans="17:29" x14ac:dyDescent="0.2">
      <c r="Q548" s="36"/>
      <c r="R548" s="40"/>
      <c r="S548" s="40"/>
      <c r="T548" s="40"/>
      <c r="U548" s="41"/>
      <c r="V548" s="41"/>
      <c r="W548" s="41"/>
      <c r="X548" s="36"/>
      <c r="Y548" s="36"/>
      <c r="Z548" s="36"/>
      <c r="AA548" s="36"/>
      <c r="AB548" s="36"/>
      <c r="AC548" s="36"/>
    </row>
    <row r="549" spans="17:29" x14ac:dyDescent="0.2">
      <c r="Q549" s="36"/>
      <c r="R549" s="40"/>
      <c r="S549" s="40"/>
      <c r="T549" s="40"/>
      <c r="U549" s="41"/>
      <c r="V549" s="41"/>
      <c r="W549" s="41"/>
      <c r="X549" s="36"/>
      <c r="Y549" s="36"/>
      <c r="Z549" s="36"/>
      <c r="AA549" s="36"/>
      <c r="AB549" s="36"/>
      <c r="AC549" s="36"/>
    </row>
    <row r="550" spans="17:29" x14ac:dyDescent="0.2">
      <c r="Q550" s="36"/>
      <c r="R550" s="40"/>
      <c r="S550" s="40"/>
      <c r="T550" s="40"/>
      <c r="U550" s="41"/>
      <c r="V550" s="41"/>
      <c r="W550" s="41"/>
      <c r="X550" s="36"/>
      <c r="Y550" s="36"/>
      <c r="Z550" s="36"/>
      <c r="AA550" s="36"/>
      <c r="AB550" s="36"/>
      <c r="AC550" s="36"/>
    </row>
    <row r="551" spans="17:29" x14ac:dyDescent="0.2">
      <c r="Q551" s="36"/>
      <c r="R551" s="40"/>
      <c r="S551" s="40"/>
      <c r="T551" s="40"/>
      <c r="U551" s="41"/>
      <c r="V551" s="41"/>
      <c r="W551" s="41"/>
      <c r="X551" s="36"/>
      <c r="Y551" s="36"/>
      <c r="Z551" s="36"/>
      <c r="AA551" s="36"/>
      <c r="AB551" s="36"/>
      <c r="AC551" s="36"/>
    </row>
    <row r="552" spans="17:29" x14ac:dyDescent="0.2">
      <c r="Q552" s="36"/>
      <c r="R552" s="40"/>
      <c r="S552" s="40"/>
      <c r="T552" s="40"/>
      <c r="U552" s="41"/>
      <c r="V552" s="41"/>
      <c r="W552" s="41"/>
      <c r="X552" s="36"/>
      <c r="Y552" s="36"/>
      <c r="Z552" s="36"/>
      <c r="AA552" s="36"/>
      <c r="AB552" s="36"/>
      <c r="AC552" s="36"/>
    </row>
    <row r="553" spans="17:29" x14ac:dyDescent="0.2">
      <c r="Q553" s="36"/>
      <c r="R553" s="40"/>
      <c r="S553" s="40"/>
      <c r="T553" s="40"/>
      <c r="U553" s="41"/>
      <c r="V553" s="41"/>
      <c r="W553" s="41"/>
      <c r="X553" s="36"/>
      <c r="Y553" s="36"/>
      <c r="Z553" s="36"/>
      <c r="AA553" s="36"/>
      <c r="AB553" s="36"/>
      <c r="AC553" s="36"/>
    </row>
    <row r="554" spans="17:29" x14ac:dyDescent="0.2">
      <c r="Q554" s="36"/>
      <c r="R554" s="40"/>
      <c r="S554" s="40"/>
      <c r="T554" s="40"/>
      <c r="U554" s="41"/>
      <c r="V554" s="41"/>
      <c r="W554" s="41"/>
      <c r="X554" s="36"/>
      <c r="Y554" s="36"/>
      <c r="Z554" s="36"/>
      <c r="AA554" s="36"/>
      <c r="AB554" s="36"/>
      <c r="AC554" s="36"/>
    </row>
    <row r="555" spans="17:29" x14ac:dyDescent="0.2">
      <c r="Q555" s="36"/>
      <c r="R555" s="40"/>
      <c r="S555" s="40"/>
      <c r="T555" s="40"/>
      <c r="U555" s="41"/>
      <c r="V555" s="41"/>
      <c r="W555" s="41"/>
      <c r="X555" s="36"/>
      <c r="Y555" s="36"/>
      <c r="Z555" s="36"/>
      <c r="AA555" s="36"/>
      <c r="AB555" s="36"/>
      <c r="AC555" s="36"/>
    </row>
    <row r="556" spans="17:29" x14ac:dyDescent="0.2">
      <c r="Q556" s="36"/>
      <c r="R556" s="40"/>
      <c r="S556" s="40"/>
      <c r="T556" s="40"/>
      <c r="U556" s="41"/>
      <c r="V556" s="41"/>
      <c r="W556" s="41"/>
      <c r="X556" s="36"/>
      <c r="Y556" s="36"/>
      <c r="Z556" s="36"/>
      <c r="AA556" s="36"/>
      <c r="AB556" s="36"/>
      <c r="AC556" s="36"/>
    </row>
    <row r="557" spans="17:29" x14ac:dyDescent="0.2">
      <c r="Q557" s="36"/>
      <c r="R557" s="40"/>
      <c r="S557" s="40"/>
      <c r="T557" s="40"/>
      <c r="U557" s="41"/>
      <c r="V557" s="41"/>
      <c r="W557" s="41"/>
      <c r="X557" s="36"/>
      <c r="Y557" s="36"/>
      <c r="Z557" s="36"/>
      <c r="AA557" s="36"/>
      <c r="AB557" s="36"/>
      <c r="AC557" s="36"/>
    </row>
    <row r="558" spans="17:29" x14ac:dyDescent="0.2">
      <c r="Q558" s="36"/>
      <c r="R558" s="40"/>
      <c r="S558" s="40"/>
      <c r="T558" s="40"/>
      <c r="U558" s="41"/>
      <c r="V558" s="41"/>
      <c r="W558" s="41"/>
      <c r="X558" s="36"/>
      <c r="Y558" s="36"/>
      <c r="Z558" s="36"/>
      <c r="AA558" s="36"/>
      <c r="AB558" s="36"/>
      <c r="AC558" s="36"/>
    </row>
    <row r="559" spans="17:29" x14ac:dyDescent="0.2">
      <c r="Q559" s="36"/>
      <c r="R559" s="40"/>
      <c r="S559" s="40"/>
      <c r="T559" s="40"/>
      <c r="U559" s="41"/>
      <c r="V559" s="41"/>
      <c r="W559" s="41"/>
      <c r="X559" s="36"/>
      <c r="Y559" s="36"/>
      <c r="Z559" s="36"/>
      <c r="AA559" s="36"/>
      <c r="AB559" s="36"/>
      <c r="AC559" s="36"/>
    </row>
    <row r="560" spans="17:29" x14ac:dyDescent="0.2">
      <c r="Q560" s="36"/>
      <c r="R560" s="40"/>
      <c r="S560" s="40"/>
      <c r="T560" s="40"/>
      <c r="U560" s="41"/>
      <c r="V560" s="41"/>
      <c r="W560" s="41"/>
      <c r="X560" s="36"/>
      <c r="Y560" s="36"/>
      <c r="Z560" s="36"/>
      <c r="AA560" s="36"/>
      <c r="AB560" s="36"/>
      <c r="AC560" s="36"/>
    </row>
    <row r="561" spans="17:29" x14ac:dyDescent="0.2">
      <c r="Q561" s="36"/>
      <c r="R561" s="40"/>
      <c r="S561" s="40"/>
      <c r="T561" s="40"/>
      <c r="U561" s="41"/>
      <c r="V561" s="41"/>
      <c r="W561" s="41"/>
      <c r="X561" s="36"/>
      <c r="Y561" s="36"/>
      <c r="Z561" s="36"/>
      <c r="AA561" s="36"/>
      <c r="AB561" s="36"/>
      <c r="AC561" s="36"/>
    </row>
    <row r="562" spans="17:29" x14ac:dyDescent="0.2">
      <c r="Q562" s="36"/>
      <c r="R562" s="40"/>
      <c r="S562" s="40"/>
      <c r="T562" s="40"/>
      <c r="U562" s="41"/>
      <c r="V562" s="41"/>
      <c r="W562" s="41"/>
      <c r="X562" s="36"/>
      <c r="Y562" s="36"/>
      <c r="Z562" s="36"/>
      <c r="AA562" s="36"/>
      <c r="AB562" s="36"/>
      <c r="AC562" s="36"/>
    </row>
    <row r="563" spans="17:29" x14ac:dyDescent="0.2">
      <c r="Q563" s="36"/>
      <c r="R563" s="40"/>
      <c r="S563" s="40"/>
      <c r="T563" s="40"/>
      <c r="U563" s="41"/>
      <c r="V563" s="41"/>
      <c r="W563" s="41"/>
      <c r="X563" s="36"/>
      <c r="Y563" s="36"/>
      <c r="Z563" s="36"/>
      <c r="AA563" s="36"/>
      <c r="AB563" s="36"/>
      <c r="AC563" s="36"/>
    </row>
    <row r="564" spans="17:29" x14ac:dyDescent="0.2">
      <c r="Q564" s="36"/>
      <c r="R564" s="40"/>
      <c r="S564" s="40"/>
      <c r="T564" s="40"/>
      <c r="U564" s="41"/>
      <c r="V564" s="41"/>
      <c r="W564" s="41"/>
      <c r="X564" s="36"/>
      <c r="Y564" s="36"/>
      <c r="Z564" s="36"/>
      <c r="AA564" s="36"/>
      <c r="AB564" s="36"/>
      <c r="AC564" s="36"/>
    </row>
    <row r="565" spans="17:29" x14ac:dyDescent="0.2">
      <c r="Q565" s="36"/>
      <c r="R565" s="40"/>
      <c r="S565" s="40"/>
      <c r="T565" s="40"/>
      <c r="U565" s="41"/>
      <c r="V565" s="41"/>
      <c r="W565" s="41"/>
      <c r="X565" s="36"/>
      <c r="Y565" s="36"/>
      <c r="Z565" s="36"/>
      <c r="AA565" s="36"/>
      <c r="AB565" s="36"/>
      <c r="AC565" s="36"/>
    </row>
    <row r="566" spans="17:29" x14ac:dyDescent="0.2">
      <c r="Q566" s="36"/>
      <c r="R566" s="40"/>
      <c r="S566" s="40"/>
      <c r="T566" s="40"/>
      <c r="U566" s="41"/>
      <c r="V566" s="41"/>
      <c r="W566" s="41"/>
      <c r="X566" s="36"/>
      <c r="Y566" s="36"/>
      <c r="Z566" s="36"/>
      <c r="AA566" s="36"/>
      <c r="AB566" s="36"/>
      <c r="AC566" s="36"/>
    </row>
    <row r="567" spans="17:29" x14ac:dyDescent="0.2">
      <c r="Q567" s="36"/>
      <c r="R567" s="40"/>
      <c r="S567" s="40"/>
      <c r="T567" s="40"/>
      <c r="U567" s="41"/>
      <c r="V567" s="41"/>
      <c r="W567" s="41"/>
      <c r="X567" s="36"/>
      <c r="Y567" s="36"/>
      <c r="Z567" s="36"/>
      <c r="AA567" s="36"/>
      <c r="AB567" s="36"/>
      <c r="AC567" s="36"/>
    </row>
    <row r="568" spans="17:29" x14ac:dyDescent="0.2">
      <c r="Q568" s="36"/>
      <c r="R568" s="40"/>
      <c r="S568" s="40"/>
      <c r="T568" s="40"/>
      <c r="U568" s="41"/>
      <c r="V568" s="41"/>
      <c r="W568" s="41"/>
      <c r="X568" s="36"/>
      <c r="Y568" s="36"/>
      <c r="Z568" s="36"/>
      <c r="AA568" s="36"/>
      <c r="AB568" s="36"/>
      <c r="AC568" s="36"/>
    </row>
    <row r="569" spans="17:29" x14ac:dyDescent="0.2">
      <c r="Q569" s="36"/>
      <c r="R569" s="40"/>
      <c r="S569" s="40"/>
      <c r="T569" s="40"/>
      <c r="U569" s="41"/>
      <c r="V569" s="41"/>
      <c r="W569" s="41"/>
      <c r="X569" s="36"/>
      <c r="Y569" s="36"/>
      <c r="Z569" s="36"/>
      <c r="AA569" s="36"/>
      <c r="AB569" s="36"/>
      <c r="AC569" s="36"/>
    </row>
    <row r="570" spans="17:29" x14ac:dyDescent="0.2">
      <c r="Q570" s="36"/>
      <c r="R570" s="40"/>
      <c r="S570" s="40"/>
      <c r="T570" s="40"/>
      <c r="U570" s="41"/>
      <c r="V570" s="41"/>
      <c r="W570" s="41"/>
      <c r="X570" s="36"/>
      <c r="Y570" s="36"/>
      <c r="Z570" s="36"/>
      <c r="AA570" s="36"/>
      <c r="AB570" s="36"/>
      <c r="AC570" s="36"/>
    </row>
    <row r="571" spans="17:29" x14ac:dyDescent="0.2">
      <c r="Q571" s="36"/>
      <c r="R571" s="40"/>
      <c r="S571" s="40"/>
      <c r="T571" s="40"/>
      <c r="U571" s="41"/>
      <c r="V571" s="41"/>
      <c r="W571" s="41"/>
      <c r="X571" s="36"/>
      <c r="Y571" s="36"/>
      <c r="Z571" s="36"/>
      <c r="AA571" s="36"/>
      <c r="AB571" s="36"/>
      <c r="AC571" s="36"/>
    </row>
    <row r="572" spans="17:29" x14ac:dyDescent="0.2">
      <c r="Q572" s="36"/>
      <c r="R572" s="40"/>
      <c r="S572" s="40"/>
      <c r="T572" s="40"/>
      <c r="U572" s="41"/>
      <c r="V572" s="41"/>
      <c r="W572" s="41"/>
      <c r="X572" s="36"/>
      <c r="Y572" s="36"/>
      <c r="Z572" s="36"/>
      <c r="AA572" s="36"/>
      <c r="AB572" s="36"/>
      <c r="AC572" s="36"/>
    </row>
    <row r="573" spans="17:29" x14ac:dyDescent="0.2">
      <c r="Q573" s="36"/>
      <c r="R573" s="40"/>
      <c r="S573" s="40"/>
      <c r="T573" s="40"/>
      <c r="U573" s="41"/>
      <c r="V573" s="41"/>
      <c r="W573" s="41"/>
      <c r="X573" s="36"/>
      <c r="Y573" s="36"/>
      <c r="Z573" s="36"/>
      <c r="AA573" s="36"/>
      <c r="AB573" s="36"/>
      <c r="AC573" s="36"/>
    </row>
    <row r="574" spans="17:29" x14ac:dyDescent="0.2">
      <c r="Q574" s="36"/>
      <c r="R574" s="40"/>
      <c r="S574" s="40"/>
      <c r="T574" s="40"/>
      <c r="U574" s="41"/>
      <c r="V574" s="41"/>
      <c r="W574" s="41"/>
      <c r="X574" s="36"/>
      <c r="Y574" s="36"/>
      <c r="Z574" s="36"/>
      <c r="AA574" s="36"/>
      <c r="AB574" s="36"/>
      <c r="AC574" s="36"/>
    </row>
    <row r="575" spans="17:29" x14ac:dyDescent="0.2">
      <c r="Q575" s="36"/>
      <c r="R575" s="40"/>
      <c r="S575" s="40"/>
      <c r="T575" s="40"/>
      <c r="U575" s="41"/>
      <c r="V575" s="41"/>
      <c r="W575" s="41"/>
      <c r="X575" s="36"/>
      <c r="Y575" s="36"/>
      <c r="Z575" s="36"/>
      <c r="AA575" s="36"/>
      <c r="AB575" s="36"/>
      <c r="AC575" s="36"/>
    </row>
    <row r="576" spans="17:29" x14ac:dyDescent="0.2">
      <c r="Q576" s="36"/>
      <c r="R576" s="40"/>
      <c r="S576" s="40"/>
      <c r="T576" s="40"/>
      <c r="U576" s="41"/>
      <c r="V576" s="41"/>
      <c r="W576" s="41"/>
      <c r="X576" s="36"/>
      <c r="Y576" s="36"/>
      <c r="Z576" s="36"/>
      <c r="AA576" s="36"/>
      <c r="AB576" s="36"/>
      <c r="AC576" s="36"/>
    </row>
    <row r="577" spans="17:29" x14ac:dyDescent="0.2">
      <c r="Q577" s="36"/>
      <c r="R577" s="40"/>
      <c r="S577" s="40"/>
      <c r="T577" s="40"/>
      <c r="U577" s="41"/>
      <c r="V577" s="41"/>
      <c r="W577" s="41"/>
      <c r="X577" s="36"/>
      <c r="Y577" s="36"/>
      <c r="Z577" s="36"/>
      <c r="AA577" s="36"/>
      <c r="AB577" s="36"/>
      <c r="AC577" s="36"/>
    </row>
    <row r="578" spans="17:29" x14ac:dyDescent="0.2">
      <c r="Q578" s="36"/>
      <c r="R578" s="40"/>
      <c r="S578" s="40"/>
      <c r="T578" s="40"/>
      <c r="U578" s="41"/>
      <c r="V578" s="41"/>
      <c r="W578" s="41"/>
      <c r="X578" s="36"/>
      <c r="Y578" s="36"/>
      <c r="Z578" s="36"/>
      <c r="AA578" s="36"/>
      <c r="AB578" s="36"/>
      <c r="AC578" s="36"/>
    </row>
    <row r="579" spans="17:29" x14ac:dyDescent="0.2">
      <c r="Q579" s="36"/>
      <c r="R579" s="40"/>
      <c r="S579" s="40"/>
      <c r="T579" s="40"/>
      <c r="U579" s="41"/>
      <c r="V579" s="41"/>
      <c r="W579" s="41"/>
      <c r="X579" s="36"/>
      <c r="Y579" s="36"/>
      <c r="Z579" s="36"/>
      <c r="AA579" s="36"/>
      <c r="AB579" s="36"/>
      <c r="AC579" s="36"/>
    </row>
    <row r="580" spans="17:29" x14ac:dyDescent="0.2">
      <c r="Q580" s="36"/>
      <c r="R580" s="40"/>
      <c r="S580" s="40"/>
      <c r="T580" s="40"/>
      <c r="U580" s="41"/>
      <c r="V580" s="41"/>
      <c r="W580" s="41"/>
      <c r="X580" s="36"/>
      <c r="Y580" s="36"/>
      <c r="Z580" s="36"/>
      <c r="AA580" s="36"/>
      <c r="AB580" s="36"/>
      <c r="AC580" s="36"/>
    </row>
    <row r="581" spans="17:29" x14ac:dyDescent="0.2">
      <c r="Q581" s="36"/>
      <c r="R581" s="40"/>
      <c r="S581" s="40"/>
      <c r="T581" s="40"/>
      <c r="U581" s="41"/>
      <c r="V581" s="41"/>
      <c r="W581" s="41"/>
      <c r="X581" s="36"/>
      <c r="Y581" s="36"/>
      <c r="Z581" s="36"/>
      <c r="AA581" s="36"/>
      <c r="AB581" s="36"/>
      <c r="AC581" s="36"/>
    </row>
    <row r="582" spans="17:29" x14ac:dyDescent="0.2">
      <c r="Q582" s="36"/>
      <c r="R582" s="40"/>
      <c r="S582" s="40"/>
      <c r="T582" s="40"/>
      <c r="U582" s="41"/>
      <c r="V582" s="41"/>
      <c r="W582" s="41"/>
      <c r="X582" s="36"/>
      <c r="Y582" s="36"/>
      <c r="Z582" s="36"/>
      <c r="AA582" s="36"/>
      <c r="AB582" s="36"/>
      <c r="AC582" s="36"/>
    </row>
    <row r="583" spans="17:29" x14ac:dyDescent="0.2">
      <c r="Q583" s="36"/>
      <c r="R583" s="40"/>
      <c r="S583" s="40"/>
      <c r="T583" s="40"/>
      <c r="U583" s="41"/>
      <c r="V583" s="41"/>
      <c r="W583" s="41"/>
      <c r="X583" s="36"/>
      <c r="Y583" s="36"/>
      <c r="Z583" s="36"/>
      <c r="AA583" s="36"/>
      <c r="AB583" s="36"/>
      <c r="AC583" s="36"/>
    </row>
    <row r="584" spans="17:29" x14ac:dyDescent="0.2">
      <c r="Q584" s="36"/>
      <c r="R584" s="40"/>
      <c r="S584" s="40"/>
      <c r="T584" s="40"/>
      <c r="U584" s="41"/>
      <c r="V584" s="41"/>
      <c r="W584" s="41"/>
      <c r="X584" s="36"/>
      <c r="Y584" s="36"/>
      <c r="Z584" s="36"/>
      <c r="AA584" s="36"/>
      <c r="AB584" s="36"/>
      <c r="AC584" s="36"/>
    </row>
    <row r="585" spans="17:29" x14ac:dyDescent="0.2">
      <c r="Q585" s="36"/>
      <c r="R585" s="40"/>
      <c r="S585" s="40"/>
      <c r="T585" s="40"/>
      <c r="U585" s="41"/>
      <c r="V585" s="41"/>
      <c r="W585" s="41"/>
      <c r="X585" s="36"/>
      <c r="Y585" s="36"/>
      <c r="Z585" s="36"/>
      <c r="AA585" s="36"/>
      <c r="AB585" s="36"/>
      <c r="AC585" s="36"/>
    </row>
    <row r="586" spans="17:29" x14ac:dyDescent="0.2">
      <c r="Q586" s="36"/>
      <c r="R586" s="40"/>
      <c r="S586" s="40"/>
      <c r="T586" s="40"/>
      <c r="U586" s="41"/>
      <c r="V586" s="41"/>
      <c r="W586" s="41"/>
      <c r="X586" s="36"/>
      <c r="Y586" s="36"/>
      <c r="Z586" s="36"/>
      <c r="AA586" s="36"/>
      <c r="AB586" s="36"/>
      <c r="AC586" s="36"/>
    </row>
    <row r="587" spans="17:29" x14ac:dyDescent="0.2">
      <c r="Q587" s="36"/>
      <c r="R587" s="40"/>
      <c r="S587" s="40"/>
      <c r="T587" s="40"/>
      <c r="U587" s="41"/>
      <c r="V587" s="41"/>
      <c r="W587" s="41"/>
      <c r="X587" s="36"/>
      <c r="Y587" s="36"/>
      <c r="Z587" s="36"/>
      <c r="AA587" s="36"/>
      <c r="AB587" s="36"/>
      <c r="AC587" s="36"/>
    </row>
    <row r="588" spans="17:29" x14ac:dyDescent="0.2">
      <c r="Q588" s="36"/>
      <c r="R588" s="40"/>
      <c r="S588" s="40"/>
      <c r="T588" s="40"/>
      <c r="U588" s="41"/>
      <c r="V588" s="41"/>
      <c r="W588" s="41"/>
      <c r="X588" s="36"/>
      <c r="Y588" s="36"/>
      <c r="Z588" s="36"/>
      <c r="AA588" s="36"/>
      <c r="AB588" s="36"/>
      <c r="AC588" s="36"/>
    </row>
    <row r="589" spans="17:29" x14ac:dyDescent="0.2">
      <c r="Q589" s="36"/>
      <c r="R589" s="40"/>
      <c r="S589" s="40"/>
      <c r="T589" s="40"/>
      <c r="U589" s="41"/>
      <c r="V589" s="41"/>
      <c r="W589" s="41"/>
      <c r="X589" s="36"/>
      <c r="Y589" s="36"/>
      <c r="Z589" s="36"/>
      <c r="AA589" s="36"/>
      <c r="AB589" s="36"/>
      <c r="AC589" s="36"/>
    </row>
    <row r="590" spans="17:29" x14ac:dyDescent="0.2">
      <c r="Q590" s="36"/>
      <c r="R590" s="40"/>
      <c r="S590" s="40"/>
      <c r="T590" s="40"/>
      <c r="U590" s="41"/>
      <c r="V590" s="41"/>
      <c r="W590" s="41"/>
      <c r="X590" s="36"/>
      <c r="Y590" s="36"/>
      <c r="Z590" s="36"/>
      <c r="AA590" s="36"/>
      <c r="AB590" s="36"/>
      <c r="AC590" s="36"/>
    </row>
    <row r="591" spans="17:29" x14ac:dyDescent="0.2">
      <c r="Q591" s="36"/>
      <c r="R591" s="40"/>
      <c r="S591" s="40"/>
      <c r="T591" s="40"/>
      <c r="U591" s="41"/>
      <c r="V591" s="41"/>
      <c r="W591" s="41"/>
      <c r="X591" s="36"/>
      <c r="Y591" s="36"/>
      <c r="Z591" s="36"/>
      <c r="AA591" s="36"/>
      <c r="AB591" s="36"/>
      <c r="AC591" s="36"/>
    </row>
    <row r="592" spans="17:29" x14ac:dyDescent="0.2">
      <c r="Q592" s="36"/>
      <c r="R592" s="40"/>
      <c r="S592" s="40"/>
      <c r="T592" s="40"/>
      <c r="U592" s="41"/>
      <c r="V592" s="41"/>
      <c r="W592" s="41"/>
      <c r="X592" s="36"/>
      <c r="Y592" s="36"/>
      <c r="Z592" s="36"/>
      <c r="AA592" s="36"/>
      <c r="AB592" s="36"/>
      <c r="AC592" s="36"/>
    </row>
    <row r="593" spans="17:29" x14ac:dyDescent="0.2">
      <c r="Q593" s="36"/>
      <c r="R593" s="40"/>
      <c r="S593" s="40"/>
      <c r="T593" s="40"/>
      <c r="U593" s="41"/>
      <c r="V593" s="41"/>
      <c r="W593" s="41"/>
      <c r="X593" s="36"/>
      <c r="Y593" s="36"/>
      <c r="Z593" s="36"/>
      <c r="AA593" s="36"/>
      <c r="AB593" s="36"/>
      <c r="AC593" s="36"/>
    </row>
    <row r="594" spans="17:29" x14ac:dyDescent="0.2">
      <c r="Q594" s="36"/>
      <c r="R594" s="40"/>
      <c r="S594" s="40"/>
      <c r="T594" s="40"/>
      <c r="U594" s="41"/>
      <c r="V594" s="41"/>
      <c r="W594" s="41"/>
      <c r="X594" s="36"/>
      <c r="Y594" s="36"/>
      <c r="Z594" s="36"/>
      <c r="AA594" s="36"/>
      <c r="AB594" s="36"/>
      <c r="AC594" s="36"/>
    </row>
    <row r="595" spans="17:29" x14ac:dyDescent="0.2">
      <c r="Q595" s="36"/>
      <c r="R595" s="40"/>
      <c r="S595" s="40"/>
      <c r="T595" s="40"/>
      <c r="U595" s="41"/>
      <c r="V595" s="41"/>
      <c r="W595" s="41"/>
      <c r="X595" s="36"/>
      <c r="Y595" s="36"/>
      <c r="Z595" s="36"/>
      <c r="AA595" s="36"/>
      <c r="AB595" s="36"/>
      <c r="AC595" s="36"/>
    </row>
    <row r="596" spans="17:29" x14ac:dyDescent="0.2">
      <c r="Q596" s="36"/>
      <c r="R596" s="40"/>
      <c r="S596" s="40"/>
      <c r="T596" s="40"/>
      <c r="U596" s="41"/>
      <c r="V596" s="41"/>
      <c r="W596" s="41"/>
      <c r="X596" s="36"/>
      <c r="Y596" s="36"/>
      <c r="Z596" s="36"/>
      <c r="AA596" s="36"/>
      <c r="AB596" s="36"/>
      <c r="AC596" s="36"/>
    </row>
    <row r="597" spans="17:29" x14ac:dyDescent="0.2">
      <c r="Q597" s="36"/>
      <c r="R597" s="40"/>
      <c r="S597" s="40"/>
      <c r="T597" s="40"/>
      <c r="U597" s="41"/>
      <c r="V597" s="41"/>
      <c r="W597" s="41"/>
      <c r="X597" s="36"/>
      <c r="Y597" s="36"/>
      <c r="Z597" s="36"/>
      <c r="AA597" s="36"/>
      <c r="AB597" s="36"/>
      <c r="AC597" s="36"/>
    </row>
    <row r="598" spans="17:29" x14ac:dyDescent="0.2">
      <c r="Q598" s="36"/>
      <c r="R598" s="40"/>
      <c r="S598" s="40"/>
      <c r="T598" s="40"/>
      <c r="U598" s="41"/>
      <c r="V598" s="41"/>
      <c r="W598" s="41"/>
      <c r="X598" s="36"/>
      <c r="Y598" s="36"/>
      <c r="Z598" s="36"/>
      <c r="AA598" s="36"/>
      <c r="AB598" s="36"/>
      <c r="AC598" s="36"/>
    </row>
    <row r="599" spans="17:29" x14ac:dyDescent="0.2">
      <c r="Q599" s="36"/>
      <c r="R599" s="40"/>
      <c r="S599" s="40"/>
      <c r="T599" s="40"/>
      <c r="U599" s="41"/>
      <c r="V599" s="41"/>
      <c r="W599" s="41"/>
      <c r="X599" s="36"/>
      <c r="Y599" s="36"/>
      <c r="Z599" s="36"/>
      <c r="AA599" s="36"/>
      <c r="AB599" s="36"/>
      <c r="AC599" s="36"/>
    </row>
    <row r="600" spans="17:29" x14ac:dyDescent="0.2">
      <c r="Q600" s="36"/>
      <c r="R600" s="40"/>
      <c r="S600" s="40"/>
      <c r="T600" s="40"/>
      <c r="U600" s="41"/>
      <c r="V600" s="41"/>
      <c r="W600" s="41"/>
      <c r="X600" s="36"/>
      <c r="Y600" s="36"/>
      <c r="Z600" s="36"/>
      <c r="AA600" s="36"/>
      <c r="AB600" s="36"/>
      <c r="AC600" s="36"/>
    </row>
    <row r="601" spans="17:29" x14ac:dyDescent="0.2">
      <c r="Q601" s="36"/>
      <c r="R601" s="40"/>
      <c r="S601" s="40"/>
      <c r="T601" s="40"/>
      <c r="U601" s="41"/>
      <c r="V601" s="41"/>
      <c r="W601" s="41"/>
      <c r="X601" s="36"/>
      <c r="Y601" s="36"/>
      <c r="Z601" s="36"/>
      <c r="AA601" s="36"/>
      <c r="AB601" s="36"/>
      <c r="AC601" s="36"/>
    </row>
    <row r="602" spans="17:29" x14ac:dyDescent="0.2">
      <c r="Q602" s="36"/>
      <c r="R602" s="40"/>
      <c r="S602" s="40"/>
      <c r="T602" s="40"/>
      <c r="U602" s="41"/>
      <c r="V602" s="41"/>
      <c r="W602" s="41"/>
      <c r="X602" s="36"/>
      <c r="Y602" s="36"/>
      <c r="Z602" s="36"/>
      <c r="AA602" s="36"/>
      <c r="AB602" s="36"/>
      <c r="AC602" s="36"/>
    </row>
    <row r="603" spans="17:29" x14ac:dyDescent="0.2">
      <c r="Q603" s="36"/>
      <c r="R603" s="40"/>
      <c r="S603" s="40"/>
      <c r="T603" s="40"/>
      <c r="U603" s="41"/>
      <c r="V603" s="41"/>
      <c r="W603" s="41"/>
      <c r="X603" s="36"/>
      <c r="Y603" s="36"/>
      <c r="Z603" s="36"/>
      <c r="AA603" s="36"/>
      <c r="AB603" s="36"/>
      <c r="AC603" s="36"/>
    </row>
    <row r="604" spans="17:29" x14ac:dyDescent="0.2">
      <c r="Q604" s="36"/>
      <c r="R604" s="40"/>
      <c r="S604" s="40"/>
      <c r="T604" s="40"/>
      <c r="U604" s="41"/>
      <c r="V604" s="41"/>
      <c r="W604" s="41"/>
      <c r="X604" s="36"/>
      <c r="Y604" s="36"/>
      <c r="Z604" s="36"/>
      <c r="AA604" s="36"/>
      <c r="AB604" s="36"/>
      <c r="AC604" s="36"/>
    </row>
    <row r="605" spans="17:29" x14ac:dyDescent="0.2">
      <c r="Q605" s="36"/>
      <c r="R605" s="40"/>
      <c r="S605" s="40"/>
      <c r="T605" s="40"/>
      <c r="U605" s="41"/>
      <c r="V605" s="41"/>
      <c r="W605" s="41"/>
      <c r="X605" s="36"/>
      <c r="Y605" s="36"/>
      <c r="Z605" s="36"/>
      <c r="AA605" s="36"/>
      <c r="AB605" s="36"/>
      <c r="AC605" s="36"/>
    </row>
    <row r="606" spans="17:29" x14ac:dyDescent="0.2">
      <c r="Q606" s="36"/>
      <c r="R606" s="40"/>
      <c r="S606" s="40"/>
      <c r="T606" s="40"/>
      <c r="U606" s="41"/>
      <c r="V606" s="41"/>
      <c r="W606" s="41"/>
      <c r="X606" s="36"/>
      <c r="Y606" s="36"/>
      <c r="Z606" s="36"/>
      <c r="AA606" s="36"/>
      <c r="AB606" s="36"/>
      <c r="AC606" s="36"/>
    </row>
    <row r="607" spans="17:29" x14ac:dyDescent="0.2">
      <c r="Q607" s="36"/>
      <c r="R607" s="40"/>
      <c r="S607" s="40"/>
      <c r="T607" s="40"/>
      <c r="U607" s="41"/>
      <c r="V607" s="41"/>
      <c r="W607" s="41"/>
      <c r="X607" s="36"/>
      <c r="Y607" s="36"/>
      <c r="Z607" s="36"/>
      <c r="AA607" s="36"/>
      <c r="AB607" s="36"/>
      <c r="AC607" s="36"/>
    </row>
    <row r="608" spans="17:29" x14ac:dyDescent="0.2">
      <c r="Q608" s="36"/>
      <c r="R608" s="40"/>
      <c r="S608" s="40"/>
      <c r="T608" s="40"/>
      <c r="U608" s="41"/>
      <c r="V608" s="41"/>
      <c r="W608" s="41"/>
      <c r="X608" s="36"/>
      <c r="Y608" s="36"/>
      <c r="Z608" s="36"/>
      <c r="AA608" s="36"/>
      <c r="AB608" s="36"/>
      <c r="AC608" s="36"/>
    </row>
    <row r="609" spans="17:29" x14ac:dyDescent="0.2">
      <c r="Q609" s="36"/>
      <c r="R609" s="40"/>
      <c r="S609" s="40"/>
      <c r="T609" s="40"/>
      <c r="U609" s="41"/>
      <c r="V609" s="41"/>
      <c r="W609" s="41"/>
      <c r="X609" s="36"/>
      <c r="Y609" s="36"/>
      <c r="Z609" s="36"/>
      <c r="AA609" s="36"/>
      <c r="AB609" s="36"/>
      <c r="AC609" s="36"/>
    </row>
    <row r="610" spans="17:29" x14ac:dyDescent="0.2">
      <c r="Q610" s="36"/>
      <c r="R610" s="40"/>
      <c r="S610" s="40"/>
      <c r="T610" s="40"/>
      <c r="U610" s="41"/>
      <c r="V610" s="41"/>
      <c r="W610" s="41"/>
      <c r="X610" s="36"/>
      <c r="Y610" s="36"/>
      <c r="Z610" s="36"/>
      <c r="AA610" s="36"/>
      <c r="AB610" s="36"/>
      <c r="AC610" s="36"/>
    </row>
    <row r="611" spans="17:29" x14ac:dyDescent="0.2">
      <c r="Q611" s="36"/>
      <c r="R611" s="40"/>
      <c r="S611" s="40"/>
      <c r="T611" s="40"/>
      <c r="U611" s="41"/>
      <c r="V611" s="41"/>
      <c r="W611" s="41"/>
      <c r="X611" s="36"/>
      <c r="Y611" s="36"/>
      <c r="Z611" s="36"/>
      <c r="AA611" s="36"/>
      <c r="AB611" s="36"/>
      <c r="AC611" s="36"/>
    </row>
    <row r="612" spans="17:29" x14ac:dyDescent="0.2">
      <c r="Q612" s="36"/>
      <c r="R612" s="40"/>
      <c r="S612" s="40"/>
      <c r="T612" s="40"/>
      <c r="U612" s="41"/>
      <c r="V612" s="41"/>
      <c r="W612" s="41"/>
      <c r="X612" s="36"/>
      <c r="Y612" s="36"/>
      <c r="Z612" s="36"/>
      <c r="AA612" s="36"/>
      <c r="AB612" s="36"/>
      <c r="AC612" s="36"/>
    </row>
    <row r="613" spans="17:29" x14ac:dyDescent="0.2">
      <c r="Q613" s="36"/>
      <c r="R613" s="40"/>
      <c r="S613" s="40"/>
      <c r="T613" s="40"/>
      <c r="U613" s="41"/>
      <c r="V613" s="41"/>
      <c r="W613" s="41"/>
      <c r="X613" s="36"/>
      <c r="Y613" s="36"/>
      <c r="Z613" s="36"/>
      <c r="AA613" s="36"/>
      <c r="AB613" s="36"/>
      <c r="AC613" s="36"/>
    </row>
    <row r="614" spans="17:29" x14ac:dyDescent="0.2">
      <c r="Q614" s="36"/>
      <c r="R614" s="40"/>
      <c r="S614" s="40"/>
      <c r="T614" s="40"/>
      <c r="U614" s="41"/>
      <c r="V614" s="41"/>
      <c r="W614" s="41"/>
      <c r="X614" s="36"/>
      <c r="Y614" s="36"/>
      <c r="Z614" s="36"/>
      <c r="AA614" s="36"/>
      <c r="AB614" s="36"/>
      <c r="AC614" s="36"/>
    </row>
    <row r="615" spans="17:29" x14ac:dyDescent="0.2">
      <c r="Q615" s="36"/>
      <c r="R615" s="40"/>
      <c r="S615" s="40"/>
      <c r="T615" s="40"/>
      <c r="U615" s="41"/>
      <c r="V615" s="41"/>
      <c r="W615" s="41"/>
      <c r="X615" s="36"/>
      <c r="Y615" s="36"/>
      <c r="Z615" s="36"/>
      <c r="AA615" s="36"/>
      <c r="AB615" s="36"/>
      <c r="AC615" s="36"/>
    </row>
    <row r="616" spans="17:29" x14ac:dyDescent="0.2">
      <c r="Q616" s="36"/>
      <c r="R616" s="40"/>
      <c r="S616" s="40"/>
      <c r="T616" s="40"/>
      <c r="U616" s="41"/>
      <c r="V616" s="41"/>
      <c r="W616" s="41"/>
      <c r="X616" s="36"/>
      <c r="Y616" s="36"/>
      <c r="Z616" s="36"/>
      <c r="AA616" s="36"/>
      <c r="AB616" s="36"/>
      <c r="AC616" s="36"/>
    </row>
    <row r="617" spans="17:29" x14ac:dyDescent="0.2">
      <c r="Q617" s="36"/>
      <c r="R617" s="40"/>
      <c r="S617" s="40"/>
      <c r="T617" s="40"/>
      <c r="U617" s="41"/>
      <c r="V617" s="41"/>
      <c r="W617" s="41"/>
      <c r="X617" s="36"/>
      <c r="Y617" s="36"/>
      <c r="Z617" s="36"/>
      <c r="AA617" s="36"/>
      <c r="AB617" s="36"/>
      <c r="AC617" s="36"/>
    </row>
    <row r="618" spans="17:29" x14ac:dyDescent="0.2">
      <c r="Q618" s="36"/>
      <c r="R618" s="40"/>
      <c r="S618" s="40"/>
      <c r="T618" s="40"/>
      <c r="U618" s="41"/>
      <c r="V618" s="41"/>
      <c r="W618" s="41"/>
      <c r="X618" s="36"/>
      <c r="Y618" s="36"/>
      <c r="Z618" s="36"/>
      <c r="AA618" s="36"/>
      <c r="AB618" s="36"/>
      <c r="AC618" s="36"/>
    </row>
    <row r="619" spans="17:29" x14ac:dyDescent="0.2">
      <c r="Q619" s="36"/>
      <c r="R619" s="40"/>
      <c r="S619" s="40"/>
      <c r="T619" s="40"/>
      <c r="U619" s="41"/>
      <c r="V619" s="41"/>
      <c r="W619" s="41"/>
      <c r="X619" s="36"/>
      <c r="Y619" s="36"/>
      <c r="Z619" s="36"/>
      <c r="AA619" s="36"/>
      <c r="AB619" s="36"/>
      <c r="AC619" s="36"/>
    </row>
    <row r="620" spans="17:29" x14ac:dyDescent="0.2">
      <c r="Q620" s="36"/>
      <c r="R620" s="40"/>
      <c r="S620" s="40"/>
      <c r="T620" s="40"/>
      <c r="U620" s="41"/>
      <c r="V620" s="41"/>
      <c r="W620" s="41"/>
      <c r="X620" s="36"/>
      <c r="Y620" s="36"/>
      <c r="Z620" s="36"/>
      <c r="AA620" s="36"/>
      <c r="AB620" s="36"/>
      <c r="AC620" s="36"/>
    </row>
    <row r="621" spans="17:29" x14ac:dyDescent="0.2">
      <c r="Q621" s="36"/>
      <c r="R621" s="40"/>
      <c r="S621" s="40"/>
      <c r="T621" s="40"/>
      <c r="U621" s="41"/>
      <c r="V621" s="41"/>
      <c r="W621" s="41"/>
      <c r="X621" s="36"/>
      <c r="Y621" s="36"/>
      <c r="Z621" s="36"/>
      <c r="AA621" s="36"/>
      <c r="AB621" s="36"/>
      <c r="AC621" s="36"/>
    </row>
    <row r="622" spans="17:29" x14ac:dyDescent="0.2">
      <c r="Q622" s="36"/>
      <c r="R622" s="40"/>
      <c r="S622" s="40"/>
      <c r="T622" s="40"/>
      <c r="U622" s="41"/>
      <c r="V622" s="41"/>
      <c r="W622" s="41"/>
      <c r="X622" s="36"/>
      <c r="Y622" s="36"/>
      <c r="Z622" s="36"/>
      <c r="AA622" s="36"/>
      <c r="AB622" s="36"/>
      <c r="AC622" s="36"/>
    </row>
    <row r="623" spans="17:29" x14ac:dyDescent="0.2">
      <c r="Q623" s="36"/>
      <c r="R623" s="40"/>
      <c r="S623" s="40"/>
      <c r="T623" s="40"/>
      <c r="U623" s="41"/>
      <c r="V623" s="41"/>
      <c r="W623" s="41"/>
      <c r="X623" s="36"/>
      <c r="Y623" s="36"/>
      <c r="Z623" s="36"/>
      <c r="AA623" s="36"/>
      <c r="AB623" s="36"/>
      <c r="AC623" s="36"/>
    </row>
    <row r="624" spans="17:29" x14ac:dyDescent="0.2">
      <c r="Q624" s="36"/>
      <c r="R624" s="40"/>
      <c r="S624" s="40"/>
      <c r="T624" s="40"/>
      <c r="U624" s="41"/>
      <c r="V624" s="41"/>
      <c r="W624" s="41"/>
      <c r="X624" s="36"/>
      <c r="Y624" s="36"/>
      <c r="Z624" s="36"/>
      <c r="AA624" s="36"/>
      <c r="AB624" s="36"/>
      <c r="AC624" s="36"/>
    </row>
    <row r="625" spans="17:29" x14ac:dyDescent="0.2">
      <c r="Q625" s="36"/>
      <c r="R625" s="40"/>
      <c r="S625" s="40"/>
      <c r="T625" s="40"/>
      <c r="U625" s="41"/>
      <c r="V625" s="41"/>
      <c r="W625" s="41"/>
      <c r="X625" s="36"/>
      <c r="Y625" s="36"/>
      <c r="Z625" s="36"/>
      <c r="AA625" s="36"/>
      <c r="AB625" s="36"/>
      <c r="AC625" s="36"/>
    </row>
    <row r="626" spans="17:29" x14ac:dyDescent="0.2">
      <c r="Q626" s="36"/>
      <c r="R626" s="40"/>
      <c r="S626" s="40"/>
      <c r="T626" s="40"/>
      <c r="U626" s="41"/>
      <c r="V626" s="41"/>
      <c r="W626" s="41"/>
      <c r="X626" s="36"/>
      <c r="Y626" s="36"/>
      <c r="Z626" s="36"/>
      <c r="AA626" s="36"/>
      <c r="AB626" s="36"/>
      <c r="AC626" s="36"/>
    </row>
    <row r="627" spans="17:29" x14ac:dyDescent="0.2">
      <c r="Q627" s="36"/>
      <c r="R627" s="40"/>
      <c r="S627" s="40"/>
      <c r="T627" s="40"/>
      <c r="U627" s="41"/>
      <c r="V627" s="41"/>
      <c r="W627" s="41"/>
      <c r="X627" s="36"/>
      <c r="Y627" s="36"/>
      <c r="Z627" s="36"/>
      <c r="AA627" s="36"/>
      <c r="AB627" s="36"/>
      <c r="AC627" s="36"/>
    </row>
    <row r="628" spans="17:29" x14ac:dyDescent="0.2">
      <c r="Q628" s="36"/>
      <c r="R628" s="40"/>
      <c r="S628" s="40"/>
      <c r="T628" s="40"/>
      <c r="U628" s="41"/>
      <c r="V628" s="41"/>
      <c r="W628" s="41"/>
      <c r="X628" s="36"/>
      <c r="Y628" s="36"/>
      <c r="Z628" s="36"/>
      <c r="AA628" s="36"/>
      <c r="AB628" s="36"/>
      <c r="AC628" s="36"/>
    </row>
    <row r="629" spans="17:29" x14ac:dyDescent="0.2">
      <c r="Q629" s="36"/>
      <c r="R629" s="40"/>
      <c r="S629" s="40"/>
      <c r="T629" s="40"/>
      <c r="U629" s="41"/>
      <c r="V629" s="41"/>
      <c r="W629" s="41"/>
      <c r="X629" s="36"/>
      <c r="Y629" s="36"/>
      <c r="Z629" s="36"/>
      <c r="AA629" s="36"/>
      <c r="AB629" s="36"/>
      <c r="AC629" s="36"/>
    </row>
    <row r="630" spans="17:29" x14ac:dyDescent="0.2">
      <c r="Q630" s="36"/>
      <c r="R630" s="40"/>
      <c r="S630" s="40"/>
      <c r="T630" s="40"/>
      <c r="U630" s="41"/>
      <c r="V630" s="41"/>
      <c r="W630" s="41"/>
      <c r="X630" s="36"/>
      <c r="Y630" s="36"/>
      <c r="Z630" s="36"/>
      <c r="AA630" s="36"/>
      <c r="AB630" s="36"/>
      <c r="AC630" s="36"/>
    </row>
    <row r="631" spans="17:29" x14ac:dyDescent="0.2">
      <c r="Q631" s="36"/>
      <c r="R631" s="40"/>
      <c r="S631" s="40"/>
      <c r="T631" s="40"/>
      <c r="U631" s="41"/>
      <c r="V631" s="41"/>
      <c r="W631" s="41"/>
      <c r="X631" s="36"/>
      <c r="Y631" s="36"/>
      <c r="Z631" s="36"/>
      <c r="AA631" s="36"/>
      <c r="AB631" s="36"/>
      <c r="AC631" s="36"/>
    </row>
    <row r="632" spans="17:29" x14ac:dyDescent="0.2">
      <c r="Q632" s="36"/>
      <c r="R632" s="40"/>
      <c r="S632" s="40"/>
      <c r="T632" s="40"/>
      <c r="U632" s="41"/>
      <c r="V632" s="41"/>
      <c r="W632" s="41"/>
      <c r="X632" s="36"/>
      <c r="Y632" s="36"/>
      <c r="Z632" s="36"/>
      <c r="AA632" s="36"/>
      <c r="AB632" s="36"/>
      <c r="AC632" s="36"/>
    </row>
    <row r="633" spans="17:29" x14ac:dyDescent="0.2">
      <c r="Q633" s="36"/>
      <c r="R633" s="40"/>
      <c r="S633" s="40"/>
      <c r="T633" s="40"/>
      <c r="U633" s="41"/>
      <c r="V633" s="41"/>
      <c r="W633" s="41"/>
      <c r="X633" s="36"/>
      <c r="Y633" s="36"/>
      <c r="Z633" s="36"/>
      <c r="AA633" s="36"/>
      <c r="AB633" s="36"/>
      <c r="AC633" s="36"/>
    </row>
    <row r="634" spans="17:29" x14ac:dyDescent="0.2">
      <c r="Q634" s="36"/>
      <c r="R634" s="40"/>
      <c r="S634" s="40"/>
      <c r="T634" s="40"/>
      <c r="U634" s="41"/>
      <c r="V634" s="41"/>
      <c r="W634" s="41"/>
      <c r="X634" s="36"/>
      <c r="Y634" s="36"/>
      <c r="Z634" s="36"/>
      <c r="AA634" s="36"/>
      <c r="AB634" s="36"/>
      <c r="AC634" s="36"/>
    </row>
    <row r="635" spans="17:29" x14ac:dyDescent="0.2">
      <c r="Q635" s="36"/>
      <c r="R635" s="40"/>
      <c r="S635" s="40"/>
      <c r="T635" s="40"/>
      <c r="U635" s="41"/>
      <c r="V635" s="41"/>
      <c r="W635" s="41"/>
      <c r="X635" s="36"/>
      <c r="Y635" s="36"/>
      <c r="Z635" s="36"/>
      <c r="AA635" s="36"/>
      <c r="AB635" s="36"/>
      <c r="AC635" s="36"/>
    </row>
    <row r="636" spans="17:29" x14ac:dyDescent="0.2">
      <c r="Q636" s="36"/>
      <c r="R636" s="40"/>
      <c r="S636" s="40"/>
      <c r="T636" s="40"/>
      <c r="U636" s="41"/>
      <c r="V636" s="41"/>
      <c r="W636" s="41"/>
      <c r="X636" s="36"/>
      <c r="Y636" s="36"/>
      <c r="Z636" s="36"/>
      <c r="AA636" s="36"/>
      <c r="AB636" s="36"/>
      <c r="AC636" s="36"/>
    </row>
    <row r="637" spans="17:29" x14ac:dyDescent="0.2">
      <c r="Q637" s="36"/>
      <c r="R637" s="40"/>
      <c r="S637" s="40"/>
      <c r="T637" s="40"/>
      <c r="U637" s="41"/>
      <c r="V637" s="41"/>
      <c r="W637" s="41"/>
      <c r="X637" s="36"/>
      <c r="Y637" s="36"/>
      <c r="Z637" s="36"/>
      <c r="AA637" s="36"/>
      <c r="AB637" s="36"/>
      <c r="AC637" s="36"/>
    </row>
    <row r="638" spans="17:29" x14ac:dyDescent="0.2">
      <c r="Q638" s="36"/>
      <c r="R638" s="40"/>
      <c r="S638" s="40"/>
      <c r="T638" s="40"/>
      <c r="U638" s="41"/>
      <c r="V638" s="41"/>
      <c r="W638" s="41"/>
      <c r="X638" s="36"/>
      <c r="Y638" s="36"/>
      <c r="Z638" s="36"/>
      <c r="AA638" s="36"/>
      <c r="AB638" s="36"/>
      <c r="AC638" s="36"/>
    </row>
    <row r="639" spans="17:29" x14ac:dyDescent="0.2">
      <c r="Q639" s="36"/>
      <c r="R639" s="40"/>
      <c r="S639" s="40"/>
      <c r="T639" s="40"/>
      <c r="U639" s="41"/>
      <c r="V639" s="41"/>
      <c r="W639" s="41"/>
      <c r="X639" s="36"/>
      <c r="Y639" s="36"/>
      <c r="Z639" s="36"/>
      <c r="AA639" s="36"/>
      <c r="AB639" s="36"/>
      <c r="AC639" s="36"/>
    </row>
    <row r="640" spans="17:29" x14ac:dyDescent="0.2">
      <c r="Q640" s="36"/>
      <c r="R640" s="40"/>
      <c r="S640" s="40"/>
      <c r="T640" s="40"/>
      <c r="U640" s="41"/>
      <c r="V640" s="41"/>
      <c r="W640" s="41"/>
      <c r="X640" s="36"/>
      <c r="Y640" s="36"/>
      <c r="Z640" s="36"/>
      <c r="AA640" s="36"/>
      <c r="AB640" s="36"/>
      <c r="AC640" s="36"/>
    </row>
    <row r="641" spans="17:29" x14ac:dyDescent="0.2">
      <c r="Q641" s="36"/>
      <c r="R641" s="40"/>
      <c r="S641" s="40"/>
      <c r="T641" s="40"/>
      <c r="U641" s="41"/>
      <c r="V641" s="41"/>
      <c r="W641" s="41"/>
      <c r="X641" s="36"/>
      <c r="Y641" s="36"/>
      <c r="Z641" s="36"/>
      <c r="AA641" s="36"/>
      <c r="AB641" s="36"/>
      <c r="AC641" s="36"/>
    </row>
    <row r="642" spans="17:29" x14ac:dyDescent="0.2">
      <c r="Q642" s="36"/>
      <c r="R642" s="40"/>
      <c r="S642" s="40"/>
      <c r="T642" s="40"/>
      <c r="U642" s="41"/>
      <c r="V642" s="41"/>
      <c r="W642" s="41"/>
      <c r="X642" s="36"/>
      <c r="Y642" s="36"/>
      <c r="Z642" s="36"/>
      <c r="AA642" s="36"/>
      <c r="AB642" s="36"/>
      <c r="AC642" s="36"/>
    </row>
    <row r="643" spans="17:29" x14ac:dyDescent="0.2">
      <c r="Q643" s="36"/>
      <c r="R643" s="40"/>
      <c r="S643" s="40"/>
      <c r="T643" s="40"/>
      <c r="U643" s="41"/>
      <c r="V643" s="41"/>
      <c r="W643" s="41"/>
      <c r="X643" s="36"/>
      <c r="Y643" s="36"/>
      <c r="Z643" s="36"/>
      <c r="AA643" s="36"/>
      <c r="AB643" s="36"/>
      <c r="AC643" s="36"/>
    </row>
    <row r="644" spans="17:29" x14ac:dyDescent="0.2">
      <c r="Q644" s="36"/>
      <c r="R644" s="40"/>
      <c r="S644" s="40"/>
      <c r="T644" s="40"/>
      <c r="U644" s="41"/>
      <c r="V644" s="41"/>
      <c r="W644" s="41"/>
      <c r="X644" s="36"/>
      <c r="Y644" s="36"/>
      <c r="Z644" s="36"/>
      <c r="AA644" s="36"/>
      <c r="AB644" s="36"/>
      <c r="AC644" s="36"/>
    </row>
    <row r="645" spans="17:29" x14ac:dyDescent="0.2">
      <c r="Q645" s="36"/>
      <c r="R645" s="40"/>
      <c r="S645" s="40"/>
      <c r="T645" s="40"/>
      <c r="U645" s="41"/>
      <c r="V645" s="41"/>
      <c r="W645" s="41"/>
      <c r="X645" s="36"/>
      <c r="Y645" s="36"/>
      <c r="Z645" s="36"/>
      <c r="AA645" s="36"/>
      <c r="AB645" s="36"/>
      <c r="AC645" s="36"/>
    </row>
    <row r="646" spans="17:29" x14ac:dyDescent="0.2">
      <c r="Q646" s="36"/>
      <c r="R646" s="40"/>
      <c r="S646" s="40"/>
      <c r="T646" s="40"/>
      <c r="U646" s="41"/>
      <c r="V646" s="41"/>
      <c r="W646" s="41"/>
      <c r="X646" s="36"/>
      <c r="Y646" s="36"/>
      <c r="Z646" s="36"/>
      <c r="AA646" s="36"/>
      <c r="AB646" s="36"/>
      <c r="AC646" s="36"/>
    </row>
    <row r="647" spans="17:29" x14ac:dyDescent="0.2">
      <c r="Q647" s="36"/>
      <c r="R647" s="40"/>
      <c r="S647" s="40"/>
      <c r="T647" s="40"/>
      <c r="U647" s="41"/>
      <c r="V647" s="41"/>
      <c r="W647" s="41"/>
      <c r="X647" s="36"/>
      <c r="Y647" s="36"/>
      <c r="Z647" s="36"/>
      <c r="AA647" s="36"/>
      <c r="AB647" s="36"/>
      <c r="AC647" s="36"/>
    </row>
    <row r="648" spans="17:29" x14ac:dyDescent="0.2">
      <c r="Q648" s="36"/>
      <c r="R648" s="40"/>
      <c r="S648" s="40"/>
      <c r="T648" s="40"/>
      <c r="U648" s="41"/>
      <c r="V648" s="41"/>
      <c r="W648" s="41"/>
      <c r="X648" s="36"/>
      <c r="Y648" s="36"/>
      <c r="Z648" s="36"/>
      <c r="AA648" s="36"/>
      <c r="AB648" s="36"/>
      <c r="AC648" s="36"/>
    </row>
    <row r="649" spans="17:29" x14ac:dyDescent="0.2">
      <c r="Q649" s="36"/>
      <c r="R649" s="40"/>
      <c r="S649" s="40"/>
      <c r="T649" s="40"/>
      <c r="U649" s="41"/>
      <c r="V649" s="41"/>
      <c r="W649" s="41"/>
      <c r="X649" s="36"/>
      <c r="Y649" s="36"/>
      <c r="Z649" s="36"/>
      <c r="AA649" s="36"/>
      <c r="AB649" s="36"/>
      <c r="AC649" s="36"/>
    </row>
    <row r="650" spans="17:29" x14ac:dyDescent="0.2">
      <c r="Q650" s="36"/>
      <c r="R650" s="40"/>
      <c r="S650" s="40"/>
      <c r="T650" s="40"/>
      <c r="U650" s="41"/>
      <c r="V650" s="41"/>
      <c r="W650" s="41"/>
      <c r="X650" s="36"/>
      <c r="Y650" s="36"/>
      <c r="Z650" s="36"/>
      <c r="AA650" s="36"/>
      <c r="AB650" s="36"/>
      <c r="AC650" s="36"/>
    </row>
    <row r="651" spans="17:29" x14ac:dyDescent="0.2">
      <c r="Q651" s="36"/>
      <c r="R651" s="40"/>
      <c r="S651" s="40"/>
      <c r="T651" s="40"/>
      <c r="U651" s="41"/>
      <c r="V651" s="41"/>
      <c r="W651" s="41"/>
      <c r="X651" s="36"/>
      <c r="Y651" s="36"/>
      <c r="Z651" s="36"/>
      <c r="AA651" s="36"/>
      <c r="AB651" s="36"/>
      <c r="AC651" s="36"/>
    </row>
    <row r="652" spans="17:29" x14ac:dyDescent="0.2">
      <c r="Q652" s="36"/>
      <c r="R652" s="40"/>
      <c r="S652" s="40"/>
      <c r="T652" s="40"/>
      <c r="U652" s="41"/>
      <c r="V652" s="41"/>
      <c r="W652" s="41"/>
      <c r="X652" s="36"/>
      <c r="Y652" s="36"/>
      <c r="Z652" s="36"/>
      <c r="AA652" s="36"/>
      <c r="AB652" s="36"/>
      <c r="AC652" s="36"/>
    </row>
    <row r="653" spans="17:29" x14ac:dyDescent="0.2">
      <c r="Q653" s="36"/>
      <c r="R653" s="40"/>
      <c r="S653" s="40"/>
      <c r="T653" s="40"/>
      <c r="U653" s="41"/>
      <c r="V653" s="41"/>
      <c r="W653" s="41"/>
      <c r="X653" s="36"/>
      <c r="Y653" s="36"/>
      <c r="Z653" s="36"/>
      <c r="AA653" s="36"/>
      <c r="AB653" s="36"/>
      <c r="AC653" s="36"/>
    </row>
    <row r="654" spans="17:29" x14ac:dyDescent="0.2">
      <c r="Q654" s="36"/>
      <c r="R654" s="40"/>
      <c r="S654" s="40"/>
      <c r="T654" s="40"/>
      <c r="U654" s="41"/>
      <c r="V654" s="41"/>
      <c r="W654" s="41"/>
      <c r="X654" s="36"/>
      <c r="Y654" s="36"/>
      <c r="Z654" s="36"/>
      <c r="AA654" s="36"/>
      <c r="AB654" s="36"/>
      <c r="AC654" s="36"/>
    </row>
    <row r="655" spans="17:29" x14ac:dyDescent="0.2">
      <c r="Q655" s="36"/>
      <c r="R655" s="40"/>
      <c r="S655" s="40"/>
      <c r="T655" s="40"/>
      <c r="U655" s="41"/>
      <c r="V655" s="41"/>
      <c r="W655" s="41"/>
      <c r="X655" s="36"/>
      <c r="Y655" s="36"/>
      <c r="Z655" s="36"/>
      <c r="AA655" s="36"/>
      <c r="AB655" s="36"/>
      <c r="AC655" s="36"/>
    </row>
    <row r="656" spans="17:29" x14ac:dyDescent="0.2">
      <c r="Q656" s="36"/>
      <c r="R656" s="40"/>
      <c r="S656" s="40"/>
      <c r="T656" s="40"/>
      <c r="U656" s="41"/>
      <c r="V656" s="41"/>
      <c r="W656" s="41"/>
      <c r="X656" s="36"/>
      <c r="Y656" s="36"/>
      <c r="Z656" s="36"/>
      <c r="AA656" s="36"/>
      <c r="AB656" s="36"/>
      <c r="AC656" s="36"/>
    </row>
    <row r="657" spans="17:29" x14ac:dyDescent="0.2">
      <c r="Q657" s="36"/>
      <c r="R657" s="40"/>
      <c r="S657" s="40"/>
      <c r="T657" s="40"/>
      <c r="U657" s="41"/>
      <c r="V657" s="41"/>
      <c r="W657" s="41"/>
      <c r="X657" s="36"/>
      <c r="Y657" s="36"/>
      <c r="Z657" s="36"/>
      <c r="AA657" s="36"/>
      <c r="AB657" s="36"/>
      <c r="AC657" s="36"/>
    </row>
    <row r="658" spans="17:29" x14ac:dyDescent="0.2">
      <c r="Q658" s="36"/>
      <c r="R658" s="40"/>
      <c r="S658" s="40"/>
      <c r="T658" s="40"/>
      <c r="U658" s="41"/>
      <c r="V658" s="41"/>
      <c r="W658" s="41"/>
      <c r="X658" s="36"/>
      <c r="Y658" s="36"/>
      <c r="Z658" s="36"/>
      <c r="AA658" s="36"/>
      <c r="AB658" s="36"/>
      <c r="AC658" s="36"/>
    </row>
    <row r="659" spans="17:29" x14ac:dyDescent="0.2">
      <c r="Q659" s="36"/>
      <c r="R659" s="40"/>
      <c r="S659" s="40"/>
      <c r="T659" s="40"/>
      <c r="U659" s="41"/>
      <c r="V659" s="41"/>
      <c r="W659" s="41"/>
      <c r="X659" s="36"/>
      <c r="Y659" s="36"/>
      <c r="Z659" s="36"/>
      <c r="AA659" s="36"/>
      <c r="AB659" s="36"/>
      <c r="AC659" s="36"/>
    </row>
    <row r="660" spans="17:29" x14ac:dyDescent="0.2">
      <c r="Q660" s="36"/>
      <c r="R660" s="40"/>
      <c r="S660" s="40"/>
      <c r="T660" s="40"/>
      <c r="U660" s="41"/>
      <c r="V660" s="41"/>
      <c r="W660" s="41"/>
      <c r="X660" s="36"/>
      <c r="Y660" s="36"/>
      <c r="Z660" s="36"/>
      <c r="AA660" s="36"/>
      <c r="AB660" s="36"/>
      <c r="AC660" s="36"/>
    </row>
    <row r="661" spans="17:29" x14ac:dyDescent="0.2">
      <c r="Q661" s="36"/>
      <c r="R661" s="40"/>
      <c r="S661" s="40"/>
      <c r="T661" s="40"/>
      <c r="U661" s="41"/>
      <c r="V661" s="41"/>
      <c r="W661" s="41"/>
      <c r="X661" s="36"/>
      <c r="Y661" s="36"/>
      <c r="Z661" s="36"/>
      <c r="AA661" s="36"/>
      <c r="AB661" s="36"/>
      <c r="AC661" s="36"/>
    </row>
    <row r="662" spans="17:29" x14ac:dyDescent="0.2">
      <c r="Q662" s="36"/>
      <c r="R662" s="40"/>
      <c r="S662" s="40"/>
      <c r="T662" s="40"/>
      <c r="U662" s="41"/>
      <c r="V662" s="41"/>
      <c r="W662" s="41"/>
      <c r="X662" s="36"/>
      <c r="Y662" s="36"/>
      <c r="Z662" s="36"/>
      <c r="AA662" s="36"/>
      <c r="AB662" s="36"/>
      <c r="AC662" s="36"/>
    </row>
    <row r="663" spans="17:29" x14ac:dyDescent="0.2">
      <c r="Q663" s="36"/>
      <c r="R663" s="40"/>
      <c r="S663" s="40"/>
      <c r="T663" s="40"/>
      <c r="U663" s="41"/>
      <c r="V663" s="41"/>
      <c r="W663" s="41"/>
      <c r="X663" s="36"/>
      <c r="Y663" s="36"/>
      <c r="Z663" s="36"/>
      <c r="AA663" s="36"/>
      <c r="AB663" s="36"/>
      <c r="AC663" s="36"/>
    </row>
    <row r="664" spans="17:29" x14ac:dyDescent="0.2">
      <c r="Q664" s="36"/>
      <c r="R664" s="40"/>
      <c r="S664" s="40"/>
      <c r="T664" s="40"/>
      <c r="U664" s="41"/>
      <c r="V664" s="41"/>
      <c r="W664" s="41"/>
      <c r="X664" s="36"/>
      <c r="Y664" s="36"/>
      <c r="Z664" s="36"/>
      <c r="AA664" s="36"/>
      <c r="AB664" s="36"/>
      <c r="AC664" s="36"/>
    </row>
    <row r="665" spans="17:29" x14ac:dyDescent="0.2">
      <c r="Q665" s="36"/>
      <c r="R665" s="40"/>
      <c r="S665" s="40"/>
      <c r="T665" s="40"/>
      <c r="U665" s="41"/>
      <c r="V665" s="41"/>
      <c r="W665" s="41"/>
      <c r="X665" s="36"/>
      <c r="Y665" s="36"/>
      <c r="Z665" s="36"/>
      <c r="AA665" s="36"/>
      <c r="AB665" s="36"/>
      <c r="AC665" s="36"/>
    </row>
    <row r="666" spans="17:29" x14ac:dyDescent="0.2">
      <c r="Q666" s="36"/>
      <c r="R666" s="40"/>
      <c r="S666" s="40"/>
      <c r="T666" s="40"/>
      <c r="U666" s="41"/>
      <c r="V666" s="41"/>
      <c r="W666" s="41"/>
      <c r="X666" s="36"/>
      <c r="Y666" s="36"/>
      <c r="Z666" s="36"/>
      <c r="AA666" s="36"/>
      <c r="AB666" s="36"/>
      <c r="AC666" s="36"/>
    </row>
    <row r="667" spans="17:29" x14ac:dyDescent="0.2">
      <c r="Q667" s="36"/>
      <c r="R667" s="40"/>
      <c r="S667" s="40"/>
      <c r="T667" s="40"/>
      <c r="U667" s="41"/>
      <c r="V667" s="41"/>
      <c r="W667" s="41"/>
      <c r="X667" s="36"/>
      <c r="Y667" s="36"/>
      <c r="Z667" s="36"/>
      <c r="AA667" s="36"/>
      <c r="AB667" s="36"/>
      <c r="AC667" s="36"/>
    </row>
    <row r="668" spans="17:29" x14ac:dyDescent="0.2">
      <c r="Q668" s="36"/>
      <c r="R668" s="40"/>
      <c r="S668" s="40"/>
      <c r="T668" s="40"/>
      <c r="U668" s="41"/>
      <c r="V668" s="41"/>
      <c r="W668" s="41"/>
      <c r="X668" s="36"/>
      <c r="Y668" s="36"/>
      <c r="Z668" s="36"/>
      <c r="AA668" s="36"/>
      <c r="AB668" s="36"/>
      <c r="AC668" s="36"/>
    </row>
    <row r="669" spans="17:29" x14ac:dyDescent="0.2">
      <c r="Q669" s="36"/>
      <c r="R669" s="40"/>
      <c r="S669" s="40"/>
      <c r="T669" s="40"/>
      <c r="U669" s="41"/>
      <c r="V669" s="41"/>
      <c r="W669" s="41"/>
      <c r="X669" s="36"/>
      <c r="Y669" s="36"/>
      <c r="Z669" s="36"/>
      <c r="AA669" s="36"/>
      <c r="AB669" s="36"/>
      <c r="AC669" s="36"/>
    </row>
    <row r="670" spans="17:29" x14ac:dyDescent="0.2">
      <c r="Q670" s="36"/>
      <c r="R670" s="40"/>
      <c r="S670" s="40"/>
      <c r="T670" s="40"/>
      <c r="U670" s="41"/>
      <c r="V670" s="41"/>
      <c r="W670" s="41"/>
      <c r="X670" s="36"/>
      <c r="Y670" s="36"/>
      <c r="Z670" s="36"/>
      <c r="AA670" s="36"/>
      <c r="AB670" s="36"/>
      <c r="AC670" s="36"/>
    </row>
    <row r="671" spans="17:29" x14ac:dyDescent="0.2">
      <c r="Q671" s="36"/>
      <c r="R671" s="40"/>
      <c r="S671" s="40"/>
      <c r="T671" s="40"/>
      <c r="U671" s="41"/>
      <c r="V671" s="41"/>
      <c r="W671" s="41"/>
      <c r="X671" s="36"/>
      <c r="Y671" s="36"/>
      <c r="Z671" s="36"/>
      <c r="AA671" s="36"/>
      <c r="AB671" s="36"/>
      <c r="AC671" s="36"/>
    </row>
    <row r="672" spans="17:29" x14ac:dyDescent="0.2">
      <c r="Q672" s="36"/>
      <c r="R672" s="40"/>
      <c r="S672" s="40"/>
      <c r="T672" s="40"/>
      <c r="U672" s="41"/>
      <c r="V672" s="41"/>
      <c r="W672" s="41"/>
      <c r="X672" s="36"/>
      <c r="Y672" s="36"/>
      <c r="Z672" s="36"/>
      <c r="AA672" s="36"/>
      <c r="AB672" s="36"/>
      <c r="AC672" s="36"/>
    </row>
    <row r="673" spans="17:29" x14ac:dyDescent="0.2">
      <c r="Q673" s="36"/>
      <c r="R673" s="40"/>
      <c r="S673" s="40"/>
      <c r="T673" s="40"/>
      <c r="U673" s="41"/>
      <c r="V673" s="41"/>
      <c r="W673" s="41"/>
      <c r="X673" s="36"/>
      <c r="Y673" s="36"/>
      <c r="Z673" s="36"/>
      <c r="AA673" s="36"/>
      <c r="AB673" s="36"/>
      <c r="AC673" s="36"/>
    </row>
    <row r="674" spans="17:29" x14ac:dyDescent="0.2">
      <c r="Q674" s="36"/>
      <c r="R674" s="40"/>
      <c r="S674" s="40"/>
      <c r="T674" s="40"/>
      <c r="U674" s="41"/>
      <c r="V674" s="41"/>
      <c r="W674" s="41"/>
      <c r="X674" s="36"/>
      <c r="Y674" s="36"/>
      <c r="Z674" s="36"/>
      <c r="AA674" s="36"/>
      <c r="AB674" s="36"/>
      <c r="AC674" s="36"/>
    </row>
    <row r="675" spans="17:29" x14ac:dyDescent="0.2">
      <c r="Q675" s="36"/>
      <c r="R675" s="40"/>
      <c r="S675" s="40"/>
      <c r="T675" s="40"/>
      <c r="U675" s="41"/>
      <c r="V675" s="41"/>
      <c r="W675" s="41"/>
      <c r="X675" s="36"/>
      <c r="Y675" s="36"/>
      <c r="Z675" s="36"/>
      <c r="AA675" s="36"/>
      <c r="AB675" s="36"/>
      <c r="AC675" s="36"/>
    </row>
    <row r="676" spans="17:29" x14ac:dyDescent="0.2">
      <c r="Q676" s="36"/>
      <c r="R676" s="40"/>
      <c r="S676" s="40"/>
      <c r="T676" s="40"/>
      <c r="U676" s="41"/>
      <c r="V676" s="41"/>
      <c r="W676" s="41"/>
      <c r="X676" s="36"/>
      <c r="Y676" s="36"/>
      <c r="Z676" s="36"/>
      <c r="AA676" s="36"/>
      <c r="AB676" s="36"/>
      <c r="AC676" s="36"/>
    </row>
    <row r="677" spans="17:29" x14ac:dyDescent="0.2">
      <c r="Q677" s="36"/>
      <c r="R677" s="40"/>
      <c r="S677" s="40"/>
      <c r="T677" s="40"/>
      <c r="U677" s="41"/>
      <c r="V677" s="41"/>
      <c r="W677" s="41"/>
      <c r="X677" s="36"/>
      <c r="Y677" s="36"/>
      <c r="Z677" s="36"/>
      <c r="AA677" s="36"/>
      <c r="AB677" s="36"/>
      <c r="AC677" s="36"/>
    </row>
    <row r="678" spans="17:29" x14ac:dyDescent="0.2">
      <c r="Q678" s="36"/>
      <c r="R678" s="40"/>
      <c r="S678" s="40"/>
      <c r="T678" s="40"/>
      <c r="U678" s="41"/>
      <c r="V678" s="41"/>
      <c r="W678" s="41"/>
      <c r="X678" s="36"/>
      <c r="Y678" s="36"/>
      <c r="Z678" s="36"/>
      <c r="AA678" s="36"/>
      <c r="AB678" s="36"/>
      <c r="AC678" s="36"/>
    </row>
    <row r="679" spans="17:29" x14ac:dyDescent="0.2">
      <c r="Q679" s="36"/>
      <c r="R679" s="40"/>
      <c r="S679" s="40"/>
      <c r="T679" s="40"/>
      <c r="U679" s="41"/>
      <c r="V679" s="41"/>
      <c r="W679" s="41"/>
      <c r="X679" s="36"/>
      <c r="Y679" s="36"/>
      <c r="Z679" s="36"/>
      <c r="AA679" s="36"/>
      <c r="AB679" s="36"/>
      <c r="AC679" s="36"/>
    </row>
    <row r="680" spans="17:29" x14ac:dyDescent="0.2">
      <c r="Q680" s="36"/>
      <c r="R680" s="40"/>
      <c r="S680" s="40"/>
      <c r="T680" s="40"/>
      <c r="U680" s="41"/>
      <c r="V680" s="41"/>
      <c r="W680" s="41"/>
      <c r="X680" s="36"/>
      <c r="Y680" s="36"/>
      <c r="Z680" s="36"/>
      <c r="AA680" s="36"/>
      <c r="AB680" s="36"/>
      <c r="AC680" s="36"/>
    </row>
    <row r="681" spans="17:29" x14ac:dyDescent="0.2">
      <c r="Q681" s="36"/>
      <c r="R681" s="40"/>
      <c r="S681" s="40"/>
      <c r="T681" s="40"/>
      <c r="U681" s="41"/>
      <c r="V681" s="41"/>
      <c r="W681" s="41"/>
      <c r="X681" s="36"/>
      <c r="Y681" s="36"/>
      <c r="Z681" s="36"/>
      <c r="AA681" s="36"/>
      <c r="AB681" s="36"/>
      <c r="AC681" s="36"/>
    </row>
    <row r="682" spans="17:29" x14ac:dyDescent="0.2">
      <c r="Q682" s="36"/>
      <c r="R682" s="40"/>
      <c r="S682" s="40"/>
      <c r="T682" s="40"/>
      <c r="U682" s="41"/>
      <c r="V682" s="41"/>
      <c r="W682" s="41"/>
      <c r="X682" s="36"/>
      <c r="Y682" s="36"/>
      <c r="Z682" s="36"/>
      <c r="AA682" s="36"/>
      <c r="AB682" s="36"/>
      <c r="AC682" s="36"/>
    </row>
    <row r="683" spans="17:29" x14ac:dyDescent="0.2">
      <c r="Q683" s="36"/>
      <c r="R683" s="40"/>
      <c r="S683" s="40"/>
      <c r="T683" s="40"/>
      <c r="U683" s="41"/>
      <c r="V683" s="41"/>
      <c r="W683" s="41"/>
      <c r="X683" s="36"/>
      <c r="Y683" s="36"/>
      <c r="Z683" s="36"/>
      <c r="AA683" s="36"/>
      <c r="AB683" s="36"/>
      <c r="AC683" s="36"/>
    </row>
    <row r="684" spans="17:29" x14ac:dyDescent="0.2">
      <c r="Q684" s="36"/>
      <c r="R684" s="40"/>
      <c r="S684" s="40"/>
      <c r="T684" s="40"/>
      <c r="U684" s="41"/>
      <c r="V684" s="41"/>
      <c r="W684" s="41"/>
      <c r="X684" s="36"/>
      <c r="Y684" s="36"/>
      <c r="Z684" s="36"/>
      <c r="AA684" s="36"/>
      <c r="AB684" s="36"/>
      <c r="AC684" s="36"/>
    </row>
    <row r="685" spans="17:29" x14ac:dyDescent="0.2">
      <c r="Q685" s="36"/>
      <c r="R685" s="40"/>
      <c r="S685" s="40"/>
      <c r="T685" s="40"/>
      <c r="U685" s="41"/>
      <c r="V685" s="41"/>
      <c r="W685" s="41"/>
      <c r="X685" s="36"/>
      <c r="Y685" s="36"/>
      <c r="Z685" s="36"/>
      <c r="AA685" s="36"/>
      <c r="AB685" s="36"/>
      <c r="AC685" s="36"/>
    </row>
    <row r="686" spans="17:29" x14ac:dyDescent="0.2">
      <c r="Q686" s="36"/>
      <c r="R686" s="40"/>
      <c r="S686" s="40"/>
      <c r="T686" s="40"/>
      <c r="U686" s="41"/>
      <c r="V686" s="41"/>
      <c r="W686" s="41"/>
      <c r="X686" s="36"/>
      <c r="Y686" s="36"/>
      <c r="Z686" s="36"/>
      <c r="AA686" s="36"/>
      <c r="AB686" s="36"/>
      <c r="AC686" s="36"/>
    </row>
    <row r="687" spans="17:29" x14ac:dyDescent="0.2">
      <c r="Q687" s="36"/>
      <c r="R687" s="40"/>
      <c r="S687" s="40"/>
      <c r="T687" s="40"/>
      <c r="U687" s="41"/>
      <c r="V687" s="41"/>
      <c r="W687" s="41"/>
      <c r="X687" s="36"/>
      <c r="Y687" s="36"/>
      <c r="Z687" s="36"/>
      <c r="AA687" s="36"/>
      <c r="AB687" s="36"/>
      <c r="AC687" s="36"/>
    </row>
    <row r="688" spans="17:29" x14ac:dyDescent="0.2">
      <c r="Q688" s="36"/>
      <c r="R688" s="40"/>
      <c r="S688" s="40"/>
      <c r="T688" s="40"/>
      <c r="U688" s="41"/>
      <c r="V688" s="41"/>
      <c r="W688" s="41"/>
      <c r="X688" s="36"/>
      <c r="Y688" s="36"/>
      <c r="Z688" s="36"/>
      <c r="AA688" s="36"/>
      <c r="AB688" s="36"/>
      <c r="AC688" s="36"/>
    </row>
    <row r="689" spans="17:29" x14ac:dyDescent="0.2">
      <c r="Q689" s="36"/>
      <c r="R689" s="40"/>
      <c r="S689" s="40"/>
      <c r="T689" s="40"/>
      <c r="U689" s="41"/>
      <c r="V689" s="41"/>
      <c r="W689" s="41"/>
      <c r="X689" s="36"/>
      <c r="Y689" s="36"/>
      <c r="Z689" s="36"/>
      <c r="AA689" s="36"/>
      <c r="AB689" s="36"/>
      <c r="AC689" s="36"/>
    </row>
    <row r="690" spans="17:29" x14ac:dyDescent="0.2">
      <c r="Q690" s="36"/>
      <c r="R690" s="40"/>
      <c r="S690" s="40"/>
      <c r="T690" s="40"/>
      <c r="U690" s="41"/>
      <c r="V690" s="41"/>
      <c r="W690" s="41"/>
      <c r="X690" s="36"/>
      <c r="Y690" s="36"/>
      <c r="Z690" s="36"/>
      <c r="AA690" s="36"/>
      <c r="AB690" s="36"/>
      <c r="AC690" s="36"/>
    </row>
    <row r="691" spans="17:29" x14ac:dyDescent="0.2">
      <c r="Q691" s="36"/>
      <c r="R691" s="40"/>
      <c r="S691" s="40"/>
      <c r="T691" s="40"/>
      <c r="U691" s="41"/>
      <c r="V691" s="41"/>
      <c r="W691" s="41"/>
      <c r="X691" s="36"/>
      <c r="Y691" s="36"/>
      <c r="Z691" s="36"/>
      <c r="AA691" s="36"/>
      <c r="AB691" s="36"/>
      <c r="AC691" s="36"/>
    </row>
    <row r="692" spans="17:29" x14ac:dyDescent="0.2">
      <c r="Q692" s="36"/>
      <c r="R692" s="40"/>
      <c r="S692" s="40"/>
      <c r="T692" s="40"/>
      <c r="U692" s="41"/>
      <c r="V692" s="41"/>
      <c r="W692" s="41"/>
      <c r="X692" s="36"/>
      <c r="Y692" s="36"/>
      <c r="Z692" s="36"/>
      <c r="AA692" s="36"/>
      <c r="AB692" s="36"/>
      <c r="AC692" s="36"/>
    </row>
    <row r="693" spans="17:29" x14ac:dyDescent="0.2">
      <c r="Q693" s="36"/>
      <c r="R693" s="40"/>
      <c r="S693" s="40"/>
      <c r="T693" s="40"/>
      <c r="U693" s="41"/>
      <c r="V693" s="41"/>
      <c r="W693" s="41"/>
      <c r="X693" s="36"/>
      <c r="Y693" s="36"/>
      <c r="Z693" s="36"/>
      <c r="AA693" s="36"/>
      <c r="AB693" s="36"/>
      <c r="AC693" s="36"/>
    </row>
    <row r="694" spans="17:29" x14ac:dyDescent="0.2">
      <c r="Q694" s="36"/>
      <c r="R694" s="40"/>
      <c r="S694" s="40"/>
      <c r="T694" s="40"/>
      <c r="U694" s="41"/>
      <c r="V694" s="41"/>
      <c r="W694" s="41"/>
      <c r="X694" s="36"/>
      <c r="Y694" s="36"/>
      <c r="Z694" s="36"/>
      <c r="AA694" s="36"/>
      <c r="AB694" s="36"/>
      <c r="AC694" s="36"/>
    </row>
    <row r="695" spans="17:29" x14ac:dyDescent="0.2">
      <c r="Q695" s="36"/>
      <c r="R695" s="40"/>
      <c r="S695" s="40"/>
      <c r="T695" s="40"/>
      <c r="U695" s="41"/>
      <c r="V695" s="41"/>
      <c r="W695" s="41"/>
      <c r="X695" s="36"/>
      <c r="Y695" s="36"/>
      <c r="Z695" s="36"/>
      <c r="AA695" s="36"/>
      <c r="AB695" s="36"/>
      <c r="AC695" s="36"/>
    </row>
    <row r="696" spans="17:29" x14ac:dyDescent="0.2">
      <c r="Q696" s="36"/>
      <c r="R696" s="40"/>
      <c r="S696" s="40"/>
      <c r="T696" s="40"/>
      <c r="U696" s="41"/>
      <c r="V696" s="41"/>
      <c r="W696" s="41"/>
      <c r="X696" s="36"/>
      <c r="Y696" s="36"/>
      <c r="Z696" s="36"/>
      <c r="AA696" s="36"/>
      <c r="AB696" s="36"/>
      <c r="AC696" s="36"/>
    </row>
    <row r="697" spans="17:29" x14ac:dyDescent="0.2">
      <c r="Q697" s="36"/>
      <c r="R697" s="40"/>
      <c r="S697" s="40"/>
      <c r="T697" s="40"/>
      <c r="U697" s="41"/>
      <c r="V697" s="41"/>
      <c r="W697" s="41"/>
      <c r="X697" s="36"/>
      <c r="Y697" s="36"/>
      <c r="Z697" s="36"/>
      <c r="AA697" s="36"/>
      <c r="AB697" s="36"/>
      <c r="AC697" s="36"/>
    </row>
    <row r="698" spans="17:29" x14ac:dyDescent="0.2">
      <c r="Q698" s="36"/>
      <c r="R698" s="40"/>
      <c r="S698" s="40"/>
      <c r="T698" s="40"/>
      <c r="U698" s="41"/>
      <c r="V698" s="41"/>
      <c r="W698" s="41"/>
      <c r="X698" s="36"/>
      <c r="Y698" s="36"/>
      <c r="Z698" s="36"/>
      <c r="AA698" s="36"/>
      <c r="AB698" s="36"/>
      <c r="AC698" s="36"/>
    </row>
    <row r="699" spans="17:29" x14ac:dyDescent="0.2">
      <c r="Q699" s="36"/>
      <c r="R699" s="40"/>
      <c r="S699" s="40"/>
      <c r="T699" s="40"/>
      <c r="U699" s="41"/>
      <c r="V699" s="41"/>
      <c r="W699" s="41"/>
      <c r="X699" s="36"/>
      <c r="Y699" s="36"/>
      <c r="Z699" s="36"/>
      <c r="AA699" s="36"/>
      <c r="AB699" s="36"/>
      <c r="AC699" s="36"/>
    </row>
    <row r="700" spans="17:29" x14ac:dyDescent="0.2">
      <c r="Q700" s="36"/>
      <c r="R700" s="40"/>
      <c r="S700" s="40"/>
      <c r="T700" s="40"/>
      <c r="U700" s="41"/>
      <c r="V700" s="41"/>
      <c r="W700" s="41"/>
      <c r="X700" s="36"/>
      <c r="Y700" s="36"/>
      <c r="Z700" s="36"/>
      <c r="AA700" s="36"/>
      <c r="AB700" s="36"/>
      <c r="AC700" s="36"/>
    </row>
    <row r="701" spans="17:29" x14ac:dyDescent="0.2">
      <c r="Q701" s="36"/>
      <c r="R701" s="40"/>
      <c r="S701" s="40"/>
      <c r="T701" s="40"/>
      <c r="U701" s="41"/>
      <c r="V701" s="41"/>
      <c r="W701" s="41"/>
      <c r="X701" s="36"/>
      <c r="Y701" s="36"/>
      <c r="Z701" s="36"/>
      <c r="AA701" s="36"/>
      <c r="AB701" s="36"/>
      <c r="AC701" s="36"/>
    </row>
    <row r="702" spans="17:29" x14ac:dyDescent="0.2">
      <c r="Q702" s="36"/>
      <c r="R702" s="40"/>
      <c r="S702" s="40"/>
      <c r="T702" s="40"/>
      <c r="U702" s="41"/>
      <c r="V702" s="41"/>
      <c r="W702" s="41"/>
      <c r="X702" s="36"/>
      <c r="Y702" s="36"/>
      <c r="Z702" s="36"/>
      <c r="AA702" s="36"/>
      <c r="AB702" s="36"/>
      <c r="AC702" s="36"/>
    </row>
    <row r="703" spans="17:29" x14ac:dyDescent="0.2">
      <c r="Q703" s="36"/>
      <c r="R703" s="40"/>
      <c r="S703" s="40"/>
      <c r="T703" s="40"/>
      <c r="U703" s="41"/>
      <c r="V703" s="41"/>
      <c r="W703" s="41"/>
      <c r="X703" s="36"/>
      <c r="Y703" s="36"/>
      <c r="Z703" s="36"/>
      <c r="AA703" s="36"/>
      <c r="AB703" s="36"/>
      <c r="AC703" s="36"/>
    </row>
    <row r="704" spans="17:29" x14ac:dyDescent="0.2">
      <c r="Q704" s="36"/>
      <c r="R704" s="40"/>
      <c r="S704" s="40"/>
      <c r="T704" s="40"/>
      <c r="U704" s="41"/>
      <c r="V704" s="41"/>
      <c r="W704" s="41"/>
      <c r="X704" s="36"/>
      <c r="Y704" s="36"/>
      <c r="Z704" s="36"/>
      <c r="AA704" s="36"/>
      <c r="AB704" s="36"/>
      <c r="AC704" s="36"/>
    </row>
    <row r="705" spans="17:29" x14ac:dyDescent="0.2">
      <c r="Q705" s="36"/>
      <c r="R705" s="40"/>
      <c r="S705" s="40"/>
      <c r="T705" s="40"/>
      <c r="U705" s="41"/>
      <c r="V705" s="41"/>
      <c r="W705" s="41"/>
      <c r="X705" s="36"/>
      <c r="Y705" s="36"/>
      <c r="Z705" s="36"/>
      <c r="AA705" s="36"/>
      <c r="AB705" s="36"/>
      <c r="AC705" s="36"/>
    </row>
    <row r="706" spans="17:29" x14ac:dyDescent="0.2">
      <c r="Q706" s="36"/>
      <c r="R706" s="40"/>
      <c r="S706" s="40"/>
      <c r="T706" s="40"/>
      <c r="U706" s="41"/>
      <c r="V706" s="41"/>
      <c r="W706" s="41"/>
      <c r="X706" s="36"/>
      <c r="Y706" s="36"/>
      <c r="Z706" s="36"/>
      <c r="AA706" s="36"/>
      <c r="AB706" s="36"/>
      <c r="AC706" s="36"/>
    </row>
    <row r="707" spans="17:29" x14ac:dyDescent="0.2">
      <c r="Q707" s="36"/>
      <c r="R707" s="40"/>
      <c r="S707" s="40"/>
      <c r="T707" s="40"/>
      <c r="U707" s="41"/>
      <c r="V707" s="41"/>
      <c r="W707" s="41"/>
      <c r="X707" s="36"/>
      <c r="Y707" s="36"/>
      <c r="Z707" s="36"/>
      <c r="AA707" s="36"/>
      <c r="AB707" s="36"/>
      <c r="AC707" s="36"/>
    </row>
    <row r="708" spans="17:29" x14ac:dyDescent="0.2">
      <c r="Q708" s="36"/>
      <c r="R708" s="40"/>
      <c r="S708" s="40"/>
      <c r="T708" s="40"/>
      <c r="U708" s="41"/>
      <c r="V708" s="41"/>
      <c r="W708" s="41"/>
      <c r="X708" s="36"/>
      <c r="Y708" s="36"/>
      <c r="Z708" s="36"/>
      <c r="AA708" s="36"/>
      <c r="AB708" s="36"/>
      <c r="AC708" s="36"/>
    </row>
    <row r="709" spans="17:29" x14ac:dyDescent="0.2">
      <c r="Q709" s="36"/>
      <c r="R709" s="40"/>
      <c r="S709" s="40"/>
      <c r="T709" s="40"/>
      <c r="U709" s="41"/>
      <c r="V709" s="41"/>
      <c r="W709" s="41"/>
      <c r="X709" s="36"/>
      <c r="Y709" s="36"/>
      <c r="Z709" s="36"/>
      <c r="AA709" s="36"/>
      <c r="AB709" s="36"/>
      <c r="AC709" s="36"/>
    </row>
    <row r="710" spans="17:29" x14ac:dyDescent="0.2">
      <c r="Q710" s="36"/>
      <c r="R710" s="40"/>
      <c r="S710" s="40"/>
      <c r="T710" s="40"/>
      <c r="U710" s="41"/>
      <c r="V710" s="41"/>
      <c r="W710" s="41"/>
      <c r="X710" s="36"/>
      <c r="Y710" s="36"/>
      <c r="Z710" s="36"/>
      <c r="AA710" s="36"/>
      <c r="AB710" s="36"/>
      <c r="AC710" s="36"/>
    </row>
    <row r="711" spans="17:29" x14ac:dyDescent="0.2">
      <c r="Q711" s="36"/>
      <c r="R711" s="40"/>
      <c r="S711" s="40"/>
      <c r="T711" s="40"/>
      <c r="U711" s="41"/>
      <c r="V711" s="41"/>
      <c r="W711" s="41"/>
      <c r="X711" s="36"/>
      <c r="Y711" s="36"/>
      <c r="Z711" s="36"/>
      <c r="AA711" s="36"/>
      <c r="AB711" s="36"/>
      <c r="AC711" s="36"/>
    </row>
    <row r="712" spans="17:29" x14ac:dyDescent="0.2">
      <c r="Q712" s="36"/>
      <c r="R712" s="40"/>
      <c r="S712" s="40"/>
      <c r="T712" s="40"/>
      <c r="U712" s="41"/>
      <c r="V712" s="41"/>
      <c r="W712" s="41"/>
      <c r="X712" s="36"/>
      <c r="Y712" s="36"/>
      <c r="Z712" s="36"/>
      <c r="AA712" s="36"/>
      <c r="AB712" s="36"/>
      <c r="AC712" s="36"/>
    </row>
    <row r="713" spans="17:29" x14ac:dyDescent="0.2">
      <c r="Q713" s="36"/>
      <c r="R713" s="40"/>
      <c r="S713" s="40"/>
      <c r="T713" s="40"/>
      <c r="U713" s="41"/>
      <c r="V713" s="41"/>
      <c r="W713" s="41"/>
      <c r="X713" s="36"/>
      <c r="Y713" s="36"/>
      <c r="Z713" s="36"/>
      <c r="AA713" s="36"/>
      <c r="AB713" s="36"/>
      <c r="AC713" s="36"/>
    </row>
    <row r="714" spans="17:29" x14ac:dyDescent="0.2">
      <c r="Q714" s="36"/>
      <c r="R714" s="40"/>
      <c r="S714" s="40"/>
      <c r="T714" s="40"/>
      <c r="U714" s="41"/>
      <c r="V714" s="41"/>
      <c r="W714" s="41"/>
      <c r="X714" s="36"/>
      <c r="Y714" s="36"/>
      <c r="Z714" s="36"/>
      <c r="AA714" s="36"/>
      <c r="AB714" s="36"/>
      <c r="AC714" s="36"/>
    </row>
    <row r="715" spans="17:29" x14ac:dyDescent="0.2">
      <c r="Q715" s="36"/>
      <c r="R715" s="40"/>
      <c r="S715" s="40"/>
      <c r="T715" s="40"/>
      <c r="U715" s="41"/>
      <c r="V715" s="41"/>
      <c r="W715" s="41"/>
      <c r="X715" s="36"/>
      <c r="Y715" s="36"/>
      <c r="Z715" s="36"/>
      <c r="AA715" s="36"/>
      <c r="AB715" s="36"/>
      <c r="AC715" s="36"/>
    </row>
    <row r="716" spans="17:29" x14ac:dyDescent="0.2">
      <c r="Q716" s="36"/>
      <c r="R716" s="40"/>
      <c r="S716" s="40"/>
      <c r="T716" s="40"/>
      <c r="U716" s="41"/>
      <c r="V716" s="41"/>
      <c r="W716" s="41"/>
      <c r="X716" s="36"/>
      <c r="Y716" s="36"/>
      <c r="Z716" s="36"/>
      <c r="AA716" s="36"/>
      <c r="AB716" s="36"/>
      <c r="AC716" s="36"/>
    </row>
    <row r="717" spans="17:29" x14ac:dyDescent="0.2">
      <c r="Q717" s="36"/>
      <c r="R717" s="40"/>
      <c r="S717" s="40"/>
      <c r="T717" s="40"/>
      <c r="U717" s="41"/>
      <c r="V717" s="41"/>
      <c r="W717" s="41"/>
      <c r="X717" s="36"/>
      <c r="Y717" s="36"/>
      <c r="Z717" s="36"/>
      <c r="AA717" s="36"/>
      <c r="AB717" s="36"/>
      <c r="AC717" s="36"/>
    </row>
    <row r="718" spans="17:29" x14ac:dyDescent="0.2">
      <c r="Q718" s="36"/>
      <c r="R718" s="40"/>
      <c r="S718" s="40"/>
      <c r="T718" s="40"/>
      <c r="U718" s="41"/>
      <c r="V718" s="41"/>
      <c r="W718" s="41"/>
      <c r="X718" s="36"/>
      <c r="Y718" s="36"/>
      <c r="Z718" s="36"/>
      <c r="AA718" s="36"/>
      <c r="AB718" s="36"/>
      <c r="AC718" s="36"/>
    </row>
    <row r="719" spans="17:29" x14ac:dyDescent="0.2">
      <c r="Q719" s="36"/>
      <c r="R719" s="40"/>
      <c r="S719" s="40"/>
      <c r="T719" s="40"/>
      <c r="U719" s="41"/>
      <c r="V719" s="41"/>
      <c r="W719" s="41"/>
      <c r="X719" s="36"/>
      <c r="Y719" s="36"/>
      <c r="Z719" s="36"/>
      <c r="AA719" s="36"/>
      <c r="AB719" s="36"/>
      <c r="AC719" s="36"/>
    </row>
    <row r="720" spans="17:29" x14ac:dyDescent="0.2">
      <c r="Q720" s="36"/>
      <c r="R720" s="40"/>
      <c r="S720" s="40"/>
      <c r="T720" s="40"/>
      <c r="U720" s="41"/>
      <c r="V720" s="41"/>
      <c r="W720" s="41"/>
      <c r="X720" s="36"/>
      <c r="Y720" s="36"/>
      <c r="Z720" s="36"/>
      <c r="AA720" s="36"/>
      <c r="AB720" s="36"/>
      <c r="AC720" s="36"/>
    </row>
    <row r="721" spans="17:29" x14ac:dyDescent="0.2">
      <c r="Q721" s="36"/>
      <c r="R721" s="40"/>
      <c r="S721" s="40"/>
      <c r="T721" s="40"/>
      <c r="U721" s="41"/>
      <c r="V721" s="41"/>
      <c r="W721" s="41"/>
      <c r="X721" s="36"/>
      <c r="Y721" s="36"/>
      <c r="Z721" s="36"/>
      <c r="AA721" s="36"/>
      <c r="AB721" s="36"/>
      <c r="AC721" s="36"/>
    </row>
    <row r="722" spans="17:29" x14ac:dyDescent="0.2">
      <c r="Q722" s="36"/>
      <c r="R722" s="40"/>
      <c r="S722" s="40"/>
      <c r="T722" s="40"/>
      <c r="U722" s="41"/>
      <c r="V722" s="41"/>
      <c r="W722" s="41"/>
      <c r="X722" s="36"/>
      <c r="Y722" s="36"/>
      <c r="Z722" s="36"/>
      <c r="AA722" s="36"/>
      <c r="AB722" s="36"/>
      <c r="AC722" s="36"/>
    </row>
    <row r="723" spans="17:29" x14ac:dyDescent="0.2">
      <c r="Q723" s="36"/>
      <c r="R723" s="40"/>
      <c r="S723" s="40"/>
      <c r="T723" s="40"/>
      <c r="U723" s="41"/>
      <c r="V723" s="41"/>
      <c r="W723" s="41"/>
      <c r="X723" s="36"/>
      <c r="Y723" s="36"/>
      <c r="Z723" s="36"/>
      <c r="AA723" s="36"/>
      <c r="AB723" s="36"/>
      <c r="AC723" s="36"/>
    </row>
    <row r="724" spans="17:29" x14ac:dyDescent="0.2">
      <c r="Q724" s="36"/>
      <c r="R724" s="40"/>
      <c r="S724" s="40"/>
      <c r="T724" s="40"/>
      <c r="U724" s="41"/>
      <c r="V724" s="41"/>
      <c r="W724" s="41"/>
      <c r="X724" s="36"/>
      <c r="Y724" s="36"/>
      <c r="Z724" s="36"/>
      <c r="AA724" s="36"/>
      <c r="AB724" s="36"/>
      <c r="AC724" s="36"/>
    </row>
    <row r="725" spans="17:29" x14ac:dyDescent="0.2">
      <c r="Q725" s="36"/>
      <c r="R725" s="40"/>
      <c r="S725" s="40"/>
      <c r="T725" s="40"/>
      <c r="U725" s="41"/>
      <c r="V725" s="41"/>
      <c r="W725" s="41"/>
      <c r="X725" s="36"/>
      <c r="Y725" s="36"/>
      <c r="Z725" s="36"/>
      <c r="AA725" s="36"/>
      <c r="AB725" s="36"/>
      <c r="AC725" s="36"/>
    </row>
    <row r="726" spans="17:29" x14ac:dyDescent="0.2">
      <c r="Q726" s="36"/>
      <c r="R726" s="40"/>
      <c r="S726" s="40"/>
      <c r="T726" s="40"/>
      <c r="U726" s="41"/>
      <c r="V726" s="41"/>
      <c r="W726" s="41"/>
      <c r="X726" s="36"/>
      <c r="Y726" s="36"/>
      <c r="Z726" s="36"/>
      <c r="AA726" s="36"/>
      <c r="AB726" s="36"/>
      <c r="AC726" s="36"/>
    </row>
    <row r="727" spans="17:29" x14ac:dyDescent="0.2">
      <c r="Q727" s="36"/>
      <c r="R727" s="40"/>
      <c r="S727" s="40"/>
      <c r="T727" s="40"/>
      <c r="U727" s="41"/>
      <c r="V727" s="41"/>
      <c r="W727" s="41"/>
      <c r="X727" s="36"/>
      <c r="Y727" s="36"/>
      <c r="Z727" s="36"/>
      <c r="AA727" s="36"/>
      <c r="AB727" s="36"/>
      <c r="AC727" s="36"/>
    </row>
    <row r="728" spans="17:29" x14ac:dyDescent="0.2">
      <c r="Q728" s="36"/>
      <c r="R728" s="40"/>
      <c r="S728" s="40"/>
      <c r="T728" s="40"/>
      <c r="U728" s="41"/>
      <c r="V728" s="41"/>
      <c r="W728" s="41"/>
      <c r="X728" s="36"/>
      <c r="Y728" s="36"/>
      <c r="Z728" s="36"/>
      <c r="AA728" s="36"/>
      <c r="AB728" s="36"/>
      <c r="AC728" s="36"/>
    </row>
    <row r="729" spans="17:29" x14ac:dyDescent="0.2">
      <c r="Q729" s="36"/>
      <c r="R729" s="40"/>
      <c r="S729" s="40"/>
      <c r="T729" s="40"/>
      <c r="U729" s="41"/>
      <c r="V729" s="41"/>
      <c r="W729" s="41"/>
      <c r="X729" s="36"/>
      <c r="Y729" s="36"/>
      <c r="Z729" s="36"/>
      <c r="AA729" s="36"/>
      <c r="AB729" s="36"/>
      <c r="AC729" s="36"/>
    </row>
    <row r="730" spans="17:29" x14ac:dyDescent="0.2">
      <c r="Q730" s="36"/>
      <c r="R730" s="40"/>
      <c r="S730" s="40"/>
      <c r="T730" s="40"/>
      <c r="U730" s="41"/>
      <c r="V730" s="41"/>
      <c r="W730" s="41"/>
      <c r="X730" s="36"/>
      <c r="Y730" s="36"/>
      <c r="Z730" s="36"/>
      <c r="AA730" s="36"/>
      <c r="AB730" s="36"/>
      <c r="AC730" s="36"/>
    </row>
    <row r="731" spans="17:29" x14ac:dyDescent="0.2">
      <c r="Q731" s="36"/>
      <c r="R731" s="40"/>
      <c r="S731" s="40"/>
      <c r="T731" s="40"/>
      <c r="U731" s="41"/>
      <c r="V731" s="41"/>
      <c r="W731" s="41"/>
      <c r="X731" s="36"/>
      <c r="Y731" s="36"/>
      <c r="Z731" s="36"/>
      <c r="AA731" s="36"/>
      <c r="AB731" s="36"/>
      <c r="AC731" s="36"/>
    </row>
    <row r="732" spans="17:29" x14ac:dyDescent="0.2">
      <c r="Q732" s="36"/>
      <c r="R732" s="40"/>
      <c r="S732" s="40"/>
      <c r="T732" s="40"/>
      <c r="U732" s="41"/>
      <c r="V732" s="41"/>
      <c r="W732" s="41"/>
      <c r="X732" s="36"/>
      <c r="Y732" s="36"/>
      <c r="Z732" s="36"/>
      <c r="AA732" s="36"/>
      <c r="AB732" s="36"/>
      <c r="AC732" s="36"/>
    </row>
    <row r="733" spans="17:29" x14ac:dyDescent="0.2">
      <c r="Q733" s="36"/>
      <c r="R733" s="40"/>
      <c r="S733" s="40"/>
      <c r="T733" s="40"/>
      <c r="U733" s="41"/>
      <c r="V733" s="41"/>
      <c r="W733" s="41"/>
      <c r="X733" s="36"/>
      <c r="Y733" s="36"/>
      <c r="Z733" s="36"/>
      <c r="AA733" s="36"/>
      <c r="AB733" s="36"/>
      <c r="AC733" s="36"/>
    </row>
    <row r="734" spans="17:29" x14ac:dyDescent="0.2">
      <c r="Q734" s="36"/>
      <c r="R734" s="40"/>
      <c r="S734" s="40"/>
      <c r="T734" s="40"/>
      <c r="U734" s="41"/>
      <c r="V734" s="41"/>
      <c r="W734" s="41"/>
      <c r="X734" s="36"/>
      <c r="Y734" s="36"/>
      <c r="Z734" s="36"/>
      <c r="AA734" s="36"/>
      <c r="AB734" s="36"/>
      <c r="AC734" s="36"/>
    </row>
    <row r="735" spans="17:29" x14ac:dyDescent="0.2">
      <c r="Q735" s="36"/>
      <c r="R735" s="40"/>
      <c r="S735" s="40"/>
      <c r="T735" s="40"/>
      <c r="U735" s="41"/>
      <c r="V735" s="41"/>
      <c r="W735" s="41"/>
      <c r="X735" s="36"/>
      <c r="Y735" s="36"/>
      <c r="Z735" s="36"/>
      <c r="AA735" s="36"/>
      <c r="AB735" s="36"/>
      <c r="AC735" s="36"/>
    </row>
    <row r="736" spans="17:29" x14ac:dyDescent="0.2">
      <c r="Q736" s="36"/>
      <c r="R736" s="40"/>
      <c r="S736" s="40"/>
      <c r="T736" s="40"/>
      <c r="U736" s="41"/>
      <c r="V736" s="41"/>
      <c r="W736" s="41"/>
      <c r="X736" s="36"/>
      <c r="Y736" s="36"/>
      <c r="Z736" s="36"/>
      <c r="AA736" s="36"/>
      <c r="AB736" s="36"/>
      <c r="AC736" s="36"/>
    </row>
    <row r="737" spans="17:29" x14ac:dyDescent="0.2">
      <c r="Q737" s="36"/>
      <c r="R737" s="40"/>
      <c r="S737" s="40"/>
      <c r="T737" s="40"/>
      <c r="U737" s="41"/>
      <c r="V737" s="41"/>
      <c r="W737" s="41"/>
      <c r="X737" s="36"/>
      <c r="Y737" s="36"/>
      <c r="Z737" s="36"/>
      <c r="AA737" s="36"/>
      <c r="AB737" s="36"/>
      <c r="AC737" s="36"/>
    </row>
    <row r="738" spans="17:29" x14ac:dyDescent="0.2">
      <c r="Q738" s="36"/>
      <c r="R738" s="40"/>
      <c r="S738" s="40"/>
      <c r="T738" s="40"/>
      <c r="U738" s="41"/>
      <c r="V738" s="41"/>
      <c r="W738" s="41"/>
      <c r="X738" s="36"/>
      <c r="Y738" s="36"/>
      <c r="Z738" s="36"/>
      <c r="AA738" s="36"/>
      <c r="AB738" s="36"/>
      <c r="AC738" s="36"/>
    </row>
    <row r="739" spans="17:29" x14ac:dyDescent="0.2">
      <c r="Q739" s="36"/>
      <c r="R739" s="40"/>
      <c r="S739" s="40"/>
      <c r="T739" s="40"/>
      <c r="U739" s="41"/>
      <c r="V739" s="41"/>
      <c r="W739" s="41"/>
      <c r="X739" s="36"/>
      <c r="Y739" s="36"/>
      <c r="Z739" s="36"/>
      <c r="AA739" s="36"/>
      <c r="AB739" s="36"/>
      <c r="AC739" s="36"/>
    </row>
    <row r="740" spans="17:29" x14ac:dyDescent="0.2">
      <c r="Q740" s="36"/>
      <c r="R740" s="40"/>
      <c r="S740" s="40"/>
      <c r="T740" s="40"/>
      <c r="U740" s="41"/>
      <c r="V740" s="41"/>
      <c r="W740" s="41"/>
      <c r="X740" s="36"/>
      <c r="Y740" s="36"/>
      <c r="Z740" s="36"/>
      <c r="AA740" s="36"/>
      <c r="AB740" s="36"/>
      <c r="AC740" s="36"/>
    </row>
    <row r="741" spans="17:29" x14ac:dyDescent="0.2">
      <c r="Q741" s="36"/>
      <c r="R741" s="40"/>
      <c r="S741" s="40"/>
      <c r="T741" s="40"/>
      <c r="U741" s="41"/>
      <c r="V741" s="41"/>
      <c r="W741" s="41"/>
      <c r="X741" s="36"/>
      <c r="Y741" s="36"/>
      <c r="Z741" s="36"/>
      <c r="AA741" s="36"/>
      <c r="AB741" s="36"/>
      <c r="AC741" s="36"/>
    </row>
    <row r="742" spans="17:29" x14ac:dyDescent="0.2">
      <c r="Q742" s="36"/>
      <c r="R742" s="40"/>
      <c r="S742" s="40"/>
      <c r="T742" s="40"/>
      <c r="U742" s="41"/>
      <c r="V742" s="41"/>
      <c r="W742" s="41"/>
      <c r="X742" s="36"/>
      <c r="Y742" s="36"/>
      <c r="Z742" s="36"/>
      <c r="AA742" s="36"/>
      <c r="AB742" s="36"/>
      <c r="AC742" s="36"/>
    </row>
    <row r="743" spans="17:29" x14ac:dyDescent="0.2">
      <c r="Q743" s="36"/>
      <c r="R743" s="40"/>
      <c r="S743" s="40"/>
      <c r="T743" s="40"/>
      <c r="U743" s="41"/>
      <c r="V743" s="41"/>
      <c r="W743" s="41"/>
      <c r="X743" s="36"/>
      <c r="Y743" s="36"/>
      <c r="Z743" s="36"/>
      <c r="AA743" s="36"/>
      <c r="AB743" s="36"/>
      <c r="AC743" s="36"/>
    </row>
    <row r="744" spans="17:29" x14ac:dyDescent="0.2">
      <c r="Q744" s="36"/>
      <c r="R744" s="40"/>
      <c r="S744" s="40"/>
      <c r="T744" s="40"/>
      <c r="U744" s="41"/>
      <c r="V744" s="41"/>
      <c r="W744" s="41"/>
      <c r="X744" s="36"/>
      <c r="Y744" s="36"/>
      <c r="Z744" s="36"/>
      <c r="AA744" s="36"/>
      <c r="AB744" s="36"/>
      <c r="AC744" s="36"/>
    </row>
    <row r="745" spans="17:29" x14ac:dyDescent="0.2">
      <c r="Q745" s="36"/>
      <c r="R745" s="40"/>
      <c r="S745" s="40"/>
      <c r="T745" s="40"/>
      <c r="U745" s="41"/>
      <c r="V745" s="41"/>
      <c r="W745" s="41"/>
      <c r="X745" s="36"/>
      <c r="Y745" s="36"/>
      <c r="Z745" s="36"/>
      <c r="AA745" s="36"/>
      <c r="AB745" s="36"/>
      <c r="AC745" s="36"/>
    </row>
    <row r="746" spans="17:29" x14ac:dyDescent="0.2">
      <c r="Q746" s="36"/>
      <c r="R746" s="40"/>
      <c r="S746" s="40"/>
      <c r="T746" s="40"/>
      <c r="U746" s="41"/>
      <c r="V746" s="41"/>
      <c r="W746" s="41"/>
      <c r="X746" s="36"/>
      <c r="Y746" s="36"/>
      <c r="Z746" s="36"/>
      <c r="AA746" s="36"/>
      <c r="AB746" s="36"/>
      <c r="AC746" s="36"/>
    </row>
    <row r="747" spans="17:29" x14ac:dyDescent="0.2">
      <c r="Q747" s="36"/>
      <c r="R747" s="40"/>
      <c r="S747" s="40"/>
      <c r="T747" s="40"/>
      <c r="U747" s="41"/>
      <c r="V747" s="41"/>
      <c r="W747" s="41"/>
      <c r="X747" s="36"/>
      <c r="Y747" s="36"/>
      <c r="Z747" s="36"/>
      <c r="AA747" s="36"/>
      <c r="AB747" s="36"/>
      <c r="AC747" s="36"/>
    </row>
    <row r="748" spans="17:29" x14ac:dyDescent="0.2">
      <c r="Q748" s="36"/>
      <c r="R748" s="40"/>
      <c r="S748" s="40"/>
      <c r="T748" s="40"/>
      <c r="U748" s="41"/>
      <c r="V748" s="41"/>
      <c r="W748" s="41"/>
      <c r="X748" s="36"/>
      <c r="Y748" s="36"/>
      <c r="Z748" s="36"/>
      <c r="AA748" s="36"/>
      <c r="AB748" s="36"/>
      <c r="AC748" s="36"/>
    </row>
    <row r="749" spans="17:29" x14ac:dyDescent="0.2">
      <c r="Q749" s="36"/>
      <c r="R749" s="40"/>
      <c r="S749" s="40"/>
      <c r="T749" s="40"/>
      <c r="U749" s="41"/>
      <c r="V749" s="41"/>
      <c r="W749" s="41"/>
      <c r="X749" s="36"/>
      <c r="Y749" s="36"/>
      <c r="Z749" s="36"/>
      <c r="AA749" s="36"/>
      <c r="AB749" s="36"/>
      <c r="AC749" s="36"/>
    </row>
    <row r="750" spans="17:29" x14ac:dyDescent="0.2">
      <c r="Q750" s="36"/>
      <c r="R750" s="40"/>
      <c r="S750" s="40"/>
      <c r="T750" s="40"/>
      <c r="U750" s="41"/>
      <c r="V750" s="41"/>
      <c r="W750" s="41"/>
      <c r="X750" s="36"/>
      <c r="Y750" s="36"/>
      <c r="Z750" s="36"/>
      <c r="AA750" s="36"/>
      <c r="AB750" s="36"/>
      <c r="AC750" s="36"/>
    </row>
    <row r="751" spans="17:29" x14ac:dyDescent="0.2">
      <c r="Q751" s="36"/>
      <c r="R751" s="40"/>
      <c r="S751" s="40"/>
      <c r="T751" s="40"/>
      <c r="U751" s="41"/>
      <c r="V751" s="41"/>
      <c r="W751" s="41"/>
      <c r="X751" s="36"/>
      <c r="Y751" s="36"/>
      <c r="Z751" s="36"/>
      <c r="AA751" s="36"/>
      <c r="AB751" s="36"/>
      <c r="AC751" s="36"/>
    </row>
    <row r="752" spans="17:29" x14ac:dyDescent="0.2">
      <c r="Q752" s="36"/>
      <c r="R752" s="40"/>
      <c r="S752" s="40"/>
      <c r="T752" s="40"/>
      <c r="U752" s="41"/>
      <c r="V752" s="41"/>
      <c r="W752" s="41"/>
      <c r="X752" s="36"/>
      <c r="Y752" s="36"/>
      <c r="Z752" s="36"/>
      <c r="AA752" s="36"/>
      <c r="AB752" s="36"/>
      <c r="AC752" s="36"/>
    </row>
    <row r="753" spans="17:29" x14ac:dyDescent="0.2">
      <c r="Q753" s="36"/>
      <c r="R753" s="40"/>
      <c r="S753" s="40"/>
      <c r="T753" s="40"/>
      <c r="U753" s="41"/>
      <c r="V753" s="41"/>
      <c r="W753" s="41"/>
      <c r="X753" s="36"/>
      <c r="Y753" s="36"/>
      <c r="Z753" s="36"/>
      <c r="AA753" s="36"/>
      <c r="AB753" s="36"/>
      <c r="AC753" s="36"/>
    </row>
    <row r="754" spans="17:29" x14ac:dyDescent="0.2">
      <c r="Q754" s="36"/>
      <c r="R754" s="40"/>
      <c r="S754" s="40"/>
      <c r="T754" s="40"/>
      <c r="U754" s="41"/>
      <c r="V754" s="41"/>
      <c r="W754" s="41"/>
      <c r="X754" s="36"/>
      <c r="Y754" s="36"/>
      <c r="Z754" s="36"/>
      <c r="AA754" s="36"/>
      <c r="AB754" s="36"/>
      <c r="AC754" s="36"/>
    </row>
    <row r="755" spans="17:29" x14ac:dyDescent="0.2">
      <c r="Q755" s="36"/>
      <c r="R755" s="40"/>
      <c r="S755" s="40"/>
      <c r="T755" s="40"/>
      <c r="U755" s="41"/>
      <c r="V755" s="41"/>
      <c r="W755" s="41"/>
      <c r="X755" s="36"/>
      <c r="Y755" s="36"/>
      <c r="Z755" s="36"/>
      <c r="AA755" s="36"/>
      <c r="AB755" s="36"/>
      <c r="AC755" s="36"/>
    </row>
    <row r="756" spans="17:29" x14ac:dyDescent="0.2">
      <c r="Q756" s="36"/>
      <c r="R756" s="40"/>
      <c r="S756" s="40"/>
      <c r="T756" s="40"/>
      <c r="U756" s="41"/>
      <c r="V756" s="41"/>
      <c r="W756" s="41"/>
      <c r="X756" s="36"/>
      <c r="Y756" s="36"/>
      <c r="Z756" s="36"/>
      <c r="AA756" s="36"/>
      <c r="AB756" s="36"/>
      <c r="AC756" s="36"/>
    </row>
    <row r="757" spans="17:29" x14ac:dyDescent="0.2">
      <c r="Q757" s="36"/>
      <c r="R757" s="40"/>
      <c r="S757" s="40"/>
      <c r="T757" s="40"/>
      <c r="U757" s="41"/>
      <c r="V757" s="41"/>
      <c r="W757" s="41"/>
      <c r="X757" s="36"/>
      <c r="Y757" s="36"/>
      <c r="Z757" s="36"/>
      <c r="AA757" s="36"/>
      <c r="AB757" s="36"/>
      <c r="AC757" s="36"/>
    </row>
    <row r="758" spans="17:29" x14ac:dyDescent="0.2">
      <c r="Q758" s="36"/>
      <c r="R758" s="40"/>
      <c r="S758" s="40"/>
      <c r="T758" s="40"/>
      <c r="U758" s="41"/>
      <c r="V758" s="41"/>
      <c r="W758" s="41"/>
      <c r="X758" s="36"/>
      <c r="Y758" s="36"/>
      <c r="Z758" s="36"/>
      <c r="AA758" s="36"/>
      <c r="AB758" s="36"/>
      <c r="AC758" s="36"/>
    </row>
    <row r="759" spans="17:29" x14ac:dyDescent="0.2">
      <c r="Q759" s="36"/>
      <c r="R759" s="40"/>
      <c r="S759" s="40"/>
      <c r="T759" s="40"/>
      <c r="U759" s="41"/>
      <c r="V759" s="41"/>
      <c r="W759" s="41"/>
      <c r="X759" s="36"/>
      <c r="Y759" s="36"/>
      <c r="Z759" s="36"/>
      <c r="AA759" s="36"/>
      <c r="AB759" s="36"/>
      <c r="AC759" s="36"/>
    </row>
    <row r="760" spans="17:29" x14ac:dyDescent="0.2">
      <c r="Q760" s="36"/>
      <c r="R760" s="40"/>
      <c r="S760" s="40"/>
      <c r="T760" s="40"/>
      <c r="U760" s="41"/>
      <c r="V760" s="41"/>
      <c r="W760" s="41"/>
      <c r="X760" s="36"/>
      <c r="Y760" s="36"/>
      <c r="Z760" s="36"/>
      <c r="AA760" s="36"/>
      <c r="AB760" s="36"/>
      <c r="AC760" s="36"/>
    </row>
    <row r="761" spans="17:29" x14ac:dyDescent="0.2">
      <c r="Q761" s="36"/>
      <c r="R761" s="40"/>
      <c r="S761" s="40"/>
      <c r="T761" s="40"/>
      <c r="U761" s="41"/>
      <c r="V761" s="41"/>
      <c r="W761" s="41"/>
      <c r="X761" s="36"/>
      <c r="Y761" s="36"/>
      <c r="Z761" s="36"/>
      <c r="AA761" s="36"/>
      <c r="AB761" s="36"/>
      <c r="AC761" s="36"/>
    </row>
    <row r="762" spans="17:29" x14ac:dyDescent="0.2">
      <c r="Q762" s="36"/>
      <c r="R762" s="40"/>
      <c r="S762" s="40"/>
      <c r="T762" s="40"/>
      <c r="U762" s="41"/>
      <c r="V762" s="41"/>
      <c r="W762" s="41"/>
      <c r="X762" s="36"/>
      <c r="Y762" s="36"/>
      <c r="Z762" s="36"/>
      <c r="AA762" s="36"/>
      <c r="AB762" s="36"/>
      <c r="AC762" s="36"/>
    </row>
    <row r="763" spans="17:29" x14ac:dyDescent="0.2">
      <c r="Q763" s="36"/>
      <c r="R763" s="40"/>
      <c r="S763" s="40"/>
      <c r="T763" s="40"/>
      <c r="U763" s="41"/>
      <c r="V763" s="41"/>
      <c r="W763" s="41"/>
      <c r="X763" s="36"/>
      <c r="Y763" s="36"/>
      <c r="Z763" s="36"/>
      <c r="AA763" s="36"/>
      <c r="AB763" s="36"/>
      <c r="AC763" s="36"/>
    </row>
    <row r="764" spans="17:29" x14ac:dyDescent="0.2">
      <c r="Q764" s="36"/>
      <c r="R764" s="40"/>
      <c r="S764" s="40"/>
      <c r="T764" s="40"/>
      <c r="U764" s="41"/>
      <c r="V764" s="41"/>
      <c r="W764" s="41"/>
      <c r="X764" s="36"/>
      <c r="Y764" s="36"/>
      <c r="Z764" s="36"/>
      <c r="AA764" s="36"/>
      <c r="AB764" s="36"/>
      <c r="AC764" s="36"/>
    </row>
    <row r="765" spans="17:29" x14ac:dyDescent="0.2">
      <c r="Q765" s="36"/>
      <c r="R765" s="40"/>
      <c r="S765" s="40"/>
      <c r="T765" s="40"/>
      <c r="U765" s="41"/>
      <c r="V765" s="41"/>
      <c r="W765" s="41"/>
      <c r="X765" s="36"/>
      <c r="Y765" s="36"/>
      <c r="Z765" s="36"/>
      <c r="AA765" s="36"/>
      <c r="AB765" s="36"/>
      <c r="AC765" s="36"/>
    </row>
    <row r="766" spans="17:29" x14ac:dyDescent="0.2">
      <c r="Q766" s="36"/>
      <c r="R766" s="40"/>
      <c r="S766" s="40"/>
      <c r="T766" s="40"/>
      <c r="U766" s="41"/>
      <c r="V766" s="41"/>
      <c r="W766" s="41"/>
      <c r="X766" s="36"/>
      <c r="Y766" s="36"/>
      <c r="Z766" s="36"/>
      <c r="AA766" s="36"/>
      <c r="AB766" s="36"/>
      <c r="AC766" s="36"/>
    </row>
    <row r="767" spans="17:29" x14ac:dyDescent="0.2">
      <c r="Q767" s="36"/>
      <c r="R767" s="40"/>
      <c r="S767" s="40"/>
      <c r="T767" s="40"/>
      <c r="U767" s="41"/>
      <c r="V767" s="41"/>
      <c r="W767" s="41"/>
      <c r="X767" s="36"/>
      <c r="Y767" s="36"/>
      <c r="Z767" s="36"/>
      <c r="AA767" s="36"/>
      <c r="AB767" s="36"/>
      <c r="AC767" s="36"/>
    </row>
    <row r="768" spans="17:29" x14ac:dyDescent="0.2">
      <c r="Q768" s="36"/>
      <c r="R768" s="40"/>
      <c r="S768" s="40"/>
      <c r="T768" s="40"/>
      <c r="U768" s="41"/>
      <c r="V768" s="41"/>
      <c r="W768" s="41"/>
      <c r="X768" s="36"/>
      <c r="Y768" s="36"/>
      <c r="Z768" s="36"/>
      <c r="AA768" s="36"/>
      <c r="AB768" s="36"/>
      <c r="AC768" s="36"/>
    </row>
    <row r="769" spans="17:29" x14ac:dyDescent="0.2">
      <c r="Q769" s="36"/>
      <c r="R769" s="40"/>
      <c r="S769" s="40"/>
      <c r="T769" s="40"/>
      <c r="U769" s="41"/>
      <c r="V769" s="41"/>
      <c r="W769" s="41"/>
      <c r="X769" s="36"/>
      <c r="Y769" s="36"/>
      <c r="Z769" s="36"/>
      <c r="AA769" s="36"/>
      <c r="AB769" s="36"/>
      <c r="AC769" s="36"/>
    </row>
    <row r="770" spans="17:29" x14ac:dyDescent="0.2">
      <c r="Q770" s="36"/>
      <c r="R770" s="40"/>
      <c r="S770" s="40"/>
      <c r="T770" s="40"/>
      <c r="U770" s="41"/>
      <c r="V770" s="41"/>
      <c r="W770" s="41"/>
      <c r="X770" s="36"/>
      <c r="Y770" s="36"/>
      <c r="Z770" s="36"/>
      <c r="AA770" s="36"/>
      <c r="AB770" s="36"/>
      <c r="AC770" s="36"/>
    </row>
    <row r="771" spans="17:29" x14ac:dyDescent="0.2">
      <c r="Q771" s="36"/>
      <c r="R771" s="40"/>
      <c r="S771" s="40"/>
      <c r="T771" s="40"/>
      <c r="U771" s="41"/>
      <c r="V771" s="41"/>
      <c r="W771" s="41"/>
      <c r="X771" s="36"/>
      <c r="Y771" s="36"/>
      <c r="Z771" s="36"/>
      <c r="AA771" s="36"/>
      <c r="AB771" s="36"/>
      <c r="AC771" s="36"/>
    </row>
    <row r="772" spans="17:29" x14ac:dyDescent="0.2">
      <c r="Q772" s="36"/>
      <c r="R772" s="40"/>
      <c r="S772" s="40"/>
      <c r="T772" s="40"/>
      <c r="U772" s="41"/>
      <c r="V772" s="41"/>
      <c r="W772" s="41"/>
      <c r="X772" s="36"/>
      <c r="Y772" s="36"/>
      <c r="Z772" s="36"/>
      <c r="AA772" s="36"/>
      <c r="AB772" s="36"/>
      <c r="AC772" s="36"/>
    </row>
    <row r="773" spans="17:29" x14ac:dyDescent="0.2">
      <c r="Q773" s="36"/>
      <c r="R773" s="40"/>
      <c r="S773" s="40"/>
      <c r="T773" s="40"/>
      <c r="U773" s="41"/>
      <c r="V773" s="41"/>
      <c r="W773" s="41"/>
      <c r="X773" s="36"/>
      <c r="Y773" s="36"/>
      <c r="Z773" s="36"/>
      <c r="AA773" s="36"/>
      <c r="AB773" s="36"/>
      <c r="AC773" s="36"/>
    </row>
    <row r="774" spans="17:29" x14ac:dyDescent="0.2">
      <c r="Q774" s="36"/>
      <c r="R774" s="40"/>
      <c r="S774" s="40"/>
      <c r="T774" s="40"/>
      <c r="U774" s="41"/>
      <c r="V774" s="41"/>
      <c r="W774" s="41"/>
      <c r="X774" s="36"/>
      <c r="Y774" s="36"/>
      <c r="Z774" s="36"/>
      <c r="AA774" s="36"/>
      <c r="AB774" s="36"/>
      <c r="AC774" s="36"/>
    </row>
    <row r="775" spans="17:29" x14ac:dyDescent="0.2">
      <c r="Q775" s="36"/>
      <c r="R775" s="40"/>
      <c r="S775" s="40"/>
      <c r="T775" s="40"/>
      <c r="U775" s="41"/>
      <c r="V775" s="41"/>
      <c r="W775" s="41"/>
      <c r="X775" s="36"/>
      <c r="Y775" s="36"/>
      <c r="Z775" s="36"/>
      <c r="AA775" s="36"/>
      <c r="AB775" s="36"/>
      <c r="AC775" s="36"/>
    </row>
    <row r="776" spans="17:29" x14ac:dyDescent="0.2">
      <c r="Q776" s="36"/>
      <c r="R776" s="40"/>
      <c r="S776" s="40"/>
      <c r="T776" s="40"/>
      <c r="U776" s="41"/>
      <c r="V776" s="41"/>
      <c r="W776" s="41"/>
      <c r="X776" s="36"/>
      <c r="Y776" s="36"/>
      <c r="Z776" s="36"/>
      <c r="AA776" s="36"/>
      <c r="AB776" s="36"/>
      <c r="AC776" s="36"/>
    </row>
    <row r="777" spans="17:29" x14ac:dyDescent="0.2">
      <c r="Q777" s="36"/>
      <c r="R777" s="40"/>
      <c r="S777" s="40"/>
      <c r="T777" s="40"/>
      <c r="U777" s="41"/>
      <c r="V777" s="41"/>
      <c r="W777" s="41"/>
      <c r="X777" s="36"/>
      <c r="Y777" s="36"/>
      <c r="Z777" s="36"/>
      <c r="AA777" s="36"/>
      <c r="AB777" s="36"/>
      <c r="AC777" s="36"/>
    </row>
    <row r="778" spans="17:29" x14ac:dyDescent="0.2">
      <c r="Q778" s="36"/>
      <c r="R778" s="40"/>
      <c r="S778" s="40"/>
      <c r="T778" s="40"/>
      <c r="U778" s="41"/>
      <c r="V778" s="41"/>
      <c r="W778" s="41"/>
      <c r="X778" s="36"/>
      <c r="Y778" s="36"/>
      <c r="Z778" s="36"/>
      <c r="AA778" s="36"/>
      <c r="AB778" s="36"/>
      <c r="AC778" s="36"/>
    </row>
    <row r="779" spans="17:29" x14ac:dyDescent="0.2">
      <c r="Q779" s="36"/>
      <c r="R779" s="40"/>
      <c r="S779" s="40"/>
      <c r="T779" s="40"/>
      <c r="U779" s="41"/>
      <c r="V779" s="41"/>
      <c r="W779" s="41"/>
      <c r="X779" s="36"/>
      <c r="Y779" s="36"/>
      <c r="Z779" s="36"/>
      <c r="AA779" s="36"/>
      <c r="AB779" s="36"/>
      <c r="AC779" s="36"/>
    </row>
    <row r="780" spans="17:29" x14ac:dyDescent="0.2">
      <c r="Q780" s="36"/>
      <c r="R780" s="40"/>
      <c r="S780" s="40"/>
      <c r="T780" s="40"/>
      <c r="U780" s="41"/>
      <c r="V780" s="41"/>
      <c r="W780" s="41"/>
      <c r="X780" s="36"/>
      <c r="Y780" s="36"/>
      <c r="Z780" s="36"/>
      <c r="AA780" s="36"/>
      <c r="AB780" s="36"/>
      <c r="AC780" s="36"/>
    </row>
    <row r="781" spans="17:29" x14ac:dyDescent="0.2">
      <c r="Q781" s="36"/>
      <c r="R781" s="40"/>
      <c r="S781" s="40"/>
      <c r="T781" s="40"/>
      <c r="U781" s="41"/>
      <c r="V781" s="41"/>
      <c r="W781" s="41"/>
      <c r="X781" s="36"/>
      <c r="Y781" s="36"/>
      <c r="Z781" s="36"/>
      <c r="AA781" s="36"/>
      <c r="AB781" s="36"/>
      <c r="AC781" s="36"/>
    </row>
    <row r="782" spans="17:29" x14ac:dyDescent="0.2">
      <c r="Q782" s="36"/>
      <c r="R782" s="40"/>
      <c r="S782" s="40"/>
      <c r="T782" s="40"/>
      <c r="U782" s="41"/>
      <c r="V782" s="41"/>
      <c r="W782" s="41"/>
      <c r="X782" s="36"/>
      <c r="Y782" s="36"/>
      <c r="Z782" s="36"/>
      <c r="AA782" s="36"/>
      <c r="AB782" s="36"/>
      <c r="AC782" s="36"/>
    </row>
    <row r="783" spans="17:29" x14ac:dyDescent="0.2">
      <c r="Q783" s="36"/>
      <c r="R783" s="40"/>
      <c r="S783" s="40"/>
      <c r="T783" s="40"/>
      <c r="U783" s="41"/>
      <c r="V783" s="41"/>
      <c r="W783" s="41"/>
      <c r="X783" s="36"/>
      <c r="Y783" s="36"/>
      <c r="Z783" s="36"/>
      <c r="AA783" s="36"/>
      <c r="AB783" s="36"/>
      <c r="AC783" s="36"/>
    </row>
    <row r="784" spans="17:29" x14ac:dyDescent="0.2">
      <c r="Q784" s="36"/>
      <c r="R784" s="40"/>
      <c r="S784" s="40"/>
      <c r="T784" s="40"/>
      <c r="U784" s="41"/>
      <c r="V784" s="41"/>
      <c r="W784" s="41"/>
      <c r="X784" s="36"/>
      <c r="Y784" s="36"/>
      <c r="Z784" s="36"/>
      <c r="AA784" s="36"/>
      <c r="AB784" s="36"/>
      <c r="AC784" s="36"/>
    </row>
    <row r="785" spans="17:29" x14ac:dyDescent="0.2">
      <c r="Q785" s="36"/>
      <c r="R785" s="40"/>
      <c r="S785" s="40"/>
      <c r="T785" s="40"/>
      <c r="U785" s="41"/>
      <c r="V785" s="41"/>
      <c r="W785" s="41"/>
      <c r="X785" s="36"/>
      <c r="Y785" s="36"/>
      <c r="Z785" s="36"/>
      <c r="AA785" s="36"/>
      <c r="AB785" s="36"/>
      <c r="AC785" s="36"/>
    </row>
    <row r="786" spans="17:29" x14ac:dyDescent="0.2">
      <c r="Q786" s="36"/>
      <c r="R786" s="40"/>
      <c r="S786" s="40"/>
      <c r="T786" s="40"/>
      <c r="U786" s="41"/>
      <c r="V786" s="41"/>
      <c r="W786" s="41"/>
      <c r="X786" s="36"/>
      <c r="Y786" s="36"/>
      <c r="Z786" s="36"/>
      <c r="AA786" s="36"/>
      <c r="AB786" s="36"/>
      <c r="AC786" s="36"/>
    </row>
    <row r="787" spans="17:29" x14ac:dyDescent="0.2">
      <c r="Q787" s="36"/>
      <c r="R787" s="40"/>
      <c r="S787" s="40"/>
      <c r="T787" s="40"/>
      <c r="U787" s="41"/>
      <c r="V787" s="41"/>
      <c r="W787" s="41"/>
      <c r="X787" s="36"/>
      <c r="Y787" s="36"/>
      <c r="Z787" s="36"/>
      <c r="AA787" s="36"/>
      <c r="AB787" s="36"/>
      <c r="AC787" s="36"/>
    </row>
    <row r="788" spans="17:29" x14ac:dyDescent="0.2">
      <c r="Q788" s="36"/>
      <c r="R788" s="40"/>
      <c r="S788" s="40"/>
      <c r="T788" s="40"/>
      <c r="U788" s="41"/>
      <c r="V788" s="41"/>
      <c r="W788" s="41"/>
      <c r="X788" s="36"/>
      <c r="Y788" s="36"/>
      <c r="Z788" s="36"/>
      <c r="AA788" s="36"/>
      <c r="AB788" s="36"/>
      <c r="AC788" s="36"/>
    </row>
    <row r="789" spans="17:29" x14ac:dyDescent="0.2">
      <c r="Q789" s="36"/>
      <c r="R789" s="40"/>
      <c r="S789" s="40"/>
      <c r="T789" s="40"/>
      <c r="U789" s="41"/>
      <c r="V789" s="41"/>
      <c r="W789" s="41"/>
      <c r="X789" s="36"/>
      <c r="Y789" s="36"/>
      <c r="Z789" s="36"/>
      <c r="AA789" s="36"/>
      <c r="AB789" s="36"/>
      <c r="AC789" s="36"/>
    </row>
    <row r="790" spans="17:29" x14ac:dyDescent="0.2">
      <c r="Q790" s="36"/>
      <c r="R790" s="40"/>
      <c r="S790" s="40"/>
      <c r="T790" s="40"/>
      <c r="U790" s="41"/>
      <c r="V790" s="41"/>
      <c r="W790" s="41"/>
      <c r="X790" s="36"/>
      <c r="Y790" s="36"/>
      <c r="Z790" s="36"/>
      <c r="AA790" s="36"/>
      <c r="AB790" s="36"/>
      <c r="AC790" s="36"/>
    </row>
    <row r="791" spans="17:29" x14ac:dyDescent="0.2">
      <c r="Q791" s="36"/>
      <c r="R791" s="40"/>
      <c r="S791" s="40"/>
      <c r="T791" s="40"/>
      <c r="U791" s="41"/>
      <c r="V791" s="41"/>
      <c r="W791" s="41"/>
      <c r="X791" s="36"/>
      <c r="Y791" s="36"/>
      <c r="Z791" s="36"/>
      <c r="AA791" s="36"/>
      <c r="AB791" s="36"/>
      <c r="AC791" s="36"/>
    </row>
    <row r="792" spans="17:29" x14ac:dyDescent="0.2">
      <c r="Q792" s="36"/>
      <c r="R792" s="40"/>
      <c r="S792" s="40"/>
      <c r="T792" s="40"/>
      <c r="U792" s="41"/>
      <c r="V792" s="41"/>
      <c r="W792" s="41"/>
      <c r="X792" s="36"/>
      <c r="Y792" s="36"/>
      <c r="Z792" s="36"/>
      <c r="AA792" s="36"/>
      <c r="AB792" s="36"/>
      <c r="AC792" s="36"/>
    </row>
    <row r="793" spans="17:29" x14ac:dyDescent="0.2">
      <c r="Q793" s="36"/>
      <c r="R793" s="40"/>
      <c r="S793" s="40"/>
      <c r="T793" s="40"/>
      <c r="U793" s="41"/>
      <c r="V793" s="41"/>
      <c r="W793" s="41"/>
      <c r="X793" s="36"/>
      <c r="Y793" s="36"/>
      <c r="Z793" s="36"/>
      <c r="AA793" s="36"/>
      <c r="AB793" s="36"/>
      <c r="AC793" s="36"/>
    </row>
    <row r="794" spans="17:29" x14ac:dyDescent="0.2">
      <c r="Q794" s="36"/>
      <c r="R794" s="40"/>
      <c r="S794" s="40"/>
      <c r="T794" s="40"/>
      <c r="U794" s="41"/>
      <c r="V794" s="41"/>
      <c r="W794" s="41"/>
      <c r="X794" s="36"/>
      <c r="Y794" s="36"/>
      <c r="Z794" s="36"/>
      <c r="AA794" s="36"/>
      <c r="AB794" s="36"/>
      <c r="AC794" s="36"/>
    </row>
    <row r="795" spans="17:29" x14ac:dyDescent="0.2">
      <c r="Q795" s="36"/>
      <c r="R795" s="40"/>
      <c r="S795" s="40"/>
      <c r="T795" s="40"/>
      <c r="U795" s="41"/>
      <c r="V795" s="41"/>
      <c r="W795" s="41"/>
      <c r="X795" s="36"/>
      <c r="Y795" s="36"/>
      <c r="Z795" s="36"/>
      <c r="AA795" s="36"/>
      <c r="AB795" s="36"/>
      <c r="AC795" s="36"/>
    </row>
    <row r="796" spans="17:29" x14ac:dyDescent="0.2">
      <c r="Q796" s="36"/>
      <c r="R796" s="40"/>
      <c r="S796" s="40"/>
      <c r="T796" s="40"/>
      <c r="U796" s="41"/>
      <c r="V796" s="41"/>
      <c r="W796" s="41"/>
      <c r="X796" s="36"/>
      <c r="Y796" s="36"/>
      <c r="Z796" s="36"/>
      <c r="AA796" s="36"/>
      <c r="AB796" s="36"/>
      <c r="AC796" s="36"/>
    </row>
    <row r="797" spans="17:29" x14ac:dyDescent="0.2">
      <c r="Q797" s="36"/>
      <c r="R797" s="40"/>
      <c r="S797" s="40"/>
      <c r="T797" s="40"/>
      <c r="U797" s="41"/>
      <c r="V797" s="41"/>
      <c r="W797" s="41"/>
      <c r="X797" s="36"/>
      <c r="Y797" s="36"/>
      <c r="Z797" s="36"/>
      <c r="AA797" s="36"/>
      <c r="AB797" s="36"/>
      <c r="AC797" s="36"/>
    </row>
    <row r="798" spans="17:29" x14ac:dyDescent="0.2">
      <c r="Q798" s="36"/>
      <c r="R798" s="40"/>
      <c r="S798" s="40"/>
      <c r="T798" s="40"/>
      <c r="U798" s="41"/>
      <c r="V798" s="41"/>
      <c r="W798" s="41"/>
      <c r="X798" s="36"/>
      <c r="Y798" s="36"/>
      <c r="Z798" s="36"/>
      <c r="AA798" s="36"/>
      <c r="AB798" s="36"/>
      <c r="AC798" s="36"/>
    </row>
    <row r="799" spans="17:29" x14ac:dyDescent="0.2">
      <c r="Q799" s="36"/>
      <c r="R799" s="40"/>
      <c r="S799" s="40"/>
      <c r="T799" s="40"/>
      <c r="U799" s="41"/>
      <c r="V799" s="41"/>
      <c r="W799" s="41"/>
      <c r="X799" s="36"/>
      <c r="Y799" s="36"/>
      <c r="Z799" s="36"/>
      <c r="AA799" s="36"/>
      <c r="AB799" s="36"/>
      <c r="AC799" s="36"/>
    </row>
    <row r="800" spans="17:29" x14ac:dyDescent="0.2">
      <c r="Q800" s="36"/>
      <c r="R800" s="40"/>
      <c r="S800" s="40"/>
      <c r="T800" s="40"/>
      <c r="U800" s="41"/>
      <c r="V800" s="41"/>
      <c r="W800" s="41"/>
      <c r="X800" s="36"/>
      <c r="Y800" s="36"/>
      <c r="Z800" s="36"/>
      <c r="AA800" s="36"/>
      <c r="AB800" s="36"/>
      <c r="AC800" s="36"/>
    </row>
    <row r="801" spans="17:29" x14ac:dyDescent="0.2">
      <c r="Q801" s="36"/>
      <c r="R801" s="40"/>
      <c r="S801" s="40"/>
      <c r="T801" s="40"/>
      <c r="U801" s="41"/>
      <c r="V801" s="41"/>
      <c r="W801" s="41"/>
      <c r="X801" s="36"/>
      <c r="Y801" s="36"/>
      <c r="Z801" s="36"/>
      <c r="AA801" s="36"/>
      <c r="AB801" s="36"/>
      <c r="AC801" s="36"/>
    </row>
    <row r="802" spans="17:29" x14ac:dyDescent="0.2">
      <c r="Q802" s="36"/>
      <c r="R802" s="40"/>
      <c r="S802" s="40"/>
      <c r="T802" s="40"/>
      <c r="U802" s="41"/>
      <c r="V802" s="41"/>
      <c r="W802" s="41"/>
      <c r="X802" s="36"/>
      <c r="Y802" s="36"/>
      <c r="Z802" s="36"/>
      <c r="AA802" s="36"/>
      <c r="AB802" s="36"/>
      <c r="AC802" s="36"/>
    </row>
    <row r="803" spans="17:29" x14ac:dyDescent="0.2">
      <c r="Q803" s="36"/>
      <c r="R803" s="40"/>
      <c r="S803" s="40"/>
      <c r="T803" s="40"/>
      <c r="U803" s="41"/>
      <c r="V803" s="41"/>
      <c r="W803" s="41"/>
      <c r="X803" s="36"/>
      <c r="Y803" s="36"/>
      <c r="Z803" s="36"/>
      <c r="AA803" s="36"/>
      <c r="AB803" s="36"/>
      <c r="AC803" s="36"/>
    </row>
    <row r="804" spans="17:29" x14ac:dyDescent="0.2">
      <c r="Q804" s="36"/>
      <c r="R804" s="40"/>
      <c r="S804" s="40"/>
      <c r="T804" s="40"/>
      <c r="U804" s="41"/>
      <c r="V804" s="41"/>
      <c r="W804" s="41"/>
      <c r="X804" s="36"/>
      <c r="Y804" s="36"/>
      <c r="Z804" s="36"/>
      <c r="AA804" s="36"/>
      <c r="AB804" s="36"/>
      <c r="AC804" s="36"/>
    </row>
    <row r="805" spans="17:29" x14ac:dyDescent="0.2">
      <c r="Q805" s="36"/>
      <c r="R805" s="40"/>
      <c r="S805" s="40"/>
      <c r="T805" s="40"/>
      <c r="U805" s="41"/>
      <c r="V805" s="41"/>
      <c r="W805" s="41"/>
      <c r="X805" s="36"/>
      <c r="Y805" s="36"/>
      <c r="Z805" s="36"/>
      <c r="AA805" s="36"/>
      <c r="AB805" s="36"/>
      <c r="AC805" s="36"/>
    </row>
    <row r="806" spans="17:29" x14ac:dyDescent="0.2">
      <c r="Q806" s="36"/>
      <c r="R806" s="40"/>
      <c r="S806" s="40"/>
      <c r="T806" s="40"/>
      <c r="U806" s="41"/>
      <c r="V806" s="41"/>
      <c r="W806" s="41"/>
      <c r="X806" s="36"/>
      <c r="Y806" s="36"/>
      <c r="Z806" s="36"/>
      <c r="AA806" s="36"/>
      <c r="AB806" s="36"/>
      <c r="AC806" s="36"/>
    </row>
    <row r="807" spans="17:29" x14ac:dyDescent="0.2">
      <c r="Q807" s="36"/>
      <c r="R807" s="40"/>
      <c r="S807" s="40"/>
      <c r="T807" s="40"/>
      <c r="U807" s="41"/>
      <c r="V807" s="41"/>
      <c r="W807" s="41"/>
      <c r="X807" s="36"/>
      <c r="Y807" s="36"/>
      <c r="Z807" s="36"/>
      <c r="AA807" s="36"/>
      <c r="AB807" s="36"/>
      <c r="AC807" s="36"/>
    </row>
    <row r="808" spans="17:29" x14ac:dyDescent="0.2">
      <c r="Q808" s="36"/>
      <c r="R808" s="40"/>
      <c r="S808" s="40"/>
      <c r="T808" s="40"/>
      <c r="U808" s="41"/>
      <c r="V808" s="41"/>
      <c r="W808" s="41"/>
      <c r="X808" s="36"/>
      <c r="Y808" s="36"/>
      <c r="Z808" s="36"/>
      <c r="AA808" s="36"/>
      <c r="AB808" s="36"/>
      <c r="AC808" s="36"/>
    </row>
    <row r="809" spans="17:29" x14ac:dyDescent="0.2">
      <c r="Q809" s="36"/>
      <c r="R809" s="40"/>
      <c r="S809" s="40"/>
      <c r="T809" s="40"/>
      <c r="U809" s="41"/>
      <c r="V809" s="41"/>
      <c r="W809" s="41"/>
      <c r="X809" s="36"/>
      <c r="Y809" s="36"/>
      <c r="Z809" s="36"/>
      <c r="AA809" s="36"/>
      <c r="AB809" s="36"/>
      <c r="AC809" s="36"/>
    </row>
    <row r="810" spans="17:29" x14ac:dyDescent="0.2">
      <c r="Q810" s="36"/>
      <c r="R810" s="40"/>
      <c r="S810" s="40"/>
      <c r="T810" s="40"/>
      <c r="U810" s="41"/>
      <c r="V810" s="41"/>
      <c r="W810" s="41"/>
      <c r="X810" s="36"/>
      <c r="Y810" s="36"/>
      <c r="Z810" s="36"/>
      <c r="AA810" s="36"/>
      <c r="AB810" s="36"/>
      <c r="AC810" s="36"/>
    </row>
    <row r="811" spans="17:29" x14ac:dyDescent="0.2">
      <c r="Q811" s="36"/>
      <c r="R811" s="40"/>
      <c r="S811" s="40"/>
      <c r="T811" s="40"/>
      <c r="U811" s="41"/>
      <c r="V811" s="41"/>
      <c r="W811" s="41"/>
      <c r="X811" s="36"/>
      <c r="Y811" s="36"/>
      <c r="Z811" s="36"/>
      <c r="AA811" s="36"/>
      <c r="AB811" s="36"/>
      <c r="AC811" s="36"/>
    </row>
    <row r="812" spans="17:29" x14ac:dyDescent="0.2">
      <c r="Q812" s="36"/>
      <c r="R812" s="40"/>
      <c r="S812" s="40"/>
      <c r="T812" s="40"/>
      <c r="U812" s="41"/>
      <c r="V812" s="41"/>
      <c r="W812" s="41"/>
      <c r="X812" s="36"/>
      <c r="Y812" s="36"/>
      <c r="Z812" s="36"/>
      <c r="AA812" s="36"/>
      <c r="AB812" s="36"/>
      <c r="AC812" s="36"/>
    </row>
    <row r="813" spans="17:29" x14ac:dyDescent="0.2">
      <c r="Q813" s="36"/>
      <c r="R813" s="40"/>
      <c r="S813" s="40"/>
      <c r="T813" s="40"/>
      <c r="U813" s="41"/>
      <c r="V813" s="41"/>
      <c r="W813" s="41"/>
      <c r="X813" s="36"/>
      <c r="Y813" s="36"/>
      <c r="Z813" s="36"/>
      <c r="AA813" s="36"/>
      <c r="AB813" s="36"/>
      <c r="AC813" s="36"/>
    </row>
    <row r="814" spans="17:29" x14ac:dyDescent="0.2">
      <c r="Q814" s="36"/>
      <c r="R814" s="40"/>
      <c r="S814" s="40"/>
      <c r="T814" s="40"/>
      <c r="U814" s="41"/>
      <c r="V814" s="41"/>
      <c r="W814" s="41"/>
      <c r="X814" s="36"/>
      <c r="Y814" s="36"/>
      <c r="Z814" s="36"/>
      <c r="AA814" s="36"/>
      <c r="AB814" s="36"/>
      <c r="AC814" s="36"/>
    </row>
    <row r="815" spans="17:29" x14ac:dyDescent="0.2">
      <c r="Q815" s="36"/>
      <c r="R815" s="40"/>
      <c r="S815" s="40"/>
      <c r="T815" s="40"/>
      <c r="U815" s="41"/>
      <c r="V815" s="41"/>
      <c r="W815" s="41"/>
      <c r="X815" s="36"/>
      <c r="Y815" s="36"/>
      <c r="Z815" s="36"/>
      <c r="AA815" s="36"/>
      <c r="AB815" s="36"/>
      <c r="AC815" s="36"/>
    </row>
    <row r="816" spans="17:29" x14ac:dyDescent="0.2">
      <c r="Q816" s="36"/>
      <c r="R816" s="40"/>
      <c r="S816" s="40"/>
      <c r="T816" s="40"/>
      <c r="U816" s="41"/>
      <c r="V816" s="41"/>
      <c r="W816" s="41"/>
      <c r="X816" s="36"/>
      <c r="Y816" s="36"/>
      <c r="Z816" s="36"/>
      <c r="AA816" s="36"/>
      <c r="AB816" s="36"/>
      <c r="AC816" s="36"/>
    </row>
    <row r="817" spans="17:29" x14ac:dyDescent="0.2">
      <c r="Q817" s="36"/>
      <c r="R817" s="40"/>
      <c r="S817" s="40"/>
      <c r="T817" s="40"/>
      <c r="U817" s="41"/>
      <c r="V817" s="41"/>
      <c r="W817" s="41"/>
      <c r="X817" s="36"/>
      <c r="Y817" s="36"/>
      <c r="Z817" s="36"/>
      <c r="AA817" s="36"/>
      <c r="AB817" s="36"/>
      <c r="AC817" s="36"/>
    </row>
    <row r="818" spans="17:29" x14ac:dyDescent="0.2">
      <c r="Q818" s="36"/>
      <c r="R818" s="40"/>
      <c r="S818" s="40"/>
      <c r="T818" s="40"/>
      <c r="U818" s="41"/>
      <c r="V818" s="41"/>
      <c r="W818" s="41"/>
      <c r="X818" s="36"/>
      <c r="Y818" s="36"/>
      <c r="Z818" s="36"/>
      <c r="AA818" s="36"/>
      <c r="AB818" s="36"/>
      <c r="AC818" s="36"/>
    </row>
    <row r="819" spans="17:29" x14ac:dyDescent="0.2">
      <c r="Q819" s="36"/>
      <c r="R819" s="40"/>
      <c r="S819" s="40"/>
      <c r="T819" s="40"/>
      <c r="U819" s="41"/>
      <c r="V819" s="41"/>
      <c r="W819" s="41"/>
      <c r="X819" s="36"/>
      <c r="Y819" s="36"/>
      <c r="Z819" s="36"/>
      <c r="AA819" s="36"/>
      <c r="AB819" s="36"/>
      <c r="AC819" s="36"/>
    </row>
    <row r="820" spans="17:29" x14ac:dyDescent="0.2">
      <c r="Q820" s="36"/>
      <c r="R820" s="40"/>
      <c r="S820" s="40"/>
      <c r="T820" s="40"/>
      <c r="U820" s="41"/>
      <c r="V820" s="41"/>
      <c r="W820" s="41"/>
      <c r="X820" s="36"/>
      <c r="Y820" s="36"/>
      <c r="Z820" s="36"/>
      <c r="AA820" s="36"/>
      <c r="AB820" s="36"/>
      <c r="AC820" s="36"/>
    </row>
    <row r="821" spans="17:29" x14ac:dyDescent="0.2">
      <c r="Q821" s="36"/>
      <c r="R821" s="40"/>
      <c r="S821" s="40"/>
      <c r="T821" s="40"/>
      <c r="U821" s="41"/>
      <c r="V821" s="41"/>
      <c r="W821" s="41"/>
      <c r="X821" s="36"/>
      <c r="Y821" s="36"/>
      <c r="Z821" s="36"/>
      <c r="AA821" s="36"/>
      <c r="AB821" s="36"/>
      <c r="AC821" s="36"/>
    </row>
    <row r="822" spans="17:29" x14ac:dyDescent="0.2">
      <c r="Q822" s="36"/>
      <c r="R822" s="40"/>
      <c r="S822" s="40"/>
      <c r="T822" s="40"/>
      <c r="U822" s="41"/>
      <c r="V822" s="41"/>
      <c r="W822" s="41"/>
      <c r="X822" s="36"/>
      <c r="Y822" s="36"/>
      <c r="Z822" s="36"/>
      <c r="AA822" s="36"/>
      <c r="AB822" s="36"/>
      <c r="AC822" s="36"/>
    </row>
    <row r="823" spans="17:29" x14ac:dyDescent="0.2">
      <c r="Q823" s="36"/>
      <c r="R823" s="40"/>
      <c r="S823" s="40"/>
      <c r="T823" s="40"/>
      <c r="U823" s="41"/>
      <c r="V823" s="41"/>
      <c r="W823" s="41"/>
      <c r="X823" s="36"/>
      <c r="Y823" s="36"/>
      <c r="Z823" s="36"/>
      <c r="AA823" s="36"/>
      <c r="AB823" s="36"/>
      <c r="AC823" s="36"/>
    </row>
    <row r="824" spans="17:29" x14ac:dyDescent="0.2">
      <c r="Q824" s="36"/>
      <c r="R824" s="40"/>
      <c r="S824" s="40"/>
      <c r="T824" s="40"/>
      <c r="U824" s="41"/>
      <c r="V824" s="41"/>
      <c r="W824" s="41"/>
      <c r="X824" s="36"/>
      <c r="Y824" s="36"/>
      <c r="Z824" s="36"/>
      <c r="AA824" s="36"/>
      <c r="AB824" s="36"/>
      <c r="AC824" s="36"/>
    </row>
    <row r="825" spans="17:29" x14ac:dyDescent="0.2">
      <c r="Q825" s="36"/>
      <c r="R825" s="40"/>
      <c r="S825" s="40"/>
      <c r="T825" s="40"/>
      <c r="U825" s="41"/>
      <c r="V825" s="41"/>
      <c r="W825" s="41"/>
      <c r="X825" s="36"/>
      <c r="Y825" s="36"/>
      <c r="Z825" s="36"/>
      <c r="AA825" s="36"/>
      <c r="AB825" s="36"/>
      <c r="AC825" s="36"/>
    </row>
    <row r="826" spans="17:29" x14ac:dyDescent="0.2">
      <c r="Q826" s="36"/>
      <c r="R826" s="40"/>
      <c r="S826" s="40"/>
      <c r="T826" s="40"/>
      <c r="U826" s="41"/>
      <c r="V826" s="41"/>
      <c r="W826" s="41"/>
      <c r="X826" s="36"/>
      <c r="Y826" s="36"/>
      <c r="Z826" s="36"/>
      <c r="AA826" s="36"/>
      <c r="AB826" s="36"/>
      <c r="AC826" s="36"/>
    </row>
    <row r="827" spans="17:29" x14ac:dyDescent="0.2">
      <c r="Q827" s="36"/>
      <c r="R827" s="40"/>
      <c r="S827" s="40"/>
      <c r="T827" s="40"/>
      <c r="U827" s="41"/>
      <c r="V827" s="41"/>
      <c r="W827" s="41"/>
      <c r="X827" s="36"/>
      <c r="Y827" s="36"/>
      <c r="Z827" s="36"/>
      <c r="AA827" s="36"/>
      <c r="AB827" s="36"/>
      <c r="AC827" s="36"/>
    </row>
    <row r="828" spans="17:29" x14ac:dyDescent="0.2">
      <c r="Q828" s="36"/>
      <c r="R828" s="40"/>
      <c r="S828" s="40"/>
      <c r="T828" s="40"/>
      <c r="U828" s="41"/>
      <c r="V828" s="41"/>
      <c r="W828" s="41"/>
      <c r="X828" s="36"/>
      <c r="Y828" s="36"/>
      <c r="Z828" s="36"/>
      <c r="AA828" s="36"/>
      <c r="AB828" s="36"/>
      <c r="AC828" s="36"/>
    </row>
    <row r="829" spans="17:29" x14ac:dyDescent="0.2">
      <c r="Q829" s="36"/>
      <c r="R829" s="40"/>
      <c r="S829" s="40"/>
      <c r="T829" s="40"/>
      <c r="U829" s="41"/>
      <c r="V829" s="41"/>
      <c r="W829" s="41"/>
      <c r="X829" s="36"/>
      <c r="Y829" s="36"/>
      <c r="Z829" s="36"/>
      <c r="AA829" s="36"/>
      <c r="AB829" s="36"/>
      <c r="AC829" s="36"/>
    </row>
    <row r="830" spans="17:29" x14ac:dyDescent="0.2">
      <c r="Q830" s="36"/>
      <c r="R830" s="40"/>
      <c r="S830" s="40"/>
      <c r="T830" s="40"/>
      <c r="U830" s="41"/>
      <c r="V830" s="41"/>
      <c r="W830" s="41"/>
      <c r="X830" s="36"/>
      <c r="Y830" s="36"/>
      <c r="Z830" s="36"/>
      <c r="AA830" s="36"/>
      <c r="AB830" s="36"/>
      <c r="AC830" s="36"/>
    </row>
    <row r="831" spans="17:29" x14ac:dyDescent="0.2">
      <c r="Q831" s="36"/>
      <c r="R831" s="40"/>
      <c r="S831" s="40"/>
      <c r="T831" s="40"/>
      <c r="U831" s="41"/>
      <c r="V831" s="41"/>
      <c r="W831" s="41"/>
      <c r="X831" s="36"/>
      <c r="Y831" s="36"/>
      <c r="Z831" s="36"/>
      <c r="AA831" s="36"/>
      <c r="AB831" s="36"/>
      <c r="AC831" s="36"/>
    </row>
    <row r="832" spans="17:29" x14ac:dyDescent="0.2">
      <c r="Q832" s="36"/>
      <c r="R832" s="40"/>
      <c r="S832" s="40"/>
      <c r="T832" s="40"/>
      <c r="U832" s="41"/>
      <c r="V832" s="41"/>
      <c r="W832" s="41"/>
      <c r="X832" s="36"/>
      <c r="Y832" s="36"/>
      <c r="Z832" s="36"/>
      <c r="AA832" s="36"/>
      <c r="AB832" s="36"/>
      <c r="AC832" s="36"/>
    </row>
    <row r="833" spans="17:29" x14ac:dyDescent="0.2">
      <c r="Q833" s="36"/>
      <c r="R833" s="40"/>
      <c r="S833" s="40"/>
      <c r="T833" s="40"/>
      <c r="U833" s="41"/>
      <c r="V833" s="41"/>
      <c r="W833" s="41"/>
      <c r="X833" s="36"/>
      <c r="Y833" s="36"/>
      <c r="Z833" s="36"/>
      <c r="AA833" s="36"/>
      <c r="AB833" s="36"/>
      <c r="AC833" s="36"/>
    </row>
    <row r="834" spans="17:29" x14ac:dyDescent="0.2">
      <c r="Q834" s="36"/>
      <c r="R834" s="40"/>
      <c r="S834" s="40"/>
      <c r="T834" s="40"/>
      <c r="U834" s="41"/>
      <c r="V834" s="41"/>
      <c r="W834" s="41"/>
      <c r="X834" s="36"/>
      <c r="Y834" s="36"/>
      <c r="Z834" s="36"/>
      <c r="AA834" s="36"/>
      <c r="AB834" s="36"/>
      <c r="AC834" s="36"/>
    </row>
    <row r="835" spans="17:29" x14ac:dyDescent="0.2">
      <c r="Q835" s="36"/>
      <c r="R835" s="40"/>
      <c r="S835" s="40"/>
      <c r="T835" s="40"/>
      <c r="U835" s="41"/>
      <c r="V835" s="41"/>
      <c r="W835" s="41"/>
      <c r="X835" s="36"/>
      <c r="Y835" s="36"/>
      <c r="Z835" s="36"/>
      <c r="AA835" s="36"/>
      <c r="AB835" s="36"/>
      <c r="AC835" s="36"/>
    </row>
    <row r="836" spans="17:29" x14ac:dyDescent="0.2">
      <c r="Q836" s="36"/>
      <c r="R836" s="40"/>
      <c r="S836" s="40"/>
      <c r="T836" s="40"/>
      <c r="U836" s="41"/>
      <c r="V836" s="41"/>
      <c r="W836" s="41"/>
      <c r="X836" s="36"/>
      <c r="Y836" s="36"/>
      <c r="Z836" s="36"/>
      <c r="AA836" s="36"/>
      <c r="AB836" s="36"/>
      <c r="AC836" s="36"/>
    </row>
    <row r="837" spans="17:29" x14ac:dyDescent="0.2">
      <c r="Q837" s="36"/>
      <c r="R837" s="40"/>
      <c r="S837" s="40"/>
      <c r="T837" s="40"/>
      <c r="U837" s="41"/>
      <c r="V837" s="41"/>
      <c r="W837" s="41"/>
      <c r="X837" s="36"/>
      <c r="Y837" s="36"/>
      <c r="Z837" s="36"/>
      <c r="AA837" s="36"/>
      <c r="AB837" s="36"/>
      <c r="AC837" s="36"/>
    </row>
    <row r="838" spans="17:29" x14ac:dyDescent="0.2">
      <c r="Q838" s="36"/>
      <c r="R838" s="40"/>
      <c r="S838" s="40"/>
      <c r="T838" s="40"/>
      <c r="U838" s="41"/>
      <c r="V838" s="41"/>
      <c r="W838" s="41"/>
      <c r="X838" s="36"/>
      <c r="Y838" s="36"/>
      <c r="Z838" s="36"/>
      <c r="AA838" s="36"/>
      <c r="AB838" s="36"/>
      <c r="AC838" s="36"/>
    </row>
    <row r="839" spans="17:29" x14ac:dyDescent="0.2">
      <c r="Q839" s="36"/>
      <c r="R839" s="40"/>
      <c r="S839" s="40"/>
      <c r="T839" s="40"/>
      <c r="U839" s="41"/>
      <c r="V839" s="41"/>
      <c r="W839" s="41"/>
      <c r="X839" s="36"/>
      <c r="Y839" s="36"/>
      <c r="Z839" s="36"/>
      <c r="AA839" s="36"/>
      <c r="AB839" s="36"/>
      <c r="AC839" s="36"/>
    </row>
    <row r="840" spans="17:29" x14ac:dyDescent="0.2">
      <c r="Q840" s="36"/>
      <c r="R840" s="40"/>
      <c r="S840" s="40"/>
      <c r="T840" s="40"/>
      <c r="U840" s="41"/>
      <c r="V840" s="41"/>
      <c r="W840" s="41"/>
      <c r="X840" s="36"/>
      <c r="Y840" s="36"/>
      <c r="Z840" s="36"/>
      <c r="AA840" s="36"/>
      <c r="AB840" s="36"/>
      <c r="AC840" s="36"/>
    </row>
    <row r="841" spans="17:29" x14ac:dyDescent="0.2">
      <c r="Q841" s="36"/>
      <c r="R841" s="40"/>
      <c r="S841" s="40"/>
      <c r="T841" s="40"/>
      <c r="U841" s="41"/>
      <c r="V841" s="41"/>
      <c r="W841" s="41"/>
      <c r="X841" s="36"/>
      <c r="Y841" s="36"/>
      <c r="Z841" s="36"/>
      <c r="AA841" s="36"/>
      <c r="AB841" s="36"/>
      <c r="AC841" s="36"/>
    </row>
    <row r="842" spans="17:29" x14ac:dyDescent="0.2">
      <c r="Q842" s="36"/>
      <c r="R842" s="40"/>
      <c r="S842" s="40"/>
      <c r="T842" s="40"/>
      <c r="U842" s="41"/>
      <c r="V842" s="41"/>
      <c r="W842" s="41"/>
      <c r="X842" s="36"/>
      <c r="Y842" s="36"/>
      <c r="Z842" s="36"/>
      <c r="AA842" s="36"/>
      <c r="AB842" s="36"/>
      <c r="AC842" s="36"/>
    </row>
    <row r="843" spans="17:29" x14ac:dyDescent="0.2">
      <c r="Q843" s="36"/>
      <c r="R843" s="40"/>
      <c r="S843" s="40"/>
      <c r="T843" s="40"/>
      <c r="U843" s="41"/>
      <c r="V843" s="41"/>
      <c r="W843" s="41"/>
      <c r="X843" s="36"/>
      <c r="Y843" s="36"/>
      <c r="Z843" s="36"/>
      <c r="AA843" s="36"/>
      <c r="AB843" s="36"/>
      <c r="AC843" s="36"/>
    </row>
    <row r="844" spans="17:29" x14ac:dyDescent="0.2">
      <c r="Q844" s="36"/>
      <c r="R844" s="40"/>
      <c r="S844" s="40"/>
      <c r="T844" s="40"/>
      <c r="U844" s="41"/>
      <c r="V844" s="41"/>
      <c r="W844" s="41"/>
      <c r="X844" s="36"/>
      <c r="Y844" s="36"/>
      <c r="Z844" s="36"/>
      <c r="AA844" s="36"/>
      <c r="AB844" s="36"/>
      <c r="AC844" s="36"/>
    </row>
    <row r="845" spans="17:29" x14ac:dyDescent="0.2">
      <c r="Q845" s="36"/>
      <c r="R845" s="40"/>
      <c r="S845" s="40"/>
      <c r="T845" s="40"/>
      <c r="U845" s="41"/>
      <c r="V845" s="41"/>
      <c r="W845" s="41"/>
      <c r="X845" s="36"/>
      <c r="Y845" s="36"/>
      <c r="Z845" s="36"/>
      <c r="AA845" s="36"/>
      <c r="AB845" s="36"/>
      <c r="AC845" s="36"/>
    </row>
    <row r="846" spans="17:29" x14ac:dyDescent="0.2">
      <c r="Q846" s="36"/>
      <c r="R846" s="40"/>
      <c r="S846" s="40"/>
      <c r="T846" s="40"/>
      <c r="U846" s="41"/>
      <c r="V846" s="41"/>
      <c r="W846" s="41"/>
      <c r="X846" s="36"/>
      <c r="Y846" s="36"/>
      <c r="Z846" s="36"/>
      <c r="AA846" s="36"/>
      <c r="AB846" s="36"/>
      <c r="AC846" s="36"/>
    </row>
    <row r="847" spans="17:29" x14ac:dyDescent="0.2">
      <c r="Q847" s="36"/>
      <c r="R847" s="40"/>
      <c r="S847" s="40"/>
      <c r="T847" s="40"/>
      <c r="U847" s="41"/>
      <c r="V847" s="41"/>
      <c r="W847" s="41"/>
      <c r="X847" s="36"/>
      <c r="Y847" s="36"/>
      <c r="Z847" s="36"/>
      <c r="AA847" s="36"/>
      <c r="AB847" s="36"/>
      <c r="AC847" s="36"/>
    </row>
    <row r="848" spans="17:29" x14ac:dyDescent="0.2">
      <c r="Q848" s="36"/>
      <c r="R848" s="40"/>
      <c r="S848" s="40"/>
      <c r="T848" s="40"/>
      <c r="U848" s="41"/>
      <c r="V848" s="41"/>
      <c r="W848" s="41"/>
      <c r="X848" s="36"/>
      <c r="Y848" s="36"/>
      <c r="Z848" s="36"/>
      <c r="AA848" s="36"/>
      <c r="AB848" s="36"/>
      <c r="AC848" s="36"/>
    </row>
    <row r="849" spans="17:29" x14ac:dyDescent="0.2">
      <c r="Q849" s="36"/>
      <c r="R849" s="40"/>
      <c r="S849" s="40"/>
      <c r="T849" s="40"/>
      <c r="U849" s="41"/>
      <c r="V849" s="41"/>
      <c r="W849" s="41"/>
      <c r="X849" s="36"/>
      <c r="Y849" s="36"/>
      <c r="Z849" s="36"/>
      <c r="AA849" s="36"/>
      <c r="AB849" s="36"/>
      <c r="AC849" s="36"/>
    </row>
    <row r="850" spans="17:29" x14ac:dyDescent="0.2">
      <c r="Q850" s="36"/>
      <c r="R850" s="40"/>
      <c r="S850" s="40"/>
      <c r="T850" s="40"/>
      <c r="U850" s="41"/>
      <c r="V850" s="41"/>
      <c r="W850" s="41"/>
      <c r="X850" s="36"/>
      <c r="Y850" s="36"/>
      <c r="Z850" s="36"/>
      <c r="AA850" s="36"/>
      <c r="AB850" s="36"/>
      <c r="AC850" s="36"/>
    </row>
    <row r="851" spans="17:29" x14ac:dyDescent="0.2">
      <c r="Q851" s="36"/>
      <c r="R851" s="40"/>
      <c r="S851" s="40"/>
      <c r="T851" s="40"/>
      <c r="U851" s="41"/>
      <c r="V851" s="41"/>
      <c r="W851" s="41"/>
      <c r="X851" s="36"/>
      <c r="Y851" s="36"/>
      <c r="Z851" s="36"/>
      <c r="AA851" s="36"/>
      <c r="AB851" s="36"/>
      <c r="AC851" s="36"/>
    </row>
    <row r="852" spans="17:29" x14ac:dyDescent="0.2">
      <c r="Q852" s="36"/>
      <c r="R852" s="40"/>
      <c r="S852" s="40"/>
      <c r="T852" s="40"/>
      <c r="U852" s="41"/>
      <c r="V852" s="41"/>
      <c r="W852" s="41"/>
      <c r="X852" s="36"/>
      <c r="Y852" s="36"/>
      <c r="Z852" s="36"/>
      <c r="AA852" s="36"/>
      <c r="AB852" s="36"/>
      <c r="AC852" s="36"/>
    </row>
    <row r="853" spans="17:29" x14ac:dyDescent="0.2">
      <c r="Q853" s="36"/>
      <c r="R853" s="40"/>
      <c r="S853" s="40"/>
      <c r="T853" s="40"/>
      <c r="U853" s="41"/>
      <c r="V853" s="41"/>
      <c r="W853" s="41"/>
      <c r="X853" s="36"/>
      <c r="Y853" s="36"/>
      <c r="Z853" s="36"/>
      <c r="AA853" s="36"/>
      <c r="AB853" s="36"/>
      <c r="AC853" s="36"/>
    </row>
    <row r="854" spans="17:29" x14ac:dyDescent="0.2">
      <c r="Q854" s="36"/>
      <c r="R854" s="40"/>
      <c r="S854" s="40"/>
      <c r="T854" s="40"/>
      <c r="U854" s="41"/>
      <c r="V854" s="41"/>
      <c r="W854" s="41"/>
      <c r="X854" s="36"/>
      <c r="Y854" s="36"/>
      <c r="Z854" s="36"/>
      <c r="AA854" s="36"/>
      <c r="AB854" s="36"/>
      <c r="AC854" s="36"/>
    </row>
    <row r="855" spans="17:29" x14ac:dyDescent="0.2">
      <c r="Q855" s="36"/>
      <c r="R855" s="40"/>
      <c r="S855" s="40"/>
      <c r="T855" s="40"/>
      <c r="U855" s="41"/>
      <c r="V855" s="41"/>
      <c r="W855" s="41"/>
      <c r="X855" s="36"/>
      <c r="Y855" s="36"/>
      <c r="Z855" s="36"/>
      <c r="AA855" s="36"/>
      <c r="AB855" s="36"/>
      <c r="AC855" s="36"/>
    </row>
    <row r="856" spans="17:29" x14ac:dyDescent="0.2">
      <c r="Q856" s="36"/>
      <c r="R856" s="40"/>
      <c r="S856" s="40"/>
      <c r="T856" s="40"/>
      <c r="U856" s="41"/>
      <c r="V856" s="41"/>
      <c r="W856" s="41"/>
      <c r="X856" s="36"/>
      <c r="Y856" s="36"/>
      <c r="Z856" s="36"/>
      <c r="AA856" s="36"/>
      <c r="AB856" s="36"/>
      <c r="AC856" s="36"/>
    </row>
    <row r="857" spans="17:29" x14ac:dyDescent="0.2">
      <c r="Q857" s="36"/>
      <c r="R857" s="40"/>
      <c r="S857" s="40"/>
      <c r="T857" s="40"/>
      <c r="U857" s="41"/>
      <c r="V857" s="41"/>
      <c r="W857" s="41"/>
      <c r="X857" s="36"/>
      <c r="Y857" s="36"/>
      <c r="Z857" s="36"/>
      <c r="AA857" s="36"/>
      <c r="AB857" s="36"/>
      <c r="AC857" s="36"/>
    </row>
    <row r="858" spans="17:29" x14ac:dyDescent="0.2">
      <c r="Q858" s="36"/>
      <c r="R858" s="40"/>
      <c r="S858" s="40"/>
      <c r="T858" s="40"/>
      <c r="U858" s="41"/>
      <c r="V858" s="41"/>
      <c r="W858" s="41"/>
      <c r="X858" s="36"/>
      <c r="Y858" s="36"/>
      <c r="Z858" s="36"/>
      <c r="AA858" s="36"/>
      <c r="AB858" s="36"/>
      <c r="AC858" s="36"/>
    </row>
    <row r="859" spans="17:29" x14ac:dyDescent="0.2">
      <c r="Q859" s="36"/>
      <c r="R859" s="40"/>
      <c r="S859" s="40"/>
      <c r="T859" s="40"/>
      <c r="U859" s="41"/>
      <c r="V859" s="41"/>
      <c r="W859" s="41"/>
      <c r="X859" s="36"/>
      <c r="Y859" s="36"/>
      <c r="Z859" s="36"/>
      <c r="AA859" s="36"/>
      <c r="AB859" s="36"/>
      <c r="AC859" s="36"/>
    </row>
    <row r="860" spans="17:29" x14ac:dyDescent="0.2">
      <c r="Q860" s="36"/>
      <c r="R860" s="40"/>
      <c r="S860" s="40"/>
      <c r="T860" s="40"/>
      <c r="U860" s="41"/>
      <c r="V860" s="41"/>
      <c r="W860" s="41"/>
      <c r="X860" s="36"/>
      <c r="Y860" s="36"/>
      <c r="Z860" s="36"/>
      <c r="AA860" s="36"/>
      <c r="AB860" s="36"/>
      <c r="AC860" s="36"/>
    </row>
    <row r="861" spans="17:29" x14ac:dyDescent="0.2">
      <c r="Q861" s="36"/>
      <c r="R861" s="40"/>
      <c r="S861" s="40"/>
      <c r="T861" s="40"/>
      <c r="U861" s="41"/>
      <c r="V861" s="41"/>
      <c r="W861" s="41"/>
      <c r="X861" s="36"/>
      <c r="Y861" s="36"/>
      <c r="Z861" s="36"/>
      <c r="AA861" s="36"/>
      <c r="AB861" s="36"/>
      <c r="AC861" s="36"/>
    </row>
    <row r="862" spans="17:29" x14ac:dyDescent="0.2">
      <c r="Q862" s="36"/>
      <c r="R862" s="40"/>
      <c r="S862" s="40"/>
      <c r="T862" s="40"/>
      <c r="U862" s="41"/>
      <c r="V862" s="41"/>
      <c r="W862" s="41"/>
      <c r="X862" s="36"/>
      <c r="Y862" s="36"/>
      <c r="Z862" s="36"/>
      <c r="AA862" s="36"/>
      <c r="AB862" s="36"/>
      <c r="AC862" s="36"/>
    </row>
    <row r="863" spans="17:29" x14ac:dyDescent="0.2">
      <c r="Q863" s="36"/>
      <c r="R863" s="40"/>
      <c r="S863" s="40"/>
      <c r="T863" s="40"/>
      <c r="U863" s="41"/>
      <c r="V863" s="41"/>
      <c r="W863" s="41"/>
      <c r="X863" s="36"/>
      <c r="Y863" s="36"/>
      <c r="Z863" s="36"/>
      <c r="AA863" s="36"/>
      <c r="AB863" s="36"/>
      <c r="AC863" s="36"/>
    </row>
    <row r="864" spans="17:29" x14ac:dyDescent="0.2">
      <c r="Q864" s="36"/>
      <c r="R864" s="40"/>
      <c r="S864" s="40"/>
      <c r="T864" s="40"/>
      <c r="U864" s="41"/>
      <c r="V864" s="41"/>
      <c r="W864" s="41"/>
      <c r="X864" s="36"/>
      <c r="Y864" s="36"/>
      <c r="Z864" s="36"/>
      <c r="AA864" s="36"/>
      <c r="AB864" s="36"/>
      <c r="AC864" s="36"/>
    </row>
    <row r="865" spans="17:29" x14ac:dyDescent="0.2">
      <c r="Q865" s="36"/>
      <c r="R865" s="40"/>
      <c r="S865" s="40"/>
      <c r="T865" s="40"/>
      <c r="U865" s="41"/>
      <c r="V865" s="41"/>
      <c r="W865" s="41"/>
      <c r="X865" s="36"/>
      <c r="Y865" s="36"/>
      <c r="Z865" s="36"/>
      <c r="AA865" s="36"/>
      <c r="AB865" s="36"/>
      <c r="AC865" s="36"/>
    </row>
    <row r="866" spans="17:29" x14ac:dyDescent="0.2">
      <c r="Q866" s="36"/>
      <c r="R866" s="40"/>
      <c r="S866" s="40"/>
      <c r="T866" s="40"/>
      <c r="U866" s="41"/>
      <c r="V866" s="41"/>
      <c r="W866" s="41"/>
      <c r="X866" s="36"/>
      <c r="Y866" s="36"/>
      <c r="Z866" s="36"/>
      <c r="AA866" s="36"/>
      <c r="AB866" s="36"/>
      <c r="AC866" s="36"/>
    </row>
    <row r="867" spans="17:29" x14ac:dyDescent="0.2">
      <c r="Q867" s="36"/>
      <c r="R867" s="40"/>
      <c r="S867" s="40"/>
      <c r="T867" s="40"/>
      <c r="U867" s="41"/>
      <c r="V867" s="41"/>
      <c r="W867" s="41"/>
      <c r="X867" s="36"/>
      <c r="Y867" s="36"/>
      <c r="Z867" s="36"/>
      <c r="AA867" s="36"/>
      <c r="AB867" s="36"/>
      <c r="AC867" s="36"/>
    </row>
    <row r="868" spans="17:29" x14ac:dyDescent="0.2">
      <c r="Q868" s="36"/>
      <c r="R868" s="40"/>
      <c r="S868" s="40"/>
      <c r="T868" s="40"/>
      <c r="U868" s="41"/>
      <c r="V868" s="41"/>
      <c r="W868" s="41"/>
      <c r="X868" s="36"/>
      <c r="Y868" s="36"/>
      <c r="Z868" s="36"/>
      <c r="AA868" s="36"/>
      <c r="AB868" s="36"/>
      <c r="AC868" s="36"/>
    </row>
    <row r="869" spans="17:29" x14ac:dyDescent="0.2">
      <c r="Q869" s="36"/>
      <c r="R869" s="40"/>
      <c r="S869" s="40"/>
      <c r="T869" s="40"/>
      <c r="U869" s="41"/>
      <c r="V869" s="41"/>
      <c r="W869" s="41"/>
      <c r="X869" s="36"/>
      <c r="Y869" s="36"/>
      <c r="Z869" s="36"/>
      <c r="AA869" s="36"/>
      <c r="AB869" s="36"/>
      <c r="AC869" s="36"/>
    </row>
    <row r="870" spans="17:29" x14ac:dyDescent="0.2">
      <c r="Q870" s="36"/>
      <c r="R870" s="40"/>
      <c r="S870" s="40"/>
      <c r="T870" s="40"/>
      <c r="U870" s="41"/>
      <c r="V870" s="41"/>
      <c r="W870" s="41"/>
      <c r="X870" s="36"/>
      <c r="Y870" s="36"/>
      <c r="Z870" s="36"/>
      <c r="AA870" s="36"/>
      <c r="AB870" s="36"/>
      <c r="AC870" s="36"/>
    </row>
    <row r="871" spans="17:29" x14ac:dyDescent="0.2">
      <c r="Q871" s="36"/>
      <c r="R871" s="40"/>
      <c r="S871" s="40"/>
      <c r="T871" s="40"/>
      <c r="U871" s="41"/>
      <c r="V871" s="41"/>
      <c r="W871" s="41"/>
      <c r="X871" s="36"/>
      <c r="Y871" s="36"/>
      <c r="Z871" s="36"/>
      <c r="AA871" s="36"/>
      <c r="AB871" s="36"/>
      <c r="AC871" s="36"/>
    </row>
    <row r="872" spans="17:29" x14ac:dyDescent="0.2">
      <c r="Q872" s="36"/>
      <c r="R872" s="40"/>
      <c r="S872" s="40"/>
      <c r="T872" s="40"/>
      <c r="U872" s="41"/>
      <c r="V872" s="41"/>
      <c r="W872" s="41"/>
      <c r="X872" s="36"/>
      <c r="Y872" s="36"/>
      <c r="Z872" s="36"/>
      <c r="AA872" s="36"/>
      <c r="AB872" s="36"/>
      <c r="AC872" s="36"/>
    </row>
    <row r="873" spans="17:29" x14ac:dyDescent="0.2">
      <c r="Q873" s="36"/>
      <c r="R873" s="40"/>
      <c r="S873" s="40"/>
      <c r="T873" s="40"/>
      <c r="U873" s="41"/>
      <c r="V873" s="41"/>
      <c r="W873" s="41"/>
      <c r="X873" s="36"/>
      <c r="Y873" s="36"/>
      <c r="Z873" s="36"/>
      <c r="AA873" s="36"/>
      <c r="AB873" s="36"/>
      <c r="AC873" s="36"/>
    </row>
    <row r="874" spans="17:29" x14ac:dyDescent="0.2">
      <c r="Q874" s="36"/>
      <c r="R874" s="40"/>
      <c r="S874" s="40"/>
      <c r="T874" s="40"/>
      <c r="U874" s="41"/>
      <c r="V874" s="41"/>
      <c r="W874" s="41"/>
      <c r="X874" s="36"/>
      <c r="Y874" s="36"/>
      <c r="Z874" s="36"/>
      <c r="AA874" s="36"/>
      <c r="AB874" s="36"/>
      <c r="AC874" s="36"/>
    </row>
    <row r="875" spans="17:29" x14ac:dyDescent="0.2">
      <c r="Q875" s="36"/>
      <c r="R875" s="40"/>
      <c r="S875" s="40"/>
      <c r="T875" s="40"/>
      <c r="U875" s="41"/>
      <c r="V875" s="41"/>
      <c r="W875" s="41"/>
      <c r="X875" s="36"/>
      <c r="Y875" s="36"/>
      <c r="Z875" s="36"/>
      <c r="AA875" s="36"/>
      <c r="AB875" s="36"/>
      <c r="AC875" s="36"/>
    </row>
    <row r="876" spans="17:29" x14ac:dyDescent="0.2">
      <c r="Q876" s="36"/>
      <c r="R876" s="40"/>
      <c r="S876" s="40"/>
      <c r="T876" s="40"/>
      <c r="U876" s="41"/>
      <c r="V876" s="41"/>
      <c r="W876" s="41"/>
      <c r="X876" s="36"/>
      <c r="Y876" s="36"/>
      <c r="Z876" s="36"/>
      <c r="AA876" s="36"/>
      <c r="AB876" s="36"/>
      <c r="AC876" s="36"/>
    </row>
    <row r="877" spans="17:29" x14ac:dyDescent="0.2">
      <c r="Q877" s="36"/>
      <c r="R877" s="40"/>
      <c r="S877" s="40"/>
      <c r="T877" s="40"/>
      <c r="U877" s="41"/>
      <c r="V877" s="41"/>
      <c r="W877" s="41"/>
      <c r="X877" s="36"/>
      <c r="Y877" s="36"/>
      <c r="Z877" s="36"/>
      <c r="AA877" s="36"/>
      <c r="AB877" s="36"/>
      <c r="AC877" s="36"/>
    </row>
    <row r="878" spans="17:29" x14ac:dyDescent="0.2">
      <c r="Q878" s="36"/>
      <c r="R878" s="40"/>
      <c r="S878" s="40"/>
      <c r="T878" s="40"/>
      <c r="U878" s="41"/>
      <c r="V878" s="41"/>
      <c r="W878" s="41"/>
      <c r="X878" s="36"/>
      <c r="Y878" s="36"/>
      <c r="Z878" s="36"/>
      <c r="AA878" s="36"/>
      <c r="AB878" s="36"/>
      <c r="AC878" s="36"/>
    </row>
    <row r="879" spans="17:29" x14ac:dyDescent="0.2">
      <c r="Q879" s="36"/>
      <c r="R879" s="40"/>
      <c r="S879" s="40"/>
      <c r="T879" s="40"/>
      <c r="U879" s="41"/>
      <c r="V879" s="41"/>
      <c r="W879" s="41"/>
      <c r="X879" s="36"/>
      <c r="Y879" s="36"/>
      <c r="Z879" s="36"/>
      <c r="AA879" s="36"/>
      <c r="AB879" s="36"/>
      <c r="AC879" s="36"/>
    </row>
    <row r="880" spans="17:29" x14ac:dyDescent="0.2">
      <c r="Q880" s="36"/>
      <c r="R880" s="40"/>
      <c r="S880" s="40"/>
      <c r="T880" s="40"/>
      <c r="U880" s="41"/>
      <c r="V880" s="41"/>
      <c r="W880" s="41"/>
      <c r="X880" s="36"/>
      <c r="Y880" s="36"/>
      <c r="Z880" s="36"/>
      <c r="AA880" s="36"/>
      <c r="AB880" s="36"/>
      <c r="AC880" s="36"/>
    </row>
    <row r="881" spans="17:29" x14ac:dyDescent="0.2">
      <c r="Q881" s="36"/>
      <c r="R881" s="40"/>
      <c r="S881" s="40"/>
      <c r="T881" s="40"/>
      <c r="U881" s="41"/>
      <c r="V881" s="41"/>
      <c r="W881" s="41"/>
      <c r="X881" s="36"/>
      <c r="Y881" s="36"/>
      <c r="Z881" s="36"/>
      <c r="AA881" s="36"/>
      <c r="AB881" s="36"/>
      <c r="AC881" s="36"/>
    </row>
    <row r="882" spans="17:29" x14ac:dyDescent="0.2">
      <c r="Q882" s="36"/>
      <c r="R882" s="40"/>
      <c r="S882" s="40"/>
      <c r="T882" s="40"/>
      <c r="U882" s="41"/>
      <c r="V882" s="41"/>
      <c r="W882" s="41"/>
      <c r="X882" s="36"/>
      <c r="Y882" s="36"/>
      <c r="Z882" s="36"/>
      <c r="AA882" s="36"/>
      <c r="AB882" s="36"/>
      <c r="AC882" s="36"/>
    </row>
    <row r="883" spans="17:29" x14ac:dyDescent="0.2">
      <c r="Q883" s="36"/>
      <c r="R883" s="40"/>
      <c r="S883" s="40"/>
      <c r="T883" s="40"/>
      <c r="U883" s="41"/>
      <c r="V883" s="41"/>
      <c r="W883" s="41"/>
      <c r="X883" s="36"/>
      <c r="Y883" s="36"/>
      <c r="Z883" s="36"/>
      <c r="AA883" s="36"/>
      <c r="AB883" s="36"/>
      <c r="AC883" s="36"/>
    </row>
    <row r="884" spans="17:29" x14ac:dyDescent="0.2">
      <c r="Q884" s="36"/>
      <c r="R884" s="40"/>
      <c r="S884" s="40"/>
      <c r="T884" s="40"/>
      <c r="U884" s="41"/>
      <c r="V884" s="41"/>
      <c r="W884" s="41"/>
      <c r="X884" s="36"/>
      <c r="Y884" s="36"/>
      <c r="Z884" s="36"/>
      <c r="AA884" s="36"/>
      <c r="AB884" s="36"/>
      <c r="AC884" s="36"/>
    </row>
    <row r="885" spans="17:29" x14ac:dyDescent="0.2">
      <c r="Q885" s="36"/>
      <c r="R885" s="40"/>
      <c r="S885" s="40"/>
      <c r="T885" s="40"/>
      <c r="U885" s="41"/>
      <c r="V885" s="41"/>
      <c r="W885" s="41"/>
      <c r="X885" s="36"/>
      <c r="Y885" s="36"/>
      <c r="Z885" s="36"/>
      <c r="AA885" s="36"/>
      <c r="AB885" s="36"/>
      <c r="AC885" s="36"/>
    </row>
    <row r="886" spans="17:29" x14ac:dyDescent="0.2">
      <c r="Q886" s="36"/>
      <c r="R886" s="40"/>
      <c r="S886" s="40"/>
      <c r="T886" s="40"/>
      <c r="U886" s="41"/>
      <c r="V886" s="41"/>
      <c r="W886" s="41"/>
      <c r="X886" s="36"/>
      <c r="Y886" s="36"/>
      <c r="Z886" s="36"/>
      <c r="AA886" s="36"/>
      <c r="AB886" s="36"/>
      <c r="AC886" s="36"/>
    </row>
    <row r="887" spans="17:29" x14ac:dyDescent="0.2">
      <c r="Q887" s="36"/>
      <c r="R887" s="40"/>
      <c r="S887" s="40"/>
      <c r="T887" s="40"/>
      <c r="U887" s="41"/>
      <c r="V887" s="41"/>
      <c r="W887" s="41"/>
      <c r="X887" s="36"/>
      <c r="Y887" s="36"/>
      <c r="Z887" s="36"/>
      <c r="AA887" s="36"/>
      <c r="AB887" s="36"/>
      <c r="AC887" s="36"/>
    </row>
    <row r="888" spans="17:29" x14ac:dyDescent="0.2">
      <c r="Q888" s="36"/>
      <c r="R888" s="40"/>
      <c r="S888" s="40"/>
      <c r="T888" s="40"/>
      <c r="U888" s="41"/>
      <c r="V888" s="41"/>
      <c r="W888" s="41"/>
      <c r="X888" s="36"/>
      <c r="Y888" s="36"/>
      <c r="Z888" s="36"/>
      <c r="AA888" s="36"/>
      <c r="AB888" s="36"/>
      <c r="AC888" s="36"/>
    </row>
    <row r="889" spans="17:29" x14ac:dyDescent="0.2">
      <c r="Q889" s="36"/>
      <c r="R889" s="40"/>
      <c r="S889" s="40"/>
      <c r="T889" s="40"/>
      <c r="U889" s="41"/>
      <c r="V889" s="41"/>
      <c r="W889" s="41"/>
      <c r="X889" s="36"/>
      <c r="Y889" s="36"/>
      <c r="Z889" s="36"/>
      <c r="AA889" s="36"/>
      <c r="AB889" s="36"/>
      <c r="AC889" s="36"/>
    </row>
    <row r="890" spans="17:29" x14ac:dyDescent="0.2">
      <c r="Q890" s="36"/>
      <c r="R890" s="40"/>
      <c r="S890" s="40"/>
      <c r="T890" s="40"/>
      <c r="U890" s="41"/>
      <c r="V890" s="41"/>
      <c r="W890" s="41"/>
      <c r="X890" s="36"/>
      <c r="Y890" s="36"/>
      <c r="Z890" s="36"/>
      <c r="AA890" s="36"/>
      <c r="AB890" s="36"/>
      <c r="AC890" s="36"/>
    </row>
    <row r="891" spans="17:29" x14ac:dyDescent="0.2">
      <c r="Q891" s="36"/>
      <c r="R891" s="40"/>
      <c r="S891" s="40"/>
      <c r="T891" s="40"/>
      <c r="U891" s="41"/>
      <c r="V891" s="41"/>
      <c r="W891" s="41"/>
      <c r="X891" s="36"/>
      <c r="Y891" s="36"/>
      <c r="Z891" s="36"/>
      <c r="AA891" s="36"/>
      <c r="AB891" s="36"/>
      <c r="AC891" s="36"/>
    </row>
    <row r="892" spans="17:29" x14ac:dyDescent="0.2">
      <c r="Q892" s="36"/>
      <c r="R892" s="40"/>
      <c r="S892" s="40"/>
      <c r="T892" s="40"/>
      <c r="U892" s="41"/>
      <c r="V892" s="41"/>
      <c r="W892" s="41"/>
      <c r="X892" s="36"/>
      <c r="Y892" s="36"/>
      <c r="Z892" s="36"/>
      <c r="AA892" s="36"/>
      <c r="AB892" s="36"/>
      <c r="AC892" s="36"/>
    </row>
    <row r="893" spans="17:29" x14ac:dyDescent="0.2">
      <c r="Q893" s="36"/>
      <c r="R893" s="40"/>
      <c r="S893" s="40"/>
      <c r="T893" s="40"/>
      <c r="U893" s="41"/>
      <c r="V893" s="41"/>
      <c r="W893" s="41"/>
      <c r="X893" s="36"/>
      <c r="Y893" s="36"/>
      <c r="Z893" s="36"/>
      <c r="AA893" s="36"/>
      <c r="AB893" s="36"/>
      <c r="AC893" s="36"/>
    </row>
    <row r="894" spans="17:29" x14ac:dyDescent="0.2">
      <c r="Q894" s="36"/>
      <c r="R894" s="40"/>
      <c r="S894" s="40"/>
      <c r="T894" s="40"/>
      <c r="U894" s="41"/>
      <c r="V894" s="41"/>
      <c r="W894" s="41"/>
      <c r="X894" s="36"/>
      <c r="Y894" s="36"/>
      <c r="Z894" s="36"/>
      <c r="AA894" s="36"/>
      <c r="AB894" s="36"/>
      <c r="AC894" s="36"/>
    </row>
    <row r="895" spans="17:29" x14ac:dyDescent="0.2">
      <c r="Q895" s="36"/>
      <c r="R895" s="40"/>
      <c r="S895" s="40"/>
      <c r="T895" s="40"/>
      <c r="U895" s="41"/>
      <c r="V895" s="41"/>
      <c r="W895" s="41"/>
      <c r="X895" s="36"/>
      <c r="Y895" s="36"/>
      <c r="Z895" s="36"/>
      <c r="AA895" s="36"/>
      <c r="AB895" s="36"/>
      <c r="AC895" s="36"/>
    </row>
    <row r="896" spans="17:29" x14ac:dyDescent="0.2">
      <c r="Q896" s="36"/>
      <c r="R896" s="40"/>
      <c r="S896" s="40"/>
      <c r="T896" s="40"/>
      <c r="U896" s="41"/>
      <c r="V896" s="41"/>
      <c r="W896" s="41"/>
      <c r="X896" s="36"/>
      <c r="Y896" s="36"/>
      <c r="Z896" s="36"/>
      <c r="AA896" s="36"/>
      <c r="AB896" s="36"/>
      <c r="AC896" s="36"/>
    </row>
    <row r="897" spans="17:29" x14ac:dyDescent="0.2">
      <c r="Q897" s="36"/>
      <c r="R897" s="40"/>
      <c r="S897" s="40"/>
      <c r="T897" s="40"/>
      <c r="U897" s="41"/>
      <c r="V897" s="41"/>
      <c r="W897" s="41"/>
      <c r="X897" s="36"/>
      <c r="Y897" s="36"/>
      <c r="Z897" s="36"/>
      <c r="AA897" s="36"/>
      <c r="AB897" s="36"/>
      <c r="AC897" s="36"/>
    </row>
    <row r="898" spans="17:29" x14ac:dyDescent="0.2">
      <c r="Q898" s="36"/>
      <c r="R898" s="40"/>
      <c r="S898" s="40"/>
      <c r="T898" s="40"/>
      <c r="U898" s="41"/>
      <c r="V898" s="41"/>
      <c r="W898" s="41"/>
      <c r="X898" s="36"/>
      <c r="Y898" s="36"/>
      <c r="Z898" s="36"/>
      <c r="AA898" s="36"/>
      <c r="AB898" s="36"/>
      <c r="AC898" s="36"/>
    </row>
    <row r="899" spans="17:29" x14ac:dyDescent="0.2">
      <c r="Q899" s="36"/>
      <c r="R899" s="40"/>
      <c r="S899" s="40"/>
      <c r="T899" s="40"/>
      <c r="U899" s="41"/>
      <c r="V899" s="41"/>
      <c r="W899" s="41"/>
      <c r="X899" s="36"/>
      <c r="Y899" s="36"/>
      <c r="Z899" s="36"/>
      <c r="AA899" s="36"/>
      <c r="AB899" s="36"/>
      <c r="AC899" s="36"/>
    </row>
    <row r="900" spans="17:29" x14ac:dyDescent="0.2">
      <c r="Q900" s="36"/>
      <c r="R900" s="40"/>
      <c r="S900" s="40"/>
      <c r="T900" s="40"/>
      <c r="U900" s="41"/>
      <c r="V900" s="41"/>
      <c r="W900" s="41"/>
      <c r="X900" s="36"/>
      <c r="Y900" s="36"/>
      <c r="Z900" s="36"/>
      <c r="AA900" s="36"/>
      <c r="AB900" s="36"/>
      <c r="AC900" s="36"/>
    </row>
    <row r="901" spans="17:29" x14ac:dyDescent="0.2">
      <c r="Q901" s="36"/>
      <c r="R901" s="40"/>
      <c r="S901" s="40"/>
      <c r="T901" s="40"/>
      <c r="U901" s="41"/>
      <c r="V901" s="41"/>
      <c r="W901" s="41"/>
      <c r="X901" s="36"/>
      <c r="Y901" s="36"/>
      <c r="Z901" s="36"/>
      <c r="AA901" s="36"/>
      <c r="AB901" s="36"/>
      <c r="AC901" s="36"/>
    </row>
    <row r="902" spans="17:29" x14ac:dyDescent="0.2">
      <c r="Q902" s="36"/>
      <c r="R902" s="40"/>
      <c r="S902" s="40"/>
      <c r="T902" s="40"/>
      <c r="U902" s="41"/>
      <c r="V902" s="41"/>
      <c r="W902" s="41"/>
      <c r="X902" s="36"/>
      <c r="Y902" s="36"/>
      <c r="Z902" s="36"/>
      <c r="AA902" s="36"/>
      <c r="AB902" s="36"/>
      <c r="AC902" s="36"/>
    </row>
    <row r="903" spans="17:29" x14ac:dyDescent="0.2">
      <c r="Q903" s="36"/>
      <c r="R903" s="40"/>
      <c r="S903" s="40"/>
      <c r="T903" s="40"/>
      <c r="U903" s="41"/>
      <c r="V903" s="41"/>
      <c r="W903" s="41"/>
      <c r="X903" s="36"/>
      <c r="Y903" s="36"/>
      <c r="Z903" s="36"/>
      <c r="AA903" s="36"/>
      <c r="AB903" s="36"/>
      <c r="AC903" s="36"/>
    </row>
    <row r="904" spans="17:29" x14ac:dyDescent="0.2">
      <c r="Q904" s="36"/>
      <c r="R904" s="40"/>
      <c r="S904" s="40"/>
      <c r="T904" s="40"/>
      <c r="U904" s="41"/>
      <c r="V904" s="41"/>
      <c r="W904" s="41"/>
      <c r="X904" s="36"/>
      <c r="Y904" s="36"/>
      <c r="Z904" s="36"/>
      <c r="AA904" s="36"/>
      <c r="AB904" s="36"/>
      <c r="AC904" s="36"/>
    </row>
    <row r="905" spans="17:29" x14ac:dyDescent="0.2">
      <c r="Q905" s="36"/>
      <c r="R905" s="40"/>
      <c r="S905" s="40"/>
      <c r="T905" s="40"/>
      <c r="U905" s="41"/>
      <c r="V905" s="41"/>
      <c r="W905" s="41"/>
      <c r="X905" s="36"/>
      <c r="Y905" s="36"/>
      <c r="Z905" s="36"/>
      <c r="AA905" s="36"/>
      <c r="AB905" s="36"/>
      <c r="AC905" s="36"/>
    </row>
    <row r="906" spans="17:29" x14ac:dyDescent="0.2">
      <c r="Q906" s="36"/>
      <c r="R906" s="40"/>
      <c r="S906" s="40"/>
      <c r="T906" s="40"/>
      <c r="U906" s="41"/>
      <c r="V906" s="41"/>
      <c r="W906" s="41"/>
      <c r="X906" s="36"/>
      <c r="Y906" s="36"/>
      <c r="Z906" s="36"/>
      <c r="AA906" s="36"/>
      <c r="AB906" s="36"/>
      <c r="AC906" s="36"/>
    </row>
    <row r="907" spans="17:29" x14ac:dyDescent="0.2">
      <c r="Q907" s="36"/>
      <c r="R907" s="40"/>
      <c r="S907" s="40"/>
      <c r="T907" s="40"/>
      <c r="U907" s="41"/>
      <c r="V907" s="41"/>
      <c r="W907" s="41"/>
      <c r="X907" s="36"/>
      <c r="Y907" s="36"/>
      <c r="Z907" s="36"/>
      <c r="AA907" s="36"/>
      <c r="AB907" s="36"/>
      <c r="AC907" s="36"/>
    </row>
    <row r="908" spans="17:29" x14ac:dyDescent="0.2">
      <c r="Q908" s="36"/>
      <c r="R908" s="40"/>
      <c r="S908" s="40"/>
      <c r="T908" s="40"/>
      <c r="U908" s="41"/>
      <c r="V908" s="41"/>
      <c r="W908" s="41"/>
      <c r="X908" s="36"/>
      <c r="Y908" s="36"/>
      <c r="Z908" s="36"/>
      <c r="AA908" s="36"/>
      <c r="AB908" s="36"/>
      <c r="AC908" s="36"/>
    </row>
    <row r="909" spans="17:29" x14ac:dyDescent="0.2">
      <c r="Q909" s="36"/>
      <c r="R909" s="40"/>
      <c r="S909" s="40"/>
      <c r="T909" s="40"/>
      <c r="U909" s="41"/>
      <c r="V909" s="41"/>
      <c r="W909" s="41"/>
      <c r="X909" s="36"/>
      <c r="Y909" s="36"/>
      <c r="Z909" s="36"/>
      <c r="AA909" s="36"/>
      <c r="AB909" s="36"/>
      <c r="AC909" s="36"/>
    </row>
    <row r="910" spans="17:29" x14ac:dyDescent="0.2">
      <c r="Q910" s="36"/>
      <c r="R910" s="40"/>
      <c r="S910" s="40"/>
      <c r="T910" s="40"/>
      <c r="U910" s="41"/>
      <c r="V910" s="41"/>
      <c r="W910" s="41"/>
      <c r="X910" s="36"/>
      <c r="Y910" s="36"/>
      <c r="Z910" s="36"/>
      <c r="AA910" s="36"/>
      <c r="AB910" s="36"/>
      <c r="AC910" s="36"/>
    </row>
    <row r="911" spans="17:29" x14ac:dyDescent="0.2">
      <c r="Q911" s="36"/>
      <c r="R911" s="40"/>
      <c r="S911" s="40"/>
      <c r="T911" s="40"/>
      <c r="U911" s="41"/>
      <c r="V911" s="41"/>
      <c r="W911" s="41"/>
      <c r="X911" s="36"/>
      <c r="Y911" s="36"/>
      <c r="Z911" s="36"/>
      <c r="AA911" s="36"/>
      <c r="AB911" s="36"/>
      <c r="AC911" s="36"/>
    </row>
    <row r="912" spans="17:29" x14ac:dyDescent="0.2">
      <c r="Q912" s="36"/>
      <c r="R912" s="40"/>
      <c r="S912" s="40"/>
      <c r="T912" s="40"/>
      <c r="U912" s="41"/>
      <c r="V912" s="41"/>
      <c r="W912" s="41"/>
      <c r="X912" s="36"/>
      <c r="Y912" s="36"/>
      <c r="Z912" s="36"/>
      <c r="AA912" s="36"/>
      <c r="AB912" s="36"/>
      <c r="AC912" s="36"/>
    </row>
    <row r="913" spans="17:29" x14ac:dyDescent="0.2">
      <c r="Q913" s="36"/>
      <c r="R913" s="40"/>
      <c r="S913" s="40"/>
      <c r="T913" s="40"/>
      <c r="U913" s="41"/>
      <c r="V913" s="41"/>
      <c r="W913" s="41"/>
      <c r="X913" s="36"/>
      <c r="Y913" s="36"/>
      <c r="Z913" s="36"/>
      <c r="AA913" s="36"/>
      <c r="AB913" s="36"/>
      <c r="AC913" s="36"/>
    </row>
    <row r="914" spans="17:29" x14ac:dyDescent="0.2">
      <c r="Q914" s="36"/>
      <c r="R914" s="40"/>
      <c r="S914" s="40"/>
      <c r="T914" s="40"/>
      <c r="U914" s="41"/>
      <c r="V914" s="41"/>
      <c r="W914" s="41"/>
      <c r="X914" s="36"/>
      <c r="Y914" s="36"/>
      <c r="Z914" s="36"/>
      <c r="AA914" s="36"/>
      <c r="AB914" s="36"/>
      <c r="AC914" s="36"/>
    </row>
    <row r="915" spans="17:29" x14ac:dyDescent="0.2">
      <c r="Q915" s="36"/>
      <c r="R915" s="40"/>
      <c r="S915" s="40"/>
      <c r="T915" s="40"/>
      <c r="U915" s="41"/>
      <c r="V915" s="41"/>
      <c r="W915" s="41"/>
      <c r="X915" s="36"/>
      <c r="Y915" s="36"/>
      <c r="Z915" s="36"/>
      <c r="AA915" s="36"/>
      <c r="AB915" s="36"/>
      <c r="AC915" s="36"/>
    </row>
    <row r="916" spans="17:29" x14ac:dyDescent="0.2">
      <c r="Q916" s="36"/>
      <c r="R916" s="40"/>
      <c r="S916" s="40"/>
      <c r="T916" s="40"/>
      <c r="U916" s="41"/>
      <c r="V916" s="41"/>
      <c r="W916" s="41"/>
      <c r="X916" s="36"/>
      <c r="Y916" s="36"/>
      <c r="Z916" s="36"/>
      <c r="AA916" s="36"/>
      <c r="AB916" s="36"/>
      <c r="AC916" s="36"/>
    </row>
    <row r="917" spans="17:29" x14ac:dyDescent="0.2">
      <c r="Q917" s="36"/>
      <c r="R917" s="40"/>
      <c r="S917" s="40"/>
      <c r="T917" s="40"/>
      <c r="U917" s="41"/>
      <c r="V917" s="41"/>
      <c r="W917" s="41"/>
      <c r="X917" s="36"/>
      <c r="Y917" s="36"/>
      <c r="Z917" s="36"/>
      <c r="AA917" s="36"/>
      <c r="AB917" s="36"/>
      <c r="AC917" s="36"/>
    </row>
    <row r="918" spans="17:29" x14ac:dyDescent="0.2">
      <c r="Q918" s="36"/>
      <c r="R918" s="40"/>
      <c r="S918" s="40"/>
      <c r="T918" s="40"/>
      <c r="U918" s="41"/>
      <c r="V918" s="41"/>
      <c r="W918" s="41"/>
      <c r="X918" s="36"/>
      <c r="Y918" s="36"/>
      <c r="Z918" s="36"/>
      <c r="AA918" s="36"/>
      <c r="AB918" s="36"/>
      <c r="AC918" s="36"/>
    </row>
    <row r="919" spans="17:29" x14ac:dyDescent="0.2">
      <c r="Q919" s="36"/>
      <c r="R919" s="40"/>
      <c r="S919" s="40"/>
      <c r="T919" s="40"/>
      <c r="U919" s="41"/>
      <c r="V919" s="41"/>
      <c r="W919" s="41"/>
      <c r="X919" s="36"/>
      <c r="Y919" s="36"/>
      <c r="Z919" s="36"/>
      <c r="AA919" s="36"/>
      <c r="AB919" s="36"/>
      <c r="AC919" s="36"/>
    </row>
    <row r="920" spans="17:29" x14ac:dyDescent="0.2">
      <c r="Q920" s="36"/>
      <c r="R920" s="40"/>
      <c r="S920" s="40"/>
      <c r="T920" s="40"/>
      <c r="U920" s="41"/>
      <c r="V920" s="41"/>
      <c r="W920" s="41"/>
      <c r="X920" s="36"/>
      <c r="Y920" s="36"/>
      <c r="Z920" s="36"/>
      <c r="AA920" s="36"/>
      <c r="AB920" s="36"/>
      <c r="AC920" s="36"/>
    </row>
    <row r="921" spans="17:29" x14ac:dyDescent="0.2">
      <c r="Q921" s="36"/>
      <c r="R921" s="40"/>
      <c r="S921" s="40"/>
      <c r="T921" s="40"/>
      <c r="U921" s="41"/>
      <c r="V921" s="41"/>
      <c r="W921" s="41"/>
      <c r="X921" s="36"/>
      <c r="Y921" s="36"/>
      <c r="Z921" s="36"/>
      <c r="AA921" s="36"/>
      <c r="AB921" s="36"/>
      <c r="AC921" s="36"/>
    </row>
    <row r="922" spans="17:29" x14ac:dyDescent="0.2">
      <c r="Q922" s="36"/>
      <c r="R922" s="40"/>
      <c r="S922" s="40"/>
      <c r="T922" s="40"/>
      <c r="U922" s="41"/>
      <c r="V922" s="41"/>
      <c r="W922" s="41"/>
      <c r="X922" s="36"/>
      <c r="Y922" s="36"/>
      <c r="Z922" s="36"/>
      <c r="AA922" s="36"/>
      <c r="AB922" s="36"/>
      <c r="AC922" s="36"/>
    </row>
    <row r="923" spans="17:29" x14ac:dyDescent="0.2">
      <c r="Q923" s="36"/>
      <c r="R923" s="40"/>
      <c r="S923" s="40"/>
      <c r="T923" s="40"/>
      <c r="U923" s="41"/>
      <c r="V923" s="41"/>
      <c r="W923" s="41"/>
      <c r="X923" s="36"/>
      <c r="Y923" s="36"/>
      <c r="Z923" s="36"/>
      <c r="AA923" s="36"/>
      <c r="AB923" s="36"/>
      <c r="AC923" s="36"/>
    </row>
    <row r="924" spans="17:29" x14ac:dyDescent="0.2">
      <c r="Q924" s="36"/>
      <c r="R924" s="40"/>
      <c r="S924" s="40"/>
      <c r="T924" s="40"/>
      <c r="U924" s="41"/>
      <c r="V924" s="41"/>
      <c r="W924" s="41"/>
      <c r="X924" s="36"/>
      <c r="Y924" s="36"/>
      <c r="Z924" s="36"/>
      <c r="AA924" s="36"/>
      <c r="AB924" s="36"/>
      <c r="AC924" s="36"/>
    </row>
    <row r="925" spans="17:29" x14ac:dyDescent="0.2">
      <c r="Q925" s="36"/>
      <c r="R925" s="40"/>
      <c r="S925" s="40"/>
      <c r="T925" s="40"/>
      <c r="U925" s="41"/>
      <c r="V925" s="41"/>
      <c r="W925" s="41"/>
      <c r="X925" s="36"/>
      <c r="Y925" s="36"/>
      <c r="Z925" s="36"/>
      <c r="AA925" s="36"/>
      <c r="AB925" s="36"/>
      <c r="AC925" s="36"/>
    </row>
    <row r="926" spans="17:29" x14ac:dyDescent="0.2">
      <c r="Q926" s="36"/>
      <c r="R926" s="40"/>
      <c r="S926" s="40"/>
      <c r="T926" s="40"/>
      <c r="U926" s="41"/>
      <c r="V926" s="41"/>
      <c r="W926" s="41"/>
      <c r="X926" s="36"/>
      <c r="Y926" s="36"/>
      <c r="Z926" s="36"/>
      <c r="AA926" s="36"/>
      <c r="AB926" s="36"/>
      <c r="AC926" s="36"/>
    </row>
    <row r="927" spans="17:29" x14ac:dyDescent="0.2">
      <c r="Q927" s="36"/>
      <c r="R927" s="40"/>
      <c r="S927" s="40"/>
      <c r="T927" s="40"/>
      <c r="U927" s="41"/>
      <c r="V927" s="41"/>
      <c r="W927" s="41"/>
      <c r="X927" s="36"/>
      <c r="Y927" s="36"/>
      <c r="Z927" s="36"/>
      <c r="AA927" s="36"/>
      <c r="AB927" s="36"/>
      <c r="AC927" s="36"/>
    </row>
    <row r="928" spans="17:29" x14ac:dyDescent="0.2">
      <c r="Q928" s="36"/>
      <c r="R928" s="40"/>
      <c r="S928" s="40"/>
      <c r="T928" s="40"/>
      <c r="U928" s="41"/>
      <c r="V928" s="41"/>
      <c r="W928" s="41"/>
      <c r="X928" s="36"/>
      <c r="Y928" s="36"/>
      <c r="Z928" s="36"/>
      <c r="AA928" s="36"/>
      <c r="AB928" s="36"/>
      <c r="AC928" s="36"/>
    </row>
    <row r="929" spans="17:29" x14ac:dyDescent="0.2">
      <c r="Q929" s="36"/>
      <c r="R929" s="40"/>
      <c r="S929" s="40"/>
      <c r="T929" s="40"/>
      <c r="U929" s="41"/>
      <c r="V929" s="41"/>
      <c r="W929" s="41"/>
      <c r="X929" s="36"/>
      <c r="Y929" s="36"/>
      <c r="Z929" s="36"/>
      <c r="AA929" s="36"/>
      <c r="AB929" s="36"/>
      <c r="AC929" s="36"/>
    </row>
    <row r="930" spans="17:29" x14ac:dyDescent="0.2">
      <c r="Q930" s="36"/>
      <c r="R930" s="40"/>
      <c r="S930" s="40"/>
      <c r="T930" s="40"/>
      <c r="U930" s="41"/>
      <c r="V930" s="41"/>
      <c r="W930" s="41"/>
      <c r="X930" s="36"/>
      <c r="Y930" s="36"/>
      <c r="Z930" s="36"/>
      <c r="AA930" s="36"/>
      <c r="AB930" s="36"/>
      <c r="AC930" s="36"/>
    </row>
    <row r="931" spans="17:29" x14ac:dyDescent="0.2">
      <c r="Q931" s="36"/>
      <c r="R931" s="40"/>
      <c r="S931" s="40"/>
      <c r="T931" s="40"/>
      <c r="U931" s="41"/>
      <c r="V931" s="41"/>
      <c r="W931" s="41"/>
      <c r="X931" s="36"/>
      <c r="Y931" s="36"/>
      <c r="Z931" s="36"/>
      <c r="AA931" s="36"/>
      <c r="AB931" s="36"/>
      <c r="AC931" s="36"/>
    </row>
    <row r="932" spans="17:29" x14ac:dyDescent="0.2">
      <c r="Q932" s="36"/>
      <c r="R932" s="40"/>
      <c r="S932" s="40"/>
      <c r="T932" s="40"/>
      <c r="U932" s="41"/>
      <c r="V932" s="41"/>
      <c r="W932" s="41"/>
      <c r="X932" s="36"/>
      <c r="Y932" s="36"/>
      <c r="Z932" s="36"/>
      <c r="AA932" s="36"/>
      <c r="AB932" s="36"/>
      <c r="AC932" s="36"/>
    </row>
    <row r="933" spans="17:29" x14ac:dyDescent="0.2">
      <c r="Q933" s="36"/>
      <c r="R933" s="40"/>
      <c r="S933" s="40"/>
      <c r="T933" s="40"/>
      <c r="U933" s="41"/>
      <c r="V933" s="41"/>
      <c r="W933" s="41"/>
      <c r="X933" s="36"/>
      <c r="Y933" s="36"/>
      <c r="Z933" s="36"/>
      <c r="AA933" s="36"/>
      <c r="AB933" s="36"/>
      <c r="AC933" s="36"/>
    </row>
    <row r="934" spans="17:29" x14ac:dyDescent="0.2">
      <c r="Q934" s="36"/>
      <c r="R934" s="40"/>
      <c r="S934" s="40"/>
      <c r="T934" s="40"/>
      <c r="U934" s="41"/>
      <c r="V934" s="41"/>
      <c r="W934" s="41"/>
      <c r="X934" s="36"/>
      <c r="Y934" s="36"/>
      <c r="Z934" s="36"/>
      <c r="AA934" s="36"/>
      <c r="AB934" s="36"/>
      <c r="AC934" s="36"/>
    </row>
    <row r="935" spans="17:29" x14ac:dyDescent="0.2">
      <c r="Q935" s="36"/>
      <c r="R935" s="40"/>
      <c r="S935" s="40"/>
      <c r="T935" s="40"/>
      <c r="U935" s="41"/>
      <c r="V935" s="41"/>
      <c r="W935" s="41"/>
      <c r="X935" s="36"/>
      <c r="Y935" s="36"/>
      <c r="Z935" s="36"/>
      <c r="AA935" s="36"/>
      <c r="AB935" s="36"/>
      <c r="AC935" s="36"/>
    </row>
    <row r="936" spans="17:29" x14ac:dyDescent="0.2">
      <c r="Q936" s="36"/>
      <c r="R936" s="40"/>
      <c r="S936" s="40"/>
      <c r="T936" s="40"/>
      <c r="U936" s="41"/>
      <c r="V936" s="41"/>
      <c r="W936" s="41"/>
      <c r="X936" s="36"/>
      <c r="Y936" s="36"/>
      <c r="Z936" s="36"/>
      <c r="AA936" s="36"/>
      <c r="AB936" s="36"/>
      <c r="AC936" s="36"/>
    </row>
    <row r="937" spans="17:29" x14ac:dyDescent="0.2">
      <c r="Q937" s="36"/>
      <c r="R937" s="40"/>
      <c r="S937" s="40"/>
      <c r="T937" s="40"/>
      <c r="U937" s="41"/>
      <c r="V937" s="41"/>
      <c r="W937" s="41"/>
      <c r="X937" s="36"/>
      <c r="Y937" s="36"/>
      <c r="Z937" s="36"/>
      <c r="AA937" s="36"/>
      <c r="AB937" s="36"/>
      <c r="AC937" s="36"/>
    </row>
    <row r="938" spans="17:29" x14ac:dyDescent="0.2">
      <c r="Q938" s="36"/>
      <c r="R938" s="40"/>
      <c r="S938" s="40"/>
      <c r="T938" s="40"/>
      <c r="U938" s="41"/>
      <c r="V938" s="41"/>
      <c r="W938" s="41"/>
      <c r="X938" s="36"/>
      <c r="Y938" s="36"/>
      <c r="Z938" s="36"/>
      <c r="AA938" s="36"/>
      <c r="AB938" s="36"/>
      <c r="AC938" s="36"/>
    </row>
    <row r="939" spans="17:29" x14ac:dyDescent="0.2">
      <c r="Q939" s="36"/>
      <c r="R939" s="40"/>
      <c r="S939" s="40"/>
      <c r="T939" s="40"/>
      <c r="U939" s="41"/>
      <c r="V939" s="41"/>
      <c r="W939" s="41"/>
      <c r="X939" s="36"/>
      <c r="Y939" s="36"/>
      <c r="Z939" s="36"/>
      <c r="AA939" s="36"/>
      <c r="AB939" s="36"/>
      <c r="AC939" s="36"/>
    </row>
    <row r="940" spans="17:29" x14ac:dyDescent="0.2">
      <c r="Q940" s="36"/>
      <c r="R940" s="40"/>
      <c r="S940" s="40"/>
      <c r="T940" s="40"/>
      <c r="U940" s="41"/>
      <c r="V940" s="41"/>
      <c r="W940" s="41"/>
      <c r="X940" s="36"/>
      <c r="Y940" s="36"/>
      <c r="Z940" s="36"/>
      <c r="AA940" s="36"/>
      <c r="AB940" s="36"/>
      <c r="AC940" s="36"/>
    </row>
    <row r="941" spans="17:29" x14ac:dyDescent="0.2">
      <c r="Q941" s="36"/>
      <c r="R941" s="40"/>
      <c r="S941" s="40"/>
      <c r="T941" s="40"/>
      <c r="U941" s="41"/>
      <c r="V941" s="41"/>
      <c r="W941" s="41"/>
      <c r="X941" s="36"/>
      <c r="Y941" s="36"/>
      <c r="Z941" s="36"/>
      <c r="AA941" s="36"/>
      <c r="AB941" s="36"/>
      <c r="AC941" s="36"/>
    </row>
    <row r="942" spans="17:29" x14ac:dyDescent="0.2">
      <c r="Q942" s="36"/>
      <c r="R942" s="40"/>
      <c r="S942" s="40"/>
      <c r="T942" s="40"/>
      <c r="U942" s="41"/>
      <c r="V942" s="41"/>
      <c r="W942" s="41"/>
      <c r="X942" s="36"/>
      <c r="Y942" s="36"/>
      <c r="Z942" s="36"/>
      <c r="AA942" s="36"/>
      <c r="AB942" s="36"/>
      <c r="AC942" s="36"/>
    </row>
    <row r="943" spans="17:29" x14ac:dyDescent="0.2">
      <c r="Q943" s="36"/>
      <c r="R943" s="40"/>
      <c r="S943" s="40"/>
      <c r="T943" s="40"/>
      <c r="U943" s="41"/>
      <c r="V943" s="41"/>
      <c r="W943" s="41"/>
      <c r="X943" s="36"/>
      <c r="Y943" s="36"/>
      <c r="Z943" s="36"/>
      <c r="AA943" s="36"/>
      <c r="AB943" s="36"/>
      <c r="AC943" s="36"/>
    </row>
    <row r="944" spans="17:29" x14ac:dyDescent="0.2">
      <c r="Q944" s="36"/>
      <c r="R944" s="40"/>
      <c r="S944" s="40"/>
      <c r="T944" s="40"/>
      <c r="U944" s="41"/>
      <c r="V944" s="41"/>
      <c r="W944" s="41"/>
      <c r="X944" s="36"/>
      <c r="Y944" s="36"/>
      <c r="Z944" s="36"/>
      <c r="AA944" s="36"/>
      <c r="AB944" s="36"/>
      <c r="AC944" s="36"/>
    </row>
    <row r="945" spans="17:29" x14ac:dyDescent="0.2">
      <c r="Q945" s="36"/>
      <c r="R945" s="40"/>
      <c r="S945" s="40"/>
      <c r="T945" s="40"/>
      <c r="U945" s="41"/>
      <c r="V945" s="41"/>
      <c r="W945" s="41"/>
      <c r="X945" s="36"/>
      <c r="Y945" s="36"/>
      <c r="Z945" s="36"/>
      <c r="AA945" s="36"/>
      <c r="AB945" s="36"/>
      <c r="AC945" s="36"/>
    </row>
    <row r="946" spans="17:29" x14ac:dyDescent="0.2">
      <c r="Q946" s="36"/>
      <c r="R946" s="40"/>
      <c r="S946" s="40"/>
      <c r="T946" s="40"/>
      <c r="U946" s="41"/>
      <c r="V946" s="41"/>
      <c r="W946" s="41"/>
      <c r="X946" s="36"/>
      <c r="Y946" s="36"/>
      <c r="Z946" s="36"/>
      <c r="AA946" s="36"/>
      <c r="AB946" s="36"/>
      <c r="AC946" s="36"/>
    </row>
    <row r="947" spans="17:29" x14ac:dyDescent="0.2">
      <c r="Q947" s="36"/>
      <c r="R947" s="40"/>
      <c r="S947" s="40"/>
      <c r="T947" s="40"/>
      <c r="U947" s="41"/>
      <c r="V947" s="41"/>
      <c r="W947" s="41"/>
      <c r="X947" s="36"/>
      <c r="Y947" s="36"/>
      <c r="Z947" s="36"/>
      <c r="AA947" s="36"/>
      <c r="AB947" s="36"/>
      <c r="AC947" s="36"/>
    </row>
    <row r="948" spans="17:29" x14ac:dyDescent="0.2">
      <c r="Q948" s="36"/>
      <c r="R948" s="40"/>
      <c r="S948" s="40"/>
      <c r="T948" s="40"/>
      <c r="U948" s="41"/>
      <c r="V948" s="41"/>
      <c r="W948" s="41"/>
      <c r="X948" s="36"/>
      <c r="Y948" s="36"/>
      <c r="Z948" s="36"/>
      <c r="AA948" s="36"/>
      <c r="AB948" s="36"/>
      <c r="AC948" s="36"/>
    </row>
    <row r="949" spans="17:29" x14ac:dyDescent="0.2">
      <c r="Q949" s="36"/>
      <c r="R949" s="40"/>
      <c r="S949" s="40"/>
      <c r="T949" s="40"/>
      <c r="U949" s="41"/>
      <c r="V949" s="41"/>
      <c r="W949" s="41"/>
      <c r="X949" s="36"/>
      <c r="Y949" s="36"/>
      <c r="Z949" s="36"/>
      <c r="AA949" s="36"/>
      <c r="AB949" s="36"/>
      <c r="AC949" s="36"/>
    </row>
    <row r="950" spans="17:29" x14ac:dyDescent="0.2">
      <c r="Q950" s="36"/>
      <c r="R950" s="40"/>
      <c r="S950" s="40"/>
      <c r="T950" s="40"/>
      <c r="U950" s="41"/>
      <c r="V950" s="41"/>
      <c r="W950" s="41"/>
      <c r="X950" s="36"/>
      <c r="Y950" s="36"/>
      <c r="Z950" s="36"/>
      <c r="AA950" s="36"/>
      <c r="AB950" s="36"/>
      <c r="AC950" s="36"/>
    </row>
    <row r="951" spans="17:29" x14ac:dyDescent="0.2">
      <c r="Q951" s="36"/>
      <c r="R951" s="40"/>
      <c r="S951" s="40"/>
      <c r="T951" s="40"/>
      <c r="U951" s="41"/>
      <c r="V951" s="41"/>
      <c r="W951" s="41"/>
      <c r="X951" s="36"/>
      <c r="Y951" s="36"/>
      <c r="Z951" s="36"/>
      <c r="AA951" s="36"/>
      <c r="AB951" s="36"/>
      <c r="AC951" s="36"/>
    </row>
    <row r="952" spans="17:29" x14ac:dyDescent="0.2">
      <c r="Q952" s="36"/>
      <c r="R952" s="40"/>
      <c r="S952" s="40"/>
      <c r="T952" s="40"/>
      <c r="U952" s="41"/>
      <c r="V952" s="41"/>
      <c r="W952" s="41"/>
      <c r="X952" s="36"/>
      <c r="Y952" s="36"/>
      <c r="Z952" s="36"/>
      <c r="AA952" s="36"/>
      <c r="AB952" s="36"/>
      <c r="AC952" s="36"/>
    </row>
    <row r="953" spans="17:29" x14ac:dyDescent="0.2">
      <c r="Q953" s="36"/>
      <c r="R953" s="40"/>
      <c r="S953" s="40"/>
      <c r="T953" s="40"/>
      <c r="U953" s="41"/>
      <c r="V953" s="41"/>
      <c r="W953" s="41"/>
      <c r="X953" s="36"/>
      <c r="Y953" s="36"/>
      <c r="Z953" s="36"/>
      <c r="AA953" s="36"/>
      <c r="AB953" s="36"/>
      <c r="AC953" s="36"/>
    </row>
    <row r="954" spans="17:29" x14ac:dyDescent="0.2">
      <c r="Q954" s="36"/>
      <c r="R954" s="40"/>
      <c r="S954" s="40"/>
      <c r="T954" s="40"/>
      <c r="U954" s="41"/>
      <c r="V954" s="41"/>
      <c r="W954" s="41"/>
      <c r="X954" s="36"/>
      <c r="Y954" s="36"/>
      <c r="Z954" s="36"/>
      <c r="AA954" s="36"/>
      <c r="AB954" s="36"/>
      <c r="AC954" s="36"/>
    </row>
    <row r="955" spans="17:29" x14ac:dyDescent="0.2">
      <c r="Q955" s="36"/>
      <c r="R955" s="40"/>
      <c r="S955" s="40"/>
      <c r="T955" s="40"/>
      <c r="U955" s="41"/>
      <c r="V955" s="41"/>
      <c r="W955" s="41"/>
      <c r="X955" s="36"/>
      <c r="Y955" s="36"/>
      <c r="Z955" s="36"/>
      <c r="AA955" s="36"/>
      <c r="AB955" s="36"/>
      <c r="AC955" s="36"/>
    </row>
    <row r="956" spans="17:29" x14ac:dyDescent="0.2">
      <c r="Q956" s="36"/>
      <c r="R956" s="40"/>
      <c r="S956" s="40"/>
      <c r="T956" s="40"/>
      <c r="U956" s="41"/>
      <c r="V956" s="41"/>
      <c r="W956" s="41"/>
      <c r="X956" s="36"/>
      <c r="Y956" s="36"/>
      <c r="Z956" s="36"/>
      <c r="AA956" s="36"/>
      <c r="AB956" s="36"/>
      <c r="AC956" s="36"/>
    </row>
    <row r="957" spans="17:29" x14ac:dyDescent="0.2">
      <c r="Q957" s="36"/>
      <c r="R957" s="40"/>
      <c r="S957" s="40"/>
      <c r="T957" s="40"/>
      <c r="U957" s="41"/>
      <c r="V957" s="41"/>
      <c r="W957" s="41"/>
      <c r="X957" s="36"/>
      <c r="Y957" s="36"/>
      <c r="Z957" s="36"/>
      <c r="AA957" s="36"/>
      <c r="AB957" s="36"/>
      <c r="AC957" s="36"/>
    </row>
    <row r="958" spans="17:29" x14ac:dyDescent="0.2">
      <c r="Q958" s="36"/>
      <c r="R958" s="40"/>
      <c r="S958" s="40"/>
      <c r="T958" s="40"/>
      <c r="U958" s="41"/>
      <c r="V958" s="41"/>
      <c r="W958" s="41"/>
      <c r="X958" s="36"/>
      <c r="Y958" s="36"/>
      <c r="Z958" s="36"/>
      <c r="AA958" s="36"/>
      <c r="AB958" s="36"/>
      <c r="AC958" s="36"/>
    </row>
    <row r="959" spans="17:29" x14ac:dyDescent="0.2">
      <c r="Q959" s="36"/>
      <c r="R959" s="40"/>
      <c r="S959" s="40"/>
      <c r="T959" s="40"/>
      <c r="U959" s="41"/>
      <c r="V959" s="41"/>
      <c r="W959" s="41"/>
      <c r="X959" s="36"/>
      <c r="Y959" s="36"/>
      <c r="Z959" s="36"/>
      <c r="AA959" s="36"/>
      <c r="AB959" s="36"/>
      <c r="AC959" s="36"/>
    </row>
    <row r="960" spans="17:29" x14ac:dyDescent="0.2">
      <c r="Q960" s="36"/>
      <c r="R960" s="40"/>
      <c r="S960" s="40"/>
      <c r="T960" s="40"/>
      <c r="U960" s="41"/>
      <c r="V960" s="41"/>
      <c r="W960" s="41"/>
      <c r="X960" s="36"/>
      <c r="Y960" s="36"/>
      <c r="Z960" s="36"/>
      <c r="AA960" s="36"/>
      <c r="AB960" s="36"/>
      <c r="AC960" s="36"/>
    </row>
    <row r="961" spans="17:29" x14ac:dyDescent="0.2">
      <c r="Q961" s="36"/>
      <c r="R961" s="40"/>
      <c r="S961" s="40"/>
      <c r="T961" s="40"/>
      <c r="U961" s="41"/>
      <c r="V961" s="41"/>
      <c r="W961" s="41"/>
      <c r="X961" s="36"/>
      <c r="Y961" s="36"/>
      <c r="Z961" s="36"/>
      <c r="AA961" s="36"/>
      <c r="AB961" s="36"/>
      <c r="AC961" s="36"/>
    </row>
    <row r="962" spans="17:29" x14ac:dyDescent="0.2">
      <c r="Q962" s="36"/>
      <c r="R962" s="40"/>
      <c r="S962" s="40"/>
      <c r="T962" s="40"/>
      <c r="U962" s="41"/>
      <c r="V962" s="41"/>
      <c r="W962" s="41"/>
      <c r="X962" s="36"/>
      <c r="Y962" s="36"/>
      <c r="Z962" s="36"/>
      <c r="AA962" s="36"/>
      <c r="AB962" s="36"/>
      <c r="AC962" s="36"/>
    </row>
    <row r="963" spans="17:29" x14ac:dyDescent="0.2">
      <c r="Q963" s="36"/>
      <c r="R963" s="40"/>
      <c r="S963" s="40"/>
      <c r="T963" s="40"/>
      <c r="U963" s="41"/>
      <c r="V963" s="41"/>
      <c r="W963" s="41"/>
      <c r="X963" s="36"/>
      <c r="Y963" s="36"/>
      <c r="Z963" s="36"/>
      <c r="AA963" s="36"/>
      <c r="AB963" s="36"/>
      <c r="AC963" s="36"/>
    </row>
    <row r="964" spans="17:29" x14ac:dyDescent="0.2">
      <c r="Q964" s="36"/>
      <c r="R964" s="40"/>
      <c r="S964" s="40"/>
      <c r="T964" s="40"/>
      <c r="U964" s="41"/>
      <c r="V964" s="41"/>
      <c r="W964" s="41"/>
      <c r="X964" s="36"/>
      <c r="Y964" s="36"/>
      <c r="Z964" s="36"/>
      <c r="AA964" s="36"/>
      <c r="AB964" s="36"/>
      <c r="AC964" s="36"/>
    </row>
    <row r="965" spans="17:29" x14ac:dyDescent="0.2">
      <c r="Q965" s="36"/>
      <c r="R965" s="40"/>
      <c r="S965" s="40"/>
      <c r="T965" s="40"/>
      <c r="U965" s="41"/>
      <c r="V965" s="41"/>
      <c r="W965" s="41"/>
      <c r="X965" s="36"/>
      <c r="Y965" s="36"/>
      <c r="Z965" s="36"/>
      <c r="AA965" s="36"/>
      <c r="AB965" s="36"/>
      <c r="AC965" s="36"/>
    </row>
    <row r="966" spans="17:29" x14ac:dyDescent="0.2">
      <c r="Q966" s="36"/>
      <c r="R966" s="40"/>
      <c r="S966" s="40"/>
      <c r="T966" s="40"/>
      <c r="U966" s="41"/>
      <c r="V966" s="41"/>
      <c r="W966" s="41"/>
      <c r="X966" s="36"/>
      <c r="Y966" s="36"/>
      <c r="Z966" s="36"/>
      <c r="AA966" s="36"/>
      <c r="AB966" s="36"/>
      <c r="AC966" s="36"/>
    </row>
    <row r="967" spans="17:29" x14ac:dyDescent="0.2">
      <c r="Q967" s="36"/>
      <c r="R967" s="40"/>
      <c r="S967" s="40"/>
      <c r="T967" s="40"/>
      <c r="U967" s="41"/>
      <c r="V967" s="41"/>
      <c r="W967" s="41"/>
      <c r="X967" s="36"/>
      <c r="Y967" s="36"/>
      <c r="Z967" s="36"/>
      <c r="AA967" s="36"/>
      <c r="AB967" s="36"/>
      <c r="AC967" s="36"/>
    </row>
    <row r="968" spans="17:29" x14ac:dyDescent="0.2">
      <c r="Q968" s="36"/>
      <c r="R968" s="40"/>
      <c r="S968" s="40"/>
      <c r="T968" s="40"/>
      <c r="U968" s="41"/>
      <c r="V968" s="41"/>
      <c r="W968" s="41"/>
      <c r="X968" s="36"/>
      <c r="Y968" s="36"/>
      <c r="Z968" s="36"/>
      <c r="AA968" s="36"/>
      <c r="AB968" s="36"/>
      <c r="AC968" s="36"/>
    </row>
    <row r="969" spans="17:29" x14ac:dyDescent="0.2">
      <c r="Q969" s="36"/>
      <c r="R969" s="40"/>
      <c r="S969" s="40"/>
      <c r="T969" s="40"/>
      <c r="U969" s="41"/>
      <c r="V969" s="41"/>
      <c r="W969" s="41"/>
      <c r="X969" s="36"/>
      <c r="Y969" s="36"/>
      <c r="Z969" s="36"/>
      <c r="AA969" s="36"/>
      <c r="AB969" s="36"/>
      <c r="AC969" s="36"/>
    </row>
    <row r="970" spans="17:29" x14ac:dyDescent="0.2">
      <c r="Q970" s="36"/>
      <c r="R970" s="40"/>
      <c r="S970" s="40"/>
      <c r="T970" s="40"/>
      <c r="U970" s="41"/>
      <c r="V970" s="41"/>
      <c r="W970" s="41"/>
      <c r="X970" s="36"/>
      <c r="Y970" s="36"/>
      <c r="Z970" s="36"/>
      <c r="AA970" s="36"/>
      <c r="AB970" s="36"/>
      <c r="AC970" s="36"/>
    </row>
    <row r="971" spans="17:29" x14ac:dyDescent="0.2">
      <c r="Q971" s="36"/>
      <c r="R971" s="40"/>
      <c r="S971" s="40"/>
      <c r="T971" s="40"/>
      <c r="U971" s="41"/>
      <c r="V971" s="41"/>
      <c r="W971" s="41"/>
      <c r="X971" s="36"/>
      <c r="Y971" s="36"/>
      <c r="Z971" s="36"/>
      <c r="AA971" s="36"/>
      <c r="AB971" s="36"/>
      <c r="AC971" s="36"/>
    </row>
    <row r="972" spans="17:29" x14ac:dyDescent="0.2">
      <c r="Q972" s="36"/>
      <c r="R972" s="40"/>
      <c r="S972" s="40"/>
      <c r="T972" s="40"/>
      <c r="U972" s="41"/>
      <c r="V972" s="41"/>
      <c r="W972" s="41"/>
      <c r="X972" s="36"/>
      <c r="Y972" s="36"/>
      <c r="Z972" s="36"/>
      <c r="AA972" s="36"/>
      <c r="AB972" s="36"/>
      <c r="AC972" s="36"/>
    </row>
    <row r="973" spans="17:29" x14ac:dyDescent="0.2">
      <c r="Q973" s="36"/>
      <c r="R973" s="40"/>
      <c r="S973" s="40"/>
      <c r="T973" s="40"/>
      <c r="U973" s="41"/>
      <c r="V973" s="41"/>
      <c r="W973" s="41"/>
      <c r="X973" s="36"/>
      <c r="Y973" s="36"/>
      <c r="Z973" s="36"/>
      <c r="AA973" s="36"/>
      <c r="AB973" s="36"/>
      <c r="AC973" s="36"/>
    </row>
    <row r="974" spans="17:29" x14ac:dyDescent="0.2">
      <c r="Q974" s="36"/>
      <c r="R974" s="40"/>
      <c r="S974" s="40"/>
      <c r="T974" s="40"/>
      <c r="U974" s="41"/>
      <c r="V974" s="41"/>
      <c r="W974" s="41"/>
      <c r="X974" s="36"/>
      <c r="Y974" s="36"/>
      <c r="Z974" s="36"/>
      <c r="AA974" s="36"/>
      <c r="AB974" s="36"/>
      <c r="AC974" s="36"/>
    </row>
    <row r="975" spans="17:29" x14ac:dyDescent="0.2">
      <c r="Q975" s="36"/>
      <c r="R975" s="40"/>
      <c r="S975" s="40"/>
      <c r="T975" s="40"/>
      <c r="U975" s="41"/>
      <c r="V975" s="41"/>
      <c r="W975" s="41"/>
      <c r="X975" s="36"/>
      <c r="Y975" s="36"/>
      <c r="Z975" s="36"/>
      <c r="AA975" s="36"/>
      <c r="AB975" s="36"/>
      <c r="AC975" s="36"/>
    </row>
    <row r="976" spans="17:29" x14ac:dyDescent="0.2">
      <c r="Q976" s="36"/>
      <c r="R976" s="40"/>
      <c r="S976" s="40"/>
      <c r="T976" s="40"/>
      <c r="U976" s="41"/>
      <c r="V976" s="41"/>
      <c r="W976" s="41"/>
      <c r="X976" s="36"/>
      <c r="Y976" s="36"/>
      <c r="Z976" s="36"/>
      <c r="AA976" s="36"/>
      <c r="AB976" s="36"/>
      <c r="AC976" s="36"/>
    </row>
    <row r="977" spans="17:29" x14ac:dyDescent="0.2">
      <c r="Q977" s="36"/>
      <c r="R977" s="40"/>
      <c r="S977" s="40"/>
      <c r="T977" s="40"/>
      <c r="U977" s="41"/>
      <c r="V977" s="41"/>
      <c r="W977" s="41"/>
      <c r="X977" s="36"/>
      <c r="Y977" s="36"/>
      <c r="Z977" s="36"/>
      <c r="AA977" s="36"/>
      <c r="AB977" s="36"/>
      <c r="AC977" s="36"/>
    </row>
    <row r="978" spans="17:29" x14ac:dyDescent="0.2">
      <c r="Q978" s="36"/>
      <c r="R978" s="40"/>
      <c r="S978" s="40"/>
      <c r="T978" s="40"/>
      <c r="U978" s="41"/>
      <c r="V978" s="41"/>
      <c r="W978" s="41"/>
      <c r="X978" s="36"/>
      <c r="Y978" s="36"/>
      <c r="Z978" s="36"/>
      <c r="AA978" s="36"/>
      <c r="AB978" s="36"/>
      <c r="AC978" s="36"/>
    </row>
    <row r="979" spans="17:29" x14ac:dyDescent="0.2">
      <c r="Q979" s="36"/>
      <c r="R979" s="40"/>
      <c r="S979" s="40"/>
      <c r="T979" s="40"/>
      <c r="U979" s="41"/>
      <c r="V979" s="41"/>
      <c r="W979" s="41"/>
      <c r="X979" s="36"/>
      <c r="Y979" s="36"/>
      <c r="Z979" s="36"/>
      <c r="AA979" s="36"/>
      <c r="AB979" s="36"/>
      <c r="AC979" s="36"/>
    </row>
    <row r="980" spans="17:29" x14ac:dyDescent="0.2">
      <c r="Q980" s="36"/>
      <c r="R980" s="40"/>
      <c r="S980" s="40"/>
      <c r="T980" s="40"/>
      <c r="U980" s="41"/>
      <c r="V980" s="41"/>
      <c r="W980" s="41"/>
      <c r="X980" s="36"/>
      <c r="Y980" s="36"/>
      <c r="Z980" s="36"/>
      <c r="AA980" s="36"/>
      <c r="AB980" s="36"/>
      <c r="AC980" s="36"/>
    </row>
    <row r="981" spans="17:29" x14ac:dyDescent="0.2">
      <c r="Q981" s="36"/>
      <c r="R981" s="40"/>
      <c r="S981" s="40"/>
      <c r="T981" s="40"/>
      <c r="U981" s="41"/>
      <c r="V981" s="41"/>
      <c r="W981" s="41"/>
      <c r="X981" s="36"/>
      <c r="Y981" s="36"/>
      <c r="Z981" s="36"/>
      <c r="AA981" s="36"/>
      <c r="AB981" s="36"/>
      <c r="AC981" s="36"/>
    </row>
    <row r="982" spans="17:29" x14ac:dyDescent="0.2">
      <c r="Q982" s="36"/>
      <c r="R982" s="40"/>
      <c r="S982" s="40"/>
      <c r="T982" s="40"/>
      <c r="U982" s="41"/>
      <c r="V982" s="41"/>
      <c r="W982" s="41"/>
      <c r="X982" s="36"/>
      <c r="Y982" s="36"/>
      <c r="Z982" s="36"/>
      <c r="AA982" s="36"/>
      <c r="AB982" s="36"/>
      <c r="AC982" s="36"/>
    </row>
    <row r="983" spans="17:29" x14ac:dyDescent="0.2">
      <c r="Q983" s="36"/>
      <c r="R983" s="40"/>
      <c r="S983" s="40"/>
      <c r="T983" s="40"/>
      <c r="U983" s="41"/>
      <c r="V983" s="41"/>
      <c r="W983" s="41"/>
      <c r="X983" s="36"/>
      <c r="Y983" s="36"/>
      <c r="Z983" s="36"/>
      <c r="AA983" s="36"/>
      <c r="AB983" s="36"/>
      <c r="AC983" s="36"/>
    </row>
    <row r="984" spans="17:29" x14ac:dyDescent="0.2">
      <c r="Q984" s="36"/>
      <c r="R984" s="40"/>
      <c r="S984" s="40"/>
      <c r="T984" s="40"/>
      <c r="U984" s="41"/>
      <c r="V984" s="41"/>
      <c r="W984" s="41"/>
      <c r="X984" s="36"/>
      <c r="Y984" s="36"/>
      <c r="Z984" s="36"/>
      <c r="AA984" s="36"/>
      <c r="AB984" s="36"/>
      <c r="AC984" s="36"/>
    </row>
    <row r="985" spans="17:29" x14ac:dyDescent="0.2">
      <c r="Q985" s="36"/>
      <c r="R985" s="40"/>
      <c r="S985" s="40"/>
      <c r="T985" s="40"/>
      <c r="U985" s="41"/>
      <c r="V985" s="41"/>
      <c r="W985" s="41"/>
      <c r="X985" s="36"/>
      <c r="Y985" s="36"/>
      <c r="Z985" s="36"/>
      <c r="AA985" s="36"/>
      <c r="AB985" s="36"/>
      <c r="AC985" s="36"/>
    </row>
    <row r="986" spans="17:29" x14ac:dyDescent="0.2">
      <c r="Q986" s="36"/>
      <c r="R986" s="40"/>
      <c r="S986" s="40"/>
      <c r="T986" s="40"/>
      <c r="U986" s="41"/>
      <c r="V986" s="41"/>
      <c r="W986" s="41"/>
      <c r="X986" s="36"/>
      <c r="Y986" s="36"/>
      <c r="Z986" s="36"/>
      <c r="AA986" s="36"/>
      <c r="AB986" s="36"/>
      <c r="AC986" s="36"/>
    </row>
    <row r="987" spans="17:29" x14ac:dyDescent="0.2">
      <c r="Q987" s="36"/>
      <c r="R987" s="40"/>
      <c r="S987" s="40"/>
      <c r="T987" s="40"/>
      <c r="U987" s="41"/>
      <c r="V987" s="41"/>
      <c r="W987" s="41"/>
      <c r="X987" s="36"/>
      <c r="Y987" s="36"/>
      <c r="Z987" s="36"/>
      <c r="AA987" s="36"/>
      <c r="AB987" s="36"/>
      <c r="AC987" s="36"/>
    </row>
    <row r="988" spans="17:29" x14ac:dyDescent="0.2">
      <c r="Q988" s="36"/>
      <c r="R988" s="40"/>
      <c r="S988" s="40"/>
      <c r="T988" s="40"/>
      <c r="U988" s="41"/>
      <c r="V988" s="41"/>
      <c r="W988" s="41"/>
      <c r="X988" s="36"/>
      <c r="Y988" s="36"/>
      <c r="Z988" s="36"/>
      <c r="AA988" s="36"/>
      <c r="AB988" s="36"/>
      <c r="AC988" s="36"/>
    </row>
    <row r="989" spans="17:29" x14ac:dyDescent="0.2">
      <c r="Q989" s="36"/>
      <c r="R989" s="40"/>
      <c r="S989" s="40"/>
      <c r="T989" s="40"/>
      <c r="U989" s="41"/>
      <c r="V989" s="41"/>
      <c r="W989" s="41"/>
      <c r="X989" s="36"/>
      <c r="Y989" s="36"/>
      <c r="Z989" s="36"/>
      <c r="AA989" s="36"/>
      <c r="AB989" s="36"/>
      <c r="AC989" s="36"/>
    </row>
    <row r="990" spans="17:29" x14ac:dyDescent="0.2">
      <c r="Q990" s="36"/>
      <c r="R990" s="40"/>
      <c r="S990" s="40"/>
      <c r="T990" s="40"/>
      <c r="U990" s="41"/>
      <c r="V990" s="41"/>
      <c r="W990" s="41"/>
      <c r="X990" s="36"/>
      <c r="Y990" s="36"/>
      <c r="Z990" s="36"/>
      <c r="AA990" s="36"/>
      <c r="AB990" s="36"/>
      <c r="AC990" s="36"/>
    </row>
    <row r="991" spans="17:29" x14ac:dyDescent="0.2">
      <c r="Q991" s="36"/>
      <c r="R991" s="40"/>
      <c r="S991" s="40"/>
      <c r="T991" s="40"/>
      <c r="U991" s="41"/>
      <c r="V991" s="41"/>
      <c r="W991" s="41"/>
      <c r="X991" s="36"/>
      <c r="Y991" s="36"/>
      <c r="Z991" s="36"/>
      <c r="AA991" s="36"/>
      <c r="AB991" s="36"/>
      <c r="AC991" s="36"/>
    </row>
    <row r="992" spans="17:29" x14ac:dyDescent="0.2">
      <c r="Q992" s="36"/>
      <c r="R992" s="40"/>
      <c r="S992" s="40"/>
      <c r="T992" s="40"/>
      <c r="U992" s="41"/>
      <c r="V992" s="41"/>
      <c r="W992" s="41"/>
      <c r="X992" s="36"/>
      <c r="Y992" s="36"/>
      <c r="Z992" s="36"/>
      <c r="AA992" s="36"/>
      <c r="AB992" s="36"/>
      <c r="AC992" s="36"/>
    </row>
    <row r="993" spans="17:29" x14ac:dyDescent="0.2">
      <c r="Q993" s="36"/>
      <c r="R993" s="40"/>
      <c r="S993" s="40"/>
      <c r="T993" s="40"/>
      <c r="U993" s="41"/>
      <c r="V993" s="41"/>
      <c r="W993" s="41"/>
      <c r="X993" s="36"/>
      <c r="Y993" s="36"/>
      <c r="Z993" s="36"/>
      <c r="AA993" s="36"/>
      <c r="AB993" s="36"/>
      <c r="AC993" s="36"/>
    </row>
    <row r="994" spans="17:29" x14ac:dyDescent="0.2">
      <c r="Q994" s="36"/>
      <c r="R994" s="40"/>
      <c r="S994" s="40"/>
      <c r="T994" s="40"/>
      <c r="U994" s="41"/>
      <c r="V994" s="41"/>
      <c r="W994" s="41"/>
      <c r="X994" s="36"/>
      <c r="Y994" s="36"/>
      <c r="Z994" s="36"/>
      <c r="AA994" s="36"/>
      <c r="AB994" s="36"/>
      <c r="AC994" s="36"/>
    </row>
    <row r="995" spans="17:29" x14ac:dyDescent="0.2">
      <c r="Q995" s="36"/>
      <c r="R995" s="40"/>
      <c r="S995" s="40"/>
      <c r="T995" s="40"/>
      <c r="U995" s="41"/>
      <c r="V995" s="41"/>
      <c r="W995" s="41"/>
      <c r="X995" s="36"/>
      <c r="Y995" s="36"/>
      <c r="Z995" s="36"/>
      <c r="AA995" s="36"/>
      <c r="AB995" s="36"/>
      <c r="AC995" s="36"/>
    </row>
    <row r="996" spans="17:29" x14ac:dyDescent="0.2">
      <c r="Q996" s="36"/>
      <c r="R996" s="40"/>
      <c r="S996" s="40"/>
      <c r="T996" s="40"/>
      <c r="U996" s="41"/>
      <c r="V996" s="41"/>
      <c r="W996" s="41"/>
      <c r="X996" s="36"/>
      <c r="Y996" s="36"/>
      <c r="Z996" s="36"/>
      <c r="AA996" s="36"/>
      <c r="AB996" s="36"/>
      <c r="AC996" s="36"/>
    </row>
    <row r="997" spans="17:29" x14ac:dyDescent="0.2">
      <c r="Q997" s="36"/>
      <c r="R997" s="40"/>
      <c r="S997" s="40"/>
      <c r="T997" s="40"/>
      <c r="U997" s="41"/>
      <c r="V997" s="41"/>
      <c r="W997" s="41"/>
      <c r="X997" s="36"/>
      <c r="Y997" s="36"/>
      <c r="Z997" s="36"/>
      <c r="AA997" s="36"/>
      <c r="AB997" s="36"/>
      <c r="AC997" s="36"/>
    </row>
    <row r="998" spans="17:29" x14ac:dyDescent="0.2">
      <c r="Q998" s="36"/>
      <c r="R998" s="40"/>
      <c r="S998" s="40"/>
      <c r="T998" s="40"/>
      <c r="U998" s="41"/>
      <c r="V998" s="41"/>
      <c r="W998" s="41"/>
      <c r="X998" s="36"/>
      <c r="Y998" s="36"/>
      <c r="Z998" s="36"/>
      <c r="AA998" s="36"/>
      <c r="AB998" s="36"/>
      <c r="AC998" s="36"/>
    </row>
    <row r="999" spans="17:29" x14ac:dyDescent="0.2">
      <c r="Q999" s="36"/>
      <c r="R999" s="40"/>
      <c r="S999" s="40"/>
      <c r="T999" s="40"/>
      <c r="U999" s="41"/>
      <c r="V999" s="41"/>
      <c r="W999" s="41"/>
      <c r="X999" s="36"/>
      <c r="Y999" s="36"/>
      <c r="Z999" s="36"/>
      <c r="AA999" s="36"/>
      <c r="AB999" s="36"/>
      <c r="AC999" s="36"/>
    </row>
    <row r="1000" spans="17:29" x14ac:dyDescent="0.2">
      <c r="Q1000" s="36"/>
      <c r="R1000" s="40"/>
      <c r="S1000" s="40"/>
      <c r="T1000" s="40"/>
      <c r="U1000" s="41"/>
      <c r="V1000" s="41"/>
      <c r="W1000" s="41"/>
      <c r="X1000" s="36"/>
      <c r="Y1000" s="36"/>
      <c r="Z1000" s="36"/>
      <c r="AA1000" s="36"/>
      <c r="AB1000" s="36"/>
      <c r="AC1000" s="36"/>
    </row>
    <row r="1001" spans="17:29" x14ac:dyDescent="0.2">
      <c r="Q1001" s="36"/>
      <c r="R1001" s="40"/>
      <c r="S1001" s="40"/>
      <c r="T1001" s="40"/>
      <c r="U1001" s="41"/>
      <c r="V1001" s="41"/>
      <c r="W1001" s="41"/>
      <c r="X1001" s="36"/>
      <c r="Y1001" s="36"/>
      <c r="Z1001" s="36"/>
      <c r="AA1001" s="36"/>
      <c r="AB1001" s="36"/>
      <c r="AC1001" s="36"/>
    </row>
    <row r="1002" spans="17:29" x14ac:dyDescent="0.2">
      <c r="Q1002" s="36"/>
      <c r="R1002" s="40"/>
      <c r="S1002" s="40"/>
      <c r="T1002" s="40"/>
      <c r="U1002" s="41"/>
      <c r="V1002" s="41"/>
      <c r="W1002" s="41"/>
      <c r="X1002" s="36"/>
      <c r="Y1002" s="36"/>
      <c r="Z1002" s="36"/>
      <c r="AA1002" s="36"/>
      <c r="AB1002" s="36"/>
      <c r="AC1002" s="36"/>
    </row>
    <row r="1003" spans="17:29" x14ac:dyDescent="0.2">
      <c r="Q1003" s="36"/>
      <c r="R1003" s="40"/>
      <c r="S1003" s="40"/>
      <c r="T1003" s="40"/>
      <c r="U1003" s="41"/>
      <c r="V1003" s="41"/>
      <c r="W1003" s="41"/>
      <c r="X1003" s="36"/>
      <c r="Y1003" s="36"/>
      <c r="Z1003" s="36"/>
      <c r="AA1003" s="36"/>
      <c r="AB1003" s="36"/>
      <c r="AC1003" s="36"/>
    </row>
    <row r="1004" spans="17:29" x14ac:dyDescent="0.2">
      <c r="Q1004" s="36"/>
      <c r="R1004" s="40"/>
      <c r="S1004" s="40"/>
      <c r="T1004" s="40"/>
      <c r="U1004" s="41"/>
      <c r="V1004" s="41"/>
      <c r="W1004" s="41"/>
      <c r="X1004" s="36"/>
      <c r="Y1004" s="36"/>
      <c r="Z1004" s="36"/>
      <c r="AA1004" s="36"/>
      <c r="AB1004" s="36"/>
      <c r="AC1004" s="36"/>
    </row>
    <row r="1005" spans="17:29" x14ac:dyDescent="0.2">
      <c r="Q1005" s="36"/>
      <c r="R1005" s="40"/>
      <c r="S1005" s="40"/>
      <c r="T1005" s="40"/>
      <c r="U1005" s="41"/>
      <c r="V1005" s="41"/>
      <c r="W1005" s="41"/>
      <c r="X1005" s="36"/>
      <c r="Y1005" s="36"/>
      <c r="Z1005" s="36"/>
      <c r="AA1005" s="36"/>
      <c r="AB1005" s="36"/>
      <c r="AC1005" s="36"/>
    </row>
    <row r="1006" spans="17:29" x14ac:dyDescent="0.2">
      <c r="Q1006" s="36"/>
      <c r="R1006" s="40"/>
      <c r="S1006" s="40"/>
      <c r="T1006" s="40"/>
      <c r="U1006" s="41"/>
      <c r="V1006" s="41"/>
      <c r="W1006" s="41"/>
      <c r="X1006" s="36"/>
      <c r="Y1006" s="36"/>
      <c r="Z1006" s="36"/>
      <c r="AA1006" s="36"/>
      <c r="AB1006" s="36"/>
      <c r="AC1006" s="36"/>
    </row>
    <row r="1007" spans="17:29" x14ac:dyDescent="0.2">
      <c r="Q1007" s="36"/>
      <c r="R1007" s="40"/>
      <c r="S1007" s="40"/>
      <c r="T1007" s="40"/>
      <c r="U1007" s="41"/>
      <c r="V1007" s="41"/>
      <c r="W1007" s="41"/>
      <c r="X1007" s="36"/>
      <c r="Y1007" s="36"/>
      <c r="Z1007" s="36"/>
      <c r="AA1007" s="36"/>
      <c r="AB1007" s="36"/>
      <c r="AC1007" s="36"/>
    </row>
    <row r="1008" spans="17:29" x14ac:dyDescent="0.2">
      <c r="Q1008" s="36"/>
      <c r="R1008" s="40"/>
      <c r="S1008" s="40"/>
      <c r="T1008" s="40"/>
      <c r="U1008" s="41"/>
      <c r="V1008" s="41"/>
      <c r="W1008" s="41"/>
      <c r="X1008" s="36"/>
      <c r="Y1008" s="36"/>
      <c r="Z1008" s="36"/>
      <c r="AA1008" s="36"/>
      <c r="AB1008" s="36"/>
      <c r="AC1008" s="36"/>
    </row>
    <row r="1009" spans="17:29" x14ac:dyDescent="0.2">
      <c r="Q1009" s="36"/>
      <c r="R1009" s="40"/>
      <c r="S1009" s="40"/>
      <c r="T1009" s="40"/>
      <c r="U1009" s="41"/>
      <c r="V1009" s="41"/>
      <c r="W1009" s="41"/>
      <c r="X1009" s="36"/>
      <c r="Y1009" s="36"/>
      <c r="Z1009" s="36"/>
      <c r="AA1009" s="36"/>
      <c r="AB1009" s="36"/>
      <c r="AC1009" s="36"/>
    </row>
    <row r="1010" spans="17:29" x14ac:dyDescent="0.2">
      <c r="Q1010" s="36"/>
      <c r="R1010" s="40"/>
      <c r="S1010" s="40"/>
      <c r="T1010" s="40"/>
      <c r="U1010" s="41"/>
      <c r="V1010" s="41"/>
      <c r="W1010" s="41"/>
      <c r="X1010" s="36"/>
      <c r="Y1010" s="36"/>
      <c r="Z1010" s="36"/>
      <c r="AA1010" s="36"/>
      <c r="AB1010" s="36"/>
      <c r="AC1010" s="36"/>
    </row>
    <row r="1011" spans="17:29" x14ac:dyDescent="0.2">
      <c r="Q1011" s="36"/>
      <c r="R1011" s="40"/>
      <c r="S1011" s="40"/>
      <c r="T1011" s="40"/>
      <c r="U1011" s="41"/>
      <c r="V1011" s="41"/>
      <c r="W1011" s="41"/>
      <c r="X1011" s="36"/>
      <c r="Y1011" s="36"/>
      <c r="Z1011" s="36"/>
      <c r="AA1011" s="36"/>
      <c r="AB1011" s="36"/>
      <c r="AC1011" s="36"/>
    </row>
    <row r="1012" spans="17:29" x14ac:dyDescent="0.2">
      <c r="Q1012" s="36"/>
      <c r="R1012" s="40"/>
      <c r="S1012" s="40"/>
      <c r="T1012" s="40"/>
      <c r="U1012" s="41"/>
      <c r="V1012" s="41"/>
      <c r="W1012" s="41"/>
      <c r="X1012" s="36"/>
      <c r="Y1012" s="36"/>
      <c r="Z1012" s="36"/>
      <c r="AA1012" s="36"/>
      <c r="AB1012" s="36"/>
      <c r="AC1012" s="36"/>
    </row>
    <row r="1013" spans="17:29" x14ac:dyDescent="0.2">
      <c r="Q1013" s="36"/>
      <c r="R1013" s="40"/>
      <c r="S1013" s="40"/>
      <c r="T1013" s="40"/>
      <c r="U1013" s="41"/>
      <c r="V1013" s="41"/>
      <c r="W1013" s="41"/>
      <c r="X1013" s="36"/>
      <c r="Y1013" s="36"/>
      <c r="Z1013" s="36"/>
      <c r="AA1013" s="36"/>
      <c r="AB1013" s="36"/>
      <c r="AC1013" s="36"/>
    </row>
    <row r="1014" spans="17:29" x14ac:dyDescent="0.2">
      <c r="Q1014" s="36"/>
      <c r="R1014" s="40"/>
      <c r="S1014" s="40"/>
      <c r="T1014" s="40"/>
      <c r="U1014" s="41"/>
      <c r="V1014" s="41"/>
      <c r="W1014" s="41"/>
      <c r="X1014" s="36"/>
      <c r="Y1014" s="36"/>
      <c r="Z1014" s="36"/>
      <c r="AA1014" s="36"/>
      <c r="AB1014" s="36"/>
      <c r="AC1014" s="36"/>
    </row>
    <row r="1015" spans="17:29" x14ac:dyDescent="0.2">
      <c r="Q1015" s="36"/>
      <c r="R1015" s="40"/>
      <c r="S1015" s="40"/>
      <c r="T1015" s="40"/>
      <c r="U1015" s="41"/>
      <c r="V1015" s="41"/>
      <c r="W1015" s="41"/>
      <c r="X1015" s="36"/>
      <c r="Y1015" s="36"/>
      <c r="Z1015" s="36"/>
      <c r="AA1015" s="36"/>
      <c r="AB1015" s="36"/>
      <c r="AC1015" s="36"/>
    </row>
    <row r="1016" spans="17:29" x14ac:dyDescent="0.2">
      <c r="Q1016" s="36"/>
      <c r="R1016" s="40"/>
      <c r="S1016" s="40"/>
      <c r="T1016" s="40"/>
      <c r="U1016" s="41"/>
      <c r="V1016" s="41"/>
      <c r="W1016" s="41"/>
      <c r="X1016" s="36"/>
      <c r="Y1016" s="36"/>
      <c r="Z1016" s="36"/>
      <c r="AA1016" s="36"/>
      <c r="AB1016" s="36"/>
      <c r="AC1016" s="36"/>
    </row>
    <row r="1017" spans="17:29" x14ac:dyDescent="0.2">
      <c r="Q1017" s="36"/>
      <c r="R1017" s="40"/>
      <c r="S1017" s="40"/>
      <c r="T1017" s="40"/>
      <c r="U1017" s="41"/>
      <c r="V1017" s="41"/>
      <c r="W1017" s="41"/>
      <c r="X1017" s="36"/>
      <c r="Y1017" s="36"/>
      <c r="Z1017" s="36"/>
      <c r="AA1017" s="36"/>
      <c r="AB1017" s="36"/>
      <c r="AC1017" s="36"/>
    </row>
    <row r="1018" spans="17:29" x14ac:dyDescent="0.2">
      <c r="Q1018" s="36"/>
      <c r="R1018" s="40"/>
      <c r="S1018" s="40"/>
      <c r="T1018" s="40"/>
      <c r="U1018" s="41"/>
      <c r="V1018" s="41"/>
      <c r="W1018" s="41"/>
      <c r="X1018" s="36"/>
      <c r="Y1018" s="36"/>
      <c r="Z1018" s="36"/>
      <c r="AA1018" s="36"/>
      <c r="AB1018" s="36"/>
      <c r="AC1018" s="36"/>
    </row>
    <row r="1019" spans="17:29" x14ac:dyDescent="0.2">
      <c r="Q1019" s="36"/>
      <c r="R1019" s="40"/>
      <c r="S1019" s="40"/>
      <c r="T1019" s="40"/>
      <c r="U1019" s="41"/>
      <c r="V1019" s="41"/>
      <c r="W1019" s="41"/>
      <c r="X1019" s="36"/>
      <c r="Y1019" s="36"/>
      <c r="Z1019" s="36"/>
      <c r="AA1019" s="36"/>
      <c r="AB1019" s="36"/>
      <c r="AC1019" s="36"/>
    </row>
    <row r="1020" spans="17:29" x14ac:dyDescent="0.2">
      <c r="Q1020" s="36"/>
      <c r="R1020" s="40"/>
      <c r="S1020" s="40"/>
      <c r="T1020" s="40"/>
      <c r="U1020" s="41"/>
      <c r="V1020" s="41"/>
      <c r="W1020" s="41"/>
      <c r="X1020" s="36"/>
      <c r="Y1020" s="36"/>
      <c r="Z1020" s="36"/>
      <c r="AA1020" s="36"/>
      <c r="AB1020" s="36"/>
      <c r="AC1020" s="36"/>
    </row>
    <row r="1021" spans="17:29" x14ac:dyDescent="0.2">
      <c r="Q1021" s="36"/>
      <c r="R1021" s="40"/>
      <c r="S1021" s="40"/>
      <c r="T1021" s="40"/>
      <c r="U1021" s="41"/>
      <c r="V1021" s="41"/>
      <c r="W1021" s="41"/>
      <c r="X1021" s="36"/>
      <c r="Y1021" s="36"/>
      <c r="Z1021" s="36"/>
      <c r="AA1021" s="36"/>
      <c r="AB1021" s="36"/>
      <c r="AC1021" s="36"/>
    </row>
    <row r="1022" spans="17:29" x14ac:dyDescent="0.2">
      <c r="Q1022" s="36"/>
      <c r="R1022" s="40"/>
      <c r="S1022" s="40"/>
      <c r="T1022" s="40"/>
      <c r="U1022" s="41"/>
      <c r="V1022" s="41"/>
      <c r="W1022" s="41"/>
      <c r="X1022" s="36"/>
      <c r="Y1022" s="36"/>
      <c r="Z1022" s="36"/>
      <c r="AA1022" s="36"/>
      <c r="AB1022" s="36"/>
      <c r="AC1022" s="36"/>
    </row>
    <row r="1023" spans="17:29" x14ac:dyDescent="0.2">
      <c r="Q1023" s="36"/>
      <c r="R1023" s="40"/>
      <c r="S1023" s="40"/>
      <c r="T1023" s="40"/>
      <c r="U1023" s="41"/>
      <c r="V1023" s="41"/>
      <c r="W1023" s="41"/>
      <c r="X1023" s="36"/>
      <c r="Y1023" s="36"/>
      <c r="Z1023" s="36"/>
      <c r="AA1023" s="36"/>
      <c r="AB1023" s="36"/>
      <c r="AC1023" s="36"/>
    </row>
    <row r="1024" spans="17:29" x14ac:dyDescent="0.2">
      <c r="Q1024" s="36"/>
      <c r="R1024" s="40"/>
      <c r="S1024" s="40"/>
      <c r="T1024" s="40"/>
      <c r="U1024" s="41"/>
      <c r="V1024" s="41"/>
      <c r="W1024" s="41"/>
      <c r="X1024" s="36"/>
      <c r="Y1024" s="36"/>
      <c r="Z1024" s="36"/>
      <c r="AA1024" s="36"/>
      <c r="AB1024" s="36"/>
      <c r="AC1024" s="36"/>
    </row>
    <row r="1025" spans="17:29" x14ac:dyDescent="0.2">
      <c r="Q1025" s="36"/>
      <c r="R1025" s="40"/>
      <c r="S1025" s="40"/>
      <c r="T1025" s="40"/>
      <c r="U1025" s="41"/>
      <c r="V1025" s="41"/>
      <c r="W1025" s="41"/>
      <c r="X1025" s="36"/>
      <c r="Y1025" s="36"/>
      <c r="Z1025" s="36"/>
      <c r="AA1025" s="36"/>
      <c r="AB1025" s="36"/>
      <c r="AC1025" s="36"/>
    </row>
    <row r="1026" spans="17:29" x14ac:dyDescent="0.2">
      <c r="Q1026" s="36"/>
      <c r="R1026" s="40"/>
      <c r="S1026" s="40"/>
      <c r="T1026" s="40"/>
      <c r="U1026" s="41"/>
      <c r="V1026" s="41"/>
      <c r="W1026" s="41"/>
      <c r="X1026" s="36"/>
      <c r="Y1026" s="36"/>
      <c r="Z1026" s="36"/>
      <c r="AA1026" s="36"/>
      <c r="AB1026" s="36"/>
      <c r="AC1026" s="36"/>
    </row>
    <row r="1027" spans="17:29" x14ac:dyDescent="0.2">
      <c r="Q1027" s="36"/>
      <c r="R1027" s="40"/>
      <c r="S1027" s="40"/>
      <c r="T1027" s="40"/>
      <c r="U1027" s="41"/>
      <c r="V1027" s="41"/>
      <c r="W1027" s="41"/>
      <c r="X1027" s="36"/>
      <c r="Y1027" s="36"/>
      <c r="Z1027" s="36"/>
      <c r="AA1027" s="36"/>
      <c r="AB1027" s="36"/>
      <c r="AC1027" s="36"/>
    </row>
    <row r="1028" spans="17:29" x14ac:dyDescent="0.2">
      <c r="Q1028" s="36"/>
      <c r="R1028" s="40"/>
      <c r="S1028" s="40"/>
      <c r="T1028" s="40"/>
      <c r="U1028" s="41"/>
      <c r="V1028" s="41"/>
      <c r="W1028" s="41"/>
      <c r="X1028" s="36"/>
      <c r="Y1028" s="36"/>
      <c r="Z1028" s="36"/>
      <c r="AA1028" s="36"/>
      <c r="AB1028" s="36"/>
      <c r="AC1028" s="36"/>
    </row>
    <row r="1029" spans="17:29" x14ac:dyDescent="0.2">
      <c r="Q1029" s="36"/>
      <c r="R1029" s="40"/>
      <c r="S1029" s="40"/>
      <c r="T1029" s="40"/>
      <c r="U1029" s="41"/>
      <c r="V1029" s="41"/>
      <c r="W1029" s="41"/>
      <c r="X1029" s="36"/>
      <c r="Y1029" s="36"/>
      <c r="Z1029" s="36"/>
      <c r="AA1029" s="36"/>
      <c r="AB1029" s="36"/>
      <c r="AC1029" s="36"/>
    </row>
    <row r="1030" spans="17:29" x14ac:dyDescent="0.2">
      <c r="Q1030" s="36"/>
      <c r="R1030" s="40"/>
      <c r="S1030" s="40"/>
      <c r="T1030" s="40"/>
      <c r="U1030" s="41"/>
      <c r="V1030" s="41"/>
      <c r="W1030" s="41"/>
      <c r="X1030" s="36"/>
      <c r="Y1030" s="36"/>
      <c r="Z1030" s="36"/>
      <c r="AA1030" s="36"/>
      <c r="AB1030" s="36"/>
      <c r="AC1030" s="36"/>
    </row>
    <row r="1031" spans="17:29" x14ac:dyDescent="0.2">
      <c r="Q1031" s="36"/>
      <c r="R1031" s="40"/>
      <c r="S1031" s="40"/>
      <c r="T1031" s="40"/>
      <c r="U1031" s="41"/>
      <c r="V1031" s="41"/>
      <c r="W1031" s="41"/>
      <c r="X1031" s="36"/>
      <c r="Y1031" s="36"/>
      <c r="Z1031" s="36"/>
      <c r="AA1031" s="36"/>
      <c r="AB1031" s="36"/>
      <c r="AC1031" s="36"/>
    </row>
    <row r="1032" spans="17:29" x14ac:dyDescent="0.2">
      <c r="Q1032" s="36"/>
      <c r="R1032" s="40"/>
      <c r="S1032" s="40"/>
      <c r="T1032" s="40"/>
      <c r="U1032" s="41"/>
      <c r="V1032" s="41"/>
      <c r="W1032" s="41"/>
      <c r="X1032" s="36"/>
      <c r="Y1032" s="36"/>
      <c r="Z1032" s="36"/>
      <c r="AA1032" s="36"/>
      <c r="AB1032" s="36"/>
      <c r="AC1032" s="36"/>
    </row>
    <row r="1033" spans="17:29" x14ac:dyDescent="0.2">
      <c r="Q1033" s="36"/>
      <c r="R1033" s="40"/>
      <c r="S1033" s="40"/>
      <c r="T1033" s="40"/>
      <c r="U1033" s="41"/>
      <c r="V1033" s="41"/>
      <c r="W1033" s="41"/>
      <c r="X1033" s="36"/>
      <c r="Y1033" s="36"/>
      <c r="Z1033" s="36"/>
      <c r="AA1033" s="36"/>
      <c r="AB1033" s="36"/>
      <c r="AC1033" s="36"/>
    </row>
    <row r="1034" spans="17:29" x14ac:dyDescent="0.2">
      <c r="Q1034" s="36"/>
      <c r="R1034" s="40"/>
      <c r="S1034" s="40"/>
      <c r="T1034" s="40"/>
      <c r="U1034" s="41"/>
      <c r="V1034" s="41"/>
      <c r="W1034" s="41"/>
      <c r="X1034" s="36"/>
      <c r="Y1034" s="36"/>
      <c r="Z1034" s="36"/>
      <c r="AA1034" s="36"/>
      <c r="AB1034" s="36"/>
      <c r="AC1034" s="36"/>
    </row>
    <row r="1035" spans="17:29" x14ac:dyDescent="0.2">
      <c r="Q1035" s="36"/>
      <c r="R1035" s="40"/>
      <c r="S1035" s="40"/>
      <c r="T1035" s="40"/>
      <c r="U1035" s="41"/>
      <c r="V1035" s="41"/>
      <c r="W1035" s="41"/>
      <c r="X1035" s="36"/>
      <c r="Y1035" s="36"/>
      <c r="Z1035" s="36"/>
      <c r="AA1035" s="36"/>
      <c r="AB1035" s="36"/>
      <c r="AC1035" s="36"/>
    </row>
    <row r="1036" spans="17:29" x14ac:dyDescent="0.2">
      <c r="Q1036" s="36"/>
      <c r="R1036" s="40"/>
      <c r="S1036" s="40"/>
      <c r="T1036" s="40"/>
      <c r="U1036" s="41"/>
      <c r="V1036" s="41"/>
      <c r="W1036" s="41"/>
      <c r="X1036" s="36"/>
      <c r="Y1036" s="36"/>
      <c r="Z1036" s="36"/>
      <c r="AA1036" s="36"/>
      <c r="AB1036" s="36"/>
      <c r="AC1036" s="36"/>
    </row>
    <row r="1037" spans="17:29" x14ac:dyDescent="0.2">
      <c r="Q1037" s="36"/>
      <c r="R1037" s="40"/>
      <c r="S1037" s="40"/>
      <c r="T1037" s="40"/>
      <c r="U1037" s="41"/>
      <c r="V1037" s="41"/>
      <c r="W1037" s="41"/>
      <c r="X1037" s="36"/>
      <c r="Y1037" s="36"/>
      <c r="Z1037" s="36"/>
      <c r="AA1037" s="36"/>
      <c r="AB1037" s="36"/>
      <c r="AC1037" s="36"/>
    </row>
    <row r="1038" spans="17:29" x14ac:dyDescent="0.2">
      <c r="Q1038" s="36"/>
      <c r="R1038" s="40"/>
      <c r="S1038" s="40"/>
      <c r="T1038" s="40"/>
      <c r="U1038" s="41"/>
      <c r="V1038" s="41"/>
      <c r="W1038" s="41"/>
      <c r="X1038" s="36"/>
      <c r="Y1038" s="36"/>
      <c r="Z1038" s="36"/>
      <c r="AA1038" s="36"/>
      <c r="AB1038" s="36"/>
      <c r="AC1038" s="36"/>
    </row>
    <row r="1039" spans="17:29" x14ac:dyDescent="0.2">
      <c r="Q1039" s="36"/>
      <c r="R1039" s="40"/>
      <c r="S1039" s="40"/>
      <c r="T1039" s="40"/>
      <c r="U1039" s="41"/>
      <c r="V1039" s="41"/>
      <c r="W1039" s="41"/>
      <c r="X1039" s="36"/>
      <c r="Y1039" s="36"/>
      <c r="Z1039" s="36"/>
      <c r="AA1039" s="36"/>
      <c r="AB1039" s="36"/>
      <c r="AC1039" s="36"/>
    </row>
    <row r="1040" spans="17:29" x14ac:dyDescent="0.2">
      <c r="Q1040" s="36"/>
      <c r="R1040" s="40"/>
      <c r="S1040" s="40"/>
      <c r="T1040" s="40"/>
      <c r="U1040" s="41"/>
      <c r="V1040" s="41"/>
      <c r="W1040" s="41"/>
      <c r="X1040" s="36"/>
      <c r="Y1040" s="36"/>
      <c r="Z1040" s="36"/>
      <c r="AA1040" s="36"/>
      <c r="AB1040" s="36"/>
      <c r="AC1040" s="36"/>
    </row>
    <row r="1041" spans="17:29" x14ac:dyDescent="0.2">
      <c r="Q1041" s="36"/>
      <c r="R1041" s="40"/>
      <c r="S1041" s="40"/>
      <c r="T1041" s="40"/>
      <c r="U1041" s="41"/>
      <c r="V1041" s="41"/>
      <c r="W1041" s="41"/>
      <c r="X1041" s="36"/>
      <c r="Y1041" s="36"/>
      <c r="Z1041" s="36"/>
      <c r="AA1041" s="36"/>
      <c r="AB1041" s="36"/>
      <c r="AC1041" s="36"/>
    </row>
    <row r="1042" spans="17:29" x14ac:dyDescent="0.2">
      <c r="Q1042" s="36"/>
      <c r="R1042" s="40"/>
      <c r="S1042" s="40"/>
      <c r="T1042" s="40"/>
      <c r="U1042" s="41"/>
      <c r="V1042" s="41"/>
      <c r="W1042" s="41"/>
      <c r="X1042" s="36"/>
      <c r="Y1042" s="36"/>
      <c r="Z1042" s="36"/>
      <c r="AA1042" s="36"/>
      <c r="AB1042" s="36"/>
      <c r="AC1042" s="36"/>
    </row>
    <row r="1043" spans="17:29" x14ac:dyDescent="0.2">
      <c r="Q1043" s="36"/>
      <c r="R1043" s="40"/>
      <c r="S1043" s="40"/>
      <c r="T1043" s="40"/>
      <c r="U1043" s="41"/>
      <c r="V1043" s="41"/>
      <c r="W1043" s="41"/>
      <c r="X1043" s="36"/>
      <c r="Y1043" s="36"/>
      <c r="Z1043" s="36"/>
      <c r="AA1043" s="36"/>
      <c r="AB1043" s="36"/>
      <c r="AC1043" s="36"/>
    </row>
    <row r="1044" spans="17:29" x14ac:dyDescent="0.2">
      <c r="Q1044" s="36"/>
      <c r="R1044" s="40"/>
      <c r="S1044" s="40"/>
      <c r="T1044" s="40"/>
      <c r="U1044" s="41"/>
      <c r="V1044" s="41"/>
      <c r="W1044" s="41"/>
      <c r="X1044" s="36"/>
      <c r="Y1044" s="36"/>
      <c r="Z1044" s="36"/>
      <c r="AA1044" s="36"/>
      <c r="AB1044" s="36"/>
      <c r="AC1044" s="36"/>
    </row>
    <row r="1045" spans="17:29" x14ac:dyDescent="0.2">
      <c r="Q1045" s="36"/>
      <c r="R1045" s="40"/>
      <c r="S1045" s="40"/>
      <c r="T1045" s="40"/>
      <c r="U1045" s="41"/>
      <c r="V1045" s="41"/>
      <c r="W1045" s="41"/>
      <c r="X1045" s="36"/>
      <c r="Y1045" s="36"/>
      <c r="Z1045" s="36"/>
      <c r="AA1045" s="36"/>
      <c r="AB1045" s="36"/>
      <c r="AC1045" s="36"/>
    </row>
    <row r="1046" spans="17:29" x14ac:dyDescent="0.2">
      <c r="Q1046" s="36"/>
      <c r="R1046" s="40"/>
      <c r="S1046" s="40"/>
      <c r="T1046" s="40"/>
      <c r="U1046" s="41"/>
      <c r="V1046" s="41"/>
      <c r="W1046" s="41"/>
      <c r="X1046" s="36"/>
      <c r="Y1046" s="36"/>
      <c r="Z1046" s="36"/>
      <c r="AA1046" s="36"/>
      <c r="AB1046" s="36"/>
      <c r="AC1046" s="36"/>
    </row>
    <row r="1047" spans="17:29" x14ac:dyDescent="0.2">
      <c r="Q1047" s="36"/>
      <c r="R1047" s="40"/>
      <c r="S1047" s="40"/>
      <c r="T1047" s="40"/>
      <c r="U1047" s="41"/>
      <c r="V1047" s="41"/>
      <c r="W1047" s="41"/>
      <c r="X1047" s="36"/>
      <c r="Y1047" s="36"/>
      <c r="Z1047" s="36"/>
      <c r="AA1047" s="36"/>
      <c r="AB1047" s="36"/>
      <c r="AC1047" s="36"/>
    </row>
    <row r="1048" spans="17:29" x14ac:dyDescent="0.2">
      <c r="Q1048" s="36"/>
      <c r="R1048" s="40"/>
      <c r="S1048" s="40"/>
      <c r="T1048" s="40"/>
      <c r="U1048" s="41"/>
      <c r="V1048" s="41"/>
      <c r="W1048" s="41"/>
      <c r="X1048" s="36"/>
      <c r="Y1048" s="36"/>
      <c r="Z1048" s="36"/>
      <c r="AA1048" s="36"/>
      <c r="AB1048" s="36"/>
      <c r="AC1048" s="36"/>
    </row>
    <row r="1049" spans="17:29" x14ac:dyDescent="0.2">
      <c r="Q1049" s="36"/>
      <c r="R1049" s="40"/>
      <c r="S1049" s="40"/>
      <c r="T1049" s="40"/>
      <c r="U1049" s="41"/>
      <c r="V1049" s="41"/>
      <c r="W1049" s="41"/>
      <c r="X1049" s="36"/>
      <c r="Y1049" s="36"/>
      <c r="Z1049" s="36"/>
      <c r="AA1049" s="36"/>
      <c r="AB1049" s="36"/>
      <c r="AC1049" s="36"/>
    </row>
    <row r="1050" spans="17:29" x14ac:dyDescent="0.2">
      <c r="Q1050" s="36"/>
      <c r="R1050" s="40"/>
      <c r="S1050" s="40"/>
      <c r="T1050" s="40"/>
      <c r="U1050" s="41"/>
      <c r="V1050" s="41"/>
      <c r="W1050" s="41"/>
      <c r="X1050" s="36"/>
      <c r="Y1050" s="36"/>
      <c r="Z1050" s="36"/>
      <c r="AA1050" s="36"/>
      <c r="AB1050" s="36"/>
      <c r="AC1050" s="36"/>
    </row>
    <row r="1051" spans="17:29" x14ac:dyDescent="0.2">
      <c r="Q1051" s="36"/>
      <c r="R1051" s="40"/>
      <c r="S1051" s="40"/>
      <c r="T1051" s="40"/>
      <c r="U1051" s="41"/>
      <c r="V1051" s="41"/>
      <c r="W1051" s="41"/>
      <c r="X1051" s="36"/>
      <c r="Y1051" s="36"/>
      <c r="Z1051" s="36"/>
      <c r="AA1051" s="36"/>
      <c r="AB1051" s="36"/>
      <c r="AC1051" s="36"/>
    </row>
    <row r="1052" spans="17:29" x14ac:dyDescent="0.2">
      <c r="Q1052" s="36"/>
      <c r="R1052" s="40"/>
      <c r="S1052" s="40"/>
      <c r="T1052" s="40"/>
      <c r="U1052" s="41"/>
      <c r="V1052" s="41"/>
      <c r="W1052" s="41"/>
      <c r="X1052" s="36"/>
      <c r="Y1052" s="36"/>
      <c r="Z1052" s="36"/>
      <c r="AA1052" s="36"/>
      <c r="AB1052" s="36"/>
      <c r="AC1052" s="36"/>
    </row>
    <row r="1053" spans="17:29" x14ac:dyDescent="0.2">
      <c r="Q1053" s="36"/>
      <c r="R1053" s="40"/>
      <c r="S1053" s="40"/>
      <c r="T1053" s="40"/>
      <c r="U1053" s="41"/>
      <c r="V1053" s="41"/>
      <c r="W1053" s="41"/>
      <c r="X1053" s="36"/>
      <c r="Y1053" s="36"/>
      <c r="Z1053" s="36"/>
      <c r="AA1053" s="36"/>
      <c r="AB1053" s="36"/>
      <c r="AC1053" s="36"/>
    </row>
    <row r="1054" spans="17:29" x14ac:dyDescent="0.2">
      <c r="Q1054" s="36"/>
      <c r="R1054" s="40"/>
      <c r="S1054" s="40"/>
      <c r="T1054" s="40"/>
      <c r="U1054" s="41"/>
      <c r="V1054" s="41"/>
      <c r="W1054" s="41"/>
      <c r="X1054" s="36"/>
      <c r="Y1054" s="36"/>
      <c r="Z1054" s="36"/>
      <c r="AA1054" s="36"/>
      <c r="AB1054" s="36"/>
      <c r="AC1054" s="36"/>
    </row>
    <row r="1055" spans="17:29" x14ac:dyDescent="0.2">
      <c r="Q1055" s="36"/>
      <c r="R1055" s="40"/>
      <c r="S1055" s="40"/>
      <c r="T1055" s="40"/>
      <c r="U1055" s="41"/>
      <c r="V1055" s="41"/>
      <c r="W1055" s="41"/>
      <c r="X1055" s="36"/>
      <c r="Y1055" s="36"/>
      <c r="Z1055" s="36"/>
      <c r="AA1055" s="36"/>
      <c r="AB1055" s="36"/>
      <c r="AC1055" s="36"/>
    </row>
    <row r="1056" spans="17:29" x14ac:dyDescent="0.2">
      <c r="Q1056" s="36"/>
      <c r="R1056" s="40"/>
      <c r="S1056" s="40"/>
      <c r="T1056" s="40"/>
      <c r="U1056" s="41"/>
      <c r="V1056" s="41"/>
      <c r="W1056" s="41"/>
      <c r="X1056" s="36"/>
      <c r="Y1056" s="36"/>
      <c r="Z1056" s="36"/>
      <c r="AA1056" s="36"/>
      <c r="AB1056" s="36"/>
      <c r="AC1056" s="36"/>
    </row>
    <row r="1057" spans="17:29" x14ac:dyDescent="0.2">
      <c r="Q1057" s="36"/>
      <c r="R1057" s="40"/>
      <c r="S1057" s="40"/>
      <c r="T1057" s="40"/>
      <c r="U1057" s="41"/>
      <c r="V1057" s="41"/>
      <c r="W1057" s="41"/>
      <c r="X1057" s="36"/>
      <c r="Y1057" s="36"/>
      <c r="Z1057" s="36"/>
      <c r="AA1057" s="36"/>
      <c r="AB1057" s="36"/>
      <c r="AC1057" s="36"/>
    </row>
    <row r="1058" spans="17:29" x14ac:dyDescent="0.2">
      <c r="Q1058" s="36"/>
      <c r="R1058" s="40"/>
      <c r="S1058" s="40"/>
      <c r="T1058" s="40"/>
      <c r="U1058" s="41"/>
      <c r="V1058" s="41"/>
      <c r="W1058" s="41"/>
      <c r="X1058" s="36"/>
      <c r="Y1058" s="36"/>
      <c r="Z1058" s="36"/>
      <c r="AA1058" s="36"/>
      <c r="AB1058" s="36"/>
      <c r="AC1058" s="36"/>
    </row>
    <row r="1059" spans="17:29" x14ac:dyDescent="0.2">
      <c r="Q1059" s="36"/>
      <c r="R1059" s="40"/>
      <c r="S1059" s="40"/>
      <c r="T1059" s="40"/>
      <c r="U1059" s="41"/>
      <c r="V1059" s="41"/>
      <c r="W1059" s="41"/>
      <c r="X1059" s="36"/>
      <c r="Y1059" s="36"/>
      <c r="Z1059" s="36"/>
      <c r="AA1059" s="36"/>
      <c r="AB1059" s="36"/>
      <c r="AC1059" s="36"/>
    </row>
    <row r="1060" spans="17:29" x14ac:dyDescent="0.2">
      <c r="Q1060" s="36"/>
      <c r="R1060" s="40"/>
      <c r="S1060" s="40"/>
      <c r="T1060" s="40"/>
      <c r="U1060" s="41"/>
      <c r="V1060" s="41"/>
      <c r="W1060" s="41"/>
      <c r="X1060" s="36"/>
      <c r="Y1060" s="36"/>
      <c r="Z1060" s="36"/>
      <c r="AA1060" s="36"/>
      <c r="AB1060" s="36"/>
      <c r="AC1060" s="36"/>
    </row>
    <row r="1061" spans="17:29" x14ac:dyDescent="0.2">
      <c r="Q1061" s="36"/>
      <c r="R1061" s="40"/>
      <c r="S1061" s="40"/>
      <c r="T1061" s="40"/>
      <c r="U1061" s="41"/>
      <c r="V1061" s="41"/>
      <c r="W1061" s="41"/>
      <c r="X1061" s="36"/>
      <c r="Y1061" s="36"/>
      <c r="Z1061" s="36"/>
      <c r="AA1061" s="36"/>
      <c r="AB1061" s="36"/>
      <c r="AC1061" s="36"/>
    </row>
    <row r="1062" spans="17:29" x14ac:dyDescent="0.2">
      <c r="Q1062" s="36"/>
      <c r="R1062" s="40"/>
      <c r="S1062" s="40"/>
      <c r="T1062" s="40"/>
      <c r="U1062" s="41"/>
      <c r="V1062" s="41"/>
      <c r="W1062" s="41"/>
      <c r="X1062" s="36"/>
      <c r="Y1062" s="36"/>
      <c r="Z1062" s="36"/>
      <c r="AA1062" s="36"/>
      <c r="AB1062" s="36"/>
      <c r="AC1062" s="36"/>
    </row>
    <row r="1063" spans="17:29" x14ac:dyDescent="0.2">
      <c r="Q1063" s="36"/>
      <c r="R1063" s="40"/>
      <c r="S1063" s="40"/>
      <c r="T1063" s="40"/>
      <c r="U1063" s="41"/>
      <c r="V1063" s="41"/>
      <c r="W1063" s="41"/>
      <c r="X1063" s="36"/>
      <c r="Y1063" s="36"/>
      <c r="Z1063" s="36"/>
      <c r="AA1063" s="36"/>
      <c r="AB1063" s="36"/>
      <c r="AC1063" s="36"/>
    </row>
    <row r="1064" spans="17:29" x14ac:dyDescent="0.2">
      <c r="Q1064" s="36"/>
      <c r="R1064" s="40"/>
      <c r="S1064" s="40"/>
      <c r="T1064" s="40"/>
      <c r="U1064" s="41"/>
      <c r="V1064" s="41"/>
      <c r="W1064" s="41"/>
      <c r="X1064" s="36"/>
      <c r="Y1064" s="36"/>
      <c r="Z1064" s="36"/>
      <c r="AA1064" s="36"/>
      <c r="AB1064" s="36"/>
      <c r="AC1064" s="36"/>
    </row>
    <row r="1065" spans="17:29" x14ac:dyDescent="0.2">
      <c r="Q1065" s="36"/>
      <c r="R1065" s="40"/>
      <c r="S1065" s="40"/>
      <c r="T1065" s="40"/>
      <c r="U1065" s="41"/>
      <c r="V1065" s="41"/>
      <c r="W1065" s="41"/>
      <c r="X1065" s="36"/>
      <c r="Y1065" s="36"/>
      <c r="Z1065" s="36"/>
      <c r="AA1065" s="36"/>
      <c r="AB1065" s="36"/>
      <c r="AC1065" s="36"/>
    </row>
    <row r="1066" spans="17:29" x14ac:dyDescent="0.2">
      <c r="Q1066" s="36"/>
      <c r="R1066" s="40"/>
      <c r="S1066" s="40"/>
      <c r="T1066" s="40"/>
      <c r="U1066" s="41"/>
      <c r="V1066" s="41"/>
      <c r="W1066" s="41"/>
      <c r="X1066" s="36"/>
      <c r="Y1066" s="36"/>
      <c r="Z1066" s="36"/>
      <c r="AA1066" s="36"/>
      <c r="AB1066" s="36"/>
      <c r="AC1066" s="36"/>
    </row>
    <row r="1067" spans="17:29" x14ac:dyDescent="0.2">
      <c r="Q1067" s="36"/>
      <c r="R1067" s="40"/>
      <c r="S1067" s="40"/>
      <c r="T1067" s="40"/>
      <c r="U1067" s="41"/>
      <c r="V1067" s="41"/>
      <c r="W1067" s="41"/>
      <c r="X1067" s="36"/>
      <c r="Y1067" s="36"/>
      <c r="Z1067" s="36"/>
      <c r="AA1067" s="36"/>
      <c r="AB1067" s="36"/>
      <c r="AC1067" s="36"/>
    </row>
    <row r="1068" spans="17:29" x14ac:dyDescent="0.2">
      <c r="Q1068" s="36"/>
      <c r="R1068" s="40"/>
      <c r="S1068" s="40"/>
      <c r="T1068" s="40"/>
      <c r="U1068" s="41"/>
      <c r="V1068" s="41"/>
      <c r="W1068" s="41"/>
      <c r="X1068" s="36"/>
      <c r="Y1068" s="36"/>
      <c r="Z1068" s="36"/>
      <c r="AA1068" s="36"/>
      <c r="AB1068" s="36"/>
      <c r="AC1068" s="36"/>
    </row>
    <row r="1069" spans="17:29" x14ac:dyDescent="0.2">
      <c r="Q1069" s="36"/>
      <c r="R1069" s="40"/>
      <c r="S1069" s="40"/>
      <c r="T1069" s="40"/>
      <c r="U1069" s="41"/>
      <c r="V1069" s="41"/>
      <c r="W1069" s="41"/>
      <c r="X1069" s="36"/>
      <c r="Y1069" s="36"/>
      <c r="Z1069" s="36"/>
      <c r="AA1069" s="36"/>
      <c r="AB1069" s="36"/>
      <c r="AC1069" s="36"/>
    </row>
    <row r="1070" spans="17:29" x14ac:dyDescent="0.2">
      <c r="Q1070" s="36"/>
      <c r="R1070" s="40"/>
      <c r="S1070" s="40"/>
      <c r="T1070" s="40"/>
      <c r="U1070" s="41"/>
      <c r="V1070" s="41"/>
      <c r="W1070" s="41"/>
      <c r="X1070" s="36"/>
      <c r="Y1070" s="36"/>
      <c r="Z1070" s="36"/>
      <c r="AA1070" s="36"/>
      <c r="AB1070" s="36"/>
      <c r="AC1070" s="36"/>
    </row>
    <row r="1071" spans="17:29" x14ac:dyDescent="0.2">
      <c r="Q1071" s="36"/>
      <c r="R1071" s="40"/>
      <c r="S1071" s="40"/>
      <c r="T1071" s="40"/>
      <c r="U1071" s="41"/>
      <c r="V1071" s="41"/>
      <c r="W1071" s="41"/>
      <c r="X1071" s="36"/>
      <c r="Y1071" s="36"/>
      <c r="Z1071" s="36"/>
      <c r="AA1071" s="36"/>
      <c r="AB1071" s="36"/>
      <c r="AC1071" s="36"/>
    </row>
    <row r="1072" spans="17:29" x14ac:dyDescent="0.2">
      <c r="Q1072" s="36"/>
      <c r="R1072" s="40"/>
      <c r="S1072" s="40"/>
      <c r="T1072" s="40"/>
      <c r="U1072" s="41"/>
      <c r="V1072" s="41"/>
      <c r="W1072" s="41"/>
      <c r="X1072" s="36"/>
      <c r="Y1072" s="36"/>
      <c r="Z1072" s="36"/>
      <c r="AA1072" s="36"/>
      <c r="AB1072" s="36"/>
      <c r="AC1072" s="36"/>
    </row>
    <row r="1073" spans="17:29" x14ac:dyDescent="0.2">
      <c r="Q1073" s="36"/>
      <c r="R1073" s="40"/>
      <c r="S1073" s="40"/>
      <c r="T1073" s="40"/>
      <c r="U1073" s="41"/>
      <c r="V1073" s="41"/>
      <c r="W1073" s="41"/>
      <c r="X1073" s="36"/>
      <c r="Y1073" s="36"/>
      <c r="Z1073" s="36"/>
      <c r="AA1073" s="36"/>
      <c r="AB1073" s="36"/>
      <c r="AC1073" s="36"/>
    </row>
    <row r="1074" spans="17:29" x14ac:dyDescent="0.2">
      <c r="Q1074" s="36"/>
      <c r="R1074" s="40"/>
      <c r="S1074" s="40"/>
      <c r="T1074" s="40"/>
      <c r="U1074" s="41"/>
      <c r="V1074" s="41"/>
      <c r="W1074" s="41"/>
      <c r="X1074" s="36"/>
      <c r="Y1074" s="36"/>
      <c r="Z1074" s="36"/>
      <c r="AA1074" s="36"/>
      <c r="AB1074" s="36"/>
      <c r="AC1074" s="36"/>
    </row>
    <row r="1075" spans="17:29" x14ac:dyDescent="0.2">
      <c r="Q1075" s="36"/>
      <c r="R1075" s="40"/>
      <c r="S1075" s="40"/>
      <c r="T1075" s="40"/>
      <c r="U1075" s="41"/>
      <c r="V1075" s="41"/>
      <c r="W1075" s="41"/>
      <c r="X1075" s="36"/>
      <c r="Y1075" s="36"/>
      <c r="Z1075" s="36"/>
      <c r="AA1075" s="36"/>
      <c r="AB1075" s="36"/>
      <c r="AC1075" s="36"/>
    </row>
    <row r="1076" spans="17:29" x14ac:dyDescent="0.2">
      <c r="Q1076" s="36"/>
      <c r="R1076" s="40"/>
      <c r="S1076" s="40"/>
      <c r="T1076" s="40"/>
      <c r="U1076" s="41"/>
      <c r="V1076" s="41"/>
      <c r="W1076" s="41"/>
      <c r="X1076" s="36"/>
      <c r="Y1076" s="36"/>
      <c r="Z1076" s="36"/>
      <c r="AA1076" s="36"/>
      <c r="AB1076" s="36"/>
      <c r="AC1076" s="36"/>
    </row>
    <row r="1077" spans="17:29" x14ac:dyDescent="0.2">
      <c r="Q1077" s="36"/>
      <c r="R1077" s="40"/>
      <c r="S1077" s="40"/>
      <c r="T1077" s="40"/>
      <c r="U1077" s="41"/>
      <c r="V1077" s="41"/>
      <c r="W1077" s="41"/>
      <c r="X1077" s="36"/>
      <c r="Y1077" s="36"/>
      <c r="Z1077" s="36"/>
      <c r="AA1077" s="36"/>
      <c r="AB1077" s="36"/>
      <c r="AC1077" s="36"/>
    </row>
    <row r="1078" spans="17:29" x14ac:dyDescent="0.2">
      <c r="Q1078" s="36"/>
      <c r="R1078" s="40"/>
      <c r="S1078" s="40"/>
      <c r="T1078" s="40"/>
      <c r="U1078" s="41"/>
      <c r="V1078" s="41"/>
      <c r="W1078" s="41"/>
      <c r="X1078" s="36"/>
      <c r="Y1078" s="36"/>
      <c r="Z1078" s="36"/>
      <c r="AA1078" s="36"/>
      <c r="AB1078" s="36"/>
      <c r="AC1078" s="36"/>
    </row>
    <row r="1079" spans="17:29" x14ac:dyDescent="0.2">
      <c r="Q1079" s="36"/>
      <c r="R1079" s="40"/>
      <c r="S1079" s="40"/>
      <c r="T1079" s="40"/>
      <c r="U1079" s="41"/>
      <c r="V1079" s="41"/>
      <c r="W1079" s="41"/>
      <c r="X1079" s="36"/>
      <c r="Y1079" s="36"/>
      <c r="Z1079" s="36"/>
      <c r="AA1079" s="36"/>
      <c r="AB1079" s="36"/>
      <c r="AC1079" s="36"/>
    </row>
    <row r="1080" spans="17:29" x14ac:dyDescent="0.2">
      <c r="Q1080" s="36"/>
      <c r="R1080" s="40"/>
      <c r="S1080" s="40"/>
      <c r="T1080" s="40"/>
      <c r="U1080" s="41"/>
      <c r="V1080" s="41"/>
      <c r="W1080" s="41"/>
      <c r="X1080" s="36"/>
      <c r="Y1080" s="36"/>
      <c r="Z1080" s="36"/>
      <c r="AA1080" s="36"/>
      <c r="AB1080" s="36"/>
      <c r="AC1080" s="36"/>
    </row>
    <row r="1081" spans="17:29" x14ac:dyDescent="0.2">
      <c r="Q1081" s="36"/>
      <c r="R1081" s="40"/>
      <c r="S1081" s="40"/>
      <c r="T1081" s="40"/>
      <c r="U1081" s="41"/>
      <c r="V1081" s="41"/>
      <c r="W1081" s="41"/>
      <c r="X1081" s="36"/>
      <c r="Y1081" s="36"/>
      <c r="Z1081" s="36"/>
      <c r="AA1081" s="36"/>
      <c r="AB1081" s="36"/>
      <c r="AC1081" s="36"/>
    </row>
    <row r="1082" spans="17:29" x14ac:dyDescent="0.2">
      <c r="Q1082" s="36"/>
      <c r="R1082" s="40"/>
      <c r="S1082" s="40"/>
      <c r="T1082" s="40"/>
      <c r="U1082" s="41"/>
      <c r="V1082" s="41"/>
      <c r="W1082" s="41"/>
      <c r="X1082" s="36"/>
      <c r="Y1082" s="36"/>
      <c r="Z1082" s="36"/>
      <c r="AA1082" s="36"/>
      <c r="AB1082" s="36"/>
      <c r="AC1082" s="36"/>
    </row>
    <row r="1083" spans="17:29" x14ac:dyDescent="0.2">
      <c r="Q1083" s="36"/>
      <c r="R1083" s="40"/>
      <c r="S1083" s="40"/>
      <c r="T1083" s="40"/>
      <c r="U1083" s="41"/>
      <c r="V1083" s="41"/>
      <c r="W1083" s="41"/>
      <c r="X1083" s="36"/>
      <c r="Y1083" s="36"/>
      <c r="Z1083" s="36"/>
      <c r="AA1083" s="36"/>
      <c r="AB1083" s="36"/>
      <c r="AC1083" s="36"/>
    </row>
    <row r="1084" spans="17:29" x14ac:dyDescent="0.2">
      <c r="Q1084" s="36"/>
      <c r="R1084" s="40"/>
      <c r="S1084" s="40"/>
      <c r="T1084" s="40"/>
      <c r="U1084" s="41"/>
      <c r="V1084" s="41"/>
      <c r="W1084" s="41"/>
      <c r="X1084" s="36"/>
      <c r="Y1084" s="36"/>
      <c r="Z1084" s="36"/>
      <c r="AA1084" s="36"/>
      <c r="AB1084" s="36"/>
      <c r="AC1084" s="36"/>
    </row>
    <row r="1085" spans="17:29" x14ac:dyDescent="0.2">
      <c r="Q1085" s="36"/>
      <c r="R1085" s="40"/>
      <c r="S1085" s="40"/>
      <c r="T1085" s="40"/>
      <c r="U1085" s="41"/>
      <c r="V1085" s="41"/>
      <c r="W1085" s="41"/>
      <c r="X1085" s="36"/>
      <c r="Y1085" s="36"/>
      <c r="Z1085" s="36"/>
      <c r="AA1085" s="36"/>
      <c r="AB1085" s="36"/>
      <c r="AC1085" s="36"/>
    </row>
    <row r="1086" spans="17:29" x14ac:dyDescent="0.2">
      <c r="Q1086" s="36"/>
      <c r="R1086" s="40"/>
      <c r="S1086" s="40"/>
      <c r="T1086" s="40"/>
      <c r="U1086" s="41"/>
      <c r="V1086" s="41"/>
      <c r="W1086" s="41"/>
      <c r="X1086" s="36"/>
      <c r="Y1086" s="36"/>
      <c r="Z1086" s="36"/>
      <c r="AA1086" s="36"/>
      <c r="AB1086" s="36"/>
      <c r="AC1086" s="36"/>
    </row>
    <row r="1087" spans="17:29" x14ac:dyDescent="0.2">
      <c r="Q1087" s="36"/>
      <c r="R1087" s="40"/>
      <c r="S1087" s="40"/>
      <c r="T1087" s="40"/>
      <c r="U1087" s="41"/>
      <c r="V1087" s="41"/>
      <c r="W1087" s="41"/>
      <c r="X1087" s="36"/>
      <c r="Y1087" s="36"/>
      <c r="Z1087" s="36"/>
      <c r="AA1087" s="36"/>
      <c r="AB1087" s="36"/>
      <c r="AC1087" s="36"/>
    </row>
    <row r="1088" spans="17:29" x14ac:dyDescent="0.2">
      <c r="Q1088" s="36"/>
      <c r="R1088" s="40"/>
      <c r="S1088" s="40"/>
      <c r="T1088" s="40"/>
      <c r="U1088" s="41"/>
      <c r="V1088" s="41"/>
      <c r="W1088" s="41"/>
      <c r="X1088" s="36"/>
      <c r="Y1088" s="36"/>
      <c r="Z1088" s="36"/>
      <c r="AA1088" s="36"/>
      <c r="AB1088" s="36"/>
      <c r="AC1088" s="36"/>
    </row>
    <row r="1089" spans="17:29" x14ac:dyDescent="0.2">
      <c r="Q1089" s="36"/>
      <c r="R1089" s="40"/>
      <c r="S1089" s="40"/>
      <c r="T1089" s="40"/>
      <c r="U1089" s="41"/>
      <c r="V1089" s="41"/>
      <c r="W1089" s="41"/>
      <c r="X1089" s="36"/>
      <c r="Y1089" s="36"/>
      <c r="Z1089" s="36"/>
      <c r="AA1089" s="36"/>
      <c r="AB1089" s="36"/>
      <c r="AC1089" s="36"/>
    </row>
    <row r="1090" spans="17:29" x14ac:dyDescent="0.2">
      <c r="Q1090" s="36"/>
      <c r="R1090" s="40"/>
      <c r="S1090" s="40"/>
      <c r="T1090" s="40"/>
      <c r="U1090" s="41"/>
      <c r="V1090" s="41"/>
      <c r="W1090" s="41"/>
      <c r="X1090" s="36"/>
      <c r="Y1090" s="36"/>
      <c r="Z1090" s="36"/>
      <c r="AA1090" s="36"/>
      <c r="AB1090" s="36"/>
      <c r="AC1090" s="36"/>
    </row>
    <row r="1091" spans="17:29" x14ac:dyDescent="0.2">
      <c r="Q1091" s="36"/>
      <c r="R1091" s="40"/>
      <c r="S1091" s="40"/>
      <c r="T1091" s="40"/>
      <c r="U1091" s="41"/>
      <c r="V1091" s="41"/>
      <c r="W1091" s="41"/>
      <c r="X1091" s="36"/>
      <c r="Y1091" s="36"/>
      <c r="Z1091" s="36"/>
      <c r="AA1091" s="36"/>
      <c r="AB1091" s="36"/>
      <c r="AC1091" s="36"/>
    </row>
    <row r="1092" spans="17:29" x14ac:dyDescent="0.2">
      <c r="Q1092" s="36"/>
      <c r="R1092" s="40"/>
      <c r="S1092" s="40"/>
      <c r="T1092" s="40"/>
      <c r="U1092" s="41"/>
      <c r="V1092" s="41"/>
      <c r="W1092" s="41"/>
      <c r="X1092" s="36"/>
      <c r="Y1092" s="36"/>
      <c r="Z1092" s="36"/>
      <c r="AA1092" s="36"/>
      <c r="AB1092" s="36"/>
      <c r="AC1092" s="36"/>
    </row>
    <row r="1093" spans="17:29" x14ac:dyDescent="0.2">
      <c r="Q1093" s="36"/>
      <c r="R1093" s="40"/>
      <c r="S1093" s="40"/>
      <c r="T1093" s="40"/>
      <c r="U1093" s="41"/>
      <c r="V1093" s="41"/>
      <c r="W1093" s="41"/>
      <c r="X1093" s="36"/>
      <c r="Y1093" s="36"/>
      <c r="Z1093" s="36"/>
      <c r="AA1093" s="36"/>
      <c r="AB1093" s="36"/>
      <c r="AC1093" s="36"/>
    </row>
    <row r="1094" spans="17:29" x14ac:dyDescent="0.2">
      <c r="Q1094" s="36"/>
      <c r="R1094" s="40"/>
      <c r="S1094" s="40"/>
      <c r="T1094" s="40"/>
      <c r="U1094" s="41"/>
      <c r="V1094" s="41"/>
      <c r="W1094" s="41"/>
      <c r="X1094" s="36"/>
      <c r="Y1094" s="36"/>
      <c r="Z1094" s="36"/>
      <c r="AA1094" s="36"/>
      <c r="AB1094" s="36"/>
      <c r="AC1094" s="36"/>
    </row>
    <row r="1095" spans="17:29" x14ac:dyDescent="0.2">
      <c r="Q1095" s="36"/>
      <c r="R1095" s="40"/>
      <c r="S1095" s="40"/>
      <c r="T1095" s="40"/>
      <c r="U1095" s="41"/>
      <c r="V1095" s="41"/>
      <c r="W1095" s="41"/>
      <c r="X1095" s="36"/>
      <c r="Y1095" s="36"/>
      <c r="Z1095" s="36"/>
      <c r="AA1095" s="36"/>
      <c r="AB1095" s="36"/>
      <c r="AC1095" s="36"/>
    </row>
    <row r="1096" spans="17:29" x14ac:dyDescent="0.2">
      <c r="Q1096" s="36"/>
      <c r="R1096" s="40"/>
      <c r="S1096" s="40"/>
      <c r="T1096" s="40"/>
      <c r="U1096" s="41"/>
      <c r="V1096" s="41"/>
      <c r="W1096" s="41"/>
      <c r="X1096" s="36"/>
      <c r="Y1096" s="36"/>
      <c r="Z1096" s="36"/>
      <c r="AA1096" s="36"/>
      <c r="AB1096" s="36"/>
      <c r="AC1096" s="36"/>
    </row>
    <row r="1097" spans="17:29" x14ac:dyDescent="0.2">
      <c r="Q1097" s="36"/>
      <c r="R1097" s="40"/>
      <c r="S1097" s="40"/>
      <c r="T1097" s="40"/>
      <c r="U1097" s="41"/>
      <c r="V1097" s="41"/>
      <c r="W1097" s="41"/>
      <c r="X1097" s="36"/>
      <c r="Y1097" s="36"/>
      <c r="Z1097" s="36"/>
      <c r="AA1097" s="36"/>
      <c r="AB1097" s="36"/>
      <c r="AC1097" s="36"/>
    </row>
    <row r="1098" spans="17:29" x14ac:dyDescent="0.2">
      <c r="Q1098" s="36"/>
      <c r="R1098" s="40"/>
      <c r="S1098" s="40"/>
      <c r="T1098" s="40"/>
      <c r="U1098" s="41"/>
      <c r="V1098" s="41"/>
      <c r="W1098" s="41"/>
      <c r="X1098" s="36"/>
      <c r="Y1098" s="36"/>
      <c r="Z1098" s="36"/>
      <c r="AA1098" s="36"/>
      <c r="AB1098" s="36"/>
      <c r="AC1098" s="36"/>
    </row>
    <row r="1099" spans="17:29" x14ac:dyDescent="0.2">
      <c r="Q1099" s="36"/>
      <c r="R1099" s="40"/>
      <c r="S1099" s="40"/>
      <c r="T1099" s="40"/>
      <c r="U1099" s="41"/>
      <c r="V1099" s="41"/>
      <c r="W1099" s="41"/>
      <c r="X1099" s="36"/>
      <c r="Y1099" s="36"/>
      <c r="Z1099" s="36"/>
      <c r="AA1099" s="36"/>
      <c r="AB1099" s="36"/>
      <c r="AC1099" s="36"/>
    </row>
    <row r="1100" spans="17:29" x14ac:dyDescent="0.2">
      <c r="Q1100" s="36"/>
      <c r="R1100" s="40"/>
      <c r="S1100" s="40"/>
      <c r="T1100" s="40"/>
      <c r="U1100" s="41"/>
      <c r="V1100" s="41"/>
      <c r="W1100" s="41"/>
      <c r="X1100" s="36"/>
      <c r="Y1100" s="36"/>
      <c r="Z1100" s="36"/>
      <c r="AA1100" s="36"/>
      <c r="AB1100" s="36"/>
      <c r="AC1100" s="36"/>
    </row>
    <row r="1101" spans="17:29" x14ac:dyDescent="0.2">
      <c r="Q1101" s="36"/>
      <c r="R1101" s="40"/>
      <c r="S1101" s="40"/>
      <c r="T1101" s="40"/>
      <c r="U1101" s="41"/>
      <c r="V1101" s="41"/>
      <c r="W1101" s="41"/>
      <c r="X1101" s="36"/>
      <c r="Y1101" s="36"/>
      <c r="Z1101" s="36"/>
      <c r="AA1101" s="36"/>
      <c r="AB1101" s="36"/>
      <c r="AC1101" s="36"/>
    </row>
    <row r="1102" spans="17:29" x14ac:dyDescent="0.2">
      <c r="Q1102" s="36"/>
      <c r="R1102" s="40"/>
      <c r="S1102" s="40"/>
      <c r="T1102" s="40"/>
      <c r="U1102" s="41"/>
      <c r="V1102" s="41"/>
      <c r="W1102" s="41"/>
      <c r="X1102" s="36"/>
      <c r="Y1102" s="36"/>
      <c r="Z1102" s="36"/>
      <c r="AA1102" s="36"/>
      <c r="AB1102" s="36"/>
      <c r="AC1102" s="36"/>
    </row>
    <row r="1103" spans="17:29" x14ac:dyDescent="0.2">
      <c r="Q1103" s="36"/>
      <c r="R1103" s="40"/>
      <c r="S1103" s="40"/>
      <c r="T1103" s="40"/>
      <c r="U1103" s="41"/>
      <c r="V1103" s="41"/>
      <c r="W1103" s="41"/>
      <c r="X1103" s="36"/>
      <c r="Y1103" s="36"/>
      <c r="Z1103" s="36"/>
      <c r="AA1103" s="36"/>
      <c r="AB1103" s="36"/>
      <c r="AC1103" s="36"/>
    </row>
    <row r="1104" spans="17:29" x14ac:dyDescent="0.2">
      <c r="Q1104" s="36"/>
      <c r="R1104" s="40"/>
      <c r="S1104" s="40"/>
      <c r="T1104" s="40"/>
      <c r="U1104" s="41"/>
      <c r="V1104" s="41"/>
      <c r="W1104" s="41"/>
      <c r="X1104" s="36"/>
      <c r="Y1104" s="36"/>
      <c r="Z1104" s="36"/>
      <c r="AA1104" s="36"/>
      <c r="AB1104" s="36"/>
      <c r="AC1104" s="36"/>
    </row>
    <row r="1105" spans="17:29" x14ac:dyDescent="0.2">
      <c r="Q1105" s="36"/>
      <c r="R1105" s="40"/>
      <c r="S1105" s="40"/>
      <c r="T1105" s="40"/>
      <c r="U1105" s="41"/>
      <c r="V1105" s="41"/>
      <c r="W1105" s="41"/>
      <c r="X1105" s="36"/>
      <c r="Y1105" s="36"/>
      <c r="Z1105" s="36"/>
      <c r="AA1105" s="36"/>
      <c r="AB1105" s="36"/>
      <c r="AC1105" s="36"/>
    </row>
    <row r="1106" spans="17:29" x14ac:dyDescent="0.2">
      <c r="Q1106" s="36"/>
      <c r="R1106" s="40"/>
      <c r="S1106" s="40"/>
      <c r="T1106" s="40"/>
      <c r="U1106" s="41"/>
      <c r="V1106" s="41"/>
      <c r="W1106" s="41"/>
      <c r="X1106" s="36"/>
      <c r="Y1106" s="36"/>
      <c r="Z1106" s="36"/>
      <c r="AA1106" s="36"/>
      <c r="AB1106" s="36"/>
      <c r="AC1106" s="36"/>
    </row>
    <row r="1107" spans="17:29" x14ac:dyDescent="0.2">
      <c r="Q1107" s="36"/>
      <c r="R1107" s="40"/>
      <c r="S1107" s="40"/>
      <c r="T1107" s="40"/>
      <c r="U1107" s="41"/>
      <c r="V1107" s="41"/>
      <c r="W1107" s="41"/>
      <c r="X1107" s="36"/>
      <c r="Y1107" s="36"/>
      <c r="Z1107" s="36"/>
      <c r="AA1107" s="36"/>
      <c r="AB1107" s="36"/>
      <c r="AC1107" s="36"/>
    </row>
    <row r="1108" spans="17:29" x14ac:dyDescent="0.2">
      <c r="Q1108" s="36"/>
      <c r="R1108" s="40"/>
      <c r="S1108" s="40"/>
      <c r="T1108" s="40"/>
      <c r="U1108" s="41"/>
      <c r="V1108" s="41"/>
      <c r="W1108" s="41"/>
      <c r="X1108" s="36"/>
      <c r="Y1108" s="36"/>
      <c r="Z1108" s="36"/>
      <c r="AA1108" s="36"/>
      <c r="AB1108" s="36"/>
      <c r="AC1108" s="36"/>
    </row>
    <row r="1109" spans="17:29" x14ac:dyDescent="0.2">
      <c r="Q1109" s="36"/>
      <c r="R1109" s="40"/>
      <c r="S1109" s="40"/>
      <c r="T1109" s="40"/>
      <c r="U1109" s="41"/>
      <c r="V1109" s="41"/>
      <c r="W1109" s="41"/>
      <c r="X1109" s="36"/>
      <c r="Y1109" s="36"/>
      <c r="Z1109" s="36"/>
      <c r="AA1109" s="36"/>
      <c r="AB1109" s="36"/>
      <c r="AC1109" s="36"/>
    </row>
    <row r="1110" spans="17:29" x14ac:dyDescent="0.2">
      <c r="Q1110" s="36"/>
      <c r="R1110" s="40"/>
      <c r="S1110" s="40"/>
      <c r="T1110" s="40"/>
      <c r="U1110" s="41"/>
      <c r="V1110" s="41"/>
      <c r="W1110" s="41"/>
      <c r="X1110" s="36"/>
      <c r="Y1110" s="36"/>
      <c r="Z1110" s="36"/>
      <c r="AA1110" s="36"/>
      <c r="AB1110" s="36"/>
      <c r="AC1110" s="36"/>
    </row>
    <row r="1111" spans="17:29" x14ac:dyDescent="0.2">
      <c r="Q1111" s="36"/>
      <c r="R1111" s="40"/>
      <c r="S1111" s="40"/>
      <c r="T1111" s="40"/>
      <c r="U1111" s="41"/>
      <c r="V1111" s="41"/>
      <c r="W1111" s="41"/>
      <c r="X1111" s="36"/>
      <c r="Y1111" s="36"/>
      <c r="Z1111" s="36"/>
      <c r="AA1111" s="36"/>
      <c r="AB1111" s="36"/>
      <c r="AC1111" s="36"/>
    </row>
    <row r="1112" spans="17:29" x14ac:dyDescent="0.2">
      <c r="Q1112" s="36"/>
      <c r="R1112" s="40"/>
      <c r="S1112" s="40"/>
      <c r="T1112" s="40"/>
      <c r="U1112" s="41"/>
      <c r="V1112" s="41"/>
      <c r="W1112" s="41"/>
      <c r="X1112" s="36"/>
      <c r="Y1112" s="36"/>
      <c r="Z1112" s="36"/>
      <c r="AA1112" s="36"/>
      <c r="AB1112" s="36"/>
      <c r="AC1112" s="36"/>
    </row>
    <row r="1113" spans="17:29" x14ac:dyDescent="0.2">
      <c r="Q1113" s="36"/>
      <c r="R1113" s="40"/>
      <c r="S1113" s="40"/>
      <c r="T1113" s="40"/>
      <c r="U1113" s="41"/>
      <c r="V1113" s="41"/>
      <c r="W1113" s="41"/>
      <c r="X1113" s="36"/>
      <c r="Y1113" s="36"/>
      <c r="Z1113" s="36"/>
      <c r="AA1113" s="36"/>
      <c r="AB1113" s="36"/>
      <c r="AC1113" s="36"/>
    </row>
    <row r="1114" spans="17:29" x14ac:dyDescent="0.2">
      <c r="Q1114" s="36"/>
      <c r="R1114" s="40"/>
      <c r="S1114" s="40"/>
      <c r="T1114" s="40"/>
      <c r="U1114" s="41"/>
      <c r="V1114" s="41"/>
      <c r="W1114" s="41"/>
      <c r="X1114" s="36"/>
      <c r="Y1114" s="36"/>
      <c r="Z1114" s="36"/>
      <c r="AA1114" s="36"/>
      <c r="AB1114" s="36"/>
      <c r="AC1114" s="36"/>
    </row>
    <row r="1115" spans="17:29" x14ac:dyDescent="0.2">
      <c r="Q1115" s="36"/>
      <c r="R1115" s="40"/>
      <c r="S1115" s="40"/>
      <c r="T1115" s="40"/>
      <c r="U1115" s="41"/>
      <c r="V1115" s="41"/>
      <c r="W1115" s="41"/>
      <c r="X1115" s="36"/>
      <c r="Y1115" s="36"/>
      <c r="Z1115" s="36"/>
      <c r="AA1115" s="36"/>
      <c r="AB1115" s="36"/>
      <c r="AC1115" s="36"/>
    </row>
    <row r="1116" spans="17:29" x14ac:dyDescent="0.2">
      <c r="Q1116" s="36"/>
      <c r="R1116" s="40"/>
      <c r="S1116" s="40"/>
      <c r="T1116" s="40"/>
      <c r="U1116" s="41"/>
      <c r="V1116" s="41"/>
      <c r="W1116" s="41"/>
      <c r="X1116" s="36"/>
      <c r="Y1116" s="36"/>
      <c r="Z1116" s="36"/>
      <c r="AA1116" s="36"/>
      <c r="AB1116" s="36"/>
      <c r="AC1116" s="36"/>
    </row>
    <row r="1117" spans="17:29" x14ac:dyDescent="0.2">
      <c r="Q1117" s="36"/>
      <c r="R1117" s="40"/>
      <c r="S1117" s="40"/>
      <c r="T1117" s="40"/>
      <c r="U1117" s="41"/>
      <c r="V1117" s="41"/>
      <c r="W1117" s="41"/>
      <c r="X1117" s="36"/>
      <c r="Y1117" s="36"/>
      <c r="Z1117" s="36"/>
      <c r="AA1117" s="36"/>
      <c r="AB1117" s="36"/>
      <c r="AC1117" s="36"/>
    </row>
    <row r="1118" spans="17:29" x14ac:dyDescent="0.2">
      <c r="Q1118" s="36"/>
      <c r="R1118" s="40"/>
      <c r="S1118" s="40"/>
      <c r="T1118" s="40"/>
      <c r="U1118" s="41"/>
      <c r="V1118" s="41"/>
      <c r="W1118" s="41"/>
      <c r="X1118" s="36"/>
      <c r="Y1118" s="36"/>
      <c r="Z1118" s="36"/>
      <c r="AA1118" s="36"/>
      <c r="AB1118" s="36"/>
      <c r="AC1118" s="36"/>
    </row>
    <row r="1119" spans="17:29" x14ac:dyDescent="0.2">
      <c r="Q1119" s="36"/>
      <c r="R1119" s="40"/>
      <c r="S1119" s="40"/>
      <c r="T1119" s="40"/>
      <c r="U1119" s="41"/>
      <c r="V1119" s="41"/>
      <c r="W1119" s="41"/>
      <c r="X1119" s="36"/>
      <c r="Y1119" s="36"/>
      <c r="Z1119" s="36"/>
      <c r="AA1119" s="36"/>
      <c r="AB1119" s="36"/>
      <c r="AC1119" s="36"/>
    </row>
    <row r="1120" spans="17:29" x14ac:dyDescent="0.2">
      <c r="Q1120" s="36"/>
      <c r="R1120" s="40"/>
      <c r="S1120" s="40"/>
      <c r="T1120" s="40"/>
      <c r="U1120" s="41"/>
      <c r="V1120" s="41"/>
      <c r="W1120" s="41"/>
      <c r="X1120" s="36"/>
      <c r="Y1120" s="36"/>
      <c r="Z1120" s="36"/>
      <c r="AA1120" s="36"/>
      <c r="AB1120" s="36"/>
      <c r="AC1120" s="36"/>
    </row>
    <row r="1121" spans="17:29" x14ac:dyDescent="0.2">
      <c r="Q1121" s="36"/>
      <c r="R1121" s="40"/>
      <c r="S1121" s="40"/>
      <c r="T1121" s="40"/>
      <c r="U1121" s="41"/>
      <c r="V1121" s="41"/>
      <c r="W1121" s="41"/>
      <c r="X1121" s="36"/>
      <c r="Y1121" s="36"/>
      <c r="Z1121" s="36"/>
      <c r="AA1121" s="36"/>
      <c r="AB1121" s="36"/>
      <c r="AC1121" s="36"/>
    </row>
    <row r="1122" spans="17:29" x14ac:dyDescent="0.2">
      <c r="Q1122" s="36"/>
      <c r="R1122" s="40"/>
      <c r="S1122" s="40"/>
      <c r="T1122" s="40"/>
      <c r="U1122" s="41"/>
      <c r="V1122" s="41"/>
      <c r="W1122" s="41"/>
      <c r="X1122" s="36"/>
      <c r="Y1122" s="36"/>
      <c r="Z1122" s="36"/>
      <c r="AA1122" s="36"/>
      <c r="AB1122" s="36"/>
      <c r="AC1122" s="36"/>
    </row>
    <row r="1123" spans="17:29" x14ac:dyDescent="0.2">
      <c r="Q1123" s="36"/>
      <c r="R1123" s="40"/>
      <c r="S1123" s="40"/>
      <c r="T1123" s="40"/>
      <c r="U1123" s="41"/>
      <c r="V1123" s="41"/>
      <c r="W1123" s="41"/>
      <c r="X1123" s="36"/>
      <c r="Y1123" s="36"/>
      <c r="Z1123" s="36"/>
      <c r="AA1123" s="36"/>
      <c r="AB1123" s="36"/>
      <c r="AC1123" s="36"/>
    </row>
    <row r="1124" spans="17:29" x14ac:dyDescent="0.2">
      <c r="Q1124" s="36"/>
      <c r="R1124" s="40"/>
      <c r="S1124" s="40"/>
      <c r="T1124" s="40"/>
      <c r="U1124" s="41"/>
      <c r="V1124" s="41"/>
      <c r="W1124" s="41"/>
      <c r="X1124" s="36"/>
      <c r="Y1124" s="36"/>
      <c r="Z1124" s="36"/>
      <c r="AA1124" s="36"/>
      <c r="AB1124" s="36"/>
      <c r="AC1124" s="36"/>
    </row>
    <row r="1125" spans="17:29" x14ac:dyDescent="0.2">
      <c r="Q1125" s="36"/>
      <c r="R1125" s="40"/>
      <c r="S1125" s="40"/>
      <c r="T1125" s="40"/>
      <c r="U1125" s="41"/>
      <c r="V1125" s="41"/>
      <c r="W1125" s="41"/>
      <c r="X1125" s="36"/>
      <c r="Y1125" s="36"/>
      <c r="Z1125" s="36"/>
      <c r="AA1125" s="36"/>
      <c r="AB1125" s="36"/>
      <c r="AC1125" s="36"/>
    </row>
    <row r="1126" spans="17:29" x14ac:dyDescent="0.2">
      <c r="Q1126" s="36"/>
      <c r="R1126" s="40"/>
      <c r="S1126" s="40"/>
      <c r="T1126" s="40"/>
      <c r="U1126" s="41"/>
      <c r="V1126" s="41"/>
      <c r="W1126" s="41"/>
      <c r="X1126" s="36"/>
      <c r="Y1126" s="36"/>
      <c r="Z1126" s="36"/>
      <c r="AA1126" s="36"/>
      <c r="AB1126" s="36"/>
      <c r="AC1126" s="36"/>
    </row>
    <row r="1127" spans="17:29" x14ac:dyDescent="0.2">
      <c r="Q1127" s="36"/>
      <c r="R1127" s="40"/>
      <c r="S1127" s="40"/>
      <c r="T1127" s="40"/>
      <c r="U1127" s="41"/>
      <c r="V1127" s="41"/>
      <c r="W1127" s="41"/>
      <c r="X1127" s="36"/>
      <c r="Y1127" s="36"/>
      <c r="Z1127" s="36"/>
      <c r="AA1127" s="36"/>
      <c r="AB1127" s="36"/>
      <c r="AC1127" s="36"/>
    </row>
    <row r="1128" spans="17:29" x14ac:dyDescent="0.2">
      <c r="Q1128" s="36"/>
      <c r="R1128" s="40"/>
      <c r="S1128" s="40"/>
      <c r="T1128" s="40"/>
      <c r="U1128" s="41"/>
      <c r="V1128" s="41"/>
      <c r="W1128" s="41"/>
      <c r="X1128" s="36"/>
      <c r="Y1128" s="36"/>
      <c r="Z1128" s="36"/>
      <c r="AA1128" s="36"/>
      <c r="AB1128" s="36"/>
      <c r="AC1128" s="36"/>
    </row>
    <row r="1129" spans="17:29" x14ac:dyDescent="0.2">
      <c r="Q1129" s="36"/>
      <c r="R1129" s="40"/>
      <c r="S1129" s="40"/>
      <c r="T1129" s="40"/>
      <c r="U1129" s="41"/>
      <c r="V1129" s="41"/>
      <c r="W1129" s="41"/>
      <c r="X1129" s="36"/>
      <c r="Y1129" s="36"/>
      <c r="Z1129" s="36"/>
      <c r="AA1129" s="36"/>
      <c r="AB1129" s="36"/>
      <c r="AC1129" s="36"/>
    </row>
    <row r="1130" spans="17:29" x14ac:dyDescent="0.2">
      <c r="Q1130" s="36"/>
      <c r="R1130" s="40"/>
      <c r="S1130" s="40"/>
      <c r="T1130" s="40"/>
      <c r="U1130" s="41"/>
      <c r="V1130" s="41"/>
      <c r="W1130" s="41"/>
      <c r="X1130" s="36"/>
      <c r="Y1130" s="36"/>
      <c r="Z1130" s="36"/>
      <c r="AA1130" s="36"/>
      <c r="AB1130" s="36"/>
      <c r="AC1130" s="36"/>
    </row>
    <row r="1131" spans="17:29" x14ac:dyDescent="0.2">
      <c r="Q1131" s="36"/>
      <c r="R1131" s="40"/>
      <c r="S1131" s="40"/>
      <c r="T1131" s="40"/>
      <c r="U1131" s="41"/>
      <c r="V1131" s="41"/>
      <c r="W1131" s="41"/>
      <c r="X1131" s="36"/>
      <c r="Y1131" s="36"/>
      <c r="Z1131" s="36"/>
      <c r="AA1131" s="36"/>
      <c r="AB1131" s="36"/>
      <c r="AC1131" s="36"/>
    </row>
    <row r="1132" spans="17:29" x14ac:dyDescent="0.2">
      <c r="Q1132" s="36"/>
      <c r="R1132" s="40"/>
      <c r="S1132" s="40"/>
      <c r="T1132" s="40"/>
      <c r="U1132" s="41"/>
      <c r="V1132" s="41"/>
      <c r="W1132" s="41"/>
      <c r="X1132" s="36"/>
      <c r="Y1132" s="36"/>
      <c r="Z1132" s="36"/>
      <c r="AA1132" s="36"/>
      <c r="AB1132" s="36"/>
      <c r="AC1132" s="36"/>
    </row>
    <row r="1133" spans="17:29" x14ac:dyDescent="0.2">
      <c r="Q1133" s="36"/>
      <c r="R1133" s="40"/>
      <c r="S1133" s="40"/>
      <c r="T1133" s="40"/>
      <c r="U1133" s="41"/>
      <c r="V1133" s="41"/>
      <c r="W1133" s="41"/>
      <c r="X1133" s="36"/>
      <c r="Y1133" s="36"/>
      <c r="Z1133" s="36"/>
      <c r="AA1133" s="36"/>
      <c r="AB1133" s="36"/>
      <c r="AC1133" s="36"/>
    </row>
    <row r="1134" spans="17:29" x14ac:dyDescent="0.2">
      <c r="Q1134" s="36"/>
      <c r="R1134" s="40"/>
      <c r="S1134" s="40"/>
      <c r="T1134" s="40"/>
      <c r="U1134" s="41"/>
      <c r="V1134" s="41"/>
      <c r="W1134" s="41"/>
      <c r="X1134" s="36"/>
      <c r="Y1134" s="36"/>
      <c r="Z1134" s="36"/>
      <c r="AA1134" s="36"/>
      <c r="AB1134" s="36"/>
      <c r="AC1134" s="36"/>
    </row>
    <row r="1135" spans="17:29" x14ac:dyDescent="0.2">
      <c r="Q1135" s="36"/>
      <c r="R1135" s="40"/>
      <c r="S1135" s="40"/>
      <c r="T1135" s="40"/>
      <c r="U1135" s="41"/>
      <c r="V1135" s="41"/>
      <c r="W1135" s="41"/>
      <c r="X1135" s="36"/>
      <c r="Y1135" s="36"/>
      <c r="Z1135" s="36"/>
      <c r="AA1135" s="36"/>
      <c r="AB1135" s="36"/>
      <c r="AC1135" s="36"/>
    </row>
    <row r="1136" spans="17:29" x14ac:dyDescent="0.2">
      <c r="Q1136" s="36"/>
      <c r="R1136" s="40"/>
      <c r="S1136" s="40"/>
      <c r="T1136" s="40"/>
      <c r="U1136" s="41"/>
      <c r="V1136" s="41"/>
      <c r="W1136" s="41"/>
      <c r="X1136" s="36"/>
      <c r="Y1136" s="36"/>
      <c r="Z1136" s="36"/>
      <c r="AA1136" s="36"/>
      <c r="AB1136" s="36"/>
      <c r="AC1136" s="36"/>
    </row>
    <row r="1137" spans="17:29" x14ac:dyDescent="0.2">
      <c r="Q1137" s="36"/>
      <c r="R1137" s="40"/>
      <c r="S1137" s="40"/>
      <c r="T1137" s="40"/>
      <c r="U1137" s="41"/>
      <c r="V1137" s="41"/>
      <c r="W1137" s="41"/>
      <c r="X1137" s="36"/>
      <c r="Y1137" s="36"/>
      <c r="Z1137" s="36"/>
      <c r="AA1137" s="36"/>
      <c r="AB1137" s="36"/>
      <c r="AC1137" s="36"/>
    </row>
    <row r="1138" spans="17:29" x14ac:dyDescent="0.2">
      <c r="Q1138" s="36"/>
      <c r="R1138" s="40"/>
      <c r="S1138" s="40"/>
      <c r="T1138" s="40"/>
      <c r="U1138" s="41"/>
      <c r="V1138" s="41"/>
      <c r="W1138" s="41"/>
      <c r="X1138" s="36"/>
      <c r="Y1138" s="36"/>
      <c r="Z1138" s="36"/>
      <c r="AA1138" s="36"/>
      <c r="AB1138" s="36"/>
      <c r="AC1138" s="36"/>
    </row>
    <row r="1139" spans="17:29" x14ac:dyDescent="0.2">
      <c r="Q1139" s="36"/>
      <c r="R1139" s="40"/>
      <c r="S1139" s="40"/>
      <c r="T1139" s="40"/>
      <c r="U1139" s="41"/>
      <c r="V1139" s="41"/>
      <c r="W1139" s="41"/>
      <c r="X1139" s="36"/>
      <c r="Y1139" s="36"/>
      <c r="Z1139" s="36"/>
      <c r="AA1139" s="36"/>
      <c r="AB1139" s="36"/>
      <c r="AC1139" s="36"/>
    </row>
    <row r="1140" spans="17:29" x14ac:dyDescent="0.2">
      <c r="Q1140" s="36"/>
      <c r="R1140" s="40"/>
      <c r="S1140" s="40"/>
      <c r="T1140" s="40"/>
      <c r="U1140" s="41"/>
      <c r="V1140" s="41"/>
      <c r="W1140" s="41"/>
      <c r="X1140" s="36"/>
      <c r="Y1140" s="36"/>
      <c r="Z1140" s="36"/>
      <c r="AA1140" s="36"/>
      <c r="AB1140" s="36"/>
      <c r="AC1140" s="36"/>
    </row>
    <row r="1141" spans="17:29" x14ac:dyDescent="0.2">
      <c r="Q1141" s="36"/>
      <c r="R1141" s="40"/>
      <c r="S1141" s="40"/>
      <c r="T1141" s="40"/>
      <c r="U1141" s="41"/>
      <c r="V1141" s="41"/>
      <c r="W1141" s="41"/>
      <c r="X1141" s="36"/>
      <c r="Y1141" s="36"/>
      <c r="Z1141" s="36"/>
      <c r="AA1141" s="36"/>
      <c r="AB1141" s="36"/>
      <c r="AC1141" s="36"/>
    </row>
    <row r="1142" spans="17:29" x14ac:dyDescent="0.2">
      <c r="Q1142" s="36"/>
      <c r="R1142" s="40"/>
      <c r="S1142" s="40"/>
      <c r="T1142" s="40"/>
      <c r="U1142" s="41"/>
      <c r="V1142" s="41"/>
      <c r="W1142" s="41"/>
      <c r="X1142" s="36"/>
      <c r="Y1142" s="36"/>
      <c r="Z1142" s="36"/>
      <c r="AA1142" s="36"/>
      <c r="AB1142" s="36"/>
      <c r="AC1142" s="36"/>
    </row>
    <row r="1143" spans="17:29" x14ac:dyDescent="0.2">
      <c r="Q1143" s="36"/>
      <c r="R1143" s="40"/>
      <c r="S1143" s="40"/>
      <c r="T1143" s="40"/>
      <c r="U1143" s="41"/>
      <c r="V1143" s="41"/>
      <c r="W1143" s="41"/>
      <c r="X1143" s="36"/>
      <c r="Y1143" s="36"/>
      <c r="Z1143" s="36"/>
      <c r="AA1143" s="36"/>
      <c r="AB1143" s="36"/>
      <c r="AC1143" s="36"/>
    </row>
    <row r="1144" spans="17:29" x14ac:dyDescent="0.2">
      <c r="Q1144" s="36"/>
      <c r="R1144" s="40"/>
      <c r="S1144" s="40"/>
      <c r="T1144" s="40"/>
      <c r="U1144" s="41"/>
      <c r="V1144" s="41"/>
      <c r="W1144" s="41"/>
      <c r="X1144" s="36"/>
      <c r="Y1144" s="36"/>
      <c r="Z1144" s="36"/>
      <c r="AA1144" s="36"/>
      <c r="AB1144" s="36"/>
      <c r="AC1144" s="36"/>
    </row>
    <row r="1145" spans="17:29" x14ac:dyDescent="0.2">
      <c r="Q1145" s="36"/>
      <c r="R1145" s="40"/>
      <c r="S1145" s="40"/>
      <c r="T1145" s="40"/>
      <c r="U1145" s="41"/>
      <c r="V1145" s="41"/>
      <c r="W1145" s="41"/>
      <c r="X1145" s="36"/>
      <c r="Y1145" s="36"/>
      <c r="Z1145" s="36"/>
      <c r="AA1145" s="36"/>
      <c r="AB1145" s="36"/>
      <c r="AC1145" s="36"/>
    </row>
    <row r="1146" spans="17:29" x14ac:dyDescent="0.2">
      <c r="Q1146" s="36"/>
      <c r="R1146" s="40"/>
      <c r="S1146" s="40"/>
      <c r="T1146" s="40"/>
      <c r="U1146" s="41"/>
      <c r="V1146" s="41"/>
      <c r="W1146" s="41"/>
      <c r="X1146" s="36"/>
      <c r="Y1146" s="36"/>
      <c r="Z1146" s="36"/>
      <c r="AA1146" s="36"/>
      <c r="AB1146" s="36"/>
      <c r="AC1146" s="36"/>
    </row>
    <row r="1147" spans="17:29" x14ac:dyDescent="0.2">
      <c r="Q1147" s="36"/>
      <c r="R1147" s="40"/>
      <c r="S1147" s="40"/>
      <c r="T1147" s="40"/>
      <c r="U1147" s="41"/>
      <c r="V1147" s="41"/>
      <c r="W1147" s="41"/>
      <c r="X1147" s="36"/>
      <c r="Y1147" s="36"/>
      <c r="Z1147" s="36"/>
      <c r="AA1147" s="36"/>
      <c r="AB1147" s="36"/>
      <c r="AC1147" s="36"/>
    </row>
    <row r="1148" spans="17:29" x14ac:dyDescent="0.2">
      <c r="Q1148" s="36"/>
      <c r="R1148" s="40"/>
      <c r="S1148" s="40"/>
      <c r="T1148" s="40"/>
      <c r="U1148" s="41"/>
      <c r="V1148" s="41"/>
      <c r="W1148" s="41"/>
      <c r="X1148" s="36"/>
      <c r="Y1148" s="36"/>
      <c r="Z1148" s="36"/>
      <c r="AA1148" s="36"/>
      <c r="AB1148" s="36"/>
      <c r="AC1148" s="36"/>
    </row>
    <row r="1149" spans="17:29" x14ac:dyDescent="0.2">
      <c r="Q1149" s="36"/>
      <c r="R1149" s="40"/>
      <c r="S1149" s="40"/>
      <c r="T1149" s="40"/>
      <c r="U1149" s="41"/>
      <c r="V1149" s="41"/>
      <c r="W1149" s="41"/>
      <c r="X1149" s="36"/>
      <c r="Y1149" s="36"/>
      <c r="Z1149" s="36"/>
      <c r="AA1149" s="36"/>
      <c r="AB1149" s="36"/>
      <c r="AC1149" s="36"/>
    </row>
    <row r="1150" spans="17:29" x14ac:dyDescent="0.2">
      <c r="Q1150" s="36"/>
      <c r="R1150" s="40"/>
      <c r="S1150" s="40"/>
      <c r="T1150" s="40"/>
      <c r="U1150" s="41"/>
      <c r="V1150" s="41"/>
      <c r="W1150" s="41"/>
      <c r="X1150" s="36"/>
      <c r="Y1150" s="36"/>
      <c r="Z1150" s="36"/>
      <c r="AA1150" s="36"/>
      <c r="AB1150" s="36"/>
      <c r="AC1150" s="36"/>
    </row>
    <row r="1151" spans="17:29" x14ac:dyDescent="0.2">
      <c r="Q1151" s="36"/>
      <c r="R1151" s="40"/>
      <c r="S1151" s="40"/>
      <c r="T1151" s="40"/>
      <c r="U1151" s="41"/>
      <c r="V1151" s="41"/>
      <c r="W1151" s="41"/>
      <c r="X1151" s="36"/>
      <c r="Y1151" s="36"/>
      <c r="Z1151" s="36"/>
      <c r="AA1151" s="36"/>
      <c r="AB1151" s="36"/>
      <c r="AC1151" s="36"/>
    </row>
    <row r="1152" spans="17:29" x14ac:dyDescent="0.2">
      <c r="Q1152" s="36"/>
      <c r="R1152" s="40"/>
      <c r="S1152" s="40"/>
      <c r="T1152" s="40"/>
      <c r="U1152" s="41"/>
      <c r="V1152" s="41"/>
      <c r="W1152" s="41"/>
      <c r="X1152" s="36"/>
      <c r="Y1152" s="36"/>
      <c r="Z1152" s="36"/>
      <c r="AA1152" s="36"/>
      <c r="AB1152" s="36"/>
      <c r="AC1152" s="36"/>
    </row>
    <row r="1153" spans="17:29" x14ac:dyDescent="0.2">
      <c r="Q1153" s="36"/>
      <c r="R1153" s="40"/>
      <c r="S1153" s="40"/>
      <c r="T1153" s="40"/>
      <c r="U1153" s="41"/>
      <c r="V1153" s="41"/>
      <c r="W1153" s="41"/>
      <c r="X1153" s="36"/>
      <c r="Y1153" s="36"/>
      <c r="Z1153" s="36"/>
      <c r="AA1153" s="36"/>
      <c r="AB1153" s="36"/>
      <c r="AC1153" s="36"/>
    </row>
    <row r="1154" spans="17:29" x14ac:dyDescent="0.2">
      <c r="Q1154" s="36"/>
      <c r="R1154" s="40"/>
      <c r="S1154" s="40"/>
      <c r="T1154" s="40"/>
      <c r="U1154" s="41"/>
      <c r="V1154" s="41"/>
      <c r="W1154" s="41"/>
      <c r="X1154" s="36"/>
      <c r="Y1154" s="36"/>
      <c r="Z1154" s="36"/>
      <c r="AA1154" s="36"/>
      <c r="AB1154" s="36"/>
      <c r="AC1154" s="36"/>
    </row>
    <row r="1155" spans="17:29" x14ac:dyDescent="0.2">
      <c r="Q1155" s="36"/>
      <c r="R1155" s="40"/>
      <c r="S1155" s="40"/>
      <c r="T1155" s="40"/>
      <c r="U1155" s="41"/>
      <c r="V1155" s="41"/>
      <c r="W1155" s="41"/>
      <c r="X1155" s="36"/>
      <c r="Y1155" s="36"/>
      <c r="Z1155" s="36"/>
      <c r="AA1155" s="36"/>
      <c r="AB1155" s="36"/>
      <c r="AC1155" s="36"/>
    </row>
    <row r="1156" spans="17:29" x14ac:dyDescent="0.2">
      <c r="Q1156" s="36"/>
      <c r="R1156" s="40"/>
      <c r="S1156" s="40"/>
      <c r="T1156" s="40"/>
      <c r="U1156" s="41"/>
      <c r="V1156" s="41"/>
      <c r="W1156" s="41"/>
      <c r="X1156" s="36"/>
      <c r="Y1156" s="36"/>
      <c r="Z1156" s="36"/>
      <c r="AA1156" s="36"/>
      <c r="AB1156" s="36"/>
      <c r="AC1156" s="36"/>
    </row>
    <row r="1157" spans="17:29" x14ac:dyDescent="0.2">
      <c r="Q1157" s="36"/>
      <c r="R1157" s="40"/>
      <c r="S1157" s="40"/>
      <c r="T1157" s="40"/>
      <c r="U1157" s="41"/>
      <c r="V1157" s="41"/>
      <c r="W1157" s="41"/>
      <c r="X1157" s="36"/>
      <c r="Y1157" s="36"/>
      <c r="Z1157" s="36"/>
      <c r="AA1157" s="36"/>
      <c r="AB1157" s="36"/>
      <c r="AC1157" s="36"/>
    </row>
    <row r="1158" spans="17:29" x14ac:dyDescent="0.2">
      <c r="Q1158" s="36"/>
      <c r="R1158" s="40"/>
      <c r="S1158" s="40"/>
      <c r="T1158" s="40"/>
      <c r="U1158" s="41"/>
      <c r="V1158" s="41"/>
      <c r="W1158" s="41"/>
      <c r="X1158" s="36"/>
      <c r="Y1158" s="36"/>
      <c r="Z1158" s="36"/>
      <c r="AA1158" s="36"/>
      <c r="AB1158" s="36"/>
      <c r="AC1158" s="36"/>
    </row>
    <row r="1159" spans="17:29" x14ac:dyDescent="0.2">
      <c r="Q1159" s="36"/>
      <c r="R1159" s="40"/>
      <c r="S1159" s="40"/>
      <c r="T1159" s="40"/>
      <c r="U1159" s="41"/>
      <c r="V1159" s="41"/>
      <c r="W1159" s="41"/>
      <c r="X1159" s="36"/>
      <c r="Y1159" s="36"/>
      <c r="Z1159" s="36"/>
      <c r="AA1159" s="36"/>
      <c r="AB1159" s="36"/>
      <c r="AC1159" s="36"/>
    </row>
    <row r="1160" spans="17:29" x14ac:dyDescent="0.2">
      <c r="Q1160" s="36"/>
      <c r="R1160" s="40"/>
      <c r="S1160" s="40"/>
      <c r="T1160" s="40"/>
      <c r="U1160" s="41"/>
      <c r="V1160" s="41"/>
      <c r="W1160" s="41"/>
      <c r="X1160" s="36"/>
      <c r="Y1160" s="36"/>
      <c r="Z1160" s="36"/>
      <c r="AA1160" s="36"/>
      <c r="AB1160" s="36"/>
      <c r="AC1160" s="36"/>
    </row>
    <row r="1161" spans="17:29" x14ac:dyDescent="0.2">
      <c r="Q1161" s="36"/>
      <c r="R1161" s="40"/>
      <c r="S1161" s="40"/>
      <c r="T1161" s="40"/>
      <c r="U1161" s="41"/>
      <c r="V1161" s="41"/>
      <c r="W1161" s="41"/>
      <c r="X1161" s="36"/>
      <c r="Y1161" s="36"/>
      <c r="Z1161" s="36"/>
      <c r="AA1161" s="36"/>
      <c r="AB1161" s="36"/>
      <c r="AC1161" s="36"/>
    </row>
    <row r="1162" spans="17:29" x14ac:dyDescent="0.2">
      <c r="Q1162" s="36"/>
      <c r="R1162" s="40"/>
      <c r="S1162" s="40"/>
      <c r="T1162" s="40"/>
      <c r="U1162" s="41"/>
      <c r="V1162" s="41"/>
      <c r="W1162" s="41"/>
      <c r="X1162" s="36"/>
      <c r="Y1162" s="36"/>
      <c r="Z1162" s="36"/>
      <c r="AA1162" s="36"/>
      <c r="AB1162" s="36"/>
      <c r="AC1162" s="36"/>
    </row>
    <row r="1163" spans="17:29" x14ac:dyDescent="0.2">
      <c r="Q1163" s="36"/>
      <c r="R1163" s="40"/>
      <c r="S1163" s="40"/>
      <c r="T1163" s="40"/>
      <c r="U1163" s="41"/>
      <c r="V1163" s="41"/>
      <c r="W1163" s="41"/>
      <c r="X1163" s="36"/>
      <c r="Y1163" s="36"/>
      <c r="Z1163" s="36"/>
      <c r="AA1163" s="36"/>
      <c r="AB1163" s="36"/>
      <c r="AC1163" s="36"/>
    </row>
    <row r="1164" spans="17:29" x14ac:dyDescent="0.2">
      <c r="Q1164" s="36"/>
      <c r="R1164" s="40"/>
      <c r="S1164" s="40"/>
      <c r="T1164" s="40"/>
      <c r="U1164" s="41"/>
      <c r="V1164" s="41"/>
      <c r="W1164" s="41"/>
      <c r="X1164" s="36"/>
      <c r="Y1164" s="36"/>
      <c r="Z1164" s="36"/>
      <c r="AA1164" s="36"/>
      <c r="AB1164" s="36"/>
      <c r="AC1164" s="36"/>
    </row>
    <row r="1165" spans="17:29" x14ac:dyDescent="0.2">
      <c r="Q1165" s="36"/>
      <c r="R1165" s="40"/>
      <c r="S1165" s="40"/>
      <c r="T1165" s="40"/>
      <c r="U1165" s="41"/>
      <c r="V1165" s="41"/>
      <c r="W1165" s="41"/>
      <c r="X1165" s="36"/>
      <c r="Y1165" s="36"/>
      <c r="Z1165" s="36"/>
      <c r="AA1165" s="36"/>
      <c r="AB1165" s="36"/>
      <c r="AC1165" s="36"/>
    </row>
    <row r="1166" spans="17:29" x14ac:dyDescent="0.2">
      <c r="Q1166" s="36"/>
      <c r="R1166" s="40"/>
      <c r="S1166" s="40"/>
      <c r="T1166" s="40"/>
      <c r="U1166" s="41"/>
      <c r="V1166" s="41"/>
      <c r="W1166" s="41"/>
      <c r="X1166" s="36"/>
      <c r="Y1166" s="36"/>
      <c r="Z1166" s="36"/>
      <c r="AA1166" s="36"/>
      <c r="AB1166" s="36"/>
      <c r="AC1166" s="36"/>
    </row>
    <row r="1167" spans="17:29" x14ac:dyDescent="0.2">
      <c r="Q1167" s="36"/>
      <c r="R1167" s="40"/>
      <c r="S1167" s="40"/>
      <c r="T1167" s="40"/>
      <c r="U1167" s="41"/>
      <c r="V1167" s="41"/>
      <c r="W1167" s="41"/>
      <c r="X1167" s="36"/>
      <c r="Y1167" s="36"/>
      <c r="Z1167" s="36"/>
      <c r="AA1167" s="36"/>
      <c r="AB1167" s="36"/>
      <c r="AC1167" s="36"/>
    </row>
    <row r="1168" spans="17:29" x14ac:dyDescent="0.2">
      <c r="Q1168" s="36"/>
      <c r="R1168" s="40"/>
      <c r="S1168" s="40"/>
      <c r="T1168" s="40"/>
      <c r="U1168" s="41"/>
      <c r="V1168" s="41"/>
      <c r="W1168" s="41"/>
      <c r="X1168" s="36"/>
      <c r="Y1168" s="36"/>
      <c r="Z1168" s="36"/>
      <c r="AA1168" s="36"/>
      <c r="AB1168" s="36"/>
      <c r="AC1168" s="36"/>
    </row>
    <row r="1169" spans="17:29" x14ac:dyDescent="0.2">
      <c r="Q1169" s="36"/>
      <c r="R1169" s="40"/>
      <c r="S1169" s="40"/>
      <c r="T1169" s="40"/>
      <c r="U1169" s="41"/>
      <c r="V1169" s="41"/>
      <c r="W1169" s="41"/>
      <c r="X1169" s="36"/>
      <c r="Y1169" s="36"/>
      <c r="Z1169" s="36"/>
      <c r="AA1169" s="36"/>
      <c r="AB1169" s="36"/>
      <c r="AC1169" s="36"/>
    </row>
    <row r="1170" spans="17:29" x14ac:dyDescent="0.2">
      <c r="Q1170" s="36"/>
      <c r="R1170" s="40"/>
      <c r="S1170" s="40"/>
      <c r="T1170" s="40"/>
      <c r="U1170" s="41"/>
      <c r="V1170" s="41"/>
      <c r="W1170" s="41"/>
      <c r="X1170" s="36"/>
      <c r="Y1170" s="36"/>
      <c r="Z1170" s="36"/>
      <c r="AA1170" s="36"/>
      <c r="AB1170" s="36"/>
      <c r="AC1170" s="36"/>
    </row>
    <row r="1171" spans="17:29" x14ac:dyDescent="0.2">
      <c r="Q1171" s="36"/>
      <c r="R1171" s="40"/>
      <c r="S1171" s="40"/>
      <c r="T1171" s="40"/>
      <c r="U1171" s="41"/>
      <c r="V1171" s="41"/>
      <c r="W1171" s="41"/>
      <c r="X1171" s="36"/>
      <c r="Y1171" s="36"/>
      <c r="Z1171" s="36"/>
      <c r="AA1171" s="36"/>
      <c r="AB1171" s="36"/>
      <c r="AC1171" s="36"/>
    </row>
    <row r="1172" spans="17:29" x14ac:dyDescent="0.2">
      <c r="Q1172" s="36"/>
      <c r="R1172" s="40"/>
      <c r="S1172" s="40"/>
      <c r="T1172" s="40"/>
      <c r="U1172" s="41"/>
      <c r="V1172" s="41"/>
      <c r="W1172" s="41"/>
      <c r="X1172" s="36"/>
      <c r="Y1172" s="36"/>
      <c r="Z1172" s="36"/>
      <c r="AA1172" s="36"/>
      <c r="AB1172" s="36"/>
      <c r="AC1172" s="36"/>
    </row>
    <row r="1173" spans="17:29" x14ac:dyDescent="0.2">
      <c r="Q1173" s="36"/>
      <c r="R1173" s="40"/>
      <c r="S1173" s="40"/>
      <c r="T1173" s="40"/>
      <c r="U1173" s="41"/>
      <c r="V1173" s="41"/>
      <c r="W1173" s="41"/>
      <c r="X1173" s="36"/>
      <c r="Y1173" s="36"/>
      <c r="Z1173" s="36"/>
      <c r="AA1173" s="36"/>
      <c r="AB1173" s="36"/>
      <c r="AC1173" s="36"/>
    </row>
    <row r="1174" spans="17:29" x14ac:dyDescent="0.2">
      <c r="Q1174" s="36"/>
      <c r="R1174" s="40"/>
      <c r="S1174" s="40"/>
      <c r="T1174" s="40"/>
      <c r="U1174" s="41"/>
      <c r="V1174" s="41"/>
      <c r="W1174" s="41"/>
      <c r="X1174" s="36"/>
      <c r="Y1174" s="36"/>
      <c r="Z1174" s="36"/>
      <c r="AA1174" s="36"/>
      <c r="AB1174" s="36"/>
      <c r="AC1174" s="36"/>
    </row>
    <row r="1175" spans="17:29" x14ac:dyDescent="0.2">
      <c r="Q1175" s="36"/>
      <c r="R1175" s="40"/>
      <c r="S1175" s="40"/>
      <c r="T1175" s="40"/>
      <c r="U1175" s="41"/>
      <c r="V1175" s="41"/>
      <c r="W1175" s="41"/>
      <c r="X1175" s="36"/>
      <c r="Y1175" s="36"/>
      <c r="Z1175" s="36"/>
      <c r="AA1175" s="36"/>
      <c r="AB1175" s="36"/>
      <c r="AC1175" s="36"/>
    </row>
    <row r="1176" spans="17:29" x14ac:dyDescent="0.2">
      <c r="Q1176" s="36"/>
      <c r="R1176" s="40"/>
      <c r="S1176" s="40"/>
      <c r="T1176" s="40"/>
      <c r="U1176" s="41"/>
      <c r="V1176" s="41"/>
      <c r="W1176" s="41"/>
      <c r="X1176" s="36"/>
      <c r="Y1176" s="36"/>
      <c r="Z1176" s="36"/>
      <c r="AA1176" s="36"/>
      <c r="AB1176" s="36"/>
      <c r="AC1176" s="36"/>
    </row>
    <row r="1177" spans="17:29" x14ac:dyDescent="0.2">
      <c r="Q1177" s="36"/>
      <c r="R1177" s="40"/>
      <c r="S1177" s="40"/>
      <c r="T1177" s="40"/>
      <c r="U1177" s="41"/>
      <c r="V1177" s="41"/>
      <c r="W1177" s="41"/>
      <c r="X1177" s="36"/>
      <c r="Y1177" s="36"/>
      <c r="Z1177" s="36"/>
      <c r="AA1177" s="36"/>
      <c r="AB1177" s="36"/>
      <c r="AC1177" s="36"/>
    </row>
    <row r="1178" spans="17:29" x14ac:dyDescent="0.2">
      <c r="Q1178" s="36"/>
      <c r="R1178" s="40"/>
      <c r="S1178" s="40"/>
      <c r="T1178" s="40"/>
      <c r="U1178" s="41"/>
      <c r="V1178" s="41"/>
      <c r="W1178" s="41"/>
      <c r="X1178" s="36"/>
      <c r="Y1178" s="36"/>
      <c r="Z1178" s="36"/>
      <c r="AA1178" s="36"/>
      <c r="AB1178" s="36"/>
      <c r="AC1178" s="36"/>
    </row>
    <row r="1179" spans="17:29" x14ac:dyDescent="0.2">
      <c r="Q1179" s="36"/>
      <c r="R1179" s="40"/>
      <c r="S1179" s="40"/>
      <c r="T1179" s="40"/>
      <c r="U1179" s="41"/>
      <c r="V1179" s="41"/>
      <c r="W1179" s="41"/>
      <c r="X1179" s="36"/>
      <c r="Y1179" s="36"/>
      <c r="Z1179" s="36"/>
      <c r="AA1179" s="36"/>
      <c r="AB1179" s="36"/>
      <c r="AC1179" s="36"/>
    </row>
    <row r="1180" spans="17:29" x14ac:dyDescent="0.2">
      <c r="Q1180" s="36"/>
      <c r="R1180" s="40"/>
      <c r="S1180" s="40"/>
      <c r="T1180" s="40"/>
      <c r="U1180" s="41"/>
      <c r="V1180" s="41"/>
      <c r="W1180" s="41"/>
      <c r="X1180" s="36"/>
      <c r="Y1180" s="36"/>
      <c r="Z1180" s="36"/>
      <c r="AA1180" s="36"/>
      <c r="AB1180" s="36"/>
      <c r="AC1180" s="36"/>
    </row>
    <row r="1181" spans="17:29" x14ac:dyDescent="0.2">
      <c r="Q1181" s="36"/>
      <c r="R1181" s="40"/>
      <c r="S1181" s="40"/>
      <c r="T1181" s="40"/>
      <c r="U1181" s="41"/>
      <c r="V1181" s="41"/>
      <c r="W1181" s="41"/>
      <c r="X1181" s="36"/>
      <c r="Y1181" s="36"/>
      <c r="Z1181" s="36"/>
      <c r="AA1181" s="36"/>
      <c r="AB1181" s="36"/>
      <c r="AC1181" s="36"/>
    </row>
    <row r="1182" spans="17:29" x14ac:dyDescent="0.2">
      <c r="Q1182" s="36"/>
      <c r="R1182" s="40"/>
      <c r="S1182" s="40"/>
      <c r="T1182" s="40"/>
      <c r="U1182" s="41"/>
      <c r="V1182" s="41"/>
      <c r="W1182" s="41"/>
      <c r="X1182" s="36"/>
      <c r="Y1182" s="36"/>
      <c r="Z1182" s="36"/>
      <c r="AA1182" s="36"/>
      <c r="AB1182" s="36"/>
      <c r="AC1182" s="36"/>
    </row>
    <row r="1183" spans="17:29" x14ac:dyDescent="0.2">
      <c r="Q1183" s="36"/>
      <c r="R1183" s="40"/>
      <c r="S1183" s="40"/>
      <c r="T1183" s="40"/>
      <c r="U1183" s="41"/>
      <c r="V1183" s="41"/>
      <c r="W1183" s="41"/>
      <c r="X1183" s="36"/>
      <c r="Y1183" s="36"/>
      <c r="Z1183" s="36"/>
      <c r="AA1183" s="36"/>
      <c r="AB1183" s="36"/>
      <c r="AC1183" s="36"/>
    </row>
    <row r="1184" spans="17:29" x14ac:dyDescent="0.2">
      <c r="Q1184" s="36"/>
      <c r="R1184" s="40"/>
      <c r="S1184" s="40"/>
      <c r="T1184" s="40"/>
      <c r="U1184" s="41"/>
      <c r="V1184" s="41"/>
      <c r="W1184" s="41"/>
      <c r="X1184" s="36"/>
      <c r="Y1184" s="36"/>
      <c r="Z1184" s="36"/>
      <c r="AA1184" s="36"/>
      <c r="AB1184" s="36"/>
      <c r="AC1184" s="36"/>
    </row>
    <row r="1185" spans="17:29" x14ac:dyDescent="0.2">
      <c r="Q1185" s="36"/>
      <c r="R1185" s="40"/>
      <c r="S1185" s="40"/>
      <c r="T1185" s="40"/>
      <c r="U1185" s="41"/>
      <c r="V1185" s="41"/>
      <c r="W1185" s="41"/>
      <c r="X1185" s="36"/>
      <c r="Y1185" s="36"/>
      <c r="Z1185" s="36"/>
      <c r="AA1185" s="36"/>
      <c r="AB1185" s="36"/>
      <c r="AC1185" s="36"/>
    </row>
    <row r="1186" spans="17:29" x14ac:dyDescent="0.2">
      <c r="Q1186" s="36"/>
      <c r="R1186" s="40"/>
      <c r="S1186" s="40"/>
      <c r="T1186" s="40"/>
      <c r="U1186" s="41"/>
      <c r="V1186" s="41"/>
      <c r="W1186" s="41"/>
      <c r="X1186" s="36"/>
      <c r="Y1186" s="36"/>
      <c r="Z1186" s="36"/>
      <c r="AA1186" s="36"/>
      <c r="AB1186" s="36"/>
      <c r="AC1186" s="36"/>
    </row>
    <row r="1187" spans="17:29" x14ac:dyDescent="0.2">
      <c r="Q1187" s="36"/>
      <c r="R1187" s="40"/>
      <c r="S1187" s="40"/>
      <c r="T1187" s="40"/>
      <c r="U1187" s="41"/>
      <c r="V1187" s="41"/>
      <c r="W1187" s="41"/>
      <c r="X1187" s="36"/>
      <c r="Y1187" s="36"/>
      <c r="Z1187" s="36"/>
      <c r="AA1187" s="36"/>
      <c r="AB1187" s="36"/>
      <c r="AC1187" s="36"/>
    </row>
    <row r="1188" spans="17:29" x14ac:dyDescent="0.2">
      <c r="Q1188" s="36"/>
      <c r="R1188" s="40"/>
      <c r="S1188" s="40"/>
      <c r="T1188" s="40"/>
      <c r="U1188" s="41"/>
      <c r="V1188" s="41"/>
      <c r="W1188" s="41"/>
      <c r="X1188" s="36"/>
      <c r="Y1188" s="36"/>
      <c r="Z1188" s="36"/>
      <c r="AA1188" s="36"/>
      <c r="AB1188" s="36"/>
      <c r="AC1188" s="36"/>
    </row>
    <row r="1189" spans="17:29" x14ac:dyDescent="0.2">
      <c r="Q1189" s="36"/>
      <c r="R1189" s="40"/>
      <c r="S1189" s="40"/>
      <c r="T1189" s="40"/>
      <c r="U1189" s="41"/>
      <c r="V1189" s="41"/>
      <c r="W1189" s="41"/>
      <c r="X1189" s="36"/>
      <c r="Y1189" s="36"/>
      <c r="Z1189" s="36"/>
      <c r="AA1189" s="36"/>
      <c r="AB1189" s="36"/>
      <c r="AC1189" s="36"/>
    </row>
    <row r="1190" spans="17:29" x14ac:dyDescent="0.2">
      <c r="Q1190" s="36"/>
      <c r="R1190" s="40"/>
      <c r="S1190" s="40"/>
      <c r="T1190" s="40"/>
      <c r="U1190" s="41"/>
      <c r="V1190" s="41"/>
      <c r="W1190" s="41"/>
      <c r="X1190" s="36"/>
      <c r="Y1190" s="36"/>
      <c r="Z1190" s="36"/>
      <c r="AA1190" s="36"/>
      <c r="AB1190" s="36"/>
      <c r="AC1190" s="36"/>
    </row>
    <row r="1191" spans="17:29" x14ac:dyDescent="0.2">
      <c r="Q1191" s="36"/>
      <c r="R1191" s="40"/>
      <c r="S1191" s="40"/>
      <c r="T1191" s="40"/>
      <c r="U1191" s="41"/>
      <c r="V1191" s="41"/>
      <c r="W1191" s="41"/>
      <c r="X1191" s="36"/>
      <c r="Y1191" s="36"/>
      <c r="Z1191" s="36"/>
      <c r="AA1191" s="36"/>
      <c r="AB1191" s="36"/>
      <c r="AC1191" s="36"/>
    </row>
    <row r="1192" spans="17:29" x14ac:dyDescent="0.2">
      <c r="Q1192" s="36"/>
      <c r="R1192" s="40"/>
      <c r="S1192" s="40"/>
      <c r="T1192" s="40"/>
      <c r="U1192" s="41"/>
      <c r="V1192" s="41"/>
      <c r="W1192" s="41"/>
      <c r="X1192" s="36"/>
      <c r="Y1192" s="36"/>
      <c r="Z1192" s="36"/>
      <c r="AA1192" s="36"/>
      <c r="AB1192" s="36"/>
      <c r="AC1192" s="36"/>
    </row>
    <row r="1193" spans="17:29" x14ac:dyDescent="0.2">
      <c r="Q1193" s="36"/>
      <c r="R1193" s="40"/>
      <c r="S1193" s="40"/>
      <c r="T1193" s="40"/>
      <c r="U1193" s="41"/>
      <c r="V1193" s="41"/>
      <c r="W1193" s="41"/>
      <c r="X1193" s="36"/>
      <c r="Y1193" s="36"/>
      <c r="Z1193" s="36"/>
      <c r="AA1193" s="36"/>
      <c r="AB1193" s="36"/>
      <c r="AC1193" s="36"/>
    </row>
    <row r="1194" spans="17:29" x14ac:dyDescent="0.2">
      <c r="Q1194" s="36"/>
      <c r="R1194" s="40"/>
      <c r="S1194" s="40"/>
      <c r="T1194" s="40"/>
      <c r="U1194" s="41"/>
      <c r="V1194" s="41"/>
      <c r="W1194" s="41"/>
      <c r="X1194" s="36"/>
      <c r="Y1194" s="36"/>
      <c r="Z1194" s="36"/>
      <c r="AA1194" s="36"/>
      <c r="AB1194" s="36"/>
      <c r="AC1194" s="36"/>
    </row>
    <row r="1195" spans="17:29" x14ac:dyDescent="0.2">
      <c r="Q1195" s="36"/>
      <c r="R1195" s="40"/>
      <c r="S1195" s="40"/>
      <c r="T1195" s="40"/>
      <c r="U1195" s="41"/>
      <c r="V1195" s="41"/>
      <c r="W1195" s="41"/>
      <c r="X1195" s="36"/>
      <c r="Y1195" s="36"/>
      <c r="Z1195" s="36"/>
      <c r="AA1195" s="36"/>
      <c r="AB1195" s="36"/>
      <c r="AC1195" s="36"/>
    </row>
    <row r="1196" spans="17:29" x14ac:dyDescent="0.2">
      <c r="Q1196" s="36"/>
      <c r="R1196" s="40"/>
      <c r="S1196" s="40"/>
      <c r="T1196" s="40"/>
      <c r="U1196" s="41"/>
      <c r="V1196" s="41"/>
      <c r="W1196" s="41"/>
      <c r="X1196" s="36"/>
      <c r="Y1196" s="36"/>
      <c r="Z1196" s="36"/>
      <c r="AA1196" s="36"/>
      <c r="AB1196" s="36"/>
      <c r="AC1196" s="36"/>
    </row>
    <row r="1197" spans="17:29" x14ac:dyDescent="0.2">
      <c r="Q1197" s="36"/>
      <c r="R1197" s="40"/>
      <c r="S1197" s="40"/>
      <c r="T1197" s="40"/>
      <c r="U1197" s="41"/>
      <c r="V1197" s="41"/>
      <c r="W1197" s="41"/>
      <c r="X1197" s="36"/>
      <c r="Y1197" s="36"/>
      <c r="Z1197" s="36"/>
      <c r="AA1197" s="36"/>
      <c r="AB1197" s="36"/>
      <c r="AC1197" s="36"/>
    </row>
    <row r="1198" spans="17:29" x14ac:dyDescent="0.2">
      <c r="Q1198" s="36"/>
      <c r="R1198" s="40"/>
      <c r="S1198" s="40"/>
      <c r="T1198" s="40"/>
      <c r="U1198" s="41"/>
      <c r="V1198" s="41"/>
      <c r="W1198" s="41"/>
      <c r="X1198" s="36"/>
      <c r="Y1198" s="36"/>
      <c r="Z1198" s="36"/>
      <c r="AA1198" s="36"/>
      <c r="AB1198" s="36"/>
      <c r="AC1198" s="36"/>
    </row>
    <row r="1199" spans="17:29" x14ac:dyDescent="0.2">
      <c r="Q1199" s="36"/>
      <c r="R1199" s="40"/>
      <c r="S1199" s="40"/>
      <c r="T1199" s="40"/>
      <c r="U1199" s="41"/>
      <c r="V1199" s="41"/>
      <c r="W1199" s="41"/>
      <c r="X1199" s="36"/>
      <c r="Y1199" s="36"/>
      <c r="Z1199" s="36"/>
      <c r="AA1199" s="36"/>
      <c r="AB1199" s="36"/>
      <c r="AC1199" s="36"/>
    </row>
    <row r="1200" spans="17:29" x14ac:dyDescent="0.2">
      <c r="Q1200" s="36"/>
      <c r="R1200" s="40"/>
      <c r="S1200" s="40"/>
      <c r="T1200" s="40"/>
      <c r="U1200" s="41"/>
      <c r="V1200" s="41"/>
      <c r="W1200" s="41"/>
      <c r="X1200" s="36"/>
      <c r="Y1200" s="36"/>
      <c r="Z1200" s="36"/>
      <c r="AA1200" s="36"/>
      <c r="AB1200" s="36"/>
      <c r="AC1200" s="36"/>
    </row>
    <row r="1201" spans="17:29" x14ac:dyDescent="0.2">
      <c r="Q1201" s="36"/>
      <c r="R1201" s="40"/>
      <c r="S1201" s="40"/>
      <c r="T1201" s="40"/>
      <c r="U1201" s="41"/>
      <c r="V1201" s="41"/>
      <c r="W1201" s="41"/>
      <c r="X1201" s="36"/>
      <c r="Y1201" s="36"/>
      <c r="Z1201" s="36"/>
      <c r="AA1201" s="36"/>
      <c r="AB1201" s="36"/>
      <c r="AC1201" s="36"/>
    </row>
    <row r="1202" spans="17:29" x14ac:dyDescent="0.2">
      <c r="Q1202" s="36"/>
      <c r="R1202" s="40"/>
      <c r="S1202" s="40"/>
      <c r="T1202" s="40"/>
      <c r="U1202" s="41"/>
      <c r="V1202" s="41"/>
      <c r="W1202" s="41"/>
      <c r="X1202" s="36"/>
      <c r="Y1202" s="36"/>
      <c r="Z1202" s="36"/>
      <c r="AA1202" s="36"/>
      <c r="AB1202" s="36"/>
      <c r="AC1202" s="36"/>
    </row>
    <row r="1203" spans="17:29" x14ac:dyDescent="0.2">
      <c r="Q1203" s="36"/>
      <c r="R1203" s="40"/>
      <c r="S1203" s="40"/>
      <c r="T1203" s="40"/>
      <c r="U1203" s="41"/>
      <c r="V1203" s="41"/>
      <c r="W1203" s="41"/>
      <c r="X1203" s="36"/>
      <c r="Y1203" s="36"/>
      <c r="Z1203" s="36"/>
      <c r="AA1203" s="36"/>
      <c r="AB1203" s="36"/>
      <c r="AC1203" s="36"/>
    </row>
    <row r="1204" spans="17:29" x14ac:dyDescent="0.2">
      <c r="Q1204" s="36"/>
      <c r="R1204" s="40"/>
      <c r="S1204" s="40"/>
      <c r="T1204" s="40"/>
      <c r="U1204" s="41"/>
      <c r="V1204" s="41"/>
      <c r="W1204" s="41"/>
      <c r="X1204" s="36"/>
      <c r="Y1204" s="36"/>
      <c r="Z1204" s="36"/>
      <c r="AA1204" s="36"/>
      <c r="AB1204" s="36"/>
      <c r="AC1204" s="36"/>
    </row>
    <row r="1205" spans="17:29" x14ac:dyDescent="0.2">
      <c r="Q1205" s="36"/>
      <c r="R1205" s="40"/>
      <c r="S1205" s="40"/>
      <c r="T1205" s="40"/>
      <c r="U1205" s="41"/>
      <c r="V1205" s="41"/>
      <c r="W1205" s="41"/>
      <c r="X1205" s="36"/>
      <c r="Y1205" s="36"/>
      <c r="Z1205" s="36"/>
      <c r="AA1205" s="36"/>
      <c r="AB1205" s="36"/>
      <c r="AC1205" s="36"/>
    </row>
    <row r="1206" spans="17:29" x14ac:dyDescent="0.2">
      <c r="Q1206" s="36"/>
      <c r="R1206" s="40"/>
      <c r="S1206" s="40"/>
      <c r="T1206" s="40"/>
      <c r="U1206" s="41"/>
      <c r="V1206" s="41"/>
      <c r="W1206" s="41"/>
      <c r="X1206" s="36"/>
      <c r="Y1206" s="36"/>
      <c r="Z1206" s="36"/>
      <c r="AA1206" s="36"/>
      <c r="AB1206" s="36"/>
      <c r="AC1206" s="36"/>
    </row>
    <row r="1207" spans="17:29" x14ac:dyDescent="0.2">
      <c r="Q1207" s="36"/>
      <c r="R1207" s="40"/>
      <c r="S1207" s="40"/>
      <c r="T1207" s="40"/>
      <c r="U1207" s="41"/>
      <c r="V1207" s="41"/>
      <c r="W1207" s="41"/>
      <c r="X1207" s="36"/>
      <c r="Y1207" s="36"/>
      <c r="Z1207" s="36"/>
      <c r="AA1207" s="36"/>
      <c r="AB1207" s="36"/>
      <c r="AC1207" s="36"/>
    </row>
    <row r="1208" spans="17:29" x14ac:dyDescent="0.2">
      <c r="Q1208" s="36"/>
      <c r="R1208" s="40"/>
      <c r="S1208" s="40"/>
      <c r="T1208" s="40"/>
      <c r="U1208" s="41"/>
      <c r="V1208" s="41"/>
      <c r="W1208" s="41"/>
      <c r="X1208" s="36"/>
      <c r="Y1208" s="36"/>
      <c r="Z1208" s="36"/>
      <c r="AA1208" s="36"/>
      <c r="AB1208" s="36"/>
      <c r="AC1208" s="36"/>
    </row>
    <row r="1209" spans="17:29" x14ac:dyDescent="0.2">
      <c r="Q1209" s="36"/>
      <c r="R1209" s="40"/>
      <c r="S1209" s="40"/>
      <c r="T1209" s="40"/>
      <c r="U1209" s="41"/>
      <c r="V1209" s="41"/>
      <c r="W1209" s="41"/>
      <c r="X1209" s="36"/>
      <c r="Y1209" s="36"/>
      <c r="Z1209" s="36"/>
      <c r="AA1209" s="36"/>
      <c r="AB1209" s="36"/>
      <c r="AC1209" s="36"/>
    </row>
    <row r="1210" spans="17:29" x14ac:dyDescent="0.2">
      <c r="Q1210" s="36"/>
      <c r="R1210" s="40"/>
      <c r="S1210" s="40"/>
      <c r="T1210" s="40"/>
      <c r="U1210" s="41"/>
      <c r="V1210" s="41"/>
      <c r="W1210" s="41"/>
      <c r="X1210" s="36"/>
      <c r="Y1210" s="36"/>
      <c r="Z1210" s="36"/>
      <c r="AA1210" s="36"/>
      <c r="AB1210" s="36"/>
      <c r="AC1210" s="36"/>
    </row>
    <row r="1211" spans="17:29" x14ac:dyDescent="0.2">
      <c r="Q1211" s="36"/>
      <c r="R1211" s="40"/>
      <c r="S1211" s="40"/>
      <c r="T1211" s="40"/>
      <c r="U1211" s="41"/>
      <c r="V1211" s="41"/>
      <c r="W1211" s="41"/>
      <c r="X1211" s="36"/>
      <c r="Y1211" s="36"/>
      <c r="Z1211" s="36"/>
      <c r="AA1211" s="36"/>
      <c r="AB1211" s="36"/>
      <c r="AC1211" s="36"/>
    </row>
    <row r="1212" spans="17:29" x14ac:dyDescent="0.2">
      <c r="Q1212" s="36"/>
      <c r="R1212" s="40"/>
      <c r="S1212" s="40"/>
      <c r="T1212" s="40"/>
      <c r="U1212" s="41"/>
      <c r="V1212" s="41"/>
      <c r="W1212" s="41"/>
      <c r="X1212" s="36"/>
      <c r="Y1212" s="36"/>
      <c r="Z1212" s="36"/>
      <c r="AA1212" s="36"/>
      <c r="AB1212" s="36"/>
      <c r="AC1212" s="36"/>
    </row>
    <row r="1213" spans="17:29" x14ac:dyDescent="0.2">
      <c r="Q1213" s="36"/>
      <c r="R1213" s="40"/>
      <c r="S1213" s="40"/>
      <c r="T1213" s="40"/>
      <c r="U1213" s="41"/>
      <c r="V1213" s="41"/>
      <c r="W1213" s="41"/>
      <c r="X1213" s="36"/>
      <c r="Y1213" s="36"/>
      <c r="Z1213" s="36"/>
      <c r="AA1213" s="36"/>
      <c r="AB1213" s="36"/>
      <c r="AC1213" s="36"/>
    </row>
    <row r="1214" spans="17:29" x14ac:dyDescent="0.2">
      <c r="Q1214" s="36"/>
      <c r="R1214" s="40"/>
      <c r="S1214" s="40"/>
      <c r="T1214" s="40"/>
      <c r="U1214" s="41"/>
      <c r="V1214" s="41"/>
      <c r="W1214" s="41"/>
      <c r="X1214" s="36"/>
      <c r="Y1214" s="36"/>
      <c r="Z1214" s="36"/>
      <c r="AA1214" s="36"/>
      <c r="AB1214" s="36"/>
      <c r="AC1214" s="36"/>
    </row>
    <row r="1215" spans="17:29" x14ac:dyDescent="0.2">
      <c r="Q1215" s="36"/>
      <c r="R1215" s="40"/>
      <c r="S1215" s="40"/>
      <c r="T1215" s="40"/>
      <c r="U1215" s="41"/>
      <c r="V1215" s="41"/>
      <c r="W1215" s="41"/>
      <c r="X1215" s="36"/>
      <c r="Y1215" s="36"/>
      <c r="Z1215" s="36"/>
      <c r="AA1215" s="36"/>
      <c r="AB1215" s="36"/>
      <c r="AC1215" s="36"/>
    </row>
    <row r="1216" spans="17:29" x14ac:dyDescent="0.2">
      <c r="Q1216" s="36"/>
      <c r="R1216" s="40"/>
      <c r="S1216" s="40"/>
      <c r="T1216" s="40"/>
      <c r="U1216" s="41"/>
      <c r="V1216" s="41"/>
      <c r="W1216" s="41"/>
      <c r="X1216" s="36"/>
      <c r="Y1216" s="36"/>
      <c r="Z1216" s="36"/>
      <c r="AA1216" s="36"/>
      <c r="AB1216" s="36"/>
      <c r="AC1216" s="36"/>
    </row>
    <row r="1217" spans="17:29" x14ac:dyDescent="0.2">
      <c r="Q1217" s="36"/>
      <c r="R1217" s="40"/>
      <c r="S1217" s="40"/>
      <c r="T1217" s="40"/>
      <c r="U1217" s="41"/>
      <c r="V1217" s="41"/>
      <c r="W1217" s="41"/>
      <c r="X1217" s="36"/>
      <c r="Y1217" s="36"/>
      <c r="Z1217" s="36"/>
      <c r="AA1217" s="36"/>
      <c r="AB1217" s="36"/>
      <c r="AC1217" s="36"/>
    </row>
    <row r="1218" spans="17:29" x14ac:dyDescent="0.2">
      <c r="Q1218" s="36"/>
      <c r="R1218" s="40"/>
      <c r="S1218" s="40"/>
      <c r="T1218" s="40"/>
      <c r="U1218" s="41"/>
      <c r="V1218" s="41"/>
      <c r="W1218" s="41"/>
      <c r="X1218" s="36"/>
      <c r="Y1218" s="36"/>
      <c r="Z1218" s="36"/>
      <c r="AA1218" s="36"/>
      <c r="AB1218" s="36"/>
      <c r="AC1218" s="36"/>
    </row>
    <row r="1219" spans="17:29" x14ac:dyDescent="0.2">
      <c r="Q1219" s="36"/>
      <c r="R1219" s="40"/>
      <c r="S1219" s="40"/>
      <c r="T1219" s="40"/>
      <c r="U1219" s="41"/>
      <c r="V1219" s="41"/>
      <c r="W1219" s="41"/>
      <c r="X1219" s="36"/>
      <c r="Y1219" s="36"/>
      <c r="Z1219" s="36"/>
      <c r="AA1219" s="36"/>
      <c r="AB1219" s="36"/>
      <c r="AC1219" s="36"/>
    </row>
    <row r="1220" spans="17:29" x14ac:dyDescent="0.2">
      <c r="Q1220" s="36"/>
      <c r="R1220" s="40"/>
      <c r="S1220" s="40"/>
      <c r="T1220" s="40"/>
      <c r="U1220" s="41"/>
      <c r="V1220" s="41"/>
      <c r="W1220" s="41"/>
      <c r="X1220" s="36"/>
      <c r="Y1220" s="36"/>
      <c r="Z1220" s="36"/>
      <c r="AA1220" s="36"/>
      <c r="AB1220" s="36"/>
      <c r="AC1220" s="36"/>
    </row>
    <row r="1221" spans="17:29" x14ac:dyDescent="0.2">
      <c r="Q1221" s="36"/>
      <c r="R1221" s="40"/>
      <c r="S1221" s="40"/>
      <c r="T1221" s="40"/>
      <c r="U1221" s="41"/>
      <c r="V1221" s="41"/>
      <c r="W1221" s="41"/>
      <c r="X1221" s="36"/>
      <c r="Y1221" s="36"/>
      <c r="Z1221" s="36"/>
      <c r="AA1221" s="36"/>
      <c r="AB1221" s="36"/>
      <c r="AC1221" s="36"/>
    </row>
    <row r="1222" spans="17:29" x14ac:dyDescent="0.2">
      <c r="Q1222" s="36"/>
      <c r="R1222" s="40"/>
      <c r="S1222" s="40"/>
      <c r="T1222" s="40"/>
      <c r="U1222" s="41"/>
      <c r="V1222" s="41"/>
      <c r="W1222" s="41"/>
      <c r="X1222" s="36"/>
      <c r="Y1222" s="36"/>
      <c r="Z1222" s="36"/>
      <c r="AA1222" s="36"/>
      <c r="AB1222" s="36"/>
      <c r="AC1222" s="36"/>
    </row>
    <row r="1223" spans="17:29" x14ac:dyDescent="0.2">
      <c r="Q1223" s="36"/>
      <c r="R1223" s="40"/>
      <c r="S1223" s="40"/>
      <c r="T1223" s="40"/>
      <c r="U1223" s="41"/>
      <c r="V1223" s="41"/>
      <c r="W1223" s="41"/>
      <c r="X1223" s="36"/>
      <c r="Y1223" s="36"/>
      <c r="Z1223" s="36"/>
      <c r="AA1223" s="36"/>
      <c r="AB1223" s="36"/>
      <c r="AC1223" s="36"/>
    </row>
    <row r="1224" spans="17:29" x14ac:dyDescent="0.2">
      <c r="Q1224" s="36"/>
      <c r="R1224" s="40"/>
      <c r="S1224" s="40"/>
      <c r="T1224" s="40"/>
      <c r="U1224" s="41"/>
      <c r="V1224" s="41"/>
      <c r="W1224" s="41"/>
      <c r="X1224" s="36"/>
      <c r="Y1224" s="36"/>
      <c r="Z1224" s="36"/>
      <c r="AA1224" s="36"/>
      <c r="AB1224" s="36"/>
      <c r="AC1224" s="36"/>
    </row>
    <row r="1225" spans="17:29" x14ac:dyDescent="0.2">
      <c r="Q1225" s="36"/>
      <c r="R1225" s="40"/>
      <c r="S1225" s="40"/>
      <c r="T1225" s="40"/>
      <c r="U1225" s="41"/>
      <c r="V1225" s="41"/>
      <c r="W1225" s="41"/>
      <c r="X1225" s="36"/>
      <c r="Y1225" s="36"/>
      <c r="Z1225" s="36"/>
      <c r="AA1225" s="36"/>
      <c r="AB1225" s="36"/>
      <c r="AC1225" s="36"/>
    </row>
    <row r="1226" spans="17:29" x14ac:dyDescent="0.2">
      <c r="Q1226" s="36"/>
      <c r="R1226" s="40"/>
      <c r="S1226" s="40"/>
      <c r="T1226" s="40"/>
      <c r="U1226" s="41"/>
      <c r="V1226" s="41"/>
      <c r="W1226" s="41"/>
      <c r="X1226" s="36"/>
      <c r="Y1226" s="36"/>
      <c r="Z1226" s="36"/>
      <c r="AA1226" s="36"/>
      <c r="AB1226" s="36"/>
      <c r="AC1226" s="36"/>
    </row>
    <row r="1227" spans="17:29" x14ac:dyDescent="0.2">
      <c r="Q1227" s="36"/>
      <c r="R1227" s="40"/>
      <c r="S1227" s="40"/>
      <c r="T1227" s="40"/>
      <c r="U1227" s="41"/>
      <c r="V1227" s="41"/>
      <c r="W1227" s="41"/>
      <c r="X1227" s="36"/>
      <c r="Y1227" s="36"/>
      <c r="Z1227" s="36"/>
      <c r="AA1227" s="36"/>
      <c r="AB1227" s="36"/>
      <c r="AC1227" s="36"/>
    </row>
    <row r="1228" spans="17:29" x14ac:dyDescent="0.2">
      <c r="Q1228" s="36"/>
      <c r="R1228" s="40"/>
      <c r="S1228" s="40"/>
      <c r="T1228" s="40"/>
      <c r="U1228" s="41"/>
      <c r="V1228" s="41"/>
      <c r="W1228" s="41"/>
      <c r="X1228" s="36"/>
      <c r="Y1228" s="36"/>
      <c r="Z1228" s="36"/>
      <c r="AA1228" s="36"/>
      <c r="AB1228" s="36"/>
      <c r="AC1228" s="36"/>
    </row>
    <row r="1229" spans="17:29" x14ac:dyDescent="0.2">
      <c r="Q1229" s="36"/>
      <c r="R1229" s="40"/>
      <c r="S1229" s="40"/>
      <c r="T1229" s="40"/>
      <c r="U1229" s="41"/>
      <c r="V1229" s="41"/>
      <c r="W1229" s="41"/>
      <c r="X1229" s="36"/>
      <c r="Y1229" s="36"/>
      <c r="Z1229" s="36"/>
      <c r="AA1229" s="36"/>
      <c r="AB1229" s="36"/>
      <c r="AC1229" s="36"/>
    </row>
    <row r="1230" spans="17:29" x14ac:dyDescent="0.2">
      <c r="Q1230" s="36"/>
      <c r="R1230" s="40"/>
      <c r="S1230" s="40"/>
      <c r="T1230" s="40"/>
      <c r="U1230" s="41"/>
      <c r="V1230" s="41"/>
      <c r="W1230" s="41"/>
      <c r="X1230" s="36"/>
      <c r="Y1230" s="36"/>
      <c r="Z1230" s="36"/>
      <c r="AA1230" s="36"/>
      <c r="AB1230" s="36"/>
      <c r="AC1230" s="36"/>
    </row>
    <row r="1231" spans="17:29" x14ac:dyDescent="0.2">
      <c r="Q1231" s="36"/>
      <c r="R1231" s="40"/>
      <c r="S1231" s="40"/>
      <c r="T1231" s="40"/>
      <c r="U1231" s="41"/>
      <c r="V1231" s="41"/>
      <c r="W1231" s="41"/>
      <c r="X1231" s="36"/>
      <c r="Y1231" s="36"/>
      <c r="Z1231" s="36"/>
      <c r="AA1231" s="36"/>
      <c r="AB1231" s="36"/>
      <c r="AC1231" s="36"/>
    </row>
    <row r="1232" spans="17:29" x14ac:dyDescent="0.2">
      <c r="Q1232" s="36"/>
      <c r="R1232" s="40"/>
      <c r="S1232" s="40"/>
      <c r="T1232" s="40"/>
      <c r="U1232" s="41"/>
      <c r="V1232" s="41"/>
      <c r="W1232" s="41"/>
      <c r="X1232" s="36"/>
      <c r="Y1232" s="36"/>
      <c r="Z1232" s="36"/>
      <c r="AA1232" s="36"/>
      <c r="AB1232" s="36"/>
      <c r="AC1232" s="36"/>
    </row>
    <row r="1233" spans="17:29" x14ac:dyDescent="0.2">
      <c r="Q1233" s="36"/>
      <c r="R1233" s="40"/>
      <c r="S1233" s="40"/>
      <c r="T1233" s="40"/>
      <c r="U1233" s="41"/>
      <c r="V1233" s="41"/>
      <c r="W1233" s="41"/>
      <c r="X1233" s="36"/>
      <c r="Y1233" s="36"/>
      <c r="Z1233" s="36"/>
      <c r="AA1233" s="36"/>
      <c r="AB1233" s="36"/>
      <c r="AC1233" s="36"/>
    </row>
    <row r="1234" spans="17:29" x14ac:dyDescent="0.2">
      <c r="Q1234" s="36"/>
      <c r="R1234" s="40"/>
      <c r="S1234" s="40"/>
      <c r="T1234" s="40"/>
      <c r="U1234" s="41"/>
      <c r="V1234" s="41"/>
      <c r="W1234" s="41"/>
      <c r="X1234" s="36"/>
      <c r="Y1234" s="36"/>
      <c r="Z1234" s="36"/>
      <c r="AA1234" s="36"/>
      <c r="AB1234" s="36"/>
      <c r="AC1234" s="36"/>
    </row>
    <row r="1235" spans="17:29" x14ac:dyDescent="0.2">
      <c r="Q1235" s="36"/>
      <c r="R1235" s="40"/>
      <c r="S1235" s="40"/>
      <c r="T1235" s="40"/>
      <c r="U1235" s="41"/>
      <c r="V1235" s="41"/>
      <c r="W1235" s="41"/>
      <c r="X1235" s="36"/>
      <c r="Y1235" s="36"/>
      <c r="Z1235" s="36"/>
      <c r="AA1235" s="36"/>
      <c r="AB1235" s="36"/>
      <c r="AC1235" s="36"/>
    </row>
    <row r="1236" spans="17:29" x14ac:dyDescent="0.2">
      <c r="Q1236" s="36"/>
      <c r="R1236" s="40"/>
      <c r="S1236" s="40"/>
      <c r="T1236" s="40"/>
      <c r="U1236" s="41"/>
      <c r="V1236" s="41"/>
      <c r="W1236" s="41"/>
      <c r="X1236" s="36"/>
      <c r="Y1236" s="36"/>
      <c r="Z1236" s="36"/>
      <c r="AA1236" s="36"/>
      <c r="AB1236" s="36"/>
      <c r="AC1236" s="36"/>
    </row>
    <row r="1237" spans="17:29" x14ac:dyDescent="0.2">
      <c r="Q1237" s="36"/>
      <c r="R1237" s="40"/>
      <c r="S1237" s="40"/>
      <c r="T1237" s="40"/>
      <c r="U1237" s="41"/>
      <c r="V1237" s="41"/>
      <c r="W1237" s="41"/>
      <c r="X1237" s="36"/>
      <c r="Y1237" s="36"/>
      <c r="Z1237" s="36"/>
      <c r="AA1237" s="36"/>
      <c r="AB1237" s="36"/>
      <c r="AC1237" s="36"/>
    </row>
    <row r="1238" spans="17:29" x14ac:dyDescent="0.2">
      <c r="Q1238" s="36"/>
      <c r="R1238" s="40"/>
      <c r="S1238" s="40"/>
      <c r="T1238" s="40"/>
      <c r="U1238" s="41"/>
      <c r="V1238" s="41"/>
      <c r="W1238" s="41"/>
      <c r="X1238" s="36"/>
      <c r="Y1238" s="36"/>
      <c r="Z1238" s="36"/>
      <c r="AA1238" s="36"/>
      <c r="AB1238" s="36"/>
      <c r="AC1238" s="36"/>
    </row>
    <row r="1239" spans="17:29" x14ac:dyDescent="0.2">
      <c r="Q1239" s="36"/>
      <c r="R1239" s="40"/>
      <c r="S1239" s="40"/>
      <c r="T1239" s="40"/>
      <c r="U1239" s="41"/>
      <c r="V1239" s="41"/>
      <c r="W1239" s="41"/>
      <c r="X1239" s="36"/>
      <c r="Y1239" s="36"/>
      <c r="Z1239" s="36"/>
      <c r="AA1239" s="36"/>
      <c r="AB1239" s="36"/>
      <c r="AC1239" s="36"/>
    </row>
    <row r="1240" spans="17:29" x14ac:dyDescent="0.2">
      <c r="Q1240" s="36"/>
      <c r="R1240" s="40"/>
      <c r="S1240" s="40"/>
      <c r="T1240" s="40"/>
      <c r="U1240" s="41"/>
      <c r="V1240" s="41"/>
      <c r="W1240" s="41"/>
      <c r="X1240" s="36"/>
      <c r="Y1240" s="36"/>
      <c r="Z1240" s="36"/>
      <c r="AA1240" s="36"/>
      <c r="AB1240" s="36"/>
      <c r="AC1240" s="36"/>
    </row>
    <row r="1241" spans="17:29" x14ac:dyDescent="0.2">
      <c r="Q1241" s="36"/>
      <c r="R1241" s="40"/>
      <c r="S1241" s="40"/>
      <c r="T1241" s="40"/>
      <c r="U1241" s="41"/>
      <c r="V1241" s="41"/>
      <c r="W1241" s="41"/>
      <c r="X1241" s="36"/>
      <c r="Y1241" s="36"/>
      <c r="Z1241" s="36"/>
      <c r="AA1241" s="36"/>
      <c r="AB1241" s="36"/>
      <c r="AC1241" s="36"/>
    </row>
    <row r="1242" spans="17:29" x14ac:dyDescent="0.2">
      <c r="Q1242" s="36"/>
      <c r="R1242" s="40"/>
      <c r="S1242" s="40"/>
      <c r="T1242" s="40"/>
      <c r="U1242" s="41"/>
      <c r="V1242" s="41"/>
      <c r="W1242" s="41"/>
      <c r="X1242" s="36"/>
      <c r="Y1242" s="36"/>
      <c r="Z1242" s="36"/>
      <c r="AA1242" s="36"/>
      <c r="AB1242" s="36"/>
      <c r="AC1242" s="36"/>
    </row>
    <row r="1243" spans="17:29" x14ac:dyDescent="0.2">
      <c r="Q1243" s="36"/>
      <c r="R1243" s="40"/>
      <c r="S1243" s="40"/>
      <c r="T1243" s="40"/>
      <c r="U1243" s="41"/>
      <c r="V1243" s="41"/>
      <c r="W1243" s="41"/>
      <c r="X1243" s="36"/>
      <c r="Y1243" s="36"/>
      <c r="Z1243" s="36"/>
      <c r="AA1243" s="36"/>
      <c r="AB1243" s="36"/>
      <c r="AC1243" s="36"/>
    </row>
    <row r="1244" spans="17:29" x14ac:dyDescent="0.2">
      <c r="Q1244" s="36"/>
      <c r="R1244" s="40"/>
      <c r="S1244" s="40"/>
      <c r="T1244" s="40"/>
      <c r="U1244" s="41"/>
      <c r="V1244" s="41"/>
      <c r="W1244" s="41"/>
      <c r="X1244" s="36"/>
      <c r="Y1244" s="36"/>
      <c r="Z1244" s="36"/>
      <c r="AA1244" s="36"/>
      <c r="AB1244" s="36"/>
      <c r="AC1244" s="36"/>
    </row>
    <row r="1245" spans="17:29" x14ac:dyDescent="0.2">
      <c r="Q1245" s="36"/>
      <c r="R1245" s="40"/>
      <c r="S1245" s="40"/>
      <c r="T1245" s="40"/>
      <c r="U1245" s="41"/>
      <c r="V1245" s="41"/>
      <c r="W1245" s="41"/>
      <c r="X1245" s="36"/>
      <c r="Y1245" s="36"/>
      <c r="Z1245" s="36"/>
      <c r="AA1245" s="36"/>
      <c r="AB1245" s="36"/>
      <c r="AC1245" s="36"/>
    </row>
    <row r="1246" spans="17:29" x14ac:dyDescent="0.2">
      <c r="Q1246" s="36"/>
      <c r="R1246" s="40"/>
      <c r="S1246" s="40"/>
      <c r="T1246" s="40"/>
      <c r="U1246" s="41"/>
      <c r="V1246" s="41"/>
      <c r="W1246" s="41"/>
      <c r="X1246" s="36"/>
      <c r="Y1246" s="36"/>
      <c r="Z1246" s="36"/>
      <c r="AA1246" s="36"/>
      <c r="AB1246" s="36"/>
      <c r="AC1246" s="36"/>
    </row>
    <row r="1247" spans="17:29" x14ac:dyDescent="0.2">
      <c r="Q1247" s="36"/>
      <c r="R1247" s="40"/>
      <c r="S1247" s="40"/>
      <c r="T1247" s="40"/>
      <c r="U1247" s="41"/>
      <c r="V1247" s="41"/>
      <c r="W1247" s="41"/>
      <c r="X1247" s="36"/>
      <c r="Y1247" s="36"/>
      <c r="Z1247" s="36"/>
      <c r="AA1247" s="36"/>
      <c r="AB1247" s="36"/>
      <c r="AC1247" s="36"/>
    </row>
    <row r="1248" spans="17:29" x14ac:dyDescent="0.2">
      <c r="Q1248" s="36"/>
      <c r="R1248" s="40"/>
      <c r="S1248" s="40"/>
      <c r="T1248" s="40"/>
      <c r="U1248" s="41"/>
      <c r="V1248" s="41"/>
      <c r="W1248" s="41"/>
      <c r="X1248" s="36"/>
      <c r="Y1248" s="36"/>
      <c r="Z1248" s="36"/>
      <c r="AA1248" s="36"/>
      <c r="AB1248" s="36"/>
      <c r="AC1248" s="36"/>
    </row>
    <row r="1249" spans="17:29" x14ac:dyDescent="0.2">
      <c r="Q1249" s="36"/>
      <c r="R1249" s="40"/>
      <c r="S1249" s="40"/>
      <c r="T1249" s="40"/>
      <c r="U1249" s="41"/>
      <c r="V1249" s="41"/>
      <c r="W1249" s="41"/>
      <c r="X1249" s="36"/>
      <c r="Y1249" s="36"/>
      <c r="Z1249" s="36"/>
      <c r="AA1249" s="36"/>
      <c r="AB1249" s="36"/>
      <c r="AC1249" s="36"/>
    </row>
    <row r="1250" spans="17:29" x14ac:dyDescent="0.2">
      <c r="Q1250" s="36"/>
      <c r="R1250" s="40"/>
      <c r="S1250" s="40"/>
      <c r="T1250" s="40"/>
      <c r="U1250" s="41"/>
      <c r="V1250" s="41"/>
      <c r="W1250" s="41"/>
      <c r="X1250" s="36"/>
      <c r="Y1250" s="36"/>
      <c r="Z1250" s="36"/>
      <c r="AA1250" s="36"/>
      <c r="AB1250" s="36"/>
      <c r="AC1250" s="36"/>
    </row>
    <row r="1251" spans="17:29" x14ac:dyDescent="0.2">
      <c r="Q1251" s="36"/>
      <c r="R1251" s="40"/>
      <c r="S1251" s="40"/>
      <c r="T1251" s="40"/>
      <c r="U1251" s="41"/>
      <c r="V1251" s="41"/>
      <c r="W1251" s="41"/>
      <c r="X1251" s="36"/>
      <c r="Y1251" s="36"/>
      <c r="Z1251" s="36"/>
      <c r="AA1251" s="36"/>
      <c r="AB1251" s="36"/>
      <c r="AC1251" s="36"/>
    </row>
    <row r="1252" spans="17:29" x14ac:dyDescent="0.2">
      <c r="Q1252" s="36"/>
      <c r="R1252" s="40"/>
      <c r="S1252" s="40"/>
      <c r="T1252" s="40"/>
      <c r="U1252" s="41"/>
      <c r="V1252" s="41"/>
      <c r="W1252" s="41"/>
      <c r="X1252" s="36"/>
      <c r="Y1252" s="36"/>
      <c r="Z1252" s="36"/>
      <c r="AA1252" s="36"/>
      <c r="AB1252" s="36"/>
      <c r="AC1252" s="36"/>
    </row>
    <row r="1253" spans="17:29" x14ac:dyDescent="0.2">
      <c r="Q1253" s="36"/>
      <c r="R1253" s="40"/>
      <c r="S1253" s="40"/>
      <c r="T1253" s="40"/>
      <c r="U1253" s="41"/>
      <c r="V1253" s="41"/>
      <c r="W1253" s="41"/>
      <c r="X1253" s="36"/>
      <c r="Y1253" s="36"/>
      <c r="Z1253" s="36"/>
      <c r="AA1253" s="36"/>
      <c r="AB1253" s="36"/>
      <c r="AC1253" s="36"/>
    </row>
    <row r="1254" spans="17:29" x14ac:dyDescent="0.2">
      <c r="Q1254" s="36"/>
      <c r="R1254" s="40"/>
      <c r="S1254" s="40"/>
      <c r="T1254" s="40"/>
      <c r="U1254" s="41"/>
      <c r="V1254" s="41"/>
      <c r="W1254" s="41"/>
      <c r="X1254" s="36"/>
      <c r="Y1254" s="36"/>
      <c r="Z1254" s="36"/>
      <c r="AA1254" s="36"/>
      <c r="AB1254" s="36"/>
      <c r="AC1254" s="36"/>
    </row>
    <row r="1255" spans="17:29" x14ac:dyDescent="0.2">
      <c r="Q1255" s="36"/>
      <c r="R1255" s="40"/>
      <c r="S1255" s="40"/>
      <c r="T1255" s="40"/>
      <c r="U1255" s="41"/>
      <c r="V1255" s="41"/>
      <c r="W1255" s="41"/>
      <c r="X1255" s="36"/>
      <c r="Y1255" s="36"/>
      <c r="Z1255" s="36"/>
      <c r="AA1255" s="36"/>
      <c r="AB1255" s="36"/>
      <c r="AC1255" s="36"/>
    </row>
    <row r="1256" spans="17:29" x14ac:dyDescent="0.2">
      <c r="Q1256" s="36"/>
      <c r="R1256" s="40"/>
      <c r="S1256" s="40"/>
      <c r="T1256" s="40"/>
      <c r="U1256" s="41"/>
      <c r="V1256" s="41"/>
      <c r="W1256" s="41"/>
      <c r="X1256" s="36"/>
      <c r="Y1256" s="36"/>
      <c r="Z1256" s="36"/>
      <c r="AA1256" s="36"/>
      <c r="AB1256" s="36"/>
      <c r="AC1256" s="36"/>
    </row>
    <row r="1257" spans="17:29" x14ac:dyDescent="0.2">
      <c r="Q1257" s="36"/>
      <c r="R1257" s="40"/>
      <c r="S1257" s="40"/>
      <c r="T1257" s="40"/>
      <c r="U1257" s="41"/>
      <c r="V1257" s="41"/>
      <c r="W1257" s="41"/>
      <c r="X1257" s="36"/>
      <c r="Y1257" s="36"/>
      <c r="Z1257" s="36"/>
      <c r="AA1257" s="36"/>
      <c r="AB1257" s="36"/>
      <c r="AC1257" s="36"/>
    </row>
    <row r="1258" spans="17:29" x14ac:dyDescent="0.2">
      <c r="Q1258" s="36"/>
      <c r="R1258" s="40"/>
      <c r="S1258" s="40"/>
      <c r="T1258" s="40"/>
      <c r="U1258" s="41"/>
      <c r="V1258" s="41"/>
      <c r="W1258" s="41"/>
      <c r="X1258" s="36"/>
      <c r="Y1258" s="36"/>
      <c r="Z1258" s="36"/>
      <c r="AA1258" s="36"/>
      <c r="AB1258" s="36"/>
      <c r="AC1258" s="36"/>
    </row>
    <row r="1259" spans="17:29" x14ac:dyDescent="0.2">
      <c r="Q1259" s="36"/>
      <c r="R1259" s="40"/>
      <c r="S1259" s="40"/>
      <c r="T1259" s="40"/>
      <c r="U1259" s="41"/>
      <c r="V1259" s="41"/>
      <c r="W1259" s="41"/>
      <c r="X1259" s="36"/>
      <c r="Y1259" s="36"/>
      <c r="Z1259" s="36"/>
      <c r="AA1259" s="36"/>
      <c r="AB1259" s="36"/>
      <c r="AC1259" s="36"/>
    </row>
    <row r="1260" spans="17:29" x14ac:dyDescent="0.2">
      <c r="Q1260" s="36"/>
      <c r="R1260" s="40"/>
      <c r="S1260" s="40"/>
      <c r="T1260" s="40"/>
      <c r="U1260" s="41"/>
      <c r="V1260" s="41"/>
      <c r="W1260" s="41"/>
      <c r="X1260" s="36"/>
      <c r="Y1260" s="36"/>
      <c r="Z1260" s="36"/>
      <c r="AA1260" s="36"/>
      <c r="AB1260" s="36"/>
      <c r="AC1260" s="36"/>
    </row>
    <row r="1261" spans="17:29" x14ac:dyDescent="0.2">
      <c r="Q1261" s="36"/>
      <c r="R1261" s="40"/>
      <c r="S1261" s="40"/>
      <c r="T1261" s="40"/>
      <c r="U1261" s="41"/>
      <c r="V1261" s="41"/>
      <c r="W1261" s="41"/>
      <c r="X1261" s="36"/>
      <c r="Y1261" s="36"/>
      <c r="Z1261" s="36"/>
      <c r="AA1261" s="36"/>
      <c r="AB1261" s="36"/>
      <c r="AC1261" s="36"/>
    </row>
    <row r="1262" spans="17:29" x14ac:dyDescent="0.2">
      <c r="Q1262" s="36"/>
      <c r="R1262" s="40"/>
      <c r="S1262" s="40"/>
      <c r="T1262" s="40"/>
      <c r="U1262" s="41"/>
      <c r="V1262" s="41"/>
      <c r="W1262" s="41"/>
      <c r="X1262" s="36"/>
      <c r="Y1262" s="36"/>
      <c r="Z1262" s="36"/>
      <c r="AA1262" s="36"/>
      <c r="AB1262" s="36"/>
      <c r="AC1262" s="36"/>
    </row>
    <row r="1263" spans="17:29" x14ac:dyDescent="0.2">
      <c r="Q1263" s="36"/>
      <c r="R1263" s="40"/>
      <c r="S1263" s="40"/>
      <c r="T1263" s="40"/>
      <c r="U1263" s="41"/>
      <c r="V1263" s="41"/>
      <c r="W1263" s="41"/>
      <c r="X1263" s="36"/>
      <c r="Y1263" s="36"/>
      <c r="Z1263" s="36"/>
      <c r="AA1263" s="36"/>
      <c r="AB1263" s="36"/>
      <c r="AC1263" s="36"/>
    </row>
    <row r="1264" spans="17:29" x14ac:dyDescent="0.2">
      <c r="Q1264" s="36"/>
      <c r="R1264" s="40"/>
      <c r="S1264" s="40"/>
      <c r="T1264" s="40"/>
      <c r="U1264" s="41"/>
      <c r="V1264" s="41"/>
      <c r="W1264" s="41"/>
      <c r="X1264" s="36"/>
      <c r="Y1264" s="36"/>
      <c r="Z1264" s="36"/>
      <c r="AA1264" s="36"/>
      <c r="AB1264" s="36"/>
      <c r="AC1264" s="36"/>
    </row>
    <row r="1265" spans="17:29" x14ac:dyDescent="0.2">
      <c r="Q1265" s="36"/>
      <c r="R1265" s="40"/>
      <c r="S1265" s="40"/>
      <c r="T1265" s="40"/>
      <c r="U1265" s="41"/>
      <c r="V1265" s="41"/>
      <c r="W1265" s="41"/>
      <c r="X1265" s="36"/>
      <c r="Y1265" s="36"/>
      <c r="Z1265" s="36"/>
      <c r="AA1265" s="36"/>
      <c r="AB1265" s="36"/>
      <c r="AC1265" s="36"/>
    </row>
    <row r="1266" spans="17:29" x14ac:dyDescent="0.2">
      <c r="Q1266" s="36"/>
      <c r="R1266" s="40"/>
      <c r="S1266" s="40"/>
      <c r="T1266" s="40"/>
      <c r="U1266" s="41"/>
      <c r="V1266" s="41"/>
      <c r="W1266" s="41"/>
      <c r="X1266" s="36"/>
      <c r="Y1266" s="36"/>
      <c r="Z1266" s="36"/>
      <c r="AA1266" s="36"/>
      <c r="AB1266" s="36"/>
      <c r="AC1266" s="36"/>
    </row>
    <row r="1267" spans="17:29" x14ac:dyDescent="0.2">
      <c r="Q1267" s="36"/>
      <c r="R1267" s="40"/>
      <c r="S1267" s="40"/>
      <c r="T1267" s="40"/>
      <c r="U1267" s="41"/>
      <c r="V1267" s="41"/>
      <c r="W1267" s="41"/>
      <c r="X1267" s="36"/>
      <c r="Y1267" s="36"/>
      <c r="Z1267" s="36"/>
      <c r="AA1267" s="36"/>
      <c r="AB1267" s="36"/>
      <c r="AC1267" s="36"/>
    </row>
    <row r="1268" spans="17:29" x14ac:dyDescent="0.2">
      <c r="Q1268" s="36"/>
      <c r="R1268" s="40"/>
      <c r="S1268" s="40"/>
      <c r="T1268" s="40"/>
      <c r="U1268" s="41"/>
      <c r="V1268" s="41"/>
      <c r="W1268" s="41"/>
      <c r="X1268" s="36"/>
      <c r="Y1268" s="36"/>
      <c r="Z1268" s="36"/>
      <c r="AA1268" s="36"/>
      <c r="AB1268" s="36"/>
      <c r="AC1268" s="36"/>
    </row>
    <row r="1269" spans="17:29" x14ac:dyDescent="0.2">
      <c r="Q1269" s="36"/>
      <c r="R1269" s="40"/>
      <c r="S1269" s="40"/>
      <c r="T1269" s="40"/>
      <c r="U1269" s="41"/>
      <c r="V1269" s="41"/>
      <c r="W1269" s="41"/>
      <c r="X1269" s="36"/>
      <c r="Y1269" s="36"/>
      <c r="Z1269" s="36"/>
      <c r="AA1269" s="36"/>
      <c r="AB1269" s="36"/>
      <c r="AC1269" s="36"/>
    </row>
    <row r="1270" spans="17:29" x14ac:dyDescent="0.2">
      <c r="Q1270" s="36"/>
      <c r="R1270" s="40"/>
      <c r="S1270" s="40"/>
      <c r="T1270" s="40"/>
      <c r="U1270" s="41"/>
      <c r="V1270" s="41"/>
      <c r="W1270" s="41"/>
      <c r="X1270" s="36"/>
      <c r="Y1270" s="36"/>
      <c r="Z1270" s="36"/>
      <c r="AA1270" s="36"/>
      <c r="AB1270" s="36"/>
      <c r="AC1270" s="36"/>
    </row>
    <row r="1271" spans="17:29" x14ac:dyDescent="0.2">
      <c r="Q1271" s="36"/>
      <c r="R1271" s="40"/>
      <c r="S1271" s="40"/>
      <c r="T1271" s="40"/>
      <c r="U1271" s="41"/>
      <c r="V1271" s="41"/>
      <c r="W1271" s="41"/>
      <c r="X1271" s="36"/>
      <c r="Y1271" s="36"/>
      <c r="Z1271" s="36"/>
      <c r="AA1271" s="36"/>
      <c r="AB1271" s="36"/>
      <c r="AC1271" s="36"/>
    </row>
    <row r="1272" spans="17:29" x14ac:dyDescent="0.2">
      <c r="Q1272" s="36"/>
      <c r="R1272" s="40"/>
      <c r="S1272" s="40"/>
      <c r="T1272" s="40"/>
      <c r="U1272" s="41"/>
      <c r="V1272" s="41"/>
      <c r="W1272" s="41"/>
      <c r="X1272" s="36"/>
      <c r="Y1272" s="36"/>
      <c r="Z1272" s="36"/>
      <c r="AA1272" s="36"/>
      <c r="AB1272" s="36"/>
      <c r="AC1272" s="36"/>
    </row>
    <row r="1273" spans="17:29" x14ac:dyDescent="0.2">
      <c r="Q1273" s="36"/>
      <c r="R1273" s="40"/>
      <c r="S1273" s="40"/>
      <c r="T1273" s="40"/>
      <c r="U1273" s="41"/>
      <c r="V1273" s="41"/>
      <c r="W1273" s="41"/>
      <c r="X1273" s="36"/>
      <c r="Y1273" s="36"/>
      <c r="Z1273" s="36"/>
      <c r="AA1273" s="36"/>
      <c r="AB1273" s="36"/>
      <c r="AC1273" s="36"/>
    </row>
    <row r="1274" spans="17:29" x14ac:dyDescent="0.2">
      <c r="Q1274" s="36"/>
      <c r="R1274" s="40"/>
      <c r="S1274" s="40"/>
      <c r="T1274" s="40"/>
      <c r="U1274" s="41"/>
      <c r="V1274" s="41"/>
      <c r="W1274" s="41"/>
      <c r="X1274" s="36"/>
      <c r="Y1274" s="36"/>
      <c r="Z1274" s="36"/>
      <c r="AA1274" s="36"/>
      <c r="AB1274" s="36"/>
      <c r="AC1274" s="36"/>
    </row>
    <row r="1275" spans="17:29" x14ac:dyDescent="0.2">
      <c r="Q1275" s="36"/>
      <c r="R1275" s="40"/>
      <c r="S1275" s="40"/>
      <c r="T1275" s="40"/>
      <c r="U1275" s="41"/>
      <c r="V1275" s="41"/>
      <c r="W1275" s="41"/>
      <c r="X1275" s="36"/>
      <c r="Y1275" s="36"/>
      <c r="Z1275" s="36"/>
      <c r="AA1275" s="36"/>
      <c r="AB1275" s="36"/>
      <c r="AC1275" s="36"/>
    </row>
    <row r="1276" spans="17:29" x14ac:dyDescent="0.2">
      <c r="Q1276" s="36"/>
      <c r="R1276" s="40"/>
      <c r="S1276" s="40"/>
      <c r="T1276" s="40"/>
      <c r="U1276" s="41"/>
      <c r="V1276" s="41"/>
      <c r="W1276" s="41"/>
      <c r="X1276" s="36"/>
      <c r="Y1276" s="36"/>
      <c r="Z1276" s="36"/>
      <c r="AA1276" s="36"/>
      <c r="AB1276" s="36"/>
      <c r="AC1276" s="36"/>
    </row>
    <row r="1277" spans="17:29" x14ac:dyDescent="0.2">
      <c r="Q1277" s="36"/>
      <c r="R1277" s="40"/>
      <c r="S1277" s="40"/>
      <c r="T1277" s="40"/>
      <c r="U1277" s="41"/>
      <c r="V1277" s="41"/>
      <c r="W1277" s="41"/>
      <c r="X1277" s="36"/>
      <c r="Y1277" s="36"/>
      <c r="Z1277" s="36"/>
      <c r="AA1277" s="36"/>
      <c r="AB1277" s="36"/>
      <c r="AC1277" s="36"/>
    </row>
    <row r="1278" spans="17:29" x14ac:dyDescent="0.2">
      <c r="Q1278" s="36"/>
      <c r="R1278" s="40"/>
      <c r="S1278" s="40"/>
      <c r="T1278" s="40"/>
      <c r="U1278" s="41"/>
      <c r="V1278" s="41"/>
      <c r="W1278" s="41"/>
      <c r="X1278" s="36"/>
      <c r="Y1278" s="36"/>
      <c r="Z1278" s="36"/>
      <c r="AA1278" s="36"/>
      <c r="AB1278" s="36"/>
      <c r="AC1278" s="36"/>
    </row>
    <row r="1279" spans="17:29" x14ac:dyDescent="0.2">
      <c r="Q1279" s="36"/>
      <c r="R1279" s="40"/>
      <c r="S1279" s="40"/>
      <c r="T1279" s="40"/>
      <c r="U1279" s="41"/>
      <c r="V1279" s="41"/>
      <c r="W1279" s="41"/>
      <c r="X1279" s="36"/>
      <c r="Y1279" s="36"/>
      <c r="Z1279" s="36"/>
      <c r="AA1279" s="36"/>
      <c r="AB1279" s="36"/>
      <c r="AC1279" s="36"/>
    </row>
    <row r="1280" spans="17:29" x14ac:dyDescent="0.2">
      <c r="Q1280" s="36"/>
      <c r="R1280" s="40"/>
      <c r="S1280" s="40"/>
      <c r="T1280" s="40"/>
      <c r="U1280" s="41"/>
      <c r="V1280" s="41"/>
      <c r="W1280" s="41"/>
      <c r="X1280" s="36"/>
      <c r="Y1280" s="36"/>
      <c r="Z1280" s="36"/>
      <c r="AA1280" s="36"/>
      <c r="AB1280" s="36"/>
      <c r="AC1280" s="36"/>
    </row>
    <row r="1281" spans="17:29" x14ac:dyDescent="0.2">
      <c r="Q1281" s="36"/>
      <c r="R1281" s="40"/>
      <c r="S1281" s="40"/>
      <c r="T1281" s="40"/>
      <c r="U1281" s="41"/>
      <c r="V1281" s="41"/>
      <c r="W1281" s="41"/>
      <c r="X1281" s="36"/>
      <c r="Y1281" s="36"/>
      <c r="Z1281" s="36"/>
      <c r="AA1281" s="36"/>
      <c r="AB1281" s="36"/>
      <c r="AC1281" s="36"/>
    </row>
    <row r="1282" spans="17:29" x14ac:dyDescent="0.2">
      <c r="Q1282" s="36"/>
      <c r="R1282" s="40"/>
      <c r="S1282" s="40"/>
      <c r="T1282" s="40"/>
      <c r="U1282" s="41"/>
      <c r="V1282" s="41"/>
      <c r="W1282" s="41"/>
      <c r="X1282" s="36"/>
      <c r="Y1282" s="36"/>
      <c r="Z1282" s="36"/>
      <c r="AA1282" s="36"/>
      <c r="AB1282" s="36"/>
      <c r="AC1282" s="36"/>
    </row>
    <row r="1283" spans="17:29" x14ac:dyDescent="0.2">
      <c r="Q1283" s="36"/>
      <c r="R1283" s="40"/>
      <c r="S1283" s="40"/>
      <c r="T1283" s="40"/>
      <c r="U1283" s="41"/>
      <c r="V1283" s="41"/>
      <c r="W1283" s="41"/>
      <c r="X1283" s="36"/>
      <c r="Y1283" s="36"/>
      <c r="Z1283" s="36"/>
      <c r="AA1283" s="36"/>
      <c r="AB1283" s="36"/>
      <c r="AC1283" s="36"/>
    </row>
    <row r="1284" spans="17:29" x14ac:dyDescent="0.2">
      <c r="Q1284" s="36"/>
      <c r="R1284" s="40"/>
      <c r="S1284" s="40"/>
      <c r="T1284" s="40"/>
      <c r="U1284" s="41"/>
      <c r="V1284" s="41"/>
      <c r="W1284" s="41"/>
      <c r="X1284" s="36"/>
      <c r="Y1284" s="36"/>
      <c r="Z1284" s="36"/>
      <c r="AA1284" s="36"/>
      <c r="AB1284" s="36"/>
      <c r="AC1284" s="36"/>
    </row>
    <row r="1285" spans="17:29" x14ac:dyDescent="0.2">
      <c r="Q1285" s="36"/>
      <c r="R1285" s="40"/>
      <c r="S1285" s="40"/>
      <c r="T1285" s="40"/>
      <c r="U1285" s="41"/>
      <c r="V1285" s="41"/>
      <c r="W1285" s="41"/>
      <c r="X1285" s="36"/>
      <c r="Y1285" s="36"/>
      <c r="Z1285" s="36"/>
      <c r="AA1285" s="36"/>
      <c r="AB1285" s="36"/>
      <c r="AC1285" s="36"/>
    </row>
    <row r="1286" spans="17:29" x14ac:dyDescent="0.2">
      <c r="Q1286" s="36"/>
      <c r="R1286" s="40"/>
      <c r="S1286" s="40"/>
      <c r="T1286" s="40"/>
      <c r="U1286" s="41"/>
      <c r="V1286" s="41"/>
      <c r="W1286" s="41"/>
      <c r="X1286" s="36"/>
      <c r="Y1286" s="36"/>
      <c r="Z1286" s="36"/>
      <c r="AA1286" s="36"/>
      <c r="AB1286" s="36"/>
      <c r="AC1286" s="36"/>
    </row>
    <row r="1287" spans="17:29" x14ac:dyDescent="0.2">
      <c r="Q1287" s="36"/>
      <c r="R1287" s="40"/>
      <c r="S1287" s="40"/>
      <c r="T1287" s="40"/>
      <c r="U1287" s="41"/>
      <c r="V1287" s="41"/>
      <c r="W1287" s="41"/>
      <c r="X1287" s="36"/>
      <c r="Y1287" s="36"/>
      <c r="Z1287" s="36"/>
      <c r="AA1287" s="36"/>
      <c r="AB1287" s="36"/>
      <c r="AC1287" s="36"/>
    </row>
    <row r="1288" spans="17:29" x14ac:dyDescent="0.2">
      <c r="Q1288" s="36"/>
      <c r="R1288" s="40"/>
      <c r="S1288" s="40"/>
      <c r="T1288" s="40"/>
      <c r="U1288" s="41"/>
      <c r="V1288" s="41"/>
      <c r="W1288" s="41"/>
      <c r="X1288" s="36"/>
      <c r="Y1288" s="36"/>
      <c r="Z1288" s="36"/>
      <c r="AA1288" s="36"/>
      <c r="AB1288" s="36"/>
      <c r="AC1288" s="36"/>
    </row>
    <row r="1289" spans="17:29" x14ac:dyDescent="0.2">
      <c r="Q1289" s="36"/>
      <c r="R1289" s="40"/>
      <c r="S1289" s="40"/>
      <c r="T1289" s="40"/>
      <c r="U1289" s="41"/>
      <c r="V1289" s="41"/>
      <c r="W1289" s="41"/>
      <c r="X1289" s="36"/>
      <c r="Y1289" s="36"/>
      <c r="Z1289" s="36"/>
      <c r="AA1289" s="36"/>
      <c r="AB1289" s="36"/>
      <c r="AC1289" s="36"/>
    </row>
    <row r="1290" spans="17:29" x14ac:dyDescent="0.2">
      <c r="Q1290" s="36"/>
      <c r="R1290" s="40"/>
      <c r="S1290" s="40"/>
      <c r="T1290" s="40"/>
      <c r="U1290" s="41"/>
      <c r="V1290" s="41"/>
      <c r="W1290" s="41"/>
      <c r="X1290" s="36"/>
      <c r="Y1290" s="36"/>
      <c r="Z1290" s="36"/>
      <c r="AA1290" s="36"/>
      <c r="AB1290" s="36"/>
      <c r="AC1290" s="36"/>
    </row>
    <row r="1291" spans="17:29" x14ac:dyDescent="0.2">
      <c r="Q1291" s="36"/>
      <c r="R1291" s="40"/>
      <c r="S1291" s="40"/>
      <c r="T1291" s="40"/>
      <c r="U1291" s="41"/>
      <c r="V1291" s="41"/>
      <c r="W1291" s="41"/>
      <c r="X1291" s="36"/>
      <c r="Y1291" s="36"/>
      <c r="Z1291" s="36"/>
      <c r="AA1291" s="36"/>
      <c r="AB1291" s="36"/>
      <c r="AC1291" s="36"/>
    </row>
    <row r="1292" spans="17:29" x14ac:dyDescent="0.2">
      <c r="Q1292" s="36"/>
      <c r="R1292" s="40"/>
      <c r="S1292" s="40"/>
      <c r="T1292" s="40"/>
      <c r="U1292" s="41"/>
      <c r="V1292" s="41"/>
      <c r="W1292" s="41"/>
      <c r="X1292" s="36"/>
      <c r="Y1292" s="36"/>
      <c r="Z1292" s="36"/>
      <c r="AA1292" s="36"/>
      <c r="AB1292" s="36"/>
      <c r="AC1292" s="36"/>
    </row>
    <row r="1293" spans="17:29" x14ac:dyDescent="0.2">
      <c r="Q1293" s="36"/>
      <c r="R1293" s="40"/>
      <c r="S1293" s="40"/>
      <c r="T1293" s="40"/>
      <c r="U1293" s="41"/>
      <c r="V1293" s="41"/>
      <c r="W1293" s="41"/>
      <c r="X1293" s="36"/>
      <c r="Y1293" s="36"/>
      <c r="Z1293" s="36"/>
      <c r="AA1293" s="36"/>
      <c r="AB1293" s="36"/>
      <c r="AC1293" s="36"/>
    </row>
    <row r="1294" spans="17:29" x14ac:dyDescent="0.2">
      <c r="Q1294" s="36"/>
      <c r="R1294" s="40"/>
      <c r="S1294" s="40"/>
      <c r="T1294" s="40"/>
      <c r="U1294" s="41"/>
      <c r="V1294" s="41"/>
      <c r="W1294" s="41"/>
      <c r="X1294" s="36"/>
      <c r="Y1294" s="36"/>
      <c r="Z1294" s="36"/>
      <c r="AA1294" s="36"/>
      <c r="AB1294" s="36"/>
      <c r="AC1294" s="36"/>
    </row>
    <row r="1295" spans="17:29" x14ac:dyDescent="0.2">
      <c r="Q1295" s="36"/>
      <c r="R1295" s="40"/>
      <c r="S1295" s="40"/>
      <c r="T1295" s="40"/>
      <c r="U1295" s="41"/>
      <c r="V1295" s="41"/>
      <c r="W1295" s="41"/>
      <c r="X1295" s="36"/>
      <c r="Y1295" s="36"/>
      <c r="Z1295" s="36"/>
      <c r="AA1295" s="36"/>
      <c r="AB1295" s="36"/>
      <c r="AC1295" s="36"/>
    </row>
    <row r="1296" spans="17:29" x14ac:dyDescent="0.2">
      <c r="Q1296" s="36"/>
      <c r="R1296" s="40"/>
      <c r="S1296" s="40"/>
      <c r="T1296" s="40"/>
      <c r="U1296" s="41"/>
      <c r="V1296" s="41"/>
      <c r="W1296" s="41"/>
      <c r="X1296" s="36"/>
      <c r="Y1296" s="36"/>
      <c r="Z1296" s="36"/>
      <c r="AA1296" s="36"/>
      <c r="AB1296" s="36"/>
      <c r="AC1296" s="36"/>
    </row>
    <row r="1297" spans="17:29" x14ac:dyDescent="0.2">
      <c r="Q1297" s="36"/>
      <c r="R1297" s="40"/>
      <c r="S1297" s="40"/>
      <c r="T1297" s="40"/>
      <c r="U1297" s="41"/>
      <c r="V1297" s="41"/>
      <c r="W1297" s="41"/>
      <c r="X1297" s="36"/>
      <c r="Y1297" s="36"/>
      <c r="Z1297" s="36"/>
      <c r="AA1297" s="36"/>
      <c r="AB1297" s="36"/>
      <c r="AC1297" s="36"/>
    </row>
    <row r="1298" spans="17:29" x14ac:dyDescent="0.2">
      <c r="Q1298" s="36"/>
      <c r="R1298" s="40"/>
      <c r="S1298" s="40"/>
      <c r="T1298" s="40"/>
      <c r="U1298" s="41"/>
      <c r="V1298" s="41"/>
      <c r="W1298" s="41"/>
      <c r="X1298" s="36"/>
      <c r="Y1298" s="36"/>
      <c r="Z1298" s="36"/>
      <c r="AA1298" s="36"/>
      <c r="AB1298" s="36"/>
      <c r="AC1298" s="36"/>
    </row>
    <row r="1299" spans="17:29" x14ac:dyDescent="0.2">
      <c r="Q1299" s="36"/>
      <c r="R1299" s="40"/>
      <c r="S1299" s="40"/>
      <c r="T1299" s="40"/>
      <c r="U1299" s="41"/>
      <c r="V1299" s="41"/>
      <c r="W1299" s="41"/>
      <c r="X1299" s="36"/>
      <c r="Y1299" s="36"/>
      <c r="Z1299" s="36"/>
      <c r="AA1299" s="36"/>
      <c r="AB1299" s="36"/>
      <c r="AC1299" s="36"/>
    </row>
    <row r="1300" spans="17:29" x14ac:dyDescent="0.2">
      <c r="Q1300" s="36"/>
      <c r="R1300" s="40"/>
      <c r="S1300" s="40"/>
      <c r="T1300" s="40"/>
      <c r="U1300" s="41"/>
      <c r="V1300" s="41"/>
      <c r="W1300" s="41"/>
      <c r="X1300" s="36"/>
      <c r="Y1300" s="36"/>
      <c r="Z1300" s="36"/>
      <c r="AA1300" s="36"/>
      <c r="AB1300" s="36"/>
      <c r="AC1300" s="36"/>
    </row>
    <row r="1301" spans="17:29" x14ac:dyDescent="0.2">
      <c r="Q1301" s="36"/>
      <c r="R1301" s="40"/>
      <c r="S1301" s="40"/>
      <c r="T1301" s="40"/>
      <c r="U1301" s="41"/>
      <c r="V1301" s="41"/>
      <c r="W1301" s="41"/>
      <c r="X1301" s="36"/>
      <c r="Y1301" s="36"/>
      <c r="Z1301" s="36"/>
      <c r="AA1301" s="36"/>
      <c r="AB1301" s="36"/>
      <c r="AC1301" s="36"/>
    </row>
    <row r="1302" spans="17:29" x14ac:dyDescent="0.2">
      <c r="Q1302" s="36"/>
      <c r="R1302" s="40"/>
      <c r="S1302" s="40"/>
      <c r="T1302" s="40"/>
      <c r="U1302" s="41"/>
      <c r="V1302" s="41"/>
      <c r="W1302" s="41"/>
      <c r="X1302" s="36"/>
      <c r="Y1302" s="36"/>
      <c r="Z1302" s="36"/>
      <c r="AA1302" s="36"/>
      <c r="AB1302" s="36"/>
      <c r="AC1302" s="36"/>
    </row>
    <row r="1303" spans="17:29" x14ac:dyDescent="0.2">
      <c r="Q1303" s="36"/>
      <c r="R1303" s="40"/>
      <c r="S1303" s="40"/>
      <c r="T1303" s="40"/>
      <c r="U1303" s="41"/>
      <c r="V1303" s="41"/>
      <c r="W1303" s="41"/>
      <c r="X1303" s="36"/>
      <c r="Y1303" s="36"/>
      <c r="Z1303" s="36"/>
      <c r="AA1303" s="36"/>
      <c r="AB1303" s="36"/>
      <c r="AC1303" s="36"/>
    </row>
    <row r="1304" spans="17:29" x14ac:dyDescent="0.2">
      <c r="Q1304" s="36"/>
      <c r="R1304" s="40"/>
      <c r="S1304" s="40"/>
      <c r="T1304" s="40"/>
      <c r="U1304" s="41"/>
      <c r="V1304" s="41"/>
      <c r="W1304" s="41"/>
      <c r="X1304" s="36"/>
      <c r="Y1304" s="36"/>
      <c r="Z1304" s="36"/>
      <c r="AA1304" s="36"/>
      <c r="AB1304" s="36"/>
      <c r="AC1304" s="36"/>
    </row>
    <row r="1305" spans="17:29" x14ac:dyDescent="0.2">
      <c r="Q1305" s="36"/>
      <c r="R1305" s="40"/>
      <c r="S1305" s="40"/>
      <c r="T1305" s="40"/>
      <c r="U1305" s="41"/>
      <c r="V1305" s="41"/>
      <c r="W1305" s="41"/>
      <c r="X1305" s="36"/>
      <c r="Y1305" s="36"/>
      <c r="Z1305" s="36"/>
      <c r="AA1305" s="36"/>
      <c r="AB1305" s="36"/>
      <c r="AC1305" s="36"/>
    </row>
    <row r="1306" spans="17:29" x14ac:dyDescent="0.2">
      <c r="Q1306" s="36"/>
      <c r="R1306" s="40"/>
      <c r="S1306" s="40"/>
      <c r="T1306" s="40"/>
      <c r="U1306" s="41"/>
      <c r="V1306" s="41"/>
      <c r="W1306" s="41"/>
      <c r="X1306" s="36"/>
      <c r="Y1306" s="36"/>
      <c r="Z1306" s="36"/>
      <c r="AA1306" s="36"/>
      <c r="AB1306" s="36"/>
      <c r="AC1306" s="36"/>
    </row>
    <row r="1307" spans="17:29" x14ac:dyDescent="0.2">
      <c r="Q1307" s="36"/>
      <c r="R1307" s="40"/>
      <c r="S1307" s="40"/>
      <c r="T1307" s="40"/>
      <c r="U1307" s="41"/>
      <c r="V1307" s="41"/>
      <c r="W1307" s="41"/>
      <c r="X1307" s="36"/>
      <c r="Y1307" s="36"/>
      <c r="Z1307" s="36"/>
      <c r="AA1307" s="36"/>
      <c r="AB1307" s="36"/>
      <c r="AC1307" s="36"/>
    </row>
    <row r="1308" spans="17:29" x14ac:dyDescent="0.2">
      <c r="Q1308" s="36"/>
      <c r="R1308" s="40"/>
      <c r="S1308" s="40"/>
      <c r="T1308" s="40"/>
      <c r="U1308" s="41"/>
      <c r="V1308" s="41"/>
      <c r="W1308" s="41"/>
      <c r="X1308" s="36"/>
      <c r="Y1308" s="36"/>
      <c r="Z1308" s="36"/>
      <c r="AA1308" s="36"/>
      <c r="AB1308" s="36"/>
      <c r="AC1308" s="36"/>
    </row>
    <row r="1309" spans="17:29" x14ac:dyDescent="0.2">
      <c r="Q1309" s="36"/>
      <c r="R1309" s="40"/>
      <c r="S1309" s="40"/>
      <c r="T1309" s="40"/>
      <c r="U1309" s="41"/>
      <c r="V1309" s="41"/>
      <c r="W1309" s="41"/>
      <c r="X1309" s="36"/>
      <c r="Y1309" s="36"/>
      <c r="Z1309" s="36"/>
      <c r="AA1309" s="36"/>
      <c r="AB1309" s="36"/>
      <c r="AC1309" s="36"/>
    </row>
    <row r="1310" spans="17:29" x14ac:dyDescent="0.2">
      <c r="Q1310" s="36"/>
      <c r="R1310" s="40"/>
      <c r="S1310" s="40"/>
      <c r="T1310" s="40"/>
      <c r="U1310" s="41"/>
      <c r="V1310" s="41"/>
      <c r="W1310" s="41"/>
      <c r="X1310" s="36"/>
      <c r="Y1310" s="36"/>
      <c r="Z1310" s="36"/>
      <c r="AA1310" s="36"/>
      <c r="AB1310" s="36"/>
      <c r="AC1310" s="36"/>
    </row>
    <row r="1311" spans="17:29" x14ac:dyDescent="0.2">
      <c r="Q1311" s="36"/>
      <c r="R1311" s="40"/>
      <c r="S1311" s="40"/>
      <c r="T1311" s="40"/>
      <c r="U1311" s="41"/>
      <c r="V1311" s="41"/>
      <c r="W1311" s="36"/>
      <c r="X1311" s="36"/>
      <c r="Y1311" s="36"/>
      <c r="Z1311" s="36"/>
      <c r="AA1311" s="36"/>
      <c r="AB1311" s="36"/>
      <c r="AC1311" s="36"/>
    </row>
    <row r="1312" spans="17:29" x14ac:dyDescent="0.2">
      <c r="Q1312" s="36"/>
      <c r="R1312" s="40"/>
      <c r="S1312" s="40"/>
      <c r="T1312" s="40"/>
      <c r="U1312" s="41"/>
      <c r="V1312" s="41"/>
      <c r="W1312" s="36"/>
      <c r="X1312" s="36"/>
      <c r="Y1312" s="36"/>
      <c r="Z1312" s="36"/>
      <c r="AA1312" s="36"/>
      <c r="AB1312" s="36"/>
      <c r="AC1312" s="36"/>
    </row>
    <row r="1313" spans="17:29" x14ac:dyDescent="0.2">
      <c r="Q1313" s="36"/>
      <c r="R1313" s="40"/>
      <c r="S1313" s="40"/>
      <c r="T1313" s="40"/>
      <c r="U1313" s="41"/>
      <c r="V1313" s="41"/>
      <c r="W1313" s="36"/>
      <c r="X1313" s="36"/>
      <c r="Y1313" s="36"/>
      <c r="Z1313" s="36"/>
      <c r="AA1313" s="36"/>
      <c r="AB1313" s="36"/>
      <c r="AC1313" s="36"/>
    </row>
    <row r="1314" spans="17:29" x14ac:dyDescent="0.2">
      <c r="Q1314" s="36"/>
      <c r="R1314" s="40"/>
      <c r="S1314" s="40"/>
      <c r="T1314" s="40"/>
      <c r="U1314" s="41"/>
      <c r="V1314" s="41"/>
      <c r="W1314" s="36"/>
      <c r="X1314" s="36"/>
      <c r="Y1314" s="36"/>
      <c r="Z1314" s="36"/>
      <c r="AA1314" s="36"/>
      <c r="AB1314" s="36"/>
      <c r="AC1314" s="36"/>
    </row>
    <row r="1315" spans="17:29" x14ac:dyDescent="0.2">
      <c r="Q1315" s="36"/>
      <c r="R1315" s="40"/>
      <c r="S1315" s="40"/>
      <c r="T1315" s="40"/>
      <c r="U1315" s="41"/>
      <c r="V1315" s="41"/>
      <c r="W1315" s="36"/>
      <c r="X1315" s="36"/>
      <c r="Y1315" s="36"/>
      <c r="Z1315" s="36"/>
      <c r="AA1315" s="36"/>
      <c r="AB1315" s="36"/>
      <c r="AC1315" s="36"/>
    </row>
    <row r="1316" spans="17:29" x14ac:dyDescent="0.2">
      <c r="Q1316" s="36"/>
      <c r="R1316" s="40"/>
      <c r="S1316" s="40"/>
      <c r="T1316" s="40"/>
      <c r="U1316" s="41"/>
      <c r="V1316" s="41"/>
      <c r="W1316" s="36"/>
      <c r="X1316" s="36"/>
      <c r="Y1316" s="36"/>
      <c r="Z1316" s="36"/>
      <c r="AA1316" s="36"/>
      <c r="AB1316" s="36"/>
      <c r="AC1316" s="36"/>
    </row>
    <row r="1317" spans="17:29" x14ac:dyDescent="0.2">
      <c r="Q1317" s="36"/>
      <c r="R1317" s="40"/>
      <c r="S1317" s="40"/>
      <c r="T1317" s="40"/>
      <c r="U1317" s="41"/>
      <c r="V1317" s="41"/>
      <c r="W1317" s="36"/>
      <c r="X1317" s="36"/>
      <c r="Y1317" s="36"/>
      <c r="Z1317" s="36"/>
      <c r="AA1317" s="36"/>
      <c r="AB1317" s="36"/>
      <c r="AC1317" s="36"/>
    </row>
    <row r="1318" spans="17:29" x14ac:dyDescent="0.2">
      <c r="Q1318" s="36"/>
      <c r="R1318" s="40"/>
      <c r="S1318" s="40"/>
      <c r="T1318" s="40"/>
      <c r="U1318" s="41"/>
      <c r="V1318" s="41"/>
      <c r="W1318" s="36"/>
      <c r="X1318" s="36"/>
      <c r="Y1318" s="36"/>
      <c r="Z1318" s="36"/>
      <c r="AA1318" s="36"/>
      <c r="AB1318" s="36"/>
      <c r="AC1318" s="36"/>
    </row>
    <row r="1319" spans="17:29" x14ac:dyDescent="0.2">
      <c r="Q1319" s="36"/>
      <c r="R1319" s="40"/>
      <c r="S1319" s="40"/>
      <c r="T1319" s="40"/>
      <c r="U1319" s="41"/>
      <c r="V1319" s="41"/>
      <c r="W1319" s="36"/>
      <c r="X1319" s="36"/>
      <c r="Y1319" s="36"/>
      <c r="Z1319" s="36"/>
      <c r="AA1319" s="36"/>
      <c r="AB1319" s="36"/>
      <c r="AC1319" s="36"/>
    </row>
    <row r="1320" spans="17:29" x14ac:dyDescent="0.2">
      <c r="Q1320" s="36"/>
      <c r="R1320" s="40"/>
      <c r="S1320" s="40"/>
      <c r="T1320" s="40"/>
      <c r="U1320" s="41"/>
      <c r="V1320" s="41"/>
      <c r="W1320" s="36"/>
      <c r="X1320" s="36"/>
      <c r="Y1320" s="36"/>
      <c r="Z1320" s="36"/>
      <c r="AA1320" s="36"/>
      <c r="AB1320" s="36"/>
      <c r="AC1320" s="36"/>
    </row>
    <row r="1321" spans="17:29" x14ac:dyDescent="0.2">
      <c r="Q1321" s="36"/>
      <c r="R1321" s="40"/>
      <c r="S1321" s="40"/>
      <c r="T1321" s="40"/>
      <c r="U1321" s="41"/>
      <c r="V1321" s="41"/>
      <c r="W1321" s="36"/>
      <c r="X1321" s="36"/>
      <c r="Y1321" s="36"/>
      <c r="Z1321" s="36"/>
      <c r="AA1321" s="36"/>
      <c r="AB1321" s="36"/>
      <c r="AC1321" s="36"/>
    </row>
    <row r="1322" spans="17:29" x14ac:dyDescent="0.2">
      <c r="Q1322" s="36"/>
      <c r="R1322" s="40"/>
      <c r="S1322" s="40"/>
      <c r="T1322" s="40"/>
      <c r="U1322" s="41"/>
      <c r="V1322" s="41"/>
      <c r="W1322" s="36"/>
      <c r="X1322" s="36"/>
      <c r="Y1322" s="36"/>
      <c r="Z1322" s="36"/>
      <c r="AA1322" s="36"/>
      <c r="AB1322" s="36"/>
      <c r="AC1322" s="36"/>
    </row>
    <row r="1323" spans="17:29" x14ac:dyDescent="0.2">
      <c r="Q1323" s="36"/>
      <c r="R1323" s="40"/>
      <c r="S1323" s="40"/>
      <c r="T1323" s="40"/>
      <c r="U1323" s="41"/>
      <c r="V1323" s="41"/>
      <c r="W1323" s="36"/>
      <c r="X1323" s="36"/>
      <c r="Y1323" s="36"/>
      <c r="Z1323" s="36"/>
      <c r="AA1323" s="36"/>
      <c r="AB1323" s="36"/>
      <c r="AC1323" s="36"/>
    </row>
    <row r="1324" spans="17:29" x14ac:dyDescent="0.2">
      <c r="Q1324" s="36"/>
      <c r="R1324" s="40"/>
      <c r="S1324" s="40"/>
      <c r="T1324" s="40"/>
      <c r="U1324" s="41"/>
      <c r="V1324" s="41"/>
      <c r="W1324" s="36"/>
      <c r="X1324" s="36"/>
      <c r="Y1324" s="36"/>
      <c r="Z1324" s="36"/>
      <c r="AA1324" s="36"/>
      <c r="AB1324" s="36"/>
      <c r="AC1324" s="36"/>
    </row>
    <row r="1325" spans="17:29" x14ac:dyDescent="0.2">
      <c r="Q1325" s="36"/>
      <c r="R1325" s="40"/>
      <c r="S1325" s="40"/>
      <c r="T1325" s="40"/>
      <c r="U1325" s="41"/>
      <c r="V1325" s="41"/>
      <c r="W1325" s="36"/>
      <c r="X1325" s="36"/>
      <c r="Y1325" s="36"/>
      <c r="Z1325" s="36"/>
      <c r="AA1325" s="36"/>
      <c r="AB1325" s="36"/>
      <c r="AC1325" s="36"/>
    </row>
    <row r="1326" spans="17:29" x14ac:dyDescent="0.2">
      <c r="Q1326" s="36"/>
      <c r="R1326" s="40"/>
      <c r="S1326" s="40"/>
      <c r="T1326" s="40"/>
      <c r="U1326" s="41"/>
      <c r="V1326" s="41"/>
      <c r="W1326" s="36"/>
      <c r="X1326" s="36"/>
      <c r="Y1326" s="36"/>
      <c r="Z1326" s="36"/>
      <c r="AA1326" s="36"/>
      <c r="AB1326" s="36"/>
      <c r="AC1326" s="36"/>
    </row>
    <row r="1327" spans="17:29" x14ac:dyDescent="0.2">
      <c r="Q1327" s="36"/>
      <c r="R1327" s="40"/>
      <c r="S1327" s="40"/>
      <c r="T1327" s="40"/>
      <c r="U1327" s="41"/>
      <c r="V1327" s="41"/>
      <c r="W1327" s="36"/>
      <c r="X1327" s="36"/>
      <c r="Y1327" s="36"/>
      <c r="Z1327" s="36"/>
      <c r="AA1327" s="36"/>
      <c r="AB1327" s="36"/>
      <c r="AC1327" s="36"/>
    </row>
    <row r="1328" spans="17:29" x14ac:dyDescent="0.2">
      <c r="Q1328" s="36"/>
      <c r="R1328" s="40"/>
      <c r="S1328" s="40"/>
      <c r="T1328" s="40"/>
      <c r="U1328" s="41"/>
      <c r="V1328" s="41"/>
      <c r="W1328" s="36"/>
      <c r="X1328" s="36"/>
      <c r="Y1328" s="36"/>
      <c r="Z1328" s="36"/>
      <c r="AA1328" s="36"/>
      <c r="AB1328" s="36"/>
      <c r="AC1328" s="36"/>
    </row>
    <row r="1329" spans="17:29" x14ac:dyDescent="0.2">
      <c r="Q1329" s="36"/>
      <c r="R1329" s="40"/>
      <c r="S1329" s="40"/>
      <c r="T1329" s="40"/>
      <c r="U1329" s="41"/>
      <c r="V1329" s="41"/>
      <c r="W1329" s="36"/>
      <c r="X1329" s="36"/>
      <c r="Y1329" s="36"/>
      <c r="Z1329" s="36"/>
      <c r="AA1329" s="36"/>
      <c r="AB1329" s="36"/>
      <c r="AC1329" s="36"/>
    </row>
    <row r="1330" spans="17:29" x14ac:dyDescent="0.2">
      <c r="Q1330" s="36"/>
      <c r="R1330" s="40"/>
      <c r="S1330" s="40"/>
      <c r="T1330" s="40"/>
      <c r="U1330" s="41"/>
      <c r="V1330" s="41"/>
      <c r="W1330" s="36"/>
      <c r="X1330" s="36"/>
      <c r="Y1330" s="36"/>
      <c r="Z1330" s="36"/>
      <c r="AA1330" s="36"/>
      <c r="AB1330" s="36"/>
      <c r="AC1330" s="36"/>
    </row>
    <row r="1331" spans="17:29" x14ac:dyDescent="0.2">
      <c r="Q1331" s="36"/>
      <c r="R1331" s="40"/>
      <c r="S1331" s="40"/>
      <c r="T1331" s="40"/>
      <c r="U1331" s="41"/>
      <c r="V1331" s="41"/>
      <c r="W1331" s="36"/>
      <c r="X1331" s="36"/>
      <c r="Y1331" s="36"/>
      <c r="Z1331" s="36"/>
      <c r="AA1331" s="36"/>
      <c r="AB1331" s="36"/>
      <c r="AC1331" s="36"/>
    </row>
    <row r="1332" spans="17:29" x14ac:dyDescent="0.2">
      <c r="Q1332" s="36"/>
      <c r="R1332" s="40"/>
      <c r="S1332" s="40"/>
      <c r="T1332" s="40"/>
      <c r="U1332" s="41"/>
      <c r="V1332" s="41"/>
      <c r="W1332" s="36"/>
      <c r="X1332" s="36"/>
      <c r="Y1332" s="36"/>
      <c r="Z1332" s="36"/>
      <c r="AA1332" s="36"/>
      <c r="AB1332" s="36"/>
      <c r="AC1332" s="36"/>
    </row>
    <row r="1333" spans="17:29" x14ac:dyDescent="0.2">
      <c r="Q1333" s="36"/>
      <c r="R1333" s="40"/>
      <c r="S1333" s="40"/>
      <c r="T1333" s="40"/>
      <c r="U1333" s="41"/>
      <c r="V1333" s="41"/>
      <c r="W1333" s="36"/>
      <c r="X1333" s="36"/>
      <c r="Y1333" s="36"/>
      <c r="Z1333" s="36"/>
      <c r="AA1333" s="36"/>
      <c r="AB1333" s="36"/>
      <c r="AC1333" s="36"/>
    </row>
    <row r="1334" spans="17:29" x14ac:dyDescent="0.2">
      <c r="Q1334" s="36"/>
      <c r="R1334" s="40"/>
      <c r="S1334" s="40"/>
      <c r="T1334" s="40"/>
      <c r="U1334" s="41"/>
      <c r="V1334" s="41"/>
      <c r="W1334" s="36"/>
      <c r="X1334" s="36"/>
      <c r="Y1334" s="36"/>
      <c r="Z1334" s="36"/>
      <c r="AA1334" s="36"/>
      <c r="AB1334" s="36"/>
      <c r="AC1334" s="36"/>
    </row>
    <row r="1335" spans="17:29" x14ac:dyDescent="0.2">
      <c r="Q1335" s="36"/>
      <c r="R1335" s="40"/>
      <c r="S1335" s="40"/>
      <c r="T1335" s="40"/>
      <c r="U1335" s="41"/>
      <c r="V1335" s="41"/>
      <c r="W1335" s="36"/>
      <c r="X1335" s="36"/>
      <c r="Y1335" s="36"/>
      <c r="Z1335" s="36"/>
      <c r="AA1335" s="36"/>
      <c r="AB1335" s="36"/>
      <c r="AC1335" s="36"/>
    </row>
    <row r="1336" spans="17:29" x14ac:dyDescent="0.2">
      <c r="Q1336" s="36"/>
      <c r="R1336" s="40"/>
      <c r="S1336" s="40"/>
      <c r="T1336" s="40"/>
      <c r="U1336" s="41"/>
      <c r="V1336" s="41"/>
      <c r="W1336" s="36"/>
      <c r="X1336" s="36"/>
      <c r="Y1336" s="36"/>
      <c r="Z1336" s="36"/>
      <c r="AA1336" s="36"/>
      <c r="AB1336" s="36"/>
      <c r="AC1336" s="36"/>
    </row>
    <row r="1337" spans="17:29" x14ac:dyDescent="0.2">
      <c r="Q1337" s="36"/>
      <c r="R1337" s="40"/>
      <c r="S1337" s="40"/>
      <c r="T1337" s="40"/>
      <c r="U1337" s="41"/>
      <c r="V1337" s="41"/>
      <c r="W1337" s="36"/>
      <c r="X1337" s="36"/>
      <c r="Y1337" s="36"/>
      <c r="Z1337" s="36"/>
      <c r="AA1337" s="36"/>
      <c r="AB1337" s="36"/>
      <c r="AC1337" s="36"/>
    </row>
    <row r="1338" spans="17:29" x14ac:dyDescent="0.2">
      <c r="Q1338" s="36"/>
      <c r="R1338" s="40"/>
      <c r="S1338" s="40"/>
      <c r="T1338" s="40"/>
      <c r="U1338" s="41"/>
      <c r="V1338" s="41"/>
      <c r="W1338" s="36"/>
      <c r="X1338" s="36"/>
      <c r="Y1338" s="36"/>
      <c r="Z1338" s="36"/>
      <c r="AA1338" s="36"/>
      <c r="AB1338" s="36"/>
      <c r="AC1338" s="36"/>
    </row>
    <row r="1339" spans="17:29" x14ac:dyDescent="0.2">
      <c r="Q1339" s="36"/>
      <c r="R1339" s="40"/>
      <c r="S1339" s="40"/>
      <c r="T1339" s="40"/>
      <c r="U1339" s="41"/>
      <c r="V1339" s="41"/>
      <c r="W1339" s="36"/>
      <c r="X1339" s="36"/>
      <c r="Y1339" s="36"/>
      <c r="Z1339" s="36"/>
      <c r="AA1339" s="36"/>
      <c r="AB1339" s="36"/>
      <c r="AC1339" s="36"/>
    </row>
    <row r="1340" spans="17:29" x14ac:dyDescent="0.2">
      <c r="Q1340" s="36"/>
      <c r="R1340" s="40"/>
      <c r="S1340" s="40"/>
      <c r="T1340" s="40"/>
      <c r="U1340" s="41"/>
      <c r="V1340" s="41"/>
      <c r="W1340" s="36"/>
      <c r="X1340" s="36"/>
      <c r="Y1340" s="36"/>
      <c r="Z1340" s="36"/>
      <c r="AA1340" s="36"/>
      <c r="AB1340" s="36"/>
      <c r="AC1340" s="36"/>
    </row>
    <row r="1341" spans="17:29" x14ac:dyDescent="0.2">
      <c r="Q1341" s="36"/>
      <c r="R1341" s="40"/>
      <c r="S1341" s="40"/>
      <c r="T1341" s="40"/>
      <c r="U1341" s="41"/>
      <c r="V1341" s="41"/>
      <c r="W1341" s="36"/>
      <c r="X1341" s="36"/>
      <c r="Y1341" s="36"/>
      <c r="Z1341" s="36"/>
      <c r="AA1341" s="36"/>
      <c r="AB1341" s="36"/>
      <c r="AC1341" s="36"/>
    </row>
    <row r="1342" spans="17:29" x14ac:dyDescent="0.2">
      <c r="Q1342" s="36"/>
      <c r="R1342" s="40"/>
      <c r="S1342" s="40"/>
      <c r="T1342" s="40"/>
      <c r="U1342" s="41"/>
      <c r="V1342" s="41"/>
      <c r="W1342" s="36"/>
      <c r="X1342" s="36"/>
      <c r="Y1342" s="36"/>
      <c r="Z1342" s="36"/>
      <c r="AA1342" s="36"/>
      <c r="AB1342" s="36"/>
      <c r="AC1342" s="36"/>
    </row>
    <row r="1343" spans="17:29" x14ac:dyDescent="0.2">
      <c r="Q1343" s="36"/>
      <c r="R1343" s="40"/>
      <c r="S1343" s="40"/>
      <c r="T1343" s="40"/>
      <c r="U1343" s="41"/>
      <c r="V1343" s="41"/>
      <c r="W1343" s="36"/>
      <c r="X1343" s="36"/>
      <c r="Y1343" s="36"/>
      <c r="Z1343" s="36"/>
      <c r="AA1343" s="36"/>
      <c r="AB1343" s="36"/>
      <c r="AC1343" s="36"/>
    </row>
    <row r="1344" spans="17:29" x14ac:dyDescent="0.2">
      <c r="Q1344" s="36"/>
      <c r="R1344" s="40"/>
      <c r="S1344" s="40"/>
      <c r="T1344" s="40"/>
      <c r="U1344" s="41"/>
      <c r="V1344" s="41"/>
      <c r="W1344" s="36"/>
      <c r="X1344" s="36"/>
      <c r="Y1344" s="36"/>
      <c r="Z1344" s="36"/>
      <c r="AA1344" s="36"/>
      <c r="AB1344" s="36"/>
      <c r="AC1344" s="36"/>
    </row>
    <row r="1345" spans="17:29" x14ac:dyDescent="0.2">
      <c r="Q1345" s="36"/>
      <c r="R1345" s="40"/>
      <c r="S1345" s="40"/>
      <c r="T1345" s="40"/>
      <c r="U1345" s="41"/>
      <c r="V1345" s="41"/>
      <c r="W1345" s="36"/>
      <c r="X1345" s="36"/>
      <c r="Y1345" s="36"/>
      <c r="Z1345" s="36"/>
      <c r="AA1345" s="36"/>
      <c r="AB1345" s="36"/>
      <c r="AC1345" s="36"/>
    </row>
    <row r="1346" spans="17:29" x14ac:dyDescent="0.2">
      <c r="Q1346" s="36"/>
      <c r="R1346" s="40"/>
      <c r="S1346" s="40"/>
      <c r="T1346" s="40"/>
      <c r="U1346" s="41"/>
      <c r="V1346" s="41"/>
      <c r="W1346" s="36"/>
      <c r="X1346" s="36"/>
      <c r="Y1346" s="36"/>
      <c r="Z1346" s="36"/>
      <c r="AA1346" s="36"/>
      <c r="AB1346" s="36"/>
      <c r="AC1346" s="36"/>
    </row>
    <row r="1347" spans="17:29" x14ac:dyDescent="0.2">
      <c r="Q1347" s="36"/>
      <c r="R1347" s="40"/>
      <c r="S1347" s="40"/>
      <c r="T1347" s="40"/>
      <c r="U1347" s="41"/>
      <c r="V1347" s="41"/>
      <c r="W1347" s="36"/>
      <c r="X1347" s="36"/>
      <c r="Y1347" s="36"/>
      <c r="Z1347" s="36"/>
      <c r="AA1347" s="36"/>
      <c r="AB1347" s="36"/>
      <c r="AC1347" s="36"/>
    </row>
    <row r="1348" spans="17:29" x14ac:dyDescent="0.2">
      <c r="Q1348" s="36"/>
      <c r="R1348" s="40"/>
      <c r="S1348" s="40"/>
      <c r="T1348" s="40"/>
      <c r="U1348" s="41"/>
      <c r="V1348" s="41"/>
      <c r="W1348" s="36"/>
      <c r="X1348" s="36"/>
      <c r="Y1348" s="36"/>
      <c r="Z1348" s="36"/>
      <c r="AA1348" s="36"/>
      <c r="AB1348" s="36"/>
      <c r="AC1348" s="36"/>
    </row>
    <row r="1349" spans="17:29" x14ac:dyDescent="0.2">
      <c r="Q1349" s="36"/>
      <c r="R1349" s="40"/>
      <c r="S1349" s="40"/>
      <c r="T1349" s="40"/>
      <c r="U1349" s="41"/>
      <c r="V1349" s="41"/>
      <c r="W1349" s="36"/>
      <c r="X1349" s="36"/>
      <c r="Y1349" s="36"/>
      <c r="Z1349" s="36"/>
      <c r="AA1349" s="36"/>
      <c r="AB1349" s="36"/>
      <c r="AC1349" s="36"/>
    </row>
    <row r="1350" spans="17:29" x14ac:dyDescent="0.2">
      <c r="Q1350" s="36"/>
      <c r="R1350" s="40"/>
      <c r="S1350" s="40"/>
      <c r="T1350" s="40"/>
      <c r="U1350" s="41"/>
      <c r="V1350" s="41"/>
      <c r="W1350" s="36"/>
      <c r="X1350" s="36"/>
      <c r="Y1350" s="36"/>
      <c r="Z1350" s="36"/>
      <c r="AA1350" s="36"/>
      <c r="AB1350" s="36"/>
      <c r="AC1350" s="36"/>
    </row>
    <row r="1351" spans="17:29" x14ac:dyDescent="0.2">
      <c r="Q1351" s="36"/>
      <c r="R1351" s="40"/>
      <c r="S1351" s="40"/>
      <c r="T1351" s="40"/>
      <c r="U1351" s="41"/>
      <c r="V1351" s="41"/>
      <c r="W1351" s="36"/>
      <c r="X1351" s="36"/>
      <c r="Y1351" s="36"/>
      <c r="Z1351" s="36"/>
      <c r="AA1351" s="36"/>
      <c r="AB1351" s="36"/>
      <c r="AC1351" s="36"/>
    </row>
    <row r="1352" spans="17:29" x14ac:dyDescent="0.2">
      <c r="Q1352" s="36"/>
      <c r="R1352" s="40"/>
      <c r="S1352" s="40"/>
      <c r="T1352" s="40"/>
      <c r="U1352" s="41"/>
      <c r="V1352" s="41"/>
      <c r="W1352" s="36"/>
      <c r="X1352" s="36"/>
      <c r="Y1352" s="36"/>
      <c r="Z1352" s="36"/>
      <c r="AA1352" s="36"/>
      <c r="AB1352" s="36"/>
      <c r="AC1352" s="36"/>
    </row>
    <row r="1353" spans="17:29" x14ac:dyDescent="0.2">
      <c r="Q1353" s="36"/>
      <c r="R1353" s="40"/>
      <c r="S1353" s="40"/>
      <c r="T1353" s="40"/>
      <c r="U1353" s="41"/>
      <c r="V1353" s="41"/>
      <c r="W1353" s="36"/>
      <c r="X1353" s="36"/>
      <c r="Y1353" s="36"/>
      <c r="Z1353" s="36"/>
      <c r="AA1353" s="36"/>
      <c r="AB1353" s="36"/>
      <c r="AC1353" s="36"/>
    </row>
    <row r="1354" spans="17:29" x14ac:dyDescent="0.2">
      <c r="Q1354" s="36"/>
      <c r="R1354" s="40"/>
      <c r="S1354" s="40"/>
      <c r="T1354" s="40"/>
      <c r="U1354" s="41"/>
      <c r="V1354" s="41"/>
      <c r="W1354" s="36"/>
      <c r="X1354" s="36"/>
      <c r="Y1354" s="36"/>
      <c r="Z1354" s="36"/>
      <c r="AA1354" s="36"/>
      <c r="AB1354" s="36"/>
      <c r="AC1354" s="36"/>
    </row>
    <row r="1355" spans="17:29" x14ac:dyDescent="0.2">
      <c r="Q1355" s="36"/>
      <c r="R1355" s="40"/>
      <c r="S1355" s="40"/>
      <c r="T1355" s="40"/>
      <c r="U1355" s="41"/>
      <c r="V1355" s="41"/>
      <c r="W1355" s="36"/>
      <c r="X1355" s="36"/>
      <c r="Y1355" s="36"/>
      <c r="Z1355" s="36"/>
      <c r="AA1355" s="36"/>
      <c r="AB1355" s="36"/>
      <c r="AC1355" s="36"/>
    </row>
    <row r="1356" spans="17:29" x14ac:dyDescent="0.2">
      <c r="Q1356" s="36"/>
      <c r="R1356" s="40"/>
      <c r="S1356" s="40"/>
      <c r="T1356" s="40"/>
      <c r="U1356" s="41"/>
      <c r="V1356" s="41"/>
      <c r="W1356" s="36"/>
      <c r="X1356" s="36"/>
      <c r="Y1356" s="36"/>
      <c r="Z1356" s="36"/>
      <c r="AA1356" s="36"/>
      <c r="AB1356" s="36"/>
      <c r="AC1356" s="36"/>
    </row>
    <row r="1357" spans="17:29" x14ac:dyDescent="0.2">
      <c r="Q1357" s="36"/>
      <c r="R1357" s="40"/>
      <c r="S1357" s="40"/>
      <c r="T1357" s="40"/>
      <c r="U1357" s="41"/>
      <c r="V1357" s="41"/>
      <c r="W1357" s="36"/>
      <c r="X1357" s="36"/>
      <c r="Y1357" s="36"/>
      <c r="Z1357" s="36"/>
      <c r="AA1357" s="36"/>
      <c r="AB1357" s="36"/>
      <c r="AC1357" s="36"/>
    </row>
    <row r="1358" spans="17:29" x14ac:dyDescent="0.2">
      <c r="Q1358" s="36"/>
      <c r="R1358" s="40"/>
      <c r="S1358" s="40"/>
      <c r="T1358" s="40"/>
      <c r="U1358" s="41"/>
      <c r="V1358" s="41"/>
      <c r="W1358" s="36"/>
      <c r="X1358" s="36"/>
      <c r="Y1358" s="36"/>
      <c r="Z1358" s="36"/>
      <c r="AA1358" s="36"/>
      <c r="AB1358" s="36"/>
      <c r="AC1358" s="36"/>
    </row>
    <row r="1359" spans="17:29" x14ac:dyDescent="0.2">
      <c r="Q1359" s="36"/>
      <c r="R1359" s="40"/>
      <c r="S1359" s="40"/>
      <c r="T1359" s="40"/>
      <c r="U1359" s="41"/>
      <c r="V1359" s="41"/>
      <c r="W1359" s="36"/>
      <c r="X1359" s="36"/>
      <c r="Y1359" s="36"/>
      <c r="Z1359" s="36"/>
      <c r="AA1359" s="36"/>
      <c r="AB1359" s="36"/>
      <c r="AC1359" s="36"/>
    </row>
    <row r="1360" spans="17:29" x14ac:dyDescent="0.2">
      <c r="Q1360" s="36"/>
      <c r="R1360" s="40"/>
      <c r="S1360" s="40"/>
      <c r="T1360" s="40"/>
      <c r="U1360" s="41"/>
      <c r="V1360" s="41"/>
      <c r="W1360" s="36"/>
      <c r="X1360" s="36"/>
      <c r="Y1360" s="36"/>
      <c r="Z1360" s="36"/>
      <c r="AA1360" s="36"/>
      <c r="AB1360" s="36"/>
      <c r="AC1360" s="36"/>
    </row>
    <row r="1361" spans="17:29" x14ac:dyDescent="0.2">
      <c r="Q1361" s="36"/>
      <c r="R1361" s="40"/>
      <c r="S1361" s="40"/>
      <c r="T1361" s="40"/>
      <c r="U1361" s="41"/>
      <c r="V1361" s="41"/>
      <c r="W1361" s="36"/>
      <c r="X1361" s="36"/>
      <c r="Y1361" s="36"/>
      <c r="Z1361" s="36"/>
      <c r="AA1361" s="36"/>
      <c r="AB1361" s="36"/>
      <c r="AC1361" s="36"/>
    </row>
    <row r="1362" spans="17:29" x14ac:dyDescent="0.2">
      <c r="Q1362" s="36"/>
      <c r="R1362" s="40"/>
      <c r="S1362" s="40"/>
      <c r="T1362" s="40"/>
      <c r="U1362" s="41"/>
      <c r="V1362" s="41"/>
      <c r="W1362" s="36"/>
      <c r="X1362" s="36"/>
      <c r="Y1362" s="36"/>
      <c r="Z1362" s="36"/>
      <c r="AA1362" s="36"/>
      <c r="AB1362" s="36"/>
      <c r="AC1362" s="36"/>
    </row>
    <row r="1363" spans="17:29" x14ac:dyDescent="0.2">
      <c r="Q1363" s="36"/>
      <c r="R1363" s="40"/>
      <c r="S1363" s="40"/>
      <c r="T1363" s="40"/>
      <c r="U1363" s="41"/>
      <c r="V1363" s="41"/>
      <c r="W1363" s="36"/>
      <c r="X1363" s="36"/>
      <c r="Y1363" s="36"/>
      <c r="Z1363" s="36"/>
      <c r="AA1363" s="36"/>
      <c r="AB1363" s="36"/>
      <c r="AC1363" s="36"/>
    </row>
    <row r="1364" spans="17:29" x14ac:dyDescent="0.2">
      <c r="Q1364" s="36"/>
      <c r="R1364" s="40"/>
      <c r="S1364" s="40"/>
      <c r="T1364" s="40"/>
      <c r="U1364" s="41"/>
      <c r="V1364" s="41"/>
      <c r="W1364" s="36"/>
      <c r="X1364" s="36"/>
      <c r="Y1364" s="36"/>
      <c r="Z1364" s="36"/>
      <c r="AA1364" s="36"/>
      <c r="AB1364" s="36"/>
      <c r="AC1364" s="36"/>
    </row>
    <row r="1365" spans="17:29" x14ac:dyDescent="0.2">
      <c r="Q1365" s="36"/>
      <c r="R1365" s="40"/>
      <c r="S1365" s="40"/>
      <c r="T1365" s="40"/>
      <c r="U1365" s="41"/>
      <c r="V1365" s="41"/>
      <c r="W1365" s="36"/>
      <c r="X1365" s="36"/>
      <c r="Y1365" s="36"/>
      <c r="Z1365" s="36"/>
      <c r="AA1365" s="36"/>
      <c r="AB1365" s="36"/>
      <c r="AC1365" s="36"/>
    </row>
    <row r="1366" spans="17:29" x14ac:dyDescent="0.2">
      <c r="Q1366" s="36"/>
      <c r="R1366" s="40"/>
      <c r="S1366" s="40"/>
      <c r="T1366" s="40"/>
      <c r="U1366" s="41"/>
      <c r="V1366" s="41"/>
      <c r="W1366" s="36"/>
      <c r="X1366" s="36"/>
      <c r="Y1366" s="36"/>
      <c r="Z1366" s="36"/>
      <c r="AA1366" s="36"/>
      <c r="AB1366" s="36"/>
      <c r="AC1366" s="36"/>
    </row>
    <row r="1367" spans="17:29" x14ac:dyDescent="0.2">
      <c r="Q1367" s="36"/>
      <c r="R1367" s="40"/>
      <c r="S1367" s="40"/>
      <c r="T1367" s="40"/>
      <c r="U1367" s="41"/>
      <c r="V1367" s="41"/>
      <c r="W1367" s="36"/>
      <c r="X1367" s="36"/>
      <c r="Y1367" s="36"/>
      <c r="Z1367" s="36"/>
      <c r="AA1367" s="36"/>
      <c r="AB1367" s="36"/>
      <c r="AC1367" s="36"/>
    </row>
    <row r="1368" spans="17:29" x14ac:dyDescent="0.2">
      <c r="Q1368" s="36"/>
      <c r="R1368" s="40"/>
      <c r="S1368" s="40"/>
      <c r="T1368" s="40"/>
      <c r="U1368" s="41"/>
      <c r="V1368" s="41"/>
      <c r="W1368" s="36"/>
      <c r="X1368" s="36"/>
      <c r="Y1368" s="36"/>
      <c r="Z1368" s="36"/>
      <c r="AA1368" s="36"/>
      <c r="AB1368" s="36"/>
      <c r="AC1368" s="36"/>
    </row>
    <row r="1369" spans="17:29" x14ac:dyDescent="0.2">
      <c r="Q1369" s="36"/>
      <c r="R1369" s="40"/>
      <c r="S1369" s="40"/>
      <c r="T1369" s="40"/>
      <c r="U1369" s="41"/>
      <c r="V1369" s="41"/>
      <c r="W1369" s="36"/>
      <c r="X1369" s="36"/>
      <c r="Y1369" s="36"/>
      <c r="Z1369" s="36"/>
      <c r="AA1369" s="36"/>
      <c r="AB1369" s="36"/>
      <c r="AC1369" s="36"/>
    </row>
    <row r="1370" spans="17:29" x14ac:dyDescent="0.2">
      <c r="Q1370" s="36"/>
      <c r="R1370" s="40"/>
      <c r="S1370" s="40"/>
      <c r="T1370" s="40"/>
      <c r="U1370" s="41"/>
      <c r="V1370" s="41"/>
      <c r="W1370" s="36"/>
      <c r="X1370" s="36"/>
      <c r="Y1370" s="36"/>
      <c r="Z1370" s="36"/>
      <c r="AA1370" s="36"/>
      <c r="AB1370" s="36"/>
      <c r="AC1370" s="36"/>
    </row>
    <row r="1371" spans="17:29" x14ac:dyDescent="0.2">
      <c r="Q1371" s="36"/>
      <c r="R1371" s="40"/>
      <c r="S1371" s="40"/>
      <c r="T1371" s="40"/>
      <c r="U1371" s="41"/>
      <c r="V1371" s="41"/>
      <c r="W1371" s="36"/>
      <c r="X1371" s="36"/>
      <c r="Y1371" s="36"/>
      <c r="Z1371" s="36"/>
      <c r="AA1371" s="36"/>
      <c r="AB1371" s="36"/>
      <c r="AC1371" s="36"/>
    </row>
    <row r="1372" spans="17:29" x14ac:dyDescent="0.2">
      <c r="Q1372" s="36"/>
      <c r="R1372" s="40"/>
      <c r="S1372" s="40"/>
      <c r="T1372" s="40"/>
      <c r="U1372" s="41"/>
      <c r="V1372" s="41"/>
      <c r="W1372" s="36"/>
      <c r="X1372" s="36"/>
      <c r="Y1372" s="36"/>
      <c r="Z1372" s="36"/>
      <c r="AA1372" s="36"/>
      <c r="AB1372" s="36"/>
      <c r="AC1372" s="36"/>
    </row>
    <row r="1373" spans="17:29" x14ac:dyDescent="0.2">
      <c r="Q1373" s="36"/>
      <c r="R1373" s="40"/>
      <c r="S1373" s="40"/>
      <c r="T1373" s="40"/>
      <c r="U1373" s="41"/>
      <c r="V1373" s="41"/>
      <c r="W1373" s="36"/>
      <c r="X1373" s="36"/>
      <c r="Y1373" s="36"/>
      <c r="Z1373" s="36"/>
      <c r="AA1373" s="36"/>
      <c r="AB1373" s="36"/>
      <c r="AC1373" s="36"/>
    </row>
    <row r="1374" spans="17:29" x14ac:dyDescent="0.2">
      <c r="Q1374" s="36"/>
      <c r="R1374" s="40"/>
      <c r="S1374" s="40"/>
      <c r="T1374" s="40"/>
      <c r="U1374" s="41"/>
      <c r="V1374" s="41"/>
      <c r="W1374" s="36"/>
      <c r="X1374" s="36"/>
      <c r="Y1374" s="36"/>
      <c r="Z1374" s="36"/>
      <c r="AA1374" s="36"/>
      <c r="AB1374" s="36"/>
      <c r="AC1374" s="36"/>
    </row>
    <row r="1375" spans="17:29" x14ac:dyDescent="0.2">
      <c r="Q1375" s="36"/>
      <c r="R1375" s="36"/>
      <c r="S1375" s="36"/>
      <c r="T1375" s="36"/>
      <c r="U1375" s="36"/>
      <c r="V1375" s="36"/>
      <c r="W1375" s="36"/>
      <c r="X1375" s="36"/>
      <c r="Y1375" s="36"/>
      <c r="Z1375" s="36"/>
      <c r="AA1375" s="36"/>
      <c r="AB1375" s="36"/>
      <c r="AC1375" s="36"/>
    </row>
    <row r="1376" spans="17:29" x14ac:dyDescent="0.2">
      <c r="Q1376" s="36"/>
      <c r="R1376" s="36"/>
      <c r="S1376" s="36"/>
      <c r="T1376" s="36"/>
      <c r="U1376" s="36"/>
      <c r="V1376" s="36"/>
      <c r="W1376" s="36"/>
      <c r="X1376" s="36"/>
      <c r="Y1376" s="36"/>
      <c r="Z1376" s="36"/>
      <c r="AA1376" s="36"/>
      <c r="AB1376" s="36"/>
      <c r="AC1376" s="36"/>
    </row>
    <row r="1377" spans="17:29" x14ac:dyDescent="0.2">
      <c r="Q1377" s="36"/>
      <c r="R1377" s="36"/>
      <c r="S1377" s="36"/>
      <c r="T1377" s="36"/>
      <c r="U1377" s="36"/>
      <c r="V1377" s="36"/>
      <c r="W1377" s="36"/>
      <c r="X1377" s="36"/>
      <c r="Y1377" s="36"/>
      <c r="Z1377" s="36"/>
      <c r="AA1377" s="36"/>
      <c r="AB1377" s="36"/>
      <c r="AC1377" s="36"/>
    </row>
    <row r="1378" spans="17:29" x14ac:dyDescent="0.2">
      <c r="Q1378" s="36"/>
      <c r="R1378" s="36"/>
      <c r="S1378" s="36"/>
      <c r="T1378" s="36"/>
      <c r="U1378" s="36"/>
      <c r="V1378" s="36"/>
      <c r="W1378" s="36"/>
      <c r="X1378" s="36"/>
      <c r="Y1378" s="36"/>
      <c r="Z1378" s="36"/>
      <c r="AA1378" s="36"/>
      <c r="AB1378" s="36"/>
      <c r="AC1378" s="36"/>
    </row>
    <row r="1379" spans="17:29" x14ac:dyDescent="0.2">
      <c r="Q1379" s="36"/>
      <c r="R1379" s="36"/>
      <c r="S1379" s="36"/>
      <c r="T1379" s="36"/>
      <c r="U1379" s="36"/>
      <c r="V1379" s="36"/>
      <c r="W1379" s="36"/>
      <c r="X1379" s="36"/>
      <c r="Y1379" s="36"/>
      <c r="Z1379" s="36"/>
      <c r="AA1379" s="36"/>
      <c r="AB1379" s="36"/>
      <c r="AC1379" s="36"/>
    </row>
    <row r="1380" spans="17:29" x14ac:dyDescent="0.2">
      <c r="Q1380" s="36"/>
      <c r="R1380" s="36"/>
      <c r="S1380" s="36"/>
      <c r="T1380" s="36"/>
      <c r="U1380" s="36"/>
      <c r="V1380" s="36"/>
      <c r="W1380" s="36"/>
      <c r="X1380" s="36"/>
      <c r="Y1380" s="36"/>
      <c r="Z1380" s="36"/>
      <c r="AA1380" s="36"/>
      <c r="AB1380" s="36"/>
      <c r="AC1380" s="36"/>
    </row>
    <row r="1381" spans="17:29" x14ac:dyDescent="0.2">
      <c r="Q1381" s="36"/>
      <c r="R1381" s="36"/>
      <c r="S1381" s="36"/>
      <c r="T1381" s="36"/>
      <c r="U1381" s="36"/>
      <c r="V1381" s="36"/>
      <c r="W1381" s="36"/>
      <c r="X1381" s="36"/>
      <c r="Y1381" s="36"/>
      <c r="Z1381" s="36"/>
      <c r="AA1381" s="36"/>
      <c r="AB1381" s="36"/>
      <c r="AC1381" s="36"/>
    </row>
    <row r="1382" spans="17:29" x14ac:dyDescent="0.2">
      <c r="Q1382" s="36"/>
      <c r="R1382" s="36"/>
      <c r="S1382" s="36"/>
      <c r="T1382" s="36"/>
      <c r="U1382" s="36"/>
      <c r="V1382" s="36"/>
      <c r="W1382" s="36"/>
      <c r="X1382" s="36"/>
      <c r="Y1382" s="36"/>
      <c r="Z1382" s="36"/>
      <c r="AA1382" s="36"/>
      <c r="AB1382" s="36"/>
      <c r="AC1382" s="36"/>
    </row>
    <row r="1383" spans="17:29" x14ac:dyDescent="0.2">
      <c r="Q1383" s="36"/>
      <c r="R1383" s="36"/>
      <c r="S1383" s="36"/>
      <c r="T1383" s="36"/>
      <c r="U1383" s="36"/>
      <c r="V1383" s="36"/>
      <c r="W1383" s="36"/>
      <c r="X1383" s="36"/>
      <c r="Y1383" s="36"/>
      <c r="Z1383" s="36"/>
      <c r="AA1383" s="36"/>
      <c r="AB1383" s="36"/>
      <c r="AC1383" s="36"/>
    </row>
    <row r="1384" spans="17:29" x14ac:dyDescent="0.2">
      <c r="Q1384" s="36"/>
      <c r="R1384" s="36"/>
      <c r="S1384" s="36"/>
      <c r="T1384" s="36"/>
      <c r="U1384" s="36"/>
      <c r="V1384" s="36"/>
      <c r="W1384" s="36"/>
      <c r="X1384" s="36"/>
      <c r="Y1384" s="36"/>
      <c r="Z1384" s="36"/>
      <c r="AA1384" s="36"/>
      <c r="AB1384" s="36"/>
      <c r="AC1384" s="36"/>
    </row>
    <row r="1385" spans="17:29" x14ac:dyDescent="0.2">
      <c r="Q1385" s="36"/>
      <c r="R1385" s="36"/>
      <c r="S1385" s="36"/>
      <c r="T1385" s="36"/>
      <c r="U1385" s="36"/>
      <c r="V1385" s="36"/>
      <c r="W1385" s="36"/>
      <c r="X1385" s="36"/>
      <c r="Y1385" s="36"/>
      <c r="Z1385" s="36"/>
      <c r="AA1385" s="36"/>
      <c r="AB1385" s="36"/>
      <c r="AC1385" s="36"/>
    </row>
    <row r="1386" spans="17:29" x14ac:dyDescent="0.2">
      <c r="Q1386" s="36"/>
      <c r="R1386" s="36"/>
      <c r="S1386" s="36"/>
      <c r="T1386" s="36"/>
      <c r="U1386" s="36"/>
      <c r="V1386" s="36"/>
      <c r="W1386" s="36"/>
      <c r="X1386" s="36"/>
      <c r="Y1386" s="36"/>
      <c r="Z1386" s="36"/>
      <c r="AA1386" s="36"/>
      <c r="AB1386" s="36"/>
      <c r="AC1386" s="36"/>
    </row>
    <row r="1387" spans="17:29" x14ac:dyDescent="0.2">
      <c r="Q1387" s="36"/>
      <c r="R1387" s="36"/>
      <c r="S1387" s="36"/>
      <c r="T1387" s="36"/>
      <c r="U1387" s="36"/>
      <c r="V1387" s="36"/>
      <c r="W1387" s="36"/>
      <c r="X1387" s="36"/>
      <c r="Y1387" s="36"/>
      <c r="Z1387" s="36"/>
      <c r="AA1387" s="36"/>
      <c r="AB1387" s="36"/>
      <c r="AC1387" s="36"/>
    </row>
    <row r="1388" spans="17:29" x14ac:dyDescent="0.2">
      <c r="Q1388" s="36"/>
      <c r="R1388" s="36"/>
      <c r="S1388" s="36"/>
      <c r="T1388" s="36"/>
      <c r="U1388" s="36"/>
      <c r="V1388" s="36"/>
      <c r="W1388" s="36"/>
      <c r="X1388" s="36"/>
      <c r="Y1388" s="36"/>
      <c r="Z1388" s="36"/>
      <c r="AA1388" s="36"/>
      <c r="AB1388" s="36"/>
      <c r="AC1388" s="36"/>
    </row>
    <row r="1389" spans="17:29" x14ac:dyDescent="0.2">
      <c r="Q1389" s="36"/>
      <c r="R1389" s="36"/>
      <c r="S1389" s="36"/>
      <c r="T1389" s="36"/>
      <c r="U1389" s="36"/>
      <c r="V1389" s="36"/>
      <c r="W1389" s="36"/>
      <c r="X1389" s="36"/>
      <c r="Y1389" s="36"/>
      <c r="Z1389" s="36"/>
      <c r="AA1389" s="36"/>
      <c r="AB1389" s="36"/>
      <c r="AC1389" s="36"/>
    </row>
    <row r="1390" spans="17:29" x14ac:dyDescent="0.2">
      <c r="Q1390" s="36"/>
      <c r="R1390" s="36"/>
      <c r="S1390" s="36"/>
      <c r="T1390" s="36"/>
      <c r="U1390" s="36"/>
      <c r="V1390" s="36"/>
      <c r="W1390" s="36"/>
      <c r="X1390" s="36"/>
      <c r="Y1390" s="36"/>
      <c r="Z1390" s="36"/>
      <c r="AA1390" s="36"/>
      <c r="AB1390" s="36"/>
      <c r="AC1390" s="36"/>
    </row>
    <row r="1391" spans="17:29" x14ac:dyDescent="0.2">
      <c r="Q1391" s="36"/>
      <c r="R1391" s="36"/>
      <c r="S1391" s="36"/>
      <c r="T1391" s="36"/>
      <c r="U1391" s="36"/>
      <c r="V1391" s="36"/>
      <c r="W1391" s="36"/>
      <c r="X1391" s="36"/>
      <c r="Y1391" s="36"/>
      <c r="Z1391" s="36"/>
      <c r="AA1391" s="36"/>
      <c r="AB1391" s="36"/>
      <c r="AC1391" s="36"/>
    </row>
    <row r="1392" spans="17:29" x14ac:dyDescent="0.2">
      <c r="Q1392" s="36"/>
      <c r="R1392" s="36"/>
      <c r="S1392" s="36"/>
      <c r="T1392" s="36"/>
      <c r="U1392" s="36"/>
      <c r="V1392" s="36"/>
      <c r="W1392" s="36"/>
      <c r="X1392" s="36"/>
      <c r="Y1392" s="36"/>
      <c r="Z1392" s="36"/>
      <c r="AA1392" s="36"/>
      <c r="AB1392" s="36"/>
      <c r="AC1392" s="36"/>
    </row>
    <row r="1393" spans="17:29" x14ac:dyDescent="0.2">
      <c r="Q1393" s="36"/>
      <c r="R1393" s="36"/>
      <c r="S1393" s="36"/>
      <c r="T1393" s="36"/>
      <c r="U1393" s="36"/>
      <c r="V1393" s="36"/>
      <c r="W1393" s="36"/>
      <c r="X1393" s="36"/>
      <c r="Y1393" s="36"/>
      <c r="Z1393" s="36"/>
      <c r="AA1393" s="36"/>
      <c r="AB1393" s="36"/>
      <c r="AC1393" s="36"/>
    </row>
    <row r="1394" spans="17:29" x14ac:dyDescent="0.2">
      <c r="Q1394" s="36"/>
      <c r="R1394" s="36"/>
      <c r="S1394" s="36"/>
      <c r="T1394" s="36"/>
      <c r="U1394" s="36"/>
      <c r="V1394" s="36"/>
      <c r="W1394" s="36"/>
      <c r="X1394" s="36"/>
      <c r="Y1394" s="36"/>
      <c r="Z1394" s="36"/>
      <c r="AA1394" s="36"/>
      <c r="AB1394" s="36"/>
      <c r="AC1394" s="36"/>
    </row>
    <row r="1395" spans="17:29" x14ac:dyDescent="0.2">
      <c r="Q1395" s="36"/>
      <c r="R1395" s="36"/>
      <c r="S1395" s="36"/>
      <c r="T1395" s="36"/>
      <c r="U1395" s="36"/>
      <c r="V1395" s="36"/>
      <c r="W1395" s="36"/>
      <c r="X1395" s="36"/>
      <c r="Y1395" s="36"/>
      <c r="Z1395" s="36"/>
      <c r="AA1395" s="36"/>
      <c r="AB1395" s="36"/>
      <c r="AC1395" s="36"/>
    </row>
    <row r="1396" spans="17:29" x14ac:dyDescent="0.2">
      <c r="Q1396" s="36"/>
      <c r="R1396" s="36"/>
      <c r="S1396" s="36"/>
      <c r="T1396" s="36"/>
      <c r="U1396" s="36"/>
      <c r="V1396" s="36"/>
      <c r="W1396" s="36"/>
      <c r="X1396" s="36"/>
      <c r="Y1396" s="36"/>
      <c r="Z1396" s="36"/>
      <c r="AA1396" s="36"/>
      <c r="AB1396" s="36"/>
      <c r="AC1396" s="36"/>
    </row>
    <row r="1397" spans="17:29" x14ac:dyDescent="0.2">
      <c r="Q1397" s="36"/>
      <c r="R1397" s="36"/>
      <c r="S1397" s="36"/>
      <c r="T1397" s="36"/>
      <c r="U1397" s="36"/>
      <c r="V1397" s="36"/>
      <c r="W1397" s="36"/>
      <c r="X1397" s="36"/>
      <c r="Y1397" s="36"/>
      <c r="Z1397" s="36"/>
      <c r="AA1397" s="36"/>
      <c r="AB1397" s="36"/>
      <c r="AC1397" s="36"/>
    </row>
    <row r="1398" spans="17:29" x14ac:dyDescent="0.2">
      <c r="Q1398" s="36"/>
      <c r="R1398" s="36"/>
      <c r="S1398" s="36"/>
      <c r="T1398" s="36"/>
      <c r="U1398" s="36"/>
      <c r="V1398" s="36"/>
      <c r="W1398" s="36"/>
      <c r="X1398" s="36"/>
      <c r="Y1398" s="36"/>
      <c r="Z1398" s="36"/>
      <c r="AA1398" s="36"/>
      <c r="AB1398" s="36"/>
      <c r="AC1398" s="36"/>
    </row>
    <row r="1399" spans="17:29" x14ac:dyDescent="0.2">
      <c r="Q1399" s="36"/>
      <c r="R1399" s="36"/>
      <c r="S1399" s="36"/>
      <c r="T1399" s="36"/>
      <c r="U1399" s="36"/>
      <c r="V1399" s="36"/>
      <c r="W1399" s="36"/>
      <c r="X1399" s="36"/>
      <c r="Y1399" s="36"/>
      <c r="Z1399" s="36"/>
      <c r="AA1399" s="36"/>
      <c r="AB1399" s="36"/>
      <c r="AC1399" s="36"/>
    </row>
    <row r="1400" spans="17:29" x14ac:dyDescent="0.2">
      <c r="Q1400" s="36"/>
      <c r="R1400" s="36"/>
      <c r="S1400" s="36"/>
      <c r="T1400" s="36"/>
      <c r="U1400" s="36"/>
      <c r="V1400" s="36"/>
      <c r="W1400" s="36"/>
      <c r="X1400" s="36"/>
      <c r="Y1400" s="36"/>
      <c r="Z1400" s="36"/>
      <c r="AA1400" s="36"/>
      <c r="AB1400" s="36"/>
      <c r="AC1400" s="36"/>
    </row>
    <row r="1401" spans="17:29" x14ac:dyDescent="0.2">
      <c r="Q1401" s="36"/>
      <c r="R1401" s="36"/>
      <c r="S1401" s="36"/>
      <c r="T1401" s="36"/>
      <c r="U1401" s="36"/>
      <c r="V1401" s="36"/>
      <c r="W1401" s="36"/>
      <c r="X1401" s="36"/>
      <c r="Y1401" s="36"/>
      <c r="Z1401" s="36"/>
      <c r="AA1401" s="36"/>
      <c r="AB1401" s="36"/>
      <c r="AC1401" s="36"/>
    </row>
    <row r="1402" spans="17:29" x14ac:dyDescent="0.2">
      <c r="Q1402" s="36"/>
      <c r="R1402" s="36"/>
      <c r="S1402" s="36"/>
      <c r="T1402" s="36"/>
      <c r="U1402" s="36"/>
      <c r="V1402" s="36"/>
      <c r="W1402" s="36"/>
      <c r="X1402" s="36"/>
      <c r="Y1402" s="36"/>
      <c r="Z1402" s="36"/>
      <c r="AA1402" s="36"/>
      <c r="AB1402" s="36"/>
      <c r="AC1402" s="36"/>
    </row>
    <row r="1403" spans="17:29" x14ac:dyDescent="0.2">
      <c r="Q1403" s="36"/>
      <c r="R1403" s="36"/>
      <c r="S1403" s="36"/>
      <c r="T1403" s="36"/>
      <c r="U1403" s="36"/>
      <c r="V1403" s="36"/>
      <c r="W1403" s="36"/>
      <c r="X1403" s="36"/>
      <c r="Y1403" s="36"/>
      <c r="Z1403" s="36"/>
      <c r="AA1403" s="36"/>
      <c r="AB1403" s="36"/>
      <c r="AC1403" s="36"/>
    </row>
    <row r="1404" spans="17:29" x14ac:dyDescent="0.2">
      <c r="Q1404" s="36"/>
      <c r="R1404" s="36"/>
      <c r="S1404" s="36"/>
      <c r="T1404" s="36"/>
      <c r="U1404" s="36"/>
      <c r="V1404" s="36"/>
      <c r="W1404" s="36"/>
      <c r="X1404" s="36"/>
      <c r="Y1404" s="36"/>
      <c r="Z1404" s="36"/>
      <c r="AA1404" s="36"/>
      <c r="AB1404" s="36"/>
      <c r="AC1404" s="36"/>
    </row>
    <row r="1405" spans="17:29" x14ac:dyDescent="0.2">
      <c r="Q1405" s="36"/>
      <c r="R1405" s="36"/>
      <c r="S1405" s="36"/>
      <c r="T1405" s="36"/>
      <c r="U1405" s="36"/>
      <c r="V1405" s="36"/>
      <c r="W1405" s="36"/>
      <c r="X1405" s="36"/>
      <c r="Y1405" s="36"/>
      <c r="Z1405" s="36"/>
      <c r="AA1405" s="36"/>
      <c r="AB1405" s="36"/>
      <c r="AC1405" s="36"/>
    </row>
    <row r="1406" spans="17:29" x14ac:dyDescent="0.2">
      <c r="Q1406" s="36"/>
      <c r="R1406" s="36"/>
      <c r="S1406" s="36"/>
      <c r="T1406" s="36"/>
      <c r="U1406" s="36"/>
      <c r="V1406" s="36"/>
      <c r="W1406" s="36"/>
      <c r="X1406" s="36"/>
      <c r="Y1406" s="36"/>
      <c r="Z1406" s="36"/>
      <c r="AA1406" s="36"/>
      <c r="AB1406" s="36"/>
      <c r="AC1406" s="36"/>
    </row>
    <row r="1407" spans="17:29" x14ac:dyDescent="0.2">
      <c r="Q1407" s="36"/>
      <c r="R1407" s="36"/>
      <c r="S1407" s="36"/>
      <c r="T1407" s="36"/>
      <c r="U1407" s="36"/>
      <c r="V1407" s="36"/>
      <c r="W1407" s="36"/>
      <c r="X1407" s="36"/>
      <c r="Y1407" s="36"/>
      <c r="Z1407" s="36"/>
      <c r="AA1407" s="36"/>
      <c r="AB1407" s="36"/>
      <c r="AC1407" s="36"/>
    </row>
    <row r="1408" spans="17:29" x14ac:dyDescent="0.2">
      <c r="Q1408" s="36"/>
      <c r="R1408" s="36"/>
      <c r="S1408" s="36"/>
      <c r="T1408" s="36"/>
      <c r="U1408" s="36"/>
      <c r="V1408" s="36"/>
      <c r="W1408" s="36"/>
      <c r="X1408" s="36"/>
      <c r="Y1408" s="36"/>
      <c r="Z1408" s="36"/>
      <c r="AA1408" s="36"/>
      <c r="AB1408" s="36"/>
      <c r="AC1408" s="36"/>
    </row>
    <row r="1409" spans="17:29" x14ac:dyDescent="0.2">
      <c r="Q1409" s="36"/>
      <c r="R1409" s="36"/>
      <c r="S1409" s="36"/>
      <c r="T1409" s="36"/>
      <c r="U1409" s="36"/>
      <c r="V1409" s="36"/>
      <c r="W1409" s="36"/>
      <c r="X1409" s="36"/>
      <c r="Y1409" s="36"/>
      <c r="Z1409" s="36"/>
      <c r="AA1409" s="36"/>
      <c r="AB1409" s="36"/>
      <c r="AC1409" s="36"/>
    </row>
    <row r="1410" spans="17:29" x14ac:dyDescent="0.2">
      <c r="Q1410" s="36"/>
      <c r="R1410" s="36"/>
      <c r="S1410" s="36"/>
      <c r="T1410" s="36"/>
      <c r="U1410" s="36"/>
      <c r="V1410" s="36"/>
      <c r="W1410" s="36"/>
      <c r="X1410" s="36"/>
      <c r="Y1410" s="36"/>
      <c r="Z1410" s="36"/>
      <c r="AA1410" s="36"/>
      <c r="AB1410" s="36"/>
      <c r="AC1410" s="36"/>
    </row>
    <row r="1411" spans="17:29" x14ac:dyDescent="0.2">
      <c r="Q1411" s="36"/>
      <c r="R1411" s="36"/>
      <c r="S1411" s="36"/>
      <c r="T1411" s="36"/>
      <c r="U1411" s="36"/>
      <c r="V1411" s="36"/>
      <c r="W1411" s="36"/>
      <c r="X1411" s="36"/>
      <c r="Y1411" s="36"/>
      <c r="Z1411" s="36"/>
      <c r="AA1411" s="36"/>
      <c r="AB1411" s="36"/>
      <c r="AC1411" s="36"/>
    </row>
    <row r="1412" spans="17:29" x14ac:dyDescent="0.2">
      <c r="Q1412" s="36"/>
      <c r="R1412" s="36"/>
      <c r="S1412" s="36"/>
      <c r="T1412" s="36"/>
      <c r="U1412" s="36"/>
      <c r="V1412" s="36"/>
      <c r="W1412" s="36"/>
      <c r="X1412" s="36"/>
      <c r="Y1412" s="36"/>
      <c r="Z1412" s="36"/>
      <c r="AA1412" s="36"/>
      <c r="AB1412" s="36"/>
      <c r="AC1412" s="36"/>
    </row>
    <row r="1413" spans="17:29" x14ac:dyDescent="0.2">
      <c r="Q1413" s="36"/>
      <c r="R1413" s="36"/>
      <c r="S1413" s="36"/>
      <c r="T1413" s="36"/>
      <c r="U1413" s="36"/>
      <c r="V1413" s="36"/>
      <c r="W1413" s="36"/>
      <c r="X1413" s="36"/>
      <c r="Y1413" s="36"/>
      <c r="Z1413" s="36"/>
      <c r="AA1413" s="36"/>
      <c r="AB1413" s="36"/>
      <c r="AC1413" s="36"/>
    </row>
    <row r="1414" spans="17:29" x14ac:dyDescent="0.2">
      <c r="Q1414" s="36"/>
      <c r="R1414" s="36"/>
      <c r="S1414" s="36"/>
      <c r="T1414" s="36"/>
      <c r="U1414" s="36"/>
      <c r="V1414" s="36"/>
      <c r="W1414" s="36"/>
      <c r="X1414" s="36"/>
      <c r="Y1414" s="36"/>
      <c r="Z1414" s="36"/>
      <c r="AA1414" s="36"/>
      <c r="AB1414" s="36"/>
      <c r="AC1414" s="36"/>
    </row>
    <row r="1415" spans="17:29" x14ac:dyDescent="0.2">
      <c r="Q1415" s="36"/>
      <c r="R1415" s="36"/>
      <c r="S1415" s="36"/>
      <c r="T1415" s="36"/>
      <c r="U1415" s="36"/>
      <c r="V1415" s="36"/>
      <c r="W1415" s="36"/>
      <c r="X1415" s="36"/>
      <c r="Y1415" s="36"/>
      <c r="Z1415" s="36"/>
      <c r="AA1415" s="36"/>
      <c r="AB1415" s="36"/>
      <c r="AC1415" s="36"/>
    </row>
    <row r="1416" spans="17:29" x14ac:dyDescent="0.2">
      <c r="Q1416" s="36"/>
      <c r="R1416" s="36"/>
      <c r="S1416" s="36"/>
      <c r="T1416" s="36"/>
      <c r="U1416" s="36"/>
      <c r="V1416" s="36"/>
      <c r="W1416" s="36"/>
      <c r="X1416" s="36"/>
      <c r="Y1416" s="36"/>
      <c r="Z1416" s="36"/>
      <c r="AA1416" s="36"/>
      <c r="AB1416" s="36"/>
      <c r="AC1416" s="36"/>
    </row>
    <row r="1417" spans="17:29" x14ac:dyDescent="0.2">
      <c r="Q1417" s="36"/>
      <c r="R1417" s="36"/>
      <c r="S1417" s="36"/>
      <c r="T1417" s="36"/>
      <c r="U1417" s="36"/>
      <c r="V1417" s="36"/>
      <c r="W1417" s="36"/>
      <c r="X1417" s="36"/>
      <c r="Y1417" s="36"/>
      <c r="Z1417" s="36"/>
      <c r="AA1417" s="36"/>
      <c r="AB1417" s="36"/>
      <c r="AC1417" s="36"/>
    </row>
    <row r="1418" spans="17:29" x14ac:dyDescent="0.2">
      <c r="Q1418" s="36"/>
      <c r="R1418" s="36"/>
      <c r="S1418" s="36"/>
      <c r="T1418" s="36"/>
      <c r="U1418" s="36"/>
      <c r="V1418" s="36"/>
      <c r="W1418" s="36"/>
      <c r="X1418" s="36"/>
      <c r="Y1418" s="36"/>
      <c r="Z1418" s="36"/>
      <c r="AA1418" s="36"/>
      <c r="AB1418" s="36"/>
      <c r="AC1418" s="36"/>
    </row>
    <row r="1419" spans="17:29" x14ac:dyDescent="0.2">
      <c r="Q1419" s="36"/>
      <c r="R1419" s="36"/>
      <c r="S1419" s="36"/>
      <c r="T1419" s="36"/>
      <c r="U1419" s="36"/>
      <c r="V1419" s="36"/>
      <c r="W1419" s="36"/>
      <c r="X1419" s="36"/>
      <c r="Y1419" s="36"/>
      <c r="Z1419" s="36"/>
      <c r="AA1419" s="36"/>
      <c r="AB1419" s="36"/>
      <c r="AC1419" s="36"/>
    </row>
    <row r="1420" spans="17:29" x14ac:dyDescent="0.2">
      <c r="Q1420" s="36"/>
      <c r="R1420" s="36"/>
      <c r="S1420" s="36"/>
      <c r="T1420" s="36"/>
      <c r="U1420" s="36"/>
      <c r="V1420" s="36"/>
      <c r="W1420" s="36"/>
      <c r="X1420" s="36"/>
      <c r="Y1420" s="36"/>
      <c r="Z1420" s="36"/>
      <c r="AA1420" s="36"/>
      <c r="AB1420" s="36"/>
      <c r="AC1420" s="36"/>
    </row>
    <row r="1421" spans="17:29" x14ac:dyDescent="0.2">
      <c r="Q1421" s="36"/>
      <c r="R1421" s="36"/>
      <c r="S1421" s="36"/>
      <c r="T1421" s="36"/>
      <c r="U1421" s="36"/>
      <c r="V1421" s="36"/>
      <c r="W1421" s="36"/>
      <c r="X1421" s="36"/>
      <c r="Y1421" s="36"/>
      <c r="Z1421" s="36"/>
      <c r="AA1421" s="36"/>
      <c r="AB1421" s="36"/>
      <c r="AC1421" s="36"/>
    </row>
    <row r="1422" spans="17:29" x14ac:dyDescent="0.2">
      <c r="Q1422" s="36"/>
      <c r="R1422" s="36"/>
      <c r="S1422" s="36"/>
      <c r="T1422" s="36"/>
      <c r="U1422" s="36"/>
      <c r="V1422" s="36"/>
      <c r="W1422" s="36"/>
      <c r="X1422" s="36"/>
      <c r="Y1422" s="36"/>
      <c r="Z1422" s="36"/>
      <c r="AA1422" s="36"/>
      <c r="AB1422" s="36"/>
      <c r="AC1422" s="36"/>
    </row>
    <row r="1423" spans="17:29" x14ac:dyDescent="0.2">
      <c r="Q1423" s="36"/>
      <c r="R1423" s="36"/>
      <c r="S1423" s="36"/>
      <c r="T1423" s="36"/>
      <c r="U1423" s="36"/>
      <c r="V1423" s="36"/>
      <c r="W1423" s="36"/>
      <c r="X1423" s="36"/>
      <c r="Y1423" s="36"/>
      <c r="Z1423" s="36"/>
      <c r="AA1423" s="36"/>
      <c r="AB1423" s="36"/>
      <c r="AC1423" s="36"/>
    </row>
    <row r="1424" spans="17:29" x14ac:dyDescent="0.2">
      <c r="Q1424" s="36"/>
      <c r="R1424" s="36"/>
      <c r="S1424" s="36"/>
      <c r="T1424" s="36"/>
      <c r="U1424" s="36"/>
      <c r="V1424" s="36"/>
      <c r="W1424" s="36"/>
      <c r="X1424" s="36"/>
      <c r="Y1424" s="36"/>
      <c r="Z1424" s="36"/>
      <c r="AA1424" s="36"/>
      <c r="AB1424" s="36"/>
      <c r="AC1424" s="36"/>
    </row>
    <row r="1425" spans="17:29" x14ac:dyDescent="0.2">
      <c r="Q1425" s="36"/>
      <c r="R1425" s="36"/>
      <c r="S1425" s="36"/>
      <c r="T1425" s="36"/>
      <c r="U1425" s="36"/>
      <c r="V1425" s="36"/>
      <c r="W1425" s="36"/>
      <c r="X1425" s="36"/>
      <c r="Y1425" s="36"/>
      <c r="Z1425" s="36"/>
      <c r="AA1425" s="36"/>
      <c r="AB1425" s="36"/>
      <c r="AC1425" s="36"/>
    </row>
    <row r="1426" spans="17:29" x14ac:dyDescent="0.2">
      <c r="Q1426" s="36"/>
      <c r="R1426" s="36"/>
      <c r="S1426" s="36"/>
      <c r="T1426" s="36"/>
      <c r="U1426" s="36"/>
      <c r="V1426" s="36"/>
      <c r="W1426" s="36"/>
      <c r="X1426" s="36"/>
      <c r="Y1426" s="36"/>
      <c r="Z1426" s="36"/>
      <c r="AA1426" s="36"/>
      <c r="AB1426" s="36"/>
      <c r="AC1426" s="36"/>
    </row>
    <row r="1427" spans="17:29" x14ac:dyDescent="0.2">
      <c r="Q1427" s="36"/>
      <c r="R1427" s="36"/>
      <c r="S1427" s="36"/>
      <c r="T1427" s="36"/>
      <c r="U1427" s="36"/>
      <c r="V1427" s="36"/>
      <c r="W1427" s="36"/>
      <c r="X1427" s="36"/>
      <c r="Y1427" s="36"/>
      <c r="Z1427" s="36"/>
      <c r="AA1427" s="36"/>
      <c r="AB1427" s="36"/>
      <c r="AC1427" s="36"/>
    </row>
    <row r="1428" spans="17:29" x14ac:dyDescent="0.2">
      <c r="Q1428" s="36"/>
      <c r="R1428" s="36"/>
      <c r="S1428" s="36"/>
      <c r="T1428" s="36"/>
      <c r="U1428" s="36"/>
      <c r="V1428" s="36"/>
      <c r="W1428" s="36"/>
      <c r="X1428" s="36"/>
      <c r="Y1428" s="36"/>
      <c r="Z1428" s="36"/>
      <c r="AA1428" s="36"/>
      <c r="AB1428" s="36"/>
      <c r="AC1428" s="36"/>
    </row>
    <row r="1429" spans="17:29" x14ac:dyDescent="0.2">
      <c r="Q1429" s="36"/>
      <c r="R1429" s="36"/>
      <c r="S1429" s="36"/>
      <c r="T1429" s="36"/>
      <c r="U1429" s="36"/>
      <c r="V1429" s="36"/>
      <c r="W1429" s="36"/>
      <c r="X1429" s="36"/>
      <c r="Y1429" s="36"/>
      <c r="Z1429" s="36"/>
      <c r="AA1429" s="36"/>
      <c r="AB1429" s="36"/>
      <c r="AC1429" s="36"/>
    </row>
    <row r="1430" spans="17:29" x14ac:dyDescent="0.2">
      <c r="Q1430" s="36"/>
      <c r="R1430" s="36"/>
      <c r="S1430" s="36"/>
      <c r="T1430" s="36"/>
      <c r="U1430" s="36"/>
      <c r="V1430" s="36"/>
      <c r="W1430" s="36"/>
      <c r="X1430" s="36"/>
      <c r="Y1430" s="36"/>
      <c r="Z1430" s="36"/>
      <c r="AA1430" s="36"/>
      <c r="AB1430" s="36"/>
      <c r="AC1430" s="36"/>
    </row>
    <row r="1431" spans="17:29" x14ac:dyDescent="0.2">
      <c r="Q1431" s="36"/>
      <c r="R1431" s="36"/>
      <c r="S1431" s="36"/>
      <c r="T1431" s="36"/>
      <c r="U1431" s="36"/>
      <c r="V1431" s="36"/>
      <c r="W1431" s="36"/>
      <c r="X1431" s="36"/>
      <c r="Y1431" s="36"/>
      <c r="Z1431" s="36"/>
      <c r="AA1431" s="36"/>
      <c r="AB1431" s="36"/>
      <c r="AC1431" s="36"/>
    </row>
    <row r="1432" spans="17:29" x14ac:dyDescent="0.2">
      <c r="Q1432" s="36"/>
      <c r="R1432" s="36"/>
      <c r="S1432" s="36"/>
      <c r="T1432" s="36"/>
      <c r="U1432" s="36"/>
      <c r="V1432" s="36"/>
      <c r="W1432" s="36"/>
      <c r="X1432" s="36"/>
      <c r="Y1432" s="36"/>
      <c r="Z1432" s="36"/>
      <c r="AA1432" s="36"/>
      <c r="AB1432" s="36"/>
      <c r="AC1432" s="36"/>
    </row>
    <row r="1433" spans="17:29" x14ac:dyDescent="0.2">
      <c r="Q1433" s="36"/>
      <c r="R1433" s="36"/>
      <c r="S1433" s="36"/>
      <c r="T1433" s="36"/>
      <c r="U1433" s="36"/>
      <c r="V1433" s="36"/>
      <c r="W1433" s="36"/>
      <c r="X1433" s="36"/>
      <c r="Y1433" s="36"/>
      <c r="Z1433" s="36"/>
      <c r="AA1433" s="36"/>
      <c r="AB1433" s="36"/>
      <c r="AC1433" s="36"/>
    </row>
    <row r="1434" spans="17:29" x14ac:dyDescent="0.2">
      <c r="Q1434" s="36"/>
      <c r="R1434" s="36"/>
      <c r="S1434" s="36"/>
      <c r="T1434" s="36"/>
      <c r="U1434" s="36"/>
      <c r="V1434" s="36"/>
      <c r="W1434" s="36"/>
      <c r="X1434" s="36"/>
      <c r="Y1434" s="36"/>
      <c r="Z1434" s="36"/>
      <c r="AA1434" s="36"/>
      <c r="AB1434" s="36"/>
      <c r="AC1434" s="36"/>
    </row>
    <row r="1435" spans="17:29" x14ac:dyDescent="0.2">
      <c r="Q1435" s="36"/>
      <c r="R1435" s="36"/>
      <c r="S1435" s="36"/>
      <c r="T1435" s="36"/>
      <c r="U1435" s="36"/>
      <c r="V1435" s="36"/>
      <c r="W1435" s="36"/>
      <c r="X1435" s="36"/>
      <c r="Y1435" s="36"/>
      <c r="Z1435" s="36"/>
      <c r="AA1435" s="36"/>
      <c r="AB1435" s="36"/>
      <c r="AC1435" s="36"/>
    </row>
    <row r="1436" spans="17:29" x14ac:dyDescent="0.2">
      <c r="Q1436" s="36"/>
      <c r="R1436" s="36"/>
      <c r="S1436" s="36"/>
      <c r="T1436" s="36"/>
      <c r="U1436" s="36"/>
      <c r="V1436" s="36"/>
      <c r="W1436" s="36"/>
      <c r="X1436" s="36"/>
      <c r="Y1436" s="36"/>
      <c r="Z1436" s="36"/>
      <c r="AA1436" s="36"/>
      <c r="AB1436" s="36"/>
      <c r="AC1436" s="36"/>
    </row>
    <row r="1437" spans="17:29" x14ac:dyDescent="0.2">
      <c r="Q1437" s="36"/>
      <c r="R1437" s="36"/>
      <c r="S1437" s="36"/>
      <c r="T1437" s="36"/>
      <c r="U1437" s="36"/>
      <c r="V1437" s="36"/>
      <c r="W1437" s="36"/>
      <c r="X1437" s="36"/>
      <c r="Y1437" s="36"/>
      <c r="Z1437" s="36"/>
      <c r="AA1437" s="36"/>
      <c r="AB1437" s="36"/>
      <c r="AC1437" s="36"/>
    </row>
    <row r="1438" spans="17:29" x14ac:dyDescent="0.2">
      <c r="Q1438" s="36"/>
      <c r="R1438" s="36"/>
      <c r="S1438" s="36"/>
      <c r="T1438" s="36"/>
      <c r="U1438" s="36"/>
      <c r="V1438" s="36"/>
      <c r="W1438" s="36"/>
      <c r="X1438" s="36"/>
      <c r="Y1438" s="36"/>
      <c r="Z1438" s="36"/>
      <c r="AA1438" s="36"/>
      <c r="AB1438" s="36"/>
      <c r="AC1438" s="36"/>
    </row>
    <row r="1439" spans="17:29" x14ac:dyDescent="0.2">
      <c r="Q1439" s="36"/>
      <c r="R1439" s="36"/>
      <c r="S1439" s="36"/>
      <c r="T1439" s="36"/>
      <c r="U1439" s="36"/>
      <c r="V1439" s="36"/>
      <c r="W1439" s="36"/>
      <c r="X1439" s="36"/>
      <c r="Y1439" s="36"/>
      <c r="Z1439" s="36"/>
      <c r="AA1439" s="36"/>
      <c r="AB1439" s="36"/>
      <c r="AC1439" s="36"/>
    </row>
    <row r="1440" spans="17:29" x14ac:dyDescent="0.2">
      <c r="Q1440" s="36"/>
      <c r="R1440" s="36"/>
      <c r="S1440" s="36"/>
      <c r="T1440" s="36"/>
      <c r="U1440" s="36"/>
      <c r="V1440" s="36"/>
      <c r="W1440" s="36"/>
      <c r="X1440" s="36"/>
      <c r="Y1440" s="36"/>
      <c r="Z1440" s="36"/>
      <c r="AA1440" s="36"/>
      <c r="AB1440" s="36"/>
      <c r="AC1440" s="36"/>
    </row>
    <row r="1441" spans="17:29" x14ac:dyDescent="0.2">
      <c r="Q1441" s="36"/>
      <c r="R1441" s="36"/>
      <c r="S1441" s="36"/>
      <c r="T1441" s="36"/>
      <c r="U1441" s="36"/>
      <c r="V1441" s="36"/>
      <c r="W1441" s="36"/>
      <c r="X1441" s="36"/>
      <c r="Y1441" s="36"/>
      <c r="Z1441" s="36"/>
      <c r="AA1441" s="36"/>
      <c r="AB1441" s="36"/>
      <c r="AC1441" s="36"/>
    </row>
    <row r="1442" spans="17:29" x14ac:dyDescent="0.2">
      <c r="Q1442" s="36"/>
      <c r="R1442" s="36"/>
      <c r="S1442" s="36"/>
      <c r="T1442" s="36"/>
      <c r="U1442" s="36"/>
      <c r="V1442" s="36"/>
      <c r="W1442" s="36"/>
      <c r="X1442" s="36"/>
      <c r="Y1442" s="36"/>
      <c r="Z1442" s="36"/>
      <c r="AA1442" s="36"/>
      <c r="AB1442" s="36"/>
      <c r="AC1442" s="36"/>
    </row>
    <row r="1443" spans="17:29" x14ac:dyDescent="0.2">
      <c r="Q1443" s="36"/>
      <c r="R1443" s="36"/>
      <c r="S1443" s="36"/>
      <c r="T1443" s="36"/>
      <c r="U1443" s="36"/>
      <c r="V1443" s="36"/>
      <c r="W1443" s="36"/>
      <c r="X1443" s="36"/>
      <c r="Y1443" s="36"/>
      <c r="Z1443" s="36"/>
      <c r="AA1443" s="36"/>
      <c r="AB1443" s="36"/>
      <c r="AC1443" s="36"/>
    </row>
    <row r="1444" spans="17:29" x14ac:dyDescent="0.2">
      <c r="Q1444" s="36"/>
      <c r="R1444" s="36"/>
      <c r="S1444" s="36"/>
      <c r="T1444" s="36"/>
      <c r="U1444" s="36"/>
      <c r="V1444" s="36"/>
      <c r="W1444" s="36"/>
      <c r="X1444" s="36"/>
      <c r="Y1444" s="36"/>
      <c r="Z1444" s="36"/>
      <c r="AA1444" s="36"/>
      <c r="AB1444" s="36"/>
      <c r="AC1444" s="36"/>
    </row>
    <row r="1445" spans="17:29" x14ac:dyDescent="0.2">
      <c r="Q1445" s="36"/>
      <c r="R1445" s="36"/>
      <c r="S1445" s="36"/>
      <c r="T1445" s="36"/>
      <c r="U1445" s="36"/>
      <c r="V1445" s="36"/>
      <c r="W1445" s="36"/>
      <c r="X1445" s="36"/>
      <c r="Y1445" s="36"/>
      <c r="Z1445" s="36"/>
      <c r="AA1445" s="36"/>
      <c r="AB1445" s="36"/>
      <c r="AC1445" s="36"/>
    </row>
    <row r="1446" spans="17:29" x14ac:dyDescent="0.2">
      <c r="Q1446" s="36"/>
      <c r="R1446" s="36"/>
      <c r="S1446" s="36"/>
      <c r="T1446" s="36"/>
      <c r="U1446" s="36"/>
      <c r="V1446" s="36"/>
      <c r="W1446" s="36"/>
      <c r="X1446" s="36"/>
      <c r="Y1446" s="36"/>
      <c r="Z1446" s="36"/>
      <c r="AA1446" s="36"/>
      <c r="AB1446" s="36"/>
      <c r="AC1446" s="36"/>
    </row>
    <row r="1447" spans="17:29" x14ac:dyDescent="0.2">
      <c r="Q1447" s="36"/>
      <c r="R1447" s="36"/>
      <c r="S1447" s="36"/>
      <c r="T1447" s="36"/>
      <c r="U1447" s="36"/>
      <c r="V1447" s="36"/>
      <c r="W1447" s="36"/>
      <c r="X1447" s="36"/>
      <c r="Y1447" s="36"/>
      <c r="Z1447" s="36"/>
      <c r="AA1447" s="36"/>
      <c r="AB1447" s="36"/>
      <c r="AC1447" s="36"/>
    </row>
    <row r="1448" spans="17:29" x14ac:dyDescent="0.2">
      <c r="Q1448" s="36"/>
      <c r="R1448" s="36"/>
      <c r="S1448" s="36"/>
      <c r="T1448" s="36"/>
      <c r="U1448" s="36"/>
      <c r="V1448" s="36"/>
      <c r="W1448" s="36"/>
      <c r="X1448" s="36"/>
      <c r="Y1448" s="36"/>
      <c r="Z1448" s="36"/>
      <c r="AA1448" s="36"/>
      <c r="AB1448" s="36"/>
      <c r="AC1448" s="36"/>
    </row>
    <row r="1449" spans="17:29" x14ac:dyDescent="0.2">
      <c r="Q1449" s="36"/>
      <c r="R1449" s="36"/>
      <c r="S1449" s="36"/>
      <c r="T1449" s="36"/>
      <c r="U1449" s="36"/>
      <c r="V1449" s="36"/>
      <c r="W1449" s="36"/>
      <c r="X1449" s="36"/>
      <c r="Y1449" s="36"/>
      <c r="Z1449" s="36"/>
      <c r="AA1449" s="36"/>
      <c r="AB1449" s="36"/>
      <c r="AC1449" s="36"/>
    </row>
    <row r="1450" spans="17:29" x14ac:dyDescent="0.2">
      <c r="Q1450" s="36"/>
      <c r="R1450" s="36"/>
      <c r="S1450" s="36"/>
      <c r="T1450" s="36"/>
      <c r="U1450" s="36"/>
      <c r="V1450" s="36"/>
      <c r="W1450" s="36"/>
      <c r="X1450" s="36"/>
      <c r="Y1450" s="36"/>
      <c r="Z1450" s="36"/>
      <c r="AA1450" s="36"/>
      <c r="AB1450" s="36"/>
      <c r="AC1450" s="36"/>
    </row>
    <row r="1451" spans="17:29" x14ac:dyDescent="0.2">
      <c r="Q1451" s="36"/>
      <c r="R1451" s="36"/>
      <c r="S1451" s="36"/>
      <c r="T1451" s="36"/>
      <c r="U1451" s="36"/>
      <c r="V1451" s="36"/>
      <c r="W1451" s="36"/>
      <c r="X1451" s="36"/>
      <c r="Y1451" s="36"/>
      <c r="Z1451" s="36"/>
      <c r="AA1451" s="36"/>
      <c r="AB1451" s="36"/>
      <c r="AC1451" s="36"/>
    </row>
    <row r="1452" spans="17:29" x14ac:dyDescent="0.2">
      <c r="Q1452" s="36"/>
      <c r="R1452" s="36"/>
      <c r="S1452" s="36"/>
      <c r="T1452" s="36"/>
      <c r="U1452" s="36"/>
      <c r="V1452" s="36"/>
      <c r="W1452" s="36"/>
      <c r="X1452" s="36"/>
      <c r="Y1452" s="36"/>
      <c r="Z1452" s="36"/>
      <c r="AA1452" s="36"/>
      <c r="AB1452" s="36"/>
      <c r="AC1452" s="36"/>
    </row>
    <row r="1453" spans="17:29" x14ac:dyDescent="0.2">
      <c r="Q1453" s="36"/>
      <c r="R1453" s="36"/>
      <c r="S1453" s="36"/>
      <c r="T1453" s="36"/>
      <c r="U1453" s="36"/>
      <c r="V1453" s="36"/>
      <c r="W1453" s="36"/>
      <c r="X1453" s="36"/>
      <c r="Y1453" s="36"/>
      <c r="Z1453" s="36"/>
      <c r="AA1453" s="36"/>
      <c r="AB1453" s="36"/>
      <c r="AC1453" s="36"/>
    </row>
    <row r="1454" spans="17:29" x14ac:dyDescent="0.2">
      <c r="Q1454" s="36"/>
      <c r="R1454" s="36"/>
      <c r="S1454" s="36"/>
      <c r="T1454" s="36"/>
      <c r="U1454" s="36"/>
      <c r="V1454" s="36"/>
      <c r="W1454" s="36"/>
      <c r="X1454" s="36"/>
      <c r="Y1454" s="36"/>
      <c r="Z1454" s="36"/>
      <c r="AA1454" s="36"/>
      <c r="AB1454" s="36"/>
      <c r="AC1454" s="36"/>
    </row>
    <row r="1455" spans="17:29" x14ac:dyDescent="0.2">
      <c r="Q1455" s="36"/>
      <c r="R1455" s="36"/>
      <c r="S1455" s="36"/>
      <c r="T1455" s="36"/>
      <c r="U1455" s="36"/>
      <c r="V1455" s="36"/>
      <c r="W1455" s="36"/>
      <c r="X1455" s="36"/>
      <c r="Y1455" s="36"/>
      <c r="Z1455" s="36"/>
      <c r="AA1455" s="36"/>
      <c r="AB1455" s="36"/>
      <c r="AC1455" s="36"/>
    </row>
    <row r="1456" spans="17:29" x14ac:dyDescent="0.2">
      <c r="Q1456" s="36"/>
      <c r="R1456" s="36"/>
      <c r="S1456" s="36"/>
      <c r="T1456" s="36"/>
      <c r="U1456" s="36"/>
      <c r="V1456" s="36"/>
      <c r="W1456" s="36"/>
      <c r="X1456" s="36"/>
      <c r="Y1456" s="36"/>
      <c r="Z1456" s="36"/>
      <c r="AA1456" s="36"/>
      <c r="AB1456" s="36"/>
      <c r="AC1456" s="36"/>
    </row>
    <row r="1457" spans="17:29" x14ac:dyDescent="0.2">
      <c r="Q1457" s="36"/>
      <c r="R1457" s="36"/>
      <c r="S1457" s="36"/>
      <c r="T1457" s="36"/>
      <c r="U1457" s="36"/>
      <c r="V1457" s="36"/>
      <c r="W1457" s="36"/>
      <c r="X1457" s="36"/>
      <c r="Y1457" s="36"/>
      <c r="Z1457" s="36"/>
      <c r="AA1457" s="36"/>
      <c r="AB1457" s="36"/>
      <c r="AC1457" s="36"/>
    </row>
    <row r="1458" spans="17:29" x14ac:dyDescent="0.2">
      <c r="Q1458" s="36"/>
      <c r="R1458" s="36"/>
      <c r="S1458" s="36"/>
      <c r="T1458" s="36"/>
      <c r="U1458" s="36"/>
      <c r="V1458" s="36"/>
      <c r="W1458" s="36"/>
      <c r="X1458" s="36"/>
      <c r="Y1458" s="36"/>
      <c r="Z1458" s="36"/>
      <c r="AA1458" s="36"/>
      <c r="AB1458" s="36"/>
      <c r="AC1458" s="36"/>
    </row>
    <row r="1459" spans="17:29" x14ac:dyDescent="0.2">
      <c r="Q1459" s="36"/>
      <c r="R1459" s="36"/>
      <c r="S1459" s="36"/>
      <c r="T1459" s="36"/>
      <c r="U1459" s="36"/>
      <c r="V1459" s="36"/>
      <c r="W1459" s="36"/>
      <c r="X1459" s="36"/>
      <c r="Y1459" s="36"/>
      <c r="Z1459" s="36"/>
      <c r="AA1459" s="36"/>
      <c r="AB1459" s="36"/>
      <c r="AC1459" s="36"/>
    </row>
    <row r="1460" spans="17:29" x14ac:dyDescent="0.2">
      <c r="Q1460" s="36"/>
      <c r="R1460" s="36"/>
      <c r="S1460" s="36"/>
      <c r="T1460" s="36"/>
      <c r="U1460" s="36"/>
      <c r="V1460" s="36"/>
      <c r="W1460" s="36"/>
      <c r="X1460" s="36"/>
      <c r="Y1460" s="36"/>
      <c r="Z1460" s="36"/>
      <c r="AA1460" s="36"/>
      <c r="AB1460" s="36"/>
      <c r="AC1460" s="36"/>
    </row>
    <row r="1461" spans="17:29" x14ac:dyDescent="0.2">
      <c r="Q1461" s="36"/>
      <c r="R1461" s="36"/>
      <c r="S1461" s="36"/>
      <c r="T1461" s="36"/>
      <c r="U1461" s="36"/>
      <c r="V1461" s="36"/>
      <c r="W1461" s="36"/>
      <c r="X1461" s="36"/>
      <c r="Y1461" s="36"/>
      <c r="Z1461" s="36"/>
      <c r="AA1461" s="36"/>
      <c r="AB1461" s="36"/>
      <c r="AC1461" s="36"/>
    </row>
    <row r="1462" spans="17:29" x14ac:dyDescent="0.2">
      <c r="Q1462" s="36"/>
      <c r="R1462" s="36"/>
      <c r="S1462" s="36"/>
      <c r="T1462" s="36"/>
      <c r="U1462" s="36"/>
      <c r="V1462" s="36"/>
      <c r="W1462" s="36"/>
      <c r="X1462" s="36"/>
      <c r="Y1462" s="36"/>
      <c r="Z1462" s="36"/>
      <c r="AA1462" s="36"/>
      <c r="AB1462" s="36"/>
      <c r="AC1462" s="36"/>
    </row>
    <row r="1463" spans="17:29" x14ac:dyDescent="0.2">
      <c r="Q1463" s="36"/>
      <c r="R1463" s="36"/>
      <c r="S1463" s="36"/>
      <c r="T1463" s="36"/>
      <c r="U1463" s="36"/>
      <c r="V1463" s="36"/>
      <c r="W1463" s="36"/>
      <c r="X1463" s="36"/>
      <c r="Y1463" s="36"/>
      <c r="Z1463" s="36"/>
      <c r="AA1463" s="36"/>
      <c r="AB1463" s="36"/>
      <c r="AC1463" s="36"/>
    </row>
    <row r="1464" spans="17:29" x14ac:dyDescent="0.2">
      <c r="Q1464" s="36"/>
      <c r="R1464" s="36"/>
      <c r="S1464" s="36"/>
      <c r="T1464" s="36"/>
      <c r="U1464" s="36"/>
      <c r="V1464" s="36"/>
      <c r="W1464" s="36"/>
      <c r="X1464" s="36"/>
      <c r="Y1464" s="36"/>
      <c r="Z1464" s="36"/>
      <c r="AA1464" s="36"/>
      <c r="AB1464" s="36"/>
      <c r="AC1464" s="36"/>
    </row>
    <row r="1465" spans="17:29" x14ac:dyDescent="0.2">
      <c r="Q1465" s="36"/>
      <c r="R1465" s="36"/>
      <c r="S1465" s="36"/>
      <c r="T1465" s="36"/>
      <c r="U1465" s="36"/>
      <c r="V1465" s="36"/>
      <c r="W1465" s="36"/>
      <c r="X1465" s="36"/>
      <c r="Y1465" s="36"/>
      <c r="Z1465" s="36"/>
      <c r="AA1465" s="36"/>
      <c r="AB1465" s="36"/>
      <c r="AC1465" s="36"/>
    </row>
    <row r="1466" spans="17:29" x14ac:dyDescent="0.2">
      <c r="Q1466" s="36"/>
      <c r="R1466" s="36"/>
      <c r="S1466" s="36"/>
      <c r="T1466" s="36"/>
      <c r="U1466" s="36"/>
      <c r="V1466" s="36"/>
      <c r="W1466" s="36"/>
      <c r="X1466" s="36"/>
      <c r="Y1466" s="36"/>
      <c r="Z1466" s="36"/>
      <c r="AA1466" s="36"/>
      <c r="AB1466" s="36"/>
      <c r="AC1466" s="36"/>
    </row>
    <row r="1467" spans="17:29" x14ac:dyDescent="0.2">
      <c r="Q1467" s="36"/>
      <c r="R1467" s="36"/>
      <c r="S1467" s="36"/>
      <c r="T1467" s="36"/>
      <c r="U1467" s="36"/>
      <c r="V1467" s="36"/>
      <c r="W1467" s="36"/>
      <c r="X1467" s="36"/>
      <c r="Y1467" s="36"/>
      <c r="Z1467" s="36"/>
      <c r="AA1467" s="36"/>
      <c r="AB1467" s="36"/>
      <c r="AC1467" s="36"/>
    </row>
    <row r="1468" spans="17:29" x14ac:dyDescent="0.2">
      <c r="Q1468" s="36"/>
      <c r="R1468" s="36"/>
      <c r="S1468" s="36"/>
      <c r="T1468" s="36"/>
      <c r="U1468" s="36"/>
      <c r="V1468" s="36"/>
      <c r="W1468" s="36"/>
      <c r="X1468" s="36"/>
      <c r="Y1468" s="36"/>
      <c r="Z1468" s="36"/>
      <c r="AA1468" s="36"/>
      <c r="AB1468" s="36"/>
      <c r="AC1468" s="36"/>
    </row>
    <row r="1469" spans="17:29" x14ac:dyDescent="0.2">
      <c r="Q1469" s="36"/>
      <c r="R1469" s="36"/>
      <c r="S1469" s="36"/>
      <c r="T1469" s="36"/>
      <c r="U1469" s="36"/>
      <c r="V1469" s="36"/>
      <c r="W1469" s="36"/>
      <c r="X1469" s="36"/>
      <c r="Y1469" s="36"/>
      <c r="Z1469" s="36"/>
      <c r="AA1469" s="36"/>
      <c r="AB1469" s="36"/>
      <c r="AC1469" s="36"/>
    </row>
    <row r="1470" spans="17:29" x14ac:dyDescent="0.2">
      <c r="Q1470" s="36"/>
      <c r="R1470" s="36"/>
      <c r="S1470" s="36"/>
      <c r="T1470" s="36"/>
      <c r="U1470" s="36"/>
      <c r="V1470" s="36"/>
      <c r="W1470" s="36"/>
      <c r="X1470" s="36"/>
      <c r="Y1470" s="36"/>
      <c r="Z1470" s="36"/>
      <c r="AA1470" s="36"/>
      <c r="AB1470" s="36"/>
      <c r="AC1470" s="36"/>
    </row>
    <row r="1471" spans="17:29" x14ac:dyDescent="0.2">
      <c r="Q1471" s="36"/>
      <c r="R1471" s="36"/>
      <c r="S1471" s="36"/>
      <c r="T1471" s="36"/>
      <c r="U1471" s="36"/>
      <c r="V1471" s="36"/>
      <c r="W1471" s="36"/>
      <c r="X1471" s="36"/>
      <c r="Y1471" s="36"/>
      <c r="Z1471" s="36"/>
      <c r="AA1471" s="36"/>
      <c r="AB1471" s="36"/>
      <c r="AC1471" s="36"/>
    </row>
    <row r="1472" spans="17:29" x14ac:dyDescent="0.2">
      <c r="Q1472" s="36"/>
      <c r="R1472" s="36"/>
      <c r="S1472" s="36"/>
      <c r="T1472" s="36"/>
      <c r="U1472" s="36"/>
      <c r="V1472" s="36"/>
      <c r="W1472" s="36"/>
      <c r="X1472" s="36"/>
      <c r="Y1472" s="36"/>
      <c r="Z1472" s="36"/>
      <c r="AA1472" s="36"/>
      <c r="AB1472" s="36"/>
      <c r="AC1472" s="36"/>
    </row>
    <row r="1473" spans="17:29" x14ac:dyDescent="0.2">
      <c r="Q1473" s="36"/>
      <c r="R1473" s="36"/>
      <c r="S1473" s="36"/>
      <c r="T1473" s="36"/>
      <c r="U1473" s="36"/>
      <c r="V1473" s="36"/>
      <c r="W1473" s="36"/>
      <c r="X1473" s="36"/>
      <c r="Y1473" s="36"/>
      <c r="Z1473" s="36"/>
      <c r="AA1473" s="36"/>
      <c r="AB1473" s="36"/>
      <c r="AC1473" s="36"/>
    </row>
    <row r="1474" spans="17:29" x14ac:dyDescent="0.2">
      <c r="Q1474" s="36"/>
      <c r="R1474" s="36"/>
      <c r="S1474" s="36"/>
      <c r="T1474" s="36"/>
      <c r="U1474" s="36"/>
      <c r="V1474" s="36"/>
      <c r="W1474" s="36"/>
      <c r="X1474" s="36"/>
      <c r="Y1474" s="36"/>
      <c r="Z1474" s="36"/>
      <c r="AA1474" s="36"/>
      <c r="AB1474" s="36"/>
      <c r="AC1474" s="36"/>
    </row>
    <row r="1475" spans="17:29" x14ac:dyDescent="0.2">
      <c r="Q1475" s="36"/>
      <c r="R1475" s="36"/>
      <c r="S1475" s="36"/>
      <c r="T1475" s="36"/>
      <c r="U1475" s="36"/>
      <c r="V1475" s="36"/>
      <c r="W1475" s="36"/>
      <c r="X1475" s="36"/>
      <c r="Y1475" s="36"/>
      <c r="Z1475" s="36"/>
      <c r="AA1475" s="36"/>
      <c r="AB1475" s="36"/>
      <c r="AC1475" s="36"/>
    </row>
    <row r="1476" spans="17:29" x14ac:dyDescent="0.2">
      <c r="Q1476" s="36"/>
      <c r="R1476" s="36"/>
      <c r="S1476" s="36"/>
      <c r="T1476" s="36"/>
      <c r="U1476" s="36"/>
      <c r="V1476" s="36"/>
      <c r="W1476" s="36"/>
      <c r="X1476" s="36"/>
      <c r="Y1476" s="36"/>
      <c r="Z1476" s="36"/>
      <c r="AA1476" s="36"/>
      <c r="AB1476" s="36"/>
      <c r="AC1476" s="36"/>
    </row>
    <row r="1477" spans="17:29" x14ac:dyDescent="0.2">
      <c r="Q1477" s="36"/>
      <c r="R1477" s="36"/>
      <c r="S1477" s="36"/>
      <c r="T1477" s="36"/>
      <c r="U1477" s="36"/>
      <c r="V1477" s="36"/>
      <c r="W1477" s="36"/>
      <c r="X1477" s="36"/>
      <c r="Y1477" s="36"/>
      <c r="Z1477" s="36"/>
      <c r="AA1477" s="36"/>
      <c r="AB1477" s="36"/>
      <c r="AC1477" s="36"/>
    </row>
    <row r="1478" spans="17:29" x14ac:dyDescent="0.2">
      <c r="Q1478" s="36"/>
      <c r="R1478" s="36"/>
      <c r="S1478" s="36"/>
      <c r="T1478" s="36"/>
      <c r="U1478" s="36"/>
      <c r="V1478" s="36"/>
      <c r="W1478" s="36"/>
      <c r="X1478" s="36"/>
      <c r="Y1478" s="36"/>
      <c r="Z1478" s="36"/>
      <c r="AA1478" s="36"/>
      <c r="AB1478" s="36"/>
      <c r="AC1478" s="36"/>
    </row>
    <row r="1479" spans="17:29" x14ac:dyDescent="0.2">
      <c r="Q1479" s="36"/>
      <c r="R1479" s="36"/>
      <c r="S1479" s="36"/>
      <c r="T1479" s="36"/>
      <c r="U1479" s="36"/>
      <c r="V1479" s="36"/>
      <c r="W1479" s="36"/>
      <c r="X1479" s="36"/>
      <c r="Y1479" s="36"/>
      <c r="Z1479" s="36"/>
      <c r="AA1479" s="36"/>
      <c r="AB1479" s="36"/>
      <c r="AC1479" s="36"/>
    </row>
    <row r="1480" spans="17:29" x14ac:dyDescent="0.2">
      <c r="Q1480" s="36"/>
      <c r="R1480" s="36"/>
      <c r="S1480" s="36"/>
      <c r="T1480" s="36"/>
      <c r="U1480" s="36"/>
      <c r="V1480" s="36"/>
      <c r="W1480" s="36"/>
      <c r="X1480" s="36"/>
      <c r="Y1480" s="36"/>
      <c r="Z1480" s="36"/>
      <c r="AA1480" s="36"/>
      <c r="AB1480" s="36"/>
      <c r="AC1480" s="36"/>
    </row>
    <row r="1481" spans="17:29" x14ac:dyDescent="0.2">
      <c r="Q1481" s="36"/>
      <c r="R1481" s="36"/>
      <c r="S1481" s="36"/>
      <c r="T1481" s="36"/>
      <c r="U1481" s="36"/>
      <c r="V1481" s="36"/>
      <c r="W1481" s="36"/>
      <c r="X1481" s="36"/>
      <c r="Y1481" s="36"/>
      <c r="Z1481" s="36"/>
      <c r="AA1481" s="36"/>
      <c r="AB1481" s="36"/>
      <c r="AC1481" s="36"/>
    </row>
    <row r="1482" spans="17:29" x14ac:dyDescent="0.2">
      <c r="Q1482" s="36"/>
      <c r="R1482" s="36"/>
      <c r="S1482" s="36"/>
      <c r="T1482" s="36"/>
      <c r="U1482" s="36"/>
      <c r="V1482" s="36"/>
      <c r="W1482" s="36"/>
      <c r="X1482" s="36"/>
      <c r="Y1482" s="36"/>
      <c r="Z1482" s="36"/>
      <c r="AA1482" s="36"/>
      <c r="AB1482" s="36"/>
      <c r="AC1482" s="36"/>
    </row>
    <row r="1483" spans="17:29" x14ac:dyDescent="0.2">
      <c r="Q1483" s="36"/>
      <c r="R1483" s="36"/>
      <c r="S1483" s="36"/>
      <c r="T1483" s="36"/>
      <c r="U1483" s="36"/>
      <c r="V1483" s="36"/>
      <c r="W1483" s="36"/>
      <c r="X1483" s="36"/>
      <c r="Y1483" s="36"/>
      <c r="Z1483" s="36"/>
      <c r="AA1483" s="36"/>
      <c r="AB1483" s="36"/>
      <c r="AC1483" s="36"/>
    </row>
    <row r="1484" spans="17:29" x14ac:dyDescent="0.2">
      <c r="Q1484" s="36"/>
      <c r="R1484" s="36"/>
      <c r="S1484" s="36"/>
      <c r="T1484" s="36"/>
      <c r="U1484" s="36"/>
      <c r="V1484" s="36"/>
      <c r="W1484" s="36"/>
      <c r="X1484" s="36"/>
      <c r="Y1484" s="36"/>
      <c r="Z1484" s="36"/>
      <c r="AA1484" s="36"/>
      <c r="AB1484" s="36"/>
      <c r="AC1484" s="36"/>
    </row>
    <row r="1485" spans="17:29" x14ac:dyDescent="0.2">
      <c r="Q1485" s="36"/>
      <c r="R1485" s="36"/>
      <c r="S1485" s="36"/>
      <c r="T1485" s="36"/>
      <c r="U1485" s="36"/>
      <c r="V1485" s="36"/>
      <c r="W1485" s="36"/>
      <c r="X1485" s="36"/>
      <c r="Y1485" s="36"/>
      <c r="Z1485" s="36"/>
      <c r="AA1485" s="36"/>
      <c r="AB1485" s="36"/>
      <c r="AC1485" s="36"/>
    </row>
    <row r="1486" spans="17:29" x14ac:dyDescent="0.2">
      <c r="Q1486" s="36"/>
      <c r="R1486" s="36"/>
      <c r="S1486" s="36"/>
      <c r="T1486" s="36"/>
      <c r="U1486" s="36"/>
      <c r="V1486" s="36"/>
      <c r="W1486" s="36"/>
      <c r="X1486" s="36"/>
      <c r="Y1486" s="36"/>
      <c r="Z1486" s="36"/>
      <c r="AA1486" s="36"/>
      <c r="AB1486" s="36"/>
      <c r="AC1486" s="36"/>
    </row>
    <row r="1487" spans="17:29" x14ac:dyDescent="0.2">
      <c r="Q1487" s="36"/>
      <c r="R1487" s="36"/>
      <c r="S1487" s="36"/>
      <c r="T1487" s="36"/>
      <c r="U1487" s="36"/>
      <c r="V1487" s="36"/>
      <c r="W1487" s="36"/>
      <c r="X1487" s="36"/>
      <c r="Y1487" s="36"/>
      <c r="Z1487" s="36"/>
      <c r="AA1487" s="36"/>
      <c r="AB1487" s="36"/>
      <c r="AC1487" s="36"/>
    </row>
    <row r="1488" spans="17:29" x14ac:dyDescent="0.2">
      <c r="Q1488" s="36"/>
      <c r="R1488" s="36"/>
      <c r="S1488" s="36"/>
      <c r="T1488" s="36"/>
      <c r="U1488" s="36"/>
      <c r="V1488" s="36"/>
      <c r="W1488" s="36"/>
      <c r="X1488" s="36"/>
      <c r="Y1488" s="36"/>
      <c r="Z1488" s="36"/>
      <c r="AA1488" s="36"/>
      <c r="AB1488" s="36"/>
      <c r="AC1488" s="36"/>
    </row>
    <row r="1489" spans="17:29" x14ac:dyDescent="0.2">
      <c r="Q1489" s="36"/>
      <c r="R1489" s="36"/>
      <c r="S1489" s="36"/>
      <c r="T1489" s="36"/>
      <c r="U1489" s="36"/>
      <c r="V1489" s="36"/>
      <c r="W1489" s="36"/>
      <c r="X1489" s="36"/>
      <c r="Y1489" s="36"/>
      <c r="Z1489" s="36"/>
      <c r="AA1489" s="36"/>
      <c r="AB1489" s="36"/>
      <c r="AC1489" s="36"/>
    </row>
    <row r="1490" spans="17:29" x14ac:dyDescent="0.2">
      <c r="Q1490" s="36"/>
      <c r="R1490" s="36"/>
      <c r="S1490" s="36"/>
      <c r="T1490" s="36"/>
      <c r="U1490" s="36"/>
      <c r="V1490" s="36"/>
      <c r="W1490" s="36"/>
      <c r="X1490" s="36"/>
      <c r="Y1490" s="36"/>
      <c r="Z1490" s="36"/>
      <c r="AA1490" s="36"/>
      <c r="AB1490" s="36"/>
      <c r="AC1490" s="36"/>
    </row>
    <row r="1491" spans="17:29" x14ac:dyDescent="0.2">
      <c r="Q1491" s="36"/>
      <c r="R1491" s="36"/>
      <c r="S1491" s="36"/>
      <c r="T1491" s="36"/>
      <c r="U1491" s="36"/>
      <c r="V1491" s="36"/>
      <c r="W1491" s="36"/>
      <c r="X1491" s="36"/>
      <c r="Y1491" s="36"/>
      <c r="Z1491" s="36"/>
      <c r="AA1491" s="36"/>
      <c r="AB1491" s="36"/>
      <c r="AC1491" s="36"/>
    </row>
    <row r="1492" spans="17:29" x14ac:dyDescent="0.2">
      <c r="Q1492" s="36"/>
      <c r="R1492" s="36"/>
      <c r="S1492" s="36"/>
      <c r="T1492" s="36"/>
      <c r="U1492" s="36"/>
      <c r="V1492" s="36"/>
      <c r="W1492" s="36"/>
      <c r="X1492" s="36"/>
      <c r="Y1492" s="36"/>
      <c r="Z1492" s="36"/>
      <c r="AA1492" s="36"/>
      <c r="AB1492" s="36"/>
      <c r="AC1492" s="36"/>
    </row>
    <row r="1493" spans="17:29" x14ac:dyDescent="0.2">
      <c r="Q1493" s="36"/>
      <c r="R1493" s="36"/>
      <c r="S1493" s="36"/>
      <c r="T1493" s="36"/>
      <c r="U1493" s="36"/>
      <c r="V1493" s="36"/>
      <c r="W1493" s="36"/>
      <c r="X1493" s="36"/>
      <c r="Y1493" s="36"/>
      <c r="Z1493" s="36"/>
      <c r="AA1493" s="36"/>
      <c r="AB1493" s="36"/>
      <c r="AC1493" s="36"/>
    </row>
    <row r="1494" spans="17:29" x14ac:dyDescent="0.2">
      <c r="Q1494" s="36"/>
      <c r="R1494" s="36"/>
      <c r="S1494" s="36"/>
      <c r="T1494" s="36"/>
      <c r="U1494" s="36"/>
      <c r="V1494" s="36"/>
      <c r="W1494" s="36"/>
      <c r="X1494" s="36"/>
      <c r="Y1494" s="36"/>
      <c r="Z1494" s="36"/>
      <c r="AA1494" s="36"/>
      <c r="AB1494" s="36"/>
      <c r="AC1494" s="36"/>
    </row>
    <row r="1495" spans="17:29" x14ac:dyDescent="0.2">
      <c r="Q1495" s="36"/>
      <c r="R1495" s="36"/>
      <c r="S1495" s="36"/>
      <c r="T1495" s="36"/>
      <c r="U1495" s="36"/>
      <c r="V1495" s="36"/>
      <c r="W1495" s="36"/>
      <c r="X1495" s="36"/>
      <c r="Y1495" s="36"/>
      <c r="Z1495" s="36"/>
      <c r="AA1495" s="36"/>
      <c r="AB1495" s="36"/>
      <c r="AC1495" s="36"/>
    </row>
    <row r="1496" spans="17:29" x14ac:dyDescent="0.2">
      <c r="Q1496" s="36"/>
      <c r="R1496" s="36"/>
      <c r="S1496" s="36"/>
      <c r="T1496" s="36"/>
      <c r="U1496" s="36"/>
      <c r="V1496" s="36"/>
      <c r="W1496" s="36"/>
      <c r="X1496" s="36"/>
      <c r="Y1496" s="36"/>
      <c r="Z1496" s="36"/>
      <c r="AA1496" s="36"/>
      <c r="AB1496" s="36"/>
      <c r="AC1496" s="36"/>
    </row>
    <row r="1497" spans="17:29" x14ac:dyDescent="0.2">
      <c r="Q1497" s="36"/>
      <c r="R1497" s="36"/>
      <c r="S1497" s="36"/>
      <c r="T1497" s="36"/>
      <c r="U1497" s="36"/>
      <c r="V1497" s="36"/>
      <c r="W1497" s="36"/>
      <c r="X1497" s="36"/>
      <c r="Y1497" s="36"/>
      <c r="Z1497" s="36"/>
      <c r="AA1497" s="36"/>
      <c r="AB1497" s="36"/>
      <c r="AC1497" s="36"/>
    </row>
    <row r="1498" spans="17:29" x14ac:dyDescent="0.2">
      <c r="Q1498" s="36"/>
      <c r="R1498" s="36"/>
      <c r="S1498" s="36"/>
      <c r="T1498" s="36"/>
      <c r="U1498" s="36"/>
      <c r="V1498" s="36"/>
      <c r="W1498" s="36"/>
      <c r="X1498" s="36"/>
      <c r="Y1498" s="36"/>
      <c r="Z1498" s="36"/>
      <c r="AA1498" s="36"/>
      <c r="AB1498" s="36"/>
      <c r="AC1498" s="36"/>
    </row>
    <row r="1499" spans="17:29" x14ac:dyDescent="0.2">
      <c r="Q1499" s="36"/>
      <c r="R1499" s="36"/>
      <c r="S1499" s="36"/>
      <c r="T1499" s="36"/>
      <c r="U1499" s="36"/>
      <c r="V1499" s="36"/>
      <c r="W1499" s="36"/>
      <c r="X1499" s="36"/>
      <c r="Y1499" s="36"/>
      <c r="Z1499" s="36"/>
      <c r="AA1499" s="36"/>
      <c r="AB1499" s="36"/>
      <c r="AC1499" s="36"/>
    </row>
    <row r="1500" spans="17:29" x14ac:dyDescent="0.2">
      <c r="Q1500" s="36"/>
      <c r="R1500" s="36"/>
      <c r="S1500" s="36"/>
      <c r="T1500" s="36"/>
      <c r="U1500" s="36"/>
      <c r="V1500" s="36"/>
      <c r="W1500" s="36"/>
      <c r="X1500" s="36"/>
      <c r="Y1500" s="36"/>
      <c r="Z1500" s="36"/>
      <c r="AA1500" s="36"/>
      <c r="AB1500" s="36"/>
      <c r="AC1500" s="36"/>
    </row>
    <row r="1501" spans="17:29" x14ac:dyDescent="0.2">
      <c r="Q1501" s="36"/>
      <c r="R1501" s="36"/>
      <c r="S1501" s="36"/>
      <c r="T1501" s="36"/>
      <c r="U1501" s="36"/>
      <c r="V1501" s="36"/>
      <c r="W1501" s="36"/>
      <c r="X1501" s="36"/>
      <c r="Y1501" s="36"/>
      <c r="Z1501" s="36"/>
      <c r="AA1501" s="36"/>
      <c r="AB1501" s="36"/>
      <c r="AC1501" s="36"/>
    </row>
    <row r="1502" spans="17:29" x14ac:dyDescent="0.2">
      <c r="Q1502" s="36"/>
      <c r="R1502" s="36"/>
      <c r="S1502" s="36"/>
      <c r="T1502" s="36"/>
      <c r="U1502" s="36"/>
      <c r="V1502" s="36"/>
      <c r="W1502" s="36"/>
      <c r="X1502" s="36"/>
      <c r="Y1502" s="36"/>
      <c r="Z1502" s="36"/>
      <c r="AA1502" s="36"/>
      <c r="AB1502" s="36"/>
      <c r="AC1502" s="36"/>
    </row>
    <row r="1503" spans="17:29" x14ac:dyDescent="0.2">
      <c r="Q1503" s="36"/>
      <c r="R1503" s="36"/>
      <c r="S1503" s="36"/>
      <c r="T1503" s="36"/>
      <c r="U1503" s="36"/>
      <c r="V1503" s="36"/>
      <c r="W1503" s="36"/>
      <c r="X1503" s="36"/>
      <c r="Y1503" s="36"/>
      <c r="Z1503" s="36"/>
      <c r="AA1503" s="36"/>
      <c r="AB1503" s="36"/>
      <c r="AC1503" s="36"/>
    </row>
    <row r="1504" spans="17:29" x14ac:dyDescent="0.2">
      <c r="Q1504" s="36"/>
      <c r="R1504" s="36"/>
      <c r="S1504" s="36"/>
      <c r="T1504" s="36"/>
      <c r="U1504" s="36"/>
      <c r="V1504" s="36"/>
      <c r="W1504" s="36"/>
      <c r="X1504" s="36"/>
      <c r="Y1504" s="36"/>
      <c r="Z1504" s="36"/>
      <c r="AA1504" s="36"/>
      <c r="AB1504" s="36"/>
      <c r="AC1504" s="36"/>
    </row>
    <row r="1505" spans="17:29" x14ac:dyDescent="0.2">
      <c r="Q1505" s="36"/>
      <c r="R1505" s="36"/>
      <c r="S1505" s="36"/>
      <c r="T1505" s="36"/>
      <c r="U1505" s="36"/>
      <c r="V1505" s="36"/>
      <c r="W1505" s="36"/>
      <c r="X1505" s="36"/>
      <c r="Y1505" s="36"/>
      <c r="Z1505" s="36"/>
      <c r="AA1505" s="36"/>
      <c r="AB1505" s="36"/>
      <c r="AC1505" s="36"/>
    </row>
    <row r="1506" spans="17:29" x14ac:dyDescent="0.2">
      <c r="Q1506" s="36"/>
      <c r="R1506" s="36"/>
      <c r="S1506" s="36"/>
      <c r="T1506" s="36"/>
      <c r="U1506" s="36"/>
      <c r="V1506" s="36"/>
      <c r="W1506" s="36"/>
      <c r="X1506" s="36"/>
      <c r="Y1506" s="36"/>
      <c r="Z1506" s="36"/>
      <c r="AA1506" s="36"/>
      <c r="AB1506" s="36"/>
      <c r="AC1506" s="36"/>
    </row>
    <row r="1507" spans="17:29" x14ac:dyDescent="0.2">
      <c r="Q1507" s="36"/>
      <c r="R1507" s="36"/>
      <c r="S1507" s="36"/>
      <c r="T1507" s="36"/>
      <c r="U1507" s="36"/>
      <c r="V1507" s="36"/>
      <c r="W1507" s="36"/>
      <c r="X1507" s="36"/>
      <c r="Y1507" s="36"/>
      <c r="Z1507" s="36"/>
      <c r="AA1507" s="36"/>
      <c r="AB1507" s="36"/>
      <c r="AC1507" s="36"/>
    </row>
    <row r="1508" spans="17:29" x14ac:dyDescent="0.2">
      <c r="Q1508" s="36"/>
      <c r="R1508" s="36"/>
      <c r="S1508" s="36"/>
      <c r="T1508" s="36"/>
      <c r="U1508" s="36"/>
      <c r="V1508" s="36"/>
      <c r="W1508" s="36"/>
      <c r="X1508" s="36"/>
      <c r="Y1508" s="36"/>
      <c r="Z1508" s="36"/>
      <c r="AA1508" s="36"/>
      <c r="AB1508" s="36"/>
      <c r="AC1508" s="36"/>
    </row>
    <row r="1509" spans="17:29" x14ac:dyDescent="0.2">
      <c r="Q1509" s="36"/>
      <c r="R1509" s="36"/>
      <c r="S1509" s="36"/>
      <c r="T1509" s="36"/>
      <c r="U1509" s="36"/>
      <c r="V1509" s="36"/>
      <c r="W1509" s="36"/>
      <c r="X1509" s="36"/>
      <c r="Y1509" s="36"/>
      <c r="Z1509" s="36"/>
      <c r="AA1509" s="36"/>
      <c r="AB1509" s="36"/>
      <c r="AC1509" s="36"/>
    </row>
    <row r="1510" spans="17:29" x14ac:dyDescent="0.2">
      <c r="Q1510" s="36"/>
      <c r="R1510" s="36"/>
      <c r="S1510" s="36"/>
      <c r="T1510" s="36"/>
      <c r="U1510" s="36"/>
      <c r="V1510" s="36"/>
      <c r="W1510" s="36"/>
      <c r="X1510" s="36"/>
      <c r="Y1510" s="36"/>
      <c r="Z1510" s="36"/>
      <c r="AA1510" s="36"/>
      <c r="AB1510" s="36"/>
      <c r="AC1510" s="36"/>
    </row>
    <row r="1511" spans="17:29" x14ac:dyDescent="0.2">
      <c r="Q1511" s="36"/>
      <c r="R1511" s="36"/>
      <c r="S1511" s="36"/>
      <c r="T1511" s="36"/>
      <c r="U1511" s="36"/>
      <c r="V1511" s="36"/>
      <c r="W1511" s="36"/>
      <c r="X1511" s="36"/>
      <c r="Y1511" s="36"/>
      <c r="Z1511" s="36"/>
      <c r="AA1511" s="36"/>
      <c r="AB1511" s="36"/>
      <c r="AC1511" s="36"/>
    </row>
    <row r="1512" spans="17:29" x14ac:dyDescent="0.2">
      <c r="Q1512" s="36"/>
      <c r="R1512" s="36"/>
      <c r="S1512" s="36"/>
      <c r="T1512" s="36"/>
      <c r="U1512" s="36"/>
      <c r="V1512" s="36"/>
      <c r="W1512" s="36"/>
      <c r="X1512" s="36"/>
      <c r="Y1512" s="36"/>
      <c r="Z1512" s="36"/>
      <c r="AA1512" s="36"/>
      <c r="AB1512" s="36"/>
      <c r="AC1512" s="36"/>
    </row>
    <row r="1513" spans="17:29" x14ac:dyDescent="0.2">
      <c r="Q1513" s="36"/>
      <c r="R1513" s="36"/>
      <c r="S1513" s="36"/>
      <c r="T1513" s="36"/>
      <c r="U1513" s="36"/>
      <c r="V1513" s="36"/>
      <c r="W1513" s="36"/>
      <c r="X1513" s="36"/>
      <c r="Y1513" s="36"/>
      <c r="Z1513" s="36"/>
      <c r="AA1513" s="36"/>
      <c r="AB1513" s="36"/>
      <c r="AC1513" s="36"/>
    </row>
    <row r="1514" spans="17:29" x14ac:dyDescent="0.2">
      <c r="Q1514" s="36"/>
      <c r="R1514" s="36"/>
      <c r="S1514" s="36"/>
      <c r="T1514" s="36"/>
      <c r="U1514" s="36"/>
      <c r="V1514" s="36"/>
      <c r="W1514" s="36"/>
      <c r="X1514" s="36"/>
      <c r="Y1514" s="36"/>
      <c r="Z1514" s="36"/>
      <c r="AA1514" s="36"/>
      <c r="AB1514" s="36"/>
      <c r="AC1514" s="36"/>
    </row>
    <row r="1515" spans="17:29" x14ac:dyDescent="0.2">
      <c r="Q1515" s="36"/>
      <c r="R1515" s="36"/>
      <c r="S1515" s="36"/>
      <c r="T1515" s="36"/>
      <c r="U1515" s="36"/>
      <c r="V1515" s="36"/>
      <c r="W1515" s="36"/>
      <c r="X1515" s="36"/>
      <c r="Y1515" s="36"/>
      <c r="Z1515" s="36"/>
      <c r="AA1515" s="36"/>
      <c r="AB1515" s="36"/>
      <c r="AC1515" s="36"/>
    </row>
    <row r="1516" spans="17:29" x14ac:dyDescent="0.2">
      <c r="Q1516" s="36"/>
      <c r="R1516" s="36"/>
      <c r="S1516" s="36"/>
      <c r="T1516" s="36"/>
      <c r="U1516" s="36"/>
      <c r="V1516" s="36"/>
      <c r="W1516" s="36"/>
      <c r="X1516" s="36"/>
      <c r="Y1516" s="36"/>
      <c r="Z1516" s="36"/>
      <c r="AA1516" s="36"/>
      <c r="AB1516" s="36"/>
      <c r="AC1516" s="36"/>
    </row>
    <row r="1517" spans="17:29" x14ac:dyDescent="0.2">
      <c r="Q1517" s="36"/>
      <c r="R1517" s="36"/>
      <c r="S1517" s="36"/>
      <c r="T1517" s="36"/>
      <c r="U1517" s="36"/>
      <c r="V1517" s="36"/>
      <c r="W1517" s="36"/>
      <c r="X1517" s="36"/>
      <c r="Y1517" s="36"/>
      <c r="Z1517" s="36"/>
      <c r="AA1517" s="36"/>
      <c r="AB1517" s="36"/>
      <c r="AC1517" s="36"/>
    </row>
    <row r="1518" spans="17:29" x14ac:dyDescent="0.2">
      <c r="Q1518" s="36"/>
      <c r="R1518" s="36"/>
      <c r="S1518" s="36"/>
      <c r="T1518" s="36"/>
      <c r="U1518" s="36"/>
      <c r="V1518" s="36"/>
      <c r="W1518" s="36"/>
      <c r="X1518" s="36"/>
      <c r="Y1518" s="36"/>
      <c r="Z1518" s="36"/>
      <c r="AA1518" s="36"/>
      <c r="AB1518" s="36"/>
      <c r="AC1518" s="36"/>
    </row>
    <row r="1519" spans="17:29" x14ac:dyDescent="0.2">
      <c r="Q1519" s="36"/>
      <c r="R1519" s="36"/>
      <c r="S1519" s="36"/>
      <c r="T1519" s="36"/>
      <c r="U1519" s="36"/>
      <c r="V1519" s="36"/>
      <c r="W1519" s="36"/>
      <c r="X1519" s="36"/>
      <c r="Y1519" s="36"/>
      <c r="Z1519" s="36"/>
      <c r="AA1519" s="36"/>
      <c r="AB1519" s="36"/>
      <c r="AC1519" s="36"/>
    </row>
    <row r="1520" spans="17:29" x14ac:dyDescent="0.2">
      <c r="Q1520" s="36"/>
      <c r="R1520" s="36"/>
      <c r="S1520" s="36"/>
      <c r="T1520" s="36"/>
      <c r="U1520" s="36"/>
      <c r="V1520" s="36"/>
      <c r="W1520" s="36"/>
      <c r="X1520" s="36"/>
      <c r="Y1520" s="36"/>
      <c r="Z1520" s="36"/>
      <c r="AA1520" s="36"/>
      <c r="AB1520" s="36"/>
      <c r="AC1520" s="36"/>
    </row>
    <row r="1521" spans="17:29" x14ac:dyDescent="0.2">
      <c r="Q1521" s="36"/>
      <c r="R1521" s="36"/>
      <c r="S1521" s="36"/>
      <c r="T1521" s="36"/>
      <c r="U1521" s="36"/>
      <c r="V1521" s="36"/>
      <c r="W1521" s="36"/>
      <c r="X1521" s="36"/>
      <c r="Y1521" s="36"/>
      <c r="Z1521" s="36"/>
      <c r="AA1521" s="36"/>
      <c r="AB1521" s="36"/>
      <c r="AC1521" s="36"/>
    </row>
    <row r="1522" spans="17:29" x14ac:dyDescent="0.2">
      <c r="Q1522" s="36"/>
      <c r="R1522" s="36"/>
      <c r="S1522" s="36"/>
      <c r="T1522" s="36"/>
      <c r="U1522" s="36"/>
      <c r="V1522" s="36"/>
      <c r="W1522" s="36"/>
      <c r="X1522" s="36"/>
      <c r="Y1522" s="36"/>
      <c r="Z1522" s="36"/>
      <c r="AA1522" s="36"/>
      <c r="AB1522" s="36"/>
      <c r="AC1522" s="36"/>
    </row>
    <row r="1523" spans="17:29" x14ac:dyDescent="0.2">
      <c r="Q1523" s="36"/>
      <c r="R1523" s="36"/>
      <c r="S1523" s="36"/>
      <c r="T1523" s="36"/>
      <c r="U1523" s="36"/>
      <c r="V1523" s="36"/>
      <c r="W1523" s="36"/>
      <c r="X1523" s="36"/>
      <c r="Y1523" s="36"/>
      <c r="Z1523" s="36"/>
      <c r="AA1523" s="36"/>
      <c r="AB1523" s="36"/>
      <c r="AC1523" s="36"/>
    </row>
    <row r="1524" spans="17:29" x14ac:dyDescent="0.2">
      <c r="Q1524" s="36"/>
      <c r="R1524" s="36"/>
      <c r="S1524" s="36"/>
      <c r="T1524" s="36"/>
      <c r="U1524" s="36"/>
      <c r="V1524" s="36"/>
      <c r="W1524" s="36"/>
      <c r="X1524" s="36"/>
      <c r="Y1524" s="36"/>
      <c r="Z1524" s="36"/>
      <c r="AA1524" s="36"/>
      <c r="AB1524" s="36"/>
      <c r="AC1524" s="36"/>
    </row>
    <row r="1525" spans="17:29" x14ac:dyDescent="0.2">
      <c r="Q1525" s="36"/>
      <c r="R1525" s="36"/>
      <c r="S1525" s="36"/>
      <c r="T1525" s="36"/>
      <c r="U1525" s="36"/>
      <c r="V1525" s="36"/>
      <c r="W1525" s="36"/>
      <c r="X1525" s="36"/>
      <c r="Y1525" s="36"/>
      <c r="Z1525" s="36"/>
      <c r="AA1525" s="36"/>
      <c r="AB1525" s="36"/>
      <c r="AC1525" s="36"/>
    </row>
    <row r="1526" spans="17:29" x14ac:dyDescent="0.2">
      <c r="Q1526" s="36"/>
      <c r="R1526" s="36"/>
      <c r="S1526" s="36"/>
      <c r="T1526" s="36"/>
      <c r="U1526" s="36"/>
      <c r="V1526" s="36"/>
      <c r="W1526" s="36"/>
      <c r="X1526" s="36"/>
      <c r="Y1526" s="36"/>
      <c r="Z1526" s="36"/>
      <c r="AA1526" s="36"/>
      <c r="AB1526" s="36"/>
      <c r="AC1526" s="36"/>
    </row>
    <row r="1527" spans="17:29" x14ac:dyDescent="0.2">
      <c r="Q1527" s="36"/>
      <c r="R1527" s="36"/>
      <c r="S1527" s="36"/>
      <c r="T1527" s="36"/>
      <c r="U1527" s="36"/>
      <c r="V1527" s="36"/>
      <c r="W1527" s="36"/>
      <c r="X1527" s="36"/>
      <c r="Y1527" s="36"/>
      <c r="Z1527" s="36"/>
      <c r="AA1527" s="36"/>
      <c r="AB1527" s="36"/>
      <c r="AC1527" s="36"/>
    </row>
    <row r="1528" spans="17:29" x14ac:dyDescent="0.2">
      <c r="Q1528" s="36"/>
      <c r="R1528" s="36"/>
      <c r="S1528" s="36"/>
      <c r="T1528" s="36"/>
      <c r="U1528" s="36"/>
      <c r="V1528" s="36"/>
      <c r="W1528" s="36"/>
      <c r="X1528" s="36"/>
      <c r="Y1528" s="36"/>
      <c r="Z1528" s="36"/>
      <c r="AA1528" s="36"/>
      <c r="AB1528" s="36"/>
      <c r="AC1528" s="36"/>
    </row>
    <row r="1529" spans="17:29" x14ac:dyDescent="0.2">
      <c r="Q1529" s="36"/>
      <c r="R1529" s="36"/>
      <c r="S1529" s="36"/>
      <c r="T1529" s="36"/>
      <c r="U1529" s="36"/>
      <c r="V1529" s="36"/>
      <c r="W1529" s="36"/>
      <c r="X1529" s="36"/>
      <c r="Y1529" s="36"/>
      <c r="Z1529" s="36"/>
      <c r="AA1529" s="36"/>
      <c r="AB1529" s="36"/>
      <c r="AC1529" s="36"/>
    </row>
    <row r="1530" spans="17:29" x14ac:dyDescent="0.2">
      <c r="Q1530" s="36"/>
      <c r="R1530" s="36"/>
      <c r="S1530" s="36"/>
      <c r="T1530" s="36"/>
      <c r="U1530" s="36"/>
      <c r="V1530" s="36"/>
      <c r="W1530" s="36"/>
      <c r="X1530" s="36"/>
      <c r="Y1530" s="36"/>
      <c r="Z1530" s="36"/>
      <c r="AA1530" s="36"/>
      <c r="AB1530" s="36"/>
      <c r="AC1530" s="36"/>
    </row>
    <row r="1531" spans="17:29" x14ac:dyDescent="0.2">
      <c r="Q1531" s="36"/>
      <c r="R1531" s="36"/>
      <c r="S1531" s="36"/>
      <c r="T1531" s="36"/>
      <c r="U1531" s="36"/>
      <c r="V1531" s="36"/>
      <c r="W1531" s="36"/>
      <c r="X1531" s="36"/>
      <c r="Y1531" s="36"/>
      <c r="Z1531" s="36"/>
      <c r="AA1531" s="36"/>
      <c r="AB1531" s="36"/>
      <c r="AC1531" s="36"/>
    </row>
    <row r="1532" spans="17:29" x14ac:dyDescent="0.2">
      <c r="Q1532" s="36"/>
      <c r="R1532" s="36"/>
      <c r="S1532" s="36"/>
      <c r="T1532" s="36"/>
      <c r="U1532" s="36"/>
      <c r="V1532" s="36"/>
      <c r="W1532" s="36"/>
      <c r="X1532" s="36"/>
      <c r="Y1532" s="36"/>
      <c r="Z1532" s="36"/>
      <c r="AA1532" s="36"/>
      <c r="AB1532" s="36"/>
      <c r="AC1532" s="36"/>
    </row>
    <row r="1533" spans="17:29" x14ac:dyDescent="0.2">
      <c r="Q1533" s="36"/>
      <c r="R1533" s="36"/>
      <c r="S1533" s="36"/>
      <c r="T1533" s="36"/>
      <c r="U1533" s="36"/>
      <c r="V1533" s="36"/>
      <c r="W1533" s="36"/>
      <c r="X1533" s="36"/>
      <c r="Y1533" s="36"/>
      <c r="Z1533" s="36"/>
      <c r="AA1533" s="36"/>
      <c r="AB1533" s="36"/>
      <c r="AC1533" s="36"/>
    </row>
    <row r="1534" spans="17:29" x14ac:dyDescent="0.2">
      <c r="Q1534" s="36"/>
      <c r="R1534" s="36"/>
      <c r="S1534" s="36"/>
      <c r="T1534" s="36"/>
      <c r="U1534" s="36"/>
      <c r="V1534" s="36"/>
      <c r="W1534" s="36"/>
      <c r="X1534" s="36"/>
      <c r="Y1534" s="36"/>
      <c r="Z1534" s="36"/>
      <c r="AA1534" s="36"/>
      <c r="AB1534" s="36"/>
      <c r="AC1534" s="36"/>
    </row>
    <row r="1535" spans="17:29" x14ac:dyDescent="0.2">
      <c r="Q1535" s="36"/>
      <c r="R1535" s="36"/>
      <c r="S1535" s="36"/>
      <c r="T1535" s="36"/>
      <c r="U1535" s="36"/>
      <c r="V1535" s="36"/>
      <c r="W1535" s="36"/>
      <c r="X1535" s="36"/>
      <c r="Y1535" s="36"/>
      <c r="Z1535" s="36"/>
      <c r="AA1535" s="36"/>
      <c r="AB1535" s="36"/>
      <c r="AC1535" s="36"/>
    </row>
    <row r="1536" spans="17:29" x14ac:dyDescent="0.2">
      <c r="Q1536" s="36"/>
      <c r="R1536" s="36"/>
      <c r="S1536" s="36"/>
      <c r="T1536" s="36"/>
      <c r="U1536" s="36"/>
      <c r="V1536" s="36"/>
      <c r="W1536" s="36"/>
      <c r="X1536" s="36"/>
      <c r="Y1536" s="36"/>
      <c r="Z1536" s="36"/>
      <c r="AA1536" s="36"/>
      <c r="AB1536" s="36"/>
      <c r="AC1536" s="36"/>
    </row>
    <row r="1537" spans="17:29" x14ac:dyDescent="0.2">
      <c r="Q1537" s="36"/>
      <c r="R1537" s="36"/>
      <c r="S1537" s="36"/>
      <c r="T1537" s="36"/>
      <c r="U1537" s="36"/>
      <c r="V1537" s="36"/>
      <c r="W1537" s="36"/>
      <c r="X1537" s="36"/>
      <c r="Y1537" s="36"/>
      <c r="Z1537" s="36"/>
      <c r="AA1537" s="36"/>
      <c r="AB1537" s="36"/>
      <c r="AC1537" s="36"/>
    </row>
    <row r="1538" spans="17:29" x14ac:dyDescent="0.2">
      <c r="Q1538" s="36"/>
      <c r="R1538" s="36"/>
      <c r="S1538" s="36"/>
      <c r="T1538" s="36"/>
      <c r="U1538" s="36"/>
      <c r="V1538" s="36"/>
      <c r="W1538" s="36"/>
      <c r="X1538" s="36"/>
      <c r="Y1538" s="36"/>
      <c r="Z1538" s="36"/>
      <c r="AA1538" s="36"/>
      <c r="AB1538" s="36"/>
      <c r="AC1538" s="36"/>
    </row>
    <row r="1539" spans="17:29" x14ac:dyDescent="0.2">
      <c r="Q1539" s="36"/>
      <c r="R1539" s="36"/>
      <c r="S1539" s="36"/>
      <c r="T1539" s="36"/>
      <c r="U1539" s="36"/>
      <c r="V1539" s="36"/>
      <c r="W1539" s="36"/>
      <c r="X1539" s="36"/>
      <c r="Y1539" s="36"/>
      <c r="Z1539" s="36"/>
      <c r="AA1539" s="36"/>
      <c r="AB1539" s="36"/>
      <c r="AC1539" s="36"/>
    </row>
    <row r="1540" spans="17:29" x14ac:dyDescent="0.2">
      <c r="Q1540" s="36"/>
      <c r="R1540" s="36"/>
      <c r="S1540" s="36"/>
      <c r="T1540" s="36"/>
      <c r="U1540" s="36"/>
      <c r="V1540" s="36"/>
      <c r="W1540" s="36"/>
      <c r="X1540" s="36"/>
      <c r="Y1540" s="36"/>
      <c r="Z1540" s="36"/>
      <c r="AA1540" s="36"/>
      <c r="AB1540" s="36"/>
      <c r="AC1540" s="36"/>
    </row>
    <row r="1541" spans="17:29" x14ac:dyDescent="0.2">
      <c r="Q1541" s="36"/>
      <c r="R1541" s="36"/>
      <c r="S1541" s="36"/>
      <c r="T1541" s="36"/>
      <c r="U1541" s="36"/>
      <c r="V1541" s="36"/>
      <c r="W1541" s="36"/>
      <c r="X1541" s="36"/>
      <c r="Y1541" s="36"/>
      <c r="Z1541" s="36"/>
      <c r="AA1541" s="36"/>
      <c r="AB1541" s="36"/>
      <c r="AC1541" s="36"/>
    </row>
    <row r="1542" spans="17:29" x14ac:dyDescent="0.2">
      <c r="Q1542" s="36"/>
      <c r="R1542" s="36"/>
      <c r="S1542" s="36"/>
      <c r="T1542" s="36"/>
      <c r="U1542" s="36"/>
      <c r="V1542" s="36"/>
      <c r="W1542" s="36"/>
      <c r="X1542" s="36"/>
      <c r="Y1542" s="36"/>
      <c r="Z1542" s="36"/>
      <c r="AA1542" s="36"/>
      <c r="AB1542" s="36"/>
      <c r="AC1542" s="36"/>
    </row>
    <row r="1543" spans="17:29" x14ac:dyDescent="0.2">
      <c r="Q1543" s="36"/>
      <c r="R1543" s="36"/>
      <c r="S1543" s="36"/>
      <c r="T1543" s="36"/>
      <c r="U1543" s="36"/>
      <c r="V1543" s="36"/>
      <c r="W1543" s="36"/>
      <c r="X1543" s="36"/>
      <c r="Y1543" s="36"/>
      <c r="Z1543" s="36"/>
      <c r="AA1543" s="36"/>
      <c r="AB1543" s="36"/>
      <c r="AC1543" s="36"/>
    </row>
    <row r="1544" spans="17:29" x14ac:dyDescent="0.2">
      <c r="Q1544" s="36"/>
      <c r="R1544" s="36"/>
      <c r="S1544" s="36"/>
      <c r="T1544" s="36"/>
      <c r="U1544" s="36"/>
      <c r="V1544" s="36"/>
      <c r="W1544" s="36"/>
      <c r="X1544" s="36"/>
      <c r="Y1544" s="36"/>
      <c r="Z1544" s="36"/>
      <c r="AA1544" s="36"/>
      <c r="AB1544" s="36"/>
      <c r="AC1544" s="36"/>
    </row>
    <row r="1545" spans="17:29" x14ac:dyDescent="0.2">
      <c r="Q1545" s="36"/>
      <c r="R1545" s="36"/>
      <c r="S1545" s="36"/>
      <c r="T1545" s="36"/>
      <c r="U1545" s="36"/>
      <c r="V1545" s="36"/>
      <c r="W1545" s="36"/>
      <c r="X1545" s="36"/>
      <c r="Y1545" s="36"/>
      <c r="Z1545" s="36"/>
      <c r="AA1545" s="36"/>
      <c r="AB1545" s="36"/>
      <c r="AC1545" s="36"/>
    </row>
    <row r="1546" spans="17:29" x14ac:dyDescent="0.2">
      <c r="Q1546" s="36"/>
      <c r="R1546" s="36"/>
      <c r="S1546" s="36"/>
      <c r="T1546" s="36"/>
      <c r="U1546" s="36"/>
      <c r="V1546" s="36"/>
      <c r="W1546" s="36"/>
      <c r="X1546" s="36"/>
      <c r="Y1546" s="36"/>
      <c r="Z1546" s="36"/>
      <c r="AA1546" s="36"/>
      <c r="AB1546" s="36"/>
      <c r="AC1546" s="36"/>
    </row>
    <row r="1547" spans="17:29" x14ac:dyDescent="0.2">
      <c r="Q1547" s="36"/>
      <c r="R1547" s="36"/>
      <c r="S1547" s="36"/>
      <c r="T1547" s="36"/>
      <c r="U1547" s="36"/>
      <c r="V1547" s="36"/>
      <c r="W1547" s="36"/>
      <c r="X1547" s="36"/>
      <c r="Y1547" s="36"/>
      <c r="Z1547" s="36"/>
      <c r="AA1547" s="36"/>
      <c r="AB1547" s="36"/>
      <c r="AC1547" s="36"/>
    </row>
    <row r="1548" spans="17:29" x14ac:dyDescent="0.2">
      <c r="Q1548" s="36"/>
      <c r="R1548" s="36"/>
      <c r="S1548" s="36"/>
      <c r="T1548" s="36"/>
      <c r="U1548" s="36"/>
      <c r="V1548" s="36"/>
      <c r="W1548" s="36"/>
      <c r="X1548" s="36"/>
      <c r="Y1548" s="36"/>
      <c r="Z1548" s="36"/>
      <c r="AA1548" s="36"/>
      <c r="AB1548" s="36"/>
      <c r="AC1548" s="36"/>
    </row>
    <row r="1549" spans="17:29" x14ac:dyDescent="0.2">
      <c r="Q1549" s="36"/>
      <c r="R1549" s="36"/>
      <c r="S1549" s="36"/>
      <c r="T1549" s="36"/>
      <c r="U1549" s="36"/>
      <c r="V1549" s="36"/>
      <c r="W1549" s="36"/>
      <c r="X1549" s="36"/>
      <c r="Y1549" s="36"/>
      <c r="Z1549" s="36"/>
      <c r="AA1549" s="36"/>
      <c r="AB1549" s="36"/>
      <c r="AC1549" s="36"/>
    </row>
    <row r="1550" spans="17:29" x14ac:dyDescent="0.2">
      <c r="Q1550" s="36"/>
      <c r="R1550" s="36"/>
      <c r="S1550" s="36"/>
      <c r="T1550" s="36"/>
      <c r="U1550" s="36"/>
      <c r="V1550" s="36"/>
      <c r="W1550" s="36"/>
      <c r="X1550" s="36"/>
      <c r="Y1550" s="36"/>
      <c r="Z1550" s="36"/>
      <c r="AA1550" s="36"/>
      <c r="AB1550" s="36"/>
      <c r="AC1550" s="36"/>
    </row>
    <row r="1551" spans="17:29" x14ac:dyDescent="0.2">
      <c r="Q1551" s="36"/>
      <c r="R1551" s="36"/>
      <c r="S1551" s="36"/>
      <c r="T1551" s="36"/>
      <c r="U1551" s="36"/>
      <c r="V1551" s="36"/>
      <c r="W1551" s="36"/>
      <c r="X1551" s="36"/>
      <c r="Y1551" s="36"/>
      <c r="Z1551" s="36"/>
      <c r="AA1551" s="36"/>
      <c r="AB1551" s="36"/>
      <c r="AC1551" s="36"/>
    </row>
    <row r="1552" spans="17:29" x14ac:dyDescent="0.2">
      <c r="Q1552" s="36"/>
      <c r="R1552" s="36"/>
      <c r="S1552" s="36"/>
      <c r="T1552" s="36"/>
      <c r="U1552" s="36"/>
      <c r="V1552" s="36"/>
      <c r="W1552" s="36"/>
      <c r="X1552" s="36"/>
      <c r="Y1552" s="36"/>
      <c r="Z1552" s="36"/>
      <c r="AA1552" s="36"/>
      <c r="AB1552" s="36"/>
      <c r="AC1552" s="36"/>
    </row>
    <row r="1553" spans="17:29" x14ac:dyDescent="0.2">
      <c r="Q1553" s="36"/>
      <c r="R1553" s="36"/>
      <c r="S1553" s="36"/>
      <c r="T1553" s="36"/>
      <c r="U1553" s="36"/>
      <c r="V1553" s="36"/>
      <c r="W1553" s="36"/>
      <c r="X1553" s="36"/>
      <c r="Y1553" s="36"/>
      <c r="Z1553" s="36"/>
      <c r="AA1553" s="36"/>
      <c r="AB1553" s="36"/>
      <c r="AC1553" s="36"/>
    </row>
    <row r="1554" spans="17:29" x14ac:dyDescent="0.2">
      <c r="Q1554" s="36"/>
      <c r="R1554" s="36"/>
      <c r="S1554" s="36"/>
      <c r="T1554" s="36"/>
      <c r="U1554" s="36"/>
      <c r="V1554" s="36"/>
      <c r="W1554" s="36"/>
      <c r="X1554" s="36"/>
      <c r="Y1554" s="36"/>
      <c r="Z1554" s="36"/>
      <c r="AA1554" s="36"/>
      <c r="AB1554" s="36"/>
      <c r="AC1554" s="36"/>
    </row>
    <row r="1555" spans="17:29" x14ac:dyDescent="0.2">
      <c r="Q1555" s="36"/>
      <c r="R1555" s="36"/>
      <c r="S1555" s="36"/>
      <c r="T1555" s="36"/>
      <c r="U1555" s="36"/>
      <c r="V1555" s="36"/>
      <c r="W1555" s="36"/>
      <c r="X1555" s="36"/>
      <c r="Y1555" s="36"/>
      <c r="Z1555" s="36"/>
      <c r="AA1555" s="36"/>
      <c r="AB1555" s="36"/>
      <c r="AC1555" s="36"/>
    </row>
    <row r="1556" spans="17:29" x14ac:dyDescent="0.2">
      <c r="Q1556" s="36"/>
      <c r="R1556" s="36"/>
      <c r="S1556" s="36"/>
      <c r="T1556" s="36"/>
      <c r="U1556" s="36"/>
      <c r="V1556" s="36"/>
      <c r="W1556" s="36"/>
      <c r="X1556" s="36"/>
      <c r="Y1556" s="36"/>
      <c r="Z1556" s="36"/>
      <c r="AA1556" s="36"/>
      <c r="AB1556" s="36"/>
      <c r="AC1556" s="36"/>
    </row>
    <row r="1557" spans="17:29" x14ac:dyDescent="0.2">
      <c r="Q1557" s="36"/>
      <c r="R1557" s="36"/>
      <c r="S1557" s="36"/>
      <c r="T1557" s="36"/>
      <c r="U1557" s="36"/>
      <c r="V1557" s="36"/>
      <c r="W1557" s="36"/>
      <c r="X1557" s="36"/>
      <c r="Y1557" s="36"/>
      <c r="Z1557" s="36"/>
      <c r="AA1557" s="36"/>
      <c r="AB1557" s="36"/>
      <c r="AC1557" s="36"/>
    </row>
    <row r="1558" spans="17:29" x14ac:dyDescent="0.2">
      <c r="Q1558" s="36"/>
      <c r="R1558" s="36"/>
      <c r="S1558" s="36"/>
      <c r="T1558" s="36"/>
      <c r="U1558" s="36"/>
      <c r="V1558" s="36"/>
      <c r="W1558" s="36"/>
      <c r="X1558" s="36"/>
      <c r="Y1558" s="36"/>
      <c r="Z1558" s="36"/>
      <c r="AA1558" s="36"/>
      <c r="AB1558" s="36"/>
      <c r="AC1558" s="36"/>
    </row>
    <row r="1559" spans="17:29" x14ac:dyDescent="0.2">
      <c r="Q1559" s="36"/>
      <c r="R1559" s="36"/>
      <c r="S1559" s="36"/>
      <c r="T1559" s="36"/>
      <c r="U1559" s="36"/>
      <c r="V1559" s="36"/>
      <c r="W1559" s="36"/>
      <c r="X1559" s="36"/>
      <c r="Y1559" s="36"/>
      <c r="Z1559" s="36"/>
      <c r="AA1559" s="36"/>
      <c r="AB1559" s="36"/>
      <c r="AC1559" s="36"/>
    </row>
    <row r="1560" spans="17:29" x14ac:dyDescent="0.2">
      <c r="Q1560" s="36"/>
      <c r="R1560" s="36"/>
      <c r="S1560" s="36"/>
      <c r="T1560" s="36"/>
      <c r="U1560" s="36"/>
      <c r="V1560" s="36"/>
      <c r="W1560" s="36"/>
      <c r="X1560" s="36"/>
      <c r="Y1560" s="36"/>
      <c r="Z1560" s="36"/>
      <c r="AA1560" s="36"/>
      <c r="AB1560" s="36"/>
      <c r="AC1560" s="36"/>
    </row>
    <row r="1561" spans="17:29" x14ac:dyDescent="0.2">
      <c r="Q1561" s="36"/>
      <c r="R1561" s="36"/>
      <c r="S1561" s="36"/>
      <c r="T1561" s="36"/>
      <c r="U1561" s="36"/>
      <c r="V1561" s="36"/>
      <c r="W1561" s="36"/>
      <c r="X1561" s="36"/>
      <c r="Y1561" s="36"/>
      <c r="Z1561" s="36"/>
      <c r="AA1561" s="36"/>
      <c r="AB1561" s="36"/>
      <c r="AC1561" s="36"/>
    </row>
    <row r="1562" spans="17:29" x14ac:dyDescent="0.2">
      <c r="Q1562" s="36"/>
      <c r="R1562" s="36"/>
      <c r="S1562" s="36"/>
      <c r="T1562" s="36"/>
      <c r="U1562" s="36"/>
      <c r="V1562" s="36"/>
      <c r="W1562" s="36"/>
      <c r="X1562" s="36"/>
      <c r="Y1562" s="36"/>
      <c r="Z1562" s="36"/>
      <c r="AA1562" s="36"/>
      <c r="AB1562" s="36"/>
      <c r="AC1562" s="36"/>
    </row>
    <row r="1563" spans="17:29" x14ac:dyDescent="0.2">
      <c r="Q1563" s="36"/>
      <c r="R1563" s="36"/>
      <c r="S1563" s="36"/>
      <c r="T1563" s="36"/>
      <c r="U1563" s="36"/>
      <c r="V1563" s="36"/>
      <c r="W1563" s="36"/>
      <c r="X1563" s="36"/>
      <c r="Y1563" s="36"/>
      <c r="Z1563" s="36"/>
      <c r="AA1563" s="36"/>
      <c r="AB1563" s="36"/>
      <c r="AC1563" s="36"/>
    </row>
    <row r="1564" spans="17:29" x14ac:dyDescent="0.2">
      <c r="Q1564" s="36"/>
      <c r="R1564" s="36"/>
      <c r="S1564" s="36"/>
      <c r="T1564" s="36"/>
      <c r="U1564" s="36"/>
      <c r="V1564" s="36"/>
      <c r="W1564" s="36"/>
      <c r="X1564" s="36"/>
      <c r="Y1564" s="36"/>
      <c r="Z1564" s="36"/>
      <c r="AA1564" s="36"/>
      <c r="AB1564" s="36"/>
      <c r="AC1564" s="36"/>
    </row>
    <row r="1565" spans="17:29" x14ac:dyDescent="0.2">
      <c r="Q1565" s="36"/>
      <c r="R1565" s="36"/>
      <c r="S1565" s="36"/>
      <c r="T1565" s="36"/>
      <c r="U1565" s="36"/>
      <c r="V1565" s="36"/>
      <c r="W1565" s="36"/>
      <c r="X1565" s="36"/>
      <c r="Y1565" s="36"/>
      <c r="Z1565" s="36"/>
      <c r="AA1565" s="36"/>
      <c r="AB1565" s="36"/>
      <c r="AC1565" s="36"/>
    </row>
    <row r="1566" spans="17:29" x14ac:dyDescent="0.2">
      <c r="Q1566" s="36"/>
      <c r="R1566" s="36"/>
      <c r="S1566" s="36"/>
      <c r="T1566" s="36"/>
      <c r="U1566" s="36"/>
      <c r="V1566" s="36"/>
      <c r="W1566" s="36"/>
      <c r="X1566" s="36"/>
      <c r="Y1566" s="36"/>
      <c r="Z1566" s="36"/>
      <c r="AA1566" s="36"/>
      <c r="AB1566" s="36"/>
      <c r="AC1566" s="36"/>
    </row>
    <row r="1567" spans="17:29" x14ac:dyDescent="0.2">
      <c r="Q1567" s="36"/>
      <c r="R1567" s="36"/>
      <c r="S1567" s="36"/>
      <c r="T1567" s="36"/>
      <c r="U1567" s="36"/>
      <c r="V1567" s="36"/>
      <c r="W1567" s="36"/>
      <c r="X1567" s="36"/>
      <c r="Y1567" s="36"/>
      <c r="Z1567" s="36"/>
      <c r="AA1567" s="36"/>
      <c r="AB1567" s="36"/>
      <c r="AC1567" s="36"/>
    </row>
    <row r="1568" spans="17:29" x14ac:dyDescent="0.2">
      <c r="Q1568" s="36"/>
      <c r="R1568" s="36"/>
      <c r="S1568" s="36"/>
      <c r="T1568" s="36"/>
      <c r="U1568" s="36"/>
      <c r="V1568" s="36"/>
      <c r="W1568" s="36"/>
      <c r="X1568" s="36"/>
      <c r="Y1568" s="36"/>
      <c r="Z1568" s="36"/>
      <c r="AA1568" s="36"/>
      <c r="AB1568" s="36"/>
      <c r="AC1568" s="36"/>
    </row>
    <row r="1569" spans="17:29" x14ac:dyDescent="0.2">
      <c r="Q1569" s="36"/>
      <c r="R1569" s="36"/>
      <c r="S1569" s="36"/>
      <c r="T1569" s="36"/>
      <c r="U1569" s="36"/>
      <c r="V1569" s="36"/>
      <c r="W1569" s="36"/>
      <c r="X1569" s="36"/>
      <c r="Y1569" s="36"/>
      <c r="Z1569" s="36"/>
      <c r="AA1569" s="36"/>
      <c r="AB1569" s="36"/>
      <c r="AC1569" s="36"/>
    </row>
    <row r="1570" spans="17:29" x14ac:dyDescent="0.2">
      <c r="Q1570" s="36"/>
      <c r="R1570" s="36"/>
      <c r="S1570" s="36"/>
      <c r="T1570" s="36"/>
      <c r="U1570" s="36"/>
      <c r="V1570" s="36"/>
      <c r="W1570" s="36"/>
      <c r="X1570" s="36"/>
      <c r="Y1570" s="36"/>
      <c r="Z1570" s="36"/>
      <c r="AA1570" s="36"/>
      <c r="AB1570" s="36"/>
      <c r="AC1570" s="36"/>
    </row>
    <row r="1571" spans="17:29" x14ac:dyDescent="0.2">
      <c r="Q1571" s="36"/>
      <c r="R1571" s="36"/>
      <c r="S1571" s="36"/>
      <c r="T1571" s="36"/>
      <c r="U1571" s="36"/>
      <c r="V1571" s="36"/>
      <c r="W1571" s="36"/>
      <c r="X1571" s="36"/>
      <c r="Y1571" s="36"/>
      <c r="Z1571" s="36"/>
      <c r="AA1571" s="36"/>
      <c r="AB1571" s="36"/>
      <c r="AC1571" s="36"/>
    </row>
    <row r="1572" spans="17:29" x14ac:dyDescent="0.2">
      <c r="Q1572" s="36"/>
      <c r="R1572" s="36"/>
      <c r="S1572" s="36"/>
      <c r="T1572" s="36"/>
      <c r="U1572" s="36"/>
      <c r="V1572" s="36"/>
      <c r="W1572" s="36"/>
      <c r="X1572" s="36"/>
      <c r="Y1572" s="36"/>
      <c r="Z1572" s="36"/>
      <c r="AA1572" s="36"/>
      <c r="AB1572" s="36"/>
      <c r="AC1572" s="36"/>
    </row>
    <row r="1573" spans="17:29" x14ac:dyDescent="0.2">
      <c r="Q1573" s="36"/>
      <c r="R1573" s="36"/>
      <c r="S1573" s="36"/>
      <c r="T1573" s="36"/>
      <c r="U1573" s="36"/>
      <c r="V1573" s="36"/>
      <c r="W1573" s="36"/>
      <c r="X1573" s="36"/>
      <c r="Y1573" s="36"/>
      <c r="Z1573" s="36"/>
      <c r="AA1573" s="36"/>
      <c r="AB1573" s="36"/>
      <c r="AC1573" s="36"/>
    </row>
    <row r="1574" spans="17:29" x14ac:dyDescent="0.2">
      <c r="Q1574" s="36"/>
      <c r="R1574" s="36"/>
      <c r="S1574" s="36"/>
      <c r="T1574" s="36"/>
      <c r="U1574" s="36"/>
      <c r="V1574" s="36"/>
      <c r="W1574" s="36"/>
      <c r="X1574" s="36"/>
      <c r="Y1574" s="36"/>
      <c r="Z1574" s="36"/>
      <c r="AA1574" s="36"/>
      <c r="AB1574" s="36"/>
      <c r="AC1574" s="36"/>
    </row>
    <row r="1575" spans="17:29" x14ac:dyDescent="0.2">
      <c r="Q1575" s="36"/>
      <c r="R1575" s="36"/>
      <c r="S1575" s="36"/>
      <c r="T1575" s="36"/>
      <c r="U1575" s="36"/>
      <c r="V1575" s="36"/>
      <c r="W1575" s="36"/>
      <c r="X1575" s="36"/>
      <c r="Y1575" s="36"/>
      <c r="Z1575" s="36"/>
      <c r="AA1575" s="36"/>
      <c r="AB1575" s="36"/>
      <c r="AC1575" s="36"/>
    </row>
    <row r="1576" spans="17:29" x14ac:dyDescent="0.2">
      <c r="Q1576" s="36"/>
      <c r="R1576" s="36"/>
      <c r="S1576" s="36"/>
      <c r="T1576" s="36"/>
      <c r="U1576" s="36"/>
      <c r="V1576" s="36"/>
      <c r="W1576" s="36"/>
      <c r="X1576" s="36"/>
      <c r="Y1576" s="36"/>
      <c r="Z1576" s="36"/>
      <c r="AA1576" s="36"/>
      <c r="AB1576" s="36"/>
      <c r="AC1576" s="36"/>
    </row>
    <row r="1577" spans="17:29" x14ac:dyDescent="0.2">
      <c r="Q1577" s="36"/>
      <c r="R1577" s="36"/>
      <c r="S1577" s="36"/>
      <c r="T1577" s="36"/>
      <c r="U1577" s="36"/>
      <c r="V1577" s="36"/>
      <c r="W1577" s="36"/>
      <c r="X1577" s="36"/>
      <c r="Y1577" s="36"/>
      <c r="Z1577" s="36"/>
      <c r="AA1577" s="36"/>
      <c r="AB1577" s="36"/>
      <c r="AC1577" s="36"/>
    </row>
    <row r="1578" spans="17:29" x14ac:dyDescent="0.2">
      <c r="Q1578" s="36"/>
      <c r="R1578" s="36"/>
      <c r="S1578" s="36"/>
      <c r="T1578" s="36"/>
      <c r="U1578" s="36"/>
      <c r="V1578" s="36"/>
      <c r="W1578" s="36"/>
      <c r="X1578" s="36"/>
      <c r="Y1578" s="36"/>
      <c r="Z1578" s="36"/>
      <c r="AA1578" s="36"/>
      <c r="AB1578" s="36"/>
      <c r="AC1578" s="36"/>
    </row>
    <row r="1579" spans="17:29" x14ac:dyDescent="0.2">
      <c r="Q1579" s="36"/>
      <c r="R1579" s="36"/>
      <c r="S1579" s="36"/>
      <c r="T1579" s="36"/>
      <c r="U1579" s="36"/>
      <c r="V1579" s="36"/>
      <c r="W1579" s="36"/>
      <c r="X1579" s="36"/>
      <c r="Y1579" s="36"/>
      <c r="Z1579" s="36"/>
      <c r="AA1579" s="36"/>
      <c r="AB1579" s="36"/>
      <c r="AC1579" s="36"/>
    </row>
    <row r="1580" spans="17:29" x14ac:dyDescent="0.2">
      <c r="Q1580" s="36"/>
      <c r="R1580" s="36"/>
      <c r="S1580" s="36"/>
      <c r="T1580" s="36"/>
      <c r="U1580" s="36"/>
      <c r="V1580" s="36"/>
      <c r="W1580" s="36"/>
      <c r="X1580" s="36"/>
      <c r="Y1580" s="36"/>
      <c r="Z1580" s="36"/>
      <c r="AA1580" s="36"/>
      <c r="AB1580" s="36"/>
      <c r="AC1580" s="36"/>
    </row>
    <row r="1581" spans="17:29" x14ac:dyDescent="0.2">
      <c r="Q1581" s="36"/>
      <c r="R1581" s="36"/>
      <c r="S1581" s="36"/>
      <c r="T1581" s="36"/>
      <c r="U1581" s="36"/>
      <c r="V1581" s="36"/>
      <c r="W1581" s="36"/>
      <c r="X1581" s="36"/>
      <c r="Y1581" s="36"/>
      <c r="Z1581" s="36"/>
      <c r="AA1581" s="36"/>
      <c r="AB1581" s="36"/>
      <c r="AC1581" s="36"/>
    </row>
    <row r="1582" spans="17:29" x14ac:dyDescent="0.2">
      <c r="Q1582" s="36"/>
      <c r="R1582" s="36"/>
      <c r="S1582" s="36"/>
      <c r="T1582" s="36"/>
      <c r="U1582" s="36"/>
      <c r="V1582" s="36"/>
      <c r="W1582" s="36"/>
      <c r="X1582" s="36"/>
      <c r="Y1582" s="36"/>
      <c r="Z1582" s="36"/>
      <c r="AA1582" s="36"/>
      <c r="AB1582" s="36"/>
      <c r="AC1582" s="36"/>
    </row>
    <row r="1583" spans="17:29" x14ac:dyDescent="0.2">
      <c r="Q1583" s="36"/>
      <c r="R1583" s="36"/>
      <c r="S1583" s="36"/>
      <c r="T1583" s="36"/>
      <c r="U1583" s="36"/>
      <c r="V1583" s="36"/>
      <c r="W1583" s="36"/>
      <c r="X1583" s="36"/>
      <c r="Y1583" s="36"/>
      <c r="Z1583" s="36"/>
      <c r="AA1583" s="36"/>
      <c r="AB1583" s="36"/>
      <c r="AC1583" s="36"/>
    </row>
    <row r="1584" spans="17:29" x14ac:dyDescent="0.2">
      <c r="Q1584" s="36"/>
      <c r="R1584" s="36"/>
      <c r="S1584" s="36"/>
      <c r="T1584" s="36"/>
      <c r="U1584" s="36"/>
      <c r="V1584" s="36"/>
      <c r="W1584" s="36"/>
      <c r="X1584" s="36"/>
      <c r="Y1584" s="36"/>
      <c r="Z1584" s="36"/>
      <c r="AA1584" s="36"/>
      <c r="AB1584" s="36"/>
      <c r="AC1584" s="36"/>
    </row>
    <row r="1585" spans="17:29" x14ac:dyDescent="0.2">
      <c r="Q1585" s="36"/>
      <c r="R1585" s="36"/>
      <c r="S1585" s="36"/>
      <c r="T1585" s="36"/>
      <c r="U1585" s="36"/>
      <c r="V1585" s="36"/>
      <c r="W1585" s="36"/>
      <c r="X1585" s="36"/>
      <c r="Y1585" s="36"/>
      <c r="Z1585" s="36"/>
      <c r="AA1585" s="36"/>
      <c r="AB1585" s="36"/>
      <c r="AC1585" s="36"/>
    </row>
    <row r="1586" spans="17:29" x14ac:dyDescent="0.2">
      <c r="Q1586" s="36"/>
      <c r="R1586" s="36"/>
      <c r="S1586" s="36"/>
      <c r="T1586" s="36"/>
      <c r="U1586" s="36"/>
      <c r="V1586" s="36"/>
      <c r="W1586" s="36"/>
      <c r="X1586" s="36"/>
      <c r="Y1586" s="36"/>
      <c r="Z1586" s="36"/>
      <c r="AA1586" s="36"/>
      <c r="AB1586" s="36"/>
      <c r="AC1586" s="36"/>
    </row>
    <row r="1587" spans="17:29" x14ac:dyDescent="0.2">
      <c r="Q1587" s="36"/>
      <c r="R1587" s="36"/>
      <c r="S1587" s="36"/>
      <c r="T1587" s="36"/>
      <c r="U1587" s="36"/>
      <c r="V1587" s="36"/>
      <c r="W1587" s="36"/>
      <c r="X1587" s="36"/>
      <c r="Y1587" s="36"/>
      <c r="Z1587" s="36"/>
      <c r="AA1587" s="36"/>
      <c r="AB1587" s="36"/>
      <c r="AC1587" s="36"/>
    </row>
    <row r="1588" spans="17:29" x14ac:dyDescent="0.2">
      <c r="Q1588" s="36"/>
      <c r="R1588" s="36"/>
      <c r="S1588" s="36"/>
      <c r="T1588" s="36"/>
      <c r="U1588" s="36"/>
      <c r="V1588" s="36"/>
      <c r="W1588" s="36"/>
      <c r="X1588" s="36"/>
      <c r="Y1588" s="36"/>
      <c r="Z1588" s="36"/>
      <c r="AA1588" s="36"/>
      <c r="AB1588" s="36"/>
      <c r="AC1588" s="36"/>
    </row>
    <row r="1589" spans="17:29" x14ac:dyDescent="0.2">
      <c r="Q1589" s="36"/>
      <c r="R1589" s="36"/>
      <c r="S1589" s="36"/>
      <c r="T1589" s="36"/>
      <c r="U1589" s="36"/>
      <c r="V1589" s="36"/>
      <c r="W1589" s="36"/>
      <c r="X1589" s="36"/>
      <c r="Y1589" s="36"/>
      <c r="Z1589" s="36"/>
      <c r="AA1589" s="36"/>
      <c r="AB1589" s="36"/>
      <c r="AC1589" s="36"/>
    </row>
    <row r="1590" spans="17:29" x14ac:dyDescent="0.2">
      <c r="Q1590" s="36"/>
      <c r="R1590" s="36"/>
      <c r="S1590" s="36"/>
      <c r="T1590" s="36"/>
      <c r="U1590" s="36"/>
      <c r="V1590" s="36"/>
      <c r="W1590" s="36"/>
      <c r="X1590" s="36"/>
      <c r="Y1590" s="36"/>
      <c r="Z1590" s="36"/>
      <c r="AA1590" s="36"/>
      <c r="AB1590" s="36"/>
      <c r="AC1590" s="36"/>
    </row>
    <row r="1591" spans="17:29" x14ac:dyDescent="0.2">
      <c r="Q1591" s="36"/>
      <c r="R1591" s="36"/>
      <c r="S1591" s="36"/>
      <c r="T1591" s="36"/>
      <c r="U1591" s="36"/>
      <c r="V1591" s="36"/>
      <c r="W1591" s="36"/>
      <c r="X1591" s="36"/>
      <c r="Y1591" s="36"/>
      <c r="Z1591" s="36"/>
      <c r="AA1591" s="36"/>
      <c r="AB1591" s="36"/>
      <c r="AC1591" s="36"/>
    </row>
    <row r="1592" spans="17:29" x14ac:dyDescent="0.2">
      <c r="Q1592" s="36"/>
      <c r="R1592" s="36"/>
      <c r="S1592" s="36"/>
      <c r="T1592" s="36"/>
      <c r="U1592" s="36"/>
      <c r="V1592" s="36"/>
      <c r="W1592" s="36"/>
      <c r="X1592" s="36"/>
      <c r="Y1592" s="36"/>
      <c r="Z1592" s="36"/>
      <c r="AA1592" s="36"/>
      <c r="AB1592" s="36"/>
      <c r="AC1592" s="36"/>
    </row>
    <row r="1593" spans="17:29" x14ac:dyDescent="0.2">
      <c r="Q1593" s="36"/>
      <c r="R1593" s="36"/>
      <c r="S1593" s="36"/>
      <c r="T1593" s="36"/>
      <c r="U1593" s="36"/>
      <c r="V1593" s="36"/>
      <c r="W1593" s="36"/>
      <c r="X1593" s="36"/>
      <c r="Y1593" s="36"/>
      <c r="Z1593" s="36"/>
      <c r="AA1593" s="36"/>
      <c r="AB1593" s="36"/>
      <c r="AC1593" s="36"/>
    </row>
    <row r="1594" spans="17:29" x14ac:dyDescent="0.2">
      <c r="Q1594" s="36"/>
      <c r="R1594" s="36"/>
      <c r="S1594" s="36"/>
      <c r="T1594" s="36"/>
      <c r="U1594" s="36"/>
      <c r="V1594" s="36"/>
      <c r="W1594" s="36"/>
      <c r="X1594" s="36"/>
      <c r="Y1594" s="36"/>
      <c r="Z1594" s="36"/>
      <c r="AA1594" s="36"/>
      <c r="AB1594" s="36"/>
      <c r="AC1594" s="36"/>
    </row>
    <row r="1595" spans="17:29" x14ac:dyDescent="0.2">
      <c r="Q1595" s="36"/>
      <c r="R1595" s="36"/>
      <c r="S1595" s="36"/>
      <c r="T1595" s="36"/>
      <c r="U1595" s="36"/>
      <c r="V1595" s="36"/>
      <c r="W1595" s="36"/>
      <c r="X1595" s="36"/>
      <c r="Y1595" s="36"/>
      <c r="Z1595" s="36"/>
      <c r="AA1595" s="36"/>
      <c r="AB1595" s="36"/>
      <c r="AC1595" s="36"/>
    </row>
    <row r="1596" spans="17:29" x14ac:dyDescent="0.2">
      <c r="Q1596" s="36"/>
      <c r="R1596" s="36"/>
      <c r="S1596" s="36"/>
      <c r="T1596" s="36"/>
      <c r="U1596" s="36"/>
      <c r="V1596" s="36"/>
      <c r="W1596" s="36"/>
      <c r="X1596" s="36"/>
      <c r="Y1596" s="36"/>
      <c r="Z1596" s="36"/>
      <c r="AA1596" s="36"/>
      <c r="AB1596" s="36"/>
      <c r="AC1596" s="36"/>
    </row>
    <row r="1597" spans="17:29" x14ac:dyDescent="0.2">
      <c r="Q1597" s="36"/>
      <c r="R1597" s="36"/>
      <c r="S1597" s="36"/>
      <c r="T1597" s="36"/>
      <c r="U1597" s="36"/>
      <c r="V1597" s="36"/>
      <c r="W1597" s="36"/>
      <c r="X1597" s="36"/>
      <c r="Y1597" s="36"/>
      <c r="Z1597" s="36"/>
      <c r="AA1597" s="36"/>
      <c r="AB1597" s="36"/>
      <c r="AC1597" s="36"/>
    </row>
    <row r="1598" spans="17:29" x14ac:dyDescent="0.2">
      <c r="Q1598" s="36"/>
      <c r="R1598" s="36"/>
      <c r="S1598" s="36"/>
      <c r="T1598" s="36"/>
      <c r="U1598" s="36"/>
      <c r="V1598" s="36"/>
      <c r="W1598" s="36"/>
      <c r="X1598" s="36"/>
      <c r="Y1598" s="36"/>
      <c r="Z1598" s="36"/>
      <c r="AA1598" s="36"/>
      <c r="AB1598" s="36"/>
      <c r="AC1598" s="36"/>
    </row>
    <row r="1599" spans="17:29" x14ac:dyDescent="0.2">
      <c r="Q1599" s="36"/>
      <c r="R1599" s="36"/>
      <c r="S1599" s="36"/>
      <c r="T1599" s="36"/>
      <c r="U1599" s="36"/>
      <c r="V1599" s="36"/>
      <c r="W1599" s="36"/>
      <c r="X1599" s="36"/>
      <c r="Y1599" s="36"/>
      <c r="Z1599" s="36"/>
      <c r="AA1599" s="36"/>
      <c r="AB1599" s="36"/>
      <c r="AC1599" s="36"/>
    </row>
    <row r="1600" spans="17:29" x14ac:dyDescent="0.2">
      <c r="Q1600" s="36"/>
      <c r="R1600" s="36"/>
      <c r="S1600" s="36"/>
      <c r="T1600" s="36"/>
      <c r="U1600" s="36"/>
      <c r="V1600" s="36"/>
      <c r="W1600" s="36"/>
      <c r="X1600" s="36"/>
      <c r="Y1600" s="36"/>
      <c r="Z1600" s="36"/>
      <c r="AA1600" s="36"/>
      <c r="AB1600" s="36"/>
      <c r="AC1600" s="36"/>
    </row>
    <row r="1601" spans="17:29" x14ac:dyDescent="0.2">
      <c r="Q1601" s="36"/>
      <c r="R1601" s="36"/>
      <c r="S1601" s="36"/>
      <c r="T1601" s="36"/>
      <c r="U1601" s="36"/>
      <c r="V1601" s="36"/>
      <c r="W1601" s="36"/>
      <c r="X1601" s="36"/>
      <c r="Y1601" s="36"/>
      <c r="Z1601" s="36"/>
      <c r="AA1601" s="36"/>
      <c r="AB1601" s="36"/>
      <c r="AC1601" s="36"/>
    </row>
    <row r="1602" spans="17:29" x14ac:dyDescent="0.2">
      <c r="Q1602" s="36"/>
      <c r="R1602" s="36"/>
      <c r="S1602" s="36"/>
      <c r="T1602" s="36"/>
      <c r="U1602" s="36"/>
      <c r="V1602" s="36"/>
      <c r="W1602" s="36"/>
      <c r="X1602" s="36"/>
      <c r="Y1602" s="36"/>
      <c r="Z1602" s="36"/>
      <c r="AA1602" s="36"/>
      <c r="AB1602" s="36"/>
      <c r="AC1602" s="36"/>
    </row>
    <row r="1603" spans="17:29" x14ac:dyDescent="0.2">
      <c r="Q1603" s="36"/>
      <c r="R1603" s="36"/>
      <c r="S1603" s="36"/>
      <c r="T1603" s="36"/>
      <c r="U1603" s="36"/>
      <c r="V1603" s="36"/>
      <c r="W1603" s="36"/>
      <c r="X1603" s="36"/>
      <c r="Y1603" s="36"/>
      <c r="Z1603" s="36"/>
      <c r="AA1603" s="36"/>
      <c r="AB1603" s="36"/>
      <c r="AC1603" s="36"/>
    </row>
    <row r="1604" spans="17:29" x14ac:dyDescent="0.2">
      <c r="Q1604" s="36"/>
      <c r="R1604" s="36"/>
      <c r="S1604" s="36"/>
      <c r="T1604" s="36"/>
      <c r="U1604" s="36"/>
      <c r="V1604" s="36"/>
      <c r="W1604" s="36"/>
      <c r="X1604" s="36"/>
      <c r="Y1604" s="36"/>
      <c r="Z1604" s="36"/>
      <c r="AA1604" s="36"/>
      <c r="AB1604" s="36"/>
      <c r="AC1604" s="36"/>
    </row>
    <row r="1605" spans="17:29" x14ac:dyDescent="0.2">
      <c r="Q1605" s="36"/>
      <c r="R1605" s="36"/>
      <c r="S1605" s="36"/>
      <c r="T1605" s="36"/>
      <c r="U1605" s="36"/>
      <c r="V1605" s="36"/>
      <c r="W1605" s="36"/>
      <c r="X1605" s="36"/>
      <c r="Y1605" s="36"/>
      <c r="Z1605" s="36"/>
      <c r="AA1605" s="36"/>
      <c r="AB1605" s="36"/>
      <c r="AC1605" s="36"/>
    </row>
    <row r="1606" spans="17:29" x14ac:dyDescent="0.2">
      <c r="Q1606" s="36"/>
      <c r="R1606" s="36"/>
      <c r="S1606" s="36"/>
      <c r="T1606" s="36"/>
      <c r="U1606" s="36"/>
      <c r="V1606" s="36"/>
      <c r="W1606" s="36"/>
      <c r="X1606" s="36"/>
      <c r="Y1606" s="36"/>
      <c r="Z1606" s="36"/>
      <c r="AA1606" s="36"/>
      <c r="AB1606" s="36"/>
      <c r="AC1606" s="36"/>
    </row>
    <row r="1607" spans="17:29" x14ac:dyDescent="0.2">
      <c r="Q1607" s="36"/>
      <c r="R1607" s="36"/>
      <c r="S1607" s="36"/>
      <c r="T1607" s="36"/>
      <c r="U1607" s="36"/>
      <c r="V1607" s="36"/>
      <c r="W1607" s="36"/>
      <c r="X1607" s="36"/>
      <c r="Y1607" s="36"/>
      <c r="Z1607" s="36"/>
      <c r="AA1607" s="36"/>
      <c r="AB1607" s="36"/>
      <c r="AC1607" s="36"/>
    </row>
    <row r="1608" spans="17:29" x14ac:dyDescent="0.2">
      <c r="Q1608" s="36"/>
      <c r="R1608" s="36"/>
      <c r="S1608" s="36"/>
      <c r="T1608" s="36"/>
      <c r="U1608" s="36"/>
      <c r="V1608" s="36"/>
      <c r="W1608" s="36"/>
      <c r="X1608" s="36"/>
      <c r="Y1608" s="36"/>
      <c r="Z1608" s="36"/>
      <c r="AA1608" s="36"/>
      <c r="AB1608" s="36"/>
      <c r="AC1608" s="36"/>
    </row>
    <row r="1609" spans="17:29" x14ac:dyDescent="0.2">
      <c r="Q1609" s="36"/>
      <c r="R1609" s="36"/>
      <c r="S1609" s="36"/>
      <c r="T1609" s="36"/>
      <c r="U1609" s="36"/>
      <c r="V1609" s="36"/>
      <c r="W1609" s="36"/>
      <c r="X1609" s="36"/>
      <c r="Y1609" s="36"/>
      <c r="Z1609" s="36"/>
      <c r="AA1609" s="36"/>
      <c r="AB1609" s="36"/>
      <c r="AC1609" s="36"/>
    </row>
    <row r="1610" spans="17:29" x14ac:dyDescent="0.2">
      <c r="Q1610" s="36"/>
      <c r="R1610" s="36"/>
      <c r="S1610" s="36"/>
      <c r="T1610" s="36"/>
      <c r="U1610" s="36"/>
      <c r="V1610" s="36"/>
      <c r="W1610" s="36"/>
      <c r="X1610" s="36"/>
      <c r="Y1610" s="36"/>
      <c r="Z1610" s="36"/>
      <c r="AA1610" s="36"/>
      <c r="AB1610" s="36"/>
      <c r="AC1610" s="36"/>
    </row>
    <row r="1611" spans="17:29" x14ac:dyDescent="0.2">
      <c r="Q1611" s="36"/>
      <c r="R1611" s="36"/>
      <c r="S1611" s="36"/>
      <c r="T1611" s="36"/>
      <c r="U1611" s="36"/>
      <c r="V1611" s="36"/>
      <c r="W1611" s="36"/>
      <c r="X1611" s="36"/>
      <c r="Y1611" s="36"/>
      <c r="Z1611" s="36"/>
      <c r="AA1611" s="36"/>
      <c r="AB1611" s="36"/>
      <c r="AC1611" s="36"/>
    </row>
    <row r="1612" spans="17:29" x14ac:dyDescent="0.2">
      <c r="Q1612" s="36"/>
      <c r="R1612" s="36"/>
      <c r="S1612" s="36"/>
      <c r="T1612" s="36"/>
      <c r="U1612" s="36"/>
      <c r="V1612" s="36"/>
      <c r="W1612" s="36"/>
      <c r="X1612" s="36"/>
      <c r="Y1612" s="36"/>
      <c r="Z1612" s="36"/>
      <c r="AA1612" s="36"/>
      <c r="AB1612" s="36"/>
      <c r="AC1612" s="36"/>
    </row>
    <row r="1613" spans="17:29" x14ac:dyDescent="0.2">
      <c r="Q1613" s="36"/>
      <c r="R1613" s="36"/>
      <c r="S1613" s="36"/>
      <c r="T1613" s="36"/>
      <c r="U1613" s="36"/>
      <c r="V1613" s="36"/>
      <c r="W1613" s="36"/>
      <c r="X1613" s="36"/>
      <c r="Y1613" s="36"/>
      <c r="Z1613" s="36"/>
      <c r="AA1613" s="36"/>
      <c r="AB1613" s="36"/>
      <c r="AC1613" s="36"/>
    </row>
    <row r="1614" spans="17:29" x14ac:dyDescent="0.2">
      <c r="Q1614" s="36"/>
      <c r="R1614" s="36"/>
      <c r="S1614" s="36"/>
      <c r="T1614" s="36"/>
      <c r="U1614" s="36"/>
      <c r="V1614" s="36"/>
      <c r="W1614" s="36"/>
      <c r="X1614" s="36"/>
      <c r="Y1614" s="36"/>
      <c r="Z1614" s="36"/>
      <c r="AA1614" s="36"/>
      <c r="AB1614" s="36"/>
      <c r="AC1614" s="36"/>
    </row>
    <row r="1615" spans="17:29" x14ac:dyDescent="0.2">
      <c r="Q1615" s="36"/>
      <c r="R1615" s="36"/>
      <c r="S1615" s="36"/>
      <c r="T1615" s="36"/>
      <c r="U1615" s="36"/>
      <c r="V1615" s="36"/>
      <c r="W1615" s="36"/>
      <c r="X1615" s="36"/>
      <c r="Y1615" s="36"/>
      <c r="Z1615" s="36"/>
      <c r="AA1615" s="36"/>
      <c r="AB1615" s="36"/>
      <c r="AC1615" s="36"/>
    </row>
    <row r="1616" spans="17:29" x14ac:dyDescent="0.2">
      <c r="Q1616" s="36"/>
      <c r="R1616" s="36"/>
      <c r="S1616" s="36"/>
      <c r="T1616" s="36"/>
      <c r="U1616" s="36"/>
      <c r="V1616" s="36"/>
      <c r="W1616" s="36"/>
      <c r="X1616" s="36"/>
      <c r="Y1616" s="36"/>
      <c r="Z1616" s="36"/>
      <c r="AA1616" s="36"/>
      <c r="AB1616" s="36"/>
      <c r="AC1616" s="36"/>
    </row>
    <row r="1617" spans="17:29" x14ac:dyDescent="0.2">
      <c r="Q1617" s="36"/>
      <c r="R1617" s="36"/>
      <c r="S1617" s="36"/>
      <c r="T1617" s="36"/>
      <c r="U1617" s="36"/>
      <c r="V1617" s="36"/>
      <c r="W1617" s="36"/>
      <c r="X1617" s="36"/>
      <c r="Y1617" s="36"/>
      <c r="Z1617" s="36"/>
      <c r="AA1617" s="36"/>
      <c r="AB1617" s="36"/>
      <c r="AC1617" s="36"/>
    </row>
    <row r="1618" spans="17:29" x14ac:dyDescent="0.2">
      <c r="Q1618" s="36"/>
      <c r="R1618" s="36"/>
      <c r="S1618" s="36"/>
      <c r="T1618" s="36"/>
      <c r="U1618" s="36"/>
      <c r="V1618" s="36"/>
      <c r="W1618" s="36"/>
      <c r="X1618" s="36"/>
      <c r="Y1618" s="36"/>
      <c r="Z1618" s="36"/>
      <c r="AA1618" s="36"/>
      <c r="AB1618" s="36"/>
      <c r="AC1618" s="36"/>
    </row>
  </sheetData>
  <dataValidations count="2">
    <dataValidation type="list" allowBlank="1" showInputMessage="1" showErrorMessage="1" sqref="N8:N11 M13">
      <formula1>"TRUE, FALSE"</formula1>
    </dataValidation>
    <dataValidation type="list" allowBlank="1" showInputMessage="1" showErrorMessage="1" sqref="Y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Length4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9</xdr:row>
                    <xdr:rowOff>123825</xdr:rowOff>
                  </from>
                  <to>
                    <xdr:col>31</xdr:col>
                    <xdr:colOff>361950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Length1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</xdr:row>
                    <xdr:rowOff>276225</xdr:rowOff>
                  </from>
                  <to>
                    <xdr:col>31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Length7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18</xdr:row>
                    <xdr:rowOff>0</xdr:rowOff>
                  </from>
                  <to>
                    <xdr:col>31</xdr:col>
                    <xdr:colOff>361950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Length2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4</xdr:row>
                    <xdr:rowOff>38100</xdr:rowOff>
                  </from>
                  <to>
                    <xdr:col>31</xdr:col>
                    <xdr:colOff>361950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Length3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7</xdr:row>
                    <xdr:rowOff>0</xdr:rowOff>
                  </from>
                  <to>
                    <xdr:col>31</xdr:col>
                    <xdr:colOff>361950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8" name="Length5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12</xdr:row>
                    <xdr:rowOff>66675</xdr:rowOff>
                  </from>
                  <to>
                    <xdr:col>31</xdr:col>
                    <xdr:colOff>361950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9" name="Length6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15</xdr:row>
                    <xdr:rowOff>19050</xdr:rowOff>
                  </from>
                  <to>
                    <xdr:col>31</xdr:col>
                    <xdr:colOff>361950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1618"/>
  <sheetViews>
    <sheetView showGridLines="0" topLeftCell="K1" workbookViewId="0">
      <selection activeCell="Q2" sqref="Q2"/>
    </sheetView>
  </sheetViews>
  <sheetFormatPr defaultRowHeight="11.25" outlineLevelCol="1" x14ac:dyDescent="0.2"/>
  <cols>
    <col min="1" max="1" width="10" style="33" hidden="1" customWidth="1" outlineLevel="1"/>
    <col min="2" max="2" width="17.28515625" style="33" hidden="1" customWidth="1" outlineLevel="1"/>
    <col min="3" max="3" width="7" style="33" hidden="1" customWidth="1" outlineLevel="1"/>
    <col min="4" max="4" width="17.28515625" style="33" hidden="1" customWidth="1" outlineLevel="1"/>
    <col min="5" max="5" width="6" style="33" hidden="1" customWidth="1" outlineLevel="1"/>
    <col min="6" max="6" width="10" style="33" hidden="1" customWidth="1" outlineLevel="1"/>
    <col min="7" max="7" width="6" style="33" hidden="1" customWidth="1" outlineLevel="1"/>
    <col min="8" max="8" width="8" style="33" hidden="1" customWidth="1" outlineLevel="1"/>
    <col min="9" max="10" width="12" style="33" hidden="1" customWidth="1" outlineLevel="1"/>
    <col min="11" max="11" width="2.7109375" style="33" customWidth="1" collapsed="1"/>
    <col min="12" max="12" width="12" style="33" bestFit="1" customWidth="1"/>
    <col min="13" max="13" width="15.140625" style="33" bestFit="1" customWidth="1"/>
    <col min="14" max="14" width="9" style="33" bestFit="1" customWidth="1"/>
    <col min="15" max="15" width="2.7109375" style="33" customWidth="1"/>
    <col min="16" max="16" width="3" style="33" bestFit="1" customWidth="1"/>
    <col min="17" max="17" width="6" style="33" bestFit="1" customWidth="1"/>
    <col min="18" max="19" width="17.28515625" style="33" bestFit="1" customWidth="1"/>
    <col min="20" max="20" width="17.28515625" style="33" customWidth="1"/>
    <col min="21" max="23" width="9.7109375" style="33" customWidth="1"/>
    <col min="24" max="26" width="9" style="33" hidden="1" customWidth="1" outlineLevel="1"/>
    <col min="27" max="27" width="11" style="33" bestFit="1" customWidth="1" collapsed="1"/>
    <col min="28" max="28" width="10" style="33" bestFit="1" customWidth="1"/>
    <col min="29" max="29" width="7" style="33" bestFit="1" customWidth="1"/>
    <col min="30" max="33" width="9.140625" style="33"/>
    <col min="34" max="34" width="15.140625" style="33" bestFit="1" customWidth="1"/>
    <col min="35" max="36" width="9.140625" style="33"/>
    <col min="37" max="37" width="13.140625" style="33" bestFit="1" customWidth="1"/>
    <col min="38" max="16384" width="9.140625" style="33"/>
  </cols>
  <sheetData>
    <row r="1" spans="1:29" x14ac:dyDescent="0.2">
      <c r="A1" s="14" t="s">
        <v>25</v>
      </c>
      <c r="B1" s="14"/>
      <c r="C1" s="14"/>
      <c r="D1" s="14"/>
      <c r="E1" s="14"/>
      <c r="F1" s="14" t="s">
        <v>26</v>
      </c>
      <c r="G1" s="14"/>
      <c r="H1" s="14"/>
      <c r="I1" s="14"/>
      <c r="J1" s="14"/>
      <c r="U1" s="42"/>
      <c r="V1" s="42"/>
      <c r="W1" s="34"/>
      <c r="X1" s="34"/>
      <c r="Y1" s="34"/>
      <c r="Z1" s="34"/>
    </row>
    <row r="2" spans="1:29" ht="22.5" customHeight="1" x14ac:dyDescent="0.2">
      <c r="A2" s="15" t="s">
        <v>27</v>
      </c>
      <c r="B2" s="15" t="s">
        <v>28</v>
      </c>
      <c r="C2" s="15" t="s">
        <v>29</v>
      </c>
      <c r="D2" s="15" t="s">
        <v>30</v>
      </c>
      <c r="E2" s="15" t="s">
        <v>31</v>
      </c>
      <c r="F2" s="15" t="s">
        <v>28</v>
      </c>
      <c r="G2" s="15" t="s">
        <v>30</v>
      </c>
      <c r="H2" s="15" t="s">
        <v>31</v>
      </c>
      <c r="I2" s="15" t="s">
        <v>32</v>
      </c>
      <c r="J2" s="15" t="s">
        <v>33</v>
      </c>
      <c r="R2" s="44" t="s">
        <v>22</v>
      </c>
      <c r="S2" s="44" t="s">
        <v>23</v>
      </c>
      <c r="T2" s="44" t="s">
        <v>53</v>
      </c>
      <c r="U2" s="44" t="s">
        <v>24</v>
      </c>
      <c r="V2" s="44" t="str">
        <f>"F "&amp;$M$3</f>
        <v>F 6M</v>
      </c>
      <c r="W2" s="44" t="s">
        <v>36</v>
      </c>
      <c r="X2" s="44" t="s">
        <v>37</v>
      </c>
      <c r="Y2" s="44" t="s">
        <v>54</v>
      </c>
      <c r="Z2" s="44" t="s">
        <v>43</v>
      </c>
      <c r="AA2" s="44" t="s">
        <v>60</v>
      </c>
      <c r="AB2" s="44" t="s">
        <v>57</v>
      </c>
      <c r="AC2" s="44" t="s">
        <v>56</v>
      </c>
    </row>
    <row r="3" spans="1:29" x14ac:dyDescent="0.2">
      <c r="A3" s="18" t="str">
        <f>_xll.qlPeriodEquivalent(C3&amp;"M")</f>
        <v>1Y</v>
      </c>
      <c r="B3" s="10">
        <f>_xll.qlDateEndOfMonth(EDATE(_xll.qlSettingsEvaluationDate(Trigger),-1))</f>
        <v>42247</v>
      </c>
      <c r="C3" s="11">
        <v>12</v>
      </c>
      <c r="D3" s="10">
        <f>EDATE($R$3,C3)</f>
        <v>42643</v>
      </c>
      <c r="E3" s="12">
        <f>IF(C3&lt;=12,1,IF(C3&lt;=24,3,IF(C3&lt;=120,6,IF(C3&lt;=240,12,IF(C3&lt;=360,36,60)))))</f>
        <v>1</v>
      </c>
      <c r="F3" s="16">
        <f>ROUNDDOWN(I3*10,2)/10</f>
        <v>1E-3</v>
      </c>
      <c r="G3" s="17">
        <f>IF(J3-I3&gt;1%,(QUOTIENT(J3*10000,50)+1)*0.5%,(QUOTIENT(J3*10000,10)+1)*0.1%)</f>
        <v>3.0000000000000001E-3</v>
      </c>
      <c r="H3" s="12">
        <f>IF(G3-F3&lt;0.5%,0.025%,IF(G3-F3&lt;1%,0.1%,IF(G3-F3&lt;2%,0.25%,0.5%)))</f>
        <v>2.5000000000000001E-4</v>
      </c>
      <c r="I3" s="17">
        <f>MIN(_xll.ohPack($W$3:INDEX($W$3:$W$135,MATCH(D3+1,$S$3:$S$135,1),1)))</f>
        <v>1.7994732317488369E-3</v>
      </c>
      <c r="J3" s="17">
        <f>MAX(_xll.ohPack($W$3:INDEX($W$3:$W$135,MATCH(D3+1,$S$3:$S$135,1),1)))</f>
        <v>2.2568132800752077E-3</v>
      </c>
      <c r="L3" s="45" t="s">
        <v>21</v>
      </c>
      <c r="M3" s="82" t="s">
        <v>34</v>
      </c>
      <c r="N3" s="36"/>
      <c r="O3" s="36"/>
      <c r="P3" s="33">
        <v>0</v>
      </c>
      <c r="Q3" s="26" t="str">
        <f>P3&amp;"M"</f>
        <v>0M</v>
      </c>
      <c r="R3" s="28">
        <f>EvaluationDate</f>
        <v>42277</v>
      </c>
      <c r="S3" s="28">
        <f>_xll.qlInterestRateIndexValueDate(Index,R3,Trigger)</f>
        <v>42279</v>
      </c>
      <c r="T3" s="28">
        <f>_xll.qlInterestRateIndexMaturity(Index,S3,Trigger)</f>
        <v>42464</v>
      </c>
      <c r="U3" s="30">
        <f>_xll.qlIndexFixing($M$5,R3,TRUE,InterestRatesTrigger)</f>
        <v>-1.5574732317485693E-3</v>
      </c>
      <c r="V3" s="74">
        <f>_xll.qlIndexFixing(Index,R3,TRUE,InterestRatesTrigger)</f>
        <v>2.4200000000026755E-4</v>
      </c>
      <c r="W3" s="30">
        <f>V3-U3</f>
        <v>1.7994732317488369E-3</v>
      </c>
      <c r="X3" s="29">
        <f>_xll.qlDayCounterYearFraction(DayCounter,SettlementDate,S3,,,Trigger)</f>
        <v>0</v>
      </c>
      <c r="Y3" s="29">
        <f>_xll.qlDayCounterYearFraction(DayCounter,S3,T3)</f>
        <v>0.51388888888888884</v>
      </c>
      <c r="Z3" s="29">
        <f>IF($M$13,_xll.qlYieldTSDiscount(Currency&amp;"ON",S3)/(1+V3*Y3),1)</f>
        <v>1</v>
      </c>
      <c r="AA3" s="30">
        <f>_xll.qlTenorBasisValue(TenorBasis6M,S3,InterestRatesTrigger)</f>
        <v>1.7463701218931483E-3</v>
      </c>
      <c r="AB3" s="74">
        <f t="shared" ref="AB3:AB34" si="0">AA3+U3</f>
        <v>1.8889689014457895E-4</v>
      </c>
      <c r="AC3" s="76">
        <f t="shared" ref="AC3:AC34" si="1">AB3/V3</f>
        <v>0.78056566175359554</v>
      </c>
    </row>
    <row r="4" spans="1:29" x14ac:dyDescent="0.2">
      <c r="A4" s="18" t="str">
        <f>_xll.qlPeriodEquivalent(C4&amp;"M")</f>
        <v>2Y</v>
      </c>
      <c r="B4" s="10">
        <f>_xll.qlDateEndOfMonth(EDATE(_xll.qlIMMNextDate(_xll.qlSettingsEvaluationDate(Trigger)-1,TRUE),-3))</f>
        <v>42277</v>
      </c>
      <c r="C4" s="11">
        <v>24</v>
      </c>
      <c r="D4" s="10">
        <f t="shared" ref="D4:D9" si="2">EDATE($R$3,C4)</f>
        <v>43008</v>
      </c>
      <c r="E4" s="12">
        <f t="shared" ref="E4:E9" si="3">IF(C4&lt;=12,1,IF(C4&lt;=24,3,IF(C4&lt;=120,6,IF(C4&lt;=240,12,IF(C4&lt;=360,36,60)))))</f>
        <v>3</v>
      </c>
      <c r="F4" s="16">
        <f t="shared" ref="F4:F9" si="4">ROUNDDOWN(I4*10,2)/10</f>
        <v>1E-3</v>
      </c>
      <c r="G4" s="17">
        <f t="shared" ref="G4:G9" si="5">IF(J4-I4&gt;1%,(QUOTIENT(J4*10000,50)+1)*0.5%,(QUOTIENT(J4*10000,10)+1)*0.1%)</f>
        <v>3.0000000000000001E-3</v>
      </c>
      <c r="H4" s="12">
        <f t="shared" ref="H4:H9" si="6">IF(G4-F4&lt;0.5%,0.025%,IF(G4-F4&lt;1%,0.1%,IF(G4-F4&lt;2%,0.25%,0.5%)))</f>
        <v>2.5000000000000001E-4</v>
      </c>
      <c r="I4" s="17">
        <f>MIN(_xll.ohPack($W$3:INDEX($W$3:$W$135,MATCH(D4+1,$S$3:$S$135,1),1)))</f>
        <v>1.7994732317488369E-3</v>
      </c>
      <c r="J4" s="17">
        <f>MAX(_xll.ohPack($W$3:INDEX($W$3:$W$135,MATCH(D4+1,$S$3:$S$135,1),1)))</f>
        <v>2.4980254476661187E-3</v>
      </c>
      <c r="L4" s="45" t="s">
        <v>20</v>
      </c>
      <c r="M4" s="82" t="str">
        <f>PROPER(Currency)&amp;IborType&amp;M3</f>
        <v>Euribor6M</v>
      </c>
      <c r="N4" s="36"/>
      <c r="O4" s="36"/>
      <c r="P4" s="33">
        <v>1</v>
      </c>
      <c r="Q4" s="26" t="str">
        <f>_xll.qlPeriodEquivalent(Q3&amp;"+"&amp;P4&amp;"M")</f>
        <v>1M</v>
      </c>
      <c r="R4" s="28">
        <f>_xll.qlCalendarAdvance(Calendar,SettlementDate,Q4,"f",,Trigger)</f>
        <v>42310</v>
      </c>
      <c r="S4" s="28">
        <f>_xll.qlInterestRateIndexValueDate(Index,R4,Trigger)</f>
        <v>42312</v>
      </c>
      <c r="T4" s="28">
        <f>_xll.qlInterestRateIndexMaturity(Index,S4,Trigger)</f>
        <v>42494</v>
      </c>
      <c r="U4" s="30">
        <f>_xll.qlIndexFixing($M$5,R4,TRUE,InterestRatesTrigger)</f>
        <v>-1.623029535645454E-3</v>
      </c>
      <c r="V4" s="74">
        <f>_xll.qlIndexFixing(Index,R4,TRUE,InterestRatesTrigger)</f>
        <v>2.4965351664249118E-4</v>
      </c>
      <c r="W4" s="30">
        <f t="shared" ref="W4:W67" si="7">V4-U4</f>
        <v>1.8726830522879452E-3</v>
      </c>
      <c r="X4" s="29">
        <f>_xll.qlDayCounterYearFraction(DayCounter,SettlementDate,S4,,,Trigger)</f>
        <v>9.166666666666666E-2</v>
      </c>
      <c r="Y4" s="29">
        <f>_xll.qlDayCounterYearFraction(DayCounter,S4,T4)</f>
        <v>0.50555555555555554</v>
      </c>
      <c r="Z4" s="29">
        <f>IF($M$13,_xll.qlYieldTSDiscount(Currency&amp;"ON",S4)/(1+V4*Y4),1)</f>
        <v>1</v>
      </c>
      <c r="AA4" s="30">
        <f>_xll.qlTenorBasisValue(TenorBasis6M,S4,InterestRatesTrigger)</f>
        <v>1.8149454811144166E-3</v>
      </c>
      <c r="AB4" s="74">
        <f t="shared" si="0"/>
        <v>1.9191594546896264E-4</v>
      </c>
      <c r="AC4" s="76">
        <f t="shared" si="1"/>
        <v>0.76872918935802581</v>
      </c>
    </row>
    <row r="5" spans="1:29" x14ac:dyDescent="0.2">
      <c r="A5" s="18" t="str">
        <f>_xll.qlPeriodEquivalent(C5&amp;"M")</f>
        <v>5Y</v>
      </c>
      <c r="B5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C5" s="11">
        <v>60</v>
      </c>
      <c r="D5" s="10">
        <f t="shared" si="2"/>
        <v>44104</v>
      </c>
      <c r="E5" s="12">
        <f t="shared" si="3"/>
        <v>6</v>
      </c>
      <c r="F5" s="16">
        <f t="shared" si="4"/>
        <v>1E-3</v>
      </c>
      <c r="G5" s="17">
        <f t="shared" si="5"/>
        <v>4.0000000000000001E-3</v>
      </c>
      <c r="H5" s="12">
        <f t="shared" si="6"/>
        <v>2.5000000000000001E-4</v>
      </c>
      <c r="I5" s="17">
        <f>MIN(_xll.ohPack($W$3:INDEX($W$3:$W$135,MATCH(D5+1,$S$3:$S$135,1),1)))</f>
        <v>1.7994732317488369E-3</v>
      </c>
      <c r="J5" s="17">
        <f>MAX(_xll.ohPack($W$3:INDEX($W$3:$W$135,MATCH(D5+1,$S$3:$S$135,1),1)))</f>
        <v>3.210734730733948E-3</v>
      </c>
      <c r="L5" s="45" t="str">
        <f>"ON Index "&amp;$M$3</f>
        <v>ON Index 6M</v>
      </c>
      <c r="M5" s="35" t="str">
        <f>_xll.qlEuribor(,M3,Currency&amp;"ON",,Trigger)</f>
        <v>obj_00592#0005</v>
      </c>
      <c r="P5" s="33">
        <v>1</v>
      </c>
      <c r="Q5" s="27" t="str">
        <f>_xll.qlPeriodEquivalent(Q4&amp;"+"&amp;P5&amp;"M")</f>
        <v>2M</v>
      </c>
      <c r="R5" s="28">
        <f>_xll.qlCalendarAdvance(Calendar,SettlementDate,Q5,"f",,Trigger)</f>
        <v>42340</v>
      </c>
      <c r="S5" s="28">
        <f>_xll.qlInterestRateIndexValueDate(Index,R5,Trigger)</f>
        <v>42342</v>
      </c>
      <c r="T5" s="28">
        <f>_xll.qlInterestRateIndexMaturity(Index,S5,Trigger)</f>
        <v>42527</v>
      </c>
      <c r="U5" s="30">
        <f>_xll.qlIndexFixing($M$5,R5,TRUE,InterestRatesTrigger)</f>
        <v>-1.6831191940634594E-3</v>
      </c>
      <c r="V5" s="74">
        <f>_xll.qlIndexFixing(Index,R5,TRUE,InterestRatesTrigger)</f>
        <v>2.2957357840693141E-4</v>
      </c>
      <c r="W5" s="30">
        <f t="shared" si="7"/>
        <v>1.9126927724703907E-3</v>
      </c>
      <c r="X5" s="29">
        <f>_xll.qlDayCounterYearFraction(DayCounter,SettlementDate,S5,,,Trigger)</f>
        <v>0.17499999999999999</v>
      </c>
      <c r="Y5" s="29">
        <f>_xll.qlDayCounterYearFraction(DayCounter,S5,T5)</f>
        <v>0.51388888888888884</v>
      </c>
      <c r="Z5" s="29">
        <f>IF($M$13,_xll.qlYieldTSDiscount(Currency&amp;"ON",S5)/(1+V5*Y5),1)</f>
        <v>1</v>
      </c>
      <c r="AA5" s="30">
        <f>_xll.qlTenorBasisValue(TenorBasis6M,S5,InterestRatesTrigger)</f>
        <v>1.8746667157990206E-3</v>
      </c>
      <c r="AB5" s="74">
        <f t="shared" si="0"/>
        <v>1.9154752173556125E-4</v>
      </c>
      <c r="AC5" s="76">
        <f t="shared" si="1"/>
        <v>0.83436222523845083</v>
      </c>
    </row>
    <row r="6" spans="1:29" x14ac:dyDescent="0.2">
      <c r="A6" s="18" t="str">
        <f>_xll.qlPeriodEquivalent(C6&amp;"M")</f>
        <v>10Y</v>
      </c>
      <c r="B6" s="10">
        <f t="shared" ref="B6:B9" si="8">B5</f>
        <v>42185</v>
      </c>
      <c r="C6" s="11">
        <v>120</v>
      </c>
      <c r="D6" s="10">
        <f t="shared" si="2"/>
        <v>45930</v>
      </c>
      <c r="E6" s="12">
        <f t="shared" si="3"/>
        <v>6</v>
      </c>
      <c r="F6" s="16">
        <f t="shared" si="4"/>
        <v>1E-3</v>
      </c>
      <c r="G6" s="17">
        <f t="shared" si="5"/>
        <v>4.0000000000000001E-3</v>
      </c>
      <c r="H6" s="12">
        <f t="shared" si="6"/>
        <v>2.5000000000000001E-4</v>
      </c>
      <c r="I6" s="17">
        <f>MIN(_xll.ohPack($W$3:INDEX($W$3:$W$135,MATCH(D6+1,$S$3:$S$135,1),1)))</f>
        <v>1.7994732317488369E-3</v>
      </c>
      <c r="J6" s="17">
        <f>MAX(_xll.ohPack($W$3:INDEX($W$3:$W$135,MATCH(D6+1,$S$3:$S$135,1),1)))</f>
        <v>3.210734730733948E-3</v>
      </c>
      <c r="P6" s="33">
        <v>1</v>
      </c>
      <c r="Q6" s="27" t="str">
        <f>_xll.qlPeriodEquivalent(Q5&amp;"+"&amp;P6&amp;"M")</f>
        <v>3M</v>
      </c>
      <c r="R6" s="28">
        <f>_xll.qlCalendarAdvance(Calendar,SettlementDate,Q6,"f",,Trigger)</f>
        <v>42373</v>
      </c>
      <c r="S6" s="28">
        <f>_xll.qlInterestRateIndexValueDate(Index,R6,Trigger)</f>
        <v>42375</v>
      </c>
      <c r="T6" s="28">
        <f>_xll.qlInterestRateIndexMaturity(Index,S6,Trigger)</f>
        <v>42557</v>
      </c>
      <c r="U6" s="30">
        <f>_xll.qlIndexFixing($M$5,R6,TRUE,InterestRatesTrigger)</f>
        <v>-1.766765871388621E-3</v>
      </c>
      <c r="V6" s="74">
        <f>_xll.qlIndexFixing(Index,R6,TRUE,InterestRatesTrigger)</f>
        <v>2.199003564848825E-4</v>
      </c>
      <c r="W6" s="30">
        <f t="shared" si="7"/>
        <v>1.9866662278735037E-3</v>
      </c>
      <c r="X6" s="29">
        <f>_xll.qlDayCounterYearFraction(DayCounter,SettlementDate,S6,,,Trigger)</f>
        <v>0.26666666666666666</v>
      </c>
      <c r="Y6" s="29">
        <f>_xll.qlDayCounterYearFraction(DayCounter,S6,T6)</f>
        <v>0.50555555555555554</v>
      </c>
      <c r="Z6" s="29">
        <f>IF($M$13,_xll.qlYieldTSDiscount(Currency&amp;"ON",S6)/(1+V6*Y6),1)</f>
        <v>1</v>
      </c>
      <c r="AA6" s="30">
        <f>_xll.qlTenorBasisValue(TenorBasis6M,S6,InterestRatesTrigger)</f>
        <v>1.9375592211099692E-3</v>
      </c>
      <c r="AB6" s="74">
        <f t="shared" si="0"/>
        <v>1.7079334972134826E-4</v>
      </c>
      <c r="AC6" s="76">
        <f t="shared" si="1"/>
        <v>0.77668518801646325</v>
      </c>
    </row>
    <row r="7" spans="1:29" x14ac:dyDescent="0.2">
      <c r="A7" s="18" t="str">
        <f>_xll.qlPeriodEquivalent(C7&amp;"M")</f>
        <v>20Y</v>
      </c>
      <c r="B7" s="10">
        <f>IF(AND(MONTH(B6)=12),B6,_xll.qlDateEndOfMonth(EDATE(B6,-6)))</f>
        <v>42004</v>
      </c>
      <c r="C7" s="11">
        <v>240</v>
      </c>
      <c r="D7" s="10">
        <f t="shared" si="2"/>
        <v>49582</v>
      </c>
      <c r="E7" s="13">
        <f t="shared" si="3"/>
        <v>12</v>
      </c>
      <c r="F7" s="16">
        <f t="shared" si="4"/>
        <v>0</v>
      </c>
      <c r="G7" s="17">
        <f t="shared" si="5"/>
        <v>4.0000000000000001E-3</v>
      </c>
      <c r="H7" s="12">
        <f t="shared" si="6"/>
        <v>2.5000000000000001E-4</v>
      </c>
      <c r="I7" s="17">
        <f>MIN(_xll.ohPack($W$3:INDEX($W$3:$W$135,MATCH(D7+1,$S$3:$S$135,1),1)))</f>
        <v>6.6398358031859173E-4</v>
      </c>
      <c r="J7" s="17">
        <f>MAX(_xll.ohPack($W$3:INDEX($W$3:$W$135,MATCH(D7+1,$S$3:$S$135,1),1)))</f>
        <v>3.210734730733948E-3</v>
      </c>
      <c r="N7" s="45" t="s">
        <v>59</v>
      </c>
      <c r="P7" s="33">
        <v>1</v>
      </c>
      <c r="Q7" s="27" t="str">
        <f>_xll.qlPeriodEquivalent(Q6&amp;"+"&amp;P7&amp;"M")</f>
        <v>4M</v>
      </c>
      <c r="R7" s="28">
        <f>_xll.qlCalendarAdvance(Calendar,SettlementDate,Q7,"f",,Trigger)</f>
        <v>42402</v>
      </c>
      <c r="S7" s="28">
        <f>_xll.qlInterestRateIndexValueDate(Index,R7,Trigger)</f>
        <v>42404</v>
      </c>
      <c r="T7" s="28">
        <f>_xll.qlInterestRateIndexMaturity(Index,S7,Trigger)</f>
        <v>42586</v>
      </c>
      <c r="U7" s="30">
        <f>_xll.qlIndexFixing($M$5,R7,TRUE,InterestRatesTrigger)</f>
        <v>-1.8115846373249619E-3</v>
      </c>
      <c r="V7" s="74">
        <f>_xll.qlIndexFixing(Index,R7,TRUE,InterestRatesTrigger)</f>
        <v>2.0910661527943894E-4</v>
      </c>
      <c r="W7" s="30">
        <f t="shared" si="7"/>
        <v>2.0206912526044007E-3</v>
      </c>
      <c r="X7" s="29">
        <f>_xll.qlDayCounterYearFraction(DayCounter,SettlementDate,S7,,,Trigger)</f>
        <v>0.34722222222222221</v>
      </c>
      <c r="Y7" s="29">
        <f>_xll.qlDayCounterYearFraction(DayCounter,S7,T7)</f>
        <v>0.50555555555555554</v>
      </c>
      <c r="Z7" s="29">
        <f>IF($M$13,_xll.qlYieldTSDiscount(Currency&amp;"ON",S7)/(1+V7*Y7),1)</f>
        <v>1</v>
      </c>
      <c r="AA7" s="30">
        <f>_xll.qlTenorBasisValue(TenorBasis6M,S7,InterestRatesTrigger)</f>
        <v>1.9904717629165678E-3</v>
      </c>
      <c r="AB7" s="74">
        <f t="shared" si="0"/>
        <v>1.7888712559160588E-4</v>
      </c>
      <c r="AC7" s="76">
        <f t="shared" si="1"/>
        <v>0.85548286147021535</v>
      </c>
    </row>
    <row r="8" spans="1:29" x14ac:dyDescent="0.2">
      <c r="A8" s="18" t="str">
        <f>_xll.qlPeriodEquivalent(C8&amp;"M")</f>
        <v>30Y</v>
      </c>
      <c r="B8" s="10">
        <f t="shared" si="8"/>
        <v>42004</v>
      </c>
      <c r="C8" s="11">
        <v>360</v>
      </c>
      <c r="D8" s="10">
        <f t="shared" si="2"/>
        <v>53235</v>
      </c>
      <c r="E8" s="13">
        <f t="shared" si="3"/>
        <v>36</v>
      </c>
      <c r="F8" s="16">
        <f t="shared" si="4"/>
        <v>0</v>
      </c>
      <c r="G8" s="17">
        <f t="shared" si="5"/>
        <v>4.0000000000000001E-3</v>
      </c>
      <c r="H8" s="12">
        <f t="shared" si="6"/>
        <v>2.5000000000000001E-4</v>
      </c>
      <c r="I8" s="17">
        <f>MIN(_xll.ohPack($W$3:INDEX($W$3:$W$135,MATCH(D8+1,$S$3:$S$135,1),1)))</f>
        <v>4.0651476128431702E-4</v>
      </c>
      <c r="J8" s="17">
        <f>MAX(_xll.ohPack($W$3:INDEX($W$3:$W$135,MATCH(D8+1,$S$3:$S$135,1),1)))</f>
        <v>3.210734730733948E-3</v>
      </c>
      <c r="L8" s="45" t="s">
        <v>39</v>
      </c>
      <c r="M8" s="80">
        <v>1.511365712587327E-3</v>
      </c>
      <c r="N8" s="78" t="b">
        <v>0</v>
      </c>
      <c r="P8" s="33">
        <v>1</v>
      </c>
      <c r="Q8" s="27" t="str">
        <f>_xll.qlPeriodEquivalent(Q7&amp;"+"&amp;P8&amp;"M")</f>
        <v>5M</v>
      </c>
      <c r="R8" s="28">
        <f>_xll.qlCalendarAdvance(Calendar,SettlementDate,Q8,"f",,Trigger)</f>
        <v>42431</v>
      </c>
      <c r="S8" s="28">
        <f>_xll.qlInterestRateIndexValueDate(Index,R8,Trigger)</f>
        <v>42433</v>
      </c>
      <c r="T8" s="28">
        <f>_xll.qlInterestRateIndexMaturity(Index,S8,Trigger)</f>
        <v>42618</v>
      </c>
      <c r="U8" s="30">
        <f>_xll.qlIndexFixing($M$5,R8,TRUE,InterestRatesTrigger)</f>
        <v>-1.85844780435499E-3</v>
      </c>
      <c r="V8" s="74">
        <f>_xll.qlIndexFixing(Index,R8,TRUE,InterestRatesTrigger)</f>
        <v>1.9930658579568795E-4</v>
      </c>
      <c r="W8" s="30">
        <f t="shared" si="7"/>
        <v>2.057754390150678E-3</v>
      </c>
      <c r="X8" s="29">
        <f>_xll.qlDayCounterYearFraction(DayCounter,SettlementDate,S8,,,Trigger)</f>
        <v>0.42777777777777776</v>
      </c>
      <c r="Y8" s="29">
        <f>_xll.qlDayCounterYearFraction(DayCounter,S8,T8)</f>
        <v>0.51388888888888884</v>
      </c>
      <c r="Z8" s="29">
        <f>IF($M$13,_xll.qlYieldTSDiscount(Currency&amp;"ON",S8)/(1+V8*Y8),1)</f>
        <v>1</v>
      </c>
      <c r="AA8" s="30">
        <f>_xll.qlTenorBasisValue(TenorBasis6M,S8,InterestRatesTrigger)</f>
        <v>2.0412390679437676E-3</v>
      </c>
      <c r="AB8" s="74">
        <f t="shared" si="0"/>
        <v>1.8279126358877761E-4</v>
      </c>
      <c r="AC8" s="76">
        <f t="shared" si="1"/>
        <v>0.91713609391793793</v>
      </c>
    </row>
    <row r="9" spans="1:29" x14ac:dyDescent="0.2">
      <c r="A9" s="19" t="str">
        <f>_xll.qlPeriodEquivalent(C9&amp;"M")</f>
        <v>60Y</v>
      </c>
      <c r="B9" s="20">
        <f t="shared" si="8"/>
        <v>42004</v>
      </c>
      <c r="C9" s="21">
        <v>720</v>
      </c>
      <c r="D9" s="20">
        <f t="shared" si="2"/>
        <v>64192</v>
      </c>
      <c r="E9" s="22">
        <f t="shared" si="3"/>
        <v>60</v>
      </c>
      <c r="F9" s="23">
        <f t="shared" si="4"/>
        <v>0</v>
      </c>
      <c r="G9" s="24">
        <f t="shared" si="5"/>
        <v>4.0000000000000001E-3</v>
      </c>
      <c r="H9" s="25">
        <f t="shared" si="6"/>
        <v>2.5000000000000001E-4</v>
      </c>
      <c r="I9" s="24">
        <f>MIN(_xll.ohPack($W$3:INDEX($W$3:$W$135,MATCH(D9+1,$S$3:$S$135,1),1)))</f>
        <v>1.5294870589033401E-4</v>
      </c>
      <c r="J9" s="24">
        <f>MAX(_xll.ohPack($W$3:INDEX($W$3:$W$135,MATCH(D9+1,$S$3:$S$135,1),1)))</f>
        <v>3.210734730733948E-3</v>
      </c>
      <c r="L9" s="45" t="s">
        <v>40</v>
      </c>
      <c r="M9" s="81">
        <v>1.0658070562731107E-3</v>
      </c>
      <c r="N9" s="78" t="b">
        <v>0</v>
      </c>
      <c r="P9" s="33">
        <v>1</v>
      </c>
      <c r="Q9" s="27" t="str">
        <f>_xll.qlPeriodEquivalent(Q8&amp;"+"&amp;P9&amp;"M")</f>
        <v>6M</v>
      </c>
      <c r="R9" s="28">
        <f>_xll.qlCalendarAdvance(Calendar,SettlementDate,Q9,"f",,Trigger)</f>
        <v>42464</v>
      </c>
      <c r="S9" s="28">
        <f>_xll.qlInterestRateIndexValueDate(Index,R9,Trigger)</f>
        <v>42466</v>
      </c>
      <c r="T9" s="28">
        <f>_xll.qlInterestRateIndexMaturity(Index,S9,Trigger)</f>
        <v>42649</v>
      </c>
      <c r="U9" s="30">
        <f>_xll.qlIndexFixing($M$5,R9,TRUE,InterestRatesTrigger)</f>
        <v>-1.9044531553231788E-3</v>
      </c>
      <c r="V9" s="74">
        <f>_xll.qlIndexFixing(Index,R9,TRUE,InterestRatesTrigger)</f>
        <v>2.0065945637802931E-4</v>
      </c>
      <c r="W9" s="30">
        <f t="shared" si="7"/>
        <v>2.105112611701208E-3</v>
      </c>
      <c r="X9" s="29">
        <f>_xll.qlDayCounterYearFraction(DayCounter,SettlementDate,S9,,,Trigger)</f>
        <v>0.51944444444444449</v>
      </c>
      <c r="Y9" s="29">
        <f>_xll.qlDayCounterYearFraction(DayCounter,S9,T9)</f>
        <v>0.5083333333333333</v>
      </c>
      <c r="Z9" s="29">
        <f>IF($M$13,_xll.qlYieldTSDiscount(Currency&amp;"ON",S9)/(1+V9*Y9),1)</f>
        <v>1</v>
      </c>
      <c r="AA9" s="30">
        <f>_xll.qlTenorBasisValue(TenorBasis6M,S9,InterestRatesTrigger)</f>
        <v>2.0964697622641243E-3</v>
      </c>
      <c r="AB9" s="74">
        <f t="shared" si="0"/>
        <v>1.9201660694094557E-4</v>
      </c>
      <c r="AC9" s="76">
        <f t="shared" si="1"/>
        <v>0.95692777408505891</v>
      </c>
    </row>
    <row r="10" spans="1:29" x14ac:dyDescent="0.2">
      <c r="A10" s="18" t="str">
        <f>_xll.qlPeriodEquivalent(C10&amp;"M")</f>
        <v>1Y</v>
      </c>
      <c r="B10" s="10">
        <f>_xll.qlDateEndOfMonth(EDATE(_xll.qlSettingsEvaluationDate(Trigger),-1))</f>
        <v>42247</v>
      </c>
      <c r="C10" s="11">
        <v>12</v>
      </c>
      <c r="D10" s="10">
        <f>EDATE($R$3,C10)</f>
        <v>42643</v>
      </c>
      <c r="E10" s="12">
        <f>IF(C10&lt;=12,1,IF(C10&lt;=24,3,IF(C10&lt;=120,6,IF(C10&lt;=240,12,IF(C10&lt;=360,36,60)))))</f>
        <v>1</v>
      </c>
      <c r="F10" s="16">
        <f>ROUNDDOWN(I10*10,2)/10</f>
        <v>1E-3</v>
      </c>
      <c r="G10" s="17">
        <f>IF(J10-I10&gt;1%,(QUOTIENT(J10*10000,50)+1)*0.5%,(QUOTIENT(J10*10000,10)+1)*0.1%)</f>
        <v>3.0000000000000001E-3</v>
      </c>
      <c r="H10" s="12">
        <f>IF(G10-F10&lt;0.5%,0.025%,IF(G10-F10&lt;1%,0.1%,IF(G10-F10&lt;2%,0.25%,0.5%)))</f>
        <v>2.5000000000000001E-4</v>
      </c>
      <c r="I10" s="17">
        <f>MIN(_xll.ohPack($W$3:INDEX($W$3:$W$135,MATCH(D10+1,$S$3:$S$135,1),1)))</f>
        <v>1.7994732317488369E-3</v>
      </c>
      <c r="J10" s="17">
        <f>MAX(_xll.ohPack($W$3:INDEX($W$3:$W$135,MATCH(D10+1,$S$3:$S$135,1),1)))</f>
        <v>2.2568132800752077E-3</v>
      </c>
      <c r="L10" s="45" t="s">
        <v>41</v>
      </c>
      <c r="M10" s="81">
        <v>0.20255568603684723</v>
      </c>
      <c r="N10" s="78" t="b">
        <v>0</v>
      </c>
      <c r="P10" s="33">
        <v>1</v>
      </c>
      <c r="Q10" s="27" t="str">
        <f>_xll.qlPeriodEquivalent(Q9&amp;"+"&amp;P10&amp;"M")</f>
        <v>7M</v>
      </c>
      <c r="R10" s="28">
        <f>_xll.qlCalendarAdvance(Calendar,SettlementDate,Q10,"f",,Trigger)</f>
        <v>42492</v>
      </c>
      <c r="S10" s="28">
        <f>_xll.qlInterestRateIndexValueDate(Index,R10,Trigger)</f>
        <v>42494</v>
      </c>
      <c r="T10" s="28">
        <f>_xll.qlInterestRateIndexMaturity(Index,S10,Trigger)</f>
        <v>42678</v>
      </c>
      <c r="U10" s="30">
        <f>_xll.qlIndexFixing($M$5,R10,TRUE,InterestRatesTrigger)</f>
        <v>-1.9343411868601231E-3</v>
      </c>
      <c r="V10" s="74">
        <f>_xll.qlIndexFixing(Index,R10,TRUE,InterestRatesTrigger)</f>
        <v>2.1007861000353563E-4</v>
      </c>
      <c r="W10" s="30">
        <f t="shared" si="7"/>
        <v>2.1444197968636587E-3</v>
      </c>
      <c r="X10" s="29">
        <f>_xll.qlDayCounterYearFraction(DayCounter,SettlementDate,S10,,,Trigger)</f>
        <v>0.59722222222222221</v>
      </c>
      <c r="Y10" s="29">
        <f>_xll.qlDayCounterYearFraction(DayCounter,S10,T10)</f>
        <v>0.51111111111111107</v>
      </c>
      <c r="Z10" s="29">
        <f>IF($M$13,_xll.qlYieldTSDiscount(Currency&amp;"ON",S10)/(1+V10*Y10),1)</f>
        <v>1</v>
      </c>
      <c r="AA10" s="30">
        <f>_xll.qlTenorBasisValue(TenorBasis6M,S10,InterestRatesTrigger)</f>
        <v>2.1412694871826015E-3</v>
      </c>
      <c r="AB10" s="74">
        <f t="shared" si="0"/>
        <v>2.0692830032247836E-4</v>
      </c>
      <c r="AC10" s="76">
        <f t="shared" si="1"/>
        <v>0.98500413877926818</v>
      </c>
    </row>
    <row r="11" spans="1:29" x14ac:dyDescent="0.2">
      <c r="A11" s="18" t="str">
        <f>_xll.qlPeriodEquivalent(C11&amp;"M")</f>
        <v>2Y</v>
      </c>
      <c r="B11" s="10">
        <f>_xll.qlDateEndOfMonth(EDATE(_xll.qlIMMNextDate(_xll.qlSettingsEvaluationDate(Trigger)-1,TRUE),-3))</f>
        <v>42277</v>
      </c>
      <c r="C11" s="11">
        <v>24</v>
      </c>
      <c r="D11" s="10">
        <f t="shared" ref="D11:D16" si="9">EDATE($R$3,C11)</f>
        <v>43008</v>
      </c>
      <c r="E11" s="12">
        <f t="shared" ref="E11:E16" si="10">IF(C11&lt;=12,1,IF(C11&lt;=24,3,IF(C11&lt;=120,6,IF(C11&lt;=240,12,IF(C11&lt;=360,36,60)))))</f>
        <v>3</v>
      </c>
      <c r="F11" s="16">
        <f t="shared" ref="F11:F16" si="11">ROUNDDOWN(I11*10,2)/10</f>
        <v>1E-3</v>
      </c>
      <c r="G11" s="17">
        <f t="shared" ref="G11:G16" si="12">IF(J11-I11&gt;1%,(QUOTIENT(J11*10000,50)+1)*0.5%,(QUOTIENT(J11*10000,10)+1)*0.1%)</f>
        <v>3.0000000000000001E-3</v>
      </c>
      <c r="H11" s="12">
        <f t="shared" ref="H11:H16" si="13">IF(G11-F11&lt;0.5%,0.025%,IF(G11-F11&lt;1%,0.1%,IF(G11-F11&lt;2%,0.25%,0.5%)))</f>
        <v>2.5000000000000001E-4</v>
      </c>
      <c r="I11" s="17">
        <f>MIN(_xll.ohPack($W$3:INDEX($W$3:$W$135,MATCH(D11+1,$S$3:$S$135,1),1)))</f>
        <v>1.7994732317488369E-3</v>
      </c>
      <c r="J11" s="17">
        <f>MAX(_xll.ohPack($W$3:INDEX($W$3:$W$135,MATCH(D11+1,$S$3:$S$135,1),1)))</f>
        <v>2.4980254476661187E-3</v>
      </c>
      <c r="L11" s="45" t="s">
        <v>42</v>
      </c>
      <c r="M11" s="80">
        <v>2.4409004578928803E-4</v>
      </c>
      <c r="N11" s="78" t="b">
        <v>0</v>
      </c>
      <c r="O11" s="34"/>
      <c r="P11" s="33">
        <v>1</v>
      </c>
      <c r="Q11" s="27" t="str">
        <f>_xll.qlPeriodEquivalent(Q10&amp;"+"&amp;P11&amp;"M")</f>
        <v>8M</v>
      </c>
      <c r="R11" s="28">
        <f>_xll.qlCalendarAdvance(Calendar,SettlementDate,Q11,"f",,Trigger)</f>
        <v>42523</v>
      </c>
      <c r="S11" s="28">
        <f>_xll.qlInterestRateIndexValueDate(Index,R11,Trigger)</f>
        <v>42527</v>
      </c>
      <c r="T11" s="28">
        <f>_xll.qlInterestRateIndexMaturity(Index,S11,Trigger)</f>
        <v>42710</v>
      </c>
      <c r="U11" s="30">
        <f>_xll.qlIndexFixing($M$5,R11,TRUE,InterestRatesTrigger)</f>
        <v>-1.9543661534652205E-3</v>
      </c>
      <c r="V11" s="74">
        <f>_xll.qlIndexFixing(Index,R11,TRUE,InterestRatesTrigger)</f>
        <v>2.1130782641031571E-4</v>
      </c>
      <c r="W11" s="30">
        <f t="shared" si="7"/>
        <v>2.1656739798755361E-3</v>
      </c>
      <c r="X11" s="29">
        <f>_xll.qlDayCounterYearFraction(DayCounter,SettlementDate,S11,,,Trigger)</f>
        <v>0.68888888888888888</v>
      </c>
      <c r="Y11" s="29">
        <f>_xll.qlDayCounterYearFraction(DayCounter,S11,T11)</f>
        <v>0.5083333333333333</v>
      </c>
      <c r="Z11" s="29">
        <f>IF($M$13,_xll.qlYieldTSDiscount(Currency&amp;"ON",S11)/(1+V11*Y11),1)</f>
        <v>1</v>
      </c>
      <c r="AA11" s="30">
        <f>_xll.qlTenorBasisValue(TenorBasis6M,S11,InterestRatesTrigger)</f>
        <v>2.1917065017382511E-3</v>
      </c>
      <c r="AB11" s="74">
        <f t="shared" si="0"/>
        <v>2.3734034827303059E-4</v>
      </c>
      <c r="AC11" s="76">
        <f t="shared" si="1"/>
        <v>1.1231971494144526</v>
      </c>
    </row>
    <row r="12" spans="1:29" x14ac:dyDescent="0.2">
      <c r="A12" s="18" t="str">
        <f>_xll.qlPeriodEquivalent(C12&amp;"M")</f>
        <v>5Y</v>
      </c>
      <c r="B12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C12" s="11">
        <v>60</v>
      </c>
      <c r="D12" s="10">
        <f t="shared" si="9"/>
        <v>44104</v>
      </c>
      <c r="E12" s="12">
        <f t="shared" si="10"/>
        <v>6</v>
      </c>
      <c r="F12" s="16">
        <f t="shared" si="11"/>
        <v>1E-3</v>
      </c>
      <c r="G12" s="17">
        <f t="shared" si="12"/>
        <v>4.0000000000000001E-3</v>
      </c>
      <c r="H12" s="12">
        <f t="shared" si="13"/>
        <v>2.5000000000000001E-4</v>
      </c>
      <c r="I12" s="17">
        <f>MIN(_xll.ohPack($W$3:INDEX($W$3:$W$135,MATCH(D12+1,$S$3:$S$135,1),1)))</f>
        <v>1.7994732317488369E-3</v>
      </c>
      <c r="J12" s="17">
        <f>MAX(_xll.ohPack($W$3:INDEX($W$3:$W$135,MATCH(D12+1,$S$3:$S$135,1),1)))</f>
        <v>3.210734730733948E-3</v>
      </c>
      <c r="N12" s="34"/>
      <c r="P12" s="33">
        <v>1</v>
      </c>
      <c r="Q12" s="27" t="str">
        <f>_xll.qlPeriodEquivalent(Q11&amp;"+"&amp;P12&amp;"M")</f>
        <v>9M</v>
      </c>
      <c r="R12" s="28">
        <f>_xll.qlCalendarAdvance(Calendar,SettlementDate,Q12,"f",,Trigger)</f>
        <v>42555</v>
      </c>
      <c r="S12" s="28">
        <f>_xll.qlInterestRateIndexValueDate(Index,R12,Trigger)</f>
        <v>42557</v>
      </c>
      <c r="T12" s="28">
        <f>_xll.qlInterestRateIndexMaturity(Index,S12,Trigger)</f>
        <v>42741</v>
      </c>
      <c r="U12" s="30">
        <f>_xll.qlIndexFixing($M$5,R12,TRUE,InterestRatesTrigger)</f>
        <v>-1.9510234164202642E-3</v>
      </c>
      <c r="V12" s="74">
        <f>_xll.qlIndexFixing(Index,R12,TRUE,InterestRatesTrigger)</f>
        <v>2.5236198843821582E-4</v>
      </c>
      <c r="W12" s="30">
        <f t="shared" si="7"/>
        <v>2.2033854048584801E-3</v>
      </c>
      <c r="X12" s="29">
        <f>_xll.qlDayCounterYearFraction(DayCounter,SettlementDate,S12,,,Trigger)</f>
        <v>0.77222222222222225</v>
      </c>
      <c r="Y12" s="29">
        <f>_xll.qlDayCounterYearFraction(DayCounter,S12,T12)</f>
        <v>0.51111111111111107</v>
      </c>
      <c r="Z12" s="29">
        <f>IF($M$13,_xll.qlYieldTSDiscount(Currency&amp;"ON",S12)/(1+V12*Y12),1)</f>
        <v>1</v>
      </c>
      <c r="AA12" s="30">
        <f>_xll.qlTenorBasisValue(TenorBasis6M,S12,InterestRatesTrigger)</f>
        <v>2.2354006908919472E-3</v>
      </c>
      <c r="AB12" s="74">
        <f t="shared" si="0"/>
        <v>2.8437727447168295E-4</v>
      </c>
      <c r="AC12" s="76">
        <f t="shared" si="1"/>
        <v>1.1268625526038967</v>
      </c>
    </row>
    <row r="13" spans="1:29" x14ac:dyDescent="0.2">
      <c r="A13" s="18" t="str">
        <f>_xll.qlPeriodEquivalent(C13&amp;"M")</f>
        <v>10Y</v>
      </c>
      <c r="B13" s="10">
        <f t="shared" ref="B13:B16" si="14">B12</f>
        <v>42185</v>
      </c>
      <c r="C13" s="11">
        <v>120</v>
      </c>
      <c r="D13" s="10">
        <f t="shared" si="9"/>
        <v>45930</v>
      </c>
      <c r="E13" s="12">
        <f t="shared" si="10"/>
        <v>6</v>
      </c>
      <c r="F13" s="16">
        <f t="shared" si="11"/>
        <v>1E-3</v>
      </c>
      <c r="G13" s="17">
        <f t="shared" si="12"/>
        <v>4.0000000000000001E-3</v>
      </c>
      <c r="H13" s="12">
        <f t="shared" si="13"/>
        <v>2.5000000000000001E-4</v>
      </c>
      <c r="I13" s="17">
        <f>MIN(_xll.ohPack($W$3:INDEX($W$3:$W$135,MATCH(D13+1,$S$3:$S$135,1),1)))</f>
        <v>1.7994732317488369E-3</v>
      </c>
      <c r="J13" s="17">
        <f>MAX(_xll.ohPack($W$3:INDEX($W$3:$W$135,MATCH(D13+1,$S$3:$S$135,1),1)))</f>
        <v>3.210734730733948E-3</v>
      </c>
      <c r="L13" s="45" t="s">
        <v>58</v>
      </c>
      <c r="M13" s="78" t="b">
        <v>0</v>
      </c>
      <c r="P13" s="33">
        <v>1</v>
      </c>
      <c r="Q13" s="27" t="str">
        <f>_xll.qlPeriodEquivalent(Q12&amp;"+"&amp;P13&amp;"M")</f>
        <v>10M</v>
      </c>
      <c r="R13" s="28">
        <f>_xll.qlCalendarAdvance(Calendar,SettlementDate,Q13,"f",,Trigger)</f>
        <v>42584</v>
      </c>
      <c r="S13" s="28">
        <f>_xll.qlInterestRateIndexValueDate(Index,R13,Trigger)</f>
        <v>42586</v>
      </c>
      <c r="T13" s="28">
        <f>_xll.qlInterestRateIndexMaturity(Index,S13,Trigger)</f>
        <v>42772</v>
      </c>
      <c r="U13" s="30">
        <f>_xll.qlIndexFixing($M$5,R13,TRUE,InterestRatesTrigger)</f>
        <v>-1.9433813899145094E-3</v>
      </c>
      <c r="V13" s="74">
        <f>_xll.qlIndexFixing(Index,R13,TRUE,InterestRatesTrigger)</f>
        <v>2.9362877985050767E-4</v>
      </c>
      <c r="W13" s="30">
        <f t="shared" si="7"/>
        <v>2.2370101697650169E-3</v>
      </c>
      <c r="X13" s="29">
        <f>_xll.qlDayCounterYearFraction(DayCounter,SettlementDate,S13,,,Trigger)</f>
        <v>0.85277777777777775</v>
      </c>
      <c r="Y13" s="29">
        <f>_xll.qlDayCounterYearFraction(DayCounter,S13,T13)</f>
        <v>0.51666666666666672</v>
      </c>
      <c r="Z13" s="29">
        <f>IF($M$13,_xll.qlYieldTSDiscount(Currency&amp;"ON",S13)/(1+V13*Y13),1)</f>
        <v>1</v>
      </c>
      <c r="AA13" s="30">
        <f>_xll.qlTenorBasisValue(TenorBasis6M,S13,InterestRatesTrigger)</f>
        <v>2.2757393445129721E-3</v>
      </c>
      <c r="AB13" s="74">
        <f t="shared" si="0"/>
        <v>3.323579545984627E-4</v>
      </c>
      <c r="AC13" s="76">
        <f t="shared" si="1"/>
        <v>1.1318984289199201</v>
      </c>
    </row>
    <row r="14" spans="1:29" x14ac:dyDescent="0.2">
      <c r="A14" s="18" t="str">
        <f>_xll.qlPeriodEquivalent(C14&amp;"M")</f>
        <v>20Y</v>
      </c>
      <c r="B14" s="10">
        <f>IF(AND(MONTH(B13)=12),B13,_xll.qlDateEndOfMonth(EDATE(B13,-6)))</f>
        <v>42004</v>
      </c>
      <c r="C14" s="11">
        <v>240</v>
      </c>
      <c r="D14" s="10">
        <f t="shared" si="9"/>
        <v>49582</v>
      </c>
      <c r="E14" s="13">
        <f t="shared" si="10"/>
        <v>12</v>
      </c>
      <c r="F14" s="16">
        <f t="shared" si="11"/>
        <v>0</v>
      </c>
      <c r="G14" s="17">
        <f t="shared" si="12"/>
        <v>4.0000000000000001E-3</v>
      </c>
      <c r="H14" s="12">
        <f t="shared" si="13"/>
        <v>2.5000000000000001E-4</v>
      </c>
      <c r="I14" s="17">
        <f>MIN(_xll.ohPack($W$3:INDEX($W$3:$W$135,MATCH(D14+1,$S$3:$S$135,1),1)))</f>
        <v>6.6398358031859173E-4</v>
      </c>
      <c r="J14" s="17">
        <f>MAX(_xll.ohPack($W$3:INDEX($W$3:$W$135,MATCH(D14+1,$S$3:$S$135,1),1)))</f>
        <v>3.210734730733948E-3</v>
      </c>
      <c r="L14" s="45" t="s">
        <v>44</v>
      </c>
      <c r="M14" s="35" t="str">
        <f>_xll.qlAbcdCalibration2(,X3:X253,W3:W253,Z3:Z253,ContBasis,N8:N11,,,,Trigger)</f>
        <v>obj_00597#0005</v>
      </c>
      <c r="P14" s="33">
        <v>1</v>
      </c>
      <c r="Q14" s="27" t="str">
        <f>_xll.qlPeriodEquivalent(Q13&amp;"+"&amp;P14&amp;"M")</f>
        <v>11M</v>
      </c>
      <c r="R14" s="28">
        <f>_xll.qlCalendarAdvance(Calendar,SettlementDate,Q14,"f",,Trigger)</f>
        <v>42615</v>
      </c>
      <c r="S14" s="28">
        <f>_xll.qlInterestRateIndexValueDate(Index,R14,Trigger)</f>
        <v>42619</v>
      </c>
      <c r="T14" s="28">
        <f>_xll.qlInterestRateIndexMaturity(Index,S14,Trigger)</f>
        <v>42800</v>
      </c>
      <c r="U14" s="30">
        <f>_xll.qlIndexFixing($M$5,R14,TRUE,InterestRatesTrigger)</f>
        <v>-1.9210736793545649E-3</v>
      </c>
      <c r="V14" s="74">
        <f>_xll.qlIndexFixing(Index,R14,TRUE,InterestRatesTrigger)</f>
        <v>3.3573960072064271E-4</v>
      </c>
      <c r="W14" s="30">
        <f t="shared" si="7"/>
        <v>2.2568132800752077E-3</v>
      </c>
      <c r="X14" s="29">
        <f>_xll.qlDayCounterYearFraction(DayCounter,SettlementDate,S14,,,Trigger)</f>
        <v>0.94444444444444442</v>
      </c>
      <c r="Y14" s="29">
        <f>_xll.qlDayCounterYearFraction(DayCounter,S14,T14)</f>
        <v>0.50277777777777777</v>
      </c>
      <c r="Z14" s="29">
        <f>IF($M$13,_xll.qlYieldTSDiscount(Currency&amp;"ON",S14)/(1+V14*Y14),1)</f>
        <v>1</v>
      </c>
      <c r="AA14" s="30">
        <f>_xll.qlTenorBasisValue(TenorBasis6M,S14,InterestRatesTrigger)</f>
        <v>2.3194343552860948E-3</v>
      </c>
      <c r="AB14" s="74">
        <f t="shared" si="0"/>
        <v>3.9836067593152988E-4</v>
      </c>
      <c r="AC14" s="76">
        <f t="shared" si="1"/>
        <v>1.1865167977696858</v>
      </c>
    </row>
    <row r="15" spans="1:29" x14ac:dyDescent="0.2">
      <c r="A15" s="18" t="str">
        <f>_xll.qlPeriodEquivalent(C15&amp;"M")</f>
        <v>30Y</v>
      </c>
      <c r="B15" s="10">
        <f t="shared" si="14"/>
        <v>42004</v>
      </c>
      <c r="C15" s="11">
        <v>360</v>
      </c>
      <c r="D15" s="10">
        <f t="shared" si="9"/>
        <v>53235</v>
      </c>
      <c r="E15" s="13">
        <f t="shared" si="10"/>
        <v>36</v>
      </c>
      <c r="F15" s="16">
        <f t="shared" si="11"/>
        <v>0</v>
      </c>
      <c r="G15" s="17">
        <f t="shared" si="12"/>
        <v>4.0000000000000001E-3</v>
      </c>
      <c r="H15" s="12">
        <f t="shared" si="13"/>
        <v>2.5000000000000001E-4</v>
      </c>
      <c r="I15" s="17">
        <f>MIN(_xll.ohPack($W$3:INDEX($W$3:$W$135,MATCH(D15+1,$S$3:$S$135,1),1)))</f>
        <v>4.0651476128431702E-4</v>
      </c>
      <c r="J15" s="17">
        <f>MAX(_xll.ohPack($W$3:INDEX($W$3:$W$135,MATCH(D15+1,$S$3:$S$135,1),1)))</f>
        <v>3.210734730733948E-3</v>
      </c>
      <c r="L15" s="45" t="s">
        <v>38</v>
      </c>
      <c r="M15" s="35" t="b">
        <f>_xll.qlAbcdCalibration2Compute(M14,AllTriggers)</f>
        <v>1</v>
      </c>
      <c r="P15" s="33">
        <v>1</v>
      </c>
      <c r="Q15" s="27" t="str">
        <f>_xll.qlPeriodEquivalent(Q14&amp;"+"&amp;P15&amp;"M")</f>
        <v>1Y</v>
      </c>
      <c r="R15" s="28">
        <f>_xll.qlCalendarAdvance(Calendar,SettlementDate,Q15,"f",,Trigger)</f>
        <v>42646</v>
      </c>
      <c r="S15" s="28">
        <f>_xll.qlInterestRateIndexValueDate(Index,R15,Trigger)</f>
        <v>42648</v>
      </c>
      <c r="T15" s="28">
        <f>_xll.qlInterestRateIndexMaturity(Index,S15,Trigger)</f>
        <v>42830</v>
      </c>
      <c r="U15" s="30">
        <f>_xll.qlIndexFixing($M$5,R15,TRUE,InterestRatesTrigger)</f>
        <v>-1.8833215143932614E-3</v>
      </c>
      <c r="V15" s="74">
        <f>_xll.qlIndexFixing(Index,R15,TRUE,InterestRatesTrigger)</f>
        <v>3.9554024034522489E-4</v>
      </c>
      <c r="W15" s="30">
        <f t="shared" si="7"/>
        <v>2.2788617547384862E-3</v>
      </c>
      <c r="X15" s="29">
        <f>_xll.qlDayCounterYearFraction(DayCounter,SettlementDate,S15,,,Trigger)</f>
        <v>1.0249999999999999</v>
      </c>
      <c r="Y15" s="29">
        <f>_xll.qlDayCounterYearFraction(DayCounter,S15,T15)</f>
        <v>0.50555555555555554</v>
      </c>
      <c r="Z15" s="29">
        <f>IF($M$13,_xll.qlYieldTSDiscount(Currency&amp;"ON",S15)/(1+V15*Y15),1)</f>
        <v>1</v>
      </c>
      <c r="AA15" s="30">
        <f>_xll.qlTenorBasisValue(TenorBasis6M,S15,InterestRatesTrigger)</f>
        <v>2.3559467213207183E-3</v>
      </c>
      <c r="AB15" s="74">
        <f t="shared" si="0"/>
        <v>4.726252069274569E-4</v>
      </c>
      <c r="AC15" s="76">
        <f t="shared" si="1"/>
        <v>1.1948852701180359</v>
      </c>
    </row>
    <row r="16" spans="1:29" x14ac:dyDescent="0.2">
      <c r="A16" s="19" t="str">
        <f>_xll.qlPeriodEquivalent(C16&amp;"M")</f>
        <v>60Y</v>
      </c>
      <c r="B16" s="20">
        <f t="shared" si="14"/>
        <v>42004</v>
      </c>
      <c r="C16" s="21">
        <v>720</v>
      </c>
      <c r="D16" s="20">
        <f t="shared" si="9"/>
        <v>64192</v>
      </c>
      <c r="E16" s="22">
        <f t="shared" si="10"/>
        <v>60</v>
      </c>
      <c r="F16" s="23">
        <f t="shared" si="11"/>
        <v>0</v>
      </c>
      <c r="G16" s="24">
        <f t="shared" si="12"/>
        <v>4.0000000000000001E-3</v>
      </c>
      <c r="H16" s="25">
        <f t="shared" si="13"/>
        <v>2.5000000000000001E-4</v>
      </c>
      <c r="I16" s="24">
        <f>MIN(_xll.ohPack($W$3:INDEX($W$3:$W$135,MATCH(D16+1,$S$3:$S$135,1),1)))</f>
        <v>1.5294870589033401E-4</v>
      </c>
      <c r="J16" s="24">
        <f>MAX(_xll.ohPack($W$3:INDEX($W$3:$W$135,MATCH(D16+1,$S$3:$S$135,1),1)))</f>
        <v>3.210734730733948E-3</v>
      </c>
      <c r="L16" s="45" t="s">
        <v>35</v>
      </c>
      <c r="M16" s="43">
        <f>_xll.qlAbcdCalibration2Error(M14)</f>
        <v>9.0236166537506043E-5</v>
      </c>
      <c r="P16" s="33">
        <v>1</v>
      </c>
      <c r="Q16" s="27" t="str">
        <f>_xll.qlPeriodEquivalent(Q15&amp;"+"&amp;P16&amp;"M")</f>
        <v>1Y1M</v>
      </c>
      <c r="R16" s="28">
        <f>_xll.qlCalendarAdvance(Calendar,SettlementDate,Q16,"f",,Trigger)</f>
        <v>42676</v>
      </c>
      <c r="S16" s="28">
        <f>_xll.qlInterestRateIndexValueDate(Index,R16,Trigger)</f>
        <v>42678</v>
      </c>
      <c r="T16" s="28">
        <f>_xll.qlInterestRateIndexMaturity(Index,S16,Trigger)</f>
        <v>42859</v>
      </c>
      <c r="U16" s="30">
        <f>_xll.qlIndexFixing($M$5,R16,TRUE,InterestRatesTrigger)</f>
        <v>-1.8385095264961311E-3</v>
      </c>
      <c r="V16" s="74">
        <f>_xll.qlIndexFixing(Index,R16,TRUE,InterestRatesTrigger)</f>
        <v>4.8572605610879075E-4</v>
      </c>
      <c r="W16" s="30">
        <f t="shared" si="7"/>
        <v>2.3242355826049218E-3</v>
      </c>
      <c r="X16" s="29">
        <f>_xll.qlDayCounterYearFraction(DayCounter,SettlementDate,S16,,,Trigger)</f>
        <v>1.1083333333333334</v>
      </c>
      <c r="Y16" s="29">
        <f>_xll.qlDayCounterYearFraction(DayCounter,S16,T16)</f>
        <v>0.50277777777777777</v>
      </c>
      <c r="Z16" s="29">
        <f>IF($M$13,_xll.qlYieldTSDiscount(Currency&amp;"ON",S16)/(1+V16*Y16),1)</f>
        <v>1</v>
      </c>
      <c r="AA16" s="30">
        <f>_xll.qlTenorBasisValue(TenorBasis6M,S16,InterestRatesTrigger)</f>
        <v>2.3919134507948349E-3</v>
      </c>
      <c r="AB16" s="74">
        <f t="shared" si="0"/>
        <v>5.5340392429870382E-4</v>
      </c>
      <c r="AC16" s="76">
        <f t="shared" si="1"/>
        <v>1.1393334109602613</v>
      </c>
    </row>
    <row r="17" spans="12:29" x14ac:dyDescent="0.2">
      <c r="L17" s="45" t="s">
        <v>55</v>
      </c>
      <c r="M17" s="43">
        <f>_xll.qlAbcdCalibration2MaxError(M14)</f>
        <v>1.7463701218931483E-3</v>
      </c>
      <c r="P17" s="33">
        <v>1</v>
      </c>
      <c r="Q17" s="27" t="str">
        <f>_xll.qlPeriodEquivalent(Q16&amp;"+"&amp;P17&amp;"M")</f>
        <v>1Y2M</v>
      </c>
      <c r="R17" s="28">
        <f>_xll.qlCalendarAdvance(Calendar,SettlementDate,Q17,"f",,Trigger)</f>
        <v>42706</v>
      </c>
      <c r="S17" s="28">
        <f>_xll.qlInterestRateIndexValueDate(Index,R17,Trigger)</f>
        <v>42710</v>
      </c>
      <c r="T17" s="28">
        <f>_xll.qlInterestRateIndexMaturity(Index,S17,Trigger)</f>
        <v>42892</v>
      </c>
      <c r="U17" s="30">
        <f>_xll.qlIndexFixing($M$5,R17,TRUE,InterestRatesTrigger)</f>
        <v>-1.7820203345208453E-3</v>
      </c>
      <c r="V17" s="74">
        <f>_xll.qlIndexFixing(Index,R17,TRUE,InterestRatesTrigger)</f>
        <v>5.7279233218718892E-4</v>
      </c>
      <c r="W17" s="30">
        <f t="shared" si="7"/>
        <v>2.3548126667080342E-3</v>
      </c>
      <c r="X17" s="29">
        <f>_xll.qlDayCounterYearFraction(DayCounter,SettlementDate,S17,,,Trigger)</f>
        <v>1.1972222222222222</v>
      </c>
      <c r="Y17" s="29">
        <f>_xll.qlDayCounterYearFraction(DayCounter,S17,T17)</f>
        <v>0.50555555555555554</v>
      </c>
      <c r="Z17" s="29">
        <f>IF($M$13,_xll.qlYieldTSDiscount(Currency&amp;"ON",S17)/(1+V17*Y17),1)</f>
        <v>1</v>
      </c>
      <c r="AA17" s="30">
        <f>_xll.qlTenorBasisValue(TenorBasis6M,S17,InterestRatesTrigger)</f>
        <v>2.4283115934640386E-3</v>
      </c>
      <c r="AB17" s="74">
        <f t="shared" si="0"/>
        <v>6.4629125894319329E-4</v>
      </c>
      <c r="AC17" s="76">
        <f t="shared" si="1"/>
        <v>1.1283168831456789</v>
      </c>
    </row>
    <row r="18" spans="12:29" x14ac:dyDescent="0.2">
      <c r="P18" s="33">
        <v>1</v>
      </c>
      <c r="Q18" s="27" t="str">
        <f>_xll.qlPeriodEquivalent(Q17&amp;"+"&amp;P18&amp;"M")</f>
        <v>1Y3M</v>
      </c>
      <c r="R18" s="28">
        <f>_xll.qlCalendarAdvance(Calendar,SettlementDate,Q18,"f",,Trigger)</f>
        <v>42737</v>
      </c>
      <c r="S18" s="28">
        <f>_xll.qlInterestRateIndexValueDate(Index,R18,Trigger)</f>
        <v>42739</v>
      </c>
      <c r="T18" s="28">
        <f>_xll.qlInterestRateIndexMaturity(Index,S18,Trigger)</f>
        <v>42920</v>
      </c>
      <c r="U18" s="30">
        <f>_xll.qlIndexFixing($M$5,R18,TRUE,InterestRatesTrigger)</f>
        <v>-1.731960297932913E-3</v>
      </c>
      <c r="V18" s="74">
        <f>_xll.qlIndexFixing(Index,R18,TRUE,InterestRatesTrigger)</f>
        <v>6.6489767057181575E-4</v>
      </c>
      <c r="W18" s="30">
        <f t="shared" si="7"/>
        <v>2.3968579685047287E-3</v>
      </c>
      <c r="X18" s="29">
        <f>_xll.qlDayCounterYearFraction(DayCounter,SettlementDate,S18,,,Trigger)</f>
        <v>1.2777777777777777</v>
      </c>
      <c r="Y18" s="29">
        <f>_xll.qlDayCounterYearFraction(DayCounter,S18,T18)</f>
        <v>0.50277777777777777</v>
      </c>
      <c r="Z18" s="29">
        <f>IF($M$13,_xll.qlYieldTSDiscount(Currency&amp;"ON",S18)/(1+V18*Y18),1)</f>
        <v>1</v>
      </c>
      <c r="AA18" s="30">
        <f>_xll.qlTenorBasisValue(TenorBasis6M,S18,InterestRatesTrigger)</f>
        <v>2.4595933417856774E-3</v>
      </c>
      <c r="AB18" s="74">
        <f t="shared" si="0"/>
        <v>7.276330438527644E-4</v>
      </c>
      <c r="AC18" s="76">
        <f t="shared" si="1"/>
        <v>1.0943534261851089</v>
      </c>
    </row>
    <row r="19" spans="12:29" x14ac:dyDescent="0.2">
      <c r="L19" s="71" t="s">
        <v>50</v>
      </c>
      <c r="M19" s="72"/>
      <c r="P19" s="33">
        <v>1</v>
      </c>
      <c r="Q19" s="27" t="str">
        <f>_xll.qlPeriodEquivalent(Q18&amp;"+"&amp;P19&amp;"M")</f>
        <v>1Y4M</v>
      </c>
      <c r="R19" s="28">
        <f>_xll.qlCalendarAdvance(Calendar,SettlementDate,Q19,"f",,Trigger)</f>
        <v>42768</v>
      </c>
      <c r="S19" s="28">
        <f>_xll.qlInterestRateIndexValueDate(Index,R19,Trigger)</f>
        <v>42772</v>
      </c>
      <c r="T19" s="28">
        <f>_xll.qlInterestRateIndexMaturity(Index,S19,Trigger)</f>
        <v>42954</v>
      </c>
      <c r="U19" s="30">
        <f>_xll.qlIndexFixing($M$5,R19,TRUE,InterestRatesTrigger)</f>
        <v>-1.6526274204274286E-3</v>
      </c>
      <c r="V19" s="74">
        <f>_xll.qlIndexFixing(Index,R19,TRUE,InterestRatesTrigger)</f>
        <v>7.8521933501878873E-4</v>
      </c>
      <c r="W19" s="30">
        <f t="shared" si="7"/>
        <v>2.4378467554462173E-3</v>
      </c>
      <c r="X19" s="29">
        <f>_xll.qlDayCounterYearFraction(DayCounter,SettlementDate,S19,,,Trigger)</f>
        <v>1.3694444444444445</v>
      </c>
      <c r="Y19" s="29">
        <f>_xll.qlDayCounterYearFraction(DayCounter,S19,T19)</f>
        <v>0.50555555555555554</v>
      </c>
      <c r="Z19" s="29">
        <f>IF($M$13,_xll.qlYieldTSDiscount(Currency&amp;"ON",S19)/(1+V19*Y19),1)</f>
        <v>1</v>
      </c>
      <c r="AA19" s="30">
        <f>_xll.qlTenorBasisValue(TenorBasis6M,S19,InterestRatesTrigger)</f>
        <v>2.4932762885718001E-3</v>
      </c>
      <c r="AB19" s="74">
        <f t="shared" si="0"/>
        <v>8.4064886814437154E-4</v>
      </c>
      <c r="AC19" s="76">
        <f t="shared" si="1"/>
        <v>1.070591146516096</v>
      </c>
    </row>
    <row r="20" spans="12:29" x14ac:dyDescent="0.2">
      <c r="L20" s="45" t="s">
        <v>45</v>
      </c>
      <c r="M20" s="78">
        <f>_xll.qlAbcdCalibration2A($M$14,M15)</f>
        <v>1.4923562856958446E-3</v>
      </c>
      <c r="P20" s="33">
        <v>1</v>
      </c>
      <c r="Q20" s="27" t="str">
        <f>_xll.qlPeriodEquivalent(Q19&amp;"+"&amp;P20&amp;"M")</f>
        <v>1Y5M</v>
      </c>
      <c r="R20" s="28">
        <f>_xll.qlCalendarAdvance(Calendar,SettlementDate,Q20,"f",,Trigger)</f>
        <v>42796</v>
      </c>
      <c r="S20" s="28">
        <f>_xll.qlInterestRateIndexValueDate(Index,R20,Trigger)</f>
        <v>42800</v>
      </c>
      <c r="T20" s="28">
        <f>_xll.qlInterestRateIndexMaturity(Index,S20,Trigger)</f>
        <v>42984</v>
      </c>
      <c r="U20" s="30">
        <f>_xll.qlIndexFixing($M$5,R20,TRUE,InterestRatesTrigger)</f>
        <v>-1.5781529503876232E-3</v>
      </c>
      <c r="V20" s="74">
        <f>_xll.qlIndexFixing(Index,R20,TRUE,InterestRatesTrigger)</f>
        <v>8.9343187619801527E-4</v>
      </c>
      <c r="W20" s="30">
        <f t="shared" si="7"/>
        <v>2.4715848265856382E-3</v>
      </c>
      <c r="X20" s="29">
        <f>_xll.qlDayCounterYearFraction(DayCounter,SettlementDate,S20,,,Trigger)</f>
        <v>1.4472222222222222</v>
      </c>
      <c r="Y20" s="29">
        <f>_xll.qlDayCounterYearFraction(DayCounter,S20,T20)</f>
        <v>0.51111111111111107</v>
      </c>
      <c r="Z20" s="29">
        <f>IF($M$13,_xll.qlYieldTSDiscount(Currency&amp;"ON",S20)/(1+V20*Y20),1)</f>
        <v>1</v>
      </c>
      <c r="AA20" s="30">
        <f>_xll.qlTenorBasisValue(TenorBasis6M,S20,InterestRatesTrigger)</f>
        <v>2.5203031169327658E-3</v>
      </c>
      <c r="AB20" s="74">
        <f t="shared" si="0"/>
        <v>9.4215016654514258E-4</v>
      </c>
      <c r="AC20" s="76">
        <f t="shared" si="1"/>
        <v>1.054529384550781</v>
      </c>
    </row>
    <row r="21" spans="12:29" x14ac:dyDescent="0.2">
      <c r="L21" s="45" t="s">
        <v>46</v>
      </c>
      <c r="M21" s="79">
        <f>_xll.qlAbcdCalibration2B($M$14,M15)</f>
        <v>1.0809689791748333E-3</v>
      </c>
      <c r="P21" s="33">
        <v>1</v>
      </c>
      <c r="Q21" s="27" t="str">
        <f>_xll.qlPeriodEquivalent(Q20&amp;"+"&amp;P21&amp;"M")</f>
        <v>1Y6M</v>
      </c>
      <c r="R21" s="28">
        <f>_xll.qlCalendarAdvance(Calendar,SettlementDate,Q21,"f",,Trigger)</f>
        <v>42828</v>
      </c>
      <c r="S21" s="28">
        <f>_xll.qlInterestRateIndexValueDate(Index,R21,Trigger)</f>
        <v>42830</v>
      </c>
      <c r="T21" s="28">
        <f>_xll.qlInterestRateIndexMaturity(Index,S21,Trigger)</f>
        <v>43013</v>
      </c>
      <c r="U21" s="30">
        <f>_xll.qlIndexFixing($M$5,R21,TRUE,InterestRatesTrigger)</f>
        <v>-1.4923612509352366E-3</v>
      </c>
      <c r="V21" s="74">
        <f>_xll.qlIndexFixing(Index,R21,TRUE,InterestRatesTrigger)</f>
        <v>1.0056641967308821E-3</v>
      </c>
      <c r="W21" s="30">
        <f t="shared" si="7"/>
        <v>2.4980254476661187E-3</v>
      </c>
      <c r="X21" s="29">
        <f>_xll.qlDayCounterYearFraction(DayCounter,SettlementDate,S21,,,Trigger)</f>
        <v>1.5305555555555554</v>
      </c>
      <c r="Y21" s="29">
        <f>_xll.qlDayCounterYearFraction(DayCounter,S21,T21)</f>
        <v>0.5083333333333333</v>
      </c>
      <c r="Z21" s="29">
        <f>IF($M$13,_xll.qlYieldTSDiscount(Currency&amp;"ON",S21)/(1+V21*Y21),1)</f>
        <v>1</v>
      </c>
      <c r="AA21" s="30">
        <f>_xll.qlTenorBasisValue(TenorBasis6M,S21,InterestRatesTrigger)</f>
        <v>2.5477237355481679E-3</v>
      </c>
      <c r="AB21" s="74">
        <f t="shared" si="0"/>
        <v>1.0553624846129314E-3</v>
      </c>
      <c r="AC21" s="76">
        <f t="shared" si="1"/>
        <v>1.0494183724981001</v>
      </c>
    </row>
    <row r="22" spans="12:29" x14ac:dyDescent="0.2">
      <c r="L22" s="45" t="s">
        <v>47</v>
      </c>
      <c r="M22" s="79">
        <f>_xll.qlAbcdCalibration2C($M$14,M15)</f>
        <v>0.20469131477457606</v>
      </c>
      <c r="P22" s="33">
        <v>6</v>
      </c>
      <c r="Q22" s="27" t="str">
        <f>_xll.qlPeriodEquivalent(Q21&amp;"+"&amp;P22&amp;"M")</f>
        <v>2Y</v>
      </c>
      <c r="R22" s="28">
        <f>_xll.qlCalendarAdvance(Calendar,SettlementDate,Q22,"f",,Trigger)</f>
        <v>43010</v>
      </c>
      <c r="S22" s="28">
        <f>_xll.qlInterestRateIndexValueDate(Index,R22,Trigger)</f>
        <v>43012</v>
      </c>
      <c r="T22" s="28">
        <f>_xll.qlInterestRateIndexMaturity(Index,S22,Trigger)</f>
        <v>43194</v>
      </c>
      <c r="U22" s="30">
        <f>_xll.qlIndexFixing($M$5,R22,TRUE,InterestRatesTrigger)</f>
        <v>-6.7366969902263232E-4</v>
      </c>
      <c r="V22" s="74">
        <f>_xll.qlIndexFixing(Index,R22,TRUE,InterestRatesTrigger)</f>
        <v>2.0204514628484375E-3</v>
      </c>
      <c r="W22" s="30">
        <f t="shared" si="7"/>
        <v>2.6941211618710698E-3</v>
      </c>
      <c r="X22" s="29">
        <f>_xll.qlDayCounterYearFraction(DayCounter,SettlementDate,S22,,,Trigger)</f>
        <v>2.036111111111111</v>
      </c>
      <c r="Y22" s="29">
        <f>_xll.qlDayCounterYearFraction(DayCounter,S22,T22)</f>
        <v>0.50555555555555554</v>
      </c>
      <c r="Z22" s="29">
        <f>IF($M$13,_xll.qlYieldTSDiscount(Currency&amp;"ON",S22)/(1+V22*Y22),1)</f>
        <v>1</v>
      </c>
      <c r="AA22" s="30">
        <f>_xll.qlTenorBasisValue(TenorBasis6M,S22,InterestRatesTrigger)</f>
        <v>2.6824956741256126E-3</v>
      </c>
      <c r="AB22" s="74">
        <f t="shared" si="0"/>
        <v>2.0088259751029802E-3</v>
      </c>
      <c r="AC22" s="76">
        <f t="shared" si="1"/>
        <v>0.99424609402441788</v>
      </c>
    </row>
    <row r="23" spans="12:29" x14ac:dyDescent="0.2">
      <c r="L23" s="45" t="s">
        <v>48</v>
      </c>
      <c r="M23" s="78">
        <f>_xll.qlAbcdCalibration2D($M$14,M15)</f>
        <v>2.5401383619730371E-4</v>
      </c>
      <c r="P23" s="33">
        <v>6</v>
      </c>
      <c r="Q23" s="27" t="str">
        <f>_xll.qlPeriodEquivalent(Q22&amp;"+"&amp;P23&amp;"M")</f>
        <v>2Y6M</v>
      </c>
      <c r="R23" s="28">
        <f>_xll.qlCalendarAdvance(Calendar,SettlementDate,Q23,"f",,Trigger)</f>
        <v>43193</v>
      </c>
      <c r="S23" s="28">
        <f>_xll.qlInterestRateIndexValueDate(Index,R23,Trigger)</f>
        <v>43195</v>
      </c>
      <c r="T23" s="28">
        <f>_xll.qlInterestRateIndexMaturity(Index,S23,Trigger)</f>
        <v>43378</v>
      </c>
      <c r="U23" s="30">
        <f>_xll.qlIndexFixing($M$5,R23,TRUE,InterestRatesTrigger)</f>
        <v>4.6314386360145094E-4</v>
      </c>
      <c r="V23" s="74">
        <f>_xll.qlIndexFixing(Index,R23,TRUE,InterestRatesTrigger)</f>
        <v>3.3517255320341948E-3</v>
      </c>
      <c r="W23" s="30">
        <f t="shared" si="7"/>
        <v>2.8885816684327439E-3</v>
      </c>
      <c r="X23" s="29">
        <f>_xll.qlDayCounterYearFraction(DayCounter,SettlementDate,S23,,,Trigger)</f>
        <v>2.5444444444444443</v>
      </c>
      <c r="Y23" s="29">
        <f>_xll.qlDayCounterYearFraction(DayCounter,S23,T23)</f>
        <v>0.5083333333333333</v>
      </c>
      <c r="Z23" s="29">
        <f>IF($M$13,_xll.qlYieldTSDiscount(Currency&amp;"ON",S23)/(1+V23*Y23),1)</f>
        <v>1</v>
      </c>
      <c r="AA23" s="30">
        <f>_xll.qlTenorBasisValue(TenorBasis6M,S23,InterestRatesTrigger)</f>
        <v>2.7698809034982317E-3</v>
      </c>
      <c r="AB23" s="74">
        <f t="shared" si="0"/>
        <v>3.2330247670996825E-3</v>
      </c>
      <c r="AC23" s="76">
        <f t="shared" si="1"/>
        <v>0.96458517745560401</v>
      </c>
    </row>
    <row r="24" spans="12:29" x14ac:dyDescent="0.2">
      <c r="L24" s="45" t="s">
        <v>49</v>
      </c>
      <c r="M24" s="35" t="str">
        <f>_xll.qlAbcdTenorBasis(,Index,Currency&amp;"ON",SettlementDate,TRUE,M20:M23,,Trigger)</f>
        <v>obj_0059b#0005</v>
      </c>
      <c r="P24" s="33">
        <v>6</v>
      </c>
      <c r="Q24" s="27" t="str">
        <f>_xll.qlPeriodEquivalent(Q23&amp;"+"&amp;P24&amp;"M")</f>
        <v>3Y</v>
      </c>
      <c r="R24" s="28">
        <f>_xll.qlCalendarAdvance(Calendar,SettlementDate,Q24,"f",,Trigger)</f>
        <v>43375</v>
      </c>
      <c r="S24" s="28">
        <f>_xll.qlInterestRateIndexValueDate(Index,R24,Trigger)</f>
        <v>43377</v>
      </c>
      <c r="T24" s="28">
        <f>_xll.qlInterestRateIndexMaturity(Index,S24,Trigger)</f>
        <v>43559</v>
      </c>
      <c r="U24" s="30">
        <f>_xll.qlIndexFixing($M$5,R24,TRUE,InterestRatesTrigger)</f>
        <v>1.7770749623181093E-3</v>
      </c>
      <c r="V24" s="74">
        <f>_xll.qlIndexFixing(Index,R24,TRUE,InterestRatesTrigger)</f>
        <v>4.7194511906208728E-3</v>
      </c>
      <c r="W24" s="30">
        <f t="shared" si="7"/>
        <v>2.9423762283027634E-3</v>
      </c>
      <c r="X24" s="29">
        <f>_xll.qlDayCounterYearFraction(DayCounter,SettlementDate,S24,,,Trigger)</f>
        <v>3.05</v>
      </c>
      <c r="Y24" s="29">
        <f>_xll.qlDayCounterYearFraction(DayCounter,S24,T24)</f>
        <v>0.50555555555555554</v>
      </c>
      <c r="Z24" s="29">
        <f>IF($M$13,_xll.qlYieldTSDiscount(Currency&amp;"ON",S24)/(1+V24*Y24),1)</f>
        <v>1</v>
      </c>
      <c r="AA24" s="30">
        <f>_xll.qlTenorBasisValue(TenorBasis6M,S24,InterestRatesTrigger)</f>
        <v>2.8169550193748753E-3</v>
      </c>
      <c r="AB24" s="74">
        <f t="shared" si="0"/>
        <v>4.5940299816929851E-3</v>
      </c>
      <c r="AC24" s="76">
        <f t="shared" si="1"/>
        <v>0.97342461996913088</v>
      </c>
    </row>
    <row r="25" spans="12:29" x14ac:dyDescent="0.2">
      <c r="M25" s="42"/>
      <c r="P25" s="33">
        <v>6</v>
      </c>
      <c r="Q25" s="27" t="str">
        <f>_xll.qlPeriodEquivalent(Q24&amp;"+"&amp;P25&amp;"M")</f>
        <v>3Y6M</v>
      </c>
      <c r="R25" s="28">
        <f>_xll.qlCalendarAdvance(Calendar,SettlementDate,Q25,"f",,Trigger)</f>
        <v>43557</v>
      </c>
      <c r="S25" s="28">
        <f>_xll.qlInterestRateIndexValueDate(Index,R25,Trigger)</f>
        <v>43559</v>
      </c>
      <c r="T25" s="28">
        <f>_xll.qlInterestRateIndexMaturity(Index,S25,Trigger)</f>
        <v>43742</v>
      </c>
      <c r="U25" s="30">
        <f>_xll.qlIndexFixing($M$5,R25,TRUE,InterestRatesTrigger)</f>
        <v>3.1002383650129712E-3</v>
      </c>
      <c r="V25" s="74">
        <f>_xll.qlIndexFixing(Index,R25,TRUE,InterestRatesTrigger)</f>
        <v>6.1615943515169018E-3</v>
      </c>
      <c r="W25" s="30">
        <f t="shared" si="7"/>
        <v>3.0613559865039306E-3</v>
      </c>
      <c r="X25" s="29">
        <f>_xll.qlDayCounterYearFraction(DayCounter,SettlementDate,S25,,,Trigger)</f>
        <v>3.5555555555555554</v>
      </c>
      <c r="Y25" s="29">
        <f>_xll.qlDayCounterYearFraction(DayCounter,S25,T25)</f>
        <v>0.5083333333333333</v>
      </c>
      <c r="Z25" s="29">
        <f>IF($M$13,_xll.qlYieldTSDiscount(Currency&amp;"ON",S25)/(1+V25*Y25),1)</f>
        <v>1</v>
      </c>
      <c r="AA25" s="30">
        <f>_xll.qlTenorBasisValue(TenorBasis6M,S25,InterestRatesTrigger)</f>
        <v>2.8312078575277429E-3</v>
      </c>
      <c r="AB25" s="74">
        <f t="shared" si="0"/>
        <v>5.9314462225407141E-3</v>
      </c>
      <c r="AC25" s="76">
        <f t="shared" si="1"/>
        <v>0.96264795832923855</v>
      </c>
    </row>
    <row r="26" spans="12:29" x14ac:dyDescent="0.2">
      <c r="P26" s="33">
        <v>6</v>
      </c>
      <c r="Q26" s="27" t="str">
        <f>_xll.qlPeriodEquivalent(Q25&amp;"+"&amp;P26&amp;"M")</f>
        <v>4Y</v>
      </c>
      <c r="R26" s="28">
        <f>_xll.qlCalendarAdvance(Calendar,SettlementDate,Q26,"f",,Trigger)</f>
        <v>43740</v>
      </c>
      <c r="S26" s="28">
        <f>_xll.qlInterestRateIndexValueDate(Index,R26,Trigger)</f>
        <v>43742</v>
      </c>
      <c r="T26" s="28">
        <f>_xll.qlInterestRateIndexMaturity(Index,S26,Trigger)</f>
        <v>43927</v>
      </c>
      <c r="U26" s="30">
        <f>_xll.qlIndexFixing($M$5,R26,TRUE,InterestRatesTrigger)</f>
        <v>4.4545945564171512E-3</v>
      </c>
      <c r="V26" s="74">
        <f>_xll.qlIndexFixing(Index,R26,TRUE,InterestRatesTrigger)</f>
        <v>7.6653292871510991E-3</v>
      </c>
      <c r="W26" s="30">
        <f t="shared" si="7"/>
        <v>3.210734730733948E-3</v>
      </c>
      <c r="X26" s="29">
        <f>_xll.qlDayCounterYearFraction(DayCounter,SettlementDate,S26,,,Trigger)</f>
        <v>4.0638888888888891</v>
      </c>
      <c r="Y26" s="29">
        <f>_xll.qlDayCounterYearFraction(DayCounter,S26,T26)</f>
        <v>0.51388888888888884</v>
      </c>
      <c r="Z26" s="29">
        <f>IF($M$13,_xll.qlYieldTSDiscount(Currency&amp;"ON",S26)/(1+V26*Y26),1)</f>
        <v>1</v>
      </c>
      <c r="AA26" s="30">
        <f>_xll.qlTenorBasisValue(TenorBasis6M,S26,InterestRatesTrigger)</f>
        <v>2.8184314734488454E-3</v>
      </c>
      <c r="AB26" s="74">
        <f t="shared" si="0"/>
        <v>7.273026029865997E-3</v>
      </c>
      <c r="AC26" s="76">
        <f t="shared" si="1"/>
        <v>0.94882108222764872</v>
      </c>
    </row>
    <row r="27" spans="12:29" x14ac:dyDescent="0.2">
      <c r="L27" s="71" t="s">
        <v>52</v>
      </c>
      <c r="M27" s="72"/>
      <c r="P27" s="33">
        <v>6</v>
      </c>
      <c r="Q27" s="27" t="str">
        <f>_xll.qlPeriodEquivalent(Q26&amp;"+"&amp;P27&amp;"M")</f>
        <v>4Y6M</v>
      </c>
      <c r="R27" s="28">
        <f>_xll.qlCalendarAdvance(Calendar,SettlementDate,Q27,"f",,Trigger)</f>
        <v>43923</v>
      </c>
      <c r="S27" s="28">
        <f>_xll.qlInterestRateIndexValueDate(Index,R27,Trigger)</f>
        <v>43927</v>
      </c>
      <c r="T27" s="28">
        <f>_xll.qlInterestRateIndexMaturity(Index,S27,Trigger)</f>
        <v>44110</v>
      </c>
      <c r="U27" s="30">
        <f>_xll.qlIndexFixing($M$5,R27,TRUE,InterestRatesTrigger)</f>
        <v>6.0753118042351038E-3</v>
      </c>
      <c r="V27" s="74">
        <f>_xll.qlIndexFixing(Index,R27,TRUE,InterestRatesTrigger)</f>
        <v>9.1339990033119187E-3</v>
      </c>
      <c r="W27" s="30">
        <f t="shared" si="7"/>
        <v>3.058687199076815E-3</v>
      </c>
      <c r="X27" s="29">
        <f>_xll.qlDayCounterYearFraction(DayCounter,SettlementDate,S27,,,Trigger)</f>
        <v>4.5777777777777775</v>
      </c>
      <c r="Y27" s="29">
        <f>_xll.qlDayCounterYearFraction(DayCounter,S27,T27)</f>
        <v>0.5083333333333333</v>
      </c>
      <c r="Z27" s="29">
        <f>IF($M$13,_xll.qlYieldTSDiscount(Currency&amp;"ON",S27)/(1+V27*Y27),1)</f>
        <v>1</v>
      </c>
      <c r="AA27" s="30">
        <f>_xll.qlTenorBasisValue(TenorBasis6M,S27,InterestRatesTrigger)</f>
        <v>2.7831450156070967E-3</v>
      </c>
      <c r="AB27" s="74">
        <f t="shared" si="0"/>
        <v>8.8584568198422E-3</v>
      </c>
      <c r="AC27" s="76">
        <f t="shared" si="1"/>
        <v>0.96983334644882169</v>
      </c>
    </row>
    <row r="28" spans="12:29" x14ac:dyDescent="0.2">
      <c r="L28" s="45" t="s">
        <v>45</v>
      </c>
      <c r="M28" s="78">
        <f t="array" ref="M28:M31">_xll.qlTenorInstCoefficients(M24)</f>
        <v>1.2847374346239117E-3</v>
      </c>
      <c r="P28" s="33">
        <v>6</v>
      </c>
      <c r="Q28" s="27" t="str">
        <f>_xll.qlPeriodEquivalent(Q27&amp;"+"&amp;P28&amp;"M")</f>
        <v>5Y</v>
      </c>
      <c r="R28" s="28">
        <f>_xll.qlCalendarAdvance(Calendar,SettlementDate,Q28,"f",,Trigger)</f>
        <v>44106</v>
      </c>
      <c r="S28" s="28">
        <f>_xll.qlInterestRateIndexValueDate(Index,R28,Trigger)</f>
        <v>44110</v>
      </c>
      <c r="T28" s="28">
        <f>_xll.qlInterestRateIndexMaturity(Index,S28,Trigger)</f>
        <v>44292</v>
      </c>
      <c r="U28" s="30">
        <f>_xll.qlIndexFixing($M$5,R28,TRUE,InterestRatesTrigger)</f>
        <v>7.9077878502700916E-3</v>
      </c>
      <c r="V28" s="74">
        <f>_xll.qlIndexFixing(Index,R28,TRUE,InterestRatesTrigger)</f>
        <v>1.0555942413811073E-2</v>
      </c>
      <c r="W28" s="30">
        <f t="shared" si="7"/>
        <v>2.648154563540981E-3</v>
      </c>
      <c r="X28" s="29">
        <f>_xll.qlDayCounterYearFraction(DayCounter,SettlementDate,S28,,,Trigger)</f>
        <v>5.0861111111111112</v>
      </c>
      <c r="Y28" s="29">
        <f>_xll.qlDayCounterYearFraction(DayCounter,S28,T28)</f>
        <v>0.50555555555555554</v>
      </c>
      <c r="Z28" s="29">
        <f>IF($M$13,_xll.qlYieldTSDiscount(Currency&amp;"ON",S28)/(1+V28*Y28),1)</f>
        <v>1</v>
      </c>
      <c r="AA28" s="30">
        <f>_xll.qlTenorBasisValue(TenorBasis6M,S28,InterestRatesTrigger)</f>
        <v>2.7305660125790045E-3</v>
      </c>
      <c r="AB28" s="74">
        <f t="shared" si="0"/>
        <v>1.0638353862849096E-2</v>
      </c>
      <c r="AC28" s="76">
        <f t="shared" si="1"/>
        <v>1.0078071143065539</v>
      </c>
    </row>
    <row r="29" spans="12:29" x14ac:dyDescent="0.2">
      <c r="L29" s="45" t="s">
        <v>46</v>
      </c>
      <c r="M29" s="79">
        <v>1.1388183090929884E-3</v>
      </c>
      <c r="P29" s="33">
        <v>6</v>
      </c>
      <c r="Q29" s="27" t="str">
        <f>_xll.qlPeriodEquivalent(Q28&amp;"+"&amp;P29&amp;"M")</f>
        <v>5Y6M</v>
      </c>
      <c r="R29" s="28">
        <f>_xll.qlCalendarAdvance(Calendar,SettlementDate,Q29,"f",,Trigger)</f>
        <v>44292</v>
      </c>
      <c r="S29" s="28">
        <f>_xll.qlInterestRateIndexValueDate(Index,R29,Trigger)</f>
        <v>44294</v>
      </c>
      <c r="T29" s="28">
        <f>_xll.qlInterestRateIndexMaturity(Index,S29,Trigger)</f>
        <v>44477</v>
      </c>
      <c r="U29" s="30">
        <f>_xll.qlIndexFixing($M$5,R29,TRUE,InterestRatesTrigger)</f>
        <v>9.6120842541066506E-3</v>
      </c>
      <c r="V29" s="74">
        <f>_xll.qlIndexFixing(Index,R29,TRUE,InterestRatesTrigger)</f>
        <v>1.203471956870375E-2</v>
      </c>
      <c r="W29" s="30">
        <f t="shared" si="7"/>
        <v>2.4226353145970995E-3</v>
      </c>
      <c r="X29" s="29">
        <f>_xll.qlDayCounterYearFraction(DayCounter,SettlementDate,S29,,,Trigger)</f>
        <v>5.5972222222222223</v>
      </c>
      <c r="Y29" s="29">
        <f>_xll.qlDayCounterYearFraction(DayCounter,S29,T29)</f>
        <v>0.5083333333333333</v>
      </c>
      <c r="Z29" s="29">
        <f>IF($M$13,_xll.qlYieldTSDiscount(Currency&amp;"ON",S29)/(1+V29*Y29),1)</f>
        <v>1</v>
      </c>
      <c r="AA29" s="30">
        <f>_xll.qlTenorBasisValue(TenorBasis6M,S29,InterestRatesTrigger)</f>
        <v>2.6637889721469175E-3</v>
      </c>
      <c r="AB29" s="74">
        <f t="shared" si="0"/>
        <v>1.2275873226253568E-2</v>
      </c>
      <c r="AC29" s="76">
        <f t="shared" si="1"/>
        <v>1.0200381617679681</v>
      </c>
    </row>
    <row r="30" spans="12:29" x14ac:dyDescent="0.2">
      <c r="L30" s="45" t="s">
        <v>47</v>
      </c>
      <c r="M30" s="79">
        <v>0.20469131477457606</v>
      </c>
      <c r="P30" s="33">
        <v>6</v>
      </c>
      <c r="Q30" s="27" t="str">
        <f>_xll.qlPeriodEquivalent(Q29&amp;"+"&amp;P30&amp;"M")</f>
        <v>6Y</v>
      </c>
      <c r="R30" s="28">
        <f>_xll.qlCalendarAdvance(Calendar,SettlementDate,Q30,"f",,Trigger)</f>
        <v>44473</v>
      </c>
      <c r="S30" s="28">
        <f>_xll.qlInterestRateIndexValueDate(Index,R30,Trigger)</f>
        <v>44475</v>
      </c>
      <c r="T30" s="28">
        <f>_xll.qlInterestRateIndexMaturity(Index,S30,Trigger)</f>
        <v>44657</v>
      </c>
      <c r="U30" s="30">
        <f>_xll.qlIndexFixing($M$5,R30,TRUE,InterestRatesTrigger)</f>
        <v>1.1064873403962214E-2</v>
      </c>
      <c r="V30" s="74">
        <f>_xll.qlIndexFixing(Index,R30,TRUE,InterestRatesTrigger)</f>
        <v>1.3492761494732452E-2</v>
      </c>
      <c r="W30" s="30">
        <f t="shared" si="7"/>
        <v>2.4278880907702381E-3</v>
      </c>
      <c r="X30" s="29">
        <f>_xll.qlDayCounterYearFraction(DayCounter,SettlementDate,S30,,,Trigger)</f>
        <v>6.1</v>
      </c>
      <c r="Y30" s="29">
        <f>_xll.qlDayCounterYearFraction(DayCounter,S30,T30)</f>
        <v>0.50555555555555554</v>
      </c>
      <c r="Z30" s="29">
        <f>IF($M$13,_xll.qlYieldTSDiscount(Currency&amp;"ON",S30)/(1+V30*Y30),1)</f>
        <v>1</v>
      </c>
      <c r="AA30" s="30">
        <f>_xll.qlTenorBasisValue(TenorBasis6M,S30,InterestRatesTrigger)</f>
        <v>2.5876349206038042E-3</v>
      </c>
      <c r="AB30" s="74">
        <f t="shared" si="0"/>
        <v>1.3652508324566017E-2</v>
      </c>
      <c r="AC30" s="76">
        <f t="shared" si="1"/>
        <v>1.0118394466467024</v>
      </c>
    </row>
    <row r="31" spans="12:29" x14ac:dyDescent="0.2">
      <c r="L31" s="45" t="s">
        <v>48</v>
      </c>
      <c r="M31" s="78">
        <v>2.5401383619730371E-4</v>
      </c>
      <c r="P31" s="33">
        <v>6</v>
      </c>
      <c r="Q31" s="27" t="str">
        <f>_xll.qlPeriodEquivalent(Q30&amp;"+"&amp;P31&amp;"M")</f>
        <v>6Y6M</v>
      </c>
      <c r="R31" s="28">
        <f>_xll.qlCalendarAdvance(Calendar,SettlementDate,Q31,"f",,Trigger)</f>
        <v>44655</v>
      </c>
      <c r="S31" s="28">
        <f>_xll.qlInterestRateIndexValueDate(Index,R31,Trigger)</f>
        <v>44657</v>
      </c>
      <c r="T31" s="28">
        <f>_xll.qlInterestRateIndexMaturity(Index,S31,Trigger)</f>
        <v>44840</v>
      </c>
      <c r="U31" s="30">
        <f>_xll.qlIndexFixing($M$5,R31,TRUE,InterestRatesTrigger)</f>
        <v>1.2378617004888159E-2</v>
      </c>
      <c r="V31" s="74">
        <f>_xll.qlIndexFixing(Index,R31,TRUE,InterestRatesTrigger)</f>
        <v>1.4803068437804158E-2</v>
      </c>
      <c r="W31" s="30">
        <f t="shared" si="7"/>
        <v>2.4244514329159993E-3</v>
      </c>
      <c r="X31" s="29">
        <f>_xll.qlDayCounterYearFraction(DayCounter,SettlementDate,S31,,,Trigger)</f>
        <v>6.6055555555555552</v>
      </c>
      <c r="Y31" s="29">
        <f>_xll.qlDayCounterYearFraction(DayCounter,S31,T31)</f>
        <v>0.5083333333333333</v>
      </c>
      <c r="Z31" s="29">
        <f>IF($M$13,_xll.qlYieldTSDiscount(Currency&amp;"ON",S31)/(1+V31*Y31),1)</f>
        <v>1</v>
      </c>
      <c r="AA31" s="30">
        <f>_xll.qlTenorBasisValue(TenorBasis6M,S31,InterestRatesTrigger)</f>
        <v>2.5032502081688197E-3</v>
      </c>
      <c r="AB31" s="74">
        <f t="shared" si="0"/>
        <v>1.4881867213056978E-2</v>
      </c>
      <c r="AC31" s="76">
        <f t="shared" si="1"/>
        <v>1.0053231379415624</v>
      </c>
    </row>
    <row r="32" spans="12:29" x14ac:dyDescent="0.2">
      <c r="M32" s="42"/>
      <c r="P32" s="33">
        <v>6</v>
      </c>
      <c r="Q32" s="27" t="str">
        <f>_xll.qlPeriodEquivalent(Q31&amp;"+"&amp;P32&amp;"M")</f>
        <v>7Y</v>
      </c>
      <c r="R32" s="28">
        <f>_xll.qlCalendarAdvance(Calendar,SettlementDate,Q32,"f",,Trigger)</f>
        <v>44837</v>
      </c>
      <c r="S32" s="28">
        <f>_xll.qlInterestRateIndexValueDate(Index,R32,Trigger)</f>
        <v>44839</v>
      </c>
      <c r="T32" s="28">
        <f>_xll.qlInterestRateIndexMaturity(Index,S32,Trigger)</f>
        <v>45021</v>
      </c>
      <c r="U32" s="30">
        <f>_xll.qlIndexFixing($M$5,R32,TRUE,InterestRatesTrigger)</f>
        <v>1.3556269301267404E-2</v>
      </c>
      <c r="V32" s="74">
        <f>_xll.qlIndexFixing(Index,R32,TRUE,InterestRatesTrigger)</f>
        <v>1.5911895350204264E-2</v>
      </c>
      <c r="W32" s="30">
        <f t="shared" si="7"/>
        <v>2.3556260489368593E-3</v>
      </c>
      <c r="X32" s="29">
        <f>_xll.qlDayCounterYearFraction(DayCounter,SettlementDate,S32,,,Trigger)</f>
        <v>7.1111111111111107</v>
      </c>
      <c r="Y32" s="29">
        <f>_xll.qlDayCounterYearFraction(DayCounter,S32,T32)</f>
        <v>0.50555555555555554</v>
      </c>
      <c r="Z32" s="29">
        <f>IF($M$13,_xll.qlYieldTSDiscount(Currency&amp;"ON",S32)/(1+V32*Y32),1)</f>
        <v>1</v>
      </c>
      <c r="AA32" s="30">
        <f>_xll.qlTenorBasisValue(TenorBasis6M,S32,InterestRatesTrigger)</f>
        <v>2.4132707455720753E-3</v>
      </c>
      <c r="AB32" s="74">
        <f t="shared" si="0"/>
        <v>1.5969540046839481E-2</v>
      </c>
      <c r="AC32" s="76">
        <f t="shared" si="1"/>
        <v>1.0036227423173996</v>
      </c>
    </row>
    <row r="33" spans="16:29" x14ac:dyDescent="0.2">
      <c r="P33" s="33">
        <v>6</v>
      </c>
      <c r="Q33" s="27" t="str">
        <f>_xll.qlPeriodEquivalent(Q32&amp;"+"&amp;P33&amp;"M")</f>
        <v>7Y6M</v>
      </c>
      <c r="R33" s="28">
        <f>_xll.qlCalendarAdvance(Calendar,SettlementDate,Q33,"f",,Trigger)</f>
        <v>45019</v>
      </c>
      <c r="S33" s="28">
        <f>_xll.qlInterestRateIndexValueDate(Index,R33,Trigger)</f>
        <v>45021</v>
      </c>
      <c r="T33" s="28">
        <f>_xll.qlInterestRateIndexMaturity(Index,S33,Trigger)</f>
        <v>45204</v>
      </c>
      <c r="U33" s="30">
        <f>_xll.qlIndexFixing($M$5,R33,TRUE,InterestRatesTrigger)</f>
        <v>1.4658431846105687E-2</v>
      </c>
      <c r="V33" s="74">
        <f>_xll.qlIndexFixing(Index,R33,TRUE,InterestRatesTrigger)</f>
        <v>1.6879354286978836E-2</v>
      </c>
      <c r="W33" s="30">
        <f t="shared" si="7"/>
        <v>2.2209224408731489E-3</v>
      </c>
      <c r="X33" s="29">
        <f>_xll.qlDayCounterYearFraction(DayCounter,SettlementDate,S33,,,Trigger)</f>
        <v>7.6166666666666663</v>
      </c>
      <c r="Y33" s="29">
        <f>_xll.qlDayCounterYearFraction(DayCounter,S33,T33)</f>
        <v>0.5083333333333333</v>
      </c>
      <c r="Z33" s="29">
        <f>IF($M$13,_xll.qlYieldTSDiscount(Currency&amp;"ON",S33)/(1+V33*Y33),1)</f>
        <v>1</v>
      </c>
      <c r="AA33" s="30">
        <f>_xll.qlTenorBasisValue(TenorBasis6M,S33,InterestRatesTrigger)</f>
        <v>2.3195766998002653E-3</v>
      </c>
      <c r="AB33" s="74">
        <f t="shared" si="0"/>
        <v>1.6978008545905952E-2</v>
      </c>
      <c r="AC33" s="76">
        <f t="shared" si="1"/>
        <v>1.0058446701958985</v>
      </c>
    </row>
    <row r="34" spans="16:29" x14ac:dyDescent="0.2">
      <c r="P34" s="33">
        <v>6</v>
      </c>
      <c r="Q34" s="27" t="str">
        <f>_xll.qlPeriodEquivalent(Q33&amp;"+"&amp;P34&amp;"M")</f>
        <v>8Y</v>
      </c>
      <c r="R34" s="28">
        <f>_xll.qlCalendarAdvance(Calendar,SettlementDate,Q34,"f",,Trigger)</f>
        <v>45201</v>
      </c>
      <c r="S34" s="28">
        <f>_xll.qlInterestRateIndexValueDate(Index,R34,Trigger)</f>
        <v>45203</v>
      </c>
      <c r="T34" s="28">
        <f>_xll.qlInterestRateIndexMaturity(Index,S34,Trigger)</f>
        <v>45386</v>
      </c>
      <c r="U34" s="30">
        <f>_xll.qlIndexFixing($M$5,R34,TRUE,InterestRatesTrigger)</f>
        <v>1.5652225472110405E-2</v>
      </c>
      <c r="V34" s="74">
        <f>_xll.qlIndexFixing(Index,R34,TRUE,InterestRatesTrigger)</f>
        <v>1.7705372658341809E-2</v>
      </c>
      <c r="W34" s="30">
        <f t="shared" si="7"/>
        <v>2.0531471862314035E-3</v>
      </c>
      <c r="X34" s="29">
        <f>_xll.qlDayCounterYearFraction(DayCounter,SettlementDate,S34,,,Trigger)</f>
        <v>8.1222222222222218</v>
      </c>
      <c r="Y34" s="29">
        <f>_xll.qlDayCounterYearFraction(DayCounter,S34,T34)</f>
        <v>0.5083333333333333</v>
      </c>
      <c r="Z34" s="29">
        <f>IF($M$13,_xll.qlYieldTSDiscount(Currency&amp;"ON",S34)/(1+V34*Y34),1)</f>
        <v>1</v>
      </c>
      <c r="AA34" s="30">
        <f>_xll.qlTenorBasisValue(TenorBasis6M,S34,InterestRatesTrigger)</f>
        <v>2.2237360478727453E-3</v>
      </c>
      <c r="AB34" s="74">
        <f t="shared" si="0"/>
        <v>1.787596151998315E-2</v>
      </c>
      <c r="AC34" s="76">
        <f t="shared" si="1"/>
        <v>1.0096348642264228</v>
      </c>
    </row>
    <row r="35" spans="16:29" x14ac:dyDescent="0.2">
      <c r="P35" s="33">
        <v>6</v>
      </c>
      <c r="Q35" s="27" t="str">
        <f>_xll.qlPeriodEquivalent(Q34&amp;"+"&amp;P35&amp;"M")</f>
        <v>8Y6M</v>
      </c>
      <c r="R35" s="28">
        <f>_xll.qlCalendarAdvance(Calendar,SettlementDate,Q35,"f",,Trigger)</f>
        <v>45384</v>
      </c>
      <c r="S35" s="28">
        <f>_xll.qlInterestRateIndexValueDate(Index,R35,Trigger)</f>
        <v>45386</v>
      </c>
      <c r="T35" s="28">
        <f>_xll.qlInterestRateIndexMaturity(Index,S35,Trigger)</f>
        <v>45569</v>
      </c>
      <c r="U35" s="30">
        <f>_xll.qlIndexFixing($M$5,R35,TRUE,InterestRatesTrigger)</f>
        <v>1.6414075531983662E-2</v>
      </c>
      <c r="V35" s="74">
        <f>_xll.qlIndexFixing(Index,R35,TRUE,InterestRatesTrigger)</f>
        <v>1.8389280327470239E-2</v>
      </c>
      <c r="W35" s="30">
        <f t="shared" si="7"/>
        <v>1.9752047954865772E-3</v>
      </c>
      <c r="X35" s="29">
        <f>_xll.qlDayCounterYearFraction(DayCounter,SettlementDate,S35,,,Trigger)</f>
        <v>8.6305555555555564</v>
      </c>
      <c r="Y35" s="29">
        <f>_xll.qlDayCounterYearFraction(DayCounter,S35,T35)</f>
        <v>0.5083333333333333</v>
      </c>
      <c r="Z35" s="29">
        <f>IF($M$13,_xll.qlYieldTSDiscount(Currency&amp;"ON",S35)/(1+V35*Y35),1)</f>
        <v>1</v>
      </c>
      <c r="AA35" s="30">
        <f>_xll.qlTenorBasisValue(TenorBasis6M,S35,InterestRatesTrigger)</f>
        <v>2.1265159276227887E-3</v>
      </c>
      <c r="AB35" s="74">
        <f t="shared" ref="AB35:AB66" si="15">AA35+U35</f>
        <v>1.8540591459606452E-2</v>
      </c>
      <c r="AC35" s="76">
        <f t="shared" ref="AC35:AC66" si="16">AB35/V35</f>
        <v>1.0082282247832277</v>
      </c>
    </row>
    <row r="36" spans="16:29" x14ac:dyDescent="0.2">
      <c r="P36" s="33">
        <v>6</v>
      </c>
      <c r="Q36" s="27" t="str">
        <f>_xll.qlPeriodEquivalent(Q35&amp;"+"&amp;P36&amp;"M")</f>
        <v>9Y</v>
      </c>
      <c r="R36" s="28">
        <f>_xll.qlCalendarAdvance(Calendar,SettlementDate,Q36,"f",,Trigger)</f>
        <v>45567</v>
      </c>
      <c r="S36" s="28">
        <f>_xll.qlInterestRateIndexValueDate(Index,R36,Trigger)</f>
        <v>45569</v>
      </c>
      <c r="T36" s="28">
        <f>_xll.qlInterestRateIndexMaturity(Index,S36,Trigger)</f>
        <v>45751</v>
      </c>
      <c r="U36" s="30">
        <f>_xll.qlIndexFixing($M$5,R36,TRUE,InterestRatesTrigger)</f>
        <v>1.697649698864994E-2</v>
      </c>
      <c r="V36" s="74">
        <f>_xll.qlIndexFixing(Index,R36,TRUE,InterestRatesTrigger)</f>
        <v>1.8951675042870632E-2</v>
      </c>
      <c r="W36" s="30">
        <f t="shared" si="7"/>
        <v>1.9751780542206915E-3</v>
      </c>
      <c r="X36" s="29">
        <f>_xll.qlDayCounterYearFraction(DayCounter,SettlementDate,S36,,,Trigger)</f>
        <v>9.1388888888888893</v>
      </c>
      <c r="Y36" s="29">
        <f>_xll.qlDayCounterYearFraction(DayCounter,S36,T36)</f>
        <v>0.50555555555555554</v>
      </c>
      <c r="Z36" s="29">
        <f>IF($M$13,_xll.qlYieldTSDiscount(Currency&amp;"ON",S36)/(1+V36*Y36),1)</f>
        <v>1</v>
      </c>
      <c r="AA36" s="30">
        <f>_xll.qlTenorBasisValue(TenorBasis6M,S36,InterestRatesTrigger)</f>
        <v>2.0295223012295415E-3</v>
      </c>
      <c r="AB36" s="74">
        <f t="shared" si="15"/>
        <v>1.9006019289879481E-2</v>
      </c>
      <c r="AC36" s="76">
        <f t="shared" si="16"/>
        <v>1.0028675168229677</v>
      </c>
    </row>
    <row r="37" spans="16:29" x14ac:dyDescent="0.2">
      <c r="P37" s="33">
        <v>6</v>
      </c>
      <c r="Q37" s="27" t="str">
        <f>_xll.qlPeriodEquivalent(Q36&amp;"+"&amp;P37&amp;"M")</f>
        <v>9Y6M</v>
      </c>
      <c r="R37" s="28">
        <f>_xll.qlCalendarAdvance(Calendar,SettlementDate,Q37,"f",,Trigger)</f>
        <v>45749</v>
      </c>
      <c r="S37" s="28">
        <f>_xll.qlInterestRateIndexValueDate(Index,R37,Trigger)</f>
        <v>45751</v>
      </c>
      <c r="T37" s="28">
        <f>_xll.qlInterestRateIndexMaturity(Index,S37,Trigger)</f>
        <v>45936</v>
      </c>
      <c r="U37" s="30">
        <f>_xll.qlIndexFixing($M$5,R37,TRUE,InterestRatesTrigger)</f>
        <v>1.7627371407145508E-2</v>
      </c>
      <c r="V37" s="74">
        <f>_xll.qlIndexFixing(Index,R37,TRUE,InterestRatesTrigger)</f>
        <v>1.9513311089728477E-2</v>
      </c>
      <c r="W37" s="30">
        <f t="shared" si="7"/>
        <v>1.885939682582969E-3</v>
      </c>
      <c r="X37" s="29">
        <f>_xll.qlDayCounterYearFraction(DayCounter,SettlementDate,S37,,,Trigger)</f>
        <v>9.6444444444444439</v>
      </c>
      <c r="Y37" s="29">
        <f>_xll.qlDayCounterYearFraction(DayCounter,S37,T37)</f>
        <v>0.51388888888888884</v>
      </c>
      <c r="Z37" s="29">
        <f>IF($M$13,_xll.qlYieldTSDiscount(Currency&amp;"ON",S37)/(1+V37*Y37),1)</f>
        <v>1</v>
      </c>
      <c r="AA37" s="30">
        <f>_xll.qlTenorBasisValue(TenorBasis6M,S37,InterestRatesTrigger)</f>
        <v>1.9341554729493718E-3</v>
      </c>
      <c r="AB37" s="74">
        <f t="shared" si="15"/>
        <v>1.9561526880094878E-2</v>
      </c>
      <c r="AC37" s="76">
        <f t="shared" si="16"/>
        <v>1.0024709179362072</v>
      </c>
    </row>
    <row r="38" spans="16:29" x14ac:dyDescent="0.2">
      <c r="P38" s="33">
        <v>6</v>
      </c>
      <c r="Q38" s="27" t="str">
        <f>_xll.qlPeriodEquivalent(Q37&amp;"+"&amp;P38&amp;"M")</f>
        <v>10Y</v>
      </c>
      <c r="R38" s="28">
        <f>_xll.qlCalendarAdvance(Calendar,SettlementDate,Q38,"f",,Trigger)</f>
        <v>45932</v>
      </c>
      <c r="S38" s="28">
        <f>_xll.qlInterestRateIndexValueDate(Index,R38,Trigger)</f>
        <v>45936</v>
      </c>
      <c r="T38" s="28">
        <f>_xll.qlInterestRateIndexMaturity(Index,S38,Trigger)</f>
        <v>46119</v>
      </c>
      <c r="U38" s="30">
        <f>_xll.qlIndexFixing($M$5,R38,TRUE,InterestRatesTrigger)</f>
        <v>1.8354542736770778E-2</v>
      </c>
      <c r="V38" s="74">
        <f>_xll.qlIndexFixing(Index,R38,TRUE,InterestRatesTrigger)</f>
        <v>2.0073735507147479E-2</v>
      </c>
      <c r="W38" s="30">
        <f t="shared" si="7"/>
        <v>1.7191927703767013E-3</v>
      </c>
      <c r="X38" s="29">
        <f>_xll.qlDayCounterYearFraction(DayCounter,SettlementDate,S38,,,Trigger)</f>
        <v>10.158333333333333</v>
      </c>
      <c r="Y38" s="29">
        <f>_xll.qlDayCounterYearFraction(DayCounter,S38,T38)</f>
        <v>0.5083333333333333</v>
      </c>
      <c r="Z38" s="29">
        <f>IF($M$13,_xll.qlYieldTSDiscount(Currency&amp;"ON",S38)/(1+V38*Y38),1)</f>
        <v>1</v>
      </c>
      <c r="AA38" s="30">
        <f>_xll.qlTenorBasisValue(TenorBasis6M,S38,InterestRatesTrigger)</f>
        <v>1.8390553570102944E-3</v>
      </c>
      <c r="AB38" s="74">
        <f t="shared" si="15"/>
        <v>2.0193598093781073E-2</v>
      </c>
      <c r="AC38" s="76">
        <f t="shared" si="16"/>
        <v>1.0059711151714097</v>
      </c>
    </row>
    <row r="39" spans="16:29" x14ac:dyDescent="0.2">
      <c r="P39" s="33">
        <v>6</v>
      </c>
      <c r="Q39" s="27" t="str">
        <f>_xll.qlPeriodEquivalent(Q38&amp;"+"&amp;P39&amp;"M")</f>
        <v>10Y6M</v>
      </c>
      <c r="R39" s="28">
        <f>_xll.qlCalendarAdvance(Calendar,SettlementDate,Q39,"f",,Trigger)</f>
        <v>46114</v>
      </c>
      <c r="S39" s="28">
        <f>_xll.qlInterestRateIndexValueDate(Index,R39,Trigger)</f>
        <v>46120</v>
      </c>
      <c r="T39" s="28">
        <f>_xll.qlInterestRateIndexMaturity(Index,S39,Trigger)</f>
        <v>46303</v>
      </c>
      <c r="U39" s="30">
        <f>_xll.qlIndexFixing($M$5,R39,TRUE,InterestRatesTrigger)</f>
        <v>1.8871866120463123E-2</v>
      </c>
      <c r="V39" s="74">
        <f>_xll.qlIndexFixing(Index,R39,TRUE,InterestRatesTrigger)</f>
        <v>2.0551784419261952E-2</v>
      </c>
      <c r="W39" s="30">
        <f t="shared" si="7"/>
        <v>1.6799182987988284E-3</v>
      </c>
      <c r="X39" s="29">
        <f>_xll.qlDayCounterYearFraction(DayCounter,SettlementDate,S39,,,Trigger)</f>
        <v>10.669444444444444</v>
      </c>
      <c r="Y39" s="29">
        <f>_xll.qlDayCounterYearFraction(DayCounter,S39,T39)</f>
        <v>0.5083333333333333</v>
      </c>
      <c r="Z39" s="29">
        <f>IF($M$13,_xll.qlYieldTSDiscount(Currency&amp;"ON",S39)/(1+V39*Y39),1)</f>
        <v>1</v>
      </c>
      <c r="AA39" s="30">
        <f>_xll.qlTenorBasisValue(TenorBasis6M,S39,InterestRatesTrigger)</f>
        <v>1.7468757167630384E-3</v>
      </c>
      <c r="AB39" s="74">
        <f t="shared" si="15"/>
        <v>2.0618741837226163E-2</v>
      </c>
      <c r="AC39" s="76">
        <f t="shared" si="16"/>
        <v>1.0032579856132324</v>
      </c>
    </row>
    <row r="40" spans="16:29" x14ac:dyDescent="0.2">
      <c r="P40" s="33">
        <v>6</v>
      </c>
      <c r="Q40" s="27" t="str">
        <f>_xll.qlPeriodEquivalent(Q39&amp;"+"&amp;P40&amp;"M")</f>
        <v>11Y</v>
      </c>
      <c r="R40" s="28">
        <f>_xll.qlCalendarAdvance(Calendar,SettlementDate,Q40,"f",,Trigger)</f>
        <v>46297</v>
      </c>
      <c r="S40" s="28">
        <f>_xll.qlInterestRateIndexValueDate(Index,R40,Trigger)</f>
        <v>46301</v>
      </c>
      <c r="T40" s="28">
        <f>_xll.qlInterestRateIndexMaturity(Index,S40,Trigger)</f>
        <v>46483</v>
      </c>
      <c r="U40" s="30">
        <f>_xll.qlIndexFixing($M$5,R40,TRUE,InterestRatesTrigger)</f>
        <v>1.916695705691385E-2</v>
      </c>
      <c r="V40" s="74">
        <f>_xll.qlIndexFixing(Index,R40,TRUE,InterestRatesTrigger)</f>
        <v>2.0919982601427942E-2</v>
      </c>
      <c r="W40" s="30">
        <f t="shared" si="7"/>
        <v>1.7530255445140919E-3</v>
      </c>
      <c r="X40" s="29">
        <f>_xll.qlDayCounterYearFraction(DayCounter,SettlementDate,S40,,,Trigger)</f>
        <v>11.172222222222222</v>
      </c>
      <c r="Y40" s="29">
        <f>_xll.qlDayCounterYearFraction(DayCounter,S40,T40)</f>
        <v>0.50555555555555554</v>
      </c>
      <c r="Z40" s="29">
        <f>IF($M$13,_xll.qlYieldTSDiscount(Currency&amp;"ON",S40)/(1+V40*Y40),1)</f>
        <v>1</v>
      </c>
      <c r="AA40" s="30">
        <f>_xll.qlTenorBasisValue(TenorBasis6M,S40,InterestRatesTrigger)</f>
        <v>1.6589672831604605E-3</v>
      </c>
      <c r="AB40" s="74">
        <f t="shared" si="15"/>
        <v>2.0825924340074312E-2</v>
      </c>
      <c r="AC40" s="76">
        <f t="shared" si="16"/>
        <v>0.99550390346179296</v>
      </c>
    </row>
    <row r="41" spans="16:29" x14ac:dyDescent="0.2">
      <c r="P41" s="33">
        <v>6</v>
      </c>
      <c r="Q41" s="27" t="str">
        <f>_xll.qlPeriodEquivalent(Q40&amp;"+"&amp;P41&amp;"M")</f>
        <v>11Y6M</v>
      </c>
      <c r="R41" s="28">
        <f>_xll.qlCalendarAdvance(Calendar,SettlementDate,Q41,"f",,Trigger)</f>
        <v>46479</v>
      </c>
      <c r="S41" s="28">
        <f>_xll.qlInterestRateIndexValueDate(Index,R41,Trigger)</f>
        <v>46483</v>
      </c>
      <c r="T41" s="28">
        <f>_xll.qlInterestRateIndexMaturity(Index,S41,Trigger)</f>
        <v>46666</v>
      </c>
      <c r="U41" s="30">
        <f>_xll.qlIndexFixing($M$5,R41,TRUE,InterestRatesTrigger)</f>
        <v>1.94734368404893E-2</v>
      </c>
      <c r="V41" s="74">
        <f>_xll.qlIndexFixing(Index,R41,TRUE,InterestRatesTrigger)</f>
        <v>2.119243727476704E-2</v>
      </c>
      <c r="W41" s="30">
        <f t="shared" si="7"/>
        <v>1.7190004342777405E-3</v>
      </c>
      <c r="X41" s="29">
        <f>_xll.qlDayCounterYearFraction(DayCounter,SettlementDate,S41,,,Trigger)</f>
        <v>11.677777777777777</v>
      </c>
      <c r="Y41" s="29">
        <f>_xll.qlDayCounterYearFraction(DayCounter,S41,T41)</f>
        <v>0.5083333333333333</v>
      </c>
      <c r="Z41" s="29">
        <f>IF($M$13,_xll.qlYieldTSDiscount(Currency&amp;"ON",S41)/(1+V41*Y41),1)</f>
        <v>1</v>
      </c>
      <c r="AA41" s="30">
        <f>_xll.qlTenorBasisValue(TenorBasis6M,S41,InterestRatesTrigger)</f>
        <v>1.5736609055685463E-3</v>
      </c>
      <c r="AB41" s="74">
        <f t="shared" si="15"/>
        <v>2.1047097746057845E-2</v>
      </c>
      <c r="AC41" s="76">
        <f t="shared" si="16"/>
        <v>0.9931419153528771</v>
      </c>
    </row>
    <row r="42" spans="16:29" x14ac:dyDescent="0.2">
      <c r="P42" s="33">
        <v>6</v>
      </c>
      <c r="Q42" s="27" t="str">
        <f>_xll.qlPeriodEquivalent(Q41&amp;"+"&amp;P42&amp;"M")</f>
        <v>12Y</v>
      </c>
      <c r="R42" s="28">
        <f>_xll.qlCalendarAdvance(Calendar,SettlementDate,Q42,"f",,Trigger)</f>
        <v>46664</v>
      </c>
      <c r="S42" s="28">
        <f>_xll.qlInterestRateIndexValueDate(Index,R42,Trigger)</f>
        <v>46666</v>
      </c>
      <c r="T42" s="28">
        <f>_xll.qlInterestRateIndexMaturity(Index,S42,Trigger)</f>
        <v>46849</v>
      </c>
      <c r="U42" s="30">
        <f>_xll.qlIndexFixing($M$5,R42,TRUE,InterestRatesTrigger)</f>
        <v>1.9814320300157038E-2</v>
      </c>
      <c r="V42" s="74">
        <f>_xll.qlIndexFixing(Index,R42,TRUE,InterestRatesTrigger)</f>
        <v>2.1371216658123474E-2</v>
      </c>
      <c r="W42" s="30">
        <f t="shared" si="7"/>
        <v>1.5568963579664363E-3</v>
      </c>
      <c r="X42" s="29">
        <f>_xll.qlDayCounterYearFraction(DayCounter,SettlementDate,S42,,,Trigger)</f>
        <v>12.186111111111112</v>
      </c>
      <c r="Y42" s="29">
        <f>_xll.qlDayCounterYearFraction(DayCounter,S42,T42)</f>
        <v>0.5083333333333333</v>
      </c>
      <c r="Z42" s="29">
        <f>IF($M$13,_xll.qlYieldTSDiscount(Currency&amp;"ON",S42)/(1+V42*Y42),1)</f>
        <v>1</v>
      </c>
      <c r="AA42" s="30">
        <f>_xll.qlTenorBasisValue(TenorBasis6M,S42,InterestRatesTrigger)</f>
        <v>1.4912408395076691E-3</v>
      </c>
      <c r="AB42" s="74">
        <f t="shared" si="15"/>
        <v>2.1305561139664708E-2</v>
      </c>
      <c r="AC42" s="76">
        <f t="shared" si="16"/>
        <v>0.99692785303199805</v>
      </c>
    </row>
    <row r="43" spans="16:29" x14ac:dyDescent="0.2">
      <c r="P43" s="33">
        <v>6</v>
      </c>
      <c r="Q43" s="27" t="str">
        <f>_xll.qlPeriodEquivalent(Q42&amp;"+"&amp;P43&amp;"M")</f>
        <v>12Y6M</v>
      </c>
      <c r="R43" s="28">
        <f>_xll.qlCalendarAdvance(Calendar,SettlementDate,Q43,"f",,Trigger)</f>
        <v>46846</v>
      </c>
      <c r="S43" s="28">
        <f>_xll.qlInterestRateIndexValueDate(Index,R43,Trigger)</f>
        <v>46848</v>
      </c>
      <c r="T43" s="28">
        <f>_xll.qlInterestRateIndexMaturity(Index,S43,Trigger)</f>
        <v>47031</v>
      </c>
      <c r="U43" s="30">
        <f>_xll.qlIndexFixing($M$5,R43,TRUE,InterestRatesTrigger)</f>
        <v>2.0093142118992432E-2</v>
      </c>
      <c r="V43" s="74">
        <f>_xll.qlIndexFixing(Index,R43,TRUE,InterestRatesTrigger)</f>
        <v>2.1486852573303357E-2</v>
      </c>
      <c r="W43" s="30">
        <f t="shared" si="7"/>
        <v>1.3937104543109251E-3</v>
      </c>
      <c r="X43" s="29">
        <f>_xll.qlDayCounterYearFraction(DayCounter,SettlementDate,S43,,,Trigger)</f>
        <v>12.691666666666666</v>
      </c>
      <c r="Y43" s="29">
        <f>_xll.qlDayCounterYearFraction(DayCounter,S43,T43)</f>
        <v>0.5083333333333333</v>
      </c>
      <c r="Z43" s="29">
        <f>IF($M$13,_xll.qlYieldTSDiscount(Currency&amp;"ON",S43)/(1+V43*Y43),1)</f>
        <v>1</v>
      </c>
      <c r="AA43" s="30">
        <f>_xll.qlTenorBasisValue(TenorBasis6M,S43,InterestRatesTrigger)</f>
        <v>1.4127658474809529E-3</v>
      </c>
      <c r="AB43" s="74">
        <f t="shared" si="15"/>
        <v>2.1505907966473385E-2</v>
      </c>
      <c r="AC43" s="76">
        <f t="shared" si="16"/>
        <v>1.0008868396664901</v>
      </c>
    </row>
    <row r="44" spans="16:29" x14ac:dyDescent="0.2">
      <c r="P44" s="33">
        <v>6</v>
      </c>
      <c r="Q44" s="27" t="str">
        <f>_xll.qlPeriodEquivalent(Q43&amp;"+"&amp;P44&amp;"M")</f>
        <v>13Y</v>
      </c>
      <c r="R44" s="28">
        <f>_xll.qlCalendarAdvance(Calendar,SettlementDate,Q44,"f",,Trigger)</f>
        <v>47028</v>
      </c>
      <c r="S44" s="28">
        <f>_xll.qlInterestRateIndexValueDate(Index,R44,Trigger)</f>
        <v>47030</v>
      </c>
      <c r="T44" s="28">
        <f>_xll.qlInterestRateIndexMaturity(Index,S44,Trigger)</f>
        <v>47212</v>
      </c>
      <c r="U44" s="30">
        <f>_xll.qlIndexFixing($M$5,R44,TRUE,InterestRatesTrigger)</f>
        <v>2.028816091188565E-2</v>
      </c>
      <c r="V44" s="74">
        <f>_xll.qlIndexFixing(Index,R44,TRUE,InterestRatesTrigger)</f>
        <v>2.1547297489865613E-2</v>
      </c>
      <c r="W44" s="30">
        <f t="shared" si="7"/>
        <v>1.2591365779799635E-3</v>
      </c>
      <c r="X44" s="29">
        <f>_xll.qlDayCounterYearFraction(DayCounter,SettlementDate,S44,,,Trigger)</f>
        <v>13.197222222222223</v>
      </c>
      <c r="Y44" s="29">
        <f>_xll.qlDayCounterYearFraction(DayCounter,S44,T44)</f>
        <v>0.50555555555555554</v>
      </c>
      <c r="Z44" s="29">
        <f>IF($M$13,_xll.qlYieldTSDiscount(Currency&amp;"ON",S44)/(1+V44*Y44),1)</f>
        <v>1</v>
      </c>
      <c r="AA44" s="30">
        <f>_xll.qlTenorBasisValue(TenorBasis6M,S44,InterestRatesTrigger)</f>
        <v>1.3378714935906176E-3</v>
      </c>
      <c r="AB44" s="74">
        <f t="shared" si="15"/>
        <v>2.1626032405476267E-2</v>
      </c>
      <c r="AC44" s="76">
        <f t="shared" si="16"/>
        <v>1.0036540506134324</v>
      </c>
    </row>
    <row r="45" spans="16:29" x14ac:dyDescent="0.2">
      <c r="P45" s="33">
        <v>6</v>
      </c>
      <c r="Q45" s="27" t="str">
        <f>_xll.qlPeriodEquivalent(Q44&amp;"+"&amp;P45&amp;"M")</f>
        <v>13Y6M</v>
      </c>
      <c r="R45" s="28">
        <f>_xll.qlCalendarAdvance(Calendar,SettlementDate,Q45,"f",,Trigger)</f>
        <v>47211</v>
      </c>
      <c r="S45" s="28">
        <f>_xll.qlInterestRateIndexValueDate(Index,R45,Trigger)</f>
        <v>47213</v>
      </c>
      <c r="T45" s="28">
        <f>_xll.qlInterestRateIndexMaturity(Index,S45,Trigger)</f>
        <v>47396</v>
      </c>
      <c r="U45" s="30">
        <f>_xll.qlIndexFixing($M$5,R45,TRUE,InterestRatesTrigger)</f>
        <v>2.0402614385309752E-2</v>
      </c>
      <c r="V45" s="74">
        <f>_xll.qlIndexFixing(Index,R45,TRUE,InterestRatesTrigger)</f>
        <v>2.1554565176594327E-2</v>
      </c>
      <c r="W45" s="30">
        <f t="shared" si="7"/>
        <v>1.1519507912845749E-3</v>
      </c>
      <c r="X45" s="29">
        <f>_xll.qlDayCounterYearFraction(DayCounter,SettlementDate,S45,,,Trigger)</f>
        <v>13.705555555555556</v>
      </c>
      <c r="Y45" s="29">
        <f>_xll.qlDayCounterYearFraction(DayCounter,S45,T45)</f>
        <v>0.5083333333333333</v>
      </c>
      <c r="Z45" s="29">
        <f>IF($M$13,_xll.qlYieldTSDiscount(Currency&amp;"ON",S45)/(1+V45*Y45),1)</f>
        <v>1</v>
      </c>
      <c r="AA45" s="30">
        <f>_xll.qlTenorBasisValue(TenorBasis6M,S45,InterestRatesTrigger)</f>
        <v>1.2662201828547196E-3</v>
      </c>
      <c r="AB45" s="74">
        <f t="shared" si="15"/>
        <v>2.1668834568164472E-2</v>
      </c>
      <c r="AC45" s="76">
        <f t="shared" si="16"/>
        <v>1.005301400915952</v>
      </c>
    </row>
    <row r="46" spans="16:29" x14ac:dyDescent="0.2">
      <c r="P46" s="33">
        <v>6</v>
      </c>
      <c r="Q46" s="27" t="str">
        <f>_xll.qlPeriodEquivalent(Q45&amp;"+"&amp;P46&amp;"M")</f>
        <v>14Y</v>
      </c>
      <c r="R46" s="28">
        <f>_xll.qlCalendarAdvance(Calendar,SettlementDate,Q46,"f",,Trigger)</f>
        <v>47393</v>
      </c>
      <c r="S46" s="28">
        <f>_xll.qlInterestRateIndexValueDate(Index,R46,Trigger)</f>
        <v>47395</v>
      </c>
      <c r="T46" s="28">
        <f>_xll.qlInterestRateIndexMaturity(Index,S46,Trigger)</f>
        <v>47577</v>
      </c>
      <c r="U46" s="30">
        <f>_xll.qlIndexFixing($M$5,R46,TRUE,InterestRatesTrigger)</f>
        <v>2.0431870234304934E-2</v>
      </c>
      <c r="V46" s="74">
        <f>_xll.qlIndexFixing(Index,R46,TRUE,InterestRatesTrigger)</f>
        <v>2.1506042543966594E-2</v>
      </c>
      <c r="W46" s="30">
        <f t="shared" si="7"/>
        <v>1.0741723096616591E-3</v>
      </c>
      <c r="X46" s="29">
        <f>_xll.qlDayCounterYearFraction(DayCounter,SettlementDate,S46,,,Trigger)</f>
        <v>14.21111111111111</v>
      </c>
      <c r="Y46" s="29">
        <f>_xll.qlDayCounterYearFraction(DayCounter,S46,T46)</f>
        <v>0.50555555555555554</v>
      </c>
      <c r="Z46" s="29">
        <f>IF($M$13,_xll.qlYieldTSDiscount(Currency&amp;"ON",S46)/(1+V46*Y46),1)</f>
        <v>1</v>
      </c>
      <c r="AA46" s="30">
        <f>_xll.qlTenorBasisValue(TenorBasis6M,S46,InterestRatesTrigger)</f>
        <v>1.1985966186595762E-3</v>
      </c>
      <c r="AB46" s="74">
        <f t="shared" si="15"/>
        <v>2.1630466852964509E-2</v>
      </c>
      <c r="AC46" s="76">
        <f t="shared" si="16"/>
        <v>1.0057855511418963</v>
      </c>
    </row>
    <row r="47" spans="16:29" x14ac:dyDescent="0.2">
      <c r="P47" s="33">
        <v>6</v>
      </c>
      <c r="Q47" s="27" t="str">
        <f>_xll.qlPeriodEquivalent(Q46&amp;"+"&amp;P47&amp;"M")</f>
        <v>14Y6M</v>
      </c>
      <c r="R47" s="28">
        <f>_xll.qlCalendarAdvance(Calendar,SettlementDate,Q47,"f",,Trigger)</f>
        <v>47575</v>
      </c>
      <c r="S47" s="28">
        <f>_xll.qlInterestRateIndexValueDate(Index,R47,Trigger)</f>
        <v>47577</v>
      </c>
      <c r="T47" s="28">
        <f>_xll.qlInterestRateIndexMaturity(Index,S47,Trigger)</f>
        <v>47760</v>
      </c>
      <c r="U47" s="30">
        <f>_xll.qlIndexFixing($M$5,R47,TRUE,InterestRatesTrigger)</f>
        <v>2.0379253199336967E-2</v>
      </c>
      <c r="V47" s="74">
        <f>_xll.qlIndexFixing(Index,R47,TRUE,InterestRatesTrigger)</f>
        <v>2.1403854669786403E-2</v>
      </c>
      <c r="W47" s="30">
        <f t="shared" si="7"/>
        <v>1.0246014704494363E-3</v>
      </c>
      <c r="X47" s="29">
        <f>_xll.qlDayCounterYearFraction(DayCounter,SettlementDate,S47,,,Trigger)</f>
        <v>14.716666666666667</v>
      </c>
      <c r="Y47" s="29">
        <f>_xll.qlDayCounterYearFraction(DayCounter,S47,T47)</f>
        <v>0.5083333333333333</v>
      </c>
      <c r="Z47" s="29">
        <f>IF($M$13,_xll.qlYieldTSDiscount(Currency&amp;"ON",S47)/(1+V47*Y47),1)</f>
        <v>1</v>
      </c>
      <c r="AA47" s="30">
        <f>_xll.qlTenorBasisValue(TenorBasis6M,S47,InterestRatesTrigger)</f>
        <v>1.1345663800044429E-3</v>
      </c>
      <c r="AB47" s="74">
        <f t="shared" si="15"/>
        <v>2.1513819579341412E-2</v>
      </c>
      <c r="AC47" s="76">
        <f t="shared" si="16"/>
        <v>1.0051376217625994</v>
      </c>
    </row>
    <row r="48" spans="16:29" x14ac:dyDescent="0.2">
      <c r="P48" s="33">
        <v>6</v>
      </c>
      <c r="Q48" s="27" t="str">
        <f>_xll.qlPeriodEquivalent(Q47&amp;"+"&amp;P48&amp;"M")</f>
        <v>15Y</v>
      </c>
      <c r="R48" s="28">
        <f>_xll.qlCalendarAdvance(Calendar,SettlementDate,Q48,"f",,Trigger)</f>
        <v>47758</v>
      </c>
      <c r="S48" s="28">
        <f>_xll.qlInterestRateIndexValueDate(Index,R48,Trigger)</f>
        <v>47760</v>
      </c>
      <c r="T48" s="28">
        <f>_xll.qlInterestRateIndexMaturity(Index,S48,Trigger)</f>
        <v>47942</v>
      </c>
      <c r="U48" s="30">
        <f>_xll.qlIndexFixing($M$5,R48,TRUE,InterestRatesTrigger)</f>
        <v>2.0251969282119153E-2</v>
      </c>
      <c r="V48" s="74">
        <f>_xll.qlIndexFixing(Index,R48,TRUE,InterestRatesTrigger)</f>
        <v>2.1249988100429645E-2</v>
      </c>
      <c r="W48" s="30">
        <f t="shared" si="7"/>
        <v>9.9801881831049211E-4</v>
      </c>
      <c r="X48" s="29">
        <f>_xll.qlDayCounterYearFraction(DayCounter,SettlementDate,S48,,,Trigger)</f>
        <v>15.225</v>
      </c>
      <c r="Y48" s="29">
        <f>_xll.qlDayCounterYearFraction(DayCounter,S48,T48)</f>
        <v>0.50555555555555554</v>
      </c>
      <c r="Z48" s="29">
        <f>IF($M$13,_xll.qlYieldTSDiscount(Currency&amp;"ON",S48)/(1+V48*Y48),1)</f>
        <v>1</v>
      </c>
      <c r="AA48" s="30">
        <f>_xll.qlTenorBasisValue(TenorBasis6M,S48,InterestRatesTrigger)</f>
        <v>1.0737460163421741E-3</v>
      </c>
      <c r="AB48" s="74">
        <f t="shared" si="15"/>
        <v>2.1325715298461327E-2</v>
      </c>
      <c r="AC48" s="76">
        <f t="shared" si="16"/>
        <v>1.0035636348441133</v>
      </c>
    </row>
    <row r="49" spans="16:29" x14ac:dyDescent="0.2">
      <c r="P49" s="33">
        <v>6</v>
      </c>
      <c r="Q49" s="27" t="str">
        <f>_xll.qlPeriodEquivalent(Q48&amp;"+"&amp;P49&amp;"M")</f>
        <v>15Y6M</v>
      </c>
      <c r="R49" s="28">
        <f>_xll.qlCalendarAdvance(Calendar,SettlementDate,Q49,"f",,Trigger)</f>
        <v>47940</v>
      </c>
      <c r="S49" s="28">
        <f>_xll.qlInterestRateIndexValueDate(Index,R49,Trigger)</f>
        <v>47942</v>
      </c>
      <c r="T49" s="28">
        <f>_xll.qlInterestRateIndexMaturity(Index,S49,Trigger)</f>
        <v>48127</v>
      </c>
      <c r="U49" s="30">
        <f>_xll.qlIndexFixing($M$5,R49,TRUE,InterestRatesTrigger)</f>
        <v>2.009024892414156E-2</v>
      </c>
      <c r="V49" s="74">
        <f>_xll.qlIndexFixing(Index,R49,TRUE,InterestRatesTrigger)</f>
        <v>2.10637563150479E-2</v>
      </c>
      <c r="W49" s="30">
        <f t="shared" si="7"/>
        <v>9.7350739090634048E-4</v>
      </c>
      <c r="X49" s="29">
        <f>_xll.qlDayCounterYearFraction(DayCounter,SettlementDate,S49,,,Trigger)</f>
        <v>15.730555555555556</v>
      </c>
      <c r="Y49" s="29">
        <f>_xll.qlDayCounterYearFraction(DayCounter,S49,T49)</f>
        <v>0.51388888888888884</v>
      </c>
      <c r="Z49" s="29">
        <f>IF($M$13,_xll.qlYieldTSDiscount(Currency&amp;"ON",S49)/(1+V49*Y49),1)</f>
        <v>1</v>
      </c>
      <c r="AA49" s="30">
        <f>_xll.qlTenorBasisValue(TenorBasis6M,S49,InterestRatesTrigger)</f>
        <v>1.0167170817561334E-3</v>
      </c>
      <c r="AB49" s="74">
        <f t="shared" si="15"/>
        <v>2.1106966005897693E-2</v>
      </c>
      <c r="AC49" s="76">
        <f t="shared" si="16"/>
        <v>1.0020513763169072</v>
      </c>
    </row>
    <row r="50" spans="16:29" x14ac:dyDescent="0.2">
      <c r="P50" s="33">
        <v>6</v>
      </c>
      <c r="Q50" s="27" t="str">
        <f>_xll.qlPeriodEquivalent(Q49&amp;"+"&amp;P50&amp;"M")</f>
        <v>16Y</v>
      </c>
      <c r="R50" s="28">
        <f>_xll.qlCalendarAdvance(Calendar,SettlementDate,Q50,"f",,Trigger)</f>
        <v>48123</v>
      </c>
      <c r="S50" s="28">
        <f>_xll.qlInterestRateIndexValueDate(Index,R50,Trigger)</f>
        <v>48127</v>
      </c>
      <c r="T50" s="28">
        <f>_xll.qlInterestRateIndexMaturity(Index,S50,Trigger)</f>
        <v>48310</v>
      </c>
      <c r="U50" s="30">
        <f>_xll.qlIndexFixing($M$5,R50,TRUE,InterestRatesTrigger)</f>
        <v>1.9898492688194557E-2</v>
      </c>
      <c r="V50" s="74">
        <f>_xll.qlIndexFixing(Index,R50,TRUE,InterestRatesTrigger)</f>
        <v>2.0843957042240437E-2</v>
      </c>
      <c r="W50" s="30">
        <f t="shared" si="7"/>
        <v>9.4546435404587945E-4</v>
      </c>
      <c r="X50" s="29">
        <f>_xll.qlDayCounterYearFraction(DayCounter,SettlementDate,S50,,,Trigger)</f>
        <v>16.244444444444444</v>
      </c>
      <c r="Y50" s="29">
        <f>_xll.qlDayCounterYearFraction(DayCounter,S50,T50)</f>
        <v>0.5083333333333333</v>
      </c>
      <c r="Z50" s="29">
        <f>IF($M$13,_xll.qlYieldTSDiscount(Currency&amp;"ON",S50)/(1+V50*Y50),1)</f>
        <v>1</v>
      </c>
      <c r="AA50" s="30">
        <f>_xll.qlTenorBasisValue(TenorBasis6M,S50,InterestRatesTrigger)</f>
        <v>9.6218019016179753E-4</v>
      </c>
      <c r="AB50" s="74">
        <f t="shared" si="15"/>
        <v>2.0860672878356353E-2</v>
      </c>
      <c r="AC50" s="76">
        <f t="shared" si="16"/>
        <v>1.000801951188157</v>
      </c>
    </row>
    <row r="51" spans="16:29" x14ac:dyDescent="0.2">
      <c r="P51" s="33">
        <v>6</v>
      </c>
      <c r="Q51" s="27" t="str">
        <f>_xll.qlPeriodEquivalent(Q50&amp;"+"&amp;P51&amp;"M")</f>
        <v>16Y6M</v>
      </c>
      <c r="R51" s="28">
        <f>_xll.qlCalendarAdvance(Calendar,SettlementDate,Q51,"f",,Trigger)</f>
        <v>48306</v>
      </c>
      <c r="S51" s="28">
        <f>_xll.qlInterestRateIndexValueDate(Index,R51,Trigger)</f>
        <v>48310</v>
      </c>
      <c r="T51" s="28">
        <f>_xll.qlInterestRateIndexMaturity(Index,S51,Trigger)</f>
        <v>48493</v>
      </c>
      <c r="U51" s="30">
        <f>_xll.qlIndexFixing($M$5,R51,TRUE,InterestRatesTrigger)</f>
        <v>1.9682206217331473E-2</v>
      </c>
      <c r="V51" s="74">
        <f>_xll.qlIndexFixing(Index,R51,TRUE,InterestRatesTrigger)</f>
        <v>2.0596717997492839E-2</v>
      </c>
      <c r="W51" s="30">
        <f t="shared" si="7"/>
        <v>9.1451178016136586E-4</v>
      </c>
      <c r="X51" s="29">
        <f>_xll.qlDayCounterYearFraction(DayCounter,SettlementDate,S51,,,Trigger)</f>
        <v>16.752777777777776</v>
      </c>
      <c r="Y51" s="29">
        <f>_xll.qlDayCounterYearFraction(DayCounter,S51,T51)</f>
        <v>0.5083333333333333</v>
      </c>
      <c r="Z51" s="29">
        <f>IF($M$13,_xll.qlYieldTSDiscount(Currency&amp;"ON",S51)/(1+V51*Y51),1)</f>
        <v>1</v>
      </c>
      <c r="AA51" s="30">
        <f>_xll.qlTenorBasisValue(TenorBasis6M,S51,InterestRatesTrigger)</f>
        <v>9.1152122189893932E-4</v>
      </c>
      <c r="AB51" s="74">
        <f t="shared" si="15"/>
        <v>2.0593727439230412E-2</v>
      </c>
      <c r="AC51" s="76">
        <f t="shared" si="16"/>
        <v>0.99985480413613514</v>
      </c>
    </row>
    <row r="52" spans="16:29" x14ac:dyDescent="0.2">
      <c r="P52" s="33">
        <v>6</v>
      </c>
      <c r="Q52" s="27" t="str">
        <f>_xll.qlPeriodEquivalent(Q51&amp;"+"&amp;P52&amp;"M")</f>
        <v>17Y</v>
      </c>
      <c r="R52" s="28">
        <f>_xll.qlCalendarAdvance(Calendar,SettlementDate,Q52,"f",,Trigger)</f>
        <v>48491</v>
      </c>
      <c r="S52" s="28">
        <f>_xll.qlInterestRateIndexValueDate(Index,R52,Trigger)</f>
        <v>48493</v>
      </c>
      <c r="T52" s="28">
        <f>_xll.qlInterestRateIndexMaturity(Index,S52,Trigger)</f>
        <v>48675</v>
      </c>
      <c r="U52" s="30">
        <f>_xll.qlIndexFixing($M$5,R52,TRUE,InterestRatesTrigger)</f>
        <v>1.9439530417780636E-2</v>
      </c>
      <c r="V52" s="74">
        <f>_xll.qlIndexFixing(Index,R52,TRUE,InterestRatesTrigger)</f>
        <v>2.0319982084272853E-2</v>
      </c>
      <c r="W52" s="30">
        <f t="shared" si="7"/>
        <v>8.8045166649221643E-4</v>
      </c>
      <c r="X52" s="29">
        <f>_xll.qlDayCounterYearFraction(DayCounter,SettlementDate,S52,,,Trigger)</f>
        <v>17.261111111111113</v>
      </c>
      <c r="Y52" s="29">
        <f>_xll.qlDayCounterYearFraction(DayCounter,S52,T52)</f>
        <v>0.50555555555555554</v>
      </c>
      <c r="Z52" s="29">
        <f>IF($M$13,_xll.qlYieldTSDiscount(Currency&amp;"ON",S52)/(1+V52*Y52),1)</f>
        <v>1</v>
      </c>
      <c r="AA52" s="30">
        <f>_xll.qlTenorBasisValue(TenorBasis6M,S52,InterestRatesTrigger)</f>
        <v>8.6400743528019597E-4</v>
      </c>
      <c r="AB52" s="74">
        <f t="shared" si="15"/>
        <v>2.0303537853060834E-2</v>
      </c>
      <c r="AC52" s="76">
        <f t="shared" si="16"/>
        <v>0.9991907359394403</v>
      </c>
    </row>
    <row r="53" spans="16:29" x14ac:dyDescent="0.2">
      <c r="P53" s="33">
        <v>6</v>
      </c>
      <c r="Q53" s="27" t="str">
        <f>_xll.qlPeriodEquivalent(Q52&amp;"+"&amp;P53&amp;"M")</f>
        <v>17Y6M</v>
      </c>
      <c r="R53" s="28">
        <f>_xll.qlCalendarAdvance(Calendar,SettlementDate,Q53,"f",,Trigger)</f>
        <v>48673</v>
      </c>
      <c r="S53" s="28">
        <f>_xll.qlInterestRateIndexValueDate(Index,R53,Trigger)</f>
        <v>48675</v>
      </c>
      <c r="T53" s="28">
        <f>_xll.qlInterestRateIndexMaturity(Index,S53,Trigger)</f>
        <v>48858</v>
      </c>
      <c r="U53" s="30">
        <f>_xll.qlIndexFixing($M$5,R53,TRUE,InterestRatesTrigger)</f>
        <v>1.9171453449340493E-2</v>
      </c>
      <c r="V53" s="74">
        <f>_xll.qlIndexFixing(Index,R53,TRUE,InterestRatesTrigger)</f>
        <v>2.0014800684979669E-2</v>
      </c>
      <c r="W53" s="30">
        <f t="shared" si="7"/>
        <v>8.4334723563917607E-4</v>
      </c>
      <c r="X53" s="29">
        <f>_xll.qlDayCounterYearFraction(DayCounter,SettlementDate,S53,,,Trigger)</f>
        <v>17.766666666666666</v>
      </c>
      <c r="Y53" s="29">
        <f>_xll.qlDayCounterYearFraction(DayCounter,S53,T53)</f>
        <v>0.5083333333333333</v>
      </c>
      <c r="Z53" s="29">
        <f>IF($M$13,_xll.qlYieldTSDiscount(Currency&amp;"ON",S53)/(1+V53*Y53),1)</f>
        <v>1</v>
      </c>
      <c r="AA53" s="30">
        <f>_xll.qlTenorBasisValue(TenorBasis6M,S53,InterestRatesTrigger)</f>
        <v>8.1974245040608031E-4</v>
      </c>
      <c r="AB53" s="74">
        <f t="shared" si="15"/>
        <v>1.9991195899746572E-2</v>
      </c>
      <c r="AC53" s="76">
        <f t="shared" si="16"/>
        <v>0.99882063350993988</v>
      </c>
    </row>
    <row r="54" spans="16:29" x14ac:dyDescent="0.2">
      <c r="P54" s="33">
        <v>6</v>
      </c>
      <c r="Q54" s="27" t="str">
        <f>_xll.qlPeriodEquivalent(Q53&amp;"+"&amp;P54&amp;"M")</f>
        <v>18Y</v>
      </c>
      <c r="R54" s="28">
        <f>_xll.qlCalendarAdvance(Calendar,SettlementDate,Q54,"f",,Trigger)</f>
        <v>48855</v>
      </c>
      <c r="S54" s="28">
        <f>_xll.qlInterestRateIndexValueDate(Index,R54,Trigger)</f>
        <v>48857</v>
      </c>
      <c r="T54" s="28">
        <f>_xll.qlInterestRateIndexMaturity(Index,S54,Trigger)</f>
        <v>49039</v>
      </c>
      <c r="U54" s="30">
        <f>_xll.qlIndexFixing($M$5,R54,TRUE,InterestRatesTrigger)</f>
        <v>1.8877659890086777E-2</v>
      </c>
      <c r="V54" s="74">
        <f>_xll.qlIndexFixing(Index,R54,TRUE,InterestRatesTrigger)</f>
        <v>1.9680908396365666E-2</v>
      </c>
      <c r="W54" s="30">
        <f t="shared" si="7"/>
        <v>8.032485062788898E-4</v>
      </c>
      <c r="X54" s="29">
        <f>_xll.qlDayCounterYearFraction(DayCounter,SettlementDate,S54,,,Trigger)</f>
        <v>18.272222222222222</v>
      </c>
      <c r="Y54" s="29">
        <f>_xll.qlDayCounterYearFraction(DayCounter,S54,T54)</f>
        <v>0.50555555555555554</v>
      </c>
      <c r="Z54" s="29">
        <f>IF($M$13,_xll.qlYieldTSDiscount(Currency&amp;"ON",S54)/(1+V54*Y54),1)</f>
        <v>1</v>
      </c>
      <c r="AA54" s="30">
        <f>_xll.qlTenorBasisValue(TenorBasis6M,S54,InterestRatesTrigger)</f>
        <v>7.7832456661634732E-4</v>
      </c>
      <c r="AB54" s="74">
        <f t="shared" si="15"/>
        <v>1.9655984456703125E-2</v>
      </c>
      <c r="AC54" s="76">
        <f t="shared" si="16"/>
        <v>0.9987335981063179</v>
      </c>
    </row>
    <row r="55" spans="16:29" x14ac:dyDescent="0.2">
      <c r="P55" s="33">
        <v>6</v>
      </c>
      <c r="Q55" s="27" t="str">
        <f>_xll.qlPeriodEquivalent(Q54&amp;"+"&amp;P55&amp;"M")</f>
        <v>18Y6M</v>
      </c>
      <c r="R55" s="28">
        <f>_xll.qlCalendarAdvance(Calendar,SettlementDate,Q55,"f",,Trigger)</f>
        <v>49037</v>
      </c>
      <c r="S55" s="28">
        <f>_xll.qlInterestRateIndexValueDate(Index,R55,Trigger)</f>
        <v>49039</v>
      </c>
      <c r="T55" s="28">
        <f>_xll.qlInterestRateIndexMaturity(Index,S55,Trigger)</f>
        <v>49222</v>
      </c>
      <c r="U55" s="30">
        <f>_xll.qlIndexFixing($M$5,R55,TRUE,InterestRatesTrigger)</f>
        <v>1.8556884395987912E-2</v>
      </c>
      <c r="V55" s="74">
        <f>_xll.qlIndexFixing(Index,R55,TRUE,InterestRatesTrigger)</f>
        <v>1.9316772709855306E-2</v>
      </c>
      <c r="W55" s="30">
        <f t="shared" si="7"/>
        <v>7.5988831386739411E-4</v>
      </c>
      <c r="X55" s="29">
        <f>_xll.qlDayCounterYearFraction(DayCounter,SettlementDate,S55,,,Trigger)</f>
        <v>18.777777777777779</v>
      </c>
      <c r="Y55" s="29">
        <f>_xll.qlDayCounterYearFraction(DayCounter,S55,T55)</f>
        <v>0.5083333333333333</v>
      </c>
      <c r="Z55" s="29">
        <f>IF($M$13,_xll.qlYieldTSDiscount(Currency&amp;"ON",S55)/(1+V55*Y55),1)</f>
        <v>1</v>
      </c>
      <c r="AA55" s="30">
        <f>_xll.qlTenorBasisValue(TenorBasis6M,S55,InterestRatesTrigger)</f>
        <v>7.3961802057404609E-4</v>
      </c>
      <c r="AB55" s="74">
        <f t="shared" si="15"/>
        <v>1.9296502416561959E-2</v>
      </c>
      <c r="AC55" s="76">
        <f t="shared" si="16"/>
        <v>0.9989506376868531</v>
      </c>
    </row>
    <row r="56" spans="16:29" x14ac:dyDescent="0.2">
      <c r="P56" s="33">
        <v>6</v>
      </c>
      <c r="Q56" s="27" t="str">
        <f>_xll.qlPeriodEquivalent(Q55&amp;"+"&amp;P56&amp;"M")</f>
        <v>19Y</v>
      </c>
      <c r="R56" s="28">
        <f>_xll.qlCalendarAdvance(Calendar,SettlementDate,Q56,"f",,Trigger)</f>
        <v>49219</v>
      </c>
      <c r="S56" s="28">
        <f>_xll.qlInterestRateIndexValueDate(Index,R56,Trigger)</f>
        <v>49221</v>
      </c>
      <c r="T56" s="28">
        <f>_xll.qlInterestRateIndexMaturity(Index,S56,Trigger)</f>
        <v>49403</v>
      </c>
      <c r="U56" s="30">
        <f>_xll.qlIndexFixing($M$5,R56,TRUE,InterestRatesTrigger)</f>
        <v>1.8210769184284319E-2</v>
      </c>
      <c r="V56" s="74">
        <f>_xll.qlIndexFixing(Index,R56,TRUE,InterestRatesTrigger)</f>
        <v>1.8924355574086286E-2</v>
      </c>
      <c r="W56" s="30">
        <f t="shared" si="7"/>
        <v>7.1358638980196717E-4</v>
      </c>
      <c r="X56" s="29">
        <f>_xll.qlDayCounterYearFraction(DayCounter,SettlementDate,S56,,,Trigger)</f>
        <v>19.283333333333335</v>
      </c>
      <c r="Y56" s="29">
        <f>_xll.qlDayCounterYearFraction(DayCounter,S56,T56)</f>
        <v>0.50555555555555554</v>
      </c>
      <c r="Z56" s="29">
        <f>IF($M$13,_xll.qlYieldTSDiscount(Currency&amp;"ON",S56)/(1+V56*Y56),1)</f>
        <v>1</v>
      </c>
      <c r="AA56" s="30">
        <f>_xll.qlTenorBasisValue(TenorBasis6M,S56,InterestRatesTrigger)</f>
        <v>7.0348659040376073E-4</v>
      </c>
      <c r="AB56" s="74">
        <f t="shared" si="15"/>
        <v>1.8914255774688079E-2</v>
      </c>
      <c r="AC56" s="76">
        <f t="shared" si="16"/>
        <v>0.9994663068256846</v>
      </c>
    </row>
    <row r="57" spans="16:29" x14ac:dyDescent="0.2">
      <c r="P57" s="33">
        <v>6</v>
      </c>
      <c r="Q57" s="27" t="str">
        <f>_xll.qlPeriodEquivalent(Q56&amp;"+"&amp;P57&amp;"M")</f>
        <v>19Y6M</v>
      </c>
      <c r="R57" s="28">
        <f>_xll.qlCalendarAdvance(Calendar,SettlementDate,Q57,"f",,Trigger)</f>
        <v>49401</v>
      </c>
      <c r="S57" s="28">
        <f>_xll.qlInterestRateIndexValueDate(Index,R57,Trigger)</f>
        <v>49403</v>
      </c>
      <c r="T57" s="28">
        <f>_xll.qlInterestRateIndexMaturity(Index,S57,Trigger)</f>
        <v>49586</v>
      </c>
      <c r="U57" s="30">
        <f>_xll.qlIndexFixing($M$5,R57,TRUE,InterestRatesTrigger)</f>
        <v>1.7837341764418081E-2</v>
      </c>
      <c r="V57" s="74">
        <f>_xll.qlIndexFixing(Index,R57,TRUE,InterestRatesTrigger)</f>
        <v>1.8501325344736672E-2</v>
      </c>
      <c r="W57" s="30">
        <f t="shared" si="7"/>
        <v>6.6398358031859173E-4</v>
      </c>
      <c r="X57" s="29">
        <f>_xll.qlDayCounterYearFraction(DayCounter,SettlementDate,S57,,,Trigger)</f>
        <v>19.788888888888888</v>
      </c>
      <c r="Y57" s="29">
        <f>_xll.qlDayCounterYearFraction(DayCounter,S57,T57)</f>
        <v>0.5083333333333333</v>
      </c>
      <c r="Z57" s="29">
        <f>IF($M$13,_xll.qlYieldTSDiscount(Currency&amp;"ON",S57)/(1+V57*Y57),1)</f>
        <v>1</v>
      </c>
      <c r="AA57" s="30">
        <f>_xll.qlTenorBasisValue(TenorBasis6M,S57,InterestRatesTrigger)</f>
        <v>6.697949628460939E-4</v>
      </c>
      <c r="AB57" s="74">
        <f t="shared" si="15"/>
        <v>1.8507136727264173E-2</v>
      </c>
      <c r="AC57" s="76">
        <f t="shared" si="16"/>
        <v>1.0003141062826157</v>
      </c>
    </row>
    <row r="58" spans="16:29" x14ac:dyDescent="0.2">
      <c r="P58" s="33">
        <v>6</v>
      </c>
      <c r="Q58" s="27" t="str">
        <f>_xll.qlPeriodEquivalent(Q57&amp;"+"&amp;P58&amp;"M")</f>
        <v>20Y</v>
      </c>
      <c r="R58" s="28">
        <f>_xll.qlCalendarAdvance(Calendar,SettlementDate,Q58,"f",,Trigger)</f>
        <v>49584</v>
      </c>
      <c r="S58" s="28">
        <f>_xll.qlInterestRateIndexValueDate(Index,R58,Trigger)</f>
        <v>49586</v>
      </c>
      <c r="T58" s="28">
        <f>_xll.qlInterestRateIndexMaturity(Index,S58,Trigger)</f>
        <v>49769</v>
      </c>
      <c r="U58" s="30">
        <f>_xll.qlIndexFixing($M$5,R58,TRUE,InterestRatesTrigger)</f>
        <v>1.7445104992851075E-2</v>
      </c>
      <c r="V58" s="74">
        <f>_xll.qlIndexFixing(Index,R58,TRUE,InterestRatesTrigger)</f>
        <v>1.8058114649076386E-2</v>
      </c>
      <c r="W58" s="30">
        <f t="shared" si="7"/>
        <v>6.1300965622531137E-4</v>
      </c>
      <c r="X58" s="29">
        <f>_xll.qlDayCounterYearFraction(DayCounter,SettlementDate,S58,,,Trigger)</f>
        <v>20.297222222222221</v>
      </c>
      <c r="Y58" s="29">
        <f>_xll.qlDayCounterYearFraction(DayCounter,S58,T58)</f>
        <v>0.5083333333333333</v>
      </c>
      <c r="Z58" s="29">
        <f>IF($M$13,_xll.qlYieldTSDiscount(Currency&amp;"ON",S58)/(1+V58*Y58),1)</f>
        <v>1</v>
      </c>
      <c r="AA58" s="30">
        <f>_xll.qlTenorBasisValue(TenorBasis6M,S58,InterestRatesTrigger)</f>
        <v>6.3824352271514171E-4</v>
      </c>
      <c r="AB58" s="74">
        <f t="shared" si="15"/>
        <v>1.8083348515566217E-2</v>
      </c>
      <c r="AC58" s="76">
        <f t="shared" si="16"/>
        <v>1.0013973699348022</v>
      </c>
    </row>
    <row r="59" spans="16:29" x14ac:dyDescent="0.2">
      <c r="P59" s="33">
        <v>6</v>
      </c>
      <c r="Q59" s="27" t="str">
        <f>_xll.qlPeriodEquivalent(Q58&amp;"+"&amp;P59&amp;"M")</f>
        <v>20Y6M</v>
      </c>
      <c r="R59" s="28">
        <f>_xll.qlCalendarAdvance(Calendar,SettlementDate,Q59,"f",,Trigger)</f>
        <v>49767</v>
      </c>
      <c r="S59" s="28">
        <f>_xll.qlInterestRateIndexValueDate(Index,R59,Trigger)</f>
        <v>49769</v>
      </c>
      <c r="T59" s="28">
        <f>_xll.qlInterestRateIndexMaturity(Index,S59,Trigger)</f>
        <v>49954</v>
      </c>
      <c r="U59" s="30">
        <f>_xll.qlIndexFixing($M$5,R59,TRUE,InterestRatesTrigger)</f>
        <v>1.7069697891472429E-2</v>
      </c>
      <c r="V59" s="74">
        <f>_xll.qlIndexFixing(Index,R59,TRUE,InterestRatesTrigger)</f>
        <v>1.7637854996450715E-2</v>
      </c>
      <c r="W59" s="30">
        <f t="shared" si="7"/>
        <v>5.6815710497828617E-4</v>
      </c>
      <c r="X59" s="29">
        <f>_xll.qlDayCounterYearFraction(DayCounter,SettlementDate,S59,,,Trigger)</f>
        <v>20.805555555555557</v>
      </c>
      <c r="Y59" s="29">
        <f>_xll.qlDayCounterYearFraction(DayCounter,S59,T59)</f>
        <v>0.51388888888888884</v>
      </c>
      <c r="Z59" s="29">
        <f>IF($M$13,_xll.qlYieldTSDiscount(Currency&amp;"ON",S59)/(1+V59*Y59),1)</f>
        <v>1</v>
      </c>
      <c r="AA59" s="30">
        <f>_xll.qlTenorBasisValue(TenorBasis6M,S59,InterestRatesTrigger)</f>
        <v>6.0889145331775147E-4</v>
      </c>
      <c r="AB59" s="74">
        <f t="shared" si="15"/>
        <v>1.7678589344790181E-2</v>
      </c>
      <c r="AC59" s="76">
        <f t="shared" si="16"/>
        <v>1.0023094842512121</v>
      </c>
    </row>
    <row r="60" spans="16:29" x14ac:dyDescent="0.2">
      <c r="P60" s="33">
        <v>6</v>
      </c>
      <c r="Q60" s="27" t="str">
        <f>_xll.qlPeriodEquivalent(Q59&amp;"+"&amp;P60&amp;"M")</f>
        <v>21Y</v>
      </c>
      <c r="R60" s="28">
        <f>_xll.qlCalendarAdvance(Calendar,SettlementDate,Q60,"f",,Trigger)</f>
        <v>49950</v>
      </c>
      <c r="S60" s="28">
        <f>_xll.qlInterestRateIndexValueDate(Index,R60,Trigger)</f>
        <v>49954</v>
      </c>
      <c r="T60" s="28">
        <f>_xll.qlInterestRateIndexMaturity(Index,S60,Trigger)</f>
        <v>50137</v>
      </c>
      <c r="U60" s="30">
        <f>_xll.qlIndexFixing($M$5,R60,TRUE,InterestRatesTrigger)</f>
        <v>1.6719426714851847E-2</v>
      </c>
      <c r="V60" s="74">
        <f>_xll.qlIndexFixing(Index,R60,TRUE,InterestRatesTrigger)</f>
        <v>1.7250782332397754E-2</v>
      </c>
      <c r="W60" s="30">
        <f t="shared" si="7"/>
        <v>5.3135561754590749E-4</v>
      </c>
      <c r="X60" s="29">
        <f>_xll.qlDayCounterYearFraction(DayCounter,SettlementDate,S60,,,Trigger)</f>
        <v>21.319444444444443</v>
      </c>
      <c r="Y60" s="29">
        <f>_xll.qlDayCounterYearFraction(DayCounter,S60,T60)</f>
        <v>0.5083333333333333</v>
      </c>
      <c r="Z60" s="29">
        <f>IF($M$13,_xll.qlYieldTSDiscount(Currency&amp;"ON",S60)/(1+V60*Y60),1)</f>
        <v>1</v>
      </c>
      <c r="AA60" s="30">
        <f>_xll.qlTenorBasisValue(TenorBasis6M,S60,InterestRatesTrigger)</f>
        <v>5.8132268852475414E-4</v>
      </c>
      <c r="AB60" s="74">
        <f t="shared" si="15"/>
        <v>1.73007494033766E-2</v>
      </c>
      <c r="AC60" s="76">
        <f t="shared" si="16"/>
        <v>1.0028965104315881</v>
      </c>
    </row>
    <row r="61" spans="16:29" x14ac:dyDescent="0.2">
      <c r="P61" s="33">
        <v>6</v>
      </c>
      <c r="Q61" s="27" t="str">
        <f>_xll.qlPeriodEquivalent(Q60&amp;"+"&amp;P61&amp;"M")</f>
        <v>21Y6M</v>
      </c>
      <c r="R61" s="28">
        <f>_xll.qlCalendarAdvance(Calendar,SettlementDate,Q61,"f",,Trigger)</f>
        <v>50132</v>
      </c>
      <c r="S61" s="28">
        <f>_xll.qlInterestRateIndexValueDate(Index,R61,Trigger)</f>
        <v>50138</v>
      </c>
      <c r="T61" s="28">
        <f>_xll.qlInterestRateIndexMaturity(Index,S61,Trigger)</f>
        <v>50321</v>
      </c>
      <c r="U61" s="30">
        <f>_xll.qlIndexFixing($M$5,R61,TRUE,InterestRatesTrigger)</f>
        <v>1.6396770946808595E-2</v>
      </c>
      <c r="V61" s="74">
        <f>_xll.qlIndexFixing(Index,R61,TRUE,InterestRatesTrigger)</f>
        <v>1.6899555657094781E-2</v>
      </c>
      <c r="W61" s="30">
        <f t="shared" si="7"/>
        <v>5.0278471028618668E-4</v>
      </c>
      <c r="X61" s="29">
        <f>_xll.qlDayCounterYearFraction(DayCounter,SettlementDate,S61,,,Trigger)</f>
        <v>21.830555555555556</v>
      </c>
      <c r="Y61" s="29">
        <f>_xll.qlDayCounterYearFraction(DayCounter,S61,T61)</f>
        <v>0.5083333333333333</v>
      </c>
      <c r="Z61" s="29">
        <f>IF($M$13,_xll.qlYieldTSDiscount(Currency&amp;"ON",S61)/(1+V61*Y61),1)</f>
        <v>1</v>
      </c>
      <c r="AA61" s="30">
        <f>_xll.qlTenorBasisValue(TenorBasis6M,S61,InterestRatesTrigger)</f>
        <v>5.5587432058865494E-4</v>
      </c>
      <c r="AB61" s="74">
        <f t="shared" si="15"/>
        <v>1.6952645267397249E-2</v>
      </c>
      <c r="AC61" s="76">
        <f t="shared" si="16"/>
        <v>1.0031414796566074</v>
      </c>
    </row>
    <row r="62" spans="16:29" x14ac:dyDescent="0.2">
      <c r="P62" s="33">
        <v>6</v>
      </c>
      <c r="Q62" s="27" t="str">
        <f>_xll.qlPeriodEquivalent(Q61&amp;"+"&amp;P62&amp;"M")</f>
        <v>22Y</v>
      </c>
      <c r="R62" s="28">
        <f>_xll.qlCalendarAdvance(Calendar,SettlementDate,Q62,"f",,Trigger)</f>
        <v>50315</v>
      </c>
      <c r="S62" s="28">
        <f>_xll.qlInterestRateIndexValueDate(Index,R62,Trigger)</f>
        <v>50319</v>
      </c>
      <c r="T62" s="28">
        <f>_xll.qlInterestRateIndexMaturity(Index,S62,Trigger)</f>
        <v>50501</v>
      </c>
      <c r="U62" s="30">
        <f>_xll.qlIndexFixing($M$5,R62,TRUE,InterestRatesTrigger)</f>
        <v>1.6105893562968706E-2</v>
      </c>
      <c r="V62" s="74">
        <f>_xll.qlIndexFixing(Index,R62,TRUE,InterestRatesTrigger)</f>
        <v>1.6588557109097748E-2</v>
      </c>
      <c r="W62" s="30">
        <f t="shared" si="7"/>
        <v>4.8266354612904253E-4</v>
      </c>
      <c r="X62" s="29">
        <f>_xll.qlDayCounterYearFraction(DayCounter,SettlementDate,S62,,,Trigger)</f>
        <v>22.333333333333332</v>
      </c>
      <c r="Y62" s="29">
        <f>_xll.qlDayCounterYearFraction(DayCounter,S62,T62)</f>
        <v>0.50555555555555554</v>
      </c>
      <c r="Z62" s="29">
        <f>IF($M$13,_xll.qlYieldTSDiscount(Currency&amp;"ON",S62)/(1+V62*Y62),1)</f>
        <v>1</v>
      </c>
      <c r="AA62" s="30">
        <f>_xll.qlTenorBasisValue(TenorBasis6M,S62,InterestRatesTrigger)</f>
        <v>5.3264050369880155E-4</v>
      </c>
      <c r="AB62" s="74">
        <f t="shared" si="15"/>
        <v>1.6638534066667508E-2</v>
      </c>
      <c r="AC62" s="76">
        <f t="shared" si="16"/>
        <v>1.0030127368668098</v>
      </c>
    </row>
    <row r="63" spans="16:29" x14ac:dyDescent="0.2">
      <c r="P63" s="33">
        <v>6</v>
      </c>
      <c r="Q63" s="27" t="str">
        <f>_xll.qlPeriodEquivalent(Q62&amp;"+"&amp;P63&amp;"M")</f>
        <v>22Y6M</v>
      </c>
      <c r="R63" s="28">
        <f>_xll.qlCalendarAdvance(Calendar,SettlementDate,Q63,"f",,Trigger)</f>
        <v>50497</v>
      </c>
      <c r="S63" s="28">
        <f>_xll.qlInterestRateIndexValueDate(Index,R63,Trigger)</f>
        <v>50501</v>
      </c>
      <c r="T63" s="28">
        <f>_xll.qlInterestRateIndexMaturity(Index,S63,Trigger)</f>
        <v>50684</v>
      </c>
      <c r="U63" s="30">
        <f>_xll.qlIndexFixing($M$5,R63,TRUE,InterestRatesTrigger)</f>
        <v>1.5838720498965377E-2</v>
      </c>
      <c r="V63" s="74">
        <f>_xll.qlIndexFixing(Index,R63,TRUE,InterestRatesTrigger)</f>
        <v>1.6309073256169107E-2</v>
      </c>
      <c r="W63" s="30">
        <f t="shared" si="7"/>
        <v>4.7035275720373054E-4</v>
      </c>
      <c r="X63" s="29">
        <f>_xll.qlDayCounterYearFraction(DayCounter,SettlementDate,S63,,,Trigger)</f>
        <v>22.838888888888889</v>
      </c>
      <c r="Y63" s="29">
        <f>_xll.qlDayCounterYearFraction(DayCounter,S63,T63)</f>
        <v>0.5083333333333333</v>
      </c>
      <c r="Z63" s="29">
        <f>IF($M$13,_xll.qlYieldTSDiscount(Currency&amp;"ON",S63)/(1+V63*Y63),1)</f>
        <v>1</v>
      </c>
      <c r="AA63" s="30">
        <f>_xll.qlTenorBasisValue(TenorBasis6M,S63,InterestRatesTrigger)</f>
        <v>5.1096486893297574E-4</v>
      </c>
      <c r="AB63" s="74">
        <f t="shared" si="15"/>
        <v>1.6349685367898353E-2</v>
      </c>
      <c r="AC63" s="76">
        <f t="shared" si="16"/>
        <v>1.0024901544736078</v>
      </c>
    </row>
    <row r="64" spans="16:29" x14ac:dyDescent="0.2">
      <c r="P64" s="33">
        <v>6</v>
      </c>
      <c r="Q64" s="27" t="str">
        <f>_xll.qlPeriodEquivalent(Q63&amp;"+"&amp;P64&amp;"M")</f>
        <v>23Y</v>
      </c>
      <c r="R64" s="28">
        <f>_xll.qlCalendarAdvance(Calendar,SettlementDate,Q64,"f",,Trigger)</f>
        <v>50682</v>
      </c>
      <c r="S64" s="28">
        <f>_xll.qlInterestRateIndexValueDate(Index,R64,Trigger)</f>
        <v>50684</v>
      </c>
      <c r="T64" s="28">
        <f>_xll.qlInterestRateIndexMaturity(Index,S64,Trigger)</f>
        <v>50866</v>
      </c>
      <c r="U64" s="30">
        <f>_xll.qlIndexFixing($M$5,R64,TRUE,InterestRatesTrigger)</f>
        <v>1.5597141374341919E-2</v>
      </c>
      <c r="V64" s="74">
        <f>_xll.qlIndexFixing(Index,R64,TRUE,InterestRatesTrigger)</f>
        <v>1.6063155952216815E-2</v>
      </c>
      <c r="W64" s="30">
        <f t="shared" si="7"/>
        <v>4.6601457787489621E-4</v>
      </c>
      <c r="X64" s="29">
        <f>_xll.qlDayCounterYearFraction(DayCounter,SettlementDate,S64,,,Trigger)</f>
        <v>23.347222222222221</v>
      </c>
      <c r="Y64" s="29">
        <f>_xll.qlDayCounterYearFraction(DayCounter,S64,T64)</f>
        <v>0.50555555555555554</v>
      </c>
      <c r="Z64" s="29">
        <f>IF($M$13,_xll.qlYieldTSDiscount(Currency&amp;"ON",S64)/(1+V64*Y64),1)</f>
        <v>1</v>
      </c>
      <c r="AA64" s="30">
        <f>_xll.qlTenorBasisValue(TenorBasis6M,S64,InterestRatesTrigger)</f>
        <v>4.9076617654780275E-4</v>
      </c>
      <c r="AB64" s="74">
        <f t="shared" si="15"/>
        <v>1.6087907550889721E-2</v>
      </c>
      <c r="AC64" s="76">
        <f t="shared" si="16"/>
        <v>1.0015408926332119</v>
      </c>
    </row>
    <row r="65" spans="16:29" x14ac:dyDescent="0.2">
      <c r="P65" s="33">
        <v>6</v>
      </c>
      <c r="Q65" s="27" t="str">
        <f>_xll.qlPeriodEquivalent(Q64&amp;"+"&amp;P65&amp;"M")</f>
        <v>23Y6M</v>
      </c>
      <c r="R65" s="28">
        <f>_xll.qlCalendarAdvance(Calendar,SettlementDate,Q65,"f",,Trigger)</f>
        <v>50864</v>
      </c>
      <c r="S65" s="28">
        <f>_xll.qlInterestRateIndexValueDate(Index,R65,Trigger)</f>
        <v>50866</v>
      </c>
      <c r="T65" s="28">
        <f>_xll.qlInterestRateIndexMaturity(Index,S65,Trigger)</f>
        <v>51049</v>
      </c>
      <c r="U65" s="30">
        <f>_xll.qlIndexFixing($M$5,R65,TRUE,InterestRatesTrigger)</f>
        <v>1.5382564892532929E-2</v>
      </c>
      <c r="V65" s="74">
        <f>_xll.qlIndexFixing(Index,R65,TRUE,InterestRatesTrigger)</f>
        <v>1.5852308460232136E-2</v>
      </c>
      <c r="W65" s="30">
        <f t="shared" si="7"/>
        <v>4.6974356769920698E-4</v>
      </c>
      <c r="X65" s="29">
        <f>_xll.qlDayCounterYearFraction(DayCounter,SettlementDate,S65,,,Trigger)</f>
        <v>23.852777777777778</v>
      </c>
      <c r="Y65" s="29">
        <f>_xll.qlDayCounterYearFraction(DayCounter,S65,T65)</f>
        <v>0.5083333333333333</v>
      </c>
      <c r="Z65" s="29">
        <f>IF($M$13,_xll.qlYieldTSDiscount(Currency&amp;"ON",S65)/(1+V65*Y65),1)</f>
        <v>1</v>
      </c>
      <c r="AA65" s="30">
        <f>_xll.qlTenorBasisValue(TenorBasis6M,S65,InterestRatesTrigger)</f>
        <v>4.7216156204812367E-4</v>
      </c>
      <c r="AB65" s="74">
        <f t="shared" si="15"/>
        <v>1.5854726454581053E-2</v>
      </c>
      <c r="AC65" s="76">
        <f t="shared" si="16"/>
        <v>1.0001525326330221</v>
      </c>
    </row>
    <row r="66" spans="16:29" x14ac:dyDescent="0.2">
      <c r="P66" s="33">
        <v>6</v>
      </c>
      <c r="Q66" s="27" t="str">
        <f>_xll.qlPeriodEquivalent(Q65&amp;"+"&amp;P66&amp;"M")</f>
        <v>24Y</v>
      </c>
      <c r="R66" s="28">
        <f>_xll.qlCalendarAdvance(Calendar,SettlementDate,Q66,"f",,Trigger)</f>
        <v>51046</v>
      </c>
      <c r="S66" s="28">
        <f>_xll.qlInterestRateIndexValueDate(Index,R66,Trigger)</f>
        <v>51048</v>
      </c>
      <c r="T66" s="28">
        <f>_xll.qlInterestRateIndexMaturity(Index,S66,Trigger)</f>
        <v>51231</v>
      </c>
      <c r="U66" s="30">
        <f>_xll.qlIndexFixing($M$5,R66,TRUE,InterestRatesTrigger)</f>
        <v>1.5194416395281293E-2</v>
      </c>
      <c r="V66" s="74">
        <f>_xll.qlIndexFixing(Index,R66,TRUE,InterestRatesTrigger)</f>
        <v>1.5675838428520696E-2</v>
      </c>
      <c r="W66" s="30">
        <f t="shared" si="7"/>
        <v>4.81422033239403E-4</v>
      </c>
      <c r="X66" s="29">
        <f>_xll.qlDayCounterYearFraction(DayCounter,SettlementDate,S66,,,Trigger)</f>
        <v>24.358333333333334</v>
      </c>
      <c r="Y66" s="29">
        <f>_xll.qlDayCounterYearFraction(DayCounter,S66,T66)</f>
        <v>0.5083333333333333</v>
      </c>
      <c r="Z66" s="29">
        <f>IF($M$13,_xll.qlYieldTSDiscount(Currency&amp;"ON",S66)/(1+V66*Y66),1)</f>
        <v>1</v>
      </c>
      <c r="AA66" s="30">
        <f>_xll.qlTenorBasisValue(TenorBasis6M,S66,InterestRatesTrigger)</f>
        <v>4.5493838360141496E-4</v>
      </c>
      <c r="AB66" s="74">
        <f t="shared" si="15"/>
        <v>1.5649354778882709E-2</v>
      </c>
      <c r="AC66" s="76">
        <f t="shared" si="16"/>
        <v>0.99831054333975511</v>
      </c>
    </row>
    <row r="67" spans="16:29" x14ac:dyDescent="0.2">
      <c r="P67" s="33">
        <v>6</v>
      </c>
      <c r="Q67" s="27" t="str">
        <f>_xll.qlPeriodEquivalent(Q66&amp;"+"&amp;P67&amp;"M")</f>
        <v>24Y6M</v>
      </c>
      <c r="R67" s="28">
        <f>_xll.qlCalendarAdvance(Calendar,SettlementDate,Q67,"f",,Trigger)</f>
        <v>51229</v>
      </c>
      <c r="S67" s="28">
        <f>_xll.qlInterestRateIndexValueDate(Index,R67,Trigger)</f>
        <v>51231</v>
      </c>
      <c r="T67" s="28">
        <f>_xll.qlInterestRateIndexMaturity(Index,S67,Trigger)</f>
        <v>51414</v>
      </c>
      <c r="U67" s="30">
        <f>_xll.qlIndexFixing($M$5,R67,TRUE,InterestRatesTrigger)</f>
        <v>1.5031594748004284E-2</v>
      </c>
      <c r="V67" s="74">
        <f>_xll.qlIndexFixing(Index,R67,TRUE,InterestRatesTrigger)</f>
        <v>1.5532796296007236E-2</v>
      </c>
      <c r="W67" s="30">
        <f t="shared" si="7"/>
        <v>5.0120154800295177E-4</v>
      </c>
      <c r="X67" s="29">
        <f>_xll.qlDayCounterYearFraction(DayCounter,SettlementDate,S67,,,Trigger)</f>
        <v>24.866666666666667</v>
      </c>
      <c r="Y67" s="29">
        <f>_xll.qlDayCounterYearFraction(DayCounter,S67,T67)</f>
        <v>0.5083333333333333</v>
      </c>
      <c r="Z67" s="29">
        <f>IF($M$13,_xll.qlYieldTSDiscount(Currency&amp;"ON",S67)/(1+V67*Y67),1)</f>
        <v>1</v>
      </c>
      <c r="AA67" s="30">
        <f>_xll.qlTenorBasisValue(TenorBasis6M,S67,InterestRatesTrigger)</f>
        <v>4.3891955993333404E-4</v>
      </c>
      <c r="AB67" s="74">
        <f t="shared" ref="AB67:AB98" si="17">AA67+U67</f>
        <v>1.5470514307937618E-2</v>
      </c>
      <c r="AC67" s="76">
        <f t="shared" ref="AC67:AC98" si="18">AB67/V67</f>
        <v>0.9959902913240658</v>
      </c>
    </row>
    <row r="68" spans="16:29" x14ac:dyDescent="0.2">
      <c r="P68" s="33">
        <v>6</v>
      </c>
      <c r="Q68" s="27" t="str">
        <f>_xll.qlPeriodEquivalent(Q67&amp;"+"&amp;P68&amp;"M")</f>
        <v>25Y</v>
      </c>
      <c r="R68" s="28">
        <f>_xll.qlCalendarAdvance(Calendar,SettlementDate,Q68,"f",,Trigger)</f>
        <v>51411</v>
      </c>
      <c r="S68" s="28">
        <f>_xll.qlInterestRateIndexValueDate(Index,R68,Trigger)</f>
        <v>51413</v>
      </c>
      <c r="T68" s="28">
        <f>_xll.qlInterestRateIndexMaturity(Index,S68,Trigger)</f>
        <v>51595</v>
      </c>
      <c r="U68" s="30">
        <f>_xll.qlIndexFixing($M$5,R68,TRUE,InterestRatesTrigger)</f>
        <v>1.489607275333246E-2</v>
      </c>
      <c r="V68" s="74">
        <f>_xll.qlIndexFixing(Index,R68,TRUE,InterestRatesTrigger)</f>
        <v>1.5422055520614117E-2</v>
      </c>
      <c r="W68" s="30">
        <f t="shared" ref="W68:W131" si="19">V68-U68</f>
        <v>5.2598276728165611E-4</v>
      </c>
      <c r="X68" s="29">
        <f>_xll.qlDayCounterYearFraction(DayCounter,SettlementDate,S68,,,Trigger)</f>
        <v>25.372222222222224</v>
      </c>
      <c r="Y68" s="29">
        <f>_xll.qlDayCounterYearFraction(DayCounter,S68,T68)</f>
        <v>0.50555555555555554</v>
      </c>
      <c r="Z68" s="29">
        <f>IF($M$13,_xll.qlYieldTSDiscount(Currency&amp;"ON",S68)/(1+V68*Y68),1)</f>
        <v>1</v>
      </c>
      <c r="AA68" s="30">
        <f>_xll.qlTenorBasisValue(TenorBasis6M,S68,InterestRatesTrigger)</f>
        <v>4.2419187474951287E-4</v>
      </c>
      <c r="AB68" s="74">
        <f t="shared" si="17"/>
        <v>1.5320264628081974E-2</v>
      </c>
      <c r="AC68" s="76">
        <f t="shared" si="18"/>
        <v>0.99339965464421509</v>
      </c>
    </row>
    <row r="69" spans="16:29" x14ac:dyDescent="0.2">
      <c r="P69" s="33">
        <v>6</v>
      </c>
      <c r="Q69" s="27" t="str">
        <f>_xll.qlPeriodEquivalent(Q68&amp;"+"&amp;P69&amp;"M")</f>
        <v>25Y6M</v>
      </c>
      <c r="R69" s="28">
        <f>_xll.qlCalendarAdvance(Calendar,SettlementDate,Q69,"f",,Trigger)</f>
        <v>51593</v>
      </c>
      <c r="S69" s="28">
        <f>_xll.qlInterestRateIndexValueDate(Index,R69,Trigger)</f>
        <v>51595</v>
      </c>
      <c r="T69" s="28">
        <f>_xll.qlInterestRateIndexMaturity(Index,S69,Trigger)</f>
        <v>51778</v>
      </c>
      <c r="U69" s="30">
        <f>_xll.qlIndexFixing($M$5,R69,TRUE,InterestRatesTrigger)</f>
        <v>1.4787540206342396E-2</v>
      </c>
      <c r="V69" s="74">
        <f>_xll.qlIndexFixing(Index,R69,TRUE,InterestRatesTrigger)</f>
        <v>1.5332937126698606E-2</v>
      </c>
      <c r="W69" s="30">
        <f t="shared" si="19"/>
        <v>5.4539692035620972E-4</v>
      </c>
      <c r="X69" s="29">
        <f>_xll.qlDayCounterYearFraction(DayCounter,SettlementDate,S69,,,Trigger)</f>
        <v>25.877777777777776</v>
      </c>
      <c r="Y69" s="29">
        <f>_xll.qlDayCounterYearFraction(DayCounter,S69,T69)</f>
        <v>0.5083333333333333</v>
      </c>
      <c r="Z69" s="29">
        <f>IF($M$13,_xll.qlYieldTSDiscount(Currency&amp;"ON",S69)/(1+V69*Y69),1)</f>
        <v>1</v>
      </c>
      <c r="AA69" s="30">
        <f>_xll.qlTenorBasisValue(TenorBasis6M,S69,InterestRatesTrigger)</f>
        <v>4.1058139388686218E-4</v>
      </c>
      <c r="AB69" s="74">
        <f t="shared" si="17"/>
        <v>1.5198121600229259E-2</v>
      </c>
      <c r="AC69" s="76">
        <f t="shared" si="18"/>
        <v>0.99120745586084757</v>
      </c>
    </row>
    <row r="70" spans="16:29" x14ac:dyDescent="0.2">
      <c r="P70" s="33">
        <v>6</v>
      </c>
      <c r="Q70" s="27" t="str">
        <f>_xll.qlPeriodEquivalent(Q69&amp;"+"&amp;P70&amp;"M")</f>
        <v>26Y</v>
      </c>
      <c r="R70" s="28">
        <f>_xll.qlCalendarAdvance(Calendar,SettlementDate,Q70,"f",,Trigger)</f>
        <v>51776</v>
      </c>
      <c r="S70" s="28">
        <f>_xll.qlInterestRateIndexValueDate(Index,R70,Trigger)</f>
        <v>51778</v>
      </c>
      <c r="T70" s="28">
        <f>_xll.qlInterestRateIndexMaturity(Index,S70,Trigger)</f>
        <v>51964</v>
      </c>
      <c r="U70" s="30">
        <f>_xll.qlIndexFixing($M$5,R70,TRUE,InterestRatesTrigger)</f>
        <v>1.4706217998221294E-2</v>
      </c>
      <c r="V70" s="74">
        <f>_xll.qlIndexFixing(Index,R70,TRUE,InterestRatesTrigger)</f>
        <v>1.5262992817268511E-2</v>
      </c>
      <c r="W70" s="30">
        <f t="shared" si="19"/>
        <v>5.5677481904721667E-4</v>
      </c>
      <c r="X70" s="29">
        <f>_xll.qlDayCounterYearFraction(DayCounter,SettlementDate,S70,,,Trigger)</f>
        <v>26.386111111111113</v>
      </c>
      <c r="Y70" s="29">
        <f>_xll.qlDayCounterYearFraction(DayCounter,S70,T70)</f>
        <v>0.51666666666666672</v>
      </c>
      <c r="Z70" s="29">
        <f>IF($M$13,_xll.qlYieldTSDiscount(Currency&amp;"ON",S70)/(1+V70*Y70),1)</f>
        <v>1</v>
      </c>
      <c r="AA70" s="30">
        <f>_xll.qlTenorBasisValue(TenorBasis6M,S70,InterestRatesTrigger)</f>
        <v>3.9794362947469301E-4</v>
      </c>
      <c r="AB70" s="74">
        <f t="shared" si="17"/>
        <v>1.5104161627695987E-2</v>
      </c>
      <c r="AC70" s="76">
        <f t="shared" si="18"/>
        <v>0.98959370606577091</v>
      </c>
    </row>
    <row r="71" spans="16:29" x14ac:dyDescent="0.2">
      <c r="P71" s="33">
        <v>6</v>
      </c>
      <c r="Q71" s="27" t="str">
        <f>_xll.qlPeriodEquivalent(Q70&amp;"+"&amp;P71&amp;"M")</f>
        <v>26Y6M</v>
      </c>
      <c r="R71" s="28">
        <f>_xll.qlCalendarAdvance(Calendar,SettlementDate,Q71,"f",,Trigger)</f>
        <v>51958</v>
      </c>
      <c r="S71" s="28">
        <f>_xll.qlInterestRateIndexValueDate(Index,R71,Trigger)</f>
        <v>51964</v>
      </c>
      <c r="T71" s="28">
        <f>_xll.qlInterestRateIndexMaturity(Index,S71,Trigger)</f>
        <v>52147</v>
      </c>
      <c r="U71" s="30">
        <f>_xll.qlIndexFixing($M$5,R71,TRUE,InterestRatesTrigger)</f>
        <v>1.465095686946933E-2</v>
      </c>
      <c r="V71" s="74">
        <f>_xll.qlIndexFixing(Index,R71,TRUE,InterestRatesTrigger)</f>
        <v>1.5210661424985238E-2</v>
      </c>
      <c r="W71" s="30">
        <f t="shared" si="19"/>
        <v>5.5970455551590872E-4</v>
      </c>
      <c r="X71" s="29">
        <f>_xll.qlDayCounterYearFraction(DayCounter,SettlementDate,S71,,,Trigger)</f>
        <v>26.902777777777779</v>
      </c>
      <c r="Y71" s="29">
        <f>_xll.qlDayCounterYearFraction(DayCounter,S71,T71)</f>
        <v>0.5083333333333333</v>
      </c>
      <c r="Z71" s="29">
        <f>IF($M$13,_xll.qlYieldTSDiscount(Currency&amp;"ON",S71)/(1+V71*Y71),1)</f>
        <v>1</v>
      </c>
      <c r="AA71" s="30">
        <f>_xll.qlTenorBasisValue(TenorBasis6M,S71,InterestRatesTrigger)</f>
        <v>3.8609822245607925E-4</v>
      </c>
      <c r="AB71" s="74">
        <f t="shared" si="17"/>
        <v>1.5037055091925409E-2</v>
      </c>
      <c r="AC71" s="76">
        <f t="shared" si="18"/>
        <v>0.98858653623210224</v>
      </c>
    </row>
    <row r="72" spans="16:29" x14ac:dyDescent="0.2">
      <c r="P72" s="33">
        <v>6</v>
      </c>
      <c r="Q72" s="27" t="str">
        <f>_xll.qlPeriodEquivalent(Q71&amp;"+"&amp;P72&amp;"M")</f>
        <v>27Y</v>
      </c>
      <c r="R72" s="28">
        <f>_xll.qlCalendarAdvance(Calendar,SettlementDate,Q72,"f",,Trigger)</f>
        <v>52141</v>
      </c>
      <c r="S72" s="28">
        <f>_xll.qlInterestRateIndexValueDate(Index,R72,Trigger)</f>
        <v>52145</v>
      </c>
      <c r="T72" s="28">
        <f>_xll.qlInterestRateIndexMaturity(Index,S72,Trigger)</f>
        <v>52327</v>
      </c>
      <c r="U72" s="30">
        <f>_xll.qlIndexFixing($M$5,R72,TRUE,InterestRatesTrigger)</f>
        <v>1.462453172109046E-2</v>
      </c>
      <c r="V72" s="74">
        <f>_xll.qlIndexFixing(Index,R72,TRUE,InterestRatesTrigger)</f>
        <v>1.5179077576803285E-2</v>
      </c>
      <c r="W72" s="30">
        <f t="shared" si="19"/>
        <v>5.5454585571282529E-4</v>
      </c>
      <c r="X72" s="29">
        <f>_xll.qlDayCounterYearFraction(DayCounter,SettlementDate,S72,,,Trigger)</f>
        <v>27.405555555555555</v>
      </c>
      <c r="Y72" s="29">
        <f>_xll.qlDayCounterYearFraction(DayCounter,S72,T72)</f>
        <v>0.50555555555555554</v>
      </c>
      <c r="Z72" s="29">
        <f>IF($M$13,_xll.qlYieldTSDiscount(Currency&amp;"ON",S72)/(1+V72*Y72),1)</f>
        <v>1</v>
      </c>
      <c r="AA72" s="30">
        <f>_xll.qlTenorBasisValue(TenorBasis6M,S72,InterestRatesTrigger)</f>
        <v>3.7546898136290593E-4</v>
      </c>
      <c r="AB72" s="74">
        <f t="shared" si="17"/>
        <v>1.5000000702453366E-2</v>
      </c>
      <c r="AC72" s="76">
        <f t="shared" si="18"/>
        <v>0.98820238756644974</v>
      </c>
    </row>
    <row r="73" spans="16:29" x14ac:dyDescent="0.2">
      <c r="P73" s="33">
        <v>6</v>
      </c>
      <c r="Q73" s="27" t="str">
        <f>_xll.qlPeriodEquivalent(Q72&amp;"+"&amp;P73&amp;"M")</f>
        <v>27Y6M</v>
      </c>
      <c r="R73" s="28">
        <f>_xll.qlCalendarAdvance(Calendar,SettlementDate,Q73,"f",,Trigger)</f>
        <v>52323</v>
      </c>
      <c r="S73" s="28">
        <f>_xll.qlInterestRateIndexValueDate(Index,R73,Trigger)</f>
        <v>52327</v>
      </c>
      <c r="T73" s="28">
        <f>_xll.qlInterestRateIndexMaturity(Index,S73,Trigger)</f>
        <v>52510</v>
      </c>
      <c r="U73" s="30">
        <f>_xll.qlIndexFixing($M$5,R73,TRUE,InterestRatesTrigger)</f>
        <v>1.4625613811850952E-2</v>
      </c>
      <c r="V73" s="74">
        <f>_xll.qlIndexFixing(Index,R73,TRUE,InterestRatesTrigger)</f>
        <v>1.516687534309929E-2</v>
      </c>
      <c r="W73" s="30">
        <f t="shared" si="19"/>
        <v>5.412615312483382E-4</v>
      </c>
      <c r="X73" s="29">
        <f>_xll.qlDayCounterYearFraction(DayCounter,SettlementDate,S73,,,Trigger)</f>
        <v>27.911111111111111</v>
      </c>
      <c r="Y73" s="29">
        <f>_xll.qlDayCounterYearFraction(DayCounter,S73,T73)</f>
        <v>0.5083333333333333</v>
      </c>
      <c r="Z73" s="29">
        <f>IF($M$13,_xll.qlYieldTSDiscount(Currency&amp;"ON",S73)/(1+V73*Y73),1)</f>
        <v>1</v>
      </c>
      <c r="AA73" s="30">
        <f>_xll.qlTenorBasisValue(TenorBasis6M,S73,InterestRatesTrigger)</f>
        <v>3.6560906598092724E-4</v>
      </c>
      <c r="AB73" s="74">
        <f t="shared" si="17"/>
        <v>1.4991222877831879E-2</v>
      </c>
      <c r="AC73" s="76">
        <f t="shared" si="18"/>
        <v>0.98841867811966089</v>
      </c>
    </row>
    <row r="74" spans="16:29" x14ac:dyDescent="0.2">
      <c r="P74" s="33">
        <v>6</v>
      </c>
      <c r="Q74" s="27" t="str">
        <f>_xll.qlPeriodEquivalent(Q73&amp;"+"&amp;P74&amp;"M")</f>
        <v>28Y</v>
      </c>
      <c r="R74" s="28">
        <f>_xll.qlCalendarAdvance(Calendar,SettlementDate,Q74,"f",,Trigger)</f>
        <v>52506</v>
      </c>
      <c r="S74" s="28">
        <f>_xll.qlInterestRateIndexValueDate(Index,R74,Trigger)</f>
        <v>52510</v>
      </c>
      <c r="T74" s="28">
        <f>_xll.qlInterestRateIndexMaturity(Index,S74,Trigger)</f>
        <v>52693</v>
      </c>
      <c r="U74" s="30">
        <f>_xll.qlIndexFixing($M$5,R74,TRUE,InterestRatesTrigger)</f>
        <v>1.4653830419026322E-2</v>
      </c>
      <c r="V74" s="74">
        <f>_xll.qlIndexFixing(Index,R74,TRUE,InterestRatesTrigger)</f>
        <v>1.5173566465180175E-2</v>
      </c>
      <c r="W74" s="30">
        <f t="shared" si="19"/>
        <v>5.1973604615385312E-4</v>
      </c>
      <c r="X74" s="29">
        <f>_xll.qlDayCounterYearFraction(DayCounter,SettlementDate,S74,,,Trigger)</f>
        <v>28.419444444444444</v>
      </c>
      <c r="Y74" s="29">
        <f>_xll.qlDayCounterYearFraction(DayCounter,S74,T74)</f>
        <v>0.5083333333333333</v>
      </c>
      <c r="Z74" s="29">
        <f>IF($M$13,_xll.qlYieldTSDiscount(Currency&amp;"ON",S74)/(1+V74*Y74),1)</f>
        <v>1</v>
      </c>
      <c r="AA74" s="30">
        <f>_xll.qlTenorBasisValue(TenorBasis6M,S74,InterestRatesTrigger)</f>
        <v>3.5647116541338272E-4</v>
      </c>
      <c r="AB74" s="74">
        <f t="shared" si="17"/>
        <v>1.5010301584439705E-2</v>
      </c>
      <c r="AC74" s="76">
        <f t="shared" si="18"/>
        <v>0.98924017757360305</v>
      </c>
    </row>
    <row r="75" spans="16:29" x14ac:dyDescent="0.2">
      <c r="P75" s="33">
        <v>6</v>
      </c>
      <c r="Q75" s="27" t="str">
        <f>_xll.qlPeriodEquivalent(Q74&amp;"+"&amp;P75&amp;"M")</f>
        <v>28Y6M</v>
      </c>
      <c r="R75" s="28">
        <f>_xll.qlCalendarAdvance(Calendar,SettlementDate,Q75,"f",,Trigger)</f>
        <v>52691</v>
      </c>
      <c r="S75" s="28">
        <f>_xll.qlInterestRateIndexValueDate(Index,R75,Trigger)</f>
        <v>52693</v>
      </c>
      <c r="T75" s="28">
        <f>_xll.qlInterestRateIndexMaturity(Index,S75,Trigger)</f>
        <v>52876</v>
      </c>
      <c r="U75" s="30">
        <f>_xll.qlIndexFixing($M$5,R75,TRUE,InterestRatesTrigger)</f>
        <v>1.4709526941402753E-2</v>
      </c>
      <c r="V75" s="74">
        <f>_xll.qlIndexFixing(Index,R75,TRUE,InterestRatesTrigger)</f>
        <v>1.5199539760959665E-2</v>
      </c>
      <c r="W75" s="30">
        <f t="shared" si="19"/>
        <v>4.9001281955691166E-4</v>
      </c>
      <c r="X75" s="29">
        <f>_xll.qlDayCounterYearFraction(DayCounter,SettlementDate,S75,,,Trigger)</f>
        <v>28.927777777777777</v>
      </c>
      <c r="Y75" s="29">
        <f>_xll.qlDayCounterYearFraction(DayCounter,S75,T75)</f>
        <v>0.5083333333333333</v>
      </c>
      <c r="Z75" s="29">
        <f>IF($M$13,_xll.qlYieldTSDiscount(Currency&amp;"ON",S75)/(1+V75*Y75),1)</f>
        <v>1</v>
      </c>
      <c r="AA75" s="30">
        <f>_xll.qlTenorBasisValue(TenorBasis6M,S75,InterestRatesTrigger)</f>
        <v>3.4805417902045713E-4</v>
      </c>
      <c r="AB75" s="74">
        <f t="shared" si="17"/>
        <v>1.505758112042321E-2</v>
      </c>
      <c r="AC75" s="76">
        <f t="shared" si="18"/>
        <v>0.99066033295948352</v>
      </c>
    </row>
    <row r="76" spans="16:29" x14ac:dyDescent="0.2">
      <c r="P76" s="33">
        <v>6</v>
      </c>
      <c r="Q76" s="27" t="str">
        <f>_xll.qlPeriodEquivalent(Q75&amp;"+"&amp;P76&amp;"M")</f>
        <v>29Y</v>
      </c>
      <c r="R76" s="28">
        <f>_xll.qlCalendarAdvance(Calendar,SettlementDate,Q76,"f",,Trigger)</f>
        <v>52873</v>
      </c>
      <c r="S76" s="28">
        <f>_xll.qlInterestRateIndexValueDate(Index,R76,Trigger)</f>
        <v>52875</v>
      </c>
      <c r="T76" s="28">
        <f>_xll.qlInterestRateIndexMaturity(Index,S76,Trigger)</f>
        <v>53057</v>
      </c>
      <c r="U76" s="30">
        <f>_xll.qlIndexFixing($M$5,R76,TRUE,InterestRatesTrigger)</f>
        <v>1.4791596579053538E-2</v>
      </c>
      <c r="V76" s="74">
        <f>_xll.qlIndexFixing(Index,R76,TRUE,InterestRatesTrigger)</f>
        <v>1.5244015966388061E-2</v>
      </c>
      <c r="W76" s="30">
        <f t="shared" si="19"/>
        <v>4.5241938733452287E-4</v>
      </c>
      <c r="X76" s="29">
        <f>_xll.qlDayCounterYearFraction(DayCounter,SettlementDate,S76,,,Trigger)</f>
        <v>29.433333333333334</v>
      </c>
      <c r="Y76" s="29">
        <f>_xll.qlDayCounterYearFraction(DayCounter,S76,T76)</f>
        <v>0.50555555555555554</v>
      </c>
      <c r="Z76" s="29">
        <f>IF($M$13,_xll.qlYieldTSDiscount(Currency&amp;"ON",S76)/(1+V76*Y76),1)</f>
        <v>1</v>
      </c>
      <c r="AA76" s="30">
        <f>_xll.qlTenorBasisValue(TenorBasis6M,S76,InterestRatesTrigger)</f>
        <v>3.4034503534242574E-4</v>
      </c>
      <c r="AB76" s="74">
        <f t="shared" si="17"/>
        <v>1.5131941614395964E-2</v>
      </c>
      <c r="AC76" s="76">
        <f t="shared" si="18"/>
        <v>0.99264797726273624</v>
      </c>
    </row>
    <row r="77" spans="16:29" x14ac:dyDescent="0.2">
      <c r="P77" s="33">
        <v>6</v>
      </c>
      <c r="Q77" s="27" t="str">
        <f>_xll.qlPeriodEquivalent(Q76&amp;"+"&amp;P77&amp;"M")</f>
        <v>29Y6M</v>
      </c>
      <c r="R77" s="28">
        <f>_xll.qlCalendarAdvance(Calendar,SettlementDate,Q77,"f",,Trigger)</f>
        <v>53055</v>
      </c>
      <c r="S77" s="28">
        <f>_xll.qlInterestRateIndexValueDate(Index,R77,Trigger)</f>
        <v>53057</v>
      </c>
      <c r="T77" s="28">
        <f>_xll.qlInterestRateIndexMaturity(Index,S77,Trigger)</f>
        <v>53240</v>
      </c>
      <c r="U77" s="30">
        <f>_xll.qlIndexFixing($M$5,R77,TRUE,InterestRatesTrigger)</f>
        <v>1.4902012088795892E-2</v>
      </c>
      <c r="V77" s="74">
        <f>_xll.qlIndexFixing(Index,R77,TRUE,InterestRatesTrigger)</f>
        <v>1.5308526850080209E-2</v>
      </c>
      <c r="W77" s="30">
        <f t="shared" si="19"/>
        <v>4.0651476128431702E-4</v>
      </c>
      <c r="X77" s="29">
        <f>_xll.qlDayCounterYearFraction(DayCounter,SettlementDate,S77,,,Trigger)</f>
        <v>29.93888888888889</v>
      </c>
      <c r="Y77" s="29">
        <f>_xll.qlDayCounterYearFraction(DayCounter,S77,T77)</f>
        <v>0.5083333333333333</v>
      </c>
      <c r="Z77" s="29">
        <f>IF($M$13,_xll.qlYieldTSDiscount(Currency&amp;"ON",S77)/(1+V77*Y77),1)</f>
        <v>1</v>
      </c>
      <c r="AA77" s="30">
        <f>_xll.qlTenorBasisValue(TenorBasis6M,S77,InterestRatesTrigger)</f>
        <v>3.33246556866406E-4</v>
      </c>
      <c r="AB77" s="74">
        <f t="shared" si="17"/>
        <v>1.5235258645662298E-2</v>
      </c>
      <c r="AC77" s="76">
        <f t="shared" si="18"/>
        <v>0.99521389581535558</v>
      </c>
    </row>
    <row r="78" spans="16:29" x14ac:dyDescent="0.2">
      <c r="P78" s="33">
        <v>6</v>
      </c>
      <c r="Q78" s="27" t="str">
        <f>_xll.qlPeriodEquivalent(Q77&amp;"+"&amp;P78&amp;"M")</f>
        <v>30Y</v>
      </c>
      <c r="R78" s="28">
        <f>_xll.qlCalendarAdvance(Calendar,SettlementDate,Q78,"f",,Trigger)</f>
        <v>53237</v>
      </c>
      <c r="S78" s="28">
        <f>_xll.qlInterestRateIndexValueDate(Index,R78,Trigger)</f>
        <v>53239</v>
      </c>
      <c r="T78" s="28">
        <f>_xll.qlInterestRateIndexMaturity(Index,S78,Trigger)</f>
        <v>53421</v>
      </c>
      <c r="U78" s="30">
        <f>_xll.qlIndexFixing($M$5,R78,TRUE,InterestRatesTrigger)</f>
        <v>1.502975524026501E-2</v>
      </c>
      <c r="V78" s="74">
        <f>_xll.qlIndexFixing(Index,R78,TRUE,InterestRatesTrigger)</f>
        <v>1.538537269180486E-2</v>
      </c>
      <c r="W78" s="30">
        <f t="shared" si="19"/>
        <v>3.5561745153984969E-4</v>
      </c>
      <c r="X78" s="29">
        <f>_xll.qlDayCounterYearFraction(DayCounter,SettlementDate,S78,,,Trigger)</f>
        <v>30.444444444444443</v>
      </c>
      <c r="Y78" s="29">
        <f>_xll.qlDayCounterYearFraction(DayCounter,S78,T78)</f>
        <v>0.50555555555555554</v>
      </c>
      <c r="Z78" s="29">
        <f>IF($M$13,_xll.qlYieldTSDiscount(Currency&amp;"ON",S78)/(1+V78*Y78),1)</f>
        <v>1</v>
      </c>
      <c r="AA78" s="30">
        <f>_xll.qlTenorBasisValue(TenorBasis6M,S78,InterestRatesTrigger)</f>
        <v>3.2671281793906928E-4</v>
      </c>
      <c r="AB78" s="74">
        <f t="shared" si="17"/>
        <v>1.5356468058204079E-2</v>
      </c>
      <c r="AC78" s="76">
        <f t="shared" si="18"/>
        <v>0.99812129129532379</v>
      </c>
    </row>
    <row r="79" spans="16:29" x14ac:dyDescent="0.2">
      <c r="P79" s="33">
        <v>6</v>
      </c>
      <c r="Q79" s="27" t="str">
        <f>_xll.qlPeriodEquivalent(Q78&amp;"+"&amp;P79&amp;"M")</f>
        <v>30Y6M</v>
      </c>
      <c r="R79" s="28">
        <f>_xll.qlCalendarAdvance(Calendar,SettlementDate,Q79,"f",,Trigger)</f>
        <v>53419</v>
      </c>
      <c r="S79" s="28">
        <f>_xll.qlInterestRateIndexValueDate(Index,R79,Trigger)</f>
        <v>53421</v>
      </c>
      <c r="T79" s="28">
        <f>_xll.qlInterestRateIndexMaturity(Index,S79,Trigger)</f>
        <v>53604</v>
      </c>
      <c r="U79" s="30">
        <f>_xll.qlIndexFixing($M$5,R79,TRUE,InterestRatesTrigger)</f>
        <v>1.5144328077863652E-2</v>
      </c>
      <c r="V79" s="74">
        <f>_xll.qlIndexFixing(Index,R79,TRUE,InterestRatesTrigger)</f>
        <v>1.5454713146785624E-2</v>
      </c>
      <c r="W79" s="30">
        <f t="shared" si="19"/>
        <v>3.1038506892197212E-4</v>
      </c>
      <c r="X79" s="29">
        <f>_xll.qlDayCounterYearFraction(DayCounter,SettlementDate,S79,,,Trigger)</f>
        <v>30.95</v>
      </c>
      <c r="Y79" s="29">
        <f>_xll.qlDayCounterYearFraction(DayCounter,S79,T79)</f>
        <v>0.5083333333333333</v>
      </c>
      <c r="Z79" s="29">
        <f>IF($M$13,_xll.qlYieldTSDiscount(Currency&amp;"ON",S79)/(1+V79*Y79),1)</f>
        <v>1</v>
      </c>
      <c r="AA79" s="30">
        <f>_xll.qlTenorBasisValue(TenorBasis6M,S79,InterestRatesTrigger)</f>
        <v>3.2070105595248093E-4</v>
      </c>
      <c r="AB79" s="74">
        <f t="shared" si="17"/>
        <v>1.5465029133816132E-2</v>
      </c>
      <c r="AC79" s="76">
        <f t="shared" si="18"/>
        <v>1.0006674978003491</v>
      </c>
    </row>
    <row r="80" spans="16:29" x14ac:dyDescent="0.2">
      <c r="P80" s="33">
        <v>6</v>
      </c>
      <c r="Q80" s="27" t="str">
        <f>_xll.qlPeriodEquivalent(Q79&amp;"+"&amp;P80&amp;"M")</f>
        <v>31Y</v>
      </c>
      <c r="R80" s="28">
        <f>_xll.qlCalendarAdvance(Calendar,SettlementDate,Q80,"f",,Trigger)</f>
        <v>53602</v>
      </c>
      <c r="S80" s="28">
        <f>_xll.qlInterestRateIndexValueDate(Index,R80,Trigger)</f>
        <v>53604</v>
      </c>
      <c r="T80" s="28">
        <f>_xll.qlInterestRateIndexMaturity(Index,S80,Trigger)</f>
        <v>53786</v>
      </c>
      <c r="U80" s="30">
        <f>_xll.qlIndexFixing($M$5,R80,TRUE,InterestRatesTrigger)</f>
        <v>1.5235741811455426E-2</v>
      </c>
      <c r="V80" s="74">
        <f>_xll.qlIndexFixing(Index,R80,TRUE,InterestRatesTrigger)</f>
        <v>1.5509484264200459E-2</v>
      </c>
      <c r="W80" s="30">
        <f t="shared" si="19"/>
        <v>2.7374245274503287E-4</v>
      </c>
      <c r="X80" s="29">
        <f>_xll.qlDayCounterYearFraction(DayCounter,SettlementDate,S80,,,Trigger)</f>
        <v>31.458333333333332</v>
      </c>
      <c r="Y80" s="29">
        <f>_xll.qlDayCounterYearFraction(DayCounter,S80,T80)</f>
        <v>0.50555555555555554</v>
      </c>
      <c r="Z80" s="29">
        <f>IF($M$13,_xll.qlYieldTSDiscount(Currency&amp;"ON",S80)/(1+V80*Y80),1)</f>
        <v>1</v>
      </c>
      <c r="AA80" s="30">
        <f>_xll.qlTenorBasisValue(TenorBasis6M,S80,InterestRatesTrigger)</f>
        <v>3.1514237014511971E-4</v>
      </c>
      <c r="AB80" s="74">
        <f t="shared" si="17"/>
        <v>1.5550884181600546E-2</v>
      </c>
      <c r="AC80" s="76">
        <f t="shared" si="18"/>
        <v>1.0026693290824407</v>
      </c>
    </row>
    <row r="81" spans="16:29" x14ac:dyDescent="0.2">
      <c r="P81" s="33">
        <v>6</v>
      </c>
      <c r="Q81" s="27" t="str">
        <f>_xll.qlPeriodEquivalent(Q80&amp;"+"&amp;P81&amp;"M")</f>
        <v>31Y6M</v>
      </c>
      <c r="R81" s="28">
        <f>_xll.qlCalendarAdvance(Calendar,SettlementDate,Q81,"f",,Trigger)</f>
        <v>53784</v>
      </c>
      <c r="S81" s="28">
        <f>_xll.qlInterestRateIndexValueDate(Index,R81,Trigger)</f>
        <v>53786</v>
      </c>
      <c r="T81" s="28">
        <f>_xll.qlInterestRateIndexMaturity(Index,S81,Trigger)</f>
        <v>53969</v>
      </c>
      <c r="U81" s="30">
        <f>_xll.qlIndexFixing($M$5,R81,TRUE,InterestRatesTrigger)</f>
        <v>1.5305229814673551E-2</v>
      </c>
      <c r="V81" s="74">
        <f>_xll.qlIndexFixing(Index,R81,TRUE,InterestRatesTrigger)</f>
        <v>1.5550987044222517E-2</v>
      </c>
      <c r="W81" s="30">
        <f t="shared" si="19"/>
        <v>2.4575722954896587E-4</v>
      </c>
      <c r="X81" s="29">
        <f>_xll.qlDayCounterYearFraction(DayCounter,SettlementDate,S81,,,Trigger)</f>
        <v>31.963888888888889</v>
      </c>
      <c r="Y81" s="29">
        <f>_xll.qlDayCounterYearFraction(DayCounter,S81,T81)</f>
        <v>0.5083333333333333</v>
      </c>
      <c r="Z81" s="29">
        <f>IF($M$13,_xll.qlYieldTSDiscount(Currency&amp;"ON",S81)/(1+V81*Y81),1)</f>
        <v>1</v>
      </c>
      <c r="AA81" s="30">
        <f>_xll.qlTenorBasisValue(TenorBasis6M,S81,InterestRatesTrigger)</f>
        <v>3.1006037369783263E-4</v>
      </c>
      <c r="AB81" s="74">
        <f t="shared" si="17"/>
        <v>1.5615290188371383E-2</v>
      </c>
      <c r="AC81" s="76">
        <f t="shared" si="18"/>
        <v>1.0041349879570993</v>
      </c>
    </row>
    <row r="82" spans="16:29" x14ac:dyDescent="0.2">
      <c r="P82" s="33">
        <v>6</v>
      </c>
      <c r="Q82" s="27" t="str">
        <f>_xll.qlPeriodEquivalent(Q81&amp;"+"&amp;P82&amp;"M")</f>
        <v>32Y</v>
      </c>
      <c r="R82" s="28">
        <f>_xll.qlCalendarAdvance(Calendar,SettlementDate,Q82,"f",,Trigger)</f>
        <v>53967</v>
      </c>
      <c r="S82" s="28">
        <f>_xll.qlInterestRateIndexValueDate(Index,R82,Trigger)</f>
        <v>53969</v>
      </c>
      <c r="T82" s="28">
        <f>_xll.qlInterestRateIndexMaturity(Index,S82,Trigger)</f>
        <v>54155</v>
      </c>
      <c r="U82" s="30">
        <f>_xll.qlIndexFixing($M$5,R82,TRUE,InterestRatesTrigger)</f>
        <v>1.5353190232104075E-2</v>
      </c>
      <c r="V82" s="74">
        <f>_xll.qlIndexFixing(Index,R82,TRUE,InterestRatesTrigger)</f>
        <v>1.5579450856110195E-2</v>
      </c>
      <c r="W82" s="30">
        <f t="shared" si="19"/>
        <v>2.2626062400612004E-4</v>
      </c>
      <c r="X82" s="29">
        <f>_xll.qlDayCounterYearFraction(DayCounter,SettlementDate,S82,,,Trigger)</f>
        <v>32.472222222222221</v>
      </c>
      <c r="Y82" s="29">
        <f>_xll.qlDayCounterYearFraction(DayCounter,S82,T82)</f>
        <v>0.51666666666666672</v>
      </c>
      <c r="Z82" s="29">
        <f>IF($M$13,_xll.qlYieldTSDiscount(Currency&amp;"ON",S82)/(1+V82*Y82),1)</f>
        <v>1</v>
      </c>
      <c r="AA82" s="30">
        <f>_xll.qlTenorBasisValue(TenorBasis6M,S82,InterestRatesTrigger)</f>
        <v>3.0536448445186439E-4</v>
      </c>
      <c r="AB82" s="74">
        <f t="shared" si="17"/>
        <v>1.5658554716555938E-2</v>
      </c>
      <c r="AC82" s="76">
        <f t="shared" si="18"/>
        <v>1.0050774485683953</v>
      </c>
    </row>
    <row r="83" spans="16:29" x14ac:dyDescent="0.2">
      <c r="P83" s="33">
        <v>6</v>
      </c>
      <c r="Q83" s="27" t="str">
        <f>_xll.qlPeriodEquivalent(Q82&amp;"+"&amp;P83&amp;"M")</f>
        <v>32Y6M</v>
      </c>
      <c r="R83" s="28">
        <f>_xll.qlCalendarAdvance(Calendar,SettlementDate,Q83,"f",,Trigger)</f>
        <v>54150</v>
      </c>
      <c r="S83" s="28">
        <f>_xll.qlInterestRateIndexValueDate(Index,R83,Trigger)</f>
        <v>54156</v>
      </c>
      <c r="T83" s="28">
        <f>_xll.qlInterestRateIndexMaturity(Index,S83,Trigger)</f>
        <v>54339</v>
      </c>
      <c r="U83" s="30">
        <f>_xll.qlIndexFixing($M$5,R83,TRUE,InterestRatesTrigger)</f>
        <v>1.5376271847797994E-2</v>
      </c>
      <c r="V83" s="74">
        <f>_xll.qlIndexFixing(Index,R83,TRUE,InterestRatesTrigger)</f>
        <v>1.5591738713604468E-2</v>
      </c>
      <c r="W83" s="30">
        <f t="shared" si="19"/>
        <v>2.1546686580647435E-4</v>
      </c>
      <c r="X83" s="29">
        <f>_xll.qlDayCounterYearFraction(DayCounter,SettlementDate,S83,,,Trigger)</f>
        <v>32.991666666666667</v>
      </c>
      <c r="Y83" s="29">
        <f>_xll.qlDayCounterYearFraction(DayCounter,S83,T83)</f>
        <v>0.5083333333333333</v>
      </c>
      <c r="Z83" s="29">
        <f>IF($M$13,_xll.qlYieldTSDiscount(Currency&amp;"ON",S83)/(1+V83*Y83),1)</f>
        <v>1</v>
      </c>
      <c r="AA83" s="30">
        <f>_xll.qlTenorBasisValue(TenorBasis6M,S83,InterestRatesTrigger)</f>
        <v>3.009612178947749E-4</v>
      </c>
      <c r="AB83" s="74">
        <f t="shared" si="17"/>
        <v>1.5677233065692769E-2</v>
      </c>
      <c r="AC83" s="76">
        <f t="shared" si="18"/>
        <v>1.0054833109801733</v>
      </c>
    </row>
    <row r="84" spans="16:29" x14ac:dyDescent="0.2">
      <c r="P84" s="33">
        <v>6</v>
      </c>
      <c r="Q84" s="27" t="str">
        <f>_xll.qlPeriodEquivalent(Q83&amp;"+"&amp;P84&amp;"M")</f>
        <v>33Y</v>
      </c>
      <c r="R84" s="28">
        <f>_xll.qlCalendarAdvance(Calendar,SettlementDate,Q84,"f",,Trigger)</f>
        <v>54333</v>
      </c>
      <c r="S84" s="28">
        <f>_xll.qlInterestRateIndexValueDate(Index,R84,Trigger)</f>
        <v>54337</v>
      </c>
      <c r="T84" s="28">
        <f>_xll.qlInterestRateIndexMaturity(Index,S84,Trigger)</f>
        <v>54519</v>
      </c>
      <c r="U84" s="30">
        <f>_xll.qlIndexFixing($M$5,R84,TRUE,InterestRatesTrigger)</f>
        <v>1.5376969770002968E-2</v>
      </c>
      <c r="V84" s="74">
        <f>_xll.qlIndexFixing(Index,R84,TRUE,InterestRatesTrigger)</f>
        <v>1.5590518710463961E-2</v>
      </c>
      <c r="W84" s="30">
        <f t="shared" si="19"/>
        <v>2.1354894046099297E-4</v>
      </c>
      <c r="X84" s="29">
        <f>_xll.qlDayCounterYearFraction(DayCounter,SettlementDate,S84,,,Trigger)</f>
        <v>33.494444444444447</v>
      </c>
      <c r="Y84" s="29">
        <f>_xll.qlDayCounterYearFraction(DayCounter,S84,T84)</f>
        <v>0.50555555555555554</v>
      </c>
      <c r="Z84" s="29">
        <f>IF($M$13,_xll.qlYieldTSDiscount(Currency&amp;"ON",S84)/(1+V84*Y84),1)</f>
        <v>1</v>
      </c>
      <c r="AA84" s="30">
        <f>_xll.qlTenorBasisValue(TenorBasis6M,S84,InterestRatesTrigger)</f>
        <v>2.9704981260146438E-4</v>
      </c>
      <c r="AB84" s="74">
        <f t="shared" si="17"/>
        <v>1.5674019582604434E-2</v>
      </c>
      <c r="AC84" s="76">
        <f t="shared" si="18"/>
        <v>1.0053558751758804</v>
      </c>
    </row>
    <row r="85" spans="16:29" x14ac:dyDescent="0.2">
      <c r="P85" s="33">
        <v>6</v>
      </c>
      <c r="Q85" s="27" t="str">
        <f>_xll.qlPeriodEquivalent(Q84&amp;"+"&amp;P85&amp;"M")</f>
        <v>33Y6M</v>
      </c>
      <c r="R85" s="28">
        <f>_xll.qlCalendarAdvance(Calendar,SettlementDate,Q85,"f",,Trigger)</f>
        <v>54515</v>
      </c>
      <c r="S85" s="28">
        <f>_xll.qlInterestRateIndexValueDate(Index,R85,Trigger)</f>
        <v>54519</v>
      </c>
      <c r="T85" s="28">
        <f>_xll.qlInterestRateIndexMaturity(Index,S85,Trigger)</f>
        <v>54702</v>
      </c>
      <c r="U85" s="30">
        <f>_xll.qlIndexFixing($M$5,R85,TRUE,InterestRatesTrigger)</f>
        <v>1.535588393188291E-2</v>
      </c>
      <c r="V85" s="74">
        <f>_xll.qlIndexFixing(Index,R85,TRUE,InterestRatesTrigger)</f>
        <v>1.5576102072858096E-2</v>
      </c>
      <c r="W85" s="30">
        <f t="shared" si="19"/>
        <v>2.2021814097518584E-4</v>
      </c>
      <c r="X85" s="29">
        <f>_xll.qlDayCounterYearFraction(DayCounter,SettlementDate,S85,,,Trigger)</f>
        <v>34</v>
      </c>
      <c r="Y85" s="29">
        <f>_xll.qlDayCounterYearFraction(DayCounter,S85,T85)</f>
        <v>0.5083333333333333</v>
      </c>
      <c r="Z85" s="29">
        <f>IF($M$13,_xll.qlYieldTSDiscount(Currency&amp;"ON",S85)/(1+V85*Y85),1)</f>
        <v>1</v>
      </c>
      <c r="AA85" s="30">
        <f>_xll.qlTenorBasisValue(TenorBasis6M,S85,InterestRatesTrigger)</f>
        <v>2.9343707501371737E-4</v>
      </c>
      <c r="AB85" s="74">
        <f t="shared" si="17"/>
        <v>1.5649321006896626E-2</v>
      </c>
      <c r="AC85" s="76">
        <f t="shared" si="18"/>
        <v>1.0047007225361033</v>
      </c>
    </row>
    <row r="86" spans="16:29" x14ac:dyDescent="0.2">
      <c r="P86" s="33">
        <v>6</v>
      </c>
      <c r="Q86" s="27" t="str">
        <f>_xll.qlPeriodEquivalent(Q85&amp;"+"&amp;P86&amp;"M")</f>
        <v>34Y</v>
      </c>
      <c r="R86" s="28">
        <f>_xll.qlCalendarAdvance(Calendar,SettlementDate,Q86,"f",,Trigger)</f>
        <v>54700</v>
      </c>
      <c r="S86" s="28">
        <f>_xll.qlInterestRateIndexValueDate(Index,R86,Trigger)</f>
        <v>54702</v>
      </c>
      <c r="T86" s="28">
        <f>_xll.qlInterestRateIndexMaturity(Index,S86,Trigger)</f>
        <v>54884</v>
      </c>
      <c r="U86" s="30">
        <f>_xll.qlIndexFixing($M$5,R86,TRUE,InterestRatesTrigger)</f>
        <v>1.5311613958181635E-2</v>
      </c>
      <c r="V86" s="74">
        <f>_xll.qlIndexFixing(Index,R86,TRUE,InterestRatesTrigger)</f>
        <v>1.5547103133275234E-2</v>
      </c>
      <c r="W86" s="30">
        <f t="shared" si="19"/>
        <v>2.3548917509359953E-4</v>
      </c>
      <c r="X86" s="29">
        <f>_xll.qlDayCounterYearFraction(DayCounter,SettlementDate,S86,,,Trigger)</f>
        <v>34.508333333333333</v>
      </c>
      <c r="Y86" s="29">
        <f>_xll.qlDayCounterYearFraction(DayCounter,S86,T86)</f>
        <v>0.50555555555555554</v>
      </c>
      <c r="Z86" s="29">
        <f>IF($M$13,_xll.qlYieldTSDiscount(Currency&amp;"ON",S86)/(1+V86*Y86),1)</f>
        <v>1</v>
      </c>
      <c r="AA86" s="30">
        <f>_xll.qlTenorBasisValue(TenorBasis6M,S86,InterestRatesTrigger)</f>
        <v>2.9010279901209844E-4</v>
      </c>
      <c r="AB86" s="74">
        <f t="shared" si="17"/>
        <v>1.5601716757193733E-2</v>
      </c>
      <c r="AC86" s="76">
        <f t="shared" si="18"/>
        <v>1.0035127845650944</v>
      </c>
    </row>
    <row r="87" spans="16:29" x14ac:dyDescent="0.2">
      <c r="P87" s="33">
        <v>6</v>
      </c>
      <c r="Q87" s="27" t="str">
        <f>_xll.qlPeriodEquivalent(Q86&amp;"+"&amp;P87&amp;"M")</f>
        <v>34Y6M</v>
      </c>
      <c r="R87" s="28">
        <f>_xll.qlCalendarAdvance(Calendar,SettlementDate,Q87,"f",,Trigger)</f>
        <v>54882</v>
      </c>
      <c r="S87" s="28">
        <f>_xll.qlInterestRateIndexValueDate(Index,R87,Trigger)</f>
        <v>54884</v>
      </c>
      <c r="T87" s="28">
        <f>_xll.qlInterestRateIndexMaturity(Index,S87,Trigger)</f>
        <v>55067</v>
      </c>
      <c r="U87" s="30">
        <f>_xll.qlIndexFixing($M$5,R87,TRUE,InterestRatesTrigger)</f>
        <v>1.524542207747368E-2</v>
      </c>
      <c r="V87" s="74">
        <f>_xll.qlIndexFixing(Index,R87,TRUE,InterestRatesTrigger)</f>
        <v>1.5504838285753665E-2</v>
      </c>
      <c r="W87" s="30">
        <f t="shared" si="19"/>
        <v>2.5941620827998543E-4</v>
      </c>
      <c r="X87" s="29">
        <f>_xll.qlDayCounterYearFraction(DayCounter,SettlementDate,S87,,,Trigger)</f>
        <v>35.013888888888886</v>
      </c>
      <c r="Y87" s="29">
        <f>_xll.qlDayCounterYearFraction(DayCounter,S87,T87)</f>
        <v>0.5083333333333333</v>
      </c>
      <c r="Z87" s="29">
        <f>IF($M$13,_xll.qlYieldTSDiscount(Currency&amp;"ON",S87)/(1+V87*Y87),1)</f>
        <v>1</v>
      </c>
      <c r="AA87" s="30">
        <f>_xll.qlTenorBasisValue(TenorBasis6M,S87,InterestRatesTrigger)</f>
        <v>2.8705991082965778E-4</v>
      </c>
      <c r="AB87" s="74">
        <f t="shared" si="17"/>
        <v>1.5532481988303337E-2</v>
      </c>
      <c r="AC87" s="76">
        <f t="shared" si="18"/>
        <v>1.0017829081503593</v>
      </c>
    </row>
    <row r="88" spans="16:29" x14ac:dyDescent="0.2">
      <c r="P88" s="33">
        <v>6</v>
      </c>
      <c r="Q88" s="27" t="str">
        <f>_xll.qlPeriodEquivalent(Q87&amp;"+"&amp;P88&amp;"M")</f>
        <v>35Y</v>
      </c>
      <c r="R88" s="28">
        <f>_xll.qlCalendarAdvance(Calendar,SettlementDate,Q88,"f",,Trigger)</f>
        <v>55064</v>
      </c>
      <c r="S88" s="28">
        <f>_xll.qlInterestRateIndexValueDate(Index,R88,Trigger)</f>
        <v>55066</v>
      </c>
      <c r="T88" s="28">
        <f>_xll.qlInterestRateIndexMaturity(Index,S88,Trigger)</f>
        <v>55248</v>
      </c>
      <c r="U88" s="30">
        <f>_xll.qlIndexFixing($M$5,R88,TRUE,InterestRatesTrigger)</f>
        <v>1.5156608544864078E-2</v>
      </c>
      <c r="V88" s="74">
        <f>_xll.qlIndexFixing(Index,R88,TRUE,InterestRatesTrigger)</f>
        <v>1.5445912809501843E-2</v>
      </c>
      <c r="W88" s="30">
        <f t="shared" si="19"/>
        <v>2.8930426463776547E-4</v>
      </c>
      <c r="X88" s="29">
        <f>_xll.qlDayCounterYearFraction(DayCounter,SettlementDate,S88,,,Trigger)</f>
        <v>35.519444444444446</v>
      </c>
      <c r="Y88" s="29">
        <f>_xll.qlDayCounterYearFraction(DayCounter,S88,T88)</f>
        <v>0.50555555555555554</v>
      </c>
      <c r="Z88" s="29">
        <f>IF($M$13,_xll.qlYieldTSDiscount(Currency&amp;"ON",S88)/(1+V88*Y88),1)</f>
        <v>1</v>
      </c>
      <c r="AA88" s="30">
        <f>_xll.qlTenorBasisValue(TenorBasis6M,S88,InterestRatesTrigger)</f>
        <v>2.8426775497857639E-4</v>
      </c>
      <c r="AB88" s="74">
        <f t="shared" si="17"/>
        <v>1.5440876299842653E-2</v>
      </c>
      <c r="AC88" s="76">
        <f t="shared" si="18"/>
        <v>0.99967392605919081</v>
      </c>
    </row>
    <row r="89" spans="16:29" x14ac:dyDescent="0.2">
      <c r="P89" s="33">
        <v>6</v>
      </c>
      <c r="Q89" s="27" t="str">
        <f>_xll.qlPeriodEquivalent(Q88&amp;"+"&amp;P89&amp;"M")</f>
        <v>35Y6M</v>
      </c>
      <c r="R89" s="28">
        <f>_xll.qlCalendarAdvance(Calendar,SettlementDate,Q89,"f",,Trigger)</f>
        <v>55247</v>
      </c>
      <c r="S89" s="28">
        <f>_xll.qlInterestRateIndexValueDate(Index,R89,Trigger)</f>
        <v>55249</v>
      </c>
      <c r="T89" s="28">
        <f>_xll.qlInterestRateIndexMaturity(Index,S89,Trigger)</f>
        <v>55432</v>
      </c>
      <c r="U89" s="30">
        <f>_xll.qlIndexFixing($M$5,R89,TRUE,InterestRatesTrigger)</f>
        <v>1.5044766534909186E-2</v>
      </c>
      <c r="V89" s="74">
        <f>_xll.qlIndexFixing(Index,R89,TRUE,InterestRatesTrigger)</f>
        <v>1.5360984729733457E-2</v>
      </c>
      <c r="W89" s="30">
        <f t="shared" si="19"/>
        <v>3.1621819482427135E-4</v>
      </c>
      <c r="X89" s="29">
        <f>_xll.qlDayCounterYearFraction(DayCounter,SettlementDate,S89,,,Trigger)</f>
        <v>36.027777777777779</v>
      </c>
      <c r="Y89" s="29">
        <f>_xll.qlDayCounterYearFraction(DayCounter,S89,T89)</f>
        <v>0.5083333333333333</v>
      </c>
      <c r="Z89" s="29">
        <f>IF($M$13,_xll.qlYieldTSDiscount(Currency&amp;"ON",S89)/(1+V89*Y89),1)</f>
        <v>1</v>
      </c>
      <c r="AA89" s="30">
        <f>_xll.qlTenorBasisValue(TenorBasis6M,S89,InterestRatesTrigger)</f>
        <v>2.8169285126140636E-4</v>
      </c>
      <c r="AB89" s="74">
        <f t="shared" si="17"/>
        <v>1.5326459386170593E-2</v>
      </c>
      <c r="AC89" s="76">
        <f t="shared" si="18"/>
        <v>0.99775240037209101</v>
      </c>
    </row>
    <row r="90" spans="16:29" x14ac:dyDescent="0.2">
      <c r="P90" s="33">
        <v>6</v>
      </c>
      <c r="Q90" s="27" t="str">
        <f>_xll.qlPeriodEquivalent(Q89&amp;"+"&amp;P90&amp;"M")</f>
        <v>36Y</v>
      </c>
      <c r="R90" s="28">
        <f>_xll.qlCalendarAdvance(Calendar,SettlementDate,Q90,"f",,Trigger)</f>
        <v>55428</v>
      </c>
      <c r="S90" s="28">
        <f>_xll.qlInterestRateIndexValueDate(Index,R90,Trigger)</f>
        <v>55430</v>
      </c>
      <c r="T90" s="28">
        <f>_xll.qlInterestRateIndexMaturity(Index,S90,Trigger)</f>
        <v>55613</v>
      </c>
      <c r="U90" s="30">
        <f>_xll.qlIndexFixing($M$5,R90,TRUE,InterestRatesTrigger)</f>
        <v>1.491181861251268E-2</v>
      </c>
      <c r="V90" s="74">
        <f>_xll.qlIndexFixing(Index,R90,TRUE,InterestRatesTrigger)</f>
        <v>1.5249044431221784E-2</v>
      </c>
      <c r="W90" s="30">
        <f t="shared" si="19"/>
        <v>3.3722581870910401E-4</v>
      </c>
      <c r="X90" s="29">
        <f>_xll.qlDayCounterYearFraction(DayCounter,SettlementDate,S90,,,Trigger)</f>
        <v>36.530555555555559</v>
      </c>
      <c r="Y90" s="29">
        <f>_xll.qlDayCounterYearFraction(DayCounter,S90,T90)</f>
        <v>0.5083333333333333</v>
      </c>
      <c r="Z90" s="29">
        <f>IF($M$13,_xll.qlYieldTSDiscount(Currency&amp;"ON",S90)/(1+V90*Y90),1)</f>
        <v>1</v>
      </c>
      <c r="AA90" s="30">
        <f>_xll.qlTenorBasisValue(TenorBasis6M,S90,InterestRatesTrigger)</f>
        <v>2.7935712690987854E-4</v>
      </c>
      <c r="AB90" s="74">
        <f t="shared" si="17"/>
        <v>1.5191175739422559E-2</v>
      </c>
      <c r="AC90" s="76">
        <f t="shared" si="18"/>
        <v>0.99620509389554002</v>
      </c>
    </row>
    <row r="91" spans="16:29" x14ac:dyDescent="0.2">
      <c r="P91" s="33">
        <v>6</v>
      </c>
      <c r="Q91" s="27" t="str">
        <f>_xll.qlPeriodEquivalent(Q90&amp;"+"&amp;P91&amp;"M")</f>
        <v>36Y6M</v>
      </c>
      <c r="R91" s="28">
        <f>_xll.qlCalendarAdvance(Calendar,SettlementDate,Q91,"f",,Trigger)</f>
        <v>55611</v>
      </c>
      <c r="S91" s="28">
        <f>_xll.qlInterestRateIndexValueDate(Index,R91,Trigger)</f>
        <v>55613</v>
      </c>
      <c r="T91" s="28">
        <f>_xll.qlInterestRateIndexMaturity(Index,S91,Trigger)</f>
        <v>55796</v>
      </c>
      <c r="U91" s="30">
        <f>_xll.qlIndexFixing($M$5,R91,TRUE,InterestRatesTrigger)</f>
        <v>1.475486460848258E-2</v>
      </c>
      <c r="V91" s="74">
        <f>_xll.qlIndexFixing(Index,R91,TRUE,InterestRatesTrigger)</f>
        <v>1.5107746910511106E-2</v>
      </c>
      <c r="W91" s="30">
        <f t="shared" si="19"/>
        <v>3.52882302028526E-4</v>
      </c>
      <c r="X91" s="29">
        <f>_xll.qlDayCounterYearFraction(DayCounter,SettlementDate,S91,,,Trigger)</f>
        <v>37.038888888888891</v>
      </c>
      <c r="Y91" s="29">
        <f>_xll.qlDayCounterYearFraction(DayCounter,S91,T91)</f>
        <v>0.5083333333333333</v>
      </c>
      <c r="Z91" s="29">
        <f>IF($M$13,_xll.qlYieldTSDiscount(Currency&amp;"ON",S91)/(1+V91*Y91),1)</f>
        <v>1</v>
      </c>
      <c r="AA91" s="30">
        <f>_xll.qlTenorBasisValue(TenorBasis6M,S91,InterestRatesTrigger)</f>
        <v>2.7719177092155796E-4</v>
      </c>
      <c r="AB91" s="74">
        <f t="shared" si="17"/>
        <v>1.5032056379404139E-2</v>
      </c>
      <c r="AC91" s="76">
        <f t="shared" si="18"/>
        <v>0.9949899524028758</v>
      </c>
    </row>
    <row r="92" spans="16:29" x14ac:dyDescent="0.2">
      <c r="P92" s="33">
        <v>6</v>
      </c>
      <c r="Q92" s="27" t="str">
        <f>_xll.qlPeriodEquivalent(Q91&amp;"+"&amp;P92&amp;"M")</f>
        <v>37Y</v>
      </c>
      <c r="R92" s="28">
        <f>_xll.qlCalendarAdvance(Calendar,SettlementDate,Q92,"f",,Trigger)</f>
        <v>55794</v>
      </c>
      <c r="S92" s="28">
        <f>_xll.qlInterestRateIndexValueDate(Index,R92,Trigger)</f>
        <v>55796</v>
      </c>
      <c r="T92" s="28">
        <f>_xll.qlInterestRateIndexMaturity(Index,S92,Trigger)</f>
        <v>55982</v>
      </c>
      <c r="U92" s="30">
        <f>_xll.qlIndexFixing($M$5,R92,TRUE,InterestRatesTrigger)</f>
        <v>1.4574540896065099E-2</v>
      </c>
      <c r="V92" s="74">
        <f>_xll.qlIndexFixing(Index,R92,TRUE,InterestRatesTrigger)</f>
        <v>1.4937562265810066E-2</v>
      </c>
      <c r="W92" s="30">
        <f t="shared" si="19"/>
        <v>3.6302136974496711E-4</v>
      </c>
      <c r="X92" s="29">
        <f>_xll.qlDayCounterYearFraction(DayCounter,SettlementDate,S92,,,Trigger)</f>
        <v>37.547222222222224</v>
      </c>
      <c r="Y92" s="29">
        <f>_xll.qlDayCounterYearFraction(DayCounter,S92,T92)</f>
        <v>0.51666666666666672</v>
      </c>
      <c r="Z92" s="29">
        <f>IF($M$13,_xll.qlYieldTSDiscount(Currency&amp;"ON",S92)/(1+V92*Y92),1)</f>
        <v>1</v>
      </c>
      <c r="AA92" s="30">
        <f>_xll.qlTenorBasisValue(TenorBasis6M,S92,InterestRatesTrigger)</f>
        <v>2.7520771789015723E-4</v>
      </c>
      <c r="AB92" s="74">
        <f t="shared" si="17"/>
        <v>1.4849748613955256E-2</v>
      </c>
      <c r="AC92" s="76">
        <f t="shared" si="18"/>
        <v>0.9941212863054768</v>
      </c>
    </row>
    <row r="93" spans="16:29" x14ac:dyDescent="0.2">
      <c r="P93" s="33">
        <v>6</v>
      </c>
      <c r="Q93" s="27" t="str">
        <f>_xll.qlPeriodEquivalent(Q92&amp;"+"&amp;P93&amp;"M")</f>
        <v>37Y6M</v>
      </c>
      <c r="R93" s="28">
        <f>_xll.qlCalendarAdvance(Calendar,SettlementDate,Q93,"f",,Trigger)</f>
        <v>55976</v>
      </c>
      <c r="S93" s="28">
        <f>_xll.qlInterestRateIndexValueDate(Index,R93,Trigger)</f>
        <v>55982</v>
      </c>
      <c r="T93" s="28">
        <f>_xll.qlInterestRateIndexMaturity(Index,S93,Trigger)</f>
        <v>56165</v>
      </c>
      <c r="U93" s="30">
        <f>_xll.qlIndexFixing($M$5,R93,TRUE,InterestRatesTrigger)</f>
        <v>1.4369491867596248E-2</v>
      </c>
      <c r="V93" s="74">
        <f>_xll.qlIndexFixing(Index,R93,TRUE,InterestRatesTrigger)</f>
        <v>1.473687426595497E-2</v>
      </c>
      <c r="W93" s="30">
        <f t="shared" si="19"/>
        <v>3.6738239835872218E-4</v>
      </c>
      <c r="X93" s="29">
        <f>_xll.qlDayCounterYearFraction(DayCounter,SettlementDate,S93,,,Trigger)</f>
        <v>38.06388888888889</v>
      </c>
      <c r="Y93" s="29">
        <f>_xll.qlDayCounterYearFraction(DayCounter,S93,T93)</f>
        <v>0.5083333333333333</v>
      </c>
      <c r="Z93" s="29">
        <f>IF($M$13,_xll.qlYieldTSDiscount(Currency&amp;"ON",S93)/(1+V93*Y93),1)</f>
        <v>1</v>
      </c>
      <c r="AA93" s="30">
        <f>_xll.qlTenorBasisValue(TenorBasis6M,S93,InterestRatesTrigger)</f>
        <v>2.7336171459427629E-4</v>
      </c>
      <c r="AB93" s="74">
        <f t="shared" si="17"/>
        <v>1.4642853582190524E-2</v>
      </c>
      <c r="AC93" s="76">
        <f t="shared" si="18"/>
        <v>0.99362003895346707</v>
      </c>
    </row>
    <row r="94" spans="16:29" x14ac:dyDescent="0.2">
      <c r="P94" s="33">
        <v>6</v>
      </c>
      <c r="Q94" s="27" t="str">
        <f>_xll.qlPeriodEquivalent(Q93&amp;"+"&amp;P94&amp;"M")</f>
        <v>38Y</v>
      </c>
      <c r="R94" s="28">
        <f>_xll.qlCalendarAdvance(Calendar,SettlementDate,Q94,"f",,Trigger)</f>
        <v>56159</v>
      </c>
      <c r="S94" s="28">
        <f>_xll.qlInterestRateIndexValueDate(Index,R94,Trigger)</f>
        <v>56163</v>
      </c>
      <c r="T94" s="28">
        <f>_xll.qlInterestRateIndexMaturity(Index,S94,Trigger)</f>
        <v>56345</v>
      </c>
      <c r="U94" s="30">
        <f>_xll.qlIndexFixing($M$5,R94,TRUE,InterestRatesTrigger)</f>
        <v>1.4147182458867095E-2</v>
      </c>
      <c r="V94" s="74">
        <f>_xll.qlIndexFixing(Index,R94,TRUE,InterestRatesTrigger)</f>
        <v>1.4513336425447625E-2</v>
      </c>
      <c r="W94" s="30">
        <f t="shared" si="19"/>
        <v>3.6615396658053016E-4</v>
      </c>
      <c r="X94" s="29">
        <f>_xll.qlDayCounterYearFraction(DayCounter,SettlementDate,S94,,,Trigger)</f>
        <v>38.56666666666667</v>
      </c>
      <c r="Y94" s="29">
        <f>_xll.qlDayCounterYearFraction(DayCounter,S94,T94)</f>
        <v>0.50555555555555554</v>
      </c>
      <c r="Z94" s="29">
        <f>IF($M$13,_xll.qlYieldTSDiscount(Currency&amp;"ON",S94)/(1+V94*Y94),1)</f>
        <v>1</v>
      </c>
      <c r="AA94" s="30">
        <f>_xll.qlTenorBasisValue(TenorBasis6M,S94,InterestRatesTrigger)</f>
        <v>2.71716906981729E-4</v>
      </c>
      <c r="AB94" s="74">
        <f t="shared" si="17"/>
        <v>1.4418899365848824E-2</v>
      </c>
      <c r="AC94" s="76">
        <f t="shared" si="18"/>
        <v>0.99349308409655446</v>
      </c>
    </row>
    <row r="95" spans="16:29" x14ac:dyDescent="0.2">
      <c r="P95" s="33">
        <v>6</v>
      </c>
      <c r="Q95" s="27" t="str">
        <f>_xll.qlPeriodEquivalent(Q94&amp;"+"&amp;P95&amp;"M")</f>
        <v>38Y6M</v>
      </c>
      <c r="R95" s="28">
        <f>_xll.qlCalendarAdvance(Calendar,SettlementDate,Q95,"f",,Trigger)</f>
        <v>56341</v>
      </c>
      <c r="S95" s="28">
        <f>_xll.qlInterestRateIndexValueDate(Index,R95,Trigger)</f>
        <v>56345</v>
      </c>
      <c r="T95" s="28">
        <f>_xll.qlInterestRateIndexMaturity(Index,S95,Trigger)</f>
        <v>56528</v>
      </c>
      <c r="U95" s="30">
        <f>_xll.qlIndexFixing($M$5,R95,TRUE,InterestRatesTrigger)</f>
        <v>1.3900559026180089E-2</v>
      </c>
      <c r="V95" s="74">
        <f>_xll.qlIndexFixing(Index,R95,TRUE,InterestRatesTrigger)</f>
        <v>1.425994751265271E-2</v>
      </c>
      <c r="W95" s="30">
        <f t="shared" si="19"/>
        <v>3.5938848647262128E-4</v>
      </c>
      <c r="X95" s="29">
        <f>_xll.qlDayCounterYearFraction(DayCounter,SettlementDate,S95,,,Trigger)</f>
        <v>39.072222222222223</v>
      </c>
      <c r="Y95" s="29">
        <f>_xll.qlDayCounterYearFraction(DayCounter,S95,T95)</f>
        <v>0.5083333333333333</v>
      </c>
      <c r="Z95" s="29">
        <f>IF($M$13,_xll.qlYieldTSDiscount(Currency&amp;"ON",S95)/(1+V95*Y95),1)</f>
        <v>1</v>
      </c>
      <c r="AA95" s="30">
        <f>_xll.qlTenorBasisValue(TenorBasis6M,S95,InterestRatesTrigger)</f>
        <v>2.7020139594115451E-4</v>
      </c>
      <c r="AB95" s="74">
        <f t="shared" si="17"/>
        <v>1.4170760422121243E-2</v>
      </c>
      <c r="AC95" s="76">
        <f t="shared" si="18"/>
        <v>0.9937456228045487</v>
      </c>
    </row>
    <row r="96" spans="16:29" x14ac:dyDescent="0.2">
      <c r="P96" s="33">
        <v>6</v>
      </c>
      <c r="Q96" s="27" t="str">
        <f>_xll.qlPeriodEquivalent(Q95&amp;"+"&amp;P96&amp;"M")</f>
        <v>39Y</v>
      </c>
      <c r="R96" s="28">
        <f>_xll.qlCalendarAdvance(Calendar,SettlementDate,Q96,"f",,Trigger)</f>
        <v>56524</v>
      </c>
      <c r="S96" s="28">
        <f>_xll.qlInterestRateIndexValueDate(Index,R96,Trigger)</f>
        <v>56528</v>
      </c>
      <c r="T96" s="28">
        <f>_xll.qlInterestRateIndexMaturity(Index,S96,Trigger)</f>
        <v>56710</v>
      </c>
      <c r="U96" s="30">
        <f>_xll.qlIndexFixing($M$5,R96,TRUE,InterestRatesTrigger)</f>
        <v>1.3630918653464247E-2</v>
      </c>
      <c r="V96" s="74">
        <f>_xll.qlIndexFixing(Index,R96,TRUE,InterestRatesTrigger)</f>
        <v>1.3977943249156133E-2</v>
      </c>
      <c r="W96" s="30">
        <f t="shared" si="19"/>
        <v>3.4702459569188604E-4</v>
      </c>
      <c r="X96" s="29">
        <f>_xll.qlDayCounterYearFraction(DayCounter,SettlementDate,S96,,,Trigger)</f>
        <v>39.580555555555556</v>
      </c>
      <c r="Y96" s="29">
        <f>_xll.qlDayCounterYearFraction(DayCounter,S96,T96)</f>
        <v>0.50555555555555554</v>
      </c>
      <c r="Z96" s="29">
        <f>IF($M$13,_xll.qlYieldTSDiscount(Currency&amp;"ON",S96)/(1+V96*Y96),1)</f>
        <v>1</v>
      </c>
      <c r="AA96" s="30">
        <f>_xll.qlTenorBasisValue(TenorBasis6M,S96,InterestRatesTrigger)</f>
        <v>2.6880601945393132E-4</v>
      </c>
      <c r="AB96" s="74">
        <f t="shared" si="17"/>
        <v>1.3899724672918178E-2</v>
      </c>
      <c r="AC96" s="76">
        <f t="shared" si="18"/>
        <v>0.9944041426665059</v>
      </c>
    </row>
    <row r="97" spans="16:29" x14ac:dyDescent="0.2">
      <c r="P97" s="33">
        <v>6</v>
      </c>
      <c r="Q97" s="27" t="str">
        <f>_xll.qlPeriodEquivalent(Q96&amp;"+"&amp;P97&amp;"M")</f>
        <v>39Y6M</v>
      </c>
      <c r="R97" s="28">
        <f>_xll.qlCalendarAdvance(Calendar,SettlementDate,Q97,"f",,Trigger)</f>
        <v>56706</v>
      </c>
      <c r="S97" s="28">
        <f>_xll.qlInterestRateIndexValueDate(Index,R97,Trigger)</f>
        <v>56710</v>
      </c>
      <c r="T97" s="28">
        <f>_xll.qlInterestRateIndexMaturity(Index,S97,Trigger)</f>
        <v>56893</v>
      </c>
      <c r="U97" s="30">
        <f>_xll.qlIndexFixing($M$5,R97,TRUE,InterestRatesTrigger)</f>
        <v>1.3339279111664208E-2</v>
      </c>
      <c r="V97" s="74">
        <f>_xll.qlIndexFixing(Index,R97,TRUE,InterestRatesTrigger)</f>
        <v>1.3668388324072148E-2</v>
      </c>
      <c r="W97" s="30">
        <f t="shared" si="19"/>
        <v>3.291092124079395E-4</v>
      </c>
      <c r="X97" s="29">
        <f>_xll.qlDayCounterYearFraction(DayCounter,SettlementDate,S97,,,Trigger)</f>
        <v>40.086111111111109</v>
      </c>
      <c r="Y97" s="29">
        <f>_xll.qlDayCounterYearFraction(DayCounter,S97,T97)</f>
        <v>0.5083333333333333</v>
      </c>
      <c r="Z97" s="29">
        <f>IF($M$13,_xll.qlYieldTSDiscount(Currency&amp;"ON",S97)/(1+V97*Y97),1)</f>
        <v>1</v>
      </c>
      <c r="AA97" s="30">
        <f>_xll.qlTenorBasisValue(TenorBasis6M,S97,InterestRatesTrigger)</f>
        <v>2.6753552128412628E-4</v>
      </c>
      <c r="AB97" s="74">
        <f t="shared" si="17"/>
        <v>1.3606814632948334E-2</v>
      </c>
      <c r="AC97" s="76">
        <f t="shared" si="18"/>
        <v>0.99549517546151567</v>
      </c>
    </row>
    <row r="98" spans="16:29" x14ac:dyDescent="0.2">
      <c r="P98" s="33">
        <v>6</v>
      </c>
      <c r="Q98" s="27" t="str">
        <f>_xll.qlPeriodEquivalent(Q97&amp;"+"&amp;P98&amp;"M")</f>
        <v>40Y</v>
      </c>
      <c r="R98" s="28">
        <f>_xll.qlCalendarAdvance(Calendar,SettlementDate,Q98,"f",,Trigger)</f>
        <v>56891</v>
      </c>
      <c r="S98" s="28">
        <f>_xll.qlInterestRateIndexValueDate(Index,R98,Trigger)</f>
        <v>56893</v>
      </c>
      <c r="T98" s="28">
        <f>_xll.qlInterestRateIndexMaturity(Index,S98,Trigger)</f>
        <v>57076</v>
      </c>
      <c r="U98" s="30">
        <f>_xll.qlIndexFixing($M$5,R98,TRUE,InterestRatesTrigger)</f>
        <v>1.3032197167707042E-2</v>
      </c>
      <c r="V98" s="74">
        <f>_xll.qlIndexFixing(Index,R98,TRUE,InterestRatesTrigger)</f>
        <v>1.3338990508330191E-2</v>
      </c>
      <c r="W98" s="30">
        <f t="shared" si="19"/>
        <v>3.0679334062314913E-4</v>
      </c>
      <c r="X98" s="29">
        <f>_xll.qlDayCounterYearFraction(DayCounter,SettlementDate,S98,,,Trigger)</f>
        <v>40.594444444444441</v>
      </c>
      <c r="Y98" s="29">
        <f>_xll.qlDayCounterYearFraction(DayCounter,S98,T98)</f>
        <v>0.5083333333333333</v>
      </c>
      <c r="Z98" s="29">
        <f>IF($M$13,_xll.qlYieldTSDiscount(Currency&amp;"ON",S98)/(1+V98*Y98),1)</f>
        <v>1</v>
      </c>
      <c r="AA98" s="30">
        <f>_xll.qlTenorBasisValue(TenorBasis6M,S98,InterestRatesTrigger)</f>
        <v>2.6636619884053576E-4</v>
      </c>
      <c r="AB98" s="74">
        <f t="shared" si="17"/>
        <v>1.3298563366547578E-2</v>
      </c>
      <c r="AC98" s="76">
        <f t="shared" si="18"/>
        <v>0.99696925027742045</v>
      </c>
    </row>
    <row r="99" spans="16:29" x14ac:dyDescent="0.2">
      <c r="P99" s="33">
        <v>6</v>
      </c>
      <c r="Q99" s="27" t="str">
        <f>_xll.qlPeriodEquivalent(Q98&amp;"+"&amp;P99&amp;"M")</f>
        <v>40Y6M</v>
      </c>
      <c r="R99" s="28">
        <f>_xll.qlCalendarAdvance(Calendar,SettlementDate,Q99,"f",,Trigger)</f>
        <v>57074</v>
      </c>
      <c r="S99" s="28">
        <f>_xll.qlInterestRateIndexValueDate(Index,R99,Trigger)</f>
        <v>57076</v>
      </c>
      <c r="T99" s="28">
        <f>_xll.qlInterestRateIndexMaturity(Index,S99,Trigger)</f>
        <v>57259</v>
      </c>
      <c r="U99" s="30">
        <f>_xll.qlIndexFixing($M$5,R99,TRUE,InterestRatesTrigger)</f>
        <v>1.2742357470704235E-2</v>
      </c>
      <c r="V99" s="74">
        <f>_xll.qlIndexFixing(Index,R99,TRUE,InterestRatesTrigger)</f>
        <v>1.3027334369805861E-2</v>
      </c>
      <c r="W99" s="30">
        <f t="shared" si="19"/>
        <v>2.8497689910162577E-4</v>
      </c>
      <c r="X99" s="29">
        <f>_xll.qlDayCounterYearFraction(DayCounter,SettlementDate,S99,,,Trigger)</f>
        <v>41.102777777777774</v>
      </c>
      <c r="Y99" s="29">
        <f>_xll.qlDayCounterYearFraction(DayCounter,S99,T99)</f>
        <v>0.5083333333333333</v>
      </c>
      <c r="Z99" s="29">
        <f>IF($M$13,_xll.qlYieldTSDiscount(Currency&amp;"ON",S99)/(1+V99*Y99),1)</f>
        <v>1</v>
      </c>
      <c r="AA99" s="30">
        <f>_xll.qlTenorBasisValue(TenorBasis6M,S99,InterestRatesTrigger)</f>
        <v>2.6529634312002831E-4</v>
      </c>
      <c r="AB99" s="74">
        <f t="shared" ref="AB99:AB130" si="20">AA99+U99</f>
        <v>1.3007653813824264E-2</v>
      </c>
      <c r="AC99" s="76">
        <f t="shared" ref="AC99:AC130" si="21">AB99/V99</f>
        <v>0.99848928756851352</v>
      </c>
    </row>
    <row r="100" spans="16:29" x14ac:dyDescent="0.2">
      <c r="P100" s="33">
        <v>6</v>
      </c>
      <c r="Q100" s="27" t="str">
        <f>_xll.qlPeriodEquivalent(Q99&amp;"+"&amp;P100&amp;"M")</f>
        <v>41Y</v>
      </c>
      <c r="R100" s="28">
        <f>_xll.qlCalendarAdvance(Calendar,SettlementDate,Q100,"f",,Trigger)</f>
        <v>57255</v>
      </c>
      <c r="S100" s="28">
        <f>_xll.qlInterestRateIndexValueDate(Index,R100,Trigger)</f>
        <v>57257</v>
      </c>
      <c r="T100" s="28">
        <f>_xll.qlInterestRateIndexMaturity(Index,S100,Trigger)</f>
        <v>57439</v>
      </c>
      <c r="U100" s="30">
        <f>_xll.qlIndexFixing($M$5,R100,TRUE,InterestRatesTrigger)</f>
        <v>1.2480636268300356E-2</v>
      </c>
      <c r="V100" s="74">
        <f>_xll.qlIndexFixing(Index,R100,TRUE,InterestRatesTrigger)</f>
        <v>1.2745721276851325E-2</v>
      </c>
      <c r="W100" s="30">
        <f t="shared" si="19"/>
        <v>2.6508500855096893E-4</v>
      </c>
      <c r="X100" s="29">
        <f>_xll.qlDayCounterYearFraction(DayCounter,SettlementDate,S100,,,Trigger)</f>
        <v>41.605555555555554</v>
      </c>
      <c r="Y100" s="29">
        <f>_xll.qlDayCounterYearFraction(DayCounter,S100,T100)</f>
        <v>0.50555555555555554</v>
      </c>
      <c r="Z100" s="29">
        <f>IF($M$13,_xll.qlYieldTSDiscount(Currency&amp;"ON",S100)/(1+V100*Y100),1)</f>
        <v>1</v>
      </c>
      <c r="AA100" s="30">
        <f>_xll.qlTenorBasisValue(TenorBasis6M,S100,InterestRatesTrigger)</f>
        <v>2.6432790584806048E-4</v>
      </c>
      <c r="AB100" s="74">
        <f t="shared" si="20"/>
        <v>1.2744964174148415E-2</v>
      </c>
      <c r="AC100" s="76">
        <f t="shared" si="21"/>
        <v>0.99994059946185354</v>
      </c>
    </row>
    <row r="101" spans="16:29" x14ac:dyDescent="0.2">
      <c r="P101" s="33">
        <v>6</v>
      </c>
      <c r="Q101" s="27" t="str">
        <f>_xll.qlPeriodEquivalent(Q100&amp;"+"&amp;P101&amp;"M")</f>
        <v>41Y6M</v>
      </c>
      <c r="R101" s="28">
        <f>_xll.qlCalendarAdvance(Calendar,SettlementDate,Q101,"f",,Trigger)</f>
        <v>57437</v>
      </c>
      <c r="S101" s="28">
        <f>_xll.qlInterestRateIndexValueDate(Index,R101,Trigger)</f>
        <v>57439</v>
      </c>
      <c r="T101" s="28">
        <f>_xll.qlInterestRateIndexMaturity(Index,S101,Trigger)</f>
        <v>57622</v>
      </c>
      <c r="U101" s="30">
        <f>_xll.qlIndexFixing($M$5,R101,TRUE,InterestRatesTrigger)</f>
        <v>1.2241084555869714E-2</v>
      </c>
      <c r="V101" s="74">
        <f>_xll.qlIndexFixing(Index,R101,TRUE,InterestRatesTrigger)</f>
        <v>1.2487728333459779E-2</v>
      </c>
      <c r="W101" s="30">
        <f t="shared" si="19"/>
        <v>2.4664377759006477E-4</v>
      </c>
      <c r="X101" s="29">
        <f>_xll.qlDayCounterYearFraction(DayCounter,SettlementDate,S101,,,Trigger)</f>
        <v>42.111111111111114</v>
      </c>
      <c r="Y101" s="29">
        <f>_xll.qlDayCounterYearFraction(DayCounter,S101,T101)</f>
        <v>0.5083333333333333</v>
      </c>
      <c r="Z101" s="29">
        <f>IF($M$13,_xll.qlYieldTSDiscount(Currency&amp;"ON",S101)/(1+V101*Y101),1)</f>
        <v>1</v>
      </c>
      <c r="AA101" s="30">
        <f>_xll.qlTenorBasisValue(TenorBasis6M,S101,InterestRatesTrigger)</f>
        <v>2.6343662207481481E-4</v>
      </c>
      <c r="AB101" s="74">
        <f t="shared" si="20"/>
        <v>1.2504521177944528E-2</v>
      </c>
      <c r="AC101" s="76">
        <f t="shared" si="21"/>
        <v>1.00134474774245</v>
      </c>
    </row>
    <row r="102" spans="16:29" x14ac:dyDescent="0.2">
      <c r="P102" s="33">
        <v>6</v>
      </c>
      <c r="Q102" s="27" t="str">
        <f>_xll.qlPeriodEquivalent(Q101&amp;"+"&amp;P102&amp;"M")</f>
        <v>42Y</v>
      </c>
      <c r="R102" s="28">
        <f>_xll.qlCalendarAdvance(Calendar,SettlementDate,Q102,"f",,Trigger)</f>
        <v>57620</v>
      </c>
      <c r="S102" s="28">
        <f>_xll.qlInterestRateIndexValueDate(Index,R102,Trigger)</f>
        <v>57622</v>
      </c>
      <c r="T102" s="28">
        <f>_xll.qlInterestRateIndexMaturity(Index,S102,Trigger)</f>
        <v>57804</v>
      </c>
      <c r="U102" s="30">
        <f>_xll.qlIndexFixing($M$5,R102,TRUE,InterestRatesTrigger)</f>
        <v>1.2025833159505613E-2</v>
      </c>
      <c r="V102" s="74">
        <f>_xll.qlIndexFixing(Index,R102,TRUE,InterestRatesTrigger)</f>
        <v>1.2255675901508892E-2</v>
      </c>
      <c r="W102" s="30">
        <f t="shared" si="19"/>
        <v>2.298427420032792E-4</v>
      </c>
      <c r="X102" s="29">
        <f>_xll.qlDayCounterYearFraction(DayCounter,SettlementDate,S102,,,Trigger)</f>
        <v>42.619444444444447</v>
      </c>
      <c r="Y102" s="29">
        <f>_xll.qlDayCounterYearFraction(DayCounter,S102,T102)</f>
        <v>0.50555555555555554</v>
      </c>
      <c r="Z102" s="29">
        <f>IF($M$13,_xll.qlYieldTSDiscount(Currency&amp;"ON",S102)/(1+V102*Y102),1)</f>
        <v>1</v>
      </c>
      <c r="AA102" s="30">
        <f>_xll.qlTenorBasisValue(TenorBasis6M,S102,InterestRatesTrigger)</f>
        <v>2.6261691309744495E-4</v>
      </c>
      <c r="AB102" s="74">
        <f t="shared" si="20"/>
        <v>1.2288450072603058E-2</v>
      </c>
      <c r="AC102" s="76">
        <f t="shared" si="21"/>
        <v>1.0026742034758058</v>
      </c>
    </row>
    <row r="103" spans="16:29" x14ac:dyDescent="0.2">
      <c r="P103" s="33">
        <v>6</v>
      </c>
      <c r="Q103" s="27" t="str">
        <f>_xll.qlPeriodEquivalent(Q102&amp;"+"&amp;P103&amp;"M")</f>
        <v>42Y6M</v>
      </c>
      <c r="R103" s="28">
        <f>_xll.qlCalendarAdvance(Calendar,SettlementDate,Q103,"f",,Trigger)</f>
        <v>57802</v>
      </c>
      <c r="S103" s="28">
        <f>_xll.qlInterestRateIndexValueDate(Index,R103,Trigger)</f>
        <v>57804</v>
      </c>
      <c r="T103" s="28">
        <f>_xll.qlInterestRateIndexMaturity(Index,S103,Trigger)</f>
        <v>57987</v>
      </c>
      <c r="U103" s="30">
        <f>_xll.qlIndexFixing($M$5,R103,TRUE,InterestRatesTrigger)</f>
        <v>1.1835736424351304E-2</v>
      </c>
      <c r="V103" s="74">
        <f>_xll.qlIndexFixing(Index,R103,TRUE,InterestRatesTrigger)</f>
        <v>1.2050452579444948E-2</v>
      </c>
      <c r="W103" s="30">
        <f t="shared" si="19"/>
        <v>2.1471615509364474E-4</v>
      </c>
      <c r="X103" s="29">
        <f>_xll.qlDayCounterYearFraction(DayCounter,SettlementDate,S103,,,Trigger)</f>
        <v>43.125</v>
      </c>
      <c r="Y103" s="29">
        <f>_xll.qlDayCounterYearFraction(DayCounter,S103,T103)</f>
        <v>0.5083333333333333</v>
      </c>
      <c r="Z103" s="29">
        <f>IF($M$13,_xll.qlYieldTSDiscount(Currency&amp;"ON",S103)/(1+V103*Y103),1)</f>
        <v>1</v>
      </c>
      <c r="AA103" s="30">
        <f>_xll.qlTenorBasisValue(TenorBasis6M,S103,InterestRatesTrigger)</f>
        <v>2.6187138027168898E-4</v>
      </c>
      <c r="AB103" s="74">
        <f t="shared" si="20"/>
        <v>1.2097607804622993E-2</v>
      </c>
      <c r="AC103" s="76">
        <f t="shared" si="21"/>
        <v>1.0039131497233955</v>
      </c>
    </row>
    <row r="104" spans="16:29" x14ac:dyDescent="0.2">
      <c r="P104" s="33">
        <v>6</v>
      </c>
      <c r="Q104" s="27" t="str">
        <f>_xll.qlPeriodEquivalent(Q103&amp;"+"&amp;P104&amp;"M")</f>
        <v>43Y</v>
      </c>
      <c r="R104" s="28">
        <f>_xll.qlCalendarAdvance(Calendar,SettlementDate,Q104,"f",,Trigger)</f>
        <v>57985</v>
      </c>
      <c r="S104" s="28">
        <f>_xll.qlInterestRateIndexValueDate(Index,R104,Trigger)</f>
        <v>57987</v>
      </c>
      <c r="T104" s="28">
        <f>_xll.qlInterestRateIndexMaturity(Index,S104,Trigger)</f>
        <v>58169</v>
      </c>
      <c r="U104" s="30">
        <f>_xll.qlIndexFixing($M$5,R104,TRUE,InterestRatesTrigger)</f>
        <v>1.166995193358145E-2</v>
      </c>
      <c r="V104" s="74">
        <f>_xll.qlIndexFixing(Index,R104,TRUE,InterestRatesTrigger)</f>
        <v>1.1871182104930844E-2</v>
      </c>
      <c r="W104" s="30">
        <f t="shared" si="19"/>
        <v>2.012301713493949E-4</v>
      </c>
      <c r="X104" s="29">
        <f>_xll.qlDayCounterYearFraction(DayCounter,SettlementDate,S104,,,Trigger)</f>
        <v>43.633333333333333</v>
      </c>
      <c r="Y104" s="29">
        <f>_xll.qlDayCounterYearFraction(DayCounter,S104,T104)</f>
        <v>0.50555555555555554</v>
      </c>
      <c r="Z104" s="29">
        <f>IF($M$13,_xll.qlYieldTSDiscount(Currency&amp;"ON",S104)/(1+V104*Y104),1)</f>
        <v>1</v>
      </c>
      <c r="AA104" s="30">
        <f>_xll.qlTenorBasisValue(TenorBasis6M,S104,InterestRatesTrigger)</f>
        <v>2.6118594863987351E-4</v>
      </c>
      <c r="AB104" s="74">
        <f t="shared" si="20"/>
        <v>1.1931137882221323E-2</v>
      </c>
      <c r="AC104" s="76">
        <f t="shared" si="21"/>
        <v>1.0050505313422473</v>
      </c>
    </row>
    <row r="105" spans="16:29" x14ac:dyDescent="0.2">
      <c r="P105" s="33">
        <v>6</v>
      </c>
      <c r="Q105" s="27" t="str">
        <f>_xll.qlPeriodEquivalent(Q104&amp;"+"&amp;P105&amp;"M")</f>
        <v>43Y6M</v>
      </c>
      <c r="R105" s="28">
        <f>_xll.qlCalendarAdvance(Calendar,SettlementDate,Q105,"f",,Trigger)</f>
        <v>58167</v>
      </c>
      <c r="S105" s="28">
        <f>_xll.qlInterestRateIndexValueDate(Index,R105,Trigger)</f>
        <v>58169</v>
      </c>
      <c r="T105" s="28">
        <f>_xll.qlInterestRateIndexMaturity(Index,S105,Trigger)</f>
        <v>58354</v>
      </c>
      <c r="U105" s="30">
        <f>_xll.qlIndexFixing($M$5,R105,TRUE,InterestRatesTrigger)</f>
        <v>1.1528972847341534E-2</v>
      </c>
      <c r="V105" s="74">
        <f>_xll.qlIndexFixing(Index,R105,TRUE,InterestRatesTrigger)</f>
        <v>1.1718340600804088E-2</v>
      </c>
      <c r="W105" s="30">
        <f t="shared" si="19"/>
        <v>1.8936775346255381E-4</v>
      </c>
      <c r="X105" s="29">
        <f>_xll.qlDayCounterYearFraction(DayCounter,SettlementDate,S105,,,Trigger)</f>
        <v>44.138888888888886</v>
      </c>
      <c r="Y105" s="29">
        <f>_xll.qlDayCounterYearFraction(DayCounter,S105,T105)</f>
        <v>0.51388888888888884</v>
      </c>
      <c r="Z105" s="29">
        <f>IF($M$13,_xll.qlYieldTSDiscount(Currency&amp;"ON",S105)/(1+V105*Y105),1)</f>
        <v>1</v>
      </c>
      <c r="AA105" s="30">
        <f>_xll.qlTenorBasisValue(TenorBasis6M,S105,InterestRatesTrigger)</f>
        <v>2.6056274697958684E-4</v>
      </c>
      <c r="AB105" s="74">
        <f t="shared" si="20"/>
        <v>1.178953559432112E-2</v>
      </c>
      <c r="AC105" s="76">
        <f t="shared" si="21"/>
        <v>1.0060755183641059</v>
      </c>
    </row>
    <row r="106" spans="16:29" x14ac:dyDescent="0.2">
      <c r="P106" s="33">
        <v>6</v>
      </c>
      <c r="Q106" s="27" t="str">
        <f>_xll.qlPeriodEquivalent(Q105&amp;"+"&amp;P106&amp;"M")</f>
        <v>44Y</v>
      </c>
      <c r="R106" s="28">
        <f>_xll.qlCalendarAdvance(Calendar,SettlementDate,Q106,"f",,Trigger)</f>
        <v>58350</v>
      </c>
      <c r="S106" s="28">
        <f>_xll.qlInterestRateIndexValueDate(Index,R106,Trigger)</f>
        <v>58354</v>
      </c>
      <c r="T106" s="28">
        <f>_xll.qlInterestRateIndexMaturity(Index,S106,Trigger)</f>
        <v>58537</v>
      </c>
      <c r="U106" s="30">
        <f>_xll.qlIndexFixing($M$5,R106,TRUE,InterestRatesTrigger)</f>
        <v>1.1411711807363913E-2</v>
      </c>
      <c r="V106" s="74">
        <f>_xll.qlIndexFixing(Index,R106,TRUE,InterestRatesTrigger)</f>
        <v>1.1590829663941385E-2</v>
      </c>
      <c r="W106" s="30">
        <f t="shared" si="19"/>
        <v>1.7911785657747162E-4</v>
      </c>
      <c r="X106" s="29">
        <f>_xll.qlDayCounterYearFraction(DayCounter,SettlementDate,S106,,,Trigger)</f>
        <v>44.652777777777779</v>
      </c>
      <c r="Y106" s="29">
        <f>_xll.qlDayCounterYearFraction(DayCounter,S106,T106)</f>
        <v>0.5083333333333333</v>
      </c>
      <c r="Z106" s="29">
        <f>IF($M$13,_xll.qlYieldTSDiscount(Currency&amp;"ON",S106)/(1+V106*Y106),1)</f>
        <v>1</v>
      </c>
      <c r="AA106" s="30">
        <f>_xll.qlTenorBasisValue(TenorBasis6M,S106,InterestRatesTrigger)</f>
        <v>2.5998398929917885E-4</v>
      </c>
      <c r="AB106" s="74">
        <f t="shared" si="20"/>
        <v>1.1671695796663092E-2</v>
      </c>
      <c r="AC106" s="76">
        <f t="shared" si="21"/>
        <v>1.0069767337685307</v>
      </c>
    </row>
    <row r="107" spans="16:29" x14ac:dyDescent="0.2">
      <c r="P107" s="33">
        <v>6</v>
      </c>
      <c r="Q107" s="27" t="str">
        <f>_xll.qlPeriodEquivalent(Q106&amp;"+"&amp;P107&amp;"M")</f>
        <v>44Y6M</v>
      </c>
      <c r="R107" s="28">
        <f>_xll.qlCalendarAdvance(Calendar,SettlementDate,Q107,"f",,Trigger)</f>
        <v>58533</v>
      </c>
      <c r="S107" s="28">
        <f>_xll.qlInterestRateIndexValueDate(Index,R107,Trigger)</f>
        <v>58537</v>
      </c>
      <c r="T107" s="28">
        <f>_xll.qlInterestRateIndexMaturity(Index,S107,Trigger)</f>
        <v>58720</v>
      </c>
      <c r="U107" s="30">
        <f>_xll.qlIndexFixing($M$5,R107,TRUE,InterestRatesTrigger)</f>
        <v>1.1320388779286525E-2</v>
      </c>
      <c r="V107" s="74">
        <f>_xll.qlIndexFixing(Index,R107,TRUE,InterestRatesTrigger)</f>
        <v>1.1490993621316276E-2</v>
      </c>
      <c r="W107" s="30">
        <f t="shared" si="19"/>
        <v>1.7060484202975103E-4</v>
      </c>
      <c r="X107" s="29">
        <f>_xll.qlDayCounterYearFraction(DayCounter,SettlementDate,S107,,,Trigger)</f>
        <v>45.161111111111111</v>
      </c>
      <c r="Y107" s="29">
        <f>_xll.qlDayCounterYearFraction(DayCounter,S107,T107)</f>
        <v>0.5083333333333333</v>
      </c>
      <c r="Z107" s="29">
        <f>IF($M$13,_xll.qlYieldTSDiscount(Currency&amp;"ON",S107)/(1+V107*Y107),1)</f>
        <v>1</v>
      </c>
      <c r="AA107" s="30">
        <f>_xll.qlTenorBasisValue(TenorBasis6M,S107,InterestRatesTrigger)</f>
        <v>2.5946115846631906E-4</v>
      </c>
      <c r="AB107" s="74">
        <f t="shared" si="20"/>
        <v>1.1579849937752844E-2</v>
      </c>
      <c r="AC107" s="76">
        <f t="shared" si="21"/>
        <v>1.0077326921730889</v>
      </c>
    </row>
    <row r="108" spans="16:29" x14ac:dyDescent="0.2">
      <c r="P108" s="33">
        <v>6</v>
      </c>
      <c r="Q108" s="27" t="str">
        <f>_xll.qlPeriodEquivalent(Q107&amp;"+"&amp;P108&amp;"M")</f>
        <v>45Y</v>
      </c>
      <c r="R108" s="28">
        <f>_xll.qlCalendarAdvance(Calendar,SettlementDate,Q108,"f",,Trigger)</f>
        <v>58718</v>
      </c>
      <c r="S108" s="28">
        <f>_xll.qlInterestRateIndexValueDate(Index,R108,Trigger)</f>
        <v>58720</v>
      </c>
      <c r="T108" s="28">
        <f>_xll.qlInterestRateIndexMaturity(Index,S108,Trigger)</f>
        <v>58902</v>
      </c>
      <c r="U108" s="30">
        <f>_xll.qlIndexFixing($M$5,R108,TRUE,InterestRatesTrigger)</f>
        <v>1.1253867006114577E-2</v>
      </c>
      <c r="V108" s="74">
        <f>_xll.qlIndexFixing(Index,R108,TRUE,InterestRatesTrigger)</f>
        <v>1.1417631810218905E-2</v>
      </c>
      <c r="W108" s="30">
        <f t="shared" si="19"/>
        <v>1.6376480410432853E-4</v>
      </c>
      <c r="X108" s="29">
        <f>_xll.qlDayCounterYearFraction(DayCounter,SettlementDate,S108,,,Trigger)</f>
        <v>45.669444444444444</v>
      </c>
      <c r="Y108" s="29">
        <f>_xll.qlDayCounterYearFraction(DayCounter,S108,T108)</f>
        <v>0.50555555555555554</v>
      </c>
      <c r="Z108" s="29">
        <f>IF($M$13,_xll.qlYieldTSDiscount(Currency&amp;"ON",S108)/(1+V108*Y108),1)</f>
        <v>1</v>
      </c>
      <c r="AA108" s="30">
        <f>_xll.qlTenorBasisValue(TenorBasis6M,S108,InterestRatesTrigger)</f>
        <v>2.5898352164888355E-4</v>
      </c>
      <c r="AB108" s="74">
        <f t="shared" si="20"/>
        <v>1.1512850527763459E-2</v>
      </c>
      <c r="AC108" s="76">
        <f t="shared" si="21"/>
        <v>1.0083396206084814</v>
      </c>
    </row>
    <row r="109" spans="16:29" x14ac:dyDescent="0.2">
      <c r="P109" s="33">
        <v>6</v>
      </c>
      <c r="Q109" s="27" t="str">
        <f>_xll.qlPeriodEquivalent(Q108&amp;"+"&amp;P109&amp;"M")</f>
        <v>45Y6M</v>
      </c>
      <c r="R109" s="28">
        <f>_xll.qlCalendarAdvance(Calendar,SettlementDate,Q109,"f",,Trigger)</f>
        <v>58900</v>
      </c>
      <c r="S109" s="28">
        <f>_xll.qlInterestRateIndexValueDate(Index,R109,Trigger)</f>
        <v>58902</v>
      </c>
      <c r="T109" s="28">
        <f>_xll.qlInterestRateIndexMaturity(Index,S109,Trigger)</f>
        <v>59085</v>
      </c>
      <c r="U109" s="30">
        <f>_xll.qlIndexFixing($M$5,R109,TRUE,InterestRatesTrigger)</f>
        <v>1.1212421192193261E-2</v>
      </c>
      <c r="V109" s="74">
        <f>_xll.qlIndexFixing(Index,R109,TRUE,InterestRatesTrigger)</f>
        <v>1.1371010660767917E-2</v>
      </c>
      <c r="W109" s="30">
        <f t="shared" si="19"/>
        <v>1.5858946857465542E-4</v>
      </c>
      <c r="X109" s="29">
        <f>_xll.qlDayCounterYearFraction(DayCounter,SettlementDate,S109,,,Trigger)</f>
        <v>46.174999999999997</v>
      </c>
      <c r="Y109" s="29">
        <f>_xll.qlDayCounterYearFraction(DayCounter,S109,T109)</f>
        <v>0.5083333333333333</v>
      </c>
      <c r="Z109" s="29">
        <f>IF($M$13,_xll.qlYieldTSDiscount(Currency&amp;"ON",S109)/(1+V109*Y109),1)</f>
        <v>1</v>
      </c>
      <c r="AA109" s="30">
        <f>_xll.qlTenorBasisValue(TenorBasis6M,S109,InterestRatesTrigger)</f>
        <v>2.5854951479483264E-4</v>
      </c>
      <c r="AB109" s="74">
        <f t="shared" si="20"/>
        <v>1.1470970706988094E-2</v>
      </c>
      <c r="AC109" s="76">
        <f t="shared" si="21"/>
        <v>1.0087907793952791</v>
      </c>
    </row>
    <row r="110" spans="16:29" x14ac:dyDescent="0.2">
      <c r="P110" s="33">
        <v>6</v>
      </c>
      <c r="Q110" s="27" t="str">
        <f>_xll.qlPeriodEquivalent(Q109&amp;"+"&amp;P110&amp;"M")</f>
        <v>46Y</v>
      </c>
      <c r="R110" s="28">
        <f>_xll.qlCalendarAdvance(Calendar,SettlementDate,Q110,"f",,Trigger)</f>
        <v>59082</v>
      </c>
      <c r="S110" s="28">
        <f>_xll.qlInterestRateIndexValueDate(Index,R110,Trigger)</f>
        <v>59084</v>
      </c>
      <c r="T110" s="28">
        <f>_xll.qlInterestRateIndexMaturity(Index,S110,Trigger)</f>
        <v>59266</v>
      </c>
      <c r="U110" s="30">
        <f>_xll.qlIndexFixing($M$5,R110,TRUE,InterestRatesTrigger)</f>
        <v>1.1195329675046443E-2</v>
      </c>
      <c r="V110" s="74">
        <f>_xll.qlIndexFixing(Index,R110,TRUE,InterestRatesTrigger)</f>
        <v>1.1350399745358045E-2</v>
      </c>
      <c r="W110" s="30">
        <f t="shared" si="19"/>
        <v>1.5507007031160223E-4</v>
      </c>
      <c r="X110" s="29">
        <f>_xll.qlDayCounterYearFraction(DayCounter,SettlementDate,S110,,,Trigger)</f>
        <v>46.680555555555557</v>
      </c>
      <c r="Y110" s="29">
        <f>_xll.qlDayCounterYearFraction(DayCounter,S110,T110)</f>
        <v>0.50555555555555554</v>
      </c>
      <c r="Z110" s="29">
        <f>IF($M$13,_xll.qlYieldTSDiscount(Currency&amp;"ON",S110)/(1+V110*Y110),1)</f>
        <v>1</v>
      </c>
      <c r="AA110" s="30">
        <f>_xll.qlTenorBasisValue(TenorBasis6M,S110,InterestRatesTrigger)</f>
        <v>2.5815294267251838E-4</v>
      </c>
      <c r="AB110" s="74">
        <f t="shared" si="20"/>
        <v>1.145348261771896E-2</v>
      </c>
      <c r="AC110" s="76">
        <f t="shared" si="21"/>
        <v>1.0090818715352359</v>
      </c>
    </row>
    <row r="111" spans="16:29" x14ac:dyDescent="0.2">
      <c r="P111" s="33">
        <v>6</v>
      </c>
      <c r="Q111" s="27" t="str">
        <f>_xll.qlPeriodEquivalent(Q110&amp;"+"&amp;P111&amp;"M")</f>
        <v>46Y6M</v>
      </c>
      <c r="R111" s="28">
        <f>_xll.qlCalendarAdvance(Calendar,SettlementDate,Q111,"f",,Trigger)</f>
        <v>59264</v>
      </c>
      <c r="S111" s="28">
        <f>_xll.qlInterestRateIndexValueDate(Index,R111,Trigger)</f>
        <v>59266</v>
      </c>
      <c r="T111" s="28">
        <f>_xll.qlInterestRateIndexMaturity(Index,S111,Trigger)</f>
        <v>59449</v>
      </c>
      <c r="U111" s="30">
        <f>_xll.qlIndexFixing($M$5,R111,TRUE,InterestRatesTrigger)</f>
        <v>1.1203147462998856E-2</v>
      </c>
      <c r="V111" s="74">
        <f>_xll.qlIndexFixing(Index,R111,TRUE,InterestRatesTrigger)</f>
        <v>1.1356337856250297E-2</v>
      </c>
      <c r="W111" s="30">
        <f t="shared" si="19"/>
        <v>1.5319039325144106E-4</v>
      </c>
      <c r="X111" s="29">
        <f>_xll.qlDayCounterYearFraction(DayCounter,SettlementDate,S111,,,Trigger)</f>
        <v>47.18611111111111</v>
      </c>
      <c r="Y111" s="29">
        <f>_xll.qlDayCounterYearFraction(DayCounter,S111,T111)</f>
        <v>0.5083333333333333</v>
      </c>
      <c r="Z111" s="29">
        <f>IF($M$13,_xll.qlYieldTSDiscount(Currency&amp;"ON",S111)/(1+V111*Y111),1)</f>
        <v>1</v>
      </c>
      <c r="AA111" s="30">
        <f>_xll.qlTenorBasisValue(TenorBasis6M,S111,InterestRatesTrigger)</f>
        <v>2.5779062678886916E-4</v>
      </c>
      <c r="AB111" s="74">
        <f t="shared" si="20"/>
        <v>1.1460938089787726E-2</v>
      </c>
      <c r="AC111" s="76">
        <f t="shared" si="21"/>
        <v>1.0092107363184744</v>
      </c>
    </row>
    <row r="112" spans="16:29" x14ac:dyDescent="0.2">
      <c r="P112" s="33">
        <v>6</v>
      </c>
      <c r="Q112" s="27" t="str">
        <f>_xll.qlPeriodEquivalent(Q111&amp;"+"&amp;P112&amp;"M")</f>
        <v>47Y</v>
      </c>
      <c r="R112" s="28">
        <f>_xll.qlCalendarAdvance(Calendar,SettlementDate,Q112,"f",,Trigger)</f>
        <v>59446</v>
      </c>
      <c r="S112" s="28">
        <f>_xll.qlInterestRateIndexValueDate(Index,R112,Trigger)</f>
        <v>59448</v>
      </c>
      <c r="T112" s="28">
        <f>_xll.qlInterestRateIndexMaturity(Index,S112,Trigger)</f>
        <v>59630</v>
      </c>
      <c r="U112" s="30">
        <f>_xll.qlIndexFixing($M$5,R112,TRUE,InterestRatesTrigger)</f>
        <v>1.123504983856867E-2</v>
      </c>
      <c r="V112" s="74">
        <f>_xll.qlIndexFixing(Index,R112,TRUE,InterestRatesTrigger)</f>
        <v>1.1387998544459004E-2</v>
      </c>
      <c r="W112" s="30">
        <f t="shared" si="19"/>
        <v>1.5294870589033401E-4</v>
      </c>
      <c r="X112" s="29">
        <f>_xll.qlDayCounterYearFraction(DayCounter,SettlementDate,S112,,,Trigger)</f>
        <v>47.69166666666667</v>
      </c>
      <c r="Y112" s="29">
        <f>_xll.qlDayCounterYearFraction(DayCounter,S112,T112)</f>
        <v>0.50555555555555554</v>
      </c>
      <c r="Z112" s="29">
        <f>IF($M$13,_xll.qlYieldTSDiscount(Currency&amp;"ON",S112)/(1+V112*Y112),1)</f>
        <v>1</v>
      </c>
      <c r="AA112" s="30">
        <f>_xll.qlTenorBasisValue(TenorBasis6M,S112,InterestRatesTrigger)</f>
        <v>2.5745965302845003E-4</v>
      </c>
      <c r="AB112" s="74">
        <f t="shared" si="20"/>
        <v>1.149250949159712E-2</v>
      </c>
      <c r="AC112" s="76">
        <f t="shared" si="21"/>
        <v>1.0091772884172845</v>
      </c>
    </row>
    <row r="113" spans="16:29" x14ac:dyDescent="0.2">
      <c r="P113" s="33">
        <v>6</v>
      </c>
      <c r="Q113" s="27" t="str">
        <f>_xll.qlPeriodEquivalent(Q112&amp;"+"&amp;P113&amp;"M")</f>
        <v>47Y6M</v>
      </c>
      <c r="R113" s="28">
        <f>_xll.qlCalendarAdvance(Calendar,SettlementDate,Q113,"f",,Trigger)</f>
        <v>59628</v>
      </c>
      <c r="S113" s="28">
        <f>_xll.qlInterestRateIndexValueDate(Index,R113,Trigger)</f>
        <v>59630</v>
      </c>
      <c r="T113" s="28">
        <f>_xll.qlInterestRateIndexMaturity(Index,S113,Trigger)</f>
        <v>59813</v>
      </c>
      <c r="U113" s="30">
        <f>_xll.qlIndexFixing($M$5,R113,TRUE,InterestRatesTrigger)</f>
        <v>1.1292135420212145E-2</v>
      </c>
      <c r="V113" s="74">
        <f>_xll.qlIndexFixing(Index,R113,TRUE,InterestRatesTrigger)</f>
        <v>1.1446500133933522E-2</v>
      </c>
      <c r="W113" s="30">
        <f t="shared" si="19"/>
        <v>1.5436471372137772E-4</v>
      </c>
      <c r="X113" s="29">
        <f>_xll.qlDayCounterYearFraction(DayCounter,SettlementDate,S113,,,Trigger)</f>
        <v>48.197222222222223</v>
      </c>
      <c r="Y113" s="29">
        <f>_xll.qlDayCounterYearFraction(DayCounter,S113,T113)</f>
        <v>0.5083333333333333</v>
      </c>
      <c r="Z113" s="29">
        <f>IF($M$13,_xll.qlYieldTSDiscount(Currency&amp;"ON",S113)/(1+V113*Y113),1)</f>
        <v>1</v>
      </c>
      <c r="AA113" s="30">
        <f>_xll.qlTenorBasisValue(TenorBasis6M,S113,InterestRatesTrigger)</f>
        <v>2.5715735027322632E-4</v>
      </c>
      <c r="AB113" s="74">
        <f t="shared" si="20"/>
        <v>1.1549292770485371E-2</v>
      </c>
      <c r="AC113" s="76">
        <f t="shared" si="21"/>
        <v>1.0089802677979374</v>
      </c>
    </row>
    <row r="114" spans="16:29" x14ac:dyDescent="0.2">
      <c r="P114" s="33">
        <v>6</v>
      </c>
      <c r="Q114" s="27" t="str">
        <f>_xll.qlPeriodEquivalent(Q113&amp;"+"&amp;P114&amp;"M")</f>
        <v>48Y</v>
      </c>
      <c r="R114" s="28">
        <f>_xll.qlCalendarAdvance(Calendar,SettlementDate,Q114,"f",,Trigger)</f>
        <v>59811</v>
      </c>
      <c r="S114" s="28">
        <f>_xll.qlInterestRateIndexValueDate(Index,R114,Trigger)</f>
        <v>59813</v>
      </c>
      <c r="T114" s="28">
        <f>_xll.qlInterestRateIndexMaturity(Index,S114,Trigger)</f>
        <v>60000</v>
      </c>
      <c r="U114" s="30">
        <f>_xll.qlIndexFixing($M$5,R114,TRUE,InterestRatesTrigger)</f>
        <v>1.1375791037906709E-2</v>
      </c>
      <c r="V114" s="74">
        <f>_xll.qlIndexFixing(Index,R114,TRUE,InterestRatesTrigger)</f>
        <v>1.1533295322415179E-2</v>
      </c>
      <c r="W114" s="30">
        <f t="shared" si="19"/>
        <v>1.5750428450846989E-4</v>
      </c>
      <c r="X114" s="29">
        <f>_xll.qlDayCounterYearFraction(DayCounter,SettlementDate,S114,,,Trigger)</f>
        <v>48.705555555555556</v>
      </c>
      <c r="Y114" s="29">
        <f>_xll.qlDayCounterYearFraction(DayCounter,S114,T114)</f>
        <v>0.51944444444444449</v>
      </c>
      <c r="Z114" s="29">
        <f>IF($M$13,_xll.qlYieldTSDiscount(Currency&amp;"ON",S114)/(1+V114*Y114),1)</f>
        <v>1</v>
      </c>
      <c r="AA114" s="30">
        <f>_xll.qlTenorBasisValue(TenorBasis6M,S114,InterestRatesTrigger)</f>
        <v>2.5687982196805645E-4</v>
      </c>
      <c r="AB114" s="74">
        <f t="shared" si="20"/>
        <v>1.1632670859874765E-2</v>
      </c>
      <c r="AC114" s="76">
        <f t="shared" si="21"/>
        <v>1.0086164044777772</v>
      </c>
    </row>
    <row r="115" spans="16:29" x14ac:dyDescent="0.2">
      <c r="P115" s="33">
        <v>6</v>
      </c>
      <c r="Q115" s="27" t="str">
        <f>_xll.qlPeriodEquivalent(Q114&amp;"+"&amp;P115&amp;"M")</f>
        <v>48Y6M</v>
      </c>
      <c r="R115" s="28">
        <f>_xll.qlCalendarAdvance(Calendar,SettlementDate,Q115,"f",,Trigger)</f>
        <v>59994</v>
      </c>
      <c r="S115" s="28">
        <f>_xll.qlInterestRateIndexValueDate(Index,R115,Trigger)</f>
        <v>60000</v>
      </c>
      <c r="T115" s="28">
        <f>_xll.qlInterestRateIndexMaturity(Index,S115,Trigger)</f>
        <v>60183</v>
      </c>
      <c r="U115" s="30">
        <f>_xll.qlIndexFixing($M$5,R115,TRUE,InterestRatesTrigger)</f>
        <v>1.1483308520627554E-2</v>
      </c>
      <c r="V115" s="74">
        <f>_xll.qlIndexFixing(Index,R115,TRUE,InterestRatesTrigger)</f>
        <v>1.1645604843488465E-2</v>
      </c>
      <c r="W115" s="30">
        <f t="shared" si="19"/>
        <v>1.6229632286091089E-4</v>
      </c>
      <c r="X115" s="29">
        <f>_xll.qlDayCounterYearFraction(DayCounter,SettlementDate,S115,,,Trigger)</f>
        <v>49.225000000000001</v>
      </c>
      <c r="Y115" s="29">
        <f>_xll.qlDayCounterYearFraction(DayCounter,S115,T115)</f>
        <v>0.5083333333333333</v>
      </c>
      <c r="Z115" s="29">
        <f>IF($M$13,_xll.qlYieldTSDiscount(Currency&amp;"ON",S115)/(1+V115*Y115),1)</f>
        <v>1</v>
      </c>
      <c r="AA115" s="30">
        <f>_xll.qlTenorBasisValue(TenorBasis6M,S115,InterestRatesTrigger)</f>
        <v>2.5662124465899002E-4</v>
      </c>
      <c r="AB115" s="74">
        <f t="shared" si="20"/>
        <v>1.1739929765286544E-2</v>
      </c>
      <c r="AC115" s="76">
        <f t="shared" si="21"/>
        <v>1.0080996155258368</v>
      </c>
    </row>
    <row r="116" spans="16:29" x14ac:dyDescent="0.2">
      <c r="P116" s="33">
        <v>6</v>
      </c>
      <c r="Q116" s="27" t="str">
        <f>_xll.qlPeriodEquivalent(Q115&amp;"+"&amp;P116&amp;"M")</f>
        <v>49Y</v>
      </c>
      <c r="R116" s="28">
        <f>_xll.qlCalendarAdvance(Calendar,SettlementDate,Q116,"f",,Trigger)</f>
        <v>60177</v>
      </c>
      <c r="S116" s="28">
        <f>_xll.qlInterestRateIndexValueDate(Index,R116,Trigger)</f>
        <v>60181</v>
      </c>
      <c r="T116" s="28">
        <f>_xll.qlInterestRateIndexMaturity(Index,S116,Trigger)</f>
        <v>60363</v>
      </c>
      <c r="U116" s="30">
        <f>_xll.qlIndexFixing($M$5,R116,TRUE,InterestRatesTrigger)</f>
        <v>1.1613230631914459E-2</v>
      </c>
      <c r="V116" s="74">
        <f>_xll.qlIndexFixing(Index,R116,TRUE,InterestRatesTrigger)</f>
        <v>1.1781856236904103E-2</v>
      </c>
      <c r="W116" s="30">
        <f t="shared" si="19"/>
        <v>1.6862560498964382E-4</v>
      </c>
      <c r="X116" s="29">
        <f>_xll.qlDayCounterYearFraction(DayCounter,SettlementDate,S116,,,Trigger)</f>
        <v>49.727777777777774</v>
      </c>
      <c r="Y116" s="29">
        <f>_xll.qlDayCounterYearFraction(DayCounter,S116,T116)</f>
        <v>0.50555555555555554</v>
      </c>
      <c r="Z116" s="29">
        <f>IF($M$13,_xll.qlYieldTSDiscount(Currency&amp;"ON",S116)/(1+V116*Y116),1)</f>
        <v>1</v>
      </c>
      <c r="AA116" s="30">
        <f>_xll.qlTenorBasisValue(TenorBasis6M,S116,InterestRatesTrigger)</f>
        <v>2.5639296604565724E-4</v>
      </c>
      <c r="AB116" s="74">
        <f t="shared" si="20"/>
        <v>1.1869623597960116E-2</v>
      </c>
      <c r="AC116" s="76">
        <f t="shared" si="21"/>
        <v>1.007449366151753</v>
      </c>
    </row>
    <row r="117" spans="16:29" x14ac:dyDescent="0.2">
      <c r="P117" s="33">
        <v>6</v>
      </c>
      <c r="Q117" s="27" t="str">
        <f>_xll.qlPeriodEquivalent(Q116&amp;"+"&amp;P117&amp;"M")</f>
        <v>49Y6M</v>
      </c>
      <c r="R117" s="28">
        <f>_xll.qlCalendarAdvance(Calendar,SettlementDate,Q117,"f",,Trigger)</f>
        <v>60359</v>
      </c>
      <c r="S117" s="28">
        <f>_xll.qlInterestRateIndexValueDate(Index,R117,Trigger)</f>
        <v>60363</v>
      </c>
      <c r="T117" s="28">
        <f>_xll.qlInterestRateIndexMaturity(Index,S117,Trigger)</f>
        <v>60546</v>
      </c>
      <c r="U117" s="30">
        <f>_xll.qlIndexFixing($M$5,R117,TRUE,InterestRatesTrigger)</f>
        <v>1.1769571236943194E-2</v>
      </c>
      <c r="V117" s="74">
        <f>_xll.qlIndexFixing(Index,R117,TRUE,InterestRatesTrigger)</f>
        <v>1.1946253697661478E-2</v>
      </c>
      <c r="W117" s="30">
        <f t="shared" si="19"/>
        <v>1.7668246071828389E-4</v>
      </c>
      <c r="X117" s="29">
        <f>_xll.qlDayCounterYearFraction(DayCounter,SettlementDate,S117,,,Trigger)</f>
        <v>50.233333333333334</v>
      </c>
      <c r="Y117" s="29">
        <f>_xll.qlDayCounterYearFraction(DayCounter,S117,T117)</f>
        <v>0.5083333333333333</v>
      </c>
      <c r="Z117" s="29">
        <f>IF($M$13,_xll.qlYieldTSDiscount(Currency&amp;"ON",S117)/(1+V117*Y117),1)</f>
        <v>1</v>
      </c>
      <c r="AA117" s="30">
        <f>_xll.qlTenorBasisValue(TenorBasis6M,S117,InterestRatesTrigger)</f>
        <v>2.5618336307216369E-4</v>
      </c>
      <c r="AB117" s="74">
        <f t="shared" si="20"/>
        <v>1.2025754600015358E-2</v>
      </c>
      <c r="AC117" s="76">
        <f t="shared" si="21"/>
        <v>1.0066548814687775</v>
      </c>
    </row>
    <row r="118" spans="16:29" x14ac:dyDescent="0.2">
      <c r="P118" s="33">
        <v>6</v>
      </c>
      <c r="Q118" s="27" t="str">
        <f>_xll.qlPeriodEquivalent(Q117&amp;"+"&amp;P118&amp;"M")</f>
        <v>50Y</v>
      </c>
      <c r="R118" s="28">
        <f>_xll.qlCalendarAdvance(Calendar,SettlementDate,Q118,"f",,Trigger)</f>
        <v>60542</v>
      </c>
      <c r="S118" s="28">
        <f>_xll.qlInterestRateIndexValueDate(Index,R118,Trigger)</f>
        <v>60546</v>
      </c>
      <c r="T118" s="28">
        <f>_xll.qlInterestRateIndexMaturity(Index,S118,Trigger)</f>
        <v>60728</v>
      </c>
      <c r="U118" s="30">
        <f>_xll.qlIndexFixing($M$5,R118,TRUE,InterestRatesTrigger)</f>
        <v>1.1944259926937748E-2</v>
      </c>
      <c r="V118" s="74">
        <f>_xll.qlIndexFixing(Index,R118,TRUE,InterestRatesTrigger)</f>
        <v>1.2130262746126847E-2</v>
      </c>
      <c r="W118" s="30">
        <f t="shared" si="19"/>
        <v>1.8600281918909958E-4</v>
      </c>
      <c r="X118" s="29">
        <f>_xll.qlDayCounterYearFraction(DayCounter,SettlementDate,S118,,,Trigger)</f>
        <v>50.741666666666667</v>
      </c>
      <c r="Y118" s="29">
        <f>_xll.qlDayCounterYearFraction(DayCounter,S118,T118)</f>
        <v>0.50555555555555554</v>
      </c>
      <c r="Z118" s="29">
        <f>IF($M$13,_xll.qlYieldTSDiscount(Currency&amp;"ON",S118)/(1+V118*Y118),1)</f>
        <v>1</v>
      </c>
      <c r="AA118" s="30">
        <f>_xll.qlTenorBasisValue(TenorBasis6M,S118,InterestRatesTrigger)</f>
        <v>2.5599103286973743E-4</v>
      </c>
      <c r="AB118" s="74">
        <f t="shared" si="20"/>
        <v>1.2200250959807485E-2</v>
      </c>
      <c r="AC118" s="76">
        <f t="shared" si="21"/>
        <v>1.0057697195143596</v>
      </c>
    </row>
    <row r="119" spans="16:29" x14ac:dyDescent="0.2">
      <c r="P119" s="33">
        <v>6</v>
      </c>
      <c r="Q119" s="27" t="str">
        <f>_xll.qlPeriodEquivalent(Q118&amp;"+"&amp;P119&amp;"M")</f>
        <v>50Y6M</v>
      </c>
      <c r="R119" s="28">
        <f>_xll.qlCalendarAdvance(Calendar,SettlementDate,Q119,"f",,Trigger)</f>
        <v>60724</v>
      </c>
      <c r="S119" s="28">
        <f>_xll.qlInterestRateIndexValueDate(Index,R119,Trigger)</f>
        <v>60728</v>
      </c>
      <c r="T119" s="28">
        <f>_xll.qlInterestRateIndexMaturity(Index,S119,Trigger)</f>
        <v>60911</v>
      </c>
      <c r="U119" s="30">
        <f>_xll.qlIndexFixing($M$5,R119,TRUE,InterestRatesTrigger)</f>
        <v>1.2115626491665223E-2</v>
      </c>
      <c r="V119" s="74">
        <f>_xll.qlIndexFixing(Index,R119,TRUE,InterestRatesTrigger)</f>
        <v>1.2310815053614185E-2</v>
      </c>
      <c r="W119" s="30">
        <f t="shared" si="19"/>
        <v>1.9518856194896197E-4</v>
      </c>
      <c r="X119" s="29">
        <f>_xll.qlDayCounterYearFraction(DayCounter,SettlementDate,S119,,,Trigger)</f>
        <v>51.24722222222222</v>
      </c>
      <c r="Y119" s="29">
        <f>_xll.qlDayCounterYearFraction(DayCounter,S119,T119)</f>
        <v>0.5083333333333333</v>
      </c>
      <c r="Z119" s="29">
        <f>IF($M$13,_xll.qlYieldTSDiscount(Currency&amp;"ON",S119)/(1+V119*Y119),1)</f>
        <v>1</v>
      </c>
      <c r="AA119" s="30">
        <f>_xll.qlTenorBasisValue(TenorBasis6M,S119,InterestRatesTrigger)</f>
        <v>2.558164972077026E-4</v>
      </c>
      <c r="AB119" s="74">
        <f t="shared" si="20"/>
        <v>1.2371442988872926E-2</v>
      </c>
      <c r="AC119" s="76">
        <f t="shared" si="21"/>
        <v>1.0049247702117774</v>
      </c>
    </row>
    <row r="120" spans="16:29" x14ac:dyDescent="0.2">
      <c r="P120" s="33">
        <v>6</v>
      </c>
      <c r="Q120" s="27" t="str">
        <f>_xll.qlPeriodEquivalent(Q119&amp;"+"&amp;P120&amp;"M")</f>
        <v>51Y</v>
      </c>
      <c r="R120" s="28">
        <f>_xll.qlCalendarAdvance(Calendar,SettlementDate,Q120,"f",,Trigger)</f>
        <v>60909</v>
      </c>
      <c r="S120" s="28">
        <f>_xll.qlInterestRateIndexValueDate(Index,R120,Trigger)</f>
        <v>60911</v>
      </c>
      <c r="T120" s="28">
        <f>_xll.qlInterestRateIndexMaturity(Index,S120,Trigger)</f>
        <v>61093</v>
      </c>
      <c r="U120" s="30">
        <f>_xll.qlIndexFixing($M$5,R120,TRUE,InterestRatesTrigger)</f>
        <v>1.2277594611688069E-2</v>
      </c>
      <c r="V120" s="74">
        <f>_xll.qlIndexFixing(Index,R120,TRUE,InterestRatesTrigger)</f>
        <v>1.2481474281206896E-2</v>
      </c>
      <c r="W120" s="30">
        <f t="shared" si="19"/>
        <v>2.0387966951882636E-4</v>
      </c>
      <c r="X120" s="29">
        <f>_xll.qlDayCounterYearFraction(DayCounter,SettlementDate,S120,,,Trigger)</f>
        <v>51.755555555555553</v>
      </c>
      <c r="Y120" s="29">
        <f>_xll.qlDayCounterYearFraction(DayCounter,S120,T120)</f>
        <v>0.50555555555555554</v>
      </c>
      <c r="Z120" s="29">
        <f>IF($M$13,_xll.qlYieldTSDiscount(Currency&amp;"ON",S120)/(1+V120*Y120),1)</f>
        <v>1</v>
      </c>
      <c r="AA120" s="30">
        <f>_xll.qlTenorBasisValue(TenorBasis6M,S120,InterestRatesTrigger)</f>
        <v>2.5565638149452748E-4</v>
      </c>
      <c r="AB120" s="74">
        <f t="shared" si="20"/>
        <v>1.2533250993182596E-2</v>
      </c>
      <c r="AC120" s="76">
        <f t="shared" si="21"/>
        <v>1.0041482849548999</v>
      </c>
    </row>
    <row r="121" spans="16:29" x14ac:dyDescent="0.2">
      <c r="P121" s="33">
        <v>6</v>
      </c>
      <c r="Q121" s="27" t="str">
        <f>_xll.qlPeriodEquivalent(Q120&amp;"+"&amp;P121&amp;"M")</f>
        <v>51Y6M</v>
      </c>
      <c r="R121" s="28">
        <f>_xll.qlCalendarAdvance(Calendar,SettlementDate,Q121,"f",,Trigger)</f>
        <v>61092</v>
      </c>
      <c r="S121" s="28">
        <f>_xll.qlInterestRateIndexValueDate(Index,R121,Trigger)</f>
        <v>61094</v>
      </c>
      <c r="T121" s="28">
        <f>_xll.qlInterestRateIndexMaturity(Index,S121,Trigger)</f>
        <v>61277</v>
      </c>
      <c r="U121" s="30">
        <f>_xll.qlIndexFixing($M$5,R121,TRUE,InterestRatesTrigger)</f>
        <v>1.2431784639819345E-2</v>
      </c>
      <c r="V121" s="74">
        <f>_xll.qlIndexFixing(Index,R121,TRUE,InterestRatesTrigger)</f>
        <v>1.2643930512479761E-2</v>
      </c>
      <c r="W121" s="30">
        <f t="shared" si="19"/>
        <v>2.1214587266041654E-4</v>
      </c>
      <c r="X121" s="29">
        <f>_xll.qlDayCounterYearFraction(DayCounter,SettlementDate,S121,,,Trigger)</f>
        <v>52.263888888888886</v>
      </c>
      <c r="Y121" s="29">
        <f>_xll.qlDayCounterYearFraction(DayCounter,S121,T121)</f>
        <v>0.5083333333333333</v>
      </c>
      <c r="Z121" s="29">
        <f>IF($M$13,_xll.qlYieldTSDiscount(Currency&amp;"ON",S121)/(1+V121*Y121),1)</f>
        <v>1</v>
      </c>
      <c r="AA121" s="30">
        <f>_xll.qlTenorBasisValue(TenorBasis6M,S121,InterestRatesTrigger)</f>
        <v>2.5551035068247993E-4</v>
      </c>
      <c r="AB121" s="74">
        <f t="shared" si="20"/>
        <v>1.2687294990501825E-2</v>
      </c>
      <c r="AC121" s="76">
        <f t="shared" si="21"/>
        <v>1.0034296675372631</v>
      </c>
    </row>
    <row r="122" spans="16:29" x14ac:dyDescent="0.2">
      <c r="P122" s="33">
        <v>6</v>
      </c>
      <c r="Q122" s="27" t="str">
        <f>_xll.qlPeriodEquivalent(Q121&amp;"+"&amp;P122&amp;"M")</f>
        <v>52Y</v>
      </c>
      <c r="R122" s="28">
        <f>_xll.qlCalendarAdvance(Calendar,SettlementDate,Q122,"f",,Trigger)</f>
        <v>61273</v>
      </c>
      <c r="S122" s="28">
        <f>_xll.qlInterestRateIndexValueDate(Index,R122,Trigger)</f>
        <v>61275</v>
      </c>
      <c r="T122" s="28">
        <f>_xll.qlInterestRateIndexMaturity(Index,S122,Trigger)</f>
        <v>61458</v>
      </c>
      <c r="U122" s="30">
        <f>_xll.qlIndexFixing($M$5,R122,TRUE,InterestRatesTrigger)</f>
        <v>1.2574753900342833E-2</v>
      </c>
      <c r="V122" s="74">
        <f>_xll.qlIndexFixing(Index,R122,TRUE,InterestRatesTrigger)</f>
        <v>1.279456894051326E-2</v>
      </c>
      <c r="W122" s="30">
        <f t="shared" si="19"/>
        <v>2.1981504017042769E-4</v>
      </c>
      <c r="X122" s="29">
        <f>_xll.qlDayCounterYearFraction(DayCounter,SettlementDate,S122,,,Trigger)</f>
        <v>52.766666666666666</v>
      </c>
      <c r="Y122" s="29">
        <f>_xll.qlDayCounterYearFraction(DayCounter,S122,T122)</f>
        <v>0.5083333333333333</v>
      </c>
      <c r="Z122" s="29">
        <f>IF($M$13,_xll.qlYieldTSDiscount(Currency&amp;"ON",S122)/(1+V122*Y122),1)</f>
        <v>1</v>
      </c>
      <c r="AA122" s="30">
        <f>_xll.qlTenorBasisValue(TenorBasis6M,S122,InterestRatesTrigger)</f>
        <v>2.5537857043099867E-4</v>
      </c>
      <c r="AB122" s="74">
        <f t="shared" si="20"/>
        <v>1.2830132470773831E-2</v>
      </c>
      <c r="AC122" s="76">
        <f t="shared" si="21"/>
        <v>1.0027795801817099</v>
      </c>
    </row>
    <row r="123" spans="16:29" x14ac:dyDescent="0.2">
      <c r="P123" s="33">
        <v>6</v>
      </c>
      <c r="Q123" s="27" t="str">
        <f>_xll.qlPeriodEquivalent(Q122&amp;"+"&amp;P123&amp;"M")</f>
        <v>52Y6M</v>
      </c>
      <c r="R123" s="28">
        <f>_xll.qlCalendarAdvance(Calendar,SettlementDate,Q123,"f",,Trigger)</f>
        <v>61455</v>
      </c>
      <c r="S123" s="28">
        <f>_xll.qlInterestRateIndexValueDate(Index,R123,Trigger)</f>
        <v>61457</v>
      </c>
      <c r="T123" s="28">
        <f>_xll.qlInterestRateIndexMaturity(Index,S123,Trigger)</f>
        <v>61640</v>
      </c>
      <c r="U123" s="30">
        <f>_xll.qlIndexFixing($M$5,R123,TRUE,InterestRatesTrigger)</f>
        <v>1.2709580666563905E-2</v>
      </c>
      <c r="V123" s="74">
        <f>_xll.qlIndexFixing(Index,R123,TRUE,InterestRatesTrigger)</f>
        <v>1.2936628627455269E-2</v>
      </c>
      <c r="W123" s="30">
        <f t="shared" si="19"/>
        <v>2.2704796089136406E-4</v>
      </c>
      <c r="X123" s="29">
        <f>_xll.qlDayCounterYearFraction(DayCounter,SettlementDate,S123,,,Trigger)</f>
        <v>53.272222222222226</v>
      </c>
      <c r="Y123" s="29">
        <f>_xll.qlDayCounterYearFraction(DayCounter,S123,T123)</f>
        <v>0.5083333333333333</v>
      </c>
      <c r="Z123" s="29">
        <f>IF($M$13,_xll.qlYieldTSDiscount(Currency&amp;"ON",S123)/(1+V123*Y123),1)</f>
        <v>1</v>
      </c>
      <c r="AA123" s="30">
        <f>_xll.qlTenorBasisValue(TenorBasis6M,S123,InterestRatesTrigger)</f>
        <v>2.5525765277865681E-4</v>
      </c>
      <c r="AB123" s="74">
        <f t="shared" si="20"/>
        <v>1.2964838319342562E-2</v>
      </c>
      <c r="AC123" s="76">
        <f t="shared" si="21"/>
        <v>1.0021806061455165</v>
      </c>
    </row>
    <row r="124" spans="16:29" x14ac:dyDescent="0.2">
      <c r="P124" s="33">
        <v>6</v>
      </c>
      <c r="Q124" s="27" t="str">
        <f>_xll.qlPeriodEquivalent(Q123&amp;"+"&amp;P124&amp;"M")</f>
        <v>53Y</v>
      </c>
      <c r="R124" s="28">
        <f>_xll.qlCalendarAdvance(Calendar,SettlementDate,Q124,"f",,Trigger)</f>
        <v>61638</v>
      </c>
      <c r="S124" s="28">
        <f>_xll.qlInterestRateIndexValueDate(Index,R124,Trigger)</f>
        <v>61640</v>
      </c>
      <c r="T124" s="28">
        <f>_xll.qlInterestRateIndexMaturity(Index,S124,Trigger)</f>
        <v>61822</v>
      </c>
      <c r="U124" s="30">
        <f>_xll.qlIndexFixing($M$5,R124,TRUE,InterestRatesTrigger)</f>
        <v>1.2835557854301828E-2</v>
      </c>
      <c r="V124" s="74">
        <f>_xll.qlIndexFixing(Index,R124,TRUE,InterestRatesTrigger)</f>
        <v>1.3069368324409858E-2</v>
      </c>
      <c r="W124" s="30">
        <f t="shared" si="19"/>
        <v>2.3381047010802986E-4</v>
      </c>
      <c r="X124" s="29">
        <f>_xll.qlDayCounterYearFraction(DayCounter,SettlementDate,S124,,,Trigger)</f>
        <v>53.780555555555559</v>
      </c>
      <c r="Y124" s="29">
        <f>_xll.qlDayCounterYearFraction(DayCounter,S124,T124)</f>
        <v>0.50555555555555554</v>
      </c>
      <c r="Z124" s="29">
        <f>IF($M$13,_xll.qlYieldTSDiscount(Currency&amp;"ON",S124)/(1+V124*Y124),1)</f>
        <v>1</v>
      </c>
      <c r="AA124" s="30">
        <f>_xll.qlTenorBasisValue(TenorBasis6M,S124,InterestRatesTrigger)</f>
        <v>2.5514677322880779E-4</v>
      </c>
      <c r="AB124" s="74">
        <f t="shared" si="20"/>
        <v>1.3090704627530637E-2</v>
      </c>
      <c r="AC124" s="76">
        <f t="shared" si="21"/>
        <v>1.0016325427971089</v>
      </c>
    </row>
    <row r="125" spans="16:29" x14ac:dyDescent="0.2">
      <c r="P125" s="33">
        <v>6</v>
      </c>
      <c r="Q125" s="27" t="str">
        <f>_xll.qlPeriodEquivalent(Q124&amp;"+"&amp;P125&amp;"M")</f>
        <v>53Y6M</v>
      </c>
      <c r="R125" s="28">
        <f>_xll.qlCalendarAdvance(Calendar,SettlementDate,Q125,"f",,Trigger)</f>
        <v>61820</v>
      </c>
      <c r="S125" s="28">
        <f>_xll.qlInterestRateIndexValueDate(Index,R125,Trigger)</f>
        <v>61822</v>
      </c>
      <c r="T125" s="28">
        <f>_xll.qlInterestRateIndexMaturity(Index,S125,Trigger)</f>
        <v>62005</v>
      </c>
      <c r="U125" s="30">
        <f>_xll.qlIndexFixing($M$5,R125,TRUE,InterestRatesTrigger)</f>
        <v>1.295297363880884E-2</v>
      </c>
      <c r="V125" s="74">
        <f>_xll.qlIndexFixing(Index,R125,TRUE,InterestRatesTrigger)</f>
        <v>1.3193079977448067E-2</v>
      </c>
      <c r="W125" s="30">
        <f t="shared" si="19"/>
        <v>2.4010633863922638E-4</v>
      </c>
      <c r="X125" s="29">
        <f>_xll.qlDayCounterYearFraction(DayCounter,SettlementDate,S125,,,Trigger)</f>
        <v>54.286111111111111</v>
      </c>
      <c r="Y125" s="29">
        <f>_xll.qlDayCounterYearFraction(DayCounter,S125,T125)</f>
        <v>0.5083333333333333</v>
      </c>
      <c r="Z125" s="29">
        <f>IF($M$13,_xll.qlYieldTSDiscount(Currency&amp;"ON",S125)/(1+V125*Y125),1)</f>
        <v>1</v>
      </c>
      <c r="AA125" s="30">
        <f>_xll.qlTenorBasisValue(TenorBasis6M,S125,InterestRatesTrigger)</f>
        <v>2.5504621774378756E-4</v>
      </c>
      <c r="AB125" s="74">
        <f t="shared" si="20"/>
        <v>1.3208019856552629E-2</v>
      </c>
      <c r="AC125" s="76">
        <f t="shared" si="21"/>
        <v>1.0011324026785329</v>
      </c>
    </row>
    <row r="126" spans="16:29" x14ac:dyDescent="0.2">
      <c r="P126" s="33">
        <v>6</v>
      </c>
      <c r="Q126" s="27" t="str">
        <f>_xll.qlPeriodEquivalent(Q125&amp;"+"&amp;P126&amp;"M")</f>
        <v>54Y</v>
      </c>
      <c r="R126" s="28">
        <f>_xll.qlCalendarAdvance(Calendar,SettlementDate,Q126,"f",,Trigger)</f>
        <v>62003</v>
      </c>
      <c r="S126" s="28">
        <f>_xll.qlInterestRateIndexValueDate(Index,R126,Trigger)</f>
        <v>62005</v>
      </c>
      <c r="T126" s="28">
        <f>_xll.qlInterestRateIndexMaturity(Index,S126,Trigger)</f>
        <v>62187</v>
      </c>
      <c r="U126" s="30">
        <f>_xll.qlIndexFixing($M$5,R126,TRUE,InterestRatesTrigger)</f>
        <v>1.3060921486603507E-2</v>
      </c>
      <c r="V126" s="74">
        <f>_xll.qlIndexFixing(Index,R126,TRUE,InterestRatesTrigger)</f>
        <v>1.3306823629936425E-2</v>
      </c>
      <c r="W126" s="30">
        <f t="shared" si="19"/>
        <v>2.4590214333291768E-4</v>
      </c>
      <c r="X126" s="29">
        <f>_xll.qlDayCounterYearFraction(DayCounter,SettlementDate,S126,,,Trigger)</f>
        <v>54.794444444444444</v>
      </c>
      <c r="Y126" s="29">
        <f>_xll.qlDayCounterYearFraction(DayCounter,S126,T126)</f>
        <v>0.50555555555555554</v>
      </c>
      <c r="Z126" s="29">
        <f>IF($M$13,_xll.qlYieldTSDiscount(Currency&amp;"ON",S126)/(1+V126*Y126),1)</f>
        <v>1</v>
      </c>
      <c r="AA126" s="30">
        <f>_xll.qlTenorBasisValue(TenorBasis6M,S126,InterestRatesTrigger)</f>
        <v>2.5495402876398083E-4</v>
      </c>
      <c r="AB126" s="74">
        <f t="shared" si="20"/>
        <v>1.3315875515367488E-2</v>
      </c>
      <c r="AC126" s="76">
        <f t="shared" si="21"/>
        <v>1.0006802438871061</v>
      </c>
    </row>
    <row r="127" spans="16:29" x14ac:dyDescent="0.2">
      <c r="P127" s="33">
        <v>6</v>
      </c>
      <c r="Q127" s="27" t="str">
        <f>_xll.qlPeriodEquivalent(Q126&amp;"+"&amp;P127&amp;"M")</f>
        <v>54Y6M</v>
      </c>
      <c r="R127" s="28">
        <f>_xll.qlCalendarAdvance(Calendar,SettlementDate,Q127,"f",,Trigger)</f>
        <v>62185</v>
      </c>
      <c r="S127" s="28">
        <f>_xll.qlInterestRateIndexValueDate(Index,R127,Trigger)</f>
        <v>62187</v>
      </c>
      <c r="T127" s="28">
        <f>_xll.qlInterestRateIndexMaturity(Index,S127,Trigger)</f>
        <v>62372</v>
      </c>
      <c r="U127" s="30">
        <f>_xll.qlIndexFixing($M$5,R127,TRUE,InterestRatesTrigger)</f>
        <v>1.3161311332282774E-2</v>
      </c>
      <c r="V127" s="74">
        <f>_xll.qlIndexFixing(Index,R127,TRUE,InterestRatesTrigger)</f>
        <v>1.3412589347115996E-2</v>
      </c>
      <c r="W127" s="30">
        <f t="shared" si="19"/>
        <v>2.5127801483322207E-4</v>
      </c>
      <c r="X127" s="29">
        <f>_xll.qlDayCounterYearFraction(DayCounter,SettlementDate,S127,,,Trigger)</f>
        <v>55.3</v>
      </c>
      <c r="Y127" s="29">
        <f>_xll.qlDayCounterYearFraction(DayCounter,S127,T127)</f>
        <v>0.51388888888888884</v>
      </c>
      <c r="Z127" s="29">
        <f>IF($M$13,_xll.qlYieldTSDiscount(Currency&amp;"ON",S127)/(1+V127*Y127),1)</f>
        <v>1</v>
      </c>
      <c r="AA127" s="30">
        <f>_xll.qlTenorBasisValue(TenorBasis6M,S127,InterestRatesTrigger)</f>
        <v>2.5487044025850064E-4</v>
      </c>
      <c r="AB127" s="74">
        <f t="shared" si="20"/>
        <v>1.3416181772541275E-2</v>
      </c>
      <c r="AC127" s="76">
        <f t="shared" si="21"/>
        <v>1.0002678398132014</v>
      </c>
    </row>
    <row r="128" spans="16:29" x14ac:dyDescent="0.2">
      <c r="P128" s="33">
        <v>6</v>
      </c>
      <c r="Q128" s="27" t="str">
        <f>_xll.qlPeriodEquivalent(Q127&amp;"+"&amp;P128&amp;"M")</f>
        <v>55Y</v>
      </c>
      <c r="R128" s="28">
        <f>_xll.qlCalendarAdvance(Calendar,SettlementDate,Q128,"f",,Trigger)</f>
        <v>62368</v>
      </c>
      <c r="S128" s="28">
        <f>_xll.qlInterestRateIndexValueDate(Index,R128,Trigger)</f>
        <v>62372</v>
      </c>
      <c r="T128" s="28">
        <f>_xll.qlInterestRateIndexMaturity(Index,S128,Trigger)</f>
        <v>62554</v>
      </c>
      <c r="U128" s="30">
        <f>_xll.qlIndexFixing($M$5,R128,TRUE,InterestRatesTrigger)</f>
        <v>1.325117279620263E-2</v>
      </c>
      <c r="V128" s="74">
        <f>_xll.qlIndexFixing(Index,R128,TRUE,InterestRatesTrigger)</f>
        <v>1.3507283814079079E-2</v>
      </c>
      <c r="W128" s="30">
        <f t="shared" si="19"/>
        <v>2.5611101787644842E-4</v>
      </c>
      <c r="X128" s="29">
        <f>_xll.qlDayCounterYearFraction(DayCounter,SettlementDate,S128,,,Trigger)</f>
        <v>55.81388888888889</v>
      </c>
      <c r="Y128" s="29">
        <f>_xll.qlDayCounterYearFraction(DayCounter,S128,T128)</f>
        <v>0.50555555555555554</v>
      </c>
      <c r="Z128" s="29">
        <f>IF($M$13,_xll.qlYieldTSDiscount(Currency&amp;"ON",S128)/(1+V128*Y128),1)</f>
        <v>1</v>
      </c>
      <c r="AA128" s="30">
        <f>_xll.qlTenorBasisValue(TenorBasis6M,S128,InterestRatesTrigger)</f>
        <v>2.547930228825709E-4</v>
      </c>
      <c r="AB128" s="74">
        <f t="shared" si="20"/>
        <v>1.3505965819085201E-2</v>
      </c>
      <c r="AC128" s="76">
        <f t="shared" si="21"/>
        <v>0.99990242338785362</v>
      </c>
    </row>
    <row r="129" spans="16:29" x14ac:dyDescent="0.2">
      <c r="P129" s="33">
        <v>6</v>
      </c>
      <c r="Q129" s="27" t="str">
        <f>_xll.qlPeriodEquivalent(Q128&amp;"+"&amp;P129&amp;"M")</f>
        <v>55Y6M</v>
      </c>
      <c r="R129" s="28">
        <f>_xll.qlCalendarAdvance(Calendar,SettlementDate,Q129,"f",,Trigger)</f>
        <v>62550</v>
      </c>
      <c r="S129" s="28">
        <f>_xll.qlInterestRateIndexValueDate(Index,R129,Trigger)</f>
        <v>62554</v>
      </c>
      <c r="T129" s="28">
        <f>_xll.qlInterestRateIndexMaturity(Index,S129,Trigger)</f>
        <v>62737</v>
      </c>
      <c r="U129" s="30">
        <f>_xll.qlIndexFixing($M$5,R129,TRUE,InterestRatesTrigger)</f>
        <v>1.3332450685793565E-2</v>
      </c>
      <c r="V129" s="74">
        <f>_xll.qlIndexFixing(Index,R129,TRUE,InterestRatesTrigger)</f>
        <v>1.3592919871565417E-2</v>
      </c>
      <c r="W129" s="30">
        <f t="shared" si="19"/>
        <v>2.6046918577185205E-4</v>
      </c>
      <c r="X129" s="29">
        <f>_xll.qlDayCounterYearFraction(DayCounter,SettlementDate,S129,,,Trigger)</f>
        <v>56.319444444444443</v>
      </c>
      <c r="Y129" s="29">
        <f>_xll.qlDayCounterYearFraction(DayCounter,S129,T129)</f>
        <v>0.5083333333333333</v>
      </c>
      <c r="Z129" s="29">
        <f>IF($M$13,_xll.qlYieldTSDiscount(Currency&amp;"ON",S129)/(1+V129*Y129),1)</f>
        <v>1</v>
      </c>
      <c r="AA129" s="30">
        <f>_xll.qlTenorBasisValue(TenorBasis6M,S129,InterestRatesTrigger)</f>
        <v>2.5472363593597147E-4</v>
      </c>
      <c r="AB129" s="74">
        <f t="shared" si="20"/>
        <v>1.3587174321729536E-2</v>
      </c>
      <c r="AC129" s="76">
        <f t="shared" si="21"/>
        <v>0.99957731305045794</v>
      </c>
    </row>
    <row r="130" spans="16:29" x14ac:dyDescent="0.2">
      <c r="P130" s="33">
        <v>6</v>
      </c>
      <c r="Q130" s="27" t="str">
        <f>_xll.qlPeriodEquivalent(Q129&amp;"+"&amp;P130&amp;"M")</f>
        <v>56Y</v>
      </c>
      <c r="R130" s="28">
        <f>_xll.qlCalendarAdvance(Calendar,SettlementDate,Q130,"f",,Trigger)</f>
        <v>62733</v>
      </c>
      <c r="S130" s="28">
        <f>_xll.qlInterestRateIndexValueDate(Index,R130,Trigger)</f>
        <v>62737</v>
      </c>
      <c r="T130" s="28">
        <f>_xll.qlInterestRateIndexMaturity(Index,S130,Trigger)</f>
        <v>62920</v>
      </c>
      <c r="U130" s="30">
        <f>_xll.qlIndexFixing($M$5,R130,TRUE,InterestRatesTrigger)</f>
        <v>1.3404657673545636E-2</v>
      </c>
      <c r="V130" s="74">
        <f>_xll.qlIndexFixing(Index,R130,TRUE,InterestRatesTrigger)</f>
        <v>1.366900197138653E-2</v>
      </c>
      <c r="W130" s="30">
        <f t="shared" si="19"/>
        <v>2.64344297840894E-4</v>
      </c>
      <c r="X130" s="29">
        <f>_xll.qlDayCounterYearFraction(DayCounter,SettlementDate,S130,,,Trigger)</f>
        <v>56.827777777777776</v>
      </c>
      <c r="Y130" s="29">
        <f>_xll.qlDayCounterYearFraction(DayCounter,S130,T130)</f>
        <v>0.5083333333333333</v>
      </c>
      <c r="Z130" s="29">
        <f>IF($M$13,_xll.qlYieldTSDiscount(Currency&amp;"ON",S130)/(1+V130*Y130),1)</f>
        <v>1</v>
      </c>
      <c r="AA130" s="30">
        <f>_xll.qlTenorBasisValue(TenorBasis6M,S130,InterestRatesTrigger)</f>
        <v>2.5466004667477259E-4</v>
      </c>
      <c r="AB130" s="74">
        <f t="shared" si="20"/>
        <v>1.3659317720220408E-2</v>
      </c>
      <c r="AC130" s="76">
        <f t="shared" si="21"/>
        <v>0.99929151731879229</v>
      </c>
    </row>
    <row r="131" spans="16:29" x14ac:dyDescent="0.2">
      <c r="P131" s="33">
        <v>6</v>
      </c>
      <c r="Q131" s="27" t="str">
        <f>_xll.qlPeriodEquivalent(Q130&amp;"+"&amp;P131&amp;"M")</f>
        <v>56Y6M</v>
      </c>
      <c r="R131" s="28">
        <f>_xll.qlCalendarAdvance(Calendar,SettlementDate,Q131,"f",,Trigger)</f>
        <v>62918</v>
      </c>
      <c r="S131" s="28">
        <f>_xll.qlInterestRateIndexValueDate(Index,R131,Trigger)</f>
        <v>62920</v>
      </c>
      <c r="T131" s="28">
        <f>_xll.qlInterestRateIndexMaturity(Index,S131,Trigger)</f>
        <v>63103</v>
      </c>
      <c r="U131" s="30">
        <f>_xll.qlIndexFixing($M$5,R131,TRUE,InterestRatesTrigger)</f>
        <v>1.3467797581311209E-2</v>
      </c>
      <c r="V131" s="74">
        <f>_xll.qlIndexFixing(Index,R131,TRUE,InterestRatesTrigger)</f>
        <v>1.3735530512469221E-2</v>
      </c>
      <c r="W131" s="30">
        <f t="shared" si="19"/>
        <v>2.677329311580115E-4</v>
      </c>
      <c r="X131" s="29">
        <f>_xll.qlDayCounterYearFraction(DayCounter,SettlementDate,S131,,,Trigger)</f>
        <v>57.336111111111109</v>
      </c>
      <c r="Y131" s="29">
        <f>_xll.qlDayCounterYearFraction(DayCounter,S131,T131)</f>
        <v>0.5083333333333333</v>
      </c>
      <c r="Z131" s="29">
        <f>IF($M$13,_xll.qlYieldTSDiscount(Currency&amp;"ON",S131)/(1+V131*Y131),1)</f>
        <v>1</v>
      </c>
      <c r="AA131" s="30">
        <f>_xll.qlTenorBasisValue(TenorBasis6M,S131,InterestRatesTrigger)</f>
        <v>2.5460210938475493E-4</v>
      </c>
      <c r="AB131" s="74">
        <f t="shared" ref="AB131:AB162" si="22">AA131+U131</f>
        <v>1.3722399690695964E-2</v>
      </c>
      <c r="AC131" s="76">
        <f t="shared" ref="AC131:AC162" si="23">AB131/V131</f>
        <v>0.99904402514621937</v>
      </c>
    </row>
    <row r="132" spans="16:29" x14ac:dyDescent="0.2">
      <c r="P132" s="33">
        <v>6</v>
      </c>
      <c r="Q132" s="27" t="str">
        <f>_xll.qlPeriodEquivalent(Q131&amp;"+"&amp;P132&amp;"M")</f>
        <v>57Y</v>
      </c>
      <c r="R132" s="28">
        <f>_xll.qlCalendarAdvance(Calendar,SettlementDate,Q132,"f",,Trigger)</f>
        <v>63100</v>
      </c>
      <c r="S132" s="28">
        <f>_xll.qlInterestRateIndexValueDate(Index,R132,Trigger)</f>
        <v>63102</v>
      </c>
      <c r="T132" s="28">
        <f>_xll.qlInterestRateIndexMaturity(Index,S132,Trigger)</f>
        <v>63284</v>
      </c>
      <c r="U132" s="30">
        <f>_xll.qlIndexFixing($M$5,R132,TRUE,InterestRatesTrigger)</f>
        <v>1.3521213961406592E-2</v>
      </c>
      <c r="V132" s="74">
        <f>_xll.qlIndexFixing(Index,R132,TRUE,InterestRatesTrigger)</f>
        <v>1.3791817133221472E-2</v>
      </c>
      <c r="W132" s="30">
        <f t="shared" ref="W132:W135" si="24">V132-U132</f>
        <v>2.706031718148795E-4</v>
      </c>
      <c r="X132" s="29">
        <f>_xll.qlDayCounterYearFraction(DayCounter,SettlementDate,S132,,,Trigger)</f>
        <v>57.841666666666669</v>
      </c>
      <c r="Y132" s="29">
        <f>_xll.qlDayCounterYearFraction(DayCounter,S132,T132)</f>
        <v>0.50555555555555554</v>
      </c>
      <c r="Z132" s="29">
        <f>IF($M$13,_xll.qlYieldTSDiscount(Currency&amp;"ON",S132)/(1+V132*Y132),1)</f>
        <v>1</v>
      </c>
      <c r="AA132" s="30">
        <f>_xll.qlTenorBasisValue(TenorBasis6M,S132,InterestRatesTrigger)</f>
        <v>2.5454960173065317E-4</v>
      </c>
      <c r="AB132" s="74">
        <f t="shared" si="22"/>
        <v>1.3775763563137245E-2</v>
      </c>
      <c r="AC132" s="76">
        <f t="shared" si="23"/>
        <v>0.99883600761747648</v>
      </c>
    </row>
    <row r="133" spans="16:29" x14ac:dyDescent="0.2">
      <c r="P133" s="33">
        <v>6</v>
      </c>
      <c r="Q133" s="27" t="str">
        <f>_xll.qlPeriodEquivalent(Q132&amp;"+"&amp;P133&amp;"M")</f>
        <v>57Y6M</v>
      </c>
      <c r="R133" s="28">
        <f>_xll.qlCalendarAdvance(Calendar,SettlementDate,Q133,"f",,Trigger)</f>
        <v>63282</v>
      </c>
      <c r="S133" s="28">
        <f>_xll.qlInterestRateIndexValueDate(Index,R133,Trigger)</f>
        <v>63284</v>
      </c>
      <c r="T133" s="28">
        <f>_xll.qlInterestRateIndexMaturity(Index,S133,Trigger)</f>
        <v>63467</v>
      </c>
      <c r="U133" s="30">
        <f>_xll.qlIndexFixing($M$5,R133,TRUE,InterestRatesTrigger)</f>
        <v>1.3566429989619296E-2</v>
      </c>
      <c r="V133" s="74">
        <f>_xll.qlIndexFixing(Index,R133,TRUE,InterestRatesTrigger)</f>
        <v>1.3839456615689239E-2</v>
      </c>
      <c r="W133" s="30">
        <f t="shared" si="24"/>
        <v>2.7302662606994328E-4</v>
      </c>
      <c r="X133" s="29">
        <f>_xll.qlDayCounterYearFraction(DayCounter,SettlementDate,S133,,,Trigger)</f>
        <v>58.347222222222221</v>
      </c>
      <c r="Y133" s="29">
        <f>_xll.qlDayCounterYearFraction(DayCounter,S133,T133)</f>
        <v>0.5083333333333333</v>
      </c>
      <c r="Z133" s="29">
        <f>IF($M$13,_xll.qlYieldTSDiscount(Currency&amp;"ON",S133)/(1+V133*Y133),1)</f>
        <v>1</v>
      </c>
      <c r="AA133" s="30">
        <f>_xll.qlTenorBasisValue(TenorBasis6M,S133,InterestRatesTrigger)</f>
        <v>2.5450174523090695E-4</v>
      </c>
      <c r="AB133" s="74">
        <f t="shared" si="22"/>
        <v>1.3820931734850203E-2</v>
      </c>
      <c r="AC133" s="76">
        <f t="shared" si="23"/>
        <v>0.99866144449500749</v>
      </c>
    </row>
    <row r="134" spans="16:29" x14ac:dyDescent="0.2">
      <c r="P134" s="33">
        <v>6</v>
      </c>
      <c r="Q134" s="27" t="str">
        <f>_xll.qlPeriodEquivalent(Q133&amp;"+"&amp;P134&amp;"M")</f>
        <v>58Y</v>
      </c>
      <c r="R134" s="28">
        <f>_xll.qlCalendarAdvance(Calendar,SettlementDate,Q134,"f",,Trigger)</f>
        <v>63464</v>
      </c>
      <c r="S134" s="28">
        <f>_xll.qlInterestRateIndexValueDate(Index,R134,Trigger)</f>
        <v>63466</v>
      </c>
      <c r="T134" s="28">
        <f>_xll.qlInterestRateIndexMaturity(Index,S134,Trigger)</f>
        <v>63648</v>
      </c>
      <c r="U134" s="30">
        <f>_xll.qlIndexFixing($M$5,R134,TRUE,InterestRatesTrigger)</f>
        <v>1.360195232592416E-2</v>
      </c>
      <c r="V134" s="74">
        <f>_xll.qlIndexFixing(Index,R134,TRUE,InterestRatesTrigger)</f>
        <v>1.387688884115193E-2</v>
      </c>
      <c r="W134" s="30">
        <f t="shared" si="24"/>
        <v>2.749365152277701E-4</v>
      </c>
      <c r="X134" s="29">
        <f>_xll.qlDayCounterYearFraction(DayCounter,SettlementDate,S134,,,Trigger)</f>
        <v>58.852777777777774</v>
      </c>
      <c r="Y134" s="29">
        <f>_xll.qlDayCounterYearFraction(DayCounter,S134,T134)</f>
        <v>0.50555555555555554</v>
      </c>
      <c r="Z134" s="29">
        <f>IF($M$13,_xll.qlYieldTSDiscount(Currency&amp;"ON",S134)/(1+V134*Y134),1)</f>
        <v>1</v>
      </c>
      <c r="AA134" s="30">
        <f>_xll.qlTenorBasisValue(TenorBasis6M,S134,InterestRatesTrigger)</f>
        <v>2.5445813163210815E-4</v>
      </c>
      <c r="AB134" s="74">
        <f t="shared" si="22"/>
        <v>1.3856410457556268E-2</v>
      </c>
      <c r="AC134" s="76">
        <f t="shared" si="23"/>
        <v>0.99852428135513105</v>
      </c>
    </row>
    <row r="135" spans="16:29" x14ac:dyDescent="0.2">
      <c r="P135" s="33">
        <v>6</v>
      </c>
      <c r="Q135" s="27" t="str">
        <f>_xll.qlPeriodEquivalent(Q134&amp;"+"&amp;P135&amp;"M")</f>
        <v>58Y6M</v>
      </c>
      <c r="R135" s="31">
        <f>_xll.qlCalendarAdvance(Calendar,SettlementDate,Q135,"f",,Trigger)</f>
        <v>63646</v>
      </c>
      <c r="S135" s="31">
        <f>_xll.qlInterestRateIndexValueDate(Index,R135,Trigger)</f>
        <v>63648</v>
      </c>
      <c r="T135" s="31">
        <f>_xll.qlInterestRateIndexMaturity(Index,S135,Trigger)</f>
        <v>63831</v>
      </c>
      <c r="U135" s="32">
        <f>_xll.qlIndexFixing($M$5,R135,TRUE,InterestRatesTrigger)</f>
        <v>1.3629180699690468E-2</v>
      </c>
      <c r="V135" s="75">
        <f>_xll.qlIndexFixing(Index,R135,TRUE,InterestRatesTrigger)</f>
        <v>1.3905575360069127E-2</v>
      </c>
      <c r="W135" s="32">
        <f t="shared" si="24"/>
        <v>2.7639466037865899E-4</v>
      </c>
      <c r="X135" s="73">
        <f>_xll.qlDayCounterYearFraction(DayCounter,SettlementDate,S135,,,Trigger)</f>
        <v>59.358333333333334</v>
      </c>
      <c r="Y135" s="73">
        <f>_xll.qlDayCounterYearFraction(DayCounter,S135,T135)</f>
        <v>0.5083333333333333</v>
      </c>
      <c r="Z135" s="73">
        <f>IF($M$13,_xll.qlYieldTSDiscount(Currency&amp;"ON",S135)/(1+V135*Y135),1)</f>
        <v>1</v>
      </c>
      <c r="AA135" s="32">
        <f>_xll.qlTenorBasisValue(TenorBasis6M,S135,InterestRatesTrigger)</f>
        <v>2.5441838811677354E-4</v>
      </c>
      <c r="AB135" s="75">
        <f t="shared" si="22"/>
        <v>1.3883599087807242E-2</v>
      </c>
      <c r="AC135" s="77">
        <f t="shared" si="23"/>
        <v>0.99841960712211941</v>
      </c>
    </row>
    <row r="136" spans="16:29" x14ac:dyDescent="0.2">
      <c r="Q136" s="37"/>
      <c r="R136" s="38"/>
      <c r="S136" s="38"/>
      <c r="T136" s="38"/>
      <c r="U136" s="39"/>
      <c r="V136" s="39"/>
      <c r="W136" s="39"/>
      <c r="X136" s="36"/>
      <c r="Y136" s="36"/>
      <c r="Z136" s="36"/>
      <c r="AA136" s="36"/>
      <c r="AB136" s="36"/>
      <c r="AC136" s="36"/>
    </row>
    <row r="137" spans="16:29" x14ac:dyDescent="0.2">
      <c r="Q137" s="36"/>
      <c r="R137" s="40"/>
      <c r="S137" s="40"/>
      <c r="T137" s="40"/>
      <c r="U137" s="41"/>
      <c r="V137" s="41"/>
      <c r="W137" s="41"/>
      <c r="X137" s="36"/>
      <c r="Y137" s="36"/>
      <c r="Z137" s="36"/>
      <c r="AA137" s="36"/>
      <c r="AB137" s="36"/>
      <c r="AC137" s="36"/>
    </row>
    <row r="138" spans="16:29" x14ac:dyDescent="0.2">
      <c r="Q138" s="36"/>
      <c r="R138" s="40"/>
      <c r="S138" s="40"/>
      <c r="T138" s="40"/>
      <c r="U138" s="41"/>
      <c r="V138" s="41"/>
      <c r="W138" s="41"/>
      <c r="X138" s="36"/>
      <c r="Y138" s="36"/>
      <c r="Z138" s="36"/>
      <c r="AA138" s="36"/>
      <c r="AB138" s="36"/>
      <c r="AC138" s="36"/>
    </row>
    <row r="139" spans="16:29" x14ac:dyDescent="0.2">
      <c r="Q139" s="36"/>
      <c r="R139" s="40"/>
      <c r="S139" s="40"/>
      <c r="T139" s="40"/>
      <c r="U139" s="41"/>
      <c r="V139" s="41"/>
      <c r="W139" s="41"/>
      <c r="X139" s="36"/>
      <c r="Y139" s="36"/>
      <c r="Z139" s="36"/>
      <c r="AA139" s="36"/>
      <c r="AB139" s="36"/>
      <c r="AC139" s="36"/>
    </row>
    <row r="140" spans="16:29" x14ac:dyDescent="0.2">
      <c r="Q140" s="36"/>
      <c r="R140" s="40"/>
      <c r="S140" s="40"/>
      <c r="T140" s="40"/>
      <c r="U140" s="41"/>
      <c r="V140" s="41"/>
      <c r="W140" s="41"/>
      <c r="X140" s="36"/>
      <c r="Y140" s="36"/>
      <c r="Z140" s="36"/>
      <c r="AA140" s="36"/>
      <c r="AB140" s="36"/>
      <c r="AC140" s="36"/>
    </row>
    <row r="141" spans="16:29" x14ac:dyDescent="0.2">
      <c r="Q141" s="36"/>
      <c r="R141" s="40"/>
      <c r="S141" s="40"/>
      <c r="T141" s="40"/>
      <c r="U141" s="41"/>
      <c r="V141" s="41"/>
      <c r="W141" s="41"/>
      <c r="X141" s="36"/>
      <c r="Y141" s="36"/>
      <c r="Z141" s="36"/>
      <c r="AA141" s="36"/>
      <c r="AB141" s="36"/>
      <c r="AC141" s="36"/>
    </row>
    <row r="142" spans="16:29" x14ac:dyDescent="0.2">
      <c r="Q142" s="36"/>
      <c r="R142" s="40"/>
      <c r="S142" s="40"/>
      <c r="T142" s="40"/>
      <c r="U142" s="41"/>
      <c r="V142" s="41"/>
      <c r="W142" s="41"/>
      <c r="X142" s="36"/>
      <c r="Y142" s="36"/>
      <c r="Z142" s="36"/>
      <c r="AA142" s="36"/>
      <c r="AB142" s="36"/>
      <c r="AC142" s="36"/>
    </row>
    <row r="143" spans="16:29" x14ac:dyDescent="0.2">
      <c r="Q143" s="36"/>
      <c r="R143" s="40"/>
      <c r="S143" s="40"/>
      <c r="T143" s="40"/>
      <c r="U143" s="41"/>
      <c r="V143" s="41"/>
      <c r="W143" s="41"/>
      <c r="X143" s="36"/>
      <c r="Y143" s="36"/>
      <c r="Z143" s="36"/>
      <c r="AA143" s="36"/>
      <c r="AB143" s="36"/>
      <c r="AC143" s="36"/>
    </row>
    <row r="144" spans="16:29" x14ac:dyDescent="0.2">
      <c r="Q144" s="36"/>
      <c r="R144" s="40"/>
      <c r="S144" s="40"/>
      <c r="T144" s="40"/>
      <c r="U144" s="41"/>
      <c r="V144" s="41"/>
      <c r="W144" s="41"/>
      <c r="X144" s="36"/>
      <c r="Y144" s="36"/>
      <c r="Z144" s="36"/>
      <c r="AA144" s="36"/>
      <c r="AB144" s="36"/>
      <c r="AC144" s="36"/>
    </row>
    <row r="145" spans="17:29" x14ac:dyDescent="0.2">
      <c r="Q145" s="36"/>
      <c r="R145" s="40"/>
      <c r="S145" s="40"/>
      <c r="T145" s="40"/>
      <c r="U145" s="41"/>
      <c r="V145" s="41"/>
      <c r="W145" s="41"/>
      <c r="X145" s="36"/>
      <c r="Y145" s="36"/>
      <c r="Z145" s="36"/>
      <c r="AA145" s="36"/>
      <c r="AB145" s="36"/>
      <c r="AC145" s="36"/>
    </row>
    <row r="146" spans="17:29" x14ac:dyDescent="0.2">
      <c r="Q146" s="36"/>
      <c r="R146" s="40"/>
      <c r="S146" s="40"/>
      <c r="T146" s="40"/>
      <c r="U146" s="41"/>
      <c r="V146" s="41"/>
      <c r="W146" s="41"/>
      <c r="X146" s="36"/>
      <c r="Y146" s="36"/>
      <c r="Z146" s="36"/>
      <c r="AA146" s="36"/>
      <c r="AB146" s="36"/>
      <c r="AC146" s="36"/>
    </row>
    <row r="147" spans="17:29" x14ac:dyDescent="0.2">
      <c r="Q147" s="36"/>
      <c r="R147" s="40"/>
      <c r="S147" s="40"/>
      <c r="T147" s="40"/>
      <c r="U147" s="41"/>
      <c r="V147" s="41"/>
      <c r="W147" s="41"/>
      <c r="X147" s="36"/>
      <c r="Y147" s="36"/>
      <c r="Z147" s="36"/>
      <c r="AA147" s="36"/>
      <c r="AB147" s="36"/>
      <c r="AC147" s="36"/>
    </row>
    <row r="148" spans="17:29" x14ac:dyDescent="0.2">
      <c r="Q148" s="36"/>
      <c r="R148" s="40"/>
      <c r="S148" s="40"/>
      <c r="T148" s="40"/>
      <c r="U148" s="41"/>
      <c r="V148" s="41"/>
      <c r="W148" s="41"/>
      <c r="X148" s="36"/>
      <c r="Y148" s="36"/>
      <c r="Z148" s="36"/>
      <c r="AA148" s="36"/>
      <c r="AB148" s="36"/>
      <c r="AC148" s="36"/>
    </row>
    <row r="149" spans="17:29" x14ac:dyDescent="0.2">
      <c r="Q149" s="36"/>
      <c r="R149" s="40"/>
      <c r="S149" s="40"/>
      <c r="T149" s="40"/>
      <c r="U149" s="41"/>
      <c r="V149" s="41"/>
      <c r="W149" s="41"/>
      <c r="X149" s="36"/>
      <c r="Y149" s="36"/>
      <c r="Z149" s="36"/>
      <c r="AA149" s="36"/>
      <c r="AB149" s="36"/>
      <c r="AC149" s="36"/>
    </row>
    <row r="150" spans="17:29" x14ac:dyDescent="0.2">
      <c r="Q150" s="36"/>
      <c r="R150" s="40"/>
      <c r="S150" s="40"/>
      <c r="T150" s="40"/>
      <c r="U150" s="41"/>
      <c r="V150" s="41"/>
      <c r="W150" s="41"/>
      <c r="X150" s="36"/>
      <c r="Y150" s="36"/>
      <c r="Z150" s="36"/>
      <c r="AA150" s="36"/>
      <c r="AB150" s="36"/>
      <c r="AC150" s="36"/>
    </row>
    <row r="151" spans="17:29" x14ac:dyDescent="0.2">
      <c r="Q151" s="36"/>
      <c r="R151" s="40"/>
      <c r="S151" s="40"/>
      <c r="T151" s="40"/>
      <c r="U151" s="41"/>
      <c r="V151" s="41"/>
      <c r="W151" s="41"/>
      <c r="X151" s="36"/>
      <c r="Y151" s="36"/>
      <c r="Z151" s="36"/>
      <c r="AA151" s="36"/>
      <c r="AB151" s="36"/>
      <c r="AC151" s="36"/>
    </row>
    <row r="152" spans="17:29" x14ac:dyDescent="0.2">
      <c r="Q152" s="36"/>
      <c r="R152" s="40"/>
      <c r="S152" s="40"/>
      <c r="T152" s="40"/>
      <c r="U152" s="41"/>
      <c r="V152" s="41"/>
      <c r="W152" s="41"/>
      <c r="X152" s="36"/>
      <c r="Y152" s="36"/>
      <c r="Z152" s="36"/>
      <c r="AA152" s="36"/>
      <c r="AB152" s="36"/>
      <c r="AC152" s="36"/>
    </row>
    <row r="153" spans="17:29" x14ac:dyDescent="0.2">
      <c r="Q153" s="36"/>
      <c r="R153" s="40"/>
      <c r="S153" s="40"/>
      <c r="T153" s="40"/>
      <c r="U153" s="41"/>
      <c r="V153" s="41"/>
      <c r="W153" s="41"/>
      <c r="X153" s="36"/>
      <c r="Y153" s="36"/>
      <c r="Z153" s="36"/>
      <c r="AA153" s="36"/>
      <c r="AB153" s="36"/>
      <c r="AC153" s="36"/>
    </row>
    <row r="154" spans="17:29" x14ac:dyDescent="0.2">
      <c r="Q154" s="36"/>
      <c r="R154" s="40"/>
      <c r="S154" s="40"/>
      <c r="T154" s="40"/>
      <c r="U154" s="41"/>
      <c r="V154" s="41"/>
      <c r="W154" s="41"/>
      <c r="X154" s="36"/>
      <c r="Y154" s="36"/>
      <c r="Z154" s="36"/>
      <c r="AA154" s="36"/>
      <c r="AB154" s="36"/>
      <c r="AC154" s="36"/>
    </row>
    <row r="155" spans="17:29" x14ac:dyDescent="0.2">
      <c r="Q155" s="36"/>
      <c r="R155" s="40"/>
      <c r="S155" s="40"/>
      <c r="T155" s="40"/>
      <c r="U155" s="41"/>
      <c r="V155" s="41"/>
      <c r="W155" s="41"/>
      <c r="X155" s="36"/>
      <c r="Y155" s="36"/>
      <c r="Z155" s="36"/>
      <c r="AA155" s="36"/>
      <c r="AB155" s="36"/>
      <c r="AC155" s="36"/>
    </row>
    <row r="156" spans="17:29" x14ac:dyDescent="0.2">
      <c r="Q156" s="36"/>
      <c r="R156" s="40"/>
      <c r="S156" s="40"/>
      <c r="T156" s="40"/>
      <c r="U156" s="41"/>
      <c r="V156" s="41"/>
      <c r="W156" s="41"/>
      <c r="X156" s="36"/>
      <c r="Y156" s="36"/>
      <c r="Z156" s="36"/>
      <c r="AA156" s="36"/>
      <c r="AB156" s="36"/>
      <c r="AC156" s="36"/>
    </row>
    <row r="157" spans="17:29" x14ac:dyDescent="0.2">
      <c r="Q157" s="36"/>
      <c r="R157" s="40"/>
      <c r="S157" s="40"/>
      <c r="T157" s="40"/>
      <c r="U157" s="41"/>
      <c r="V157" s="41"/>
      <c r="W157" s="41"/>
      <c r="X157" s="36"/>
      <c r="Y157" s="36"/>
      <c r="Z157" s="36"/>
      <c r="AA157" s="36"/>
      <c r="AB157" s="36"/>
      <c r="AC157" s="36"/>
    </row>
    <row r="158" spans="17:29" x14ac:dyDescent="0.2">
      <c r="Q158" s="36"/>
      <c r="R158" s="40"/>
      <c r="S158" s="40"/>
      <c r="T158" s="40"/>
      <c r="U158" s="41"/>
      <c r="V158" s="41"/>
      <c r="W158" s="41"/>
      <c r="X158" s="36"/>
      <c r="Y158" s="36"/>
      <c r="Z158" s="36"/>
      <c r="AA158" s="36"/>
      <c r="AB158" s="36"/>
      <c r="AC158" s="36"/>
    </row>
    <row r="159" spans="17:29" x14ac:dyDescent="0.2">
      <c r="Q159" s="36"/>
      <c r="R159" s="40"/>
      <c r="S159" s="40"/>
      <c r="T159" s="40"/>
      <c r="U159" s="41"/>
      <c r="V159" s="41"/>
      <c r="W159" s="41"/>
      <c r="X159" s="36"/>
      <c r="Y159" s="36"/>
      <c r="Z159" s="36"/>
      <c r="AA159" s="36"/>
      <c r="AB159" s="36"/>
      <c r="AC159" s="36"/>
    </row>
    <row r="160" spans="17:29" x14ac:dyDescent="0.2">
      <c r="Q160" s="36"/>
      <c r="R160" s="40"/>
      <c r="S160" s="40"/>
      <c r="T160" s="40"/>
      <c r="U160" s="41"/>
      <c r="V160" s="41"/>
      <c r="W160" s="41"/>
      <c r="X160" s="36"/>
      <c r="Y160" s="36"/>
      <c r="Z160" s="36"/>
      <c r="AA160" s="36"/>
      <c r="AB160" s="36"/>
      <c r="AC160" s="36"/>
    </row>
    <row r="161" spans="17:29" x14ac:dyDescent="0.2">
      <c r="Q161" s="36"/>
      <c r="R161" s="40"/>
      <c r="S161" s="40"/>
      <c r="T161" s="40"/>
      <c r="U161" s="41"/>
      <c r="V161" s="41"/>
      <c r="W161" s="41"/>
      <c r="X161" s="36"/>
      <c r="Y161" s="36"/>
      <c r="Z161" s="36"/>
      <c r="AA161" s="36"/>
      <c r="AB161" s="36"/>
      <c r="AC161" s="36"/>
    </row>
    <row r="162" spans="17:29" x14ac:dyDescent="0.2">
      <c r="Q162" s="36"/>
      <c r="R162" s="40"/>
      <c r="S162" s="40"/>
      <c r="T162" s="40"/>
      <c r="U162" s="41"/>
      <c r="V162" s="41"/>
      <c r="W162" s="41"/>
      <c r="X162" s="36"/>
      <c r="Y162" s="36"/>
      <c r="Z162" s="36"/>
      <c r="AA162" s="36"/>
      <c r="AB162" s="36"/>
      <c r="AC162" s="36"/>
    </row>
    <row r="163" spans="17:29" x14ac:dyDescent="0.2">
      <c r="Q163" s="36"/>
      <c r="R163" s="40"/>
      <c r="S163" s="40"/>
      <c r="T163" s="40"/>
      <c r="U163" s="41"/>
      <c r="V163" s="41"/>
      <c r="W163" s="41"/>
      <c r="X163" s="36"/>
      <c r="Y163" s="36"/>
      <c r="Z163" s="36"/>
      <c r="AA163" s="36"/>
      <c r="AB163" s="36"/>
      <c r="AC163" s="36"/>
    </row>
    <row r="164" spans="17:29" x14ac:dyDescent="0.2">
      <c r="Q164" s="36"/>
      <c r="R164" s="40"/>
      <c r="S164" s="40"/>
      <c r="T164" s="40"/>
      <c r="U164" s="41"/>
      <c r="V164" s="41"/>
      <c r="W164" s="41"/>
      <c r="X164" s="36"/>
      <c r="Y164" s="36"/>
      <c r="Z164" s="36"/>
      <c r="AA164" s="36"/>
      <c r="AB164" s="36"/>
      <c r="AC164" s="36"/>
    </row>
    <row r="165" spans="17:29" x14ac:dyDescent="0.2">
      <c r="Q165" s="36"/>
      <c r="R165" s="40"/>
      <c r="S165" s="40"/>
      <c r="T165" s="40"/>
      <c r="U165" s="41"/>
      <c r="V165" s="41"/>
      <c r="W165" s="41"/>
      <c r="X165" s="36"/>
      <c r="Y165" s="36"/>
      <c r="Z165" s="36"/>
      <c r="AA165" s="36"/>
      <c r="AB165" s="36"/>
      <c r="AC165" s="36"/>
    </row>
    <row r="166" spans="17:29" x14ac:dyDescent="0.2">
      <c r="Q166" s="36"/>
      <c r="R166" s="40"/>
      <c r="S166" s="40"/>
      <c r="T166" s="40"/>
      <c r="U166" s="41"/>
      <c r="V166" s="41"/>
      <c r="W166" s="41"/>
      <c r="X166" s="36"/>
      <c r="Y166" s="36"/>
      <c r="Z166" s="36"/>
      <c r="AA166" s="36"/>
      <c r="AB166" s="36"/>
      <c r="AC166" s="36"/>
    </row>
    <row r="167" spans="17:29" x14ac:dyDescent="0.2">
      <c r="Q167" s="36"/>
      <c r="R167" s="40"/>
      <c r="S167" s="40"/>
      <c r="T167" s="40"/>
      <c r="U167" s="41"/>
      <c r="V167" s="41"/>
      <c r="W167" s="41"/>
      <c r="X167" s="36"/>
      <c r="Y167" s="36"/>
      <c r="Z167" s="36"/>
      <c r="AA167" s="36"/>
      <c r="AB167" s="36"/>
      <c r="AC167" s="36"/>
    </row>
    <row r="168" spans="17:29" x14ac:dyDescent="0.2">
      <c r="Q168" s="36"/>
      <c r="R168" s="40"/>
      <c r="S168" s="40"/>
      <c r="T168" s="40"/>
      <c r="U168" s="41"/>
      <c r="V168" s="41"/>
      <c r="W168" s="41"/>
      <c r="X168" s="36"/>
      <c r="Y168" s="36"/>
      <c r="Z168" s="36"/>
      <c r="AA168" s="36"/>
      <c r="AB168" s="36"/>
      <c r="AC168" s="36"/>
    </row>
    <row r="169" spans="17:29" x14ac:dyDescent="0.2">
      <c r="Q169" s="36"/>
      <c r="R169" s="40"/>
      <c r="S169" s="40"/>
      <c r="T169" s="40"/>
      <c r="U169" s="41"/>
      <c r="V169" s="41"/>
      <c r="W169" s="41"/>
      <c r="X169" s="36"/>
      <c r="Y169" s="36"/>
      <c r="Z169" s="36"/>
      <c r="AA169" s="36"/>
      <c r="AB169" s="36"/>
      <c r="AC169" s="36"/>
    </row>
    <row r="170" spans="17:29" x14ac:dyDescent="0.2">
      <c r="Q170" s="36"/>
      <c r="R170" s="40"/>
      <c r="S170" s="40"/>
      <c r="T170" s="40"/>
      <c r="U170" s="41"/>
      <c r="V170" s="41"/>
      <c r="W170" s="41"/>
      <c r="X170" s="36"/>
      <c r="Y170" s="36"/>
      <c r="Z170" s="36"/>
      <c r="AA170" s="36"/>
      <c r="AB170" s="36"/>
      <c r="AC170" s="36"/>
    </row>
    <row r="171" spans="17:29" x14ac:dyDescent="0.2">
      <c r="Q171" s="36"/>
      <c r="R171" s="40"/>
      <c r="S171" s="40"/>
      <c r="T171" s="40"/>
      <c r="U171" s="41"/>
      <c r="V171" s="41"/>
      <c r="W171" s="41"/>
      <c r="X171" s="36"/>
      <c r="Y171" s="36"/>
      <c r="Z171" s="36"/>
      <c r="AA171" s="36"/>
      <c r="AB171" s="36"/>
      <c r="AC171" s="36"/>
    </row>
    <row r="172" spans="17:29" x14ac:dyDescent="0.2">
      <c r="Q172" s="36"/>
      <c r="R172" s="40"/>
      <c r="S172" s="40"/>
      <c r="T172" s="40"/>
      <c r="U172" s="41"/>
      <c r="V172" s="41"/>
      <c r="W172" s="41"/>
      <c r="X172" s="36"/>
      <c r="Y172" s="36"/>
      <c r="Z172" s="36"/>
      <c r="AA172" s="36"/>
      <c r="AB172" s="36"/>
      <c r="AC172" s="36"/>
    </row>
    <row r="173" spans="17:29" x14ac:dyDescent="0.2">
      <c r="Q173" s="36"/>
      <c r="R173" s="40"/>
      <c r="S173" s="40"/>
      <c r="T173" s="40"/>
      <c r="U173" s="41"/>
      <c r="V173" s="41"/>
      <c r="W173" s="41"/>
      <c r="X173" s="36"/>
      <c r="Y173" s="36"/>
      <c r="Z173" s="36"/>
      <c r="AA173" s="36"/>
      <c r="AB173" s="36"/>
      <c r="AC173" s="36"/>
    </row>
    <row r="174" spans="17:29" x14ac:dyDescent="0.2">
      <c r="Q174" s="36"/>
      <c r="R174" s="40"/>
      <c r="S174" s="40"/>
      <c r="T174" s="40"/>
      <c r="U174" s="41"/>
      <c r="V174" s="41"/>
      <c r="W174" s="41"/>
      <c r="X174" s="36"/>
      <c r="Y174" s="36"/>
      <c r="Z174" s="36"/>
      <c r="AA174" s="36"/>
      <c r="AB174" s="36"/>
      <c r="AC174" s="36"/>
    </row>
    <row r="175" spans="17:29" x14ac:dyDescent="0.2">
      <c r="Q175" s="36"/>
      <c r="R175" s="40"/>
      <c r="S175" s="40"/>
      <c r="T175" s="40"/>
      <c r="U175" s="41"/>
      <c r="V175" s="41"/>
      <c r="W175" s="41"/>
      <c r="X175" s="36"/>
      <c r="Y175" s="36"/>
      <c r="Z175" s="36"/>
      <c r="AA175" s="36"/>
      <c r="AB175" s="36"/>
      <c r="AC175" s="36"/>
    </row>
    <row r="176" spans="17:29" x14ac:dyDescent="0.2">
      <c r="Q176" s="36"/>
      <c r="R176" s="40"/>
      <c r="S176" s="40"/>
      <c r="T176" s="40"/>
      <c r="U176" s="41"/>
      <c r="V176" s="41"/>
      <c r="W176" s="41"/>
      <c r="X176" s="36"/>
      <c r="Y176" s="36"/>
      <c r="Z176" s="36"/>
      <c r="AA176" s="36"/>
      <c r="AB176" s="36"/>
      <c r="AC176" s="36"/>
    </row>
    <row r="177" spans="17:29" x14ac:dyDescent="0.2">
      <c r="Q177" s="36"/>
      <c r="R177" s="40"/>
      <c r="S177" s="40"/>
      <c r="T177" s="40"/>
      <c r="U177" s="41"/>
      <c r="V177" s="41"/>
      <c r="W177" s="41"/>
      <c r="X177" s="36"/>
      <c r="Y177" s="36"/>
      <c r="Z177" s="36"/>
      <c r="AA177" s="36"/>
      <c r="AB177" s="36"/>
      <c r="AC177" s="36"/>
    </row>
    <row r="178" spans="17:29" x14ac:dyDescent="0.2">
      <c r="Q178" s="36"/>
      <c r="R178" s="40"/>
      <c r="S178" s="40"/>
      <c r="T178" s="40"/>
      <c r="U178" s="41"/>
      <c r="V178" s="41"/>
      <c r="W178" s="41"/>
      <c r="X178" s="36"/>
      <c r="Y178" s="36"/>
      <c r="Z178" s="36"/>
      <c r="AA178" s="36"/>
      <c r="AB178" s="36"/>
      <c r="AC178" s="36"/>
    </row>
    <row r="179" spans="17:29" x14ac:dyDescent="0.2">
      <c r="Q179" s="36"/>
      <c r="R179" s="40"/>
      <c r="S179" s="40"/>
      <c r="T179" s="40"/>
      <c r="U179" s="41"/>
      <c r="V179" s="41"/>
      <c r="W179" s="41"/>
      <c r="X179" s="36"/>
      <c r="Y179" s="36"/>
      <c r="Z179" s="36"/>
      <c r="AA179" s="36"/>
      <c r="AB179" s="36"/>
      <c r="AC179" s="36"/>
    </row>
    <row r="180" spans="17:29" x14ac:dyDescent="0.2">
      <c r="Q180" s="36"/>
      <c r="R180" s="40"/>
      <c r="S180" s="40"/>
      <c r="T180" s="40"/>
      <c r="U180" s="41"/>
      <c r="V180" s="41"/>
      <c r="W180" s="41"/>
      <c r="X180" s="36"/>
      <c r="Y180" s="36"/>
      <c r="Z180" s="36"/>
      <c r="AA180" s="36"/>
      <c r="AB180" s="36"/>
      <c r="AC180" s="36"/>
    </row>
    <row r="181" spans="17:29" x14ac:dyDescent="0.2">
      <c r="Q181" s="36"/>
      <c r="R181" s="40"/>
      <c r="S181" s="40"/>
      <c r="T181" s="40"/>
      <c r="U181" s="41"/>
      <c r="V181" s="41"/>
      <c r="W181" s="41"/>
      <c r="X181" s="36"/>
      <c r="Y181" s="36"/>
      <c r="Z181" s="36"/>
      <c r="AA181" s="36"/>
      <c r="AB181" s="36"/>
      <c r="AC181" s="36"/>
    </row>
    <row r="182" spans="17:29" x14ac:dyDescent="0.2">
      <c r="Q182" s="36"/>
      <c r="R182" s="40"/>
      <c r="S182" s="40"/>
      <c r="T182" s="40"/>
      <c r="U182" s="41"/>
      <c r="V182" s="41"/>
      <c r="W182" s="41"/>
      <c r="X182" s="36"/>
      <c r="Y182" s="36"/>
      <c r="Z182" s="36"/>
      <c r="AA182" s="36"/>
      <c r="AB182" s="36"/>
      <c r="AC182" s="36"/>
    </row>
    <row r="183" spans="17:29" x14ac:dyDescent="0.2">
      <c r="Q183" s="36"/>
      <c r="R183" s="40"/>
      <c r="S183" s="40"/>
      <c r="T183" s="40"/>
      <c r="U183" s="41"/>
      <c r="V183" s="41"/>
      <c r="W183" s="41"/>
      <c r="X183" s="36"/>
      <c r="Y183" s="36"/>
      <c r="Z183" s="36"/>
      <c r="AA183" s="36"/>
      <c r="AB183" s="36"/>
      <c r="AC183" s="36"/>
    </row>
    <row r="184" spans="17:29" x14ac:dyDescent="0.2">
      <c r="Q184" s="36"/>
      <c r="R184" s="40"/>
      <c r="S184" s="40"/>
      <c r="T184" s="40"/>
      <c r="U184" s="41"/>
      <c r="V184" s="41"/>
      <c r="W184" s="41"/>
      <c r="X184" s="36"/>
      <c r="Y184" s="36"/>
      <c r="Z184" s="36"/>
      <c r="AA184" s="36"/>
      <c r="AB184" s="36"/>
      <c r="AC184" s="36"/>
    </row>
    <row r="185" spans="17:29" x14ac:dyDescent="0.2">
      <c r="Q185" s="36"/>
      <c r="R185" s="40"/>
      <c r="S185" s="40"/>
      <c r="T185" s="40"/>
      <c r="U185" s="41"/>
      <c r="V185" s="41"/>
      <c r="W185" s="41"/>
      <c r="X185" s="36"/>
      <c r="Y185" s="36"/>
      <c r="Z185" s="36"/>
      <c r="AA185" s="36"/>
      <c r="AB185" s="36"/>
      <c r="AC185" s="36"/>
    </row>
    <row r="186" spans="17:29" x14ac:dyDescent="0.2">
      <c r="Q186" s="36"/>
      <c r="R186" s="40"/>
      <c r="S186" s="40"/>
      <c r="T186" s="40"/>
      <c r="U186" s="41"/>
      <c r="V186" s="41"/>
      <c r="W186" s="41"/>
      <c r="X186" s="36"/>
      <c r="Y186" s="36"/>
      <c r="Z186" s="36"/>
      <c r="AA186" s="36"/>
      <c r="AB186" s="36"/>
      <c r="AC186" s="36"/>
    </row>
    <row r="187" spans="17:29" x14ac:dyDescent="0.2">
      <c r="Q187" s="36"/>
      <c r="R187" s="40"/>
      <c r="S187" s="40"/>
      <c r="T187" s="40"/>
      <c r="U187" s="41"/>
      <c r="V187" s="41"/>
      <c r="W187" s="41"/>
      <c r="X187" s="36"/>
      <c r="Y187" s="36"/>
      <c r="Z187" s="36"/>
      <c r="AA187" s="36"/>
      <c r="AB187" s="36"/>
      <c r="AC187" s="36"/>
    </row>
    <row r="188" spans="17:29" x14ac:dyDescent="0.2">
      <c r="Q188" s="36"/>
      <c r="R188" s="40"/>
      <c r="S188" s="40"/>
      <c r="T188" s="40"/>
      <c r="U188" s="41"/>
      <c r="V188" s="41"/>
      <c r="W188" s="41"/>
      <c r="X188" s="36"/>
      <c r="Y188" s="36"/>
      <c r="Z188" s="36"/>
      <c r="AA188" s="36"/>
      <c r="AB188" s="36"/>
      <c r="AC188" s="36"/>
    </row>
    <row r="189" spans="17:29" x14ac:dyDescent="0.2">
      <c r="Q189" s="36"/>
      <c r="R189" s="40"/>
      <c r="S189" s="40"/>
      <c r="T189" s="40"/>
      <c r="U189" s="41"/>
      <c r="V189" s="41"/>
      <c r="W189" s="41"/>
      <c r="X189" s="36"/>
      <c r="Y189" s="36"/>
      <c r="Z189" s="36"/>
      <c r="AA189" s="36"/>
      <c r="AB189" s="36"/>
      <c r="AC189" s="36"/>
    </row>
    <row r="190" spans="17:29" x14ac:dyDescent="0.2">
      <c r="Q190" s="36"/>
      <c r="R190" s="40"/>
      <c r="S190" s="40"/>
      <c r="T190" s="40"/>
      <c r="U190" s="41"/>
      <c r="V190" s="41"/>
      <c r="W190" s="41"/>
      <c r="X190" s="36"/>
      <c r="Y190" s="36"/>
      <c r="Z190" s="36"/>
      <c r="AA190" s="36"/>
      <c r="AB190" s="36"/>
      <c r="AC190" s="36"/>
    </row>
    <row r="191" spans="17:29" x14ac:dyDescent="0.2">
      <c r="Q191" s="36"/>
      <c r="R191" s="40"/>
      <c r="S191" s="40"/>
      <c r="T191" s="40"/>
      <c r="U191" s="41"/>
      <c r="V191" s="41"/>
      <c r="W191" s="41"/>
      <c r="X191" s="36"/>
      <c r="Y191" s="36"/>
      <c r="Z191" s="36"/>
      <c r="AA191" s="36"/>
      <c r="AB191" s="36"/>
      <c r="AC191" s="36"/>
    </row>
    <row r="192" spans="17:29" x14ac:dyDescent="0.2">
      <c r="Q192" s="36"/>
      <c r="R192" s="40"/>
      <c r="S192" s="40"/>
      <c r="T192" s="40"/>
      <c r="U192" s="41"/>
      <c r="V192" s="41"/>
      <c r="W192" s="41"/>
      <c r="X192" s="36"/>
      <c r="Y192" s="36"/>
      <c r="Z192" s="36"/>
      <c r="AA192" s="36"/>
      <c r="AB192" s="36"/>
      <c r="AC192" s="36"/>
    </row>
    <row r="193" spans="17:29" x14ac:dyDescent="0.2">
      <c r="Q193" s="36"/>
      <c r="R193" s="40"/>
      <c r="S193" s="40"/>
      <c r="T193" s="40"/>
      <c r="U193" s="41"/>
      <c r="V193" s="41"/>
      <c r="W193" s="41"/>
      <c r="X193" s="36"/>
      <c r="Y193" s="36"/>
      <c r="Z193" s="36"/>
      <c r="AA193" s="36"/>
      <c r="AB193" s="36"/>
      <c r="AC193" s="36"/>
    </row>
    <row r="194" spans="17:29" x14ac:dyDescent="0.2">
      <c r="Q194" s="36"/>
      <c r="R194" s="40"/>
      <c r="S194" s="40"/>
      <c r="T194" s="40"/>
      <c r="U194" s="41"/>
      <c r="V194" s="41"/>
      <c r="W194" s="41"/>
      <c r="X194" s="36"/>
      <c r="Y194" s="36"/>
      <c r="Z194" s="36"/>
      <c r="AA194" s="36"/>
      <c r="AB194" s="36"/>
      <c r="AC194" s="36"/>
    </row>
    <row r="195" spans="17:29" x14ac:dyDescent="0.2">
      <c r="Q195" s="36"/>
      <c r="R195" s="40"/>
      <c r="S195" s="40"/>
      <c r="T195" s="40"/>
      <c r="U195" s="41"/>
      <c r="V195" s="41"/>
      <c r="W195" s="41"/>
      <c r="X195" s="36"/>
      <c r="Y195" s="36"/>
      <c r="Z195" s="36"/>
      <c r="AA195" s="36"/>
      <c r="AB195" s="36"/>
      <c r="AC195" s="36"/>
    </row>
    <row r="196" spans="17:29" x14ac:dyDescent="0.2">
      <c r="Q196" s="36"/>
      <c r="R196" s="40"/>
      <c r="S196" s="40"/>
      <c r="T196" s="40"/>
      <c r="U196" s="41"/>
      <c r="V196" s="41"/>
      <c r="W196" s="41"/>
      <c r="X196" s="36"/>
      <c r="Y196" s="36"/>
      <c r="Z196" s="36"/>
      <c r="AA196" s="36"/>
      <c r="AB196" s="36"/>
      <c r="AC196" s="36"/>
    </row>
    <row r="197" spans="17:29" x14ac:dyDescent="0.2">
      <c r="Q197" s="36"/>
      <c r="R197" s="40"/>
      <c r="S197" s="40"/>
      <c r="T197" s="40"/>
      <c r="U197" s="41"/>
      <c r="V197" s="41"/>
      <c r="W197" s="41"/>
      <c r="X197" s="36"/>
      <c r="Y197" s="36"/>
      <c r="Z197" s="36"/>
      <c r="AA197" s="36"/>
      <c r="AB197" s="36"/>
      <c r="AC197" s="36"/>
    </row>
    <row r="198" spans="17:29" x14ac:dyDescent="0.2">
      <c r="Q198" s="36"/>
      <c r="R198" s="40"/>
      <c r="S198" s="40"/>
      <c r="T198" s="40"/>
      <c r="U198" s="41"/>
      <c r="V198" s="41"/>
      <c r="W198" s="41"/>
      <c r="X198" s="36"/>
      <c r="Y198" s="36"/>
      <c r="Z198" s="36"/>
      <c r="AA198" s="36"/>
      <c r="AB198" s="36"/>
      <c r="AC198" s="36"/>
    </row>
    <row r="199" spans="17:29" x14ac:dyDescent="0.2">
      <c r="Q199" s="36"/>
      <c r="R199" s="40"/>
      <c r="S199" s="40"/>
      <c r="T199" s="40"/>
      <c r="U199" s="41"/>
      <c r="V199" s="41"/>
      <c r="W199" s="41"/>
      <c r="X199" s="36"/>
      <c r="Y199" s="36"/>
      <c r="Z199" s="36"/>
      <c r="AA199" s="36"/>
      <c r="AB199" s="36"/>
      <c r="AC199" s="36"/>
    </row>
    <row r="200" spans="17:29" x14ac:dyDescent="0.2">
      <c r="Q200" s="36"/>
      <c r="R200" s="40"/>
      <c r="S200" s="40"/>
      <c r="T200" s="40"/>
      <c r="U200" s="41"/>
      <c r="V200" s="41"/>
      <c r="W200" s="41"/>
      <c r="X200" s="36"/>
      <c r="Y200" s="36"/>
      <c r="Z200" s="36"/>
      <c r="AA200" s="36"/>
      <c r="AB200" s="36"/>
      <c r="AC200" s="36"/>
    </row>
    <row r="201" spans="17:29" x14ac:dyDescent="0.2">
      <c r="Q201" s="36"/>
      <c r="R201" s="40"/>
      <c r="S201" s="40"/>
      <c r="T201" s="40"/>
      <c r="U201" s="41"/>
      <c r="V201" s="41"/>
      <c r="W201" s="41"/>
      <c r="X201" s="36"/>
      <c r="Y201" s="36"/>
      <c r="Z201" s="36"/>
      <c r="AA201" s="36"/>
      <c r="AB201" s="36"/>
      <c r="AC201" s="36"/>
    </row>
    <row r="202" spans="17:29" x14ac:dyDescent="0.2">
      <c r="Q202" s="36"/>
      <c r="R202" s="40"/>
      <c r="S202" s="40"/>
      <c r="T202" s="40"/>
      <c r="U202" s="41"/>
      <c r="V202" s="41"/>
      <c r="W202" s="41"/>
      <c r="X202" s="36"/>
      <c r="Y202" s="36"/>
      <c r="Z202" s="36"/>
      <c r="AA202" s="36"/>
      <c r="AB202" s="36"/>
      <c r="AC202" s="36"/>
    </row>
    <row r="203" spans="17:29" x14ac:dyDescent="0.2">
      <c r="Q203" s="36"/>
      <c r="R203" s="40"/>
      <c r="S203" s="40"/>
      <c r="T203" s="40"/>
      <c r="U203" s="41"/>
      <c r="V203" s="41"/>
      <c r="W203" s="41"/>
      <c r="X203" s="36"/>
      <c r="Y203" s="36"/>
      <c r="Z203" s="36"/>
      <c r="AA203" s="36"/>
      <c r="AB203" s="36"/>
      <c r="AC203" s="36"/>
    </row>
    <row r="204" spans="17:29" x14ac:dyDescent="0.2">
      <c r="Q204" s="36"/>
      <c r="R204" s="40"/>
      <c r="S204" s="40"/>
      <c r="T204" s="40"/>
      <c r="U204" s="41"/>
      <c r="V204" s="41"/>
      <c r="W204" s="41"/>
      <c r="X204" s="36"/>
      <c r="Y204" s="36"/>
      <c r="Z204" s="36"/>
      <c r="AA204" s="36"/>
      <c r="AB204" s="36"/>
      <c r="AC204" s="36"/>
    </row>
    <row r="205" spans="17:29" x14ac:dyDescent="0.2">
      <c r="Q205" s="36"/>
      <c r="R205" s="40"/>
      <c r="S205" s="40"/>
      <c r="T205" s="40"/>
      <c r="U205" s="41"/>
      <c r="V205" s="41"/>
      <c r="W205" s="41"/>
      <c r="X205" s="36"/>
      <c r="Y205" s="36"/>
      <c r="Z205" s="36"/>
      <c r="AA205" s="36"/>
      <c r="AB205" s="36"/>
      <c r="AC205" s="36"/>
    </row>
    <row r="206" spans="17:29" x14ac:dyDescent="0.2">
      <c r="Q206" s="36"/>
      <c r="R206" s="40"/>
      <c r="S206" s="40"/>
      <c r="T206" s="40"/>
      <c r="U206" s="41"/>
      <c r="V206" s="41"/>
      <c r="W206" s="41"/>
      <c r="X206" s="36"/>
      <c r="Y206" s="36"/>
      <c r="Z206" s="36"/>
      <c r="AA206" s="36"/>
      <c r="AB206" s="36"/>
      <c r="AC206" s="36"/>
    </row>
    <row r="207" spans="17:29" x14ac:dyDescent="0.2">
      <c r="Q207" s="36"/>
      <c r="R207" s="40"/>
      <c r="S207" s="40"/>
      <c r="T207" s="40"/>
      <c r="U207" s="41"/>
      <c r="V207" s="41"/>
      <c r="W207" s="41"/>
      <c r="X207" s="36"/>
      <c r="Y207" s="36"/>
      <c r="Z207" s="36"/>
      <c r="AA207" s="36"/>
      <c r="AB207" s="36"/>
      <c r="AC207" s="36"/>
    </row>
    <row r="208" spans="17:29" x14ac:dyDescent="0.2">
      <c r="Q208" s="36"/>
      <c r="R208" s="40"/>
      <c r="S208" s="40"/>
      <c r="T208" s="40"/>
      <c r="U208" s="41"/>
      <c r="V208" s="41"/>
      <c r="W208" s="41"/>
      <c r="X208" s="36"/>
      <c r="Y208" s="36"/>
      <c r="Z208" s="36"/>
      <c r="AA208" s="36"/>
      <c r="AB208" s="36"/>
      <c r="AC208" s="36"/>
    </row>
    <row r="209" spans="17:29" x14ac:dyDescent="0.2">
      <c r="Q209" s="36"/>
      <c r="R209" s="40"/>
      <c r="S209" s="40"/>
      <c r="T209" s="40"/>
      <c r="U209" s="41"/>
      <c r="V209" s="41"/>
      <c r="W209" s="41"/>
      <c r="X209" s="36"/>
      <c r="Y209" s="36"/>
      <c r="Z209" s="36"/>
      <c r="AA209" s="36"/>
      <c r="AB209" s="36"/>
      <c r="AC209" s="36"/>
    </row>
    <row r="210" spans="17:29" x14ac:dyDescent="0.2">
      <c r="Q210" s="36"/>
      <c r="R210" s="40"/>
      <c r="S210" s="40"/>
      <c r="T210" s="40"/>
      <c r="U210" s="41"/>
      <c r="V210" s="41"/>
      <c r="W210" s="41"/>
      <c r="X210" s="36"/>
      <c r="Y210" s="36"/>
      <c r="Z210" s="36"/>
      <c r="AA210" s="36"/>
      <c r="AB210" s="36"/>
      <c r="AC210" s="36"/>
    </row>
    <row r="211" spans="17:29" x14ac:dyDescent="0.2">
      <c r="Q211" s="36"/>
      <c r="R211" s="40"/>
      <c r="S211" s="40"/>
      <c r="T211" s="40"/>
      <c r="U211" s="41"/>
      <c r="V211" s="41"/>
      <c r="W211" s="41"/>
      <c r="X211" s="36"/>
      <c r="Y211" s="36"/>
      <c r="Z211" s="36"/>
      <c r="AA211" s="36"/>
      <c r="AB211" s="36"/>
      <c r="AC211" s="36"/>
    </row>
    <row r="212" spans="17:29" x14ac:dyDescent="0.2">
      <c r="Q212" s="36"/>
      <c r="R212" s="40"/>
      <c r="S212" s="40"/>
      <c r="T212" s="40"/>
      <c r="U212" s="41"/>
      <c r="V212" s="41"/>
      <c r="W212" s="41"/>
      <c r="X212" s="36"/>
      <c r="Y212" s="36"/>
      <c r="Z212" s="36"/>
      <c r="AA212" s="36"/>
      <c r="AB212" s="36"/>
      <c r="AC212" s="36"/>
    </row>
    <row r="213" spans="17:29" x14ac:dyDescent="0.2">
      <c r="Q213" s="36"/>
      <c r="R213" s="40"/>
      <c r="S213" s="40"/>
      <c r="T213" s="40"/>
      <c r="U213" s="41"/>
      <c r="V213" s="41"/>
      <c r="W213" s="41"/>
      <c r="X213" s="36"/>
      <c r="Y213" s="36"/>
      <c r="Z213" s="36"/>
      <c r="AA213" s="36"/>
      <c r="AB213" s="36"/>
      <c r="AC213" s="36"/>
    </row>
    <row r="214" spans="17:29" x14ac:dyDescent="0.2">
      <c r="Q214" s="36"/>
      <c r="R214" s="40"/>
      <c r="S214" s="40"/>
      <c r="T214" s="40"/>
      <c r="U214" s="41"/>
      <c r="V214" s="41"/>
      <c r="W214" s="41"/>
      <c r="X214" s="36"/>
      <c r="Y214" s="36"/>
      <c r="Z214" s="36"/>
      <c r="AA214" s="36"/>
      <c r="AB214" s="36"/>
      <c r="AC214" s="36"/>
    </row>
    <row r="215" spans="17:29" x14ac:dyDescent="0.2">
      <c r="Q215" s="36"/>
      <c r="R215" s="40"/>
      <c r="S215" s="40"/>
      <c r="T215" s="40"/>
      <c r="U215" s="41"/>
      <c r="V215" s="41"/>
      <c r="W215" s="41"/>
      <c r="X215" s="36"/>
      <c r="Y215" s="36"/>
      <c r="Z215" s="36"/>
      <c r="AA215" s="36"/>
      <c r="AB215" s="36"/>
      <c r="AC215" s="36"/>
    </row>
    <row r="216" spans="17:29" x14ac:dyDescent="0.2">
      <c r="Q216" s="36"/>
      <c r="R216" s="40"/>
      <c r="S216" s="40"/>
      <c r="T216" s="40"/>
      <c r="U216" s="41"/>
      <c r="V216" s="41"/>
      <c r="W216" s="41"/>
      <c r="X216" s="36"/>
      <c r="Y216" s="36"/>
      <c r="Z216" s="36"/>
      <c r="AA216" s="36"/>
      <c r="AB216" s="36"/>
      <c r="AC216" s="36"/>
    </row>
    <row r="217" spans="17:29" x14ac:dyDescent="0.2">
      <c r="Q217" s="36"/>
      <c r="R217" s="40"/>
      <c r="S217" s="40"/>
      <c r="T217" s="40"/>
      <c r="U217" s="41"/>
      <c r="V217" s="41"/>
      <c r="W217" s="41"/>
      <c r="X217" s="36"/>
      <c r="Y217" s="36"/>
      <c r="Z217" s="36"/>
      <c r="AA217" s="36"/>
      <c r="AB217" s="36"/>
      <c r="AC217" s="36"/>
    </row>
    <row r="218" spans="17:29" x14ac:dyDescent="0.2">
      <c r="Q218" s="36"/>
      <c r="R218" s="40"/>
      <c r="S218" s="40"/>
      <c r="T218" s="40"/>
      <c r="U218" s="41"/>
      <c r="V218" s="41"/>
      <c r="W218" s="41"/>
      <c r="X218" s="36"/>
      <c r="Y218" s="36"/>
      <c r="Z218" s="36"/>
      <c r="AA218" s="36"/>
      <c r="AB218" s="36"/>
      <c r="AC218" s="36"/>
    </row>
    <row r="219" spans="17:29" x14ac:dyDescent="0.2">
      <c r="Q219" s="36"/>
      <c r="R219" s="40"/>
      <c r="S219" s="40"/>
      <c r="T219" s="40"/>
      <c r="U219" s="41"/>
      <c r="V219" s="41"/>
      <c r="W219" s="41"/>
      <c r="X219" s="36"/>
      <c r="Y219" s="36"/>
      <c r="Z219" s="36"/>
      <c r="AA219" s="36"/>
      <c r="AB219" s="36"/>
      <c r="AC219" s="36"/>
    </row>
    <row r="220" spans="17:29" x14ac:dyDescent="0.2">
      <c r="Q220" s="36"/>
      <c r="R220" s="40"/>
      <c r="S220" s="40"/>
      <c r="T220" s="40"/>
      <c r="U220" s="41"/>
      <c r="V220" s="41"/>
      <c r="W220" s="41"/>
      <c r="X220" s="36"/>
      <c r="Y220" s="36"/>
      <c r="Z220" s="36"/>
      <c r="AA220" s="36"/>
      <c r="AB220" s="36"/>
      <c r="AC220" s="36"/>
    </row>
    <row r="221" spans="17:29" x14ac:dyDescent="0.2">
      <c r="Q221" s="36"/>
      <c r="R221" s="40"/>
      <c r="S221" s="40"/>
      <c r="T221" s="40"/>
      <c r="U221" s="41"/>
      <c r="V221" s="41"/>
      <c r="W221" s="41"/>
      <c r="X221" s="36"/>
      <c r="Y221" s="36"/>
      <c r="Z221" s="36"/>
      <c r="AA221" s="36"/>
      <c r="AB221" s="36"/>
      <c r="AC221" s="36"/>
    </row>
    <row r="222" spans="17:29" x14ac:dyDescent="0.2">
      <c r="Q222" s="36"/>
      <c r="R222" s="40"/>
      <c r="S222" s="40"/>
      <c r="T222" s="40"/>
      <c r="U222" s="41"/>
      <c r="V222" s="41"/>
      <c r="W222" s="41"/>
      <c r="X222" s="36"/>
      <c r="Y222" s="36"/>
      <c r="Z222" s="36"/>
      <c r="AA222" s="36"/>
      <c r="AB222" s="36"/>
      <c r="AC222" s="36"/>
    </row>
    <row r="223" spans="17:29" x14ac:dyDescent="0.2">
      <c r="Q223" s="36"/>
      <c r="R223" s="40"/>
      <c r="S223" s="40"/>
      <c r="T223" s="40"/>
      <c r="U223" s="41"/>
      <c r="V223" s="41"/>
      <c r="W223" s="41"/>
      <c r="X223" s="36"/>
      <c r="Y223" s="36"/>
      <c r="Z223" s="36"/>
      <c r="AA223" s="36"/>
      <c r="AB223" s="36"/>
      <c r="AC223" s="36"/>
    </row>
    <row r="224" spans="17:29" x14ac:dyDescent="0.2">
      <c r="Q224" s="36"/>
      <c r="R224" s="40"/>
      <c r="S224" s="40"/>
      <c r="T224" s="40"/>
      <c r="U224" s="41"/>
      <c r="V224" s="41"/>
      <c r="W224" s="41"/>
      <c r="X224" s="36"/>
      <c r="Y224" s="36"/>
      <c r="Z224" s="36"/>
      <c r="AA224" s="36"/>
      <c r="AB224" s="36"/>
      <c r="AC224" s="36"/>
    </row>
    <row r="225" spans="17:29" x14ac:dyDescent="0.2">
      <c r="Q225" s="36"/>
      <c r="R225" s="40"/>
      <c r="S225" s="40"/>
      <c r="T225" s="40"/>
      <c r="U225" s="41"/>
      <c r="V225" s="41"/>
      <c r="W225" s="41"/>
      <c r="X225" s="36"/>
      <c r="Y225" s="36"/>
      <c r="Z225" s="36"/>
      <c r="AA225" s="36"/>
      <c r="AB225" s="36"/>
      <c r="AC225" s="36"/>
    </row>
    <row r="226" spans="17:29" x14ac:dyDescent="0.2">
      <c r="Q226" s="36"/>
      <c r="R226" s="40"/>
      <c r="S226" s="40"/>
      <c r="T226" s="40"/>
      <c r="U226" s="41"/>
      <c r="V226" s="41"/>
      <c r="W226" s="41"/>
      <c r="X226" s="36"/>
      <c r="Y226" s="36"/>
      <c r="Z226" s="36"/>
      <c r="AA226" s="36"/>
      <c r="AB226" s="36"/>
      <c r="AC226" s="36"/>
    </row>
    <row r="227" spans="17:29" x14ac:dyDescent="0.2">
      <c r="Q227" s="36"/>
      <c r="R227" s="40"/>
      <c r="S227" s="40"/>
      <c r="T227" s="40"/>
      <c r="U227" s="41"/>
      <c r="V227" s="41"/>
      <c r="W227" s="41"/>
      <c r="X227" s="36"/>
      <c r="Y227" s="36"/>
      <c r="Z227" s="36"/>
      <c r="AA227" s="36"/>
      <c r="AB227" s="36"/>
      <c r="AC227" s="36"/>
    </row>
    <row r="228" spans="17:29" x14ac:dyDescent="0.2">
      <c r="Q228" s="36"/>
      <c r="R228" s="40"/>
      <c r="S228" s="40"/>
      <c r="T228" s="40"/>
      <c r="U228" s="41"/>
      <c r="V228" s="41"/>
      <c r="W228" s="41"/>
      <c r="X228" s="36"/>
      <c r="Y228" s="36"/>
      <c r="Z228" s="36"/>
      <c r="AA228" s="36"/>
      <c r="AB228" s="36"/>
      <c r="AC228" s="36"/>
    </row>
    <row r="229" spans="17:29" x14ac:dyDescent="0.2">
      <c r="Q229" s="36"/>
      <c r="R229" s="40"/>
      <c r="S229" s="40"/>
      <c r="T229" s="40"/>
      <c r="U229" s="41"/>
      <c r="V229" s="41"/>
      <c r="W229" s="41"/>
      <c r="X229" s="36"/>
      <c r="Y229" s="36"/>
      <c r="Z229" s="36"/>
      <c r="AA229" s="36"/>
      <c r="AB229" s="36"/>
      <c r="AC229" s="36"/>
    </row>
    <row r="230" spans="17:29" x14ac:dyDescent="0.2">
      <c r="Q230" s="36"/>
      <c r="R230" s="40"/>
      <c r="S230" s="40"/>
      <c r="T230" s="40"/>
      <c r="U230" s="41"/>
      <c r="V230" s="41"/>
      <c r="W230" s="41"/>
      <c r="X230" s="36"/>
      <c r="Y230" s="36"/>
      <c r="Z230" s="36"/>
      <c r="AA230" s="36"/>
      <c r="AB230" s="36"/>
      <c r="AC230" s="36"/>
    </row>
    <row r="231" spans="17:29" x14ac:dyDescent="0.2">
      <c r="Q231" s="36"/>
      <c r="R231" s="40"/>
      <c r="S231" s="40"/>
      <c r="T231" s="40"/>
      <c r="U231" s="41"/>
      <c r="V231" s="41"/>
      <c r="W231" s="41"/>
      <c r="X231" s="36"/>
      <c r="Y231" s="36"/>
      <c r="Z231" s="36"/>
      <c r="AA231" s="36"/>
      <c r="AB231" s="36"/>
      <c r="AC231" s="36"/>
    </row>
    <row r="232" spans="17:29" x14ac:dyDescent="0.2">
      <c r="Q232" s="36"/>
      <c r="R232" s="40"/>
      <c r="S232" s="40"/>
      <c r="T232" s="40"/>
      <c r="U232" s="41"/>
      <c r="V232" s="41"/>
      <c r="W232" s="41"/>
      <c r="X232" s="36"/>
      <c r="Y232" s="36"/>
      <c r="Z232" s="36"/>
      <c r="AA232" s="36"/>
      <c r="AB232" s="36"/>
      <c r="AC232" s="36"/>
    </row>
    <row r="233" spans="17:29" x14ac:dyDescent="0.2">
      <c r="Q233" s="36"/>
      <c r="R233" s="40"/>
      <c r="S233" s="40"/>
      <c r="T233" s="40"/>
      <c r="U233" s="41"/>
      <c r="V233" s="41"/>
      <c r="W233" s="41"/>
      <c r="X233" s="36"/>
      <c r="Y233" s="36"/>
      <c r="Z233" s="36"/>
      <c r="AA233" s="36"/>
      <c r="AB233" s="36"/>
      <c r="AC233" s="36"/>
    </row>
    <row r="234" spans="17:29" x14ac:dyDescent="0.2">
      <c r="Q234" s="36"/>
      <c r="R234" s="40"/>
      <c r="S234" s="40"/>
      <c r="T234" s="40"/>
      <c r="U234" s="41"/>
      <c r="V234" s="41"/>
      <c r="W234" s="41"/>
      <c r="X234" s="36"/>
      <c r="Y234" s="36"/>
      <c r="Z234" s="36"/>
      <c r="AA234" s="36"/>
      <c r="AB234" s="36"/>
      <c r="AC234" s="36"/>
    </row>
    <row r="235" spans="17:29" x14ac:dyDescent="0.2">
      <c r="Q235" s="36"/>
      <c r="R235" s="40"/>
      <c r="S235" s="40"/>
      <c r="T235" s="40"/>
      <c r="U235" s="41"/>
      <c r="V235" s="41"/>
      <c r="W235" s="41"/>
      <c r="X235" s="36"/>
      <c r="Y235" s="36"/>
      <c r="Z235" s="36"/>
      <c r="AA235" s="36"/>
      <c r="AB235" s="36"/>
      <c r="AC235" s="36"/>
    </row>
    <row r="236" spans="17:29" x14ac:dyDescent="0.2">
      <c r="Q236" s="36"/>
      <c r="R236" s="40"/>
      <c r="S236" s="40"/>
      <c r="T236" s="40"/>
      <c r="U236" s="41"/>
      <c r="V236" s="41"/>
      <c r="W236" s="41"/>
      <c r="X236" s="36"/>
      <c r="Y236" s="36"/>
      <c r="Z236" s="36"/>
      <c r="AA236" s="36"/>
      <c r="AB236" s="36"/>
      <c r="AC236" s="36"/>
    </row>
    <row r="237" spans="17:29" x14ac:dyDescent="0.2">
      <c r="Q237" s="36"/>
      <c r="R237" s="40"/>
      <c r="S237" s="40"/>
      <c r="T237" s="40"/>
      <c r="U237" s="41"/>
      <c r="V237" s="41"/>
      <c r="W237" s="41"/>
      <c r="X237" s="36"/>
      <c r="Y237" s="36"/>
      <c r="Z237" s="36"/>
      <c r="AA237" s="36"/>
      <c r="AB237" s="36"/>
      <c r="AC237" s="36"/>
    </row>
    <row r="238" spans="17:29" x14ac:dyDescent="0.2">
      <c r="Q238" s="36"/>
      <c r="R238" s="40"/>
      <c r="S238" s="40"/>
      <c r="T238" s="40"/>
      <c r="U238" s="41"/>
      <c r="V238" s="41"/>
      <c r="W238" s="41"/>
      <c r="X238" s="36"/>
      <c r="Y238" s="36"/>
      <c r="Z238" s="36"/>
      <c r="AA238" s="36"/>
      <c r="AB238" s="36"/>
      <c r="AC238" s="36"/>
    </row>
    <row r="239" spans="17:29" x14ac:dyDescent="0.2">
      <c r="Q239" s="36"/>
      <c r="R239" s="40"/>
      <c r="S239" s="40"/>
      <c r="T239" s="40"/>
      <c r="U239" s="41"/>
      <c r="V239" s="41"/>
      <c r="W239" s="41"/>
      <c r="X239" s="36"/>
      <c r="Y239" s="36"/>
      <c r="Z239" s="36"/>
      <c r="AA239" s="36"/>
      <c r="AB239" s="36"/>
      <c r="AC239" s="36"/>
    </row>
    <row r="240" spans="17:29" x14ac:dyDescent="0.2">
      <c r="Q240" s="36"/>
      <c r="R240" s="40"/>
      <c r="S240" s="40"/>
      <c r="T240" s="40"/>
      <c r="U240" s="41"/>
      <c r="V240" s="41"/>
      <c r="W240" s="41"/>
      <c r="X240" s="36"/>
      <c r="Y240" s="36"/>
      <c r="Z240" s="36"/>
      <c r="AA240" s="36"/>
      <c r="AB240" s="36"/>
      <c r="AC240" s="36"/>
    </row>
    <row r="241" spans="17:29" x14ac:dyDescent="0.2">
      <c r="Q241" s="36"/>
      <c r="R241" s="40"/>
      <c r="S241" s="40"/>
      <c r="T241" s="40"/>
      <c r="U241" s="41"/>
      <c r="V241" s="41"/>
      <c r="W241" s="41"/>
      <c r="X241" s="36"/>
      <c r="Y241" s="36"/>
      <c r="Z241" s="36"/>
      <c r="AA241" s="36"/>
      <c r="AB241" s="36"/>
      <c r="AC241" s="36"/>
    </row>
    <row r="242" spans="17:29" x14ac:dyDescent="0.2">
      <c r="Q242" s="36"/>
      <c r="R242" s="40"/>
      <c r="S242" s="40"/>
      <c r="T242" s="40"/>
      <c r="U242" s="41"/>
      <c r="V242" s="41"/>
      <c r="W242" s="41"/>
      <c r="X242" s="36"/>
      <c r="Y242" s="36"/>
      <c r="Z242" s="36"/>
      <c r="AA242" s="36"/>
      <c r="AB242" s="36"/>
      <c r="AC242" s="36"/>
    </row>
    <row r="243" spans="17:29" x14ac:dyDescent="0.2">
      <c r="Q243" s="36"/>
      <c r="R243" s="40"/>
      <c r="S243" s="40"/>
      <c r="T243" s="40"/>
      <c r="U243" s="41"/>
      <c r="V243" s="41"/>
      <c r="W243" s="41"/>
      <c r="X243" s="36"/>
      <c r="Y243" s="36"/>
      <c r="Z243" s="36"/>
      <c r="AA243" s="36"/>
      <c r="AB243" s="36"/>
      <c r="AC243" s="36"/>
    </row>
    <row r="244" spans="17:29" x14ac:dyDescent="0.2">
      <c r="Q244" s="36"/>
      <c r="R244" s="40"/>
      <c r="S244" s="40"/>
      <c r="T244" s="40"/>
      <c r="U244" s="41"/>
      <c r="V244" s="41"/>
      <c r="W244" s="41"/>
      <c r="X244" s="36"/>
      <c r="Y244" s="36"/>
      <c r="Z244" s="36"/>
      <c r="AA244" s="36"/>
      <c r="AB244" s="36"/>
      <c r="AC244" s="36"/>
    </row>
    <row r="245" spans="17:29" x14ac:dyDescent="0.2">
      <c r="Q245" s="36"/>
      <c r="R245" s="40"/>
      <c r="S245" s="40"/>
      <c r="T245" s="40"/>
      <c r="U245" s="41"/>
      <c r="V245" s="41"/>
      <c r="W245" s="41"/>
      <c r="X245" s="36"/>
      <c r="Y245" s="36"/>
      <c r="Z245" s="36"/>
      <c r="AA245" s="36"/>
      <c r="AB245" s="36"/>
      <c r="AC245" s="36"/>
    </row>
    <row r="246" spans="17:29" x14ac:dyDescent="0.2">
      <c r="Q246" s="36"/>
      <c r="R246" s="40"/>
      <c r="S246" s="40"/>
      <c r="T246" s="40"/>
      <c r="U246" s="41"/>
      <c r="V246" s="41"/>
      <c r="W246" s="41"/>
      <c r="X246" s="36"/>
      <c r="Y246" s="36"/>
      <c r="Z246" s="36"/>
      <c r="AA246" s="36"/>
      <c r="AB246" s="36"/>
      <c r="AC246" s="36"/>
    </row>
    <row r="247" spans="17:29" x14ac:dyDescent="0.2">
      <c r="Q247" s="36"/>
      <c r="R247" s="40"/>
      <c r="S247" s="40"/>
      <c r="T247" s="40"/>
      <c r="U247" s="41"/>
      <c r="V247" s="41"/>
      <c r="W247" s="41"/>
      <c r="X247" s="36"/>
      <c r="Y247" s="36"/>
      <c r="Z247" s="36"/>
      <c r="AA247" s="36"/>
      <c r="AB247" s="36"/>
      <c r="AC247" s="36"/>
    </row>
    <row r="248" spans="17:29" x14ac:dyDescent="0.2">
      <c r="Q248" s="36"/>
      <c r="R248" s="40"/>
      <c r="S248" s="40"/>
      <c r="T248" s="40"/>
      <c r="U248" s="41"/>
      <c r="V248" s="41"/>
      <c r="W248" s="41"/>
      <c r="X248" s="36"/>
      <c r="Y248" s="36"/>
      <c r="Z248" s="36"/>
      <c r="AA248" s="36"/>
      <c r="AB248" s="36"/>
      <c r="AC248" s="36"/>
    </row>
    <row r="249" spans="17:29" x14ac:dyDescent="0.2">
      <c r="Q249" s="36"/>
      <c r="R249" s="40"/>
      <c r="S249" s="40"/>
      <c r="T249" s="40"/>
      <c r="U249" s="41"/>
      <c r="V249" s="41"/>
      <c r="W249" s="41"/>
      <c r="X249" s="36"/>
      <c r="Y249" s="36"/>
      <c r="Z249" s="36"/>
      <c r="AA249" s="36"/>
      <c r="AB249" s="36"/>
      <c r="AC249" s="36"/>
    </row>
    <row r="250" spans="17:29" x14ac:dyDescent="0.2">
      <c r="Q250" s="36"/>
      <c r="R250" s="40"/>
      <c r="S250" s="40"/>
      <c r="T250" s="40"/>
      <c r="U250" s="41"/>
      <c r="V250" s="41"/>
      <c r="W250" s="41"/>
      <c r="X250" s="36"/>
      <c r="Y250" s="36"/>
      <c r="Z250" s="36"/>
      <c r="AA250" s="36"/>
      <c r="AB250" s="36"/>
      <c r="AC250" s="36"/>
    </row>
    <row r="251" spans="17:29" x14ac:dyDescent="0.2">
      <c r="Q251" s="36"/>
      <c r="R251" s="40"/>
      <c r="S251" s="40"/>
      <c r="T251" s="40"/>
      <c r="U251" s="41"/>
      <c r="V251" s="41"/>
      <c r="W251" s="41"/>
      <c r="X251" s="36"/>
      <c r="Y251" s="36"/>
      <c r="Z251" s="36"/>
      <c r="AA251" s="36"/>
      <c r="AB251" s="36"/>
      <c r="AC251" s="36"/>
    </row>
    <row r="252" spans="17:29" x14ac:dyDescent="0.2">
      <c r="Q252" s="36"/>
      <c r="R252" s="40"/>
      <c r="S252" s="40"/>
      <c r="T252" s="40"/>
      <c r="U252" s="41"/>
      <c r="V252" s="41"/>
      <c r="W252" s="41"/>
      <c r="X252" s="36"/>
      <c r="Y252" s="36"/>
      <c r="Z252" s="36"/>
      <c r="AA252" s="36"/>
      <c r="AB252" s="36"/>
      <c r="AC252" s="36"/>
    </row>
    <row r="253" spans="17:29" x14ac:dyDescent="0.2">
      <c r="Q253" s="36"/>
      <c r="R253" s="40"/>
      <c r="S253" s="40"/>
      <c r="T253" s="40"/>
      <c r="U253" s="41"/>
      <c r="V253" s="41"/>
      <c r="W253" s="41"/>
      <c r="X253" s="36"/>
      <c r="Y253" s="36"/>
      <c r="Z253" s="36"/>
      <c r="AA253" s="36"/>
      <c r="AB253" s="36"/>
      <c r="AC253" s="36"/>
    </row>
    <row r="254" spans="17:29" x14ac:dyDescent="0.2">
      <c r="Q254" s="36"/>
      <c r="R254" s="40"/>
      <c r="S254" s="40"/>
      <c r="T254" s="40"/>
      <c r="U254" s="41"/>
      <c r="V254" s="41"/>
      <c r="W254" s="41"/>
      <c r="X254" s="36"/>
      <c r="Y254" s="36"/>
      <c r="Z254" s="36"/>
      <c r="AA254" s="36"/>
      <c r="AB254" s="36"/>
      <c r="AC254" s="36"/>
    </row>
    <row r="255" spans="17:29" x14ac:dyDescent="0.2">
      <c r="Q255" s="36"/>
      <c r="R255" s="40"/>
      <c r="S255" s="40"/>
      <c r="T255" s="40"/>
      <c r="U255" s="41"/>
      <c r="V255" s="41"/>
      <c r="W255" s="41"/>
      <c r="X255" s="36"/>
      <c r="Y255" s="36"/>
      <c r="Z255" s="36"/>
      <c r="AA255" s="36"/>
      <c r="AB255" s="36"/>
      <c r="AC255" s="36"/>
    </row>
    <row r="256" spans="17:29" x14ac:dyDescent="0.2">
      <c r="Q256" s="36"/>
      <c r="R256" s="40"/>
      <c r="S256" s="40"/>
      <c r="T256" s="40"/>
      <c r="U256" s="41"/>
      <c r="V256" s="41"/>
      <c r="W256" s="41"/>
      <c r="X256" s="36"/>
      <c r="Y256" s="36"/>
      <c r="Z256" s="36"/>
      <c r="AA256" s="36"/>
      <c r="AB256" s="36"/>
      <c r="AC256" s="36"/>
    </row>
    <row r="257" spans="17:29" x14ac:dyDescent="0.2">
      <c r="Q257" s="36"/>
      <c r="R257" s="40"/>
      <c r="S257" s="40"/>
      <c r="T257" s="40"/>
      <c r="U257" s="41"/>
      <c r="V257" s="41"/>
      <c r="W257" s="41"/>
      <c r="X257" s="36"/>
      <c r="Y257" s="36"/>
      <c r="Z257" s="36"/>
      <c r="AA257" s="36"/>
      <c r="AB257" s="36"/>
      <c r="AC257" s="36"/>
    </row>
    <row r="258" spans="17:29" x14ac:dyDescent="0.2">
      <c r="Q258" s="36"/>
      <c r="R258" s="40"/>
      <c r="S258" s="40"/>
      <c r="T258" s="40"/>
      <c r="U258" s="41"/>
      <c r="V258" s="41"/>
      <c r="W258" s="41"/>
      <c r="X258" s="36"/>
      <c r="Y258" s="36"/>
      <c r="Z258" s="36"/>
      <c r="AA258" s="36"/>
      <c r="AB258" s="36"/>
      <c r="AC258" s="36"/>
    </row>
    <row r="259" spans="17:29" x14ac:dyDescent="0.2">
      <c r="Q259" s="36"/>
      <c r="R259" s="40"/>
      <c r="S259" s="40"/>
      <c r="T259" s="40"/>
      <c r="U259" s="41"/>
      <c r="V259" s="41"/>
      <c r="W259" s="41"/>
      <c r="X259" s="36"/>
      <c r="Y259" s="36"/>
      <c r="Z259" s="36"/>
      <c r="AA259" s="36"/>
      <c r="AB259" s="36"/>
      <c r="AC259" s="36"/>
    </row>
    <row r="260" spans="17:29" x14ac:dyDescent="0.2">
      <c r="Q260" s="36"/>
      <c r="R260" s="40"/>
      <c r="S260" s="40"/>
      <c r="T260" s="40"/>
      <c r="U260" s="41"/>
      <c r="V260" s="41"/>
      <c r="W260" s="41"/>
      <c r="X260" s="36"/>
      <c r="Y260" s="36"/>
      <c r="Z260" s="36"/>
      <c r="AA260" s="36"/>
      <c r="AB260" s="36"/>
      <c r="AC260" s="36"/>
    </row>
    <row r="261" spans="17:29" x14ac:dyDescent="0.2">
      <c r="Q261" s="36"/>
      <c r="R261" s="40"/>
      <c r="S261" s="40"/>
      <c r="T261" s="40"/>
      <c r="U261" s="41"/>
      <c r="V261" s="41"/>
      <c r="W261" s="41"/>
      <c r="X261" s="36"/>
      <c r="Y261" s="36"/>
      <c r="Z261" s="36"/>
      <c r="AA261" s="36"/>
      <c r="AB261" s="36"/>
      <c r="AC261" s="36"/>
    </row>
    <row r="262" spans="17:29" x14ac:dyDescent="0.2">
      <c r="Q262" s="36"/>
      <c r="R262" s="40"/>
      <c r="S262" s="40"/>
      <c r="T262" s="40"/>
      <c r="U262" s="41"/>
      <c r="V262" s="41"/>
      <c r="W262" s="41"/>
      <c r="X262" s="36"/>
      <c r="Y262" s="36"/>
      <c r="Z262" s="36"/>
      <c r="AA262" s="36"/>
      <c r="AB262" s="36"/>
      <c r="AC262" s="36"/>
    </row>
    <row r="263" spans="17:29" x14ac:dyDescent="0.2">
      <c r="Q263" s="36"/>
      <c r="R263" s="40"/>
      <c r="S263" s="40"/>
      <c r="T263" s="40"/>
      <c r="U263" s="41"/>
      <c r="V263" s="41"/>
      <c r="W263" s="41"/>
      <c r="X263" s="36"/>
      <c r="Y263" s="36"/>
      <c r="Z263" s="36"/>
      <c r="AA263" s="36"/>
      <c r="AB263" s="36"/>
      <c r="AC263" s="36"/>
    </row>
    <row r="264" spans="17:29" x14ac:dyDescent="0.2">
      <c r="Q264" s="36"/>
      <c r="R264" s="40"/>
      <c r="S264" s="40"/>
      <c r="T264" s="40"/>
      <c r="U264" s="41"/>
      <c r="V264" s="41"/>
      <c r="W264" s="41"/>
      <c r="X264" s="36"/>
      <c r="Y264" s="36"/>
      <c r="Z264" s="36"/>
      <c r="AA264" s="36"/>
      <c r="AB264" s="36"/>
      <c r="AC264" s="36"/>
    </row>
    <row r="265" spans="17:29" x14ac:dyDescent="0.2">
      <c r="Q265" s="36"/>
      <c r="R265" s="40"/>
      <c r="S265" s="40"/>
      <c r="T265" s="40"/>
      <c r="U265" s="41"/>
      <c r="V265" s="41"/>
      <c r="W265" s="41"/>
      <c r="X265" s="36"/>
      <c r="Y265" s="36"/>
      <c r="Z265" s="36"/>
      <c r="AA265" s="36"/>
      <c r="AB265" s="36"/>
      <c r="AC265" s="36"/>
    </row>
    <row r="266" spans="17:29" x14ac:dyDescent="0.2">
      <c r="Q266" s="36"/>
      <c r="R266" s="40"/>
      <c r="S266" s="40"/>
      <c r="T266" s="40"/>
      <c r="U266" s="41"/>
      <c r="V266" s="41"/>
      <c r="W266" s="41"/>
      <c r="X266" s="36"/>
      <c r="Y266" s="36"/>
      <c r="Z266" s="36"/>
      <c r="AA266" s="36"/>
      <c r="AB266" s="36"/>
      <c r="AC266" s="36"/>
    </row>
    <row r="267" spans="17:29" x14ac:dyDescent="0.2">
      <c r="Q267" s="36"/>
      <c r="R267" s="40"/>
      <c r="S267" s="40"/>
      <c r="T267" s="40"/>
      <c r="U267" s="41"/>
      <c r="V267" s="41"/>
      <c r="W267" s="41"/>
      <c r="X267" s="36"/>
      <c r="Y267" s="36"/>
      <c r="Z267" s="36"/>
      <c r="AA267" s="36"/>
      <c r="AB267" s="36"/>
      <c r="AC267" s="36"/>
    </row>
    <row r="268" spans="17:29" x14ac:dyDescent="0.2">
      <c r="Q268" s="36"/>
      <c r="R268" s="40"/>
      <c r="S268" s="40"/>
      <c r="T268" s="40"/>
      <c r="U268" s="41"/>
      <c r="V268" s="41"/>
      <c r="W268" s="41"/>
      <c r="X268" s="36"/>
      <c r="Y268" s="36"/>
      <c r="Z268" s="36"/>
      <c r="AA268" s="36"/>
      <c r="AB268" s="36"/>
      <c r="AC268" s="36"/>
    </row>
    <row r="269" spans="17:29" x14ac:dyDescent="0.2">
      <c r="Q269" s="36"/>
      <c r="R269" s="40"/>
      <c r="S269" s="40"/>
      <c r="T269" s="40"/>
      <c r="U269" s="41"/>
      <c r="V269" s="41"/>
      <c r="W269" s="41"/>
      <c r="X269" s="36"/>
      <c r="Y269" s="36"/>
      <c r="Z269" s="36"/>
      <c r="AA269" s="36"/>
      <c r="AB269" s="36"/>
      <c r="AC269" s="36"/>
    </row>
    <row r="270" spans="17:29" x14ac:dyDescent="0.2">
      <c r="Q270" s="36"/>
      <c r="R270" s="40"/>
      <c r="S270" s="40"/>
      <c r="T270" s="40"/>
      <c r="U270" s="41"/>
      <c r="V270" s="41"/>
      <c r="W270" s="41"/>
      <c r="X270" s="36"/>
      <c r="Y270" s="36"/>
      <c r="Z270" s="36"/>
      <c r="AA270" s="36"/>
      <c r="AB270" s="36"/>
      <c r="AC270" s="36"/>
    </row>
    <row r="271" spans="17:29" x14ac:dyDescent="0.2">
      <c r="Q271" s="36"/>
      <c r="R271" s="40"/>
      <c r="S271" s="40"/>
      <c r="T271" s="40"/>
      <c r="U271" s="41"/>
      <c r="V271" s="41"/>
      <c r="W271" s="41"/>
      <c r="X271" s="36"/>
      <c r="Y271" s="36"/>
      <c r="Z271" s="36"/>
      <c r="AA271" s="36"/>
      <c r="AB271" s="36"/>
      <c r="AC271" s="36"/>
    </row>
    <row r="272" spans="17:29" x14ac:dyDescent="0.2">
      <c r="Q272" s="36"/>
      <c r="R272" s="40"/>
      <c r="S272" s="40"/>
      <c r="T272" s="40"/>
      <c r="U272" s="41"/>
      <c r="V272" s="41"/>
      <c r="W272" s="41"/>
      <c r="X272" s="36"/>
      <c r="Y272" s="36"/>
      <c r="Z272" s="36"/>
      <c r="AA272" s="36"/>
      <c r="AB272" s="36"/>
      <c r="AC272" s="36"/>
    </row>
    <row r="273" spans="17:29" x14ac:dyDescent="0.2">
      <c r="Q273" s="36"/>
      <c r="R273" s="40"/>
      <c r="S273" s="40"/>
      <c r="T273" s="40"/>
      <c r="U273" s="41"/>
      <c r="V273" s="41"/>
      <c r="W273" s="41"/>
      <c r="X273" s="36"/>
      <c r="Y273" s="36"/>
      <c r="Z273" s="36"/>
      <c r="AA273" s="36"/>
      <c r="AB273" s="36"/>
      <c r="AC273" s="36"/>
    </row>
    <row r="274" spans="17:29" x14ac:dyDescent="0.2">
      <c r="Q274" s="36"/>
      <c r="R274" s="40"/>
      <c r="S274" s="40"/>
      <c r="T274" s="40"/>
      <c r="U274" s="41"/>
      <c r="V274" s="41"/>
      <c r="W274" s="41"/>
      <c r="X274" s="36"/>
      <c r="Y274" s="36"/>
      <c r="Z274" s="36"/>
      <c r="AA274" s="36"/>
      <c r="AB274" s="36"/>
      <c r="AC274" s="36"/>
    </row>
    <row r="275" spans="17:29" x14ac:dyDescent="0.2">
      <c r="Q275" s="36"/>
      <c r="R275" s="40"/>
      <c r="S275" s="40"/>
      <c r="T275" s="40"/>
      <c r="U275" s="41"/>
      <c r="V275" s="41"/>
      <c r="W275" s="41"/>
      <c r="X275" s="36"/>
      <c r="Y275" s="36"/>
      <c r="Z275" s="36"/>
      <c r="AA275" s="36"/>
      <c r="AB275" s="36"/>
      <c r="AC275" s="36"/>
    </row>
    <row r="276" spans="17:29" x14ac:dyDescent="0.2">
      <c r="Q276" s="36"/>
      <c r="R276" s="40"/>
      <c r="S276" s="40"/>
      <c r="T276" s="40"/>
      <c r="U276" s="41"/>
      <c r="V276" s="41"/>
      <c r="W276" s="41"/>
      <c r="X276" s="36"/>
      <c r="Y276" s="36"/>
      <c r="Z276" s="36"/>
      <c r="AA276" s="36"/>
      <c r="AB276" s="36"/>
      <c r="AC276" s="36"/>
    </row>
    <row r="277" spans="17:29" x14ac:dyDescent="0.2">
      <c r="Q277" s="36"/>
      <c r="R277" s="40"/>
      <c r="S277" s="40"/>
      <c r="T277" s="40"/>
      <c r="U277" s="41"/>
      <c r="V277" s="41"/>
      <c r="W277" s="41"/>
      <c r="X277" s="36"/>
      <c r="Y277" s="36"/>
      <c r="Z277" s="36"/>
      <c r="AA277" s="36"/>
      <c r="AB277" s="36"/>
      <c r="AC277" s="36"/>
    </row>
    <row r="278" spans="17:29" x14ac:dyDescent="0.2">
      <c r="Q278" s="36"/>
      <c r="R278" s="40"/>
      <c r="S278" s="40"/>
      <c r="T278" s="40"/>
      <c r="U278" s="41"/>
      <c r="V278" s="41"/>
      <c r="W278" s="41"/>
      <c r="X278" s="36"/>
      <c r="Y278" s="36"/>
      <c r="Z278" s="36"/>
      <c r="AA278" s="36"/>
      <c r="AB278" s="36"/>
      <c r="AC278" s="36"/>
    </row>
    <row r="279" spans="17:29" x14ac:dyDescent="0.2">
      <c r="Q279" s="36"/>
      <c r="R279" s="40"/>
      <c r="S279" s="40"/>
      <c r="T279" s="40"/>
      <c r="U279" s="41"/>
      <c r="V279" s="41"/>
      <c r="W279" s="41"/>
      <c r="X279" s="36"/>
      <c r="Y279" s="36"/>
      <c r="Z279" s="36"/>
      <c r="AA279" s="36"/>
      <c r="AB279" s="36"/>
      <c r="AC279" s="36"/>
    </row>
    <row r="280" spans="17:29" x14ac:dyDescent="0.2">
      <c r="Q280" s="36"/>
      <c r="R280" s="40"/>
      <c r="S280" s="40"/>
      <c r="T280" s="40"/>
      <c r="U280" s="41"/>
      <c r="V280" s="41"/>
      <c r="W280" s="41"/>
      <c r="X280" s="36"/>
      <c r="Y280" s="36"/>
      <c r="Z280" s="36"/>
      <c r="AA280" s="36"/>
      <c r="AB280" s="36"/>
      <c r="AC280" s="36"/>
    </row>
    <row r="281" spans="17:29" x14ac:dyDescent="0.2">
      <c r="Q281" s="36"/>
      <c r="R281" s="40"/>
      <c r="S281" s="40"/>
      <c r="T281" s="40"/>
      <c r="U281" s="41"/>
      <c r="V281" s="41"/>
      <c r="W281" s="41"/>
      <c r="X281" s="36"/>
      <c r="Y281" s="36"/>
      <c r="Z281" s="36"/>
      <c r="AA281" s="36"/>
      <c r="AB281" s="36"/>
      <c r="AC281" s="36"/>
    </row>
    <row r="282" spans="17:29" x14ac:dyDescent="0.2">
      <c r="Q282" s="36"/>
      <c r="R282" s="40"/>
      <c r="S282" s="40"/>
      <c r="T282" s="40"/>
      <c r="U282" s="41"/>
      <c r="V282" s="41"/>
      <c r="W282" s="41"/>
      <c r="X282" s="36"/>
      <c r="Y282" s="36"/>
      <c r="Z282" s="36"/>
      <c r="AA282" s="36"/>
      <c r="AB282" s="36"/>
      <c r="AC282" s="36"/>
    </row>
    <row r="283" spans="17:29" x14ac:dyDescent="0.2">
      <c r="Q283" s="36"/>
      <c r="R283" s="40"/>
      <c r="S283" s="40"/>
      <c r="T283" s="40"/>
      <c r="U283" s="41"/>
      <c r="V283" s="41"/>
      <c r="W283" s="41"/>
      <c r="X283" s="36"/>
      <c r="Y283" s="36"/>
      <c r="Z283" s="36"/>
      <c r="AA283" s="36"/>
      <c r="AB283" s="36"/>
      <c r="AC283" s="36"/>
    </row>
    <row r="284" spans="17:29" x14ac:dyDescent="0.2">
      <c r="Q284" s="36"/>
      <c r="R284" s="40"/>
      <c r="S284" s="40"/>
      <c r="T284" s="40"/>
      <c r="U284" s="41"/>
      <c r="V284" s="41"/>
      <c r="W284" s="41"/>
      <c r="X284" s="36"/>
      <c r="Y284" s="36"/>
      <c r="Z284" s="36"/>
      <c r="AA284" s="36"/>
      <c r="AB284" s="36"/>
      <c r="AC284" s="36"/>
    </row>
    <row r="285" spans="17:29" x14ac:dyDescent="0.2">
      <c r="Q285" s="36"/>
      <c r="R285" s="40"/>
      <c r="S285" s="40"/>
      <c r="T285" s="40"/>
      <c r="U285" s="41"/>
      <c r="V285" s="41"/>
      <c r="W285" s="41"/>
      <c r="X285" s="36"/>
      <c r="Y285" s="36"/>
      <c r="Z285" s="36"/>
      <c r="AA285" s="36"/>
      <c r="AB285" s="36"/>
      <c r="AC285" s="36"/>
    </row>
    <row r="286" spans="17:29" x14ac:dyDescent="0.2">
      <c r="Q286" s="36"/>
      <c r="R286" s="40"/>
      <c r="S286" s="40"/>
      <c r="T286" s="40"/>
      <c r="U286" s="41"/>
      <c r="V286" s="41"/>
      <c r="W286" s="41"/>
      <c r="X286" s="36"/>
      <c r="Y286" s="36"/>
      <c r="Z286" s="36"/>
      <c r="AA286" s="36"/>
      <c r="AB286" s="36"/>
      <c r="AC286" s="36"/>
    </row>
    <row r="287" spans="17:29" x14ac:dyDescent="0.2">
      <c r="Q287" s="36"/>
      <c r="R287" s="40"/>
      <c r="S287" s="40"/>
      <c r="T287" s="40"/>
      <c r="U287" s="41"/>
      <c r="V287" s="41"/>
      <c r="W287" s="41"/>
      <c r="X287" s="36"/>
      <c r="Y287" s="36"/>
      <c r="Z287" s="36"/>
      <c r="AA287" s="36"/>
      <c r="AB287" s="36"/>
      <c r="AC287" s="36"/>
    </row>
    <row r="288" spans="17:29" x14ac:dyDescent="0.2">
      <c r="Q288" s="36"/>
      <c r="R288" s="40"/>
      <c r="S288" s="40"/>
      <c r="T288" s="40"/>
      <c r="U288" s="41"/>
      <c r="V288" s="41"/>
      <c r="W288" s="41"/>
      <c r="X288" s="36"/>
      <c r="Y288" s="36"/>
      <c r="Z288" s="36"/>
      <c r="AA288" s="36"/>
      <c r="AB288" s="36"/>
      <c r="AC288" s="36"/>
    </row>
    <row r="289" spans="17:29" x14ac:dyDescent="0.2">
      <c r="Q289" s="36"/>
      <c r="R289" s="40"/>
      <c r="S289" s="40"/>
      <c r="T289" s="40"/>
      <c r="U289" s="41"/>
      <c r="V289" s="41"/>
      <c r="W289" s="41"/>
      <c r="X289" s="36"/>
      <c r="Y289" s="36"/>
      <c r="Z289" s="36"/>
      <c r="AA289" s="36"/>
      <c r="AB289" s="36"/>
      <c r="AC289" s="36"/>
    </row>
    <row r="290" spans="17:29" x14ac:dyDescent="0.2">
      <c r="Q290" s="36"/>
      <c r="R290" s="40"/>
      <c r="S290" s="40"/>
      <c r="T290" s="40"/>
      <c r="U290" s="41"/>
      <c r="V290" s="41"/>
      <c r="W290" s="41"/>
      <c r="X290" s="36"/>
      <c r="Y290" s="36"/>
      <c r="Z290" s="36"/>
      <c r="AA290" s="36"/>
      <c r="AB290" s="36"/>
      <c r="AC290" s="36"/>
    </row>
    <row r="291" spans="17:29" x14ac:dyDescent="0.2">
      <c r="Q291" s="36"/>
      <c r="R291" s="40"/>
      <c r="S291" s="40"/>
      <c r="T291" s="40"/>
      <c r="U291" s="41"/>
      <c r="V291" s="41"/>
      <c r="W291" s="41"/>
      <c r="X291" s="36"/>
      <c r="Y291" s="36"/>
      <c r="Z291" s="36"/>
      <c r="AA291" s="36"/>
      <c r="AB291" s="36"/>
      <c r="AC291" s="36"/>
    </row>
    <row r="292" spans="17:29" x14ac:dyDescent="0.2">
      <c r="Q292" s="36"/>
      <c r="R292" s="40"/>
      <c r="S292" s="40"/>
      <c r="T292" s="40"/>
      <c r="U292" s="41"/>
      <c r="V292" s="41"/>
      <c r="W292" s="41"/>
      <c r="X292" s="36"/>
      <c r="Y292" s="36"/>
      <c r="Z292" s="36"/>
      <c r="AA292" s="36"/>
      <c r="AB292" s="36"/>
      <c r="AC292" s="36"/>
    </row>
    <row r="293" spans="17:29" x14ac:dyDescent="0.2">
      <c r="Q293" s="36"/>
      <c r="R293" s="40"/>
      <c r="S293" s="40"/>
      <c r="T293" s="40"/>
      <c r="U293" s="41"/>
      <c r="V293" s="41"/>
      <c r="W293" s="41"/>
      <c r="X293" s="36"/>
      <c r="Y293" s="36"/>
      <c r="Z293" s="36"/>
      <c r="AA293" s="36"/>
      <c r="AB293" s="36"/>
      <c r="AC293" s="36"/>
    </row>
    <row r="294" spans="17:29" x14ac:dyDescent="0.2">
      <c r="Q294" s="36"/>
      <c r="R294" s="40"/>
      <c r="S294" s="40"/>
      <c r="T294" s="40"/>
      <c r="U294" s="41"/>
      <c r="V294" s="41"/>
      <c r="W294" s="41"/>
      <c r="X294" s="36"/>
      <c r="Y294" s="36"/>
      <c r="Z294" s="36"/>
      <c r="AA294" s="36"/>
      <c r="AB294" s="36"/>
      <c r="AC294" s="36"/>
    </row>
    <row r="295" spans="17:29" x14ac:dyDescent="0.2">
      <c r="Q295" s="36"/>
      <c r="R295" s="40"/>
      <c r="S295" s="40"/>
      <c r="T295" s="40"/>
      <c r="U295" s="41"/>
      <c r="V295" s="41"/>
      <c r="W295" s="41"/>
      <c r="X295" s="36"/>
      <c r="Y295" s="36"/>
      <c r="Z295" s="36"/>
      <c r="AA295" s="36"/>
      <c r="AB295" s="36"/>
      <c r="AC295" s="36"/>
    </row>
    <row r="296" spans="17:29" x14ac:dyDescent="0.2">
      <c r="Q296" s="36"/>
      <c r="R296" s="40"/>
      <c r="S296" s="40"/>
      <c r="T296" s="40"/>
      <c r="U296" s="41"/>
      <c r="V296" s="41"/>
      <c r="W296" s="41"/>
      <c r="X296" s="36"/>
      <c r="Y296" s="36"/>
      <c r="Z296" s="36"/>
      <c r="AA296" s="36"/>
      <c r="AB296" s="36"/>
      <c r="AC296" s="36"/>
    </row>
    <row r="297" spans="17:29" x14ac:dyDescent="0.2">
      <c r="Q297" s="36"/>
      <c r="R297" s="40"/>
      <c r="S297" s="40"/>
      <c r="T297" s="40"/>
      <c r="U297" s="41"/>
      <c r="V297" s="41"/>
      <c r="W297" s="41"/>
      <c r="X297" s="36"/>
      <c r="Y297" s="36"/>
      <c r="Z297" s="36"/>
      <c r="AA297" s="36"/>
      <c r="AB297" s="36"/>
      <c r="AC297" s="36"/>
    </row>
    <row r="298" spans="17:29" x14ac:dyDescent="0.2">
      <c r="Q298" s="36"/>
      <c r="R298" s="40"/>
      <c r="S298" s="40"/>
      <c r="T298" s="40"/>
      <c r="U298" s="41"/>
      <c r="V298" s="41"/>
      <c r="W298" s="41"/>
      <c r="X298" s="36"/>
      <c r="Y298" s="36"/>
      <c r="Z298" s="36"/>
      <c r="AA298" s="36"/>
      <c r="AB298" s="36"/>
      <c r="AC298" s="36"/>
    </row>
    <row r="299" spans="17:29" x14ac:dyDescent="0.2">
      <c r="Q299" s="36"/>
      <c r="R299" s="40"/>
      <c r="S299" s="40"/>
      <c r="T299" s="40"/>
      <c r="U299" s="41"/>
      <c r="V299" s="41"/>
      <c r="W299" s="41"/>
      <c r="X299" s="36"/>
      <c r="Y299" s="36"/>
      <c r="Z299" s="36"/>
      <c r="AA299" s="36"/>
      <c r="AB299" s="36"/>
      <c r="AC299" s="36"/>
    </row>
    <row r="300" spans="17:29" x14ac:dyDescent="0.2">
      <c r="Q300" s="36"/>
      <c r="R300" s="40"/>
      <c r="S300" s="40"/>
      <c r="T300" s="40"/>
      <c r="U300" s="41"/>
      <c r="V300" s="41"/>
      <c r="W300" s="41"/>
      <c r="X300" s="36"/>
      <c r="Y300" s="36"/>
      <c r="Z300" s="36"/>
      <c r="AA300" s="36"/>
      <c r="AB300" s="36"/>
      <c r="AC300" s="36"/>
    </row>
    <row r="301" spans="17:29" x14ac:dyDescent="0.2">
      <c r="Q301" s="36"/>
      <c r="R301" s="40"/>
      <c r="S301" s="40"/>
      <c r="T301" s="40"/>
      <c r="U301" s="41"/>
      <c r="V301" s="41"/>
      <c r="W301" s="41"/>
      <c r="X301" s="36"/>
      <c r="Y301" s="36"/>
      <c r="Z301" s="36"/>
      <c r="AA301" s="36"/>
      <c r="AB301" s="36"/>
      <c r="AC301" s="36"/>
    </row>
    <row r="302" spans="17:29" x14ac:dyDescent="0.2">
      <c r="Q302" s="36"/>
      <c r="R302" s="40"/>
      <c r="S302" s="40"/>
      <c r="T302" s="40"/>
      <c r="U302" s="41"/>
      <c r="V302" s="41"/>
      <c r="W302" s="41"/>
      <c r="X302" s="36"/>
      <c r="Y302" s="36"/>
      <c r="Z302" s="36"/>
      <c r="AA302" s="36"/>
      <c r="AB302" s="36"/>
      <c r="AC302" s="36"/>
    </row>
    <row r="303" spans="17:29" x14ac:dyDescent="0.2">
      <c r="Q303" s="36"/>
      <c r="R303" s="40"/>
      <c r="S303" s="40"/>
      <c r="T303" s="40"/>
      <c r="U303" s="41"/>
      <c r="V303" s="41"/>
      <c r="W303" s="41"/>
      <c r="X303" s="36"/>
      <c r="Y303" s="36"/>
      <c r="Z303" s="36"/>
      <c r="AA303" s="36"/>
      <c r="AB303" s="36"/>
      <c r="AC303" s="36"/>
    </row>
    <row r="304" spans="17:29" x14ac:dyDescent="0.2">
      <c r="Q304" s="36"/>
      <c r="R304" s="40"/>
      <c r="S304" s="40"/>
      <c r="T304" s="40"/>
      <c r="U304" s="41"/>
      <c r="V304" s="41"/>
      <c r="W304" s="41"/>
      <c r="X304" s="36"/>
      <c r="Y304" s="36"/>
      <c r="Z304" s="36"/>
      <c r="AA304" s="36"/>
      <c r="AB304" s="36"/>
      <c r="AC304" s="36"/>
    </row>
    <row r="305" spans="17:29" x14ac:dyDescent="0.2">
      <c r="Q305" s="36"/>
      <c r="R305" s="40"/>
      <c r="S305" s="40"/>
      <c r="T305" s="40"/>
      <c r="U305" s="41"/>
      <c r="V305" s="41"/>
      <c r="W305" s="41"/>
      <c r="X305" s="36"/>
      <c r="Y305" s="36"/>
      <c r="Z305" s="36"/>
      <c r="AA305" s="36"/>
      <c r="AB305" s="36"/>
      <c r="AC305" s="36"/>
    </row>
    <row r="306" spans="17:29" x14ac:dyDescent="0.2">
      <c r="Q306" s="36"/>
      <c r="R306" s="40"/>
      <c r="S306" s="40"/>
      <c r="T306" s="40"/>
      <c r="U306" s="41"/>
      <c r="V306" s="41"/>
      <c r="W306" s="41"/>
      <c r="X306" s="36"/>
      <c r="Y306" s="36"/>
      <c r="Z306" s="36"/>
      <c r="AA306" s="36"/>
      <c r="AB306" s="36"/>
      <c r="AC306" s="36"/>
    </row>
    <row r="307" spans="17:29" x14ac:dyDescent="0.2">
      <c r="Q307" s="36"/>
      <c r="R307" s="40"/>
      <c r="S307" s="40"/>
      <c r="T307" s="40"/>
      <c r="U307" s="41"/>
      <c r="V307" s="41"/>
      <c r="W307" s="41"/>
      <c r="X307" s="36"/>
      <c r="Y307" s="36"/>
      <c r="Z307" s="36"/>
      <c r="AA307" s="36"/>
      <c r="AB307" s="36"/>
      <c r="AC307" s="36"/>
    </row>
    <row r="308" spans="17:29" x14ac:dyDescent="0.2">
      <c r="Q308" s="36"/>
      <c r="R308" s="40"/>
      <c r="S308" s="40"/>
      <c r="T308" s="40"/>
      <c r="U308" s="41"/>
      <c r="V308" s="41"/>
      <c r="W308" s="41"/>
      <c r="X308" s="36"/>
      <c r="Y308" s="36"/>
      <c r="Z308" s="36"/>
      <c r="AA308" s="36"/>
      <c r="AB308" s="36"/>
      <c r="AC308" s="36"/>
    </row>
    <row r="309" spans="17:29" x14ac:dyDescent="0.2">
      <c r="Q309" s="36"/>
      <c r="R309" s="40"/>
      <c r="S309" s="40"/>
      <c r="T309" s="40"/>
      <c r="U309" s="41"/>
      <c r="V309" s="41"/>
      <c r="W309" s="41"/>
      <c r="X309" s="36"/>
      <c r="Y309" s="36"/>
      <c r="Z309" s="36"/>
      <c r="AA309" s="36"/>
      <c r="AB309" s="36"/>
      <c r="AC309" s="36"/>
    </row>
    <row r="310" spans="17:29" x14ac:dyDescent="0.2">
      <c r="Q310" s="36"/>
      <c r="R310" s="40"/>
      <c r="S310" s="40"/>
      <c r="T310" s="40"/>
      <c r="U310" s="41"/>
      <c r="V310" s="41"/>
      <c r="W310" s="41"/>
      <c r="X310" s="36"/>
      <c r="Y310" s="36"/>
      <c r="Z310" s="36"/>
      <c r="AA310" s="36"/>
      <c r="AB310" s="36"/>
      <c r="AC310" s="36"/>
    </row>
    <row r="311" spans="17:29" x14ac:dyDescent="0.2">
      <c r="Q311" s="36"/>
      <c r="R311" s="40"/>
      <c r="S311" s="40"/>
      <c r="T311" s="40"/>
      <c r="U311" s="41"/>
      <c r="V311" s="41"/>
      <c r="W311" s="41"/>
      <c r="X311" s="36"/>
      <c r="Y311" s="36"/>
      <c r="Z311" s="36"/>
      <c r="AA311" s="36"/>
      <c r="AB311" s="36"/>
      <c r="AC311" s="36"/>
    </row>
    <row r="312" spans="17:29" x14ac:dyDescent="0.2">
      <c r="Q312" s="36"/>
      <c r="R312" s="40"/>
      <c r="S312" s="40"/>
      <c r="T312" s="40"/>
      <c r="U312" s="41"/>
      <c r="V312" s="41"/>
      <c r="W312" s="41"/>
      <c r="X312" s="36"/>
      <c r="Y312" s="36"/>
      <c r="Z312" s="36"/>
      <c r="AA312" s="36"/>
      <c r="AB312" s="36"/>
      <c r="AC312" s="36"/>
    </row>
    <row r="313" spans="17:29" x14ac:dyDescent="0.2">
      <c r="Q313" s="36"/>
      <c r="R313" s="40"/>
      <c r="S313" s="40"/>
      <c r="T313" s="40"/>
      <c r="U313" s="41"/>
      <c r="V313" s="41"/>
      <c r="W313" s="41"/>
      <c r="X313" s="36"/>
      <c r="Y313" s="36"/>
      <c r="Z313" s="36"/>
      <c r="AA313" s="36"/>
      <c r="AB313" s="36"/>
      <c r="AC313" s="36"/>
    </row>
    <row r="314" spans="17:29" x14ac:dyDescent="0.2">
      <c r="Q314" s="36"/>
      <c r="R314" s="40"/>
      <c r="S314" s="40"/>
      <c r="T314" s="40"/>
      <c r="U314" s="41"/>
      <c r="V314" s="41"/>
      <c r="W314" s="41"/>
      <c r="X314" s="36"/>
      <c r="Y314" s="36"/>
      <c r="Z314" s="36"/>
      <c r="AA314" s="36"/>
      <c r="AB314" s="36"/>
      <c r="AC314" s="36"/>
    </row>
    <row r="315" spans="17:29" x14ac:dyDescent="0.2">
      <c r="Q315" s="36"/>
      <c r="R315" s="40"/>
      <c r="S315" s="40"/>
      <c r="T315" s="40"/>
      <c r="U315" s="41"/>
      <c r="V315" s="41"/>
      <c r="W315" s="41"/>
      <c r="X315" s="36"/>
      <c r="Y315" s="36"/>
      <c r="Z315" s="36"/>
      <c r="AA315" s="36"/>
      <c r="AB315" s="36"/>
      <c r="AC315" s="36"/>
    </row>
    <row r="316" spans="17:29" x14ac:dyDescent="0.2">
      <c r="Q316" s="36"/>
      <c r="R316" s="40"/>
      <c r="S316" s="40"/>
      <c r="T316" s="40"/>
      <c r="U316" s="41"/>
      <c r="V316" s="41"/>
      <c r="W316" s="41"/>
      <c r="X316" s="36"/>
      <c r="Y316" s="36"/>
      <c r="Z316" s="36"/>
      <c r="AA316" s="36"/>
      <c r="AB316" s="36"/>
      <c r="AC316" s="36"/>
    </row>
    <row r="317" spans="17:29" x14ac:dyDescent="0.2">
      <c r="Q317" s="36"/>
      <c r="R317" s="40"/>
      <c r="S317" s="40"/>
      <c r="T317" s="40"/>
      <c r="U317" s="41"/>
      <c r="V317" s="41"/>
      <c r="W317" s="41"/>
      <c r="X317" s="36"/>
      <c r="Y317" s="36"/>
      <c r="Z317" s="36"/>
      <c r="AA317" s="36"/>
      <c r="AB317" s="36"/>
      <c r="AC317" s="36"/>
    </row>
    <row r="318" spans="17:29" x14ac:dyDescent="0.2">
      <c r="Q318" s="36"/>
      <c r="R318" s="40"/>
      <c r="S318" s="40"/>
      <c r="T318" s="40"/>
      <c r="U318" s="41"/>
      <c r="V318" s="41"/>
      <c r="W318" s="41"/>
      <c r="X318" s="36"/>
      <c r="Y318" s="36"/>
      <c r="Z318" s="36"/>
      <c r="AA318" s="36"/>
      <c r="AB318" s="36"/>
      <c r="AC318" s="36"/>
    </row>
    <row r="319" spans="17:29" x14ac:dyDescent="0.2">
      <c r="Q319" s="36"/>
      <c r="R319" s="40"/>
      <c r="S319" s="40"/>
      <c r="T319" s="40"/>
      <c r="U319" s="41"/>
      <c r="V319" s="41"/>
      <c r="W319" s="41"/>
      <c r="X319" s="36"/>
      <c r="Y319" s="36"/>
      <c r="Z319" s="36"/>
      <c r="AA319" s="36"/>
      <c r="AB319" s="36"/>
      <c r="AC319" s="36"/>
    </row>
    <row r="320" spans="17:29" x14ac:dyDescent="0.2">
      <c r="Q320" s="36"/>
      <c r="R320" s="40"/>
      <c r="S320" s="40"/>
      <c r="T320" s="40"/>
      <c r="U320" s="41"/>
      <c r="V320" s="41"/>
      <c r="W320" s="41"/>
      <c r="X320" s="36"/>
      <c r="Y320" s="36"/>
      <c r="Z320" s="36"/>
      <c r="AA320" s="36"/>
      <c r="AB320" s="36"/>
      <c r="AC320" s="36"/>
    </row>
    <row r="321" spans="17:29" x14ac:dyDescent="0.2">
      <c r="Q321" s="36"/>
      <c r="R321" s="40"/>
      <c r="S321" s="40"/>
      <c r="T321" s="40"/>
      <c r="U321" s="41"/>
      <c r="V321" s="41"/>
      <c r="W321" s="41"/>
      <c r="X321" s="36"/>
      <c r="Y321" s="36"/>
      <c r="Z321" s="36"/>
      <c r="AA321" s="36"/>
      <c r="AB321" s="36"/>
      <c r="AC321" s="36"/>
    </row>
    <row r="322" spans="17:29" x14ac:dyDescent="0.2">
      <c r="Q322" s="36"/>
      <c r="R322" s="40"/>
      <c r="S322" s="40"/>
      <c r="T322" s="40"/>
      <c r="U322" s="41"/>
      <c r="V322" s="41"/>
      <c r="W322" s="41"/>
      <c r="X322" s="36"/>
      <c r="Y322" s="36"/>
      <c r="Z322" s="36"/>
      <c r="AA322" s="36"/>
      <c r="AB322" s="36"/>
      <c r="AC322" s="36"/>
    </row>
    <row r="323" spans="17:29" x14ac:dyDescent="0.2">
      <c r="Q323" s="36"/>
      <c r="R323" s="40"/>
      <c r="S323" s="40"/>
      <c r="T323" s="40"/>
      <c r="U323" s="41"/>
      <c r="V323" s="41"/>
      <c r="W323" s="41"/>
      <c r="X323" s="36"/>
      <c r="Y323" s="36"/>
      <c r="Z323" s="36"/>
      <c r="AA323" s="36"/>
      <c r="AB323" s="36"/>
      <c r="AC323" s="36"/>
    </row>
    <row r="324" spans="17:29" x14ac:dyDescent="0.2">
      <c r="Q324" s="36"/>
      <c r="R324" s="40"/>
      <c r="S324" s="40"/>
      <c r="T324" s="40"/>
      <c r="U324" s="41"/>
      <c r="V324" s="41"/>
      <c r="W324" s="41"/>
      <c r="X324" s="36"/>
      <c r="Y324" s="36"/>
      <c r="Z324" s="36"/>
      <c r="AA324" s="36"/>
      <c r="AB324" s="36"/>
      <c r="AC324" s="36"/>
    </row>
    <row r="325" spans="17:29" x14ac:dyDescent="0.2">
      <c r="Q325" s="36"/>
      <c r="R325" s="40"/>
      <c r="S325" s="40"/>
      <c r="T325" s="40"/>
      <c r="U325" s="41"/>
      <c r="V325" s="41"/>
      <c r="W325" s="41"/>
      <c r="X325" s="36"/>
      <c r="Y325" s="36"/>
      <c r="Z325" s="36"/>
      <c r="AA325" s="36"/>
      <c r="AB325" s="36"/>
      <c r="AC325" s="36"/>
    </row>
    <row r="326" spans="17:29" x14ac:dyDescent="0.2">
      <c r="Q326" s="36"/>
      <c r="R326" s="40"/>
      <c r="S326" s="40"/>
      <c r="T326" s="40"/>
      <c r="U326" s="41"/>
      <c r="V326" s="41"/>
      <c r="W326" s="41"/>
      <c r="X326" s="36"/>
      <c r="Y326" s="36"/>
      <c r="Z326" s="36"/>
      <c r="AA326" s="36"/>
      <c r="AB326" s="36"/>
      <c r="AC326" s="36"/>
    </row>
    <row r="327" spans="17:29" x14ac:dyDescent="0.2">
      <c r="Q327" s="36"/>
      <c r="R327" s="40"/>
      <c r="S327" s="40"/>
      <c r="T327" s="40"/>
      <c r="U327" s="41"/>
      <c r="V327" s="41"/>
      <c r="W327" s="41"/>
      <c r="X327" s="36"/>
      <c r="Y327" s="36"/>
      <c r="Z327" s="36"/>
      <c r="AA327" s="36"/>
      <c r="AB327" s="36"/>
      <c r="AC327" s="36"/>
    </row>
    <row r="328" spans="17:29" x14ac:dyDescent="0.2">
      <c r="Q328" s="36"/>
      <c r="R328" s="40"/>
      <c r="S328" s="40"/>
      <c r="T328" s="40"/>
      <c r="U328" s="41"/>
      <c r="V328" s="41"/>
      <c r="W328" s="41"/>
      <c r="X328" s="36"/>
      <c r="Y328" s="36"/>
      <c r="Z328" s="36"/>
      <c r="AA328" s="36"/>
      <c r="AB328" s="36"/>
      <c r="AC328" s="36"/>
    </row>
    <row r="329" spans="17:29" x14ac:dyDescent="0.2">
      <c r="Q329" s="36"/>
      <c r="R329" s="40"/>
      <c r="S329" s="40"/>
      <c r="T329" s="40"/>
      <c r="U329" s="41"/>
      <c r="V329" s="41"/>
      <c r="W329" s="41"/>
      <c r="X329" s="36"/>
      <c r="Y329" s="36"/>
      <c r="Z329" s="36"/>
      <c r="AA329" s="36"/>
      <c r="AB329" s="36"/>
      <c r="AC329" s="36"/>
    </row>
    <row r="330" spans="17:29" x14ac:dyDescent="0.2">
      <c r="Q330" s="36"/>
      <c r="R330" s="40"/>
      <c r="S330" s="40"/>
      <c r="T330" s="40"/>
      <c r="U330" s="41"/>
      <c r="V330" s="41"/>
      <c r="W330" s="41"/>
      <c r="X330" s="36"/>
      <c r="Y330" s="36"/>
      <c r="Z330" s="36"/>
      <c r="AA330" s="36"/>
      <c r="AB330" s="36"/>
      <c r="AC330" s="36"/>
    </row>
    <row r="331" spans="17:29" x14ac:dyDescent="0.2">
      <c r="Q331" s="36"/>
      <c r="R331" s="40"/>
      <c r="S331" s="40"/>
      <c r="T331" s="40"/>
      <c r="U331" s="41"/>
      <c r="V331" s="41"/>
      <c r="W331" s="41"/>
      <c r="X331" s="36"/>
      <c r="Y331" s="36"/>
      <c r="Z331" s="36"/>
      <c r="AA331" s="36"/>
      <c r="AB331" s="36"/>
      <c r="AC331" s="36"/>
    </row>
    <row r="332" spans="17:29" x14ac:dyDescent="0.2">
      <c r="Q332" s="36"/>
      <c r="R332" s="40"/>
      <c r="S332" s="40"/>
      <c r="T332" s="40"/>
      <c r="U332" s="41"/>
      <c r="V332" s="41"/>
      <c r="W332" s="41"/>
      <c r="X332" s="36"/>
      <c r="Y332" s="36"/>
      <c r="Z332" s="36"/>
      <c r="AA332" s="36"/>
      <c r="AB332" s="36"/>
      <c r="AC332" s="36"/>
    </row>
    <row r="333" spans="17:29" x14ac:dyDescent="0.2">
      <c r="Q333" s="36"/>
      <c r="R333" s="40"/>
      <c r="S333" s="40"/>
      <c r="T333" s="40"/>
      <c r="U333" s="41"/>
      <c r="V333" s="41"/>
      <c r="W333" s="41"/>
      <c r="X333" s="36"/>
      <c r="Y333" s="36"/>
      <c r="Z333" s="36"/>
      <c r="AA333" s="36"/>
      <c r="AB333" s="36"/>
      <c r="AC333" s="36"/>
    </row>
    <row r="334" spans="17:29" x14ac:dyDescent="0.2">
      <c r="Q334" s="36"/>
      <c r="R334" s="40"/>
      <c r="S334" s="40"/>
      <c r="T334" s="40"/>
      <c r="U334" s="41"/>
      <c r="V334" s="41"/>
      <c r="W334" s="41"/>
      <c r="X334" s="36"/>
      <c r="Y334" s="36"/>
      <c r="Z334" s="36"/>
      <c r="AA334" s="36"/>
      <c r="AB334" s="36"/>
      <c r="AC334" s="36"/>
    </row>
    <row r="335" spans="17:29" x14ac:dyDescent="0.2">
      <c r="Q335" s="36"/>
      <c r="R335" s="40"/>
      <c r="S335" s="40"/>
      <c r="T335" s="40"/>
      <c r="U335" s="41"/>
      <c r="V335" s="41"/>
      <c r="W335" s="41"/>
      <c r="X335" s="36"/>
      <c r="Y335" s="36"/>
      <c r="Z335" s="36"/>
      <c r="AA335" s="36"/>
      <c r="AB335" s="36"/>
      <c r="AC335" s="36"/>
    </row>
    <row r="336" spans="17:29" x14ac:dyDescent="0.2">
      <c r="Q336" s="36"/>
      <c r="R336" s="40"/>
      <c r="S336" s="40"/>
      <c r="T336" s="40"/>
      <c r="U336" s="41"/>
      <c r="V336" s="41"/>
      <c r="W336" s="41"/>
      <c r="X336" s="36"/>
      <c r="Y336" s="36"/>
      <c r="Z336" s="36"/>
      <c r="AA336" s="36"/>
      <c r="AB336" s="36"/>
      <c r="AC336" s="36"/>
    </row>
    <row r="337" spans="17:29" x14ac:dyDescent="0.2">
      <c r="Q337" s="36"/>
      <c r="R337" s="40"/>
      <c r="S337" s="40"/>
      <c r="T337" s="40"/>
      <c r="U337" s="41"/>
      <c r="V337" s="41"/>
      <c r="W337" s="41"/>
      <c r="X337" s="36"/>
      <c r="Y337" s="36"/>
      <c r="Z337" s="36"/>
      <c r="AA337" s="36"/>
      <c r="AB337" s="36"/>
      <c r="AC337" s="36"/>
    </row>
    <row r="338" spans="17:29" x14ac:dyDescent="0.2">
      <c r="Q338" s="36"/>
      <c r="R338" s="40"/>
      <c r="S338" s="40"/>
      <c r="T338" s="40"/>
      <c r="U338" s="41"/>
      <c r="V338" s="41"/>
      <c r="W338" s="41"/>
      <c r="X338" s="36"/>
      <c r="Y338" s="36"/>
      <c r="Z338" s="36"/>
      <c r="AA338" s="36"/>
      <c r="AB338" s="36"/>
      <c r="AC338" s="36"/>
    </row>
    <row r="339" spans="17:29" x14ac:dyDescent="0.2">
      <c r="Q339" s="36"/>
      <c r="R339" s="40"/>
      <c r="S339" s="40"/>
      <c r="T339" s="40"/>
      <c r="U339" s="41"/>
      <c r="V339" s="41"/>
      <c r="W339" s="41"/>
      <c r="X339" s="36"/>
      <c r="Y339" s="36"/>
      <c r="Z339" s="36"/>
      <c r="AA339" s="36"/>
      <c r="AB339" s="36"/>
      <c r="AC339" s="36"/>
    </row>
    <row r="340" spans="17:29" x14ac:dyDescent="0.2">
      <c r="Q340" s="36"/>
      <c r="R340" s="40"/>
      <c r="S340" s="40"/>
      <c r="T340" s="40"/>
      <c r="U340" s="41"/>
      <c r="V340" s="41"/>
      <c r="W340" s="41"/>
      <c r="X340" s="36"/>
      <c r="Y340" s="36"/>
      <c r="Z340" s="36"/>
      <c r="AA340" s="36"/>
      <c r="AB340" s="36"/>
      <c r="AC340" s="36"/>
    </row>
    <row r="341" spans="17:29" x14ac:dyDescent="0.2">
      <c r="Q341" s="36"/>
      <c r="R341" s="40"/>
      <c r="S341" s="40"/>
      <c r="T341" s="40"/>
      <c r="U341" s="41"/>
      <c r="V341" s="41"/>
      <c r="W341" s="41"/>
      <c r="X341" s="36"/>
      <c r="Y341" s="36"/>
      <c r="Z341" s="36"/>
      <c r="AA341" s="36"/>
      <c r="AB341" s="36"/>
      <c r="AC341" s="36"/>
    </row>
    <row r="342" spans="17:29" x14ac:dyDescent="0.2">
      <c r="Q342" s="36"/>
      <c r="R342" s="40"/>
      <c r="S342" s="40"/>
      <c r="T342" s="40"/>
      <c r="U342" s="41"/>
      <c r="V342" s="41"/>
      <c r="W342" s="41"/>
      <c r="X342" s="36"/>
      <c r="Y342" s="36"/>
      <c r="Z342" s="36"/>
      <c r="AA342" s="36"/>
      <c r="AB342" s="36"/>
      <c r="AC342" s="36"/>
    </row>
    <row r="343" spans="17:29" x14ac:dyDescent="0.2">
      <c r="Q343" s="36"/>
      <c r="R343" s="40"/>
      <c r="S343" s="40"/>
      <c r="T343" s="40"/>
      <c r="U343" s="41"/>
      <c r="V343" s="41"/>
      <c r="W343" s="41"/>
      <c r="X343" s="36"/>
      <c r="Y343" s="36"/>
      <c r="Z343" s="36"/>
      <c r="AA343" s="36"/>
      <c r="AB343" s="36"/>
      <c r="AC343" s="36"/>
    </row>
    <row r="344" spans="17:29" x14ac:dyDescent="0.2">
      <c r="Q344" s="36"/>
      <c r="R344" s="40"/>
      <c r="S344" s="40"/>
      <c r="T344" s="40"/>
      <c r="U344" s="41"/>
      <c r="V344" s="41"/>
      <c r="W344" s="41"/>
      <c r="X344" s="36"/>
      <c r="Y344" s="36"/>
      <c r="Z344" s="36"/>
      <c r="AA344" s="36"/>
      <c r="AB344" s="36"/>
      <c r="AC344" s="36"/>
    </row>
    <row r="345" spans="17:29" x14ac:dyDescent="0.2">
      <c r="Q345" s="36"/>
      <c r="R345" s="40"/>
      <c r="S345" s="40"/>
      <c r="T345" s="40"/>
      <c r="U345" s="41"/>
      <c r="V345" s="41"/>
      <c r="W345" s="41"/>
      <c r="X345" s="36"/>
      <c r="Y345" s="36"/>
      <c r="Z345" s="36"/>
      <c r="AA345" s="36"/>
      <c r="AB345" s="36"/>
      <c r="AC345" s="36"/>
    </row>
    <row r="346" spans="17:29" x14ac:dyDescent="0.2">
      <c r="Q346" s="36"/>
      <c r="R346" s="40"/>
      <c r="S346" s="40"/>
      <c r="T346" s="40"/>
      <c r="U346" s="41"/>
      <c r="V346" s="41"/>
      <c r="W346" s="41"/>
      <c r="X346" s="36"/>
      <c r="Y346" s="36"/>
      <c r="Z346" s="36"/>
      <c r="AA346" s="36"/>
      <c r="AB346" s="36"/>
      <c r="AC346" s="36"/>
    </row>
    <row r="347" spans="17:29" x14ac:dyDescent="0.2">
      <c r="Q347" s="36"/>
      <c r="R347" s="40"/>
      <c r="S347" s="40"/>
      <c r="T347" s="40"/>
      <c r="U347" s="41"/>
      <c r="V347" s="41"/>
      <c r="W347" s="41"/>
      <c r="X347" s="36"/>
      <c r="Y347" s="36"/>
      <c r="Z347" s="36"/>
      <c r="AA347" s="36"/>
      <c r="AB347" s="36"/>
      <c r="AC347" s="36"/>
    </row>
    <row r="348" spans="17:29" x14ac:dyDescent="0.2">
      <c r="Q348" s="36"/>
      <c r="R348" s="40"/>
      <c r="S348" s="40"/>
      <c r="T348" s="40"/>
      <c r="U348" s="41"/>
      <c r="V348" s="41"/>
      <c r="W348" s="41"/>
      <c r="X348" s="36"/>
      <c r="Y348" s="36"/>
      <c r="Z348" s="36"/>
      <c r="AA348" s="36"/>
      <c r="AB348" s="36"/>
      <c r="AC348" s="36"/>
    </row>
    <row r="349" spans="17:29" x14ac:dyDescent="0.2">
      <c r="Q349" s="36"/>
      <c r="R349" s="40"/>
      <c r="S349" s="40"/>
      <c r="T349" s="40"/>
      <c r="U349" s="41"/>
      <c r="V349" s="41"/>
      <c r="W349" s="41"/>
      <c r="X349" s="36"/>
      <c r="Y349" s="36"/>
      <c r="Z349" s="36"/>
      <c r="AA349" s="36"/>
      <c r="AB349" s="36"/>
      <c r="AC349" s="36"/>
    </row>
    <row r="350" spans="17:29" x14ac:dyDescent="0.2">
      <c r="Q350" s="36"/>
      <c r="R350" s="40"/>
      <c r="S350" s="40"/>
      <c r="T350" s="40"/>
      <c r="U350" s="41"/>
      <c r="V350" s="41"/>
      <c r="W350" s="41"/>
      <c r="X350" s="36"/>
      <c r="Y350" s="36"/>
      <c r="Z350" s="36"/>
      <c r="AA350" s="36"/>
      <c r="AB350" s="36"/>
      <c r="AC350" s="36"/>
    </row>
    <row r="351" spans="17:29" x14ac:dyDescent="0.2">
      <c r="Q351" s="36"/>
      <c r="R351" s="40"/>
      <c r="S351" s="40"/>
      <c r="T351" s="40"/>
      <c r="U351" s="41"/>
      <c r="V351" s="41"/>
      <c r="W351" s="41"/>
      <c r="X351" s="36"/>
      <c r="Y351" s="36"/>
      <c r="Z351" s="36"/>
      <c r="AA351" s="36"/>
      <c r="AB351" s="36"/>
      <c r="AC351" s="36"/>
    </row>
    <row r="352" spans="17:29" x14ac:dyDescent="0.2">
      <c r="Q352" s="36"/>
      <c r="R352" s="40"/>
      <c r="S352" s="40"/>
      <c r="T352" s="40"/>
      <c r="U352" s="41"/>
      <c r="V352" s="41"/>
      <c r="W352" s="41"/>
      <c r="X352" s="36"/>
      <c r="Y352" s="36"/>
      <c r="Z352" s="36"/>
      <c r="AA352" s="36"/>
      <c r="AB352" s="36"/>
      <c r="AC352" s="36"/>
    </row>
    <row r="353" spans="17:29" x14ac:dyDescent="0.2">
      <c r="Q353" s="36"/>
      <c r="R353" s="40"/>
      <c r="S353" s="40"/>
      <c r="T353" s="40"/>
      <c r="U353" s="41"/>
      <c r="V353" s="41"/>
      <c r="W353" s="41"/>
      <c r="X353" s="36"/>
      <c r="Y353" s="36"/>
      <c r="Z353" s="36"/>
      <c r="AA353" s="36"/>
      <c r="AB353" s="36"/>
      <c r="AC353" s="36"/>
    </row>
    <row r="354" spans="17:29" x14ac:dyDescent="0.2">
      <c r="Q354" s="36"/>
      <c r="R354" s="40"/>
      <c r="S354" s="40"/>
      <c r="T354" s="40"/>
      <c r="U354" s="41"/>
      <c r="V354" s="41"/>
      <c r="W354" s="41"/>
      <c r="X354" s="36"/>
      <c r="Y354" s="36"/>
      <c r="Z354" s="36"/>
      <c r="AA354" s="36"/>
      <c r="AB354" s="36"/>
      <c r="AC354" s="36"/>
    </row>
    <row r="355" spans="17:29" x14ac:dyDescent="0.2">
      <c r="Q355" s="36"/>
      <c r="R355" s="40"/>
      <c r="S355" s="40"/>
      <c r="T355" s="40"/>
      <c r="U355" s="41"/>
      <c r="V355" s="41"/>
      <c r="W355" s="41"/>
      <c r="X355" s="36"/>
      <c r="Y355" s="36"/>
      <c r="Z355" s="36"/>
      <c r="AA355" s="36"/>
      <c r="AB355" s="36"/>
      <c r="AC355" s="36"/>
    </row>
    <row r="356" spans="17:29" x14ac:dyDescent="0.2">
      <c r="Q356" s="36"/>
      <c r="R356" s="40"/>
      <c r="S356" s="40"/>
      <c r="T356" s="40"/>
      <c r="U356" s="41"/>
      <c r="V356" s="41"/>
      <c r="W356" s="41"/>
      <c r="X356" s="36"/>
      <c r="Y356" s="36"/>
      <c r="Z356" s="36"/>
      <c r="AA356" s="36"/>
      <c r="AB356" s="36"/>
      <c r="AC356" s="36"/>
    </row>
    <row r="357" spans="17:29" x14ac:dyDescent="0.2">
      <c r="Q357" s="36"/>
      <c r="R357" s="40"/>
      <c r="S357" s="40"/>
      <c r="T357" s="40"/>
      <c r="U357" s="41"/>
      <c r="V357" s="41"/>
      <c r="W357" s="41"/>
      <c r="X357" s="36"/>
      <c r="Y357" s="36"/>
      <c r="Z357" s="36"/>
      <c r="AA357" s="36"/>
      <c r="AB357" s="36"/>
      <c r="AC357" s="36"/>
    </row>
    <row r="358" spans="17:29" x14ac:dyDescent="0.2">
      <c r="Q358" s="36"/>
      <c r="R358" s="40"/>
      <c r="S358" s="40"/>
      <c r="T358" s="40"/>
      <c r="U358" s="41"/>
      <c r="V358" s="41"/>
      <c r="W358" s="41"/>
      <c r="X358" s="36"/>
      <c r="Y358" s="36"/>
      <c r="Z358" s="36"/>
      <c r="AA358" s="36"/>
      <c r="AB358" s="36"/>
      <c r="AC358" s="36"/>
    </row>
    <row r="359" spans="17:29" x14ac:dyDescent="0.2">
      <c r="Q359" s="36"/>
      <c r="R359" s="40"/>
      <c r="S359" s="40"/>
      <c r="T359" s="40"/>
      <c r="U359" s="41"/>
      <c r="V359" s="41"/>
      <c r="W359" s="41"/>
      <c r="X359" s="36"/>
      <c r="Y359" s="36"/>
      <c r="Z359" s="36"/>
      <c r="AA359" s="36"/>
      <c r="AB359" s="36"/>
      <c r="AC359" s="36"/>
    </row>
    <row r="360" spans="17:29" x14ac:dyDescent="0.2">
      <c r="Q360" s="36"/>
      <c r="R360" s="40"/>
      <c r="S360" s="40"/>
      <c r="T360" s="40"/>
      <c r="U360" s="41"/>
      <c r="V360" s="41"/>
      <c r="W360" s="41"/>
      <c r="X360" s="36"/>
      <c r="Y360" s="36"/>
      <c r="Z360" s="36"/>
      <c r="AA360" s="36"/>
      <c r="AB360" s="36"/>
      <c r="AC360" s="36"/>
    </row>
    <row r="361" spans="17:29" x14ac:dyDescent="0.2">
      <c r="Q361" s="36"/>
      <c r="R361" s="40"/>
      <c r="S361" s="40"/>
      <c r="T361" s="40"/>
      <c r="U361" s="41"/>
      <c r="V361" s="41"/>
      <c r="W361" s="41"/>
      <c r="X361" s="36"/>
      <c r="Y361" s="36"/>
      <c r="Z361" s="36"/>
      <c r="AA361" s="36"/>
      <c r="AB361" s="36"/>
      <c r="AC361" s="36"/>
    </row>
    <row r="362" spans="17:29" x14ac:dyDescent="0.2">
      <c r="Q362" s="36"/>
      <c r="R362" s="40"/>
      <c r="S362" s="40"/>
      <c r="T362" s="40"/>
      <c r="U362" s="41"/>
      <c r="V362" s="41"/>
      <c r="W362" s="41"/>
      <c r="X362" s="36"/>
      <c r="Y362" s="36"/>
      <c r="Z362" s="36"/>
      <c r="AA362" s="36"/>
      <c r="AB362" s="36"/>
      <c r="AC362" s="36"/>
    </row>
    <row r="363" spans="17:29" x14ac:dyDescent="0.2">
      <c r="Q363" s="36"/>
      <c r="R363" s="40"/>
      <c r="S363" s="40"/>
      <c r="T363" s="40"/>
      <c r="U363" s="41"/>
      <c r="V363" s="41"/>
      <c r="W363" s="41"/>
      <c r="X363" s="36"/>
      <c r="Y363" s="36"/>
      <c r="Z363" s="36"/>
      <c r="AA363" s="36"/>
      <c r="AB363" s="36"/>
      <c r="AC363" s="36"/>
    </row>
    <row r="364" spans="17:29" x14ac:dyDescent="0.2">
      <c r="Q364" s="36"/>
      <c r="R364" s="40"/>
      <c r="S364" s="40"/>
      <c r="T364" s="40"/>
      <c r="U364" s="41"/>
      <c r="V364" s="41"/>
      <c r="W364" s="41"/>
      <c r="X364" s="36"/>
      <c r="Y364" s="36"/>
      <c r="Z364" s="36"/>
      <c r="AA364" s="36"/>
      <c r="AB364" s="36"/>
      <c r="AC364" s="36"/>
    </row>
    <row r="365" spans="17:29" x14ac:dyDescent="0.2">
      <c r="Q365" s="36"/>
      <c r="R365" s="40"/>
      <c r="S365" s="40"/>
      <c r="T365" s="40"/>
      <c r="U365" s="41"/>
      <c r="V365" s="41"/>
      <c r="W365" s="41"/>
      <c r="X365" s="36"/>
      <c r="Y365" s="36"/>
      <c r="Z365" s="36"/>
      <c r="AA365" s="36"/>
      <c r="AB365" s="36"/>
      <c r="AC365" s="36"/>
    </row>
    <row r="366" spans="17:29" x14ac:dyDescent="0.2">
      <c r="Q366" s="36"/>
      <c r="R366" s="40"/>
      <c r="S366" s="40"/>
      <c r="T366" s="40"/>
      <c r="U366" s="41"/>
      <c r="V366" s="41"/>
      <c r="W366" s="41"/>
      <c r="X366" s="36"/>
      <c r="Y366" s="36"/>
      <c r="Z366" s="36"/>
      <c r="AA366" s="36"/>
      <c r="AB366" s="36"/>
      <c r="AC366" s="36"/>
    </row>
    <row r="367" spans="17:29" x14ac:dyDescent="0.2">
      <c r="Q367" s="36"/>
      <c r="R367" s="40"/>
      <c r="S367" s="40"/>
      <c r="T367" s="40"/>
      <c r="U367" s="41"/>
      <c r="V367" s="41"/>
      <c r="W367" s="41"/>
      <c r="X367" s="36"/>
      <c r="Y367" s="36"/>
      <c r="Z367" s="36"/>
      <c r="AA367" s="36"/>
      <c r="AB367" s="36"/>
      <c r="AC367" s="36"/>
    </row>
    <row r="368" spans="17:29" x14ac:dyDescent="0.2">
      <c r="Q368" s="36"/>
      <c r="R368" s="40"/>
      <c r="S368" s="40"/>
      <c r="T368" s="40"/>
      <c r="U368" s="41"/>
      <c r="V368" s="41"/>
      <c r="W368" s="41"/>
      <c r="X368" s="36"/>
      <c r="Y368" s="36"/>
      <c r="Z368" s="36"/>
      <c r="AA368" s="36"/>
      <c r="AB368" s="36"/>
      <c r="AC368" s="36"/>
    </row>
    <row r="369" spans="17:29" x14ac:dyDescent="0.2">
      <c r="Q369" s="36"/>
      <c r="R369" s="40"/>
      <c r="S369" s="40"/>
      <c r="T369" s="40"/>
      <c r="U369" s="41"/>
      <c r="V369" s="41"/>
      <c r="W369" s="41"/>
      <c r="X369" s="36"/>
      <c r="Y369" s="36"/>
      <c r="Z369" s="36"/>
      <c r="AA369" s="36"/>
      <c r="AB369" s="36"/>
      <c r="AC369" s="36"/>
    </row>
    <row r="370" spans="17:29" x14ac:dyDescent="0.2">
      <c r="Q370" s="36"/>
      <c r="R370" s="40"/>
      <c r="S370" s="40"/>
      <c r="T370" s="40"/>
      <c r="U370" s="41"/>
      <c r="V370" s="41"/>
      <c r="W370" s="41"/>
      <c r="X370" s="36"/>
      <c r="Y370" s="36"/>
      <c r="Z370" s="36"/>
      <c r="AA370" s="36"/>
      <c r="AB370" s="36"/>
      <c r="AC370" s="36"/>
    </row>
    <row r="371" spans="17:29" x14ac:dyDescent="0.2">
      <c r="Q371" s="36"/>
      <c r="R371" s="40"/>
      <c r="S371" s="40"/>
      <c r="T371" s="40"/>
      <c r="U371" s="41"/>
      <c r="V371" s="41"/>
      <c r="W371" s="41"/>
      <c r="X371" s="36"/>
      <c r="Y371" s="36"/>
      <c r="Z371" s="36"/>
      <c r="AA371" s="36"/>
      <c r="AB371" s="36"/>
      <c r="AC371" s="36"/>
    </row>
    <row r="372" spans="17:29" x14ac:dyDescent="0.2">
      <c r="Q372" s="36"/>
      <c r="R372" s="40"/>
      <c r="S372" s="40"/>
      <c r="T372" s="40"/>
      <c r="U372" s="41"/>
      <c r="V372" s="41"/>
      <c r="W372" s="41"/>
      <c r="X372" s="36"/>
      <c r="Y372" s="36"/>
      <c r="Z372" s="36"/>
      <c r="AA372" s="36"/>
      <c r="AB372" s="36"/>
      <c r="AC372" s="36"/>
    </row>
    <row r="373" spans="17:29" x14ac:dyDescent="0.2">
      <c r="Q373" s="36"/>
      <c r="R373" s="40"/>
      <c r="S373" s="40"/>
      <c r="T373" s="40"/>
      <c r="U373" s="41"/>
      <c r="V373" s="41"/>
      <c r="W373" s="41"/>
      <c r="X373" s="36"/>
      <c r="Y373" s="36"/>
      <c r="Z373" s="36"/>
      <c r="AA373" s="36"/>
      <c r="AB373" s="36"/>
      <c r="AC373" s="36"/>
    </row>
    <row r="374" spans="17:29" x14ac:dyDescent="0.2">
      <c r="Q374" s="36"/>
      <c r="R374" s="40"/>
      <c r="S374" s="40"/>
      <c r="T374" s="40"/>
      <c r="U374" s="41"/>
      <c r="V374" s="41"/>
      <c r="W374" s="41"/>
      <c r="X374" s="36"/>
      <c r="Y374" s="36"/>
      <c r="Z374" s="36"/>
      <c r="AA374" s="36"/>
      <c r="AB374" s="36"/>
      <c r="AC374" s="36"/>
    </row>
    <row r="375" spans="17:29" x14ac:dyDescent="0.2">
      <c r="Q375" s="36"/>
      <c r="R375" s="40"/>
      <c r="S375" s="40"/>
      <c r="T375" s="40"/>
      <c r="U375" s="41"/>
      <c r="V375" s="41"/>
      <c r="W375" s="41"/>
      <c r="X375" s="36"/>
      <c r="Y375" s="36"/>
      <c r="Z375" s="36"/>
      <c r="AA375" s="36"/>
      <c r="AB375" s="36"/>
      <c r="AC375" s="36"/>
    </row>
    <row r="376" spans="17:29" x14ac:dyDescent="0.2">
      <c r="Q376" s="36"/>
      <c r="R376" s="40"/>
      <c r="S376" s="40"/>
      <c r="T376" s="40"/>
      <c r="U376" s="41"/>
      <c r="V376" s="41"/>
      <c r="W376" s="41"/>
      <c r="X376" s="36"/>
      <c r="Y376" s="36"/>
      <c r="Z376" s="36"/>
      <c r="AA376" s="36"/>
      <c r="AB376" s="36"/>
      <c r="AC376" s="36"/>
    </row>
    <row r="377" spans="17:29" x14ac:dyDescent="0.2">
      <c r="Q377" s="36"/>
      <c r="R377" s="40"/>
      <c r="S377" s="40"/>
      <c r="T377" s="40"/>
      <c r="U377" s="41"/>
      <c r="V377" s="41"/>
      <c r="W377" s="41"/>
      <c r="X377" s="36"/>
      <c r="Y377" s="36"/>
      <c r="Z377" s="36"/>
      <c r="AA377" s="36"/>
      <c r="AB377" s="36"/>
      <c r="AC377" s="36"/>
    </row>
    <row r="378" spans="17:29" x14ac:dyDescent="0.2">
      <c r="Q378" s="36"/>
      <c r="R378" s="40"/>
      <c r="S378" s="40"/>
      <c r="T378" s="40"/>
      <c r="U378" s="41"/>
      <c r="V378" s="41"/>
      <c r="W378" s="41"/>
      <c r="X378" s="36"/>
      <c r="Y378" s="36"/>
      <c r="Z378" s="36"/>
      <c r="AA378" s="36"/>
      <c r="AB378" s="36"/>
      <c r="AC378" s="36"/>
    </row>
    <row r="379" spans="17:29" x14ac:dyDescent="0.2">
      <c r="Q379" s="36"/>
      <c r="R379" s="40"/>
      <c r="S379" s="40"/>
      <c r="T379" s="40"/>
      <c r="U379" s="41"/>
      <c r="V379" s="41"/>
      <c r="W379" s="41"/>
      <c r="X379" s="36"/>
      <c r="Y379" s="36"/>
      <c r="Z379" s="36"/>
      <c r="AA379" s="36"/>
      <c r="AB379" s="36"/>
      <c r="AC379" s="36"/>
    </row>
    <row r="380" spans="17:29" x14ac:dyDescent="0.2">
      <c r="Q380" s="36"/>
      <c r="R380" s="40"/>
      <c r="S380" s="40"/>
      <c r="T380" s="40"/>
      <c r="U380" s="41"/>
      <c r="V380" s="41"/>
      <c r="W380" s="41"/>
      <c r="X380" s="36"/>
      <c r="Y380" s="36"/>
      <c r="Z380" s="36"/>
      <c r="AA380" s="36"/>
      <c r="AB380" s="36"/>
      <c r="AC380" s="36"/>
    </row>
    <row r="381" spans="17:29" x14ac:dyDescent="0.2">
      <c r="Q381" s="36"/>
      <c r="R381" s="40"/>
      <c r="S381" s="40"/>
      <c r="T381" s="40"/>
      <c r="U381" s="41"/>
      <c r="V381" s="41"/>
      <c r="W381" s="41"/>
      <c r="X381" s="36"/>
      <c r="Y381" s="36"/>
      <c r="Z381" s="36"/>
      <c r="AA381" s="36"/>
      <c r="AB381" s="36"/>
      <c r="AC381" s="36"/>
    </row>
    <row r="382" spans="17:29" x14ac:dyDescent="0.2">
      <c r="Q382" s="36"/>
      <c r="R382" s="40"/>
      <c r="S382" s="40"/>
      <c r="T382" s="40"/>
      <c r="U382" s="41"/>
      <c r="V382" s="41"/>
      <c r="W382" s="41"/>
      <c r="X382" s="36"/>
      <c r="Y382" s="36"/>
      <c r="Z382" s="36"/>
      <c r="AA382" s="36"/>
      <c r="AB382" s="36"/>
      <c r="AC382" s="36"/>
    </row>
    <row r="383" spans="17:29" x14ac:dyDescent="0.2">
      <c r="Q383" s="36"/>
      <c r="R383" s="40"/>
      <c r="S383" s="40"/>
      <c r="T383" s="40"/>
      <c r="U383" s="41"/>
      <c r="V383" s="41"/>
      <c r="W383" s="41"/>
      <c r="X383" s="36"/>
      <c r="Y383" s="36"/>
      <c r="Z383" s="36"/>
      <c r="AA383" s="36"/>
      <c r="AB383" s="36"/>
      <c r="AC383" s="36"/>
    </row>
    <row r="384" spans="17:29" x14ac:dyDescent="0.2">
      <c r="Q384" s="36"/>
      <c r="R384" s="40"/>
      <c r="S384" s="40"/>
      <c r="T384" s="40"/>
      <c r="U384" s="41"/>
      <c r="V384" s="41"/>
      <c r="W384" s="41"/>
      <c r="X384" s="36"/>
      <c r="Y384" s="36"/>
      <c r="Z384" s="36"/>
      <c r="AA384" s="36"/>
      <c r="AB384" s="36"/>
      <c r="AC384" s="36"/>
    </row>
    <row r="385" spans="17:29" x14ac:dyDescent="0.2">
      <c r="Q385" s="36"/>
      <c r="R385" s="40"/>
      <c r="S385" s="40"/>
      <c r="T385" s="40"/>
      <c r="U385" s="41"/>
      <c r="V385" s="41"/>
      <c r="W385" s="41"/>
      <c r="X385" s="36"/>
      <c r="Y385" s="36"/>
      <c r="Z385" s="36"/>
      <c r="AA385" s="36"/>
      <c r="AB385" s="36"/>
      <c r="AC385" s="36"/>
    </row>
    <row r="386" spans="17:29" x14ac:dyDescent="0.2">
      <c r="Q386" s="36"/>
      <c r="R386" s="40"/>
      <c r="S386" s="40"/>
      <c r="T386" s="40"/>
      <c r="U386" s="41"/>
      <c r="V386" s="41"/>
      <c r="W386" s="41"/>
      <c r="X386" s="36"/>
      <c r="Y386" s="36"/>
      <c r="Z386" s="36"/>
      <c r="AA386" s="36"/>
      <c r="AB386" s="36"/>
      <c r="AC386" s="36"/>
    </row>
    <row r="387" spans="17:29" x14ac:dyDescent="0.2">
      <c r="Q387" s="36"/>
      <c r="R387" s="40"/>
      <c r="S387" s="40"/>
      <c r="T387" s="40"/>
      <c r="U387" s="41"/>
      <c r="V387" s="41"/>
      <c r="W387" s="41"/>
      <c r="X387" s="36"/>
      <c r="Y387" s="36"/>
      <c r="Z387" s="36"/>
      <c r="AA387" s="36"/>
      <c r="AB387" s="36"/>
      <c r="AC387" s="36"/>
    </row>
    <row r="388" spans="17:29" x14ac:dyDescent="0.2">
      <c r="Q388" s="36"/>
      <c r="R388" s="40"/>
      <c r="S388" s="40"/>
      <c r="T388" s="40"/>
      <c r="U388" s="41"/>
      <c r="V388" s="41"/>
      <c r="W388" s="41"/>
      <c r="X388" s="36"/>
      <c r="Y388" s="36"/>
      <c r="Z388" s="36"/>
      <c r="AA388" s="36"/>
      <c r="AB388" s="36"/>
      <c r="AC388" s="36"/>
    </row>
    <row r="389" spans="17:29" x14ac:dyDescent="0.2">
      <c r="Q389" s="36"/>
      <c r="R389" s="40"/>
      <c r="S389" s="40"/>
      <c r="T389" s="40"/>
      <c r="U389" s="41"/>
      <c r="V389" s="41"/>
      <c r="W389" s="41"/>
      <c r="X389" s="36"/>
      <c r="Y389" s="36"/>
      <c r="Z389" s="36"/>
      <c r="AA389" s="36"/>
      <c r="AB389" s="36"/>
      <c r="AC389" s="36"/>
    </row>
    <row r="390" spans="17:29" x14ac:dyDescent="0.2">
      <c r="Q390" s="36"/>
      <c r="R390" s="40"/>
      <c r="S390" s="40"/>
      <c r="T390" s="40"/>
      <c r="U390" s="41"/>
      <c r="V390" s="41"/>
      <c r="W390" s="41"/>
      <c r="X390" s="36"/>
      <c r="Y390" s="36"/>
      <c r="Z390" s="36"/>
      <c r="AA390" s="36"/>
      <c r="AB390" s="36"/>
      <c r="AC390" s="36"/>
    </row>
    <row r="391" spans="17:29" x14ac:dyDescent="0.2">
      <c r="Q391" s="36"/>
      <c r="R391" s="40"/>
      <c r="S391" s="40"/>
      <c r="T391" s="40"/>
      <c r="U391" s="41"/>
      <c r="V391" s="41"/>
      <c r="W391" s="41"/>
      <c r="X391" s="36"/>
      <c r="Y391" s="36"/>
      <c r="Z391" s="36"/>
      <c r="AA391" s="36"/>
      <c r="AB391" s="36"/>
      <c r="AC391" s="36"/>
    </row>
    <row r="392" spans="17:29" x14ac:dyDescent="0.2">
      <c r="Q392" s="36"/>
      <c r="R392" s="40"/>
      <c r="S392" s="40"/>
      <c r="T392" s="40"/>
      <c r="U392" s="41"/>
      <c r="V392" s="41"/>
      <c r="W392" s="41"/>
      <c r="X392" s="36"/>
      <c r="Y392" s="36"/>
      <c r="Z392" s="36"/>
      <c r="AA392" s="36"/>
      <c r="AB392" s="36"/>
      <c r="AC392" s="36"/>
    </row>
    <row r="393" spans="17:29" x14ac:dyDescent="0.2">
      <c r="Q393" s="36"/>
      <c r="R393" s="40"/>
      <c r="S393" s="40"/>
      <c r="T393" s="40"/>
      <c r="U393" s="41"/>
      <c r="V393" s="41"/>
      <c r="W393" s="41"/>
      <c r="X393" s="36"/>
      <c r="Y393" s="36"/>
      <c r="Z393" s="36"/>
      <c r="AA393" s="36"/>
      <c r="AB393" s="36"/>
      <c r="AC393" s="36"/>
    </row>
    <row r="394" spans="17:29" x14ac:dyDescent="0.2">
      <c r="Q394" s="36"/>
      <c r="R394" s="40"/>
      <c r="S394" s="40"/>
      <c r="T394" s="40"/>
      <c r="U394" s="41"/>
      <c r="V394" s="41"/>
      <c r="W394" s="41"/>
      <c r="X394" s="36"/>
      <c r="Y394" s="36"/>
      <c r="Z394" s="36"/>
      <c r="AA394" s="36"/>
      <c r="AB394" s="36"/>
      <c r="AC394" s="36"/>
    </row>
    <row r="395" spans="17:29" x14ac:dyDescent="0.2">
      <c r="Q395" s="36"/>
      <c r="R395" s="40"/>
      <c r="S395" s="40"/>
      <c r="T395" s="40"/>
      <c r="U395" s="41"/>
      <c r="V395" s="41"/>
      <c r="W395" s="41"/>
      <c r="X395" s="36"/>
      <c r="Y395" s="36"/>
      <c r="Z395" s="36"/>
      <c r="AA395" s="36"/>
      <c r="AB395" s="36"/>
      <c r="AC395" s="36"/>
    </row>
    <row r="396" spans="17:29" x14ac:dyDescent="0.2">
      <c r="Q396" s="36"/>
      <c r="R396" s="40"/>
      <c r="S396" s="40"/>
      <c r="T396" s="40"/>
      <c r="U396" s="41"/>
      <c r="V396" s="41"/>
      <c r="W396" s="41"/>
      <c r="X396" s="36"/>
      <c r="Y396" s="36"/>
      <c r="Z396" s="36"/>
      <c r="AA396" s="36"/>
      <c r="AB396" s="36"/>
      <c r="AC396" s="36"/>
    </row>
    <row r="397" spans="17:29" x14ac:dyDescent="0.2">
      <c r="Q397" s="36"/>
      <c r="R397" s="40"/>
      <c r="S397" s="40"/>
      <c r="T397" s="40"/>
      <c r="U397" s="41"/>
      <c r="V397" s="41"/>
      <c r="W397" s="41"/>
      <c r="X397" s="36"/>
      <c r="Y397" s="36"/>
      <c r="Z397" s="36"/>
      <c r="AA397" s="36"/>
      <c r="AB397" s="36"/>
      <c r="AC397" s="36"/>
    </row>
    <row r="398" spans="17:29" x14ac:dyDescent="0.2">
      <c r="Q398" s="36"/>
      <c r="R398" s="40"/>
      <c r="S398" s="40"/>
      <c r="T398" s="40"/>
      <c r="U398" s="41"/>
      <c r="V398" s="41"/>
      <c r="W398" s="41"/>
      <c r="X398" s="36"/>
      <c r="Y398" s="36"/>
      <c r="Z398" s="36"/>
      <c r="AA398" s="36"/>
      <c r="AB398" s="36"/>
      <c r="AC398" s="36"/>
    </row>
    <row r="399" spans="17:29" x14ac:dyDescent="0.2">
      <c r="Q399" s="36"/>
      <c r="R399" s="40"/>
      <c r="S399" s="40"/>
      <c r="T399" s="40"/>
      <c r="U399" s="41"/>
      <c r="V399" s="41"/>
      <c r="W399" s="41"/>
      <c r="X399" s="36"/>
      <c r="Y399" s="36"/>
      <c r="Z399" s="36"/>
      <c r="AA399" s="36"/>
      <c r="AB399" s="36"/>
      <c r="AC399" s="36"/>
    </row>
    <row r="400" spans="17:29" x14ac:dyDescent="0.2">
      <c r="Q400" s="36"/>
      <c r="R400" s="40"/>
      <c r="S400" s="40"/>
      <c r="T400" s="40"/>
      <c r="U400" s="41"/>
      <c r="V400" s="41"/>
      <c r="W400" s="41"/>
      <c r="X400" s="36"/>
      <c r="Y400" s="36"/>
      <c r="Z400" s="36"/>
      <c r="AA400" s="36"/>
      <c r="AB400" s="36"/>
      <c r="AC400" s="36"/>
    </row>
    <row r="401" spans="17:29" x14ac:dyDescent="0.2">
      <c r="Q401" s="36"/>
      <c r="R401" s="40"/>
      <c r="S401" s="40"/>
      <c r="T401" s="40"/>
      <c r="U401" s="41"/>
      <c r="V401" s="41"/>
      <c r="W401" s="41"/>
      <c r="X401" s="36"/>
      <c r="Y401" s="36"/>
      <c r="Z401" s="36"/>
      <c r="AA401" s="36"/>
      <c r="AB401" s="36"/>
      <c r="AC401" s="36"/>
    </row>
    <row r="402" spans="17:29" x14ac:dyDescent="0.2">
      <c r="Q402" s="36"/>
      <c r="R402" s="40"/>
      <c r="S402" s="40"/>
      <c r="T402" s="40"/>
      <c r="U402" s="41"/>
      <c r="V402" s="41"/>
      <c r="W402" s="41"/>
      <c r="X402" s="36"/>
      <c r="Y402" s="36"/>
      <c r="Z402" s="36"/>
      <c r="AA402" s="36"/>
      <c r="AB402" s="36"/>
      <c r="AC402" s="36"/>
    </row>
    <row r="403" spans="17:29" x14ac:dyDescent="0.2">
      <c r="Q403" s="36"/>
      <c r="R403" s="40"/>
      <c r="S403" s="40"/>
      <c r="T403" s="40"/>
      <c r="U403" s="41"/>
      <c r="V403" s="41"/>
      <c r="W403" s="41"/>
      <c r="X403" s="36"/>
      <c r="Y403" s="36"/>
      <c r="Z403" s="36"/>
      <c r="AA403" s="36"/>
      <c r="AB403" s="36"/>
      <c r="AC403" s="36"/>
    </row>
    <row r="404" spans="17:29" x14ac:dyDescent="0.2">
      <c r="Q404" s="36"/>
      <c r="R404" s="40"/>
      <c r="S404" s="40"/>
      <c r="T404" s="40"/>
      <c r="U404" s="41"/>
      <c r="V404" s="41"/>
      <c r="W404" s="41"/>
      <c r="X404" s="36"/>
      <c r="Y404" s="36"/>
      <c r="Z404" s="36"/>
      <c r="AA404" s="36"/>
      <c r="AB404" s="36"/>
      <c r="AC404" s="36"/>
    </row>
    <row r="405" spans="17:29" x14ac:dyDescent="0.2">
      <c r="Q405" s="36"/>
      <c r="R405" s="40"/>
      <c r="S405" s="40"/>
      <c r="T405" s="40"/>
      <c r="U405" s="41"/>
      <c r="V405" s="41"/>
      <c r="W405" s="41"/>
      <c r="X405" s="36"/>
      <c r="Y405" s="36"/>
      <c r="Z405" s="36"/>
      <c r="AA405" s="36"/>
      <c r="AB405" s="36"/>
      <c r="AC405" s="36"/>
    </row>
    <row r="406" spans="17:29" x14ac:dyDescent="0.2">
      <c r="Q406" s="36"/>
      <c r="R406" s="40"/>
      <c r="S406" s="40"/>
      <c r="T406" s="40"/>
      <c r="U406" s="41"/>
      <c r="V406" s="41"/>
      <c r="W406" s="41"/>
      <c r="X406" s="36"/>
      <c r="Y406" s="36"/>
      <c r="Z406" s="36"/>
      <c r="AA406" s="36"/>
      <c r="AB406" s="36"/>
      <c r="AC406" s="36"/>
    </row>
    <row r="407" spans="17:29" x14ac:dyDescent="0.2">
      <c r="Q407" s="36"/>
      <c r="R407" s="40"/>
      <c r="S407" s="40"/>
      <c r="T407" s="40"/>
      <c r="U407" s="41"/>
      <c r="V407" s="41"/>
      <c r="W407" s="41"/>
      <c r="X407" s="36"/>
      <c r="Y407" s="36"/>
      <c r="Z407" s="36"/>
      <c r="AA407" s="36"/>
      <c r="AB407" s="36"/>
      <c r="AC407" s="36"/>
    </row>
    <row r="408" spans="17:29" x14ac:dyDescent="0.2">
      <c r="Q408" s="36"/>
      <c r="R408" s="40"/>
      <c r="S408" s="40"/>
      <c r="T408" s="40"/>
      <c r="U408" s="41"/>
      <c r="V408" s="41"/>
      <c r="W408" s="41"/>
      <c r="X408" s="36"/>
      <c r="Y408" s="36"/>
      <c r="Z408" s="36"/>
      <c r="AA408" s="36"/>
      <c r="AB408" s="36"/>
      <c r="AC408" s="36"/>
    </row>
    <row r="409" spans="17:29" x14ac:dyDescent="0.2">
      <c r="Q409" s="36"/>
      <c r="R409" s="40"/>
      <c r="S409" s="40"/>
      <c r="T409" s="40"/>
      <c r="U409" s="41"/>
      <c r="V409" s="41"/>
      <c r="W409" s="41"/>
      <c r="X409" s="36"/>
      <c r="Y409" s="36"/>
      <c r="Z409" s="36"/>
      <c r="AA409" s="36"/>
      <c r="AB409" s="36"/>
      <c r="AC409" s="36"/>
    </row>
    <row r="410" spans="17:29" x14ac:dyDescent="0.2">
      <c r="Q410" s="36"/>
      <c r="R410" s="40"/>
      <c r="S410" s="40"/>
      <c r="T410" s="40"/>
      <c r="U410" s="41"/>
      <c r="V410" s="41"/>
      <c r="W410" s="41"/>
      <c r="X410" s="36"/>
      <c r="Y410" s="36"/>
      <c r="Z410" s="36"/>
      <c r="AA410" s="36"/>
      <c r="AB410" s="36"/>
      <c r="AC410" s="36"/>
    </row>
    <row r="411" spans="17:29" x14ac:dyDescent="0.2">
      <c r="Q411" s="36"/>
      <c r="R411" s="40"/>
      <c r="S411" s="40"/>
      <c r="T411" s="40"/>
      <c r="U411" s="41"/>
      <c r="V411" s="41"/>
      <c r="W411" s="41"/>
      <c r="X411" s="36"/>
      <c r="Y411" s="36"/>
      <c r="Z411" s="36"/>
      <c r="AA411" s="36"/>
      <c r="AB411" s="36"/>
      <c r="AC411" s="36"/>
    </row>
    <row r="412" spans="17:29" x14ac:dyDescent="0.2">
      <c r="Q412" s="36"/>
      <c r="R412" s="40"/>
      <c r="S412" s="40"/>
      <c r="T412" s="40"/>
      <c r="U412" s="41"/>
      <c r="V412" s="41"/>
      <c r="W412" s="41"/>
      <c r="X412" s="36"/>
      <c r="Y412" s="36"/>
      <c r="Z412" s="36"/>
      <c r="AA412" s="36"/>
      <c r="AB412" s="36"/>
      <c r="AC412" s="36"/>
    </row>
    <row r="413" spans="17:29" x14ac:dyDescent="0.2">
      <c r="Q413" s="36"/>
      <c r="R413" s="40"/>
      <c r="S413" s="40"/>
      <c r="T413" s="40"/>
      <c r="U413" s="41"/>
      <c r="V413" s="41"/>
      <c r="W413" s="41"/>
      <c r="X413" s="36"/>
      <c r="Y413" s="36"/>
      <c r="Z413" s="36"/>
      <c r="AA413" s="36"/>
      <c r="AB413" s="36"/>
      <c r="AC413" s="36"/>
    </row>
    <row r="414" spans="17:29" x14ac:dyDescent="0.2">
      <c r="Q414" s="36"/>
      <c r="R414" s="40"/>
      <c r="S414" s="40"/>
      <c r="T414" s="40"/>
      <c r="U414" s="41"/>
      <c r="V414" s="41"/>
      <c r="W414" s="41"/>
      <c r="X414" s="36"/>
      <c r="Y414" s="36"/>
      <c r="Z414" s="36"/>
      <c r="AA414" s="36"/>
      <c r="AB414" s="36"/>
      <c r="AC414" s="36"/>
    </row>
    <row r="415" spans="17:29" x14ac:dyDescent="0.2">
      <c r="Q415" s="36"/>
      <c r="R415" s="40"/>
      <c r="S415" s="40"/>
      <c r="T415" s="40"/>
      <c r="U415" s="41"/>
      <c r="V415" s="41"/>
      <c r="W415" s="41"/>
      <c r="X415" s="36"/>
      <c r="Y415" s="36"/>
      <c r="Z415" s="36"/>
      <c r="AA415" s="36"/>
      <c r="AB415" s="36"/>
      <c r="AC415" s="36"/>
    </row>
    <row r="416" spans="17:29" x14ac:dyDescent="0.2">
      <c r="Q416" s="36"/>
      <c r="R416" s="40"/>
      <c r="S416" s="40"/>
      <c r="T416" s="40"/>
      <c r="U416" s="41"/>
      <c r="V416" s="41"/>
      <c r="W416" s="41"/>
      <c r="X416" s="36"/>
      <c r="Y416" s="36"/>
      <c r="Z416" s="36"/>
      <c r="AA416" s="36"/>
      <c r="AB416" s="36"/>
      <c r="AC416" s="36"/>
    </row>
    <row r="417" spans="17:29" x14ac:dyDescent="0.2">
      <c r="Q417" s="36"/>
      <c r="R417" s="40"/>
      <c r="S417" s="40"/>
      <c r="T417" s="40"/>
      <c r="U417" s="41"/>
      <c r="V417" s="41"/>
      <c r="W417" s="41"/>
      <c r="X417" s="36"/>
      <c r="Y417" s="36"/>
      <c r="Z417" s="36"/>
      <c r="AA417" s="36"/>
      <c r="AB417" s="36"/>
      <c r="AC417" s="36"/>
    </row>
    <row r="418" spans="17:29" x14ac:dyDescent="0.2">
      <c r="Q418" s="36"/>
      <c r="R418" s="40"/>
      <c r="S418" s="40"/>
      <c r="T418" s="40"/>
      <c r="U418" s="41"/>
      <c r="V418" s="41"/>
      <c r="W418" s="41"/>
      <c r="X418" s="36"/>
      <c r="Y418" s="36"/>
      <c r="Z418" s="36"/>
      <c r="AA418" s="36"/>
      <c r="AB418" s="36"/>
      <c r="AC418" s="36"/>
    </row>
    <row r="419" spans="17:29" x14ac:dyDescent="0.2">
      <c r="Q419" s="36"/>
      <c r="R419" s="40"/>
      <c r="S419" s="40"/>
      <c r="T419" s="40"/>
      <c r="U419" s="41"/>
      <c r="V419" s="41"/>
      <c r="W419" s="41"/>
      <c r="X419" s="36"/>
      <c r="Y419" s="36"/>
      <c r="Z419" s="36"/>
      <c r="AA419" s="36"/>
      <c r="AB419" s="36"/>
      <c r="AC419" s="36"/>
    </row>
    <row r="420" spans="17:29" x14ac:dyDescent="0.2">
      <c r="Q420" s="36"/>
      <c r="R420" s="40"/>
      <c r="S420" s="40"/>
      <c r="T420" s="40"/>
      <c r="U420" s="41"/>
      <c r="V420" s="41"/>
      <c r="W420" s="41"/>
      <c r="X420" s="36"/>
      <c r="Y420" s="36"/>
      <c r="Z420" s="36"/>
      <c r="AA420" s="36"/>
      <c r="AB420" s="36"/>
      <c r="AC420" s="36"/>
    </row>
    <row r="421" spans="17:29" x14ac:dyDescent="0.2">
      <c r="Q421" s="36"/>
      <c r="R421" s="40"/>
      <c r="S421" s="40"/>
      <c r="T421" s="40"/>
      <c r="U421" s="41"/>
      <c r="V421" s="41"/>
      <c r="W421" s="41"/>
      <c r="X421" s="36"/>
      <c r="Y421" s="36"/>
      <c r="Z421" s="36"/>
      <c r="AA421" s="36"/>
      <c r="AB421" s="36"/>
      <c r="AC421" s="36"/>
    </row>
    <row r="422" spans="17:29" x14ac:dyDescent="0.2">
      <c r="Q422" s="36"/>
      <c r="R422" s="40"/>
      <c r="S422" s="40"/>
      <c r="T422" s="40"/>
      <c r="U422" s="41"/>
      <c r="V422" s="41"/>
      <c r="W422" s="41"/>
      <c r="X422" s="36"/>
      <c r="Y422" s="36"/>
      <c r="Z422" s="36"/>
      <c r="AA422" s="36"/>
      <c r="AB422" s="36"/>
      <c r="AC422" s="36"/>
    </row>
    <row r="423" spans="17:29" x14ac:dyDescent="0.2">
      <c r="Q423" s="36"/>
      <c r="R423" s="40"/>
      <c r="S423" s="40"/>
      <c r="T423" s="40"/>
      <c r="U423" s="41"/>
      <c r="V423" s="41"/>
      <c r="W423" s="41"/>
      <c r="X423" s="36"/>
      <c r="Y423" s="36"/>
      <c r="Z423" s="36"/>
      <c r="AA423" s="36"/>
      <c r="AB423" s="36"/>
      <c r="AC423" s="36"/>
    </row>
    <row r="424" spans="17:29" x14ac:dyDescent="0.2">
      <c r="Q424" s="36"/>
      <c r="R424" s="40"/>
      <c r="S424" s="40"/>
      <c r="T424" s="40"/>
      <c r="U424" s="41"/>
      <c r="V424" s="41"/>
      <c r="W424" s="41"/>
      <c r="X424" s="36"/>
      <c r="Y424" s="36"/>
      <c r="Z424" s="36"/>
      <c r="AA424" s="36"/>
      <c r="AB424" s="36"/>
      <c r="AC424" s="36"/>
    </row>
    <row r="425" spans="17:29" x14ac:dyDescent="0.2">
      <c r="Q425" s="36"/>
      <c r="R425" s="40"/>
      <c r="S425" s="40"/>
      <c r="T425" s="40"/>
      <c r="U425" s="41"/>
      <c r="V425" s="41"/>
      <c r="W425" s="41"/>
      <c r="X425" s="36"/>
      <c r="Y425" s="36"/>
      <c r="Z425" s="36"/>
      <c r="AA425" s="36"/>
      <c r="AB425" s="36"/>
      <c r="AC425" s="36"/>
    </row>
    <row r="426" spans="17:29" x14ac:dyDescent="0.2">
      <c r="Q426" s="36"/>
      <c r="R426" s="40"/>
      <c r="S426" s="40"/>
      <c r="T426" s="40"/>
      <c r="U426" s="41"/>
      <c r="V426" s="41"/>
      <c r="W426" s="41"/>
      <c r="X426" s="36"/>
      <c r="Y426" s="36"/>
      <c r="Z426" s="36"/>
      <c r="AA426" s="36"/>
      <c r="AB426" s="36"/>
      <c r="AC426" s="36"/>
    </row>
    <row r="427" spans="17:29" x14ac:dyDescent="0.2">
      <c r="Q427" s="36"/>
      <c r="R427" s="40"/>
      <c r="S427" s="40"/>
      <c r="T427" s="40"/>
      <c r="U427" s="41"/>
      <c r="V427" s="41"/>
      <c r="W427" s="41"/>
      <c r="X427" s="36"/>
      <c r="Y427" s="36"/>
      <c r="Z427" s="36"/>
      <c r="AA427" s="36"/>
      <c r="AB427" s="36"/>
      <c r="AC427" s="36"/>
    </row>
    <row r="428" spans="17:29" x14ac:dyDescent="0.2">
      <c r="Q428" s="36"/>
      <c r="R428" s="40"/>
      <c r="S428" s="40"/>
      <c r="T428" s="40"/>
      <c r="U428" s="41"/>
      <c r="V428" s="41"/>
      <c r="W428" s="41"/>
      <c r="X428" s="36"/>
      <c r="Y428" s="36"/>
      <c r="Z428" s="36"/>
      <c r="AA428" s="36"/>
      <c r="AB428" s="36"/>
      <c r="AC428" s="36"/>
    </row>
    <row r="429" spans="17:29" x14ac:dyDescent="0.2">
      <c r="Q429" s="36"/>
      <c r="R429" s="40"/>
      <c r="S429" s="40"/>
      <c r="T429" s="40"/>
      <c r="U429" s="41"/>
      <c r="V429" s="41"/>
      <c r="W429" s="41"/>
      <c r="X429" s="36"/>
      <c r="Y429" s="36"/>
      <c r="Z429" s="36"/>
      <c r="AA429" s="36"/>
      <c r="AB429" s="36"/>
      <c r="AC429" s="36"/>
    </row>
    <row r="430" spans="17:29" x14ac:dyDescent="0.2">
      <c r="Q430" s="36"/>
      <c r="R430" s="40"/>
      <c r="S430" s="40"/>
      <c r="T430" s="40"/>
      <c r="U430" s="41"/>
      <c r="V430" s="41"/>
      <c r="W430" s="41"/>
      <c r="X430" s="36"/>
      <c r="Y430" s="36"/>
      <c r="Z430" s="36"/>
      <c r="AA430" s="36"/>
      <c r="AB430" s="36"/>
      <c r="AC430" s="36"/>
    </row>
    <row r="431" spans="17:29" x14ac:dyDescent="0.2">
      <c r="Q431" s="36"/>
      <c r="R431" s="40"/>
      <c r="S431" s="40"/>
      <c r="T431" s="40"/>
      <c r="U431" s="41"/>
      <c r="V431" s="41"/>
      <c r="W431" s="41"/>
      <c r="X431" s="36"/>
      <c r="Y431" s="36"/>
      <c r="Z431" s="36"/>
      <c r="AA431" s="36"/>
      <c r="AB431" s="36"/>
      <c r="AC431" s="36"/>
    </row>
    <row r="432" spans="17:29" x14ac:dyDescent="0.2">
      <c r="Q432" s="36"/>
      <c r="R432" s="40"/>
      <c r="S432" s="40"/>
      <c r="T432" s="40"/>
      <c r="U432" s="41"/>
      <c r="V432" s="41"/>
      <c r="W432" s="41"/>
      <c r="X432" s="36"/>
      <c r="Y432" s="36"/>
      <c r="Z432" s="36"/>
      <c r="AA432" s="36"/>
      <c r="AB432" s="36"/>
      <c r="AC432" s="36"/>
    </row>
    <row r="433" spans="17:29" x14ac:dyDescent="0.2">
      <c r="Q433" s="36"/>
      <c r="R433" s="40"/>
      <c r="S433" s="40"/>
      <c r="T433" s="40"/>
      <c r="U433" s="41"/>
      <c r="V433" s="41"/>
      <c r="W433" s="41"/>
      <c r="X433" s="36"/>
      <c r="Y433" s="36"/>
      <c r="Z433" s="36"/>
      <c r="AA433" s="36"/>
      <c r="AB433" s="36"/>
      <c r="AC433" s="36"/>
    </row>
    <row r="434" spans="17:29" x14ac:dyDescent="0.2">
      <c r="Q434" s="36"/>
      <c r="R434" s="40"/>
      <c r="S434" s="40"/>
      <c r="T434" s="40"/>
      <c r="U434" s="41"/>
      <c r="V434" s="41"/>
      <c r="W434" s="41"/>
      <c r="X434" s="36"/>
      <c r="Y434" s="36"/>
      <c r="Z434" s="36"/>
      <c r="AA434" s="36"/>
      <c r="AB434" s="36"/>
      <c r="AC434" s="36"/>
    </row>
    <row r="435" spans="17:29" x14ac:dyDescent="0.2">
      <c r="Q435" s="36"/>
      <c r="R435" s="40"/>
      <c r="S435" s="40"/>
      <c r="T435" s="40"/>
      <c r="U435" s="41"/>
      <c r="V435" s="41"/>
      <c r="W435" s="41"/>
      <c r="X435" s="36"/>
      <c r="Y435" s="36"/>
      <c r="Z435" s="36"/>
      <c r="AA435" s="36"/>
      <c r="AB435" s="36"/>
      <c r="AC435" s="36"/>
    </row>
    <row r="436" spans="17:29" x14ac:dyDescent="0.2">
      <c r="Q436" s="36"/>
      <c r="R436" s="40"/>
      <c r="S436" s="40"/>
      <c r="T436" s="40"/>
      <c r="U436" s="41"/>
      <c r="V436" s="41"/>
      <c r="W436" s="41"/>
      <c r="X436" s="36"/>
      <c r="Y436" s="36"/>
      <c r="Z436" s="36"/>
      <c r="AA436" s="36"/>
      <c r="AB436" s="36"/>
      <c r="AC436" s="36"/>
    </row>
    <row r="437" spans="17:29" x14ac:dyDescent="0.2">
      <c r="Q437" s="36"/>
      <c r="R437" s="40"/>
      <c r="S437" s="40"/>
      <c r="T437" s="40"/>
      <c r="U437" s="41"/>
      <c r="V437" s="41"/>
      <c r="W437" s="41"/>
      <c r="X437" s="36"/>
      <c r="Y437" s="36"/>
      <c r="Z437" s="36"/>
      <c r="AA437" s="36"/>
      <c r="AB437" s="36"/>
      <c r="AC437" s="36"/>
    </row>
    <row r="438" spans="17:29" x14ac:dyDescent="0.2">
      <c r="Q438" s="36"/>
      <c r="R438" s="40"/>
      <c r="S438" s="40"/>
      <c r="T438" s="40"/>
      <c r="U438" s="41"/>
      <c r="V438" s="41"/>
      <c r="W438" s="41"/>
      <c r="X438" s="36"/>
      <c r="Y438" s="36"/>
      <c r="Z438" s="36"/>
      <c r="AA438" s="36"/>
      <c r="AB438" s="36"/>
      <c r="AC438" s="36"/>
    </row>
    <row r="439" spans="17:29" x14ac:dyDescent="0.2">
      <c r="Q439" s="36"/>
      <c r="R439" s="40"/>
      <c r="S439" s="40"/>
      <c r="T439" s="40"/>
      <c r="U439" s="41"/>
      <c r="V439" s="41"/>
      <c r="W439" s="41"/>
      <c r="X439" s="36"/>
      <c r="Y439" s="36"/>
      <c r="Z439" s="36"/>
      <c r="AA439" s="36"/>
      <c r="AB439" s="36"/>
      <c r="AC439" s="36"/>
    </row>
    <row r="440" spans="17:29" x14ac:dyDescent="0.2">
      <c r="Q440" s="36"/>
      <c r="R440" s="40"/>
      <c r="S440" s="40"/>
      <c r="T440" s="40"/>
      <c r="U440" s="41"/>
      <c r="V440" s="41"/>
      <c r="W440" s="41"/>
      <c r="X440" s="36"/>
      <c r="Y440" s="36"/>
      <c r="Z440" s="36"/>
      <c r="AA440" s="36"/>
      <c r="AB440" s="36"/>
      <c r="AC440" s="36"/>
    </row>
    <row r="441" spans="17:29" x14ac:dyDescent="0.2">
      <c r="Q441" s="36"/>
      <c r="R441" s="40"/>
      <c r="S441" s="40"/>
      <c r="T441" s="40"/>
      <c r="U441" s="41"/>
      <c r="V441" s="41"/>
      <c r="W441" s="41"/>
      <c r="X441" s="36"/>
      <c r="Y441" s="36"/>
      <c r="Z441" s="36"/>
      <c r="AA441" s="36"/>
      <c r="AB441" s="36"/>
      <c r="AC441" s="36"/>
    </row>
    <row r="442" spans="17:29" x14ac:dyDescent="0.2">
      <c r="Q442" s="36"/>
      <c r="R442" s="40"/>
      <c r="S442" s="40"/>
      <c r="T442" s="40"/>
      <c r="U442" s="41"/>
      <c r="V442" s="41"/>
      <c r="W442" s="41"/>
      <c r="X442" s="36"/>
      <c r="Y442" s="36"/>
      <c r="Z442" s="36"/>
      <c r="AA442" s="36"/>
      <c r="AB442" s="36"/>
      <c r="AC442" s="36"/>
    </row>
    <row r="443" spans="17:29" x14ac:dyDescent="0.2">
      <c r="Q443" s="36"/>
      <c r="R443" s="40"/>
      <c r="S443" s="40"/>
      <c r="T443" s="40"/>
      <c r="U443" s="41"/>
      <c r="V443" s="41"/>
      <c r="W443" s="41"/>
      <c r="X443" s="36"/>
      <c r="Y443" s="36"/>
      <c r="Z443" s="36"/>
      <c r="AA443" s="36"/>
      <c r="AB443" s="36"/>
      <c r="AC443" s="36"/>
    </row>
    <row r="444" spans="17:29" x14ac:dyDescent="0.2">
      <c r="Q444" s="36"/>
      <c r="R444" s="40"/>
      <c r="S444" s="40"/>
      <c r="T444" s="40"/>
      <c r="U444" s="41"/>
      <c r="V444" s="41"/>
      <c r="W444" s="41"/>
      <c r="X444" s="36"/>
      <c r="Y444" s="36"/>
      <c r="Z444" s="36"/>
      <c r="AA444" s="36"/>
      <c r="AB444" s="36"/>
      <c r="AC444" s="36"/>
    </row>
    <row r="445" spans="17:29" x14ac:dyDescent="0.2">
      <c r="Q445" s="36"/>
      <c r="R445" s="40"/>
      <c r="S445" s="40"/>
      <c r="T445" s="40"/>
      <c r="U445" s="41"/>
      <c r="V445" s="41"/>
      <c r="W445" s="41"/>
      <c r="X445" s="36"/>
      <c r="Y445" s="36"/>
      <c r="Z445" s="36"/>
      <c r="AA445" s="36"/>
      <c r="AB445" s="36"/>
      <c r="AC445" s="36"/>
    </row>
    <row r="446" spans="17:29" x14ac:dyDescent="0.2">
      <c r="Q446" s="36"/>
      <c r="R446" s="40"/>
      <c r="S446" s="40"/>
      <c r="T446" s="40"/>
      <c r="U446" s="41"/>
      <c r="V446" s="41"/>
      <c r="W446" s="41"/>
      <c r="X446" s="36"/>
      <c r="Y446" s="36"/>
      <c r="Z446" s="36"/>
      <c r="AA446" s="36"/>
      <c r="AB446" s="36"/>
      <c r="AC446" s="36"/>
    </row>
    <row r="447" spans="17:29" x14ac:dyDescent="0.2">
      <c r="Q447" s="36"/>
      <c r="R447" s="40"/>
      <c r="S447" s="40"/>
      <c r="T447" s="40"/>
      <c r="U447" s="41"/>
      <c r="V447" s="41"/>
      <c r="W447" s="41"/>
      <c r="X447" s="36"/>
      <c r="Y447" s="36"/>
      <c r="Z447" s="36"/>
      <c r="AA447" s="36"/>
      <c r="AB447" s="36"/>
      <c r="AC447" s="36"/>
    </row>
    <row r="448" spans="17:29" x14ac:dyDescent="0.2">
      <c r="Q448" s="36"/>
      <c r="R448" s="40"/>
      <c r="S448" s="40"/>
      <c r="T448" s="40"/>
      <c r="U448" s="41"/>
      <c r="V448" s="41"/>
      <c r="W448" s="41"/>
      <c r="X448" s="36"/>
      <c r="Y448" s="36"/>
      <c r="Z448" s="36"/>
      <c r="AA448" s="36"/>
      <c r="AB448" s="36"/>
      <c r="AC448" s="36"/>
    </row>
    <row r="449" spans="17:29" x14ac:dyDescent="0.2">
      <c r="Q449" s="36"/>
      <c r="R449" s="40"/>
      <c r="S449" s="40"/>
      <c r="T449" s="40"/>
      <c r="U449" s="41"/>
      <c r="V449" s="41"/>
      <c r="W449" s="41"/>
      <c r="X449" s="36"/>
      <c r="Y449" s="36"/>
      <c r="Z449" s="36"/>
      <c r="AA449" s="36"/>
      <c r="AB449" s="36"/>
      <c r="AC449" s="36"/>
    </row>
    <row r="450" spans="17:29" x14ac:dyDescent="0.2">
      <c r="Q450" s="36"/>
      <c r="R450" s="40"/>
      <c r="S450" s="40"/>
      <c r="T450" s="40"/>
      <c r="U450" s="41"/>
      <c r="V450" s="41"/>
      <c r="W450" s="41"/>
      <c r="X450" s="36"/>
      <c r="Y450" s="36"/>
      <c r="Z450" s="36"/>
      <c r="AA450" s="36"/>
      <c r="AB450" s="36"/>
      <c r="AC450" s="36"/>
    </row>
    <row r="451" spans="17:29" x14ac:dyDescent="0.2">
      <c r="Q451" s="36"/>
      <c r="R451" s="40"/>
      <c r="S451" s="40"/>
      <c r="T451" s="40"/>
      <c r="U451" s="41"/>
      <c r="V451" s="41"/>
      <c r="W451" s="41"/>
      <c r="X451" s="36"/>
      <c r="Y451" s="36"/>
      <c r="Z451" s="36"/>
      <c r="AA451" s="36"/>
      <c r="AB451" s="36"/>
      <c r="AC451" s="36"/>
    </row>
    <row r="452" spans="17:29" x14ac:dyDescent="0.2">
      <c r="Q452" s="36"/>
      <c r="R452" s="40"/>
      <c r="S452" s="40"/>
      <c r="T452" s="40"/>
      <c r="U452" s="41"/>
      <c r="V452" s="41"/>
      <c r="W452" s="41"/>
      <c r="X452" s="36"/>
      <c r="Y452" s="36"/>
      <c r="Z452" s="36"/>
      <c r="AA452" s="36"/>
      <c r="AB452" s="36"/>
      <c r="AC452" s="36"/>
    </row>
    <row r="453" spans="17:29" x14ac:dyDescent="0.2">
      <c r="Q453" s="36"/>
      <c r="R453" s="40"/>
      <c r="S453" s="40"/>
      <c r="T453" s="40"/>
      <c r="U453" s="41"/>
      <c r="V453" s="41"/>
      <c r="W453" s="41"/>
      <c r="X453" s="36"/>
      <c r="Y453" s="36"/>
      <c r="Z453" s="36"/>
      <c r="AA453" s="36"/>
      <c r="AB453" s="36"/>
      <c r="AC453" s="36"/>
    </row>
    <row r="454" spans="17:29" x14ac:dyDescent="0.2">
      <c r="Q454" s="36"/>
      <c r="R454" s="40"/>
      <c r="S454" s="40"/>
      <c r="T454" s="40"/>
      <c r="U454" s="41"/>
      <c r="V454" s="41"/>
      <c r="W454" s="41"/>
      <c r="X454" s="36"/>
      <c r="Y454" s="36"/>
      <c r="Z454" s="36"/>
      <c r="AA454" s="36"/>
      <c r="AB454" s="36"/>
      <c r="AC454" s="36"/>
    </row>
    <row r="455" spans="17:29" x14ac:dyDescent="0.2">
      <c r="Q455" s="36"/>
      <c r="R455" s="40"/>
      <c r="S455" s="40"/>
      <c r="T455" s="40"/>
      <c r="U455" s="41"/>
      <c r="V455" s="41"/>
      <c r="W455" s="41"/>
      <c r="X455" s="36"/>
      <c r="Y455" s="36"/>
      <c r="Z455" s="36"/>
      <c r="AA455" s="36"/>
      <c r="AB455" s="36"/>
      <c r="AC455" s="36"/>
    </row>
    <row r="456" spans="17:29" x14ac:dyDescent="0.2">
      <c r="Q456" s="36"/>
      <c r="R456" s="40"/>
      <c r="S456" s="40"/>
      <c r="T456" s="40"/>
      <c r="U456" s="41"/>
      <c r="V456" s="41"/>
      <c r="W456" s="41"/>
      <c r="X456" s="36"/>
      <c r="Y456" s="36"/>
      <c r="Z456" s="36"/>
      <c r="AA456" s="36"/>
      <c r="AB456" s="36"/>
      <c r="AC456" s="36"/>
    </row>
    <row r="457" spans="17:29" x14ac:dyDescent="0.2">
      <c r="Q457" s="36"/>
      <c r="R457" s="40"/>
      <c r="S457" s="40"/>
      <c r="T457" s="40"/>
      <c r="U457" s="41"/>
      <c r="V457" s="41"/>
      <c r="W457" s="41"/>
      <c r="X457" s="36"/>
      <c r="Y457" s="36"/>
      <c r="Z457" s="36"/>
      <c r="AA457" s="36"/>
      <c r="AB457" s="36"/>
      <c r="AC457" s="36"/>
    </row>
    <row r="458" spans="17:29" x14ac:dyDescent="0.2">
      <c r="Q458" s="36"/>
      <c r="R458" s="40"/>
      <c r="S458" s="40"/>
      <c r="T458" s="40"/>
      <c r="U458" s="41"/>
      <c r="V458" s="41"/>
      <c r="W458" s="41"/>
      <c r="X458" s="36"/>
      <c r="Y458" s="36"/>
      <c r="Z458" s="36"/>
      <c r="AA458" s="36"/>
      <c r="AB458" s="36"/>
      <c r="AC458" s="36"/>
    </row>
    <row r="459" spans="17:29" x14ac:dyDescent="0.2">
      <c r="Q459" s="36"/>
      <c r="R459" s="40"/>
      <c r="S459" s="40"/>
      <c r="T459" s="40"/>
      <c r="U459" s="41"/>
      <c r="V459" s="41"/>
      <c r="W459" s="41"/>
      <c r="X459" s="36"/>
      <c r="Y459" s="36"/>
      <c r="Z459" s="36"/>
      <c r="AA459" s="36"/>
      <c r="AB459" s="36"/>
      <c r="AC459" s="36"/>
    </row>
    <row r="460" spans="17:29" x14ac:dyDescent="0.2">
      <c r="Q460" s="36"/>
      <c r="R460" s="40"/>
      <c r="S460" s="40"/>
      <c r="T460" s="40"/>
      <c r="U460" s="41"/>
      <c r="V460" s="41"/>
      <c r="W460" s="41"/>
      <c r="X460" s="36"/>
      <c r="Y460" s="36"/>
      <c r="Z460" s="36"/>
      <c r="AA460" s="36"/>
      <c r="AB460" s="36"/>
      <c r="AC460" s="36"/>
    </row>
    <row r="461" spans="17:29" x14ac:dyDescent="0.2">
      <c r="Q461" s="36"/>
      <c r="R461" s="40"/>
      <c r="S461" s="40"/>
      <c r="T461" s="40"/>
      <c r="U461" s="41"/>
      <c r="V461" s="41"/>
      <c r="W461" s="41"/>
      <c r="X461" s="36"/>
      <c r="Y461" s="36"/>
      <c r="Z461" s="36"/>
      <c r="AA461" s="36"/>
      <c r="AB461" s="36"/>
      <c r="AC461" s="36"/>
    </row>
    <row r="462" spans="17:29" x14ac:dyDescent="0.2">
      <c r="Q462" s="36"/>
      <c r="R462" s="40"/>
      <c r="S462" s="40"/>
      <c r="T462" s="40"/>
      <c r="U462" s="41"/>
      <c r="V462" s="41"/>
      <c r="W462" s="41"/>
      <c r="X462" s="36"/>
      <c r="Y462" s="36"/>
      <c r="Z462" s="36"/>
      <c r="AA462" s="36"/>
      <c r="AB462" s="36"/>
      <c r="AC462" s="36"/>
    </row>
    <row r="463" spans="17:29" x14ac:dyDescent="0.2">
      <c r="Q463" s="36"/>
      <c r="R463" s="40"/>
      <c r="S463" s="40"/>
      <c r="T463" s="40"/>
      <c r="U463" s="41"/>
      <c r="V463" s="41"/>
      <c r="W463" s="41"/>
      <c r="X463" s="36"/>
      <c r="Y463" s="36"/>
      <c r="Z463" s="36"/>
      <c r="AA463" s="36"/>
      <c r="AB463" s="36"/>
      <c r="AC463" s="36"/>
    </row>
    <row r="464" spans="17:29" x14ac:dyDescent="0.2">
      <c r="Q464" s="36"/>
      <c r="R464" s="40"/>
      <c r="S464" s="40"/>
      <c r="T464" s="40"/>
      <c r="U464" s="41"/>
      <c r="V464" s="41"/>
      <c r="W464" s="41"/>
      <c r="X464" s="36"/>
      <c r="Y464" s="36"/>
      <c r="Z464" s="36"/>
      <c r="AA464" s="36"/>
      <c r="AB464" s="36"/>
      <c r="AC464" s="36"/>
    </row>
    <row r="465" spans="17:29" x14ac:dyDescent="0.2">
      <c r="Q465" s="36"/>
      <c r="R465" s="40"/>
      <c r="S465" s="40"/>
      <c r="T465" s="40"/>
      <c r="U465" s="41"/>
      <c r="V465" s="41"/>
      <c r="W465" s="41"/>
      <c r="X465" s="36"/>
      <c r="Y465" s="36"/>
      <c r="Z465" s="36"/>
      <c r="AA465" s="36"/>
      <c r="AB465" s="36"/>
      <c r="AC465" s="36"/>
    </row>
    <row r="466" spans="17:29" x14ac:dyDescent="0.2">
      <c r="Q466" s="36"/>
      <c r="R466" s="40"/>
      <c r="S466" s="40"/>
      <c r="T466" s="40"/>
      <c r="U466" s="41"/>
      <c r="V466" s="41"/>
      <c r="W466" s="41"/>
      <c r="X466" s="36"/>
      <c r="Y466" s="36"/>
      <c r="Z466" s="36"/>
      <c r="AA466" s="36"/>
      <c r="AB466" s="36"/>
      <c r="AC466" s="36"/>
    </row>
    <row r="467" spans="17:29" x14ac:dyDescent="0.2">
      <c r="Q467" s="36"/>
      <c r="R467" s="40"/>
      <c r="S467" s="40"/>
      <c r="T467" s="40"/>
      <c r="U467" s="41"/>
      <c r="V467" s="41"/>
      <c r="W467" s="41"/>
      <c r="X467" s="36"/>
      <c r="Y467" s="36"/>
      <c r="Z467" s="36"/>
      <c r="AA467" s="36"/>
      <c r="AB467" s="36"/>
      <c r="AC467" s="36"/>
    </row>
    <row r="468" spans="17:29" x14ac:dyDescent="0.2">
      <c r="Q468" s="36"/>
      <c r="R468" s="40"/>
      <c r="S468" s="40"/>
      <c r="T468" s="40"/>
      <c r="U468" s="41"/>
      <c r="V468" s="41"/>
      <c r="W468" s="41"/>
      <c r="X468" s="36"/>
      <c r="Y468" s="36"/>
      <c r="Z468" s="36"/>
      <c r="AA468" s="36"/>
      <c r="AB468" s="36"/>
      <c r="AC468" s="36"/>
    </row>
    <row r="469" spans="17:29" x14ac:dyDescent="0.2">
      <c r="Q469" s="36"/>
      <c r="R469" s="40"/>
      <c r="S469" s="40"/>
      <c r="T469" s="40"/>
      <c r="U469" s="41"/>
      <c r="V469" s="41"/>
      <c r="W469" s="41"/>
      <c r="X469" s="36"/>
      <c r="Y469" s="36"/>
      <c r="Z469" s="36"/>
      <c r="AA469" s="36"/>
      <c r="AB469" s="36"/>
      <c r="AC469" s="36"/>
    </row>
    <row r="470" spans="17:29" x14ac:dyDescent="0.2">
      <c r="Q470" s="36"/>
      <c r="R470" s="40"/>
      <c r="S470" s="40"/>
      <c r="T470" s="40"/>
      <c r="U470" s="41"/>
      <c r="V470" s="41"/>
      <c r="W470" s="41"/>
      <c r="X470" s="36"/>
      <c r="Y470" s="36"/>
      <c r="Z470" s="36"/>
      <c r="AA470" s="36"/>
      <c r="AB470" s="36"/>
      <c r="AC470" s="36"/>
    </row>
    <row r="471" spans="17:29" x14ac:dyDescent="0.2">
      <c r="Q471" s="36"/>
      <c r="R471" s="40"/>
      <c r="S471" s="40"/>
      <c r="T471" s="40"/>
      <c r="U471" s="41"/>
      <c r="V471" s="41"/>
      <c r="W471" s="41"/>
      <c r="X471" s="36"/>
      <c r="Y471" s="36"/>
      <c r="Z471" s="36"/>
      <c r="AA471" s="36"/>
      <c r="AB471" s="36"/>
      <c r="AC471" s="36"/>
    </row>
    <row r="472" spans="17:29" x14ac:dyDescent="0.2">
      <c r="Q472" s="36"/>
      <c r="R472" s="40"/>
      <c r="S472" s="40"/>
      <c r="T472" s="40"/>
      <c r="U472" s="41"/>
      <c r="V472" s="41"/>
      <c r="W472" s="41"/>
      <c r="X472" s="36"/>
      <c r="Y472" s="36"/>
      <c r="Z472" s="36"/>
      <c r="AA472" s="36"/>
      <c r="AB472" s="36"/>
      <c r="AC472" s="36"/>
    </row>
    <row r="473" spans="17:29" x14ac:dyDescent="0.2">
      <c r="Q473" s="36"/>
      <c r="R473" s="40"/>
      <c r="S473" s="40"/>
      <c r="T473" s="40"/>
      <c r="U473" s="41"/>
      <c r="V473" s="41"/>
      <c r="W473" s="41"/>
      <c r="X473" s="36"/>
      <c r="Y473" s="36"/>
      <c r="Z473" s="36"/>
      <c r="AA473" s="36"/>
      <c r="AB473" s="36"/>
      <c r="AC473" s="36"/>
    </row>
    <row r="474" spans="17:29" x14ac:dyDescent="0.2">
      <c r="Q474" s="36"/>
      <c r="R474" s="40"/>
      <c r="S474" s="40"/>
      <c r="T474" s="40"/>
      <c r="U474" s="41"/>
      <c r="V474" s="41"/>
      <c r="W474" s="41"/>
      <c r="X474" s="36"/>
      <c r="Y474" s="36"/>
      <c r="Z474" s="36"/>
      <c r="AA474" s="36"/>
      <c r="AB474" s="36"/>
      <c r="AC474" s="36"/>
    </row>
    <row r="475" spans="17:29" x14ac:dyDescent="0.2">
      <c r="Q475" s="36"/>
      <c r="R475" s="40"/>
      <c r="S475" s="40"/>
      <c r="T475" s="40"/>
      <c r="U475" s="41"/>
      <c r="V475" s="41"/>
      <c r="W475" s="41"/>
      <c r="X475" s="36"/>
      <c r="Y475" s="36"/>
      <c r="Z475" s="36"/>
      <c r="AA475" s="36"/>
      <c r="AB475" s="36"/>
      <c r="AC475" s="36"/>
    </row>
    <row r="476" spans="17:29" x14ac:dyDescent="0.2">
      <c r="Q476" s="36"/>
      <c r="R476" s="40"/>
      <c r="S476" s="40"/>
      <c r="T476" s="40"/>
      <c r="U476" s="41"/>
      <c r="V476" s="41"/>
      <c r="W476" s="41"/>
      <c r="X476" s="36"/>
      <c r="Y476" s="36"/>
      <c r="Z476" s="36"/>
      <c r="AA476" s="36"/>
      <c r="AB476" s="36"/>
      <c r="AC476" s="36"/>
    </row>
    <row r="477" spans="17:29" x14ac:dyDescent="0.2">
      <c r="Q477" s="36"/>
      <c r="R477" s="40"/>
      <c r="S477" s="40"/>
      <c r="T477" s="40"/>
      <c r="U477" s="41"/>
      <c r="V477" s="41"/>
      <c r="W477" s="41"/>
      <c r="X477" s="36"/>
      <c r="Y477" s="36"/>
      <c r="Z477" s="36"/>
      <c r="AA477" s="36"/>
      <c r="AB477" s="36"/>
      <c r="AC477" s="36"/>
    </row>
    <row r="478" spans="17:29" x14ac:dyDescent="0.2">
      <c r="Q478" s="36"/>
      <c r="R478" s="40"/>
      <c r="S478" s="40"/>
      <c r="T478" s="40"/>
      <c r="U478" s="41"/>
      <c r="V478" s="41"/>
      <c r="W478" s="41"/>
      <c r="X478" s="36"/>
      <c r="Y478" s="36"/>
      <c r="Z478" s="36"/>
      <c r="AA478" s="36"/>
      <c r="AB478" s="36"/>
      <c r="AC478" s="36"/>
    </row>
    <row r="479" spans="17:29" x14ac:dyDescent="0.2">
      <c r="Q479" s="36"/>
      <c r="R479" s="40"/>
      <c r="S479" s="40"/>
      <c r="T479" s="40"/>
      <c r="U479" s="41"/>
      <c r="V479" s="41"/>
      <c r="W479" s="41"/>
      <c r="X479" s="36"/>
      <c r="Y479" s="36"/>
      <c r="Z479" s="36"/>
      <c r="AA479" s="36"/>
      <c r="AB479" s="36"/>
      <c r="AC479" s="36"/>
    </row>
    <row r="480" spans="17:29" x14ac:dyDescent="0.2">
      <c r="Q480" s="36"/>
      <c r="R480" s="40"/>
      <c r="S480" s="40"/>
      <c r="T480" s="40"/>
      <c r="U480" s="41"/>
      <c r="V480" s="41"/>
      <c r="W480" s="41"/>
      <c r="X480" s="36"/>
      <c r="Y480" s="36"/>
      <c r="Z480" s="36"/>
      <c r="AA480" s="36"/>
      <c r="AB480" s="36"/>
      <c r="AC480" s="36"/>
    </row>
    <row r="481" spans="17:29" x14ac:dyDescent="0.2">
      <c r="Q481" s="36"/>
      <c r="R481" s="40"/>
      <c r="S481" s="40"/>
      <c r="T481" s="40"/>
      <c r="U481" s="41"/>
      <c r="V481" s="41"/>
      <c r="W481" s="41"/>
      <c r="X481" s="36"/>
      <c r="Y481" s="36"/>
      <c r="Z481" s="36"/>
      <c r="AA481" s="36"/>
      <c r="AB481" s="36"/>
      <c r="AC481" s="36"/>
    </row>
    <row r="482" spans="17:29" x14ac:dyDescent="0.2">
      <c r="Q482" s="36"/>
      <c r="R482" s="40"/>
      <c r="S482" s="40"/>
      <c r="T482" s="40"/>
      <c r="U482" s="41"/>
      <c r="V482" s="41"/>
      <c r="W482" s="41"/>
      <c r="X482" s="36"/>
      <c r="Y482" s="36"/>
      <c r="Z482" s="36"/>
      <c r="AA482" s="36"/>
      <c r="AB482" s="36"/>
      <c r="AC482" s="36"/>
    </row>
    <row r="483" spans="17:29" x14ac:dyDescent="0.2">
      <c r="Q483" s="36"/>
      <c r="R483" s="40"/>
      <c r="S483" s="40"/>
      <c r="T483" s="40"/>
      <c r="U483" s="41"/>
      <c r="V483" s="41"/>
      <c r="W483" s="41"/>
      <c r="X483" s="36"/>
      <c r="Y483" s="36"/>
      <c r="Z483" s="36"/>
      <c r="AA483" s="36"/>
      <c r="AB483" s="36"/>
      <c r="AC483" s="36"/>
    </row>
    <row r="484" spans="17:29" x14ac:dyDescent="0.2">
      <c r="Q484" s="36"/>
      <c r="R484" s="40"/>
      <c r="S484" s="40"/>
      <c r="T484" s="40"/>
      <c r="U484" s="41"/>
      <c r="V484" s="41"/>
      <c r="W484" s="41"/>
      <c r="X484" s="36"/>
      <c r="Y484" s="36"/>
      <c r="Z484" s="36"/>
      <c r="AA484" s="36"/>
      <c r="AB484" s="36"/>
      <c r="AC484" s="36"/>
    </row>
    <row r="485" spans="17:29" x14ac:dyDescent="0.2">
      <c r="Q485" s="36"/>
      <c r="R485" s="40"/>
      <c r="S485" s="40"/>
      <c r="T485" s="40"/>
      <c r="U485" s="41"/>
      <c r="V485" s="41"/>
      <c r="W485" s="41"/>
      <c r="X485" s="36"/>
      <c r="Y485" s="36"/>
      <c r="Z485" s="36"/>
      <c r="AA485" s="36"/>
      <c r="AB485" s="36"/>
      <c r="AC485" s="36"/>
    </row>
    <row r="486" spans="17:29" x14ac:dyDescent="0.2">
      <c r="Q486" s="36"/>
      <c r="R486" s="40"/>
      <c r="S486" s="40"/>
      <c r="T486" s="40"/>
      <c r="U486" s="41"/>
      <c r="V486" s="41"/>
      <c r="W486" s="41"/>
      <c r="X486" s="36"/>
      <c r="Y486" s="36"/>
      <c r="Z486" s="36"/>
      <c r="AA486" s="36"/>
      <c r="AB486" s="36"/>
      <c r="AC486" s="36"/>
    </row>
    <row r="487" spans="17:29" x14ac:dyDescent="0.2">
      <c r="Q487" s="36"/>
      <c r="R487" s="40"/>
      <c r="S487" s="40"/>
      <c r="T487" s="40"/>
      <c r="U487" s="41"/>
      <c r="V487" s="41"/>
      <c r="W487" s="41"/>
      <c r="X487" s="36"/>
      <c r="Y487" s="36"/>
      <c r="Z487" s="36"/>
      <c r="AA487" s="36"/>
      <c r="AB487" s="36"/>
      <c r="AC487" s="36"/>
    </row>
    <row r="488" spans="17:29" x14ac:dyDescent="0.2">
      <c r="Q488" s="36"/>
      <c r="R488" s="40"/>
      <c r="S488" s="40"/>
      <c r="T488" s="40"/>
      <c r="U488" s="41"/>
      <c r="V488" s="41"/>
      <c r="W488" s="41"/>
      <c r="X488" s="36"/>
      <c r="Y488" s="36"/>
      <c r="Z488" s="36"/>
      <c r="AA488" s="36"/>
      <c r="AB488" s="36"/>
      <c r="AC488" s="36"/>
    </row>
    <row r="489" spans="17:29" x14ac:dyDescent="0.2">
      <c r="Q489" s="36"/>
      <c r="R489" s="40"/>
      <c r="S489" s="40"/>
      <c r="T489" s="40"/>
      <c r="U489" s="41"/>
      <c r="V489" s="41"/>
      <c r="W489" s="41"/>
      <c r="X489" s="36"/>
      <c r="Y489" s="36"/>
      <c r="Z489" s="36"/>
      <c r="AA489" s="36"/>
      <c r="AB489" s="36"/>
      <c r="AC489" s="36"/>
    </row>
    <row r="490" spans="17:29" x14ac:dyDescent="0.2">
      <c r="Q490" s="36"/>
      <c r="R490" s="40"/>
      <c r="S490" s="40"/>
      <c r="T490" s="40"/>
      <c r="U490" s="41"/>
      <c r="V490" s="41"/>
      <c r="W490" s="41"/>
      <c r="X490" s="36"/>
      <c r="Y490" s="36"/>
      <c r="Z490" s="36"/>
      <c r="AA490" s="36"/>
      <c r="AB490" s="36"/>
      <c r="AC490" s="36"/>
    </row>
    <row r="491" spans="17:29" x14ac:dyDescent="0.2">
      <c r="Q491" s="36"/>
      <c r="R491" s="40"/>
      <c r="S491" s="40"/>
      <c r="T491" s="40"/>
      <c r="U491" s="41"/>
      <c r="V491" s="41"/>
      <c r="W491" s="41"/>
      <c r="X491" s="36"/>
      <c r="Y491" s="36"/>
      <c r="Z491" s="36"/>
      <c r="AA491" s="36"/>
      <c r="AB491" s="36"/>
      <c r="AC491" s="36"/>
    </row>
    <row r="492" spans="17:29" x14ac:dyDescent="0.2">
      <c r="Q492" s="36"/>
      <c r="R492" s="40"/>
      <c r="S492" s="40"/>
      <c r="T492" s="40"/>
      <c r="U492" s="41"/>
      <c r="V492" s="41"/>
      <c r="W492" s="41"/>
      <c r="X492" s="36"/>
      <c r="Y492" s="36"/>
      <c r="Z492" s="36"/>
      <c r="AA492" s="36"/>
      <c r="AB492" s="36"/>
      <c r="AC492" s="36"/>
    </row>
    <row r="493" spans="17:29" x14ac:dyDescent="0.2">
      <c r="Q493" s="36"/>
      <c r="R493" s="40"/>
      <c r="S493" s="40"/>
      <c r="T493" s="40"/>
      <c r="U493" s="41"/>
      <c r="V493" s="41"/>
      <c r="W493" s="41"/>
      <c r="X493" s="36"/>
      <c r="Y493" s="36"/>
      <c r="Z493" s="36"/>
      <c r="AA493" s="36"/>
      <c r="AB493" s="36"/>
      <c r="AC493" s="36"/>
    </row>
    <row r="494" spans="17:29" x14ac:dyDescent="0.2">
      <c r="Q494" s="36"/>
      <c r="R494" s="40"/>
      <c r="S494" s="40"/>
      <c r="T494" s="40"/>
      <c r="U494" s="41"/>
      <c r="V494" s="41"/>
      <c r="W494" s="41"/>
      <c r="X494" s="36"/>
      <c r="Y494" s="36"/>
      <c r="Z494" s="36"/>
      <c r="AA494" s="36"/>
      <c r="AB494" s="36"/>
      <c r="AC494" s="36"/>
    </row>
    <row r="495" spans="17:29" x14ac:dyDescent="0.2">
      <c r="Q495" s="36"/>
      <c r="R495" s="40"/>
      <c r="S495" s="40"/>
      <c r="T495" s="40"/>
      <c r="U495" s="41"/>
      <c r="V495" s="41"/>
      <c r="W495" s="41"/>
      <c r="X495" s="36"/>
      <c r="Y495" s="36"/>
      <c r="Z495" s="36"/>
      <c r="AA495" s="36"/>
      <c r="AB495" s="36"/>
      <c r="AC495" s="36"/>
    </row>
    <row r="496" spans="17:29" x14ac:dyDescent="0.2">
      <c r="Q496" s="36"/>
      <c r="R496" s="40"/>
      <c r="S496" s="40"/>
      <c r="T496" s="40"/>
      <c r="U496" s="41"/>
      <c r="V496" s="41"/>
      <c r="W496" s="41"/>
      <c r="X496" s="36"/>
      <c r="Y496" s="36"/>
      <c r="Z496" s="36"/>
      <c r="AA496" s="36"/>
      <c r="AB496" s="36"/>
      <c r="AC496" s="36"/>
    </row>
    <row r="497" spans="17:29" x14ac:dyDescent="0.2">
      <c r="Q497" s="36"/>
      <c r="R497" s="40"/>
      <c r="S497" s="40"/>
      <c r="T497" s="40"/>
      <c r="U497" s="41"/>
      <c r="V497" s="41"/>
      <c r="W497" s="41"/>
      <c r="X497" s="36"/>
      <c r="Y497" s="36"/>
      <c r="Z497" s="36"/>
      <c r="AA497" s="36"/>
      <c r="AB497" s="36"/>
      <c r="AC497" s="36"/>
    </row>
    <row r="498" spans="17:29" x14ac:dyDescent="0.2">
      <c r="Q498" s="36"/>
      <c r="R498" s="40"/>
      <c r="S498" s="40"/>
      <c r="T498" s="40"/>
      <c r="U498" s="41"/>
      <c r="V498" s="41"/>
      <c r="W498" s="41"/>
      <c r="X498" s="36"/>
      <c r="Y498" s="36"/>
      <c r="Z498" s="36"/>
      <c r="AA498" s="36"/>
      <c r="AB498" s="36"/>
      <c r="AC498" s="36"/>
    </row>
    <row r="499" spans="17:29" x14ac:dyDescent="0.2">
      <c r="Q499" s="36"/>
      <c r="R499" s="40"/>
      <c r="S499" s="40"/>
      <c r="T499" s="40"/>
      <c r="U499" s="41"/>
      <c r="V499" s="41"/>
      <c r="W499" s="41"/>
      <c r="X499" s="36"/>
      <c r="Y499" s="36"/>
      <c r="Z499" s="36"/>
      <c r="AA499" s="36"/>
      <c r="AB499" s="36"/>
      <c r="AC499" s="36"/>
    </row>
    <row r="500" spans="17:29" x14ac:dyDescent="0.2">
      <c r="Q500" s="36"/>
      <c r="R500" s="40"/>
      <c r="S500" s="40"/>
      <c r="T500" s="40"/>
      <c r="U500" s="41"/>
      <c r="V500" s="41"/>
      <c r="W500" s="41"/>
      <c r="X500" s="36"/>
      <c r="Y500" s="36"/>
      <c r="Z500" s="36"/>
      <c r="AA500" s="36"/>
      <c r="AB500" s="36"/>
      <c r="AC500" s="36"/>
    </row>
    <row r="501" spans="17:29" x14ac:dyDescent="0.2">
      <c r="Q501" s="36"/>
      <c r="R501" s="40"/>
      <c r="S501" s="40"/>
      <c r="T501" s="40"/>
      <c r="U501" s="41"/>
      <c r="V501" s="41"/>
      <c r="W501" s="41"/>
      <c r="X501" s="36"/>
      <c r="Y501" s="36"/>
      <c r="Z501" s="36"/>
      <c r="AA501" s="36"/>
      <c r="AB501" s="36"/>
      <c r="AC501" s="36"/>
    </row>
    <row r="502" spans="17:29" x14ac:dyDescent="0.2">
      <c r="Q502" s="36"/>
      <c r="R502" s="40"/>
      <c r="S502" s="40"/>
      <c r="T502" s="40"/>
      <c r="U502" s="41"/>
      <c r="V502" s="41"/>
      <c r="W502" s="41"/>
      <c r="X502" s="36"/>
      <c r="Y502" s="36"/>
      <c r="Z502" s="36"/>
      <c r="AA502" s="36"/>
      <c r="AB502" s="36"/>
      <c r="AC502" s="36"/>
    </row>
    <row r="503" spans="17:29" x14ac:dyDescent="0.2">
      <c r="Q503" s="36"/>
      <c r="R503" s="40"/>
      <c r="S503" s="40"/>
      <c r="T503" s="40"/>
      <c r="U503" s="41"/>
      <c r="V503" s="41"/>
      <c r="W503" s="41"/>
      <c r="X503" s="36"/>
      <c r="Y503" s="36"/>
      <c r="Z503" s="36"/>
      <c r="AA503" s="36"/>
      <c r="AB503" s="36"/>
      <c r="AC503" s="36"/>
    </row>
    <row r="504" spans="17:29" x14ac:dyDescent="0.2">
      <c r="Q504" s="36"/>
      <c r="R504" s="40"/>
      <c r="S504" s="40"/>
      <c r="T504" s="40"/>
      <c r="U504" s="41"/>
      <c r="V504" s="41"/>
      <c r="W504" s="41"/>
      <c r="X504" s="36"/>
      <c r="Y504" s="36"/>
      <c r="Z504" s="36"/>
      <c r="AA504" s="36"/>
      <c r="AB504" s="36"/>
      <c r="AC504" s="36"/>
    </row>
    <row r="505" spans="17:29" x14ac:dyDescent="0.2">
      <c r="Q505" s="36"/>
      <c r="R505" s="40"/>
      <c r="S505" s="40"/>
      <c r="T505" s="40"/>
      <c r="U505" s="41"/>
      <c r="V505" s="41"/>
      <c r="W505" s="41"/>
      <c r="X505" s="36"/>
      <c r="Y505" s="36"/>
      <c r="Z505" s="36"/>
      <c r="AA505" s="36"/>
      <c r="AB505" s="36"/>
      <c r="AC505" s="36"/>
    </row>
    <row r="506" spans="17:29" x14ac:dyDescent="0.2">
      <c r="Q506" s="36"/>
      <c r="R506" s="40"/>
      <c r="S506" s="40"/>
      <c r="T506" s="40"/>
      <c r="U506" s="41"/>
      <c r="V506" s="41"/>
      <c r="W506" s="41"/>
      <c r="X506" s="36"/>
      <c r="Y506" s="36"/>
      <c r="Z506" s="36"/>
      <c r="AA506" s="36"/>
      <c r="AB506" s="36"/>
      <c r="AC506" s="36"/>
    </row>
    <row r="507" spans="17:29" x14ac:dyDescent="0.2">
      <c r="Q507" s="36"/>
      <c r="R507" s="40"/>
      <c r="S507" s="40"/>
      <c r="T507" s="40"/>
      <c r="U507" s="41"/>
      <c r="V507" s="41"/>
      <c r="W507" s="41"/>
      <c r="X507" s="36"/>
      <c r="Y507" s="36"/>
      <c r="Z507" s="36"/>
      <c r="AA507" s="36"/>
      <c r="AB507" s="36"/>
      <c r="AC507" s="36"/>
    </row>
    <row r="508" spans="17:29" x14ac:dyDescent="0.2">
      <c r="Q508" s="36"/>
      <c r="R508" s="40"/>
      <c r="S508" s="40"/>
      <c r="T508" s="40"/>
      <c r="U508" s="41"/>
      <c r="V508" s="41"/>
      <c r="W508" s="41"/>
      <c r="X508" s="36"/>
      <c r="Y508" s="36"/>
      <c r="Z508" s="36"/>
      <c r="AA508" s="36"/>
      <c r="AB508" s="36"/>
      <c r="AC508" s="36"/>
    </row>
    <row r="509" spans="17:29" x14ac:dyDescent="0.2">
      <c r="Q509" s="36"/>
      <c r="R509" s="40"/>
      <c r="S509" s="40"/>
      <c r="T509" s="40"/>
      <c r="U509" s="41"/>
      <c r="V509" s="41"/>
      <c r="W509" s="41"/>
      <c r="X509" s="36"/>
      <c r="Y509" s="36"/>
      <c r="Z509" s="36"/>
      <c r="AA509" s="36"/>
      <c r="AB509" s="36"/>
      <c r="AC509" s="36"/>
    </row>
    <row r="510" spans="17:29" x14ac:dyDescent="0.2">
      <c r="Q510" s="36"/>
      <c r="R510" s="40"/>
      <c r="S510" s="40"/>
      <c r="T510" s="40"/>
      <c r="U510" s="41"/>
      <c r="V510" s="41"/>
      <c r="W510" s="41"/>
      <c r="X510" s="36"/>
      <c r="Y510" s="36"/>
      <c r="Z510" s="36"/>
      <c r="AA510" s="36"/>
      <c r="AB510" s="36"/>
      <c r="AC510" s="36"/>
    </row>
    <row r="511" spans="17:29" x14ac:dyDescent="0.2">
      <c r="Q511" s="36"/>
      <c r="R511" s="40"/>
      <c r="S511" s="40"/>
      <c r="T511" s="40"/>
      <c r="U511" s="41"/>
      <c r="V511" s="41"/>
      <c r="W511" s="41"/>
      <c r="X511" s="36"/>
      <c r="Y511" s="36"/>
      <c r="Z511" s="36"/>
      <c r="AA511" s="36"/>
      <c r="AB511" s="36"/>
      <c r="AC511" s="36"/>
    </row>
    <row r="512" spans="17:29" x14ac:dyDescent="0.2">
      <c r="Q512" s="36"/>
      <c r="R512" s="40"/>
      <c r="S512" s="40"/>
      <c r="T512" s="40"/>
      <c r="U512" s="41"/>
      <c r="V512" s="41"/>
      <c r="W512" s="41"/>
      <c r="X512" s="36"/>
      <c r="Y512" s="36"/>
      <c r="Z512" s="36"/>
      <c r="AA512" s="36"/>
      <c r="AB512" s="36"/>
      <c r="AC512" s="36"/>
    </row>
    <row r="513" spans="17:29" x14ac:dyDescent="0.2">
      <c r="Q513" s="36"/>
      <c r="R513" s="40"/>
      <c r="S513" s="40"/>
      <c r="T513" s="40"/>
      <c r="U513" s="41"/>
      <c r="V513" s="41"/>
      <c r="W513" s="41"/>
      <c r="X513" s="36"/>
      <c r="Y513" s="36"/>
      <c r="Z513" s="36"/>
      <c r="AA513" s="36"/>
      <c r="AB513" s="36"/>
      <c r="AC513" s="36"/>
    </row>
    <row r="514" spans="17:29" x14ac:dyDescent="0.2">
      <c r="Q514" s="36"/>
      <c r="R514" s="40"/>
      <c r="S514" s="40"/>
      <c r="T514" s="40"/>
      <c r="U514" s="41"/>
      <c r="V514" s="41"/>
      <c r="W514" s="41"/>
      <c r="X514" s="36"/>
      <c r="Y514" s="36"/>
      <c r="Z514" s="36"/>
      <c r="AA514" s="36"/>
      <c r="AB514" s="36"/>
      <c r="AC514" s="36"/>
    </row>
    <row r="515" spans="17:29" x14ac:dyDescent="0.2">
      <c r="Q515" s="36"/>
      <c r="R515" s="40"/>
      <c r="S515" s="40"/>
      <c r="T515" s="40"/>
      <c r="U515" s="41"/>
      <c r="V515" s="41"/>
      <c r="W515" s="41"/>
      <c r="X515" s="36"/>
      <c r="Y515" s="36"/>
      <c r="Z515" s="36"/>
      <c r="AA515" s="36"/>
      <c r="AB515" s="36"/>
      <c r="AC515" s="36"/>
    </row>
    <row r="516" spans="17:29" x14ac:dyDescent="0.2">
      <c r="Q516" s="36"/>
      <c r="R516" s="40"/>
      <c r="S516" s="40"/>
      <c r="T516" s="40"/>
      <c r="U516" s="41"/>
      <c r="V516" s="41"/>
      <c r="W516" s="41"/>
      <c r="X516" s="36"/>
      <c r="Y516" s="36"/>
      <c r="Z516" s="36"/>
      <c r="AA516" s="36"/>
      <c r="AB516" s="36"/>
      <c r="AC516" s="36"/>
    </row>
    <row r="517" spans="17:29" x14ac:dyDescent="0.2">
      <c r="Q517" s="36"/>
      <c r="R517" s="40"/>
      <c r="S517" s="40"/>
      <c r="T517" s="40"/>
      <c r="U517" s="41"/>
      <c r="V517" s="41"/>
      <c r="W517" s="41"/>
      <c r="X517" s="36"/>
      <c r="Y517" s="36"/>
      <c r="Z517" s="36"/>
      <c r="AA517" s="36"/>
      <c r="AB517" s="36"/>
      <c r="AC517" s="36"/>
    </row>
    <row r="518" spans="17:29" x14ac:dyDescent="0.2">
      <c r="Q518" s="36"/>
      <c r="R518" s="40"/>
      <c r="S518" s="40"/>
      <c r="T518" s="40"/>
      <c r="U518" s="41"/>
      <c r="V518" s="41"/>
      <c r="W518" s="41"/>
      <c r="X518" s="36"/>
      <c r="Y518" s="36"/>
      <c r="Z518" s="36"/>
      <c r="AA518" s="36"/>
      <c r="AB518" s="36"/>
      <c r="AC518" s="36"/>
    </row>
    <row r="519" spans="17:29" x14ac:dyDescent="0.2">
      <c r="Q519" s="36"/>
      <c r="R519" s="40"/>
      <c r="S519" s="40"/>
      <c r="T519" s="40"/>
      <c r="U519" s="41"/>
      <c r="V519" s="41"/>
      <c r="W519" s="41"/>
      <c r="X519" s="36"/>
      <c r="Y519" s="36"/>
      <c r="Z519" s="36"/>
      <c r="AA519" s="36"/>
      <c r="AB519" s="36"/>
      <c r="AC519" s="36"/>
    </row>
    <row r="520" spans="17:29" x14ac:dyDescent="0.2">
      <c r="Q520" s="36"/>
      <c r="R520" s="40"/>
      <c r="S520" s="40"/>
      <c r="T520" s="40"/>
      <c r="U520" s="41"/>
      <c r="V520" s="41"/>
      <c r="W520" s="41"/>
      <c r="X520" s="36"/>
      <c r="Y520" s="36"/>
      <c r="Z520" s="36"/>
      <c r="AA520" s="36"/>
      <c r="AB520" s="36"/>
      <c r="AC520" s="36"/>
    </row>
    <row r="521" spans="17:29" x14ac:dyDescent="0.2">
      <c r="Q521" s="36"/>
      <c r="R521" s="40"/>
      <c r="S521" s="40"/>
      <c r="T521" s="40"/>
      <c r="U521" s="41"/>
      <c r="V521" s="41"/>
      <c r="W521" s="41"/>
      <c r="X521" s="36"/>
      <c r="Y521" s="36"/>
      <c r="Z521" s="36"/>
      <c r="AA521" s="36"/>
      <c r="AB521" s="36"/>
      <c r="AC521" s="36"/>
    </row>
    <row r="522" spans="17:29" x14ac:dyDescent="0.2">
      <c r="Q522" s="36"/>
      <c r="R522" s="40"/>
      <c r="S522" s="40"/>
      <c r="T522" s="40"/>
      <c r="U522" s="41"/>
      <c r="V522" s="41"/>
      <c r="W522" s="41"/>
      <c r="X522" s="36"/>
      <c r="Y522" s="36"/>
      <c r="Z522" s="36"/>
      <c r="AA522" s="36"/>
      <c r="AB522" s="36"/>
      <c r="AC522" s="36"/>
    </row>
    <row r="523" spans="17:29" x14ac:dyDescent="0.2">
      <c r="Q523" s="36"/>
      <c r="R523" s="40"/>
      <c r="S523" s="40"/>
      <c r="T523" s="40"/>
      <c r="U523" s="41"/>
      <c r="V523" s="41"/>
      <c r="W523" s="41"/>
      <c r="X523" s="36"/>
      <c r="Y523" s="36"/>
      <c r="Z523" s="36"/>
      <c r="AA523" s="36"/>
      <c r="AB523" s="36"/>
      <c r="AC523" s="36"/>
    </row>
    <row r="524" spans="17:29" x14ac:dyDescent="0.2">
      <c r="Q524" s="36"/>
      <c r="R524" s="40"/>
      <c r="S524" s="40"/>
      <c r="T524" s="40"/>
      <c r="U524" s="41"/>
      <c r="V524" s="41"/>
      <c r="W524" s="41"/>
      <c r="X524" s="36"/>
      <c r="Y524" s="36"/>
      <c r="Z524" s="36"/>
      <c r="AA524" s="36"/>
      <c r="AB524" s="36"/>
      <c r="AC524" s="36"/>
    </row>
    <row r="525" spans="17:29" x14ac:dyDescent="0.2">
      <c r="Q525" s="36"/>
      <c r="R525" s="40"/>
      <c r="S525" s="40"/>
      <c r="T525" s="40"/>
      <c r="U525" s="41"/>
      <c r="V525" s="41"/>
      <c r="W525" s="41"/>
      <c r="X525" s="36"/>
      <c r="Y525" s="36"/>
      <c r="Z525" s="36"/>
      <c r="AA525" s="36"/>
      <c r="AB525" s="36"/>
      <c r="AC525" s="36"/>
    </row>
    <row r="526" spans="17:29" x14ac:dyDescent="0.2">
      <c r="Q526" s="36"/>
      <c r="R526" s="40"/>
      <c r="S526" s="40"/>
      <c r="T526" s="40"/>
      <c r="U526" s="41"/>
      <c r="V526" s="41"/>
      <c r="W526" s="41"/>
      <c r="X526" s="36"/>
      <c r="Y526" s="36"/>
      <c r="Z526" s="36"/>
      <c r="AA526" s="36"/>
      <c r="AB526" s="36"/>
      <c r="AC526" s="36"/>
    </row>
    <row r="527" spans="17:29" x14ac:dyDescent="0.2">
      <c r="Q527" s="36"/>
      <c r="R527" s="40"/>
      <c r="S527" s="40"/>
      <c r="T527" s="40"/>
      <c r="U527" s="41"/>
      <c r="V527" s="41"/>
      <c r="W527" s="41"/>
      <c r="X527" s="36"/>
      <c r="Y527" s="36"/>
      <c r="Z527" s="36"/>
      <c r="AA527" s="36"/>
      <c r="AB527" s="36"/>
      <c r="AC527" s="36"/>
    </row>
    <row r="528" spans="17:29" x14ac:dyDescent="0.2">
      <c r="Q528" s="36"/>
      <c r="R528" s="40"/>
      <c r="S528" s="40"/>
      <c r="T528" s="40"/>
      <c r="U528" s="41"/>
      <c r="V528" s="41"/>
      <c r="W528" s="41"/>
      <c r="X528" s="36"/>
      <c r="Y528" s="36"/>
      <c r="Z528" s="36"/>
      <c r="AA528" s="36"/>
      <c r="AB528" s="36"/>
      <c r="AC528" s="36"/>
    </row>
    <row r="529" spans="17:29" x14ac:dyDescent="0.2">
      <c r="Q529" s="36"/>
      <c r="R529" s="40"/>
      <c r="S529" s="40"/>
      <c r="T529" s="40"/>
      <c r="U529" s="41"/>
      <c r="V529" s="41"/>
      <c r="W529" s="41"/>
      <c r="X529" s="36"/>
      <c r="Y529" s="36"/>
      <c r="Z529" s="36"/>
      <c r="AA529" s="36"/>
      <c r="AB529" s="36"/>
      <c r="AC529" s="36"/>
    </row>
    <row r="530" spans="17:29" x14ac:dyDescent="0.2">
      <c r="Q530" s="36"/>
      <c r="R530" s="40"/>
      <c r="S530" s="40"/>
      <c r="T530" s="40"/>
      <c r="U530" s="41"/>
      <c r="V530" s="41"/>
      <c r="W530" s="41"/>
      <c r="X530" s="36"/>
      <c r="Y530" s="36"/>
      <c r="Z530" s="36"/>
      <c r="AA530" s="36"/>
      <c r="AB530" s="36"/>
      <c r="AC530" s="36"/>
    </row>
    <row r="531" spans="17:29" x14ac:dyDescent="0.2">
      <c r="Q531" s="36"/>
      <c r="R531" s="40"/>
      <c r="S531" s="40"/>
      <c r="T531" s="40"/>
      <c r="U531" s="41"/>
      <c r="V531" s="41"/>
      <c r="W531" s="41"/>
      <c r="X531" s="36"/>
      <c r="Y531" s="36"/>
      <c r="Z531" s="36"/>
      <c r="AA531" s="36"/>
      <c r="AB531" s="36"/>
      <c r="AC531" s="36"/>
    </row>
    <row r="532" spans="17:29" x14ac:dyDescent="0.2">
      <c r="Q532" s="36"/>
      <c r="R532" s="40"/>
      <c r="S532" s="40"/>
      <c r="T532" s="40"/>
      <c r="U532" s="41"/>
      <c r="V532" s="41"/>
      <c r="W532" s="41"/>
      <c r="X532" s="36"/>
      <c r="Y532" s="36"/>
      <c r="Z532" s="36"/>
      <c r="AA532" s="36"/>
      <c r="AB532" s="36"/>
      <c r="AC532" s="36"/>
    </row>
    <row r="533" spans="17:29" x14ac:dyDescent="0.2">
      <c r="Q533" s="36"/>
      <c r="R533" s="40"/>
      <c r="S533" s="40"/>
      <c r="T533" s="40"/>
      <c r="U533" s="41"/>
      <c r="V533" s="41"/>
      <c r="W533" s="41"/>
      <c r="X533" s="36"/>
      <c r="Y533" s="36"/>
      <c r="Z533" s="36"/>
      <c r="AA533" s="36"/>
      <c r="AB533" s="36"/>
      <c r="AC533" s="36"/>
    </row>
    <row r="534" spans="17:29" x14ac:dyDescent="0.2">
      <c r="Q534" s="36"/>
      <c r="R534" s="40"/>
      <c r="S534" s="40"/>
      <c r="T534" s="40"/>
      <c r="U534" s="41"/>
      <c r="V534" s="41"/>
      <c r="W534" s="41"/>
      <c r="X534" s="36"/>
      <c r="Y534" s="36"/>
      <c r="Z534" s="36"/>
      <c r="AA534" s="36"/>
      <c r="AB534" s="36"/>
      <c r="AC534" s="36"/>
    </row>
    <row r="535" spans="17:29" x14ac:dyDescent="0.2">
      <c r="Q535" s="36"/>
      <c r="R535" s="40"/>
      <c r="S535" s="40"/>
      <c r="T535" s="40"/>
      <c r="U535" s="41"/>
      <c r="V535" s="41"/>
      <c r="W535" s="41"/>
      <c r="X535" s="36"/>
      <c r="Y535" s="36"/>
      <c r="Z535" s="36"/>
      <c r="AA535" s="36"/>
      <c r="AB535" s="36"/>
      <c r="AC535" s="36"/>
    </row>
    <row r="536" spans="17:29" x14ac:dyDescent="0.2">
      <c r="Q536" s="36"/>
      <c r="R536" s="40"/>
      <c r="S536" s="40"/>
      <c r="T536" s="40"/>
      <c r="U536" s="41"/>
      <c r="V536" s="41"/>
      <c r="W536" s="41"/>
      <c r="X536" s="36"/>
      <c r="Y536" s="36"/>
      <c r="Z536" s="36"/>
      <c r="AA536" s="36"/>
      <c r="AB536" s="36"/>
      <c r="AC536" s="36"/>
    </row>
    <row r="537" spans="17:29" x14ac:dyDescent="0.2">
      <c r="Q537" s="36"/>
      <c r="R537" s="40"/>
      <c r="S537" s="40"/>
      <c r="T537" s="40"/>
      <c r="U537" s="41"/>
      <c r="V537" s="41"/>
      <c r="W537" s="41"/>
      <c r="X537" s="36"/>
      <c r="Y537" s="36"/>
      <c r="Z537" s="36"/>
      <c r="AA537" s="36"/>
      <c r="AB537" s="36"/>
      <c r="AC537" s="36"/>
    </row>
    <row r="538" spans="17:29" x14ac:dyDescent="0.2">
      <c r="Q538" s="36"/>
      <c r="R538" s="40"/>
      <c r="S538" s="40"/>
      <c r="T538" s="40"/>
      <c r="U538" s="41"/>
      <c r="V538" s="41"/>
      <c r="W538" s="41"/>
      <c r="X538" s="36"/>
      <c r="Y538" s="36"/>
      <c r="Z538" s="36"/>
      <c r="AA538" s="36"/>
      <c r="AB538" s="36"/>
      <c r="AC538" s="36"/>
    </row>
    <row r="539" spans="17:29" x14ac:dyDescent="0.2">
      <c r="Q539" s="36"/>
      <c r="R539" s="40"/>
      <c r="S539" s="40"/>
      <c r="T539" s="40"/>
      <c r="U539" s="41"/>
      <c r="V539" s="41"/>
      <c r="W539" s="41"/>
      <c r="X539" s="36"/>
      <c r="Y539" s="36"/>
      <c r="Z539" s="36"/>
      <c r="AA539" s="36"/>
      <c r="AB539" s="36"/>
      <c r="AC539" s="36"/>
    </row>
    <row r="540" spans="17:29" x14ac:dyDescent="0.2">
      <c r="Q540" s="36"/>
      <c r="R540" s="40"/>
      <c r="S540" s="40"/>
      <c r="T540" s="40"/>
      <c r="U540" s="41"/>
      <c r="V540" s="41"/>
      <c r="W540" s="41"/>
      <c r="X540" s="36"/>
      <c r="Y540" s="36"/>
      <c r="Z540" s="36"/>
      <c r="AA540" s="36"/>
      <c r="AB540" s="36"/>
      <c r="AC540" s="36"/>
    </row>
    <row r="541" spans="17:29" x14ac:dyDescent="0.2">
      <c r="Q541" s="36"/>
      <c r="R541" s="40"/>
      <c r="S541" s="40"/>
      <c r="T541" s="40"/>
      <c r="U541" s="41"/>
      <c r="V541" s="41"/>
      <c r="W541" s="41"/>
      <c r="X541" s="36"/>
      <c r="Y541" s="36"/>
      <c r="Z541" s="36"/>
      <c r="AA541" s="36"/>
      <c r="AB541" s="36"/>
      <c r="AC541" s="36"/>
    </row>
    <row r="542" spans="17:29" x14ac:dyDescent="0.2">
      <c r="Q542" s="36"/>
      <c r="R542" s="40"/>
      <c r="S542" s="40"/>
      <c r="T542" s="40"/>
      <c r="U542" s="41"/>
      <c r="V542" s="41"/>
      <c r="W542" s="41"/>
      <c r="X542" s="36"/>
      <c r="Y542" s="36"/>
      <c r="Z542" s="36"/>
      <c r="AA542" s="36"/>
      <c r="AB542" s="36"/>
      <c r="AC542" s="36"/>
    </row>
    <row r="543" spans="17:29" x14ac:dyDescent="0.2">
      <c r="Q543" s="36"/>
      <c r="R543" s="40"/>
      <c r="S543" s="40"/>
      <c r="T543" s="40"/>
      <c r="U543" s="41"/>
      <c r="V543" s="41"/>
      <c r="W543" s="41"/>
      <c r="X543" s="36"/>
      <c r="Y543" s="36"/>
      <c r="Z543" s="36"/>
      <c r="AA543" s="36"/>
      <c r="AB543" s="36"/>
      <c r="AC543" s="36"/>
    </row>
    <row r="544" spans="17:29" x14ac:dyDescent="0.2">
      <c r="Q544" s="36"/>
      <c r="R544" s="40"/>
      <c r="S544" s="40"/>
      <c r="T544" s="40"/>
      <c r="U544" s="41"/>
      <c r="V544" s="41"/>
      <c r="W544" s="41"/>
      <c r="X544" s="36"/>
      <c r="Y544" s="36"/>
      <c r="Z544" s="36"/>
      <c r="AA544" s="36"/>
      <c r="AB544" s="36"/>
      <c r="AC544" s="36"/>
    </row>
    <row r="545" spans="17:29" x14ac:dyDescent="0.2">
      <c r="Q545" s="36"/>
      <c r="R545" s="40"/>
      <c r="S545" s="40"/>
      <c r="T545" s="40"/>
      <c r="U545" s="41"/>
      <c r="V545" s="41"/>
      <c r="W545" s="41"/>
      <c r="X545" s="36"/>
      <c r="Y545" s="36"/>
      <c r="Z545" s="36"/>
      <c r="AA545" s="36"/>
      <c r="AB545" s="36"/>
      <c r="AC545" s="36"/>
    </row>
    <row r="546" spans="17:29" x14ac:dyDescent="0.2">
      <c r="Q546" s="36"/>
      <c r="R546" s="40"/>
      <c r="S546" s="40"/>
      <c r="T546" s="40"/>
      <c r="U546" s="41"/>
      <c r="V546" s="41"/>
      <c r="W546" s="41"/>
      <c r="X546" s="36"/>
      <c r="Y546" s="36"/>
      <c r="Z546" s="36"/>
      <c r="AA546" s="36"/>
      <c r="AB546" s="36"/>
      <c r="AC546" s="36"/>
    </row>
    <row r="547" spans="17:29" x14ac:dyDescent="0.2">
      <c r="Q547" s="36"/>
      <c r="R547" s="40"/>
      <c r="S547" s="40"/>
      <c r="T547" s="40"/>
      <c r="U547" s="41"/>
      <c r="V547" s="41"/>
      <c r="W547" s="41"/>
      <c r="X547" s="36"/>
      <c r="Y547" s="36"/>
      <c r="Z547" s="36"/>
      <c r="AA547" s="36"/>
      <c r="AB547" s="36"/>
      <c r="AC547" s="36"/>
    </row>
    <row r="548" spans="17:29" x14ac:dyDescent="0.2">
      <c r="Q548" s="36"/>
      <c r="R548" s="40"/>
      <c r="S548" s="40"/>
      <c r="T548" s="40"/>
      <c r="U548" s="41"/>
      <c r="V548" s="41"/>
      <c r="W548" s="41"/>
      <c r="X548" s="36"/>
      <c r="Y548" s="36"/>
      <c r="Z548" s="36"/>
      <c r="AA548" s="36"/>
      <c r="AB548" s="36"/>
      <c r="AC548" s="36"/>
    </row>
    <row r="549" spans="17:29" x14ac:dyDescent="0.2">
      <c r="Q549" s="36"/>
      <c r="R549" s="40"/>
      <c r="S549" s="40"/>
      <c r="T549" s="40"/>
      <c r="U549" s="41"/>
      <c r="V549" s="41"/>
      <c r="W549" s="41"/>
      <c r="X549" s="36"/>
      <c r="Y549" s="36"/>
      <c r="Z549" s="36"/>
      <c r="AA549" s="36"/>
      <c r="AB549" s="36"/>
      <c r="AC549" s="36"/>
    </row>
    <row r="550" spans="17:29" x14ac:dyDescent="0.2">
      <c r="Q550" s="36"/>
      <c r="R550" s="40"/>
      <c r="S550" s="40"/>
      <c r="T550" s="40"/>
      <c r="U550" s="41"/>
      <c r="V550" s="41"/>
      <c r="W550" s="41"/>
      <c r="X550" s="36"/>
      <c r="Y550" s="36"/>
      <c r="Z550" s="36"/>
      <c r="AA550" s="36"/>
      <c r="AB550" s="36"/>
      <c r="AC550" s="36"/>
    </row>
    <row r="551" spans="17:29" x14ac:dyDescent="0.2">
      <c r="Q551" s="36"/>
      <c r="R551" s="40"/>
      <c r="S551" s="40"/>
      <c r="T551" s="40"/>
      <c r="U551" s="41"/>
      <c r="V551" s="41"/>
      <c r="W551" s="41"/>
      <c r="X551" s="36"/>
      <c r="Y551" s="36"/>
      <c r="Z551" s="36"/>
      <c r="AA551" s="36"/>
      <c r="AB551" s="36"/>
      <c r="AC551" s="36"/>
    </row>
    <row r="552" spans="17:29" x14ac:dyDescent="0.2">
      <c r="Q552" s="36"/>
      <c r="R552" s="40"/>
      <c r="S552" s="40"/>
      <c r="T552" s="40"/>
      <c r="U552" s="41"/>
      <c r="V552" s="41"/>
      <c r="W552" s="41"/>
      <c r="X552" s="36"/>
      <c r="Y552" s="36"/>
      <c r="Z552" s="36"/>
      <c r="AA552" s="36"/>
      <c r="AB552" s="36"/>
      <c r="AC552" s="36"/>
    </row>
    <row r="553" spans="17:29" x14ac:dyDescent="0.2">
      <c r="Q553" s="36"/>
      <c r="R553" s="40"/>
      <c r="S553" s="40"/>
      <c r="T553" s="40"/>
      <c r="U553" s="41"/>
      <c r="V553" s="41"/>
      <c r="W553" s="41"/>
      <c r="X553" s="36"/>
      <c r="Y553" s="36"/>
      <c r="Z553" s="36"/>
      <c r="AA553" s="36"/>
      <c r="AB553" s="36"/>
      <c r="AC553" s="36"/>
    </row>
    <row r="554" spans="17:29" x14ac:dyDescent="0.2">
      <c r="Q554" s="36"/>
      <c r="R554" s="40"/>
      <c r="S554" s="40"/>
      <c r="T554" s="40"/>
      <c r="U554" s="41"/>
      <c r="V554" s="41"/>
      <c r="W554" s="41"/>
      <c r="X554" s="36"/>
      <c r="Y554" s="36"/>
      <c r="Z554" s="36"/>
      <c r="AA554" s="36"/>
      <c r="AB554" s="36"/>
      <c r="AC554" s="36"/>
    </row>
    <row r="555" spans="17:29" x14ac:dyDescent="0.2">
      <c r="Q555" s="36"/>
      <c r="R555" s="40"/>
      <c r="S555" s="40"/>
      <c r="T555" s="40"/>
      <c r="U555" s="41"/>
      <c r="V555" s="41"/>
      <c r="W555" s="41"/>
      <c r="X555" s="36"/>
      <c r="Y555" s="36"/>
      <c r="Z555" s="36"/>
      <c r="AA555" s="36"/>
      <c r="AB555" s="36"/>
      <c r="AC555" s="36"/>
    </row>
    <row r="556" spans="17:29" x14ac:dyDescent="0.2">
      <c r="Q556" s="36"/>
      <c r="R556" s="40"/>
      <c r="S556" s="40"/>
      <c r="T556" s="40"/>
      <c r="U556" s="41"/>
      <c r="V556" s="41"/>
      <c r="W556" s="41"/>
      <c r="X556" s="36"/>
      <c r="Y556" s="36"/>
      <c r="Z556" s="36"/>
      <c r="AA556" s="36"/>
      <c r="AB556" s="36"/>
      <c r="AC556" s="36"/>
    </row>
    <row r="557" spans="17:29" x14ac:dyDescent="0.2">
      <c r="Q557" s="36"/>
      <c r="R557" s="40"/>
      <c r="S557" s="40"/>
      <c r="T557" s="40"/>
      <c r="U557" s="41"/>
      <c r="V557" s="41"/>
      <c r="W557" s="41"/>
      <c r="X557" s="36"/>
      <c r="Y557" s="36"/>
      <c r="Z557" s="36"/>
      <c r="AA557" s="36"/>
      <c r="AB557" s="36"/>
      <c r="AC557" s="36"/>
    </row>
    <row r="558" spans="17:29" x14ac:dyDescent="0.2">
      <c r="Q558" s="36"/>
      <c r="R558" s="40"/>
      <c r="S558" s="40"/>
      <c r="T558" s="40"/>
      <c r="U558" s="41"/>
      <c r="V558" s="41"/>
      <c r="W558" s="41"/>
      <c r="X558" s="36"/>
      <c r="Y558" s="36"/>
      <c r="Z558" s="36"/>
      <c r="AA558" s="36"/>
      <c r="AB558" s="36"/>
      <c r="AC558" s="36"/>
    </row>
    <row r="559" spans="17:29" x14ac:dyDescent="0.2">
      <c r="Q559" s="36"/>
      <c r="R559" s="40"/>
      <c r="S559" s="40"/>
      <c r="T559" s="40"/>
      <c r="U559" s="41"/>
      <c r="V559" s="41"/>
      <c r="W559" s="41"/>
      <c r="X559" s="36"/>
      <c r="Y559" s="36"/>
      <c r="Z559" s="36"/>
      <c r="AA559" s="36"/>
      <c r="AB559" s="36"/>
      <c r="AC559" s="36"/>
    </row>
    <row r="560" spans="17:29" x14ac:dyDescent="0.2">
      <c r="Q560" s="36"/>
      <c r="R560" s="40"/>
      <c r="S560" s="40"/>
      <c r="T560" s="40"/>
      <c r="U560" s="41"/>
      <c r="V560" s="41"/>
      <c r="W560" s="41"/>
      <c r="X560" s="36"/>
      <c r="Y560" s="36"/>
      <c r="Z560" s="36"/>
      <c r="AA560" s="36"/>
      <c r="AB560" s="36"/>
      <c r="AC560" s="36"/>
    </row>
    <row r="561" spans="17:29" x14ac:dyDescent="0.2">
      <c r="Q561" s="36"/>
      <c r="R561" s="40"/>
      <c r="S561" s="40"/>
      <c r="T561" s="40"/>
      <c r="U561" s="41"/>
      <c r="V561" s="41"/>
      <c r="W561" s="41"/>
      <c r="X561" s="36"/>
      <c r="Y561" s="36"/>
      <c r="Z561" s="36"/>
      <c r="AA561" s="36"/>
      <c r="AB561" s="36"/>
      <c r="AC561" s="36"/>
    </row>
    <row r="562" spans="17:29" x14ac:dyDescent="0.2">
      <c r="Q562" s="36"/>
      <c r="R562" s="40"/>
      <c r="S562" s="40"/>
      <c r="T562" s="40"/>
      <c r="U562" s="41"/>
      <c r="V562" s="41"/>
      <c r="W562" s="41"/>
      <c r="X562" s="36"/>
      <c r="Y562" s="36"/>
      <c r="Z562" s="36"/>
      <c r="AA562" s="36"/>
      <c r="AB562" s="36"/>
      <c r="AC562" s="36"/>
    </row>
    <row r="563" spans="17:29" x14ac:dyDescent="0.2">
      <c r="Q563" s="36"/>
      <c r="R563" s="40"/>
      <c r="S563" s="40"/>
      <c r="T563" s="40"/>
      <c r="U563" s="41"/>
      <c r="V563" s="41"/>
      <c r="W563" s="41"/>
      <c r="X563" s="36"/>
      <c r="Y563" s="36"/>
      <c r="Z563" s="36"/>
      <c r="AA563" s="36"/>
      <c r="AB563" s="36"/>
      <c r="AC563" s="36"/>
    </row>
    <row r="564" spans="17:29" x14ac:dyDescent="0.2">
      <c r="Q564" s="36"/>
      <c r="R564" s="40"/>
      <c r="S564" s="40"/>
      <c r="T564" s="40"/>
      <c r="U564" s="41"/>
      <c r="V564" s="41"/>
      <c r="W564" s="41"/>
      <c r="X564" s="36"/>
      <c r="Y564" s="36"/>
      <c r="Z564" s="36"/>
      <c r="AA564" s="36"/>
      <c r="AB564" s="36"/>
      <c r="AC564" s="36"/>
    </row>
    <row r="565" spans="17:29" x14ac:dyDescent="0.2">
      <c r="Q565" s="36"/>
      <c r="R565" s="40"/>
      <c r="S565" s="40"/>
      <c r="T565" s="40"/>
      <c r="U565" s="41"/>
      <c r="V565" s="41"/>
      <c r="W565" s="41"/>
      <c r="X565" s="36"/>
      <c r="Y565" s="36"/>
      <c r="Z565" s="36"/>
      <c r="AA565" s="36"/>
      <c r="AB565" s="36"/>
      <c r="AC565" s="36"/>
    </row>
    <row r="566" spans="17:29" x14ac:dyDescent="0.2">
      <c r="Q566" s="36"/>
      <c r="R566" s="40"/>
      <c r="S566" s="40"/>
      <c r="T566" s="40"/>
      <c r="U566" s="41"/>
      <c r="V566" s="41"/>
      <c r="W566" s="41"/>
      <c r="X566" s="36"/>
      <c r="Y566" s="36"/>
      <c r="Z566" s="36"/>
      <c r="AA566" s="36"/>
      <c r="AB566" s="36"/>
      <c r="AC566" s="36"/>
    </row>
    <row r="567" spans="17:29" x14ac:dyDescent="0.2">
      <c r="Q567" s="36"/>
      <c r="R567" s="40"/>
      <c r="S567" s="40"/>
      <c r="T567" s="40"/>
      <c r="U567" s="41"/>
      <c r="V567" s="41"/>
      <c r="W567" s="41"/>
      <c r="X567" s="36"/>
      <c r="Y567" s="36"/>
      <c r="Z567" s="36"/>
      <c r="AA567" s="36"/>
      <c r="AB567" s="36"/>
      <c r="AC567" s="36"/>
    </row>
    <row r="568" spans="17:29" x14ac:dyDescent="0.2">
      <c r="Q568" s="36"/>
      <c r="R568" s="40"/>
      <c r="S568" s="40"/>
      <c r="T568" s="40"/>
      <c r="U568" s="41"/>
      <c r="V568" s="41"/>
      <c r="W568" s="41"/>
      <c r="X568" s="36"/>
      <c r="Y568" s="36"/>
      <c r="Z568" s="36"/>
      <c r="AA568" s="36"/>
      <c r="AB568" s="36"/>
      <c r="AC568" s="36"/>
    </row>
    <row r="569" spans="17:29" x14ac:dyDescent="0.2">
      <c r="Q569" s="36"/>
      <c r="R569" s="40"/>
      <c r="S569" s="40"/>
      <c r="T569" s="40"/>
      <c r="U569" s="41"/>
      <c r="V569" s="41"/>
      <c r="W569" s="41"/>
      <c r="X569" s="36"/>
      <c r="Y569" s="36"/>
      <c r="Z569" s="36"/>
      <c r="AA569" s="36"/>
      <c r="AB569" s="36"/>
      <c r="AC569" s="36"/>
    </row>
    <row r="570" spans="17:29" x14ac:dyDescent="0.2">
      <c r="Q570" s="36"/>
      <c r="R570" s="40"/>
      <c r="S570" s="40"/>
      <c r="T570" s="40"/>
      <c r="U570" s="41"/>
      <c r="V570" s="41"/>
      <c r="W570" s="41"/>
      <c r="X570" s="36"/>
      <c r="Y570" s="36"/>
      <c r="Z570" s="36"/>
      <c r="AA570" s="36"/>
      <c r="AB570" s="36"/>
      <c r="AC570" s="36"/>
    </row>
    <row r="571" spans="17:29" x14ac:dyDescent="0.2">
      <c r="Q571" s="36"/>
      <c r="R571" s="40"/>
      <c r="S571" s="40"/>
      <c r="T571" s="40"/>
      <c r="U571" s="41"/>
      <c r="V571" s="41"/>
      <c r="W571" s="41"/>
      <c r="X571" s="36"/>
      <c r="Y571" s="36"/>
      <c r="Z571" s="36"/>
      <c r="AA571" s="36"/>
      <c r="AB571" s="36"/>
      <c r="AC571" s="36"/>
    </row>
    <row r="572" spans="17:29" x14ac:dyDescent="0.2">
      <c r="Q572" s="36"/>
      <c r="R572" s="40"/>
      <c r="S572" s="40"/>
      <c r="T572" s="40"/>
      <c r="U572" s="41"/>
      <c r="V572" s="41"/>
      <c r="W572" s="41"/>
      <c r="X572" s="36"/>
      <c r="Y572" s="36"/>
      <c r="Z572" s="36"/>
      <c r="AA572" s="36"/>
      <c r="AB572" s="36"/>
      <c r="AC572" s="36"/>
    </row>
    <row r="573" spans="17:29" x14ac:dyDescent="0.2">
      <c r="Q573" s="36"/>
      <c r="R573" s="40"/>
      <c r="S573" s="40"/>
      <c r="T573" s="40"/>
      <c r="U573" s="41"/>
      <c r="V573" s="41"/>
      <c r="W573" s="41"/>
      <c r="X573" s="36"/>
      <c r="Y573" s="36"/>
      <c r="Z573" s="36"/>
      <c r="AA573" s="36"/>
      <c r="AB573" s="36"/>
      <c r="AC573" s="36"/>
    </row>
    <row r="574" spans="17:29" x14ac:dyDescent="0.2">
      <c r="Q574" s="36"/>
      <c r="R574" s="40"/>
      <c r="S574" s="40"/>
      <c r="T574" s="40"/>
      <c r="U574" s="41"/>
      <c r="V574" s="41"/>
      <c r="W574" s="41"/>
      <c r="X574" s="36"/>
      <c r="Y574" s="36"/>
      <c r="Z574" s="36"/>
      <c r="AA574" s="36"/>
      <c r="AB574" s="36"/>
      <c r="AC574" s="36"/>
    </row>
    <row r="575" spans="17:29" x14ac:dyDescent="0.2">
      <c r="Q575" s="36"/>
      <c r="R575" s="40"/>
      <c r="S575" s="40"/>
      <c r="T575" s="40"/>
      <c r="U575" s="41"/>
      <c r="V575" s="41"/>
      <c r="W575" s="41"/>
      <c r="X575" s="36"/>
      <c r="Y575" s="36"/>
      <c r="Z575" s="36"/>
      <c r="AA575" s="36"/>
      <c r="AB575" s="36"/>
      <c r="AC575" s="36"/>
    </row>
    <row r="576" spans="17:29" x14ac:dyDescent="0.2">
      <c r="Q576" s="36"/>
      <c r="R576" s="40"/>
      <c r="S576" s="40"/>
      <c r="T576" s="40"/>
      <c r="U576" s="41"/>
      <c r="V576" s="41"/>
      <c r="W576" s="41"/>
      <c r="X576" s="36"/>
      <c r="Y576" s="36"/>
      <c r="Z576" s="36"/>
      <c r="AA576" s="36"/>
      <c r="AB576" s="36"/>
      <c r="AC576" s="36"/>
    </row>
    <row r="577" spans="17:29" x14ac:dyDescent="0.2">
      <c r="Q577" s="36"/>
      <c r="R577" s="40"/>
      <c r="S577" s="40"/>
      <c r="T577" s="40"/>
      <c r="U577" s="41"/>
      <c r="V577" s="41"/>
      <c r="W577" s="41"/>
      <c r="X577" s="36"/>
      <c r="Y577" s="36"/>
      <c r="Z577" s="36"/>
      <c r="AA577" s="36"/>
      <c r="AB577" s="36"/>
      <c r="AC577" s="36"/>
    </row>
    <row r="578" spans="17:29" x14ac:dyDescent="0.2">
      <c r="Q578" s="36"/>
      <c r="R578" s="40"/>
      <c r="S578" s="40"/>
      <c r="T578" s="40"/>
      <c r="U578" s="41"/>
      <c r="V578" s="41"/>
      <c r="W578" s="41"/>
      <c r="X578" s="36"/>
      <c r="Y578" s="36"/>
      <c r="Z578" s="36"/>
      <c r="AA578" s="36"/>
      <c r="AB578" s="36"/>
      <c r="AC578" s="36"/>
    </row>
    <row r="579" spans="17:29" x14ac:dyDescent="0.2">
      <c r="Q579" s="36"/>
      <c r="R579" s="40"/>
      <c r="S579" s="40"/>
      <c r="T579" s="40"/>
      <c r="U579" s="41"/>
      <c r="V579" s="41"/>
      <c r="W579" s="41"/>
      <c r="X579" s="36"/>
      <c r="Y579" s="36"/>
      <c r="Z579" s="36"/>
      <c r="AA579" s="36"/>
      <c r="AB579" s="36"/>
      <c r="AC579" s="36"/>
    </row>
    <row r="580" spans="17:29" x14ac:dyDescent="0.2">
      <c r="Q580" s="36"/>
      <c r="R580" s="40"/>
      <c r="S580" s="40"/>
      <c r="T580" s="40"/>
      <c r="U580" s="41"/>
      <c r="V580" s="41"/>
      <c r="W580" s="41"/>
      <c r="X580" s="36"/>
      <c r="Y580" s="36"/>
      <c r="Z580" s="36"/>
      <c r="AA580" s="36"/>
      <c r="AB580" s="36"/>
      <c r="AC580" s="36"/>
    </row>
    <row r="581" spans="17:29" x14ac:dyDescent="0.2">
      <c r="Q581" s="36"/>
      <c r="R581" s="40"/>
      <c r="S581" s="40"/>
      <c r="T581" s="40"/>
      <c r="U581" s="41"/>
      <c r="V581" s="41"/>
      <c r="W581" s="41"/>
      <c r="X581" s="36"/>
      <c r="Y581" s="36"/>
      <c r="Z581" s="36"/>
      <c r="AA581" s="36"/>
      <c r="AB581" s="36"/>
      <c r="AC581" s="36"/>
    </row>
    <row r="582" spans="17:29" x14ac:dyDescent="0.2">
      <c r="Q582" s="36"/>
      <c r="R582" s="40"/>
      <c r="S582" s="40"/>
      <c r="T582" s="40"/>
      <c r="U582" s="41"/>
      <c r="V582" s="41"/>
      <c r="W582" s="41"/>
      <c r="X582" s="36"/>
      <c r="Y582" s="36"/>
      <c r="Z582" s="36"/>
      <c r="AA582" s="36"/>
      <c r="AB582" s="36"/>
      <c r="AC582" s="36"/>
    </row>
    <row r="583" spans="17:29" x14ac:dyDescent="0.2">
      <c r="Q583" s="36"/>
      <c r="R583" s="40"/>
      <c r="S583" s="40"/>
      <c r="T583" s="40"/>
      <c r="U583" s="41"/>
      <c r="V583" s="41"/>
      <c r="W583" s="41"/>
      <c r="X583" s="36"/>
      <c r="Y583" s="36"/>
      <c r="Z583" s="36"/>
      <c r="AA583" s="36"/>
      <c r="AB583" s="36"/>
      <c r="AC583" s="36"/>
    </row>
    <row r="584" spans="17:29" x14ac:dyDescent="0.2">
      <c r="Q584" s="36"/>
      <c r="R584" s="40"/>
      <c r="S584" s="40"/>
      <c r="T584" s="40"/>
      <c r="U584" s="41"/>
      <c r="V584" s="41"/>
      <c r="W584" s="41"/>
      <c r="X584" s="36"/>
      <c r="Y584" s="36"/>
      <c r="Z584" s="36"/>
      <c r="AA584" s="36"/>
      <c r="AB584" s="36"/>
      <c r="AC584" s="36"/>
    </row>
    <row r="585" spans="17:29" x14ac:dyDescent="0.2">
      <c r="Q585" s="36"/>
      <c r="R585" s="40"/>
      <c r="S585" s="40"/>
      <c r="T585" s="40"/>
      <c r="U585" s="41"/>
      <c r="V585" s="41"/>
      <c r="W585" s="41"/>
      <c r="X585" s="36"/>
      <c r="Y585" s="36"/>
      <c r="Z585" s="36"/>
      <c r="AA585" s="36"/>
      <c r="AB585" s="36"/>
      <c r="AC585" s="36"/>
    </row>
    <row r="586" spans="17:29" x14ac:dyDescent="0.2">
      <c r="Q586" s="36"/>
      <c r="R586" s="40"/>
      <c r="S586" s="40"/>
      <c r="T586" s="40"/>
      <c r="U586" s="41"/>
      <c r="V586" s="41"/>
      <c r="W586" s="41"/>
      <c r="X586" s="36"/>
      <c r="Y586" s="36"/>
      <c r="Z586" s="36"/>
      <c r="AA586" s="36"/>
      <c r="AB586" s="36"/>
      <c r="AC586" s="36"/>
    </row>
    <row r="587" spans="17:29" x14ac:dyDescent="0.2">
      <c r="Q587" s="36"/>
      <c r="R587" s="40"/>
      <c r="S587" s="40"/>
      <c r="T587" s="40"/>
      <c r="U587" s="41"/>
      <c r="V587" s="41"/>
      <c r="W587" s="41"/>
      <c r="X587" s="36"/>
      <c r="Y587" s="36"/>
      <c r="Z587" s="36"/>
      <c r="AA587" s="36"/>
      <c r="AB587" s="36"/>
      <c r="AC587" s="36"/>
    </row>
    <row r="588" spans="17:29" x14ac:dyDescent="0.2">
      <c r="Q588" s="36"/>
      <c r="R588" s="40"/>
      <c r="S588" s="40"/>
      <c r="T588" s="40"/>
      <c r="U588" s="41"/>
      <c r="V588" s="41"/>
      <c r="W588" s="41"/>
      <c r="X588" s="36"/>
      <c r="Y588" s="36"/>
      <c r="Z588" s="36"/>
      <c r="AA588" s="36"/>
      <c r="AB588" s="36"/>
      <c r="AC588" s="36"/>
    </row>
    <row r="589" spans="17:29" x14ac:dyDescent="0.2">
      <c r="Q589" s="36"/>
      <c r="R589" s="40"/>
      <c r="S589" s="40"/>
      <c r="T589" s="40"/>
      <c r="U589" s="41"/>
      <c r="V589" s="41"/>
      <c r="W589" s="41"/>
      <c r="X589" s="36"/>
      <c r="Y589" s="36"/>
      <c r="Z589" s="36"/>
      <c r="AA589" s="36"/>
      <c r="AB589" s="36"/>
      <c r="AC589" s="36"/>
    </row>
    <row r="590" spans="17:29" x14ac:dyDescent="0.2">
      <c r="Q590" s="36"/>
      <c r="R590" s="40"/>
      <c r="S590" s="40"/>
      <c r="T590" s="40"/>
      <c r="U590" s="41"/>
      <c r="V590" s="41"/>
      <c r="W590" s="41"/>
      <c r="X590" s="36"/>
      <c r="Y590" s="36"/>
      <c r="Z590" s="36"/>
      <c r="AA590" s="36"/>
      <c r="AB590" s="36"/>
      <c r="AC590" s="36"/>
    </row>
    <row r="591" spans="17:29" x14ac:dyDescent="0.2">
      <c r="Q591" s="36"/>
      <c r="R591" s="40"/>
      <c r="S591" s="40"/>
      <c r="T591" s="40"/>
      <c r="U591" s="41"/>
      <c r="V591" s="41"/>
      <c r="W591" s="41"/>
      <c r="X591" s="36"/>
      <c r="Y591" s="36"/>
      <c r="Z591" s="36"/>
      <c r="AA591" s="36"/>
      <c r="AB591" s="36"/>
      <c r="AC591" s="36"/>
    </row>
    <row r="592" spans="17:29" x14ac:dyDescent="0.2">
      <c r="Q592" s="36"/>
      <c r="R592" s="40"/>
      <c r="S592" s="40"/>
      <c r="T592" s="40"/>
      <c r="U592" s="41"/>
      <c r="V592" s="41"/>
      <c r="W592" s="41"/>
      <c r="X592" s="36"/>
      <c r="Y592" s="36"/>
      <c r="Z592" s="36"/>
      <c r="AA592" s="36"/>
      <c r="AB592" s="36"/>
      <c r="AC592" s="36"/>
    </row>
    <row r="593" spans="17:29" x14ac:dyDescent="0.2">
      <c r="Q593" s="36"/>
      <c r="R593" s="40"/>
      <c r="S593" s="40"/>
      <c r="T593" s="40"/>
      <c r="U593" s="41"/>
      <c r="V593" s="41"/>
      <c r="W593" s="41"/>
      <c r="X593" s="36"/>
      <c r="Y593" s="36"/>
      <c r="Z593" s="36"/>
      <c r="AA593" s="36"/>
      <c r="AB593" s="36"/>
      <c r="AC593" s="36"/>
    </row>
    <row r="594" spans="17:29" x14ac:dyDescent="0.2">
      <c r="Q594" s="36"/>
      <c r="R594" s="40"/>
      <c r="S594" s="40"/>
      <c r="T594" s="40"/>
      <c r="U594" s="41"/>
      <c r="V594" s="41"/>
      <c r="W594" s="41"/>
      <c r="X594" s="36"/>
      <c r="Y594" s="36"/>
      <c r="Z594" s="36"/>
      <c r="AA594" s="36"/>
      <c r="AB594" s="36"/>
      <c r="AC594" s="36"/>
    </row>
    <row r="595" spans="17:29" x14ac:dyDescent="0.2">
      <c r="Q595" s="36"/>
      <c r="R595" s="40"/>
      <c r="S595" s="40"/>
      <c r="T595" s="40"/>
      <c r="U595" s="41"/>
      <c r="V595" s="41"/>
      <c r="W595" s="41"/>
      <c r="X595" s="36"/>
      <c r="Y595" s="36"/>
      <c r="Z595" s="36"/>
      <c r="AA595" s="36"/>
      <c r="AB595" s="36"/>
      <c r="AC595" s="36"/>
    </row>
    <row r="596" spans="17:29" x14ac:dyDescent="0.2">
      <c r="Q596" s="36"/>
      <c r="R596" s="40"/>
      <c r="S596" s="40"/>
      <c r="T596" s="40"/>
      <c r="U596" s="41"/>
      <c r="V596" s="41"/>
      <c r="W596" s="41"/>
      <c r="X596" s="36"/>
      <c r="Y596" s="36"/>
      <c r="Z596" s="36"/>
      <c r="AA596" s="36"/>
      <c r="AB596" s="36"/>
      <c r="AC596" s="36"/>
    </row>
    <row r="597" spans="17:29" x14ac:dyDescent="0.2">
      <c r="Q597" s="36"/>
      <c r="R597" s="40"/>
      <c r="S597" s="40"/>
      <c r="T597" s="40"/>
      <c r="U597" s="41"/>
      <c r="V597" s="41"/>
      <c r="W597" s="41"/>
      <c r="X597" s="36"/>
      <c r="Y597" s="36"/>
      <c r="Z597" s="36"/>
      <c r="AA597" s="36"/>
      <c r="AB597" s="36"/>
      <c r="AC597" s="36"/>
    </row>
    <row r="598" spans="17:29" x14ac:dyDescent="0.2">
      <c r="Q598" s="36"/>
      <c r="R598" s="40"/>
      <c r="S598" s="40"/>
      <c r="T598" s="40"/>
      <c r="U598" s="41"/>
      <c r="V598" s="41"/>
      <c r="W598" s="41"/>
      <c r="X598" s="36"/>
      <c r="Y598" s="36"/>
      <c r="Z598" s="36"/>
      <c r="AA598" s="36"/>
      <c r="AB598" s="36"/>
      <c r="AC598" s="36"/>
    </row>
    <row r="599" spans="17:29" x14ac:dyDescent="0.2">
      <c r="Q599" s="36"/>
      <c r="R599" s="40"/>
      <c r="S599" s="40"/>
      <c r="T599" s="40"/>
      <c r="U599" s="41"/>
      <c r="V599" s="41"/>
      <c r="W599" s="41"/>
      <c r="X599" s="36"/>
      <c r="Y599" s="36"/>
      <c r="Z599" s="36"/>
      <c r="AA599" s="36"/>
      <c r="AB599" s="36"/>
      <c r="AC599" s="36"/>
    </row>
    <row r="600" spans="17:29" x14ac:dyDescent="0.2">
      <c r="Q600" s="36"/>
      <c r="R600" s="40"/>
      <c r="S600" s="40"/>
      <c r="T600" s="40"/>
      <c r="U600" s="41"/>
      <c r="V600" s="41"/>
      <c r="W600" s="41"/>
      <c r="X600" s="36"/>
      <c r="Y600" s="36"/>
      <c r="Z600" s="36"/>
      <c r="AA600" s="36"/>
      <c r="AB600" s="36"/>
      <c r="AC600" s="36"/>
    </row>
    <row r="601" spans="17:29" x14ac:dyDescent="0.2">
      <c r="Q601" s="36"/>
      <c r="R601" s="40"/>
      <c r="S601" s="40"/>
      <c r="T601" s="40"/>
      <c r="U601" s="41"/>
      <c r="V601" s="41"/>
      <c r="W601" s="41"/>
      <c r="X601" s="36"/>
      <c r="Y601" s="36"/>
      <c r="Z601" s="36"/>
      <c r="AA601" s="36"/>
      <c r="AB601" s="36"/>
      <c r="AC601" s="36"/>
    </row>
    <row r="602" spans="17:29" x14ac:dyDescent="0.2">
      <c r="Q602" s="36"/>
      <c r="R602" s="40"/>
      <c r="S602" s="40"/>
      <c r="T602" s="40"/>
      <c r="U602" s="41"/>
      <c r="V602" s="41"/>
      <c r="W602" s="41"/>
      <c r="X602" s="36"/>
      <c r="Y602" s="36"/>
      <c r="Z602" s="36"/>
      <c r="AA602" s="36"/>
      <c r="AB602" s="36"/>
      <c r="AC602" s="36"/>
    </row>
    <row r="603" spans="17:29" x14ac:dyDescent="0.2">
      <c r="Q603" s="36"/>
      <c r="R603" s="40"/>
      <c r="S603" s="40"/>
      <c r="T603" s="40"/>
      <c r="U603" s="41"/>
      <c r="V603" s="41"/>
      <c r="W603" s="41"/>
      <c r="X603" s="36"/>
      <c r="Y603" s="36"/>
      <c r="Z603" s="36"/>
      <c r="AA603" s="36"/>
      <c r="AB603" s="36"/>
      <c r="AC603" s="36"/>
    </row>
    <row r="604" spans="17:29" x14ac:dyDescent="0.2">
      <c r="Q604" s="36"/>
      <c r="R604" s="40"/>
      <c r="S604" s="40"/>
      <c r="T604" s="40"/>
      <c r="U604" s="41"/>
      <c r="V604" s="41"/>
      <c r="W604" s="41"/>
      <c r="X604" s="36"/>
      <c r="Y604" s="36"/>
      <c r="Z604" s="36"/>
      <c r="AA604" s="36"/>
      <c r="AB604" s="36"/>
      <c r="AC604" s="36"/>
    </row>
    <row r="605" spans="17:29" x14ac:dyDescent="0.2">
      <c r="Q605" s="36"/>
      <c r="R605" s="40"/>
      <c r="S605" s="40"/>
      <c r="T605" s="40"/>
      <c r="U605" s="41"/>
      <c r="V605" s="41"/>
      <c r="W605" s="41"/>
      <c r="X605" s="36"/>
      <c r="Y605" s="36"/>
      <c r="Z605" s="36"/>
      <c r="AA605" s="36"/>
      <c r="AB605" s="36"/>
      <c r="AC605" s="36"/>
    </row>
    <row r="606" spans="17:29" x14ac:dyDescent="0.2">
      <c r="Q606" s="36"/>
      <c r="R606" s="40"/>
      <c r="S606" s="40"/>
      <c r="T606" s="40"/>
      <c r="U606" s="41"/>
      <c r="V606" s="41"/>
      <c r="W606" s="41"/>
      <c r="X606" s="36"/>
      <c r="Y606" s="36"/>
      <c r="Z606" s="36"/>
      <c r="AA606" s="36"/>
      <c r="AB606" s="36"/>
      <c r="AC606" s="36"/>
    </row>
    <row r="607" spans="17:29" x14ac:dyDescent="0.2">
      <c r="Q607" s="36"/>
      <c r="R607" s="40"/>
      <c r="S607" s="40"/>
      <c r="T607" s="40"/>
      <c r="U607" s="41"/>
      <c r="V607" s="41"/>
      <c r="W607" s="41"/>
      <c r="X607" s="36"/>
      <c r="Y607" s="36"/>
      <c r="Z607" s="36"/>
      <c r="AA607" s="36"/>
      <c r="AB607" s="36"/>
      <c r="AC607" s="36"/>
    </row>
    <row r="608" spans="17:29" x14ac:dyDescent="0.2">
      <c r="Q608" s="36"/>
      <c r="R608" s="40"/>
      <c r="S608" s="40"/>
      <c r="T608" s="40"/>
      <c r="U608" s="41"/>
      <c r="V608" s="41"/>
      <c r="W608" s="41"/>
      <c r="X608" s="36"/>
      <c r="Y608" s="36"/>
      <c r="Z608" s="36"/>
      <c r="AA608" s="36"/>
      <c r="AB608" s="36"/>
      <c r="AC608" s="36"/>
    </row>
    <row r="609" spans="17:29" x14ac:dyDescent="0.2">
      <c r="Q609" s="36"/>
      <c r="R609" s="40"/>
      <c r="S609" s="40"/>
      <c r="T609" s="40"/>
      <c r="U609" s="41"/>
      <c r="V609" s="41"/>
      <c r="W609" s="41"/>
      <c r="X609" s="36"/>
      <c r="Y609" s="36"/>
      <c r="Z609" s="36"/>
      <c r="AA609" s="36"/>
      <c r="AB609" s="36"/>
      <c r="AC609" s="36"/>
    </row>
    <row r="610" spans="17:29" x14ac:dyDescent="0.2">
      <c r="Q610" s="36"/>
      <c r="R610" s="40"/>
      <c r="S610" s="40"/>
      <c r="T610" s="40"/>
      <c r="U610" s="41"/>
      <c r="V610" s="41"/>
      <c r="W610" s="41"/>
      <c r="X610" s="36"/>
      <c r="Y610" s="36"/>
      <c r="Z610" s="36"/>
      <c r="AA610" s="36"/>
      <c r="AB610" s="36"/>
      <c r="AC610" s="36"/>
    </row>
    <row r="611" spans="17:29" x14ac:dyDescent="0.2">
      <c r="Q611" s="36"/>
      <c r="R611" s="40"/>
      <c r="S611" s="40"/>
      <c r="T611" s="40"/>
      <c r="U611" s="41"/>
      <c r="V611" s="41"/>
      <c r="W611" s="41"/>
      <c r="X611" s="36"/>
      <c r="Y611" s="36"/>
      <c r="Z611" s="36"/>
      <c r="AA611" s="36"/>
      <c r="AB611" s="36"/>
      <c r="AC611" s="36"/>
    </row>
    <row r="612" spans="17:29" x14ac:dyDescent="0.2">
      <c r="Q612" s="36"/>
      <c r="R612" s="40"/>
      <c r="S612" s="40"/>
      <c r="T612" s="40"/>
      <c r="U612" s="41"/>
      <c r="V612" s="41"/>
      <c r="W612" s="41"/>
      <c r="X612" s="36"/>
      <c r="Y612" s="36"/>
      <c r="Z612" s="36"/>
      <c r="AA612" s="36"/>
      <c r="AB612" s="36"/>
      <c r="AC612" s="36"/>
    </row>
    <row r="613" spans="17:29" x14ac:dyDescent="0.2">
      <c r="Q613" s="36"/>
      <c r="R613" s="40"/>
      <c r="S613" s="40"/>
      <c r="T613" s="40"/>
      <c r="U613" s="41"/>
      <c r="V613" s="41"/>
      <c r="W613" s="41"/>
      <c r="X613" s="36"/>
      <c r="Y613" s="36"/>
      <c r="Z613" s="36"/>
      <c r="AA613" s="36"/>
      <c r="AB613" s="36"/>
      <c r="AC613" s="36"/>
    </row>
    <row r="614" spans="17:29" x14ac:dyDescent="0.2">
      <c r="Q614" s="36"/>
      <c r="R614" s="40"/>
      <c r="S614" s="40"/>
      <c r="T614" s="40"/>
      <c r="U614" s="41"/>
      <c r="V614" s="41"/>
      <c r="W614" s="41"/>
      <c r="X614" s="36"/>
      <c r="Y614" s="36"/>
      <c r="Z614" s="36"/>
      <c r="AA614" s="36"/>
      <c r="AB614" s="36"/>
      <c r="AC614" s="36"/>
    </row>
    <row r="615" spans="17:29" x14ac:dyDescent="0.2">
      <c r="Q615" s="36"/>
      <c r="R615" s="40"/>
      <c r="S615" s="40"/>
      <c r="T615" s="40"/>
      <c r="U615" s="41"/>
      <c r="V615" s="41"/>
      <c r="W615" s="41"/>
      <c r="X615" s="36"/>
      <c r="Y615" s="36"/>
      <c r="Z615" s="36"/>
      <c r="AA615" s="36"/>
      <c r="AB615" s="36"/>
      <c r="AC615" s="36"/>
    </row>
    <row r="616" spans="17:29" x14ac:dyDescent="0.2">
      <c r="Q616" s="36"/>
      <c r="R616" s="40"/>
      <c r="S616" s="40"/>
      <c r="T616" s="40"/>
      <c r="U616" s="41"/>
      <c r="V616" s="41"/>
      <c r="W616" s="41"/>
      <c r="X616" s="36"/>
      <c r="Y616" s="36"/>
      <c r="Z616" s="36"/>
      <c r="AA616" s="36"/>
      <c r="AB616" s="36"/>
      <c r="AC616" s="36"/>
    </row>
    <row r="617" spans="17:29" x14ac:dyDescent="0.2">
      <c r="Q617" s="36"/>
      <c r="R617" s="40"/>
      <c r="S617" s="40"/>
      <c r="T617" s="40"/>
      <c r="U617" s="41"/>
      <c r="V617" s="41"/>
      <c r="W617" s="41"/>
      <c r="X617" s="36"/>
      <c r="Y617" s="36"/>
      <c r="Z617" s="36"/>
      <c r="AA617" s="36"/>
      <c r="AB617" s="36"/>
      <c r="AC617" s="36"/>
    </row>
    <row r="618" spans="17:29" x14ac:dyDescent="0.2">
      <c r="Q618" s="36"/>
      <c r="R618" s="40"/>
      <c r="S618" s="40"/>
      <c r="T618" s="40"/>
      <c r="U618" s="41"/>
      <c r="V618" s="41"/>
      <c r="W618" s="41"/>
      <c r="X618" s="36"/>
      <c r="Y618" s="36"/>
      <c r="Z618" s="36"/>
      <c r="AA618" s="36"/>
      <c r="AB618" s="36"/>
      <c r="AC618" s="36"/>
    </row>
    <row r="619" spans="17:29" x14ac:dyDescent="0.2">
      <c r="Q619" s="36"/>
      <c r="R619" s="40"/>
      <c r="S619" s="40"/>
      <c r="T619" s="40"/>
      <c r="U619" s="41"/>
      <c r="V619" s="41"/>
      <c r="W619" s="41"/>
      <c r="X619" s="36"/>
      <c r="Y619" s="36"/>
      <c r="Z619" s="36"/>
      <c r="AA619" s="36"/>
      <c r="AB619" s="36"/>
      <c r="AC619" s="36"/>
    </row>
    <row r="620" spans="17:29" x14ac:dyDescent="0.2">
      <c r="Q620" s="36"/>
      <c r="R620" s="40"/>
      <c r="S620" s="40"/>
      <c r="T620" s="40"/>
      <c r="U620" s="41"/>
      <c r="V620" s="41"/>
      <c r="W620" s="41"/>
      <c r="X620" s="36"/>
      <c r="Y620" s="36"/>
      <c r="Z620" s="36"/>
      <c r="AA620" s="36"/>
      <c r="AB620" s="36"/>
      <c r="AC620" s="36"/>
    </row>
    <row r="621" spans="17:29" x14ac:dyDescent="0.2">
      <c r="Q621" s="36"/>
      <c r="R621" s="40"/>
      <c r="S621" s="40"/>
      <c r="T621" s="40"/>
      <c r="U621" s="41"/>
      <c r="V621" s="41"/>
      <c r="W621" s="41"/>
      <c r="X621" s="36"/>
      <c r="Y621" s="36"/>
      <c r="Z621" s="36"/>
      <c r="AA621" s="36"/>
      <c r="AB621" s="36"/>
      <c r="AC621" s="36"/>
    </row>
    <row r="622" spans="17:29" x14ac:dyDescent="0.2">
      <c r="Q622" s="36"/>
      <c r="R622" s="40"/>
      <c r="S622" s="40"/>
      <c r="T622" s="40"/>
      <c r="U622" s="41"/>
      <c r="V622" s="41"/>
      <c r="W622" s="41"/>
      <c r="X622" s="36"/>
      <c r="Y622" s="36"/>
      <c r="Z622" s="36"/>
      <c r="AA622" s="36"/>
      <c r="AB622" s="36"/>
      <c r="AC622" s="36"/>
    </row>
    <row r="623" spans="17:29" x14ac:dyDescent="0.2">
      <c r="Q623" s="36"/>
      <c r="R623" s="40"/>
      <c r="S623" s="40"/>
      <c r="T623" s="40"/>
      <c r="U623" s="41"/>
      <c r="V623" s="41"/>
      <c r="W623" s="41"/>
      <c r="X623" s="36"/>
      <c r="Y623" s="36"/>
      <c r="Z623" s="36"/>
      <c r="AA623" s="36"/>
      <c r="AB623" s="36"/>
      <c r="AC623" s="36"/>
    </row>
    <row r="624" spans="17:29" x14ac:dyDescent="0.2">
      <c r="Q624" s="36"/>
      <c r="R624" s="40"/>
      <c r="S624" s="40"/>
      <c r="T624" s="40"/>
      <c r="U624" s="41"/>
      <c r="V624" s="41"/>
      <c r="W624" s="41"/>
      <c r="X624" s="36"/>
      <c r="Y624" s="36"/>
      <c r="Z624" s="36"/>
      <c r="AA624" s="36"/>
      <c r="AB624" s="36"/>
      <c r="AC624" s="36"/>
    </row>
    <row r="625" spans="17:29" x14ac:dyDescent="0.2">
      <c r="Q625" s="36"/>
      <c r="R625" s="40"/>
      <c r="S625" s="40"/>
      <c r="T625" s="40"/>
      <c r="U625" s="41"/>
      <c r="V625" s="41"/>
      <c r="W625" s="41"/>
      <c r="X625" s="36"/>
      <c r="Y625" s="36"/>
      <c r="Z625" s="36"/>
      <c r="AA625" s="36"/>
      <c r="AB625" s="36"/>
      <c r="AC625" s="36"/>
    </row>
    <row r="626" spans="17:29" x14ac:dyDescent="0.2">
      <c r="Q626" s="36"/>
      <c r="R626" s="40"/>
      <c r="S626" s="40"/>
      <c r="T626" s="40"/>
      <c r="U626" s="41"/>
      <c r="V626" s="41"/>
      <c r="W626" s="41"/>
      <c r="X626" s="36"/>
      <c r="Y626" s="36"/>
      <c r="Z626" s="36"/>
      <c r="AA626" s="36"/>
      <c r="AB626" s="36"/>
      <c r="AC626" s="36"/>
    </row>
    <row r="627" spans="17:29" x14ac:dyDescent="0.2">
      <c r="Q627" s="36"/>
      <c r="R627" s="40"/>
      <c r="S627" s="40"/>
      <c r="T627" s="40"/>
      <c r="U627" s="41"/>
      <c r="V627" s="41"/>
      <c r="W627" s="41"/>
      <c r="X627" s="36"/>
      <c r="Y627" s="36"/>
      <c r="Z627" s="36"/>
      <c r="AA627" s="36"/>
      <c r="AB627" s="36"/>
      <c r="AC627" s="36"/>
    </row>
    <row r="628" spans="17:29" x14ac:dyDescent="0.2">
      <c r="Q628" s="36"/>
      <c r="R628" s="40"/>
      <c r="S628" s="40"/>
      <c r="T628" s="40"/>
      <c r="U628" s="41"/>
      <c r="V628" s="41"/>
      <c r="W628" s="41"/>
      <c r="X628" s="36"/>
      <c r="Y628" s="36"/>
      <c r="Z628" s="36"/>
      <c r="AA628" s="36"/>
      <c r="AB628" s="36"/>
      <c r="AC628" s="36"/>
    </row>
    <row r="629" spans="17:29" x14ac:dyDescent="0.2">
      <c r="Q629" s="36"/>
      <c r="R629" s="40"/>
      <c r="S629" s="40"/>
      <c r="T629" s="40"/>
      <c r="U629" s="41"/>
      <c r="V629" s="41"/>
      <c r="W629" s="41"/>
      <c r="X629" s="36"/>
      <c r="Y629" s="36"/>
      <c r="Z629" s="36"/>
      <c r="AA629" s="36"/>
      <c r="AB629" s="36"/>
      <c r="AC629" s="36"/>
    </row>
    <row r="630" spans="17:29" x14ac:dyDescent="0.2">
      <c r="Q630" s="36"/>
      <c r="R630" s="40"/>
      <c r="S630" s="40"/>
      <c r="T630" s="40"/>
      <c r="U630" s="41"/>
      <c r="V630" s="41"/>
      <c r="W630" s="41"/>
      <c r="X630" s="36"/>
      <c r="Y630" s="36"/>
      <c r="Z630" s="36"/>
      <c r="AA630" s="36"/>
      <c r="AB630" s="36"/>
      <c r="AC630" s="36"/>
    </row>
    <row r="631" spans="17:29" x14ac:dyDescent="0.2">
      <c r="Q631" s="36"/>
      <c r="R631" s="40"/>
      <c r="S631" s="40"/>
      <c r="T631" s="40"/>
      <c r="U631" s="41"/>
      <c r="V631" s="41"/>
      <c r="W631" s="41"/>
      <c r="X631" s="36"/>
      <c r="Y631" s="36"/>
      <c r="Z631" s="36"/>
      <c r="AA631" s="36"/>
      <c r="AB631" s="36"/>
      <c r="AC631" s="36"/>
    </row>
    <row r="632" spans="17:29" x14ac:dyDescent="0.2">
      <c r="Q632" s="36"/>
      <c r="R632" s="40"/>
      <c r="S632" s="40"/>
      <c r="T632" s="40"/>
      <c r="U632" s="41"/>
      <c r="V632" s="41"/>
      <c r="W632" s="41"/>
      <c r="X632" s="36"/>
      <c r="Y632" s="36"/>
      <c r="Z632" s="36"/>
      <c r="AA632" s="36"/>
      <c r="AB632" s="36"/>
      <c r="AC632" s="36"/>
    </row>
    <row r="633" spans="17:29" x14ac:dyDescent="0.2">
      <c r="Q633" s="36"/>
      <c r="R633" s="40"/>
      <c r="S633" s="40"/>
      <c r="T633" s="40"/>
      <c r="U633" s="41"/>
      <c r="V633" s="41"/>
      <c r="W633" s="41"/>
      <c r="X633" s="36"/>
      <c r="Y633" s="36"/>
      <c r="Z633" s="36"/>
      <c r="AA633" s="36"/>
      <c r="AB633" s="36"/>
      <c r="AC633" s="36"/>
    </row>
    <row r="634" spans="17:29" x14ac:dyDescent="0.2">
      <c r="Q634" s="36"/>
      <c r="R634" s="40"/>
      <c r="S634" s="40"/>
      <c r="T634" s="40"/>
      <c r="U634" s="41"/>
      <c r="V634" s="41"/>
      <c r="W634" s="41"/>
      <c r="X634" s="36"/>
      <c r="Y634" s="36"/>
      <c r="Z634" s="36"/>
      <c r="AA634" s="36"/>
      <c r="AB634" s="36"/>
      <c r="AC634" s="36"/>
    </row>
    <row r="635" spans="17:29" x14ac:dyDescent="0.2">
      <c r="Q635" s="36"/>
      <c r="R635" s="40"/>
      <c r="S635" s="40"/>
      <c r="T635" s="40"/>
      <c r="U635" s="41"/>
      <c r="V635" s="41"/>
      <c r="W635" s="41"/>
      <c r="X635" s="36"/>
      <c r="Y635" s="36"/>
      <c r="Z635" s="36"/>
      <c r="AA635" s="36"/>
      <c r="AB635" s="36"/>
      <c r="AC635" s="36"/>
    </row>
    <row r="636" spans="17:29" x14ac:dyDescent="0.2">
      <c r="Q636" s="36"/>
      <c r="R636" s="40"/>
      <c r="S636" s="40"/>
      <c r="T636" s="40"/>
      <c r="U636" s="41"/>
      <c r="V636" s="41"/>
      <c r="W636" s="41"/>
      <c r="X636" s="36"/>
      <c r="Y636" s="36"/>
      <c r="Z636" s="36"/>
      <c r="AA636" s="36"/>
      <c r="AB636" s="36"/>
      <c r="AC636" s="36"/>
    </row>
    <row r="637" spans="17:29" x14ac:dyDescent="0.2">
      <c r="Q637" s="36"/>
      <c r="R637" s="40"/>
      <c r="S637" s="40"/>
      <c r="T637" s="40"/>
      <c r="U637" s="41"/>
      <c r="V637" s="41"/>
      <c r="W637" s="41"/>
      <c r="X637" s="36"/>
      <c r="Y637" s="36"/>
      <c r="Z637" s="36"/>
      <c r="AA637" s="36"/>
      <c r="AB637" s="36"/>
      <c r="AC637" s="36"/>
    </row>
    <row r="638" spans="17:29" x14ac:dyDescent="0.2">
      <c r="Q638" s="36"/>
      <c r="R638" s="40"/>
      <c r="S638" s="40"/>
      <c r="T638" s="40"/>
      <c r="U638" s="41"/>
      <c r="V638" s="41"/>
      <c r="W638" s="41"/>
      <c r="X638" s="36"/>
      <c r="Y638" s="36"/>
      <c r="Z638" s="36"/>
      <c r="AA638" s="36"/>
      <c r="AB638" s="36"/>
      <c r="AC638" s="36"/>
    </row>
    <row r="639" spans="17:29" x14ac:dyDescent="0.2">
      <c r="Q639" s="36"/>
      <c r="R639" s="40"/>
      <c r="S639" s="40"/>
      <c r="T639" s="40"/>
      <c r="U639" s="41"/>
      <c r="V639" s="41"/>
      <c r="W639" s="41"/>
      <c r="X639" s="36"/>
      <c r="Y639" s="36"/>
      <c r="Z639" s="36"/>
      <c r="AA639" s="36"/>
      <c r="AB639" s="36"/>
      <c r="AC639" s="36"/>
    </row>
    <row r="640" spans="17:29" x14ac:dyDescent="0.2">
      <c r="Q640" s="36"/>
      <c r="R640" s="40"/>
      <c r="S640" s="40"/>
      <c r="T640" s="40"/>
      <c r="U640" s="41"/>
      <c r="V640" s="41"/>
      <c r="W640" s="41"/>
      <c r="X640" s="36"/>
      <c r="Y640" s="36"/>
      <c r="Z640" s="36"/>
      <c r="AA640" s="36"/>
      <c r="AB640" s="36"/>
      <c r="AC640" s="36"/>
    </row>
    <row r="641" spans="17:29" x14ac:dyDescent="0.2">
      <c r="Q641" s="36"/>
      <c r="R641" s="40"/>
      <c r="S641" s="40"/>
      <c r="T641" s="40"/>
      <c r="U641" s="41"/>
      <c r="V641" s="41"/>
      <c r="W641" s="41"/>
      <c r="X641" s="36"/>
      <c r="Y641" s="36"/>
      <c r="Z641" s="36"/>
      <c r="AA641" s="36"/>
      <c r="AB641" s="36"/>
      <c r="AC641" s="36"/>
    </row>
    <row r="642" spans="17:29" x14ac:dyDescent="0.2">
      <c r="Q642" s="36"/>
      <c r="R642" s="40"/>
      <c r="S642" s="40"/>
      <c r="T642" s="40"/>
      <c r="U642" s="41"/>
      <c r="V642" s="41"/>
      <c r="W642" s="41"/>
      <c r="X642" s="36"/>
      <c r="Y642" s="36"/>
      <c r="Z642" s="36"/>
      <c r="AA642" s="36"/>
      <c r="AB642" s="36"/>
      <c r="AC642" s="36"/>
    </row>
    <row r="643" spans="17:29" x14ac:dyDescent="0.2">
      <c r="Q643" s="36"/>
      <c r="R643" s="40"/>
      <c r="S643" s="40"/>
      <c r="T643" s="40"/>
      <c r="U643" s="41"/>
      <c r="V643" s="41"/>
      <c r="W643" s="41"/>
      <c r="X643" s="36"/>
      <c r="Y643" s="36"/>
      <c r="Z643" s="36"/>
      <c r="AA643" s="36"/>
      <c r="AB643" s="36"/>
      <c r="AC643" s="36"/>
    </row>
    <row r="644" spans="17:29" x14ac:dyDescent="0.2">
      <c r="Q644" s="36"/>
      <c r="R644" s="40"/>
      <c r="S644" s="40"/>
      <c r="T644" s="40"/>
      <c r="U644" s="41"/>
      <c r="V644" s="41"/>
      <c r="W644" s="41"/>
      <c r="X644" s="36"/>
      <c r="Y644" s="36"/>
      <c r="Z644" s="36"/>
      <c r="AA644" s="36"/>
      <c r="AB644" s="36"/>
      <c r="AC644" s="36"/>
    </row>
    <row r="645" spans="17:29" x14ac:dyDescent="0.2">
      <c r="Q645" s="36"/>
      <c r="R645" s="40"/>
      <c r="S645" s="40"/>
      <c r="T645" s="40"/>
      <c r="U645" s="41"/>
      <c r="V645" s="41"/>
      <c r="W645" s="41"/>
      <c r="X645" s="36"/>
      <c r="Y645" s="36"/>
      <c r="Z645" s="36"/>
      <c r="AA645" s="36"/>
      <c r="AB645" s="36"/>
      <c r="AC645" s="36"/>
    </row>
    <row r="646" spans="17:29" x14ac:dyDescent="0.2">
      <c r="Q646" s="36"/>
      <c r="R646" s="40"/>
      <c r="S646" s="40"/>
      <c r="T646" s="40"/>
      <c r="U646" s="41"/>
      <c r="V646" s="41"/>
      <c r="W646" s="41"/>
      <c r="X646" s="36"/>
      <c r="Y646" s="36"/>
      <c r="Z646" s="36"/>
      <c r="AA646" s="36"/>
      <c r="AB646" s="36"/>
      <c r="AC646" s="36"/>
    </row>
    <row r="647" spans="17:29" x14ac:dyDescent="0.2">
      <c r="Q647" s="36"/>
      <c r="R647" s="40"/>
      <c r="S647" s="40"/>
      <c r="T647" s="40"/>
      <c r="U647" s="41"/>
      <c r="V647" s="41"/>
      <c r="W647" s="41"/>
      <c r="X647" s="36"/>
      <c r="Y647" s="36"/>
      <c r="Z647" s="36"/>
      <c r="AA647" s="36"/>
      <c r="AB647" s="36"/>
      <c r="AC647" s="36"/>
    </row>
    <row r="648" spans="17:29" x14ac:dyDescent="0.2">
      <c r="Q648" s="36"/>
      <c r="R648" s="40"/>
      <c r="S648" s="40"/>
      <c r="T648" s="40"/>
      <c r="U648" s="41"/>
      <c r="V648" s="41"/>
      <c r="W648" s="41"/>
      <c r="X648" s="36"/>
      <c r="Y648" s="36"/>
      <c r="Z648" s="36"/>
      <c r="AA648" s="36"/>
      <c r="AB648" s="36"/>
      <c r="AC648" s="36"/>
    </row>
    <row r="649" spans="17:29" x14ac:dyDescent="0.2">
      <c r="Q649" s="36"/>
      <c r="R649" s="40"/>
      <c r="S649" s="40"/>
      <c r="T649" s="40"/>
      <c r="U649" s="41"/>
      <c r="V649" s="41"/>
      <c r="W649" s="41"/>
      <c r="X649" s="36"/>
      <c r="Y649" s="36"/>
      <c r="Z649" s="36"/>
      <c r="AA649" s="36"/>
      <c r="AB649" s="36"/>
      <c r="AC649" s="36"/>
    </row>
    <row r="650" spans="17:29" x14ac:dyDescent="0.2">
      <c r="Q650" s="36"/>
      <c r="R650" s="40"/>
      <c r="S650" s="40"/>
      <c r="T650" s="40"/>
      <c r="U650" s="41"/>
      <c r="V650" s="41"/>
      <c r="W650" s="41"/>
      <c r="X650" s="36"/>
      <c r="Y650" s="36"/>
      <c r="Z650" s="36"/>
      <c r="AA650" s="36"/>
      <c r="AB650" s="36"/>
      <c r="AC650" s="36"/>
    </row>
    <row r="651" spans="17:29" x14ac:dyDescent="0.2">
      <c r="Q651" s="36"/>
      <c r="R651" s="40"/>
      <c r="S651" s="40"/>
      <c r="T651" s="40"/>
      <c r="U651" s="41"/>
      <c r="V651" s="41"/>
      <c r="W651" s="41"/>
      <c r="X651" s="36"/>
      <c r="Y651" s="36"/>
      <c r="Z651" s="36"/>
      <c r="AA651" s="36"/>
      <c r="AB651" s="36"/>
      <c r="AC651" s="36"/>
    </row>
    <row r="652" spans="17:29" x14ac:dyDescent="0.2">
      <c r="Q652" s="36"/>
      <c r="R652" s="40"/>
      <c r="S652" s="40"/>
      <c r="T652" s="40"/>
      <c r="U652" s="41"/>
      <c r="V652" s="41"/>
      <c r="W652" s="41"/>
      <c r="X652" s="36"/>
      <c r="Y652" s="36"/>
      <c r="Z652" s="36"/>
      <c r="AA652" s="36"/>
      <c r="AB652" s="36"/>
      <c r="AC652" s="36"/>
    </row>
    <row r="653" spans="17:29" x14ac:dyDescent="0.2">
      <c r="Q653" s="36"/>
      <c r="R653" s="40"/>
      <c r="S653" s="40"/>
      <c r="T653" s="40"/>
      <c r="U653" s="41"/>
      <c r="V653" s="41"/>
      <c r="W653" s="41"/>
      <c r="X653" s="36"/>
      <c r="Y653" s="36"/>
      <c r="Z653" s="36"/>
      <c r="AA653" s="36"/>
      <c r="AB653" s="36"/>
      <c r="AC653" s="36"/>
    </row>
    <row r="654" spans="17:29" x14ac:dyDescent="0.2">
      <c r="Q654" s="36"/>
      <c r="R654" s="40"/>
      <c r="S654" s="40"/>
      <c r="T654" s="40"/>
      <c r="U654" s="41"/>
      <c r="V654" s="41"/>
      <c r="W654" s="41"/>
      <c r="X654" s="36"/>
      <c r="Y654" s="36"/>
      <c r="Z654" s="36"/>
      <c r="AA654" s="36"/>
      <c r="AB654" s="36"/>
      <c r="AC654" s="36"/>
    </row>
    <row r="655" spans="17:29" x14ac:dyDescent="0.2">
      <c r="Q655" s="36"/>
      <c r="R655" s="40"/>
      <c r="S655" s="40"/>
      <c r="T655" s="40"/>
      <c r="U655" s="41"/>
      <c r="V655" s="41"/>
      <c r="W655" s="41"/>
      <c r="X655" s="36"/>
      <c r="Y655" s="36"/>
      <c r="Z655" s="36"/>
      <c r="AA655" s="36"/>
      <c r="AB655" s="36"/>
      <c r="AC655" s="36"/>
    </row>
    <row r="656" spans="17:29" x14ac:dyDescent="0.2">
      <c r="Q656" s="36"/>
      <c r="R656" s="40"/>
      <c r="S656" s="40"/>
      <c r="T656" s="40"/>
      <c r="U656" s="41"/>
      <c r="V656" s="41"/>
      <c r="W656" s="41"/>
      <c r="X656" s="36"/>
      <c r="Y656" s="36"/>
      <c r="Z656" s="36"/>
      <c r="AA656" s="36"/>
      <c r="AB656" s="36"/>
      <c r="AC656" s="36"/>
    </row>
    <row r="657" spans="17:29" x14ac:dyDescent="0.2">
      <c r="Q657" s="36"/>
      <c r="R657" s="40"/>
      <c r="S657" s="40"/>
      <c r="T657" s="40"/>
      <c r="U657" s="41"/>
      <c r="V657" s="41"/>
      <c r="W657" s="41"/>
      <c r="X657" s="36"/>
      <c r="Y657" s="36"/>
      <c r="Z657" s="36"/>
      <c r="AA657" s="36"/>
      <c r="AB657" s="36"/>
      <c r="AC657" s="36"/>
    </row>
    <row r="658" spans="17:29" x14ac:dyDescent="0.2">
      <c r="Q658" s="36"/>
      <c r="R658" s="40"/>
      <c r="S658" s="40"/>
      <c r="T658" s="40"/>
      <c r="U658" s="41"/>
      <c r="V658" s="41"/>
      <c r="W658" s="41"/>
      <c r="X658" s="36"/>
      <c r="Y658" s="36"/>
      <c r="Z658" s="36"/>
      <c r="AA658" s="36"/>
      <c r="AB658" s="36"/>
      <c r="AC658" s="36"/>
    </row>
    <row r="659" spans="17:29" x14ac:dyDescent="0.2">
      <c r="Q659" s="36"/>
      <c r="R659" s="40"/>
      <c r="S659" s="40"/>
      <c r="T659" s="40"/>
      <c r="U659" s="41"/>
      <c r="V659" s="41"/>
      <c r="W659" s="41"/>
      <c r="X659" s="36"/>
      <c r="Y659" s="36"/>
      <c r="Z659" s="36"/>
      <c r="AA659" s="36"/>
      <c r="AB659" s="36"/>
      <c r="AC659" s="36"/>
    </row>
    <row r="660" spans="17:29" x14ac:dyDescent="0.2">
      <c r="Q660" s="36"/>
      <c r="R660" s="40"/>
      <c r="S660" s="40"/>
      <c r="T660" s="40"/>
      <c r="U660" s="41"/>
      <c r="V660" s="41"/>
      <c r="W660" s="41"/>
      <c r="X660" s="36"/>
      <c r="Y660" s="36"/>
      <c r="Z660" s="36"/>
      <c r="AA660" s="36"/>
      <c r="AB660" s="36"/>
      <c r="AC660" s="36"/>
    </row>
    <row r="661" spans="17:29" x14ac:dyDescent="0.2">
      <c r="Q661" s="36"/>
      <c r="R661" s="40"/>
      <c r="S661" s="40"/>
      <c r="T661" s="40"/>
      <c r="U661" s="41"/>
      <c r="V661" s="41"/>
      <c r="W661" s="41"/>
      <c r="X661" s="36"/>
      <c r="Y661" s="36"/>
      <c r="Z661" s="36"/>
      <c r="AA661" s="36"/>
      <c r="AB661" s="36"/>
      <c r="AC661" s="36"/>
    </row>
    <row r="662" spans="17:29" x14ac:dyDescent="0.2">
      <c r="Q662" s="36"/>
      <c r="R662" s="40"/>
      <c r="S662" s="40"/>
      <c r="T662" s="40"/>
      <c r="U662" s="41"/>
      <c r="V662" s="41"/>
      <c r="W662" s="41"/>
      <c r="X662" s="36"/>
      <c r="Y662" s="36"/>
      <c r="Z662" s="36"/>
      <c r="AA662" s="36"/>
      <c r="AB662" s="36"/>
      <c r="AC662" s="36"/>
    </row>
    <row r="663" spans="17:29" x14ac:dyDescent="0.2">
      <c r="Q663" s="36"/>
      <c r="R663" s="40"/>
      <c r="S663" s="40"/>
      <c r="T663" s="40"/>
      <c r="U663" s="41"/>
      <c r="V663" s="41"/>
      <c r="W663" s="41"/>
      <c r="X663" s="36"/>
      <c r="Y663" s="36"/>
      <c r="Z663" s="36"/>
      <c r="AA663" s="36"/>
      <c r="AB663" s="36"/>
      <c r="AC663" s="36"/>
    </row>
    <row r="664" spans="17:29" x14ac:dyDescent="0.2">
      <c r="Q664" s="36"/>
      <c r="R664" s="40"/>
      <c r="S664" s="40"/>
      <c r="T664" s="40"/>
      <c r="U664" s="41"/>
      <c r="V664" s="41"/>
      <c r="W664" s="41"/>
      <c r="X664" s="36"/>
      <c r="Y664" s="36"/>
      <c r="Z664" s="36"/>
      <c r="AA664" s="36"/>
      <c r="AB664" s="36"/>
      <c r="AC664" s="36"/>
    </row>
    <row r="665" spans="17:29" x14ac:dyDescent="0.2">
      <c r="Q665" s="36"/>
      <c r="R665" s="40"/>
      <c r="S665" s="40"/>
      <c r="T665" s="40"/>
      <c r="U665" s="41"/>
      <c r="V665" s="41"/>
      <c r="W665" s="41"/>
      <c r="X665" s="36"/>
      <c r="Y665" s="36"/>
      <c r="Z665" s="36"/>
      <c r="AA665" s="36"/>
      <c r="AB665" s="36"/>
      <c r="AC665" s="36"/>
    </row>
    <row r="666" spans="17:29" x14ac:dyDescent="0.2">
      <c r="Q666" s="36"/>
      <c r="R666" s="40"/>
      <c r="S666" s="40"/>
      <c r="T666" s="40"/>
      <c r="U666" s="41"/>
      <c r="V666" s="41"/>
      <c r="W666" s="41"/>
      <c r="X666" s="36"/>
      <c r="Y666" s="36"/>
      <c r="Z666" s="36"/>
      <c r="AA666" s="36"/>
      <c r="AB666" s="36"/>
      <c r="AC666" s="36"/>
    </row>
    <row r="667" spans="17:29" x14ac:dyDescent="0.2">
      <c r="Q667" s="36"/>
      <c r="R667" s="40"/>
      <c r="S667" s="40"/>
      <c r="T667" s="40"/>
      <c r="U667" s="41"/>
      <c r="V667" s="41"/>
      <c r="W667" s="41"/>
      <c r="X667" s="36"/>
      <c r="Y667" s="36"/>
      <c r="Z667" s="36"/>
      <c r="AA667" s="36"/>
      <c r="AB667" s="36"/>
      <c r="AC667" s="36"/>
    </row>
    <row r="668" spans="17:29" x14ac:dyDescent="0.2">
      <c r="Q668" s="36"/>
      <c r="R668" s="40"/>
      <c r="S668" s="40"/>
      <c r="T668" s="40"/>
      <c r="U668" s="41"/>
      <c r="V668" s="41"/>
      <c r="W668" s="41"/>
      <c r="X668" s="36"/>
      <c r="Y668" s="36"/>
      <c r="Z668" s="36"/>
      <c r="AA668" s="36"/>
      <c r="AB668" s="36"/>
      <c r="AC668" s="36"/>
    </row>
    <row r="669" spans="17:29" x14ac:dyDescent="0.2">
      <c r="Q669" s="36"/>
      <c r="R669" s="40"/>
      <c r="S669" s="40"/>
      <c r="T669" s="40"/>
      <c r="U669" s="41"/>
      <c r="V669" s="41"/>
      <c r="W669" s="41"/>
      <c r="X669" s="36"/>
      <c r="Y669" s="36"/>
      <c r="Z669" s="36"/>
      <c r="AA669" s="36"/>
      <c r="AB669" s="36"/>
      <c r="AC669" s="36"/>
    </row>
    <row r="670" spans="17:29" x14ac:dyDescent="0.2">
      <c r="Q670" s="36"/>
      <c r="R670" s="40"/>
      <c r="S670" s="40"/>
      <c r="T670" s="40"/>
      <c r="U670" s="41"/>
      <c r="V670" s="41"/>
      <c r="W670" s="41"/>
      <c r="X670" s="36"/>
      <c r="Y670" s="36"/>
      <c r="Z670" s="36"/>
      <c r="AA670" s="36"/>
      <c r="AB670" s="36"/>
      <c r="AC670" s="36"/>
    </row>
    <row r="671" spans="17:29" x14ac:dyDescent="0.2">
      <c r="Q671" s="36"/>
      <c r="R671" s="40"/>
      <c r="S671" s="40"/>
      <c r="T671" s="40"/>
      <c r="U671" s="41"/>
      <c r="V671" s="41"/>
      <c r="W671" s="41"/>
      <c r="X671" s="36"/>
      <c r="Y671" s="36"/>
      <c r="Z671" s="36"/>
      <c r="AA671" s="36"/>
      <c r="AB671" s="36"/>
      <c r="AC671" s="36"/>
    </row>
    <row r="672" spans="17:29" x14ac:dyDescent="0.2">
      <c r="Q672" s="36"/>
      <c r="R672" s="40"/>
      <c r="S672" s="40"/>
      <c r="T672" s="40"/>
      <c r="U672" s="41"/>
      <c r="V672" s="41"/>
      <c r="W672" s="41"/>
      <c r="X672" s="36"/>
      <c r="Y672" s="36"/>
      <c r="Z672" s="36"/>
      <c r="AA672" s="36"/>
      <c r="AB672" s="36"/>
      <c r="AC672" s="36"/>
    </row>
    <row r="673" spans="17:29" x14ac:dyDescent="0.2">
      <c r="Q673" s="36"/>
      <c r="R673" s="40"/>
      <c r="S673" s="40"/>
      <c r="T673" s="40"/>
      <c r="U673" s="41"/>
      <c r="V673" s="41"/>
      <c r="W673" s="41"/>
      <c r="X673" s="36"/>
      <c r="Y673" s="36"/>
      <c r="Z673" s="36"/>
      <c r="AA673" s="36"/>
      <c r="AB673" s="36"/>
      <c r="AC673" s="36"/>
    </row>
    <row r="674" spans="17:29" x14ac:dyDescent="0.2">
      <c r="Q674" s="36"/>
      <c r="R674" s="40"/>
      <c r="S674" s="40"/>
      <c r="T674" s="40"/>
      <c r="U674" s="41"/>
      <c r="V674" s="41"/>
      <c r="W674" s="41"/>
      <c r="X674" s="36"/>
      <c r="Y674" s="36"/>
      <c r="Z674" s="36"/>
      <c r="AA674" s="36"/>
      <c r="AB674" s="36"/>
      <c r="AC674" s="36"/>
    </row>
    <row r="675" spans="17:29" x14ac:dyDescent="0.2">
      <c r="Q675" s="36"/>
      <c r="R675" s="40"/>
      <c r="S675" s="40"/>
      <c r="T675" s="40"/>
      <c r="U675" s="41"/>
      <c r="V675" s="41"/>
      <c r="W675" s="41"/>
      <c r="X675" s="36"/>
      <c r="Y675" s="36"/>
      <c r="Z675" s="36"/>
      <c r="AA675" s="36"/>
      <c r="AB675" s="36"/>
      <c r="AC675" s="36"/>
    </row>
    <row r="676" spans="17:29" x14ac:dyDescent="0.2">
      <c r="Q676" s="36"/>
      <c r="R676" s="40"/>
      <c r="S676" s="40"/>
      <c r="T676" s="40"/>
      <c r="U676" s="41"/>
      <c r="V676" s="41"/>
      <c r="W676" s="41"/>
      <c r="X676" s="36"/>
      <c r="Y676" s="36"/>
      <c r="Z676" s="36"/>
      <c r="AA676" s="36"/>
      <c r="AB676" s="36"/>
      <c r="AC676" s="36"/>
    </row>
    <row r="677" spans="17:29" x14ac:dyDescent="0.2">
      <c r="Q677" s="36"/>
      <c r="R677" s="40"/>
      <c r="S677" s="40"/>
      <c r="T677" s="40"/>
      <c r="U677" s="41"/>
      <c r="V677" s="41"/>
      <c r="W677" s="41"/>
      <c r="X677" s="36"/>
      <c r="Y677" s="36"/>
      <c r="Z677" s="36"/>
      <c r="AA677" s="36"/>
      <c r="AB677" s="36"/>
      <c r="AC677" s="36"/>
    </row>
    <row r="678" spans="17:29" x14ac:dyDescent="0.2">
      <c r="Q678" s="36"/>
      <c r="R678" s="40"/>
      <c r="S678" s="40"/>
      <c r="T678" s="40"/>
      <c r="U678" s="41"/>
      <c r="V678" s="41"/>
      <c r="W678" s="41"/>
      <c r="X678" s="36"/>
      <c r="Y678" s="36"/>
      <c r="Z678" s="36"/>
      <c r="AA678" s="36"/>
      <c r="AB678" s="36"/>
      <c r="AC678" s="36"/>
    </row>
    <row r="679" spans="17:29" x14ac:dyDescent="0.2">
      <c r="Q679" s="36"/>
      <c r="R679" s="40"/>
      <c r="S679" s="40"/>
      <c r="T679" s="40"/>
      <c r="U679" s="41"/>
      <c r="V679" s="41"/>
      <c r="W679" s="41"/>
      <c r="X679" s="36"/>
      <c r="Y679" s="36"/>
      <c r="Z679" s="36"/>
      <c r="AA679" s="36"/>
      <c r="AB679" s="36"/>
      <c r="AC679" s="36"/>
    </row>
    <row r="680" spans="17:29" x14ac:dyDescent="0.2">
      <c r="Q680" s="36"/>
      <c r="R680" s="40"/>
      <c r="S680" s="40"/>
      <c r="T680" s="40"/>
      <c r="U680" s="41"/>
      <c r="V680" s="41"/>
      <c r="W680" s="41"/>
      <c r="X680" s="36"/>
      <c r="Y680" s="36"/>
      <c r="Z680" s="36"/>
      <c r="AA680" s="36"/>
      <c r="AB680" s="36"/>
      <c r="AC680" s="36"/>
    </row>
    <row r="681" spans="17:29" x14ac:dyDescent="0.2">
      <c r="Q681" s="36"/>
      <c r="R681" s="40"/>
      <c r="S681" s="40"/>
      <c r="T681" s="40"/>
      <c r="U681" s="41"/>
      <c r="V681" s="41"/>
      <c r="W681" s="41"/>
      <c r="X681" s="36"/>
      <c r="Y681" s="36"/>
      <c r="Z681" s="36"/>
      <c r="AA681" s="36"/>
      <c r="AB681" s="36"/>
      <c r="AC681" s="36"/>
    </row>
    <row r="682" spans="17:29" x14ac:dyDescent="0.2">
      <c r="Q682" s="36"/>
      <c r="R682" s="40"/>
      <c r="S682" s="40"/>
      <c r="T682" s="40"/>
      <c r="U682" s="41"/>
      <c r="V682" s="41"/>
      <c r="W682" s="41"/>
      <c r="X682" s="36"/>
      <c r="Y682" s="36"/>
      <c r="Z682" s="36"/>
      <c r="AA682" s="36"/>
      <c r="AB682" s="36"/>
      <c r="AC682" s="36"/>
    </row>
    <row r="683" spans="17:29" x14ac:dyDescent="0.2">
      <c r="Q683" s="36"/>
      <c r="R683" s="40"/>
      <c r="S683" s="40"/>
      <c r="T683" s="40"/>
      <c r="U683" s="41"/>
      <c r="V683" s="41"/>
      <c r="W683" s="41"/>
      <c r="X683" s="36"/>
      <c r="Y683" s="36"/>
      <c r="Z683" s="36"/>
      <c r="AA683" s="36"/>
      <c r="AB683" s="36"/>
      <c r="AC683" s="36"/>
    </row>
    <row r="684" spans="17:29" x14ac:dyDescent="0.2">
      <c r="Q684" s="36"/>
      <c r="R684" s="40"/>
      <c r="S684" s="40"/>
      <c r="T684" s="40"/>
      <c r="U684" s="41"/>
      <c r="V684" s="41"/>
      <c r="W684" s="41"/>
      <c r="X684" s="36"/>
      <c r="Y684" s="36"/>
      <c r="Z684" s="36"/>
      <c r="AA684" s="36"/>
      <c r="AB684" s="36"/>
      <c r="AC684" s="36"/>
    </row>
    <row r="685" spans="17:29" x14ac:dyDescent="0.2">
      <c r="Q685" s="36"/>
      <c r="R685" s="40"/>
      <c r="S685" s="40"/>
      <c r="T685" s="40"/>
      <c r="U685" s="41"/>
      <c r="V685" s="41"/>
      <c r="W685" s="41"/>
      <c r="X685" s="36"/>
      <c r="Y685" s="36"/>
      <c r="Z685" s="36"/>
      <c r="AA685" s="36"/>
      <c r="AB685" s="36"/>
      <c r="AC685" s="36"/>
    </row>
    <row r="686" spans="17:29" x14ac:dyDescent="0.2">
      <c r="Q686" s="36"/>
      <c r="R686" s="40"/>
      <c r="S686" s="40"/>
      <c r="T686" s="40"/>
      <c r="U686" s="41"/>
      <c r="V686" s="41"/>
      <c r="W686" s="41"/>
      <c r="X686" s="36"/>
      <c r="Y686" s="36"/>
      <c r="Z686" s="36"/>
      <c r="AA686" s="36"/>
      <c r="AB686" s="36"/>
      <c r="AC686" s="36"/>
    </row>
    <row r="687" spans="17:29" x14ac:dyDescent="0.2">
      <c r="Q687" s="36"/>
      <c r="R687" s="40"/>
      <c r="S687" s="40"/>
      <c r="T687" s="40"/>
      <c r="U687" s="41"/>
      <c r="V687" s="41"/>
      <c r="W687" s="41"/>
      <c r="X687" s="36"/>
      <c r="Y687" s="36"/>
      <c r="Z687" s="36"/>
      <c r="AA687" s="36"/>
      <c r="AB687" s="36"/>
      <c r="AC687" s="36"/>
    </row>
    <row r="688" spans="17:29" x14ac:dyDescent="0.2">
      <c r="Q688" s="36"/>
      <c r="R688" s="40"/>
      <c r="S688" s="40"/>
      <c r="T688" s="40"/>
      <c r="U688" s="41"/>
      <c r="V688" s="41"/>
      <c r="W688" s="41"/>
      <c r="X688" s="36"/>
      <c r="Y688" s="36"/>
      <c r="Z688" s="36"/>
      <c r="AA688" s="36"/>
      <c r="AB688" s="36"/>
      <c r="AC688" s="36"/>
    </row>
    <row r="689" spans="17:29" x14ac:dyDescent="0.2">
      <c r="Q689" s="36"/>
      <c r="R689" s="40"/>
      <c r="S689" s="40"/>
      <c r="T689" s="40"/>
      <c r="U689" s="41"/>
      <c r="V689" s="41"/>
      <c r="W689" s="41"/>
      <c r="X689" s="36"/>
      <c r="Y689" s="36"/>
      <c r="Z689" s="36"/>
      <c r="AA689" s="36"/>
      <c r="AB689" s="36"/>
      <c r="AC689" s="36"/>
    </row>
    <row r="690" spans="17:29" x14ac:dyDescent="0.2">
      <c r="Q690" s="36"/>
      <c r="R690" s="40"/>
      <c r="S690" s="40"/>
      <c r="T690" s="40"/>
      <c r="U690" s="41"/>
      <c r="V690" s="41"/>
      <c r="W690" s="41"/>
      <c r="X690" s="36"/>
      <c r="Y690" s="36"/>
      <c r="Z690" s="36"/>
      <c r="AA690" s="36"/>
      <c r="AB690" s="36"/>
      <c r="AC690" s="36"/>
    </row>
    <row r="691" spans="17:29" x14ac:dyDescent="0.2">
      <c r="Q691" s="36"/>
      <c r="R691" s="40"/>
      <c r="S691" s="40"/>
      <c r="T691" s="40"/>
      <c r="U691" s="41"/>
      <c r="V691" s="41"/>
      <c r="W691" s="41"/>
      <c r="X691" s="36"/>
      <c r="Y691" s="36"/>
      <c r="Z691" s="36"/>
      <c r="AA691" s="36"/>
      <c r="AB691" s="36"/>
      <c r="AC691" s="36"/>
    </row>
    <row r="692" spans="17:29" x14ac:dyDescent="0.2">
      <c r="Q692" s="36"/>
      <c r="R692" s="40"/>
      <c r="S692" s="40"/>
      <c r="T692" s="40"/>
      <c r="U692" s="41"/>
      <c r="V692" s="41"/>
      <c r="W692" s="41"/>
      <c r="X692" s="36"/>
      <c r="Y692" s="36"/>
      <c r="Z692" s="36"/>
      <c r="AA692" s="36"/>
      <c r="AB692" s="36"/>
      <c r="AC692" s="36"/>
    </row>
    <row r="693" spans="17:29" x14ac:dyDescent="0.2">
      <c r="Q693" s="36"/>
      <c r="R693" s="40"/>
      <c r="S693" s="40"/>
      <c r="T693" s="40"/>
      <c r="U693" s="41"/>
      <c r="V693" s="41"/>
      <c r="W693" s="41"/>
      <c r="X693" s="36"/>
      <c r="Y693" s="36"/>
      <c r="Z693" s="36"/>
      <c r="AA693" s="36"/>
      <c r="AB693" s="36"/>
      <c r="AC693" s="36"/>
    </row>
    <row r="694" spans="17:29" x14ac:dyDescent="0.2">
      <c r="Q694" s="36"/>
      <c r="R694" s="40"/>
      <c r="S694" s="40"/>
      <c r="T694" s="40"/>
      <c r="U694" s="41"/>
      <c r="V694" s="41"/>
      <c r="W694" s="41"/>
      <c r="X694" s="36"/>
      <c r="Y694" s="36"/>
      <c r="Z694" s="36"/>
      <c r="AA694" s="36"/>
      <c r="AB694" s="36"/>
      <c r="AC694" s="36"/>
    </row>
    <row r="695" spans="17:29" x14ac:dyDescent="0.2">
      <c r="Q695" s="36"/>
      <c r="R695" s="40"/>
      <c r="S695" s="40"/>
      <c r="T695" s="40"/>
      <c r="U695" s="41"/>
      <c r="V695" s="41"/>
      <c r="W695" s="41"/>
      <c r="X695" s="36"/>
      <c r="Y695" s="36"/>
      <c r="Z695" s="36"/>
      <c r="AA695" s="36"/>
      <c r="AB695" s="36"/>
      <c r="AC695" s="36"/>
    </row>
    <row r="696" spans="17:29" x14ac:dyDescent="0.2">
      <c r="Q696" s="36"/>
      <c r="R696" s="40"/>
      <c r="S696" s="40"/>
      <c r="T696" s="40"/>
      <c r="U696" s="41"/>
      <c r="V696" s="41"/>
      <c r="W696" s="41"/>
      <c r="X696" s="36"/>
      <c r="Y696" s="36"/>
      <c r="Z696" s="36"/>
      <c r="AA696" s="36"/>
      <c r="AB696" s="36"/>
      <c r="AC696" s="36"/>
    </row>
    <row r="697" spans="17:29" x14ac:dyDescent="0.2">
      <c r="Q697" s="36"/>
      <c r="R697" s="40"/>
      <c r="S697" s="40"/>
      <c r="T697" s="40"/>
      <c r="U697" s="41"/>
      <c r="V697" s="41"/>
      <c r="W697" s="41"/>
      <c r="X697" s="36"/>
      <c r="Y697" s="36"/>
      <c r="Z697" s="36"/>
      <c r="AA697" s="36"/>
      <c r="AB697" s="36"/>
      <c r="AC697" s="36"/>
    </row>
    <row r="698" spans="17:29" x14ac:dyDescent="0.2">
      <c r="Q698" s="36"/>
      <c r="R698" s="40"/>
      <c r="S698" s="40"/>
      <c r="T698" s="40"/>
      <c r="U698" s="41"/>
      <c r="V698" s="41"/>
      <c r="W698" s="41"/>
      <c r="X698" s="36"/>
      <c r="Y698" s="36"/>
      <c r="Z698" s="36"/>
      <c r="AA698" s="36"/>
      <c r="AB698" s="36"/>
      <c r="AC698" s="36"/>
    </row>
    <row r="699" spans="17:29" x14ac:dyDescent="0.2">
      <c r="Q699" s="36"/>
      <c r="R699" s="40"/>
      <c r="S699" s="40"/>
      <c r="T699" s="40"/>
      <c r="U699" s="41"/>
      <c r="V699" s="41"/>
      <c r="W699" s="41"/>
      <c r="X699" s="36"/>
      <c r="Y699" s="36"/>
      <c r="Z699" s="36"/>
      <c r="AA699" s="36"/>
      <c r="AB699" s="36"/>
      <c r="AC699" s="36"/>
    </row>
    <row r="700" spans="17:29" x14ac:dyDescent="0.2">
      <c r="Q700" s="36"/>
      <c r="R700" s="40"/>
      <c r="S700" s="40"/>
      <c r="T700" s="40"/>
      <c r="U700" s="41"/>
      <c r="V700" s="41"/>
      <c r="W700" s="41"/>
      <c r="X700" s="36"/>
      <c r="Y700" s="36"/>
      <c r="Z700" s="36"/>
      <c r="AA700" s="36"/>
      <c r="AB700" s="36"/>
      <c r="AC700" s="36"/>
    </row>
    <row r="701" spans="17:29" x14ac:dyDescent="0.2">
      <c r="Q701" s="36"/>
      <c r="R701" s="40"/>
      <c r="S701" s="40"/>
      <c r="T701" s="40"/>
      <c r="U701" s="41"/>
      <c r="V701" s="41"/>
      <c r="W701" s="41"/>
      <c r="X701" s="36"/>
      <c r="Y701" s="36"/>
      <c r="Z701" s="36"/>
      <c r="AA701" s="36"/>
      <c r="AB701" s="36"/>
      <c r="AC701" s="36"/>
    </row>
    <row r="702" spans="17:29" x14ac:dyDescent="0.2">
      <c r="Q702" s="36"/>
      <c r="R702" s="40"/>
      <c r="S702" s="40"/>
      <c r="T702" s="40"/>
      <c r="U702" s="41"/>
      <c r="V702" s="41"/>
      <c r="W702" s="41"/>
      <c r="X702" s="36"/>
      <c r="Y702" s="36"/>
      <c r="Z702" s="36"/>
      <c r="AA702" s="36"/>
      <c r="AB702" s="36"/>
      <c r="AC702" s="36"/>
    </row>
    <row r="703" spans="17:29" x14ac:dyDescent="0.2">
      <c r="Q703" s="36"/>
      <c r="R703" s="40"/>
      <c r="S703" s="40"/>
      <c r="T703" s="40"/>
      <c r="U703" s="41"/>
      <c r="V703" s="41"/>
      <c r="W703" s="41"/>
      <c r="X703" s="36"/>
      <c r="Y703" s="36"/>
      <c r="Z703" s="36"/>
      <c r="AA703" s="36"/>
      <c r="AB703" s="36"/>
      <c r="AC703" s="36"/>
    </row>
    <row r="704" spans="17:29" x14ac:dyDescent="0.2">
      <c r="Q704" s="36"/>
      <c r="R704" s="40"/>
      <c r="S704" s="40"/>
      <c r="T704" s="40"/>
      <c r="U704" s="41"/>
      <c r="V704" s="41"/>
      <c r="W704" s="41"/>
      <c r="X704" s="36"/>
      <c r="Y704" s="36"/>
      <c r="Z704" s="36"/>
      <c r="AA704" s="36"/>
      <c r="AB704" s="36"/>
      <c r="AC704" s="36"/>
    </row>
    <row r="705" spans="17:29" x14ac:dyDescent="0.2">
      <c r="Q705" s="36"/>
      <c r="R705" s="40"/>
      <c r="S705" s="40"/>
      <c r="T705" s="40"/>
      <c r="U705" s="41"/>
      <c r="V705" s="41"/>
      <c r="W705" s="41"/>
      <c r="X705" s="36"/>
      <c r="Y705" s="36"/>
      <c r="Z705" s="36"/>
      <c r="AA705" s="36"/>
      <c r="AB705" s="36"/>
      <c r="AC705" s="36"/>
    </row>
    <row r="706" spans="17:29" x14ac:dyDescent="0.2">
      <c r="Q706" s="36"/>
      <c r="R706" s="40"/>
      <c r="S706" s="40"/>
      <c r="T706" s="40"/>
      <c r="U706" s="41"/>
      <c r="V706" s="41"/>
      <c r="W706" s="41"/>
      <c r="X706" s="36"/>
      <c r="Y706" s="36"/>
      <c r="Z706" s="36"/>
      <c r="AA706" s="36"/>
      <c r="AB706" s="36"/>
      <c r="AC706" s="36"/>
    </row>
    <row r="707" spans="17:29" x14ac:dyDescent="0.2">
      <c r="Q707" s="36"/>
      <c r="R707" s="40"/>
      <c r="S707" s="40"/>
      <c r="T707" s="40"/>
      <c r="U707" s="41"/>
      <c r="V707" s="41"/>
      <c r="W707" s="41"/>
      <c r="X707" s="36"/>
      <c r="Y707" s="36"/>
      <c r="Z707" s="36"/>
      <c r="AA707" s="36"/>
      <c r="AB707" s="36"/>
      <c r="AC707" s="36"/>
    </row>
    <row r="708" spans="17:29" x14ac:dyDescent="0.2">
      <c r="Q708" s="36"/>
      <c r="R708" s="40"/>
      <c r="S708" s="40"/>
      <c r="T708" s="40"/>
      <c r="U708" s="41"/>
      <c r="V708" s="41"/>
      <c r="W708" s="41"/>
      <c r="X708" s="36"/>
      <c r="Y708" s="36"/>
      <c r="Z708" s="36"/>
      <c r="AA708" s="36"/>
      <c r="AB708" s="36"/>
      <c r="AC708" s="36"/>
    </row>
    <row r="709" spans="17:29" x14ac:dyDescent="0.2">
      <c r="Q709" s="36"/>
      <c r="R709" s="40"/>
      <c r="S709" s="40"/>
      <c r="T709" s="40"/>
      <c r="U709" s="41"/>
      <c r="V709" s="41"/>
      <c r="W709" s="41"/>
      <c r="X709" s="36"/>
      <c r="Y709" s="36"/>
      <c r="Z709" s="36"/>
      <c r="AA709" s="36"/>
      <c r="AB709" s="36"/>
      <c r="AC709" s="36"/>
    </row>
    <row r="710" spans="17:29" x14ac:dyDescent="0.2">
      <c r="Q710" s="36"/>
      <c r="R710" s="40"/>
      <c r="S710" s="40"/>
      <c r="T710" s="40"/>
      <c r="U710" s="41"/>
      <c r="V710" s="41"/>
      <c r="W710" s="41"/>
      <c r="X710" s="36"/>
      <c r="Y710" s="36"/>
      <c r="Z710" s="36"/>
      <c r="AA710" s="36"/>
      <c r="AB710" s="36"/>
      <c r="AC710" s="36"/>
    </row>
    <row r="711" spans="17:29" x14ac:dyDescent="0.2">
      <c r="Q711" s="36"/>
      <c r="R711" s="40"/>
      <c r="S711" s="40"/>
      <c r="T711" s="40"/>
      <c r="U711" s="41"/>
      <c r="V711" s="41"/>
      <c r="W711" s="41"/>
      <c r="X711" s="36"/>
      <c r="Y711" s="36"/>
      <c r="Z711" s="36"/>
      <c r="AA711" s="36"/>
      <c r="AB711" s="36"/>
      <c r="AC711" s="36"/>
    </row>
    <row r="712" spans="17:29" x14ac:dyDescent="0.2">
      <c r="Q712" s="36"/>
      <c r="R712" s="40"/>
      <c r="S712" s="40"/>
      <c r="T712" s="40"/>
      <c r="U712" s="41"/>
      <c r="V712" s="41"/>
      <c r="W712" s="41"/>
      <c r="X712" s="36"/>
      <c r="Y712" s="36"/>
      <c r="Z712" s="36"/>
      <c r="AA712" s="36"/>
      <c r="AB712" s="36"/>
      <c r="AC712" s="36"/>
    </row>
    <row r="713" spans="17:29" x14ac:dyDescent="0.2">
      <c r="Q713" s="36"/>
      <c r="R713" s="40"/>
      <c r="S713" s="40"/>
      <c r="T713" s="40"/>
      <c r="U713" s="41"/>
      <c r="V713" s="41"/>
      <c r="W713" s="41"/>
      <c r="X713" s="36"/>
      <c r="Y713" s="36"/>
      <c r="Z713" s="36"/>
      <c r="AA713" s="36"/>
      <c r="AB713" s="36"/>
      <c r="AC713" s="36"/>
    </row>
    <row r="714" spans="17:29" x14ac:dyDescent="0.2">
      <c r="Q714" s="36"/>
      <c r="R714" s="40"/>
      <c r="S714" s="40"/>
      <c r="T714" s="40"/>
      <c r="U714" s="41"/>
      <c r="V714" s="41"/>
      <c r="W714" s="41"/>
      <c r="X714" s="36"/>
      <c r="Y714" s="36"/>
      <c r="Z714" s="36"/>
      <c r="AA714" s="36"/>
      <c r="AB714" s="36"/>
      <c r="AC714" s="36"/>
    </row>
    <row r="715" spans="17:29" x14ac:dyDescent="0.2">
      <c r="Q715" s="36"/>
      <c r="R715" s="40"/>
      <c r="S715" s="40"/>
      <c r="T715" s="40"/>
      <c r="U715" s="41"/>
      <c r="V715" s="41"/>
      <c r="W715" s="41"/>
      <c r="X715" s="36"/>
      <c r="Y715" s="36"/>
      <c r="Z715" s="36"/>
      <c r="AA715" s="36"/>
      <c r="AB715" s="36"/>
      <c r="AC715" s="36"/>
    </row>
    <row r="716" spans="17:29" x14ac:dyDescent="0.2">
      <c r="Q716" s="36"/>
      <c r="R716" s="40"/>
      <c r="S716" s="40"/>
      <c r="T716" s="40"/>
      <c r="U716" s="41"/>
      <c r="V716" s="41"/>
      <c r="W716" s="41"/>
      <c r="X716" s="36"/>
      <c r="Y716" s="36"/>
      <c r="Z716" s="36"/>
      <c r="AA716" s="36"/>
      <c r="AB716" s="36"/>
      <c r="AC716" s="36"/>
    </row>
    <row r="717" spans="17:29" x14ac:dyDescent="0.2">
      <c r="Q717" s="36"/>
      <c r="R717" s="40"/>
      <c r="S717" s="40"/>
      <c r="T717" s="40"/>
      <c r="U717" s="41"/>
      <c r="V717" s="41"/>
      <c r="W717" s="41"/>
      <c r="X717" s="36"/>
      <c r="Y717" s="36"/>
      <c r="Z717" s="36"/>
      <c r="AA717" s="36"/>
      <c r="AB717" s="36"/>
      <c r="AC717" s="36"/>
    </row>
    <row r="718" spans="17:29" x14ac:dyDescent="0.2">
      <c r="Q718" s="36"/>
      <c r="R718" s="40"/>
      <c r="S718" s="40"/>
      <c r="T718" s="40"/>
      <c r="U718" s="41"/>
      <c r="V718" s="41"/>
      <c r="W718" s="41"/>
      <c r="X718" s="36"/>
      <c r="Y718" s="36"/>
      <c r="Z718" s="36"/>
      <c r="AA718" s="36"/>
      <c r="AB718" s="36"/>
      <c r="AC718" s="36"/>
    </row>
    <row r="719" spans="17:29" x14ac:dyDescent="0.2">
      <c r="Q719" s="36"/>
      <c r="R719" s="40"/>
      <c r="S719" s="40"/>
      <c r="T719" s="40"/>
      <c r="U719" s="41"/>
      <c r="V719" s="41"/>
      <c r="W719" s="41"/>
      <c r="X719" s="36"/>
      <c r="Y719" s="36"/>
      <c r="Z719" s="36"/>
      <c r="AA719" s="36"/>
      <c r="AB719" s="36"/>
      <c r="AC719" s="36"/>
    </row>
    <row r="720" spans="17:29" x14ac:dyDescent="0.2">
      <c r="Q720" s="36"/>
      <c r="R720" s="40"/>
      <c r="S720" s="40"/>
      <c r="T720" s="40"/>
      <c r="U720" s="41"/>
      <c r="V720" s="41"/>
      <c r="W720" s="41"/>
      <c r="X720" s="36"/>
      <c r="Y720" s="36"/>
      <c r="Z720" s="36"/>
      <c r="AA720" s="36"/>
      <c r="AB720" s="36"/>
      <c r="AC720" s="36"/>
    </row>
    <row r="721" spans="17:29" x14ac:dyDescent="0.2">
      <c r="Q721" s="36"/>
      <c r="R721" s="40"/>
      <c r="S721" s="40"/>
      <c r="T721" s="40"/>
      <c r="U721" s="41"/>
      <c r="V721" s="41"/>
      <c r="W721" s="41"/>
      <c r="X721" s="36"/>
      <c r="Y721" s="36"/>
      <c r="Z721" s="36"/>
      <c r="AA721" s="36"/>
      <c r="AB721" s="36"/>
      <c r="AC721" s="36"/>
    </row>
    <row r="722" spans="17:29" x14ac:dyDescent="0.2">
      <c r="Q722" s="36"/>
      <c r="R722" s="40"/>
      <c r="S722" s="40"/>
      <c r="T722" s="40"/>
      <c r="U722" s="41"/>
      <c r="V722" s="41"/>
      <c r="W722" s="41"/>
      <c r="X722" s="36"/>
      <c r="Y722" s="36"/>
      <c r="Z722" s="36"/>
      <c r="AA722" s="36"/>
      <c r="AB722" s="36"/>
      <c r="AC722" s="36"/>
    </row>
    <row r="723" spans="17:29" x14ac:dyDescent="0.2">
      <c r="Q723" s="36"/>
      <c r="R723" s="40"/>
      <c r="S723" s="40"/>
      <c r="T723" s="40"/>
      <c r="U723" s="41"/>
      <c r="V723" s="41"/>
      <c r="W723" s="41"/>
      <c r="X723" s="36"/>
      <c r="Y723" s="36"/>
      <c r="Z723" s="36"/>
      <c r="AA723" s="36"/>
      <c r="AB723" s="36"/>
      <c r="AC723" s="36"/>
    </row>
    <row r="724" spans="17:29" x14ac:dyDescent="0.2">
      <c r="Q724" s="36"/>
      <c r="R724" s="40"/>
      <c r="S724" s="40"/>
      <c r="T724" s="40"/>
      <c r="U724" s="41"/>
      <c r="V724" s="41"/>
      <c r="W724" s="41"/>
      <c r="X724" s="36"/>
      <c r="Y724" s="36"/>
      <c r="Z724" s="36"/>
      <c r="AA724" s="36"/>
      <c r="AB724" s="36"/>
      <c r="AC724" s="36"/>
    </row>
    <row r="725" spans="17:29" x14ac:dyDescent="0.2">
      <c r="Q725" s="36"/>
      <c r="R725" s="40"/>
      <c r="S725" s="40"/>
      <c r="T725" s="40"/>
      <c r="U725" s="41"/>
      <c r="V725" s="41"/>
      <c r="W725" s="41"/>
      <c r="X725" s="36"/>
      <c r="Y725" s="36"/>
      <c r="Z725" s="36"/>
      <c r="AA725" s="36"/>
      <c r="AB725" s="36"/>
      <c r="AC725" s="36"/>
    </row>
    <row r="726" spans="17:29" x14ac:dyDescent="0.2">
      <c r="Q726" s="36"/>
      <c r="R726" s="40"/>
      <c r="S726" s="40"/>
      <c r="T726" s="40"/>
      <c r="U726" s="41"/>
      <c r="V726" s="41"/>
      <c r="W726" s="41"/>
      <c r="X726" s="36"/>
      <c r="Y726" s="36"/>
      <c r="Z726" s="36"/>
      <c r="AA726" s="36"/>
      <c r="AB726" s="36"/>
      <c r="AC726" s="36"/>
    </row>
    <row r="727" spans="17:29" x14ac:dyDescent="0.2">
      <c r="Q727" s="36"/>
      <c r="R727" s="40"/>
      <c r="S727" s="40"/>
      <c r="T727" s="40"/>
      <c r="U727" s="41"/>
      <c r="V727" s="41"/>
      <c r="W727" s="41"/>
      <c r="X727" s="36"/>
      <c r="Y727" s="36"/>
      <c r="Z727" s="36"/>
      <c r="AA727" s="36"/>
      <c r="AB727" s="36"/>
      <c r="AC727" s="36"/>
    </row>
    <row r="728" spans="17:29" x14ac:dyDescent="0.2">
      <c r="Q728" s="36"/>
      <c r="R728" s="40"/>
      <c r="S728" s="40"/>
      <c r="T728" s="40"/>
      <c r="U728" s="41"/>
      <c r="V728" s="41"/>
      <c r="W728" s="41"/>
      <c r="X728" s="36"/>
      <c r="Y728" s="36"/>
      <c r="Z728" s="36"/>
      <c r="AA728" s="36"/>
      <c r="AB728" s="36"/>
      <c r="AC728" s="36"/>
    </row>
    <row r="729" spans="17:29" x14ac:dyDescent="0.2">
      <c r="Q729" s="36"/>
      <c r="R729" s="40"/>
      <c r="S729" s="40"/>
      <c r="T729" s="40"/>
      <c r="U729" s="41"/>
      <c r="V729" s="41"/>
      <c r="W729" s="41"/>
      <c r="X729" s="36"/>
      <c r="Y729" s="36"/>
      <c r="Z729" s="36"/>
      <c r="AA729" s="36"/>
      <c r="AB729" s="36"/>
      <c r="AC729" s="36"/>
    </row>
    <row r="730" spans="17:29" x14ac:dyDescent="0.2">
      <c r="Q730" s="36"/>
      <c r="R730" s="40"/>
      <c r="S730" s="40"/>
      <c r="T730" s="40"/>
      <c r="U730" s="41"/>
      <c r="V730" s="41"/>
      <c r="W730" s="41"/>
      <c r="X730" s="36"/>
      <c r="Y730" s="36"/>
      <c r="Z730" s="36"/>
      <c r="AA730" s="36"/>
      <c r="AB730" s="36"/>
      <c r="AC730" s="36"/>
    </row>
    <row r="731" spans="17:29" x14ac:dyDescent="0.2">
      <c r="Q731" s="36"/>
      <c r="R731" s="40"/>
      <c r="S731" s="40"/>
      <c r="T731" s="40"/>
      <c r="U731" s="41"/>
      <c r="V731" s="41"/>
      <c r="W731" s="41"/>
      <c r="X731" s="36"/>
      <c r="Y731" s="36"/>
      <c r="Z731" s="36"/>
      <c r="AA731" s="36"/>
      <c r="AB731" s="36"/>
      <c r="AC731" s="36"/>
    </row>
    <row r="732" spans="17:29" x14ac:dyDescent="0.2">
      <c r="Q732" s="36"/>
      <c r="R732" s="40"/>
      <c r="S732" s="40"/>
      <c r="T732" s="40"/>
      <c r="U732" s="41"/>
      <c r="V732" s="41"/>
      <c r="W732" s="41"/>
      <c r="X732" s="36"/>
      <c r="Y732" s="36"/>
      <c r="Z732" s="36"/>
      <c r="AA732" s="36"/>
      <c r="AB732" s="36"/>
      <c r="AC732" s="36"/>
    </row>
    <row r="733" spans="17:29" x14ac:dyDescent="0.2">
      <c r="Q733" s="36"/>
      <c r="R733" s="40"/>
      <c r="S733" s="40"/>
      <c r="T733" s="40"/>
      <c r="U733" s="41"/>
      <c r="V733" s="41"/>
      <c r="W733" s="41"/>
      <c r="X733" s="36"/>
      <c r="Y733" s="36"/>
      <c r="Z733" s="36"/>
      <c r="AA733" s="36"/>
      <c r="AB733" s="36"/>
      <c r="AC733" s="36"/>
    </row>
    <row r="734" spans="17:29" x14ac:dyDescent="0.2">
      <c r="Q734" s="36"/>
      <c r="R734" s="40"/>
      <c r="S734" s="40"/>
      <c r="T734" s="40"/>
      <c r="U734" s="41"/>
      <c r="V734" s="41"/>
      <c r="W734" s="41"/>
      <c r="X734" s="36"/>
      <c r="Y734" s="36"/>
      <c r="Z734" s="36"/>
      <c r="AA734" s="36"/>
      <c r="AB734" s="36"/>
      <c r="AC734" s="36"/>
    </row>
    <row r="735" spans="17:29" x14ac:dyDescent="0.2">
      <c r="Q735" s="36"/>
      <c r="R735" s="40"/>
      <c r="S735" s="40"/>
      <c r="T735" s="40"/>
      <c r="U735" s="41"/>
      <c r="V735" s="41"/>
      <c r="W735" s="41"/>
      <c r="X735" s="36"/>
      <c r="Y735" s="36"/>
      <c r="Z735" s="36"/>
      <c r="AA735" s="36"/>
      <c r="AB735" s="36"/>
      <c r="AC735" s="36"/>
    </row>
    <row r="736" spans="17:29" x14ac:dyDescent="0.2">
      <c r="Q736" s="36"/>
      <c r="R736" s="40"/>
      <c r="S736" s="40"/>
      <c r="T736" s="40"/>
      <c r="U736" s="41"/>
      <c r="V736" s="41"/>
      <c r="W736" s="41"/>
      <c r="X736" s="36"/>
      <c r="Y736" s="36"/>
      <c r="Z736" s="36"/>
      <c r="AA736" s="36"/>
      <c r="AB736" s="36"/>
      <c r="AC736" s="36"/>
    </row>
    <row r="737" spans="17:29" x14ac:dyDescent="0.2">
      <c r="Q737" s="36"/>
      <c r="R737" s="40"/>
      <c r="S737" s="40"/>
      <c r="T737" s="40"/>
      <c r="U737" s="41"/>
      <c r="V737" s="41"/>
      <c r="W737" s="41"/>
      <c r="X737" s="36"/>
      <c r="Y737" s="36"/>
      <c r="Z737" s="36"/>
      <c r="AA737" s="36"/>
      <c r="AB737" s="36"/>
      <c r="AC737" s="36"/>
    </row>
    <row r="738" spans="17:29" x14ac:dyDescent="0.2">
      <c r="Q738" s="36"/>
      <c r="R738" s="40"/>
      <c r="S738" s="40"/>
      <c r="T738" s="40"/>
      <c r="U738" s="41"/>
      <c r="V738" s="41"/>
      <c r="W738" s="41"/>
      <c r="X738" s="36"/>
      <c r="Y738" s="36"/>
      <c r="Z738" s="36"/>
      <c r="AA738" s="36"/>
      <c r="AB738" s="36"/>
      <c r="AC738" s="36"/>
    </row>
    <row r="739" spans="17:29" x14ac:dyDescent="0.2">
      <c r="Q739" s="36"/>
      <c r="R739" s="40"/>
      <c r="S739" s="40"/>
      <c r="T739" s="40"/>
      <c r="U739" s="41"/>
      <c r="V739" s="41"/>
      <c r="W739" s="41"/>
      <c r="X739" s="36"/>
      <c r="Y739" s="36"/>
      <c r="Z739" s="36"/>
      <c r="AA739" s="36"/>
      <c r="AB739" s="36"/>
      <c r="AC739" s="36"/>
    </row>
    <row r="740" spans="17:29" x14ac:dyDescent="0.2">
      <c r="Q740" s="36"/>
      <c r="R740" s="40"/>
      <c r="S740" s="40"/>
      <c r="T740" s="40"/>
      <c r="U740" s="41"/>
      <c r="V740" s="41"/>
      <c r="W740" s="41"/>
      <c r="X740" s="36"/>
      <c r="Y740" s="36"/>
      <c r="Z740" s="36"/>
      <c r="AA740" s="36"/>
      <c r="AB740" s="36"/>
      <c r="AC740" s="36"/>
    </row>
    <row r="741" spans="17:29" x14ac:dyDescent="0.2">
      <c r="Q741" s="36"/>
      <c r="R741" s="40"/>
      <c r="S741" s="40"/>
      <c r="T741" s="40"/>
      <c r="U741" s="41"/>
      <c r="V741" s="41"/>
      <c r="W741" s="41"/>
      <c r="X741" s="36"/>
      <c r="Y741" s="36"/>
      <c r="Z741" s="36"/>
      <c r="AA741" s="36"/>
      <c r="AB741" s="36"/>
      <c r="AC741" s="36"/>
    </row>
    <row r="742" spans="17:29" x14ac:dyDescent="0.2">
      <c r="Q742" s="36"/>
      <c r="R742" s="40"/>
      <c r="S742" s="40"/>
      <c r="T742" s="40"/>
      <c r="U742" s="41"/>
      <c r="V742" s="41"/>
      <c r="W742" s="41"/>
      <c r="X742" s="36"/>
      <c r="Y742" s="36"/>
      <c r="Z742" s="36"/>
      <c r="AA742" s="36"/>
      <c r="AB742" s="36"/>
      <c r="AC742" s="36"/>
    </row>
    <row r="743" spans="17:29" x14ac:dyDescent="0.2">
      <c r="Q743" s="36"/>
      <c r="R743" s="40"/>
      <c r="S743" s="40"/>
      <c r="T743" s="40"/>
      <c r="U743" s="41"/>
      <c r="V743" s="41"/>
      <c r="W743" s="41"/>
      <c r="X743" s="36"/>
      <c r="Y743" s="36"/>
      <c r="Z743" s="36"/>
      <c r="AA743" s="36"/>
      <c r="AB743" s="36"/>
      <c r="AC743" s="36"/>
    </row>
    <row r="744" spans="17:29" x14ac:dyDescent="0.2">
      <c r="Q744" s="36"/>
      <c r="R744" s="40"/>
      <c r="S744" s="40"/>
      <c r="T744" s="40"/>
      <c r="U744" s="41"/>
      <c r="V744" s="41"/>
      <c r="W744" s="41"/>
      <c r="X744" s="36"/>
      <c r="Y744" s="36"/>
      <c r="Z744" s="36"/>
      <c r="AA744" s="36"/>
      <c r="AB744" s="36"/>
      <c r="AC744" s="36"/>
    </row>
    <row r="745" spans="17:29" x14ac:dyDescent="0.2">
      <c r="Q745" s="36"/>
      <c r="R745" s="40"/>
      <c r="S745" s="40"/>
      <c r="T745" s="40"/>
      <c r="U745" s="41"/>
      <c r="V745" s="41"/>
      <c r="W745" s="41"/>
      <c r="X745" s="36"/>
      <c r="Y745" s="36"/>
      <c r="Z745" s="36"/>
      <c r="AA745" s="36"/>
      <c r="AB745" s="36"/>
      <c r="AC745" s="36"/>
    </row>
    <row r="746" spans="17:29" x14ac:dyDescent="0.2">
      <c r="Q746" s="36"/>
      <c r="R746" s="40"/>
      <c r="S746" s="40"/>
      <c r="T746" s="40"/>
      <c r="U746" s="41"/>
      <c r="V746" s="41"/>
      <c r="W746" s="41"/>
      <c r="X746" s="36"/>
      <c r="Y746" s="36"/>
      <c r="Z746" s="36"/>
      <c r="AA746" s="36"/>
      <c r="AB746" s="36"/>
      <c r="AC746" s="36"/>
    </row>
    <row r="747" spans="17:29" x14ac:dyDescent="0.2">
      <c r="Q747" s="36"/>
      <c r="R747" s="40"/>
      <c r="S747" s="40"/>
      <c r="T747" s="40"/>
      <c r="U747" s="41"/>
      <c r="V747" s="41"/>
      <c r="W747" s="41"/>
      <c r="X747" s="36"/>
      <c r="Y747" s="36"/>
      <c r="Z747" s="36"/>
      <c r="AA747" s="36"/>
      <c r="AB747" s="36"/>
      <c r="AC747" s="36"/>
    </row>
    <row r="748" spans="17:29" x14ac:dyDescent="0.2">
      <c r="Q748" s="36"/>
      <c r="R748" s="40"/>
      <c r="S748" s="40"/>
      <c r="T748" s="40"/>
      <c r="U748" s="41"/>
      <c r="V748" s="41"/>
      <c r="W748" s="41"/>
      <c r="X748" s="36"/>
      <c r="Y748" s="36"/>
      <c r="Z748" s="36"/>
      <c r="AA748" s="36"/>
      <c r="AB748" s="36"/>
      <c r="AC748" s="36"/>
    </row>
    <row r="749" spans="17:29" x14ac:dyDescent="0.2">
      <c r="Q749" s="36"/>
      <c r="R749" s="40"/>
      <c r="S749" s="40"/>
      <c r="T749" s="40"/>
      <c r="U749" s="41"/>
      <c r="V749" s="41"/>
      <c r="W749" s="41"/>
      <c r="X749" s="36"/>
      <c r="Y749" s="36"/>
      <c r="Z749" s="36"/>
      <c r="AA749" s="36"/>
      <c r="AB749" s="36"/>
      <c r="AC749" s="36"/>
    </row>
    <row r="750" spans="17:29" x14ac:dyDescent="0.2">
      <c r="Q750" s="36"/>
      <c r="R750" s="40"/>
      <c r="S750" s="40"/>
      <c r="T750" s="40"/>
      <c r="U750" s="41"/>
      <c r="V750" s="41"/>
      <c r="W750" s="41"/>
      <c r="X750" s="36"/>
      <c r="Y750" s="36"/>
      <c r="Z750" s="36"/>
      <c r="AA750" s="36"/>
      <c r="AB750" s="36"/>
      <c r="AC750" s="36"/>
    </row>
    <row r="751" spans="17:29" x14ac:dyDescent="0.2">
      <c r="Q751" s="36"/>
      <c r="R751" s="40"/>
      <c r="S751" s="40"/>
      <c r="T751" s="40"/>
      <c r="U751" s="41"/>
      <c r="V751" s="41"/>
      <c r="W751" s="41"/>
      <c r="X751" s="36"/>
      <c r="Y751" s="36"/>
      <c r="Z751" s="36"/>
      <c r="AA751" s="36"/>
      <c r="AB751" s="36"/>
      <c r="AC751" s="36"/>
    </row>
    <row r="752" spans="17:29" x14ac:dyDescent="0.2">
      <c r="Q752" s="36"/>
      <c r="R752" s="40"/>
      <c r="S752" s="40"/>
      <c r="T752" s="40"/>
      <c r="U752" s="41"/>
      <c r="V752" s="41"/>
      <c r="W752" s="41"/>
      <c r="X752" s="36"/>
      <c r="Y752" s="36"/>
      <c r="Z752" s="36"/>
      <c r="AA752" s="36"/>
      <c r="AB752" s="36"/>
      <c r="AC752" s="36"/>
    </row>
    <row r="753" spans="17:29" x14ac:dyDescent="0.2">
      <c r="Q753" s="36"/>
      <c r="R753" s="40"/>
      <c r="S753" s="40"/>
      <c r="T753" s="40"/>
      <c r="U753" s="41"/>
      <c r="V753" s="41"/>
      <c r="W753" s="41"/>
      <c r="X753" s="36"/>
      <c r="Y753" s="36"/>
      <c r="Z753" s="36"/>
      <c r="AA753" s="36"/>
      <c r="AB753" s="36"/>
      <c r="AC753" s="36"/>
    </row>
    <row r="754" spans="17:29" x14ac:dyDescent="0.2">
      <c r="Q754" s="36"/>
      <c r="R754" s="40"/>
      <c r="S754" s="40"/>
      <c r="T754" s="40"/>
      <c r="U754" s="41"/>
      <c r="V754" s="41"/>
      <c r="W754" s="41"/>
      <c r="X754" s="36"/>
      <c r="Y754" s="36"/>
      <c r="Z754" s="36"/>
      <c r="AA754" s="36"/>
      <c r="AB754" s="36"/>
      <c r="AC754" s="36"/>
    </row>
    <row r="755" spans="17:29" x14ac:dyDescent="0.2">
      <c r="Q755" s="36"/>
      <c r="R755" s="40"/>
      <c r="S755" s="40"/>
      <c r="T755" s="40"/>
      <c r="U755" s="41"/>
      <c r="V755" s="41"/>
      <c r="W755" s="41"/>
      <c r="X755" s="36"/>
      <c r="Y755" s="36"/>
      <c r="Z755" s="36"/>
      <c r="AA755" s="36"/>
      <c r="AB755" s="36"/>
      <c r="AC755" s="36"/>
    </row>
    <row r="756" spans="17:29" x14ac:dyDescent="0.2">
      <c r="Q756" s="36"/>
      <c r="R756" s="40"/>
      <c r="S756" s="40"/>
      <c r="T756" s="40"/>
      <c r="U756" s="41"/>
      <c r="V756" s="41"/>
      <c r="W756" s="41"/>
      <c r="X756" s="36"/>
      <c r="Y756" s="36"/>
      <c r="Z756" s="36"/>
      <c r="AA756" s="36"/>
      <c r="AB756" s="36"/>
      <c r="AC756" s="36"/>
    </row>
    <row r="757" spans="17:29" x14ac:dyDescent="0.2">
      <c r="Q757" s="36"/>
      <c r="R757" s="40"/>
      <c r="S757" s="40"/>
      <c r="T757" s="40"/>
      <c r="U757" s="41"/>
      <c r="V757" s="41"/>
      <c r="W757" s="41"/>
      <c r="X757" s="36"/>
      <c r="Y757" s="36"/>
      <c r="Z757" s="36"/>
      <c r="AA757" s="36"/>
      <c r="AB757" s="36"/>
      <c r="AC757" s="36"/>
    </row>
    <row r="758" spans="17:29" x14ac:dyDescent="0.2">
      <c r="Q758" s="36"/>
      <c r="R758" s="40"/>
      <c r="S758" s="40"/>
      <c r="T758" s="40"/>
      <c r="U758" s="41"/>
      <c r="V758" s="41"/>
      <c r="W758" s="41"/>
      <c r="X758" s="36"/>
      <c r="Y758" s="36"/>
      <c r="Z758" s="36"/>
      <c r="AA758" s="36"/>
      <c r="AB758" s="36"/>
      <c r="AC758" s="36"/>
    </row>
    <row r="759" spans="17:29" x14ac:dyDescent="0.2">
      <c r="Q759" s="36"/>
      <c r="R759" s="40"/>
      <c r="S759" s="40"/>
      <c r="T759" s="40"/>
      <c r="U759" s="41"/>
      <c r="V759" s="41"/>
      <c r="W759" s="41"/>
      <c r="X759" s="36"/>
      <c r="Y759" s="36"/>
      <c r="Z759" s="36"/>
      <c r="AA759" s="36"/>
      <c r="AB759" s="36"/>
      <c r="AC759" s="36"/>
    </row>
    <row r="760" spans="17:29" x14ac:dyDescent="0.2">
      <c r="Q760" s="36"/>
      <c r="R760" s="40"/>
      <c r="S760" s="40"/>
      <c r="T760" s="40"/>
      <c r="U760" s="41"/>
      <c r="V760" s="41"/>
      <c r="W760" s="41"/>
      <c r="X760" s="36"/>
      <c r="Y760" s="36"/>
      <c r="Z760" s="36"/>
      <c r="AA760" s="36"/>
      <c r="AB760" s="36"/>
      <c r="AC760" s="36"/>
    </row>
    <row r="761" spans="17:29" x14ac:dyDescent="0.2">
      <c r="Q761" s="36"/>
      <c r="R761" s="40"/>
      <c r="S761" s="40"/>
      <c r="T761" s="40"/>
      <c r="U761" s="41"/>
      <c r="V761" s="41"/>
      <c r="W761" s="41"/>
      <c r="X761" s="36"/>
      <c r="Y761" s="36"/>
      <c r="Z761" s="36"/>
      <c r="AA761" s="36"/>
      <c r="AB761" s="36"/>
      <c r="AC761" s="36"/>
    </row>
    <row r="762" spans="17:29" x14ac:dyDescent="0.2">
      <c r="Q762" s="36"/>
      <c r="R762" s="40"/>
      <c r="S762" s="40"/>
      <c r="T762" s="40"/>
      <c r="U762" s="41"/>
      <c r="V762" s="41"/>
      <c r="W762" s="41"/>
      <c r="X762" s="36"/>
      <c r="Y762" s="36"/>
      <c r="Z762" s="36"/>
      <c r="AA762" s="36"/>
      <c r="AB762" s="36"/>
      <c r="AC762" s="36"/>
    </row>
    <row r="763" spans="17:29" x14ac:dyDescent="0.2">
      <c r="Q763" s="36"/>
      <c r="R763" s="40"/>
      <c r="S763" s="40"/>
      <c r="T763" s="40"/>
      <c r="U763" s="41"/>
      <c r="V763" s="41"/>
      <c r="W763" s="41"/>
      <c r="X763" s="36"/>
      <c r="Y763" s="36"/>
      <c r="Z763" s="36"/>
      <c r="AA763" s="36"/>
      <c r="AB763" s="36"/>
      <c r="AC763" s="36"/>
    </row>
    <row r="764" spans="17:29" x14ac:dyDescent="0.2">
      <c r="Q764" s="36"/>
      <c r="R764" s="40"/>
      <c r="S764" s="40"/>
      <c r="T764" s="40"/>
      <c r="U764" s="41"/>
      <c r="V764" s="41"/>
      <c r="W764" s="41"/>
      <c r="X764" s="36"/>
      <c r="Y764" s="36"/>
      <c r="Z764" s="36"/>
      <c r="AA764" s="36"/>
      <c r="AB764" s="36"/>
      <c r="AC764" s="36"/>
    </row>
    <row r="765" spans="17:29" x14ac:dyDescent="0.2">
      <c r="Q765" s="36"/>
      <c r="R765" s="40"/>
      <c r="S765" s="40"/>
      <c r="T765" s="40"/>
      <c r="U765" s="41"/>
      <c r="V765" s="41"/>
      <c r="W765" s="41"/>
      <c r="X765" s="36"/>
      <c r="Y765" s="36"/>
      <c r="Z765" s="36"/>
      <c r="AA765" s="36"/>
      <c r="AB765" s="36"/>
      <c r="AC765" s="36"/>
    </row>
    <row r="766" spans="17:29" x14ac:dyDescent="0.2">
      <c r="Q766" s="36"/>
      <c r="R766" s="40"/>
      <c r="S766" s="40"/>
      <c r="T766" s="40"/>
      <c r="U766" s="41"/>
      <c r="V766" s="41"/>
      <c r="W766" s="41"/>
      <c r="X766" s="36"/>
      <c r="Y766" s="36"/>
      <c r="Z766" s="36"/>
      <c r="AA766" s="36"/>
      <c r="AB766" s="36"/>
      <c r="AC766" s="36"/>
    </row>
    <row r="767" spans="17:29" x14ac:dyDescent="0.2">
      <c r="Q767" s="36"/>
      <c r="R767" s="40"/>
      <c r="S767" s="40"/>
      <c r="T767" s="40"/>
      <c r="U767" s="41"/>
      <c r="V767" s="41"/>
      <c r="W767" s="41"/>
      <c r="X767" s="36"/>
      <c r="Y767" s="36"/>
      <c r="Z767" s="36"/>
      <c r="AA767" s="36"/>
      <c r="AB767" s="36"/>
      <c r="AC767" s="36"/>
    </row>
    <row r="768" spans="17:29" x14ac:dyDescent="0.2">
      <c r="Q768" s="36"/>
      <c r="R768" s="40"/>
      <c r="S768" s="40"/>
      <c r="T768" s="40"/>
      <c r="U768" s="41"/>
      <c r="V768" s="41"/>
      <c r="W768" s="41"/>
      <c r="X768" s="36"/>
      <c r="Y768" s="36"/>
      <c r="Z768" s="36"/>
      <c r="AA768" s="36"/>
      <c r="AB768" s="36"/>
      <c r="AC768" s="36"/>
    </row>
    <row r="769" spans="17:29" x14ac:dyDescent="0.2">
      <c r="Q769" s="36"/>
      <c r="R769" s="40"/>
      <c r="S769" s="40"/>
      <c r="T769" s="40"/>
      <c r="U769" s="41"/>
      <c r="V769" s="41"/>
      <c r="W769" s="41"/>
      <c r="X769" s="36"/>
      <c r="Y769" s="36"/>
      <c r="Z769" s="36"/>
      <c r="AA769" s="36"/>
      <c r="AB769" s="36"/>
      <c r="AC769" s="36"/>
    </row>
    <row r="770" spans="17:29" x14ac:dyDescent="0.2">
      <c r="Q770" s="36"/>
      <c r="R770" s="40"/>
      <c r="S770" s="40"/>
      <c r="T770" s="40"/>
      <c r="U770" s="41"/>
      <c r="V770" s="41"/>
      <c r="W770" s="41"/>
      <c r="X770" s="36"/>
      <c r="Y770" s="36"/>
      <c r="Z770" s="36"/>
      <c r="AA770" s="36"/>
      <c r="AB770" s="36"/>
      <c r="AC770" s="36"/>
    </row>
    <row r="771" spans="17:29" x14ac:dyDescent="0.2">
      <c r="Q771" s="36"/>
      <c r="R771" s="40"/>
      <c r="S771" s="40"/>
      <c r="T771" s="40"/>
      <c r="U771" s="41"/>
      <c r="V771" s="41"/>
      <c r="W771" s="41"/>
      <c r="X771" s="36"/>
      <c r="Y771" s="36"/>
      <c r="Z771" s="36"/>
      <c r="AA771" s="36"/>
      <c r="AB771" s="36"/>
      <c r="AC771" s="36"/>
    </row>
    <row r="772" spans="17:29" x14ac:dyDescent="0.2">
      <c r="Q772" s="36"/>
      <c r="R772" s="40"/>
      <c r="S772" s="40"/>
      <c r="T772" s="40"/>
      <c r="U772" s="41"/>
      <c r="V772" s="41"/>
      <c r="W772" s="41"/>
      <c r="X772" s="36"/>
      <c r="Y772" s="36"/>
      <c r="Z772" s="36"/>
      <c r="AA772" s="36"/>
      <c r="AB772" s="36"/>
      <c r="AC772" s="36"/>
    </row>
    <row r="773" spans="17:29" x14ac:dyDescent="0.2">
      <c r="Q773" s="36"/>
      <c r="R773" s="40"/>
      <c r="S773" s="40"/>
      <c r="T773" s="40"/>
      <c r="U773" s="41"/>
      <c r="V773" s="41"/>
      <c r="W773" s="41"/>
      <c r="X773" s="36"/>
      <c r="Y773" s="36"/>
      <c r="Z773" s="36"/>
      <c r="AA773" s="36"/>
      <c r="AB773" s="36"/>
      <c r="AC773" s="36"/>
    </row>
    <row r="774" spans="17:29" x14ac:dyDescent="0.2">
      <c r="Q774" s="36"/>
      <c r="R774" s="40"/>
      <c r="S774" s="40"/>
      <c r="T774" s="40"/>
      <c r="U774" s="41"/>
      <c r="V774" s="41"/>
      <c r="W774" s="41"/>
      <c r="X774" s="36"/>
      <c r="Y774" s="36"/>
      <c r="Z774" s="36"/>
      <c r="AA774" s="36"/>
      <c r="AB774" s="36"/>
      <c r="AC774" s="36"/>
    </row>
    <row r="775" spans="17:29" x14ac:dyDescent="0.2">
      <c r="Q775" s="36"/>
      <c r="R775" s="40"/>
      <c r="S775" s="40"/>
      <c r="T775" s="40"/>
      <c r="U775" s="41"/>
      <c r="V775" s="41"/>
      <c r="W775" s="41"/>
      <c r="X775" s="36"/>
      <c r="Y775" s="36"/>
      <c r="Z775" s="36"/>
      <c r="AA775" s="36"/>
      <c r="AB775" s="36"/>
      <c r="AC775" s="36"/>
    </row>
    <row r="776" spans="17:29" x14ac:dyDescent="0.2">
      <c r="Q776" s="36"/>
      <c r="R776" s="40"/>
      <c r="S776" s="40"/>
      <c r="T776" s="40"/>
      <c r="U776" s="41"/>
      <c r="V776" s="41"/>
      <c r="W776" s="41"/>
      <c r="X776" s="36"/>
      <c r="Y776" s="36"/>
      <c r="Z776" s="36"/>
      <c r="AA776" s="36"/>
      <c r="AB776" s="36"/>
      <c r="AC776" s="36"/>
    </row>
    <row r="777" spans="17:29" x14ac:dyDescent="0.2">
      <c r="Q777" s="36"/>
      <c r="R777" s="40"/>
      <c r="S777" s="40"/>
      <c r="T777" s="40"/>
      <c r="U777" s="41"/>
      <c r="V777" s="41"/>
      <c r="W777" s="41"/>
      <c r="X777" s="36"/>
      <c r="Y777" s="36"/>
      <c r="Z777" s="36"/>
      <c r="AA777" s="36"/>
      <c r="AB777" s="36"/>
      <c r="AC777" s="36"/>
    </row>
    <row r="778" spans="17:29" x14ac:dyDescent="0.2">
      <c r="Q778" s="36"/>
      <c r="R778" s="40"/>
      <c r="S778" s="40"/>
      <c r="T778" s="40"/>
      <c r="U778" s="41"/>
      <c r="V778" s="41"/>
      <c r="W778" s="41"/>
      <c r="X778" s="36"/>
      <c r="Y778" s="36"/>
      <c r="Z778" s="36"/>
      <c r="AA778" s="36"/>
      <c r="AB778" s="36"/>
      <c r="AC778" s="36"/>
    </row>
    <row r="779" spans="17:29" x14ac:dyDescent="0.2">
      <c r="Q779" s="36"/>
      <c r="R779" s="40"/>
      <c r="S779" s="40"/>
      <c r="T779" s="40"/>
      <c r="U779" s="41"/>
      <c r="V779" s="41"/>
      <c r="W779" s="41"/>
      <c r="X779" s="36"/>
      <c r="Y779" s="36"/>
      <c r="Z779" s="36"/>
      <c r="AA779" s="36"/>
      <c r="AB779" s="36"/>
      <c r="AC779" s="36"/>
    </row>
    <row r="780" spans="17:29" x14ac:dyDescent="0.2">
      <c r="Q780" s="36"/>
      <c r="R780" s="40"/>
      <c r="S780" s="40"/>
      <c r="T780" s="40"/>
      <c r="U780" s="41"/>
      <c r="V780" s="41"/>
      <c r="W780" s="41"/>
      <c r="X780" s="36"/>
      <c r="Y780" s="36"/>
      <c r="Z780" s="36"/>
      <c r="AA780" s="36"/>
      <c r="AB780" s="36"/>
      <c r="AC780" s="36"/>
    </row>
    <row r="781" spans="17:29" x14ac:dyDescent="0.2">
      <c r="Q781" s="36"/>
      <c r="R781" s="40"/>
      <c r="S781" s="40"/>
      <c r="T781" s="40"/>
      <c r="U781" s="41"/>
      <c r="V781" s="41"/>
      <c r="W781" s="41"/>
      <c r="X781" s="36"/>
      <c r="Y781" s="36"/>
      <c r="Z781" s="36"/>
      <c r="AA781" s="36"/>
      <c r="AB781" s="36"/>
      <c r="AC781" s="36"/>
    </row>
    <row r="782" spans="17:29" x14ac:dyDescent="0.2">
      <c r="Q782" s="36"/>
      <c r="R782" s="40"/>
      <c r="S782" s="40"/>
      <c r="T782" s="40"/>
      <c r="U782" s="41"/>
      <c r="V782" s="41"/>
      <c r="W782" s="41"/>
      <c r="X782" s="36"/>
      <c r="Y782" s="36"/>
      <c r="Z782" s="36"/>
      <c r="AA782" s="36"/>
      <c r="AB782" s="36"/>
      <c r="AC782" s="36"/>
    </row>
    <row r="783" spans="17:29" x14ac:dyDescent="0.2">
      <c r="Q783" s="36"/>
      <c r="R783" s="40"/>
      <c r="S783" s="40"/>
      <c r="T783" s="40"/>
      <c r="U783" s="41"/>
      <c r="V783" s="41"/>
      <c r="W783" s="41"/>
      <c r="X783" s="36"/>
      <c r="Y783" s="36"/>
      <c r="Z783" s="36"/>
      <c r="AA783" s="36"/>
      <c r="AB783" s="36"/>
      <c r="AC783" s="36"/>
    </row>
    <row r="784" spans="17:29" x14ac:dyDescent="0.2">
      <c r="Q784" s="36"/>
      <c r="R784" s="40"/>
      <c r="S784" s="40"/>
      <c r="T784" s="40"/>
      <c r="U784" s="41"/>
      <c r="V784" s="41"/>
      <c r="W784" s="41"/>
      <c r="X784" s="36"/>
      <c r="Y784" s="36"/>
      <c r="Z784" s="36"/>
      <c r="AA784" s="36"/>
      <c r="AB784" s="36"/>
      <c r="AC784" s="36"/>
    </row>
    <row r="785" spans="17:29" x14ac:dyDescent="0.2">
      <c r="Q785" s="36"/>
      <c r="R785" s="40"/>
      <c r="S785" s="40"/>
      <c r="T785" s="40"/>
      <c r="U785" s="41"/>
      <c r="V785" s="41"/>
      <c r="W785" s="41"/>
      <c r="X785" s="36"/>
      <c r="Y785" s="36"/>
      <c r="Z785" s="36"/>
      <c r="AA785" s="36"/>
      <c r="AB785" s="36"/>
      <c r="AC785" s="36"/>
    </row>
    <row r="786" spans="17:29" x14ac:dyDescent="0.2">
      <c r="Q786" s="36"/>
      <c r="R786" s="40"/>
      <c r="S786" s="40"/>
      <c r="T786" s="40"/>
      <c r="U786" s="41"/>
      <c r="V786" s="41"/>
      <c r="W786" s="41"/>
      <c r="X786" s="36"/>
      <c r="Y786" s="36"/>
      <c r="Z786" s="36"/>
      <c r="AA786" s="36"/>
      <c r="AB786" s="36"/>
      <c r="AC786" s="36"/>
    </row>
    <row r="787" spans="17:29" x14ac:dyDescent="0.2">
      <c r="Q787" s="36"/>
      <c r="R787" s="40"/>
      <c r="S787" s="40"/>
      <c r="T787" s="40"/>
      <c r="U787" s="41"/>
      <c r="V787" s="41"/>
      <c r="W787" s="41"/>
      <c r="X787" s="36"/>
      <c r="Y787" s="36"/>
      <c r="Z787" s="36"/>
      <c r="AA787" s="36"/>
      <c r="AB787" s="36"/>
      <c r="AC787" s="36"/>
    </row>
    <row r="788" spans="17:29" x14ac:dyDescent="0.2">
      <c r="Q788" s="36"/>
      <c r="R788" s="40"/>
      <c r="S788" s="40"/>
      <c r="T788" s="40"/>
      <c r="U788" s="41"/>
      <c r="V788" s="41"/>
      <c r="W788" s="41"/>
      <c r="X788" s="36"/>
      <c r="Y788" s="36"/>
      <c r="Z788" s="36"/>
      <c r="AA788" s="36"/>
      <c r="AB788" s="36"/>
      <c r="AC788" s="36"/>
    </row>
    <row r="789" spans="17:29" x14ac:dyDescent="0.2">
      <c r="Q789" s="36"/>
      <c r="R789" s="40"/>
      <c r="S789" s="40"/>
      <c r="T789" s="40"/>
      <c r="U789" s="41"/>
      <c r="V789" s="41"/>
      <c r="W789" s="41"/>
      <c r="X789" s="36"/>
      <c r="Y789" s="36"/>
      <c r="Z789" s="36"/>
      <c r="AA789" s="36"/>
      <c r="AB789" s="36"/>
      <c r="AC789" s="36"/>
    </row>
    <row r="790" spans="17:29" x14ac:dyDescent="0.2">
      <c r="Q790" s="36"/>
      <c r="R790" s="40"/>
      <c r="S790" s="40"/>
      <c r="T790" s="40"/>
      <c r="U790" s="41"/>
      <c r="V790" s="41"/>
      <c r="W790" s="41"/>
      <c r="X790" s="36"/>
      <c r="Y790" s="36"/>
      <c r="Z790" s="36"/>
      <c r="AA790" s="36"/>
      <c r="AB790" s="36"/>
      <c r="AC790" s="36"/>
    </row>
    <row r="791" spans="17:29" x14ac:dyDescent="0.2">
      <c r="Q791" s="36"/>
      <c r="R791" s="40"/>
      <c r="S791" s="40"/>
      <c r="T791" s="40"/>
      <c r="U791" s="41"/>
      <c r="V791" s="41"/>
      <c r="W791" s="41"/>
      <c r="X791" s="36"/>
      <c r="Y791" s="36"/>
      <c r="Z791" s="36"/>
      <c r="AA791" s="36"/>
      <c r="AB791" s="36"/>
      <c r="AC791" s="36"/>
    </row>
    <row r="792" spans="17:29" x14ac:dyDescent="0.2">
      <c r="Q792" s="36"/>
      <c r="R792" s="40"/>
      <c r="S792" s="40"/>
      <c r="T792" s="40"/>
      <c r="U792" s="41"/>
      <c r="V792" s="41"/>
      <c r="W792" s="41"/>
      <c r="X792" s="36"/>
      <c r="Y792" s="36"/>
      <c r="Z792" s="36"/>
      <c r="AA792" s="36"/>
      <c r="AB792" s="36"/>
      <c r="AC792" s="36"/>
    </row>
    <row r="793" spans="17:29" x14ac:dyDescent="0.2">
      <c r="Q793" s="36"/>
      <c r="R793" s="40"/>
      <c r="S793" s="40"/>
      <c r="T793" s="40"/>
      <c r="U793" s="41"/>
      <c r="V793" s="41"/>
      <c r="W793" s="41"/>
      <c r="X793" s="36"/>
      <c r="Y793" s="36"/>
      <c r="Z793" s="36"/>
      <c r="AA793" s="36"/>
      <c r="AB793" s="36"/>
      <c r="AC793" s="36"/>
    </row>
    <row r="794" spans="17:29" x14ac:dyDescent="0.2">
      <c r="Q794" s="36"/>
      <c r="R794" s="40"/>
      <c r="S794" s="40"/>
      <c r="T794" s="40"/>
      <c r="U794" s="41"/>
      <c r="V794" s="41"/>
      <c r="W794" s="41"/>
      <c r="X794" s="36"/>
      <c r="Y794" s="36"/>
      <c r="Z794" s="36"/>
      <c r="AA794" s="36"/>
      <c r="AB794" s="36"/>
      <c r="AC794" s="36"/>
    </row>
    <row r="795" spans="17:29" x14ac:dyDescent="0.2">
      <c r="Q795" s="36"/>
      <c r="R795" s="40"/>
      <c r="S795" s="40"/>
      <c r="T795" s="40"/>
      <c r="U795" s="41"/>
      <c r="V795" s="41"/>
      <c r="W795" s="41"/>
      <c r="X795" s="36"/>
      <c r="Y795" s="36"/>
      <c r="Z795" s="36"/>
      <c r="AA795" s="36"/>
      <c r="AB795" s="36"/>
      <c r="AC795" s="36"/>
    </row>
    <row r="796" spans="17:29" x14ac:dyDescent="0.2">
      <c r="Q796" s="36"/>
      <c r="R796" s="40"/>
      <c r="S796" s="40"/>
      <c r="T796" s="40"/>
      <c r="U796" s="41"/>
      <c r="V796" s="41"/>
      <c r="W796" s="41"/>
      <c r="X796" s="36"/>
      <c r="Y796" s="36"/>
      <c r="Z796" s="36"/>
      <c r="AA796" s="36"/>
      <c r="AB796" s="36"/>
      <c r="AC796" s="36"/>
    </row>
    <row r="797" spans="17:29" x14ac:dyDescent="0.2">
      <c r="Q797" s="36"/>
      <c r="R797" s="40"/>
      <c r="S797" s="40"/>
      <c r="T797" s="40"/>
      <c r="U797" s="41"/>
      <c r="V797" s="41"/>
      <c r="W797" s="41"/>
      <c r="X797" s="36"/>
      <c r="Y797" s="36"/>
      <c r="Z797" s="36"/>
      <c r="AA797" s="36"/>
      <c r="AB797" s="36"/>
      <c r="AC797" s="36"/>
    </row>
    <row r="798" spans="17:29" x14ac:dyDescent="0.2">
      <c r="Q798" s="36"/>
      <c r="R798" s="40"/>
      <c r="S798" s="40"/>
      <c r="T798" s="40"/>
      <c r="U798" s="41"/>
      <c r="V798" s="41"/>
      <c r="W798" s="41"/>
      <c r="X798" s="36"/>
      <c r="Y798" s="36"/>
      <c r="Z798" s="36"/>
      <c r="AA798" s="36"/>
      <c r="AB798" s="36"/>
      <c r="AC798" s="36"/>
    </row>
    <row r="799" spans="17:29" x14ac:dyDescent="0.2">
      <c r="Q799" s="36"/>
      <c r="R799" s="40"/>
      <c r="S799" s="40"/>
      <c r="T799" s="40"/>
      <c r="U799" s="41"/>
      <c r="V799" s="41"/>
      <c r="W799" s="41"/>
      <c r="X799" s="36"/>
      <c r="Y799" s="36"/>
      <c r="Z799" s="36"/>
      <c r="AA799" s="36"/>
      <c r="AB799" s="36"/>
      <c r="AC799" s="36"/>
    </row>
    <row r="800" spans="17:29" x14ac:dyDescent="0.2">
      <c r="Q800" s="36"/>
      <c r="R800" s="40"/>
      <c r="S800" s="40"/>
      <c r="T800" s="40"/>
      <c r="U800" s="41"/>
      <c r="V800" s="41"/>
      <c r="W800" s="41"/>
      <c r="X800" s="36"/>
      <c r="Y800" s="36"/>
      <c r="Z800" s="36"/>
      <c r="AA800" s="36"/>
      <c r="AB800" s="36"/>
      <c r="AC800" s="36"/>
    </row>
    <row r="801" spans="17:29" x14ac:dyDescent="0.2">
      <c r="Q801" s="36"/>
      <c r="R801" s="40"/>
      <c r="S801" s="40"/>
      <c r="T801" s="40"/>
      <c r="U801" s="41"/>
      <c r="V801" s="41"/>
      <c r="W801" s="41"/>
      <c r="X801" s="36"/>
      <c r="Y801" s="36"/>
      <c r="Z801" s="36"/>
      <c r="AA801" s="36"/>
      <c r="AB801" s="36"/>
      <c r="AC801" s="36"/>
    </row>
    <row r="802" spans="17:29" x14ac:dyDescent="0.2">
      <c r="Q802" s="36"/>
      <c r="R802" s="40"/>
      <c r="S802" s="40"/>
      <c r="T802" s="40"/>
      <c r="U802" s="41"/>
      <c r="V802" s="41"/>
      <c r="W802" s="41"/>
      <c r="X802" s="36"/>
      <c r="Y802" s="36"/>
      <c r="Z802" s="36"/>
      <c r="AA802" s="36"/>
      <c r="AB802" s="36"/>
      <c r="AC802" s="36"/>
    </row>
    <row r="803" spans="17:29" x14ac:dyDescent="0.2">
      <c r="Q803" s="36"/>
      <c r="R803" s="40"/>
      <c r="S803" s="40"/>
      <c r="T803" s="40"/>
      <c r="U803" s="41"/>
      <c r="V803" s="41"/>
      <c r="W803" s="41"/>
      <c r="X803" s="36"/>
      <c r="Y803" s="36"/>
      <c r="Z803" s="36"/>
      <c r="AA803" s="36"/>
      <c r="AB803" s="36"/>
      <c r="AC803" s="36"/>
    </row>
    <row r="804" spans="17:29" x14ac:dyDescent="0.2">
      <c r="Q804" s="36"/>
      <c r="R804" s="40"/>
      <c r="S804" s="40"/>
      <c r="T804" s="40"/>
      <c r="U804" s="41"/>
      <c r="V804" s="41"/>
      <c r="W804" s="41"/>
      <c r="X804" s="36"/>
      <c r="Y804" s="36"/>
      <c r="Z804" s="36"/>
      <c r="AA804" s="36"/>
      <c r="AB804" s="36"/>
      <c r="AC804" s="36"/>
    </row>
    <row r="805" spans="17:29" x14ac:dyDescent="0.2">
      <c r="Q805" s="36"/>
      <c r="R805" s="40"/>
      <c r="S805" s="40"/>
      <c r="T805" s="40"/>
      <c r="U805" s="41"/>
      <c r="V805" s="41"/>
      <c r="W805" s="41"/>
      <c r="X805" s="36"/>
      <c r="Y805" s="36"/>
      <c r="Z805" s="36"/>
      <c r="AA805" s="36"/>
      <c r="AB805" s="36"/>
      <c r="AC805" s="36"/>
    </row>
    <row r="806" spans="17:29" x14ac:dyDescent="0.2">
      <c r="Q806" s="36"/>
      <c r="R806" s="40"/>
      <c r="S806" s="40"/>
      <c r="T806" s="40"/>
      <c r="U806" s="41"/>
      <c r="V806" s="41"/>
      <c r="W806" s="41"/>
      <c r="X806" s="36"/>
      <c r="Y806" s="36"/>
      <c r="Z806" s="36"/>
      <c r="AA806" s="36"/>
      <c r="AB806" s="36"/>
      <c r="AC806" s="36"/>
    </row>
    <row r="807" spans="17:29" x14ac:dyDescent="0.2">
      <c r="Q807" s="36"/>
      <c r="R807" s="40"/>
      <c r="S807" s="40"/>
      <c r="T807" s="40"/>
      <c r="U807" s="41"/>
      <c r="V807" s="41"/>
      <c r="W807" s="41"/>
      <c r="X807" s="36"/>
      <c r="Y807" s="36"/>
      <c r="Z807" s="36"/>
      <c r="AA807" s="36"/>
      <c r="AB807" s="36"/>
      <c r="AC807" s="36"/>
    </row>
    <row r="808" spans="17:29" x14ac:dyDescent="0.2">
      <c r="Q808" s="36"/>
      <c r="R808" s="40"/>
      <c r="S808" s="40"/>
      <c r="T808" s="40"/>
      <c r="U808" s="41"/>
      <c r="V808" s="41"/>
      <c r="W808" s="41"/>
      <c r="X808" s="36"/>
      <c r="Y808" s="36"/>
      <c r="Z808" s="36"/>
      <c r="AA808" s="36"/>
      <c r="AB808" s="36"/>
      <c r="AC808" s="36"/>
    </row>
    <row r="809" spans="17:29" x14ac:dyDescent="0.2">
      <c r="Q809" s="36"/>
      <c r="R809" s="40"/>
      <c r="S809" s="40"/>
      <c r="T809" s="40"/>
      <c r="U809" s="41"/>
      <c r="V809" s="41"/>
      <c r="W809" s="41"/>
      <c r="X809" s="36"/>
      <c r="Y809" s="36"/>
      <c r="Z809" s="36"/>
      <c r="AA809" s="36"/>
      <c r="AB809" s="36"/>
      <c r="AC809" s="36"/>
    </row>
    <row r="810" spans="17:29" x14ac:dyDescent="0.2">
      <c r="Q810" s="36"/>
      <c r="R810" s="40"/>
      <c r="S810" s="40"/>
      <c r="T810" s="40"/>
      <c r="U810" s="41"/>
      <c r="V810" s="41"/>
      <c r="W810" s="41"/>
      <c r="X810" s="36"/>
      <c r="Y810" s="36"/>
      <c r="Z810" s="36"/>
      <c r="AA810" s="36"/>
      <c r="AB810" s="36"/>
      <c r="AC810" s="36"/>
    </row>
    <row r="811" spans="17:29" x14ac:dyDescent="0.2">
      <c r="Q811" s="36"/>
      <c r="R811" s="40"/>
      <c r="S811" s="40"/>
      <c r="T811" s="40"/>
      <c r="U811" s="41"/>
      <c r="V811" s="41"/>
      <c r="W811" s="41"/>
      <c r="X811" s="36"/>
      <c r="Y811" s="36"/>
      <c r="Z811" s="36"/>
      <c r="AA811" s="36"/>
      <c r="AB811" s="36"/>
      <c r="AC811" s="36"/>
    </row>
    <row r="812" spans="17:29" x14ac:dyDescent="0.2">
      <c r="Q812" s="36"/>
      <c r="R812" s="40"/>
      <c r="S812" s="40"/>
      <c r="T812" s="40"/>
      <c r="U812" s="41"/>
      <c r="V812" s="41"/>
      <c r="W812" s="41"/>
      <c r="X812" s="36"/>
      <c r="Y812" s="36"/>
      <c r="Z812" s="36"/>
      <c r="AA812" s="36"/>
      <c r="AB812" s="36"/>
      <c r="AC812" s="36"/>
    </row>
    <row r="813" spans="17:29" x14ac:dyDescent="0.2">
      <c r="Q813" s="36"/>
      <c r="R813" s="40"/>
      <c r="S813" s="40"/>
      <c r="T813" s="40"/>
      <c r="U813" s="41"/>
      <c r="V813" s="41"/>
      <c r="W813" s="41"/>
      <c r="X813" s="36"/>
      <c r="Y813" s="36"/>
      <c r="Z813" s="36"/>
      <c r="AA813" s="36"/>
      <c r="AB813" s="36"/>
      <c r="AC813" s="36"/>
    </row>
    <row r="814" spans="17:29" x14ac:dyDescent="0.2">
      <c r="Q814" s="36"/>
      <c r="R814" s="40"/>
      <c r="S814" s="40"/>
      <c r="T814" s="40"/>
      <c r="U814" s="41"/>
      <c r="V814" s="41"/>
      <c r="W814" s="41"/>
      <c r="X814" s="36"/>
      <c r="Y814" s="36"/>
      <c r="Z814" s="36"/>
      <c r="AA814" s="36"/>
      <c r="AB814" s="36"/>
      <c r="AC814" s="36"/>
    </row>
    <row r="815" spans="17:29" x14ac:dyDescent="0.2">
      <c r="Q815" s="36"/>
      <c r="R815" s="40"/>
      <c r="S815" s="40"/>
      <c r="T815" s="40"/>
      <c r="U815" s="41"/>
      <c r="V815" s="41"/>
      <c r="W815" s="41"/>
      <c r="X815" s="36"/>
      <c r="Y815" s="36"/>
      <c r="Z815" s="36"/>
      <c r="AA815" s="36"/>
      <c r="AB815" s="36"/>
      <c r="AC815" s="36"/>
    </row>
    <row r="816" spans="17:29" x14ac:dyDescent="0.2">
      <c r="Q816" s="36"/>
      <c r="R816" s="40"/>
      <c r="S816" s="40"/>
      <c r="T816" s="40"/>
      <c r="U816" s="41"/>
      <c r="V816" s="41"/>
      <c r="W816" s="41"/>
      <c r="X816" s="36"/>
      <c r="Y816" s="36"/>
      <c r="Z816" s="36"/>
      <c r="AA816" s="36"/>
      <c r="AB816" s="36"/>
      <c r="AC816" s="36"/>
    </row>
    <row r="817" spans="17:29" x14ac:dyDescent="0.2">
      <c r="Q817" s="36"/>
      <c r="R817" s="40"/>
      <c r="S817" s="40"/>
      <c r="T817" s="40"/>
      <c r="U817" s="41"/>
      <c r="V817" s="41"/>
      <c r="W817" s="41"/>
      <c r="X817" s="36"/>
      <c r="Y817" s="36"/>
      <c r="Z817" s="36"/>
      <c r="AA817" s="36"/>
      <c r="AB817" s="36"/>
      <c r="AC817" s="36"/>
    </row>
    <row r="818" spans="17:29" x14ac:dyDescent="0.2">
      <c r="Q818" s="36"/>
      <c r="R818" s="40"/>
      <c r="S818" s="40"/>
      <c r="T818" s="40"/>
      <c r="U818" s="41"/>
      <c r="V818" s="41"/>
      <c r="W818" s="41"/>
      <c r="X818" s="36"/>
      <c r="Y818" s="36"/>
      <c r="Z818" s="36"/>
      <c r="AA818" s="36"/>
      <c r="AB818" s="36"/>
      <c r="AC818" s="36"/>
    </row>
    <row r="819" spans="17:29" x14ac:dyDescent="0.2">
      <c r="Q819" s="36"/>
      <c r="R819" s="40"/>
      <c r="S819" s="40"/>
      <c r="T819" s="40"/>
      <c r="U819" s="41"/>
      <c r="V819" s="41"/>
      <c r="W819" s="41"/>
      <c r="X819" s="36"/>
      <c r="Y819" s="36"/>
      <c r="Z819" s="36"/>
      <c r="AA819" s="36"/>
      <c r="AB819" s="36"/>
      <c r="AC819" s="36"/>
    </row>
    <row r="820" spans="17:29" x14ac:dyDescent="0.2">
      <c r="Q820" s="36"/>
      <c r="R820" s="40"/>
      <c r="S820" s="40"/>
      <c r="T820" s="40"/>
      <c r="U820" s="41"/>
      <c r="V820" s="41"/>
      <c r="W820" s="41"/>
      <c r="X820" s="36"/>
      <c r="Y820" s="36"/>
      <c r="Z820" s="36"/>
      <c r="AA820" s="36"/>
      <c r="AB820" s="36"/>
      <c r="AC820" s="36"/>
    </row>
    <row r="821" spans="17:29" x14ac:dyDescent="0.2">
      <c r="Q821" s="36"/>
      <c r="R821" s="40"/>
      <c r="S821" s="40"/>
      <c r="T821" s="40"/>
      <c r="U821" s="41"/>
      <c r="V821" s="41"/>
      <c r="W821" s="41"/>
      <c r="X821" s="36"/>
      <c r="Y821" s="36"/>
      <c r="Z821" s="36"/>
      <c r="AA821" s="36"/>
      <c r="AB821" s="36"/>
      <c r="AC821" s="36"/>
    </row>
    <row r="822" spans="17:29" x14ac:dyDescent="0.2">
      <c r="Q822" s="36"/>
      <c r="R822" s="40"/>
      <c r="S822" s="40"/>
      <c r="T822" s="40"/>
      <c r="U822" s="41"/>
      <c r="V822" s="41"/>
      <c r="W822" s="41"/>
      <c r="X822" s="36"/>
      <c r="Y822" s="36"/>
      <c r="Z822" s="36"/>
      <c r="AA822" s="36"/>
      <c r="AB822" s="36"/>
      <c r="AC822" s="36"/>
    </row>
    <row r="823" spans="17:29" x14ac:dyDescent="0.2">
      <c r="Q823" s="36"/>
      <c r="R823" s="40"/>
      <c r="S823" s="40"/>
      <c r="T823" s="40"/>
      <c r="U823" s="41"/>
      <c r="V823" s="41"/>
      <c r="W823" s="41"/>
      <c r="X823" s="36"/>
      <c r="Y823" s="36"/>
      <c r="Z823" s="36"/>
      <c r="AA823" s="36"/>
      <c r="AB823" s="36"/>
      <c r="AC823" s="36"/>
    </row>
    <row r="824" spans="17:29" x14ac:dyDescent="0.2">
      <c r="Q824" s="36"/>
      <c r="R824" s="40"/>
      <c r="S824" s="40"/>
      <c r="T824" s="40"/>
      <c r="U824" s="41"/>
      <c r="V824" s="41"/>
      <c r="W824" s="41"/>
      <c r="X824" s="36"/>
      <c r="Y824" s="36"/>
      <c r="Z824" s="36"/>
      <c r="AA824" s="36"/>
      <c r="AB824" s="36"/>
      <c r="AC824" s="36"/>
    </row>
    <row r="825" spans="17:29" x14ac:dyDescent="0.2">
      <c r="Q825" s="36"/>
      <c r="R825" s="40"/>
      <c r="S825" s="40"/>
      <c r="T825" s="40"/>
      <c r="U825" s="41"/>
      <c r="V825" s="41"/>
      <c r="W825" s="41"/>
      <c r="X825" s="36"/>
      <c r="Y825" s="36"/>
      <c r="Z825" s="36"/>
      <c r="AA825" s="36"/>
      <c r="AB825" s="36"/>
      <c r="AC825" s="36"/>
    </row>
    <row r="826" spans="17:29" x14ac:dyDescent="0.2">
      <c r="Q826" s="36"/>
      <c r="R826" s="40"/>
      <c r="S826" s="40"/>
      <c r="T826" s="40"/>
      <c r="U826" s="41"/>
      <c r="V826" s="41"/>
      <c r="W826" s="41"/>
      <c r="X826" s="36"/>
      <c r="Y826" s="36"/>
      <c r="Z826" s="36"/>
      <c r="AA826" s="36"/>
      <c r="AB826" s="36"/>
      <c r="AC826" s="36"/>
    </row>
    <row r="827" spans="17:29" x14ac:dyDescent="0.2">
      <c r="Q827" s="36"/>
      <c r="R827" s="40"/>
      <c r="S827" s="40"/>
      <c r="T827" s="40"/>
      <c r="U827" s="41"/>
      <c r="V827" s="41"/>
      <c r="W827" s="41"/>
      <c r="X827" s="36"/>
      <c r="Y827" s="36"/>
      <c r="Z827" s="36"/>
      <c r="AA827" s="36"/>
      <c r="AB827" s="36"/>
      <c r="AC827" s="36"/>
    </row>
    <row r="828" spans="17:29" x14ac:dyDescent="0.2">
      <c r="Q828" s="36"/>
      <c r="R828" s="40"/>
      <c r="S828" s="40"/>
      <c r="T828" s="40"/>
      <c r="U828" s="41"/>
      <c r="V828" s="41"/>
      <c r="W828" s="41"/>
      <c r="X828" s="36"/>
      <c r="Y828" s="36"/>
      <c r="Z828" s="36"/>
      <c r="AA828" s="36"/>
      <c r="AB828" s="36"/>
      <c r="AC828" s="36"/>
    </row>
    <row r="829" spans="17:29" x14ac:dyDescent="0.2">
      <c r="Q829" s="36"/>
      <c r="R829" s="40"/>
      <c r="S829" s="40"/>
      <c r="T829" s="40"/>
      <c r="U829" s="41"/>
      <c r="V829" s="41"/>
      <c r="W829" s="41"/>
      <c r="X829" s="36"/>
      <c r="Y829" s="36"/>
      <c r="Z829" s="36"/>
      <c r="AA829" s="36"/>
      <c r="AB829" s="36"/>
      <c r="AC829" s="36"/>
    </row>
    <row r="830" spans="17:29" x14ac:dyDescent="0.2">
      <c r="Q830" s="36"/>
      <c r="R830" s="40"/>
      <c r="S830" s="40"/>
      <c r="T830" s="40"/>
      <c r="U830" s="41"/>
      <c r="V830" s="41"/>
      <c r="W830" s="41"/>
      <c r="X830" s="36"/>
      <c r="Y830" s="36"/>
      <c r="Z830" s="36"/>
      <c r="AA830" s="36"/>
      <c r="AB830" s="36"/>
      <c r="AC830" s="36"/>
    </row>
    <row r="831" spans="17:29" x14ac:dyDescent="0.2">
      <c r="Q831" s="36"/>
      <c r="R831" s="40"/>
      <c r="S831" s="40"/>
      <c r="T831" s="40"/>
      <c r="U831" s="41"/>
      <c r="V831" s="41"/>
      <c r="W831" s="41"/>
      <c r="X831" s="36"/>
      <c r="Y831" s="36"/>
      <c r="Z831" s="36"/>
      <c r="AA831" s="36"/>
      <c r="AB831" s="36"/>
      <c r="AC831" s="36"/>
    </row>
    <row r="832" spans="17:29" x14ac:dyDescent="0.2">
      <c r="Q832" s="36"/>
      <c r="R832" s="40"/>
      <c r="S832" s="40"/>
      <c r="T832" s="40"/>
      <c r="U832" s="41"/>
      <c r="V832" s="41"/>
      <c r="W832" s="41"/>
      <c r="X832" s="36"/>
      <c r="Y832" s="36"/>
      <c r="Z832" s="36"/>
      <c r="AA832" s="36"/>
      <c r="AB832" s="36"/>
      <c r="AC832" s="36"/>
    </row>
    <row r="833" spans="17:29" x14ac:dyDescent="0.2">
      <c r="Q833" s="36"/>
      <c r="R833" s="40"/>
      <c r="S833" s="40"/>
      <c r="T833" s="40"/>
      <c r="U833" s="41"/>
      <c r="V833" s="41"/>
      <c r="W833" s="41"/>
      <c r="X833" s="36"/>
      <c r="Y833" s="36"/>
      <c r="Z833" s="36"/>
      <c r="AA833" s="36"/>
      <c r="AB833" s="36"/>
      <c r="AC833" s="36"/>
    </row>
    <row r="834" spans="17:29" x14ac:dyDescent="0.2">
      <c r="Q834" s="36"/>
      <c r="R834" s="40"/>
      <c r="S834" s="40"/>
      <c r="T834" s="40"/>
      <c r="U834" s="41"/>
      <c r="V834" s="41"/>
      <c r="W834" s="41"/>
      <c r="X834" s="36"/>
      <c r="Y834" s="36"/>
      <c r="Z834" s="36"/>
      <c r="AA834" s="36"/>
      <c r="AB834" s="36"/>
      <c r="AC834" s="36"/>
    </row>
    <row r="835" spans="17:29" x14ac:dyDescent="0.2">
      <c r="Q835" s="36"/>
      <c r="R835" s="40"/>
      <c r="S835" s="40"/>
      <c r="T835" s="40"/>
      <c r="U835" s="41"/>
      <c r="V835" s="41"/>
      <c r="W835" s="41"/>
      <c r="X835" s="36"/>
      <c r="Y835" s="36"/>
      <c r="Z835" s="36"/>
      <c r="AA835" s="36"/>
      <c r="AB835" s="36"/>
      <c r="AC835" s="36"/>
    </row>
    <row r="836" spans="17:29" x14ac:dyDescent="0.2">
      <c r="Q836" s="36"/>
      <c r="R836" s="40"/>
      <c r="S836" s="40"/>
      <c r="T836" s="40"/>
      <c r="U836" s="41"/>
      <c r="V836" s="41"/>
      <c r="W836" s="41"/>
      <c r="X836" s="36"/>
      <c r="Y836" s="36"/>
      <c r="Z836" s="36"/>
      <c r="AA836" s="36"/>
      <c r="AB836" s="36"/>
      <c r="AC836" s="36"/>
    </row>
    <row r="837" spans="17:29" x14ac:dyDescent="0.2">
      <c r="Q837" s="36"/>
      <c r="R837" s="40"/>
      <c r="S837" s="40"/>
      <c r="T837" s="40"/>
      <c r="U837" s="41"/>
      <c r="V837" s="41"/>
      <c r="W837" s="41"/>
      <c r="X837" s="36"/>
      <c r="Y837" s="36"/>
      <c r="Z837" s="36"/>
      <c r="AA837" s="36"/>
      <c r="AB837" s="36"/>
      <c r="AC837" s="36"/>
    </row>
    <row r="838" spans="17:29" x14ac:dyDescent="0.2">
      <c r="Q838" s="36"/>
      <c r="R838" s="40"/>
      <c r="S838" s="40"/>
      <c r="T838" s="40"/>
      <c r="U838" s="41"/>
      <c r="V838" s="41"/>
      <c r="W838" s="41"/>
      <c r="X838" s="36"/>
      <c r="Y838" s="36"/>
      <c r="Z838" s="36"/>
      <c r="AA838" s="36"/>
      <c r="AB838" s="36"/>
      <c r="AC838" s="36"/>
    </row>
    <row r="839" spans="17:29" x14ac:dyDescent="0.2">
      <c r="Q839" s="36"/>
      <c r="R839" s="40"/>
      <c r="S839" s="40"/>
      <c r="T839" s="40"/>
      <c r="U839" s="41"/>
      <c r="V839" s="41"/>
      <c r="W839" s="41"/>
      <c r="X839" s="36"/>
      <c r="Y839" s="36"/>
      <c r="Z839" s="36"/>
      <c r="AA839" s="36"/>
      <c r="AB839" s="36"/>
      <c r="AC839" s="36"/>
    </row>
    <row r="840" spans="17:29" x14ac:dyDescent="0.2">
      <c r="Q840" s="36"/>
      <c r="R840" s="40"/>
      <c r="S840" s="40"/>
      <c r="T840" s="40"/>
      <c r="U840" s="41"/>
      <c r="V840" s="41"/>
      <c r="W840" s="41"/>
      <c r="X840" s="36"/>
      <c r="Y840" s="36"/>
      <c r="Z840" s="36"/>
      <c r="AA840" s="36"/>
      <c r="AB840" s="36"/>
      <c r="AC840" s="36"/>
    </row>
    <row r="841" spans="17:29" x14ac:dyDescent="0.2">
      <c r="Q841" s="36"/>
      <c r="R841" s="40"/>
      <c r="S841" s="40"/>
      <c r="T841" s="40"/>
      <c r="U841" s="41"/>
      <c r="V841" s="41"/>
      <c r="W841" s="41"/>
      <c r="X841" s="36"/>
      <c r="Y841" s="36"/>
      <c r="Z841" s="36"/>
      <c r="AA841" s="36"/>
      <c r="AB841" s="36"/>
      <c r="AC841" s="36"/>
    </row>
    <row r="842" spans="17:29" x14ac:dyDescent="0.2">
      <c r="Q842" s="36"/>
      <c r="R842" s="40"/>
      <c r="S842" s="40"/>
      <c r="T842" s="40"/>
      <c r="U842" s="41"/>
      <c r="V842" s="41"/>
      <c r="W842" s="41"/>
      <c r="X842" s="36"/>
      <c r="Y842" s="36"/>
      <c r="Z842" s="36"/>
      <c r="AA842" s="36"/>
      <c r="AB842" s="36"/>
      <c r="AC842" s="36"/>
    </row>
    <row r="843" spans="17:29" x14ac:dyDescent="0.2">
      <c r="Q843" s="36"/>
      <c r="R843" s="40"/>
      <c r="S843" s="40"/>
      <c r="T843" s="40"/>
      <c r="U843" s="41"/>
      <c r="V843" s="41"/>
      <c r="W843" s="41"/>
      <c r="X843" s="36"/>
      <c r="Y843" s="36"/>
      <c r="Z843" s="36"/>
      <c r="AA843" s="36"/>
      <c r="AB843" s="36"/>
      <c r="AC843" s="36"/>
    </row>
    <row r="844" spans="17:29" x14ac:dyDescent="0.2">
      <c r="Q844" s="36"/>
      <c r="R844" s="40"/>
      <c r="S844" s="40"/>
      <c r="T844" s="40"/>
      <c r="U844" s="41"/>
      <c r="V844" s="41"/>
      <c r="W844" s="41"/>
      <c r="X844" s="36"/>
      <c r="Y844" s="36"/>
      <c r="Z844" s="36"/>
      <c r="AA844" s="36"/>
      <c r="AB844" s="36"/>
      <c r="AC844" s="36"/>
    </row>
    <row r="845" spans="17:29" x14ac:dyDescent="0.2">
      <c r="Q845" s="36"/>
      <c r="R845" s="40"/>
      <c r="S845" s="40"/>
      <c r="T845" s="40"/>
      <c r="U845" s="41"/>
      <c r="V845" s="41"/>
      <c r="W845" s="41"/>
      <c r="X845" s="36"/>
      <c r="Y845" s="36"/>
      <c r="Z845" s="36"/>
      <c r="AA845" s="36"/>
      <c r="AB845" s="36"/>
      <c r="AC845" s="36"/>
    </row>
    <row r="846" spans="17:29" x14ac:dyDescent="0.2">
      <c r="Q846" s="36"/>
      <c r="R846" s="40"/>
      <c r="S846" s="40"/>
      <c r="T846" s="40"/>
      <c r="U846" s="41"/>
      <c r="V846" s="41"/>
      <c r="W846" s="41"/>
      <c r="X846" s="36"/>
      <c r="Y846" s="36"/>
      <c r="Z846" s="36"/>
      <c r="AA846" s="36"/>
      <c r="AB846" s="36"/>
      <c r="AC846" s="36"/>
    </row>
    <row r="847" spans="17:29" x14ac:dyDescent="0.2">
      <c r="Q847" s="36"/>
      <c r="R847" s="40"/>
      <c r="S847" s="40"/>
      <c r="T847" s="40"/>
      <c r="U847" s="41"/>
      <c r="V847" s="41"/>
      <c r="W847" s="41"/>
      <c r="X847" s="36"/>
      <c r="Y847" s="36"/>
      <c r="Z847" s="36"/>
      <c r="AA847" s="36"/>
      <c r="AB847" s="36"/>
      <c r="AC847" s="36"/>
    </row>
    <row r="848" spans="17:29" x14ac:dyDescent="0.2">
      <c r="Q848" s="36"/>
      <c r="R848" s="40"/>
      <c r="S848" s="40"/>
      <c r="T848" s="40"/>
      <c r="U848" s="41"/>
      <c r="V848" s="41"/>
      <c r="W848" s="41"/>
      <c r="X848" s="36"/>
      <c r="Y848" s="36"/>
      <c r="Z848" s="36"/>
      <c r="AA848" s="36"/>
      <c r="AB848" s="36"/>
      <c r="AC848" s="36"/>
    </row>
    <row r="849" spans="17:29" x14ac:dyDescent="0.2">
      <c r="Q849" s="36"/>
      <c r="R849" s="40"/>
      <c r="S849" s="40"/>
      <c r="T849" s="40"/>
      <c r="U849" s="41"/>
      <c r="V849" s="41"/>
      <c r="W849" s="41"/>
      <c r="X849" s="36"/>
      <c r="Y849" s="36"/>
      <c r="Z849" s="36"/>
      <c r="AA849" s="36"/>
      <c r="AB849" s="36"/>
      <c r="AC849" s="36"/>
    </row>
    <row r="850" spans="17:29" x14ac:dyDescent="0.2">
      <c r="Q850" s="36"/>
      <c r="R850" s="40"/>
      <c r="S850" s="40"/>
      <c r="T850" s="40"/>
      <c r="U850" s="41"/>
      <c r="V850" s="41"/>
      <c r="W850" s="41"/>
      <c r="X850" s="36"/>
      <c r="Y850" s="36"/>
      <c r="Z850" s="36"/>
      <c r="AA850" s="36"/>
      <c r="AB850" s="36"/>
      <c r="AC850" s="36"/>
    </row>
    <row r="851" spans="17:29" x14ac:dyDescent="0.2">
      <c r="Q851" s="36"/>
      <c r="R851" s="40"/>
      <c r="S851" s="40"/>
      <c r="T851" s="40"/>
      <c r="U851" s="41"/>
      <c r="V851" s="41"/>
      <c r="W851" s="41"/>
      <c r="X851" s="36"/>
      <c r="Y851" s="36"/>
      <c r="Z851" s="36"/>
      <c r="AA851" s="36"/>
      <c r="AB851" s="36"/>
      <c r="AC851" s="36"/>
    </row>
    <row r="852" spans="17:29" x14ac:dyDescent="0.2">
      <c r="Q852" s="36"/>
      <c r="R852" s="40"/>
      <c r="S852" s="40"/>
      <c r="T852" s="40"/>
      <c r="U852" s="41"/>
      <c r="V852" s="41"/>
      <c r="W852" s="41"/>
      <c r="X852" s="36"/>
      <c r="Y852" s="36"/>
      <c r="Z852" s="36"/>
      <c r="AA852" s="36"/>
      <c r="AB852" s="36"/>
      <c r="AC852" s="36"/>
    </row>
    <row r="853" spans="17:29" x14ac:dyDescent="0.2">
      <c r="Q853" s="36"/>
      <c r="R853" s="40"/>
      <c r="S853" s="40"/>
      <c r="T853" s="40"/>
      <c r="U853" s="41"/>
      <c r="V853" s="41"/>
      <c r="W853" s="41"/>
      <c r="X853" s="36"/>
      <c r="Y853" s="36"/>
      <c r="Z853" s="36"/>
      <c r="AA853" s="36"/>
      <c r="AB853" s="36"/>
      <c r="AC853" s="36"/>
    </row>
    <row r="854" spans="17:29" x14ac:dyDescent="0.2">
      <c r="Q854" s="36"/>
      <c r="R854" s="40"/>
      <c r="S854" s="40"/>
      <c r="T854" s="40"/>
      <c r="U854" s="41"/>
      <c r="V854" s="41"/>
      <c r="W854" s="41"/>
      <c r="X854" s="36"/>
      <c r="Y854" s="36"/>
      <c r="Z854" s="36"/>
      <c r="AA854" s="36"/>
      <c r="AB854" s="36"/>
      <c r="AC854" s="36"/>
    </row>
    <row r="855" spans="17:29" x14ac:dyDescent="0.2">
      <c r="Q855" s="36"/>
      <c r="R855" s="40"/>
      <c r="S855" s="40"/>
      <c r="T855" s="40"/>
      <c r="U855" s="41"/>
      <c r="V855" s="41"/>
      <c r="W855" s="41"/>
      <c r="X855" s="36"/>
      <c r="Y855" s="36"/>
      <c r="Z855" s="36"/>
      <c r="AA855" s="36"/>
      <c r="AB855" s="36"/>
      <c r="AC855" s="36"/>
    </row>
    <row r="856" spans="17:29" x14ac:dyDescent="0.2">
      <c r="Q856" s="36"/>
      <c r="R856" s="40"/>
      <c r="S856" s="40"/>
      <c r="T856" s="40"/>
      <c r="U856" s="41"/>
      <c r="V856" s="41"/>
      <c r="W856" s="41"/>
      <c r="X856" s="36"/>
      <c r="Y856" s="36"/>
      <c r="Z856" s="36"/>
      <c r="AA856" s="36"/>
      <c r="AB856" s="36"/>
      <c r="AC856" s="36"/>
    </row>
    <row r="857" spans="17:29" x14ac:dyDescent="0.2">
      <c r="Q857" s="36"/>
      <c r="R857" s="40"/>
      <c r="S857" s="40"/>
      <c r="T857" s="40"/>
      <c r="U857" s="41"/>
      <c r="V857" s="41"/>
      <c r="W857" s="41"/>
      <c r="X857" s="36"/>
      <c r="Y857" s="36"/>
      <c r="Z857" s="36"/>
      <c r="AA857" s="36"/>
      <c r="AB857" s="36"/>
      <c r="AC857" s="36"/>
    </row>
    <row r="858" spans="17:29" x14ac:dyDescent="0.2">
      <c r="Q858" s="36"/>
      <c r="R858" s="40"/>
      <c r="S858" s="40"/>
      <c r="T858" s="40"/>
      <c r="U858" s="41"/>
      <c r="V858" s="41"/>
      <c r="W858" s="41"/>
      <c r="X858" s="36"/>
      <c r="Y858" s="36"/>
      <c r="Z858" s="36"/>
      <c r="AA858" s="36"/>
      <c r="AB858" s="36"/>
      <c r="AC858" s="36"/>
    </row>
    <row r="859" spans="17:29" x14ac:dyDescent="0.2">
      <c r="Q859" s="36"/>
      <c r="R859" s="40"/>
      <c r="S859" s="40"/>
      <c r="T859" s="40"/>
      <c r="U859" s="41"/>
      <c r="V859" s="41"/>
      <c r="W859" s="41"/>
      <c r="X859" s="36"/>
      <c r="Y859" s="36"/>
      <c r="Z859" s="36"/>
      <c r="AA859" s="36"/>
      <c r="AB859" s="36"/>
      <c r="AC859" s="36"/>
    </row>
    <row r="860" spans="17:29" x14ac:dyDescent="0.2">
      <c r="Q860" s="36"/>
      <c r="R860" s="40"/>
      <c r="S860" s="40"/>
      <c r="T860" s="40"/>
      <c r="U860" s="41"/>
      <c r="V860" s="41"/>
      <c r="W860" s="41"/>
      <c r="X860" s="36"/>
      <c r="Y860" s="36"/>
      <c r="Z860" s="36"/>
      <c r="AA860" s="36"/>
      <c r="AB860" s="36"/>
      <c r="AC860" s="36"/>
    </row>
    <row r="861" spans="17:29" x14ac:dyDescent="0.2">
      <c r="Q861" s="36"/>
      <c r="R861" s="40"/>
      <c r="S861" s="40"/>
      <c r="T861" s="40"/>
      <c r="U861" s="41"/>
      <c r="V861" s="41"/>
      <c r="W861" s="41"/>
      <c r="X861" s="36"/>
      <c r="Y861" s="36"/>
      <c r="Z861" s="36"/>
      <c r="AA861" s="36"/>
      <c r="AB861" s="36"/>
      <c r="AC861" s="36"/>
    </row>
    <row r="862" spans="17:29" x14ac:dyDescent="0.2">
      <c r="Q862" s="36"/>
      <c r="R862" s="40"/>
      <c r="S862" s="40"/>
      <c r="T862" s="40"/>
      <c r="U862" s="41"/>
      <c r="V862" s="41"/>
      <c r="W862" s="41"/>
      <c r="X862" s="36"/>
      <c r="Y862" s="36"/>
      <c r="Z862" s="36"/>
      <c r="AA862" s="36"/>
      <c r="AB862" s="36"/>
      <c r="AC862" s="36"/>
    </row>
    <row r="863" spans="17:29" x14ac:dyDescent="0.2">
      <c r="Q863" s="36"/>
      <c r="R863" s="40"/>
      <c r="S863" s="40"/>
      <c r="T863" s="40"/>
      <c r="U863" s="41"/>
      <c r="V863" s="41"/>
      <c r="W863" s="41"/>
      <c r="X863" s="36"/>
      <c r="Y863" s="36"/>
      <c r="Z863" s="36"/>
      <c r="AA863" s="36"/>
      <c r="AB863" s="36"/>
      <c r="AC863" s="36"/>
    </row>
    <row r="864" spans="17:29" x14ac:dyDescent="0.2">
      <c r="Q864" s="36"/>
      <c r="R864" s="40"/>
      <c r="S864" s="40"/>
      <c r="T864" s="40"/>
      <c r="U864" s="41"/>
      <c r="V864" s="41"/>
      <c r="W864" s="41"/>
      <c r="X864" s="36"/>
      <c r="Y864" s="36"/>
      <c r="Z864" s="36"/>
      <c r="AA864" s="36"/>
      <c r="AB864" s="36"/>
      <c r="AC864" s="36"/>
    </row>
    <row r="865" spans="17:29" x14ac:dyDescent="0.2">
      <c r="Q865" s="36"/>
      <c r="R865" s="40"/>
      <c r="S865" s="40"/>
      <c r="T865" s="40"/>
      <c r="U865" s="41"/>
      <c r="V865" s="41"/>
      <c r="W865" s="41"/>
      <c r="X865" s="36"/>
      <c r="Y865" s="36"/>
      <c r="Z865" s="36"/>
      <c r="AA865" s="36"/>
      <c r="AB865" s="36"/>
      <c r="AC865" s="36"/>
    </row>
    <row r="866" spans="17:29" x14ac:dyDescent="0.2">
      <c r="Q866" s="36"/>
      <c r="R866" s="40"/>
      <c r="S866" s="40"/>
      <c r="T866" s="40"/>
      <c r="U866" s="41"/>
      <c r="V866" s="41"/>
      <c r="W866" s="41"/>
      <c r="X866" s="36"/>
      <c r="Y866" s="36"/>
      <c r="Z866" s="36"/>
      <c r="AA866" s="36"/>
      <c r="AB866" s="36"/>
      <c r="AC866" s="36"/>
    </row>
    <row r="867" spans="17:29" x14ac:dyDescent="0.2">
      <c r="Q867" s="36"/>
      <c r="R867" s="40"/>
      <c r="S867" s="40"/>
      <c r="T867" s="40"/>
      <c r="U867" s="41"/>
      <c r="V867" s="41"/>
      <c r="W867" s="41"/>
      <c r="X867" s="36"/>
      <c r="Y867" s="36"/>
      <c r="Z867" s="36"/>
      <c r="AA867" s="36"/>
      <c r="AB867" s="36"/>
      <c r="AC867" s="36"/>
    </row>
    <row r="868" spans="17:29" x14ac:dyDescent="0.2">
      <c r="Q868" s="36"/>
      <c r="R868" s="40"/>
      <c r="S868" s="40"/>
      <c r="T868" s="40"/>
      <c r="U868" s="41"/>
      <c r="V868" s="41"/>
      <c r="W868" s="41"/>
      <c r="X868" s="36"/>
      <c r="Y868" s="36"/>
      <c r="Z868" s="36"/>
      <c r="AA868" s="36"/>
      <c r="AB868" s="36"/>
      <c r="AC868" s="36"/>
    </row>
    <row r="869" spans="17:29" x14ac:dyDescent="0.2">
      <c r="Q869" s="36"/>
      <c r="R869" s="40"/>
      <c r="S869" s="40"/>
      <c r="T869" s="40"/>
      <c r="U869" s="41"/>
      <c r="V869" s="41"/>
      <c r="W869" s="41"/>
      <c r="X869" s="36"/>
      <c r="Y869" s="36"/>
      <c r="Z869" s="36"/>
      <c r="AA869" s="36"/>
      <c r="AB869" s="36"/>
      <c r="AC869" s="36"/>
    </row>
    <row r="870" spans="17:29" x14ac:dyDescent="0.2">
      <c r="Q870" s="36"/>
      <c r="R870" s="40"/>
      <c r="S870" s="40"/>
      <c r="T870" s="40"/>
      <c r="U870" s="41"/>
      <c r="V870" s="41"/>
      <c r="W870" s="41"/>
      <c r="X870" s="36"/>
      <c r="Y870" s="36"/>
      <c r="Z870" s="36"/>
      <c r="AA870" s="36"/>
      <c r="AB870" s="36"/>
      <c r="AC870" s="36"/>
    </row>
    <row r="871" spans="17:29" x14ac:dyDescent="0.2">
      <c r="Q871" s="36"/>
      <c r="R871" s="40"/>
      <c r="S871" s="40"/>
      <c r="T871" s="40"/>
      <c r="U871" s="41"/>
      <c r="V871" s="41"/>
      <c r="W871" s="41"/>
      <c r="X871" s="36"/>
      <c r="Y871" s="36"/>
      <c r="Z871" s="36"/>
      <c r="AA871" s="36"/>
      <c r="AB871" s="36"/>
      <c r="AC871" s="36"/>
    </row>
    <row r="872" spans="17:29" x14ac:dyDescent="0.2">
      <c r="Q872" s="36"/>
      <c r="R872" s="40"/>
      <c r="S872" s="40"/>
      <c r="T872" s="40"/>
      <c r="U872" s="41"/>
      <c r="V872" s="41"/>
      <c r="W872" s="41"/>
      <c r="X872" s="36"/>
      <c r="Y872" s="36"/>
      <c r="Z872" s="36"/>
      <c r="AA872" s="36"/>
      <c r="AB872" s="36"/>
      <c r="AC872" s="36"/>
    </row>
    <row r="873" spans="17:29" x14ac:dyDescent="0.2">
      <c r="Q873" s="36"/>
      <c r="R873" s="40"/>
      <c r="S873" s="40"/>
      <c r="T873" s="40"/>
      <c r="U873" s="41"/>
      <c r="V873" s="41"/>
      <c r="W873" s="41"/>
      <c r="X873" s="36"/>
      <c r="Y873" s="36"/>
      <c r="Z873" s="36"/>
      <c r="AA873" s="36"/>
      <c r="AB873" s="36"/>
      <c r="AC873" s="36"/>
    </row>
    <row r="874" spans="17:29" x14ac:dyDescent="0.2">
      <c r="Q874" s="36"/>
      <c r="R874" s="40"/>
      <c r="S874" s="40"/>
      <c r="T874" s="40"/>
      <c r="U874" s="41"/>
      <c r="V874" s="41"/>
      <c r="W874" s="41"/>
      <c r="X874" s="36"/>
      <c r="Y874" s="36"/>
      <c r="Z874" s="36"/>
      <c r="AA874" s="36"/>
      <c r="AB874" s="36"/>
      <c r="AC874" s="36"/>
    </row>
    <row r="875" spans="17:29" x14ac:dyDescent="0.2">
      <c r="Q875" s="36"/>
      <c r="R875" s="40"/>
      <c r="S875" s="40"/>
      <c r="T875" s="40"/>
      <c r="U875" s="41"/>
      <c r="V875" s="41"/>
      <c r="W875" s="41"/>
      <c r="X875" s="36"/>
      <c r="Y875" s="36"/>
      <c r="Z875" s="36"/>
      <c r="AA875" s="36"/>
      <c r="AB875" s="36"/>
      <c r="AC875" s="36"/>
    </row>
    <row r="876" spans="17:29" x14ac:dyDescent="0.2">
      <c r="Q876" s="36"/>
      <c r="R876" s="40"/>
      <c r="S876" s="40"/>
      <c r="T876" s="40"/>
      <c r="U876" s="41"/>
      <c r="V876" s="41"/>
      <c r="W876" s="41"/>
      <c r="X876" s="36"/>
      <c r="Y876" s="36"/>
      <c r="Z876" s="36"/>
      <c r="AA876" s="36"/>
      <c r="AB876" s="36"/>
      <c r="AC876" s="36"/>
    </row>
    <row r="877" spans="17:29" x14ac:dyDescent="0.2">
      <c r="Q877" s="36"/>
      <c r="R877" s="40"/>
      <c r="S877" s="40"/>
      <c r="T877" s="40"/>
      <c r="U877" s="41"/>
      <c r="V877" s="41"/>
      <c r="W877" s="41"/>
      <c r="X877" s="36"/>
      <c r="Y877" s="36"/>
      <c r="Z877" s="36"/>
      <c r="AA877" s="36"/>
      <c r="AB877" s="36"/>
      <c r="AC877" s="36"/>
    </row>
    <row r="878" spans="17:29" x14ac:dyDescent="0.2">
      <c r="Q878" s="36"/>
      <c r="R878" s="40"/>
      <c r="S878" s="40"/>
      <c r="T878" s="40"/>
      <c r="U878" s="41"/>
      <c r="V878" s="41"/>
      <c r="W878" s="41"/>
      <c r="X878" s="36"/>
      <c r="Y878" s="36"/>
      <c r="Z878" s="36"/>
      <c r="AA878" s="36"/>
      <c r="AB878" s="36"/>
      <c r="AC878" s="36"/>
    </row>
    <row r="879" spans="17:29" x14ac:dyDescent="0.2">
      <c r="Q879" s="36"/>
      <c r="R879" s="40"/>
      <c r="S879" s="40"/>
      <c r="T879" s="40"/>
      <c r="U879" s="41"/>
      <c r="V879" s="41"/>
      <c r="W879" s="41"/>
      <c r="X879" s="36"/>
      <c r="Y879" s="36"/>
      <c r="Z879" s="36"/>
      <c r="AA879" s="36"/>
      <c r="AB879" s="36"/>
      <c r="AC879" s="36"/>
    </row>
    <row r="880" spans="17:29" x14ac:dyDescent="0.2">
      <c r="Q880" s="36"/>
      <c r="R880" s="40"/>
      <c r="S880" s="40"/>
      <c r="T880" s="40"/>
      <c r="U880" s="41"/>
      <c r="V880" s="41"/>
      <c r="W880" s="41"/>
      <c r="X880" s="36"/>
      <c r="Y880" s="36"/>
      <c r="Z880" s="36"/>
      <c r="AA880" s="36"/>
      <c r="AB880" s="36"/>
      <c r="AC880" s="36"/>
    </row>
    <row r="881" spans="17:29" x14ac:dyDescent="0.2">
      <c r="Q881" s="36"/>
      <c r="R881" s="40"/>
      <c r="S881" s="40"/>
      <c r="T881" s="40"/>
      <c r="U881" s="41"/>
      <c r="V881" s="41"/>
      <c r="W881" s="41"/>
      <c r="X881" s="36"/>
      <c r="Y881" s="36"/>
      <c r="Z881" s="36"/>
      <c r="AA881" s="36"/>
      <c r="AB881" s="36"/>
      <c r="AC881" s="36"/>
    </row>
    <row r="882" spans="17:29" x14ac:dyDescent="0.2">
      <c r="Q882" s="36"/>
      <c r="R882" s="40"/>
      <c r="S882" s="40"/>
      <c r="T882" s="40"/>
      <c r="U882" s="41"/>
      <c r="V882" s="41"/>
      <c r="W882" s="41"/>
      <c r="X882" s="36"/>
      <c r="Y882" s="36"/>
      <c r="Z882" s="36"/>
      <c r="AA882" s="36"/>
      <c r="AB882" s="36"/>
      <c r="AC882" s="36"/>
    </row>
    <row r="883" spans="17:29" x14ac:dyDescent="0.2">
      <c r="Q883" s="36"/>
      <c r="R883" s="40"/>
      <c r="S883" s="40"/>
      <c r="T883" s="40"/>
      <c r="U883" s="41"/>
      <c r="V883" s="41"/>
      <c r="W883" s="41"/>
      <c r="X883" s="36"/>
      <c r="Y883" s="36"/>
      <c r="Z883" s="36"/>
      <c r="AA883" s="36"/>
      <c r="AB883" s="36"/>
      <c r="AC883" s="36"/>
    </row>
    <row r="884" spans="17:29" x14ac:dyDescent="0.2">
      <c r="Q884" s="36"/>
      <c r="R884" s="40"/>
      <c r="S884" s="40"/>
      <c r="T884" s="40"/>
      <c r="U884" s="41"/>
      <c r="V884" s="41"/>
      <c r="W884" s="41"/>
      <c r="X884" s="36"/>
      <c r="Y884" s="36"/>
      <c r="Z884" s="36"/>
      <c r="AA884" s="36"/>
      <c r="AB884" s="36"/>
      <c r="AC884" s="36"/>
    </row>
    <row r="885" spans="17:29" x14ac:dyDescent="0.2">
      <c r="Q885" s="36"/>
      <c r="R885" s="40"/>
      <c r="S885" s="40"/>
      <c r="T885" s="40"/>
      <c r="U885" s="41"/>
      <c r="V885" s="41"/>
      <c r="W885" s="41"/>
      <c r="X885" s="36"/>
      <c r="Y885" s="36"/>
      <c r="Z885" s="36"/>
      <c r="AA885" s="36"/>
      <c r="AB885" s="36"/>
      <c r="AC885" s="36"/>
    </row>
    <row r="886" spans="17:29" x14ac:dyDescent="0.2">
      <c r="Q886" s="36"/>
      <c r="R886" s="40"/>
      <c r="S886" s="40"/>
      <c r="T886" s="40"/>
      <c r="U886" s="41"/>
      <c r="V886" s="41"/>
      <c r="W886" s="41"/>
      <c r="X886" s="36"/>
      <c r="Y886" s="36"/>
      <c r="Z886" s="36"/>
      <c r="AA886" s="36"/>
      <c r="AB886" s="36"/>
      <c r="AC886" s="36"/>
    </row>
    <row r="887" spans="17:29" x14ac:dyDescent="0.2">
      <c r="Q887" s="36"/>
      <c r="R887" s="40"/>
      <c r="S887" s="40"/>
      <c r="T887" s="40"/>
      <c r="U887" s="41"/>
      <c r="V887" s="41"/>
      <c r="W887" s="41"/>
      <c r="X887" s="36"/>
      <c r="Y887" s="36"/>
      <c r="Z887" s="36"/>
      <c r="AA887" s="36"/>
      <c r="AB887" s="36"/>
      <c r="AC887" s="36"/>
    </row>
    <row r="888" spans="17:29" x14ac:dyDescent="0.2">
      <c r="Q888" s="36"/>
      <c r="R888" s="40"/>
      <c r="S888" s="40"/>
      <c r="T888" s="40"/>
      <c r="U888" s="41"/>
      <c r="V888" s="41"/>
      <c r="W888" s="41"/>
      <c r="X888" s="36"/>
      <c r="Y888" s="36"/>
      <c r="Z888" s="36"/>
      <c r="AA888" s="36"/>
      <c r="AB888" s="36"/>
      <c r="AC888" s="36"/>
    </row>
    <row r="889" spans="17:29" x14ac:dyDescent="0.2">
      <c r="Q889" s="36"/>
      <c r="R889" s="40"/>
      <c r="S889" s="40"/>
      <c r="T889" s="40"/>
      <c r="U889" s="41"/>
      <c r="V889" s="41"/>
      <c r="W889" s="41"/>
      <c r="X889" s="36"/>
      <c r="Y889" s="36"/>
      <c r="Z889" s="36"/>
      <c r="AA889" s="36"/>
      <c r="AB889" s="36"/>
      <c r="AC889" s="36"/>
    </row>
    <row r="890" spans="17:29" x14ac:dyDescent="0.2">
      <c r="Q890" s="36"/>
      <c r="R890" s="40"/>
      <c r="S890" s="40"/>
      <c r="T890" s="40"/>
      <c r="U890" s="41"/>
      <c r="V890" s="41"/>
      <c r="W890" s="41"/>
      <c r="X890" s="36"/>
      <c r="Y890" s="36"/>
      <c r="Z890" s="36"/>
      <c r="AA890" s="36"/>
      <c r="AB890" s="36"/>
      <c r="AC890" s="36"/>
    </row>
    <row r="891" spans="17:29" x14ac:dyDescent="0.2">
      <c r="Q891" s="36"/>
      <c r="R891" s="40"/>
      <c r="S891" s="40"/>
      <c r="T891" s="40"/>
      <c r="U891" s="41"/>
      <c r="V891" s="41"/>
      <c r="W891" s="41"/>
      <c r="X891" s="36"/>
      <c r="Y891" s="36"/>
      <c r="Z891" s="36"/>
      <c r="AA891" s="36"/>
      <c r="AB891" s="36"/>
      <c r="AC891" s="36"/>
    </row>
    <row r="892" spans="17:29" x14ac:dyDescent="0.2">
      <c r="Q892" s="36"/>
      <c r="R892" s="40"/>
      <c r="S892" s="40"/>
      <c r="T892" s="40"/>
      <c r="U892" s="41"/>
      <c r="V892" s="41"/>
      <c r="W892" s="41"/>
      <c r="X892" s="36"/>
      <c r="Y892" s="36"/>
      <c r="Z892" s="36"/>
      <c r="AA892" s="36"/>
      <c r="AB892" s="36"/>
      <c r="AC892" s="36"/>
    </row>
    <row r="893" spans="17:29" x14ac:dyDescent="0.2">
      <c r="Q893" s="36"/>
      <c r="R893" s="40"/>
      <c r="S893" s="40"/>
      <c r="T893" s="40"/>
      <c r="U893" s="41"/>
      <c r="V893" s="41"/>
      <c r="W893" s="41"/>
      <c r="X893" s="36"/>
      <c r="Y893" s="36"/>
      <c r="Z893" s="36"/>
      <c r="AA893" s="36"/>
      <c r="AB893" s="36"/>
      <c r="AC893" s="36"/>
    </row>
    <row r="894" spans="17:29" x14ac:dyDescent="0.2">
      <c r="Q894" s="36"/>
      <c r="R894" s="40"/>
      <c r="S894" s="40"/>
      <c r="T894" s="40"/>
      <c r="U894" s="41"/>
      <c r="V894" s="41"/>
      <c r="W894" s="41"/>
      <c r="X894" s="36"/>
      <c r="Y894" s="36"/>
      <c r="Z894" s="36"/>
      <c r="AA894" s="36"/>
      <c r="AB894" s="36"/>
      <c r="AC894" s="36"/>
    </row>
    <row r="895" spans="17:29" x14ac:dyDescent="0.2">
      <c r="Q895" s="36"/>
      <c r="R895" s="40"/>
      <c r="S895" s="40"/>
      <c r="T895" s="40"/>
      <c r="U895" s="41"/>
      <c r="V895" s="41"/>
      <c r="W895" s="41"/>
      <c r="X895" s="36"/>
      <c r="Y895" s="36"/>
      <c r="Z895" s="36"/>
      <c r="AA895" s="36"/>
      <c r="AB895" s="36"/>
      <c r="AC895" s="36"/>
    </row>
    <row r="896" spans="17:29" x14ac:dyDescent="0.2">
      <c r="Q896" s="36"/>
      <c r="R896" s="40"/>
      <c r="S896" s="40"/>
      <c r="T896" s="40"/>
      <c r="U896" s="41"/>
      <c r="V896" s="41"/>
      <c r="W896" s="41"/>
      <c r="X896" s="36"/>
      <c r="Y896" s="36"/>
      <c r="Z896" s="36"/>
      <c r="AA896" s="36"/>
      <c r="AB896" s="36"/>
      <c r="AC896" s="36"/>
    </row>
    <row r="897" spans="17:29" x14ac:dyDescent="0.2">
      <c r="Q897" s="36"/>
      <c r="R897" s="40"/>
      <c r="S897" s="40"/>
      <c r="T897" s="40"/>
      <c r="U897" s="41"/>
      <c r="V897" s="41"/>
      <c r="W897" s="41"/>
      <c r="X897" s="36"/>
      <c r="Y897" s="36"/>
      <c r="Z897" s="36"/>
      <c r="AA897" s="36"/>
      <c r="AB897" s="36"/>
      <c r="AC897" s="36"/>
    </row>
    <row r="898" spans="17:29" x14ac:dyDescent="0.2">
      <c r="Q898" s="36"/>
      <c r="R898" s="40"/>
      <c r="S898" s="40"/>
      <c r="T898" s="40"/>
      <c r="U898" s="41"/>
      <c r="V898" s="41"/>
      <c r="W898" s="41"/>
      <c r="X898" s="36"/>
      <c r="Y898" s="36"/>
      <c r="Z898" s="36"/>
      <c r="AA898" s="36"/>
      <c r="AB898" s="36"/>
      <c r="AC898" s="36"/>
    </row>
    <row r="899" spans="17:29" x14ac:dyDescent="0.2">
      <c r="Q899" s="36"/>
      <c r="R899" s="40"/>
      <c r="S899" s="40"/>
      <c r="T899" s="40"/>
      <c r="U899" s="41"/>
      <c r="V899" s="41"/>
      <c r="W899" s="41"/>
      <c r="X899" s="36"/>
      <c r="Y899" s="36"/>
      <c r="Z899" s="36"/>
      <c r="AA899" s="36"/>
      <c r="AB899" s="36"/>
      <c r="AC899" s="36"/>
    </row>
    <row r="900" spans="17:29" x14ac:dyDescent="0.2">
      <c r="Q900" s="36"/>
      <c r="R900" s="40"/>
      <c r="S900" s="40"/>
      <c r="T900" s="40"/>
      <c r="U900" s="41"/>
      <c r="V900" s="41"/>
      <c r="W900" s="41"/>
      <c r="X900" s="36"/>
      <c r="Y900" s="36"/>
      <c r="Z900" s="36"/>
      <c r="AA900" s="36"/>
      <c r="AB900" s="36"/>
      <c r="AC900" s="36"/>
    </row>
    <row r="901" spans="17:29" x14ac:dyDescent="0.2">
      <c r="Q901" s="36"/>
      <c r="R901" s="40"/>
      <c r="S901" s="40"/>
      <c r="T901" s="40"/>
      <c r="U901" s="41"/>
      <c r="V901" s="41"/>
      <c r="W901" s="41"/>
      <c r="X901" s="36"/>
      <c r="Y901" s="36"/>
      <c r="Z901" s="36"/>
      <c r="AA901" s="36"/>
      <c r="AB901" s="36"/>
      <c r="AC901" s="36"/>
    </row>
    <row r="902" spans="17:29" x14ac:dyDescent="0.2">
      <c r="Q902" s="36"/>
      <c r="R902" s="40"/>
      <c r="S902" s="40"/>
      <c r="T902" s="40"/>
      <c r="U902" s="41"/>
      <c r="V902" s="41"/>
      <c r="W902" s="41"/>
      <c r="X902" s="36"/>
      <c r="Y902" s="36"/>
      <c r="Z902" s="36"/>
      <c r="AA902" s="36"/>
      <c r="AB902" s="36"/>
      <c r="AC902" s="36"/>
    </row>
    <row r="903" spans="17:29" x14ac:dyDescent="0.2">
      <c r="Q903" s="36"/>
      <c r="R903" s="40"/>
      <c r="S903" s="40"/>
      <c r="T903" s="40"/>
      <c r="U903" s="41"/>
      <c r="V903" s="41"/>
      <c r="W903" s="41"/>
      <c r="X903" s="36"/>
      <c r="Y903" s="36"/>
      <c r="Z903" s="36"/>
      <c r="AA903" s="36"/>
      <c r="AB903" s="36"/>
      <c r="AC903" s="36"/>
    </row>
    <row r="904" spans="17:29" x14ac:dyDescent="0.2">
      <c r="Q904" s="36"/>
      <c r="R904" s="40"/>
      <c r="S904" s="40"/>
      <c r="T904" s="40"/>
      <c r="U904" s="41"/>
      <c r="V904" s="41"/>
      <c r="W904" s="41"/>
      <c r="X904" s="36"/>
      <c r="Y904" s="36"/>
      <c r="Z904" s="36"/>
      <c r="AA904" s="36"/>
      <c r="AB904" s="36"/>
      <c r="AC904" s="36"/>
    </row>
    <row r="905" spans="17:29" x14ac:dyDescent="0.2">
      <c r="Q905" s="36"/>
      <c r="R905" s="40"/>
      <c r="S905" s="40"/>
      <c r="T905" s="40"/>
      <c r="U905" s="41"/>
      <c r="V905" s="41"/>
      <c r="W905" s="41"/>
      <c r="X905" s="36"/>
      <c r="Y905" s="36"/>
      <c r="Z905" s="36"/>
      <c r="AA905" s="36"/>
      <c r="AB905" s="36"/>
      <c r="AC905" s="36"/>
    </row>
    <row r="906" spans="17:29" x14ac:dyDescent="0.2">
      <c r="Q906" s="36"/>
      <c r="R906" s="40"/>
      <c r="S906" s="40"/>
      <c r="T906" s="40"/>
      <c r="U906" s="41"/>
      <c r="V906" s="41"/>
      <c r="W906" s="41"/>
      <c r="X906" s="36"/>
      <c r="Y906" s="36"/>
      <c r="Z906" s="36"/>
      <c r="AA906" s="36"/>
      <c r="AB906" s="36"/>
      <c r="AC906" s="36"/>
    </row>
    <row r="907" spans="17:29" x14ac:dyDescent="0.2">
      <c r="Q907" s="36"/>
      <c r="R907" s="40"/>
      <c r="S907" s="40"/>
      <c r="T907" s="40"/>
      <c r="U907" s="41"/>
      <c r="V907" s="41"/>
      <c r="W907" s="41"/>
      <c r="X907" s="36"/>
      <c r="Y907" s="36"/>
      <c r="Z907" s="36"/>
      <c r="AA907" s="36"/>
      <c r="AB907" s="36"/>
      <c r="AC907" s="36"/>
    </row>
    <row r="908" spans="17:29" x14ac:dyDescent="0.2">
      <c r="Q908" s="36"/>
      <c r="R908" s="40"/>
      <c r="S908" s="40"/>
      <c r="T908" s="40"/>
      <c r="U908" s="41"/>
      <c r="V908" s="41"/>
      <c r="W908" s="41"/>
      <c r="X908" s="36"/>
      <c r="Y908" s="36"/>
      <c r="Z908" s="36"/>
      <c r="AA908" s="36"/>
      <c r="AB908" s="36"/>
      <c r="AC908" s="36"/>
    </row>
    <row r="909" spans="17:29" x14ac:dyDescent="0.2">
      <c r="Q909" s="36"/>
      <c r="R909" s="40"/>
      <c r="S909" s="40"/>
      <c r="T909" s="40"/>
      <c r="U909" s="41"/>
      <c r="V909" s="41"/>
      <c r="W909" s="41"/>
      <c r="X909" s="36"/>
      <c r="Y909" s="36"/>
      <c r="Z909" s="36"/>
      <c r="AA909" s="36"/>
      <c r="AB909" s="36"/>
      <c r="AC909" s="36"/>
    </row>
    <row r="910" spans="17:29" x14ac:dyDescent="0.2">
      <c r="Q910" s="36"/>
      <c r="R910" s="40"/>
      <c r="S910" s="40"/>
      <c r="T910" s="40"/>
      <c r="U910" s="41"/>
      <c r="V910" s="41"/>
      <c r="W910" s="41"/>
      <c r="X910" s="36"/>
      <c r="Y910" s="36"/>
      <c r="Z910" s="36"/>
      <c r="AA910" s="36"/>
      <c r="AB910" s="36"/>
      <c r="AC910" s="36"/>
    </row>
    <row r="911" spans="17:29" x14ac:dyDescent="0.2">
      <c r="Q911" s="36"/>
      <c r="R911" s="40"/>
      <c r="S911" s="40"/>
      <c r="T911" s="40"/>
      <c r="U911" s="41"/>
      <c r="V911" s="41"/>
      <c r="W911" s="41"/>
      <c r="X911" s="36"/>
      <c r="Y911" s="36"/>
      <c r="Z911" s="36"/>
      <c r="AA911" s="36"/>
      <c r="AB911" s="36"/>
      <c r="AC911" s="36"/>
    </row>
    <row r="912" spans="17:29" x14ac:dyDescent="0.2">
      <c r="Q912" s="36"/>
      <c r="R912" s="40"/>
      <c r="S912" s="40"/>
      <c r="T912" s="40"/>
      <c r="U912" s="41"/>
      <c r="V912" s="41"/>
      <c r="W912" s="41"/>
      <c r="X912" s="36"/>
      <c r="Y912" s="36"/>
      <c r="Z912" s="36"/>
      <c r="AA912" s="36"/>
      <c r="AB912" s="36"/>
      <c r="AC912" s="36"/>
    </row>
    <row r="913" spans="17:29" x14ac:dyDescent="0.2">
      <c r="Q913" s="36"/>
      <c r="R913" s="40"/>
      <c r="S913" s="40"/>
      <c r="T913" s="40"/>
      <c r="U913" s="41"/>
      <c r="V913" s="41"/>
      <c r="W913" s="41"/>
      <c r="X913" s="36"/>
      <c r="Y913" s="36"/>
      <c r="Z913" s="36"/>
      <c r="AA913" s="36"/>
      <c r="AB913" s="36"/>
      <c r="AC913" s="36"/>
    </row>
    <row r="914" spans="17:29" x14ac:dyDescent="0.2">
      <c r="Q914" s="36"/>
      <c r="R914" s="40"/>
      <c r="S914" s="40"/>
      <c r="T914" s="40"/>
      <c r="U914" s="41"/>
      <c r="V914" s="41"/>
      <c r="W914" s="41"/>
      <c r="X914" s="36"/>
      <c r="Y914" s="36"/>
      <c r="Z914" s="36"/>
      <c r="AA914" s="36"/>
      <c r="AB914" s="36"/>
      <c r="AC914" s="36"/>
    </row>
    <row r="915" spans="17:29" x14ac:dyDescent="0.2">
      <c r="Q915" s="36"/>
      <c r="R915" s="40"/>
      <c r="S915" s="40"/>
      <c r="T915" s="40"/>
      <c r="U915" s="41"/>
      <c r="V915" s="41"/>
      <c r="W915" s="41"/>
      <c r="X915" s="36"/>
      <c r="Y915" s="36"/>
      <c r="Z915" s="36"/>
      <c r="AA915" s="36"/>
      <c r="AB915" s="36"/>
      <c r="AC915" s="36"/>
    </row>
    <row r="916" spans="17:29" x14ac:dyDescent="0.2">
      <c r="Q916" s="36"/>
      <c r="R916" s="40"/>
      <c r="S916" s="40"/>
      <c r="T916" s="40"/>
      <c r="U916" s="41"/>
      <c r="V916" s="41"/>
      <c r="W916" s="41"/>
      <c r="X916" s="36"/>
      <c r="Y916" s="36"/>
      <c r="Z916" s="36"/>
      <c r="AA916" s="36"/>
      <c r="AB916" s="36"/>
      <c r="AC916" s="36"/>
    </row>
    <row r="917" spans="17:29" x14ac:dyDescent="0.2">
      <c r="Q917" s="36"/>
      <c r="R917" s="40"/>
      <c r="S917" s="40"/>
      <c r="T917" s="40"/>
      <c r="U917" s="41"/>
      <c r="V917" s="41"/>
      <c r="W917" s="41"/>
      <c r="X917" s="36"/>
      <c r="Y917" s="36"/>
      <c r="Z917" s="36"/>
      <c r="AA917" s="36"/>
      <c r="AB917" s="36"/>
      <c r="AC917" s="36"/>
    </row>
    <row r="918" spans="17:29" x14ac:dyDescent="0.2">
      <c r="Q918" s="36"/>
      <c r="R918" s="40"/>
      <c r="S918" s="40"/>
      <c r="T918" s="40"/>
      <c r="U918" s="41"/>
      <c r="V918" s="41"/>
      <c r="W918" s="41"/>
      <c r="X918" s="36"/>
      <c r="Y918" s="36"/>
      <c r="Z918" s="36"/>
      <c r="AA918" s="36"/>
      <c r="AB918" s="36"/>
      <c r="AC918" s="36"/>
    </row>
    <row r="919" spans="17:29" x14ac:dyDescent="0.2">
      <c r="Q919" s="36"/>
      <c r="R919" s="40"/>
      <c r="S919" s="40"/>
      <c r="T919" s="40"/>
      <c r="U919" s="41"/>
      <c r="V919" s="41"/>
      <c r="W919" s="41"/>
      <c r="X919" s="36"/>
      <c r="Y919" s="36"/>
      <c r="Z919" s="36"/>
      <c r="AA919" s="36"/>
      <c r="AB919" s="36"/>
      <c r="AC919" s="36"/>
    </row>
    <row r="920" spans="17:29" x14ac:dyDescent="0.2">
      <c r="Q920" s="36"/>
      <c r="R920" s="40"/>
      <c r="S920" s="40"/>
      <c r="T920" s="40"/>
      <c r="U920" s="41"/>
      <c r="V920" s="41"/>
      <c r="W920" s="41"/>
      <c r="X920" s="36"/>
      <c r="Y920" s="36"/>
      <c r="Z920" s="36"/>
      <c r="AA920" s="36"/>
      <c r="AB920" s="36"/>
      <c r="AC920" s="36"/>
    </row>
    <row r="921" spans="17:29" x14ac:dyDescent="0.2">
      <c r="Q921" s="36"/>
      <c r="R921" s="40"/>
      <c r="S921" s="40"/>
      <c r="T921" s="40"/>
      <c r="U921" s="41"/>
      <c r="V921" s="41"/>
      <c r="W921" s="41"/>
      <c r="X921" s="36"/>
      <c r="Y921" s="36"/>
      <c r="Z921" s="36"/>
      <c r="AA921" s="36"/>
      <c r="AB921" s="36"/>
      <c r="AC921" s="36"/>
    </row>
    <row r="922" spans="17:29" x14ac:dyDescent="0.2">
      <c r="Q922" s="36"/>
      <c r="R922" s="40"/>
      <c r="S922" s="40"/>
      <c r="T922" s="40"/>
      <c r="U922" s="41"/>
      <c r="V922" s="41"/>
      <c r="W922" s="41"/>
      <c r="X922" s="36"/>
      <c r="Y922" s="36"/>
      <c r="Z922" s="36"/>
      <c r="AA922" s="36"/>
      <c r="AB922" s="36"/>
      <c r="AC922" s="36"/>
    </row>
    <row r="923" spans="17:29" x14ac:dyDescent="0.2">
      <c r="Q923" s="36"/>
      <c r="R923" s="40"/>
      <c r="S923" s="40"/>
      <c r="T923" s="40"/>
      <c r="U923" s="41"/>
      <c r="V923" s="41"/>
      <c r="W923" s="41"/>
      <c r="X923" s="36"/>
      <c r="Y923" s="36"/>
      <c r="Z923" s="36"/>
      <c r="AA923" s="36"/>
      <c r="AB923" s="36"/>
      <c r="AC923" s="36"/>
    </row>
    <row r="924" spans="17:29" x14ac:dyDescent="0.2">
      <c r="Q924" s="36"/>
      <c r="R924" s="40"/>
      <c r="S924" s="40"/>
      <c r="T924" s="40"/>
      <c r="U924" s="41"/>
      <c r="V924" s="41"/>
      <c r="W924" s="41"/>
      <c r="X924" s="36"/>
      <c r="Y924" s="36"/>
      <c r="Z924" s="36"/>
      <c r="AA924" s="36"/>
      <c r="AB924" s="36"/>
      <c r="AC924" s="36"/>
    </row>
    <row r="925" spans="17:29" x14ac:dyDescent="0.2">
      <c r="Q925" s="36"/>
      <c r="R925" s="40"/>
      <c r="S925" s="40"/>
      <c r="T925" s="40"/>
      <c r="U925" s="41"/>
      <c r="V925" s="41"/>
      <c r="W925" s="41"/>
      <c r="X925" s="36"/>
      <c r="Y925" s="36"/>
      <c r="Z925" s="36"/>
      <c r="AA925" s="36"/>
      <c r="AB925" s="36"/>
      <c r="AC925" s="36"/>
    </row>
    <row r="926" spans="17:29" x14ac:dyDescent="0.2">
      <c r="Q926" s="36"/>
      <c r="R926" s="40"/>
      <c r="S926" s="40"/>
      <c r="T926" s="40"/>
      <c r="U926" s="41"/>
      <c r="V926" s="41"/>
      <c r="W926" s="41"/>
      <c r="X926" s="36"/>
      <c r="Y926" s="36"/>
      <c r="Z926" s="36"/>
      <c r="AA926" s="36"/>
      <c r="AB926" s="36"/>
      <c r="AC926" s="36"/>
    </row>
    <row r="927" spans="17:29" x14ac:dyDescent="0.2">
      <c r="Q927" s="36"/>
      <c r="R927" s="40"/>
      <c r="S927" s="40"/>
      <c r="T927" s="40"/>
      <c r="U927" s="41"/>
      <c r="V927" s="41"/>
      <c r="W927" s="41"/>
      <c r="X927" s="36"/>
      <c r="Y927" s="36"/>
      <c r="Z927" s="36"/>
      <c r="AA927" s="36"/>
      <c r="AB927" s="36"/>
      <c r="AC927" s="36"/>
    </row>
    <row r="928" spans="17:29" x14ac:dyDescent="0.2">
      <c r="Q928" s="36"/>
      <c r="R928" s="40"/>
      <c r="S928" s="40"/>
      <c r="T928" s="40"/>
      <c r="U928" s="41"/>
      <c r="V928" s="41"/>
      <c r="W928" s="41"/>
      <c r="X928" s="36"/>
      <c r="Y928" s="36"/>
      <c r="Z928" s="36"/>
      <c r="AA928" s="36"/>
      <c r="AB928" s="36"/>
      <c r="AC928" s="36"/>
    </row>
    <row r="929" spans="17:29" x14ac:dyDescent="0.2">
      <c r="Q929" s="36"/>
      <c r="R929" s="40"/>
      <c r="S929" s="40"/>
      <c r="T929" s="40"/>
      <c r="U929" s="41"/>
      <c r="V929" s="41"/>
      <c r="W929" s="41"/>
      <c r="X929" s="36"/>
      <c r="Y929" s="36"/>
      <c r="Z929" s="36"/>
      <c r="AA929" s="36"/>
      <c r="AB929" s="36"/>
      <c r="AC929" s="36"/>
    </row>
    <row r="930" spans="17:29" x14ac:dyDescent="0.2">
      <c r="Q930" s="36"/>
      <c r="R930" s="40"/>
      <c r="S930" s="40"/>
      <c r="T930" s="40"/>
      <c r="U930" s="41"/>
      <c r="V930" s="41"/>
      <c r="W930" s="41"/>
      <c r="X930" s="36"/>
      <c r="Y930" s="36"/>
      <c r="Z930" s="36"/>
      <c r="AA930" s="36"/>
      <c r="AB930" s="36"/>
      <c r="AC930" s="36"/>
    </row>
    <row r="931" spans="17:29" x14ac:dyDescent="0.2">
      <c r="Q931" s="36"/>
      <c r="R931" s="40"/>
      <c r="S931" s="40"/>
      <c r="T931" s="40"/>
      <c r="U931" s="41"/>
      <c r="V931" s="41"/>
      <c r="W931" s="41"/>
      <c r="X931" s="36"/>
      <c r="Y931" s="36"/>
      <c r="Z931" s="36"/>
      <c r="AA931" s="36"/>
      <c r="AB931" s="36"/>
      <c r="AC931" s="36"/>
    </row>
    <row r="932" spans="17:29" x14ac:dyDescent="0.2">
      <c r="Q932" s="36"/>
      <c r="R932" s="40"/>
      <c r="S932" s="40"/>
      <c r="T932" s="40"/>
      <c r="U932" s="41"/>
      <c r="V932" s="41"/>
      <c r="W932" s="41"/>
      <c r="X932" s="36"/>
      <c r="Y932" s="36"/>
      <c r="Z932" s="36"/>
      <c r="AA932" s="36"/>
      <c r="AB932" s="36"/>
      <c r="AC932" s="36"/>
    </row>
    <row r="933" spans="17:29" x14ac:dyDescent="0.2">
      <c r="Q933" s="36"/>
      <c r="R933" s="40"/>
      <c r="S933" s="40"/>
      <c r="T933" s="40"/>
      <c r="U933" s="41"/>
      <c r="V933" s="41"/>
      <c r="W933" s="41"/>
      <c r="X933" s="36"/>
      <c r="Y933" s="36"/>
      <c r="Z933" s="36"/>
      <c r="AA933" s="36"/>
      <c r="AB933" s="36"/>
      <c r="AC933" s="36"/>
    </row>
    <row r="934" spans="17:29" x14ac:dyDescent="0.2">
      <c r="Q934" s="36"/>
      <c r="R934" s="40"/>
      <c r="S934" s="40"/>
      <c r="T934" s="40"/>
      <c r="U934" s="41"/>
      <c r="V934" s="41"/>
      <c r="W934" s="41"/>
      <c r="X934" s="36"/>
      <c r="Y934" s="36"/>
      <c r="Z934" s="36"/>
      <c r="AA934" s="36"/>
      <c r="AB934" s="36"/>
      <c r="AC934" s="36"/>
    </row>
    <row r="935" spans="17:29" x14ac:dyDescent="0.2">
      <c r="Q935" s="36"/>
      <c r="R935" s="40"/>
      <c r="S935" s="40"/>
      <c r="T935" s="40"/>
      <c r="U935" s="41"/>
      <c r="V935" s="41"/>
      <c r="W935" s="41"/>
      <c r="X935" s="36"/>
      <c r="Y935" s="36"/>
      <c r="Z935" s="36"/>
      <c r="AA935" s="36"/>
      <c r="AB935" s="36"/>
      <c r="AC935" s="36"/>
    </row>
    <row r="936" spans="17:29" x14ac:dyDescent="0.2">
      <c r="Q936" s="36"/>
      <c r="R936" s="40"/>
      <c r="S936" s="40"/>
      <c r="T936" s="40"/>
      <c r="U936" s="41"/>
      <c r="V936" s="41"/>
      <c r="W936" s="41"/>
      <c r="X936" s="36"/>
      <c r="Y936" s="36"/>
      <c r="Z936" s="36"/>
      <c r="AA936" s="36"/>
      <c r="AB936" s="36"/>
      <c r="AC936" s="36"/>
    </row>
    <row r="937" spans="17:29" x14ac:dyDescent="0.2">
      <c r="Q937" s="36"/>
      <c r="R937" s="40"/>
      <c r="S937" s="40"/>
      <c r="T937" s="40"/>
      <c r="U937" s="41"/>
      <c r="V937" s="41"/>
      <c r="W937" s="41"/>
      <c r="X937" s="36"/>
      <c r="Y937" s="36"/>
      <c r="Z937" s="36"/>
      <c r="AA937" s="36"/>
      <c r="AB937" s="36"/>
      <c r="AC937" s="36"/>
    </row>
    <row r="938" spans="17:29" x14ac:dyDescent="0.2">
      <c r="Q938" s="36"/>
      <c r="R938" s="40"/>
      <c r="S938" s="40"/>
      <c r="T938" s="40"/>
      <c r="U938" s="41"/>
      <c r="V938" s="41"/>
      <c r="W938" s="41"/>
      <c r="X938" s="36"/>
      <c r="Y938" s="36"/>
      <c r="Z938" s="36"/>
      <c r="AA938" s="36"/>
      <c r="AB938" s="36"/>
      <c r="AC938" s="36"/>
    </row>
    <row r="939" spans="17:29" x14ac:dyDescent="0.2">
      <c r="Q939" s="36"/>
      <c r="R939" s="40"/>
      <c r="S939" s="40"/>
      <c r="T939" s="40"/>
      <c r="U939" s="41"/>
      <c r="V939" s="41"/>
      <c r="W939" s="41"/>
      <c r="X939" s="36"/>
      <c r="Y939" s="36"/>
      <c r="Z939" s="36"/>
      <c r="AA939" s="36"/>
      <c r="AB939" s="36"/>
      <c r="AC939" s="36"/>
    </row>
    <row r="940" spans="17:29" x14ac:dyDescent="0.2">
      <c r="Q940" s="36"/>
      <c r="R940" s="40"/>
      <c r="S940" s="40"/>
      <c r="T940" s="40"/>
      <c r="U940" s="41"/>
      <c r="V940" s="41"/>
      <c r="W940" s="41"/>
      <c r="X940" s="36"/>
      <c r="Y940" s="36"/>
      <c r="Z940" s="36"/>
      <c r="AA940" s="36"/>
      <c r="AB940" s="36"/>
      <c r="AC940" s="36"/>
    </row>
    <row r="941" spans="17:29" x14ac:dyDescent="0.2">
      <c r="Q941" s="36"/>
      <c r="R941" s="40"/>
      <c r="S941" s="40"/>
      <c r="T941" s="40"/>
      <c r="U941" s="41"/>
      <c r="V941" s="41"/>
      <c r="W941" s="41"/>
      <c r="X941" s="36"/>
      <c r="Y941" s="36"/>
      <c r="Z941" s="36"/>
      <c r="AA941" s="36"/>
      <c r="AB941" s="36"/>
      <c r="AC941" s="36"/>
    </row>
    <row r="942" spans="17:29" x14ac:dyDescent="0.2">
      <c r="Q942" s="36"/>
      <c r="R942" s="40"/>
      <c r="S942" s="40"/>
      <c r="T942" s="40"/>
      <c r="U942" s="41"/>
      <c r="V942" s="41"/>
      <c r="W942" s="41"/>
      <c r="X942" s="36"/>
      <c r="Y942" s="36"/>
      <c r="Z942" s="36"/>
      <c r="AA942" s="36"/>
      <c r="AB942" s="36"/>
      <c r="AC942" s="36"/>
    </row>
    <row r="943" spans="17:29" x14ac:dyDescent="0.2">
      <c r="Q943" s="36"/>
      <c r="R943" s="40"/>
      <c r="S943" s="40"/>
      <c r="T943" s="40"/>
      <c r="U943" s="41"/>
      <c r="V943" s="41"/>
      <c r="W943" s="41"/>
      <c r="X943" s="36"/>
      <c r="Y943" s="36"/>
      <c r="Z943" s="36"/>
      <c r="AA943" s="36"/>
      <c r="AB943" s="36"/>
      <c r="AC943" s="36"/>
    </row>
    <row r="944" spans="17:29" x14ac:dyDescent="0.2">
      <c r="Q944" s="36"/>
      <c r="R944" s="40"/>
      <c r="S944" s="40"/>
      <c r="T944" s="40"/>
      <c r="U944" s="41"/>
      <c r="V944" s="41"/>
      <c r="W944" s="41"/>
      <c r="X944" s="36"/>
      <c r="Y944" s="36"/>
      <c r="Z944" s="36"/>
      <c r="AA944" s="36"/>
      <c r="AB944" s="36"/>
      <c r="AC944" s="36"/>
    </row>
    <row r="945" spans="17:29" x14ac:dyDescent="0.2">
      <c r="Q945" s="36"/>
      <c r="R945" s="40"/>
      <c r="S945" s="40"/>
      <c r="T945" s="40"/>
      <c r="U945" s="41"/>
      <c r="V945" s="41"/>
      <c r="W945" s="41"/>
      <c r="X945" s="36"/>
      <c r="Y945" s="36"/>
      <c r="Z945" s="36"/>
      <c r="AA945" s="36"/>
      <c r="AB945" s="36"/>
      <c r="AC945" s="36"/>
    </row>
    <row r="946" spans="17:29" x14ac:dyDescent="0.2">
      <c r="Q946" s="36"/>
      <c r="R946" s="40"/>
      <c r="S946" s="40"/>
      <c r="T946" s="40"/>
      <c r="U946" s="41"/>
      <c r="V946" s="41"/>
      <c r="W946" s="41"/>
      <c r="X946" s="36"/>
      <c r="Y946" s="36"/>
      <c r="Z946" s="36"/>
      <c r="AA946" s="36"/>
      <c r="AB946" s="36"/>
      <c r="AC946" s="36"/>
    </row>
    <row r="947" spans="17:29" x14ac:dyDescent="0.2">
      <c r="Q947" s="36"/>
      <c r="R947" s="40"/>
      <c r="S947" s="40"/>
      <c r="T947" s="40"/>
      <c r="U947" s="41"/>
      <c r="V947" s="41"/>
      <c r="W947" s="41"/>
      <c r="X947" s="36"/>
      <c r="Y947" s="36"/>
      <c r="Z947" s="36"/>
      <c r="AA947" s="36"/>
      <c r="AB947" s="36"/>
      <c r="AC947" s="36"/>
    </row>
    <row r="948" spans="17:29" x14ac:dyDescent="0.2">
      <c r="Q948" s="36"/>
      <c r="R948" s="40"/>
      <c r="S948" s="40"/>
      <c r="T948" s="40"/>
      <c r="U948" s="41"/>
      <c r="V948" s="41"/>
      <c r="W948" s="41"/>
      <c r="X948" s="36"/>
      <c r="Y948" s="36"/>
      <c r="Z948" s="36"/>
      <c r="AA948" s="36"/>
      <c r="AB948" s="36"/>
      <c r="AC948" s="36"/>
    </row>
    <row r="949" spans="17:29" x14ac:dyDescent="0.2">
      <c r="Q949" s="36"/>
      <c r="R949" s="40"/>
      <c r="S949" s="40"/>
      <c r="T949" s="40"/>
      <c r="U949" s="41"/>
      <c r="V949" s="41"/>
      <c r="W949" s="41"/>
      <c r="X949" s="36"/>
      <c r="Y949" s="36"/>
      <c r="Z949" s="36"/>
      <c r="AA949" s="36"/>
      <c r="AB949" s="36"/>
      <c r="AC949" s="36"/>
    </row>
    <row r="950" spans="17:29" x14ac:dyDescent="0.2">
      <c r="Q950" s="36"/>
      <c r="R950" s="40"/>
      <c r="S950" s="40"/>
      <c r="T950" s="40"/>
      <c r="U950" s="41"/>
      <c r="V950" s="41"/>
      <c r="W950" s="41"/>
      <c r="X950" s="36"/>
      <c r="Y950" s="36"/>
      <c r="Z950" s="36"/>
      <c r="AA950" s="36"/>
      <c r="AB950" s="36"/>
      <c r="AC950" s="36"/>
    </row>
    <row r="951" spans="17:29" x14ac:dyDescent="0.2">
      <c r="Q951" s="36"/>
      <c r="R951" s="40"/>
      <c r="S951" s="40"/>
      <c r="T951" s="40"/>
      <c r="U951" s="41"/>
      <c r="V951" s="41"/>
      <c r="W951" s="41"/>
      <c r="X951" s="36"/>
      <c r="Y951" s="36"/>
      <c r="Z951" s="36"/>
      <c r="AA951" s="36"/>
      <c r="AB951" s="36"/>
      <c r="AC951" s="36"/>
    </row>
    <row r="952" spans="17:29" x14ac:dyDescent="0.2">
      <c r="Q952" s="36"/>
      <c r="R952" s="40"/>
      <c r="S952" s="40"/>
      <c r="T952" s="40"/>
      <c r="U952" s="41"/>
      <c r="V952" s="41"/>
      <c r="W952" s="41"/>
      <c r="X952" s="36"/>
      <c r="Y952" s="36"/>
      <c r="Z952" s="36"/>
      <c r="AA952" s="36"/>
      <c r="AB952" s="36"/>
      <c r="AC952" s="36"/>
    </row>
    <row r="953" spans="17:29" x14ac:dyDescent="0.2">
      <c r="Q953" s="36"/>
      <c r="R953" s="40"/>
      <c r="S953" s="40"/>
      <c r="T953" s="40"/>
      <c r="U953" s="41"/>
      <c r="V953" s="41"/>
      <c r="W953" s="41"/>
      <c r="X953" s="36"/>
      <c r="Y953" s="36"/>
      <c r="Z953" s="36"/>
      <c r="AA953" s="36"/>
      <c r="AB953" s="36"/>
      <c r="AC953" s="36"/>
    </row>
    <row r="954" spans="17:29" x14ac:dyDescent="0.2">
      <c r="Q954" s="36"/>
      <c r="R954" s="40"/>
      <c r="S954" s="40"/>
      <c r="T954" s="40"/>
      <c r="U954" s="41"/>
      <c r="V954" s="41"/>
      <c r="W954" s="41"/>
      <c r="X954" s="36"/>
      <c r="Y954" s="36"/>
      <c r="Z954" s="36"/>
      <c r="AA954" s="36"/>
      <c r="AB954" s="36"/>
      <c r="AC954" s="36"/>
    </row>
    <row r="955" spans="17:29" x14ac:dyDescent="0.2">
      <c r="Q955" s="36"/>
      <c r="R955" s="40"/>
      <c r="S955" s="40"/>
      <c r="T955" s="40"/>
      <c r="U955" s="41"/>
      <c r="V955" s="41"/>
      <c r="W955" s="41"/>
      <c r="X955" s="36"/>
      <c r="Y955" s="36"/>
      <c r="Z955" s="36"/>
      <c r="AA955" s="36"/>
      <c r="AB955" s="36"/>
      <c r="AC955" s="36"/>
    </row>
    <row r="956" spans="17:29" x14ac:dyDescent="0.2">
      <c r="Q956" s="36"/>
      <c r="R956" s="40"/>
      <c r="S956" s="40"/>
      <c r="T956" s="40"/>
      <c r="U956" s="41"/>
      <c r="V956" s="41"/>
      <c r="W956" s="41"/>
      <c r="X956" s="36"/>
      <c r="Y956" s="36"/>
      <c r="Z956" s="36"/>
      <c r="AA956" s="36"/>
      <c r="AB956" s="36"/>
      <c r="AC956" s="36"/>
    </row>
    <row r="957" spans="17:29" x14ac:dyDescent="0.2">
      <c r="Q957" s="36"/>
      <c r="R957" s="40"/>
      <c r="S957" s="40"/>
      <c r="T957" s="40"/>
      <c r="U957" s="41"/>
      <c r="V957" s="41"/>
      <c r="W957" s="41"/>
      <c r="X957" s="36"/>
      <c r="Y957" s="36"/>
      <c r="Z957" s="36"/>
      <c r="AA957" s="36"/>
      <c r="AB957" s="36"/>
      <c r="AC957" s="36"/>
    </row>
    <row r="958" spans="17:29" x14ac:dyDescent="0.2">
      <c r="Q958" s="36"/>
      <c r="R958" s="40"/>
      <c r="S958" s="40"/>
      <c r="T958" s="40"/>
      <c r="U958" s="41"/>
      <c r="V958" s="41"/>
      <c r="W958" s="41"/>
      <c r="X958" s="36"/>
      <c r="Y958" s="36"/>
      <c r="Z958" s="36"/>
      <c r="AA958" s="36"/>
      <c r="AB958" s="36"/>
      <c r="AC958" s="36"/>
    </row>
    <row r="959" spans="17:29" x14ac:dyDescent="0.2">
      <c r="Q959" s="36"/>
      <c r="R959" s="40"/>
      <c r="S959" s="40"/>
      <c r="T959" s="40"/>
      <c r="U959" s="41"/>
      <c r="V959" s="41"/>
      <c r="W959" s="41"/>
      <c r="X959" s="36"/>
      <c r="Y959" s="36"/>
      <c r="Z959" s="36"/>
      <c r="AA959" s="36"/>
      <c r="AB959" s="36"/>
      <c r="AC959" s="36"/>
    </row>
    <row r="960" spans="17:29" x14ac:dyDescent="0.2">
      <c r="Q960" s="36"/>
      <c r="R960" s="40"/>
      <c r="S960" s="40"/>
      <c r="T960" s="40"/>
      <c r="U960" s="41"/>
      <c r="V960" s="41"/>
      <c r="W960" s="41"/>
      <c r="X960" s="36"/>
      <c r="Y960" s="36"/>
      <c r="Z960" s="36"/>
      <c r="AA960" s="36"/>
      <c r="AB960" s="36"/>
      <c r="AC960" s="36"/>
    </row>
    <row r="961" spans="17:29" x14ac:dyDescent="0.2">
      <c r="Q961" s="36"/>
      <c r="R961" s="40"/>
      <c r="S961" s="40"/>
      <c r="T961" s="40"/>
      <c r="U961" s="41"/>
      <c r="V961" s="41"/>
      <c r="W961" s="41"/>
      <c r="X961" s="36"/>
      <c r="Y961" s="36"/>
      <c r="Z961" s="36"/>
      <c r="AA961" s="36"/>
      <c r="AB961" s="36"/>
      <c r="AC961" s="36"/>
    </row>
    <row r="962" spans="17:29" x14ac:dyDescent="0.2">
      <c r="Q962" s="36"/>
      <c r="R962" s="40"/>
      <c r="S962" s="40"/>
      <c r="T962" s="40"/>
      <c r="U962" s="41"/>
      <c r="V962" s="41"/>
      <c r="W962" s="41"/>
      <c r="X962" s="36"/>
      <c r="Y962" s="36"/>
      <c r="Z962" s="36"/>
      <c r="AA962" s="36"/>
      <c r="AB962" s="36"/>
      <c r="AC962" s="36"/>
    </row>
    <row r="963" spans="17:29" x14ac:dyDescent="0.2">
      <c r="Q963" s="36"/>
      <c r="R963" s="40"/>
      <c r="S963" s="40"/>
      <c r="T963" s="40"/>
      <c r="U963" s="41"/>
      <c r="V963" s="41"/>
      <c r="W963" s="41"/>
      <c r="X963" s="36"/>
      <c r="Y963" s="36"/>
      <c r="Z963" s="36"/>
      <c r="AA963" s="36"/>
      <c r="AB963" s="36"/>
      <c r="AC963" s="36"/>
    </row>
    <row r="964" spans="17:29" x14ac:dyDescent="0.2">
      <c r="Q964" s="36"/>
      <c r="R964" s="40"/>
      <c r="S964" s="40"/>
      <c r="T964" s="40"/>
      <c r="U964" s="41"/>
      <c r="V964" s="41"/>
      <c r="W964" s="41"/>
      <c r="X964" s="36"/>
      <c r="Y964" s="36"/>
      <c r="Z964" s="36"/>
      <c r="AA964" s="36"/>
      <c r="AB964" s="36"/>
      <c r="AC964" s="36"/>
    </row>
    <row r="965" spans="17:29" x14ac:dyDescent="0.2">
      <c r="Q965" s="36"/>
      <c r="R965" s="40"/>
      <c r="S965" s="40"/>
      <c r="T965" s="40"/>
      <c r="U965" s="41"/>
      <c r="V965" s="41"/>
      <c r="W965" s="41"/>
      <c r="X965" s="36"/>
      <c r="Y965" s="36"/>
      <c r="Z965" s="36"/>
      <c r="AA965" s="36"/>
      <c r="AB965" s="36"/>
      <c r="AC965" s="36"/>
    </row>
    <row r="966" spans="17:29" x14ac:dyDescent="0.2">
      <c r="Q966" s="36"/>
      <c r="R966" s="40"/>
      <c r="S966" s="40"/>
      <c r="T966" s="40"/>
      <c r="U966" s="41"/>
      <c r="V966" s="41"/>
      <c r="W966" s="41"/>
      <c r="X966" s="36"/>
      <c r="Y966" s="36"/>
      <c r="Z966" s="36"/>
      <c r="AA966" s="36"/>
      <c r="AB966" s="36"/>
      <c r="AC966" s="36"/>
    </row>
    <row r="967" spans="17:29" x14ac:dyDescent="0.2">
      <c r="Q967" s="36"/>
      <c r="R967" s="40"/>
      <c r="S967" s="40"/>
      <c r="T967" s="40"/>
      <c r="U967" s="41"/>
      <c r="V967" s="41"/>
      <c r="W967" s="41"/>
      <c r="X967" s="36"/>
      <c r="Y967" s="36"/>
      <c r="Z967" s="36"/>
      <c r="AA967" s="36"/>
      <c r="AB967" s="36"/>
      <c r="AC967" s="36"/>
    </row>
    <row r="968" spans="17:29" x14ac:dyDescent="0.2">
      <c r="Q968" s="36"/>
      <c r="R968" s="40"/>
      <c r="S968" s="40"/>
      <c r="T968" s="40"/>
      <c r="U968" s="41"/>
      <c r="V968" s="41"/>
      <c r="W968" s="41"/>
      <c r="X968" s="36"/>
      <c r="Y968" s="36"/>
      <c r="Z968" s="36"/>
      <c r="AA968" s="36"/>
      <c r="AB968" s="36"/>
      <c r="AC968" s="36"/>
    </row>
    <row r="969" spans="17:29" x14ac:dyDescent="0.2">
      <c r="Q969" s="36"/>
      <c r="R969" s="40"/>
      <c r="S969" s="40"/>
      <c r="T969" s="40"/>
      <c r="U969" s="41"/>
      <c r="V969" s="41"/>
      <c r="W969" s="41"/>
      <c r="X969" s="36"/>
      <c r="Y969" s="36"/>
      <c r="Z969" s="36"/>
      <c r="AA969" s="36"/>
      <c r="AB969" s="36"/>
      <c r="AC969" s="36"/>
    </row>
    <row r="970" spans="17:29" x14ac:dyDescent="0.2">
      <c r="Q970" s="36"/>
      <c r="R970" s="40"/>
      <c r="S970" s="40"/>
      <c r="T970" s="40"/>
      <c r="U970" s="41"/>
      <c r="V970" s="41"/>
      <c r="W970" s="41"/>
      <c r="X970" s="36"/>
      <c r="Y970" s="36"/>
      <c r="Z970" s="36"/>
      <c r="AA970" s="36"/>
      <c r="AB970" s="36"/>
      <c r="AC970" s="36"/>
    </row>
    <row r="971" spans="17:29" x14ac:dyDescent="0.2">
      <c r="Q971" s="36"/>
      <c r="R971" s="40"/>
      <c r="S971" s="40"/>
      <c r="T971" s="40"/>
      <c r="U971" s="41"/>
      <c r="V971" s="41"/>
      <c r="W971" s="41"/>
      <c r="X971" s="36"/>
      <c r="Y971" s="36"/>
      <c r="Z971" s="36"/>
      <c r="AA971" s="36"/>
      <c r="AB971" s="36"/>
      <c r="AC971" s="36"/>
    </row>
    <row r="972" spans="17:29" x14ac:dyDescent="0.2">
      <c r="Q972" s="36"/>
      <c r="R972" s="40"/>
      <c r="S972" s="40"/>
      <c r="T972" s="40"/>
      <c r="U972" s="41"/>
      <c r="V972" s="41"/>
      <c r="W972" s="41"/>
      <c r="X972" s="36"/>
      <c r="Y972" s="36"/>
      <c r="Z972" s="36"/>
      <c r="AA972" s="36"/>
      <c r="AB972" s="36"/>
      <c r="AC972" s="36"/>
    </row>
    <row r="973" spans="17:29" x14ac:dyDescent="0.2">
      <c r="Q973" s="36"/>
      <c r="R973" s="40"/>
      <c r="S973" s="40"/>
      <c r="T973" s="40"/>
      <c r="U973" s="41"/>
      <c r="V973" s="41"/>
      <c r="W973" s="41"/>
      <c r="X973" s="36"/>
      <c r="Y973" s="36"/>
      <c r="Z973" s="36"/>
      <c r="AA973" s="36"/>
      <c r="AB973" s="36"/>
      <c r="AC973" s="36"/>
    </row>
    <row r="974" spans="17:29" x14ac:dyDescent="0.2">
      <c r="Q974" s="36"/>
      <c r="R974" s="40"/>
      <c r="S974" s="40"/>
      <c r="T974" s="40"/>
      <c r="U974" s="41"/>
      <c r="V974" s="41"/>
      <c r="W974" s="41"/>
      <c r="X974" s="36"/>
      <c r="Y974" s="36"/>
      <c r="Z974" s="36"/>
      <c r="AA974" s="36"/>
      <c r="AB974" s="36"/>
      <c r="AC974" s="36"/>
    </row>
    <row r="975" spans="17:29" x14ac:dyDescent="0.2">
      <c r="Q975" s="36"/>
      <c r="R975" s="40"/>
      <c r="S975" s="40"/>
      <c r="T975" s="40"/>
      <c r="U975" s="41"/>
      <c r="V975" s="41"/>
      <c r="W975" s="41"/>
      <c r="X975" s="36"/>
      <c r="Y975" s="36"/>
      <c r="Z975" s="36"/>
      <c r="AA975" s="36"/>
      <c r="AB975" s="36"/>
      <c r="AC975" s="36"/>
    </row>
    <row r="976" spans="17:29" x14ac:dyDescent="0.2">
      <c r="Q976" s="36"/>
      <c r="R976" s="40"/>
      <c r="S976" s="40"/>
      <c r="T976" s="40"/>
      <c r="U976" s="41"/>
      <c r="V976" s="41"/>
      <c r="W976" s="41"/>
      <c r="X976" s="36"/>
      <c r="Y976" s="36"/>
      <c r="Z976" s="36"/>
      <c r="AA976" s="36"/>
      <c r="AB976" s="36"/>
      <c r="AC976" s="36"/>
    </row>
    <row r="977" spans="17:29" x14ac:dyDescent="0.2">
      <c r="Q977" s="36"/>
      <c r="R977" s="40"/>
      <c r="S977" s="40"/>
      <c r="T977" s="40"/>
      <c r="U977" s="41"/>
      <c r="V977" s="41"/>
      <c r="W977" s="41"/>
      <c r="X977" s="36"/>
      <c r="Y977" s="36"/>
      <c r="Z977" s="36"/>
      <c r="AA977" s="36"/>
      <c r="AB977" s="36"/>
      <c r="AC977" s="36"/>
    </row>
    <row r="978" spans="17:29" x14ac:dyDescent="0.2">
      <c r="Q978" s="36"/>
      <c r="R978" s="40"/>
      <c r="S978" s="40"/>
      <c r="T978" s="40"/>
      <c r="U978" s="41"/>
      <c r="V978" s="41"/>
      <c r="W978" s="41"/>
      <c r="X978" s="36"/>
      <c r="Y978" s="36"/>
      <c r="Z978" s="36"/>
      <c r="AA978" s="36"/>
      <c r="AB978" s="36"/>
      <c r="AC978" s="36"/>
    </row>
    <row r="979" spans="17:29" x14ac:dyDescent="0.2">
      <c r="Q979" s="36"/>
      <c r="R979" s="40"/>
      <c r="S979" s="40"/>
      <c r="T979" s="40"/>
      <c r="U979" s="41"/>
      <c r="V979" s="41"/>
      <c r="W979" s="41"/>
      <c r="X979" s="36"/>
      <c r="Y979" s="36"/>
      <c r="Z979" s="36"/>
      <c r="AA979" s="36"/>
      <c r="AB979" s="36"/>
      <c r="AC979" s="36"/>
    </row>
    <row r="980" spans="17:29" x14ac:dyDescent="0.2">
      <c r="Q980" s="36"/>
      <c r="R980" s="40"/>
      <c r="S980" s="40"/>
      <c r="T980" s="40"/>
      <c r="U980" s="41"/>
      <c r="V980" s="41"/>
      <c r="W980" s="41"/>
      <c r="X980" s="36"/>
      <c r="Y980" s="36"/>
      <c r="Z980" s="36"/>
      <c r="AA980" s="36"/>
      <c r="AB980" s="36"/>
      <c r="AC980" s="36"/>
    </row>
    <row r="981" spans="17:29" x14ac:dyDescent="0.2">
      <c r="Q981" s="36"/>
      <c r="R981" s="40"/>
      <c r="S981" s="40"/>
      <c r="T981" s="40"/>
      <c r="U981" s="41"/>
      <c r="V981" s="41"/>
      <c r="W981" s="41"/>
      <c r="X981" s="36"/>
      <c r="Y981" s="36"/>
      <c r="Z981" s="36"/>
      <c r="AA981" s="36"/>
      <c r="AB981" s="36"/>
      <c r="AC981" s="36"/>
    </row>
    <row r="982" spans="17:29" x14ac:dyDescent="0.2">
      <c r="Q982" s="36"/>
      <c r="R982" s="40"/>
      <c r="S982" s="40"/>
      <c r="T982" s="40"/>
      <c r="U982" s="41"/>
      <c r="V982" s="41"/>
      <c r="W982" s="41"/>
      <c r="X982" s="36"/>
      <c r="Y982" s="36"/>
      <c r="Z982" s="36"/>
      <c r="AA982" s="36"/>
      <c r="AB982" s="36"/>
      <c r="AC982" s="36"/>
    </row>
    <row r="983" spans="17:29" x14ac:dyDescent="0.2">
      <c r="Q983" s="36"/>
      <c r="R983" s="40"/>
      <c r="S983" s="40"/>
      <c r="T983" s="40"/>
      <c r="U983" s="41"/>
      <c r="V983" s="41"/>
      <c r="W983" s="41"/>
      <c r="X983" s="36"/>
      <c r="Y983" s="36"/>
      <c r="Z983" s="36"/>
      <c r="AA983" s="36"/>
      <c r="AB983" s="36"/>
      <c r="AC983" s="36"/>
    </row>
    <row r="984" spans="17:29" x14ac:dyDescent="0.2">
      <c r="Q984" s="36"/>
      <c r="R984" s="40"/>
      <c r="S984" s="40"/>
      <c r="T984" s="40"/>
      <c r="U984" s="41"/>
      <c r="V984" s="41"/>
      <c r="W984" s="41"/>
      <c r="X984" s="36"/>
      <c r="Y984" s="36"/>
      <c r="Z984" s="36"/>
      <c r="AA984" s="36"/>
      <c r="AB984" s="36"/>
      <c r="AC984" s="36"/>
    </row>
    <row r="985" spans="17:29" x14ac:dyDescent="0.2">
      <c r="Q985" s="36"/>
      <c r="R985" s="40"/>
      <c r="S985" s="40"/>
      <c r="T985" s="40"/>
      <c r="U985" s="41"/>
      <c r="V985" s="41"/>
      <c r="W985" s="41"/>
      <c r="X985" s="36"/>
      <c r="Y985" s="36"/>
      <c r="Z985" s="36"/>
      <c r="AA985" s="36"/>
      <c r="AB985" s="36"/>
      <c r="AC985" s="36"/>
    </row>
    <row r="986" spans="17:29" x14ac:dyDescent="0.2">
      <c r="Q986" s="36"/>
      <c r="R986" s="40"/>
      <c r="S986" s="40"/>
      <c r="T986" s="40"/>
      <c r="U986" s="41"/>
      <c r="V986" s="41"/>
      <c r="W986" s="41"/>
      <c r="X986" s="36"/>
      <c r="Y986" s="36"/>
      <c r="Z986" s="36"/>
      <c r="AA986" s="36"/>
      <c r="AB986" s="36"/>
      <c r="AC986" s="36"/>
    </row>
    <row r="987" spans="17:29" x14ac:dyDescent="0.2">
      <c r="Q987" s="36"/>
      <c r="R987" s="40"/>
      <c r="S987" s="40"/>
      <c r="T987" s="40"/>
      <c r="U987" s="41"/>
      <c r="V987" s="41"/>
      <c r="W987" s="41"/>
      <c r="X987" s="36"/>
      <c r="Y987" s="36"/>
      <c r="Z987" s="36"/>
      <c r="AA987" s="36"/>
      <c r="AB987" s="36"/>
      <c r="AC987" s="36"/>
    </row>
    <row r="988" spans="17:29" x14ac:dyDescent="0.2">
      <c r="Q988" s="36"/>
      <c r="R988" s="40"/>
      <c r="S988" s="40"/>
      <c r="T988" s="40"/>
      <c r="U988" s="41"/>
      <c r="V988" s="41"/>
      <c r="W988" s="41"/>
      <c r="X988" s="36"/>
      <c r="Y988" s="36"/>
      <c r="Z988" s="36"/>
      <c r="AA988" s="36"/>
      <c r="AB988" s="36"/>
      <c r="AC988" s="36"/>
    </row>
    <row r="989" spans="17:29" x14ac:dyDescent="0.2">
      <c r="Q989" s="36"/>
      <c r="R989" s="40"/>
      <c r="S989" s="40"/>
      <c r="T989" s="40"/>
      <c r="U989" s="41"/>
      <c r="V989" s="41"/>
      <c r="W989" s="41"/>
      <c r="X989" s="36"/>
      <c r="Y989" s="36"/>
      <c r="Z989" s="36"/>
      <c r="AA989" s="36"/>
      <c r="AB989" s="36"/>
      <c r="AC989" s="36"/>
    </row>
    <row r="990" spans="17:29" x14ac:dyDescent="0.2">
      <c r="Q990" s="36"/>
      <c r="R990" s="40"/>
      <c r="S990" s="40"/>
      <c r="T990" s="40"/>
      <c r="U990" s="41"/>
      <c r="V990" s="41"/>
      <c r="W990" s="41"/>
      <c r="X990" s="36"/>
      <c r="Y990" s="36"/>
      <c r="Z990" s="36"/>
      <c r="AA990" s="36"/>
      <c r="AB990" s="36"/>
      <c r="AC990" s="36"/>
    </row>
    <row r="991" spans="17:29" x14ac:dyDescent="0.2">
      <c r="Q991" s="36"/>
      <c r="R991" s="40"/>
      <c r="S991" s="40"/>
      <c r="T991" s="40"/>
      <c r="U991" s="41"/>
      <c r="V991" s="41"/>
      <c r="W991" s="41"/>
      <c r="X991" s="36"/>
      <c r="Y991" s="36"/>
      <c r="Z991" s="36"/>
      <c r="AA991" s="36"/>
      <c r="AB991" s="36"/>
      <c r="AC991" s="36"/>
    </row>
    <row r="992" spans="17:29" x14ac:dyDescent="0.2">
      <c r="Q992" s="36"/>
      <c r="R992" s="40"/>
      <c r="S992" s="40"/>
      <c r="T992" s="40"/>
      <c r="U992" s="41"/>
      <c r="V992" s="41"/>
      <c r="W992" s="41"/>
      <c r="X992" s="36"/>
      <c r="Y992" s="36"/>
      <c r="Z992" s="36"/>
      <c r="AA992" s="36"/>
      <c r="AB992" s="36"/>
      <c r="AC992" s="36"/>
    </row>
    <row r="993" spans="17:29" x14ac:dyDescent="0.2">
      <c r="Q993" s="36"/>
      <c r="R993" s="40"/>
      <c r="S993" s="40"/>
      <c r="T993" s="40"/>
      <c r="U993" s="41"/>
      <c r="V993" s="41"/>
      <c r="W993" s="41"/>
      <c r="X993" s="36"/>
      <c r="Y993" s="36"/>
      <c r="Z993" s="36"/>
      <c r="AA993" s="36"/>
      <c r="AB993" s="36"/>
      <c r="AC993" s="36"/>
    </row>
    <row r="994" spans="17:29" x14ac:dyDescent="0.2">
      <c r="Q994" s="36"/>
      <c r="R994" s="40"/>
      <c r="S994" s="40"/>
      <c r="T994" s="40"/>
      <c r="U994" s="41"/>
      <c r="V994" s="41"/>
      <c r="W994" s="41"/>
      <c r="X994" s="36"/>
      <c r="Y994" s="36"/>
      <c r="Z994" s="36"/>
      <c r="AA994" s="36"/>
      <c r="AB994" s="36"/>
      <c r="AC994" s="36"/>
    </row>
    <row r="995" spans="17:29" x14ac:dyDescent="0.2">
      <c r="Q995" s="36"/>
      <c r="R995" s="40"/>
      <c r="S995" s="40"/>
      <c r="T995" s="40"/>
      <c r="U995" s="41"/>
      <c r="V995" s="41"/>
      <c r="W995" s="41"/>
      <c r="X995" s="36"/>
      <c r="Y995" s="36"/>
      <c r="Z995" s="36"/>
      <c r="AA995" s="36"/>
      <c r="AB995" s="36"/>
      <c r="AC995" s="36"/>
    </row>
    <row r="996" spans="17:29" x14ac:dyDescent="0.2">
      <c r="Q996" s="36"/>
      <c r="R996" s="40"/>
      <c r="S996" s="40"/>
      <c r="T996" s="40"/>
      <c r="U996" s="41"/>
      <c r="V996" s="41"/>
      <c r="W996" s="41"/>
      <c r="X996" s="36"/>
      <c r="Y996" s="36"/>
      <c r="Z996" s="36"/>
      <c r="AA996" s="36"/>
      <c r="AB996" s="36"/>
      <c r="AC996" s="36"/>
    </row>
    <row r="997" spans="17:29" x14ac:dyDescent="0.2">
      <c r="Q997" s="36"/>
      <c r="R997" s="40"/>
      <c r="S997" s="40"/>
      <c r="T997" s="40"/>
      <c r="U997" s="41"/>
      <c r="V997" s="41"/>
      <c r="W997" s="41"/>
      <c r="X997" s="36"/>
      <c r="Y997" s="36"/>
      <c r="Z997" s="36"/>
      <c r="AA997" s="36"/>
      <c r="AB997" s="36"/>
      <c r="AC997" s="36"/>
    </row>
    <row r="998" spans="17:29" x14ac:dyDescent="0.2">
      <c r="Q998" s="36"/>
      <c r="R998" s="40"/>
      <c r="S998" s="40"/>
      <c r="T998" s="40"/>
      <c r="U998" s="41"/>
      <c r="V998" s="41"/>
      <c r="W998" s="41"/>
      <c r="X998" s="36"/>
      <c r="Y998" s="36"/>
      <c r="Z998" s="36"/>
      <c r="AA998" s="36"/>
      <c r="AB998" s="36"/>
      <c r="AC998" s="36"/>
    </row>
    <row r="999" spans="17:29" x14ac:dyDescent="0.2">
      <c r="Q999" s="36"/>
      <c r="R999" s="40"/>
      <c r="S999" s="40"/>
      <c r="T999" s="40"/>
      <c r="U999" s="41"/>
      <c r="V999" s="41"/>
      <c r="W999" s="41"/>
      <c r="X999" s="36"/>
      <c r="Y999" s="36"/>
      <c r="Z999" s="36"/>
      <c r="AA999" s="36"/>
      <c r="AB999" s="36"/>
      <c r="AC999" s="36"/>
    </row>
    <row r="1000" spans="17:29" x14ac:dyDescent="0.2">
      <c r="Q1000" s="36"/>
      <c r="R1000" s="40"/>
      <c r="S1000" s="40"/>
      <c r="T1000" s="40"/>
      <c r="U1000" s="41"/>
      <c r="V1000" s="41"/>
      <c r="W1000" s="41"/>
      <c r="X1000" s="36"/>
      <c r="Y1000" s="36"/>
      <c r="Z1000" s="36"/>
      <c r="AA1000" s="36"/>
      <c r="AB1000" s="36"/>
      <c r="AC1000" s="36"/>
    </row>
    <row r="1001" spans="17:29" x14ac:dyDescent="0.2">
      <c r="Q1001" s="36"/>
      <c r="R1001" s="40"/>
      <c r="S1001" s="40"/>
      <c r="T1001" s="40"/>
      <c r="U1001" s="41"/>
      <c r="V1001" s="41"/>
      <c r="W1001" s="41"/>
      <c r="X1001" s="36"/>
      <c r="Y1001" s="36"/>
      <c r="Z1001" s="36"/>
      <c r="AA1001" s="36"/>
      <c r="AB1001" s="36"/>
      <c r="AC1001" s="36"/>
    </row>
    <row r="1002" spans="17:29" x14ac:dyDescent="0.2">
      <c r="Q1002" s="36"/>
      <c r="R1002" s="40"/>
      <c r="S1002" s="40"/>
      <c r="T1002" s="40"/>
      <c r="U1002" s="41"/>
      <c r="V1002" s="41"/>
      <c r="W1002" s="41"/>
      <c r="X1002" s="36"/>
      <c r="Y1002" s="36"/>
      <c r="Z1002" s="36"/>
      <c r="AA1002" s="36"/>
      <c r="AB1002" s="36"/>
      <c r="AC1002" s="36"/>
    </row>
    <row r="1003" spans="17:29" x14ac:dyDescent="0.2">
      <c r="Q1003" s="36"/>
      <c r="R1003" s="40"/>
      <c r="S1003" s="40"/>
      <c r="T1003" s="40"/>
      <c r="U1003" s="41"/>
      <c r="V1003" s="41"/>
      <c r="W1003" s="41"/>
      <c r="X1003" s="36"/>
      <c r="Y1003" s="36"/>
      <c r="Z1003" s="36"/>
      <c r="AA1003" s="36"/>
      <c r="AB1003" s="36"/>
      <c r="AC1003" s="36"/>
    </row>
    <row r="1004" spans="17:29" x14ac:dyDescent="0.2">
      <c r="Q1004" s="36"/>
      <c r="R1004" s="40"/>
      <c r="S1004" s="40"/>
      <c r="T1004" s="40"/>
      <c r="U1004" s="41"/>
      <c r="V1004" s="41"/>
      <c r="W1004" s="41"/>
      <c r="X1004" s="36"/>
      <c r="Y1004" s="36"/>
      <c r="Z1004" s="36"/>
      <c r="AA1004" s="36"/>
      <c r="AB1004" s="36"/>
      <c r="AC1004" s="36"/>
    </row>
    <row r="1005" spans="17:29" x14ac:dyDescent="0.2">
      <c r="Q1005" s="36"/>
      <c r="R1005" s="40"/>
      <c r="S1005" s="40"/>
      <c r="T1005" s="40"/>
      <c r="U1005" s="41"/>
      <c r="V1005" s="41"/>
      <c r="W1005" s="41"/>
      <c r="X1005" s="36"/>
      <c r="Y1005" s="36"/>
      <c r="Z1005" s="36"/>
      <c r="AA1005" s="36"/>
      <c r="AB1005" s="36"/>
      <c r="AC1005" s="36"/>
    </row>
    <row r="1006" spans="17:29" x14ac:dyDescent="0.2">
      <c r="Q1006" s="36"/>
      <c r="R1006" s="40"/>
      <c r="S1006" s="40"/>
      <c r="T1006" s="40"/>
      <c r="U1006" s="41"/>
      <c r="V1006" s="41"/>
      <c r="W1006" s="41"/>
      <c r="X1006" s="36"/>
      <c r="Y1006" s="36"/>
      <c r="Z1006" s="36"/>
      <c r="AA1006" s="36"/>
      <c r="AB1006" s="36"/>
      <c r="AC1006" s="36"/>
    </row>
    <row r="1007" spans="17:29" x14ac:dyDescent="0.2">
      <c r="Q1007" s="36"/>
      <c r="R1007" s="40"/>
      <c r="S1007" s="40"/>
      <c r="T1007" s="40"/>
      <c r="U1007" s="41"/>
      <c r="V1007" s="41"/>
      <c r="W1007" s="41"/>
      <c r="X1007" s="36"/>
      <c r="Y1007" s="36"/>
      <c r="Z1007" s="36"/>
      <c r="AA1007" s="36"/>
      <c r="AB1007" s="36"/>
      <c r="AC1007" s="36"/>
    </row>
    <row r="1008" spans="17:29" x14ac:dyDescent="0.2">
      <c r="Q1008" s="36"/>
      <c r="R1008" s="40"/>
      <c r="S1008" s="40"/>
      <c r="T1008" s="40"/>
      <c r="U1008" s="41"/>
      <c r="V1008" s="41"/>
      <c r="W1008" s="41"/>
      <c r="X1008" s="36"/>
      <c r="Y1008" s="36"/>
      <c r="Z1008" s="36"/>
      <c r="AA1008" s="36"/>
      <c r="AB1008" s="36"/>
      <c r="AC1008" s="36"/>
    </row>
    <row r="1009" spans="17:29" x14ac:dyDescent="0.2">
      <c r="Q1009" s="36"/>
      <c r="R1009" s="40"/>
      <c r="S1009" s="40"/>
      <c r="T1009" s="40"/>
      <c r="U1009" s="41"/>
      <c r="V1009" s="41"/>
      <c r="W1009" s="41"/>
      <c r="X1009" s="36"/>
      <c r="Y1009" s="36"/>
      <c r="Z1009" s="36"/>
      <c r="AA1009" s="36"/>
      <c r="AB1009" s="36"/>
      <c r="AC1009" s="36"/>
    </row>
    <row r="1010" spans="17:29" x14ac:dyDescent="0.2">
      <c r="Q1010" s="36"/>
      <c r="R1010" s="40"/>
      <c r="S1010" s="40"/>
      <c r="T1010" s="40"/>
      <c r="U1010" s="41"/>
      <c r="V1010" s="41"/>
      <c r="W1010" s="41"/>
      <c r="X1010" s="36"/>
      <c r="Y1010" s="36"/>
      <c r="Z1010" s="36"/>
      <c r="AA1010" s="36"/>
      <c r="AB1010" s="36"/>
      <c r="AC1010" s="36"/>
    </row>
    <row r="1011" spans="17:29" x14ac:dyDescent="0.2">
      <c r="Q1011" s="36"/>
      <c r="R1011" s="40"/>
      <c r="S1011" s="40"/>
      <c r="T1011" s="40"/>
      <c r="U1011" s="41"/>
      <c r="V1011" s="41"/>
      <c r="W1011" s="41"/>
      <c r="X1011" s="36"/>
      <c r="Y1011" s="36"/>
      <c r="Z1011" s="36"/>
      <c r="AA1011" s="36"/>
      <c r="AB1011" s="36"/>
      <c r="AC1011" s="36"/>
    </row>
    <row r="1012" spans="17:29" x14ac:dyDescent="0.2">
      <c r="Q1012" s="36"/>
      <c r="R1012" s="40"/>
      <c r="S1012" s="40"/>
      <c r="T1012" s="40"/>
      <c r="U1012" s="41"/>
      <c r="V1012" s="41"/>
      <c r="W1012" s="41"/>
      <c r="X1012" s="36"/>
      <c r="Y1012" s="36"/>
      <c r="Z1012" s="36"/>
      <c r="AA1012" s="36"/>
      <c r="AB1012" s="36"/>
      <c r="AC1012" s="36"/>
    </row>
    <row r="1013" spans="17:29" x14ac:dyDescent="0.2">
      <c r="Q1013" s="36"/>
      <c r="R1013" s="40"/>
      <c r="S1013" s="40"/>
      <c r="T1013" s="40"/>
      <c r="U1013" s="41"/>
      <c r="V1013" s="41"/>
      <c r="W1013" s="41"/>
      <c r="X1013" s="36"/>
      <c r="Y1013" s="36"/>
      <c r="Z1013" s="36"/>
      <c r="AA1013" s="36"/>
      <c r="AB1013" s="36"/>
      <c r="AC1013" s="36"/>
    </row>
    <row r="1014" spans="17:29" x14ac:dyDescent="0.2">
      <c r="Q1014" s="36"/>
      <c r="R1014" s="40"/>
      <c r="S1014" s="40"/>
      <c r="T1014" s="40"/>
      <c r="U1014" s="41"/>
      <c r="V1014" s="41"/>
      <c r="W1014" s="41"/>
      <c r="X1014" s="36"/>
      <c r="Y1014" s="36"/>
      <c r="Z1014" s="36"/>
      <c r="AA1014" s="36"/>
      <c r="AB1014" s="36"/>
      <c r="AC1014" s="36"/>
    </row>
    <row r="1015" spans="17:29" x14ac:dyDescent="0.2">
      <c r="Q1015" s="36"/>
      <c r="R1015" s="40"/>
      <c r="S1015" s="40"/>
      <c r="T1015" s="40"/>
      <c r="U1015" s="41"/>
      <c r="V1015" s="41"/>
      <c r="W1015" s="41"/>
      <c r="X1015" s="36"/>
      <c r="Y1015" s="36"/>
      <c r="Z1015" s="36"/>
      <c r="AA1015" s="36"/>
      <c r="AB1015" s="36"/>
      <c r="AC1015" s="36"/>
    </row>
    <row r="1016" spans="17:29" x14ac:dyDescent="0.2">
      <c r="Q1016" s="36"/>
      <c r="R1016" s="40"/>
      <c r="S1016" s="40"/>
      <c r="T1016" s="40"/>
      <c r="U1016" s="41"/>
      <c r="V1016" s="41"/>
      <c r="W1016" s="41"/>
      <c r="X1016" s="36"/>
      <c r="Y1016" s="36"/>
      <c r="Z1016" s="36"/>
      <c r="AA1016" s="36"/>
      <c r="AB1016" s="36"/>
      <c r="AC1016" s="36"/>
    </row>
    <row r="1017" spans="17:29" x14ac:dyDescent="0.2">
      <c r="Q1017" s="36"/>
      <c r="R1017" s="40"/>
      <c r="S1017" s="40"/>
      <c r="T1017" s="40"/>
      <c r="U1017" s="41"/>
      <c r="V1017" s="41"/>
      <c r="W1017" s="41"/>
      <c r="X1017" s="36"/>
      <c r="Y1017" s="36"/>
      <c r="Z1017" s="36"/>
      <c r="AA1017" s="36"/>
      <c r="AB1017" s="36"/>
      <c r="AC1017" s="36"/>
    </row>
    <row r="1018" spans="17:29" x14ac:dyDescent="0.2">
      <c r="Q1018" s="36"/>
      <c r="R1018" s="40"/>
      <c r="S1018" s="40"/>
      <c r="T1018" s="40"/>
      <c r="U1018" s="41"/>
      <c r="V1018" s="41"/>
      <c r="W1018" s="41"/>
      <c r="X1018" s="36"/>
      <c r="Y1018" s="36"/>
      <c r="Z1018" s="36"/>
      <c r="AA1018" s="36"/>
      <c r="AB1018" s="36"/>
      <c r="AC1018" s="36"/>
    </row>
    <row r="1019" spans="17:29" x14ac:dyDescent="0.2">
      <c r="Q1019" s="36"/>
      <c r="R1019" s="40"/>
      <c r="S1019" s="40"/>
      <c r="T1019" s="40"/>
      <c r="U1019" s="41"/>
      <c r="V1019" s="41"/>
      <c r="W1019" s="41"/>
      <c r="X1019" s="36"/>
      <c r="Y1019" s="36"/>
      <c r="Z1019" s="36"/>
      <c r="AA1019" s="36"/>
      <c r="AB1019" s="36"/>
      <c r="AC1019" s="36"/>
    </row>
    <row r="1020" spans="17:29" x14ac:dyDescent="0.2">
      <c r="Q1020" s="36"/>
      <c r="R1020" s="40"/>
      <c r="S1020" s="40"/>
      <c r="T1020" s="40"/>
      <c r="U1020" s="41"/>
      <c r="V1020" s="41"/>
      <c r="W1020" s="41"/>
      <c r="X1020" s="36"/>
      <c r="Y1020" s="36"/>
      <c r="Z1020" s="36"/>
      <c r="AA1020" s="36"/>
      <c r="AB1020" s="36"/>
      <c r="AC1020" s="36"/>
    </row>
    <row r="1021" spans="17:29" x14ac:dyDescent="0.2">
      <c r="Q1021" s="36"/>
      <c r="R1021" s="40"/>
      <c r="S1021" s="40"/>
      <c r="T1021" s="40"/>
      <c r="U1021" s="41"/>
      <c r="V1021" s="41"/>
      <c r="W1021" s="41"/>
      <c r="X1021" s="36"/>
      <c r="Y1021" s="36"/>
      <c r="Z1021" s="36"/>
      <c r="AA1021" s="36"/>
      <c r="AB1021" s="36"/>
      <c r="AC1021" s="36"/>
    </row>
    <row r="1022" spans="17:29" x14ac:dyDescent="0.2">
      <c r="Q1022" s="36"/>
      <c r="R1022" s="40"/>
      <c r="S1022" s="40"/>
      <c r="T1022" s="40"/>
      <c r="U1022" s="41"/>
      <c r="V1022" s="41"/>
      <c r="W1022" s="41"/>
      <c r="X1022" s="36"/>
      <c r="Y1022" s="36"/>
      <c r="Z1022" s="36"/>
      <c r="AA1022" s="36"/>
      <c r="AB1022" s="36"/>
      <c r="AC1022" s="36"/>
    </row>
    <row r="1023" spans="17:29" x14ac:dyDescent="0.2">
      <c r="Q1023" s="36"/>
      <c r="R1023" s="40"/>
      <c r="S1023" s="40"/>
      <c r="T1023" s="40"/>
      <c r="U1023" s="41"/>
      <c r="V1023" s="41"/>
      <c r="W1023" s="41"/>
      <c r="X1023" s="36"/>
      <c r="Y1023" s="36"/>
      <c r="Z1023" s="36"/>
      <c r="AA1023" s="36"/>
      <c r="AB1023" s="36"/>
      <c r="AC1023" s="36"/>
    </row>
    <row r="1024" spans="17:29" x14ac:dyDescent="0.2">
      <c r="Q1024" s="36"/>
      <c r="R1024" s="40"/>
      <c r="S1024" s="40"/>
      <c r="T1024" s="40"/>
      <c r="U1024" s="41"/>
      <c r="V1024" s="41"/>
      <c r="W1024" s="41"/>
      <c r="X1024" s="36"/>
      <c r="Y1024" s="36"/>
      <c r="Z1024" s="36"/>
      <c r="AA1024" s="36"/>
      <c r="AB1024" s="36"/>
      <c r="AC1024" s="36"/>
    </row>
    <row r="1025" spans="17:29" x14ac:dyDescent="0.2">
      <c r="Q1025" s="36"/>
      <c r="R1025" s="40"/>
      <c r="S1025" s="40"/>
      <c r="T1025" s="40"/>
      <c r="U1025" s="41"/>
      <c r="V1025" s="41"/>
      <c r="W1025" s="41"/>
      <c r="X1025" s="36"/>
      <c r="Y1025" s="36"/>
      <c r="Z1025" s="36"/>
      <c r="AA1025" s="36"/>
      <c r="AB1025" s="36"/>
      <c r="AC1025" s="36"/>
    </row>
    <row r="1026" spans="17:29" x14ac:dyDescent="0.2">
      <c r="Q1026" s="36"/>
      <c r="R1026" s="40"/>
      <c r="S1026" s="40"/>
      <c r="T1026" s="40"/>
      <c r="U1026" s="41"/>
      <c r="V1026" s="41"/>
      <c r="W1026" s="41"/>
      <c r="X1026" s="36"/>
      <c r="Y1026" s="36"/>
      <c r="Z1026" s="36"/>
      <c r="AA1026" s="36"/>
      <c r="AB1026" s="36"/>
      <c r="AC1026" s="36"/>
    </row>
    <row r="1027" spans="17:29" x14ac:dyDescent="0.2">
      <c r="Q1027" s="36"/>
      <c r="R1027" s="40"/>
      <c r="S1027" s="40"/>
      <c r="T1027" s="40"/>
      <c r="U1027" s="41"/>
      <c r="V1027" s="41"/>
      <c r="W1027" s="41"/>
      <c r="X1027" s="36"/>
      <c r="Y1027" s="36"/>
      <c r="Z1027" s="36"/>
      <c r="AA1027" s="36"/>
      <c r="AB1027" s="36"/>
      <c r="AC1027" s="36"/>
    </row>
    <row r="1028" spans="17:29" x14ac:dyDescent="0.2">
      <c r="Q1028" s="36"/>
      <c r="R1028" s="40"/>
      <c r="S1028" s="40"/>
      <c r="T1028" s="40"/>
      <c r="U1028" s="41"/>
      <c r="V1028" s="41"/>
      <c r="W1028" s="41"/>
      <c r="X1028" s="36"/>
      <c r="Y1028" s="36"/>
      <c r="Z1028" s="36"/>
      <c r="AA1028" s="36"/>
      <c r="AB1028" s="36"/>
      <c r="AC1028" s="36"/>
    </row>
    <row r="1029" spans="17:29" x14ac:dyDescent="0.2">
      <c r="Q1029" s="36"/>
      <c r="R1029" s="40"/>
      <c r="S1029" s="40"/>
      <c r="T1029" s="40"/>
      <c r="U1029" s="41"/>
      <c r="V1029" s="41"/>
      <c r="W1029" s="41"/>
      <c r="X1029" s="36"/>
      <c r="Y1029" s="36"/>
      <c r="Z1029" s="36"/>
      <c r="AA1029" s="36"/>
      <c r="AB1029" s="36"/>
      <c r="AC1029" s="36"/>
    </row>
    <row r="1030" spans="17:29" x14ac:dyDescent="0.2">
      <c r="Q1030" s="36"/>
      <c r="R1030" s="40"/>
      <c r="S1030" s="40"/>
      <c r="T1030" s="40"/>
      <c r="U1030" s="41"/>
      <c r="V1030" s="41"/>
      <c r="W1030" s="41"/>
      <c r="X1030" s="36"/>
      <c r="Y1030" s="36"/>
      <c r="Z1030" s="36"/>
      <c r="AA1030" s="36"/>
      <c r="AB1030" s="36"/>
      <c r="AC1030" s="36"/>
    </row>
    <row r="1031" spans="17:29" x14ac:dyDescent="0.2">
      <c r="Q1031" s="36"/>
      <c r="R1031" s="40"/>
      <c r="S1031" s="40"/>
      <c r="T1031" s="40"/>
      <c r="U1031" s="41"/>
      <c r="V1031" s="41"/>
      <c r="W1031" s="41"/>
      <c r="X1031" s="36"/>
      <c r="Y1031" s="36"/>
      <c r="Z1031" s="36"/>
      <c r="AA1031" s="36"/>
      <c r="AB1031" s="36"/>
      <c r="AC1031" s="36"/>
    </row>
    <row r="1032" spans="17:29" x14ac:dyDescent="0.2">
      <c r="Q1032" s="36"/>
      <c r="R1032" s="40"/>
      <c r="S1032" s="40"/>
      <c r="T1032" s="40"/>
      <c r="U1032" s="41"/>
      <c r="V1032" s="41"/>
      <c r="W1032" s="41"/>
      <c r="X1032" s="36"/>
      <c r="Y1032" s="36"/>
      <c r="Z1032" s="36"/>
      <c r="AA1032" s="36"/>
      <c r="AB1032" s="36"/>
      <c r="AC1032" s="36"/>
    </row>
    <row r="1033" spans="17:29" x14ac:dyDescent="0.2">
      <c r="Q1033" s="36"/>
      <c r="R1033" s="40"/>
      <c r="S1033" s="40"/>
      <c r="T1033" s="40"/>
      <c r="U1033" s="41"/>
      <c r="V1033" s="41"/>
      <c r="W1033" s="41"/>
      <c r="X1033" s="36"/>
      <c r="Y1033" s="36"/>
      <c r="Z1033" s="36"/>
      <c r="AA1033" s="36"/>
      <c r="AB1033" s="36"/>
      <c r="AC1033" s="36"/>
    </row>
    <row r="1034" spans="17:29" x14ac:dyDescent="0.2">
      <c r="Q1034" s="36"/>
      <c r="R1034" s="40"/>
      <c r="S1034" s="40"/>
      <c r="T1034" s="40"/>
      <c r="U1034" s="41"/>
      <c r="V1034" s="41"/>
      <c r="W1034" s="41"/>
      <c r="X1034" s="36"/>
      <c r="Y1034" s="36"/>
      <c r="Z1034" s="36"/>
      <c r="AA1034" s="36"/>
      <c r="AB1034" s="36"/>
      <c r="AC1034" s="36"/>
    </row>
    <row r="1035" spans="17:29" x14ac:dyDescent="0.2">
      <c r="Q1035" s="36"/>
      <c r="R1035" s="40"/>
      <c r="S1035" s="40"/>
      <c r="T1035" s="40"/>
      <c r="U1035" s="41"/>
      <c r="V1035" s="41"/>
      <c r="W1035" s="41"/>
      <c r="X1035" s="36"/>
      <c r="Y1035" s="36"/>
      <c r="Z1035" s="36"/>
      <c r="AA1035" s="36"/>
      <c r="AB1035" s="36"/>
      <c r="AC1035" s="36"/>
    </row>
    <row r="1036" spans="17:29" x14ac:dyDescent="0.2">
      <c r="Q1036" s="36"/>
      <c r="R1036" s="40"/>
      <c r="S1036" s="40"/>
      <c r="T1036" s="40"/>
      <c r="U1036" s="41"/>
      <c r="V1036" s="41"/>
      <c r="W1036" s="41"/>
      <c r="X1036" s="36"/>
      <c r="Y1036" s="36"/>
      <c r="Z1036" s="36"/>
      <c r="AA1036" s="36"/>
      <c r="AB1036" s="36"/>
      <c r="AC1036" s="36"/>
    </row>
    <row r="1037" spans="17:29" x14ac:dyDescent="0.2">
      <c r="Q1037" s="36"/>
      <c r="R1037" s="40"/>
      <c r="S1037" s="40"/>
      <c r="T1037" s="40"/>
      <c r="U1037" s="41"/>
      <c r="V1037" s="41"/>
      <c r="W1037" s="41"/>
      <c r="X1037" s="36"/>
      <c r="Y1037" s="36"/>
      <c r="Z1037" s="36"/>
      <c r="AA1037" s="36"/>
      <c r="AB1037" s="36"/>
      <c r="AC1037" s="36"/>
    </row>
    <row r="1038" spans="17:29" x14ac:dyDescent="0.2">
      <c r="Q1038" s="36"/>
      <c r="R1038" s="40"/>
      <c r="S1038" s="40"/>
      <c r="T1038" s="40"/>
      <c r="U1038" s="41"/>
      <c r="V1038" s="41"/>
      <c r="W1038" s="41"/>
      <c r="X1038" s="36"/>
      <c r="Y1038" s="36"/>
      <c r="Z1038" s="36"/>
      <c r="AA1038" s="36"/>
      <c r="AB1038" s="36"/>
      <c r="AC1038" s="36"/>
    </row>
    <row r="1039" spans="17:29" x14ac:dyDescent="0.2">
      <c r="Q1039" s="36"/>
      <c r="R1039" s="40"/>
      <c r="S1039" s="40"/>
      <c r="T1039" s="40"/>
      <c r="U1039" s="41"/>
      <c r="V1039" s="41"/>
      <c r="W1039" s="41"/>
      <c r="X1039" s="36"/>
      <c r="Y1039" s="36"/>
      <c r="Z1039" s="36"/>
      <c r="AA1039" s="36"/>
      <c r="AB1039" s="36"/>
      <c r="AC1039" s="36"/>
    </row>
    <row r="1040" spans="17:29" x14ac:dyDescent="0.2">
      <c r="Q1040" s="36"/>
      <c r="R1040" s="40"/>
      <c r="S1040" s="40"/>
      <c r="T1040" s="40"/>
      <c r="U1040" s="41"/>
      <c r="V1040" s="41"/>
      <c r="W1040" s="41"/>
      <c r="X1040" s="36"/>
      <c r="Y1040" s="36"/>
      <c r="Z1040" s="36"/>
      <c r="AA1040" s="36"/>
      <c r="AB1040" s="36"/>
      <c r="AC1040" s="36"/>
    </row>
    <row r="1041" spans="17:29" x14ac:dyDescent="0.2">
      <c r="Q1041" s="36"/>
      <c r="R1041" s="40"/>
      <c r="S1041" s="40"/>
      <c r="T1041" s="40"/>
      <c r="U1041" s="41"/>
      <c r="V1041" s="41"/>
      <c r="W1041" s="41"/>
      <c r="X1041" s="36"/>
      <c r="Y1041" s="36"/>
      <c r="Z1041" s="36"/>
      <c r="AA1041" s="36"/>
      <c r="AB1041" s="36"/>
      <c r="AC1041" s="36"/>
    </row>
    <row r="1042" spans="17:29" x14ac:dyDescent="0.2">
      <c r="Q1042" s="36"/>
      <c r="R1042" s="40"/>
      <c r="S1042" s="40"/>
      <c r="T1042" s="40"/>
      <c r="U1042" s="41"/>
      <c r="V1042" s="41"/>
      <c r="W1042" s="41"/>
      <c r="X1042" s="36"/>
      <c r="Y1042" s="36"/>
      <c r="Z1042" s="36"/>
      <c r="AA1042" s="36"/>
      <c r="AB1042" s="36"/>
      <c r="AC1042" s="36"/>
    </row>
    <row r="1043" spans="17:29" x14ac:dyDescent="0.2">
      <c r="Q1043" s="36"/>
      <c r="R1043" s="40"/>
      <c r="S1043" s="40"/>
      <c r="T1043" s="40"/>
      <c r="U1043" s="41"/>
      <c r="V1043" s="41"/>
      <c r="W1043" s="41"/>
      <c r="X1043" s="36"/>
      <c r="Y1043" s="36"/>
      <c r="Z1043" s="36"/>
      <c r="AA1043" s="36"/>
      <c r="AB1043" s="36"/>
      <c r="AC1043" s="36"/>
    </row>
    <row r="1044" spans="17:29" x14ac:dyDescent="0.2">
      <c r="Q1044" s="36"/>
      <c r="R1044" s="40"/>
      <c r="S1044" s="40"/>
      <c r="T1044" s="40"/>
      <c r="U1044" s="41"/>
      <c r="V1044" s="41"/>
      <c r="W1044" s="41"/>
      <c r="X1044" s="36"/>
      <c r="Y1044" s="36"/>
      <c r="Z1044" s="36"/>
      <c r="AA1044" s="36"/>
      <c r="AB1044" s="36"/>
      <c r="AC1044" s="36"/>
    </row>
    <row r="1045" spans="17:29" x14ac:dyDescent="0.2">
      <c r="Q1045" s="36"/>
      <c r="R1045" s="40"/>
      <c r="S1045" s="40"/>
      <c r="T1045" s="40"/>
      <c r="U1045" s="41"/>
      <c r="V1045" s="41"/>
      <c r="W1045" s="41"/>
      <c r="X1045" s="36"/>
      <c r="Y1045" s="36"/>
      <c r="Z1045" s="36"/>
      <c r="AA1045" s="36"/>
      <c r="AB1045" s="36"/>
      <c r="AC1045" s="36"/>
    </row>
    <row r="1046" spans="17:29" x14ac:dyDescent="0.2">
      <c r="Q1046" s="36"/>
      <c r="R1046" s="40"/>
      <c r="S1046" s="40"/>
      <c r="T1046" s="40"/>
      <c r="U1046" s="41"/>
      <c r="V1046" s="41"/>
      <c r="W1046" s="41"/>
      <c r="X1046" s="36"/>
      <c r="Y1046" s="36"/>
      <c r="Z1046" s="36"/>
      <c r="AA1046" s="36"/>
      <c r="AB1046" s="36"/>
      <c r="AC1046" s="36"/>
    </row>
    <row r="1047" spans="17:29" x14ac:dyDescent="0.2">
      <c r="Q1047" s="36"/>
      <c r="R1047" s="40"/>
      <c r="S1047" s="40"/>
      <c r="T1047" s="40"/>
      <c r="U1047" s="41"/>
      <c r="V1047" s="41"/>
      <c r="W1047" s="41"/>
      <c r="X1047" s="36"/>
      <c r="Y1047" s="36"/>
      <c r="Z1047" s="36"/>
      <c r="AA1047" s="36"/>
      <c r="AB1047" s="36"/>
      <c r="AC1047" s="36"/>
    </row>
    <row r="1048" spans="17:29" x14ac:dyDescent="0.2">
      <c r="Q1048" s="36"/>
      <c r="R1048" s="40"/>
      <c r="S1048" s="40"/>
      <c r="T1048" s="40"/>
      <c r="U1048" s="41"/>
      <c r="V1048" s="41"/>
      <c r="W1048" s="41"/>
      <c r="X1048" s="36"/>
      <c r="Y1048" s="36"/>
      <c r="Z1048" s="36"/>
      <c r="AA1048" s="36"/>
      <c r="AB1048" s="36"/>
      <c r="AC1048" s="36"/>
    </row>
    <row r="1049" spans="17:29" x14ac:dyDescent="0.2">
      <c r="Q1049" s="36"/>
      <c r="R1049" s="40"/>
      <c r="S1049" s="40"/>
      <c r="T1049" s="40"/>
      <c r="U1049" s="41"/>
      <c r="V1049" s="41"/>
      <c r="W1049" s="41"/>
      <c r="X1049" s="36"/>
      <c r="Y1049" s="36"/>
      <c r="Z1049" s="36"/>
      <c r="AA1049" s="36"/>
      <c r="AB1049" s="36"/>
      <c r="AC1049" s="36"/>
    </row>
    <row r="1050" spans="17:29" x14ac:dyDescent="0.2">
      <c r="Q1050" s="36"/>
      <c r="R1050" s="40"/>
      <c r="S1050" s="40"/>
      <c r="T1050" s="40"/>
      <c r="U1050" s="41"/>
      <c r="V1050" s="41"/>
      <c r="W1050" s="41"/>
      <c r="X1050" s="36"/>
      <c r="Y1050" s="36"/>
      <c r="Z1050" s="36"/>
      <c r="AA1050" s="36"/>
      <c r="AB1050" s="36"/>
      <c r="AC1050" s="36"/>
    </row>
    <row r="1051" spans="17:29" x14ac:dyDescent="0.2">
      <c r="Q1051" s="36"/>
      <c r="R1051" s="40"/>
      <c r="S1051" s="40"/>
      <c r="T1051" s="40"/>
      <c r="U1051" s="41"/>
      <c r="V1051" s="41"/>
      <c r="W1051" s="41"/>
      <c r="X1051" s="36"/>
      <c r="Y1051" s="36"/>
      <c r="Z1051" s="36"/>
      <c r="AA1051" s="36"/>
      <c r="AB1051" s="36"/>
      <c r="AC1051" s="36"/>
    </row>
    <row r="1052" spans="17:29" x14ac:dyDescent="0.2">
      <c r="Q1052" s="36"/>
      <c r="R1052" s="40"/>
      <c r="S1052" s="40"/>
      <c r="T1052" s="40"/>
      <c r="U1052" s="41"/>
      <c r="V1052" s="41"/>
      <c r="W1052" s="41"/>
      <c r="X1052" s="36"/>
      <c r="Y1052" s="36"/>
      <c r="Z1052" s="36"/>
      <c r="AA1052" s="36"/>
      <c r="AB1052" s="36"/>
      <c r="AC1052" s="36"/>
    </row>
    <row r="1053" spans="17:29" x14ac:dyDescent="0.2">
      <c r="Q1053" s="36"/>
      <c r="R1053" s="40"/>
      <c r="S1053" s="40"/>
      <c r="T1053" s="40"/>
      <c r="U1053" s="41"/>
      <c r="V1053" s="41"/>
      <c r="W1053" s="41"/>
      <c r="X1053" s="36"/>
      <c r="Y1053" s="36"/>
      <c r="Z1053" s="36"/>
      <c r="AA1053" s="36"/>
      <c r="AB1053" s="36"/>
      <c r="AC1053" s="36"/>
    </row>
    <row r="1054" spans="17:29" x14ac:dyDescent="0.2">
      <c r="Q1054" s="36"/>
      <c r="R1054" s="40"/>
      <c r="S1054" s="40"/>
      <c r="T1054" s="40"/>
      <c r="U1054" s="41"/>
      <c r="V1054" s="41"/>
      <c r="W1054" s="41"/>
      <c r="X1054" s="36"/>
      <c r="Y1054" s="36"/>
      <c r="Z1054" s="36"/>
      <c r="AA1054" s="36"/>
      <c r="AB1054" s="36"/>
      <c r="AC1054" s="36"/>
    </row>
    <row r="1055" spans="17:29" x14ac:dyDescent="0.2">
      <c r="Q1055" s="36"/>
      <c r="R1055" s="40"/>
      <c r="S1055" s="40"/>
      <c r="T1055" s="40"/>
      <c r="U1055" s="41"/>
      <c r="V1055" s="41"/>
      <c r="W1055" s="41"/>
      <c r="X1055" s="36"/>
      <c r="Y1055" s="36"/>
      <c r="Z1055" s="36"/>
      <c r="AA1055" s="36"/>
      <c r="AB1055" s="36"/>
      <c r="AC1055" s="36"/>
    </row>
    <row r="1056" spans="17:29" x14ac:dyDescent="0.2">
      <c r="Q1056" s="36"/>
      <c r="R1056" s="40"/>
      <c r="S1056" s="40"/>
      <c r="T1056" s="40"/>
      <c r="U1056" s="41"/>
      <c r="V1056" s="41"/>
      <c r="W1056" s="41"/>
      <c r="X1056" s="36"/>
      <c r="Y1056" s="36"/>
      <c r="Z1056" s="36"/>
      <c r="AA1056" s="36"/>
      <c r="AB1056" s="36"/>
      <c r="AC1056" s="36"/>
    </row>
    <row r="1057" spans="17:29" x14ac:dyDescent="0.2">
      <c r="Q1057" s="36"/>
      <c r="R1057" s="40"/>
      <c r="S1057" s="40"/>
      <c r="T1057" s="40"/>
      <c r="U1057" s="41"/>
      <c r="V1057" s="41"/>
      <c r="W1057" s="41"/>
      <c r="X1057" s="36"/>
      <c r="Y1057" s="36"/>
      <c r="Z1057" s="36"/>
      <c r="AA1057" s="36"/>
      <c r="AB1057" s="36"/>
      <c r="AC1057" s="36"/>
    </row>
    <row r="1058" spans="17:29" x14ac:dyDescent="0.2">
      <c r="Q1058" s="36"/>
      <c r="R1058" s="40"/>
      <c r="S1058" s="40"/>
      <c r="T1058" s="40"/>
      <c r="U1058" s="41"/>
      <c r="V1058" s="41"/>
      <c r="W1058" s="41"/>
      <c r="X1058" s="36"/>
      <c r="Y1058" s="36"/>
      <c r="Z1058" s="36"/>
      <c r="AA1058" s="36"/>
      <c r="AB1058" s="36"/>
      <c r="AC1058" s="36"/>
    </row>
    <row r="1059" spans="17:29" x14ac:dyDescent="0.2">
      <c r="Q1059" s="36"/>
      <c r="R1059" s="40"/>
      <c r="S1059" s="40"/>
      <c r="T1059" s="40"/>
      <c r="U1059" s="41"/>
      <c r="V1059" s="41"/>
      <c r="W1059" s="41"/>
      <c r="X1059" s="36"/>
      <c r="Y1059" s="36"/>
      <c r="Z1059" s="36"/>
      <c r="AA1059" s="36"/>
      <c r="AB1059" s="36"/>
      <c r="AC1059" s="36"/>
    </row>
    <row r="1060" spans="17:29" x14ac:dyDescent="0.2">
      <c r="Q1060" s="36"/>
      <c r="R1060" s="40"/>
      <c r="S1060" s="40"/>
      <c r="T1060" s="40"/>
      <c r="U1060" s="41"/>
      <c r="V1060" s="41"/>
      <c r="W1060" s="41"/>
      <c r="X1060" s="36"/>
      <c r="Y1060" s="36"/>
      <c r="Z1060" s="36"/>
      <c r="AA1060" s="36"/>
      <c r="AB1060" s="36"/>
      <c r="AC1060" s="36"/>
    </row>
    <row r="1061" spans="17:29" x14ac:dyDescent="0.2">
      <c r="Q1061" s="36"/>
      <c r="R1061" s="40"/>
      <c r="S1061" s="40"/>
      <c r="T1061" s="40"/>
      <c r="U1061" s="41"/>
      <c r="V1061" s="41"/>
      <c r="W1061" s="41"/>
      <c r="X1061" s="36"/>
      <c r="Y1061" s="36"/>
      <c r="Z1061" s="36"/>
      <c r="AA1061" s="36"/>
      <c r="AB1061" s="36"/>
      <c r="AC1061" s="36"/>
    </row>
    <row r="1062" spans="17:29" x14ac:dyDescent="0.2">
      <c r="Q1062" s="36"/>
      <c r="R1062" s="40"/>
      <c r="S1062" s="40"/>
      <c r="T1062" s="40"/>
      <c r="U1062" s="41"/>
      <c r="V1062" s="41"/>
      <c r="W1062" s="41"/>
      <c r="X1062" s="36"/>
      <c r="Y1062" s="36"/>
      <c r="Z1062" s="36"/>
      <c r="AA1062" s="36"/>
      <c r="AB1062" s="36"/>
      <c r="AC1062" s="36"/>
    </row>
    <row r="1063" spans="17:29" x14ac:dyDescent="0.2">
      <c r="Q1063" s="36"/>
      <c r="R1063" s="40"/>
      <c r="S1063" s="40"/>
      <c r="T1063" s="40"/>
      <c r="U1063" s="41"/>
      <c r="V1063" s="41"/>
      <c r="W1063" s="41"/>
      <c r="X1063" s="36"/>
      <c r="Y1063" s="36"/>
      <c r="Z1063" s="36"/>
      <c r="AA1063" s="36"/>
      <c r="AB1063" s="36"/>
      <c r="AC1063" s="36"/>
    </row>
    <row r="1064" spans="17:29" x14ac:dyDescent="0.2">
      <c r="Q1064" s="36"/>
      <c r="R1064" s="40"/>
      <c r="S1064" s="40"/>
      <c r="T1064" s="40"/>
      <c r="U1064" s="41"/>
      <c r="V1064" s="41"/>
      <c r="W1064" s="41"/>
      <c r="X1064" s="36"/>
      <c r="Y1064" s="36"/>
      <c r="Z1064" s="36"/>
      <c r="AA1064" s="36"/>
      <c r="AB1064" s="36"/>
      <c r="AC1064" s="36"/>
    </row>
    <row r="1065" spans="17:29" x14ac:dyDescent="0.2">
      <c r="Q1065" s="36"/>
      <c r="R1065" s="40"/>
      <c r="S1065" s="40"/>
      <c r="T1065" s="40"/>
      <c r="U1065" s="41"/>
      <c r="V1065" s="41"/>
      <c r="W1065" s="41"/>
      <c r="X1065" s="36"/>
      <c r="Y1065" s="36"/>
      <c r="Z1065" s="36"/>
      <c r="AA1065" s="36"/>
      <c r="AB1065" s="36"/>
      <c r="AC1065" s="36"/>
    </row>
    <row r="1066" spans="17:29" x14ac:dyDescent="0.2">
      <c r="Q1066" s="36"/>
      <c r="R1066" s="40"/>
      <c r="S1066" s="40"/>
      <c r="T1066" s="40"/>
      <c r="U1066" s="41"/>
      <c r="V1066" s="41"/>
      <c r="W1066" s="41"/>
      <c r="X1066" s="36"/>
      <c r="Y1066" s="36"/>
      <c r="Z1066" s="36"/>
      <c r="AA1066" s="36"/>
      <c r="AB1066" s="36"/>
      <c r="AC1066" s="36"/>
    </row>
    <row r="1067" spans="17:29" x14ac:dyDescent="0.2">
      <c r="Q1067" s="36"/>
      <c r="R1067" s="40"/>
      <c r="S1067" s="40"/>
      <c r="T1067" s="40"/>
      <c r="U1067" s="41"/>
      <c r="V1067" s="41"/>
      <c r="W1067" s="41"/>
      <c r="X1067" s="36"/>
      <c r="Y1067" s="36"/>
      <c r="Z1067" s="36"/>
      <c r="AA1067" s="36"/>
      <c r="AB1067" s="36"/>
      <c r="AC1067" s="36"/>
    </row>
    <row r="1068" spans="17:29" x14ac:dyDescent="0.2">
      <c r="Q1068" s="36"/>
      <c r="R1068" s="40"/>
      <c r="S1068" s="40"/>
      <c r="T1068" s="40"/>
      <c r="U1068" s="41"/>
      <c r="V1068" s="41"/>
      <c r="W1068" s="41"/>
      <c r="X1068" s="36"/>
      <c r="Y1068" s="36"/>
      <c r="Z1068" s="36"/>
      <c r="AA1068" s="36"/>
      <c r="AB1068" s="36"/>
      <c r="AC1068" s="36"/>
    </row>
    <row r="1069" spans="17:29" x14ac:dyDescent="0.2">
      <c r="Q1069" s="36"/>
      <c r="R1069" s="40"/>
      <c r="S1069" s="40"/>
      <c r="T1069" s="40"/>
      <c r="U1069" s="41"/>
      <c r="V1069" s="41"/>
      <c r="W1069" s="41"/>
      <c r="X1069" s="36"/>
      <c r="Y1069" s="36"/>
      <c r="Z1069" s="36"/>
      <c r="AA1069" s="36"/>
      <c r="AB1069" s="36"/>
      <c r="AC1069" s="36"/>
    </row>
    <row r="1070" spans="17:29" x14ac:dyDescent="0.2">
      <c r="Q1070" s="36"/>
      <c r="R1070" s="40"/>
      <c r="S1070" s="40"/>
      <c r="T1070" s="40"/>
      <c r="U1070" s="41"/>
      <c r="V1070" s="41"/>
      <c r="W1070" s="41"/>
      <c r="X1070" s="36"/>
      <c r="Y1070" s="36"/>
      <c r="Z1070" s="36"/>
      <c r="AA1070" s="36"/>
      <c r="AB1070" s="36"/>
      <c r="AC1070" s="36"/>
    </row>
    <row r="1071" spans="17:29" x14ac:dyDescent="0.2">
      <c r="Q1071" s="36"/>
      <c r="R1071" s="40"/>
      <c r="S1071" s="40"/>
      <c r="T1071" s="40"/>
      <c r="U1071" s="41"/>
      <c r="V1071" s="41"/>
      <c r="W1071" s="41"/>
      <c r="X1071" s="36"/>
      <c r="Y1071" s="36"/>
      <c r="Z1071" s="36"/>
      <c r="AA1071" s="36"/>
      <c r="AB1071" s="36"/>
      <c r="AC1071" s="36"/>
    </row>
    <row r="1072" spans="17:29" x14ac:dyDescent="0.2">
      <c r="Q1072" s="36"/>
      <c r="R1072" s="40"/>
      <c r="S1072" s="40"/>
      <c r="T1072" s="40"/>
      <c r="U1072" s="41"/>
      <c r="V1072" s="41"/>
      <c r="W1072" s="41"/>
      <c r="X1072" s="36"/>
      <c r="Y1072" s="36"/>
      <c r="Z1072" s="36"/>
      <c r="AA1072" s="36"/>
      <c r="AB1072" s="36"/>
      <c r="AC1072" s="36"/>
    </row>
    <row r="1073" spans="17:29" x14ac:dyDescent="0.2">
      <c r="Q1073" s="36"/>
      <c r="R1073" s="40"/>
      <c r="S1073" s="40"/>
      <c r="T1073" s="40"/>
      <c r="U1073" s="41"/>
      <c r="V1073" s="41"/>
      <c r="W1073" s="41"/>
      <c r="X1073" s="36"/>
      <c r="Y1073" s="36"/>
      <c r="Z1073" s="36"/>
      <c r="AA1073" s="36"/>
      <c r="AB1073" s="36"/>
      <c r="AC1073" s="36"/>
    </row>
    <row r="1074" spans="17:29" x14ac:dyDescent="0.2">
      <c r="Q1074" s="36"/>
      <c r="R1074" s="40"/>
      <c r="S1074" s="40"/>
      <c r="T1074" s="40"/>
      <c r="U1074" s="41"/>
      <c r="V1074" s="41"/>
      <c r="W1074" s="41"/>
      <c r="X1074" s="36"/>
      <c r="Y1074" s="36"/>
      <c r="Z1074" s="36"/>
      <c r="AA1074" s="36"/>
      <c r="AB1074" s="36"/>
      <c r="AC1074" s="36"/>
    </row>
    <row r="1075" spans="17:29" x14ac:dyDescent="0.2">
      <c r="Q1075" s="36"/>
      <c r="R1075" s="40"/>
      <c r="S1075" s="40"/>
      <c r="T1075" s="40"/>
      <c r="U1075" s="41"/>
      <c r="V1075" s="41"/>
      <c r="W1075" s="41"/>
      <c r="X1075" s="36"/>
      <c r="Y1075" s="36"/>
      <c r="Z1075" s="36"/>
      <c r="AA1075" s="36"/>
      <c r="AB1075" s="36"/>
      <c r="AC1075" s="36"/>
    </row>
    <row r="1076" spans="17:29" x14ac:dyDescent="0.2">
      <c r="Q1076" s="36"/>
      <c r="R1076" s="40"/>
      <c r="S1076" s="40"/>
      <c r="T1076" s="40"/>
      <c r="U1076" s="41"/>
      <c r="V1076" s="41"/>
      <c r="W1076" s="41"/>
      <c r="X1076" s="36"/>
      <c r="Y1076" s="36"/>
      <c r="Z1076" s="36"/>
      <c r="AA1076" s="36"/>
      <c r="AB1076" s="36"/>
      <c r="AC1076" s="36"/>
    </row>
    <row r="1077" spans="17:29" x14ac:dyDescent="0.2">
      <c r="Q1077" s="36"/>
      <c r="R1077" s="40"/>
      <c r="S1077" s="40"/>
      <c r="T1077" s="40"/>
      <c r="U1077" s="41"/>
      <c r="V1077" s="41"/>
      <c r="W1077" s="41"/>
      <c r="X1077" s="36"/>
      <c r="Y1077" s="36"/>
      <c r="Z1077" s="36"/>
      <c r="AA1077" s="36"/>
      <c r="AB1077" s="36"/>
      <c r="AC1077" s="36"/>
    </row>
    <row r="1078" spans="17:29" x14ac:dyDescent="0.2">
      <c r="Q1078" s="36"/>
      <c r="R1078" s="40"/>
      <c r="S1078" s="40"/>
      <c r="T1078" s="40"/>
      <c r="U1078" s="41"/>
      <c r="V1078" s="41"/>
      <c r="W1078" s="41"/>
      <c r="X1078" s="36"/>
      <c r="Y1078" s="36"/>
      <c r="Z1078" s="36"/>
      <c r="AA1078" s="36"/>
      <c r="AB1078" s="36"/>
      <c r="AC1078" s="36"/>
    </row>
    <row r="1079" spans="17:29" x14ac:dyDescent="0.2">
      <c r="Q1079" s="36"/>
      <c r="R1079" s="40"/>
      <c r="S1079" s="40"/>
      <c r="T1079" s="40"/>
      <c r="U1079" s="41"/>
      <c r="V1079" s="41"/>
      <c r="W1079" s="41"/>
      <c r="X1079" s="36"/>
      <c r="Y1079" s="36"/>
      <c r="Z1079" s="36"/>
      <c r="AA1079" s="36"/>
      <c r="AB1079" s="36"/>
      <c r="AC1079" s="36"/>
    </row>
    <row r="1080" spans="17:29" x14ac:dyDescent="0.2">
      <c r="Q1080" s="36"/>
      <c r="R1080" s="40"/>
      <c r="S1080" s="40"/>
      <c r="T1080" s="40"/>
      <c r="U1080" s="41"/>
      <c r="V1080" s="41"/>
      <c r="W1080" s="41"/>
      <c r="X1080" s="36"/>
      <c r="Y1080" s="36"/>
      <c r="Z1080" s="36"/>
      <c r="AA1080" s="36"/>
      <c r="AB1080" s="36"/>
      <c r="AC1080" s="36"/>
    </row>
    <row r="1081" spans="17:29" x14ac:dyDescent="0.2">
      <c r="Q1081" s="36"/>
      <c r="R1081" s="40"/>
      <c r="S1081" s="40"/>
      <c r="T1081" s="40"/>
      <c r="U1081" s="41"/>
      <c r="V1081" s="41"/>
      <c r="W1081" s="41"/>
      <c r="X1081" s="36"/>
      <c r="Y1081" s="36"/>
      <c r="Z1081" s="36"/>
      <c r="AA1081" s="36"/>
      <c r="AB1081" s="36"/>
      <c r="AC1081" s="36"/>
    </row>
    <row r="1082" spans="17:29" x14ac:dyDescent="0.2">
      <c r="Q1082" s="36"/>
      <c r="R1082" s="40"/>
      <c r="S1082" s="40"/>
      <c r="T1082" s="40"/>
      <c r="U1082" s="41"/>
      <c r="V1082" s="41"/>
      <c r="W1082" s="41"/>
      <c r="X1082" s="36"/>
      <c r="Y1082" s="36"/>
      <c r="Z1082" s="36"/>
      <c r="AA1082" s="36"/>
      <c r="AB1082" s="36"/>
      <c r="AC1082" s="36"/>
    </row>
    <row r="1083" spans="17:29" x14ac:dyDescent="0.2">
      <c r="Q1083" s="36"/>
      <c r="R1083" s="40"/>
      <c r="S1083" s="40"/>
      <c r="T1083" s="40"/>
      <c r="U1083" s="41"/>
      <c r="V1083" s="41"/>
      <c r="W1083" s="41"/>
      <c r="X1083" s="36"/>
      <c r="Y1083" s="36"/>
      <c r="Z1083" s="36"/>
      <c r="AA1083" s="36"/>
      <c r="AB1083" s="36"/>
      <c r="AC1083" s="36"/>
    </row>
    <row r="1084" spans="17:29" x14ac:dyDescent="0.2">
      <c r="Q1084" s="36"/>
      <c r="R1084" s="40"/>
      <c r="S1084" s="40"/>
      <c r="T1084" s="40"/>
      <c r="U1084" s="41"/>
      <c r="V1084" s="41"/>
      <c r="W1084" s="41"/>
      <c r="X1084" s="36"/>
      <c r="Y1084" s="36"/>
      <c r="Z1084" s="36"/>
      <c r="AA1084" s="36"/>
      <c r="AB1084" s="36"/>
      <c r="AC1084" s="36"/>
    </row>
    <row r="1085" spans="17:29" x14ac:dyDescent="0.2">
      <c r="Q1085" s="36"/>
      <c r="R1085" s="40"/>
      <c r="S1085" s="40"/>
      <c r="T1085" s="40"/>
      <c r="U1085" s="41"/>
      <c r="V1085" s="41"/>
      <c r="W1085" s="41"/>
      <c r="X1085" s="36"/>
      <c r="Y1085" s="36"/>
      <c r="Z1085" s="36"/>
      <c r="AA1085" s="36"/>
      <c r="AB1085" s="36"/>
      <c r="AC1085" s="36"/>
    </row>
    <row r="1086" spans="17:29" x14ac:dyDescent="0.2">
      <c r="Q1086" s="36"/>
      <c r="R1086" s="40"/>
      <c r="S1086" s="40"/>
      <c r="T1086" s="40"/>
      <c r="U1086" s="41"/>
      <c r="V1086" s="41"/>
      <c r="W1086" s="41"/>
      <c r="X1086" s="36"/>
      <c r="Y1086" s="36"/>
      <c r="Z1086" s="36"/>
      <c r="AA1086" s="36"/>
      <c r="AB1086" s="36"/>
      <c r="AC1086" s="36"/>
    </row>
    <row r="1087" spans="17:29" x14ac:dyDescent="0.2">
      <c r="Q1087" s="36"/>
      <c r="R1087" s="40"/>
      <c r="S1087" s="40"/>
      <c r="T1087" s="40"/>
      <c r="U1087" s="41"/>
      <c r="V1087" s="41"/>
      <c r="W1087" s="41"/>
      <c r="X1087" s="36"/>
      <c r="Y1087" s="36"/>
      <c r="Z1087" s="36"/>
      <c r="AA1087" s="36"/>
      <c r="AB1087" s="36"/>
      <c r="AC1087" s="36"/>
    </row>
    <row r="1088" spans="17:29" x14ac:dyDescent="0.2">
      <c r="Q1088" s="36"/>
      <c r="R1088" s="40"/>
      <c r="S1088" s="40"/>
      <c r="T1088" s="40"/>
      <c r="U1088" s="41"/>
      <c r="V1088" s="41"/>
      <c r="W1088" s="41"/>
      <c r="X1088" s="36"/>
      <c r="Y1088" s="36"/>
      <c r="Z1088" s="36"/>
      <c r="AA1088" s="36"/>
      <c r="AB1088" s="36"/>
      <c r="AC1088" s="36"/>
    </row>
    <row r="1089" spans="17:29" x14ac:dyDescent="0.2">
      <c r="Q1089" s="36"/>
      <c r="R1089" s="40"/>
      <c r="S1089" s="40"/>
      <c r="T1089" s="40"/>
      <c r="U1089" s="41"/>
      <c r="V1089" s="41"/>
      <c r="W1089" s="41"/>
      <c r="X1089" s="36"/>
      <c r="Y1089" s="36"/>
      <c r="Z1089" s="36"/>
      <c r="AA1089" s="36"/>
      <c r="AB1089" s="36"/>
      <c r="AC1089" s="36"/>
    </row>
    <row r="1090" spans="17:29" x14ac:dyDescent="0.2">
      <c r="Q1090" s="36"/>
      <c r="R1090" s="40"/>
      <c r="S1090" s="40"/>
      <c r="T1090" s="40"/>
      <c r="U1090" s="41"/>
      <c r="V1090" s="41"/>
      <c r="W1090" s="41"/>
      <c r="X1090" s="36"/>
      <c r="Y1090" s="36"/>
      <c r="Z1090" s="36"/>
      <c r="AA1090" s="36"/>
      <c r="AB1090" s="36"/>
      <c r="AC1090" s="36"/>
    </row>
    <row r="1091" spans="17:29" x14ac:dyDescent="0.2">
      <c r="Q1091" s="36"/>
      <c r="R1091" s="40"/>
      <c r="S1091" s="40"/>
      <c r="T1091" s="40"/>
      <c r="U1091" s="41"/>
      <c r="V1091" s="41"/>
      <c r="W1091" s="41"/>
      <c r="X1091" s="36"/>
      <c r="Y1091" s="36"/>
      <c r="Z1091" s="36"/>
      <c r="AA1091" s="36"/>
      <c r="AB1091" s="36"/>
      <c r="AC1091" s="36"/>
    </row>
    <row r="1092" spans="17:29" x14ac:dyDescent="0.2">
      <c r="Q1092" s="36"/>
      <c r="R1092" s="40"/>
      <c r="S1092" s="40"/>
      <c r="T1092" s="40"/>
      <c r="U1092" s="41"/>
      <c r="V1092" s="41"/>
      <c r="W1092" s="41"/>
      <c r="X1092" s="36"/>
      <c r="Y1092" s="36"/>
      <c r="Z1092" s="36"/>
      <c r="AA1092" s="36"/>
      <c r="AB1092" s="36"/>
      <c r="AC1092" s="36"/>
    </row>
    <row r="1093" spans="17:29" x14ac:dyDescent="0.2">
      <c r="Q1093" s="36"/>
      <c r="R1093" s="40"/>
      <c r="S1093" s="40"/>
      <c r="T1093" s="40"/>
      <c r="U1093" s="41"/>
      <c r="V1093" s="41"/>
      <c r="W1093" s="41"/>
      <c r="X1093" s="36"/>
      <c r="Y1093" s="36"/>
      <c r="Z1093" s="36"/>
      <c r="AA1093" s="36"/>
      <c r="AB1093" s="36"/>
      <c r="AC1093" s="36"/>
    </row>
    <row r="1094" spans="17:29" x14ac:dyDescent="0.2">
      <c r="Q1094" s="36"/>
      <c r="R1094" s="40"/>
      <c r="S1094" s="40"/>
      <c r="T1094" s="40"/>
      <c r="U1094" s="41"/>
      <c r="V1094" s="41"/>
      <c r="W1094" s="41"/>
      <c r="X1094" s="36"/>
      <c r="Y1094" s="36"/>
      <c r="Z1094" s="36"/>
      <c r="AA1094" s="36"/>
      <c r="AB1094" s="36"/>
      <c r="AC1094" s="36"/>
    </row>
    <row r="1095" spans="17:29" x14ac:dyDescent="0.2">
      <c r="Q1095" s="36"/>
      <c r="R1095" s="40"/>
      <c r="S1095" s="40"/>
      <c r="T1095" s="40"/>
      <c r="U1095" s="41"/>
      <c r="V1095" s="41"/>
      <c r="W1095" s="41"/>
      <c r="X1095" s="36"/>
      <c r="Y1095" s="36"/>
      <c r="Z1095" s="36"/>
      <c r="AA1095" s="36"/>
      <c r="AB1095" s="36"/>
      <c r="AC1095" s="36"/>
    </row>
    <row r="1096" spans="17:29" x14ac:dyDescent="0.2">
      <c r="Q1096" s="36"/>
      <c r="R1096" s="40"/>
      <c r="S1096" s="40"/>
      <c r="T1096" s="40"/>
      <c r="U1096" s="41"/>
      <c r="V1096" s="41"/>
      <c r="W1096" s="41"/>
      <c r="X1096" s="36"/>
      <c r="Y1096" s="36"/>
      <c r="Z1096" s="36"/>
      <c r="AA1096" s="36"/>
      <c r="AB1096" s="36"/>
      <c r="AC1096" s="36"/>
    </row>
    <row r="1097" spans="17:29" x14ac:dyDescent="0.2">
      <c r="Q1097" s="36"/>
      <c r="R1097" s="40"/>
      <c r="S1097" s="40"/>
      <c r="T1097" s="40"/>
      <c r="U1097" s="41"/>
      <c r="V1097" s="41"/>
      <c r="W1097" s="41"/>
      <c r="X1097" s="36"/>
      <c r="Y1097" s="36"/>
      <c r="Z1097" s="36"/>
      <c r="AA1097" s="36"/>
      <c r="AB1097" s="36"/>
      <c r="AC1097" s="36"/>
    </row>
    <row r="1098" spans="17:29" x14ac:dyDescent="0.2">
      <c r="Q1098" s="36"/>
      <c r="R1098" s="40"/>
      <c r="S1098" s="40"/>
      <c r="T1098" s="40"/>
      <c r="U1098" s="41"/>
      <c r="V1098" s="41"/>
      <c r="W1098" s="41"/>
      <c r="X1098" s="36"/>
      <c r="Y1098" s="36"/>
      <c r="Z1098" s="36"/>
      <c r="AA1098" s="36"/>
      <c r="AB1098" s="36"/>
      <c r="AC1098" s="36"/>
    </row>
    <row r="1099" spans="17:29" x14ac:dyDescent="0.2">
      <c r="Q1099" s="36"/>
      <c r="R1099" s="40"/>
      <c r="S1099" s="40"/>
      <c r="T1099" s="40"/>
      <c r="U1099" s="41"/>
      <c r="V1099" s="41"/>
      <c r="W1099" s="41"/>
      <c r="X1099" s="36"/>
      <c r="Y1099" s="36"/>
      <c r="Z1099" s="36"/>
      <c r="AA1099" s="36"/>
      <c r="AB1099" s="36"/>
      <c r="AC1099" s="36"/>
    </row>
    <row r="1100" spans="17:29" x14ac:dyDescent="0.2">
      <c r="Q1100" s="36"/>
      <c r="R1100" s="40"/>
      <c r="S1100" s="40"/>
      <c r="T1100" s="40"/>
      <c r="U1100" s="41"/>
      <c r="V1100" s="41"/>
      <c r="W1100" s="41"/>
      <c r="X1100" s="36"/>
      <c r="Y1100" s="36"/>
      <c r="Z1100" s="36"/>
      <c r="AA1100" s="36"/>
      <c r="AB1100" s="36"/>
      <c r="AC1100" s="36"/>
    </row>
    <row r="1101" spans="17:29" x14ac:dyDescent="0.2">
      <c r="Q1101" s="36"/>
      <c r="R1101" s="40"/>
      <c r="S1101" s="40"/>
      <c r="T1101" s="40"/>
      <c r="U1101" s="41"/>
      <c r="V1101" s="41"/>
      <c r="W1101" s="41"/>
      <c r="X1101" s="36"/>
      <c r="Y1101" s="36"/>
      <c r="Z1101" s="36"/>
      <c r="AA1101" s="36"/>
      <c r="AB1101" s="36"/>
      <c r="AC1101" s="36"/>
    </row>
    <row r="1102" spans="17:29" x14ac:dyDescent="0.2">
      <c r="Q1102" s="36"/>
      <c r="R1102" s="40"/>
      <c r="S1102" s="40"/>
      <c r="T1102" s="40"/>
      <c r="U1102" s="41"/>
      <c r="V1102" s="41"/>
      <c r="W1102" s="41"/>
      <c r="X1102" s="36"/>
      <c r="Y1102" s="36"/>
      <c r="Z1102" s="36"/>
      <c r="AA1102" s="36"/>
      <c r="AB1102" s="36"/>
      <c r="AC1102" s="36"/>
    </row>
    <row r="1103" spans="17:29" x14ac:dyDescent="0.2">
      <c r="Q1103" s="36"/>
      <c r="R1103" s="40"/>
      <c r="S1103" s="40"/>
      <c r="T1103" s="40"/>
      <c r="U1103" s="41"/>
      <c r="V1103" s="41"/>
      <c r="W1103" s="41"/>
      <c r="X1103" s="36"/>
      <c r="Y1103" s="36"/>
      <c r="Z1103" s="36"/>
      <c r="AA1103" s="36"/>
      <c r="AB1103" s="36"/>
      <c r="AC1103" s="36"/>
    </row>
    <row r="1104" spans="17:29" x14ac:dyDescent="0.2">
      <c r="Q1104" s="36"/>
      <c r="R1104" s="40"/>
      <c r="S1104" s="40"/>
      <c r="T1104" s="40"/>
      <c r="U1104" s="41"/>
      <c r="V1104" s="41"/>
      <c r="W1104" s="41"/>
      <c r="X1104" s="36"/>
      <c r="Y1104" s="36"/>
      <c r="Z1104" s="36"/>
      <c r="AA1104" s="36"/>
      <c r="AB1104" s="36"/>
      <c r="AC1104" s="36"/>
    </row>
    <row r="1105" spans="17:29" x14ac:dyDescent="0.2">
      <c r="Q1105" s="36"/>
      <c r="R1105" s="40"/>
      <c r="S1105" s="40"/>
      <c r="T1105" s="40"/>
      <c r="U1105" s="41"/>
      <c r="V1105" s="41"/>
      <c r="W1105" s="41"/>
      <c r="X1105" s="36"/>
      <c r="Y1105" s="36"/>
      <c r="Z1105" s="36"/>
      <c r="AA1105" s="36"/>
      <c r="AB1105" s="36"/>
      <c r="AC1105" s="36"/>
    </row>
    <row r="1106" spans="17:29" x14ac:dyDescent="0.2">
      <c r="Q1106" s="36"/>
      <c r="R1106" s="40"/>
      <c r="S1106" s="40"/>
      <c r="T1106" s="40"/>
      <c r="U1106" s="41"/>
      <c r="V1106" s="41"/>
      <c r="W1106" s="41"/>
      <c r="X1106" s="36"/>
      <c r="Y1106" s="36"/>
      <c r="Z1106" s="36"/>
      <c r="AA1106" s="36"/>
      <c r="AB1106" s="36"/>
      <c r="AC1106" s="36"/>
    </row>
    <row r="1107" spans="17:29" x14ac:dyDescent="0.2">
      <c r="Q1107" s="36"/>
      <c r="R1107" s="40"/>
      <c r="S1107" s="40"/>
      <c r="T1107" s="40"/>
      <c r="U1107" s="41"/>
      <c r="V1107" s="41"/>
      <c r="W1107" s="41"/>
      <c r="X1107" s="36"/>
      <c r="Y1107" s="36"/>
      <c r="Z1107" s="36"/>
      <c r="AA1107" s="36"/>
      <c r="AB1107" s="36"/>
      <c r="AC1107" s="36"/>
    </row>
    <row r="1108" spans="17:29" x14ac:dyDescent="0.2">
      <c r="Q1108" s="36"/>
      <c r="R1108" s="40"/>
      <c r="S1108" s="40"/>
      <c r="T1108" s="40"/>
      <c r="U1108" s="41"/>
      <c r="V1108" s="41"/>
      <c r="W1108" s="41"/>
      <c r="X1108" s="36"/>
      <c r="Y1108" s="36"/>
      <c r="Z1108" s="36"/>
      <c r="AA1108" s="36"/>
      <c r="AB1108" s="36"/>
      <c r="AC1108" s="36"/>
    </row>
    <row r="1109" spans="17:29" x14ac:dyDescent="0.2">
      <c r="Q1109" s="36"/>
      <c r="R1109" s="40"/>
      <c r="S1109" s="40"/>
      <c r="T1109" s="40"/>
      <c r="U1109" s="41"/>
      <c r="V1109" s="41"/>
      <c r="W1109" s="41"/>
      <c r="X1109" s="36"/>
      <c r="Y1109" s="36"/>
      <c r="Z1109" s="36"/>
      <c r="AA1109" s="36"/>
      <c r="AB1109" s="36"/>
      <c r="AC1109" s="36"/>
    </row>
    <row r="1110" spans="17:29" x14ac:dyDescent="0.2">
      <c r="Q1110" s="36"/>
      <c r="R1110" s="40"/>
      <c r="S1110" s="40"/>
      <c r="T1110" s="40"/>
      <c r="U1110" s="41"/>
      <c r="V1110" s="41"/>
      <c r="W1110" s="41"/>
      <c r="X1110" s="36"/>
      <c r="Y1110" s="36"/>
      <c r="Z1110" s="36"/>
      <c r="AA1110" s="36"/>
      <c r="AB1110" s="36"/>
      <c r="AC1110" s="36"/>
    </row>
    <row r="1111" spans="17:29" x14ac:dyDescent="0.2">
      <c r="Q1111" s="36"/>
      <c r="R1111" s="40"/>
      <c r="S1111" s="40"/>
      <c r="T1111" s="40"/>
      <c r="U1111" s="41"/>
      <c r="V1111" s="41"/>
      <c r="W1111" s="41"/>
      <c r="X1111" s="36"/>
      <c r="Y1111" s="36"/>
      <c r="Z1111" s="36"/>
      <c r="AA1111" s="36"/>
      <c r="AB1111" s="36"/>
      <c r="AC1111" s="36"/>
    </row>
    <row r="1112" spans="17:29" x14ac:dyDescent="0.2">
      <c r="Q1112" s="36"/>
      <c r="R1112" s="40"/>
      <c r="S1112" s="40"/>
      <c r="T1112" s="40"/>
      <c r="U1112" s="41"/>
      <c r="V1112" s="41"/>
      <c r="W1112" s="41"/>
      <c r="X1112" s="36"/>
      <c r="Y1112" s="36"/>
      <c r="Z1112" s="36"/>
      <c r="AA1112" s="36"/>
      <c r="AB1112" s="36"/>
      <c r="AC1112" s="36"/>
    </row>
    <row r="1113" spans="17:29" x14ac:dyDescent="0.2">
      <c r="Q1113" s="36"/>
      <c r="R1113" s="40"/>
      <c r="S1113" s="40"/>
      <c r="T1113" s="40"/>
      <c r="U1113" s="41"/>
      <c r="V1113" s="41"/>
      <c r="W1113" s="41"/>
      <c r="X1113" s="36"/>
      <c r="Y1113" s="36"/>
      <c r="Z1113" s="36"/>
      <c r="AA1113" s="36"/>
      <c r="AB1113" s="36"/>
      <c r="AC1113" s="36"/>
    </row>
    <row r="1114" spans="17:29" x14ac:dyDescent="0.2">
      <c r="Q1114" s="36"/>
      <c r="R1114" s="40"/>
      <c r="S1114" s="40"/>
      <c r="T1114" s="40"/>
      <c r="U1114" s="41"/>
      <c r="V1114" s="41"/>
      <c r="W1114" s="41"/>
      <c r="X1114" s="36"/>
      <c r="Y1114" s="36"/>
      <c r="Z1114" s="36"/>
      <c r="AA1114" s="36"/>
      <c r="AB1114" s="36"/>
      <c r="AC1114" s="36"/>
    </row>
    <row r="1115" spans="17:29" x14ac:dyDescent="0.2">
      <c r="Q1115" s="36"/>
      <c r="R1115" s="40"/>
      <c r="S1115" s="40"/>
      <c r="T1115" s="40"/>
      <c r="U1115" s="41"/>
      <c r="V1115" s="41"/>
      <c r="W1115" s="41"/>
      <c r="X1115" s="36"/>
      <c r="Y1115" s="36"/>
      <c r="Z1115" s="36"/>
      <c r="AA1115" s="36"/>
      <c r="AB1115" s="36"/>
      <c r="AC1115" s="36"/>
    </row>
    <row r="1116" spans="17:29" x14ac:dyDescent="0.2">
      <c r="Q1116" s="36"/>
      <c r="R1116" s="40"/>
      <c r="S1116" s="40"/>
      <c r="T1116" s="40"/>
      <c r="U1116" s="41"/>
      <c r="V1116" s="41"/>
      <c r="W1116" s="41"/>
      <c r="X1116" s="36"/>
      <c r="Y1116" s="36"/>
      <c r="Z1116" s="36"/>
      <c r="AA1116" s="36"/>
      <c r="AB1116" s="36"/>
      <c r="AC1116" s="36"/>
    </row>
    <row r="1117" spans="17:29" x14ac:dyDescent="0.2">
      <c r="Q1117" s="36"/>
      <c r="R1117" s="40"/>
      <c r="S1117" s="40"/>
      <c r="T1117" s="40"/>
      <c r="U1117" s="41"/>
      <c r="V1117" s="41"/>
      <c r="W1117" s="41"/>
      <c r="X1117" s="36"/>
      <c r="Y1117" s="36"/>
      <c r="Z1117" s="36"/>
      <c r="AA1117" s="36"/>
      <c r="AB1117" s="36"/>
      <c r="AC1117" s="36"/>
    </row>
    <row r="1118" spans="17:29" x14ac:dyDescent="0.2">
      <c r="Q1118" s="36"/>
      <c r="R1118" s="40"/>
      <c r="S1118" s="40"/>
      <c r="T1118" s="40"/>
      <c r="U1118" s="41"/>
      <c r="V1118" s="41"/>
      <c r="W1118" s="41"/>
      <c r="X1118" s="36"/>
      <c r="Y1118" s="36"/>
      <c r="Z1118" s="36"/>
      <c r="AA1118" s="36"/>
      <c r="AB1118" s="36"/>
      <c r="AC1118" s="36"/>
    </row>
    <row r="1119" spans="17:29" x14ac:dyDescent="0.2">
      <c r="Q1119" s="36"/>
      <c r="R1119" s="40"/>
      <c r="S1119" s="40"/>
      <c r="T1119" s="40"/>
      <c r="U1119" s="41"/>
      <c r="V1119" s="41"/>
      <c r="W1119" s="41"/>
      <c r="X1119" s="36"/>
      <c r="Y1119" s="36"/>
      <c r="Z1119" s="36"/>
      <c r="AA1119" s="36"/>
      <c r="AB1119" s="36"/>
      <c r="AC1119" s="36"/>
    </row>
    <row r="1120" spans="17:29" x14ac:dyDescent="0.2">
      <c r="Q1120" s="36"/>
      <c r="R1120" s="40"/>
      <c r="S1120" s="40"/>
      <c r="T1120" s="40"/>
      <c r="U1120" s="41"/>
      <c r="V1120" s="41"/>
      <c r="W1120" s="41"/>
      <c r="X1120" s="36"/>
      <c r="Y1120" s="36"/>
      <c r="Z1120" s="36"/>
      <c r="AA1120" s="36"/>
      <c r="AB1120" s="36"/>
      <c r="AC1120" s="36"/>
    </row>
    <row r="1121" spans="17:29" x14ac:dyDescent="0.2">
      <c r="Q1121" s="36"/>
      <c r="R1121" s="40"/>
      <c r="S1121" s="40"/>
      <c r="T1121" s="40"/>
      <c r="U1121" s="41"/>
      <c r="V1121" s="41"/>
      <c r="W1121" s="41"/>
      <c r="X1121" s="36"/>
      <c r="Y1121" s="36"/>
      <c r="Z1121" s="36"/>
      <c r="AA1121" s="36"/>
      <c r="AB1121" s="36"/>
      <c r="AC1121" s="36"/>
    </row>
    <row r="1122" spans="17:29" x14ac:dyDescent="0.2">
      <c r="Q1122" s="36"/>
      <c r="R1122" s="40"/>
      <c r="S1122" s="40"/>
      <c r="T1122" s="40"/>
      <c r="U1122" s="41"/>
      <c r="V1122" s="41"/>
      <c r="W1122" s="41"/>
      <c r="X1122" s="36"/>
      <c r="Y1122" s="36"/>
      <c r="Z1122" s="36"/>
      <c r="AA1122" s="36"/>
      <c r="AB1122" s="36"/>
      <c r="AC1122" s="36"/>
    </row>
    <row r="1123" spans="17:29" x14ac:dyDescent="0.2">
      <c r="Q1123" s="36"/>
      <c r="R1123" s="40"/>
      <c r="S1123" s="40"/>
      <c r="T1123" s="40"/>
      <c r="U1123" s="41"/>
      <c r="V1123" s="41"/>
      <c r="W1123" s="41"/>
      <c r="X1123" s="36"/>
      <c r="Y1123" s="36"/>
      <c r="Z1123" s="36"/>
      <c r="AA1123" s="36"/>
      <c r="AB1123" s="36"/>
      <c r="AC1123" s="36"/>
    </row>
    <row r="1124" spans="17:29" x14ac:dyDescent="0.2">
      <c r="Q1124" s="36"/>
      <c r="R1124" s="40"/>
      <c r="S1124" s="40"/>
      <c r="T1124" s="40"/>
      <c r="U1124" s="41"/>
      <c r="V1124" s="41"/>
      <c r="W1124" s="41"/>
      <c r="X1124" s="36"/>
      <c r="Y1124" s="36"/>
      <c r="Z1124" s="36"/>
      <c r="AA1124" s="36"/>
      <c r="AB1124" s="36"/>
      <c r="AC1124" s="36"/>
    </row>
    <row r="1125" spans="17:29" x14ac:dyDescent="0.2">
      <c r="Q1125" s="36"/>
      <c r="R1125" s="40"/>
      <c r="S1125" s="40"/>
      <c r="T1125" s="40"/>
      <c r="U1125" s="41"/>
      <c r="V1125" s="41"/>
      <c r="W1125" s="41"/>
      <c r="X1125" s="36"/>
      <c r="Y1125" s="36"/>
      <c r="Z1125" s="36"/>
      <c r="AA1125" s="36"/>
      <c r="AB1125" s="36"/>
      <c r="AC1125" s="36"/>
    </row>
    <row r="1126" spans="17:29" x14ac:dyDescent="0.2">
      <c r="Q1126" s="36"/>
      <c r="R1126" s="40"/>
      <c r="S1126" s="40"/>
      <c r="T1126" s="40"/>
      <c r="U1126" s="41"/>
      <c r="V1126" s="41"/>
      <c r="W1126" s="41"/>
      <c r="X1126" s="36"/>
      <c r="Y1126" s="36"/>
      <c r="Z1126" s="36"/>
      <c r="AA1126" s="36"/>
      <c r="AB1126" s="36"/>
      <c r="AC1126" s="36"/>
    </row>
    <row r="1127" spans="17:29" x14ac:dyDescent="0.2">
      <c r="Q1127" s="36"/>
      <c r="R1127" s="40"/>
      <c r="S1127" s="40"/>
      <c r="T1127" s="40"/>
      <c r="U1127" s="41"/>
      <c r="V1127" s="41"/>
      <c r="W1127" s="41"/>
      <c r="X1127" s="36"/>
      <c r="Y1127" s="36"/>
      <c r="Z1127" s="36"/>
      <c r="AA1127" s="36"/>
      <c r="AB1127" s="36"/>
      <c r="AC1127" s="36"/>
    </row>
    <row r="1128" spans="17:29" x14ac:dyDescent="0.2">
      <c r="Q1128" s="36"/>
      <c r="R1128" s="40"/>
      <c r="S1128" s="40"/>
      <c r="T1128" s="40"/>
      <c r="U1128" s="41"/>
      <c r="V1128" s="41"/>
      <c r="W1128" s="41"/>
      <c r="X1128" s="36"/>
      <c r="Y1128" s="36"/>
      <c r="Z1128" s="36"/>
      <c r="AA1128" s="36"/>
      <c r="AB1128" s="36"/>
      <c r="AC1128" s="36"/>
    </row>
    <row r="1129" spans="17:29" x14ac:dyDescent="0.2">
      <c r="Q1129" s="36"/>
      <c r="R1129" s="40"/>
      <c r="S1129" s="40"/>
      <c r="T1129" s="40"/>
      <c r="U1129" s="41"/>
      <c r="V1129" s="41"/>
      <c r="W1129" s="41"/>
      <c r="X1129" s="36"/>
      <c r="Y1129" s="36"/>
      <c r="Z1129" s="36"/>
      <c r="AA1129" s="36"/>
      <c r="AB1129" s="36"/>
      <c r="AC1129" s="36"/>
    </row>
    <row r="1130" spans="17:29" x14ac:dyDescent="0.2">
      <c r="Q1130" s="36"/>
      <c r="R1130" s="40"/>
      <c r="S1130" s="40"/>
      <c r="T1130" s="40"/>
      <c r="U1130" s="41"/>
      <c r="V1130" s="41"/>
      <c r="W1130" s="41"/>
      <c r="X1130" s="36"/>
      <c r="Y1130" s="36"/>
      <c r="Z1130" s="36"/>
      <c r="AA1130" s="36"/>
      <c r="AB1130" s="36"/>
      <c r="AC1130" s="36"/>
    </row>
    <row r="1131" spans="17:29" x14ac:dyDescent="0.2">
      <c r="Q1131" s="36"/>
      <c r="R1131" s="40"/>
      <c r="S1131" s="40"/>
      <c r="T1131" s="40"/>
      <c r="U1131" s="41"/>
      <c r="V1131" s="41"/>
      <c r="W1131" s="41"/>
      <c r="X1131" s="36"/>
      <c r="Y1131" s="36"/>
      <c r="Z1131" s="36"/>
      <c r="AA1131" s="36"/>
      <c r="AB1131" s="36"/>
      <c r="AC1131" s="36"/>
    </row>
    <row r="1132" spans="17:29" x14ac:dyDescent="0.2">
      <c r="Q1132" s="36"/>
      <c r="R1132" s="40"/>
      <c r="S1132" s="40"/>
      <c r="T1132" s="40"/>
      <c r="U1132" s="41"/>
      <c r="V1132" s="41"/>
      <c r="W1132" s="41"/>
      <c r="X1132" s="36"/>
      <c r="Y1132" s="36"/>
      <c r="Z1132" s="36"/>
      <c r="AA1132" s="36"/>
      <c r="AB1132" s="36"/>
      <c r="AC1132" s="36"/>
    </row>
    <row r="1133" spans="17:29" x14ac:dyDescent="0.2">
      <c r="Q1133" s="36"/>
      <c r="R1133" s="40"/>
      <c r="S1133" s="40"/>
      <c r="T1133" s="40"/>
      <c r="U1133" s="41"/>
      <c r="V1133" s="41"/>
      <c r="W1133" s="41"/>
      <c r="X1133" s="36"/>
      <c r="Y1133" s="36"/>
      <c r="Z1133" s="36"/>
      <c r="AA1133" s="36"/>
      <c r="AB1133" s="36"/>
      <c r="AC1133" s="36"/>
    </row>
    <row r="1134" spans="17:29" x14ac:dyDescent="0.2">
      <c r="Q1134" s="36"/>
      <c r="R1134" s="40"/>
      <c r="S1134" s="40"/>
      <c r="T1134" s="40"/>
      <c r="U1134" s="41"/>
      <c r="V1134" s="41"/>
      <c r="W1134" s="41"/>
      <c r="X1134" s="36"/>
      <c r="Y1134" s="36"/>
      <c r="Z1134" s="36"/>
      <c r="AA1134" s="36"/>
      <c r="AB1134" s="36"/>
      <c r="AC1134" s="36"/>
    </row>
    <row r="1135" spans="17:29" x14ac:dyDescent="0.2">
      <c r="Q1135" s="36"/>
      <c r="R1135" s="40"/>
      <c r="S1135" s="40"/>
      <c r="T1135" s="40"/>
      <c r="U1135" s="41"/>
      <c r="V1135" s="41"/>
      <c r="W1135" s="41"/>
      <c r="X1135" s="36"/>
      <c r="Y1135" s="36"/>
      <c r="Z1135" s="36"/>
      <c r="AA1135" s="36"/>
      <c r="AB1135" s="36"/>
      <c r="AC1135" s="36"/>
    </row>
    <row r="1136" spans="17:29" x14ac:dyDescent="0.2">
      <c r="Q1136" s="36"/>
      <c r="R1136" s="40"/>
      <c r="S1136" s="40"/>
      <c r="T1136" s="40"/>
      <c r="U1136" s="41"/>
      <c r="V1136" s="41"/>
      <c r="W1136" s="41"/>
      <c r="X1136" s="36"/>
      <c r="Y1136" s="36"/>
      <c r="Z1136" s="36"/>
      <c r="AA1136" s="36"/>
      <c r="AB1136" s="36"/>
      <c r="AC1136" s="36"/>
    </row>
    <row r="1137" spans="17:29" x14ac:dyDescent="0.2">
      <c r="Q1137" s="36"/>
      <c r="R1137" s="40"/>
      <c r="S1137" s="40"/>
      <c r="T1137" s="40"/>
      <c r="U1137" s="41"/>
      <c r="V1137" s="41"/>
      <c r="W1137" s="41"/>
      <c r="X1137" s="36"/>
      <c r="Y1137" s="36"/>
      <c r="Z1137" s="36"/>
      <c r="AA1137" s="36"/>
      <c r="AB1137" s="36"/>
      <c r="AC1137" s="36"/>
    </row>
    <row r="1138" spans="17:29" x14ac:dyDescent="0.2">
      <c r="Q1138" s="36"/>
      <c r="R1138" s="40"/>
      <c r="S1138" s="40"/>
      <c r="T1138" s="40"/>
      <c r="U1138" s="41"/>
      <c r="V1138" s="41"/>
      <c r="W1138" s="41"/>
      <c r="X1138" s="36"/>
      <c r="Y1138" s="36"/>
      <c r="Z1138" s="36"/>
      <c r="AA1138" s="36"/>
      <c r="AB1138" s="36"/>
      <c r="AC1138" s="36"/>
    </row>
    <row r="1139" spans="17:29" x14ac:dyDescent="0.2">
      <c r="Q1139" s="36"/>
      <c r="R1139" s="40"/>
      <c r="S1139" s="40"/>
      <c r="T1139" s="40"/>
      <c r="U1139" s="41"/>
      <c r="V1139" s="41"/>
      <c r="W1139" s="41"/>
      <c r="X1139" s="36"/>
      <c r="Y1139" s="36"/>
      <c r="Z1139" s="36"/>
      <c r="AA1139" s="36"/>
      <c r="AB1139" s="36"/>
      <c r="AC1139" s="36"/>
    </row>
    <row r="1140" spans="17:29" x14ac:dyDescent="0.2">
      <c r="Q1140" s="36"/>
      <c r="R1140" s="40"/>
      <c r="S1140" s="40"/>
      <c r="T1140" s="40"/>
      <c r="U1140" s="41"/>
      <c r="V1140" s="41"/>
      <c r="W1140" s="41"/>
      <c r="X1140" s="36"/>
      <c r="Y1140" s="36"/>
      <c r="Z1140" s="36"/>
      <c r="AA1140" s="36"/>
      <c r="AB1140" s="36"/>
      <c r="AC1140" s="36"/>
    </row>
    <row r="1141" spans="17:29" x14ac:dyDescent="0.2">
      <c r="Q1141" s="36"/>
      <c r="R1141" s="40"/>
      <c r="S1141" s="40"/>
      <c r="T1141" s="40"/>
      <c r="U1141" s="41"/>
      <c r="V1141" s="41"/>
      <c r="W1141" s="41"/>
      <c r="X1141" s="36"/>
      <c r="Y1141" s="36"/>
      <c r="Z1141" s="36"/>
      <c r="AA1141" s="36"/>
      <c r="AB1141" s="36"/>
      <c r="AC1141" s="36"/>
    </row>
    <row r="1142" spans="17:29" x14ac:dyDescent="0.2">
      <c r="Q1142" s="36"/>
      <c r="R1142" s="40"/>
      <c r="S1142" s="40"/>
      <c r="T1142" s="40"/>
      <c r="U1142" s="41"/>
      <c r="V1142" s="41"/>
      <c r="W1142" s="41"/>
      <c r="X1142" s="36"/>
      <c r="Y1142" s="36"/>
      <c r="Z1142" s="36"/>
      <c r="AA1142" s="36"/>
      <c r="AB1142" s="36"/>
      <c r="AC1142" s="36"/>
    </row>
    <row r="1143" spans="17:29" x14ac:dyDescent="0.2">
      <c r="Q1143" s="36"/>
      <c r="R1143" s="40"/>
      <c r="S1143" s="40"/>
      <c r="T1143" s="40"/>
      <c r="U1143" s="41"/>
      <c r="V1143" s="41"/>
      <c r="W1143" s="41"/>
      <c r="X1143" s="36"/>
      <c r="Y1143" s="36"/>
      <c r="Z1143" s="36"/>
      <c r="AA1143" s="36"/>
      <c r="AB1143" s="36"/>
      <c r="AC1143" s="36"/>
    </row>
    <row r="1144" spans="17:29" x14ac:dyDescent="0.2">
      <c r="Q1144" s="36"/>
      <c r="R1144" s="40"/>
      <c r="S1144" s="40"/>
      <c r="T1144" s="40"/>
      <c r="U1144" s="41"/>
      <c r="V1144" s="41"/>
      <c r="W1144" s="41"/>
      <c r="X1144" s="36"/>
      <c r="Y1144" s="36"/>
      <c r="Z1144" s="36"/>
      <c r="AA1144" s="36"/>
      <c r="AB1144" s="36"/>
      <c r="AC1144" s="36"/>
    </row>
    <row r="1145" spans="17:29" x14ac:dyDescent="0.2">
      <c r="Q1145" s="36"/>
      <c r="R1145" s="40"/>
      <c r="S1145" s="40"/>
      <c r="T1145" s="40"/>
      <c r="U1145" s="41"/>
      <c r="V1145" s="41"/>
      <c r="W1145" s="41"/>
      <c r="X1145" s="36"/>
      <c r="Y1145" s="36"/>
      <c r="Z1145" s="36"/>
      <c r="AA1145" s="36"/>
      <c r="AB1145" s="36"/>
      <c r="AC1145" s="36"/>
    </row>
    <row r="1146" spans="17:29" x14ac:dyDescent="0.2">
      <c r="Q1146" s="36"/>
      <c r="R1146" s="40"/>
      <c r="S1146" s="40"/>
      <c r="T1146" s="40"/>
      <c r="U1146" s="41"/>
      <c r="V1146" s="41"/>
      <c r="W1146" s="41"/>
      <c r="X1146" s="36"/>
      <c r="Y1146" s="36"/>
      <c r="Z1146" s="36"/>
      <c r="AA1146" s="36"/>
      <c r="AB1146" s="36"/>
      <c r="AC1146" s="36"/>
    </row>
    <row r="1147" spans="17:29" x14ac:dyDescent="0.2">
      <c r="Q1147" s="36"/>
      <c r="R1147" s="40"/>
      <c r="S1147" s="40"/>
      <c r="T1147" s="40"/>
      <c r="U1147" s="41"/>
      <c r="V1147" s="41"/>
      <c r="W1147" s="41"/>
      <c r="X1147" s="36"/>
      <c r="Y1147" s="36"/>
      <c r="Z1147" s="36"/>
      <c r="AA1147" s="36"/>
      <c r="AB1147" s="36"/>
      <c r="AC1147" s="36"/>
    </row>
    <row r="1148" spans="17:29" x14ac:dyDescent="0.2">
      <c r="Q1148" s="36"/>
      <c r="R1148" s="40"/>
      <c r="S1148" s="40"/>
      <c r="T1148" s="40"/>
      <c r="U1148" s="41"/>
      <c r="V1148" s="41"/>
      <c r="W1148" s="41"/>
      <c r="X1148" s="36"/>
      <c r="Y1148" s="36"/>
      <c r="Z1148" s="36"/>
      <c r="AA1148" s="36"/>
      <c r="AB1148" s="36"/>
      <c r="AC1148" s="36"/>
    </row>
    <row r="1149" spans="17:29" x14ac:dyDescent="0.2">
      <c r="Q1149" s="36"/>
      <c r="R1149" s="40"/>
      <c r="S1149" s="40"/>
      <c r="T1149" s="40"/>
      <c r="U1149" s="41"/>
      <c r="V1149" s="41"/>
      <c r="W1149" s="41"/>
      <c r="X1149" s="36"/>
      <c r="Y1149" s="36"/>
      <c r="Z1149" s="36"/>
      <c r="AA1149" s="36"/>
      <c r="AB1149" s="36"/>
      <c r="AC1149" s="36"/>
    </row>
    <row r="1150" spans="17:29" x14ac:dyDescent="0.2">
      <c r="Q1150" s="36"/>
      <c r="R1150" s="40"/>
      <c r="S1150" s="40"/>
      <c r="T1150" s="40"/>
      <c r="U1150" s="41"/>
      <c r="V1150" s="41"/>
      <c r="W1150" s="41"/>
      <c r="X1150" s="36"/>
      <c r="Y1150" s="36"/>
      <c r="Z1150" s="36"/>
      <c r="AA1150" s="36"/>
      <c r="AB1150" s="36"/>
      <c r="AC1150" s="36"/>
    </row>
    <row r="1151" spans="17:29" x14ac:dyDescent="0.2">
      <c r="Q1151" s="36"/>
      <c r="R1151" s="40"/>
      <c r="S1151" s="40"/>
      <c r="T1151" s="40"/>
      <c r="U1151" s="41"/>
      <c r="V1151" s="41"/>
      <c r="W1151" s="41"/>
      <c r="X1151" s="36"/>
      <c r="Y1151" s="36"/>
      <c r="Z1151" s="36"/>
      <c r="AA1151" s="36"/>
      <c r="AB1151" s="36"/>
      <c r="AC1151" s="36"/>
    </row>
    <row r="1152" spans="17:29" x14ac:dyDescent="0.2">
      <c r="Q1152" s="36"/>
      <c r="R1152" s="40"/>
      <c r="S1152" s="40"/>
      <c r="T1152" s="40"/>
      <c r="U1152" s="41"/>
      <c r="V1152" s="41"/>
      <c r="W1152" s="41"/>
      <c r="X1152" s="36"/>
      <c r="Y1152" s="36"/>
      <c r="Z1152" s="36"/>
      <c r="AA1152" s="36"/>
      <c r="AB1152" s="36"/>
      <c r="AC1152" s="36"/>
    </row>
    <row r="1153" spans="17:29" x14ac:dyDescent="0.2">
      <c r="Q1153" s="36"/>
      <c r="R1153" s="40"/>
      <c r="S1153" s="40"/>
      <c r="T1153" s="40"/>
      <c r="U1153" s="41"/>
      <c r="V1153" s="41"/>
      <c r="W1153" s="41"/>
      <c r="X1153" s="36"/>
      <c r="Y1153" s="36"/>
      <c r="Z1153" s="36"/>
      <c r="AA1153" s="36"/>
      <c r="AB1153" s="36"/>
      <c r="AC1153" s="36"/>
    </row>
    <row r="1154" spans="17:29" x14ac:dyDescent="0.2">
      <c r="Q1154" s="36"/>
      <c r="R1154" s="40"/>
      <c r="S1154" s="40"/>
      <c r="T1154" s="40"/>
      <c r="U1154" s="41"/>
      <c r="V1154" s="41"/>
      <c r="W1154" s="41"/>
      <c r="X1154" s="36"/>
      <c r="Y1154" s="36"/>
      <c r="Z1154" s="36"/>
      <c r="AA1154" s="36"/>
      <c r="AB1154" s="36"/>
      <c r="AC1154" s="36"/>
    </row>
    <row r="1155" spans="17:29" x14ac:dyDescent="0.2">
      <c r="Q1155" s="36"/>
      <c r="R1155" s="40"/>
      <c r="S1155" s="40"/>
      <c r="T1155" s="40"/>
      <c r="U1155" s="41"/>
      <c r="V1155" s="41"/>
      <c r="W1155" s="41"/>
      <c r="X1155" s="36"/>
      <c r="Y1155" s="36"/>
      <c r="Z1155" s="36"/>
      <c r="AA1155" s="36"/>
      <c r="AB1155" s="36"/>
      <c r="AC1155" s="36"/>
    </row>
    <row r="1156" spans="17:29" x14ac:dyDescent="0.2">
      <c r="Q1156" s="36"/>
      <c r="R1156" s="40"/>
      <c r="S1156" s="40"/>
      <c r="T1156" s="40"/>
      <c r="U1156" s="41"/>
      <c r="V1156" s="41"/>
      <c r="W1156" s="41"/>
      <c r="X1156" s="36"/>
      <c r="Y1156" s="36"/>
      <c r="Z1156" s="36"/>
      <c r="AA1156" s="36"/>
      <c r="AB1156" s="36"/>
      <c r="AC1156" s="36"/>
    </row>
    <row r="1157" spans="17:29" x14ac:dyDescent="0.2">
      <c r="Q1157" s="36"/>
      <c r="R1157" s="40"/>
      <c r="S1157" s="40"/>
      <c r="T1157" s="40"/>
      <c r="U1157" s="41"/>
      <c r="V1157" s="41"/>
      <c r="W1157" s="41"/>
      <c r="X1157" s="36"/>
      <c r="Y1157" s="36"/>
      <c r="Z1157" s="36"/>
      <c r="AA1157" s="36"/>
      <c r="AB1157" s="36"/>
      <c r="AC1157" s="36"/>
    </row>
    <row r="1158" spans="17:29" x14ac:dyDescent="0.2">
      <c r="Q1158" s="36"/>
      <c r="R1158" s="40"/>
      <c r="S1158" s="40"/>
      <c r="T1158" s="40"/>
      <c r="U1158" s="41"/>
      <c r="V1158" s="41"/>
      <c r="W1158" s="41"/>
      <c r="X1158" s="36"/>
      <c r="Y1158" s="36"/>
      <c r="Z1158" s="36"/>
      <c r="AA1158" s="36"/>
      <c r="AB1158" s="36"/>
      <c r="AC1158" s="36"/>
    </row>
    <row r="1159" spans="17:29" x14ac:dyDescent="0.2">
      <c r="Q1159" s="36"/>
      <c r="R1159" s="40"/>
      <c r="S1159" s="40"/>
      <c r="T1159" s="40"/>
      <c r="U1159" s="41"/>
      <c r="V1159" s="41"/>
      <c r="W1159" s="41"/>
      <c r="X1159" s="36"/>
      <c r="Y1159" s="36"/>
      <c r="Z1159" s="36"/>
      <c r="AA1159" s="36"/>
      <c r="AB1159" s="36"/>
      <c r="AC1159" s="36"/>
    </row>
    <row r="1160" spans="17:29" x14ac:dyDescent="0.2">
      <c r="Q1160" s="36"/>
      <c r="R1160" s="40"/>
      <c r="S1160" s="40"/>
      <c r="T1160" s="40"/>
      <c r="U1160" s="41"/>
      <c r="V1160" s="41"/>
      <c r="W1160" s="41"/>
      <c r="X1160" s="36"/>
      <c r="Y1160" s="36"/>
      <c r="Z1160" s="36"/>
      <c r="AA1160" s="36"/>
      <c r="AB1160" s="36"/>
      <c r="AC1160" s="36"/>
    </row>
    <row r="1161" spans="17:29" x14ac:dyDescent="0.2">
      <c r="Q1161" s="36"/>
      <c r="R1161" s="40"/>
      <c r="S1161" s="40"/>
      <c r="T1161" s="40"/>
      <c r="U1161" s="41"/>
      <c r="V1161" s="41"/>
      <c r="W1161" s="41"/>
      <c r="X1161" s="36"/>
      <c r="Y1161" s="36"/>
      <c r="Z1161" s="36"/>
      <c r="AA1161" s="36"/>
      <c r="AB1161" s="36"/>
      <c r="AC1161" s="36"/>
    </row>
    <row r="1162" spans="17:29" x14ac:dyDescent="0.2">
      <c r="Q1162" s="36"/>
      <c r="R1162" s="40"/>
      <c r="S1162" s="40"/>
      <c r="T1162" s="40"/>
      <c r="U1162" s="41"/>
      <c r="V1162" s="41"/>
      <c r="W1162" s="41"/>
      <c r="X1162" s="36"/>
      <c r="Y1162" s="36"/>
      <c r="Z1162" s="36"/>
      <c r="AA1162" s="36"/>
      <c r="AB1162" s="36"/>
      <c r="AC1162" s="36"/>
    </row>
    <row r="1163" spans="17:29" x14ac:dyDescent="0.2">
      <c r="Q1163" s="36"/>
      <c r="R1163" s="40"/>
      <c r="S1163" s="40"/>
      <c r="T1163" s="40"/>
      <c r="U1163" s="41"/>
      <c r="V1163" s="41"/>
      <c r="W1163" s="41"/>
      <c r="X1163" s="36"/>
      <c r="Y1163" s="36"/>
      <c r="Z1163" s="36"/>
      <c r="AA1163" s="36"/>
      <c r="AB1163" s="36"/>
      <c r="AC1163" s="36"/>
    </row>
    <row r="1164" spans="17:29" x14ac:dyDescent="0.2">
      <c r="Q1164" s="36"/>
      <c r="R1164" s="40"/>
      <c r="S1164" s="40"/>
      <c r="T1164" s="40"/>
      <c r="U1164" s="41"/>
      <c r="V1164" s="41"/>
      <c r="W1164" s="41"/>
      <c r="X1164" s="36"/>
      <c r="Y1164" s="36"/>
      <c r="Z1164" s="36"/>
      <c r="AA1164" s="36"/>
      <c r="AB1164" s="36"/>
      <c r="AC1164" s="36"/>
    </row>
    <row r="1165" spans="17:29" x14ac:dyDescent="0.2">
      <c r="Q1165" s="36"/>
      <c r="R1165" s="40"/>
      <c r="S1165" s="40"/>
      <c r="T1165" s="40"/>
      <c r="U1165" s="41"/>
      <c r="V1165" s="41"/>
      <c r="W1165" s="41"/>
      <c r="X1165" s="36"/>
      <c r="Y1165" s="36"/>
      <c r="Z1165" s="36"/>
      <c r="AA1165" s="36"/>
      <c r="AB1165" s="36"/>
      <c r="AC1165" s="36"/>
    </row>
    <row r="1166" spans="17:29" x14ac:dyDescent="0.2">
      <c r="Q1166" s="36"/>
      <c r="R1166" s="40"/>
      <c r="S1166" s="40"/>
      <c r="T1166" s="40"/>
      <c r="U1166" s="41"/>
      <c r="V1166" s="41"/>
      <c r="W1166" s="41"/>
      <c r="X1166" s="36"/>
      <c r="Y1166" s="36"/>
      <c r="Z1166" s="36"/>
      <c r="AA1166" s="36"/>
      <c r="AB1166" s="36"/>
      <c r="AC1166" s="36"/>
    </row>
    <row r="1167" spans="17:29" x14ac:dyDescent="0.2">
      <c r="Q1167" s="36"/>
      <c r="R1167" s="40"/>
      <c r="S1167" s="40"/>
      <c r="T1167" s="40"/>
      <c r="U1167" s="41"/>
      <c r="V1167" s="41"/>
      <c r="W1167" s="41"/>
      <c r="X1167" s="36"/>
      <c r="Y1167" s="36"/>
      <c r="Z1167" s="36"/>
      <c r="AA1167" s="36"/>
      <c r="AB1167" s="36"/>
      <c r="AC1167" s="36"/>
    </row>
    <row r="1168" spans="17:29" x14ac:dyDescent="0.2">
      <c r="Q1168" s="36"/>
      <c r="R1168" s="40"/>
      <c r="S1168" s="40"/>
      <c r="T1168" s="40"/>
      <c r="U1168" s="41"/>
      <c r="V1168" s="41"/>
      <c r="W1168" s="41"/>
      <c r="X1168" s="36"/>
      <c r="Y1168" s="36"/>
      <c r="Z1168" s="36"/>
      <c r="AA1168" s="36"/>
      <c r="AB1168" s="36"/>
      <c r="AC1168" s="36"/>
    </row>
    <row r="1169" spans="17:29" x14ac:dyDescent="0.2">
      <c r="Q1169" s="36"/>
      <c r="R1169" s="40"/>
      <c r="S1169" s="40"/>
      <c r="T1169" s="40"/>
      <c r="U1169" s="41"/>
      <c r="V1169" s="41"/>
      <c r="W1169" s="41"/>
      <c r="X1169" s="36"/>
      <c r="Y1169" s="36"/>
      <c r="Z1169" s="36"/>
      <c r="AA1169" s="36"/>
      <c r="AB1169" s="36"/>
      <c r="AC1169" s="36"/>
    </row>
    <row r="1170" spans="17:29" x14ac:dyDescent="0.2">
      <c r="Q1170" s="36"/>
      <c r="R1170" s="40"/>
      <c r="S1170" s="40"/>
      <c r="T1170" s="40"/>
      <c r="U1170" s="41"/>
      <c r="V1170" s="41"/>
      <c r="W1170" s="41"/>
      <c r="X1170" s="36"/>
      <c r="Y1170" s="36"/>
      <c r="Z1170" s="36"/>
      <c r="AA1170" s="36"/>
      <c r="AB1170" s="36"/>
      <c r="AC1170" s="36"/>
    </row>
    <row r="1171" spans="17:29" x14ac:dyDescent="0.2">
      <c r="Q1171" s="36"/>
      <c r="R1171" s="40"/>
      <c r="S1171" s="40"/>
      <c r="T1171" s="40"/>
      <c r="U1171" s="41"/>
      <c r="V1171" s="41"/>
      <c r="W1171" s="41"/>
      <c r="X1171" s="36"/>
      <c r="Y1171" s="36"/>
      <c r="Z1171" s="36"/>
      <c r="AA1171" s="36"/>
      <c r="AB1171" s="36"/>
      <c r="AC1171" s="36"/>
    </row>
    <row r="1172" spans="17:29" x14ac:dyDescent="0.2">
      <c r="Q1172" s="36"/>
      <c r="R1172" s="40"/>
      <c r="S1172" s="40"/>
      <c r="T1172" s="40"/>
      <c r="U1172" s="41"/>
      <c r="V1172" s="41"/>
      <c r="W1172" s="41"/>
      <c r="X1172" s="36"/>
      <c r="Y1172" s="36"/>
      <c r="Z1172" s="36"/>
      <c r="AA1172" s="36"/>
      <c r="AB1172" s="36"/>
      <c r="AC1172" s="36"/>
    </row>
    <row r="1173" spans="17:29" x14ac:dyDescent="0.2">
      <c r="Q1173" s="36"/>
      <c r="R1173" s="40"/>
      <c r="S1173" s="40"/>
      <c r="T1173" s="40"/>
      <c r="U1173" s="41"/>
      <c r="V1173" s="41"/>
      <c r="W1173" s="41"/>
      <c r="X1173" s="36"/>
      <c r="Y1173" s="36"/>
      <c r="Z1173" s="36"/>
      <c r="AA1173" s="36"/>
      <c r="AB1173" s="36"/>
      <c r="AC1173" s="36"/>
    </row>
    <row r="1174" spans="17:29" x14ac:dyDescent="0.2">
      <c r="Q1174" s="36"/>
      <c r="R1174" s="40"/>
      <c r="S1174" s="40"/>
      <c r="T1174" s="40"/>
      <c r="U1174" s="41"/>
      <c r="V1174" s="41"/>
      <c r="W1174" s="41"/>
      <c r="X1174" s="36"/>
      <c r="Y1174" s="36"/>
      <c r="Z1174" s="36"/>
      <c r="AA1174" s="36"/>
      <c r="AB1174" s="36"/>
      <c r="AC1174" s="36"/>
    </row>
    <row r="1175" spans="17:29" x14ac:dyDescent="0.2">
      <c r="Q1175" s="36"/>
      <c r="R1175" s="40"/>
      <c r="S1175" s="40"/>
      <c r="T1175" s="40"/>
      <c r="U1175" s="41"/>
      <c r="V1175" s="41"/>
      <c r="W1175" s="41"/>
      <c r="X1175" s="36"/>
      <c r="Y1175" s="36"/>
      <c r="Z1175" s="36"/>
      <c r="AA1175" s="36"/>
      <c r="AB1175" s="36"/>
      <c r="AC1175" s="36"/>
    </row>
    <row r="1176" spans="17:29" x14ac:dyDescent="0.2">
      <c r="Q1176" s="36"/>
      <c r="R1176" s="40"/>
      <c r="S1176" s="40"/>
      <c r="T1176" s="40"/>
      <c r="U1176" s="41"/>
      <c r="V1176" s="41"/>
      <c r="W1176" s="41"/>
      <c r="X1176" s="36"/>
      <c r="Y1176" s="36"/>
      <c r="Z1176" s="36"/>
      <c r="AA1176" s="36"/>
      <c r="AB1176" s="36"/>
      <c r="AC1176" s="36"/>
    </row>
    <row r="1177" spans="17:29" x14ac:dyDescent="0.2">
      <c r="Q1177" s="36"/>
      <c r="R1177" s="40"/>
      <c r="S1177" s="40"/>
      <c r="T1177" s="40"/>
      <c r="U1177" s="41"/>
      <c r="V1177" s="41"/>
      <c r="W1177" s="41"/>
      <c r="X1177" s="36"/>
      <c r="Y1177" s="36"/>
      <c r="Z1177" s="36"/>
      <c r="AA1177" s="36"/>
      <c r="AB1177" s="36"/>
      <c r="AC1177" s="36"/>
    </row>
    <row r="1178" spans="17:29" x14ac:dyDescent="0.2">
      <c r="Q1178" s="36"/>
      <c r="R1178" s="40"/>
      <c r="S1178" s="40"/>
      <c r="T1178" s="40"/>
      <c r="U1178" s="41"/>
      <c r="V1178" s="41"/>
      <c r="W1178" s="41"/>
      <c r="X1178" s="36"/>
      <c r="Y1178" s="36"/>
      <c r="Z1178" s="36"/>
      <c r="AA1178" s="36"/>
      <c r="AB1178" s="36"/>
      <c r="AC1178" s="36"/>
    </row>
    <row r="1179" spans="17:29" x14ac:dyDescent="0.2">
      <c r="Q1179" s="36"/>
      <c r="R1179" s="40"/>
      <c r="S1179" s="40"/>
      <c r="T1179" s="40"/>
      <c r="U1179" s="41"/>
      <c r="V1179" s="41"/>
      <c r="W1179" s="41"/>
      <c r="X1179" s="36"/>
      <c r="Y1179" s="36"/>
      <c r="Z1179" s="36"/>
      <c r="AA1179" s="36"/>
      <c r="AB1179" s="36"/>
      <c r="AC1179" s="36"/>
    </row>
    <row r="1180" spans="17:29" x14ac:dyDescent="0.2">
      <c r="Q1180" s="36"/>
      <c r="R1180" s="40"/>
      <c r="S1180" s="40"/>
      <c r="T1180" s="40"/>
      <c r="U1180" s="41"/>
      <c r="V1180" s="41"/>
      <c r="W1180" s="41"/>
      <c r="X1180" s="36"/>
      <c r="Y1180" s="36"/>
      <c r="Z1180" s="36"/>
      <c r="AA1180" s="36"/>
      <c r="AB1180" s="36"/>
      <c r="AC1180" s="36"/>
    </row>
    <row r="1181" spans="17:29" x14ac:dyDescent="0.2">
      <c r="Q1181" s="36"/>
      <c r="R1181" s="40"/>
      <c r="S1181" s="40"/>
      <c r="T1181" s="40"/>
      <c r="U1181" s="41"/>
      <c r="V1181" s="41"/>
      <c r="W1181" s="41"/>
      <c r="X1181" s="36"/>
      <c r="Y1181" s="36"/>
      <c r="Z1181" s="36"/>
      <c r="AA1181" s="36"/>
      <c r="AB1181" s="36"/>
      <c r="AC1181" s="36"/>
    </row>
    <row r="1182" spans="17:29" x14ac:dyDescent="0.2">
      <c r="Q1182" s="36"/>
      <c r="R1182" s="40"/>
      <c r="S1182" s="40"/>
      <c r="T1182" s="40"/>
      <c r="U1182" s="41"/>
      <c r="V1182" s="41"/>
      <c r="W1182" s="41"/>
      <c r="X1182" s="36"/>
      <c r="Y1182" s="36"/>
      <c r="Z1182" s="36"/>
      <c r="AA1182" s="36"/>
      <c r="AB1182" s="36"/>
      <c r="AC1182" s="36"/>
    </row>
    <row r="1183" spans="17:29" x14ac:dyDescent="0.2">
      <c r="Q1183" s="36"/>
      <c r="R1183" s="40"/>
      <c r="S1183" s="40"/>
      <c r="T1183" s="40"/>
      <c r="U1183" s="41"/>
      <c r="V1183" s="41"/>
      <c r="W1183" s="41"/>
      <c r="X1183" s="36"/>
      <c r="Y1183" s="36"/>
      <c r="Z1183" s="36"/>
      <c r="AA1183" s="36"/>
      <c r="AB1183" s="36"/>
      <c r="AC1183" s="36"/>
    </row>
    <row r="1184" spans="17:29" x14ac:dyDescent="0.2">
      <c r="Q1184" s="36"/>
      <c r="R1184" s="40"/>
      <c r="S1184" s="40"/>
      <c r="T1184" s="40"/>
      <c r="U1184" s="41"/>
      <c r="V1184" s="41"/>
      <c r="W1184" s="41"/>
      <c r="X1184" s="36"/>
      <c r="Y1184" s="36"/>
      <c r="Z1184" s="36"/>
      <c r="AA1184" s="36"/>
      <c r="AB1184" s="36"/>
      <c r="AC1184" s="36"/>
    </row>
    <row r="1185" spans="17:29" x14ac:dyDescent="0.2">
      <c r="Q1185" s="36"/>
      <c r="R1185" s="40"/>
      <c r="S1185" s="40"/>
      <c r="T1185" s="40"/>
      <c r="U1185" s="41"/>
      <c r="V1185" s="41"/>
      <c r="W1185" s="41"/>
      <c r="X1185" s="36"/>
      <c r="Y1185" s="36"/>
      <c r="Z1185" s="36"/>
      <c r="AA1185" s="36"/>
      <c r="AB1185" s="36"/>
      <c r="AC1185" s="36"/>
    </row>
    <row r="1186" spans="17:29" x14ac:dyDescent="0.2">
      <c r="Q1186" s="36"/>
      <c r="R1186" s="40"/>
      <c r="S1186" s="40"/>
      <c r="T1186" s="40"/>
      <c r="U1186" s="41"/>
      <c r="V1186" s="41"/>
      <c r="W1186" s="41"/>
      <c r="X1186" s="36"/>
      <c r="Y1186" s="36"/>
      <c r="Z1186" s="36"/>
      <c r="AA1186" s="36"/>
      <c r="AB1186" s="36"/>
      <c r="AC1186" s="36"/>
    </row>
    <row r="1187" spans="17:29" x14ac:dyDescent="0.2">
      <c r="Q1187" s="36"/>
      <c r="R1187" s="40"/>
      <c r="S1187" s="40"/>
      <c r="T1187" s="40"/>
      <c r="U1187" s="41"/>
      <c r="V1187" s="41"/>
      <c r="W1187" s="41"/>
      <c r="X1187" s="36"/>
      <c r="Y1187" s="36"/>
      <c r="Z1187" s="36"/>
      <c r="AA1187" s="36"/>
      <c r="AB1187" s="36"/>
      <c r="AC1187" s="36"/>
    </row>
    <row r="1188" spans="17:29" x14ac:dyDescent="0.2">
      <c r="Q1188" s="36"/>
      <c r="R1188" s="40"/>
      <c r="S1188" s="40"/>
      <c r="T1188" s="40"/>
      <c r="U1188" s="41"/>
      <c r="V1188" s="41"/>
      <c r="W1188" s="41"/>
      <c r="X1188" s="36"/>
      <c r="Y1188" s="36"/>
      <c r="Z1188" s="36"/>
      <c r="AA1188" s="36"/>
      <c r="AB1188" s="36"/>
      <c r="AC1188" s="36"/>
    </row>
    <row r="1189" spans="17:29" x14ac:dyDescent="0.2">
      <c r="Q1189" s="36"/>
      <c r="R1189" s="40"/>
      <c r="S1189" s="40"/>
      <c r="T1189" s="40"/>
      <c r="U1189" s="41"/>
      <c r="V1189" s="41"/>
      <c r="W1189" s="41"/>
      <c r="X1189" s="36"/>
      <c r="Y1189" s="36"/>
      <c r="Z1189" s="36"/>
      <c r="AA1189" s="36"/>
      <c r="AB1189" s="36"/>
      <c r="AC1189" s="36"/>
    </row>
    <row r="1190" spans="17:29" x14ac:dyDescent="0.2">
      <c r="Q1190" s="36"/>
      <c r="R1190" s="40"/>
      <c r="S1190" s="40"/>
      <c r="T1190" s="40"/>
      <c r="U1190" s="41"/>
      <c r="V1190" s="41"/>
      <c r="W1190" s="41"/>
      <c r="X1190" s="36"/>
      <c r="Y1190" s="36"/>
      <c r="Z1190" s="36"/>
      <c r="AA1190" s="36"/>
      <c r="AB1190" s="36"/>
      <c r="AC1190" s="36"/>
    </row>
    <row r="1191" spans="17:29" x14ac:dyDescent="0.2">
      <c r="Q1191" s="36"/>
      <c r="R1191" s="40"/>
      <c r="S1191" s="40"/>
      <c r="T1191" s="40"/>
      <c r="U1191" s="41"/>
      <c r="V1191" s="41"/>
      <c r="W1191" s="41"/>
      <c r="X1191" s="36"/>
      <c r="Y1191" s="36"/>
      <c r="Z1191" s="36"/>
      <c r="AA1191" s="36"/>
      <c r="AB1191" s="36"/>
      <c r="AC1191" s="36"/>
    </row>
    <row r="1192" spans="17:29" x14ac:dyDescent="0.2">
      <c r="Q1192" s="36"/>
      <c r="R1192" s="40"/>
      <c r="S1192" s="40"/>
      <c r="T1192" s="40"/>
      <c r="U1192" s="41"/>
      <c r="V1192" s="41"/>
      <c r="W1192" s="41"/>
      <c r="X1192" s="36"/>
      <c r="Y1192" s="36"/>
      <c r="Z1192" s="36"/>
      <c r="AA1192" s="36"/>
      <c r="AB1192" s="36"/>
      <c r="AC1192" s="36"/>
    </row>
    <row r="1193" spans="17:29" x14ac:dyDescent="0.2">
      <c r="Q1193" s="36"/>
      <c r="R1193" s="40"/>
      <c r="S1193" s="40"/>
      <c r="T1193" s="40"/>
      <c r="U1193" s="41"/>
      <c r="V1193" s="41"/>
      <c r="W1193" s="41"/>
      <c r="X1193" s="36"/>
      <c r="Y1193" s="36"/>
      <c r="Z1193" s="36"/>
      <c r="AA1193" s="36"/>
      <c r="AB1193" s="36"/>
      <c r="AC1193" s="36"/>
    </row>
    <row r="1194" spans="17:29" x14ac:dyDescent="0.2">
      <c r="Q1194" s="36"/>
      <c r="R1194" s="40"/>
      <c r="S1194" s="40"/>
      <c r="T1194" s="40"/>
      <c r="U1194" s="41"/>
      <c r="V1194" s="41"/>
      <c r="W1194" s="41"/>
      <c r="X1194" s="36"/>
      <c r="Y1194" s="36"/>
      <c r="Z1194" s="36"/>
      <c r="AA1194" s="36"/>
      <c r="AB1194" s="36"/>
      <c r="AC1194" s="36"/>
    </row>
    <row r="1195" spans="17:29" x14ac:dyDescent="0.2">
      <c r="Q1195" s="36"/>
      <c r="R1195" s="40"/>
      <c r="S1195" s="40"/>
      <c r="T1195" s="40"/>
      <c r="U1195" s="41"/>
      <c r="V1195" s="41"/>
      <c r="W1195" s="41"/>
      <c r="X1195" s="36"/>
      <c r="Y1195" s="36"/>
      <c r="Z1195" s="36"/>
      <c r="AA1195" s="36"/>
      <c r="AB1195" s="36"/>
      <c r="AC1195" s="36"/>
    </row>
    <row r="1196" spans="17:29" x14ac:dyDescent="0.2">
      <c r="Q1196" s="36"/>
      <c r="R1196" s="40"/>
      <c r="S1196" s="40"/>
      <c r="T1196" s="40"/>
      <c r="U1196" s="41"/>
      <c r="V1196" s="41"/>
      <c r="W1196" s="41"/>
      <c r="X1196" s="36"/>
      <c r="Y1196" s="36"/>
      <c r="Z1196" s="36"/>
      <c r="AA1196" s="36"/>
      <c r="AB1196" s="36"/>
      <c r="AC1196" s="36"/>
    </row>
    <row r="1197" spans="17:29" x14ac:dyDescent="0.2">
      <c r="Q1197" s="36"/>
      <c r="R1197" s="40"/>
      <c r="S1197" s="40"/>
      <c r="T1197" s="40"/>
      <c r="U1197" s="41"/>
      <c r="V1197" s="41"/>
      <c r="W1197" s="41"/>
      <c r="X1197" s="36"/>
      <c r="Y1197" s="36"/>
      <c r="Z1197" s="36"/>
      <c r="AA1197" s="36"/>
      <c r="AB1197" s="36"/>
      <c r="AC1197" s="36"/>
    </row>
    <row r="1198" spans="17:29" x14ac:dyDescent="0.2">
      <c r="Q1198" s="36"/>
      <c r="R1198" s="40"/>
      <c r="S1198" s="40"/>
      <c r="T1198" s="40"/>
      <c r="U1198" s="41"/>
      <c r="V1198" s="41"/>
      <c r="W1198" s="41"/>
      <c r="X1198" s="36"/>
      <c r="Y1198" s="36"/>
      <c r="Z1198" s="36"/>
      <c r="AA1198" s="36"/>
      <c r="AB1198" s="36"/>
      <c r="AC1198" s="36"/>
    </row>
    <row r="1199" spans="17:29" x14ac:dyDescent="0.2">
      <c r="Q1199" s="36"/>
      <c r="R1199" s="40"/>
      <c r="S1199" s="40"/>
      <c r="T1199" s="40"/>
      <c r="U1199" s="41"/>
      <c r="V1199" s="41"/>
      <c r="W1199" s="41"/>
      <c r="X1199" s="36"/>
      <c r="Y1199" s="36"/>
      <c r="Z1199" s="36"/>
      <c r="AA1199" s="36"/>
      <c r="AB1199" s="36"/>
      <c r="AC1199" s="36"/>
    </row>
    <row r="1200" spans="17:29" x14ac:dyDescent="0.2">
      <c r="Q1200" s="36"/>
      <c r="R1200" s="40"/>
      <c r="S1200" s="40"/>
      <c r="T1200" s="40"/>
      <c r="U1200" s="41"/>
      <c r="V1200" s="41"/>
      <c r="W1200" s="41"/>
      <c r="X1200" s="36"/>
      <c r="Y1200" s="36"/>
      <c r="Z1200" s="36"/>
      <c r="AA1200" s="36"/>
      <c r="AB1200" s="36"/>
      <c r="AC1200" s="36"/>
    </row>
    <row r="1201" spans="17:29" x14ac:dyDescent="0.2">
      <c r="Q1201" s="36"/>
      <c r="R1201" s="40"/>
      <c r="S1201" s="40"/>
      <c r="T1201" s="40"/>
      <c r="U1201" s="41"/>
      <c r="V1201" s="41"/>
      <c r="W1201" s="41"/>
      <c r="X1201" s="36"/>
      <c r="Y1201" s="36"/>
      <c r="Z1201" s="36"/>
      <c r="AA1201" s="36"/>
      <c r="AB1201" s="36"/>
      <c r="AC1201" s="36"/>
    </row>
    <row r="1202" spans="17:29" x14ac:dyDescent="0.2">
      <c r="Q1202" s="36"/>
      <c r="R1202" s="40"/>
      <c r="S1202" s="40"/>
      <c r="T1202" s="40"/>
      <c r="U1202" s="41"/>
      <c r="V1202" s="41"/>
      <c r="W1202" s="41"/>
      <c r="X1202" s="36"/>
      <c r="Y1202" s="36"/>
      <c r="Z1202" s="36"/>
      <c r="AA1202" s="36"/>
      <c r="AB1202" s="36"/>
      <c r="AC1202" s="36"/>
    </row>
    <row r="1203" spans="17:29" x14ac:dyDescent="0.2">
      <c r="Q1203" s="36"/>
      <c r="R1203" s="40"/>
      <c r="S1203" s="40"/>
      <c r="T1203" s="40"/>
      <c r="U1203" s="41"/>
      <c r="V1203" s="41"/>
      <c r="W1203" s="41"/>
      <c r="X1203" s="36"/>
      <c r="Y1203" s="36"/>
      <c r="Z1203" s="36"/>
      <c r="AA1203" s="36"/>
      <c r="AB1203" s="36"/>
      <c r="AC1203" s="36"/>
    </row>
    <row r="1204" spans="17:29" x14ac:dyDescent="0.2">
      <c r="Q1204" s="36"/>
      <c r="R1204" s="40"/>
      <c r="S1204" s="40"/>
      <c r="T1204" s="40"/>
      <c r="U1204" s="41"/>
      <c r="V1204" s="41"/>
      <c r="W1204" s="41"/>
      <c r="X1204" s="36"/>
      <c r="Y1204" s="36"/>
      <c r="Z1204" s="36"/>
      <c r="AA1204" s="36"/>
      <c r="AB1204" s="36"/>
      <c r="AC1204" s="36"/>
    </row>
    <row r="1205" spans="17:29" x14ac:dyDescent="0.2">
      <c r="Q1205" s="36"/>
      <c r="R1205" s="40"/>
      <c r="S1205" s="40"/>
      <c r="T1205" s="40"/>
      <c r="U1205" s="41"/>
      <c r="V1205" s="41"/>
      <c r="W1205" s="41"/>
      <c r="X1205" s="36"/>
      <c r="Y1205" s="36"/>
      <c r="Z1205" s="36"/>
      <c r="AA1205" s="36"/>
      <c r="AB1205" s="36"/>
      <c r="AC1205" s="36"/>
    </row>
    <row r="1206" spans="17:29" x14ac:dyDescent="0.2">
      <c r="Q1206" s="36"/>
      <c r="R1206" s="40"/>
      <c r="S1206" s="40"/>
      <c r="T1206" s="40"/>
      <c r="U1206" s="41"/>
      <c r="V1206" s="41"/>
      <c r="W1206" s="41"/>
      <c r="X1206" s="36"/>
      <c r="Y1206" s="36"/>
      <c r="Z1206" s="36"/>
      <c r="AA1206" s="36"/>
      <c r="AB1206" s="36"/>
      <c r="AC1206" s="36"/>
    </row>
    <row r="1207" spans="17:29" x14ac:dyDescent="0.2">
      <c r="Q1207" s="36"/>
      <c r="R1207" s="40"/>
      <c r="S1207" s="40"/>
      <c r="T1207" s="40"/>
      <c r="U1207" s="41"/>
      <c r="V1207" s="41"/>
      <c r="W1207" s="41"/>
      <c r="X1207" s="36"/>
      <c r="Y1207" s="36"/>
      <c r="Z1207" s="36"/>
      <c r="AA1207" s="36"/>
      <c r="AB1207" s="36"/>
      <c r="AC1207" s="36"/>
    </row>
    <row r="1208" spans="17:29" x14ac:dyDescent="0.2">
      <c r="Q1208" s="36"/>
      <c r="R1208" s="40"/>
      <c r="S1208" s="40"/>
      <c r="T1208" s="40"/>
      <c r="U1208" s="41"/>
      <c r="V1208" s="41"/>
      <c r="W1208" s="41"/>
      <c r="X1208" s="36"/>
      <c r="Y1208" s="36"/>
      <c r="Z1208" s="36"/>
      <c r="AA1208" s="36"/>
      <c r="AB1208" s="36"/>
      <c r="AC1208" s="36"/>
    </row>
    <row r="1209" spans="17:29" x14ac:dyDescent="0.2">
      <c r="Q1209" s="36"/>
      <c r="R1209" s="40"/>
      <c r="S1209" s="40"/>
      <c r="T1209" s="40"/>
      <c r="U1209" s="41"/>
      <c r="V1209" s="41"/>
      <c r="W1209" s="41"/>
      <c r="X1209" s="36"/>
      <c r="Y1209" s="36"/>
      <c r="Z1209" s="36"/>
      <c r="AA1209" s="36"/>
      <c r="AB1209" s="36"/>
      <c r="AC1209" s="36"/>
    </row>
    <row r="1210" spans="17:29" x14ac:dyDescent="0.2">
      <c r="Q1210" s="36"/>
      <c r="R1210" s="40"/>
      <c r="S1210" s="40"/>
      <c r="T1210" s="40"/>
      <c r="U1210" s="41"/>
      <c r="V1210" s="41"/>
      <c r="W1210" s="41"/>
      <c r="X1210" s="36"/>
      <c r="Y1210" s="36"/>
      <c r="Z1210" s="36"/>
      <c r="AA1210" s="36"/>
      <c r="AB1210" s="36"/>
      <c r="AC1210" s="36"/>
    </row>
    <row r="1211" spans="17:29" x14ac:dyDescent="0.2">
      <c r="Q1211" s="36"/>
      <c r="R1211" s="40"/>
      <c r="S1211" s="40"/>
      <c r="T1211" s="40"/>
      <c r="U1211" s="41"/>
      <c r="V1211" s="41"/>
      <c r="W1211" s="41"/>
      <c r="X1211" s="36"/>
      <c r="Y1211" s="36"/>
      <c r="Z1211" s="36"/>
      <c r="AA1211" s="36"/>
      <c r="AB1211" s="36"/>
      <c r="AC1211" s="36"/>
    </row>
    <row r="1212" spans="17:29" x14ac:dyDescent="0.2">
      <c r="Q1212" s="36"/>
      <c r="R1212" s="40"/>
      <c r="S1212" s="40"/>
      <c r="T1212" s="40"/>
      <c r="U1212" s="41"/>
      <c r="V1212" s="41"/>
      <c r="W1212" s="41"/>
      <c r="X1212" s="36"/>
      <c r="Y1212" s="36"/>
      <c r="Z1212" s="36"/>
      <c r="AA1212" s="36"/>
      <c r="AB1212" s="36"/>
      <c r="AC1212" s="36"/>
    </row>
    <row r="1213" spans="17:29" x14ac:dyDescent="0.2">
      <c r="Q1213" s="36"/>
      <c r="R1213" s="40"/>
      <c r="S1213" s="40"/>
      <c r="T1213" s="40"/>
      <c r="U1213" s="41"/>
      <c r="V1213" s="41"/>
      <c r="W1213" s="41"/>
      <c r="X1213" s="36"/>
      <c r="Y1213" s="36"/>
      <c r="Z1213" s="36"/>
      <c r="AA1213" s="36"/>
      <c r="AB1213" s="36"/>
      <c r="AC1213" s="36"/>
    </row>
    <row r="1214" spans="17:29" x14ac:dyDescent="0.2">
      <c r="Q1214" s="36"/>
      <c r="R1214" s="40"/>
      <c r="S1214" s="40"/>
      <c r="T1214" s="40"/>
      <c r="U1214" s="41"/>
      <c r="V1214" s="41"/>
      <c r="W1214" s="41"/>
      <c r="X1214" s="36"/>
      <c r="Y1214" s="36"/>
      <c r="Z1214" s="36"/>
      <c r="AA1214" s="36"/>
      <c r="AB1214" s="36"/>
      <c r="AC1214" s="36"/>
    </row>
    <row r="1215" spans="17:29" x14ac:dyDescent="0.2">
      <c r="Q1215" s="36"/>
      <c r="R1215" s="40"/>
      <c r="S1215" s="40"/>
      <c r="T1215" s="40"/>
      <c r="U1215" s="41"/>
      <c r="V1215" s="41"/>
      <c r="W1215" s="41"/>
      <c r="X1215" s="36"/>
      <c r="Y1215" s="36"/>
      <c r="Z1215" s="36"/>
      <c r="AA1215" s="36"/>
      <c r="AB1215" s="36"/>
      <c r="AC1215" s="36"/>
    </row>
    <row r="1216" spans="17:29" x14ac:dyDescent="0.2">
      <c r="Q1216" s="36"/>
      <c r="R1216" s="40"/>
      <c r="S1216" s="40"/>
      <c r="T1216" s="40"/>
      <c r="U1216" s="41"/>
      <c r="V1216" s="41"/>
      <c r="W1216" s="41"/>
      <c r="X1216" s="36"/>
      <c r="Y1216" s="36"/>
      <c r="Z1216" s="36"/>
      <c r="AA1216" s="36"/>
      <c r="AB1216" s="36"/>
      <c r="AC1216" s="36"/>
    </row>
    <row r="1217" spans="17:29" x14ac:dyDescent="0.2">
      <c r="Q1217" s="36"/>
      <c r="R1217" s="40"/>
      <c r="S1217" s="40"/>
      <c r="T1217" s="40"/>
      <c r="U1217" s="41"/>
      <c r="V1217" s="41"/>
      <c r="W1217" s="41"/>
      <c r="X1217" s="36"/>
      <c r="Y1217" s="36"/>
      <c r="Z1217" s="36"/>
      <c r="AA1217" s="36"/>
      <c r="AB1217" s="36"/>
      <c r="AC1217" s="36"/>
    </row>
    <row r="1218" spans="17:29" x14ac:dyDescent="0.2">
      <c r="Q1218" s="36"/>
      <c r="R1218" s="40"/>
      <c r="S1218" s="40"/>
      <c r="T1218" s="40"/>
      <c r="U1218" s="41"/>
      <c r="V1218" s="41"/>
      <c r="W1218" s="41"/>
      <c r="X1218" s="36"/>
      <c r="Y1218" s="36"/>
      <c r="Z1218" s="36"/>
      <c r="AA1218" s="36"/>
      <c r="AB1218" s="36"/>
      <c r="AC1218" s="36"/>
    </row>
    <row r="1219" spans="17:29" x14ac:dyDescent="0.2">
      <c r="Q1219" s="36"/>
      <c r="R1219" s="40"/>
      <c r="S1219" s="40"/>
      <c r="T1219" s="40"/>
      <c r="U1219" s="41"/>
      <c r="V1219" s="41"/>
      <c r="W1219" s="41"/>
      <c r="X1219" s="36"/>
      <c r="Y1219" s="36"/>
      <c r="Z1219" s="36"/>
      <c r="AA1219" s="36"/>
      <c r="AB1219" s="36"/>
      <c r="AC1219" s="36"/>
    </row>
    <row r="1220" spans="17:29" x14ac:dyDescent="0.2">
      <c r="Q1220" s="36"/>
      <c r="R1220" s="40"/>
      <c r="S1220" s="40"/>
      <c r="T1220" s="40"/>
      <c r="U1220" s="41"/>
      <c r="V1220" s="41"/>
      <c r="W1220" s="41"/>
      <c r="X1220" s="36"/>
      <c r="Y1220" s="36"/>
      <c r="Z1220" s="36"/>
      <c r="AA1220" s="36"/>
      <c r="AB1220" s="36"/>
      <c r="AC1220" s="36"/>
    </row>
    <row r="1221" spans="17:29" x14ac:dyDescent="0.2">
      <c r="Q1221" s="36"/>
      <c r="R1221" s="40"/>
      <c r="S1221" s="40"/>
      <c r="T1221" s="40"/>
      <c r="U1221" s="41"/>
      <c r="V1221" s="41"/>
      <c r="W1221" s="41"/>
      <c r="X1221" s="36"/>
      <c r="Y1221" s="36"/>
      <c r="Z1221" s="36"/>
      <c r="AA1221" s="36"/>
      <c r="AB1221" s="36"/>
      <c r="AC1221" s="36"/>
    </row>
    <row r="1222" spans="17:29" x14ac:dyDescent="0.2">
      <c r="Q1222" s="36"/>
      <c r="R1222" s="40"/>
      <c r="S1222" s="40"/>
      <c r="T1222" s="40"/>
      <c r="U1222" s="41"/>
      <c r="V1222" s="41"/>
      <c r="W1222" s="41"/>
      <c r="X1222" s="36"/>
      <c r="Y1222" s="36"/>
      <c r="Z1222" s="36"/>
      <c r="AA1222" s="36"/>
      <c r="AB1222" s="36"/>
      <c r="AC1222" s="36"/>
    </row>
    <row r="1223" spans="17:29" x14ac:dyDescent="0.2">
      <c r="Q1223" s="36"/>
      <c r="R1223" s="40"/>
      <c r="S1223" s="40"/>
      <c r="T1223" s="40"/>
      <c r="U1223" s="41"/>
      <c r="V1223" s="41"/>
      <c r="W1223" s="41"/>
      <c r="X1223" s="36"/>
      <c r="Y1223" s="36"/>
      <c r="Z1223" s="36"/>
      <c r="AA1223" s="36"/>
      <c r="AB1223" s="36"/>
      <c r="AC1223" s="36"/>
    </row>
    <row r="1224" spans="17:29" x14ac:dyDescent="0.2">
      <c r="Q1224" s="36"/>
      <c r="R1224" s="40"/>
      <c r="S1224" s="40"/>
      <c r="T1224" s="40"/>
      <c r="U1224" s="41"/>
      <c r="V1224" s="41"/>
      <c r="W1224" s="41"/>
      <c r="X1224" s="36"/>
      <c r="Y1224" s="36"/>
      <c r="Z1224" s="36"/>
      <c r="AA1224" s="36"/>
      <c r="AB1224" s="36"/>
      <c r="AC1224" s="36"/>
    </row>
    <row r="1225" spans="17:29" x14ac:dyDescent="0.2">
      <c r="Q1225" s="36"/>
      <c r="R1225" s="40"/>
      <c r="S1225" s="40"/>
      <c r="T1225" s="40"/>
      <c r="U1225" s="41"/>
      <c r="V1225" s="41"/>
      <c r="W1225" s="41"/>
      <c r="X1225" s="36"/>
      <c r="Y1225" s="36"/>
      <c r="Z1225" s="36"/>
      <c r="AA1225" s="36"/>
      <c r="AB1225" s="36"/>
      <c r="AC1225" s="36"/>
    </row>
    <row r="1226" spans="17:29" x14ac:dyDescent="0.2">
      <c r="Q1226" s="36"/>
      <c r="R1226" s="40"/>
      <c r="S1226" s="40"/>
      <c r="T1226" s="40"/>
      <c r="U1226" s="41"/>
      <c r="V1226" s="41"/>
      <c r="W1226" s="41"/>
      <c r="X1226" s="36"/>
      <c r="Y1226" s="36"/>
      <c r="Z1226" s="36"/>
      <c r="AA1226" s="36"/>
      <c r="AB1226" s="36"/>
      <c r="AC1226" s="36"/>
    </row>
    <row r="1227" spans="17:29" x14ac:dyDescent="0.2">
      <c r="Q1227" s="36"/>
      <c r="R1227" s="40"/>
      <c r="S1227" s="40"/>
      <c r="T1227" s="40"/>
      <c r="U1227" s="41"/>
      <c r="V1227" s="41"/>
      <c r="W1227" s="41"/>
      <c r="X1227" s="36"/>
      <c r="Y1227" s="36"/>
      <c r="Z1227" s="36"/>
      <c r="AA1227" s="36"/>
      <c r="AB1227" s="36"/>
      <c r="AC1227" s="36"/>
    </row>
    <row r="1228" spans="17:29" x14ac:dyDescent="0.2">
      <c r="Q1228" s="36"/>
      <c r="R1228" s="40"/>
      <c r="S1228" s="40"/>
      <c r="T1228" s="40"/>
      <c r="U1228" s="41"/>
      <c r="V1228" s="41"/>
      <c r="W1228" s="41"/>
      <c r="X1228" s="36"/>
      <c r="Y1228" s="36"/>
      <c r="Z1228" s="36"/>
      <c r="AA1228" s="36"/>
      <c r="AB1228" s="36"/>
      <c r="AC1228" s="36"/>
    </row>
    <row r="1229" spans="17:29" x14ac:dyDescent="0.2">
      <c r="Q1229" s="36"/>
      <c r="R1229" s="40"/>
      <c r="S1229" s="40"/>
      <c r="T1229" s="40"/>
      <c r="U1229" s="41"/>
      <c r="V1229" s="41"/>
      <c r="W1229" s="41"/>
      <c r="X1229" s="36"/>
      <c r="Y1229" s="36"/>
      <c r="Z1229" s="36"/>
      <c r="AA1229" s="36"/>
      <c r="AB1229" s="36"/>
      <c r="AC1229" s="36"/>
    </row>
    <row r="1230" spans="17:29" x14ac:dyDescent="0.2">
      <c r="Q1230" s="36"/>
      <c r="R1230" s="40"/>
      <c r="S1230" s="40"/>
      <c r="T1230" s="40"/>
      <c r="U1230" s="41"/>
      <c r="V1230" s="41"/>
      <c r="W1230" s="41"/>
      <c r="X1230" s="36"/>
      <c r="Y1230" s="36"/>
      <c r="Z1230" s="36"/>
      <c r="AA1230" s="36"/>
      <c r="AB1230" s="36"/>
      <c r="AC1230" s="36"/>
    </row>
    <row r="1231" spans="17:29" x14ac:dyDescent="0.2">
      <c r="Q1231" s="36"/>
      <c r="R1231" s="40"/>
      <c r="S1231" s="40"/>
      <c r="T1231" s="40"/>
      <c r="U1231" s="41"/>
      <c r="V1231" s="41"/>
      <c r="W1231" s="41"/>
      <c r="X1231" s="36"/>
      <c r="Y1231" s="36"/>
      <c r="Z1231" s="36"/>
      <c r="AA1231" s="36"/>
      <c r="AB1231" s="36"/>
      <c r="AC1231" s="36"/>
    </row>
    <row r="1232" spans="17:29" x14ac:dyDescent="0.2">
      <c r="Q1232" s="36"/>
      <c r="R1232" s="40"/>
      <c r="S1232" s="40"/>
      <c r="T1232" s="40"/>
      <c r="U1232" s="41"/>
      <c r="V1232" s="41"/>
      <c r="W1232" s="41"/>
      <c r="X1232" s="36"/>
      <c r="Y1232" s="36"/>
      <c r="Z1232" s="36"/>
      <c r="AA1232" s="36"/>
      <c r="AB1232" s="36"/>
      <c r="AC1232" s="36"/>
    </row>
    <row r="1233" spans="17:29" x14ac:dyDescent="0.2">
      <c r="Q1233" s="36"/>
      <c r="R1233" s="40"/>
      <c r="S1233" s="40"/>
      <c r="T1233" s="40"/>
      <c r="U1233" s="41"/>
      <c r="V1233" s="41"/>
      <c r="W1233" s="41"/>
      <c r="X1233" s="36"/>
      <c r="Y1233" s="36"/>
      <c r="Z1233" s="36"/>
      <c r="AA1233" s="36"/>
      <c r="AB1233" s="36"/>
      <c r="AC1233" s="36"/>
    </row>
    <row r="1234" spans="17:29" x14ac:dyDescent="0.2">
      <c r="Q1234" s="36"/>
      <c r="R1234" s="40"/>
      <c r="S1234" s="40"/>
      <c r="T1234" s="40"/>
      <c r="U1234" s="41"/>
      <c r="V1234" s="41"/>
      <c r="W1234" s="41"/>
      <c r="X1234" s="36"/>
      <c r="Y1234" s="36"/>
      <c r="Z1234" s="36"/>
      <c r="AA1234" s="36"/>
      <c r="AB1234" s="36"/>
      <c r="AC1234" s="36"/>
    </row>
    <row r="1235" spans="17:29" x14ac:dyDescent="0.2">
      <c r="Q1235" s="36"/>
      <c r="R1235" s="40"/>
      <c r="S1235" s="40"/>
      <c r="T1235" s="40"/>
      <c r="U1235" s="41"/>
      <c r="V1235" s="41"/>
      <c r="W1235" s="41"/>
      <c r="X1235" s="36"/>
      <c r="Y1235" s="36"/>
      <c r="Z1235" s="36"/>
      <c r="AA1235" s="36"/>
      <c r="AB1235" s="36"/>
      <c r="AC1235" s="36"/>
    </row>
    <row r="1236" spans="17:29" x14ac:dyDescent="0.2">
      <c r="Q1236" s="36"/>
      <c r="R1236" s="40"/>
      <c r="S1236" s="40"/>
      <c r="T1236" s="40"/>
      <c r="U1236" s="41"/>
      <c r="V1236" s="41"/>
      <c r="W1236" s="41"/>
      <c r="X1236" s="36"/>
      <c r="Y1236" s="36"/>
      <c r="Z1236" s="36"/>
      <c r="AA1236" s="36"/>
      <c r="AB1236" s="36"/>
      <c r="AC1236" s="36"/>
    </row>
    <row r="1237" spans="17:29" x14ac:dyDescent="0.2">
      <c r="Q1237" s="36"/>
      <c r="R1237" s="40"/>
      <c r="S1237" s="40"/>
      <c r="T1237" s="40"/>
      <c r="U1237" s="41"/>
      <c r="V1237" s="41"/>
      <c r="W1237" s="41"/>
      <c r="X1237" s="36"/>
      <c r="Y1237" s="36"/>
      <c r="Z1237" s="36"/>
      <c r="AA1237" s="36"/>
      <c r="AB1237" s="36"/>
      <c r="AC1237" s="36"/>
    </row>
    <row r="1238" spans="17:29" x14ac:dyDescent="0.2">
      <c r="Q1238" s="36"/>
      <c r="R1238" s="40"/>
      <c r="S1238" s="40"/>
      <c r="T1238" s="40"/>
      <c r="U1238" s="41"/>
      <c r="V1238" s="41"/>
      <c r="W1238" s="41"/>
      <c r="X1238" s="36"/>
      <c r="Y1238" s="36"/>
      <c r="Z1238" s="36"/>
      <c r="AA1238" s="36"/>
      <c r="AB1238" s="36"/>
      <c r="AC1238" s="36"/>
    </row>
    <row r="1239" spans="17:29" x14ac:dyDescent="0.2">
      <c r="Q1239" s="36"/>
      <c r="R1239" s="40"/>
      <c r="S1239" s="40"/>
      <c r="T1239" s="40"/>
      <c r="U1239" s="41"/>
      <c r="V1239" s="41"/>
      <c r="W1239" s="41"/>
      <c r="X1239" s="36"/>
      <c r="Y1239" s="36"/>
      <c r="Z1239" s="36"/>
      <c r="AA1239" s="36"/>
      <c r="AB1239" s="36"/>
      <c r="AC1239" s="36"/>
    </row>
    <row r="1240" spans="17:29" x14ac:dyDescent="0.2">
      <c r="Q1240" s="36"/>
      <c r="R1240" s="40"/>
      <c r="S1240" s="40"/>
      <c r="T1240" s="40"/>
      <c r="U1240" s="41"/>
      <c r="V1240" s="41"/>
      <c r="W1240" s="41"/>
      <c r="X1240" s="36"/>
      <c r="Y1240" s="36"/>
      <c r="Z1240" s="36"/>
      <c r="AA1240" s="36"/>
      <c r="AB1240" s="36"/>
      <c r="AC1240" s="36"/>
    </row>
    <row r="1241" spans="17:29" x14ac:dyDescent="0.2">
      <c r="Q1241" s="36"/>
      <c r="R1241" s="40"/>
      <c r="S1241" s="40"/>
      <c r="T1241" s="40"/>
      <c r="U1241" s="41"/>
      <c r="V1241" s="41"/>
      <c r="W1241" s="41"/>
      <c r="X1241" s="36"/>
      <c r="Y1241" s="36"/>
      <c r="Z1241" s="36"/>
      <c r="AA1241" s="36"/>
      <c r="AB1241" s="36"/>
      <c r="AC1241" s="36"/>
    </row>
    <row r="1242" spans="17:29" x14ac:dyDescent="0.2">
      <c r="Q1242" s="36"/>
      <c r="R1242" s="40"/>
      <c r="S1242" s="40"/>
      <c r="T1242" s="40"/>
      <c r="U1242" s="41"/>
      <c r="V1242" s="41"/>
      <c r="W1242" s="41"/>
      <c r="X1242" s="36"/>
      <c r="Y1242" s="36"/>
      <c r="Z1242" s="36"/>
      <c r="AA1242" s="36"/>
      <c r="AB1242" s="36"/>
      <c r="AC1242" s="36"/>
    </row>
    <row r="1243" spans="17:29" x14ac:dyDescent="0.2">
      <c r="Q1243" s="36"/>
      <c r="R1243" s="40"/>
      <c r="S1243" s="40"/>
      <c r="T1243" s="40"/>
      <c r="U1243" s="41"/>
      <c r="V1243" s="41"/>
      <c r="W1243" s="41"/>
      <c r="X1243" s="36"/>
      <c r="Y1243" s="36"/>
      <c r="Z1243" s="36"/>
      <c r="AA1243" s="36"/>
      <c r="AB1243" s="36"/>
      <c r="AC1243" s="36"/>
    </row>
    <row r="1244" spans="17:29" x14ac:dyDescent="0.2">
      <c r="Q1244" s="36"/>
      <c r="R1244" s="40"/>
      <c r="S1244" s="40"/>
      <c r="T1244" s="40"/>
      <c r="U1244" s="41"/>
      <c r="V1244" s="41"/>
      <c r="W1244" s="41"/>
      <c r="X1244" s="36"/>
      <c r="Y1244" s="36"/>
      <c r="Z1244" s="36"/>
      <c r="AA1244" s="36"/>
      <c r="AB1244" s="36"/>
      <c r="AC1244" s="36"/>
    </row>
    <row r="1245" spans="17:29" x14ac:dyDescent="0.2">
      <c r="Q1245" s="36"/>
      <c r="R1245" s="40"/>
      <c r="S1245" s="40"/>
      <c r="T1245" s="40"/>
      <c r="U1245" s="41"/>
      <c r="V1245" s="41"/>
      <c r="W1245" s="41"/>
      <c r="X1245" s="36"/>
      <c r="Y1245" s="36"/>
      <c r="Z1245" s="36"/>
      <c r="AA1245" s="36"/>
      <c r="AB1245" s="36"/>
      <c r="AC1245" s="36"/>
    </row>
    <row r="1246" spans="17:29" x14ac:dyDescent="0.2">
      <c r="Q1246" s="36"/>
      <c r="R1246" s="40"/>
      <c r="S1246" s="40"/>
      <c r="T1246" s="40"/>
      <c r="U1246" s="41"/>
      <c r="V1246" s="41"/>
      <c r="W1246" s="41"/>
      <c r="X1246" s="36"/>
      <c r="Y1246" s="36"/>
      <c r="Z1246" s="36"/>
      <c r="AA1246" s="36"/>
      <c r="AB1246" s="36"/>
      <c r="AC1246" s="36"/>
    </row>
    <row r="1247" spans="17:29" x14ac:dyDescent="0.2">
      <c r="Q1247" s="36"/>
      <c r="R1247" s="40"/>
      <c r="S1247" s="40"/>
      <c r="T1247" s="40"/>
      <c r="U1247" s="41"/>
      <c r="V1247" s="41"/>
      <c r="W1247" s="41"/>
      <c r="X1247" s="36"/>
      <c r="Y1247" s="36"/>
      <c r="Z1247" s="36"/>
      <c r="AA1247" s="36"/>
      <c r="AB1247" s="36"/>
      <c r="AC1247" s="36"/>
    </row>
    <row r="1248" spans="17:29" x14ac:dyDescent="0.2">
      <c r="Q1248" s="36"/>
      <c r="R1248" s="40"/>
      <c r="S1248" s="40"/>
      <c r="T1248" s="40"/>
      <c r="U1248" s="41"/>
      <c r="V1248" s="41"/>
      <c r="W1248" s="41"/>
      <c r="X1248" s="36"/>
      <c r="Y1248" s="36"/>
      <c r="Z1248" s="36"/>
      <c r="AA1248" s="36"/>
      <c r="AB1248" s="36"/>
      <c r="AC1248" s="36"/>
    </row>
    <row r="1249" spans="17:29" x14ac:dyDescent="0.2">
      <c r="Q1249" s="36"/>
      <c r="R1249" s="40"/>
      <c r="S1249" s="40"/>
      <c r="T1249" s="40"/>
      <c r="U1249" s="41"/>
      <c r="V1249" s="41"/>
      <c r="W1249" s="41"/>
      <c r="X1249" s="36"/>
      <c r="Y1249" s="36"/>
      <c r="Z1249" s="36"/>
      <c r="AA1249" s="36"/>
      <c r="AB1249" s="36"/>
      <c r="AC1249" s="36"/>
    </row>
    <row r="1250" spans="17:29" x14ac:dyDescent="0.2">
      <c r="Q1250" s="36"/>
      <c r="R1250" s="40"/>
      <c r="S1250" s="40"/>
      <c r="T1250" s="40"/>
      <c r="U1250" s="41"/>
      <c r="V1250" s="41"/>
      <c r="W1250" s="41"/>
      <c r="X1250" s="36"/>
      <c r="Y1250" s="36"/>
      <c r="Z1250" s="36"/>
      <c r="AA1250" s="36"/>
      <c r="AB1250" s="36"/>
      <c r="AC1250" s="36"/>
    </row>
    <row r="1251" spans="17:29" x14ac:dyDescent="0.2">
      <c r="Q1251" s="36"/>
      <c r="R1251" s="40"/>
      <c r="S1251" s="40"/>
      <c r="T1251" s="40"/>
      <c r="U1251" s="41"/>
      <c r="V1251" s="41"/>
      <c r="W1251" s="41"/>
      <c r="X1251" s="36"/>
      <c r="Y1251" s="36"/>
      <c r="Z1251" s="36"/>
      <c r="AA1251" s="36"/>
      <c r="AB1251" s="36"/>
      <c r="AC1251" s="36"/>
    </row>
    <row r="1252" spans="17:29" x14ac:dyDescent="0.2">
      <c r="Q1252" s="36"/>
      <c r="R1252" s="40"/>
      <c r="S1252" s="40"/>
      <c r="T1252" s="40"/>
      <c r="U1252" s="41"/>
      <c r="V1252" s="41"/>
      <c r="W1252" s="41"/>
      <c r="X1252" s="36"/>
      <c r="Y1252" s="36"/>
      <c r="Z1252" s="36"/>
      <c r="AA1252" s="36"/>
      <c r="AB1252" s="36"/>
      <c r="AC1252" s="36"/>
    </row>
    <row r="1253" spans="17:29" x14ac:dyDescent="0.2">
      <c r="Q1253" s="36"/>
      <c r="R1253" s="40"/>
      <c r="S1253" s="40"/>
      <c r="T1253" s="40"/>
      <c r="U1253" s="41"/>
      <c r="V1253" s="41"/>
      <c r="W1253" s="41"/>
      <c r="X1253" s="36"/>
      <c r="Y1253" s="36"/>
      <c r="Z1253" s="36"/>
      <c r="AA1253" s="36"/>
      <c r="AB1253" s="36"/>
      <c r="AC1253" s="36"/>
    </row>
    <row r="1254" spans="17:29" x14ac:dyDescent="0.2">
      <c r="Q1254" s="36"/>
      <c r="R1254" s="40"/>
      <c r="S1254" s="40"/>
      <c r="T1254" s="40"/>
      <c r="U1254" s="41"/>
      <c r="V1254" s="41"/>
      <c r="W1254" s="41"/>
      <c r="X1254" s="36"/>
      <c r="Y1254" s="36"/>
      <c r="Z1254" s="36"/>
      <c r="AA1254" s="36"/>
      <c r="AB1254" s="36"/>
      <c r="AC1254" s="36"/>
    </row>
    <row r="1255" spans="17:29" x14ac:dyDescent="0.2">
      <c r="Q1255" s="36"/>
      <c r="R1255" s="40"/>
      <c r="S1255" s="40"/>
      <c r="T1255" s="40"/>
      <c r="U1255" s="41"/>
      <c r="V1255" s="41"/>
      <c r="W1255" s="41"/>
      <c r="X1255" s="36"/>
      <c r="Y1255" s="36"/>
      <c r="Z1255" s="36"/>
      <c r="AA1255" s="36"/>
      <c r="AB1255" s="36"/>
      <c r="AC1255" s="36"/>
    </row>
    <row r="1256" spans="17:29" x14ac:dyDescent="0.2">
      <c r="Q1256" s="36"/>
      <c r="R1256" s="40"/>
      <c r="S1256" s="40"/>
      <c r="T1256" s="40"/>
      <c r="U1256" s="41"/>
      <c r="V1256" s="41"/>
      <c r="W1256" s="41"/>
      <c r="X1256" s="36"/>
      <c r="Y1256" s="36"/>
      <c r="Z1256" s="36"/>
      <c r="AA1256" s="36"/>
      <c r="AB1256" s="36"/>
      <c r="AC1256" s="36"/>
    </row>
    <row r="1257" spans="17:29" x14ac:dyDescent="0.2">
      <c r="Q1257" s="36"/>
      <c r="R1257" s="40"/>
      <c r="S1257" s="40"/>
      <c r="T1257" s="40"/>
      <c r="U1257" s="41"/>
      <c r="V1257" s="41"/>
      <c r="W1257" s="41"/>
      <c r="X1257" s="36"/>
      <c r="Y1257" s="36"/>
      <c r="Z1257" s="36"/>
      <c r="AA1257" s="36"/>
      <c r="AB1257" s="36"/>
      <c r="AC1257" s="36"/>
    </row>
    <row r="1258" spans="17:29" x14ac:dyDescent="0.2">
      <c r="Q1258" s="36"/>
      <c r="R1258" s="40"/>
      <c r="S1258" s="40"/>
      <c r="T1258" s="40"/>
      <c r="U1258" s="41"/>
      <c r="V1258" s="41"/>
      <c r="W1258" s="41"/>
      <c r="X1258" s="36"/>
      <c r="Y1258" s="36"/>
      <c r="Z1258" s="36"/>
      <c r="AA1258" s="36"/>
      <c r="AB1258" s="36"/>
      <c r="AC1258" s="36"/>
    </row>
    <row r="1259" spans="17:29" x14ac:dyDescent="0.2">
      <c r="Q1259" s="36"/>
      <c r="R1259" s="40"/>
      <c r="S1259" s="40"/>
      <c r="T1259" s="40"/>
      <c r="U1259" s="41"/>
      <c r="V1259" s="41"/>
      <c r="W1259" s="41"/>
      <c r="X1259" s="36"/>
      <c r="Y1259" s="36"/>
      <c r="Z1259" s="36"/>
      <c r="AA1259" s="36"/>
      <c r="AB1259" s="36"/>
      <c r="AC1259" s="36"/>
    </row>
    <row r="1260" spans="17:29" x14ac:dyDescent="0.2">
      <c r="Q1260" s="36"/>
      <c r="R1260" s="40"/>
      <c r="S1260" s="40"/>
      <c r="T1260" s="40"/>
      <c r="U1260" s="41"/>
      <c r="V1260" s="41"/>
      <c r="W1260" s="41"/>
      <c r="X1260" s="36"/>
      <c r="Y1260" s="36"/>
      <c r="Z1260" s="36"/>
      <c r="AA1260" s="36"/>
      <c r="AB1260" s="36"/>
      <c r="AC1260" s="36"/>
    </row>
    <row r="1261" spans="17:29" x14ac:dyDescent="0.2">
      <c r="Q1261" s="36"/>
      <c r="R1261" s="40"/>
      <c r="S1261" s="40"/>
      <c r="T1261" s="40"/>
      <c r="U1261" s="41"/>
      <c r="V1261" s="41"/>
      <c r="W1261" s="41"/>
      <c r="X1261" s="36"/>
      <c r="Y1261" s="36"/>
      <c r="Z1261" s="36"/>
      <c r="AA1261" s="36"/>
      <c r="AB1261" s="36"/>
      <c r="AC1261" s="36"/>
    </row>
    <row r="1262" spans="17:29" x14ac:dyDescent="0.2">
      <c r="Q1262" s="36"/>
      <c r="R1262" s="40"/>
      <c r="S1262" s="40"/>
      <c r="T1262" s="40"/>
      <c r="U1262" s="41"/>
      <c r="V1262" s="41"/>
      <c r="W1262" s="41"/>
      <c r="X1262" s="36"/>
      <c r="Y1262" s="36"/>
      <c r="Z1262" s="36"/>
      <c r="AA1262" s="36"/>
      <c r="AB1262" s="36"/>
      <c r="AC1262" s="36"/>
    </row>
    <row r="1263" spans="17:29" x14ac:dyDescent="0.2">
      <c r="Q1263" s="36"/>
      <c r="R1263" s="40"/>
      <c r="S1263" s="40"/>
      <c r="T1263" s="40"/>
      <c r="U1263" s="41"/>
      <c r="V1263" s="41"/>
      <c r="W1263" s="41"/>
      <c r="X1263" s="36"/>
      <c r="Y1263" s="36"/>
      <c r="Z1263" s="36"/>
      <c r="AA1263" s="36"/>
      <c r="AB1263" s="36"/>
      <c r="AC1263" s="36"/>
    </row>
    <row r="1264" spans="17:29" x14ac:dyDescent="0.2">
      <c r="Q1264" s="36"/>
      <c r="R1264" s="40"/>
      <c r="S1264" s="40"/>
      <c r="T1264" s="40"/>
      <c r="U1264" s="41"/>
      <c r="V1264" s="41"/>
      <c r="W1264" s="41"/>
      <c r="X1264" s="36"/>
      <c r="Y1264" s="36"/>
      <c r="Z1264" s="36"/>
      <c r="AA1264" s="36"/>
      <c r="AB1264" s="36"/>
      <c r="AC1264" s="36"/>
    </row>
    <row r="1265" spans="17:29" x14ac:dyDescent="0.2">
      <c r="Q1265" s="36"/>
      <c r="R1265" s="40"/>
      <c r="S1265" s="40"/>
      <c r="T1265" s="40"/>
      <c r="U1265" s="41"/>
      <c r="V1265" s="41"/>
      <c r="W1265" s="41"/>
      <c r="X1265" s="36"/>
      <c r="Y1265" s="36"/>
      <c r="Z1265" s="36"/>
      <c r="AA1265" s="36"/>
      <c r="AB1265" s="36"/>
      <c r="AC1265" s="36"/>
    </row>
    <row r="1266" spans="17:29" x14ac:dyDescent="0.2">
      <c r="Q1266" s="36"/>
      <c r="R1266" s="40"/>
      <c r="S1266" s="40"/>
      <c r="T1266" s="40"/>
      <c r="U1266" s="41"/>
      <c r="V1266" s="41"/>
      <c r="W1266" s="41"/>
      <c r="X1266" s="36"/>
      <c r="Y1266" s="36"/>
      <c r="Z1266" s="36"/>
      <c r="AA1266" s="36"/>
      <c r="AB1266" s="36"/>
      <c r="AC1266" s="36"/>
    </row>
    <row r="1267" spans="17:29" x14ac:dyDescent="0.2">
      <c r="Q1267" s="36"/>
      <c r="R1267" s="40"/>
      <c r="S1267" s="40"/>
      <c r="T1267" s="40"/>
      <c r="U1267" s="41"/>
      <c r="V1267" s="41"/>
      <c r="W1267" s="41"/>
      <c r="X1267" s="36"/>
      <c r="Y1267" s="36"/>
      <c r="Z1267" s="36"/>
      <c r="AA1267" s="36"/>
      <c r="AB1267" s="36"/>
      <c r="AC1267" s="36"/>
    </row>
    <row r="1268" spans="17:29" x14ac:dyDescent="0.2">
      <c r="Q1268" s="36"/>
      <c r="R1268" s="40"/>
      <c r="S1268" s="40"/>
      <c r="T1268" s="40"/>
      <c r="U1268" s="41"/>
      <c r="V1268" s="41"/>
      <c r="W1268" s="41"/>
      <c r="X1268" s="36"/>
      <c r="Y1268" s="36"/>
      <c r="Z1268" s="36"/>
      <c r="AA1268" s="36"/>
      <c r="AB1268" s="36"/>
      <c r="AC1268" s="36"/>
    </row>
    <row r="1269" spans="17:29" x14ac:dyDescent="0.2">
      <c r="Q1269" s="36"/>
      <c r="R1269" s="40"/>
      <c r="S1269" s="40"/>
      <c r="T1269" s="40"/>
      <c r="U1269" s="41"/>
      <c r="V1269" s="41"/>
      <c r="W1269" s="41"/>
      <c r="X1269" s="36"/>
      <c r="Y1269" s="36"/>
      <c r="Z1269" s="36"/>
      <c r="AA1269" s="36"/>
      <c r="AB1269" s="36"/>
      <c r="AC1269" s="36"/>
    </row>
    <row r="1270" spans="17:29" x14ac:dyDescent="0.2">
      <c r="Q1270" s="36"/>
      <c r="R1270" s="40"/>
      <c r="S1270" s="40"/>
      <c r="T1270" s="40"/>
      <c r="U1270" s="41"/>
      <c r="V1270" s="41"/>
      <c r="W1270" s="41"/>
      <c r="X1270" s="36"/>
      <c r="Y1270" s="36"/>
      <c r="Z1270" s="36"/>
      <c r="AA1270" s="36"/>
      <c r="AB1270" s="36"/>
      <c r="AC1270" s="36"/>
    </row>
    <row r="1271" spans="17:29" x14ac:dyDescent="0.2">
      <c r="Q1271" s="36"/>
      <c r="R1271" s="40"/>
      <c r="S1271" s="40"/>
      <c r="T1271" s="40"/>
      <c r="U1271" s="41"/>
      <c r="V1271" s="41"/>
      <c r="W1271" s="41"/>
      <c r="X1271" s="36"/>
      <c r="Y1271" s="36"/>
      <c r="Z1271" s="36"/>
      <c r="AA1271" s="36"/>
      <c r="AB1271" s="36"/>
      <c r="AC1271" s="36"/>
    </row>
    <row r="1272" spans="17:29" x14ac:dyDescent="0.2">
      <c r="Q1272" s="36"/>
      <c r="R1272" s="40"/>
      <c r="S1272" s="40"/>
      <c r="T1272" s="40"/>
      <c r="U1272" s="41"/>
      <c r="V1272" s="41"/>
      <c r="W1272" s="41"/>
      <c r="X1272" s="36"/>
      <c r="Y1272" s="36"/>
      <c r="Z1272" s="36"/>
      <c r="AA1272" s="36"/>
      <c r="AB1272" s="36"/>
      <c r="AC1272" s="36"/>
    </row>
    <row r="1273" spans="17:29" x14ac:dyDescent="0.2">
      <c r="Q1273" s="36"/>
      <c r="R1273" s="40"/>
      <c r="S1273" s="40"/>
      <c r="T1273" s="40"/>
      <c r="U1273" s="41"/>
      <c r="V1273" s="41"/>
      <c r="W1273" s="41"/>
      <c r="X1273" s="36"/>
      <c r="Y1273" s="36"/>
      <c r="Z1273" s="36"/>
      <c r="AA1273" s="36"/>
      <c r="AB1273" s="36"/>
      <c r="AC1273" s="36"/>
    </row>
    <row r="1274" spans="17:29" x14ac:dyDescent="0.2">
      <c r="Q1274" s="36"/>
      <c r="R1274" s="40"/>
      <c r="S1274" s="40"/>
      <c r="T1274" s="40"/>
      <c r="U1274" s="41"/>
      <c r="V1274" s="41"/>
      <c r="W1274" s="41"/>
      <c r="X1274" s="36"/>
      <c r="Y1274" s="36"/>
      <c r="Z1274" s="36"/>
      <c r="AA1274" s="36"/>
      <c r="AB1274" s="36"/>
      <c r="AC1274" s="36"/>
    </row>
    <row r="1275" spans="17:29" x14ac:dyDescent="0.2">
      <c r="Q1275" s="36"/>
      <c r="R1275" s="40"/>
      <c r="S1275" s="40"/>
      <c r="T1275" s="40"/>
      <c r="U1275" s="41"/>
      <c r="V1275" s="41"/>
      <c r="W1275" s="41"/>
      <c r="X1275" s="36"/>
      <c r="Y1275" s="36"/>
      <c r="Z1275" s="36"/>
      <c r="AA1275" s="36"/>
      <c r="AB1275" s="36"/>
      <c r="AC1275" s="36"/>
    </row>
    <row r="1276" spans="17:29" x14ac:dyDescent="0.2">
      <c r="Q1276" s="36"/>
      <c r="R1276" s="40"/>
      <c r="S1276" s="40"/>
      <c r="T1276" s="40"/>
      <c r="U1276" s="41"/>
      <c r="V1276" s="41"/>
      <c r="W1276" s="41"/>
      <c r="X1276" s="36"/>
      <c r="Y1276" s="36"/>
      <c r="Z1276" s="36"/>
      <c r="AA1276" s="36"/>
      <c r="AB1276" s="36"/>
      <c r="AC1276" s="36"/>
    </row>
    <row r="1277" spans="17:29" x14ac:dyDescent="0.2">
      <c r="Q1277" s="36"/>
      <c r="R1277" s="40"/>
      <c r="S1277" s="40"/>
      <c r="T1277" s="40"/>
      <c r="U1277" s="41"/>
      <c r="V1277" s="41"/>
      <c r="W1277" s="41"/>
      <c r="X1277" s="36"/>
      <c r="Y1277" s="36"/>
      <c r="Z1277" s="36"/>
      <c r="AA1277" s="36"/>
      <c r="AB1277" s="36"/>
      <c r="AC1277" s="36"/>
    </row>
    <row r="1278" spans="17:29" x14ac:dyDescent="0.2">
      <c r="Q1278" s="36"/>
      <c r="R1278" s="40"/>
      <c r="S1278" s="40"/>
      <c r="T1278" s="40"/>
      <c r="U1278" s="41"/>
      <c r="V1278" s="41"/>
      <c r="W1278" s="41"/>
      <c r="X1278" s="36"/>
      <c r="Y1278" s="36"/>
      <c r="Z1278" s="36"/>
      <c r="AA1278" s="36"/>
      <c r="AB1278" s="36"/>
      <c r="AC1278" s="36"/>
    </row>
    <row r="1279" spans="17:29" x14ac:dyDescent="0.2">
      <c r="Q1279" s="36"/>
      <c r="R1279" s="40"/>
      <c r="S1279" s="40"/>
      <c r="T1279" s="40"/>
      <c r="U1279" s="41"/>
      <c r="V1279" s="41"/>
      <c r="W1279" s="41"/>
      <c r="X1279" s="36"/>
      <c r="Y1279" s="36"/>
      <c r="Z1279" s="36"/>
      <c r="AA1279" s="36"/>
      <c r="AB1279" s="36"/>
      <c r="AC1279" s="36"/>
    </row>
    <row r="1280" spans="17:29" x14ac:dyDescent="0.2">
      <c r="Q1280" s="36"/>
      <c r="R1280" s="40"/>
      <c r="S1280" s="40"/>
      <c r="T1280" s="40"/>
      <c r="U1280" s="41"/>
      <c r="V1280" s="41"/>
      <c r="W1280" s="41"/>
      <c r="X1280" s="36"/>
      <c r="Y1280" s="36"/>
      <c r="Z1280" s="36"/>
      <c r="AA1280" s="36"/>
      <c r="AB1280" s="36"/>
      <c r="AC1280" s="36"/>
    </row>
    <row r="1281" spans="17:29" x14ac:dyDescent="0.2">
      <c r="Q1281" s="36"/>
      <c r="R1281" s="40"/>
      <c r="S1281" s="40"/>
      <c r="T1281" s="40"/>
      <c r="U1281" s="41"/>
      <c r="V1281" s="41"/>
      <c r="W1281" s="41"/>
      <c r="X1281" s="36"/>
      <c r="Y1281" s="36"/>
      <c r="Z1281" s="36"/>
      <c r="AA1281" s="36"/>
      <c r="AB1281" s="36"/>
      <c r="AC1281" s="36"/>
    </row>
    <row r="1282" spans="17:29" x14ac:dyDescent="0.2">
      <c r="Q1282" s="36"/>
      <c r="R1282" s="40"/>
      <c r="S1282" s="40"/>
      <c r="T1282" s="40"/>
      <c r="U1282" s="41"/>
      <c r="V1282" s="41"/>
      <c r="W1282" s="41"/>
      <c r="X1282" s="36"/>
      <c r="Y1282" s="36"/>
      <c r="Z1282" s="36"/>
      <c r="AA1282" s="36"/>
      <c r="AB1282" s="36"/>
      <c r="AC1282" s="36"/>
    </row>
    <row r="1283" spans="17:29" x14ac:dyDescent="0.2">
      <c r="Q1283" s="36"/>
      <c r="R1283" s="40"/>
      <c r="S1283" s="40"/>
      <c r="T1283" s="40"/>
      <c r="U1283" s="41"/>
      <c r="V1283" s="41"/>
      <c r="W1283" s="41"/>
      <c r="X1283" s="36"/>
      <c r="Y1283" s="36"/>
      <c r="Z1283" s="36"/>
      <c r="AA1283" s="36"/>
      <c r="AB1283" s="36"/>
      <c r="AC1283" s="36"/>
    </row>
    <row r="1284" spans="17:29" x14ac:dyDescent="0.2">
      <c r="Q1284" s="36"/>
      <c r="R1284" s="40"/>
      <c r="S1284" s="40"/>
      <c r="T1284" s="40"/>
      <c r="U1284" s="41"/>
      <c r="V1284" s="41"/>
      <c r="W1284" s="41"/>
      <c r="X1284" s="36"/>
      <c r="Y1284" s="36"/>
      <c r="Z1284" s="36"/>
      <c r="AA1284" s="36"/>
      <c r="AB1284" s="36"/>
      <c r="AC1284" s="36"/>
    </row>
    <row r="1285" spans="17:29" x14ac:dyDescent="0.2">
      <c r="Q1285" s="36"/>
      <c r="R1285" s="40"/>
      <c r="S1285" s="40"/>
      <c r="T1285" s="40"/>
      <c r="U1285" s="41"/>
      <c r="V1285" s="41"/>
      <c r="W1285" s="41"/>
      <c r="X1285" s="36"/>
      <c r="Y1285" s="36"/>
      <c r="Z1285" s="36"/>
      <c r="AA1285" s="36"/>
      <c r="AB1285" s="36"/>
      <c r="AC1285" s="36"/>
    </row>
    <row r="1286" spans="17:29" x14ac:dyDescent="0.2">
      <c r="Q1286" s="36"/>
      <c r="R1286" s="40"/>
      <c r="S1286" s="40"/>
      <c r="T1286" s="40"/>
      <c r="U1286" s="41"/>
      <c r="V1286" s="41"/>
      <c r="W1286" s="41"/>
      <c r="X1286" s="36"/>
      <c r="Y1286" s="36"/>
      <c r="Z1286" s="36"/>
      <c r="AA1286" s="36"/>
      <c r="AB1286" s="36"/>
      <c r="AC1286" s="36"/>
    </row>
    <row r="1287" spans="17:29" x14ac:dyDescent="0.2">
      <c r="Q1287" s="36"/>
      <c r="R1287" s="40"/>
      <c r="S1287" s="40"/>
      <c r="T1287" s="40"/>
      <c r="U1287" s="41"/>
      <c r="V1287" s="41"/>
      <c r="W1287" s="41"/>
      <c r="X1287" s="36"/>
      <c r="Y1287" s="36"/>
      <c r="Z1287" s="36"/>
      <c r="AA1287" s="36"/>
      <c r="AB1287" s="36"/>
      <c r="AC1287" s="36"/>
    </row>
    <row r="1288" spans="17:29" x14ac:dyDescent="0.2">
      <c r="Q1288" s="36"/>
      <c r="R1288" s="40"/>
      <c r="S1288" s="40"/>
      <c r="T1288" s="40"/>
      <c r="U1288" s="41"/>
      <c r="V1288" s="41"/>
      <c r="W1288" s="41"/>
      <c r="X1288" s="36"/>
      <c r="Y1288" s="36"/>
      <c r="Z1288" s="36"/>
      <c r="AA1288" s="36"/>
      <c r="AB1288" s="36"/>
      <c r="AC1288" s="36"/>
    </row>
    <row r="1289" spans="17:29" x14ac:dyDescent="0.2">
      <c r="Q1289" s="36"/>
      <c r="R1289" s="40"/>
      <c r="S1289" s="40"/>
      <c r="T1289" s="40"/>
      <c r="U1289" s="41"/>
      <c r="V1289" s="41"/>
      <c r="W1289" s="41"/>
      <c r="X1289" s="36"/>
      <c r="Y1289" s="36"/>
      <c r="Z1289" s="36"/>
      <c r="AA1289" s="36"/>
      <c r="AB1289" s="36"/>
      <c r="AC1289" s="36"/>
    </row>
    <row r="1290" spans="17:29" x14ac:dyDescent="0.2">
      <c r="Q1290" s="36"/>
      <c r="R1290" s="40"/>
      <c r="S1290" s="40"/>
      <c r="T1290" s="40"/>
      <c r="U1290" s="41"/>
      <c r="V1290" s="41"/>
      <c r="W1290" s="41"/>
      <c r="X1290" s="36"/>
      <c r="Y1290" s="36"/>
      <c r="Z1290" s="36"/>
      <c r="AA1290" s="36"/>
      <c r="AB1290" s="36"/>
      <c r="AC1290" s="36"/>
    </row>
    <row r="1291" spans="17:29" x14ac:dyDescent="0.2">
      <c r="Q1291" s="36"/>
      <c r="R1291" s="40"/>
      <c r="S1291" s="40"/>
      <c r="T1291" s="40"/>
      <c r="U1291" s="41"/>
      <c r="V1291" s="41"/>
      <c r="W1291" s="41"/>
      <c r="X1291" s="36"/>
      <c r="Y1291" s="36"/>
      <c r="Z1291" s="36"/>
      <c r="AA1291" s="36"/>
      <c r="AB1291" s="36"/>
      <c r="AC1291" s="36"/>
    </row>
    <row r="1292" spans="17:29" x14ac:dyDescent="0.2">
      <c r="Q1292" s="36"/>
      <c r="R1292" s="40"/>
      <c r="S1292" s="40"/>
      <c r="T1292" s="40"/>
      <c r="U1292" s="41"/>
      <c r="V1292" s="41"/>
      <c r="W1292" s="41"/>
      <c r="X1292" s="36"/>
      <c r="Y1292" s="36"/>
      <c r="Z1292" s="36"/>
      <c r="AA1292" s="36"/>
      <c r="AB1292" s="36"/>
      <c r="AC1292" s="36"/>
    </row>
    <row r="1293" spans="17:29" x14ac:dyDescent="0.2">
      <c r="Q1293" s="36"/>
      <c r="R1293" s="40"/>
      <c r="S1293" s="40"/>
      <c r="T1293" s="40"/>
      <c r="U1293" s="41"/>
      <c r="V1293" s="41"/>
      <c r="W1293" s="41"/>
      <c r="X1293" s="36"/>
      <c r="Y1293" s="36"/>
      <c r="Z1293" s="36"/>
      <c r="AA1293" s="36"/>
      <c r="AB1293" s="36"/>
      <c r="AC1293" s="36"/>
    </row>
    <row r="1294" spans="17:29" x14ac:dyDescent="0.2">
      <c r="Q1294" s="36"/>
      <c r="R1294" s="40"/>
      <c r="S1294" s="40"/>
      <c r="T1294" s="40"/>
      <c r="U1294" s="41"/>
      <c r="V1294" s="41"/>
      <c r="W1294" s="41"/>
      <c r="X1294" s="36"/>
      <c r="Y1294" s="36"/>
      <c r="Z1294" s="36"/>
      <c r="AA1294" s="36"/>
      <c r="AB1294" s="36"/>
      <c r="AC1294" s="36"/>
    </row>
    <row r="1295" spans="17:29" x14ac:dyDescent="0.2">
      <c r="Q1295" s="36"/>
      <c r="R1295" s="40"/>
      <c r="S1295" s="40"/>
      <c r="T1295" s="40"/>
      <c r="U1295" s="41"/>
      <c r="V1295" s="41"/>
      <c r="W1295" s="41"/>
      <c r="X1295" s="36"/>
      <c r="Y1295" s="36"/>
      <c r="Z1295" s="36"/>
      <c r="AA1295" s="36"/>
      <c r="AB1295" s="36"/>
      <c r="AC1295" s="36"/>
    </row>
    <row r="1296" spans="17:29" x14ac:dyDescent="0.2">
      <c r="Q1296" s="36"/>
      <c r="R1296" s="40"/>
      <c r="S1296" s="40"/>
      <c r="T1296" s="40"/>
      <c r="U1296" s="41"/>
      <c r="V1296" s="41"/>
      <c r="W1296" s="41"/>
      <c r="X1296" s="36"/>
      <c r="Y1296" s="36"/>
      <c r="Z1296" s="36"/>
      <c r="AA1296" s="36"/>
      <c r="AB1296" s="36"/>
      <c r="AC1296" s="36"/>
    </row>
    <row r="1297" spans="17:29" x14ac:dyDescent="0.2">
      <c r="Q1297" s="36"/>
      <c r="R1297" s="40"/>
      <c r="S1297" s="40"/>
      <c r="T1297" s="40"/>
      <c r="U1297" s="41"/>
      <c r="V1297" s="41"/>
      <c r="W1297" s="41"/>
      <c r="X1297" s="36"/>
      <c r="Y1297" s="36"/>
      <c r="Z1297" s="36"/>
      <c r="AA1297" s="36"/>
      <c r="AB1297" s="36"/>
      <c r="AC1297" s="36"/>
    </row>
    <row r="1298" spans="17:29" x14ac:dyDescent="0.2">
      <c r="Q1298" s="36"/>
      <c r="R1298" s="40"/>
      <c r="S1298" s="40"/>
      <c r="T1298" s="40"/>
      <c r="U1298" s="41"/>
      <c r="V1298" s="41"/>
      <c r="W1298" s="41"/>
      <c r="X1298" s="36"/>
      <c r="Y1298" s="36"/>
      <c r="Z1298" s="36"/>
      <c r="AA1298" s="36"/>
      <c r="AB1298" s="36"/>
      <c r="AC1298" s="36"/>
    </row>
    <row r="1299" spans="17:29" x14ac:dyDescent="0.2">
      <c r="Q1299" s="36"/>
      <c r="R1299" s="40"/>
      <c r="S1299" s="40"/>
      <c r="T1299" s="40"/>
      <c r="U1299" s="41"/>
      <c r="V1299" s="41"/>
      <c r="W1299" s="41"/>
      <c r="X1299" s="36"/>
      <c r="Y1299" s="36"/>
      <c r="Z1299" s="36"/>
      <c r="AA1299" s="36"/>
      <c r="AB1299" s="36"/>
      <c r="AC1299" s="36"/>
    </row>
    <row r="1300" spans="17:29" x14ac:dyDescent="0.2">
      <c r="Q1300" s="36"/>
      <c r="R1300" s="40"/>
      <c r="S1300" s="40"/>
      <c r="T1300" s="40"/>
      <c r="U1300" s="41"/>
      <c r="V1300" s="41"/>
      <c r="W1300" s="41"/>
      <c r="X1300" s="36"/>
      <c r="Y1300" s="36"/>
      <c r="Z1300" s="36"/>
      <c r="AA1300" s="36"/>
      <c r="AB1300" s="36"/>
      <c r="AC1300" s="36"/>
    </row>
    <row r="1301" spans="17:29" x14ac:dyDescent="0.2">
      <c r="Q1301" s="36"/>
      <c r="R1301" s="40"/>
      <c r="S1301" s="40"/>
      <c r="T1301" s="40"/>
      <c r="U1301" s="41"/>
      <c r="V1301" s="41"/>
      <c r="W1301" s="41"/>
      <c r="X1301" s="36"/>
      <c r="Y1301" s="36"/>
      <c r="Z1301" s="36"/>
      <c r="AA1301" s="36"/>
      <c r="AB1301" s="36"/>
      <c r="AC1301" s="36"/>
    </row>
    <row r="1302" spans="17:29" x14ac:dyDescent="0.2">
      <c r="Q1302" s="36"/>
      <c r="R1302" s="40"/>
      <c r="S1302" s="40"/>
      <c r="T1302" s="40"/>
      <c r="U1302" s="41"/>
      <c r="V1302" s="41"/>
      <c r="W1302" s="41"/>
      <c r="X1302" s="36"/>
      <c r="Y1302" s="36"/>
      <c r="Z1302" s="36"/>
      <c r="AA1302" s="36"/>
      <c r="AB1302" s="36"/>
      <c r="AC1302" s="36"/>
    </row>
    <row r="1303" spans="17:29" x14ac:dyDescent="0.2">
      <c r="Q1303" s="36"/>
      <c r="R1303" s="40"/>
      <c r="S1303" s="40"/>
      <c r="T1303" s="40"/>
      <c r="U1303" s="41"/>
      <c r="V1303" s="41"/>
      <c r="W1303" s="41"/>
      <c r="X1303" s="36"/>
      <c r="Y1303" s="36"/>
      <c r="Z1303" s="36"/>
      <c r="AA1303" s="36"/>
      <c r="AB1303" s="36"/>
      <c r="AC1303" s="36"/>
    </row>
    <row r="1304" spans="17:29" x14ac:dyDescent="0.2">
      <c r="Q1304" s="36"/>
      <c r="R1304" s="40"/>
      <c r="S1304" s="40"/>
      <c r="T1304" s="40"/>
      <c r="U1304" s="41"/>
      <c r="V1304" s="41"/>
      <c r="W1304" s="41"/>
      <c r="X1304" s="36"/>
      <c r="Y1304" s="36"/>
      <c r="Z1304" s="36"/>
      <c r="AA1304" s="36"/>
      <c r="AB1304" s="36"/>
      <c r="AC1304" s="36"/>
    </row>
    <row r="1305" spans="17:29" x14ac:dyDescent="0.2">
      <c r="Q1305" s="36"/>
      <c r="R1305" s="40"/>
      <c r="S1305" s="40"/>
      <c r="T1305" s="40"/>
      <c r="U1305" s="41"/>
      <c r="V1305" s="41"/>
      <c r="W1305" s="41"/>
      <c r="X1305" s="36"/>
      <c r="Y1305" s="36"/>
      <c r="Z1305" s="36"/>
      <c r="AA1305" s="36"/>
      <c r="AB1305" s="36"/>
      <c r="AC1305" s="36"/>
    </row>
    <row r="1306" spans="17:29" x14ac:dyDescent="0.2">
      <c r="Q1306" s="36"/>
      <c r="R1306" s="40"/>
      <c r="S1306" s="40"/>
      <c r="T1306" s="40"/>
      <c r="U1306" s="41"/>
      <c r="V1306" s="41"/>
      <c r="W1306" s="41"/>
      <c r="X1306" s="36"/>
      <c r="Y1306" s="36"/>
      <c r="Z1306" s="36"/>
      <c r="AA1306" s="36"/>
      <c r="AB1306" s="36"/>
      <c r="AC1306" s="36"/>
    </row>
    <row r="1307" spans="17:29" x14ac:dyDescent="0.2">
      <c r="Q1307" s="36"/>
      <c r="R1307" s="40"/>
      <c r="S1307" s="40"/>
      <c r="T1307" s="40"/>
      <c r="U1307" s="41"/>
      <c r="V1307" s="41"/>
      <c r="W1307" s="41"/>
      <c r="X1307" s="36"/>
      <c r="Y1307" s="36"/>
      <c r="Z1307" s="36"/>
      <c r="AA1307" s="36"/>
      <c r="AB1307" s="36"/>
      <c r="AC1307" s="36"/>
    </row>
    <row r="1308" spans="17:29" x14ac:dyDescent="0.2">
      <c r="Q1308" s="36"/>
      <c r="R1308" s="40"/>
      <c r="S1308" s="40"/>
      <c r="T1308" s="40"/>
      <c r="U1308" s="41"/>
      <c r="V1308" s="41"/>
      <c r="W1308" s="41"/>
      <c r="X1308" s="36"/>
      <c r="Y1308" s="36"/>
      <c r="Z1308" s="36"/>
      <c r="AA1308" s="36"/>
      <c r="AB1308" s="36"/>
      <c r="AC1308" s="36"/>
    </row>
    <row r="1309" spans="17:29" x14ac:dyDescent="0.2">
      <c r="Q1309" s="36"/>
      <c r="R1309" s="40"/>
      <c r="S1309" s="40"/>
      <c r="T1309" s="40"/>
      <c r="U1309" s="41"/>
      <c r="V1309" s="41"/>
      <c r="W1309" s="41"/>
      <c r="X1309" s="36"/>
      <c r="Y1309" s="36"/>
      <c r="Z1309" s="36"/>
      <c r="AA1309" s="36"/>
      <c r="AB1309" s="36"/>
      <c r="AC1309" s="36"/>
    </row>
    <row r="1310" spans="17:29" x14ac:dyDescent="0.2">
      <c r="Q1310" s="36"/>
      <c r="R1310" s="40"/>
      <c r="S1310" s="40"/>
      <c r="T1310" s="40"/>
      <c r="U1310" s="41"/>
      <c r="V1310" s="41"/>
      <c r="W1310" s="41"/>
      <c r="X1310" s="36"/>
      <c r="Y1310" s="36"/>
      <c r="Z1310" s="36"/>
      <c r="AA1310" s="36"/>
      <c r="AB1310" s="36"/>
      <c r="AC1310" s="36"/>
    </row>
    <row r="1311" spans="17:29" x14ac:dyDescent="0.2">
      <c r="Q1311" s="36"/>
      <c r="R1311" s="40"/>
      <c r="S1311" s="40"/>
      <c r="T1311" s="40"/>
      <c r="U1311" s="41"/>
      <c r="V1311" s="41"/>
      <c r="W1311" s="36"/>
      <c r="X1311" s="36"/>
      <c r="Y1311" s="36"/>
      <c r="Z1311" s="36"/>
      <c r="AA1311" s="36"/>
      <c r="AB1311" s="36"/>
      <c r="AC1311" s="36"/>
    </row>
    <row r="1312" spans="17:29" x14ac:dyDescent="0.2">
      <c r="Q1312" s="36"/>
      <c r="R1312" s="40"/>
      <c r="S1312" s="40"/>
      <c r="T1312" s="40"/>
      <c r="U1312" s="41"/>
      <c r="V1312" s="41"/>
      <c r="W1312" s="36"/>
      <c r="X1312" s="36"/>
      <c r="Y1312" s="36"/>
      <c r="Z1312" s="36"/>
      <c r="AA1312" s="36"/>
      <c r="AB1312" s="36"/>
      <c r="AC1312" s="36"/>
    </row>
    <row r="1313" spans="17:29" x14ac:dyDescent="0.2">
      <c r="Q1313" s="36"/>
      <c r="R1313" s="40"/>
      <c r="S1313" s="40"/>
      <c r="T1313" s="40"/>
      <c r="U1313" s="41"/>
      <c r="V1313" s="41"/>
      <c r="W1313" s="36"/>
      <c r="X1313" s="36"/>
      <c r="Y1313" s="36"/>
      <c r="Z1313" s="36"/>
      <c r="AA1313" s="36"/>
      <c r="AB1313" s="36"/>
      <c r="AC1313" s="36"/>
    </row>
    <row r="1314" spans="17:29" x14ac:dyDescent="0.2">
      <c r="Q1314" s="36"/>
      <c r="R1314" s="40"/>
      <c r="S1314" s="40"/>
      <c r="T1314" s="40"/>
      <c r="U1314" s="41"/>
      <c r="V1314" s="41"/>
      <c r="W1314" s="36"/>
      <c r="X1314" s="36"/>
      <c r="Y1314" s="36"/>
      <c r="Z1314" s="36"/>
      <c r="AA1314" s="36"/>
      <c r="AB1314" s="36"/>
      <c r="AC1314" s="36"/>
    </row>
    <row r="1315" spans="17:29" x14ac:dyDescent="0.2">
      <c r="Q1315" s="36"/>
      <c r="R1315" s="40"/>
      <c r="S1315" s="40"/>
      <c r="T1315" s="40"/>
      <c r="U1315" s="41"/>
      <c r="V1315" s="41"/>
      <c r="W1315" s="36"/>
      <c r="X1315" s="36"/>
      <c r="Y1315" s="36"/>
      <c r="Z1315" s="36"/>
      <c r="AA1315" s="36"/>
      <c r="AB1315" s="36"/>
      <c r="AC1315" s="36"/>
    </row>
    <row r="1316" spans="17:29" x14ac:dyDescent="0.2">
      <c r="Q1316" s="36"/>
      <c r="R1316" s="40"/>
      <c r="S1316" s="40"/>
      <c r="T1316" s="40"/>
      <c r="U1316" s="41"/>
      <c r="V1316" s="41"/>
      <c r="W1316" s="36"/>
      <c r="X1316" s="36"/>
      <c r="Y1316" s="36"/>
      <c r="Z1316" s="36"/>
      <c r="AA1316" s="36"/>
      <c r="AB1316" s="36"/>
      <c r="AC1316" s="36"/>
    </row>
    <row r="1317" spans="17:29" x14ac:dyDescent="0.2">
      <c r="Q1317" s="36"/>
      <c r="R1317" s="40"/>
      <c r="S1317" s="40"/>
      <c r="T1317" s="40"/>
      <c r="U1317" s="41"/>
      <c r="V1317" s="41"/>
      <c r="W1317" s="36"/>
      <c r="X1317" s="36"/>
      <c r="Y1317" s="36"/>
      <c r="Z1317" s="36"/>
      <c r="AA1317" s="36"/>
      <c r="AB1317" s="36"/>
      <c r="AC1317" s="36"/>
    </row>
    <row r="1318" spans="17:29" x14ac:dyDescent="0.2">
      <c r="Q1318" s="36"/>
      <c r="R1318" s="40"/>
      <c r="S1318" s="40"/>
      <c r="T1318" s="40"/>
      <c r="U1318" s="41"/>
      <c r="V1318" s="41"/>
      <c r="W1318" s="36"/>
      <c r="X1318" s="36"/>
      <c r="Y1318" s="36"/>
      <c r="Z1318" s="36"/>
      <c r="AA1318" s="36"/>
      <c r="AB1318" s="36"/>
      <c r="AC1318" s="36"/>
    </row>
    <row r="1319" spans="17:29" x14ac:dyDescent="0.2">
      <c r="Q1319" s="36"/>
      <c r="R1319" s="40"/>
      <c r="S1319" s="40"/>
      <c r="T1319" s="40"/>
      <c r="U1319" s="41"/>
      <c r="V1319" s="41"/>
      <c r="W1319" s="36"/>
      <c r="X1319" s="36"/>
      <c r="Y1319" s="36"/>
      <c r="Z1319" s="36"/>
      <c r="AA1319" s="36"/>
      <c r="AB1319" s="36"/>
      <c r="AC1319" s="36"/>
    </row>
    <row r="1320" spans="17:29" x14ac:dyDescent="0.2">
      <c r="Q1320" s="36"/>
      <c r="R1320" s="40"/>
      <c r="S1320" s="40"/>
      <c r="T1320" s="40"/>
      <c r="U1320" s="41"/>
      <c r="V1320" s="41"/>
      <c r="W1320" s="36"/>
      <c r="X1320" s="36"/>
      <c r="Y1320" s="36"/>
      <c r="Z1320" s="36"/>
      <c r="AA1320" s="36"/>
      <c r="AB1320" s="36"/>
      <c r="AC1320" s="36"/>
    </row>
    <row r="1321" spans="17:29" x14ac:dyDescent="0.2">
      <c r="Q1321" s="36"/>
      <c r="R1321" s="40"/>
      <c r="S1321" s="40"/>
      <c r="T1321" s="40"/>
      <c r="U1321" s="41"/>
      <c r="V1321" s="41"/>
      <c r="W1321" s="36"/>
      <c r="X1321" s="36"/>
      <c r="Y1321" s="36"/>
      <c r="Z1321" s="36"/>
      <c r="AA1321" s="36"/>
      <c r="AB1321" s="36"/>
      <c r="AC1321" s="36"/>
    </row>
    <row r="1322" spans="17:29" x14ac:dyDescent="0.2">
      <c r="Q1322" s="36"/>
      <c r="R1322" s="40"/>
      <c r="S1322" s="40"/>
      <c r="T1322" s="40"/>
      <c r="U1322" s="41"/>
      <c r="V1322" s="41"/>
      <c r="W1322" s="36"/>
      <c r="X1322" s="36"/>
      <c r="Y1322" s="36"/>
      <c r="Z1322" s="36"/>
      <c r="AA1322" s="36"/>
      <c r="AB1322" s="36"/>
      <c r="AC1322" s="36"/>
    </row>
    <row r="1323" spans="17:29" x14ac:dyDescent="0.2">
      <c r="Q1323" s="36"/>
      <c r="R1323" s="40"/>
      <c r="S1323" s="40"/>
      <c r="T1323" s="40"/>
      <c r="U1323" s="41"/>
      <c r="V1323" s="41"/>
      <c r="W1323" s="36"/>
      <c r="X1323" s="36"/>
      <c r="Y1323" s="36"/>
      <c r="Z1323" s="36"/>
      <c r="AA1323" s="36"/>
      <c r="AB1323" s="36"/>
      <c r="AC1323" s="36"/>
    </row>
    <row r="1324" spans="17:29" x14ac:dyDescent="0.2">
      <c r="Q1324" s="36"/>
      <c r="R1324" s="40"/>
      <c r="S1324" s="40"/>
      <c r="T1324" s="40"/>
      <c r="U1324" s="41"/>
      <c r="V1324" s="41"/>
      <c r="W1324" s="36"/>
      <c r="X1324" s="36"/>
      <c r="Y1324" s="36"/>
      <c r="Z1324" s="36"/>
      <c r="AA1324" s="36"/>
      <c r="AB1324" s="36"/>
      <c r="AC1324" s="36"/>
    </row>
    <row r="1325" spans="17:29" x14ac:dyDescent="0.2">
      <c r="Q1325" s="36"/>
      <c r="R1325" s="40"/>
      <c r="S1325" s="40"/>
      <c r="T1325" s="40"/>
      <c r="U1325" s="41"/>
      <c r="V1325" s="41"/>
      <c r="W1325" s="36"/>
      <c r="X1325" s="36"/>
      <c r="Y1325" s="36"/>
      <c r="Z1325" s="36"/>
      <c r="AA1325" s="36"/>
      <c r="AB1325" s="36"/>
      <c r="AC1325" s="36"/>
    </row>
    <row r="1326" spans="17:29" x14ac:dyDescent="0.2">
      <c r="Q1326" s="36"/>
      <c r="R1326" s="40"/>
      <c r="S1326" s="40"/>
      <c r="T1326" s="40"/>
      <c r="U1326" s="41"/>
      <c r="V1326" s="41"/>
      <c r="W1326" s="36"/>
      <c r="X1326" s="36"/>
      <c r="Y1326" s="36"/>
      <c r="Z1326" s="36"/>
      <c r="AA1326" s="36"/>
      <c r="AB1326" s="36"/>
      <c r="AC1326" s="36"/>
    </row>
    <row r="1327" spans="17:29" x14ac:dyDescent="0.2">
      <c r="Q1327" s="36"/>
      <c r="R1327" s="40"/>
      <c r="S1327" s="40"/>
      <c r="T1327" s="40"/>
      <c r="U1327" s="41"/>
      <c r="V1327" s="41"/>
      <c r="W1327" s="36"/>
      <c r="X1327" s="36"/>
      <c r="Y1327" s="36"/>
      <c r="Z1327" s="36"/>
      <c r="AA1327" s="36"/>
      <c r="AB1327" s="36"/>
      <c r="AC1327" s="36"/>
    </row>
    <row r="1328" spans="17:29" x14ac:dyDescent="0.2">
      <c r="Q1328" s="36"/>
      <c r="R1328" s="40"/>
      <c r="S1328" s="40"/>
      <c r="T1328" s="40"/>
      <c r="U1328" s="41"/>
      <c r="V1328" s="41"/>
      <c r="W1328" s="36"/>
      <c r="X1328" s="36"/>
      <c r="Y1328" s="36"/>
      <c r="Z1328" s="36"/>
      <c r="AA1328" s="36"/>
      <c r="AB1328" s="36"/>
      <c r="AC1328" s="36"/>
    </row>
    <row r="1329" spans="17:29" x14ac:dyDescent="0.2">
      <c r="Q1329" s="36"/>
      <c r="R1329" s="40"/>
      <c r="S1329" s="40"/>
      <c r="T1329" s="40"/>
      <c r="U1329" s="41"/>
      <c r="V1329" s="41"/>
      <c r="W1329" s="36"/>
      <c r="X1329" s="36"/>
      <c r="Y1329" s="36"/>
      <c r="Z1329" s="36"/>
      <c r="AA1329" s="36"/>
      <c r="AB1329" s="36"/>
      <c r="AC1329" s="36"/>
    </row>
    <row r="1330" spans="17:29" x14ac:dyDescent="0.2">
      <c r="Q1330" s="36"/>
      <c r="R1330" s="40"/>
      <c r="S1330" s="40"/>
      <c r="T1330" s="40"/>
      <c r="U1330" s="41"/>
      <c r="V1330" s="41"/>
      <c r="W1330" s="36"/>
      <c r="X1330" s="36"/>
      <c r="Y1330" s="36"/>
      <c r="Z1330" s="36"/>
      <c r="AA1330" s="36"/>
      <c r="AB1330" s="36"/>
      <c r="AC1330" s="36"/>
    </row>
    <row r="1331" spans="17:29" x14ac:dyDescent="0.2">
      <c r="Q1331" s="36"/>
      <c r="R1331" s="40"/>
      <c r="S1331" s="40"/>
      <c r="T1331" s="40"/>
      <c r="U1331" s="41"/>
      <c r="V1331" s="41"/>
      <c r="W1331" s="36"/>
      <c r="X1331" s="36"/>
      <c r="Y1331" s="36"/>
      <c r="Z1331" s="36"/>
      <c r="AA1331" s="36"/>
      <c r="AB1331" s="36"/>
      <c r="AC1331" s="36"/>
    </row>
    <row r="1332" spans="17:29" x14ac:dyDescent="0.2">
      <c r="Q1332" s="36"/>
      <c r="R1332" s="40"/>
      <c r="S1332" s="40"/>
      <c r="T1332" s="40"/>
      <c r="U1332" s="41"/>
      <c r="V1332" s="41"/>
      <c r="W1332" s="36"/>
      <c r="X1332" s="36"/>
      <c r="Y1332" s="36"/>
      <c r="Z1332" s="36"/>
      <c r="AA1332" s="36"/>
      <c r="AB1332" s="36"/>
      <c r="AC1332" s="36"/>
    </row>
    <row r="1333" spans="17:29" x14ac:dyDescent="0.2">
      <c r="Q1333" s="36"/>
      <c r="R1333" s="40"/>
      <c r="S1333" s="40"/>
      <c r="T1333" s="40"/>
      <c r="U1333" s="41"/>
      <c r="V1333" s="41"/>
      <c r="W1333" s="36"/>
      <c r="X1333" s="36"/>
      <c r="Y1333" s="36"/>
      <c r="Z1333" s="36"/>
      <c r="AA1333" s="36"/>
      <c r="AB1333" s="36"/>
      <c r="AC1333" s="36"/>
    </row>
    <row r="1334" spans="17:29" x14ac:dyDescent="0.2">
      <c r="Q1334" s="36"/>
      <c r="R1334" s="40"/>
      <c r="S1334" s="40"/>
      <c r="T1334" s="40"/>
      <c r="U1334" s="41"/>
      <c r="V1334" s="41"/>
      <c r="W1334" s="36"/>
      <c r="X1334" s="36"/>
      <c r="Y1334" s="36"/>
      <c r="Z1334" s="36"/>
      <c r="AA1334" s="36"/>
      <c r="AB1334" s="36"/>
      <c r="AC1334" s="36"/>
    </row>
    <row r="1335" spans="17:29" x14ac:dyDescent="0.2">
      <c r="Q1335" s="36"/>
      <c r="R1335" s="40"/>
      <c r="S1335" s="40"/>
      <c r="T1335" s="40"/>
      <c r="U1335" s="41"/>
      <c r="V1335" s="41"/>
      <c r="W1335" s="36"/>
      <c r="X1335" s="36"/>
      <c r="Y1335" s="36"/>
      <c r="Z1335" s="36"/>
      <c r="AA1335" s="36"/>
      <c r="AB1335" s="36"/>
      <c r="AC1335" s="36"/>
    </row>
    <row r="1336" spans="17:29" x14ac:dyDescent="0.2">
      <c r="Q1336" s="36"/>
      <c r="R1336" s="40"/>
      <c r="S1336" s="40"/>
      <c r="T1336" s="40"/>
      <c r="U1336" s="41"/>
      <c r="V1336" s="41"/>
      <c r="W1336" s="36"/>
      <c r="X1336" s="36"/>
      <c r="Y1336" s="36"/>
      <c r="Z1336" s="36"/>
      <c r="AA1336" s="36"/>
      <c r="AB1336" s="36"/>
      <c r="AC1336" s="36"/>
    </row>
    <row r="1337" spans="17:29" x14ac:dyDescent="0.2">
      <c r="Q1337" s="36"/>
      <c r="R1337" s="40"/>
      <c r="S1337" s="40"/>
      <c r="T1337" s="40"/>
      <c r="U1337" s="41"/>
      <c r="V1337" s="41"/>
      <c r="W1337" s="36"/>
      <c r="X1337" s="36"/>
      <c r="Y1337" s="36"/>
      <c r="Z1337" s="36"/>
      <c r="AA1337" s="36"/>
      <c r="AB1337" s="36"/>
      <c r="AC1337" s="36"/>
    </row>
    <row r="1338" spans="17:29" x14ac:dyDescent="0.2">
      <c r="Q1338" s="36"/>
      <c r="R1338" s="40"/>
      <c r="S1338" s="40"/>
      <c r="T1338" s="40"/>
      <c r="U1338" s="41"/>
      <c r="V1338" s="41"/>
      <c r="W1338" s="36"/>
      <c r="X1338" s="36"/>
      <c r="Y1338" s="36"/>
      <c r="Z1338" s="36"/>
      <c r="AA1338" s="36"/>
      <c r="AB1338" s="36"/>
      <c r="AC1338" s="36"/>
    </row>
    <row r="1339" spans="17:29" x14ac:dyDescent="0.2">
      <c r="Q1339" s="36"/>
      <c r="R1339" s="40"/>
      <c r="S1339" s="40"/>
      <c r="T1339" s="40"/>
      <c r="U1339" s="41"/>
      <c r="V1339" s="41"/>
      <c r="W1339" s="36"/>
      <c r="X1339" s="36"/>
      <c r="Y1339" s="36"/>
      <c r="Z1339" s="36"/>
      <c r="AA1339" s="36"/>
      <c r="AB1339" s="36"/>
      <c r="AC1339" s="36"/>
    </row>
    <row r="1340" spans="17:29" x14ac:dyDescent="0.2">
      <c r="Q1340" s="36"/>
      <c r="R1340" s="40"/>
      <c r="S1340" s="40"/>
      <c r="T1340" s="40"/>
      <c r="U1340" s="41"/>
      <c r="V1340" s="41"/>
      <c r="W1340" s="36"/>
      <c r="X1340" s="36"/>
      <c r="Y1340" s="36"/>
      <c r="Z1340" s="36"/>
      <c r="AA1340" s="36"/>
      <c r="AB1340" s="36"/>
      <c r="AC1340" s="36"/>
    </row>
    <row r="1341" spans="17:29" x14ac:dyDescent="0.2">
      <c r="Q1341" s="36"/>
      <c r="R1341" s="40"/>
      <c r="S1341" s="40"/>
      <c r="T1341" s="40"/>
      <c r="U1341" s="41"/>
      <c r="V1341" s="41"/>
      <c r="W1341" s="36"/>
      <c r="X1341" s="36"/>
      <c r="Y1341" s="36"/>
      <c r="Z1341" s="36"/>
      <c r="AA1341" s="36"/>
      <c r="AB1341" s="36"/>
      <c r="AC1341" s="36"/>
    </row>
    <row r="1342" spans="17:29" x14ac:dyDescent="0.2">
      <c r="Q1342" s="36"/>
      <c r="R1342" s="40"/>
      <c r="S1342" s="40"/>
      <c r="T1342" s="40"/>
      <c r="U1342" s="41"/>
      <c r="V1342" s="41"/>
      <c r="W1342" s="36"/>
      <c r="X1342" s="36"/>
      <c r="Y1342" s="36"/>
      <c r="Z1342" s="36"/>
      <c r="AA1342" s="36"/>
      <c r="AB1342" s="36"/>
      <c r="AC1342" s="36"/>
    </row>
    <row r="1343" spans="17:29" x14ac:dyDescent="0.2">
      <c r="Q1343" s="36"/>
      <c r="R1343" s="40"/>
      <c r="S1343" s="40"/>
      <c r="T1343" s="40"/>
      <c r="U1343" s="41"/>
      <c r="V1343" s="41"/>
      <c r="W1343" s="36"/>
      <c r="X1343" s="36"/>
      <c r="Y1343" s="36"/>
      <c r="Z1343" s="36"/>
      <c r="AA1343" s="36"/>
      <c r="AB1343" s="36"/>
      <c r="AC1343" s="36"/>
    </row>
    <row r="1344" spans="17:29" x14ac:dyDescent="0.2">
      <c r="Q1344" s="36"/>
      <c r="R1344" s="40"/>
      <c r="S1344" s="40"/>
      <c r="T1344" s="40"/>
      <c r="U1344" s="41"/>
      <c r="V1344" s="41"/>
      <c r="W1344" s="36"/>
      <c r="X1344" s="36"/>
      <c r="Y1344" s="36"/>
      <c r="Z1344" s="36"/>
      <c r="AA1344" s="36"/>
      <c r="AB1344" s="36"/>
      <c r="AC1344" s="36"/>
    </row>
    <row r="1345" spans="17:29" x14ac:dyDescent="0.2">
      <c r="Q1345" s="36"/>
      <c r="R1345" s="40"/>
      <c r="S1345" s="40"/>
      <c r="T1345" s="40"/>
      <c r="U1345" s="41"/>
      <c r="V1345" s="41"/>
      <c r="W1345" s="36"/>
      <c r="X1345" s="36"/>
      <c r="Y1345" s="36"/>
      <c r="Z1345" s="36"/>
      <c r="AA1345" s="36"/>
      <c r="AB1345" s="36"/>
      <c r="AC1345" s="36"/>
    </row>
    <row r="1346" spans="17:29" x14ac:dyDescent="0.2">
      <c r="Q1346" s="36"/>
      <c r="R1346" s="40"/>
      <c r="S1346" s="40"/>
      <c r="T1346" s="40"/>
      <c r="U1346" s="41"/>
      <c r="V1346" s="41"/>
      <c r="W1346" s="36"/>
      <c r="X1346" s="36"/>
      <c r="Y1346" s="36"/>
      <c r="Z1346" s="36"/>
      <c r="AA1346" s="36"/>
      <c r="AB1346" s="36"/>
      <c r="AC1346" s="36"/>
    </row>
    <row r="1347" spans="17:29" x14ac:dyDescent="0.2">
      <c r="Q1347" s="36"/>
      <c r="R1347" s="40"/>
      <c r="S1347" s="40"/>
      <c r="T1347" s="40"/>
      <c r="U1347" s="41"/>
      <c r="V1347" s="41"/>
      <c r="W1347" s="36"/>
      <c r="X1347" s="36"/>
      <c r="Y1347" s="36"/>
      <c r="Z1347" s="36"/>
      <c r="AA1347" s="36"/>
      <c r="AB1347" s="36"/>
      <c r="AC1347" s="36"/>
    </row>
    <row r="1348" spans="17:29" x14ac:dyDescent="0.2">
      <c r="Q1348" s="36"/>
      <c r="R1348" s="40"/>
      <c r="S1348" s="40"/>
      <c r="T1348" s="40"/>
      <c r="U1348" s="41"/>
      <c r="V1348" s="41"/>
      <c r="W1348" s="36"/>
      <c r="X1348" s="36"/>
      <c r="Y1348" s="36"/>
      <c r="Z1348" s="36"/>
      <c r="AA1348" s="36"/>
      <c r="AB1348" s="36"/>
      <c r="AC1348" s="36"/>
    </row>
    <row r="1349" spans="17:29" x14ac:dyDescent="0.2">
      <c r="Q1349" s="36"/>
      <c r="R1349" s="40"/>
      <c r="S1349" s="40"/>
      <c r="T1349" s="40"/>
      <c r="U1349" s="41"/>
      <c r="V1349" s="41"/>
      <c r="W1349" s="36"/>
      <c r="X1349" s="36"/>
      <c r="Y1349" s="36"/>
      <c r="Z1349" s="36"/>
      <c r="AA1349" s="36"/>
      <c r="AB1349" s="36"/>
      <c r="AC1349" s="36"/>
    </row>
    <row r="1350" spans="17:29" x14ac:dyDescent="0.2">
      <c r="Q1350" s="36"/>
      <c r="R1350" s="40"/>
      <c r="S1350" s="40"/>
      <c r="T1350" s="40"/>
      <c r="U1350" s="41"/>
      <c r="V1350" s="41"/>
      <c r="W1350" s="36"/>
      <c r="X1350" s="36"/>
      <c r="Y1350" s="36"/>
      <c r="Z1350" s="36"/>
      <c r="AA1350" s="36"/>
      <c r="AB1350" s="36"/>
      <c r="AC1350" s="36"/>
    </row>
    <row r="1351" spans="17:29" x14ac:dyDescent="0.2">
      <c r="Q1351" s="36"/>
      <c r="R1351" s="40"/>
      <c r="S1351" s="40"/>
      <c r="T1351" s="40"/>
      <c r="U1351" s="41"/>
      <c r="V1351" s="41"/>
      <c r="W1351" s="36"/>
      <c r="X1351" s="36"/>
      <c r="Y1351" s="36"/>
      <c r="Z1351" s="36"/>
      <c r="AA1351" s="36"/>
      <c r="AB1351" s="36"/>
      <c r="AC1351" s="36"/>
    </row>
    <row r="1352" spans="17:29" x14ac:dyDescent="0.2">
      <c r="Q1352" s="36"/>
      <c r="R1352" s="40"/>
      <c r="S1352" s="40"/>
      <c r="T1352" s="40"/>
      <c r="U1352" s="41"/>
      <c r="V1352" s="41"/>
      <c r="W1352" s="36"/>
      <c r="X1352" s="36"/>
      <c r="Y1352" s="36"/>
      <c r="Z1352" s="36"/>
      <c r="AA1352" s="36"/>
      <c r="AB1352" s="36"/>
      <c r="AC1352" s="36"/>
    </row>
    <row r="1353" spans="17:29" x14ac:dyDescent="0.2">
      <c r="Q1353" s="36"/>
      <c r="R1353" s="40"/>
      <c r="S1353" s="40"/>
      <c r="T1353" s="40"/>
      <c r="U1353" s="41"/>
      <c r="V1353" s="41"/>
      <c r="W1353" s="36"/>
      <c r="X1353" s="36"/>
      <c r="Y1353" s="36"/>
      <c r="Z1353" s="36"/>
      <c r="AA1353" s="36"/>
      <c r="AB1353" s="36"/>
      <c r="AC1353" s="36"/>
    </row>
    <row r="1354" spans="17:29" x14ac:dyDescent="0.2">
      <c r="Q1354" s="36"/>
      <c r="R1354" s="40"/>
      <c r="S1354" s="40"/>
      <c r="T1354" s="40"/>
      <c r="U1354" s="41"/>
      <c r="V1354" s="41"/>
      <c r="W1354" s="36"/>
      <c r="X1354" s="36"/>
      <c r="Y1354" s="36"/>
      <c r="Z1354" s="36"/>
      <c r="AA1354" s="36"/>
      <c r="AB1354" s="36"/>
      <c r="AC1354" s="36"/>
    </row>
    <row r="1355" spans="17:29" x14ac:dyDescent="0.2">
      <c r="Q1355" s="36"/>
      <c r="R1355" s="40"/>
      <c r="S1355" s="40"/>
      <c r="T1355" s="40"/>
      <c r="U1355" s="41"/>
      <c r="V1355" s="41"/>
      <c r="W1355" s="36"/>
      <c r="X1355" s="36"/>
      <c r="Y1355" s="36"/>
      <c r="Z1355" s="36"/>
      <c r="AA1355" s="36"/>
      <c r="AB1355" s="36"/>
      <c r="AC1355" s="36"/>
    </row>
    <row r="1356" spans="17:29" x14ac:dyDescent="0.2">
      <c r="Q1356" s="36"/>
      <c r="R1356" s="40"/>
      <c r="S1356" s="40"/>
      <c r="T1356" s="40"/>
      <c r="U1356" s="41"/>
      <c r="V1356" s="41"/>
      <c r="W1356" s="36"/>
      <c r="X1356" s="36"/>
      <c r="Y1356" s="36"/>
      <c r="Z1356" s="36"/>
      <c r="AA1356" s="36"/>
      <c r="AB1356" s="36"/>
      <c r="AC1356" s="36"/>
    </row>
    <row r="1357" spans="17:29" x14ac:dyDescent="0.2">
      <c r="Q1357" s="36"/>
      <c r="R1357" s="40"/>
      <c r="S1357" s="40"/>
      <c r="T1357" s="40"/>
      <c r="U1357" s="41"/>
      <c r="V1357" s="41"/>
      <c r="W1357" s="36"/>
      <c r="X1357" s="36"/>
      <c r="Y1357" s="36"/>
      <c r="Z1357" s="36"/>
      <c r="AA1357" s="36"/>
      <c r="AB1357" s="36"/>
      <c r="AC1357" s="36"/>
    </row>
    <row r="1358" spans="17:29" x14ac:dyDescent="0.2">
      <c r="Q1358" s="36"/>
      <c r="R1358" s="40"/>
      <c r="S1358" s="40"/>
      <c r="T1358" s="40"/>
      <c r="U1358" s="41"/>
      <c r="V1358" s="41"/>
      <c r="W1358" s="36"/>
      <c r="X1358" s="36"/>
      <c r="Y1358" s="36"/>
      <c r="Z1358" s="36"/>
      <c r="AA1358" s="36"/>
      <c r="AB1358" s="36"/>
      <c r="AC1358" s="36"/>
    </row>
    <row r="1359" spans="17:29" x14ac:dyDescent="0.2">
      <c r="Q1359" s="36"/>
      <c r="R1359" s="40"/>
      <c r="S1359" s="40"/>
      <c r="T1359" s="40"/>
      <c r="U1359" s="41"/>
      <c r="V1359" s="41"/>
      <c r="W1359" s="36"/>
      <c r="X1359" s="36"/>
      <c r="Y1359" s="36"/>
      <c r="Z1359" s="36"/>
      <c r="AA1359" s="36"/>
      <c r="AB1359" s="36"/>
      <c r="AC1359" s="36"/>
    </row>
    <row r="1360" spans="17:29" x14ac:dyDescent="0.2">
      <c r="Q1360" s="36"/>
      <c r="R1360" s="40"/>
      <c r="S1360" s="40"/>
      <c r="T1360" s="40"/>
      <c r="U1360" s="41"/>
      <c r="V1360" s="41"/>
      <c r="W1360" s="36"/>
      <c r="X1360" s="36"/>
      <c r="Y1360" s="36"/>
      <c r="Z1360" s="36"/>
      <c r="AA1360" s="36"/>
      <c r="AB1360" s="36"/>
      <c r="AC1360" s="36"/>
    </row>
    <row r="1361" spans="17:29" x14ac:dyDescent="0.2">
      <c r="Q1361" s="36"/>
      <c r="R1361" s="40"/>
      <c r="S1361" s="40"/>
      <c r="T1361" s="40"/>
      <c r="U1361" s="41"/>
      <c r="V1361" s="41"/>
      <c r="W1361" s="36"/>
      <c r="X1361" s="36"/>
      <c r="Y1361" s="36"/>
      <c r="Z1361" s="36"/>
      <c r="AA1361" s="36"/>
      <c r="AB1361" s="36"/>
      <c r="AC1361" s="36"/>
    </row>
    <row r="1362" spans="17:29" x14ac:dyDescent="0.2">
      <c r="Q1362" s="36"/>
      <c r="R1362" s="40"/>
      <c r="S1362" s="40"/>
      <c r="T1362" s="40"/>
      <c r="U1362" s="41"/>
      <c r="V1362" s="41"/>
      <c r="W1362" s="36"/>
      <c r="X1362" s="36"/>
      <c r="Y1362" s="36"/>
      <c r="Z1362" s="36"/>
      <c r="AA1362" s="36"/>
      <c r="AB1362" s="36"/>
      <c r="AC1362" s="36"/>
    </row>
    <row r="1363" spans="17:29" x14ac:dyDescent="0.2">
      <c r="Q1363" s="36"/>
      <c r="R1363" s="40"/>
      <c r="S1363" s="40"/>
      <c r="T1363" s="40"/>
      <c r="U1363" s="41"/>
      <c r="V1363" s="41"/>
      <c r="W1363" s="36"/>
      <c r="X1363" s="36"/>
      <c r="Y1363" s="36"/>
      <c r="Z1363" s="36"/>
      <c r="AA1363" s="36"/>
      <c r="AB1363" s="36"/>
      <c r="AC1363" s="36"/>
    </row>
    <row r="1364" spans="17:29" x14ac:dyDescent="0.2">
      <c r="Q1364" s="36"/>
      <c r="R1364" s="40"/>
      <c r="S1364" s="40"/>
      <c r="T1364" s="40"/>
      <c r="U1364" s="41"/>
      <c r="V1364" s="41"/>
      <c r="W1364" s="36"/>
      <c r="X1364" s="36"/>
      <c r="Y1364" s="36"/>
      <c r="Z1364" s="36"/>
      <c r="AA1364" s="36"/>
      <c r="AB1364" s="36"/>
      <c r="AC1364" s="36"/>
    </row>
    <row r="1365" spans="17:29" x14ac:dyDescent="0.2">
      <c r="Q1365" s="36"/>
      <c r="R1365" s="40"/>
      <c r="S1365" s="40"/>
      <c r="T1365" s="40"/>
      <c r="U1365" s="41"/>
      <c r="V1365" s="41"/>
      <c r="W1365" s="36"/>
      <c r="X1365" s="36"/>
      <c r="Y1365" s="36"/>
      <c r="Z1365" s="36"/>
      <c r="AA1365" s="36"/>
      <c r="AB1365" s="36"/>
      <c r="AC1365" s="36"/>
    </row>
    <row r="1366" spans="17:29" x14ac:dyDescent="0.2">
      <c r="Q1366" s="36"/>
      <c r="R1366" s="40"/>
      <c r="S1366" s="40"/>
      <c r="T1366" s="40"/>
      <c r="U1366" s="41"/>
      <c r="V1366" s="41"/>
      <c r="W1366" s="36"/>
      <c r="X1366" s="36"/>
      <c r="Y1366" s="36"/>
      <c r="Z1366" s="36"/>
      <c r="AA1366" s="36"/>
      <c r="AB1366" s="36"/>
      <c r="AC1366" s="36"/>
    </row>
    <row r="1367" spans="17:29" x14ac:dyDescent="0.2">
      <c r="Q1367" s="36"/>
      <c r="R1367" s="40"/>
      <c r="S1367" s="40"/>
      <c r="T1367" s="40"/>
      <c r="U1367" s="41"/>
      <c r="V1367" s="41"/>
      <c r="W1367" s="36"/>
      <c r="X1367" s="36"/>
      <c r="Y1367" s="36"/>
      <c r="Z1367" s="36"/>
      <c r="AA1367" s="36"/>
      <c r="AB1367" s="36"/>
      <c r="AC1367" s="36"/>
    </row>
    <row r="1368" spans="17:29" x14ac:dyDescent="0.2">
      <c r="Q1368" s="36"/>
      <c r="R1368" s="40"/>
      <c r="S1368" s="40"/>
      <c r="T1368" s="40"/>
      <c r="U1368" s="41"/>
      <c r="V1368" s="41"/>
      <c r="W1368" s="36"/>
      <c r="X1368" s="36"/>
      <c r="Y1368" s="36"/>
      <c r="Z1368" s="36"/>
      <c r="AA1368" s="36"/>
      <c r="AB1368" s="36"/>
      <c r="AC1368" s="36"/>
    </row>
    <row r="1369" spans="17:29" x14ac:dyDescent="0.2">
      <c r="Q1369" s="36"/>
      <c r="R1369" s="40"/>
      <c r="S1369" s="40"/>
      <c r="T1369" s="40"/>
      <c r="U1369" s="41"/>
      <c r="V1369" s="41"/>
      <c r="W1369" s="36"/>
      <c r="X1369" s="36"/>
      <c r="Y1369" s="36"/>
      <c r="Z1369" s="36"/>
      <c r="AA1369" s="36"/>
      <c r="AB1369" s="36"/>
      <c r="AC1369" s="36"/>
    </row>
    <row r="1370" spans="17:29" x14ac:dyDescent="0.2">
      <c r="Q1370" s="36"/>
      <c r="R1370" s="40"/>
      <c r="S1370" s="40"/>
      <c r="T1370" s="40"/>
      <c r="U1370" s="41"/>
      <c r="V1370" s="41"/>
      <c r="W1370" s="36"/>
      <c r="X1370" s="36"/>
      <c r="Y1370" s="36"/>
      <c r="Z1370" s="36"/>
      <c r="AA1370" s="36"/>
      <c r="AB1370" s="36"/>
      <c r="AC1370" s="36"/>
    </row>
    <row r="1371" spans="17:29" x14ac:dyDescent="0.2">
      <c r="Q1371" s="36"/>
      <c r="R1371" s="40"/>
      <c r="S1371" s="40"/>
      <c r="T1371" s="40"/>
      <c r="U1371" s="41"/>
      <c r="V1371" s="41"/>
      <c r="W1371" s="36"/>
      <c r="X1371" s="36"/>
      <c r="Y1371" s="36"/>
      <c r="Z1371" s="36"/>
      <c r="AA1371" s="36"/>
      <c r="AB1371" s="36"/>
      <c r="AC1371" s="36"/>
    </row>
    <row r="1372" spans="17:29" x14ac:dyDescent="0.2">
      <c r="Q1372" s="36"/>
      <c r="R1372" s="40"/>
      <c r="S1372" s="40"/>
      <c r="T1372" s="40"/>
      <c r="U1372" s="41"/>
      <c r="V1372" s="41"/>
      <c r="W1372" s="36"/>
      <c r="X1372" s="36"/>
      <c r="Y1372" s="36"/>
      <c r="Z1372" s="36"/>
      <c r="AA1372" s="36"/>
      <c r="AB1372" s="36"/>
      <c r="AC1372" s="36"/>
    </row>
    <row r="1373" spans="17:29" x14ac:dyDescent="0.2">
      <c r="Q1373" s="36"/>
      <c r="R1373" s="40"/>
      <c r="S1373" s="40"/>
      <c r="T1373" s="40"/>
      <c r="U1373" s="41"/>
      <c r="V1373" s="41"/>
      <c r="W1373" s="36"/>
      <c r="X1373" s="36"/>
      <c r="Y1373" s="36"/>
      <c r="Z1373" s="36"/>
      <c r="AA1373" s="36"/>
      <c r="AB1373" s="36"/>
      <c r="AC1373" s="36"/>
    </row>
    <row r="1374" spans="17:29" x14ac:dyDescent="0.2">
      <c r="Q1374" s="36"/>
      <c r="R1374" s="40"/>
      <c r="S1374" s="40"/>
      <c r="T1374" s="40"/>
      <c r="U1374" s="41"/>
      <c r="V1374" s="41"/>
      <c r="W1374" s="36"/>
      <c r="X1374" s="36"/>
      <c r="Y1374" s="36"/>
      <c r="Z1374" s="36"/>
      <c r="AA1374" s="36"/>
      <c r="AB1374" s="36"/>
      <c r="AC1374" s="36"/>
    </row>
    <row r="1375" spans="17:29" x14ac:dyDescent="0.2">
      <c r="Q1375" s="36"/>
      <c r="R1375" s="36"/>
      <c r="S1375" s="36"/>
      <c r="T1375" s="36"/>
      <c r="U1375" s="36"/>
      <c r="V1375" s="36"/>
      <c r="W1375" s="36"/>
      <c r="X1375" s="36"/>
      <c r="Y1375" s="36"/>
      <c r="Z1375" s="36"/>
      <c r="AA1375" s="36"/>
      <c r="AB1375" s="36"/>
      <c r="AC1375" s="36"/>
    </row>
    <row r="1376" spans="17:29" x14ac:dyDescent="0.2">
      <c r="Q1376" s="36"/>
      <c r="R1376" s="36"/>
      <c r="S1376" s="36"/>
      <c r="T1376" s="36"/>
      <c r="U1376" s="36"/>
      <c r="V1376" s="36"/>
      <c r="W1376" s="36"/>
      <c r="X1376" s="36"/>
      <c r="Y1376" s="36"/>
      <c r="Z1376" s="36"/>
      <c r="AA1376" s="36"/>
      <c r="AB1376" s="36"/>
      <c r="AC1376" s="36"/>
    </row>
    <row r="1377" spans="17:29" x14ac:dyDescent="0.2">
      <c r="Q1377" s="36"/>
      <c r="R1377" s="36"/>
      <c r="S1377" s="36"/>
      <c r="T1377" s="36"/>
      <c r="U1377" s="36"/>
      <c r="V1377" s="36"/>
      <c r="W1377" s="36"/>
      <c r="X1377" s="36"/>
      <c r="Y1377" s="36"/>
      <c r="Z1377" s="36"/>
      <c r="AA1377" s="36"/>
      <c r="AB1377" s="36"/>
      <c r="AC1377" s="36"/>
    </row>
    <row r="1378" spans="17:29" x14ac:dyDescent="0.2">
      <c r="Q1378" s="36"/>
      <c r="R1378" s="36"/>
      <c r="S1378" s="36"/>
      <c r="T1378" s="36"/>
      <c r="U1378" s="36"/>
      <c r="V1378" s="36"/>
      <c r="W1378" s="36"/>
      <c r="X1378" s="36"/>
      <c r="Y1378" s="36"/>
      <c r="Z1378" s="36"/>
      <c r="AA1378" s="36"/>
      <c r="AB1378" s="36"/>
      <c r="AC1378" s="36"/>
    </row>
    <row r="1379" spans="17:29" x14ac:dyDescent="0.2">
      <c r="Q1379" s="36"/>
      <c r="R1379" s="36"/>
      <c r="S1379" s="36"/>
      <c r="T1379" s="36"/>
      <c r="U1379" s="36"/>
      <c r="V1379" s="36"/>
      <c r="W1379" s="36"/>
      <c r="X1379" s="36"/>
      <c r="Y1379" s="36"/>
      <c r="Z1379" s="36"/>
      <c r="AA1379" s="36"/>
      <c r="AB1379" s="36"/>
      <c r="AC1379" s="36"/>
    </row>
    <row r="1380" spans="17:29" x14ac:dyDescent="0.2">
      <c r="Q1380" s="36"/>
      <c r="R1380" s="36"/>
      <c r="S1380" s="36"/>
      <c r="T1380" s="36"/>
      <c r="U1380" s="36"/>
      <c r="V1380" s="36"/>
      <c r="W1380" s="36"/>
      <c r="X1380" s="36"/>
      <c r="Y1380" s="36"/>
      <c r="Z1380" s="36"/>
      <c r="AA1380" s="36"/>
      <c r="AB1380" s="36"/>
      <c r="AC1380" s="36"/>
    </row>
    <row r="1381" spans="17:29" x14ac:dyDescent="0.2">
      <c r="Q1381" s="36"/>
      <c r="R1381" s="36"/>
      <c r="S1381" s="36"/>
      <c r="T1381" s="36"/>
      <c r="U1381" s="36"/>
      <c r="V1381" s="36"/>
      <c r="W1381" s="36"/>
      <c r="X1381" s="36"/>
      <c r="Y1381" s="36"/>
      <c r="Z1381" s="36"/>
      <c r="AA1381" s="36"/>
      <c r="AB1381" s="36"/>
      <c r="AC1381" s="36"/>
    </row>
    <row r="1382" spans="17:29" x14ac:dyDescent="0.2">
      <c r="Q1382" s="36"/>
      <c r="R1382" s="36"/>
      <c r="S1382" s="36"/>
      <c r="T1382" s="36"/>
      <c r="U1382" s="36"/>
      <c r="V1382" s="36"/>
      <c r="W1382" s="36"/>
      <c r="X1382" s="36"/>
      <c r="Y1382" s="36"/>
      <c r="Z1382" s="36"/>
      <c r="AA1382" s="36"/>
      <c r="AB1382" s="36"/>
      <c r="AC1382" s="36"/>
    </row>
    <row r="1383" spans="17:29" x14ac:dyDescent="0.2">
      <c r="Q1383" s="36"/>
      <c r="R1383" s="36"/>
      <c r="S1383" s="36"/>
      <c r="T1383" s="36"/>
      <c r="U1383" s="36"/>
      <c r="V1383" s="36"/>
      <c r="W1383" s="36"/>
      <c r="X1383" s="36"/>
      <c r="Y1383" s="36"/>
      <c r="Z1383" s="36"/>
      <c r="AA1383" s="36"/>
      <c r="AB1383" s="36"/>
      <c r="AC1383" s="36"/>
    </row>
    <row r="1384" spans="17:29" x14ac:dyDescent="0.2">
      <c r="Q1384" s="36"/>
      <c r="R1384" s="36"/>
      <c r="S1384" s="36"/>
      <c r="T1384" s="36"/>
      <c r="U1384" s="36"/>
      <c r="V1384" s="36"/>
      <c r="W1384" s="36"/>
      <c r="X1384" s="36"/>
      <c r="Y1384" s="36"/>
      <c r="Z1384" s="36"/>
      <c r="AA1384" s="36"/>
      <c r="AB1384" s="36"/>
      <c r="AC1384" s="36"/>
    </row>
    <row r="1385" spans="17:29" x14ac:dyDescent="0.2">
      <c r="Q1385" s="36"/>
      <c r="R1385" s="36"/>
      <c r="S1385" s="36"/>
      <c r="T1385" s="36"/>
      <c r="U1385" s="36"/>
      <c r="V1385" s="36"/>
      <c r="W1385" s="36"/>
      <c r="X1385" s="36"/>
      <c r="Y1385" s="36"/>
      <c r="Z1385" s="36"/>
      <c r="AA1385" s="36"/>
      <c r="AB1385" s="36"/>
      <c r="AC1385" s="36"/>
    </row>
    <row r="1386" spans="17:29" x14ac:dyDescent="0.2">
      <c r="Q1386" s="36"/>
      <c r="R1386" s="36"/>
      <c r="S1386" s="36"/>
      <c r="T1386" s="36"/>
      <c r="U1386" s="36"/>
      <c r="V1386" s="36"/>
      <c r="W1386" s="36"/>
      <c r="X1386" s="36"/>
      <c r="Y1386" s="36"/>
      <c r="Z1386" s="36"/>
      <c r="AA1386" s="36"/>
      <c r="AB1386" s="36"/>
      <c r="AC1386" s="36"/>
    </row>
    <row r="1387" spans="17:29" x14ac:dyDescent="0.2">
      <c r="Q1387" s="36"/>
      <c r="R1387" s="36"/>
      <c r="S1387" s="36"/>
      <c r="T1387" s="36"/>
      <c r="U1387" s="36"/>
      <c r="V1387" s="36"/>
      <c r="W1387" s="36"/>
      <c r="X1387" s="36"/>
      <c r="Y1387" s="36"/>
      <c r="Z1387" s="36"/>
      <c r="AA1387" s="36"/>
      <c r="AB1387" s="36"/>
      <c r="AC1387" s="36"/>
    </row>
    <row r="1388" spans="17:29" x14ac:dyDescent="0.2">
      <c r="Q1388" s="36"/>
      <c r="R1388" s="36"/>
      <c r="S1388" s="36"/>
      <c r="T1388" s="36"/>
      <c r="U1388" s="36"/>
      <c r="V1388" s="36"/>
      <c r="W1388" s="36"/>
      <c r="X1388" s="36"/>
      <c r="Y1388" s="36"/>
      <c r="Z1388" s="36"/>
      <c r="AA1388" s="36"/>
      <c r="AB1388" s="36"/>
      <c r="AC1388" s="36"/>
    </row>
    <row r="1389" spans="17:29" x14ac:dyDescent="0.2">
      <c r="Q1389" s="36"/>
      <c r="R1389" s="36"/>
      <c r="S1389" s="36"/>
      <c r="T1389" s="36"/>
      <c r="U1389" s="36"/>
      <c r="V1389" s="36"/>
      <c r="W1389" s="36"/>
      <c r="X1389" s="36"/>
      <c r="Y1389" s="36"/>
      <c r="Z1389" s="36"/>
      <c r="AA1389" s="36"/>
      <c r="AB1389" s="36"/>
      <c r="AC1389" s="36"/>
    </row>
    <row r="1390" spans="17:29" x14ac:dyDescent="0.2">
      <c r="Q1390" s="36"/>
      <c r="R1390" s="36"/>
      <c r="S1390" s="36"/>
      <c r="T1390" s="36"/>
      <c r="U1390" s="36"/>
      <c r="V1390" s="36"/>
      <c r="W1390" s="36"/>
      <c r="X1390" s="36"/>
      <c r="Y1390" s="36"/>
      <c r="Z1390" s="36"/>
      <c r="AA1390" s="36"/>
      <c r="AB1390" s="36"/>
      <c r="AC1390" s="36"/>
    </row>
    <row r="1391" spans="17:29" x14ac:dyDescent="0.2">
      <c r="Q1391" s="36"/>
      <c r="R1391" s="36"/>
      <c r="S1391" s="36"/>
      <c r="T1391" s="36"/>
      <c r="U1391" s="36"/>
      <c r="V1391" s="36"/>
      <c r="W1391" s="36"/>
      <c r="X1391" s="36"/>
      <c r="Y1391" s="36"/>
      <c r="Z1391" s="36"/>
      <c r="AA1391" s="36"/>
      <c r="AB1391" s="36"/>
      <c r="AC1391" s="36"/>
    </row>
    <row r="1392" spans="17:29" x14ac:dyDescent="0.2">
      <c r="Q1392" s="36"/>
      <c r="R1392" s="36"/>
      <c r="S1392" s="36"/>
      <c r="T1392" s="36"/>
      <c r="U1392" s="36"/>
      <c r="V1392" s="36"/>
      <c r="W1392" s="36"/>
      <c r="X1392" s="36"/>
      <c r="Y1392" s="36"/>
      <c r="Z1392" s="36"/>
      <c r="AA1392" s="36"/>
      <c r="AB1392" s="36"/>
      <c r="AC1392" s="36"/>
    </row>
    <row r="1393" spans="17:29" x14ac:dyDescent="0.2">
      <c r="Q1393" s="36"/>
      <c r="R1393" s="36"/>
      <c r="S1393" s="36"/>
      <c r="T1393" s="36"/>
      <c r="U1393" s="36"/>
      <c r="V1393" s="36"/>
      <c r="W1393" s="36"/>
      <c r="X1393" s="36"/>
      <c r="Y1393" s="36"/>
      <c r="Z1393" s="36"/>
      <c r="AA1393" s="36"/>
      <c r="AB1393" s="36"/>
      <c r="AC1393" s="36"/>
    </row>
    <row r="1394" spans="17:29" x14ac:dyDescent="0.2">
      <c r="Q1394" s="36"/>
      <c r="R1394" s="36"/>
      <c r="S1394" s="36"/>
      <c r="T1394" s="36"/>
      <c r="U1394" s="36"/>
      <c r="V1394" s="36"/>
      <c r="W1394" s="36"/>
      <c r="X1394" s="36"/>
      <c r="Y1394" s="36"/>
      <c r="Z1394" s="36"/>
      <c r="AA1394" s="36"/>
      <c r="AB1394" s="36"/>
      <c r="AC1394" s="36"/>
    </row>
    <row r="1395" spans="17:29" x14ac:dyDescent="0.2">
      <c r="Q1395" s="36"/>
      <c r="R1395" s="36"/>
      <c r="S1395" s="36"/>
      <c r="T1395" s="36"/>
      <c r="U1395" s="36"/>
      <c r="V1395" s="36"/>
      <c r="W1395" s="36"/>
      <c r="X1395" s="36"/>
      <c r="Y1395" s="36"/>
      <c r="Z1395" s="36"/>
      <c r="AA1395" s="36"/>
      <c r="AB1395" s="36"/>
      <c r="AC1395" s="36"/>
    </row>
    <row r="1396" spans="17:29" x14ac:dyDescent="0.2">
      <c r="Q1396" s="36"/>
      <c r="R1396" s="36"/>
      <c r="S1396" s="36"/>
      <c r="T1396" s="36"/>
      <c r="U1396" s="36"/>
      <c r="V1396" s="36"/>
      <c r="W1396" s="36"/>
      <c r="X1396" s="36"/>
      <c r="Y1396" s="36"/>
      <c r="Z1396" s="36"/>
      <c r="AA1396" s="36"/>
      <c r="AB1396" s="36"/>
      <c r="AC1396" s="36"/>
    </row>
    <row r="1397" spans="17:29" x14ac:dyDescent="0.2">
      <c r="Q1397" s="36"/>
      <c r="R1397" s="36"/>
      <c r="S1397" s="36"/>
      <c r="T1397" s="36"/>
      <c r="U1397" s="36"/>
      <c r="V1397" s="36"/>
      <c r="W1397" s="36"/>
      <c r="X1397" s="36"/>
      <c r="Y1397" s="36"/>
      <c r="Z1397" s="36"/>
      <c r="AA1397" s="36"/>
      <c r="AB1397" s="36"/>
      <c r="AC1397" s="36"/>
    </row>
    <row r="1398" spans="17:29" x14ac:dyDescent="0.2">
      <c r="Q1398" s="36"/>
      <c r="R1398" s="36"/>
      <c r="S1398" s="36"/>
      <c r="T1398" s="36"/>
      <c r="U1398" s="36"/>
      <c r="V1398" s="36"/>
      <c r="W1398" s="36"/>
      <c r="X1398" s="36"/>
      <c r="Y1398" s="36"/>
      <c r="Z1398" s="36"/>
      <c r="AA1398" s="36"/>
      <c r="AB1398" s="36"/>
      <c r="AC1398" s="36"/>
    </row>
    <row r="1399" spans="17:29" x14ac:dyDescent="0.2">
      <c r="Q1399" s="36"/>
      <c r="R1399" s="36"/>
      <c r="S1399" s="36"/>
      <c r="T1399" s="36"/>
      <c r="U1399" s="36"/>
      <c r="V1399" s="36"/>
      <c r="W1399" s="36"/>
      <c r="X1399" s="36"/>
      <c r="Y1399" s="36"/>
      <c r="Z1399" s="36"/>
      <c r="AA1399" s="36"/>
      <c r="AB1399" s="36"/>
      <c r="AC1399" s="36"/>
    </row>
    <row r="1400" spans="17:29" x14ac:dyDescent="0.2">
      <c r="Q1400" s="36"/>
      <c r="R1400" s="36"/>
      <c r="S1400" s="36"/>
      <c r="T1400" s="36"/>
      <c r="U1400" s="36"/>
      <c r="V1400" s="36"/>
      <c r="W1400" s="36"/>
      <c r="X1400" s="36"/>
      <c r="Y1400" s="36"/>
      <c r="Z1400" s="36"/>
      <c r="AA1400" s="36"/>
      <c r="AB1400" s="36"/>
      <c r="AC1400" s="36"/>
    </row>
    <row r="1401" spans="17:29" x14ac:dyDescent="0.2">
      <c r="Q1401" s="36"/>
      <c r="R1401" s="36"/>
      <c r="S1401" s="36"/>
      <c r="T1401" s="36"/>
      <c r="U1401" s="36"/>
      <c r="V1401" s="36"/>
      <c r="W1401" s="36"/>
      <c r="X1401" s="36"/>
      <c r="Y1401" s="36"/>
      <c r="Z1401" s="36"/>
      <c r="AA1401" s="36"/>
      <c r="AB1401" s="36"/>
      <c r="AC1401" s="36"/>
    </row>
    <row r="1402" spans="17:29" x14ac:dyDescent="0.2">
      <c r="Q1402" s="36"/>
      <c r="R1402" s="36"/>
      <c r="S1402" s="36"/>
      <c r="T1402" s="36"/>
      <c r="U1402" s="36"/>
      <c r="V1402" s="36"/>
      <c r="W1402" s="36"/>
      <c r="X1402" s="36"/>
      <c r="Y1402" s="36"/>
      <c r="Z1402" s="36"/>
      <c r="AA1402" s="36"/>
      <c r="AB1402" s="36"/>
      <c r="AC1402" s="36"/>
    </row>
    <row r="1403" spans="17:29" x14ac:dyDescent="0.2">
      <c r="Q1403" s="36"/>
      <c r="R1403" s="36"/>
      <c r="S1403" s="36"/>
      <c r="T1403" s="36"/>
      <c r="U1403" s="36"/>
      <c r="V1403" s="36"/>
      <c r="W1403" s="36"/>
      <c r="X1403" s="36"/>
      <c r="Y1403" s="36"/>
      <c r="Z1403" s="36"/>
      <c r="AA1403" s="36"/>
      <c r="AB1403" s="36"/>
      <c r="AC1403" s="36"/>
    </row>
    <row r="1404" spans="17:29" x14ac:dyDescent="0.2">
      <c r="Q1404" s="36"/>
      <c r="R1404" s="36"/>
      <c r="S1404" s="36"/>
      <c r="T1404" s="36"/>
      <c r="U1404" s="36"/>
      <c r="V1404" s="36"/>
      <c r="W1404" s="36"/>
      <c r="X1404" s="36"/>
      <c r="Y1404" s="36"/>
      <c r="Z1404" s="36"/>
      <c r="AA1404" s="36"/>
      <c r="AB1404" s="36"/>
      <c r="AC1404" s="36"/>
    </row>
    <row r="1405" spans="17:29" x14ac:dyDescent="0.2">
      <c r="Q1405" s="36"/>
      <c r="R1405" s="36"/>
      <c r="S1405" s="36"/>
      <c r="T1405" s="36"/>
      <c r="U1405" s="36"/>
      <c r="V1405" s="36"/>
      <c r="W1405" s="36"/>
      <c r="X1405" s="36"/>
      <c r="Y1405" s="36"/>
      <c r="Z1405" s="36"/>
      <c r="AA1405" s="36"/>
      <c r="AB1405" s="36"/>
      <c r="AC1405" s="36"/>
    </row>
    <row r="1406" spans="17:29" x14ac:dyDescent="0.2">
      <c r="Q1406" s="36"/>
      <c r="R1406" s="36"/>
      <c r="S1406" s="36"/>
      <c r="T1406" s="36"/>
      <c r="U1406" s="36"/>
      <c r="V1406" s="36"/>
      <c r="W1406" s="36"/>
      <c r="X1406" s="36"/>
      <c r="Y1406" s="36"/>
      <c r="Z1406" s="36"/>
      <c r="AA1406" s="36"/>
      <c r="AB1406" s="36"/>
      <c r="AC1406" s="36"/>
    </row>
    <row r="1407" spans="17:29" x14ac:dyDescent="0.2">
      <c r="Q1407" s="36"/>
      <c r="R1407" s="36"/>
      <c r="S1407" s="36"/>
      <c r="T1407" s="36"/>
      <c r="U1407" s="36"/>
      <c r="V1407" s="36"/>
      <c r="W1407" s="36"/>
      <c r="X1407" s="36"/>
      <c r="Y1407" s="36"/>
      <c r="Z1407" s="36"/>
      <c r="AA1407" s="36"/>
      <c r="AB1407" s="36"/>
      <c r="AC1407" s="36"/>
    </row>
    <row r="1408" spans="17:29" x14ac:dyDescent="0.2">
      <c r="Q1408" s="36"/>
      <c r="R1408" s="36"/>
      <c r="S1408" s="36"/>
      <c r="T1408" s="36"/>
      <c r="U1408" s="36"/>
      <c r="V1408" s="36"/>
      <c r="W1408" s="36"/>
      <c r="X1408" s="36"/>
      <c r="Y1408" s="36"/>
      <c r="Z1408" s="36"/>
      <c r="AA1408" s="36"/>
      <c r="AB1408" s="36"/>
      <c r="AC1408" s="36"/>
    </row>
    <row r="1409" spans="17:29" x14ac:dyDescent="0.2">
      <c r="Q1409" s="36"/>
      <c r="R1409" s="36"/>
      <c r="S1409" s="36"/>
      <c r="T1409" s="36"/>
      <c r="U1409" s="36"/>
      <c r="V1409" s="36"/>
      <c r="W1409" s="36"/>
      <c r="X1409" s="36"/>
      <c r="Y1409" s="36"/>
      <c r="Z1409" s="36"/>
      <c r="AA1409" s="36"/>
      <c r="AB1409" s="36"/>
      <c r="AC1409" s="36"/>
    </row>
    <row r="1410" spans="17:29" x14ac:dyDescent="0.2">
      <c r="Q1410" s="36"/>
      <c r="R1410" s="36"/>
      <c r="S1410" s="36"/>
      <c r="T1410" s="36"/>
      <c r="U1410" s="36"/>
      <c r="V1410" s="36"/>
      <c r="W1410" s="36"/>
      <c r="X1410" s="36"/>
      <c r="Y1410" s="36"/>
      <c r="Z1410" s="36"/>
      <c r="AA1410" s="36"/>
      <c r="AB1410" s="36"/>
      <c r="AC1410" s="36"/>
    </row>
    <row r="1411" spans="17:29" x14ac:dyDescent="0.2">
      <c r="Q1411" s="36"/>
      <c r="R1411" s="36"/>
      <c r="S1411" s="36"/>
      <c r="T1411" s="36"/>
      <c r="U1411" s="36"/>
      <c r="V1411" s="36"/>
      <c r="W1411" s="36"/>
      <c r="X1411" s="36"/>
      <c r="Y1411" s="36"/>
      <c r="Z1411" s="36"/>
      <c r="AA1411" s="36"/>
      <c r="AB1411" s="36"/>
      <c r="AC1411" s="36"/>
    </row>
    <row r="1412" spans="17:29" x14ac:dyDescent="0.2">
      <c r="Q1412" s="36"/>
      <c r="R1412" s="36"/>
      <c r="S1412" s="36"/>
      <c r="T1412" s="36"/>
      <c r="U1412" s="36"/>
      <c r="V1412" s="36"/>
      <c r="W1412" s="36"/>
      <c r="X1412" s="36"/>
      <c r="Y1412" s="36"/>
      <c r="Z1412" s="36"/>
      <c r="AA1412" s="36"/>
      <c r="AB1412" s="36"/>
      <c r="AC1412" s="36"/>
    </row>
    <row r="1413" spans="17:29" x14ac:dyDescent="0.2">
      <c r="Q1413" s="36"/>
      <c r="R1413" s="36"/>
      <c r="S1413" s="36"/>
      <c r="T1413" s="36"/>
      <c r="U1413" s="36"/>
      <c r="V1413" s="36"/>
      <c r="W1413" s="36"/>
      <c r="X1413" s="36"/>
      <c r="Y1413" s="36"/>
      <c r="Z1413" s="36"/>
      <c r="AA1413" s="36"/>
      <c r="AB1413" s="36"/>
      <c r="AC1413" s="36"/>
    </row>
    <row r="1414" spans="17:29" x14ac:dyDescent="0.2">
      <c r="Q1414" s="36"/>
      <c r="R1414" s="36"/>
      <c r="S1414" s="36"/>
      <c r="T1414" s="36"/>
      <c r="U1414" s="36"/>
      <c r="V1414" s="36"/>
      <c r="W1414" s="36"/>
      <c r="X1414" s="36"/>
      <c r="Y1414" s="36"/>
      <c r="Z1414" s="36"/>
      <c r="AA1414" s="36"/>
      <c r="AB1414" s="36"/>
      <c r="AC1414" s="36"/>
    </row>
    <row r="1415" spans="17:29" x14ac:dyDescent="0.2">
      <c r="Q1415" s="36"/>
      <c r="R1415" s="36"/>
      <c r="S1415" s="36"/>
      <c r="T1415" s="36"/>
      <c r="U1415" s="36"/>
      <c r="V1415" s="36"/>
      <c r="W1415" s="36"/>
      <c r="X1415" s="36"/>
      <c r="Y1415" s="36"/>
      <c r="Z1415" s="36"/>
      <c r="AA1415" s="36"/>
      <c r="AB1415" s="36"/>
      <c r="AC1415" s="36"/>
    </row>
    <row r="1416" spans="17:29" x14ac:dyDescent="0.2">
      <c r="Q1416" s="36"/>
      <c r="R1416" s="36"/>
      <c r="S1416" s="36"/>
      <c r="T1416" s="36"/>
      <c r="U1416" s="36"/>
      <c r="V1416" s="36"/>
      <c r="W1416" s="36"/>
      <c r="X1416" s="36"/>
      <c r="Y1416" s="36"/>
      <c r="Z1416" s="36"/>
      <c r="AA1416" s="36"/>
      <c r="AB1416" s="36"/>
      <c r="AC1416" s="36"/>
    </row>
    <row r="1417" spans="17:29" x14ac:dyDescent="0.2">
      <c r="Q1417" s="36"/>
      <c r="R1417" s="36"/>
      <c r="S1417" s="36"/>
      <c r="T1417" s="36"/>
      <c r="U1417" s="36"/>
      <c r="V1417" s="36"/>
      <c r="W1417" s="36"/>
      <c r="X1417" s="36"/>
      <c r="Y1417" s="36"/>
      <c r="Z1417" s="36"/>
      <c r="AA1417" s="36"/>
      <c r="AB1417" s="36"/>
      <c r="AC1417" s="36"/>
    </row>
    <row r="1418" spans="17:29" x14ac:dyDescent="0.2">
      <c r="Q1418" s="36"/>
      <c r="R1418" s="36"/>
      <c r="S1418" s="36"/>
      <c r="T1418" s="36"/>
      <c r="U1418" s="36"/>
      <c r="V1418" s="36"/>
      <c r="W1418" s="36"/>
      <c r="X1418" s="36"/>
      <c r="Y1418" s="36"/>
      <c r="Z1418" s="36"/>
      <c r="AA1418" s="36"/>
      <c r="AB1418" s="36"/>
      <c r="AC1418" s="36"/>
    </row>
    <row r="1419" spans="17:29" x14ac:dyDescent="0.2">
      <c r="Q1419" s="36"/>
      <c r="R1419" s="36"/>
      <c r="S1419" s="36"/>
      <c r="T1419" s="36"/>
      <c r="U1419" s="36"/>
      <c r="V1419" s="36"/>
      <c r="W1419" s="36"/>
      <c r="X1419" s="36"/>
      <c r="Y1419" s="36"/>
      <c r="Z1419" s="36"/>
      <c r="AA1419" s="36"/>
      <c r="AB1419" s="36"/>
      <c r="AC1419" s="36"/>
    </row>
    <row r="1420" spans="17:29" x14ac:dyDescent="0.2">
      <c r="Q1420" s="36"/>
      <c r="R1420" s="36"/>
      <c r="S1420" s="36"/>
      <c r="T1420" s="36"/>
      <c r="U1420" s="36"/>
      <c r="V1420" s="36"/>
      <c r="W1420" s="36"/>
      <c r="X1420" s="36"/>
      <c r="Y1420" s="36"/>
      <c r="Z1420" s="36"/>
      <c r="AA1420" s="36"/>
      <c r="AB1420" s="36"/>
      <c r="AC1420" s="36"/>
    </row>
    <row r="1421" spans="17:29" x14ac:dyDescent="0.2">
      <c r="Q1421" s="36"/>
      <c r="R1421" s="36"/>
      <c r="S1421" s="36"/>
      <c r="T1421" s="36"/>
      <c r="U1421" s="36"/>
      <c r="V1421" s="36"/>
      <c r="W1421" s="36"/>
      <c r="X1421" s="36"/>
      <c r="Y1421" s="36"/>
      <c r="Z1421" s="36"/>
      <c r="AA1421" s="36"/>
      <c r="AB1421" s="36"/>
      <c r="AC1421" s="36"/>
    </row>
    <row r="1422" spans="17:29" x14ac:dyDescent="0.2">
      <c r="Q1422" s="36"/>
      <c r="R1422" s="36"/>
      <c r="S1422" s="36"/>
      <c r="T1422" s="36"/>
      <c r="U1422" s="36"/>
      <c r="V1422" s="36"/>
      <c r="W1422" s="36"/>
      <c r="X1422" s="36"/>
      <c r="Y1422" s="36"/>
      <c r="Z1422" s="36"/>
      <c r="AA1422" s="36"/>
      <c r="AB1422" s="36"/>
      <c r="AC1422" s="36"/>
    </row>
    <row r="1423" spans="17:29" x14ac:dyDescent="0.2">
      <c r="Q1423" s="36"/>
      <c r="R1423" s="36"/>
      <c r="S1423" s="36"/>
      <c r="T1423" s="36"/>
      <c r="U1423" s="36"/>
      <c r="V1423" s="36"/>
      <c r="W1423" s="36"/>
      <c r="X1423" s="36"/>
      <c r="Y1423" s="36"/>
      <c r="Z1423" s="36"/>
      <c r="AA1423" s="36"/>
      <c r="AB1423" s="36"/>
      <c r="AC1423" s="36"/>
    </row>
    <row r="1424" spans="17:29" x14ac:dyDescent="0.2">
      <c r="Q1424" s="36"/>
      <c r="R1424" s="36"/>
      <c r="S1424" s="36"/>
      <c r="T1424" s="36"/>
      <c r="U1424" s="36"/>
      <c r="V1424" s="36"/>
      <c r="W1424" s="36"/>
      <c r="X1424" s="36"/>
      <c r="Y1424" s="36"/>
      <c r="Z1424" s="36"/>
      <c r="AA1424" s="36"/>
      <c r="AB1424" s="36"/>
      <c r="AC1424" s="36"/>
    </row>
    <row r="1425" spans="17:29" x14ac:dyDescent="0.2">
      <c r="Q1425" s="36"/>
      <c r="R1425" s="36"/>
      <c r="S1425" s="36"/>
      <c r="T1425" s="36"/>
      <c r="U1425" s="36"/>
      <c r="V1425" s="36"/>
      <c r="W1425" s="36"/>
      <c r="X1425" s="36"/>
      <c r="Y1425" s="36"/>
      <c r="Z1425" s="36"/>
      <c r="AA1425" s="36"/>
      <c r="AB1425" s="36"/>
      <c r="AC1425" s="36"/>
    </row>
    <row r="1426" spans="17:29" x14ac:dyDescent="0.2">
      <c r="Q1426" s="36"/>
      <c r="R1426" s="36"/>
      <c r="S1426" s="36"/>
      <c r="T1426" s="36"/>
      <c r="U1426" s="36"/>
      <c r="V1426" s="36"/>
      <c r="W1426" s="36"/>
      <c r="X1426" s="36"/>
      <c r="Y1426" s="36"/>
      <c r="Z1426" s="36"/>
      <c r="AA1426" s="36"/>
      <c r="AB1426" s="36"/>
      <c r="AC1426" s="36"/>
    </row>
    <row r="1427" spans="17:29" x14ac:dyDescent="0.2">
      <c r="Q1427" s="36"/>
      <c r="R1427" s="36"/>
      <c r="S1427" s="36"/>
      <c r="T1427" s="36"/>
      <c r="U1427" s="36"/>
      <c r="V1427" s="36"/>
      <c r="W1427" s="36"/>
      <c r="X1427" s="36"/>
      <c r="Y1427" s="36"/>
      <c r="Z1427" s="36"/>
      <c r="AA1427" s="36"/>
      <c r="AB1427" s="36"/>
      <c r="AC1427" s="36"/>
    </row>
    <row r="1428" spans="17:29" x14ac:dyDescent="0.2">
      <c r="Q1428" s="36"/>
      <c r="R1428" s="36"/>
      <c r="S1428" s="36"/>
      <c r="T1428" s="36"/>
      <c r="U1428" s="36"/>
      <c r="V1428" s="36"/>
      <c r="W1428" s="36"/>
      <c r="X1428" s="36"/>
      <c r="Y1428" s="36"/>
      <c r="Z1428" s="36"/>
      <c r="AA1428" s="36"/>
      <c r="AB1428" s="36"/>
      <c r="AC1428" s="36"/>
    </row>
    <row r="1429" spans="17:29" x14ac:dyDescent="0.2">
      <c r="Q1429" s="36"/>
      <c r="R1429" s="36"/>
      <c r="S1429" s="36"/>
      <c r="T1429" s="36"/>
      <c r="U1429" s="36"/>
      <c r="V1429" s="36"/>
      <c r="W1429" s="36"/>
      <c r="X1429" s="36"/>
      <c r="Y1429" s="36"/>
      <c r="Z1429" s="36"/>
      <c r="AA1429" s="36"/>
      <c r="AB1429" s="36"/>
      <c r="AC1429" s="36"/>
    </row>
    <row r="1430" spans="17:29" x14ac:dyDescent="0.2">
      <c r="Q1430" s="36"/>
      <c r="R1430" s="36"/>
      <c r="S1430" s="36"/>
      <c r="T1430" s="36"/>
      <c r="U1430" s="36"/>
      <c r="V1430" s="36"/>
      <c r="W1430" s="36"/>
      <c r="X1430" s="36"/>
      <c r="Y1430" s="36"/>
      <c r="Z1430" s="36"/>
      <c r="AA1430" s="36"/>
      <c r="AB1430" s="36"/>
      <c r="AC1430" s="36"/>
    </row>
    <row r="1431" spans="17:29" x14ac:dyDescent="0.2">
      <c r="Q1431" s="36"/>
      <c r="R1431" s="36"/>
      <c r="S1431" s="36"/>
      <c r="T1431" s="36"/>
      <c r="U1431" s="36"/>
      <c r="V1431" s="36"/>
      <c r="W1431" s="36"/>
      <c r="X1431" s="36"/>
      <c r="Y1431" s="36"/>
      <c r="Z1431" s="36"/>
      <c r="AA1431" s="36"/>
      <c r="AB1431" s="36"/>
      <c r="AC1431" s="36"/>
    </row>
    <row r="1432" spans="17:29" x14ac:dyDescent="0.2">
      <c r="Q1432" s="36"/>
      <c r="R1432" s="36"/>
      <c r="S1432" s="36"/>
      <c r="T1432" s="36"/>
      <c r="U1432" s="36"/>
      <c r="V1432" s="36"/>
      <c r="W1432" s="36"/>
      <c r="X1432" s="36"/>
      <c r="Y1432" s="36"/>
      <c r="Z1432" s="36"/>
      <c r="AA1432" s="36"/>
      <c r="AB1432" s="36"/>
      <c r="AC1432" s="36"/>
    </row>
    <row r="1433" spans="17:29" x14ac:dyDescent="0.2">
      <c r="Q1433" s="36"/>
      <c r="R1433" s="36"/>
      <c r="S1433" s="36"/>
      <c r="T1433" s="36"/>
      <c r="U1433" s="36"/>
      <c r="V1433" s="36"/>
      <c r="W1433" s="36"/>
      <c r="X1433" s="36"/>
      <c r="Y1433" s="36"/>
      <c r="Z1433" s="36"/>
      <c r="AA1433" s="36"/>
      <c r="AB1433" s="36"/>
      <c r="AC1433" s="36"/>
    </row>
    <row r="1434" spans="17:29" x14ac:dyDescent="0.2">
      <c r="Q1434" s="36"/>
      <c r="R1434" s="36"/>
      <c r="S1434" s="36"/>
      <c r="T1434" s="36"/>
      <c r="U1434" s="36"/>
      <c r="V1434" s="36"/>
      <c r="W1434" s="36"/>
      <c r="X1434" s="36"/>
      <c r="Y1434" s="36"/>
      <c r="Z1434" s="36"/>
      <c r="AA1434" s="36"/>
      <c r="AB1434" s="36"/>
      <c r="AC1434" s="36"/>
    </row>
    <row r="1435" spans="17:29" x14ac:dyDescent="0.2">
      <c r="Q1435" s="36"/>
      <c r="R1435" s="36"/>
      <c r="S1435" s="36"/>
      <c r="T1435" s="36"/>
      <c r="U1435" s="36"/>
      <c r="V1435" s="36"/>
      <c r="W1435" s="36"/>
      <c r="X1435" s="36"/>
      <c r="Y1435" s="36"/>
      <c r="Z1435" s="36"/>
      <c r="AA1435" s="36"/>
      <c r="AB1435" s="36"/>
      <c r="AC1435" s="36"/>
    </row>
    <row r="1436" spans="17:29" x14ac:dyDescent="0.2">
      <c r="Q1436" s="36"/>
      <c r="R1436" s="36"/>
      <c r="S1436" s="36"/>
      <c r="T1436" s="36"/>
      <c r="U1436" s="36"/>
      <c r="V1436" s="36"/>
      <c r="W1436" s="36"/>
      <c r="X1436" s="36"/>
      <c r="Y1436" s="36"/>
      <c r="Z1436" s="36"/>
      <c r="AA1436" s="36"/>
      <c r="AB1436" s="36"/>
      <c r="AC1436" s="36"/>
    </row>
    <row r="1437" spans="17:29" x14ac:dyDescent="0.2">
      <c r="Q1437" s="36"/>
      <c r="R1437" s="36"/>
      <c r="S1437" s="36"/>
      <c r="T1437" s="36"/>
      <c r="U1437" s="36"/>
      <c r="V1437" s="36"/>
      <c r="W1437" s="36"/>
      <c r="X1437" s="36"/>
      <c r="Y1437" s="36"/>
      <c r="Z1437" s="36"/>
      <c r="AA1437" s="36"/>
      <c r="AB1437" s="36"/>
      <c r="AC1437" s="36"/>
    </row>
    <row r="1438" spans="17:29" x14ac:dyDescent="0.2">
      <c r="Q1438" s="36"/>
      <c r="R1438" s="36"/>
      <c r="S1438" s="36"/>
      <c r="T1438" s="36"/>
      <c r="U1438" s="36"/>
      <c r="V1438" s="36"/>
      <c r="W1438" s="36"/>
      <c r="X1438" s="36"/>
      <c r="Y1438" s="36"/>
      <c r="Z1438" s="36"/>
      <c r="AA1438" s="36"/>
      <c r="AB1438" s="36"/>
      <c r="AC1438" s="36"/>
    </row>
    <row r="1439" spans="17:29" x14ac:dyDescent="0.2">
      <c r="Q1439" s="36"/>
      <c r="R1439" s="36"/>
      <c r="S1439" s="36"/>
      <c r="T1439" s="36"/>
      <c r="U1439" s="36"/>
      <c r="V1439" s="36"/>
      <c r="W1439" s="36"/>
      <c r="X1439" s="36"/>
      <c r="Y1439" s="36"/>
      <c r="Z1439" s="36"/>
      <c r="AA1439" s="36"/>
      <c r="AB1439" s="36"/>
      <c r="AC1439" s="36"/>
    </row>
    <row r="1440" spans="17:29" x14ac:dyDescent="0.2">
      <c r="Q1440" s="36"/>
      <c r="R1440" s="36"/>
      <c r="S1440" s="36"/>
      <c r="T1440" s="36"/>
      <c r="U1440" s="36"/>
      <c r="V1440" s="36"/>
      <c r="W1440" s="36"/>
      <c r="X1440" s="36"/>
      <c r="Y1440" s="36"/>
      <c r="Z1440" s="36"/>
      <c r="AA1440" s="36"/>
      <c r="AB1440" s="36"/>
      <c r="AC1440" s="36"/>
    </row>
    <row r="1441" spans="17:29" x14ac:dyDescent="0.2">
      <c r="Q1441" s="36"/>
      <c r="R1441" s="36"/>
      <c r="S1441" s="36"/>
      <c r="T1441" s="36"/>
      <c r="U1441" s="36"/>
      <c r="V1441" s="36"/>
      <c r="W1441" s="36"/>
      <c r="X1441" s="36"/>
      <c r="Y1441" s="36"/>
      <c r="Z1441" s="36"/>
      <c r="AA1441" s="36"/>
      <c r="AB1441" s="36"/>
      <c r="AC1441" s="36"/>
    </row>
    <row r="1442" spans="17:29" x14ac:dyDescent="0.2">
      <c r="Q1442" s="36"/>
      <c r="R1442" s="36"/>
      <c r="S1442" s="36"/>
      <c r="T1442" s="36"/>
      <c r="U1442" s="36"/>
      <c r="V1442" s="36"/>
      <c r="W1442" s="36"/>
      <c r="X1442" s="36"/>
      <c r="Y1442" s="36"/>
      <c r="Z1442" s="36"/>
      <c r="AA1442" s="36"/>
      <c r="AB1442" s="36"/>
      <c r="AC1442" s="36"/>
    </row>
    <row r="1443" spans="17:29" x14ac:dyDescent="0.2">
      <c r="Q1443" s="36"/>
      <c r="R1443" s="36"/>
      <c r="S1443" s="36"/>
      <c r="T1443" s="36"/>
      <c r="U1443" s="36"/>
      <c r="V1443" s="36"/>
      <c r="W1443" s="36"/>
      <c r="X1443" s="36"/>
      <c r="Y1443" s="36"/>
      <c r="Z1443" s="36"/>
      <c r="AA1443" s="36"/>
      <c r="AB1443" s="36"/>
      <c r="AC1443" s="36"/>
    </row>
    <row r="1444" spans="17:29" x14ac:dyDescent="0.2">
      <c r="Q1444" s="36"/>
      <c r="R1444" s="36"/>
      <c r="S1444" s="36"/>
      <c r="T1444" s="36"/>
      <c r="U1444" s="36"/>
      <c r="V1444" s="36"/>
      <c r="W1444" s="36"/>
      <c r="X1444" s="36"/>
      <c r="Y1444" s="36"/>
      <c r="Z1444" s="36"/>
      <c r="AA1444" s="36"/>
      <c r="AB1444" s="36"/>
      <c r="AC1444" s="36"/>
    </row>
    <row r="1445" spans="17:29" x14ac:dyDescent="0.2">
      <c r="Q1445" s="36"/>
      <c r="R1445" s="36"/>
      <c r="S1445" s="36"/>
      <c r="T1445" s="36"/>
      <c r="U1445" s="36"/>
      <c r="V1445" s="36"/>
      <c r="W1445" s="36"/>
      <c r="X1445" s="36"/>
      <c r="Y1445" s="36"/>
      <c r="Z1445" s="36"/>
      <c r="AA1445" s="36"/>
      <c r="AB1445" s="36"/>
      <c r="AC1445" s="36"/>
    </row>
    <row r="1446" spans="17:29" x14ac:dyDescent="0.2">
      <c r="Q1446" s="36"/>
      <c r="R1446" s="36"/>
      <c r="S1446" s="36"/>
      <c r="T1446" s="36"/>
      <c r="U1446" s="36"/>
      <c r="V1446" s="36"/>
      <c r="W1446" s="36"/>
      <c r="X1446" s="36"/>
      <c r="Y1446" s="36"/>
      <c r="Z1446" s="36"/>
      <c r="AA1446" s="36"/>
      <c r="AB1446" s="36"/>
      <c r="AC1446" s="36"/>
    </row>
    <row r="1447" spans="17:29" x14ac:dyDescent="0.2">
      <c r="Q1447" s="36"/>
      <c r="R1447" s="36"/>
      <c r="S1447" s="36"/>
      <c r="T1447" s="36"/>
      <c r="U1447" s="36"/>
      <c r="V1447" s="36"/>
      <c r="W1447" s="36"/>
      <c r="X1447" s="36"/>
      <c r="Y1447" s="36"/>
      <c r="Z1447" s="36"/>
      <c r="AA1447" s="36"/>
      <c r="AB1447" s="36"/>
      <c r="AC1447" s="36"/>
    </row>
    <row r="1448" spans="17:29" x14ac:dyDescent="0.2">
      <c r="Q1448" s="36"/>
      <c r="R1448" s="36"/>
      <c r="S1448" s="36"/>
      <c r="T1448" s="36"/>
      <c r="U1448" s="36"/>
      <c r="V1448" s="36"/>
      <c r="W1448" s="36"/>
      <c r="X1448" s="36"/>
      <c r="Y1448" s="36"/>
      <c r="Z1448" s="36"/>
      <c r="AA1448" s="36"/>
      <c r="AB1448" s="36"/>
      <c r="AC1448" s="36"/>
    </row>
    <row r="1449" spans="17:29" x14ac:dyDescent="0.2">
      <c r="Q1449" s="36"/>
      <c r="R1449" s="36"/>
      <c r="S1449" s="36"/>
      <c r="T1449" s="36"/>
      <c r="U1449" s="36"/>
      <c r="V1449" s="36"/>
      <c r="W1449" s="36"/>
      <c r="X1449" s="36"/>
      <c r="Y1449" s="36"/>
      <c r="Z1449" s="36"/>
      <c r="AA1449" s="36"/>
      <c r="AB1449" s="36"/>
      <c r="AC1449" s="36"/>
    </row>
    <row r="1450" spans="17:29" x14ac:dyDescent="0.2">
      <c r="Q1450" s="36"/>
      <c r="R1450" s="36"/>
      <c r="S1450" s="36"/>
      <c r="T1450" s="36"/>
      <c r="U1450" s="36"/>
      <c r="V1450" s="36"/>
      <c r="W1450" s="36"/>
      <c r="X1450" s="36"/>
      <c r="Y1450" s="36"/>
      <c r="Z1450" s="36"/>
      <c r="AA1450" s="36"/>
      <c r="AB1450" s="36"/>
      <c r="AC1450" s="36"/>
    </row>
    <row r="1451" spans="17:29" x14ac:dyDescent="0.2">
      <c r="Q1451" s="36"/>
      <c r="R1451" s="36"/>
      <c r="S1451" s="36"/>
      <c r="T1451" s="36"/>
      <c r="U1451" s="36"/>
      <c r="V1451" s="36"/>
      <c r="W1451" s="36"/>
      <c r="X1451" s="36"/>
      <c r="Y1451" s="36"/>
      <c r="Z1451" s="36"/>
      <c r="AA1451" s="36"/>
      <c r="AB1451" s="36"/>
      <c r="AC1451" s="36"/>
    </row>
    <row r="1452" spans="17:29" x14ac:dyDescent="0.2">
      <c r="Q1452" s="36"/>
      <c r="R1452" s="36"/>
      <c r="S1452" s="36"/>
      <c r="T1452" s="36"/>
      <c r="U1452" s="36"/>
      <c r="V1452" s="36"/>
      <c r="W1452" s="36"/>
      <c r="X1452" s="36"/>
      <c r="Y1452" s="36"/>
      <c r="Z1452" s="36"/>
      <c r="AA1452" s="36"/>
      <c r="AB1452" s="36"/>
      <c r="AC1452" s="36"/>
    </row>
    <row r="1453" spans="17:29" x14ac:dyDescent="0.2">
      <c r="Q1453" s="36"/>
      <c r="R1453" s="36"/>
      <c r="S1453" s="36"/>
      <c r="T1453" s="36"/>
      <c r="U1453" s="36"/>
      <c r="V1453" s="36"/>
      <c r="W1453" s="36"/>
      <c r="X1453" s="36"/>
      <c r="Y1453" s="36"/>
      <c r="Z1453" s="36"/>
      <c r="AA1453" s="36"/>
      <c r="AB1453" s="36"/>
      <c r="AC1453" s="36"/>
    </row>
    <row r="1454" spans="17:29" x14ac:dyDescent="0.2">
      <c r="Q1454" s="36"/>
      <c r="R1454" s="36"/>
      <c r="S1454" s="36"/>
      <c r="T1454" s="36"/>
      <c r="U1454" s="36"/>
      <c r="V1454" s="36"/>
      <c r="W1454" s="36"/>
      <c r="X1454" s="36"/>
      <c r="Y1454" s="36"/>
      <c r="Z1454" s="36"/>
      <c r="AA1454" s="36"/>
      <c r="AB1454" s="36"/>
      <c r="AC1454" s="36"/>
    </row>
    <row r="1455" spans="17:29" x14ac:dyDescent="0.2">
      <c r="Q1455" s="36"/>
      <c r="R1455" s="36"/>
      <c r="S1455" s="36"/>
      <c r="T1455" s="36"/>
      <c r="U1455" s="36"/>
      <c r="V1455" s="36"/>
      <c r="W1455" s="36"/>
      <c r="X1455" s="36"/>
      <c r="Y1455" s="36"/>
      <c r="Z1455" s="36"/>
      <c r="AA1455" s="36"/>
      <c r="AB1455" s="36"/>
      <c r="AC1455" s="36"/>
    </row>
    <row r="1456" spans="17:29" x14ac:dyDescent="0.2">
      <c r="Q1456" s="36"/>
      <c r="R1456" s="36"/>
      <c r="S1456" s="36"/>
      <c r="T1456" s="36"/>
      <c r="U1456" s="36"/>
      <c r="V1456" s="36"/>
      <c r="W1456" s="36"/>
      <c r="X1456" s="36"/>
      <c r="Y1456" s="36"/>
      <c r="Z1456" s="36"/>
      <c r="AA1456" s="36"/>
      <c r="AB1456" s="36"/>
      <c r="AC1456" s="36"/>
    </row>
    <row r="1457" spans="17:29" x14ac:dyDescent="0.2">
      <c r="Q1457" s="36"/>
      <c r="R1457" s="36"/>
      <c r="S1457" s="36"/>
      <c r="T1457" s="36"/>
      <c r="U1457" s="36"/>
      <c r="V1457" s="36"/>
      <c r="W1457" s="36"/>
      <c r="X1457" s="36"/>
      <c r="Y1457" s="36"/>
      <c r="Z1457" s="36"/>
      <c r="AA1457" s="36"/>
      <c r="AB1457" s="36"/>
      <c r="AC1457" s="36"/>
    </row>
    <row r="1458" spans="17:29" x14ac:dyDescent="0.2">
      <c r="Q1458" s="36"/>
      <c r="R1458" s="36"/>
      <c r="S1458" s="36"/>
      <c r="T1458" s="36"/>
      <c r="U1458" s="36"/>
      <c r="V1458" s="36"/>
      <c r="W1458" s="36"/>
      <c r="X1458" s="36"/>
      <c r="Y1458" s="36"/>
      <c r="Z1458" s="36"/>
      <c r="AA1458" s="36"/>
      <c r="AB1458" s="36"/>
      <c r="AC1458" s="36"/>
    </row>
    <row r="1459" spans="17:29" x14ac:dyDescent="0.2">
      <c r="Q1459" s="36"/>
      <c r="R1459" s="36"/>
      <c r="S1459" s="36"/>
      <c r="T1459" s="36"/>
      <c r="U1459" s="36"/>
      <c r="V1459" s="36"/>
      <c r="W1459" s="36"/>
      <c r="X1459" s="36"/>
      <c r="Y1459" s="36"/>
      <c r="Z1459" s="36"/>
      <c r="AA1459" s="36"/>
      <c r="AB1459" s="36"/>
      <c r="AC1459" s="36"/>
    </row>
    <row r="1460" spans="17:29" x14ac:dyDescent="0.2">
      <c r="Q1460" s="36"/>
      <c r="R1460" s="36"/>
      <c r="S1460" s="36"/>
      <c r="T1460" s="36"/>
      <c r="U1460" s="36"/>
      <c r="V1460" s="36"/>
      <c r="W1460" s="36"/>
      <c r="X1460" s="36"/>
      <c r="Y1460" s="36"/>
      <c r="Z1460" s="36"/>
      <c r="AA1460" s="36"/>
      <c r="AB1460" s="36"/>
      <c r="AC1460" s="36"/>
    </row>
    <row r="1461" spans="17:29" x14ac:dyDescent="0.2">
      <c r="Q1461" s="36"/>
      <c r="R1461" s="36"/>
      <c r="S1461" s="36"/>
      <c r="T1461" s="36"/>
      <c r="U1461" s="36"/>
      <c r="V1461" s="36"/>
      <c r="W1461" s="36"/>
      <c r="X1461" s="36"/>
      <c r="Y1461" s="36"/>
      <c r="Z1461" s="36"/>
      <c r="AA1461" s="36"/>
      <c r="AB1461" s="36"/>
      <c r="AC1461" s="36"/>
    </row>
    <row r="1462" spans="17:29" x14ac:dyDescent="0.2">
      <c r="Q1462" s="36"/>
      <c r="R1462" s="36"/>
      <c r="S1462" s="36"/>
      <c r="T1462" s="36"/>
      <c r="U1462" s="36"/>
      <c r="V1462" s="36"/>
      <c r="W1462" s="36"/>
      <c r="X1462" s="36"/>
      <c r="Y1462" s="36"/>
      <c r="Z1462" s="36"/>
      <c r="AA1462" s="36"/>
      <c r="AB1462" s="36"/>
      <c r="AC1462" s="36"/>
    </row>
    <row r="1463" spans="17:29" x14ac:dyDescent="0.2">
      <c r="Q1463" s="36"/>
      <c r="R1463" s="36"/>
      <c r="S1463" s="36"/>
      <c r="T1463" s="36"/>
      <c r="U1463" s="36"/>
      <c r="V1463" s="36"/>
      <c r="W1463" s="36"/>
      <c r="X1463" s="36"/>
      <c r="Y1463" s="36"/>
      <c r="Z1463" s="36"/>
      <c r="AA1463" s="36"/>
      <c r="AB1463" s="36"/>
      <c r="AC1463" s="36"/>
    </row>
    <row r="1464" spans="17:29" x14ac:dyDescent="0.2">
      <c r="Q1464" s="36"/>
      <c r="R1464" s="36"/>
      <c r="S1464" s="36"/>
      <c r="T1464" s="36"/>
      <c r="U1464" s="36"/>
      <c r="V1464" s="36"/>
      <c r="W1464" s="36"/>
      <c r="X1464" s="36"/>
      <c r="Y1464" s="36"/>
      <c r="Z1464" s="36"/>
      <c r="AA1464" s="36"/>
      <c r="AB1464" s="36"/>
      <c r="AC1464" s="36"/>
    </row>
    <row r="1465" spans="17:29" x14ac:dyDescent="0.2">
      <c r="Q1465" s="36"/>
      <c r="R1465" s="36"/>
      <c r="S1465" s="36"/>
      <c r="T1465" s="36"/>
      <c r="U1465" s="36"/>
      <c r="V1465" s="36"/>
      <c r="W1465" s="36"/>
      <c r="X1465" s="36"/>
      <c r="Y1465" s="36"/>
      <c r="Z1465" s="36"/>
      <c r="AA1465" s="36"/>
      <c r="AB1465" s="36"/>
      <c r="AC1465" s="36"/>
    </row>
    <row r="1466" spans="17:29" x14ac:dyDescent="0.2">
      <c r="Q1466" s="36"/>
      <c r="R1466" s="36"/>
      <c r="S1466" s="36"/>
      <c r="T1466" s="36"/>
      <c r="U1466" s="36"/>
      <c r="V1466" s="36"/>
      <c r="W1466" s="36"/>
      <c r="X1466" s="36"/>
      <c r="Y1466" s="36"/>
      <c r="Z1466" s="36"/>
      <c r="AA1466" s="36"/>
      <c r="AB1466" s="36"/>
      <c r="AC1466" s="36"/>
    </row>
    <row r="1467" spans="17:29" x14ac:dyDescent="0.2">
      <c r="Q1467" s="36"/>
      <c r="R1467" s="36"/>
      <c r="S1467" s="36"/>
      <c r="T1467" s="36"/>
      <c r="U1467" s="36"/>
      <c r="V1467" s="36"/>
      <c r="W1467" s="36"/>
      <c r="X1467" s="36"/>
      <c r="Y1467" s="36"/>
      <c r="Z1467" s="36"/>
      <c r="AA1467" s="36"/>
      <c r="AB1467" s="36"/>
      <c r="AC1467" s="36"/>
    </row>
    <row r="1468" spans="17:29" x14ac:dyDescent="0.2">
      <c r="Q1468" s="36"/>
      <c r="R1468" s="36"/>
      <c r="S1468" s="36"/>
      <c r="T1468" s="36"/>
      <c r="U1468" s="36"/>
      <c r="V1468" s="36"/>
      <c r="W1468" s="36"/>
      <c r="X1468" s="36"/>
      <c r="Y1468" s="36"/>
      <c r="Z1468" s="36"/>
      <c r="AA1468" s="36"/>
      <c r="AB1468" s="36"/>
      <c r="AC1468" s="36"/>
    </row>
    <row r="1469" spans="17:29" x14ac:dyDescent="0.2">
      <c r="Q1469" s="36"/>
      <c r="R1469" s="36"/>
      <c r="S1469" s="36"/>
      <c r="T1469" s="36"/>
      <c r="U1469" s="36"/>
      <c r="V1469" s="36"/>
      <c r="W1469" s="36"/>
      <c r="X1469" s="36"/>
      <c r="Y1469" s="36"/>
      <c r="Z1469" s="36"/>
      <c r="AA1469" s="36"/>
      <c r="AB1469" s="36"/>
      <c r="AC1469" s="36"/>
    </row>
    <row r="1470" spans="17:29" x14ac:dyDescent="0.2">
      <c r="Q1470" s="36"/>
      <c r="R1470" s="36"/>
      <c r="S1470" s="36"/>
      <c r="T1470" s="36"/>
      <c r="U1470" s="36"/>
      <c r="V1470" s="36"/>
      <c r="W1470" s="36"/>
      <c r="X1470" s="36"/>
      <c r="Y1470" s="36"/>
      <c r="Z1470" s="36"/>
      <c r="AA1470" s="36"/>
      <c r="AB1470" s="36"/>
      <c r="AC1470" s="36"/>
    </row>
    <row r="1471" spans="17:29" x14ac:dyDescent="0.2">
      <c r="Q1471" s="36"/>
      <c r="R1471" s="36"/>
      <c r="S1471" s="36"/>
      <c r="T1471" s="36"/>
      <c r="U1471" s="36"/>
      <c r="V1471" s="36"/>
      <c r="W1471" s="36"/>
      <c r="X1471" s="36"/>
      <c r="Y1471" s="36"/>
      <c r="Z1471" s="36"/>
      <c r="AA1471" s="36"/>
      <c r="AB1471" s="36"/>
      <c r="AC1471" s="36"/>
    </row>
    <row r="1472" spans="17:29" x14ac:dyDescent="0.2">
      <c r="Q1472" s="36"/>
      <c r="R1472" s="36"/>
      <c r="S1472" s="36"/>
      <c r="T1472" s="36"/>
      <c r="U1472" s="36"/>
      <c r="V1472" s="36"/>
      <c r="W1472" s="36"/>
      <c r="X1472" s="36"/>
      <c r="Y1472" s="36"/>
      <c r="Z1472" s="36"/>
      <c r="AA1472" s="36"/>
      <c r="AB1472" s="36"/>
      <c r="AC1472" s="36"/>
    </row>
    <row r="1473" spans="17:29" x14ac:dyDescent="0.2">
      <c r="Q1473" s="36"/>
      <c r="R1473" s="36"/>
      <c r="S1473" s="36"/>
      <c r="T1473" s="36"/>
      <c r="U1473" s="36"/>
      <c r="V1473" s="36"/>
      <c r="W1473" s="36"/>
      <c r="X1473" s="36"/>
      <c r="Y1473" s="36"/>
      <c r="Z1473" s="36"/>
      <c r="AA1473" s="36"/>
      <c r="AB1473" s="36"/>
      <c r="AC1473" s="36"/>
    </row>
    <row r="1474" spans="17:29" x14ac:dyDescent="0.2">
      <c r="Q1474" s="36"/>
      <c r="R1474" s="36"/>
      <c r="S1474" s="36"/>
      <c r="T1474" s="36"/>
      <c r="U1474" s="36"/>
      <c r="V1474" s="36"/>
      <c r="W1474" s="36"/>
      <c r="X1474" s="36"/>
      <c r="Y1474" s="36"/>
      <c r="Z1474" s="36"/>
      <c r="AA1474" s="36"/>
      <c r="AB1474" s="36"/>
      <c r="AC1474" s="36"/>
    </row>
    <row r="1475" spans="17:29" x14ac:dyDescent="0.2">
      <c r="Q1475" s="36"/>
      <c r="R1475" s="36"/>
      <c r="S1475" s="36"/>
      <c r="T1475" s="36"/>
      <c r="U1475" s="36"/>
      <c r="V1475" s="36"/>
      <c r="W1475" s="36"/>
      <c r="X1475" s="36"/>
      <c r="Y1475" s="36"/>
      <c r="Z1475" s="36"/>
      <c r="AA1475" s="36"/>
      <c r="AB1475" s="36"/>
      <c r="AC1475" s="36"/>
    </row>
    <row r="1476" spans="17:29" x14ac:dyDescent="0.2">
      <c r="Q1476" s="36"/>
      <c r="R1476" s="36"/>
      <c r="S1476" s="36"/>
      <c r="T1476" s="36"/>
      <c r="U1476" s="36"/>
      <c r="V1476" s="36"/>
      <c r="W1476" s="36"/>
      <c r="X1476" s="36"/>
      <c r="Y1476" s="36"/>
      <c r="Z1476" s="36"/>
      <c r="AA1476" s="36"/>
      <c r="AB1476" s="36"/>
      <c r="AC1476" s="36"/>
    </row>
    <row r="1477" spans="17:29" x14ac:dyDescent="0.2">
      <c r="Q1477" s="36"/>
      <c r="R1477" s="36"/>
      <c r="S1477" s="36"/>
      <c r="T1477" s="36"/>
      <c r="U1477" s="36"/>
      <c r="V1477" s="36"/>
      <c r="W1477" s="36"/>
      <c r="X1477" s="36"/>
      <c r="Y1477" s="36"/>
      <c r="Z1477" s="36"/>
      <c r="AA1477" s="36"/>
      <c r="AB1477" s="36"/>
      <c r="AC1477" s="36"/>
    </row>
    <row r="1478" spans="17:29" x14ac:dyDescent="0.2">
      <c r="Q1478" s="36"/>
      <c r="R1478" s="36"/>
      <c r="S1478" s="36"/>
      <c r="T1478" s="36"/>
      <c r="U1478" s="36"/>
      <c r="V1478" s="36"/>
      <c r="W1478" s="36"/>
      <c r="X1478" s="36"/>
      <c r="Y1478" s="36"/>
      <c r="Z1478" s="36"/>
      <c r="AA1478" s="36"/>
      <c r="AB1478" s="36"/>
      <c r="AC1478" s="36"/>
    </row>
    <row r="1479" spans="17:29" x14ac:dyDescent="0.2">
      <c r="Q1479" s="36"/>
      <c r="R1479" s="36"/>
      <c r="S1479" s="36"/>
      <c r="T1479" s="36"/>
      <c r="U1479" s="36"/>
      <c r="V1479" s="36"/>
      <c r="W1479" s="36"/>
      <c r="X1479" s="36"/>
      <c r="Y1479" s="36"/>
      <c r="Z1479" s="36"/>
      <c r="AA1479" s="36"/>
      <c r="AB1479" s="36"/>
      <c r="AC1479" s="36"/>
    </row>
    <row r="1480" spans="17:29" x14ac:dyDescent="0.2">
      <c r="Q1480" s="36"/>
      <c r="R1480" s="36"/>
      <c r="S1480" s="36"/>
      <c r="T1480" s="36"/>
      <c r="U1480" s="36"/>
      <c r="V1480" s="36"/>
      <c r="W1480" s="36"/>
      <c r="X1480" s="36"/>
      <c r="Y1480" s="36"/>
      <c r="Z1480" s="36"/>
      <c r="AA1480" s="36"/>
      <c r="AB1480" s="36"/>
      <c r="AC1480" s="36"/>
    </row>
    <row r="1481" spans="17:29" x14ac:dyDescent="0.2">
      <c r="Q1481" s="36"/>
      <c r="R1481" s="36"/>
      <c r="S1481" s="36"/>
      <c r="T1481" s="36"/>
      <c r="U1481" s="36"/>
      <c r="V1481" s="36"/>
      <c r="W1481" s="36"/>
      <c r="X1481" s="36"/>
      <c r="Y1481" s="36"/>
      <c r="Z1481" s="36"/>
      <c r="AA1481" s="36"/>
      <c r="AB1481" s="36"/>
      <c r="AC1481" s="36"/>
    </row>
    <row r="1482" spans="17:29" x14ac:dyDescent="0.2">
      <c r="Q1482" s="36"/>
      <c r="R1482" s="36"/>
      <c r="S1482" s="36"/>
      <c r="T1482" s="36"/>
      <c r="U1482" s="36"/>
      <c r="V1482" s="36"/>
      <c r="W1482" s="36"/>
      <c r="X1482" s="36"/>
      <c r="Y1482" s="36"/>
      <c r="Z1482" s="36"/>
      <c r="AA1482" s="36"/>
      <c r="AB1482" s="36"/>
      <c r="AC1482" s="36"/>
    </row>
    <row r="1483" spans="17:29" x14ac:dyDescent="0.2">
      <c r="Q1483" s="36"/>
      <c r="R1483" s="36"/>
      <c r="S1483" s="36"/>
      <c r="T1483" s="36"/>
      <c r="U1483" s="36"/>
      <c r="V1483" s="36"/>
      <c r="W1483" s="36"/>
      <c r="X1483" s="36"/>
      <c r="Y1483" s="36"/>
      <c r="Z1483" s="36"/>
      <c r="AA1483" s="36"/>
      <c r="AB1483" s="36"/>
      <c r="AC1483" s="36"/>
    </row>
    <row r="1484" spans="17:29" x14ac:dyDescent="0.2">
      <c r="Q1484" s="36"/>
      <c r="R1484" s="36"/>
      <c r="S1484" s="36"/>
      <c r="T1484" s="36"/>
      <c r="U1484" s="36"/>
      <c r="V1484" s="36"/>
      <c r="W1484" s="36"/>
      <c r="X1484" s="36"/>
      <c r="Y1484" s="36"/>
      <c r="Z1484" s="36"/>
      <c r="AA1484" s="36"/>
      <c r="AB1484" s="36"/>
      <c r="AC1484" s="36"/>
    </row>
    <row r="1485" spans="17:29" x14ac:dyDescent="0.2">
      <c r="Q1485" s="36"/>
      <c r="R1485" s="36"/>
      <c r="S1485" s="36"/>
      <c r="T1485" s="36"/>
      <c r="U1485" s="36"/>
      <c r="V1485" s="36"/>
      <c r="W1485" s="36"/>
      <c r="X1485" s="36"/>
      <c r="Y1485" s="36"/>
      <c r="Z1485" s="36"/>
      <c r="AA1485" s="36"/>
      <c r="AB1485" s="36"/>
      <c r="AC1485" s="36"/>
    </row>
    <row r="1486" spans="17:29" x14ac:dyDescent="0.2">
      <c r="Q1486" s="36"/>
      <c r="R1486" s="36"/>
      <c r="S1486" s="36"/>
      <c r="T1486" s="36"/>
      <c r="U1486" s="36"/>
      <c r="V1486" s="36"/>
      <c r="W1486" s="36"/>
      <c r="X1486" s="36"/>
      <c r="Y1486" s="36"/>
      <c r="Z1486" s="36"/>
      <c r="AA1486" s="36"/>
      <c r="AB1486" s="36"/>
      <c r="AC1486" s="36"/>
    </row>
    <row r="1487" spans="17:29" x14ac:dyDescent="0.2">
      <c r="Q1487" s="36"/>
      <c r="R1487" s="36"/>
      <c r="S1487" s="36"/>
      <c r="T1487" s="36"/>
      <c r="U1487" s="36"/>
      <c r="V1487" s="36"/>
      <c r="W1487" s="36"/>
      <c r="X1487" s="36"/>
      <c r="Y1487" s="36"/>
      <c r="Z1487" s="36"/>
      <c r="AA1487" s="36"/>
      <c r="AB1487" s="36"/>
      <c r="AC1487" s="36"/>
    </row>
    <row r="1488" spans="17:29" x14ac:dyDescent="0.2">
      <c r="Q1488" s="36"/>
      <c r="R1488" s="36"/>
      <c r="S1488" s="36"/>
      <c r="T1488" s="36"/>
      <c r="U1488" s="36"/>
      <c r="V1488" s="36"/>
      <c r="W1488" s="36"/>
      <c r="X1488" s="36"/>
      <c r="Y1488" s="36"/>
      <c r="Z1488" s="36"/>
      <c r="AA1488" s="36"/>
      <c r="AB1488" s="36"/>
      <c r="AC1488" s="36"/>
    </row>
    <row r="1489" spans="17:29" x14ac:dyDescent="0.2">
      <c r="Q1489" s="36"/>
      <c r="R1489" s="36"/>
      <c r="S1489" s="36"/>
      <c r="T1489" s="36"/>
      <c r="U1489" s="36"/>
      <c r="V1489" s="36"/>
      <c r="W1489" s="36"/>
      <c r="X1489" s="36"/>
      <c r="Y1489" s="36"/>
      <c r="Z1489" s="36"/>
      <c r="AA1489" s="36"/>
      <c r="AB1489" s="36"/>
      <c r="AC1489" s="36"/>
    </row>
    <row r="1490" spans="17:29" x14ac:dyDescent="0.2">
      <c r="Q1490" s="36"/>
      <c r="R1490" s="36"/>
      <c r="S1490" s="36"/>
      <c r="T1490" s="36"/>
      <c r="U1490" s="36"/>
      <c r="V1490" s="36"/>
      <c r="W1490" s="36"/>
      <c r="X1490" s="36"/>
      <c r="Y1490" s="36"/>
      <c r="Z1490" s="36"/>
      <c r="AA1490" s="36"/>
      <c r="AB1490" s="36"/>
      <c r="AC1490" s="36"/>
    </row>
    <row r="1491" spans="17:29" x14ac:dyDescent="0.2">
      <c r="Q1491" s="36"/>
      <c r="R1491" s="36"/>
      <c r="S1491" s="36"/>
      <c r="T1491" s="36"/>
      <c r="U1491" s="36"/>
      <c r="V1491" s="36"/>
      <c r="W1491" s="36"/>
      <c r="X1491" s="36"/>
      <c r="Y1491" s="36"/>
      <c r="Z1491" s="36"/>
      <c r="AA1491" s="36"/>
      <c r="AB1491" s="36"/>
      <c r="AC1491" s="36"/>
    </row>
    <row r="1492" spans="17:29" x14ac:dyDescent="0.2">
      <c r="Q1492" s="36"/>
      <c r="R1492" s="36"/>
      <c r="S1492" s="36"/>
      <c r="T1492" s="36"/>
      <c r="U1492" s="36"/>
      <c r="V1492" s="36"/>
      <c r="W1492" s="36"/>
      <c r="X1492" s="36"/>
      <c r="Y1492" s="36"/>
      <c r="Z1492" s="36"/>
      <c r="AA1492" s="36"/>
      <c r="AB1492" s="36"/>
      <c r="AC1492" s="36"/>
    </row>
    <row r="1493" spans="17:29" x14ac:dyDescent="0.2">
      <c r="Q1493" s="36"/>
      <c r="R1493" s="36"/>
      <c r="S1493" s="36"/>
      <c r="T1493" s="36"/>
      <c r="U1493" s="36"/>
      <c r="V1493" s="36"/>
      <c r="W1493" s="36"/>
      <c r="X1493" s="36"/>
      <c r="Y1493" s="36"/>
      <c r="Z1493" s="36"/>
      <c r="AA1493" s="36"/>
      <c r="AB1493" s="36"/>
      <c r="AC1493" s="36"/>
    </row>
    <row r="1494" spans="17:29" x14ac:dyDescent="0.2">
      <c r="Q1494" s="36"/>
      <c r="R1494" s="36"/>
      <c r="S1494" s="36"/>
      <c r="T1494" s="36"/>
      <c r="U1494" s="36"/>
      <c r="V1494" s="36"/>
      <c r="W1494" s="36"/>
      <c r="X1494" s="36"/>
      <c r="Y1494" s="36"/>
      <c r="Z1494" s="36"/>
      <c r="AA1494" s="36"/>
      <c r="AB1494" s="36"/>
      <c r="AC1494" s="36"/>
    </row>
    <row r="1495" spans="17:29" x14ac:dyDescent="0.2">
      <c r="Q1495" s="36"/>
      <c r="R1495" s="36"/>
      <c r="S1495" s="36"/>
      <c r="T1495" s="36"/>
      <c r="U1495" s="36"/>
      <c r="V1495" s="36"/>
      <c r="W1495" s="36"/>
      <c r="X1495" s="36"/>
      <c r="Y1495" s="36"/>
      <c r="Z1495" s="36"/>
      <c r="AA1495" s="36"/>
      <c r="AB1495" s="36"/>
      <c r="AC1495" s="36"/>
    </row>
    <row r="1496" spans="17:29" x14ac:dyDescent="0.2">
      <c r="Q1496" s="36"/>
      <c r="R1496" s="36"/>
      <c r="S1496" s="36"/>
      <c r="T1496" s="36"/>
      <c r="U1496" s="36"/>
      <c r="V1496" s="36"/>
      <c r="W1496" s="36"/>
      <c r="X1496" s="36"/>
      <c r="Y1496" s="36"/>
      <c r="Z1496" s="36"/>
      <c r="AA1496" s="36"/>
      <c r="AB1496" s="36"/>
      <c r="AC1496" s="36"/>
    </row>
    <row r="1497" spans="17:29" x14ac:dyDescent="0.2">
      <c r="Q1497" s="36"/>
      <c r="R1497" s="36"/>
      <c r="S1497" s="36"/>
      <c r="T1497" s="36"/>
      <c r="U1497" s="36"/>
      <c r="V1497" s="36"/>
      <c r="W1497" s="36"/>
      <c r="X1497" s="36"/>
      <c r="Y1497" s="36"/>
      <c r="Z1497" s="36"/>
      <c r="AA1497" s="36"/>
      <c r="AB1497" s="36"/>
      <c r="AC1497" s="36"/>
    </row>
    <row r="1498" spans="17:29" x14ac:dyDescent="0.2">
      <c r="Q1498" s="36"/>
      <c r="R1498" s="36"/>
      <c r="S1498" s="36"/>
      <c r="T1498" s="36"/>
      <c r="U1498" s="36"/>
      <c r="V1498" s="36"/>
      <c r="W1498" s="36"/>
      <c r="X1498" s="36"/>
      <c r="Y1498" s="36"/>
      <c r="Z1498" s="36"/>
      <c r="AA1498" s="36"/>
      <c r="AB1498" s="36"/>
      <c r="AC1498" s="36"/>
    </row>
    <row r="1499" spans="17:29" x14ac:dyDescent="0.2">
      <c r="Q1499" s="36"/>
      <c r="R1499" s="36"/>
      <c r="S1499" s="36"/>
      <c r="T1499" s="36"/>
      <c r="U1499" s="36"/>
      <c r="V1499" s="36"/>
      <c r="W1499" s="36"/>
      <c r="X1499" s="36"/>
      <c r="Y1499" s="36"/>
      <c r="Z1499" s="36"/>
      <c r="AA1499" s="36"/>
      <c r="AB1499" s="36"/>
      <c r="AC1499" s="36"/>
    </row>
    <row r="1500" spans="17:29" x14ac:dyDescent="0.2">
      <c r="Q1500" s="36"/>
      <c r="R1500" s="36"/>
      <c r="S1500" s="36"/>
      <c r="T1500" s="36"/>
      <c r="U1500" s="36"/>
      <c r="V1500" s="36"/>
      <c r="W1500" s="36"/>
      <c r="X1500" s="36"/>
      <c r="Y1500" s="36"/>
      <c r="Z1500" s="36"/>
      <c r="AA1500" s="36"/>
      <c r="AB1500" s="36"/>
      <c r="AC1500" s="36"/>
    </row>
    <row r="1501" spans="17:29" x14ac:dyDescent="0.2">
      <c r="Q1501" s="36"/>
      <c r="R1501" s="36"/>
      <c r="S1501" s="36"/>
      <c r="T1501" s="36"/>
      <c r="U1501" s="36"/>
      <c r="V1501" s="36"/>
      <c r="W1501" s="36"/>
      <c r="X1501" s="36"/>
      <c r="Y1501" s="36"/>
      <c r="Z1501" s="36"/>
      <c r="AA1501" s="36"/>
      <c r="AB1501" s="36"/>
      <c r="AC1501" s="36"/>
    </row>
    <row r="1502" spans="17:29" x14ac:dyDescent="0.2">
      <c r="Q1502" s="36"/>
      <c r="R1502" s="36"/>
      <c r="S1502" s="36"/>
      <c r="T1502" s="36"/>
      <c r="U1502" s="36"/>
      <c r="V1502" s="36"/>
      <c r="W1502" s="36"/>
      <c r="X1502" s="36"/>
      <c r="Y1502" s="36"/>
      <c r="Z1502" s="36"/>
      <c r="AA1502" s="36"/>
      <c r="AB1502" s="36"/>
      <c r="AC1502" s="36"/>
    </row>
    <row r="1503" spans="17:29" x14ac:dyDescent="0.2">
      <c r="Q1503" s="36"/>
      <c r="R1503" s="36"/>
      <c r="S1503" s="36"/>
      <c r="T1503" s="36"/>
      <c r="U1503" s="36"/>
      <c r="V1503" s="36"/>
      <c r="W1503" s="36"/>
      <c r="X1503" s="36"/>
      <c r="Y1503" s="36"/>
      <c r="Z1503" s="36"/>
      <c r="AA1503" s="36"/>
      <c r="AB1503" s="36"/>
      <c r="AC1503" s="36"/>
    </row>
    <row r="1504" spans="17:29" x14ac:dyDescent="0.2">
      <c r="Q1504" s="36"/>
      <c r="R1504" s="36"/>
      <c r="S1504" s="36"/>
      <c r="T1504" s="36"/>
      <c r="U1504" s="36"/>
      <c r="V1504" s="36"/>
      <c r="W1504" s="36"/>
      <c r="X1504" s="36"/>
      <c r="Y1504" s="36"/>
      <c r="Z1504" s="36"/>
      <c r="AA1504" s="36"/>
      <c r="AB1504" s="36"/>
      <c r="AC1504" s="36"/>
    </row>
    <row r="1505" spans="17:29" x14ac:dyDescent="0.2">
      <c r="Q1505" s="36"/>
      <c r="R1505" s="36"/>
      <c r="S1505" s="36"/>
      <c r="T1505" s="36"/>
      <c r="U1505" s="36"/>
      <c r="V1505" s="36"/>
      <c r="W1505" s="36"/>
      <c r="X1505" s="36"/>
      <c r="Y1505" s="36"/>
      <c r="Z1505" s="36"/>
      <c r="AA1505" s="36"/>
      <c r="AB1505" s="36"/>
      <c r="AC1505" s="36"/>
    </row>
    <row r="1506" spans="17:29" x14ac:dyDescent="0.2">
      <c r="Q1506" s="36"/>
      <c r="R1506" s="36"/>
      <c r="S1506" s="36"/>
      <c r="T1506" s="36"/>
      <c r="U1506" s="36"/>
      <c r="V1506" s="36"/>
      <c r="W1506" s="36"/>
      <c r="X1506" s="36"/>
      <c r="Y1506" s="36"/>
      <c r="Z1506" s="36"/>
      <c r="AA1506" s="36"/>
      <c r="AB1506" s="36"/>
      <c r="AC1506" s="36"/>
    </row>
    <row r="1507" spans="17:29" x14ac:dyDescent="0.2">
      <c r="Q1507" s="36"/>
      <c r="R1507" s="36"/>
      <c r="S1507" s="36"/>
      <c r="T1507" s="36"/>
      <c r="U1507" s="36"/>
      <c r="V1507" s="36"/>
      <c r="W1507" s="36"/>
      <c r="X1507" s="36"/>
      <c r="Y1507" s="36"/>
      <c r="Z1507" s="36"/>
      <c r="AA1507" s="36"/>
      <c r="AB1507" s="36"/>
      <c r="AC1507" s="36"/>
    </row>
    <row r="1508" spans="17:29" x14ac:dyDescent="0.2">
      <c r="Q1508" s="36"/>
      <c r="R1508" s="36"/>
      <c r="S1508" s="36"/>
      <c r="T1508" s="36"/>
      <c r="U1508" s="36"/>
      <c r="V1508" s="36"/>
      <c r="W1508" s="36"/>
      <c r="X1508" s="36"/>
      <c r="Y1508" s="36"/>
      <c r="Z1508" s="36"/>
      <c r="AA1508" s="36"/>
      <c r="AB1508" s="36"/>
      <c r="AC1508" s="36"/>
    </row>
    <row r="1509" spans="17:29" x14ac:dyDescent="0.2">
      <c r="Q1509" s="36"/>
      <c r="R1509" s="36"/>
      <c r="S1509" s="36"/>
      <c r="T1509" s="36"/>
      <c r="U1509" s="36"/>
      <c r="V1509" s="36"/>
      <c r="W1509" s="36"/>
      <c r="X1509" s="36"/>
      <c r="Y1509" s="36"/>
      <c r="Z1509" s="36"/>
      <c r="AA1509" s="36"/>
      <c r="AB1509" s="36"/>
      <c r="AC1509" s="36"/>
    </row>
    <row r="1510" spans="17:29" x14ac:dyDescent="0.2">
      <c r="Q1510" s="36"/>
      <c r="R1510" s="36"/>
      <c r="S1510" s="36"/>
      <c r="T1510" s="36"/>
      <c r="U1510" s="36"/>
      <c r="V1510" s="36"/>
      <c r="W1510" s="36"/>
      <c r="X1510" s="36"/>
      <c r="Y1510" s="36"/>
      <c r="Z1510" s="36"/>
      <c r="AA1510" s="36"/>
      <c r="AB1510" s="36"/>
      <c r="AC1510" s="36"/>
    </row>
    <row r="1511" spans="17:29" x14ac:dyDescent="0.2">
      <c r="Q1511" s="36"/>
      <c r="R1511" s="36"/>
      <c r="S1511" s="36"/>
      <c r="T1511" s="36"/>
      <c r="U1511" s="36"/>
      <c r="V1511" s="36"/>
      <c r="W1511" s="36"/>
      <c r="X1511" s="36"/>
      <c r="Y1511" s="36"/>
      <c r="Z1511" s="36"/>
      <c r="AA1511" s="36"/>
      <c r="AB1511" s="36"/>
      <c r="AC1511" s="36"/>
    </row>
    <row r="1512" spans="17:29" x14ac:dyDescent="0.2">
      <c r="Q1512" s="36"/>
      <c r="R1512" s="36"/>
      <c r="S1512" s="36"/>
      <c r="T1512" s="36"/>
      <c r="U1512" s="36"/>
      <c r="V1512" s="36"/>
      <c r="W1512" s="36"/>
      <c r="X1512" s="36"/>
      <c r="Y1512" s="36"/>
      <c r="Z1512" s="36"/>
      <c r="AA1512" s="36"/>
      <c r="AB1512" s="36"/>
      <c r="AC1512" s="36"/>
    </row>
    <row r="1513" spans="17:29" x14ac:dyDescent="0.2">
      <c r="Q1513" s="36"/>
      <c r="R1513" s="36"/>
      <c r="S1513" s="36"/>
      <c r="T1513" s="36"/>
      <c r="U1513" s="36"/>
      <c r="V1513" s="36"/>
      <c r="W1513" s="36"/>
      <c r="X1513" s="36"/>
      <c r="Y1513" s="36"/>
      <c r="Z1513" s="36"/>
      <c r="AA1513" s="36"/>
      <c r="AB1513" s="36"/>
      <c r="AC1513" s="36"/>
    </row>
    <row r="1514" spans="17:29" x14ac:dyDescent="0.2">
      <c r="Q1514" s="36"/>
      <c r="R1514" s="36"/>
      <c r="S1514" s="36"/>
      <c r="T1514" s="36"/>
      <c r="U1514" s="36"/>
      <c r="V1514" s="36"/>
      <c r="W1514" s="36"/>
      <c r="X1514" s="36"/>
      <c r="Y1514" s="36"/>
      <c r="Z1514" s="36"/>
      <c r="AA1514" s="36"/>
      <c r="AB1514" s="36"/>
      <c r="AC1514" s="36"/>
    </row>
    <row r="1515" spans="17:29" x14ac:dyDescent="0.2">
      <c r="Q1515" s="36"/>
      <c r="R1515" s="36"/>
      <c r="S1515" s="36"/>
      <c r="T1515" s="36"/>
      <c r="U1515" s="36"/>
      <c r="V1515" s="36"/>
      <c r="W1515" s="36"/>
      <c r="X1515" s="36"/>
      <c r="Y1515" s="36"/>
      <c r="Z1515" s="36"/>
      <c r="AA1515" s="36"/>
      <c r="AB1515" s="36"/>
      <c r="AC1515" s="36"/>
    </row>
    <row r="1516" spans="17:29" x14ac:dyDescent="0.2">
      <c r="Q1516" s="36"/>
      <c r="R1516" s="36"/>
      <c r="S1516" s="36"/>
      <c r="T1516" s="36"/>
      <c r="U1516" s="36"/>
      <c r="V1516" s="36"/>
      <c r="W1516" s="36"/>
      <c r="X1516" s="36"/>
      <c r="Y1516" s="36"/>
      <c r="Z1516" s="36"/>
      <c r="AA1516" s="36"/>
      <c r="AB1516" s="36"/>
      <c r="AC1516" s="36"/>
    </row>
    <row r="1517" spans="17:29" x14ac:dyDescent="0.2">
      <c r="Q1517" s="36"/>
      <c r="R1517" s="36"/>
      <c r="S1517" s="36"/>
      <c r="T1517" s="36"/>
      <c r="U1517" s="36"/>
      <c r="V1517" s="36"/>
      <c r="W1517" s="36"/>
      <c r="X1517" s="36"/>
      <c r="Y1517" s="36"/>
      <c r="Z1517" s="36"/>
      <c r="AA1517" s="36"/>
      <c r="AB1517" s="36"/>
      <c r="AC1517" s="36"/>
    </row>
    <row r="1518" spans="17:29" x14ac:dyDescent="0.2">
      <c r="Q1518" s="36"/>
      <c r="R1518" s="36"/>
      <c r="S1518" s="36"/>
      <c r="T1518" s="36"/>
      <c r="U1518" s="36"/>
      <c r="V1518" s="36"/>
      <c r="W1518" s="36"/>
      <c r="X1518" s="36"/>
      <c r="Y1518" s="36"/>
      <c r="Z1518" s="36"/>
      <c r="AA1518" s="36"/>
      <c r="AB1518" s="36"/>
      <c r="AC1518" s="36"/>
    </row>
    <row r="1519" spans="17:29" x14ac:dyDescent="0.2">
      <c r="Q1519" s="36"/>
      <c r="R1519" s="36"/>
      <c r="S1519" s="36"/>
      <c r="T1519" s="36"/>
      <c r="U1519" s="36"/>
      <c r="V1519" s="36"/>
      <c r="W1519" s="36"/>
      <c r="X1519" s="36"/>
      <c r="Y1519" s="36"/>
      <c r="Z1519" s="36"/>
      <c r="AA1519" s="36"/>
      <c r="AB1519" s="36"/>
      <c r="AC1519" s="36"/>
    </row>
    <row r="1520" spans="17:29" x14ac:dyDescent="0.2">
      <c r="Q1520" s="36"/>
      <c r="R1520" s="36"/>
      <c r="S1520" s="36"/>
      <c r="T1520" s="36"/>
      <c r="U1520" s="36"/>
      <c r="V1520" s="36"/>
      <c r="W1520" s="36"/>
      <c r="X1520" s="36"/>
      <c r="Y1520" s="36"/>
      <c r="Z1520" s="36"/>
      <c r="AA1520" s="36"/>
      <c r="AB1520" s="36"/>
      <c r="AC1520" s="36"/>
    </row>
    <row r="1521" spans="17:29" x14ac:dyDescent="0.2">
      <c r="Q1521" s="36"/>
      <c r="R1521" s="36"/>
      <c r="S1521" s="36"/>
      <c r="T1521" s="36"/>
      <c r="U1521" s="36"/>
      <c r="V1521" s="36"/>
      <c r="W1521" s="36"/>
      <c r="X1521" s="36"/>
      <c r="Y1521" s="36"/>
      <c r="Z1521" s="36"/>
      <c r="AA1521" s="36"/>
      <c r="AB1521" s="36"/>
      <c r="AC1521" s="36"/>
    </row>
    <row r="1522" spans="17:29" x14ac:dyDescent="0.2">
      <c r="Q1522" s="36"/>
      <c r="R1522" s="36"/>
      <c r="S1522" s="36"/>
      <c r="T1522" s="36"/>
      <c r="U1522" s="36"/>
      <c r="V1522" s="36"/>
      <c r="W1522" s="36"/>
      <c r="X1522" s="36"/>
      <c r="Y1522" s="36"/>
      <c r="Z1522" s="36"/>
      <c r="AA1522" s="36"/>
      <c r="AB1522" s="36"/>
      <c r="AC1522" s="36"/>
    </row>
    <row r="1523" spans="17:29" x14ac:dyDescent="0.2">
      <c r="Q1523" s="36"/>
      <c r="R1523" s="36"/>
      <c r="S1523" s="36"/>
      <c r="T1523" s="36"/>
      <c r="U1523" s="36"/>
      <c r="V1523" s="36"/>
      <c r="W1523" s="36"/>
      <c r="X1523" s="36"/>
      <c r="Y1523" s="36"/>
      <c r="Z1523" s="36"/>
      <c r="AA1523" s="36"/>
      <c r="AB1523" s="36"/>
      <c r="AC1523" s="36"/>
    </row>
    <row r="1524" spans="17:29" x14ac:dyDescent="0.2">
      <c r="Q1524" s="36"/>
      <c r="R1524" s="36"/>
      <c r="S1524" s="36"/>
      <c r="T1524" s="36"/>
      <c r="U1524" s="36"/>
      <c r="V1524" s="36"/>
      <c r="W1524" s="36"/>
      <c r="X1524" s="36"/>
      <c r="Y1524" s="36"/>
      <c r="Z1524" s="36"/>
      <c r="AA1524" s="36"/>
      <c r="AB1524" s="36"/>
      <c r="AC1524" s="36"/>
    </row>
    <row r="1525" spans="17:29" x14ac:dyDescent="0.2">
      <c r="Q1525" s="36"/>
      <c r="R1525" s="36"/>
      <c r="S1525" s="36"/>
      <c r="T1525" s="36"/>
      <c r="U1525" s="36"/>
      <c r="V1525" s="36"/>
      <c r="W1525" s="36"/>
      <c r="X1525" s="36"/>
      <c r="Y1525" s="36"/>
      <c r="Z1525" s="36"/>
      <c r="AA1525" s="36"/>
      <c r="AB1525" s="36"/>
      <c r="AC1525" s="36"/>
    </row>
    <row r="1526" spans="17:29" x14ac:dyDescent="0.2">
      <c r="Q1526" s="36"/>
      <c r="R1526" s="36"/>
      <c r="S1526" s="36"/>
      <c r="T1526" s="36"/>
      <c r="U1526" s="36"/>
      <c r="V1526" s="36"/>
      <c r="W1526" s="36"/>
      <c r="X1526" s="36"/>
      <c r="Y1526" s="36"/>
      <c r="Z1526" s="36"/>
      <c r="AA1526" s="36"/>
      <c r="AB1526" s="36"/>
      <c r="AC1526" s="36"/>
    </row>
    <row r="1527" spans="17:29" x14ac:dyDescent="0.2">
      <c r="Q1527" s="36"/>
      <c r="R1527" s="36"/>
      <c r="S1527" s="36"/>
      <c r="T1527" s="36"/>
      <c r="U1527" s="36"/>
      <c r="V1527" s="36"/>
      <c r="W1527" s="36"/>
      <c r="X1527" s="36"/>
      <c r="Y1527" s="36"/>
      <c r="Z1527" s="36"/>
      <c r="AA1527" s="36"/>
      <c r="AB1527" s="36"/>
      <c r="AC1527" s="36"/>
    </row>
    <row r="1528" spans="17:29" x14ac:dyDescent="0.2">
      <c r="Q1528" s="36"/>
      <c r="R1528" s="36"/>
      <c r="S1528" s="36"/>
      <c r="T1528" s="36"/>
      <c r="U1528" s="36"/>
      <c r="V1528" s="36"/>
      <c r="W1528" s="36"/>
      <c r="X1528" s="36"/>
      <c r="Y1528" s="36"/>
      <c r="Z1528" s="36"/>
      <c r="AA1528" s="36"/>
      <c r="AB1528" s="36"/>
      <c r="AC1528" s="36"/>
    </row>
    <row r="1529" spans="17:29" x14ac:dyDescent="0.2">
      <c r="Q1529" s="36"/>
      <c r="R1529" s="36"/>
      <c r="S1529" s="36"/>
      <c r="T1529" s="36"/>
      <c r="U1529" s="36"/>
      <c r="V1529" s="36"/>
      <c r="W1529" s="36"/>
      <c r="X1529" s="36"/>
      <c r="Y1529" s="36"/>
      <c r="Z1529" s="36"/>
      <c r="AA1529" s="36"/>
      <c r="AB1529" s="36"/>
      <c r="AC1529" s="36"/>
    </row>
    <row r="1530" spans="17:29" x14ac:dyDescent="0.2">
      <c r="Q1530" s="36"/>
      <c r="R1530" s="36"/>
      <c r="S1530" s="36"/>
      <c r="T1530" s="36"/>
      <c r="U1530" s="36"/>
      <c r="V1530" s="36"/>
      <c r="W1530" s="36"/>
      <c r="X1530" s="36"/>
      <c r="Y1530" s="36"/>
      <c r="Z1530" s="36"/>
      <c r="AA1530" s="36"/>
      <c r="AB1530" s="36"/>
      <c r="AC1530" s="36"/>
    </row>
    <row r="1531" spans="17:29" x14ac:dyDescent="0.2">
      <c r="Q1531" s="36"/>
      <c r="R1531" s="36"/>
      <c r="S1531" s="36"/>
      <c r="T1531" s="36"/>
      <c r="U1531" s="36"/>
      <c r="V1531" s="36"/>
      <c r="W1531" s="36"/>
      <c r="X1531" s="36"/>
      <c r="Y1531" s="36"/>
      <c r="Z1531" s="36"/>
      <c r="AA1531" s="36"/>
      <c r="AB1531" s="36"/>
      <c r="AC1531" s="36"/>
    </row>
    <row r="1532" spans="17:29" x14ac:dyDescent="0.2">
      <c r="Q1532" s="36"/>
      <c r="R1532" s="36"/>
      <c r="S1532" s="36"/>
      <c r="T1532" s="36"/>
      <c r="U1532" s="36"/>
      <c r="V1532" s="36"/>
      <c r="W1532" s="36"/>
      <c r="X1532" s="36"/>
      <c r="Y1532" s="36"/>
      <c r="Z1532" s="36"/>
      <c r="AA1532" s="36"/>
      <c r="AB1532" s="36"/>
      <c r="AC1532" s="36"/>
    </row>
    <row r="1533" spans="17:29" x14ac:dyDescent="0.2">
      <c r="Q1533" s="36"/>
      <c r="R1533" s="36"/>
      <c r="S1533" s="36"/>
      <c r="T1533" s="36"/>
      <c r="U1533" s="36"/>
      <c r="V1533" s="36"/>
      <c r="W1533" s="36"/>
      <c r="X1533" s="36"/>
      <c r="Y1533" s="36"/>
      <c r="Z1533" s="36"/>
      <c r="AA1533" s="36"/>
      <c r="AB1533" s="36"/>
      <c r="AC1533" s="36"/>
    </row>
    <row r="1534" spans="17:29" x14ac:dyDescent="0.2">
      <c r="Q1534" s="36"/>
      <c r="R1534" s="36"/>
      <c r="S1534" s="36"/>
      <c r="T1534" s="36"/>
      <c r="U1534" s="36"/>
      <c r="V1534" s="36"/>
      <c r="W1534" s="36"/>
      <c r="X1534" s="36"/>
      <c r="Y1534" s="36"/>
      <c r="Z1534" s="36"/>
      <c r="AA1534" s="36"/>
      <c r="AB1534" s="36"/>
      <c r="AC1534" s="36"/>
    </row>
    <row r="1535" spans="17:29" x14ac:dyDescent="0.2">
      <c r="Q1535" s="36"/>
      <c r="R1535" s="36"/>
      <c r="S1535" s="36"/>
      <c r="T1535" s="36"/>
      <c r="U1535" s="36"/>
      <c r="V1535" s="36"/>
      <c r="W1535" s="36"/>
      <c r="X1535" s="36"/>
      <c r="Y1535" s="36"/>
      <c r="Z1535" s="36"/>
      <c r="AA1535" s="36"/>
      <c r="AB1535" s="36"/>
      <c r="AC1535" s="36"/>
    </row>
    <row r="1536" spans="17:29" x14ac:dyDescent="0.2">
      <c r="Q1536" s="36"/>
      <c r="R1536" s="36"/>
      <c r="S1536" s="36"/>
      <c r="T1536" s="36"/>
      <c r="U1536" s="36"/>
      <c r="V1536" s="36"/>
      <c r="W1536" s="36"/>
      <c r="X1536" s="36"/>
      <c r="Y1536" s="36"/>
      <c r="Z1536" s="36"/>
      <c r="AA1536" s="36"/>
      <c r="AB1536" s="36"/>
      <c r="AC1536" s="36"/>
    </row>
    <row r="1537" spans="17:29" x14ac:dyDescent="0.2">
      <c r="Q1537" s="36"/>
      <c r="R1537" s="36"/>
      <c r="S1537" s="36"/>
      <c r="T1537" s="36"/>
      <c r="U1537" s="36"/>
      <c r="V1537" s="36"/>
      <c r="W1537" s="36"/>
      <c r="X1537" s="36"/>
      <c r="Y1537" s="36"/>
      <c r="Z1537" s="36"/>
      <c r="AA1537" s="36"/>
      <c r="AB1537" s="36"/>
      <c r="AC1537" s="36"/>
    </row>
    <row r="1538" spans="17:29" x14ac:dyDescent="0.2">
      <c r="Q1538" s="36"/>
      <c r="R1538" s="36"/>
      <c r="S1538" s="36"/>
      <c r="T1538" s="36"/>
      <c r="U1538" s="36"/>
      <c r="V1538" s="36"/>
      <c r="W1538" s="36"/>
      <c r="X1538" s="36"/>
      <c r="Y1538" s="36"/>
      <c r="Z1538" s="36"/>
      <c r="AA1538" s="36"/>
      <c r="AB1538" s="36"/>
      <c r="AC1538" s="36"/>
    </row>
    <row r="1539" spans="17:29" x14ac:dyDescent="0.2">
      <c r="Q1539" s="36"/>
      <c r="R1539" s="36"/>
      <c r="S1539" s="36"/>
      <c r="T1539" s="36"/>
      <c r="U1539" s="36"/>
      <c r="V1539" s="36"/>
      <c r="W1539" s="36"/>
      <c r="X1539" s="36"/>
      <c r="Y1539" s="36"/>
      <c r="Z1539" s="36"/>
      <c r="AA1539" s="36"/>
      <c r="AB1539" s="36"/>
      <c r="AC1539" s="36"/>
    </row>
    <row r="1540" spans="17:29" x14ac:dyDescent="0.2">
      <c r="Q1540" s="36"/>
      <c r="R1540" s="36"/>
      <c r="S1540" s="36"/>
      <c r="T1540" s="36"/>
      <c r="U1540" s="36"/>
      <c r="V1540" s="36"/>
      <c r="W1540" s="36"/>
      <c r="X1540" s="36"/>
      <c r="Y1540" s="36"/>
      <c r="Z1540" s="36"/>
      <c r="AA1540" s="36"/>
      <c r="AB1540" s="36"/>
      <c r="AC1540" s="36"/>
    </row>
    <row r="1541" spans="17:29" x14ac:dyDescent="0.2">
      <c r="Q1541" s="36"/>
      <c r="R1541" s="36"/>
      <c r="S1541" s="36"/>
      <c r="T1541" s="36"/>
      <c r="U1541" s="36"/>
      <c r="V1541" s="36"/>
      <c r="W1541" s="36"/>
      <c r="X1541" s="36"/>
      <c r="Y1541" s="36"/>
      <c r="Z1541" s="36"/>
      <c r="AA1541" s="36"/>
      <c r="AB1541" s="36"/>
      <c r="AC1541" s="36"/>
    </row>
    <row r="1542" spans="17:29" x14ac:dyDescent="0.2">
      <c r="Q1542" s="36"/>
      <c r="R1542" s="36"/>
      <c r="S1542" s="36"/>
      <c r="T1542" s="36"/>
      <c r="U1542" s="36"/>
      <c r="V1542" s="36"/>
      <c r="W1542" s="36"/>
      <c r="X1542" s="36"/>
      <c r="Y1542" s="36"/>
      <c r="Z1542" s="36"/>
      <c r="AA1542" s="36"/>
      <c r="AB1542" s="36"/>
      <c r="AC1542" s="36"/>
    </row>
    <row r="1543" spans="17:29" x14ac:dyDescent="0.2">
      <c r="Q1543" s="36"/>
      <c r="R1543" s="36"/>
      <c r="S1543" s="36"/>
      <c r="T1543" s="36"/>
      <c r="U1543" s="36"/>
      <c r="V1543" s="36"/>
      <c r="W1543" s="36"/>
      <c r="X1543" s="36"/>
      <c r="Y1543" s="36"/>
      <c r="Z1543" s="36"/>
      <c r="AA1543" s="36"/>
      <c r="AB1543" s="36"/>
      <c r="AC1543" s="36"/>
    </row>
    <row r="1544" spans="17:29" x14ac:dyDescent="0.2">
      <c r="Q1544" s="36"/>
      <c r="R1544" s="36"/>
      <c r="S1544" s="36"/>
      <c r="T1544" s="36"/>
      <c r="U1544" s="36"/>
      <c r="V1544" s="36"/>
      <c r="W1544" s="36"/>
      <c r="X1544" s="36"/>
      <c r="Y1544" s="36"/>
      <c r="Z1544" s="36"/>
      <c r="AA1544" s="36"/>
      <c r="AB1544" s="36"/>
      <c r="AC1544" s="36"/>
    </row>
    <row r="1545" spans="17:29" x14ac:dyDescent="0.2">
      <c r="Q1545" s="36"/>
      <c r="R1545" s="36"/>
      <c r="S1545" s="36"/>
      <c r="T1545" s="36"/>
      <c r="U1545" s="36"/>
      <c r="V1545" s="36"/>
      <c r="W1545" s="36"/>
      <c r="X1545" s="36"/>
      <c r="Y1545" s="36"/>
      <c r="Z1545" s="36"/>
      <c r="AA1545" s="36"/>
      <c r="AB1545" s="36"/>
      <c r="AC1545" s="36"/>
    </row>
    <row r="1546" spans="17:29" x14ac:dyDescent="0.2">
      <c r="Q1546" s="36"/>
      <c r="R1546" s="36"/>
      <c r="S1546" s="36"/>
      <c r="T1546" s="36"/>
      <c r="U1546" s="36"/>
      <c r="V1546" s="36"/>
      <c r="W1546" s="36"/>
      <c r="X1546" s="36"/>
      <c r="Y1546" s="36"/>
      <c r="Z1546" s="36"/>
      <c r="AA1546" s="36"/>
      <c r="AB1546" s="36"/>
      <c r="AC1546" s="36"/>
    </row>
    <row r="1547" spans="17:29" x14ac:dyDescent="0.2">
      <c r="Q1547" s="36"/>
      <c r="R1547" s="36"/>
      <c r="S1547" s="36"/>
      <c r="T1547" s="36"/>
      <c r="U1547" s="36"/>
      <c r="V1547" s="36"/>
      <c r="W1547" s="36"/>
      <c r="X1547" s="36"/>
      <c r="Y1547" s="36"/>
      <c r="Z1547" s="36"/>
      <c r="AA1547" s="36"/>
      <c r="AB1547" s="36"/>
      <c r="AC1547" s="36"/>
    </row>
    <row r="1548" spans="17:29" x14ac:dyDescent="0.2">
      <c r="Q1548" s="36"/>
      <c r="R1548" s="36"/>
      <c r="S1548" s="36"/>
      <c r="T1548" s="36"/>
      <c r="U1548" s="36"/>
      <c r="V1548" s="36"/>
      <c r="W1548" s="36"/>
      <c r="X1548" s="36"/>
      <c r="Y1548" s="36"/>
      <c r="Z1548" s="36"/>
      <c r="AA1548" s="36"/>
      <c r="AB1548" s="36"/>
      <c r="AC1548" s="36"/>
    </row>
    <row r="1549" spans="17:29" x14ac:dyDescent="0.2">
      <c r="Q1549" s="36"/>
      <c r="R1549" s="36"/>
      <c r="S1549" s="36"/>
      <c r="T1549" s="36"/>
      <c r="U1549" s="36"/>
      <c r="V1549" s="36"/>
      <c r="W1549" s="36"/>
      <c r="X1549" s="36"/>
      <c r="Y1549" s="36"/>
      <c r="Z1549" s="36"/>
      <c r="AA1549" s="36"/>
      <c r="AB1549" s="36"/>
      <c r="AC1549" s="36"/>
    </row>
    <row r="1550" spans="17:29" x14ac:dyDescent="0.2">
      <c r="Q1550" s="36"/>
      <c r="R1550" s="36"/>
      <c r="S1550" s="36"/>
      <c r="T1550" s="36"/>
      <c r="U1550" s="36"/>
      <c r="V1550" s="36"/>
      <c r="W1550" s="36"/>
      <c r="X1550" s="36"/>
      <c r="Y1550" s="36"/>
      <c r="Z1550" s="36"/>
      <c r="AA1550" s="36"/>
      <c r="AB1550" s="36"/>
      <c r="AC1550" s="36"/>
    </row>
    <row r="1551" spans="17:29" x14ac:dyDescent="0.2">
      <c r="Q1551" s="36"/>
      <c r="R1551" s="36"/>
      <c r="S1551" s="36"/>
      <c r="T1551" s="36"/>
      <c r="U1551" s="36"/>
      <c r="V1551" s="36"/>
      <c r="W1551" s="36"/>
      <c r="X1551" s="36"/>
      <c r="Y1551" s="36"/>
      <c r="Z1551" s="36"/>
      <c r="AA1551" s="36"/>
      <c r="AB1551" s="36"/>
      <c r="AC1551" s="36"/>
    </row>
    <row r="1552" spans="17:29" x14ac:dyDescent="0.2">
      <c r="Q1552" s="36"/>
      <c r="R1552" s="36"/>
      <c r="S1552" s="36"/>
      <c r="T1552" s="36"/>
      <c r="U1552" s="36"/>
      <c r="V1552" s="36"/>
      <c r="W1552" s="36"/>
      <c r="X1552" s="36"/>
      <c r="Y1552" s="36"/>
      <c r="Z1552" s="36"/>
      <c r="AA1552" s="36"/>
      <c r="AB1552" s="36"/>
      <c r="AC1552" s="36"/>
    </row>
    <row r="1553" spans="17:29" x14ac:dyDescent="0.2">
      <c r="Q1553" s="36"/>
      <c r="R1553" s="36"/>
      <c r="S1553" s="36"/>
      <c r="T1553" s="36"/>
      <c r="U1553" s="36"/>
      <c r="V1553" s="36"/>
      <c r="W1553" s="36"/>
      <c r="X1553" s="36"/>
      <c r="Y1553" s="36"/>
      <c r="Z1553" s="36"/>
      <c r="AA1553" s="36"/>
      <c r="AB1553" s="36"/>
      <c r="AC1553" s="36"/>
    </row>
    <row r="1554" spans="17:29" x14ac:dyDescent="0.2">
      <c r="Q1554" s="36"/>
      <c r="R1554" s="36"/>
      <c r="S1554" s="36"/>
      <c r="T1554" s="36"/>
      <c r="U1554" s="36"/>
      <c r="V1554" s="36"/>
      <c r="W1554" s="36"/>
      <c r="X1554" s="36"/>
      <c r="Y1554" s="36"/>
      <c r="Z1554" s="36"/>
      <c r="AA1554" s="36"/>
      <c r="AB1554" s="36"/>
      <c r="AC1554" s="36"/>
    </row>
    <row r="1555" spans="17:29" x14ac:dyDescent="0.2">
      <c r="Q1555" s="36"/>
      <c r="R1555" s="36"/>
      <c r="S1555" s="36"/>
      <c r="T1555" s="36"/>
      <c r="U1555" s="36"/>
      <c r="V1555" s="36"/>
      <c r="W1555" s="36"/>
      <c r="X1555" s="36"/>
      <c r="Y1555" s="36"/>
      <c r="Z1555" s="36"/>
      <c r="AA1555" s="36"/>
      <c r="AB1555" s="36"/>
      <c r="AC1555" s="36"/>
    </row>
    <row r="1556" spans="17:29" x14ac:dyDescent="0.2">
      <c r="Q1556" s="36"/>
      <c r="R1556" s="36"/>
      <c r="S1556" s="36"/>
      <c r="T1556" s="36"/>
      <c r="U1556" s="36"/>
      <c r="V1556" s="36"/>
      <c r="W1556" s="36"/>
      <c r="X1556" s="36"/>
      <c r="Y1556" s="36"/>
      <c r="Z1556" s="36"/>
      <c r="AA1556" s="36"/>
      <c r="AB1556" s="36"/>
      <c r="AC1556" s="36"/>
    </row>
    <row r="1557" spans="17:29" x14ac:dyDescent="0.2">
      <c r="Q1557" s="36"/>
      <c r="R1557" s="36"/>
      <c r="S1557" s="36"/>
      <c r="T1557" s="36"/>
      <c r="U1557" s="36"/>
      <c r="V1557" s="36"/>
      <c r="W1557" s="36"/>
      <c r="X1557" s="36"/>
      <c r="Y1557" s="36"/>
      <c r="Z1557" s="36"/>
      <c r="AA1557" s="36"/>
      <c r="AB1557" s="36"/>
      <c r="AC1557" s="36"/>
    </row>
    <row r="1558" spans="17:29" x14ac:dyDescent="0.2">
      <c r="Q1558" s="36"/>
      <c r="R1558" s="36"/>
      <c r="S1558" s="36"/>
      <c r="T1558" s="36"/>
      <c r="U1558" s="36"/>
      <c r="V1558" s="36"/>
      <c r="W1558" s="36"/>
      <c r="X1558" s="36"/>
      <c r="Y1558" s="36"/>
      <c r="Z1558" s="36"/>
      <c r="AA1558" s="36"/>
      <c r="AB1558" s="36"/>
      <c r="AC1558" s="36"/>
    </row>
    <row r="1559" spans="17:29" x14ac:dyDescent="0.2">
      <c r="Q1559" s="36"/>
      <c r="R1559" s="36"/>
      <c r="S1559" s="36"/>
      <c r="T1559" s="36"/>
      <c r="U1559" s="36"/>
      <c r="V1559" s="36"/>
      <c r="W1559" s="36"/>
      <c r="X1559" s="36"/>
      <c r="Y1559" s="36"/>
      <c r="Z1559" s="36"/>
      <c r="AA1559" s="36"/>
      <c r="AB1559" s="36"/>
      <c r="AC1559" s="36"/>
    </row>
    <row r="1560" spans="17:29" x14ac:dyDescent="0.2">
      <c r="Q1560" s="36"/>
      <c r="R1560" s="36"/>
      <c r="S1560" s="36"/>
      <c r="T1560" s="36"/>
      <c r="U1560" s="36"/>
      <c r="V1560" s="36"/>
      <c r="W1560" s="36"/>
      <c r="X1560" s="36"/>
      <c r="Y1560" s="36"/>
      <c r="Z1560" s="36"/>
      <c r="AA1560" s="36"/>
      <c r="AB1560" s="36"/>
      <c r="AC1560" s="36"/>
    </row>
    <row r="1561" spans="17:29" x14ac:dyDescent="0.2">
      <c r="Q1561" s="36"/>
      <c r="R1561" s="36"/>
      <c r="S1561" s="36"/>
      <c r="T1561" s="36"/>
      <c r="U1561" s="36"/>
      <c r="V1561" s="36"/>
      <c r="W1561" s="36"/>
      <c r="X1561" s="36"/>
      <c r="Y1561" s="36"/>
      <c r="Z1561" s="36"/>
      <c r="AA1561" s="36"/>
      <c r="AB1561" s="36"/>
      <c r="AC1561" s="36"/>
    </row>
    <row r="1562" spans="17:29" x14ac:dyDescent="0.2">
      <c r="Q1562" s="36"/>
      <c r="R1562" s="36"/>
      <c r="S1562" s="36"/>
      <c r="T1562" s="36"/>
      <c r="U1562" s="36"/>
      <c r="V1562" s="36"/>
      <c r="W1562" s="36"/>
      <c r="X1562" s="36"/>
      <c r="Y1562" s="36"/>
      <c r="Z1562" s="36"/>
      <c r="AA1562" s="36"/>
      <c r="AB1562" s="36"/>
      <c r="AC1562" s="36"/>
    </row>
    <row r="1563" spans="17:29" x14ac:dyDescent="0.2">
      <c r="Q1563" s="36"/>
      <c r="R1563" s="36"/>
      <c r="S1563" s="36"/>
      <c r="T1563" s="36"/>
      <c r="U1563" s="36"/>
      <c r="V1563" s="36"/>
      <c r="W1563" s="36"/>
      <c r="X1563" s="36"/>
      <c r="Y1563" s="36"/>
      <c r="Z1563" s="36"/>
      <c r="AA1563" s="36"/>
      <c r="AB1563" s="36"/>
      <c r="AC1563" s="36"/>
    </row>
    <row r="1564" spans="17:29" x14ac:dyDescent="0.2">
      <c r="Q1564" s="36"/>
      <c r="R1564" s="36"/>
      <c r="S1564" s="36"/>
      <c r="T1564" s="36"/>
      <c r="U1564" s="36"/>
      <c r="V1564" s="36"/>
      <c r="W1564" s="36"/>
      <c r="X1564" s="36"/>
      <c r="Y1564" s="36"/>
      <c r="Z1564" s="36"/>
      <c r="AA1564" s="36"/>
      <c r="AB1564" s="36"/>
      <c r="AC1564" s="36"/>
    </row>
    <row r="1565" spans="17:29" x14ac:dyDescent="0.2">
      <c r="Q1565" s="36"/>
      <c r="R1565" s="36"/>
      <c r="S1565" s="36"/>
      <c r="T1565" s="36"/>
      <c r="U1565" s="36"/>
      <c r="V1565" s="36"/>
      <c r="W1565" s="36"/>
      <c r="X1565" s="36"/>
      <c r="Y1565" s="36"/>
      <c r="Z1565" s="36"/>
      <c r="AA1565" s="36"/>
      <c r="AB1565" s="36"/>
      <c r="AC1565" s="36"/>
    </row>
    <row r="1566" spans="17:29" x14ac:dyDescent="0.2">
      <c r="Q1566" s="36"/>
      <c r="R1566" s="36"/>
      <c r="S1566" s="36"/>
      <c r="T1566" s="36"/>
      <c r="U1566" s="36"/>
      <c r="V1566" s="36"/>
      <c r="W1566" s="36"/>
      <c r="X1566" s="36"/>
      <c r="Y1566" s="36"/>
      <c r="Z1566" s="36"/>
      <c r="AA1566" s="36"/>
      <c r="AB1566" s="36"/>
      <c r="AC1566" s="36"/>
    </row>
    <row r="1567" spans="17:29" x14ac:dyDescent="0.2">
      <c r="Q1567" s="36"/>
      <c r="R1567" s="36"/>
      <c r="S1567" s="36"/>
      <c r="T1567" s="36"/>
      <c r="U1567" s="36"/>
      <c r="V1567" s="36"/>
      <c r="W1567" s="36"/>
      <c r="X1567" s="36"/>
      <c r="Y1567" s="36"/>
      <c r="Z1567" s="36"/>
      <c r="AA1567" s="36"/>
      <c r="AB1567" s="36"/>
      <c r="AC1567" s="36"/>
    </row>
    <row r="1568" spans="17:29" x14ac:dyDescent="0.2">
      <c r="Q1568" s="36"/>
      <c r="R1568" s="36"/>
      <c r="S1568" s="36"/>
      <c r="T1568" s="36"/>
      <c r="U1568" s="36"/>
      <c r="V1568" s="36"/>
      <c r="W1568" s="36"/>
      <c r="X1568" s="36"/>
      <c r="Y1568" s="36"/>
      <c r="Z1568" s="36"/>
      <c r="AA1568" s="36"/>
      <c r="AB1568" s="36"/>
      <c r="AC1568" s="36"/>
    </row>
    <row r="1569" spans="17:29" x14ac:dyDescent="0.2">
      <c r="Q1569" s="36"/>
      <c r="R1569" s="36"/>
      <c r="S1569" s="36"/>
      <c r="T1569" s="36"/>
      <c r="U1569" s="36"/>
      <c r="V1569" s="36"/>
      <c r="W1569" s="36"/>
      <c r="X1569" s="36"/>
      <c r="Y1569" s="36"/>
      <c r="Z1569" s="36"/>
      <c r="AA1569" s="36"/>
      <c r="AB1569" s="36"/>
      <c r="AC1569" s="36"/>
    </row>
    <row r="1570" spans="17:29" x14ac:dyDescent="0.2">
      <c r="Q1570" s="36"/>
      <c r="R1570" s="36"/>
      <c r="S1570" s="36"/>
      <c r="T1570" s="36"/>
      <c r="U1570" s="36"/>
      <c r="V1570" s="36"/>
      <c r="W1570" s="36"/>
      <c r="X1570" s="36"/>
      <c r="Y1570" s="36"/>
      <c r="Z1570" s="36"/>
      <c r="AA1570" s="36"/>
      <c r="AB1570" s="36"/>
      <c r="AC1570" s="36"/>
    </row>
    <row r="1571" spans="17:29" x14ac:dyDescent="0.2">
      <c r="Q1571" s="36"/>
      <c r="R1571" s="36"/>
      <c r="S1571" s="36"/>
      <c r="T1571" s="36"/>
      <c r="U1571" s="36"/>
      <c r="V1571" s="36"/>
      <c r="W1571" s="36"/>
      <c r="X1571" s="36"/>
      <c r="Y1571" s="36"/>
      <c r="Z1571" s="36"/>
      <c r="AA1571" s="36"/>
      <c r="AB1571" s="36"/>
      <c r="AC1571" s="36"/>
    </row>
    <row r="1572" spans="17:29" x14ac:dyDescent="0.2">
      <c r="Q1572" s="36"/>
      <c r="R1572" s="36"/>
      <c r="S1572" s="36"/>
      <c r="T1572" s="36"/>
      <c r="U1572" s="36"/>
      <c r="V1572" s="36"/>
      <c r="W1572" s="36"/>
      <c r="X1572" s="36"/>
      <c r="Y1572" s="36"/>
      <c r="Z1572" s="36"/>
      <c r="AA1572" s="36"/>
      <c r="AB1572" s="36"/>
      <c r="AC1572" s="36"/>
    </row>
    <row r="1573" spans="17:29" x14ac:dyDescent="0.2">
      <c r="Q1573" s="36"/>
      <c r="R1573" s="36"/>
      <c r="S1573" s="36"/>
      <c r="T1573" s="36"/>
      <c r="U1573" s="36"/>
      <c r="V1573" s="36"/>
      <c r="W1573" s="36"/>
      <c r="X1573" s="36"/>
      <c r="Y1573" s="36"/>
      <c r="Z1573" s="36"/>
      <c r="AA1573" s="36"/>
      <c r="AB1573" s="36"/>
      <c r="AC1573" s="36"/>
    </row>
    <row r="1574" spans="17:29" x14ac:dyDescent="0.2">
      <c r="Q1574" s="36"/>
      <c r="R1574" s="36"/>
      <c r="S1574" s="36"/>
      <c r="T1574" s="36"/>
      <c r="U1574" s="36"/>
      <c r="V1574" s="36"/>
      <c r="W1574" s="36"/>
      <c r="X1574" s="36"/>
      <c r="Y1574" s="36"/>
      <c r="Z1574" s="36"/>
      <c r="AA1574" s="36"/>
      <c r="AB1574" s="36"/>
      <c r="AC1574" s="36"/>
    </row>
    <row r="1575" spans="17:29" x14ac:dyDescent="0.2">
      <c r="Q1575" s="36"/>
      <c r="R1575" s="36"/>
      <c r="S1575" s="36"/>
      <c r="T1575" s="36"/>
      <c r="U1575" s="36"/>
      <c r="V1575" s="36"/>
      <c r="W1575" s="36"/>
      <c r="X1575" s="36"/>
      <c r="Y1575" s="36"/>
      <c r="Z1575" s="36"/>
      <c r="AA1575" s="36"/>
      <c r="AB1575" s="36"/>
      <c r="AC1575" s="36"/>
    </row>
    <row r="1576" spans="17:29" x14ac:dyDescent="0.2">
      <c r="Q1576" s="36"/>
      <c r="R1576" s="36"/>
      <c r="S1576" s="36"/>
      <c r="T1576" s="36"/>
      <c r="U1576" s="36"/>
      <c r="V1576" s="36"/>
      <c r="W1576" s="36"/>
      <c r="X1576" s="36"/>
      <c r="Y1576" s="36"/>
      <c r="Z1576" s="36"/>
      <c r="AA1576" s="36"/>
      <c r="AB1576" s="36"/>
      <c r="AC1576" s="36"/>
    </row>
    <row r="1577" spans="17:29" x14ac:dyDescent="0.2">
      <c r="Q1577" s="36"/>
      <c r="R1577" s="36"/>
      <c r="S1577" s="36"/>
      <c r="T1577" s="36"/>
      <c r="U1577" s="36"/>
      <c r="V1577" s="36"/>
      <c r="W1577" s="36"/>
      <c r="X1577" s="36"/>
      <c r="Y1577" s="36"/>
      <c r="Z1577" s="36"/>
      <c r="AA1577" s="36"/>
      <c r="AB1577" s="36"/>
      <c r="AC1577" s="36"/>
    </row>
    <row r="1578" spans="17:29" x14ac:dyDescent="0.2">
      <c r="Q1578" s="36"/>
      <c r="R1578" s="36"/>
      <c r="S1578" s="36"/>
      <c r="T1578" s="36"/>
      <c r="U1578" s="36"/>
      <c r="V1578" s="36"/>
      <c r="W1578" s="36"/>
      <c r="X1578" s="36"/>
      <c r="Y1578" s="36"/>
      <c r="Z1578" s="36"/>
      <c r="AA1578" s="36"/>
      <c r="AB1578" s="36"/>
      <c r="AC1578" s="36"/>
    </row>
    <row r="1579" spans="17:29" x14ac:dyDescent="0.2">
      <c r="Q1579" s="36"/>
      <c r="R1579" s="36"/>
      <c r="S1579" s="36"/>
      <c r="T1579" s="36"/>
      <c r="U1579" s="36"/>
      <c r="V1579" s="36"/>
      <c r="W1579" s="36"/>
      <c r="X1579" s="36"/>
      <c r="Y1579" s="36"/>
      <c r="Z1579" s="36"/>
      <c r="AA1579" s="36"/>
      <c r="AB1579" s="36"/>
      <c r="AC1579" s="36"/>
    </row>
    <row r="1580" spans="17:29" x14ac:dyDescent="0.2">
      <c r="Q1580" s="36"/>
      <c r="R1580" s="36"/>
      <c r="S1580" s="36"/>
      <c r="T1580" s="36"/>
      <c r="U1580" s="36"/>
      <c r="V1580" s="36"/>
      <c r="W1580" s="36"/>
      <c r="X1580" s="36"/>
      <c r="Y1580" s="36"/>
      <c r="Z1580" s="36"/>
      <c r="AA1580" s="36"/>
      <c r="AB1580" s="36"/>
      <c r="AC1580" s="36"/>
    </row>
    <row r="1581" spans="17:29" x14ac:dyDescent="0.2">
      <c r="Q1581" s="36"/>
      <c r="R1581" s="36"/>
      <c r="S1581" s="36"/>
      <c r="T1581" s="36"/>
      <c r="U1581" s="36"/>
      <c r="V1581" s="36"/>
      <c r="W1581" s="36"/>
      <c r="X1581" s="36"/>
      <c r="Y1581" s="36"/>
      <c r="Z1581" s="36"/>
      <c r="AA1581" s="36"/>
      <c r="AB1581" s="36"/>
      <c r="AC1581" s="36"/>
    </row>
    <row r="1582" spans="17:29" x14ac:dyDescent="0.2">
      <c r="Q1582" s="36"/>
      <c r="R1582" s="36"/>
      <c r="S1582" s="36"/>
      <c r="T1582" s="36"/>
      <c r="U1582" s="36"/>
      <c r="V1582" s="36"/>
      <c r="W1582" s="36"/>
      <c r="X1582" s="36"/>
      <c r="Y1582" s="36"/>
      <c r="Z1582" s="36"/>
      <c r="AA1582" s="36"/>
      <c r="AB1582" s="36"/>
      <c r="AC1582" s="36"/>
    </row>
    <row r="1583" spans="17:29" x14ac:dyDescent="0.2">
      <c r="Q1583" s="36"/>
      <c r="R1583" s="36"/>
      <c r="S1583" s="36"/>
      <c r="T1583" s="36"/>
      <c r="U1583" s="36"/>
      <c r="V1583" s="36"/>
      <c r="W1583" s="36"/>
      <c r="X1583" s="36"/>
      <c r="Y1583" s="36"/>
      <c r="Z1583" s="36"/>
      <c r="AA1583" s="36"/>
      <c r="AB1583" s="36"/>
      <c r="AC1583" s="36"/>
    </row>
    <row r="1584" spans="17:29" x14ac:dyDescent="0.2">
      <c r="Q1584" s="36"/>
      <c r="R1584" s="36"/>
      <c r="S1584" s="36"/>
      <c r="T1584" s="36"/>
      <c r="U1584" s="36"/>
      <c r="V1584" s="36"/>
      <c r="W1584" s="36"/>
      <c r="X1584" s="36"/>
      <c r="Y1584" s="36"/>
      <c r="Z1584" s="36"/>
      <c r="AA1584" s="36"/>
      <c r="AB1584" s="36"/>
      <c r="AC1584" s="36"/>
    </row>
    <row r="1585" spans="17:29" x14ac:dyDescent="0.2">
      <c r="Q1585" s="36"/>
      <c r="R1585" s="36"/>
      <c r="S1585" s="36"/>
      <c r="T1585" s="36"/>
      <c r="U1585" s="36"/>
      <c r="V1585" s="36"/>
      <c r="W1585" s="36"/>
      <c r="X1585" s="36"/>
      <c r="Y1585" s="36"/>
      <c r="Z1585" s="36"/>
      <c r="AA1585" s="36"/>
      <c r="AB1585" s="36"/>
      <c r="AC1585" s="36"/>
    </row>
    <row r="1586" spans="17:29" x14ac:dyDescent="0.2">
      <c r="Q1586" s="36"/>
      <c r="R1586" s="36"/>
      <c r="S1586" s="36"/>
      <c r="T1586" s="36"/>
      <c r="U1586" s="36"/>
      <c r="V1586" s="36"/>
      <c r="W1586" s="36"/>
      <c r="X1586" s="36"/>
      <c r="Y1586" s="36"/>
      <c r="Z1586" s="36"/>
      <c r="AA1586" s="36"/>
      <c r="AB1586" s="36"/>
      <c r="AC1586" s="36"/>
    </row>
    <row r="1587" spans="17:29" x14ac:dyDescent="0.2">
      <c r="Q1587" s="36"/>
      <c r="R1587" s="36"/>
      <c r="S1587" s="36"/>
      <c r="T1587" s="36"/>
      <c r="U1587" s="36"/>
      <c r="V1587" s="36"/>
      <c r="W1587" s="36"/>
      <c r="X1587" s="36"/>
      <c r="Y1587" s="36"/>
      <c r="Z1587" s="36"/>
      <c r="AA1587" s="36"/>
      <c r="AB1587" s="36"/>
      <c r="AC1587" s="36"/>
    </row>
    <row r="1588" spans="17:29" x14ac:dyDescent="0.2">
      <c r="Q1588" s="36"/>
      <c r="R1588" s="36"/>
      <c r="S1588" s="36"/>
      <c r="T1588" s="36"/>
      <c r="U1588" s="36"/>
      <c r="V1588" s="36"/>
      <c r="W1588" s="36"/>
      <c r="X1588" s="36"/>
      <c r="Y1588" s="36"/>
      <c r="Z1588" s="36"/>
      <c r="AA1588" s="36"/>
      <c r="AB1588" s="36"/>
      <c r="AC1588" s="36"/>
    </row>
    <row r="1589" spans="17:29" x14ac:dyDescent="0.2">
      <c r="Q1589" s="36"/>
      <c r="R1589" s="36"/>
      <c r="S1589" s="36"/>
      <c r="T1589" s="36"/>
      <c r="U1589" s="36"/>
      <c r="V1589" s="36"/>
      <c r="W1589" s="36"/>
      <c r="X1589" s="36"/>
      <c r="Y1589" s="36"/>
      <c r="Z1589" s="36"/>
      <c r="AA1589" s="36"/>
      <c r="AB1589" s="36"/>
      <c r="AC1589" s="36"/>
    </row>
    <row r="1590" spans="17:29" x14ac:dyDescent="0.2">
      <c r="Q1590" s="36"/>
      <c r="R1590" s="36"/>
      <c r="S1590" s="36"/>
      <c r="T1590" s="36"/>
      <c r="U1590" s="36"/>
      <c r="V1590" s="36"/>
      <c r="W1590" s="36"/>
      <c r="X1590" s="36"/>
      <c r="Y1590" s="36"/>
      <c r="Z1590" s="36"/>
      <c r="AA1590" s="36"/>
      <c r="AB1590" s="36"/>
      <c r="AC1590" s="36"/>
    </row>
    <row r="1591" spans="17:29" x14ac:dyDescent="0.2">
      <c r="Q1591" s="36"/>
      <c r="R1591" s="36"/>
      <c r="S1591" s="36"/>
      <c r="T1591" s="36"/>
      <c r="U1591" s="36"/>
      <c r="V1591" s="36"/>
      <c r="W1591" s="36"/>
      <c r="X1591" s="36"/>
      <c r="Y1591" s="36"/>
      <c r="Z1591" s="36"/>
      <c r="AA1591" s="36"/>
      <c r="AB1591" s="36"/>
      <c r="AC1591" s="36"/>
    </row>
    <row r="1592" spans="17:29" x14ac:dyDescent="0.2">
      <c r="Q1592" s="36"/>
      <c r="R1592" s="36"/>
      <c r="S1592" s="36"/>
      <c r="T1592" s="36"/>
      <c r="U1592" s="36"/>
      <c r="V1592" s="36"/>
      <c r="W1592" s="36"/>
      <c r="X1592" s="36"/>
      <c r="Y1592" s="36"/>
      <c r="Z1592" s="36"/>
      <c r="AA1592" s="36"/>
      <c r="AB1592" s="36"/>
      <c r="AC1592" s="36"/>
    </row>
    <row r="1593" spans="17:29" x14ac:dyDescent="0.2">
      <c r="Q1593" s="36"/>
      <c r="R1593" s="36"/>
      <c r="S1593" s="36"/>
      <c r="T1593" s="36"/>
      <c r="U1593" s="36"/>
      <c r="V1593" s="36"/>
      <c r="W1593" s="36"/>
      <c r="X1593" s="36"/>
      <c r="Y1593" s="36"/>
      <c r="Z1593" s="36"/>
      <c r="AA1593" s="36"/>
      <c r="AB1593" s="36"/>
      <c r="AC1593" s="36"/>
    </row>
    <row r="1594" spans="17:29" x14ac:dyDescent="0.2">
      <c r="Q1594" s="36"/>
      <c r="R1594" s="36"/>
      <c r="S1594" s="36"/>
      <c r="T1594" s="36"/>
      <c r="U1594" s="36"/>
      <c r="V1594" s="36"/>
      <c r="W1594" s="36"/>
      <c r="X1594" s="36"/>
      <c r="Y1594" s="36"/>
      <c r="Z1594" s="36"/>
      <c r="AA1594" s="36"/>
      <c r="AB1594" s="36"/>
      <c r="AC1594" s="36"/>
    </row>
    <row r="1595" spans="17:29" x14ac:dyDescent="0.2">
      <c r="Q1595" s="36"/>
      <c r="R1595" s="36"/>
      <c r="S1595" s="36"/>
      <c r="T1595" s="36"/>
      <c r="U1595" s="36"/>
      <c r="V1595" s="36"/>
      <c r="W1595" s="36"/>
      <c r="X1595" s="36"/>
      <c r="Y1595" s="36"/>
      <c r="Z1595" s="36"/>
      <c r="AA1595" s="36"/>
      <c r="AB1595" s="36"/>
      <c r="AC1595" s="36"/>
    </row>
    <row r="1596" spans="17:29" x14ac:dyDescent="0.2">
      <c r="Q1596" s="36"/>
      <c r="R1596" s="36"/>
      <c r="S1596" s="36"/>
      <c r="T1596" s="36"/>
      <c r="U1596" s="36"/>
      <c r="V1596" s="36"/>
      <c r="W1596" s="36"/>
      <c r="X1596" s="36"/>
      <c r="Y1596" s="36"/>
      <c r="Z1596" s="36"/>
      <c r="AA1596" s="36"/>
      <c r="AB1596" s="36"/>
      <c r="AC1596" s="36"/>
    </row>
    <row r="1597" spans="17:29" x14ac:dyDescent="0.2">
      <c r="Q1597" s="36"/>
      <c r="R1597" s="36"/>
      <c r="S1597" s="36"/>
      <c r="T1597" s="36"/>
      <c r="U1597" s="36"/>
      <c r="V1597" s="36"/>
      <c r="W1597" s="36"/>
      <c r="X1597" s="36"/>
      <c r="Y1597" s="36"/>
      <c r="Z1597" s="36"/>
      <c r="AA1597" s="36"/>
      <c r="AB1597" s="36"/>
      <c r="AC1597" s="36"/>
    </row>
    <row r="1598" spans="17:29" x14ac:dyDescent="0.2">
      <c r="Q1598" s="36"/>
      <c r="R1598" s="36"/>
      <c r="S1598" s="36"/>
      <c r="T1598" s="36"/>
      <c r="U1598" s="36"/>
      <c r="V1598" s="36"/>
      <c r="W1598" s="36"/>
      <c r="X1598" s="36"/>
      <c r="Y1598" s="36"/>
      <c r="Z1598" s="36"/>
      <c r="AA1598" s="36"/>
      <c r="AB1598" s="36"/>
      <c r="AC1598" s="36"/>
    </row>
    <row r="1599" spans="17:29" x14ac:dyDescent="0.2">
      <c r="Q1599" s="36"/>
      <c r="R1599" s="36"/>
      <c r="S1599" s="36"/>
      <c r="T1599" s="36"/>
      <c r="U1599" s="36"/>
      <c r="V1599" s="36"/>
      <c r="W1599" s="36"/>
      <c r="X1599" s="36"/>
      <c r="Y1599" s="36"/>
      <c r="Z1599" s="36"/>
      <c r="AA1599" s="36"/>
      <c r="AB1599" s="36"/>
      <c r="AC1599" s="36"/>
    </row>
    <row r="1600" spans="17:29" x14ac:dyDescent="0.2">
      <c r="Q1600" s="36"/>
      <c r="R1600" s="36"/>
      <c r="S1600" s="36"/>
      <c r="T1600" s="36"/>
      <c r="U1600" s="36"/>
      <c r="V1600" s="36"/>
      <c r="W1600" s="36"/>
      <c r="X1600" s="36"/>
      <c r="Y1600" s="36"/>
      <c r="Z1600" s="36"/>
      <c r="AA1600" s="36"/>
      <c r="AB1600" s="36"/>
      <c r="AC1600" s="36"/>
    </row>
    <row r="1601" spans="17:29" x14ac:dyDescent="0.2">
      <c r="Q1601" s="36"/>
      <c r="R1601" s="36"/>
      <c r="S1601" s="36"/>
      <c r="T1601" s="36"/>
      <c r="U1601" s="36"/>
      <c r="V1601" s="36"/>
      <c r="W1601" s="36"/>
      <c r="X1601" s="36"/>
      <c r="Y1601" s="36"/>
      <c r="Z1601" s="36"/>
      <c r="AA1601" s="36"/>
      <c r="AB1601" s="36"/>
      <c r="AC1601" s="36"/>
    </row>
    <row r="1602" spans="17:29" x14ac:dyDescent="0.2">
      <c r="Q1602" s="36"/>
      <c r="R1602" s="36"/>
      <c r="S1602" s="36"/>
      <c r="T1602" s="36"/>
      <c r="U1602" s="36"/>
      <c r="V1602" s="36"/>
      <c r="W1602" s="36"/>
      <c r="X1602" s="36"/>
      <c r="Y1602" s="36"/>
      <c r="Z1602" s="36"/>
      <c r="AA1602" s="36"/>
      <c r="AB1602" s="36"/>
      <c r="AC1602" s="36"/>
    </row>
    <row r="1603" spans="17:29" x14ac:dyDescent="0.2">
      <c r="Q1603" s="36"/>
      <c r="R1603" s="36"/>
      <c r="S1603" s="36"/>
      <c r="T1603" s="36"/>
      <c r="U1603" s="36"/>
      <c r="V1603" s="36"/>
      <c r="W1603" s="36"/>
      <c r="X1603" s="36"/>
      <c r="Y1603" s="36"/>
      <c r="Z1603" s="36"/>
      <c r="AA1603" s="36"/>
      <c r="AB1603" s="36"/>
      <c r="AC1603" s="36"/>
    </row>
    <row r="1604" spans="17:29" x14ac:dyDescent="0.2">
      <c r="Q1604" s="36"/>
      <c r="R1604" s="36"/>
      <c r="S1604" s="36"/>
      <c r="T1604" s="36"/>
      <c r="U1604" s="36"/>
      <c r="V1604" s="36"/>
      <c r="W1604" s="36"/>
      <c r="X1604" s="36"/>
      <c r="Y1604" s="36"/>
      <c r="Z1604" s="36"/>
      <c r="AA1604" s="36"/>
      <c r="AB1604" s="36"/>
      <c r="AC1604" s="36"/>
    </row>
    <row r="1605" spans="17:29" x14ac:dyDescent="0.2">
      <c r="Q1605" s="36"/>
      <c r="R1605" s="36"/>
      <c r="S1605" s="36"/>
      <c r="T1605" s="36"/>
      <c r="U1605" s="36"/>
      <c r="V1605" s="36"/>
      <c r="W1605" s="36"/>
      <c r="X1605" s="36"/>
      <c r="Y1605" s="36"/>
      <c r="Z1605" s="36"/>
      <c r="AA1605" s="36"/>
      <c r="AB1605" s="36"/>
      <c r="AC1605" s="36"/>
    </row>
    <row r="1606" spans="17:29" x14ac:dyDescent="0.2">
      <c r="Q1606" s="36"/>
      <c r="R1606" s="36"/>
      <c r="S1606" s="36"/>
      <c r="T1606" s="36"/>
      <c r="U1606" s="36"/>
      <c r="V1606" s="36"/>
      <c r="W1606" s="36"/>
      <c r="X1606" s="36"/>
      <c r="Y1606" s="36"/>
      <c r="Z1606" s="36"/>
      <c r="AA1606" s="36"/>
      <c r="AB1606" s="36"/>
      <c r="AC1606" s="36"/>
    </row>
    <row r="1607" spans="17:29" x14ac:dyDescent="0.2">
      <c r="Q1607" s="36"/>
      <c r="R1607" s="36"/>
      <c r="S1607" s="36"/>
      <c r="T1607" s="36"/>
      <c r="U1607" s="36"/>
      <c r="V1607" s="36"/>
      <c r="W1607" s="36"/>
      <c r="X1607" s="36"/>
      <c r="Y1607" s="36"/>
      <c r="Z1607" s="36"/>
      <c r="AA1607" s="36"/>
      <c r="AB1607" s="36"/>
      <c r="AC1607" s="36"/>
    </row>
    <row r="1608" spans="17:29" x14ac:dyDescent="0.2">
      <c r="Q1608" s="36"/>
      <c r="R1608" s="36"/>
      <c r="S1608" s="36"/>
      <c r="T1608" s="36"/>
      <c r="U1608" s="36"/>
      <c r="V1608" s="36"/>
      <c r="W1608" s="36"/>
      <c r="X1608" s="36"/>
      <c r="Y1608" s="36"/>
      <c r="Z1608" s="36"/>
      <c r="AA1608" s="36"/>
      <c r="AB1608" s="36"/>
      <c r="AC1608" s="36"/>
    </row>
    <row r="1609" spans="17:29" x14ac:dyDescent="0.2">
      <c r="Q1609" s="36"/>
      <c r="R1609" s="36"/>
      <c r="S1609" s="36"/>
      <c r="T1609" s="36"/>
      <c r="U1609" s="36"/>
      <c r="V1609" s="36"/>
      <c r="W1609" s="36"/>
      <c r="X1609" s="36"/>
      <c r="Y1609" s="36"/>
      <c r="Z1609" s="36"/>
      <c r="AA1609" s="36"/>
      <c r="AB1609" s="36"/>
      <c r="AC1609" s="36"/>
    </row>
    <row r="1610" spans="17:29" x14ac:dyDescent="0.2">
      <c r="Q1610" s="36"/>
      <c r="R1610" s="36"/>
      <c r="S1610" s="36"/>
      <c r="T1610" s="36"/>
      <c r="U1610" s="36"/>
      <c r="V1610" s="36"/>
      <c r="W1610" s="36"/>
      <c r="X1610" s="36"/>
      <c r="Y1610" s="36"/>
      <c r="Z1610" s="36"/>
      <c r="AA1610" s="36"/>
      <c r="AB1610" s="36"/>
      <c r="AC1610" s="36"/>
    </row>
    <row r="1611" spans="17:29" x14ac:dyDescent="0.2">
      <c r="Q1611" s="36"/>
      <c r="R1611" s="36"/>
      <c r="S1611" s="36"/>
      <c r="T1611" s="36"/>
      <c r="U1611" s="36"/>
      <c r="V1611" s="36"/>
      <c r="W1611" s="36"/>
      <c r="X1611" s="36"/>
      <c r="Y1611" s="36"/>
      <c r="Z1611" s="36"/>
      <c r="AA1611" s="36"/>
      <c r="AB1611" s="36"/>
      <c r="AC1611" s="36"/>
    </row>
    <row r="1612" spans="17:29" x14ac:dyDescent="0.2">
      <c r="Q1612" s="36"/>
      <c r="R1612" s="36"/>
      <c r="S1612" s="36"/>
      <c r="T1612" s="36"/>
      <c r="U1612" s="36"/>
      <c r="V1612" s="36"/>
      <c r="W1612" s="36"/>
      <c r="X1612" s="36"/>
      <c r="Y1612" s="36"/>
      <c r="Z1612" s="36"/>
      <c r="AA1612" s="36"/>
      <c r="AB1612" s="36"/>
      <c r="AC1612" s="36"/>
    </row>
    <row r="1613" spans="17:29" x14ac:dyDescent="0.2">
      <c r="Q1613" s="36"/>
      <c r="R1613" s="36"/>
      <c r="S1613" s="36"/>
      <c r="T1613" s="36"/>
      <c r="U1613" s="36"/>
      <c r="V1613" s="36"/>
      <c r="W1613" s="36"/>
      <c r="X1613" s="36"/>
      <c r="Y1613" s="36"/>
      <c r="Z1613" s="36"/>
      <c r="AA1613" s="36"/>
      <c r="AB1613" s="36"/>
      <c r="AC1613" s="36"/>
    </row>
    <row r="1614" spans="17:29" x14ac:dyDescent="0.2">
      <c r="Q1614" s="36"/>
      <c r="R1614" s="36"/>
      <c r="S1614" s="36"/>
      <c r="T1614" s="36"/>
      <c r="U1614" s="36"/>
      <c r="V1614" s="36"/>
      <c r="W1614" s="36"/>
      <c r="X1614" s="36"/>
      <c r="Y1614" s="36"/>
      <c r="Z1614" s="36"/>
      <c r="AA1614" s="36"/>
      <c r="AB1614" s="36"/>
      <c r="AC1614" s="36"/>
    </row>
    <row r="1615" spans="17:29" x14ac:dyDescent="0.2">
      <c r="Q1615" s="36"/>
      <c r="R1615" s="36"/>
      <c r="S1615" s="36"/>
      <c r="T1615" s="36"/>
      <c r="U1615" s="36"/>
      <c r="V1615" s="36"/>
      <c r="W1615" s="36"/>
      <c r="X1615" s="36"/>
      <c r="Y1615" s="36"/>
      <c r="Z1615" s="36"/>
      <c r="AA1615" s="36"/>
      <c r="AB1615" s="36"/>
      <c r="AC1615" s="36"/>
    </row>
    <row r="1616" spans="17:29" x14ac:dyDescent="0.2">
      <c r="Q1616" s="36"/>
      <c r="R1616" s="36"/>
      <c r="S1616" s="36"/>
      <c r="T1616" s="36"/>
      <c r="U1616" s="36"/>
      <c r="V1616" s="36"/>
      <c r="W1616" s="36"/>
      <c r="X1616" s="36"/>
      <c r="Y1616" s="36"/>
      <c r="Z1616" s="36"/>
      <c r="AA1616" s="36"/>
      <c r="AB1616" s="36"/>
      <c r="AC1616" s="36"/>
    </row>
    <row r="1617" spans="17:29" x14ac:dyDescent="0.2">
      <c r="Q1617" s="36"/>
      <c r="R1617" s="36"/>
      <c r="S1617" s="36"/>
      <c r="T1617" s="36"/>
      <c r="U1617" s="36"/>
      <c r="V1617" s="36"/>
      <c r="W1617" s="36"/>
      <c r="X1617" s="36"/>
      <c r="Y1617" s="36"/>
      <c r="Z1617" s="36"/>
      <c r="AA1617" s="36"/>
      <c r="AB1617" s="36"/>
      <c r="AC1617" s="36"/>
    </row>
    <row r="1618" spans="17:29" x14ac:dyDescent="0.2">
      <c r="Q1618" s="36"/>
      <c r="R1618" s="36"/>
      <c r="S1618" s="36"/>
      <c r="T1618" s="36"/>
      <c r="U1618" s="36"/>
      <c r="V1618" s="36"/>
      <c r="W1618" s="36"/>
      <c r="X1618" s="36"/>
      <c r="Y1618" s="36"/>
      <c r="Z1618" s="36"/>
      <c r="AA1618" s="36"/>
      <c r="AB1618" s="36"/>
      <c r="AC1618" s="36"/>
    </row>
  </sheetData>
  <dataValidations count="2">
    <dataValidation type="list" allowBlank="1" showInputMessage="1" showErrorMessage="1" sqref="Y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N8:N11 M13">
      <formula1>"TRUE,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Length4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9</xdr:row>
                    <xdr:rowOff>123825</xdr:rowOff>
                  </from>
                  <to>
                    <xdr:col>31</xdr:col>
                    <xdr:colOff>361950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Length1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</xdr:row>
                    <xdr:rowOff>276225</xdr:rowOff>
                  </from>
                  <to>
                    <xdr:col>31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Length7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18</xdr:row>
                    <xdr:rowOff>0</xdr:rowOff>
                  </from>
                  <to>
                    <xdr:col>31</xdr:col>
                    <xdr:colOff>361950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Length2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4</xdr:row>
                    <xdr:rowOff>38100</xdr:rowOff>
                  </from>
                  <to>
                    <xdr:col>31</xdr:col>
                    <xdr:colOff>361950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3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7</xdr:row>
                    <xdr:rowOff>0</xdr:rowOff>
                  </from>
                  <to>
                    <xdr:col>31</xdr:col>
                    <xdr:colOff>361950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5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12</xdr:row>
                    <xdr:rowOff>66675</xdr:rowOff>
                  </from>
                  <to>
                    <xdr:col>31</xdr:col>
                    <xdr:colOff>361950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6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15</xdr:row>
                    <xdr:rowOff>19050</xdr:rowOff>
                  </from>
                  <to>
                    <xdr:col>31</xdr:col>
                    <xdr:colOff>361950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1618"/>
  <sheetViews>
    <sheetView showGridLines="0" topLeftCell="K1" workbookViewId="0">
      <selection activeCell="Q2" sqref="Q2"/>
    </sheetView>
  </sheetViews>
  <sheetFormatPr defaultRowHeight="11.25" outlineLevelCol="1" x14ac:dyDescent="0.2"/>
  <cols>
    <col min="1" max="1" width="10" style="33" hidden="1" customWidth="1" outlineLevel="1"/>
    <col min="2" max="2" width="17.28515625" style="33" hidden="1" customWidth="1" outlineLevel="1"/>
    <col min="3" max="3" width="7" style="33" hidden="1" customWidth="1" outlineLevel="1"/>
    <col min="4" max="4" width="17.28515625" style="33" hidden="1" customWidth="1" outlineLevel="1"/>
    <col min="5" max="5" width="6" style="33" hidden="1" customWidth="1" outlineLevel="1"/>
    <col min="6" max="6" width="10" style="33" hidden="1" customWidth="1" outlineLevel="1"/>
    <col min="7" max="7" width="6" style="33" hidden="1" customWidth="1" outlineLevel="1"/>
    <col min="8" max="8" width="8" style="33" hidden="1" customWidth="1" outlineLevel="1"/>
    <col min="9" max="10" width="12" style="33" hidden="1" customWidth="1" outlineLevel="1"/>
    <col min="11" max="11" width="2.7109375" style="33" customWidth="1" collapsed="1"/>
    <col min="12" max="12" width="12" style="33" bestFit="1" customWidth="1"/>
    <col min="13" max="13" width="15.140625" style="33" bestFit="1" customWidth="1"/>
    <col min="14" max="14" width="9" style="33" bestFit="1" customWidth="1"/>
    <col min="15" max="15" width="2.7109375" style="33" customWidth="1"/>
    <col min="16" max="16" width="3" style="33" bestFit="1" customWidth="1"/>
    <col min="17" max="17" width="6" style="33" bestFit="1" customWidth="1"/>
    <col min="18" max="19" width="17.28515625" style="33" bestFit="1" customWidth="1"/>
    <col min="20" max="20" width="17.28515625" style="33" customWidth="1"/>
    <col min="21" max="23" width="9.7109375" style="33" customWidth="1"/>
    <col min="24" max="26" width="9" style="33" hidden="1" customWidth="1" outlineLevel="1"/>
    <col min="27" max="27" width="11" style="33" bestFit="1" customWidth="1" collapsed="1"/>
    <col min="28" max="28" width="10" style="33" bestFit="1" customWidth="1"/>
    <col min="29" max="29" width="7" style="33" bestFit="1" customWidth="1"/>
    <col min="30" max="33" width="9.140625" style="33"/>
    <col min="34" max="34" width="15.140625" style="33" bestFit="1" customWidth="1"/>
    <col min="35" max="36" width="9.140625" style="33"/>
    <col min="37" max="37" width="13.140625" style="33" bestFit="1" customWidth="1"/>
    <col min="38" max="16384" width="9.140625" style="33"/>
  </cols>
  <sheetData>
    <row r="1" spans="1:29" x14ac:dyDescent="0.2">
      <c r="A1" s="84" t="s">
        <v>25</v>
      </c>
      <c r="B1" s="84"/>
      <c r="C1" s="84"/>
      <c r="D1" s="84"/>
      <c r="E1" s="84"/>
      <c r="F1" s="84" t="s">
        <v>26</v>
      </c>
      <c r="G1" s="84"/>
      <c r="H1" s="84"/>
      <c r="I1" s="84"/>
      <c r="J1" s="84"/>
      <c r="U1" s="42"/>
      <c r="V1" s="42"/>
      <c r="W1" s="34"/>
      <c r="X1" s="34"/>
      <c r="Y1" s="34"/>
      <c r="Z1" s="34"/>
    </row>
    <row r="2" spans="1:29" ht="22.5" customHeight="1" x14ac:dyDescent="0.2">
      <c r="A2" s="85" t="s">
        <v>27</v>
      </c>
      <c r="B2" s="85" t="s">
        <v>28</v>
      </c>
      <c r="C2" s="85" t="s">
        <v>29</v>
      </c>
      <c r="D2" s="85" t="s">
        <v>30</v>
      </c>
      <c r="E2" s="85" t="s">
        <v>31</v>
      </c>
      <c r="F2" s="85" t="s">
        <v>28</v>
      </c>
      <c r="G2" s="85" t="s">
        <v>30</v>
      </c>
      <c r="H2" s="85" t="s">
        <v>31</v>
      </c>
      <c r="I2" s="85" t="s">
        <v>32</v>
      </c>
      <c r="J2" s="85" t="s">
        <v>33</v>
      </c>
      <c r="R2" s="44" t="s">
        <v>22</v>
      </c>
      <c r="S2" s="44" t="s">
        <v>23</v>
      </c>
      <c r="T2" s="44" t="s">
        <v>53</v>
      </c>
      <c r="U2" s="44" t="s">
        <v>24</v>
      </c>
      <c r="V2" s="44" t="str">
        <f>"F "&amp;$M$3</f>
        <v>F 1Y</v>
      </c>
      <c r="W2" s="44" t="s">
        <v>36</v>
      </c>
      <c r="X2" s="44" t="s">
        <v>37</v>
      </c>
      <c r="Y2" s="44" t="s">
        <v>54</v>
      </c>
      <c r="Z2" s="44" t="s">
        <v>43</v>
      </c>
      <c r="AA2" s="44" t="s">
        <v>60</v>
      </c>
      <c r="AB2" s="44" t="s">
        <v>63</v>
      </c>
      <c r="AC2" s="44" t="s">
        <v>56</v>
      </c>
    </row>
    <row r="3" spans="1:29" x14ac:dyDescent="0.2">
      <c r="A3" s="18" t="str">
        <f>_xll.qlPeriodEquivalent(C3&amp;"M")</f>
        <v>1Y</v>
      </c>
      <c r="B3" s="10">
        <f>_xll.qlDateEndOfMonth(EDATE(_xll.qlSettingsEvaluationDate(Trigger),-1))</f>
        <v>42247</v>
      </c>
      <c r="C3" s="11">
        <v>12</v>
      </c>
      <c r="D3" s="10">
        <f>EDATE($R$3,C3)</f>
        <v>42643</v>
      </c>
      <c r="E3" s="12">
        <f>IF(C3&lt;=12,1,IF(C3&lt;=24,3,IF(C3&lt;=120,6,IF(C3&lt;=240,12,IF(C3&lt;=360,36,60)))))</f>
        <v>1</v>
      </c>
      <c r="F3" s="16">
        <f>ROUNDDOWN(I3*10,2)/10</f>
        <v>3.0000000000000001E-3</v>
      </c>
      <c r="G3" s="17">
        <f>IF(J3-I3&gt;1%,(QUOTIENT(J3*10000,50)+1)*0.5%,(QUOTIENT(J3*10000,10)+1)*0.1%)</f>
        <v>4.0000000000000001E-3</v>
      </c>
      <c r="H3" s="12">
        <f>IF(G3-F3&lt;0.5%,0.025%,IF(G3-F3&lt;1%,0.1%,IF(G3-F3&lt;2%,0.25%,0.5%)))</f>
        <v>2.5000000000000001E-4</v>
      </c>
      <c r="I3" s="17">
        <f>MIN(_xll.ohPack($W$3:INDEX($W$3:$W$78,MATCH(D3+1,$S$3:$S$78,1),1)))</f>
        <v>3.1302616941867555E-3</v>
      </c>
      <c r="J3" s="17">
        <f>MAX(_xll.ohPack($W$3:INDEX($W$3:$W$78,MATCH(D3+1,$S$3:$S$78,1),1)))</f>
        <v>3.676779249737693E-3</v>
      </c>
      <c r="L3" s="45" t="s">
        <v>21</v>
      </c>
      <c r="M3" s="82" t="s">
        <v>51</v>
      </c>
      <c r="N3" s="36"/>
      <c r="O3" s="36"/>
      <c r="P3" s="33">
        <v>0</v>
      </c>
      <c r="Q3" s="26" t="str">
        <f>P3&amp;"M"</f>
        <v>0M</v>
      </c>
      <c r="R3" s="28">
        <f>EvaluationDate</f>
        <v>42277</v>
      </c>
      <c r="S3" s="28">
        <f>_xll.qlInterestRateIndexValueDate(Index,R3,Trigger)</f>
        <v>42279</v>
      </c>
      <c r="T3" s="28">
        <f>_xll.qlInterestRateIndexMaturity(Index,S3,Trigger)</f>
        <v>42646</v>
      </c>
      <c r="U3" s="30">
        <f>_xll.qlIndexFixing($M$5,R3,TRUE,InterestRatesTrigger)</f>
        <v>-1.7272616941868132E-3</v>
      </c>
      <c r="V3" s="74">
        <f>_xll.qlIndexFixing(Index,R3,TRUE,InterestRatesTrigger)</f>
        <v>1.4029999999999421E-3</v>
      </c>
      <c r="W3" s="30">
        <f>V3-U3</f>
        <v>3.1302616941867555E-3</v>
      </c>
      <c r="X3" s="29">
        <f>_xll.qlDayCounterYearFraction(DayCounter,SettlementDate,S3,,,Trigger)</f>
        <v>0</v>
      </c>
      <c r="Y3" s="29">
        <f>_xll.qlDayCounterYearFraction(DayCounter,S3,T3)</f>
        <v>1.0194444444444444</v>
      </c>
      <c r="Z3" s="29">
        <f>IF($M$13,_xll.qlYieldTSDiscount(Currency&amp;"ON",S3)/(1+V3*Y3),1)</f>
        <v>1</v>
      </c>
      <c r="AA3" s="30">
        <f>_xll.qlTenorBasisValue(TenorBasis1Y,S3,InterestRatesTrigger)</f>
        <v>2.9587350756473184E-3</v>
      </c>
      <c r="AB3" s="74">
        <f t="shared" ref="AB3:AB66" si="0">AA3+U3</f>
        <v>1.2314733814605052E-3</v>
      </c>
      <c r="AC3" s="76">
        <f t="shared" ref="AC3:AC66" si="1">AB3/V3</f>
        <v>0.87774296611586322</v>
      </c>
    </row>
    <row r="4" spans="1:29" x14ac:dyDescent="0.2">
      <c r="A4" s="18" t="str">
        <f>_xll.qlPeriodEquivalent(C4&amp;"M")</f>
        <v>2Y</v>
      </c>
      <c r="B4" s="10">
        <f>_xll.qlDateEndOfMonth(EDATE(_xll.qlIMMNextDate(_xll.qlSettingsEvaluationDate(Trigger)-1,TRUE),-3))</f>
        <v>42277</v>
      </c>
      <c r="C4" s="11">
        <v>24</v>
      </c>
      <c r="D4" s="10">
        <f t="shared" ref="D4:D9" si="2">EDATE($R$3,C4)</f>
        <v>43008</v>
      </c>
      <c r="E4" s="12">
        <f t="shared" ref="E4:E9" si="3">IF(C4&lt;=12,1,IF(C4&lt;=24,3,IF(C4&lt;=120,6,IF(C4&lt;=240,12,IF(C4&lt;=360,36,60)))))</f>
        <v>3</v>
      </c>
      <c r="F4" s="16">
        <f t="shared" ref="F4:F9" si="4">ROUNDDOWN(I4*10,2)/10</f>
        <v>3.0000000000000001E-3</v>
      </c>
      <c r="G4" s="17">
        <f t="shared" ref="G4:G9" si="5">IF(J4-I4&gt;1%,(QUOTIENT(J4*10000,50)+1)*0.5%,(QUOTIENT(J4*10000,10)+1)*0.1%)</f>
        <v>5.0000000000000001E-3</v>
      </c>
      <c r="H4" s="12">
        <f t="shared" ref="H4:H9" si="6">IF(G4-F4&lt;0.5%,0.025%,IF(G4-F4&lt;1%,0.1%,IF(G4-F4&lt;2%,0.25%,0.5%)))</f>
        <v>2.5000000000000001E-4</v>
      </c>
      <c r="I4" s="17">
        <f>MIN(_xll.ohPack($W$3:INDEX($W$3:$W$78,MATCH(D4+1,$S$3:$S$78,1),1)))</f>
        <v>3.1302616941867555E-3</v>
      </c>
      <c r="J4" s="17">
        <f>MAX(_xll.ohPack($W$3:INDEX($W$3:$W$78,MATCH(D4+1,$S$3:$S$78,1),1)))</f>
        <v>4.0299120087501639E-3</v>
      </c>
      <c r="L4" s="45" t="s">
        <v>20</v>
      </c>
      <c r="M4" s="82" t="str">
        <f>PROPER(Currency)&amp;IborType&amp;M3</f>
        <v>Euribor1Y</v>
      </c>
      <c r="N4" s="36"/>
      <c r="O4" s="36"/>
      <c r="P4" s="33">
        <v>1</v>
      </c>
      <c r="Q4" s="26" t="str">
        <f>_xll.qlPeriodEquivalent(Q3&amp;"+"&amp;P4&amp;"M")</f>
        <v>1M</v>
      </c>
      <c r="R4" s="28">
        <f>_xll.qlCalendarAdvance(Calendar,SettlementDate,Q4,"f",,Trigger)</f>
        <v>42310</v>
      </c>
      <c r="S4" s="28">
        <f>_xll.qlInterestRateIndexValueDate(Index,R4,Trigger)</f>
        <v>42312</v>
      </c>
      <c r="T4" s="28">
        <f>_xll.qlInterestRateIndexMaturity(Index,S4,Trigger)</f>
        <v>42678</v>
      </c>
      <c r="U4" s="30">
        <f>_xll.qlIndexFixing($M$5,R4,TRUE,InterestRatesTrigger)</f>
        <v>-1.778738008922283E-3</v>
      </c>
      <c r="V4" s="74">
        <f>_xll.qlIndexFixing(Index,R4,TRUE,InterestRatesTrigger)</f>
        <v>1.3998606862980036E-3</v>
      </c>
      <c r="W4" s="30">
        <f t="shared" ref="W4:W67" si="7">V4-U4</f>
        <v>3.1785986952202866E-3</v>
      </c>
      <c r="X4" s="29">
        <f>_xll.qlDayCounterYearFraction(DayCounter,SettlementDate,S4,,,Trigger)</f>
        <v>9.166666666666666E-2</v>
      </c>
      <c r="Y4" s="29">
        <f>_xll.qlDayCounterYearFraction(DayCounter,S4,T4)</f>
        <v>1.0166666666666666</v>
      </c>
      <c r="Z4" s="29">
        <f>IF($M$13,_xll.qlYieldTSDiscount(Currency&amp;"ON",S4)/(1+V4*Y4),1)</f>
        <v>1</v>
      </c>
      <c r="AA4" s="30">
        <f>_xll.qlTenorBasisValue(TenorBasis1Y,S4,InterestRatesTrigger)</f>
        <v>3.0583506406964838E-3</v>
      </c>
      <c r="AB4" s="74">
        <f t="shared" si="0"/>
        <v>1.2796126317742007E-3</v>
      </c>
      <c r="AC4" s="76">
        <f t="shared" si="1"/>
        <v>0.91409998459074926</v>
      </c>
    </row>
    <row r="5" spans="1:29" x14ac:dyDescent="0.2">
      <c r="A5" s="18" t="str">
        <f>_xll.qlPeriodEquivalent(C5&amp;"M")</f>
        <v>5Y</v>
      </c>
      <c r="B5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C5" s="11">
        <v>60</v>
      </c>
      <c r="D5" s="10">
        <f t="shared" si="2"/>
        <v>44104</v>
      </c>
      <c r="E5" s="12">
        <f t="shared" si="3"/>
        <v>6</v>
      </c>
      <c r="F5" s="16">
        <f t="shared" si="4"/>
        <v>3.0000000000000001E-3</v>
      </c>
      <c r="G5" s="17">
        <f t="shared" si="5"/>
        <v>5.0000000000000001E-3</v>
      </c>
      <c r="H5" s="12">
        <f t="shared" si="6"/>
        <v>2.5000000000000001E-4</v>
      </c>
      <c r="I5" s="17">
        <f>MIN(_xll.ohPack($W$3:INDEX($W$3:$W$78,MATCH(D5+1,$S$3:$S$78,1),1)))</f>
        <v>3.1302616941867555E-3</v>
      </c>
      <c r="J5" s="17">
        <f>MAX(_xll.ohPack($W$3:INDEX($W$3:$W$78,MATCH(D5+1,$S$3:$S$78,1),1)))</f>
        <v>4.6163860081881074E-3</v>
      </c>
      <c r="L5" s="45" t="str">
        <f>"ON Index "&amp;$M$3</f>
        <v>ON Index 1Y</v>
      </c>
      <c r="M5" s="35" t="str">
        <f>_xll.qlEuribor(,M3,Currency&amp;"ON",,Trigger)</f>
        <v>obj_005a2#0003</v>
      </c>
      <c r="P5" s="33">
        <v>1</v>
      </c>
      <c r="Q5" s="27" t="str">
        <f>_xll.qlPeriodEquivalent(Q4&amp;"+"&amp;P5&amp;"M")</f>
        <v>2M</v>
      </c>
      <c r="R5" s="28">
        <f>_xll.qlCalendarAdvance(Calendar,SettlementDate,Q5,"f",,Trigger)</f>
        <v>42340</v>
      </c>
      <c r="S5" s="28">
        <f>_xll.qlInterestRateIndexValueDate(Index,R5,Trigger)</f>
        <v>42342</v>
      </c>
      <c r="T5" s="28">
        <f>_xll.qlInterestRateIndexMaturity(Index,S5,Trigger)</f>
        <v>42709</v>
      </c>
      <c r="U5" s="30">
        <f>_xll.qlIndexFixing($M$5,R5,TRUE,InterestRatesTrigger)</f>
        <v>-1.8167850162922195E-3</v>
      </c>
      <c r="V5" s="74">
        <f>_xll.qlIndexFixing(Index,R5,TRUE,InterestRatesTrigger)</f>
        <v>1.4006207031244538E-3</v>
      </c>
      <c r="W5" s="30">
        <f t="shared" si="7"/>
        <v>3.2174057194166734E-3</v>
      </c>
      <c r="X5" s="29">
        <f>_xll.qlDayCounterYearFraction(DayCounter,SettlementDate,S5,,,Trigger)</f>
        <v>0.17499999999999999</v>
      </c>
      <c r="Y5" s="29">
        <f>_xll.qlDayCounterYearFraction(DayCounter,S5,T5)</f>
        <v>1.0194444444444444</v>
      </c>
      <c r="Z5" s="29">
        <f>IF($M$13,_xll.qlYieldTSDiscount(Currency&amp;"ON",S5)/(1+V5*Y5),1)</f>
        <v>1</v>
      </c>
      <c r="AA5" s="30">
        <f>_xll.qlTenorBasisValue(TenorBasis1Y,S5,InterestRatesTrigger)</f>
        <v>3.1445734650646004E-3</v>
      </c>
      <c r="AB5" s="74">
        <f t="shared" si="0"/>
        <v>1.3277884487723809E-3</v>
      </c>
      <c r="AC5" s="76">
        <f t="shared" si="1"/>
        <v>0.9480000158575399</v>
      </c>
    </row>
    <row r="6" spans="1:29" x14ac:dyDescent="0.2">
      <c r="A6" s="18" t="str">
        <f>_xll.qlPeriodEquivalent(C6&amp;"M")</f>
        <v>10Y</v>
      </c>
      <c r="B6" s="10">
        <f t="shared" ref="B6:B9" si="8">B5</f>
        <v>42185</v>
      </c>
      <c r="C6" s="11">
        <v>120</v>
      </c>
      <c r="D6" s="10">
        <f t="shared" si="2"/>
        <v>45930</v>
      </c>
      <c r="E6" s="12">
        <f t="shared" si="3"/>
        <v>6</v>
      </c>
      <c r="F6" s="16">
        <f t="shared" si="4"/>
        <v>2E-3</v>
      </c>
      <c r="G6" s="17">
        <f t="shared" si="5"/>
        <v>5.0000000000000001E-3</v>
      </c>
      <c r="H6" s="12">
        <f t="shared" si="6"/>
        <v>2.5000000000000001E-4</v>
      </c>
      <c r="I6" s="17">
        <f>MIN(_xll.ohPack($W$3:INDEX($W$3:$W$78,MATCH(D6+1,$S$3:$S$78,1),1)))</f>
        <v>2.9573667170243977E-3</v>
      </c>
      <c r="J6" s="17">
        <f>MAX(_xll.ohPack($W$3:INDEX($W$3:$W$78,MATCH(D6+1,$S$3:$S$78,1),1)))</f>
        <v>4.6163860081881074E-3</v>
      </c>
      <c r="P6" s="33">
        <v>1</v>
      </c>
      <c r="Q6" s="27" t="str">
        <f>_xll.qlPeriodEquivalent(Q5&amp;"+"&amp;P6&amp;"M")</f>
        <v>3M</v>
      </c>
      <c r="R6" s="28">
        <f>_xll.qlCalendarAdvance(Calendar,SettlementDate,Q6,"f",,Trigger)</f>
        <v>42373</v>
      </c>
      <c r="S6" s="28">
        <f>_xll.qlInterestRateIndexValueDate(Index,R6,Trigger)</f>
        <v>42375</v>
      </c>
      <c r="T6" s="28">
        <f>_xll.qlInterestRateIndexMaturity(Index,S6,Trigger)</f>
        <v>42741</v>
      </c>
      <c r="U6" s="30">
        <f>_xll.qlIndexFixing($M$5,R6,TRUE,InterestRatesTrigger)</f>
        <v>-1.8585219930778796E-3</v>
      </c>
      <c r="V6" s="74">
        <f>_xll.qlIndexFixing(Index,R6,TRUE,InterestRatesTrigger)</f>
        <v>1.4223514342675829E-3</v>
      </c>
      <c r="W6" s="30">
        <f t="shared" si="7"/>
        <v>3.2808734273454625E-3</v>
      </c>
      <c r="X6" s="29">
        <f>_xll.qlDayCounterYearFraction(DayCounter,SettlementDate,S6,,,Trigger)</f>
        <v>0.26666666666666666</v>
      </c>
      <c r="Y6" s="29">
        <f>_xll.qlDayCounterYearFraction(DayCounter,S6,T6)</f>
        <v>1.0166666666666666</v>
      </c>
      <c r="Z6" s="29">
        <f>IF($M$13,_xll.qlYieldTSDiscount(Currency&amp;"ON",S6)/(1+V6*Y6),1)</f>
        <v>1</v>
      </c>
      <c r="AA6" s="30">
        <f>_xll.qlTenorBasisValue(TenorBasis1Y,S6,InterestRatesTrigger)</f>
        <v>3.2347973785705709E-3</v>
      </c>
      <c r="AB6" s="74">
        <f t="shared" si="0"/>
        <v>1.3762753854926913E-3</v>
      </c>
      <c r="AC6" s="76">
        <f t="shared" si="1"/>
        <v>0.96760572129727018</v>
      </c>
    </row>
    <row r="7" spans="1:29" x14ac:dyDescent="0.2">
      <c r="A7" s="18" t="str">
        <f>_xll.qlPeriodEquivalent(C7&amp;"M")</f>
        <v>20Y</v>
      </c>
      <c r="B7" s="10">
        <f>IF(AND(MONTH(B6)=12),B6,_xll.qlDateEndOfMonth(EDATE(B6,-6)))</f>
        <v>42004</v>
      </c>
      <c r="C7" s="11">
        <v>240</v>
      </c>
      <c r="D7" s="10">
        <f t="shared" si="2"/>
        <v>49582</v>
      </c>
      <c r="E7" s="13">
        <f t="shared" si="3"/>
        <v>12</v>
      </c>
      <c r="F7" s="16">
        <f t="shared" si="4"/>
        <v>0</v>
      </c>
      <c r="G7" s="17">
        <f t="shared" si="5"/>
        <v>5.0000000000000001E-3</v>
      </c>
      <c r="H7" s="12">
        <f t="shared" si="6"/>
        <v>1E-3</v>
      </c>
      <c r="I7" s="17">
        <f>MIN(_xll.ohPack($W$3:INDEX($W$3:$W$78,MATCH(D7+1,$S$3:$S$78,1),1)))</f>
        <v>8.7974302214825426E-4</v>
      </c>
      <c r="J7" s="17">
        <f>MAX(_xll.ohPack($W$3:INDEX($W$3:$W$78,MATCH(D7+1,$S$3:$S$78,1),1)))</f>
        <v>4.6163860081881074E-3</v>
      </c>
      <c r="N7" s="45" t="s">
        <v>59</v>
      </c>
      <c r="P7" s="33">
        <v>1</v>
      </c>
      <c r="Q7" s="27" t="str">
        <f>_xll.qlPeriodEquivalent(Q6&amp;"+"&amp;P7&amp;"M")</f>
        <v>4M</v>
      </c>
      <c r="R7" s="28">
        <f>_xll.qlCalendarAdvance(Calendar,SettlementDate,Q7,"f",,Trigger)</f>
        <v>42402</v>
      </c>
      <c r="S7" s="28">
        <f>_xll.qlInterestRateIndexValueDate(Index,R7,Trigger)</f>
        <v>42404</v>
      </c>
      <c r="T7" s="28">
        <f>_xll.qlInterestRateIndexMaturity(Index,S7,Trigger)</f>
        <v>42772</v>
      </c>
      <c r="U7" s="30">
        <f>_xll.qlIndexFixing($M$5,R7,TRUE,InterestRatesTrigger)</f>
        <v>-1.8772996977611451E-3</v>
      </c>
      <c r="V7" s="74">
        <f>_xll.qlIndexFixing(Index,R7,TRUE,InterestRatesTrigger)</f>
        <v>1.4638820331898698E-3</v>
      </c>
      <c r="W7" s="30">
        <f t="shared" si="7"/>
        <v>3.3411817309510149E-3</v>
      </c>
      <c r="X7" s="29">
        <f>_xll.qlDayCounterYearFraction(DayCounter,SettlementDate,S7,,,Trigger)</f>
        <v>0.34722222222222221</v>
      </c>
      <c r="Y7" s="29">
        <f>_xll.qlDayCounterYearFraction(DayCounter,S7,T7)</f>
        <v>1.0222222222222221</v>
      </c>
      <c r="Z7" s="29">
        <f>IF($M$13,_xll.qlYieldTSDiscount(Currency&amp;"ON",S7)/(1+V7*Y7),1)</f>
        <v>1</v>
      </c>
      <c r="AA7" s="30">
        <f>_xll.qlTenorBasisValue(TenorBasis1Y,S7,InterestRatesTrigger)</f>
        <v>3.3102089304733362E-3</v>
      </c>
      <c r="AB7" s="74">
        <f t="shared" si="0"/>
        <v>1.4329092327121911E-3</v>
      </c>
      <c r="AC7" s="76">
        <f t="shared" si="1"/>
        <v>0.97884201064331156</v>
      </c>
    </row>
    <row r="8" spans="1:29" x14ac:dyDescent="0.2">
      <c r="A8" s="18" t="str">
        <f>_xll.qlPeriodEquivalent(C8&amp;"M")</f>
        <v>30Y</v>
      </c>
      <c r="B8" s="10">
        <f t="shared" si="8"/>
        <v>42004</v>
      </c>
      <c r="C8" s="11">
        <v>360</v>
      </c>
      <c r="D8" s="10">
        <f t="shared" si="2"/>
        <v>53235</v>
      </c>
      <c r="E8" s="13">
        <f t="shared" si="3"/>
        <v>36</v>
      </c>
      <c r="F8" s="16">
        <f t="shared" si="4"/>
        <v>0</v>
      </c>
      <c r="G8" s="17">
        <f t="shared" si="5"/>
        <v>5.0000000000000001E-3</v>
      </c>
      <c r="H8" s="12">
        <f t="shared" si="6"/>
        <v>1E-3</v>
      </c>
      <c r="I8" s="17">
        <f>MIN(_xll.ohPack($W$3:INDEX($W$3:$W$78,MATCH(D8+1,$S$3:$S$78,1),1)))</f>
        <v>7.2364907619705196E-4</v>
      </c>
      <c r="J8" s="17">
        <f>MAX(_xll.ohPack($W$3:INDEX($W$3:$W$78,MATCH(D8+1,$S$3:$S$78,1),1)))</f>
        <v>4.6163860081881074E-3</v>
      </c>
      <c r="L8" s="45" t="s">
        <v>39</v>
      </c>
      <c r="M8" s="80">
        <v>1.511365712587327E-3</v>
      </c>
      <c r="N8" s="78" t="b">
        <v>0</v>
      </c>
      <c r="P8" s="33">
        <v>1</v>
      </c>
      <c r="Q8" s="27" t="str">
        <f>_xll.qlPeriodEquivalent(Q7&amp;"+"&amp;P8&amp;"M")</f>
        <v>5M</v>
      </c>
      <c r="R8" s="28">
        <f>_xll.qlCalendarAdvance(Calendar,SettlementDate,Q8,"f",,Trigger)</f>
        <v>42431</v>
      </c>
      <c r="S8" s="28">
        <f>_xll.qlInterestRateIndexValueDate(Index,R8,Trigger)</f>
        <v>42433</v>
      </c>
      <c r="T8" s="28">
        <f>_xll.qlInterestRateIndexMaturity(Index,S8,Trigger)</f>
        <v>42800</v>
      </c>
      <c r="U8" s="30">
        <f>_xll.qlIndexFixing($M$5,R8,TRUE,InterestRatesTrigger)</f>
        <v>-1.8887336316214245E-3</v>
      </c>
      <c r="V8" s="74">
        <f>_xll.qlIndexFixing(Index,R8,TRUE,InterestRatesTrigger)</f>
        <v>1.4942597360091292E-3</v>
      </c>
      <c r="W8" s="30">
        <f t="shared" si="7"/>
        <v>3.3829933676305535E-3</v>
      </c>
      <c r="X8" s="29">
        <f>_xll.qlDayCounterYearFraction(DayCounter,SettlementDate,S8,,,Trigger)</f>
        <v>0.42777777777777776</v>
      </c>
      <c r="Y8" s="29">
        <f>_xll.qlDayCounterYearFraction(DayCounter,S8,T8)</f>
        <v>1.0194444444444444</v>
      </c>
      <c r="Z8" s="29">
        <f>IF($M$13,_xll.qlYieldTSDiscount(Currency&amp;"ON",S8)/(1+V8*Y8),1)</f>
        <v>1</v>
      </c>
      <c r="AA8" s="30">
        <f>_xll.qlTenorBasisValue(TenorBasis1Y,S8,InterestRatesTrigger)</f>
        <v>3.3821030429757384E-3</v>
      </c>
      <c r="AB8" s="74">
        <f t="shared" si="0"/>
        <v>1.4933694113543139E-3</v>
      </c>
      <c r="AC8" s="76">
        <f t="shared" si="1"/>
        <v>0.99940417008277749</v>
      </c>
    </row>
    <row r="9" spans="1:29" x14ac:dyDescent="0.2">
      <c r="A9" s="19" t="str">
        <f>_xll.qlPeriodEquivalent(C9&amp;"M")</f>
        <v>60Y</v>
      </c>
      <c r="B9" s="20">
        <f t="shared" si="8"/>
        <v>42004</v>
      </c>
      <c r="C9" s="21">
        <v>720</v>
      </c>
      <c r="D9" s="20">
        <f t="shared" si="2"/>
        <v>64192</v>
      </c>
      <c r="E9" s="22">
        <f t="shared" si="3"/>
        <v>60</v>
      </c>
      <c r="F9" s="23">
        <f t="shared" si="4"/>
        <v>0</v>
      </c>
      <c r="G9" s="24">
        <f t="shared" si="5"/>
        <v>5.0000000000000001E-3</v>
      </c>
      <c r="H9" s="25">
        <f t="shared" si="6"/>
        <v>1E-3</v>
      </c>
      <c r="I9" s="24">
        <f>MIN(_xll.ohPack($W$3:INDEX($W$3:$W$78,MATCH(D9+1,$S$3:$S$78,1),1)))</f>
        <v>2.3832874445483578E-4</v>
      </c>
      <c r="J9" s="24">
        <f>MAX(_xll.ohPack($W$3:INDEX($W$3:$W$78,MATCH(D9+1,$S$3:$S$78,1),1)))</f>
        <v>4.6163860081881074E-3</v>
      </c>
      <c r="L9" s="45" t="s">
        <v>40</v>
      </c>
      <c r="M9" s="81">
        <v>1.0658070562731107E-3</v>
      </c>
      <c r="N9" s="78" t="b">
        <v>0</v>
      </c>
      <c r="P9" s="33">
        <v>1</v>
      </c>
      <c r="Q9" s="27" t="str">
        <f>_xll.qlPeriodEquivalent(Q8&amp;"+"&amp;P9&amp;"M")</f>
        <v>6M</v>
      </c>
      <c r="R9" s="28">
        <f>_xll.qlCalendarAdvance(Calendar,SettlementDate,Q9,"f",,Trigger)</f>
        <v>42464</v>
      </c>
      <c r="S9" s="28">
        <f>_xll.qlInterestRateIndexValueDate(Index,R9,Trigger)</f>
        <v>42466</v>
      </c>
      <c r="T9" s="28">
        <f>_xll.qlInterestRateIndexMaturity(Index,S9,Trigger)</f>
        <v>42831</v>
      </c>
      <c r="U9" s="30">
        <f>_xll.qlIndexFixing($M$5,R9,TRUE,InterestRatesTrigger)</f>
        <v>-1.8922832722564785E-3</v>
      </c>
      <c r="V9" s="74">
        <f>_xll.qlIndexFixing(Index,R9,TRUE,InterestRatesTrigger)</f>
        <v>1.5543227745864201E-3</v>
      </c>
      <c r="W9" s="30">
        <f t="shared" si="7"/>
        <v>3.4466060468428985E-3</v>
      </c>
      <c r="X9" s="29">
        <f>_xll.qlDayCounterYearFraction(DayCounter,SettlementDate,S9,,,Trigger)</f>
        <v>0.51944444444444449</v>
      </c>
      <c r="Y9" s="29">
        <f>_xll.qlDayCounterYearFraction(DayCounter,S9,T9)</f>
        <v>1.0138888888888888</v>
      </c>
      <c r="Z9" s="29">
        <f>IF($M$13,_xll.qlYieldTSDiscount(Currency&amp;"ON",S9)/(1+V9*Y9),1)</f>
        <v>1</v>
      </c>
      <c r="AA9" s="30">
        <f>_xll.qlTenorBasisValue(TenorBasis1Y,S9,InterestRatesTrigger)</f>
        <v>3.4597636025842596E-3</v>
      </c>
      <c r="AB9" s="74">
        <f t="shared" si="0"/>
        <v>1.5674803303277812E-3</v>
      </c>
      <c r="AC9" s="76">
        <f t="shared" si="1"/>
        <v>1.0084651373295757</v>
      </c>
    </row>
    <row r="10" spans="1:29" x14ac:dyDescent="0.2">
      <c r="L10" s="45" t="s">
        <v>41</v>
      </c>
      <c r="M10" s="81">
        <v>0.20255568603684723</v>
      </c>
      <c r="N10" s="78" t="b">
        <v>0</v>
      </c>
      <c r="P10" s="33">
        <v>1</v>
      </c>
      <c r="Q10" s="27" t="str">
        <f>_xll.qlPeriodEquivalent(Q9&amp;"+"&amp;P10&amp;"M")</f>
        <v>7M</v>
      </c>
      <c r="R10" s="28">
        <f>_xll.qlCalendarAdvance(Calendar,SettlementDate,Q10,"f",,Trigger)</f>
        <v>42492</v>
      </c>
      <c r="S10" s="28">
        <f>_xll.qlInterestRateIndexValueDate(Index,R10,Trigger)</f>
        <v>42494</v>
      </c>
      <c r="T10" s="28">
        <f>_xll.qlInterestRateIndexMaturity(Index,S10,Trigger)</f>
        <v>42859</v>
      </c>
      <c r="U10" s="30">
        <f>_xll.qlIndexFixing($M$5,R10,TRUE,InterestRatesTrigger)</f>
        <v>-1.8859178218598865E-3</v>
      </c>
      <c r="V10" s="74">
        <f>_xll.qlIndexFixing(Index,R10,TRUE,InterestRatesTrigger)</f>
        <v>1.6139695307126616E-3</v>
      </c>
      <c r="W10" s="30">
        <f t="shared" si="7"/>
        <v>3.4998873525725481E-3</v>
      </c>
      <c r="X10" s="29">
        <f>_xll.qlDayCounterYearFraction(DayCounter,SettlementDate,S10,,,Trigger)</f>
        <v>0.59722222222222221</v>
      </c>
      <c r="Y10" s="29">
        <f>_xll.qlDayCounterYearFraction(DayCounter,S10,T10)</f>
        <v>1.0138888888888888</v>
      </c>
      <c r="Z10" s="29">
        <f>IF($M$13,_xll.qlYieldTSDiscount(Currency&amp;"ON",S10)/(1+V10*Y10),1)</f>
        <v>1</v>
      </c>
      <c r="AA10" s="30">
        <f>_xll.qlTenorBasisValue(TenorBasis1Y,S10,InterestRatesTrigger)</f>
        <v>3.5222965580247001E-3</v>
      </c>
      <c r="AB10" s="74">
        <f t="shared" si="0"/>
        <v>1.6363787361648135E-3</v>
      </c>
      <c r="AC10" s="76">
        <f t="shared" si="1"/>
        <v>1.0138845281932038</v>
      </c>
    </row>
    <row r="11" spans="1:29" x14ac:dyDescent="0.2">
      <c r="L11" s="45" t="s">
        <v>42</v>
      </c>
      <c r="M11" s="80">
        <v>2.4409004578928803E-4</v>
      </c>
      <c r="N11" s="78" t="b">
        <v>0</v>
      </c>
      <c r="O11" s="34"/>
      <c r="P11" s="33">
        <v>1</v>
      </c>
      <c r="Q11" s="27" t="str">
        <f>_xll.qlPeriodEquivalent(Q10&amp;"+"&amp;P11&amp;"M")</f>
        <v>8M</v>
      </c>
      <c r="R11" s="28">
        <f>_xll.qlCalendarAdvance(Calendar,SettlementDate,Q11,"f",,Trigger)</f>
        <v>42523</v>
      </c>
      <c r="S11" s="28">
        <f>_xll.qlInterestRateIndexValueDate(Index,R11,Trigger)</f>
        <v>42527</v>
      </c>
      <c r="T11" s="28">
        <f>_xll.qlInterestRateIndexMaturity(Index,S11,Trigger)</f>
        <v>42892</v>
      </c>
      <c r="U11" s="30">
        <f>_xll.qlIndexFixing($M$5,R11,TRUE,InterestRatesTrigger)</f>
        <v>-1.8675465679469073E-3</v>
      </c>
      <c r="V11" s="74">
        <f>_xll.qlIndexFixing(Index,R11,TRUE,InterestRatesTrigger)</f>
        <v>1.6786944017452327E-3</v>
      </c>
      <c r="W11" s="30">
        <f t="shared" si="7"/>
        <v>3.5462409696921399E-3</v>
      </c>
      <c r="X11" s="29">
        <f>_xll.qlDayCounterYearFraction(DayCounter,SettlementDate,S11,,,Trigger)</f>
        <v>0.68888888888888888</v>
      </c>
      <c r="Y11" s="29">
        <f>_xll.qlDayCounterYearFraction(DayCounter,S11,T11)</f>
        <v>1.0138888888888888</v>
      </c>
      <c r="Z11" s="29">
        <f>IF($M$13,_xll.qlYieldTSDiscount(Currency&amp;"ON",S11)/(1+V11*Y11),1)</f>
        <v>1</v>
      </c>
      <c r="AA11" s="30">
        <f>_xll.qlTenorBasisValue(TenorBasis1Y,S11,InterestRatesTrigger)</f>
        <v>3.592159249214009E-3</v>
      </c>
      <c r="AB11" s="74">
        <f t="shared" si="0"/>
        <v>1.7246126812671017E-3</v>
      </c>
      <c r="AC11" s="76">
        <f t="shared" si="1"/>
        <v>1.027353566839879</v>
      </c>
    </row>
    <row r="12" spans="1:29" x14ac:dyDescent="0.2">
      <c r="N12" s="34"/>
      <c r="P12" s="33">
        <v>1</v>
      </c>
      <c r="Q12" s="27" t="str">
        <f>_xll.qlPeriodEquivalent(Q11&amp;"+"&amp;P12&amp;"M")</f>
        <v>9M</v>
      </c>
      <c r="R12" s="28">
        <f>_xll.qlCalendarAdvance(Calendar,SettlementDate,Q12,"f",,Trigger)</f>
        <v>42555</v>
      </c>
      <c r="S12" s="28">
        <f>_xll.qlInterestRateIndexValueDate(Index,R12,Trigger)</f>
        <v>42557</v>
      </c>
      <c r="T12" s="28">
        <f>_xll.qlInterestRateIndexMaturity(Index,S12,Trigger)</f>
        <v>42922</v>
      </c>
      <c r="U12" s="30">
        <f>_xll.qlIndexFixing($M$5,R12,TRUE,InterestRatesTrigger)</f>
        <v>-1.8392182104058513E-3</v>
      </c>
      <c r="V12" s="74">
        <f>_xll.qlIndexFixing(Index,R12,TRUE,InterestRatesTrigger)</f>
        <v>1.7556035484363518E-3</v>
      </c>
      <c r="W12" s="30">
        <f t="shared" si="7"/>
        <v>3.5948217588422033E-3</v>
      </c>
      <c r="X12" s="29">
        <f>_xll.qlDayCounterYearFraction(DayCounter,SettlementDate,S12,,,Trigger)</f>
        <v>0.77222222222222225</v>
      </c>
      <c r="Y12" s="29">
        <f>_xll.qlDayCounterYearFraction(DayCounter,S12,T12)</f>
        <v>1.0138888888888888</v>
      </c>
      <c r="Z12" s="29">
        <f>IF($M$13,_xll.qlYieldTSDiscount(Currency&amp;"ON",S12)/(1+V12*Y12),1)</f>
        <v>1</v>
      </c>
      <c r="AA12" s="30">
        <f>_xll.qlTenorBasisValue(TenorBasis1Y,S12,InterestRatesTrigger)</f>
        <v>3.6521782293045405E-3</v>
      </c>
      <c r="AB12" s="74">
        <f t="shared" si="0"/>
        <v>1.8129600188986892E-3</v>
      </c>
      <c r="AC12" s="76">
        <f t="shared" si="1"/>
        <v>1.0326705140881167</v>
      </c>
    </row>
    <row r="13" spans="1:29" x14ac:dyDescent="0.2">
      <c r="L13" s="45" t="s">
        <v>58</v>
      </c>
      <c r="M13" s="78" t="b">
        <v>0</v>
      </c>
      <c r="P13" s="33">
        <v>1</v>
      </c>
      <c r="Q13" s="27" t="str">
        <f>_xll.qlPeriodEquivalent(Q12&amp;"+"&amp;P13&amp;"M")</f>
        <v>10M</v>
      </c>
      <c r="R13" s="28">
        <f>_xll.qlCalendarAdvance(Calendar,SettlementDate,Q13,"f",,Trigger)</f>
        <v>42584</v>
      </c>
      <c r="S13" s="28">
        <f>_xll.qlInterestRateIndexValueDate(Index,R13,Trigger)</f>
        <v>42586</v>
      </c>
      <c r="T13" s="28">
        <f>_xll.qlInterestRateIndexMaturity(Index,S13,Trigger)</f>
        <v>42951</v>
      </c>
      <c r="U13" s="30">
        <f>_xll.qlIndexFixing($M$5,R13,TRUE,InterestRatesTrigger)</f>
        <v>-1.8019490824889061E-3</v>
      </c>
      <c r="V13" s="74">
        <f>_xll.qlIndexFixing(Index,R13,TRUE,InterestRatesTrigger)</f>
        <v>1.8353524078690271E-3</v>
      </c>
      <c r="W13" s="30">
        <f t="shared" si="7"/>
        <v>3.637301490357933E-3</v>
      </c>
      <c r="X13" s="29">
        <f>_xll.qlDayCounterYearFraction(DayCounter,SettlementDate,S13,,,Trigger)</f>
        <v>0.85277777777777775</v>
      </c>
      <c r="Y13" s="29">
        <f>_xll.qlDayCounterYearFraction(DayCounter,S13,T13)</f>
        <v>1.0138888888888888</v>
      </c>
      <c r="Z13" s="29">
        <f>IF($M$13,_xll.qlYieldTSDiscount(Currency&amp;"ON",S13)/(1+V13*Y13),1)</f>
        <v>1</v>
      </c>
      <c r="AA13" s="30">
        <f>_xll.qlTenorBasisValue(TenorBasis1Y,S13,InterestRatesTrigger)</f>
        <v>3.707132776348761E-3</v>
      </c>
      <c r="AB13" s="74">
        <f t="shared" si="0"/>
        <v>1.905183693859855E-3</v>
      </c>
      <c r="AC13" s="76">
        <f t="shared" si="1"/>
        <v>1.0380478897084984</v>
      </c>
    </row>
    <row r="14" spans="1:29" x14ac:dyDescent="0.2">
      <c r="L14" s="45" t="s">
        <v>44</v>
      </c>
      <c r="M14" s="35" t="str">
        <f>_xll.qlAbcdCalibration2(,X3:X78,W3:W78,Z3:Z78,ContBasis,N8:N11,,,,Trigger)</f>
        <v>obj_005a3#0003</v>
      </c>
      <c r="P14" s="33">
        <v>1</v>
      </c>
      <c r="Q14" s="27" t="str">
        <f>_xll.qlPeriodEquivalent(Q13&amp;"+"&amp;P14&amp;"M")</f>
        <v>11M</v>
      </c>
      <c r="R14" s="28">
        <f>_xll.qlCalendarAdvance(Calendar,SettlementDate,Q14,"f",,Trigger)</f>
        <v>42615</v>
      </c>
      <c r="S14" s="28">
        <f>_xll.qlInterestRateIndexValueDate(Index,R14,Trigger)</f>
        <v>42619</v>
      </c>
      <c r="T14" s="28">
        <f>_xll.qlInterestRateIndexMaturity(Index,S14,Trigger)</f>
        <v>42984</v>
      </c>
      <c r="U14" s="30">
        <f>_xll.qlIndexFixing($M$5,R14,TRUE,InterestRatesTrigger)</f>
        <v>-1.747435639588115E-3</v>
      </c>
      <c r="V14" s="74">
        <f>_xll.qlIndexFixing(Index,R14,TRUE,InterestRatesTrigger)</f>
        <v>1.9293436101495782E-3</v>
      </c>
      <c r="W14" s="30">
        <f t="shared" si="7"/>
        <v>3.676779249737693E-3</v>
      </c>
      <c r="X14" s="29">
        <f>_xll.qlDayCounterYearFraction(DayCounter,SettlementDate,S14,,,Trigger)</f>
        <v>0.94444444444444442</v>
      </c>
      <c r="Y14" s="29">
        <f>_xll.qlDayCounterYearFraction(DayCounter,S14,T14)</f>
        <v>1.0138888888888888</v>
      </c>
      <c r="Z14" s="29">
        <f>IF($M$13,_xll.qlYieldTSDiscount(Currency&amp;"ON",S14)/(1+V14*Y14),1)</f>
        <v>1</v>
      </c>
      <c r="AA14" s="30">
        <f>_xll.qlTenorBasisValue(TenorBasis1Y,S14,InterestRatesTrigger)</f>
        <v>3.7661176323897957E-3</v>
      </c>
      <c r="AB14" s="74">
        <f t="shared" si="0"/>
        <v>2.0186819928016807E-3</v>
      </c>
      <c r="AC14" s="76">
        <f t="shared" si="1"/>
        <v>1.0463050657136062</v>
      </c>
    </row>
    <row r="15" spans="1:29" x14ac:dyDescent="0.2">
      <c r="L15" s="45" t="s">
        <v>38</v>
      </c>
      <c r="M15" s="35" t="b">
        <f>_xll.qlAbcdCalibration2Compute(M14,AllTriggers)</f>
        <v>1</v>
      </c>
      <c r="P15" s="33">
        <v>1</v>
      </c>
      <c r="Q15" s="27" t="str">
        <f>_xll.qlPeriodEquivalent(Q14&amp;"+"&amp;P15&amp;"M")</f>
        <v>1Y</v>
      </c>
      <c r="R15" s="28">
        <f>_xll.qlCalendarAdvance(Calendar,SettlementDate,Q15,"f",,Trigger)</f>
        <v>42646</v>
      </c>
      <c r="S15" s="28">
        <f>_xll.qlInterestRateIndexValueDate(Index,R15,Trigger)</f>
        <v>42648</v>
      </c>
      <c r="T15" s="28">
        <f>_xll.qlInterestRateIndexMaturity(Index,S15,Trigger)</f>
        <v>43013</v>
      </c>
      <c r="U15" s="30">
        <f>_xll.qlIndexFixing($M$5,R15,TRUE,InterestRatesTrigger)</f>
        <v>-1.6865934179800886E-3</v>
      </c>
      <c r="V15" s="74">
        <f>_xll.qlIndexFixing(Index,R15,TRUE,InterestRatesTrigger)</f>
        <v>2.0381682350056338E-3</v>
      </c>
      <c r="W15" s="30">
        <f t="shared" si="7"/>
        <v>3.7247616529857224E-3</v>
      </c>
      <c r="X15" s="29">
        <f>_xll.qlDayCounterYearFraction(DayCounter,SettlementDate,S15,,,Trigger)</f>
        <v>1.0249999999999999</v>
      </c>
      <c r="Y15" s="29">
        <f>_xll.qlDayCounterYearFraction(DayCounter,S15,T15)</f>
        <v>1.0138888888888888</v>
      </c>
      <c r="Z15" s="29">
        <f>IF($M$13,_xll.qlYieldTSDiscount(Currency&amp;"ON",S15)/(1+V15*Y15),1)</f>
        <v>1</v>
      </c>
      <c r="AA15" s="30">
        <f>_xll.qlTenorBasisValue(TenorBasis1Y,S15,InterestRatesTrigger)</f>
        <v>3.8149299996635346E-3</v>
      </c>
      <c r="AB15" s="74">
        <f t="shared" si="0"/>
        <v>2.128336581683446E-3</v>
      </c>
      <c r="AC15" s="76">
        <f t="shared" si="1"/>
        <v>1.0442398940034323</v>
      </c>
    </row>
    <row r="16" spans="1:29" x14ac:dyDescent="0.2">
      <c r="L16" s="45" t="s">
        <v>35</v>
      </c>
      <c r="M16" s="43">
        <f>_xll.qlAbcdCalibration2Error(M14)</f>
        <v>8.833476630510838E-4</v>
      </c>
      <c r="P16" s="33">
        <v>1</v>
      </c>
      <c r="Q16" s="27" t="str">
        <f>_xll.qlPeriodEquivalent(Q15&amp;"+"&amp;P16&amp;"M")</f>
        <v>1Y1M</v>
      </c>
      <c r="R16" s="28">
        <f>_xll.qlCalendarAdvance(Calendar,SettlementDate,Q16,"f",,Trigger)</f>
        <v>42676</v>
      </c>
      <c r="S16" s="28">
        <f>_xll.qlInterestRateIndexValueDate(Index,R16,Trigger)</f>
        <v>42678</v>
      </c>
      <c r="T16" s="28">
        <f>_xll.qlInterestRateIndexMaturity(Index,S16,Trigger)</f>
        <v>43045</v>
      </c>
      <c r="U16" s="30">
        <f>_xll.qlIndexFixing($M$5,R16,TRUE,InterestRatesTrigger)</f>
        <v>-1.6090685409947873E-3</v>
      </c>
      <c r="V16" s="74">
        <f>_xll.qlIndexFixing(Index,R16,TRUE,InterestRatesTrigger)</f>
        <v>2.1739524466873055E-3</v>
      </c>
      <c r="W16" s="30">
        <f t="shared" si="7"/>
        <v>3.783020987682093E-3</v>
      </c>
      <c r="X16" s="29">
        <f>_xll.qlDayCounterYearFraction(DayCounter,SettlementDate,S16,,,Trigger)</f>
        <v>1.1083333333333334</v>
      </c>
      <c r="Y16" s="29">
        <f>_xll.qlDayCounterYearFraction(DayCounter,S16,T16)</f>
        <v>1.0194444444444444</v>
      </c>
      <c r="Z16" s="29">
        <f>IF($M$13,_xll.qlYieldTSDiscount(Currency&amp;"ON",S16)/(1+V16*Y16),1)</f>
        <v>1</v>
      </c>
      <c r="AA16" s="30">
        <f>_xll.qlTenorBasisValue(TenorBasis1Y,S16,InterestRatesTrigger)</f>
        <v>3.8625434258133767E-3</v>
      </c>
      <c r="AB16" s="74">
        <f t="shared" si="0"/>
        <v>2.2534748848185892E-3</v>
      </c>
      <c r="AC16" s="76">
        <f t="shared" si="1"/>
        <v>1.036579658516662</v>
      </c>
    </row>
    <row r="17" spans="12:29" x14ac:dyDescent="0.2">
      <c r="L17" s="45" t="s">
        <v>55</v>
      </c>
      <c r="M17" s="43">
        <f>_xll.qlAbcdCalibration2MaxError(M14)</f>
        <v>4.0743595495033511E-4</v>
      </c>
      <c r="P17" s="33">
        <v>1</v>
      </c>
      <c r="Q17" s="27" t="str">
        <f>_xll.qlPeriodEquivalent(Q16&amp;"+"&amp;P17&amp;"M")</f>
        <v>1Y2M</v>
      </c>
      <c r="R17" s="28">
        <f>_xll.qlCalendarAdvance(Calendar,SettlementDate,Q17,"f",,Trigger)</f>
        <v>42706</v>
      </c>
      <c r="S17" s="28">
        <f>_xll.qlInterestRateIndexValueDate(Index,R17,Trigger)</f>
        <v>42710</v>
      </c>
      <c r="T17" s="28">
        <f>_xll.qlInterestRateIndexMaturity(Index,S17,Trigger)</f>
        <v>43075</v>
      </c>
      <c r="U17" s="30">
        <f>_xll.qlIndexFixing($M$5,R17,TRUE,InterestRatesTrigger)</f>
        <v>-1.5217005884314925E-3</v>
      </c>
      <c r="V17" s="74">
        <f>_xll.qlIndexFixing(Index,R17,TRUE,InterestRatesTrigger)</f>
        <v>2.3222727020251279E-3</v>
      </c>
      <c r="W17" s="30">
        <f t="shared" si="7"/>
        <v>3.8439732904566202E-3</v>
      </c>
      <c r="X17" s="29">
        <f>_xll.qlDayCounterYearFraction(DayCounter,SettlementDate,S17,,,Trigger)</f>
        <v>1.1972222222222222</v>
      </c>
      <c r="Y17" s="29">
        <f>_xll.qlDayCounterYearFraction(DayCounter,S17,T17)</f>
        <v>1.0138888888888888</v>
      </c>
      <c r="Z17" s="29">
        <f>IF($M$13,_xll.qlYieldTSDiscount(Currency&amp;"ON",S17)/(1+V17*Y17),1)</f>
        <v>1</v>
      </c>
      <c r="AA17" s="30">
        <f>_xll.qlTenorBasisValue(TenorBasis1Y,S17,InterestRatesTrigger)</f>
        <v>3.9102015160264823E-3</v>
      </c>
      <c r="AB17" s="74">
        <f t="shared" si="0"/>
        <v>2.3885009275949895E-3</v>
      </c>
      <c r="AC17" s="76">
        <f t="shared" si="1"/>
        <v>1.0285187116535055</v>
      </c>
    </row>
    <row r="18" spans="12:29" x14ac:dyDescent="0.2">
      <c r="P18" s="33">
        <v>1</v>
      </c>
      <c r="Q18" s="27" t="str">
        <f>_xll.qlPeriodEquivalent(Q17&amp;"+"&amp;P18&amp;"M")</f>
        <v>1Y3M</v>
      </c>
      <c r="R18" s="28">
        <f>_xll.qlCalendarAdvance(Calendar,SettlementDate,Q18,"f",,Trigger)</f>
        <v>42737</v>
      </c>
      <c r="S18" s="28">
        <f>_xll.qlInterestRateIndexValueDate(Index,R18,Trigger)</f>
        <v>42739</v>
      </c>
      <c r="T18" s="28">
        <f>_xll.qlInterestRateIndexMaturity(Index,S18,Trigger)</f>
        <v>43104</v>
      </c>
      <c r="U18" s="30">
        <f>_xll.qlIndexFixing($M$5,R18,TRUE,InterestRatesTrigger)</f>
        <v>-1.4323675439078868E-3</v>
      </c>
      <c r="V18" s="74">
        <f>_xll.qlIndexFixing(Index,R18,TRUE,InterestRatesTrigger)</f>
        <v>2.4591999231689311E-3</v>
      </c>
      <c r="W18" s="30">
        <f t="shared" si="7"/>
        <v>3.8915674670768176E-3</v>
      </c>
      <c r="X18" s="29">
        <f>_xll.qlDayCounterYearFraction(DayCounter,SettlementDate,S18,,,Trigger)</f>
        <v>1.2777777777777777</v>
      </c>
      <c r="Y18" s="29">
        <f>_xll.qlDayCounterYearFraction(DayCounter,S18,T18)</f>
        <v>1.0138888888888888</v>
      </c>
      <c r="Z18" s="29">
        <f>IF($M$13,_xll.qlYieldTSDiscount(Currency&amp;"ON",S18)/(1+V18*Y18),1)</f>
        <v>1</v>
      </c>
      <c r="AA18" s="30">
        <f>_xll.qlTenorBasisValue(TenorBasis1Y,S18,InterestRatesTrigger)</f>
        <v>3.9506889844940288E-3</v>
      </c>
      <c r="AB18" s="74">
        <f t="shared" si="0"/>
        <v>2.5183214405861418E-3</v>
      </c>
      <c r="AC18" s="76">
        <f t="shared" si="1"/>
        <v>1.024040956109427</v>
      </c>
    </row>
    <row r="19" spans="12:29" x14ac:dyDescent="0.2">
      <c r="L19" s="71" t="s">
        <v>50</v>
      </c>
      <c r="M19" s="72"/>
      <c r="P19" s="33">
        <v>1</v>
      </c>
      <c r="Q19" s="27" t="str">
        <f>_xll.qlPeriodEquivalent(Q18&amp;"+"&amp;P19&amp;"M")</f>
        <v>1Y4M</v>
      </c>
      <c r="R19" s="28">
        <f>_xll.qlCalendarAdvance(Calendar,SettlementDate,Q19,"f",,Trigger)</f>
        <v>42768</v>
      </c>
      <c r="S19" s="28">
        <f>_xll.qlInterestRateIndexValueDate(Index,R19,Trigger)</f>
        <v>42772</v>
      </c>
      <c r="T19" s="28">
        <f>_xll.qlInterestRateIndexMaturity(Index,S19,Trigger)</f>
        <v>43137</v>
      </c>
      <c r="U19" s="30">
        <f>_xll.qlIndexFixing($M$5,R19,TRUE,InterestRatesTrigger)</f>
        <v>-1.3139030912599334E-3</v>
      </c>
      <c r="V19" s="74">
        <f>_xll.qlIndexFixing(Index,R19,TRUE,InterestRatesTrigger)</f>
        <v>2.6165483414994735E-3</v>
      </c>
      <c r="W19" s="30">
        <f t="shared" si="7"/>
        <v>3.930451432759407E-3</v>
      </c>
      <c r="X19" s="29">
        <f>_xll.qlDayCounterYearFraction(DayCounter,SettlementDate,S19,,,Trigger)</f>
        <v>1.3694444444444445</v>
      </c>
      <c r="Y19" s="29">
        <f>_xll.qlDayCounterYearFraction(DayCounter,S19,T19)</f>
        <v>1.0138888888888888</v>
      </c>
      <c r="Z19" s="29">
        <f>IF($M$13,_xll.qlYieldTSDiscount(Currency&amp;"ON",S19)/(1+V19*Y19),1)</f>
        <v>1</v>
      </c>
      <c r="AA19" s="30">
        <f>_xll.qlTenorBasisValue(TenorBasis1Y,S19,InterestRatesTrigger)</f>
        <v>3.9937370842350467E-3</v>
      </c>
      <c r="AB19" s="74">
        <f t="shared" si="0"/>
        <v>2.6798339929751131E-3</v>
      </c>
      <c r="AC19" s="76">
        <f t="shared" si="1"/>
        <v>1.0241866930076944</v>
      </c>
    </row>
    <row r="20" spans="12:29" x14ac:dyDescent="0.2">
      <c r="L20" s="45" t="s">
        <v>45</v>
      </c>
      <c r="M20" s="78">
        <f>_xll.qlAbcdCalibration2A($M$14,M15)</f>
        <v>2.3733301024004157E-3</v>
      </c>
      <c r="P20" s="33">
        <v>1</v>
      </c>
      <c r="Q20" s="27" t="str">
        <f>_xll.qlPeriodEquivalent(Q19&amp;"+"&amp;P20&amp;"M")</f>
        <v>1Y5M</v>
      </c>
      <c r="R20" s="28">
        <f>_xll.qlCalendarAdvance(Calendar,SettlementDate,Q20,"f",,Trigger)</f>
        <v>42796</v>
      </c>
      <c r="S20" s="28">
        <f>_xll.qlInterestRateIndexValueDate(Index,R20,Trigger)</f>
        <v>42800</v>
      </c>
      <c r="T20" s="28">
        <f>_xll.qlInterestRateIndexMaturity(Index,S20,Trigger)</f>
        <v>43165</v>
      </c>
      <c r="U20" s="30">
        <f>_xll.qlIndexFixing($M$5,R20,TRUE,InterestRatesTrigger)</f>
        <v>-1.2060296455912369E-3</v>
      </c>
      <c r="V20" s="74">
        <f>_xll.qlIndexFixing(Index,R20,TRUE,InterestRatesTrigger)</f>
        <v>2.7805827309457243E-3</v>
      </c>
      <c r="W20" s="30">
        <f t="shared" si="7"/>
        <v>3.986612376536961E-3</v>
      </c>
      <c r="X20" s="29">
        <f>_xll.qlDayCounterYearFraction(DayCounter,SettlementDate,S20,,,Trigger)</f>
        <v>1.4472222222222222</v>
      </c>
      <c r="Y20" s="29">
        <f>_xll.qlDayCounterYearFraction(DayCounter,S20,T20)</f>
        <v>1.0138888888888888</v>
      </c>
      <c r="Z20" s="29">
        <f>IF($M$13,_xll.qlYieldTSDiscount(Currency&amp;"ON",S20)/(1+V20*Y20),1)</f>
        <v>1</v>
      </c>
      <c r="AA20" s="30">
        <f>_xll.qlTenorBasisValue(TenorBasis1Y,S20,InterestRatesTrigger)</f>
        <v>4.0278178353726265E-3</v>
      </c>
      <c r="AB20" s="74">
        <f t="shared" si="0"/>
        <v>2.8217881897813898E-3</v>
      </c>
      <c r="AC20" s="76">
        <f t="shared" si="1"/>
        <v>1.0148190012032661</v>
      </c>
    </row>
    <row r="21" spans="12:29" x14ac:dyDescent="0.2">
      <c r="L21" s="45" t="s">
        <v>46</v>
      </c>
      <c r="M21" s="79">
        <f>_xll.qlAbcdCalibration2B($M$14,M15)</f>
        <v>1.6656983373314544E-3</v>
      </c>
      <c r="P21" s="33">
        <v>1</v>
      </c>
      <c r="Q21" s="27" t="str">
        <f>_xll.qlPeriodEquivalent(Q20&amp;"+"&amp;P21&amp;"M")</f>
        <v>1Y6M</v>
      </c>
      <c r="R21" s="28">
        <f>_xll.qlCalendarAdvance(Calendar,SettlementDate,Q21,"f",,Trigger)</f>
        <v>42828</v>
      </c>
      <c r="S21" s="28">
        <f>_xll.qlInterestRateIndexValueDate(Index,R21,Trigger)</f>
        <v>42830</v>
      </c>
      <c r="T21" s="28">
        <f>_xll.qlInterestRateIndexMaturity(Index,S21,Trigger)</f>
        <v>43195</v>
      </c>
      <c r="U21" s="30">
        <f>_xll.qlIndexFixing($M$5,R21,TRUE,InterestRatesTrigger)</f>
        <v>-1.0811223228823683E-3</v>
      </c>
      <c r="V21" s="74">
        <f>_xll.qlIndexFixing(Index,R21,TRUE,InterestRatesTrigger)</f>
        <v>2.9487896858677951E-3</v>
      </c>
      <c r="W21" s="30">
        <f t="shared" si="7"/>
        <v>4.0299120087501639E-3</v>
      </c>
      <c r="X21" s="29">
        <f>_xll.qlDayCounterYearFraction(DayCounter,SettlementDate,S21,,,Trigger)</f>
        <v>1.5305555555555554</v>
      </c>
      <c r="Y21" s="29">
        <f>_xll.qlDayCounterYearFraction(DayCounter,S21,T21)</f>
        <v>1.0138888888888888</v>
      </c>
      <c r="Z21" s="29">
        <f>IF($M$13,_xll.qlYieldTSDiscount(Currency&amp;"ON",S21)/(1+V21*Y21),1)</f>
        <v>1</v>
      </c>
      <c r="AA21" s="30">
        <f>_xll.qlTenorBasisValue(TenorBasis1Y,S21,InterestRatesTrigger)</f>
        <v>4.0619218658080394E-3</v>
      </c>
      <c r="AB21" s="74">
        <f t="shared" si="0"/>
        <v>2.9807995429256711E-3</v>
      </c>
      <c r="AC21" s="76">
        <f t="shared" si="1"/>
        <v>1.0108552526520573</v>
      </c>
    </row>
    <row r="22" spans="12:29" x14ac:dyDescent="0.2">
      <c r="L22" s="45" t="s">
        <v>47</v>
      </c>
      <c r="M22" s="79">
        <f>_xll.qlAbcdCalibration2C($M$14,M15)</f>
        <v>0.22570490180933211</v>
      </c>
      <c r="P22" s="33">
        <v>6</v>
      </c>
      <c r="Q22" s="27" t="str">
        <f>_xll.qlPeriodEquivalent(Q21&amp;"+"&amp;P22&amp;"M")</f>
        <v>2Y</v>
      </c>
      <c r="R22" s="28">
        <f>_xll.qlCalendarAdvance(Calendar,SettlementDate,Q22,"f",,Trigger)</f>
        <v>43010</v>
      </c>
      <c r="S22" s="28">
        <f>_xll.qlInterestRateIndexValueDate(Index,R22,Trigger)</f>
        <v>43012</v>
      </c>
      <c r="T22" s="28">
        <f>_xll.qlInterestRateIndexMaturity(Index,S22,Trigger)</f>
        <v>43377</v>
      </c>
      <c r="U22" s="30">
        <f>_xll.qlIndexFixing($M$5,R22,TRUE,InterestRatesTrigger)</f>
        <v>-1.0721812740504263E-4</v>
      </c>
      <c r="V22" s="74">
        <f>_xll.qlIndexFixing(Index,R22,TRUE,InterestRatesTrigger)</f>
        <v>4.1669072942100132E-3</v>
      </c>
      <c r="W22" s="30">
        <f t="shared" si="7"/>
        <v>4.2741254216150555E-3</v>
      </c>
      <c r="X22" s="29">
        <f>_xll.qlDayCounterYearFraction(DayCounter,SettlementDate,S22,,,Trigger)</f>
        <v>2.036111111111111</v>
      </c>
      <c r="Y22" s="29">
        <f>_xll.qlDayCounterYearFraction(DayCounter,S22,T22)</f>
        <v>1.0138888888888888</v>
      </c>
      <c r="Z22" s="29">
        <f>IF($M$13,_xll.qlYieldTSDiscount(Currency&amp;"ON",S22)/(1+V22*Y22),1)</f>
        <v>1</v>
      </c>
      <c r="AA22" s="30">
        <f>_xll.qlTenorBasisValue(TenorBasis1Y,S22,InterestRatesTrigger)</f>
        <v>4.2197437318523996E-3</v>
      </c>
      <c r="AB22" s="74">
        <f t="shared" si="0"/>
        <v>4.1125256044473573E-3</v>
      </c>
      <c r="AC22" s="76">
        <f t="shared" si="1"/>
        <v>0.98694914815162316</v>
      </c>
    </row>
    <row r="23" spans="12:29" x14ac:dyDescent="0.2">
      <c r="L23" s="45" t="s">
        <v>48</v>
      </c>
      <c r="M23" s="78">
        <f>_xll.qlAbcdCalibration2D($M$14,M15)</f>
        <v>5.8540497324690265E-4</v>
      </c>
      <c r="P23" s="33">
        <v>12</v>
      </c>
      <c r="Q23" s="27" t="str">
        <f>_xll.qlPeriodEquivalent(Q22&amp;"+"&amp;P23&amp;"M")</f>
        <v>3Y</v>
      </c>
      <c r="R23" s="28">
        <f>_xll.qlCalendarAdvance(Calendar,SettlementDate,Q23,"f",,Trigger)</f>
        <v>43375</v>
      </c>
      <c r="S23" s="28">
        <f>_xll.qlInterestRateIndexValueDate(Index,R23,Trigger)</f>
        <v>43377</v>
      </c>
      <c r="T23" s="28">
        <f>_xll.qlInterestRateIndexMaturity(Index,S23,Trigger)</f>
        <v>43742</v>
      </c>
      <c r="U23" s="30">
        <f>_xll.qlIndexFixing($M$5,R23,TRUE,InterestRatesTrigger)</f>
        <v>2.4418656744920448E-3</v>
      </c>
      <c r="V23" s="74">
        <f>_xll.qlIndexFixing(Index,R23,TRUE,InterestRatesTrigger)</f>
        <v>6.9752739844174605E-3</v>
      </c>
      <c r="W23" s="30">
        <f t="shared" si="7"/>
        <v>4.5334083099254161E-3</v>
      </c>
      <c r="X23" s="29">
        <f>_xll.qlDayCounterYearFraction(DayCounter,SettlementDate,S23,,,Trigger)</f>
        <v>3.05</v>
      </c>
      <c r="Y23" s="29">
        <f>_xll.qlDayCounterYearFraction(DayCounter,S23,T23)</f>
        <v>1.0138888888888888</v>
      </c>
      <c r="Z23" s="29">
        <f>IF($M$13,_xll.qlYieldTSDiscount(Currency&amp;"ON",S23)/(1+V23*Y23),1)</f>
        <v>1</v>
      </c>
      <c r="AA23" s="30">
        <f>_xll.qlTenorBasisValue(TenorBasis1Y,S23,InterestRatesTrigger)</f>
        <v>4.3301793307373437E-3</v>
      </c>
      <c r="AB23" s="74">
        <f t="shared" si="0"/>
        <v>6.7720450052293889E-3</v>
      </c>
      <c r="AC23" s="76">
        <f t="shared" si="1"/>
        <v>0.97086437326446551</v>
      </c>
    </row>
    <row r="24" spans="12:29" x14ac:dyDescent="0.2">
      <c r="L24" s="45" t="s">
        <v>49</v>
      </c>
      <c r="M24" s="35" t="str">
        <f>_xll.qlAbcdTenorBasis(,Index,Currency&amp;"ON",SettlementDate,TRUE,M20:M23,,Trigger)</f>
        <v>obj_005a4#0003</v>
      </c>
      <c r="P24" s="33">
        <v>12</v>
      </c>
      <c r="Q24" s="27" t="str">
        <f>_xll.qlPeriodEquivalent(Q23&amp;"+"&amp;P24&amp;"M")</f>
        <v>4Y</v>
      </c>
      <c r="R24" s="28">
        <f>_xll.qlCalendarAdvance(Calendar,SettlementDate,Q24,"f",,Trigger)</f>
        <v>43740</v>
      </c>
      <c r="S24" s="28">
        <f>_xll.qlInterestRateIndexValueDate(Index,R24,Trigger)</f>
        <v>43742</v>
      </c>
      <c r="T24" s="28">
        <f>_xll.qlInterestRateIndexMaturity(Index,S24,Trigger)</f>
        <v>44109</v>
      </c>
      <c r="U24" s="30">
        <f>_xll.qlIndexFixing($M$5,R24,TRUE,InterestRatesTrigger)</f>
        <v>5.2627186127840271E-3</v>
      </c>
      <c r="V24" s="74">
        <f>_xll.qlIndexFixing(Index,R24,TRUE,InterestRatesTrigger)</f>
        <v>9.8791046209721345E-3</v>
      </c>
      <c r="W24" s="30">
        <f t="shared" si="7"/>
        <v>4.6163860081881074E-3</v>
      </c>
      <c r="X24" s="29">
        <f>_xll.qlDayCounterYearFraction(DayCounter,SettlementDate,S24,,,Trigger)</f>
        <v>4.0638888888888891</v>
      </c>
      <c r="Y24" s="29">
        <f>_xll.qlDayCounterYearFraction(DayCounter,S24,T24)</f>
        <v>1.0194444444444444</v>
      </c>
      <c r="Z24" s="29">
        <f>IF($M$13,_xll.qlYieldTSDiscount(Currency&amp;"ON",S24)/(1+V24*Y24),1)</f>
        <v>1</v>
      </c>
      <c r="AA24" s="30">
        <f>_xll.qlTenorBasisValue(TenorBasis1Y,S24,InterestRatesTrigger)</f>
        <v>4.247624906143754E-3</v>
      </c>
      <c r="AB24" s="74">
        <f t="shared" si="0"/>
        <v>9.5103435189277802E-3</v>
      </c>
      <c r="AC24" s="76">
        <f t="shared" si="1"/>
        <v>0.96267261900825307</v>
      </c>
    </row>
    <row r="25" spans="12:29" x14ac:dyDescent="0.2">
      <c r="M25" s="42"/>
      <c r="P25" s="33">
        <v>12</v>
      </c>
      <c r="Q25" s="27" t="str">
        <f>_xll.qlPeriodEquivalent(Q24&amp;"+"&amp;P25&amp;"M")</f>
        <v>5Y</v>
      </c>
      <c r="R25" s="28">
        <f>_xll.qlCalendarAdvance(Calendar,SettlementDate,Q25,"f",,Trigger)</f>
        <v>44106</v>
      </c>
      <c r="S25" s="28">
        <f>_xll.qlInterestRateIndexValueDate(Index,R25,Trigger)</f>
        <v>44110</v>
      </c>
      <c r="T25" s="28">
        <f>_xll.qlInterestRateIndexMaturity(Index,S25,Trigger)</f>
        <v>44475</v>
      </c>
      <c r="U25" s="30">
        <f>_xll.qlIndexFixing($M$5,R25,TRUE,InterestRatesTrigger)</f>
        <v>8.7728786402425808E-3</v>
      </c>
      <c r="V25" s="74">
        <f>_xll.qlIndexFixing(Index,R25,TRUE,InterestRatesTrigger)</f>
        <v>1.271435384784082E-2</v>
      </c>
      <c r="W25" s="30">
        <f t="shared" si="7"/>
        <v>3.9414752075982388E-3</v>
      </c>
      <c r="X25" s="29">
        <f>_xll.qlDayCounterYearFraction(DayCounter,SettlementDate,S25,,,Trigger)</f>
        <v>5.0861111111111112</v>
      </c>
      <c r="Y25" s="29">
        <f>_xll.qlDayCounterYearFraction(DayCounter,S25,T25)</f>
        <v>1.0138888888888888</v>
      </c>
      <c r="Z25" s="29">
        <f>IF($M$13,_xll.qlYieldTSDiscount(Currency&amp;"ON",S25)/(1+V25*Y25),1)</f>
        <v>1</v>
      </c>
      <c r="AA25" s="30">
        <f>_xll.qlTenorBasisValue(TenorBasis1Y,S25,InterestRatesTrigger)</f>
        <v>4.0435577322172605E-3</v>
      </c>
      <c r="AB25" s="74">
        <f t="shared" si="0"/>
        <v>1.2816436372459841E-2</v>
      </c>
      <c r="AC25" s="76">
        <f t="shared" si="1"/>
        <v>1.0080289195849585</v>
      </c>
    </row>
    <row r="26" spans="12:29" x14ac:dyDescent="0.2">
      <c r="P26" s="33">
        <v>12</v>
      </c>
      <c r="Q26" s="27" t="str">
        <f>_xll.qlPeriodEquivalent(Q25&amp;"+"&amp;P26&amp;"M")</f>
        <v>6Y</v>
      </c>
      <c r="R26" s="28">
        <f>_xll.qlCalendarAdvance(Calendar,SettlementDate,Q26,"f",,Trigger)</f>
        <v>44473</v>
      </c>
      <c r="S26" s="28">
        <f>_xll.qlInterestRateIndexValueDate(Index,R26,Trigger)</f>
        <v>44475</v>
      </c>
      <c r="T26" s="28">
        <f>_xll.qlInterestRateIndexMaturity(Index,S26,Trigger)</f>
        <v>44840</v>
      </c>
      <c r="U26" s="30">
        <f>_xll.qlIndexFixing($M$5,R26,TRUE,InterestRatesTrigger)</f>
        <v>1.1758262132862523E-2</v>
      </c>
      <c r="V26" s="74">
        <f>_xll.qlIndexFixing(Index,R26,TRUE,InterestRatesTrigger)</f>
        <v>1.5450775598398858E-2</v>
      </c>
      <c r="W26" s="30">
        <f t="shared" si="7"/>
        <v>3.6925134655363349E-3</v>
      </c>
      <c r="X26" s="29">
        <f>_xll.qlDayCounterYearFraction(DayCounter,SettlementDate,S26,,,Trigger)</f>
        <v>6.1</v>
      </c>
      <c r="Y26" s="29">
        <f>_xll.qlDayCounterYearFraction(DayCounter,S26,T26)</f>
        <v>1.0138888888888888</v>
      </c>
      <c r="Z26" s="29">
        <f>IF($M$13,_xll.qlYieldTSDiscount(Currency&amp;"ON",S26)/(1+V26*Y26),1)</f>
        <v>1</v>
      </c>
      <c r="AA26" s="30">
        <f>_xll.qlTenorBasisValue(TenorBasis1Y,S26,InterestRatesTrigger)</f>
        <v>3.7732514009357052E-3</v>
      </c>
      <c r="AB26" s="74">
        <f t="shared" si="0"/>
        <v>1.5531513533798228E-2</v>
      </c>
      <c r="AC26" s="76">
        <f t="shared" si="1"/>
        <v>1.0052254940138887</v>
      </c>
    </row>
    <row r="27" spans="12:29" x14ac:dyDescent="0.2">
      <c r="L27" s="71" t="s">
        <v>52</v>
      </c>
      <c r="M27" s="72"/>
      <c r="P27" s="33">
        <v>12</v>
      </c>
      <c r="Q27" s="27" t="str">
        <f>_xll.qlPeriodEquivalent(Q26&amp;"+"&amp;P27&amp;"M")</f>
        <v>7Y</v>
      </c>
      <c r="R27" s="28">
        <f>_xll.qlCalendarAdvance(Calendar,SettlementDate,Q27,"f",,Trigger)</f>
        <v>44837</v>
      </c>
      <c r="S27" s="28">
        <f>_xll.qlInterestRateIndexValueDate(Index,R27,Trigger)</f>
        <v>44839</v>
      </c>
      <c r="T27" s="28">
        <f>_xll.qlInterestRateIndexMaturity(Index,S27,Trigger)</f>
        <v>45204</v>
      </c>
      <c r="U27" s="30">
        <f>_xll.qlIndexFixing($M$5,R27,TRUE,InterestRatesTrigger)</f>
        <v>1.4159228397681651E-2</v>
      </c>
      <c r="V27" s="74">
        <f>_xll.qlIndexFixing(Index,R27,TRUE,InterestRatesTrigger)</f>
        <v>1.7673146613619489E-2</v>
      </c>
      <c r="W27" s="30">
        <f t="shared" si="7"/>
        <v>3.5139182159378383E-3</v>
      </c>
      <c r="X27" s="29">
        <f>_xll.qlDayCounterYearFraction(DayCounter,SettlementDate,S27,,,Trigger)</f>
        <v>7.1111111111111107</v>
      </c>
      <c r="Y27" s="29">
        <f>_xll.qlDayCounterYearFraction(DayCounter,S27,T27)</f>
        <v>1.0138888888888888</v>
      </c>
      <c r="Z27" s="29">
        <f>IF($M$13,_xll.qlYieldTSDiscount(Currency&amp;"ON",S27)/(1+V27*Y27),1)</f>
        <v>1</v>
      </c>
      <c r="AA27" s="30">
        <f>_xll.qlTenorBasisValue(TenorBasis1Y,S27,InterestRatesTrigger)</f>
        <v>3.4718503428188907E-3</v>
      </c>
      <c r="AB27" s="74">
        <f t="shared" si="0"/>
        <v>1.7631078740500541E-2</v>
      </c>
      <c r="AC27" s="76">
        <f t="shared" si="1"/>
        <v>0.99761967271371299</v>
      </c>
    </row>
    <row r="28" spans="12:29" x14ac:dyDescent="0.2">
      <c r="L28" s="45" t="s">
        <v>45</v>
      </c>
      <c r="M28" s="78">
        <f t="array" ref="M28:M31">_xll.qlTenorInstCoefficients(M24)</f>
        <v>1.7427872884204431E-3</v>
      </c>
      <c r="P28" s="33">
        <v>12</v>
      </c>
      <c r="Q28" s="27" t="str">
        <f>_xll.qlPeriodEquivalent(Q27&amp;"+"&amp;P28&amp;"M")</f>
        <v>8Y</v>
      </c>
      <c r="R28" s="28">
        <f>_xll.qlCalendarAdvance(Calendar,SettlementDate,Q28,"f",,Trigger)</f>
        <v>45201</v>
      </c>
      <c r="S28" s="28">
        <f>_xll.qlInterestRateIndexValueDate(Index,R28,Trigger)</f>
        <v>45203</v>
      </c>
      <c r="T28" s="28">
        <f>_xll.qlInterestRateIndexMaturity(Index,S28,Trigger)</f>
        <v>45569</v>
      </c>
      <c r="U28" s="30">
        <f>_xll.qlIndexFixing($M$5,R28,TRUE,InterestRatesTrigger)</f>
        <v>1.6098450191545956E-2</v>
      </c>
      <c r="V28" s="74">
        <f>_xll.qlIndexFixing(Index,R28,TRUE,InterestRatesTrigger)</f>
        <v>1.9201240781795106E-2</v>
      </c>
      <c r="W28" s="30">
        <f t="shared" si="7"/>
        <v>3.1027905902491493E-3</v>
      </c>
      <c r="X28" s="29">
        <f>_xll.qlDayCounterYearFraction(DayCounter,SettlementDate,S28,,,Trigger)</f>
        <v>8.1222222222222218</v>
      </c>
      <c r="Y28" s="29">
        <f>_xll.qlDayCounterYearFraction(DayCounter,S28,T28)</f>
        <v>1.0166666666666666</v>
      </c>
      <c r="Z28" s="29">
        <f>IF($M$13,_xll.qlYieldTSDiscount(Currency&amp;"ON",S28)/(1+V28*Y28),1)</f>
        <v>1</v>
      </c>
      <c r="AA28" s="30">
        <f>_xll.qlTenorBasisValue(TenorBasis1Y,S28,InterestRatesTrigger)</f>
        <v>3.1624441087010607E-3</v>
      </c>
      <c r="AB28" s="74">
        <f t="shared" si="0"/>
        <v>1.9260894300247015E-2</v>
      </c>
      <c r="AC28" s="76">
        <f t="shared" si="1"/>
        <v>1.0031067533150497</v>
      </c>
    </row>
    <row r="29" spans="12:29" x14ac:dyDescent="0.2">
      <c r="L29" s="45" t="s">
        <v>46</v>
      </c>
      <c r="M29" s="79">
        <v>1.864674063015359E-3</v>
      </c>
      <c r="P29" s="33">
        <v>12</v>
      </c>
      <c r="Q29" s="27" t="str">
        <f>_xll.qlPeriodEquivalent(Q28&amp;"+"&amp;P29&amp;"M")</f>
        <v>9Y</v>
      </c>
      <c r="R29" s="28">
        <f>_xll.qlCalendarAdvance(Calendar,SettlementDate,Q29,"f",,Trigger)</f>
        <v>45567</v>
      </c>
      <c r="S29" s="28">
        <f>_xll.qlInterestRateIndexValueDate(Index,R29,Trigger)</f>
        <v>45569</v>
      </c>
      <c r="T29" s="28">
        <f>_xll.qlInterestRateIndexMaturity(Index,S29,Trigger)</f>
        <v>45936</v>
      </c>
      <c r="U29" s="30">
        <f>_xll.qlIndexFixing($M$5,R29,TRUE,InterestRatesTrigger)</f>
        <v>1.7380856798177444E-2</v>
      </c>
      <c r="V29" s="74">
        <f>_xll.qlIndexFixing(Index,R29,TRUE,InterestRatesTrigger)</f>
        <v>2.0338223515201842E-2</v>
      </c>
      <c r="W29" s="30">
        <f t="shared" si="7"/>
        <v>2.9573667170243977E-3</v>
      </c>
      <c r="X29" s="29">
        <f>_xll.qlDayCounterYearFraction(DayCounter,SettlementDate,S29,,,Trigger)</f>
        <v>9.1388888888888893</v>
      </c>
      <c r="Y29" s="29">
        <f>_xll.qlDayCounterYearFraction(DayCounter,S29,T29)</f>
        <v>1.0194444444444444</v>
      </c>
      <c r="Z29" s="29">
        <f>IF($M$13,_xll.qlYieldTSDiscount(Currency&amp;"ON",S29)/(1+V29*Y29),1)</f>
        <v>1</v>
      </c>
      <c r="AA29" s="30">
        <f>_xll.qlTenorBasisValue(TenorBasis1Y,S29,InterestRatesTrigger)</f>
        <v>2.8588850597052206E-3</v>
      </c>
      <c r="AB29" s="74">
        <f t="shared" si="0"/>
        <v>2.0239741857882666E-2</v>
      </c>
      <c r="AC29" s="76">
        <f t="shared" si="1"/>
        <v>0.9951578043556476</v>
      </c>
    </row>
    <row r="30" spans="12:29" x14ac:dyDescent="0.2">
      <c r="L30" s="45" t="s">
        <v>47</v>
      </c>
      <c r="M30" s="79">
        <v>0.22570490180933211</v>
      </c>
      <c r="P30" s="33">
        <v>12</v>
      </c>
      <c r="Q30" s="27" t="str">
        <f>_xll.qlPeriodEquivalent(Q29&amp;"+"&amp;P30&amp;"M")</f>
        <v>10Y</v>
      </c>
      <c r="R30" s="28">
        <f>_xll.qlCalendarAdvance(Calendar,SettlementDate,Q30,"f",,Trigger)</f>
        <v>45932</v>
      </c>
      <c r="S30" s="28">
        <f>_xll.qlInterestRateIndexValueDate(Index,R30,Trigger)</f>
        <v>45936</v>
      </c>
      <c r="T30" s="28">
        <f>_xll.qlInterestRateIndexMaturity(Index,S30,Trigger)</f>
        <v>46301</v>
      </c>
      <c r="U30" s="30">
        <f>_xll.qlIndexFixing($M$5,R30,TRUE,InterestRatesTrigger)</f>
        <v>1.869855283303333E-2</v>
      </c>
      <c r="V30" s="74">
        <f>_xll.qlIndexFixing(Index,R30,TRUE,InterestRatesTrigger)</f>
        <v>2.1178600366064691E-2</v>
      </c>
      <c r="W30" s="30">
        <f t="shared" si="7"/>
        <v>2.4800475330313612E-3</v>
      </c>
      <c r="X30" s="29">
        <f>_xll.qlDayCounterYearFraction(DayCounter,SettlementDate,S30,,,Trigger)</f>
        <v>10.158333333333333</v>
      </c>
      <c r="Y30" s="29">
        <f>_xll.qlDayCounterYearFraction(DayCounter,S30,T30)</f>
        <v>1.0138888888888888</v>
      </c>
      <c r="Z30" s="29">
        <f>IF($M$13,_xll.qlYieldTSDiscount(Currency&amp;"ON",S30)/(1+V30*Y30),1)</f>
        <v>1</v>
      </c>
      <c r="AA30" s="30">
        <f>_xll.qlTenorBasisValue(TenorBasis1Y,S30,InterestRatesTrigger)</f>
        <v>2.5718224902572793E-3</v>
      </c>
      <c r="AB30" s="74">
        <f t="shared" si="0"/>
        <v>2.1270375323290611E-2</v>
      </c>
      <c r="AC30" s="76">
        <f t="shared" si="1"/>
        <v>1.0043333816040541</v>
      </c>
    </row>
    <row r="31" spans="12:29" x14ac:dyDescent="0.2">
      <c r="L31" s="45" t="s">
        <v>48</v>
      </c>
      <c r="M31" s="78">
        <v>5.8540497324690265E-4</v>
      </c>
      <c r="P31" s="33">
        <v>12</v>
      </c>
      <c r="Q31" s="27" t="str">
        <f>_xll.qlPeriodEquivalent(Q30&amp;"+"&amp;P31&amp;"M")</f>
        <v>11Y</v>
      </c>
      <c r="R31" s="28">
        <f>_xll.qlCalendarAdvance(Calendar,SettlementDate,Q31,"f",,Trigger)</f>
        <v>46297</v>
      </c>
      <c r="S31" s="28">
        <f>_xll.qlInterestRateIndexValueDate(Index,R31,Trigger)</f>
        <v>46301</v>
      </c>
      <c r="T31" s="28">
        <f>_xll.qlInterestRateIndexMaturity(Index,S31,Trigger)</f>
        <v>46666</v>
      </c>
      <c r="U31" s="30">
        <f>_xll.qlIndexFixing($M$5,R31,TRUE,InterestRatesTrigger)</f>
        <v>1.9415223700693346E-2</v>
      </c>
      <c r="V31" s="74">
        <f>_xll.qlIndexFixing(Index,R31,TRUE,InterestRatesTrigger)</f>
        <v>2.1720778318953339E-2</v>
      </c>
      <c r="W31" s="30">
        <f t="shared" si="7"/>
        <v>2.3055546182599931E-3</v>
      </c>
      <c r="X31" s="29">
        <f>_xll.qlDayCounterYearFraction(DayCounter,SettlementDate,S31,,,Trigger)</f>
        <v>11.172222222222222</v>
      </c>
      <c r="Y31" s="29">
        <f>_xll.qlDayCounterYearFraction(DayCounter,S31,T31)</f>
        <v>1.0138888888888888</v>
      </c>
      <c r="Z31" s="29">
        <f>IF($M$13,_xll.qlYieldTSDiscount(Currency&amp;"ON",S31)/(1+V31*Y31),1)</f>
        <v>1</v>
      </c>
      <c r="AA31" s="30">
        <f>_xll.qlTenorBasisValue(TenorBasis1Y,S31,InterestRatesTrigger)</f>
        <v>2.3089803622877015E-3</v>
      </c>
      <c r="AB31" s="74">
        <f t="shared" si="0"/>
        <v>2.1724204062981048E-2</v>
      </c>
      <c r="AC31" s="76">
        <f t="shared" si="1"/>
        <v>1.0001577173698568</v>
      </c>
    </row>
    <row r="32" spans="12:29" x14ac:dyDescent="0.2">
      <c r="M32" s="42"/>
      <c r="P32" s="33">
        <v>12</v>
      </c>
      <c r="Q32" s="27" t="str">
        <f>_xll.qlPeriodEquivalent(Q31&amp;"+"&amp;P32&amp;"M")</f>
        <v>12Y</v>
      </c>
      <c r="R32" s="28">
        <f>_xll.qlCalendarAdvance(Calendar,SettlementDate,Q32,"f",,Trigger)</f>
        <v>46664</v>
      </c>
      <c r="S32" s="28">
        <f>_xll.qlInterestRateIndexValueDate(Index,R32,Trigger)</f>
        <v>46666</v>
      </c>
      <c r="T32" s="28">
        <f>_xll.qlInterestRateIndexMaturity(Index,S32,Trigger)</f>
        <v>47032</v>
      </c>
      <c r="U32" s="30">
        <f>_xll.qlIndexFixing($M$5,R32,TRUE,InterestRatesTrigger)</f>
        <v>2.0055581226330259E-2</v>
      </c>
      <c r="V32" s="74">
        <f>_xll.qlIndexFixing(Index,R32,TRUE,InterestRatesTrigger)</f>
        <v>2.198544051714283E-2</v>
      </c>
      <c r="W32" s="30">
        <f t="shared" si="7"/>
        <v>1.929859290812571E-3</v>
      </c>
      <c r="X32" s="29">
        <f>_xll.qlDayCounterYearFraction(DayCounter,SettlementDate,S32,,,Trigger)</f>
        <v>12.186111111111112</v>
      </c>
      <c r="Y32" s="29">
        <f>_xll.qlDayCounterYearFraction(DayCounter,S32,T32)</f>
        <v>1.0166666666666666</v>
      </c>
      <c r="Z32" s="29">
        <f>IF($M$13,_xll.qlYieldTSDiscount(Currency&amp;"ON",S32)/(1+V32*Y32),1)</f>
        <v>1</v>
      </c>
      <c r="AA32" s="30">
        <f>_xll.qlTenorBasisValue(TenorBasis1Y,S32,InterestRatesTrigger)</f>
        <v>2.0712598083528519E-3</v>
      </c>
      <c r="AB32" s="74">
        <f t="shared" si="0"/>
        <v>2.2126841034683112E-2</v>
      </c>
      <c r="AC32" s="76">
        <f t="shared" si="1"/>
        <v>1.0064315526191083</v>
      </c>
    </row>
    <row r="33" spans="16:29" x14ac:dyDescent="0.2">
      <c r="P33" s="33">
        <v>12</v>
      </c>
      <c r="Q33" s="27" t="str">
        <f>_xll.qlPeriodEquivalent(Q32&amp;"+"&amp;P33&amp;"M")</f>
        <v>13Y</v>
      </c>
      <c r="R33" s="28">
        <f>_xll.qlCalendarAdvance(Calendar,SettlementDate,Q33,"f",,Trigger)</f>
        <v>47028</v>
      </c>
      <c r="S33" s="28">
        <f>_xll.qlInterestRateIndexValueDate(Index,R33,Trigger)</f>
        <v>47030</v>
      </c>
      <c r="T33" s="28">
        <f>_xll.qlInterestRateIndexMaturity(Index,S33,Trigger)</f>
        <v>47395</v>
      </c>
      <c r="U33" s="30">
        <f>_xll.qlIndexFixing($M$5,R33,TRUE,InterestRatesTrigger)</f>
        <v>2.0450264981973131E-2</v>
      </c>
      <c r="V33" s="74">
        <f>_xll.qlIndexFixing(Index,R33,TRUE,InterestRatesTrigger)</f>
        <v>2.2032655102570516E-2</v>
      </c>
      <c r="W33" s="30">
        <f t="shared" si="7"/>
        <v>1.5823901205973857E-3</v>
      </c>
      <c r="X33" s="29">
        <f>_xll.qlDayCounterYearFraction(DayCounter,SettlementDate,S33,,,Trigger)</f>
        <v>13.197222222222223</v>
      </c>
      <c r="Y33" s="29">
        <f>_xll.qlDayCounterYearFraction(DayCounter,S33,T33)</f>
        <v>1.0138888888888888</v>
      </c>
      <c r="Z33" s="29">
        <f>IF($M$13,_xll.qlYieldTSDiscount(Currency&amp;"ON",S33)/(1+V33*Y33),1)</f>
        <v>1</v>
      </c>
      <c r="AA33" s="30">
        <f>_xll.qlTenorBasisValue(TenorBasis1Y,S33,InterestRatesTrigger)</f>
        <v>1.8597854972035772E-3</v>
      </c>
      <c r="AB33" s="74">
        <f t="shared" si="0"/>
        <v>2.2310050479176707E-2</v>
      </c>
      <c r="AC33" s="76">
        <f t="shared" si="1"/>
        <v>1.0125901928439767</v>
      </c>
    </row>
    <row r="34" spans="16:29" x14ac:dyDescent="0.2">
      <c r="P34" s="33">
        <v>12</v>
      </c>
      <c r="Q34" s="27" t="str">
        <f>_xll.qlPeriodEquivalent(Q33&amp;"+"&amp;P34&amp;"M")</f>
        <v>14Y</v>
      </c>
      <c r="R34" s="28">
        <f>_xll.qlCalendarAdvance(Calendar,SettlementDate,Q34,"f",,Trigger)</f>
        <v>47393</v>
      </c>
      <c r="S34" s="28">
        <f>_xll.qlInterestRateIndexValueDate(Index,R34,Trigger)</f>
        <v>47395</v>
      </c>
      <c r="T34" s="28">
        <f>_xll.qlInterestRateIndexMaturity(Index,S34,Trigger)</f>
        <v>47760</v>
      </c>
      <c r="U34" s="30">
        <f>_xll.qlIndexFixing($M$5,R34,TRUE,InterestRatesTrigger)</f>
        <v>2.0511031196303531E-2</v>
      </c>
      <c r="V34" s="74">
        <f>_xll.qlIndexFixing(Index,R34,TRUE,InterestRatesTrigger)</f>
        <v>2.1906591599773102E-2</v>
      </c>
      <c r="W34" s="30">
        <f t="shared" si="7"/>
        <v>1.3955604034695708E-3</v>
      </c>
      <c r="X34" s="29">
        <f>_xll.qlDayCounterYearFraction(DayCounter,SettlementDate,S34,,,Trigger)</f>
        <v>14.21111111111111</v>
      </c>
      <c r="Y34" s="29">
        <f>_xll.qlDayCounterYearFraction(DayCounter,S34,T34)</f>
        <v>1.0138888888888888</v>
      </c>
      <c r="Z34" s="29">
        <f>IF($M$13,_xll.qlYieldTSDiscount(Currency&amp;"ON",S34)/(1+V34*Y34),1)</f>
        <v>1</v>
      </c>
      <c r="AA34" s="30">
        <f>_xll.qlTenorBasisValue(TenorBasis1Y,S34,InterestRatesTrigger)</f>
        <v>1.6727174526409286E-3</v>
      </c>
      <c r="AB34" s="74">
        <f t="shared" si="0"/>
        <v>2.218374864894446E-2</v>
      </c>
      <c r="AC34" s="76">
        <f t="shared" si="1"/>
        <v>1.012651765013697</v>
      </c>
    </row>
    <row r="35" spans="16:29" x14ac:dyDescent="0.2">
      <c r="P35" s="33">
        <v>12</v>
      </c>
      <c r="Q35" s="27" t="str">
        <f>_xll.qlPeriodEquivalent(Q34&amp;"+"&amp;P35&amp;"M")</f>
        <v>15Y</v>
      </c>
      <c r="R35" s="28">
        <f>_xll.qlCalendarAdvance(Calendar,SettlementDate,Q35,"f",,Trigger)</f>
        <v>47758</v>
      </c>
      <c r="S35" s="28">
        <f>_xll.qlInterestRateIndexValueDate(Index,R35,Trigger)</f>
        <v>47760</v>
      </c>
      <c r="T35" s="28">
        <f>_xll.qlInterestRateIndexMaturity(Index,S35,Trigger)</f>
        <v>48127</v>
      </c>
      <c r="U35" s="30">
        <f>_xll.qlIndexFixing($M$5,R35,TRUE,InterestRatesTrigger)</f>
        <v>2.0274135794026125E-2</v>
      </c>
      <c r="V35" s="74">
        <f>_xll.qlIndexFixing(Index,R35,TRUE,InterestRatesTrigger)</f>
        <v>2.1675281908363098E-2</v>
      </c>
      <c r="W35" s="30">
        <f t="shared" si="7"/>
        <v>1.4011461143369729E-3</v>
      </c>
      <c r="X35" s="29">
        <f>_xll.qlDayCounterYearFraction(DayCounter,SettlementDate,S35,,,Trigger)</f>
        <v>15.225</v>
      </c>
      <c r="Y35" s="29">
        <f>_xll.qlDayCounterYearFraction(DayCounter,S35,T35)</f>
        <v>1.0194444444444444</v>
      </c>
      <c r="Z35" s="29">
        <f>IF($M$13,_xll.qlYieldTSDiscount(Currency&amp;"ON",S35)/(1+V35*Y35),1)</f>
        <v>1</v>
      </c>
      <c r="AA35" s="30">
        <f>_xll.qlTenorBasisValue(TenorBasis1Y,S35,InterestRatesTrigger)</f>
        <v>1.5092185350967383E-3</v>
      </c>
      <c r="AB35" s="74">
        <f t="shared" si="0"/>
        <v>2.1783354329122862E-2</v>
      </c>
      <c r="AC35" s="76">
        <f t="shared" si="1"/>
        <v>1.0049859753251036</v>
      </c>
    </row>
    <row r="36" spans="16:29" x14ac:dyDescent="0.2">
      <c r="P36" s="33">
        <v>12</v>
      </c>
      <c r="Q36" s="27" t="str">
        <f>_xll.qlPeriodEquivalent(Q35&amp;"+"&amp;P36&amp;"M")</f>
        <v>16Y</v>
      </c>
      <c r="R36" s="28">
        <f>_xll.qlCalendarAdvance(Calendar,SettlementDate,Q36,"f",,Trigger)</f>
        <v>48123</v>
      </c>
      <c r="S36" s="28">
        <f>_xll.qlInterestRateIndexValueDate(Index,R36,Trigger)</f>
        <v>48127</v>
      </c>
      <c r="T36" s="28">
        <f>_xll.qlInterestRateIndexMaturity(Index,S36,Trigger)</f>
        <v>48493</v>
      </c>
      <c r="U36" s="30">
        <f>_xll.qlIndexFixing($M$5,R36,TRUE,InterestRatesTrigger)</f>
        <v>1.988989287120772E-2</v>
      </c>
      <c r="V36" s="74">
        <f>_xll.qlIndexFixing(Index,R36,TRUE,InterestRatesTrigger)</f>
        <v>2.1296919521463464E-2</v>
      </c>
      <c r="W36" s="30">
        <f t="shared" si="7"/>
        <v>1.4070266502557438E-3</v>
      </c>
      <c r="X36" s="29">
        <f>_xll.qlDayCounterYearFraction(DayCounter,SettlementDate,S36,,,Trigger)</f>
        <v>16.244444444444444</v>
      </c>
      <c r="Y36" s="29">
        <f>_xll.qlDayCounterYearFraction(DayCounter,S36,T36)</f>
        <v>1.0166666666666666</v>
      </c>
      <c r="Z36" s="29">
        <f>IF($M$13,_xll.qlYieldTSDiscount(Currency&amp;"ON",S36)/(1+V36*Y36),1)</f>
        <v>1</v>
      </c>
      <c r="AA36" s="30">
        <f>_xll.qlTenorBasisValue(TenorBasis1Y,S36,InterestRatesTrigger)</f>
        <v>1.3666801086255885E-3</v>
      </c>
      <c r="AB36" s="74">
        <f t="shared" si="0"/>
        <v>2.125657297983331E-2</v>
      </c>
      <c r="AC36" s="76">
        <f t="shared" si="1"/>
        <v>0.99810552218176474</v>
      </c>
    </row>
    <row r="37" spans="16:29" x14ac:dyDescent="0.2">
      <c r="P37" s="33">
        <v>12</v>
      </c>
      <c r="Q37" s="27" t="str">
        <f>_xll.qlPeriodEquivalent(Q36&amp;"+"&amp;P37&amp;"M")</f>
        <v>17Y</v>
      </c>
      <c r="R37" s="28">
        <f>_xll.qlCalendarAdvance(Calendar,SettlementDate,Q37,"f",,Trigger)</f>
        <v>48491</v>
      </c>
      <c r="S37" s="28">
        <f>_xll.qlInterestRateIndexValueDate(Index,R37,Trigger)</f>
        <v>48493</v>
      </c>
      <c r="T37" s="28">
        <f>_xll.qlInterestRateIndexMaturity(Index,S37,Trigger)</f>
        <v>48858</v>
      </c>
      <c r="U37" s="30">
        <f>_xll.qlIndexFixing($M$5,R37,TRUE,InterestRatesTrigger)</f>
        <v>1.9399589050741888E-2</v>
      </c>
      <c r="V37" s="74">
        <f>_xll.qlIndexFixing(Index,R37,TRUE,InterestRatesTrigger)</f>
        <v>2.0717709076120867E-2</v>
      </c>
      <c r="W37" s="30">
        <f t="shared" si="7"/>
        <v>1.3181200253789792E-3</v>
      </c>
      <c r="X37" s="29">
        <f>_xll.qlDayCounterYearFraction(DayCounter,SettlementDate,S37,,,Trigger)</f>
        <v>17.261111111111113</v>
      </c>
      <c r="Y37" s="29">
        <f>_xll.qlDayCounterYearFraction(DayCounter,S37,T37)</f>
        <v>1.0138888888888888</v>
      </c>
      <c r="Z37" s="29">
        <f>IF($M$13,_xll.qlYieldTSDiscount(Currency&amp;"ON",S37)/(1+V37*Y37),1)</f>
        <v>1</v>
      </c>
      <c r="AA37" s="30">
        <f>_xll.qlTenorBasisValue(TenorBasis1Y,S37,InterestRatesTrigger)</f>
        <v>1.2442494120322421E-3</v>
      </c>
      <c r="AB37" s="74">
        <f t="shared" si="0"/>
        <v>2.0643838462774129E-2</v>
      </c>
      <c r="AC37" s="76">
        <f t="shared" si="1"/>
        <v>0.9964344217270682</v>
      </c>
    </row>
    <row r="38" spans="16:29" x14ac:dyDescent="0.2">
      <c r="P38" s="33">
        <v>12</v>
      </c>
      <c r="Q38" s="27" t="str">
        <f>_xll.qlPeriodEquivalent(Q37&amp;"+"&amp;P38&amp;"M")</f>
        <v>18Y</v>
      </c>
      <c r="R38" s="28">
        <f>_xll.qlCalendarAdvance(Calendar,SettlementDate,Q38,"f",,Trigger)</f>
        <v>48855</v>
      </c>
      <c r="S38" s="28">
        <f>_xll.qlInterestRateIndexValueDate(Index,R38,Trigger)</f>
        <v>48857</v>
      </c>
      <c r="T38" s="28">
        <f>_xll.qlInterestRateIndexMaturity(Index,S38,Trigger)</f>
        <v>49222</v>
      </c>
      <c r="U38" s="30">
        <f>_xll.qlIndexFixing($M$5,R38,TRUE,InterestRatesTrigger)</f>
        <v>1.880562605220195E-2</v>
      </c>
      <c r="V38" s="74">
        <f>_xll.qlIndexFixing(Index,R38,TRUE,InterestRatesTrigger)</f>
        <v>1.9946336588678643E-2</v>
      </c>
      <c r="W38" s="30">
        <f t="shared" si="7"/>
        <v>1.1407105364766926E-3</v>
      </c>
      <c r="X38" s="29">
        <f>_xll.qlDayCounterYearFraction(DayCounter,SettlementDate,S38,,,Trigger)</f>
        <v>18.272222222222222</v>
      </c>
      <c r="Y38" s="29">
        <f>_xll.qlDayCounterYearFraction(DayCounter,S38,T38)</f>
        <v>1.0138888888888888</v>
      </c>
      <c r="Z38" s="29">
        <f>IF($M$13,_xll.qlYieldTSDiscount(Currency&amp;"ON",S38)/(1+V38*Y38),1)</f>
        <v>1</v>
      </c>
      <c r="AA38" s="30">
        <f>_xll.qlTenorBasisValue(TenorBasis1Y,S38,InterestRatesTrigger)</f>
        <v>1.1398924287729026E-3</v>
      </c>
      <c r="AB38" s="74">
        <f t="shared" si="0"/>
        <v>1.9945518480974853E-2</v>
      </c>
      <c r="AC38" s="76">
        <f t="shared" si="1"/>
        <v>0.99995898456339827</v>
      </c>
    </row>
    <row r="39" spans="16:29" x14ac:dyDescent="0.2">
      <c r="P39" s="33">
        <v>12</v>
      </c>
      <c r="Q39" s="27" t="str">
        <f>_xll.qlPeriodEquivalent(Q38&amp;"+"&amp;P39&amp;"M")</f>
        <v>19Y</v>
      </c>
      <c r="R39" s="28">
        <f>_xll.qlCalendarAdvance(Calendar,SettlementDate,Q39,"f",,Trigger)</f>
        <v>49219</v>
      </c>
      <c r="S39" s="28">
        <f>_xll.qlInterestRateIndexValueDate(Index,R39,Trigger)</f>
        <v>49221</v>
      </c>
      <c r="T39" s="28">
        <f>_xll.qlInterestRateIndexMaturity(Index,S39,Trigger)</f>
        <v>49586</v>
      </c>
      <c r="U39" s="30">
        <f>_xll.qlIndexFixing($M$5,R39,TRUE,InterestRatesTrigger)</f>
        <v>1.8105879128248108E-2</v>
      </c>
      <c r="V39" s="74">
        <f>_xll.qlIndexFixing(Index,R39,TRUE,InterestRatesTrigger)</f>
        <v>1.8985622150396363E-2</v>
      </c>
      <c r="W39" s="30">
        <f t="shared" si="7"/>
        <v>8.7974302214825426E-4</v>
      </c>
      <c r="X39" s="29">
        <f>_xll.qlDayCounterYearFraction(DayCounter,SettlementDate,S39,,,Trigger)</f>
        <v>19.283333333333335</v>
      </c>
      <c r="Y39" s="29">
        <f>_xll.qlDayCounterYearFraction(DayCounter,S39,T39)</f>
        <v>1.0138888888888888</v>
      </c>
      <c r="Z39" s="29">
        <f>IF($M$13,_xll.qlYieldTSDiscount(Currency&amp;"ON",S39)/(1+V39*Y39),1)</f>
        <v>1</v>
      </c>
      <c r="AA39" s="30">
        <f>_xll.qlTenorBasisValue(TenorBasis1Y,S39,InterestRatesTrigger)</f>
        <v>1.050837737956586E-3</v>
      </c>
      <c r="AB39" s="74">
        <f t="shared" si="0"/>
        <v>1.9156716866204695E-2</v>
      </c>
      <c r="AC39" s="76">
        <f t="shared" si="1"/>
        <v>1.0090118045357162</v>
      </c>
    </row>
    <row r="40" spans="16:29" x14ac:dyDescent="0.2">
      <c r="P40" s="33">
        <v>12</v>
      </c>
      <c r="Q40" s="27" t="str">
        <f>_xll.qlPeriodEquivalent(Q39&amp;"+"&amp;P40&amp;"M")</f>
        <v>20Y</v>
      </c>
      <c r="R40" s="28">
        <f>_xll.qlCalendarAdvance(Calendar,SettlementDate,Q40,"f",,Trigger)</f>
        <v>49584</v>
      </c>
      <c r="S40" s="28">
        <f>_xll.qlInterestRateIndexValueDate(Index,R40,Trigger)</f>
        <v>49586</v>
      </c>
      <c r="T40" s="28">
        <f>_xll.qlInterestRateIndexMaturity(Index,S40,Trigger)</f>
        <v>49954</v>
      </c>
      <c r="U40" s="30">
        <f>_xll.qlIndexFixing($M$5,R40,TRUE,InterestRatesTrigger)</f>
        <v>1.7332479082568811E-2</v>
      </c>
      <c r="V40" s="74">
        <f>_xll.qlIndexFixing(Index,R40,TRUE,InterestRatesTrigger)</f>
        <v>1.8090288022597031E-2</v>
      </c>
      <c r="W40" s="30">
        <f t="shared" si="7"/>
        <v>7.5780894002822063E-4</v>
      </c>
      <c r="X40" s="29">
        <f>_xll.qlDayCounterYearFraction(DayCounter,SettlementDate,S40,,,Trigger)</f>
        <v>20.297222222222221</v>
      </c>
      <c r="Y40" s="29">
        <f>_xll.qlDayCounterYearFraction(DayCounter,S40,T40)</f>
        <v>1.0222222222222221</v>
      </c>
      <c r="Z40" s="29">
        <f>IF($M$13,_xll.qlYieldTSDiscount(Currency&amp;"ON",S40)/(1+V40*Y40),1)</f>
        <v>1</v>
      </c>
      <c r="AA40" s="30">
        <f>_xll.qlTenorBasisValue(TenorBasis1Y,S40,InterestRatesTrigger)</f>
        <v>9.7496508492835878E-4</v>
      </c>
      <c r="AB40" s="74">
        <f t="shared" si="0"/>
        <v>1.8307444167497168E-2</v>
      </c>
      <c r="AC40" s="76">
        <f t="shared" si="1"/>
        <v>1.0120040181023586</v>
      </c>
    </row>
    <row r="41" spans="16:29" x14ac:dyDescent="0.2">
      <c r="P41" s="33">
        <v>12</v>
      </c>
      <c r="Q41" s="27" t="str">
        <f>_xll.qlPeriodEquivalent(Q40&amp;"+"&amp;P41&amp;"M")</f>
        <v>21Y</v>
      </c>
      <c r="R41" s="28">
        <f>_xll.qlCalendarAdvance(Calendar,SettlementDate,Q41,"f",,Trigger)</f>
        <v>49950</v>
      </c>
      <c r="S41" s="28">
        <f>_xll.qlInterestRateIndexValueDate(Index,R41,Trigger)</f>
        <v>49954</v>
      </c>
      <c r="T41" s="28">
        <f>_xll.qlInterestRateIndexMaturity(Index,S41,Trigger)</f>
        <v>50319</v>
      </c>
      <c r="U41" s="30">
        <f>_xll.qlIndexFixing($M$5,R41,TRUE,InterestRatesTrigger)</f>
        <v>1.6629103282373759E-2</v>
      </c>
      <c r="V41" s="74">
        <f>_xll.qlIndexFixing(Index,R41,TRUE,InterestRatesTrigger)</f>
        <v>1.7433461114967595E-2</v>
      </c>
      <c r="W41" s="30">
        <f t="shared" si="7"/>
        <v>8.0435783259383623E-4</v>
      </c>
      <c r="X41" s="29">
        <f>_xll.qlDayCounterYearFraction(DayCounter,SettlementDate,S41,,,Trigger)</f>
        <v>21.319444444444443</v>
      </c>
      <c r="Y41" s="29">
        <f>_xll.qlDayCounterYearFraction(DayCounter,S41,T41)</f>
        <v>1.0138888888888888</v>
      </c>
      <c r="Z41" s="29">
        <f>IF($M$13,_xll.qlYieldTSDiscount(Currency&amp;"ON",S41)/(1+V41*Y41),1)</f>
        <v>1</v>
      </c>
      <c r="AA41" s="30">
        <f>_xll.qlTenorBasisValue(TenorBasis1Y,S41,InterestRatesTrigger)</f>
        <v>9.102677078442669E-4</v>
      </c>
      <c r="AB41" s="74">
        <f t="shared" si="0"/>
        <v>1.7539370990218024E-2</v>
      </c>
      <c r="AC41" s="76">
        <f t="shared" si="1"/>
        <v>1.0060750917188497</v>
      </c>
    </row>
    <row r="42" spans="16:29" x14ac:dyDescent="0.2">
      <c r="P42" s="33">
        <v>12</v>
      </c>
      <c r="Q42" s="27" t="str">
        <f>_xll.qlPeriodEquivalent(Q41&amp;"+"&amp;P42&amp;"M")</f>
        <v>22Y</v>
      </c>
      <c r="R42" s="28">
        <f>_xll.qlCalendarAdvance(Calendar,SettlementDate,Q42,"f",,Trigger)</f>
        <v>50315</v>
      </c>
      <c r="S42" s="28">
        <f>_xll.qlInterestRateIndexValueDate(Index,R42,Trigger)</f>
        <v>50319</v>
      </c>
      <c r="T42" s="28">
        <f>_xll.qlInterestRateIndexMaturity(Index,S42,Trigger)</f>
        <v>50684</v>
      </c>
      <c r="U42" s="30">
        <f>_xll.qlIndexFixing($M$5,R42,TRUE,InterestRatesTrigger)</f>
        <v>1.6036600494348952E-2</v>
      </c>
      <c r="V42" s="74">
        <f>_xll.qlIndexFixing(Index,R42,TRUE,InterestRatesTrigger)</f>
        <v>1.6887793211012397E-2</v>
      </c>
      <c r="W42" s="30">
        <f t="shared" si="7"/>
        <v>8.5119271666344448E-4</v>
      </c>
      <c r="X42" s="29">
        <f>_xll.qlDayCounterYearFraction(DayCounter,SettlementDate,S42,,,Trigger)</f>
        <v>22.333333333333332</v>
      </c>
      <c r="Y42" s="29">
        <f>_xll.qlDayCounterYearFraction(DayCounter,S42,T42)</f>
        <v>1.0138888888888888</v>
      </c>
      <c r="Z42" s="29">
        <f>IF($M$13,_xll.qlYieldTSDiscount(Currency&amp;"ON",S42)/(1+V42*Y42),1)</f>
        <v>1</v>
      </c>
      <c r="AA42" s="30">
        <f>_xll.qlTenorBasisValue(TenorBasis1Y,S42,InterestRatesTrigger)</f>
        <v>8.5617598658461005E-4</v>
      </c>
      <c r="AB42" s="74">
        <f t="shared" si="0"/>
        <v>1.6892776480933562E-2</v>
      </c>
      <c r="AC42" s="76">
        <f t="shared" si="1"/>
        <v>1.0002950811783931</v>
      </c>
    </row>
    <row r="43" spans="16:29" x14ac:dyDescent="0.2">
      <c r="P43" s="33">
        <v>12</v>
      </c>
      <c r="Q43" s="27" t="str">
        <f>_xll.qlPeriodEquivalent(Q42&amp;"+"&amp;P43&amp;"M")</f>
        <v>23Y</v>
      </c>
      <c r="R43" s="28">
        <f>_xll.qlCalendarAdvance(Calendar,SettlementDate,Q43,"f",,Trigger)</f>
        <v>50682</v>
      </c>
      <c r="S43" s="28">
        <f>_xll.qlInterestRateIndexValueDate(Index,R43,Trigger)</f>
        <v>50684</v>
      </c>
      <c r="T43" s="28">
        <f>_xll.qlInterestRateIndexMaturity(Index,S43,Trigger)</f>
        <v>51049</v>
      </c>
      <c r="U43" s="30">
        <f>_xll.qlIndexFixing($M$5,R43,TRUE,InterestRatesTrigger)</f>
        <v>1.5550372815988145E-2</v>
      </c>
      <c r="V43" s="74">
        <f>_xll.qlIndexFixing(Index,R43,TRUE,InterestRatesTrigger)</f>
        <v>1.6487383907983676E-2</v>
      </c>
      <c r="W43" s="30">
        <f t="shared" si="7"/>
        <v>9.3701109199553073E-4</v>
      </c>
      <c r="X43" s="29">
        <f>_xll.qlDayCounterYearFraction(DayCounter,SettlementDate,S43,,,Trigger)</f>
        <v>23.347222222222221</v>
      </c>
      <c r="Y43" s="29">
        <f>_xll.qlDayCounterYearFraction(DayCounter,S43,T43)</f>
        <v>1.0138888888888888</v>
      </c>
      <c r="Z43" s="29">
        <f>IF($M$13,_xll.qlYieldTSDiscount(Currency&amp;"ON",S43)/(1+V43*Y43),1)</f>
        <v>1</v>
      </c>
      <c r="AA43" s="30">
        <f>_xll.qlTenorBasisValue(TenorBasis1Y,S43,InterestRatesTrigger)</f>
        <v>8.1068054960759146E-4</v>
      </c>
      <c r="AB43" s="74">
        <f t="shared" si="0"/>
        <v>1.6361053365595735E-2</v>
      </c>
      <c r="AC43" s="76">
        <f t="shared" si="1"/>
        <v>0.99233774484217785</v>
      </c>
    </row>
    <row r="44" spans="16:29" x14ac:dyDescent="0.2">
      <c r="P44" s="33">
        <v>12</v>
      </c>
      <c r="Q44" s="27" t="str">
        <f>_xll.qlPeriodEquivalent(Q43&amp;"+"&amp;P44&amp;"M")</f>
        <v>24Y</v>
      </c>
      <c r="R44" s="28">
        <f>_xll.qlCalendarAdvance(Calendar,SettlementDate,Q44,"f",,Trigger)</f>
        <v>51046</v>
      </c>
      <c r="S44" s="28">
        <f>_xll.qlInterestRateIndexValueDate(Index,R44,Trigger)</f>
        <v>51048</v>
      </c>
      <c r="T44" s="28">
        <f>_xll.qlInterestRateIndexMaturity(Index,S44,Trigger)</f>
        <v>51414</v>
      </c>
      <c r="U44" s="30">
        <f>_xll.qlIndexFixing($M$5,R44,TRUE,InterestRatesTrigger)</f>
        <v>1.5171056300354669E-2</v>
      </c>
      <c r="V44" s="74">
        <f>_xll.qlIndexFixing(Index,R44,TRUE,InterestRatesTrigger)</f>
        <v>1.6271132107640363E-2</v>
      </c>
      <c r="W44" s="30">
        <f t="shared" si="7"/>
        <v>1.1000758072856939E-3</v>
      </c>
      <c r="X44" s="29">
        <f>_xll.qlDayCounterYearFraction(DayCounter,SettlementDate,S44,,,Trigger)</f>
        <v>24.358333333333334</v>
      </c>
      <c r="Y44" s="29">
        <f>_xll.qlDayCounterYearFraction(DayCounter,S44,T44)</f>
        <v>1.0166666666666666</v>
      </c>
      <c r="Z44" s="29">
        <f>IF($M$13,_xll.qlYieldTSDiscount(Currency&amp;"ON",S44)/(1+V44*Y44),1)</f>
        <v>1</v>
      </c>
      <c r="AA44" s="30">
        <f>_xll.qlTenorBasisValue(TenorBasis1Y,S44,InterestRatesTrigger)</f>
        <v>7.7261145933151703E-4</v>
      </c>
      <c r="AB44" s="74">
        <f t="shared" si="0"/>
        <v>1.5943667759686187E-2</v>
      </c>
      <c r="AC44" s="76">
        <f t="shared" si="1"/>
        <v>0.97987451974528494</v>
      </c>
    </row>
    <row r="45" spans="16:29" x14ac:dyDescent="0.2">
      <c r="P45" s="33">
        <v>12</v>
      </c>
      <c r="Q45" s="27" t="str">
        <f>_xll.qlPeriodEquivalent(Q44&amp;"+"&amp;P45&amp;"M")</f>
        <v>25Y</v>
      </c>
      <c r="R45" s="28">
        <f>_xll.qlCalendarAdvance(Calendar,SettlementDate,Q45,"f",,Trigger)</f>
        <v>51411</v>
      </c>
      <c r="S45" s="28">
        <f>_xll.qlInterestRateIndexValueDate(Index,R45,Trigger)</f>
        <v>51413</v>
      </c>
      <c r="T45" s="28">
        <f>_xll.qlInterestRateIndexMaturity(Index,S45,Trigger)</f>
        <v>51778</v>
      </c>
      <c r="U45" s="30">
        <f>_xll.qlIndexFixing($M$5,R45,TRUE,InterestRatesTrigger)</f>
        <v>1.4897491302886113E-2</v>
      </c>
      <c r="V45" s="74">
        <f>_xll.qlIndexFixing(Index,R45,TRUE,InterestRatesTrigger)</f>
        <v>1.6035756657707841E-2</v>
      </c>
      <c r="W45" s="30">
        <f t="shared" si="7"/>
        <v>1.1382653548217287E-3</v>
      </c>
      <c r="X45" s="29">
        <f>_xll.qlDayCounterYearFraction(DayCounter,SettlementDate,S45,,,Trigger)</f>
        <v>25.372222222222224</v>
      </c>
      <c r="Y45" s="29">
        <f>_xll.qlDayCounterYearFraction(DayCounter,S45,T45)</f>
        <v>1.0138888888888888</v>
      </c>
      <c r="Z45" s="29">
        <f>IF($M$13,_xll.qlYieldTSDiscount(Currency&amp;"ON",S45)/(1+V45*Y45),1)</f>
        <v>1</v>
      </c>
      <c r="AA45" s="30">
        <f>_xll.qlTenorBasisValue(TenorBasis1Y,S45,InterestRatesTrigger)</f>
        <v>7.4065680077390619E-4</v>
      </c>
      <c r="AB45" s="74">
        <f t="shared" si="0"/>
        <v>1.5638148103660019E-2</v>
      </c>
      <c r="AC45" s="76">
        <f t="shared" si="1"/>
        <v>0.97520487729173011</v>
      </c>
    </row>
    <row r="46" spans="16:29" x14ac:dyDescent="0.2">
      <c r="P46" s="33">
        <v>12</v>
      </c>
      <c r="Q46" s="27" t="str">
        <f>_xll.qlPeriodEquivalent(Q45&amp;"+"&amp;P46&amp;"M")</f>
        <v>26Y</v>
      </c>
      <c r="R46" s="28">
        <f>_xll.qlCalendarAdvance(Calendar,SettlementDate,Q46,"f",,Trigger)</f>
        <v>51776</v>
      </c>
      <c r="S46" s="28">
        <f>_xll.qlInterestRateIndexValueDate(Index,R46,Trigger)</f>
        <v>51778</v>
      </c>
      <c r="T46" s="28">
        <f>_xll.qlInterestRateIndexMaturity(Index,S46,Trigger)</f>
        <v>52145</v>
      </c>
      <c r="U46" s="30">
        <f>_xll.qlIndexFixing($M$5,R46,TRUE,InterestRatesTrigger)</f>
        <v>1.4733667067934955E-2</v>
      </c>
      <c r="V46" s="74">
        <f>_xll.qlIndexFixing(Index,R46,TRUE,InterestRatesTrigger)</f>
        <v>1.5719453712634189E-2</v>
      </c>
      <c r="W46" s="30">
        <f t="shared" si="7"/>
        <v>9.8578664469923388E-4</v>
      </c>
      <c r="X46" s="29">
        <f>_xll.qlDayCounterYearFraction(DayCounter,SettlementDate,S46,,,Trigger)</f>
        <v>26.386111111111113</v>
      </c>
      <c r="Y46" s="29">
        <f>_xll.qlDayCounterYearFraction(DayCounter,S46,T46)</f>
        <v>1.0194444444444444</v>
      </c>
      <c r="Z46" s="29">
        <f>IF($M$13,_xll.qlYieldTSDiscount(Currency&amp;"ON",S46)/(1+V46*Y46),1)</f>
        <v>1</v>
      </c>
      <c r="AA46" s="30">
        <f>_xll.qlTenorBasisValue(TenorBasis1Y,S46,InterestRatesTrigger)</f>
        <v>7.1397250582081189E-4</v>
      </c>
      <c r="AB46" s="74">
        <f t="shared" si="0"/>
        <v>1.5447639573755768E-2</v>
      </c>
      <c r="AC46" s="76">
        <f t="shared" si="1"/>
        <v>0.98270842334298447</v>
      </c>
    </row>
    <row r="47" spans="16:29" x14ac:dyDescent="0.2">
      <c r="P47" s="33">
        <v>12</v>
      </c>
      <c r="Q47" s="27" t="str">
        <f>_xll.qlPeriodEquivalent(Q46&amp;"+"&amp;P47&amp;"M")</f>
        <v>27Y</v>
      </c>
      <c r="R47" s="28">
        <f>_xll.qlCalendarAdvance(Calendar,SettlementDate,Q47,"f",,Trigger)</f>
        <v>52141</v>
      </c>
      <c r="S47" s="28">
        <f>_xll.qlInterestRateIndexValueDate(Index,R47,Trigger)</f>
        <v>52145</v>
      </c>
      <c r="T47" s="28">
        <f>_xll.qlInterestRateIndexMaturity(Index,S47,Trigger)</f>
        <v>52510</v>
      </c>
      <c r="U47" s="30">
        <f>_xll.qlIndexFixing($M$5,R47,TRUE,InterestRatesTrigger)</f>
        <v>1.46792897132908E-2</v>
      </c>
      <c r="V47" s="74">
        <f>_xll.qlIndexFixing(Index,R47,TRUE,InterestRatesTrigger)</f>
        <v>1.5529663721579288E-2</v>
      </c>
      <c r="W47" s="30">
        <f t="shared" si="7"/>
        <v>8.5037400828848891E-4</v>
      </c>
      <c r="X47" s="29">
        <f>_xll.qlDayCounterYearFraction(DayCounter,SettlementDate,S47,,,Trigger)</f>
        <v>27.405555555555555</v>
      </c>
      <c r="Y47" s="29">
        <f>_xll.qlDayCounterYearFraction(DayCounter,S47,T47)</f>
        <v>1.0138888888888888</v>
      </c>
      <c r="Z47" s="29">
        <f>IF($M$13,_xll.qlYieldTSDiscount(Currency&amp;"ON",S47)/(1+V47*Y47),1)</f>
        <v>1</v>
      </c>
      <c r="AA47" s="30">
        <f>_xll.qlTenorBasisValue(TenorBasis1Y,S47,InterestRatesTrigger)</f>
        <v>6.9162237025621092E-4</v>
      </c>
      <c r="AB47" s="74">
        <f t="shared" si="0"/>
        <v>1.537091208354701E-2</v>
      </c>
      <c r="AC47" s="76">
        <f t="shared" si="1"/>
        <v>0.9897775224964025</v>
      </c>
    </row>
    <row r="48" spans="16:29" x14ac:dyDescent="0.2">
      <c r="P48" s="33">
        <v>12</v>
      </c>
      <c r="Q48" s="27" t="str">
        <f>_xll.qlPeriodEquivalent(Q47&amp;"+"&amp;P48&amp;"M")</f>
        <v>28Y</v>
      </c>
      <c r="R48" s="28">
        <f>_xll.qlCalendarAdvance(Calendar,SettlementDate,Q48,"f",,Trigger)</f>
        <v>52506</v>
      </c>
      <c r="S48" s="28">
        <f>_xll.qlInterestRateIndexValueDate(Index,R48,Trigger)</f>
        <v>52510</v>
      </c>
      <c r="T48" s="28">
        <f>_xll.qlInterestRateIndexMaturity(Index,S48,Trigger)</f>
        <v>52876</v>
      </c>
      <c r="U48" s="30">
        <f>_xll.qlIndexFixing($M$5,R48,TRUE,InterestRatesTrigger)</f>
        <v>1.4736464537355944E-2</v>
      </c>
      <c r="V48" s="74">
        <f>_xll.qlIndexFixing(Index,R48,TRUE,InterestRatesTrigger)</f>
        <v>1.5491952334467544E-2</v>
      </c>
      <c r="W48" s="30">
        <f t="shared" si="7"/>
        <v>7.5548779711159982E-4</v>
      </c>
      <c r="X48" s="29">
        <f>_xll.qlDayCounterYearFraction(DayCounter,SettlementDate,S48,,,Trigger)</f>
        <v>28.419444444444444</v>
      </c>
      <c r="Y48" s="29">
        <f>_xll.qlDayCounterYearFraction(DayCounter,S48,T48)</f>
        <v>1.0166666666666666</v>
      </c>
      <c r="Z48" s="29">
        <f>IF($M$13,_xll.qlYieldTSDiscount(Currency&amp;"ON",S48)/(1+V48*Y48),1)</f>
        <v>1</v>
      </c>
      <c r="AA48" s="30">
        <f>_xll.qlTenorBasisValue(TenorBasis1Y,S48,InterestRatesTrigger)</f>
        <v>6.7314014230254651E-4</v>
      </c>
      <c r="AB48" s="74">
        <f t="shared" si="0"/>
        <v>1.540960467965849E-2</v>
      </c>
      <c r="AC48" s="76">
        <f t="shared" si="1"/>
        <v>0.99468448824065636</v>
      </c>
    </row>
    <row r="49" spans="16:29" x14ac:dyDescent="0.2">
      <c r="P49" s="33">
        <v>12</v>
      </c>
      <c r="Q49" s="27" t="str">
        <f>_xll.qlPeriodEquivalent(Q48&amp;"+"&amp;P49&amp;"M")</f>
        <v>29Y</v>
      </c>
      <c r="R49" s="28">
        <f>_xll.qlCalendarAdvance(Calendar,SettlementDate,Q49,"f",,Trigger)</f>
        <v>52873</v>
      </c>
      <c r="S49" s="28">
        <f>_xll.qlInterestRateIndexValueDate(Index,R49,Trigger)</f>
        <v>52875</v>
      </c>
      <c r="T49" s="28">
        <f>_xll.qlInterestRateIndexMaturity(Index,S49,Trigger)</f>
        <v>53240</v>
      </c>
      <c r="U49" s="30">
        <f>_xll.qlIndexFixing($M$5,R49,TRUE,InterestRatesTrigger)</f>
        <v>1.4902826669453292E-2</v>
      </c>
      <c r="V49" s="74">
        <f>_xll.qlIndexFixing(Index,R49,TRUE,InterestRatesTrigger)</f>
        <v>1.5626475745650344E-2</v>
      </c>
      <c r="W49" s="30">
        <f t="shared" si="7"/>
        <v>7.2364907619705196E-4</v>
      </c>
      <c r="X49" s="29">
        <f>_xll.qlDayCounterYearFraction(DayCounter,SettlementDate,S49,,,Trigger)</f>
        <v>29.433333333333334</v>
      </c>
      <c r="Y49" s="29">
        <f>_xll.qlDayCounterYearFraction(DayCounter,S49,T49)</f>
        <v>1.0138888888888888</v>
      </c>
      <c r="Z49" s="29">
        <f>IF($M$13,_xll.qlYieldTSDiscount(Currency&amp;"ON",S49)/(1+V49*Y49),1)</f>
        <v>1</v>
      </c>
      <c r="AA49" s="30">
        <f>_xll.qlTenorBasisValue(TenorBasis1Y,S49,InterestRatesTrigger)</f>
        <v>6.5779036323975653E-4</v>
      </c>
      <c r="AB49" s="74">
        <f t="shared" si="0"/>
        <v>1.5560617032693048E-2</v>
      </c>
      <c r="AC49" s="76">
        <f t="shared" si="1"/>
        <v>0.99578544042628248</v>
      </c>
    </row>
    <row r="50" spans="16:29" x14ac:dyDescent="0.2">
      <c r="P50" s="33">
        <v>12</v>
      </c>
      <c r="Q50" s="27" t="str">
        <f>_xll.qlPeriodEquivalent(Q49&amp;"+"&amp;P50&amp;"M")</f>
        <v>30Y</v>
      </c>
      <c r="R50" s="28">
        <f>_xll.qlCalendarAdvance(Calendar,SettlementDate,Q50,"f",,Trigger)</f>
        <v>53237</v>
      </c>
      <c r="S50" s="28">
        <f>_xll.qlInterestRateIndexValueDate(Index,R50,Trigger)</f>
        <v>53239</v>
      </c>
      <c r="T50" s="28">
        <f>_xll.qlInterestRateIndexMaturity(Index,S50,Trigger)</f>
        <v>53604</v>
      </c>
      <c r="U50" s="30">
        <f>_xll.qlIndexFixing($M$5,R50,TRUE,InterestRatesTrigger)</f>
        <v>1.5144892392921556E-2</v>
      </c>
      <c r="V50" s="74">
        <f>_xll.qlIndexFixing(Index,R50,TRUE,InterestRatesTrigger)</f>
        <v>1.5813534397539502E-2</v>
      </c>
      <c r="W50" s="30">
        <f t="shared" si="7"/>
        <v>6.6864200461794546E-4</v>
      </c>
      <c r="X50" s="29">
        <f>_xll.qlDayCounterYearFraction(DayCounter,SettlementDate,S50,,,Trigger)</f>
        <v>30.444444444444443</v>
      </c>
      <c r="Y50" s="29">
        <f>_xll.qlDayCounterYearFraction(DayCounter,S50,T50)</f>
        <v>1.0138888888888888</v>
      </c>
      <c r="Z50" s="29">
        <f>IF($M$13,_xll.qlYieldTSDiscount(Currency&amp;"ON",S50)/(1+V50*Y50),1)</f>
        <v>1</v>
      </c>
      <c r="AA50" s="30">
        <f>_xll.qlTenorBasisValue(TenorBasis1Y,S50,InterestRatesTrigger)</f>
        <v>6.4509343044116428E-4</v>
      </c>
      <c r="AB50" s="74">
        <f t="shared" si="0"/>
        <v>1.5789985823362721E-2</v>
      </c>
      <c r="AC50" s="76">
        <f t="shared" si="1"/>
        <v>0.99851085952167373</v>
      </c>
    </row>
    <row r="51" spans="16:29" x14ac:dyDescent="0.2">
      <c r="P51" s="33">
        <v>12</v>
      </c>
      <c r="Q51" s="27" t="str">
        <f>_xll.qlPeriodEquivalent(Q50&amp;"+"&amp;P51&amp;"M")</f>
        <v>31Y</v>
      </c>
      <c r="R51" s="28">
        <f>_xll.qlCalendarAdvance(Calendar,SettlementDate,Q51,"f",,Trigger)</f>
        <v>53602</v>
      </c>
      <c r="S51" s="28">
        <f>_xll.qlInterestRateIndexValueDate(Index,R51,Trigger)</f>
        <v>53604</v>
      </c>
      <c r="T51" s="28">
        <f>_xll.qlInterestRateIndexMaturity(Index,S51,Trigger)</f>
        <v>53969</v>
      </c>
      <c r="U51" s="30">
        <f>_xll.qlIndexFixing($M$5,R51,TRUE,InterestRatesTrigger)</f>
        <v>1.5329686866358536E-2</v>
      </c>
      <c r="V51" s="74">
        <f>_xll.qlIndexFixing(Index,R51,TRUE,InterestRatesTrigger)</f>
        <v>1.5903237104096697E-2</v>
      </c>
      <c r="W51" s="30">
        <f t="shared" si="7"/>
        <v>5.7355023773816155E-4</v>
      </c>
      <c r="X51" s="29">
        <f>_xll.qlDayCounterYearFraction(DayCounter,SettlementDate,S51,,,Trigger)</f>
        <v>31.458333333333332</v>
      </c>
      <c r="Y51" s="29">
        <f>_xll.qlDayCounterYearFraction(DayCounter,S51,T51)</f>
        <v>1.0138888888888888</v>
      </c>
      <c r="Z51" s="29">
        <f>IF($M$13,_xll.qlYieldTSDiscount(Currency&amp;"ON",S51)/(1+V51*Y51),1)</f>
        <v>1</v>
      </c>
      <c r="AA51" s="30">
        <f>_xll.qlTenorBasisValue(TenorBasis1Y,S51,InterestRatesTrigger)</f>
        <v>6.3454790540793814E-4</v>
      </c>
      <c r="AB51" s="74">
        <f t="shared" si="0"/>
        <v>1.5964234771766474E-2</v>
      </c>
      <c r="AC51" s="76">
        <f t="shared" si="1"/>
        <v>1.0038355504147054</v>
      </c>
    </row>
    <row r="52" spans="16:29" x14ac:dyDescent="0.2">
      <c r="P52" s="33">
        <v>12</v>
      </c>
      <c r="Q52" s="27" t="str">
        <f>_xll.qlPeriodEquivalent(Q51&amp;"+"&amp;P52&amp;"M")</f>
        <v>32Y</v>
      </c>
      <c r="R52" s="28">
        <f>_xll.qlCalendarAdvance(Calendar,SettlementDate,Q52,"f",,Trigger)</f>
        <v>53967</v>
      </c>
      <c r="S52" s="28">
        <f>_xll.qlInterestRateIndexValueDate(Index,R52,Trigger)</f>
        <v>53969</v>
      </c>
      <c r="T52" s="28">
        <f>_xll.qlInterestRateIndexMaturity(Index,S52,Trigger)</f>
        <v>54336</v>
      </c>
      <c r="U52" s="30">
        <f>_xll.qlIndexFixing($M$5,R52,TRUE,InterestRatesTrigger)</f>
        <v>1.5424346511946374E-2</v>
      </c>
      <c r="V52" s="74">
        <f>_xll.qlIndexFixing(Index,R52,TRUE,InterestRatesTrigger)</f>
        <v>1.5948859036322347E-2</v>
      </c>
      <c r="W52" s="30">
        <f t="shared" si="7"/>
        <v>5.2451252437597275E-4</v>
      </c>
      <c r="X52" s="29">
        <f>_xll.qlDayCounterYearFraction(DayCounter,SettlementDate,S52,,,Trigger)</f>
        <v>32.472222222222221</v>
      </c>
      <c r="Y52" s="29">
        <f>_xll.qlDayCounterYearFraction(DayCounter,S52,T52)</f>
        <v>1.0194444444444444</v>
      </c>
      <c r="Z52" s="29">
        <f>IF($M$13,_xll.qlYieldTSDiscount(Currency&amp;"ON",S52)/(1+V52*Y52),1)</f>
        <v>1</v>
      </c>
      <c r="AA52" s="30">
        <f>_xll.qlTenorBasisValue(TenorBasis1Y,S52,InterestRatesTrigger)</f>
        <v>6.2582710410409516E-4</v>
      </c>
      <c r="AB52" s="74">
        <f t="shared" si="0"/>
        <v>1.6050173616050468E-2</v>
      </c>
      <c r="AC52" s="76">
        <f t="shared" si="1"/>
        <v>1.0063524656840583</v>
      </c>
    </row>
    <row r="53" spans="16:29" x14ac:dyDescent="0.2">
      <c r="P53" s="33">
        <v>12</v>
      </c>
      <c r="Q53" s="27" t="str">
        <f>_xll.qlPeriodEquivalent(Q52&amp;"+"&amp;P53&amp;"M")</f>
        <v>33Y</v>
      </c>
      <c r="R53" s="28">
        <f>_xll.qlCalendarAdvance(Calendar,SettlementDate,Q53,"f",,Trigger)</f>
        <v>54333</v>
      </c>
      <c r="S53" s="28">
        <f>_xll.qlInterestRateIndexValueDate(Index,R53,Trigger)</f>
        <v>54337</v>
      </c>
      <c r="T53" s="28">
        <f>_xll.qlInterestRateIndexMaturity(Index,S53,Trigger)</f>
        <v>54702</v>
      </c>
      <c r="U53" s="30">
        <f>_xll.qlIndexFixing($M$5,R53,TRUE,InterestRatesTrigger)</f>
        <v>1.5426249143022399E-2</v>
      </c>
      <c r="V53" s="74">
        <f>_xll.qlIndexFixing(Index,R53,TRUE,InterestRatesTrigger)</f>
        <v>1.5941218916528114E-2</v>
      </c>
      <c r="W53" s="30">
        <f t="shared" si="7"/>
        <v>5.1496977350571488E-4</v>
      </c>
      <c r="X53" s="29">
        <f>_xll.qlDayCounterYearFraction(DayCounter,SettlementDate,S53,,,Trigger)</f>
        <v>33.494444444444447</v>
      </c>
      <c r="Y53" s="29">
        <f>_xll.qlDayCounterYearFraction(DayCounter,S53,T53)</f>
        <v>1.0138888888888888</v>
      </c>
      <c r="Z53" s="29">
        <f>IF($M$13,_xll.qlYieldTSDiscount(Currency&amp;"ON",S53)/(1+V53*Y53),1)</f>
        <v>1</v>
      </c>
      <c r="AA53" s="30">
        <f>_xll.qlTenorBasisValue(TenorBasis1Y,S53,InterestRatesTrigger)</f>
        <v>6.185705083907256E-4</v>
      </c>
      <c r="AB53" s="74">
        <f t="shared" si="0"/>
        <v>1.6044819651413123E-2</v>
      </c>
      <c r="AC53" s="76">
        <f t="shared" si="1"/>
        <v>1.0064989217843057</v>
      </c>
    </row>
    <row r="54" spans="16:29" x14ac:dyDescent="0.2">
      <c r="P54" s="33">
        <v>12</v>
      </c>
      <c r="Q54" s="27" t="str">
        <f>_xll.qlPeriodEquivalent(Q53&amp;"+"&amp;P54&amp;"M")</f>
        <v>34Y</v>
      </c>
      <c r="R54" s="28">
        <f>_xll.qlCalendarAdvance(Calendar,SettlementDate,Q54,"f",,Trigger)</f>
        <v>54700</v>
      </c>
      <c r="S54" s="28">
        <f>_xll.qlInterestRateIndexValueDate(Index,R54,Trigger)</f>
        <v>54702</v>
      </c>
      <c r="T54" s="28">
        <f>_xll.qlInterestRateIndexMaturity(Index,S54,Trigger)</f>
        <v>55067</v>
      </c>
      <c r="U54" s="30">
        <f>_xll.qlIndexFixing($M$5,R54,TRUE,InterestRatesTrigger)</f>
        <v>1.5337595432102082E-2</v>
      </c>
      <c r="V54" s="74">
        <f>_xll.qlIndexFixing(Index,R54,TRUE,InterestRatesTrigger)</f>
        <v>1.5875902744903927E-2</v>
      </c>
      <c r="W54" s="30">
        <f t="shared" si="7"/>
        <v>5.3830731280184521E-4</v>
      </c>
      <c r="X54" s="29">
        <f>_xll.qlDayCounterYearFraction(DayCounter,SettlementDate,S54,,,Trigger)</f>
        <v>34.508333333333333</v>
      </c>
      <c r="Y54" s="29">
        <f>_xll.qlDayCounterYearFraction(DayCounter,S54,T54)</f>
        <v>1.0138888888888888</v>
      </c>
      <c r="Z54" s="29">
        <f>IF($M$13,_xll.qlYieldTSDiscount(Currency&amp;"ON",S54)/(1+V54*Y54),1)</f>
        <v>1</v>
      </c>
      <c r="AA54" s="30">
        <f>_xll.qlTenorBasisValue(TenorBasis1Y,S54,InterestRatesTrigger)</f>
        <v>6.1263749861225562E-4</v>
      </c>
      <c r="AB54" s="74">
        <f t="shared" si="0"/>
        <v>1.5950232930714337E-2</v>
      </c>
      <c r="AC54" s="76">
        <f t="shared" si="1"/>
        <v>1.0046819501860622</v>
      </c>
    </row>
    <row r="55" spans="16:29" x14ac:dyDescent="0.2">
      <c r="P55" s="33">
        <v>12</v>
      </c>
      <c r="Q55" s="27" t="str">
        <f>_xll.qlPeriodEquivalent(Q54&amp;"+"&amp;P55&amp;"M")</f>
        <v>35Y</v>
      </c>
      <c r="R55" s="28">
        <f>_xll.qlCalendarAdvance(Calendar,SettlementDate,Q55,"f",,Trigger)</f>
        <v>55064</v>
      </c>
      <c r="S55" s="28">
        <f>_xll.qlInterestRateIndexValueDate(Index,R55,Trigger)</f>
        <v>55066</v>
      </c>
      <c r="T55" s="28">
        <f>_xll.qlInterestRateIndexMaturity(Index,S55,Trigger)</f>
        <v>55431</v>
      </c>
      <c r="U55" s="30">
        <f>_xll.qlIndexFixing($M$5,R55,TRUE,InterestRatesTrigger)</f>
        <v>1.5158672543566894E-2</v>
      </c>
      <c r="V55" s="74">
        <f>_xll.qlIndexFixing(Index,R55,TRUE,InterestRatesTrigger)</f>
        <v>1.574611945138121E-2</v>
      </c>
      <c r="W55" s="30">
        <f t="shared" si="7"/>
        <v>5.8744690781431519E-4</v>
      </c>
      <c r="X55" s="29">
        <f>_xll.qlDayCounterYearFraction(DayCounter,SettlementDate,S55,,,Trigger)</f>
        <v>35.519444444444446</v>
      </c>
      <c r="Y55" s="29">
        <f>_xll.qlDayCounterYearFraction(DayCounter,S55,T55)</f>
        <v>1.0138888888888888</v>
      </c>
      <c r="Z55" s="29">
        <f>IF($M$13,_xll.qlYieldTSDiscount(Currency&amp;"ON",S55)/(1+V55*Y55),1)</f>
        <v>1</v>
      </c>
      <c r="AA55" s="30">
        <f>_xll.qlTenorBasisValue(TenorBasis1Y,S55,InterestRatesTrigger)</f>
        <v>6.0776020761232387E-4</v>
      </c>
      <c r="AB55" s="74">
        <f t="shared" si="0"/>
        <v>1.576643275117922E-2</v>
      </c>
      <c r="AC55" s="76">
        <f t="shared" si="1"/>
        <v>1.0012900511685263</v>
      </c>
    </row>
    <row r="56" spans="16:29" x14ac:dyDescent="0.2">
      <c r="P56" s="33">
        <v>12</v>
      </c>
      <c r="Q56" s="27" t="str">
        <f>_xll.qlPeriodEquivalent(Q55&amp;"+"&amp;P56&amp;"M")</f>
        <v>36Y</v>
      </c>
      <c r="R56" s="28">
        <f>_xll.qlCalendarAdvance(Calendar,SettlementDate,Q56,"f",,Trigger)</f>
        <v>55428</v>
      </c>
      <c r="S56" s="28">
        <f>_xll.qlInterestRateIndexValueDate(Index,R56,Trigger)</f>
        <v>55430</v>
      </c>
      <c r="T56" s="28">
        <f>_xll.qlInterestRateIndexMaturity(Index,S56,Trigger)</f>
        <v>55796</v>
      </c>
      <c r="U56" s="30">
        <f>_xll.qlIndexFixing($M$5,R56,TRUE,InterestRatesTrigger)</f>
        <v>1.4889263834440787E-2</v>
      </c>
      <c r="V56" s="74">
        <f>_xll.qlIndexFixing(Index,R56,TRUE,InterestRatesTrigger)</f>
        <v>1.5545157633551401E-2</v>
      </c>
      <c r="W56" s="30">
        <f t="shared" si="7"/>
        <v>6.5589379911061389E-4</v>
      </c>
      <c r="X56" s="29">
        <f>_xll.qlDayCounterYearFraction(DayCounter,SettlementDate,S56,,,Trigger)</f>
        <v>36.530555555555559</v>
      </c>
      <c r="Y56" s="29">
        <f>_xll.qlDayCounterYearFraction(DayCounter,S56,T56)</f>
        <v>1.0166666666666666</v>
      </c>
      <c r="Z56" s="29">
        <f>IF($M$13,_xll.qlYieldTSDiscount(Currency&amp;"ON",S56)/(1+V56*Y56),1)</f>
        <v>1</v>
      </c>
      <c r="AA56" s="30">
        <f>_xll.qlTenorBasisValue(TenorBasis1Y,S56,InterestRatesTrigger)</f>
        <v>6.0374269849129713E-4</v>
      </c>
      <c r="AB56" s="74">
        <f t="shared" si="0"/>
        <v>1.5493006532932084E-2</v>
      </c>
      <c r="AC56" s="76">
        <f t="shared" si="1"/>
        <v>0.99664518676177605</v>
      </c>
    </row>
    <row r="57" spans="16:29" x14ac:dyDescent="0.2">
      <c r="P57" s="33">
        <v>12</v>
      </c>
      <c r="Q57" s="27" t="str">
        <f>_xll.qlPeriodEquivalent(Q56&amp;"+"&amp;P57&amp;"M")</f>
        <v>37Y</v>
      </c>
      <c r="R57" s="28">
        <f>_xll.qlCalendarAdvance(Calendar,SettlementDate,Q57,"f",,Trigger)</f>
        <v>55794</v>
      </c>
      <c r="S57" s="28">
        <f>_xll.qlInterestRateIndexValueDate(Index,R57,Trigger)</f>
        <v>55796</v>
      </c>
      <c r="T57" s="28">
        <f>_xll.qlInterestRateIndexMaturity(Index,S57,Trigger)</f>
        <v>56163</v>
      </c>
      <c r="U57" s="30">
        <f>_xll.qlIndexFixing($M$5,R57,TRUE,InterestRatesTrigger)</f>
        <v>1.4527085138191268E-2</v>
      </c>
      <c r="V57" s="74">
        <f>_xll.qlIndexFixing(Index,R57,TRUE,InterestRatesTrigger)</f>
        <v>1.5264436590306402E-2</v>
      </c>
      <c r="W57" s="30">
        <f t="shared" si="7"/>
        <v>7.373514521151342E-4</v>
      </c>
      <c r="X57" s="29">
        <f>_xll.qlDayCounterYearFraction(DayCounter,SettlementDate,S57,,,Trigger)</f>
        <v>37.547222222222224</v>
      </c>
      <c r="Y57" s="29">
        <f>_xll.qlDayCounterYearFraction(DayCounter,S57,T57)</f>
        <v>1.0194444444444444</v>
      </c>
      <c r="Z57" s="29">
        <f>IF($M$13,_xll.qlYieldTSDiscount(Currency&amp;"ON",S57)/(1+V57*Y57),1)</f>
        <v>1</v>
      </c>
      <c r="AA57" s="30">
        <f>_xll.qlTenorBasisValue(TenorBasis1Y,S57,InterestRatesTrigger)</f>
        <v>6.0042008189928721E-4</v>
      </c>
      <c r="AB57" s="74">
        <f t="shared" si="0"/>
        <v>1.5127505220090555E-2</v>
      </c>
      <c r="AC57" s="76">
        <f t="shared" si="1"/>
        <v>0.99102938589277478</v>
      </c>
    </row>
    <row r="58" spans="16:29" x14ac:dyDescent="0.2">
      <c r="P58" s="33">
        <v>12</v>
      </c>
      <c r="Q58" s="27" t="str">
        <f>_xll.qlPeriodEquivalent(Q57&amp;"+"&amp;P58&amp;"M")</f>
        <v>38Y</v>
      </c>
      <c r="R58" s="28">
        <f>_xll.qlCalendarAdvance(Calendar,SettlementDate,Q58,"f",,Trigger)</f>
        <v>56159</v>
      </c>
      <c r="S58" s="28">
        <f>_xll.qlInterestRateIndexValueDate(Index,R58,Trigger)</f>
        <v>56163</v>
      </c>
      <c r="T58" s="28">
        <f>_xll.qlInterestRateIndexMaturity(Index,S58,Trigger)</f>
        <v>56528</v>
      </c>
      <c r="U58" s="30">
        <f>_xll.qlIndexFixing($M$5,R58,TRUE,InterestRatesTrigger)</f>
        <v>1.4073378789762855E-2</v>
      </c>
      <c r="V58" s="74">
        <f>_xll.qlIndexFixing(Index,R58,TRUE,InterestRatesTrigger)</f>
        <v>1.4897857199767783E-2</v>
      </c>
      <c r="W58" s="30">
        <f t="shared" si="7"/>
        <v>8.2447841000492759E-4</v>
      </c>
      <c r="X58" s="29">
        <f>_xll.qlDayCounterYearFraction(DayCounter,SettlementDate,S58,,,Trigger)</f>
        <v>38.56666666666667</v>
      </c>
      <c r="Y58" s="29">
        <f>_xll.qlDayCounterYearFraction(DayCounter,S58,T58)</f>
        <v>1.0138888888888888</v>
      </c>
      <c r="Z58" s="29">
        <f>IF($M$13,_xll.qlYieldTSDiscount(Currency&amp;"ON",S58)/(1+V58*Y58),1)</f>
        <v>1</v>
      </c>
      <c r="AA58" s="30">
        <f>_xll.qlTenorBasisValue(TenorBasis1Y,S58,InterestRatesTrigger)</f>
        <v>5.9768439005468649E-4</v>
      </c>
      <c r="AB58" s="74">
        <f t="shared" si="0"/>
        <v>1.4671063179817541E-2</v>
      </c>
      <c r="AC58" s="76">
        <f t="shared" si="1"/>
        <v>0.98477673554598333</v>
      </c>
    </row>
    <row r="59" spans="16:29" x14ac:dyDescent="0.2">
      <c r="P59" s="33">
        <v>12</v>
      </c>
      <c r="Q59" s="27" t="str">
        <f>_xll.qlPeriodEquivalent(Q58&amp;"+"&amp;P59&amp;"M")</f>
        <v>39Y</v>
      </c>
      <c r="R59" s="28">
        <f>_xll.qlCalendarAdvance(Calendar,SettlementDate,Q59,"f",,Trigger)</f>
        <v>56524</v>
      </c>
      <c r="S59" s="28">
        <f>_xll.qlInterestRateIndexValueDate(Index,R59,Trigger)</f>
        <v>56528</v>
      </c>
      <c r="T59" s="28">
        <f>_xll.qlInterestRateIndexMaturity(Index,S59,Trigger)</f>
        <v>56893</v>
      </c>
      <c r="U59" s="30">
        <f>_xll.qlIndexFixing($M$5,R59,TRUE,InterestRatesTrigger)</f>
        <v>1.3530787029978172E-2</v>
      </c>
      <c r="V59" s="74">
        <f>_xll.qlIndexFixing(Index,R59,TRUE,InterestRatesTrigger)</f>
        <v>1.4441333953480269E-2</v>
      </c>
      <c r="W59" s="30">
        <f t="shared" si="7"/>
        <v>9.1054692350209764E-4</v>
      </c>
      <c r="X59" s="29">
        <f>_xll.qlDayCounterYearFraction(DayCounter,SettlementDate,S59,,,Trigger)</f>
        <v>39.580555555555556</v>
      </c>
      <c r="Y59" s="29">
        <f>_xll.qlDayCounterYearFraction(DayCounter,S59,T59)</f>
        <v>1.0138888888888888</v>
      </c>
      <c r="Z59" s="29">
        <f>IF($M$13,_xll.qlYieldTSDiscount(Currency&amp;"ON",S59)/(1+V59*Y59),1)</f>
        <v>1</v>
      </c>
      <c r="AA59" s="30">
        <f>_xll.qlTenorBasisValue(TenorBasis1Y,S59,InterestRatesTrigger)</f>
        <v>5.954516696744346E-4</v>
      </c>
      <c r="AB59" s="74">
        <f t="shared" si="0"/>
        <v>1.4126238699652606E-2</v>
      </c>
      <c r="AC59" s="76">
        <f t="shared" si="1"/>
        <v>0.97818101465954066</v>
      </c>
    </row>
    <row r="60" spans="16:29" x14ac:dyDescent="0.2">
      <c r="P60" s="33">
        <v>12</v>
      </c>
      <c r="Q60" s="27" t="str">
        <f>_xll.qlPeriodEquivalent(Q59&amp;"+"&amp;P60&amp;"M")</f>
        <v>40Y</v>
      </c>
      <c r="R60" s="28">
        <f>_xll.qlCalendarAdvance(Calendar,SettlementDate,Q60,"f",,Trigger)</f>
        <v>56891</v>
      </c>
      <c r="S60" s="28">
        <f>_xll.qlInterestRateIndexValueDate(Index,R60,Trigger)</f>
        <v>56893</v>
      </c>
      <c r="T60" s="28">
        <f>_xll.qlInterestRateIndexMaturity(Index,S60,Trigger)</f>
        <v>57259</v>
      </c>
      <c r="U60" s="30">
        <f>_xll.qlIndexFixing($M$5,R60,TRUE,InterestRatesTrigger)</f>
        <v>1.2929484468419329E-2</v>
      </c>
      <c r="V60" s="74">
        <f>_xll.qlIndexFixing(Index,R60,TRUE,InterestRatesTrigger)</f>
        <v>1.3856657537762596E-2</v>
      </c>
      <c r="W60" s="30">
        <f t="shared" si="7"/>
        <v>9.2717306934326713E-4</v>
      </c>
      <c r="X60" s="29">
        <f>_xll.qlDayCounterYearFraction(DayCounter,SettlementDate,S60,,,Trigger)</f>
        <v>40.594444444444441</v>
      </c>
      <c r="Y60" s="29">
        <f>_xll.qlDayCounterYearFraction(DayCounter,S60,T60)</f>
        <v>1.0166666666666666</v>
      </c>
      <c r="Z60" s="29">
        <f>IF($M$13,_xll.qlYieldTSDiscount(Currency&amp;"ON",S60)/(1+V60*Y60),1)</f>
        <v>1</v>
      </c>
      <c r="AA60" s="30">
        <f>_xll.qlTenorBasisValue(TenorBasis1Y,S60,InterestRatesTrigger)</f>
        <v>5.9361989596034333E-4</v>
      </c>
      <c r="AB60" s="74">
        <f t="shared" si="0"/>
        <v>1.3523104364379673E-2</v>
      </c>
      <c r="AC60" s="76">
        <f t="shared" si="1"/>
        <v>0.97592830937230612</v>
      </c>
    </row>
    <row r="61" spans="16:29" x14ac:dyDescent="0.2">
      <c r="P61" s="33">
        <v>12</v>
      </c>
      <c r="Q61" s="27" t="str">
        <f>_xll.qlPeriodEquivalent(Q60&amp;"+"&amp;P61&amp;"M")</f>
        <v>41Y</v>
      </c>
      <c r="R61" s="28">
        <f>_xll.qlCalendarAdvance(Calendar,SettlementDate,Q61,"f",,Trigger)</f>
        <v>57255</v>
      </c>
      <c r="S61" s="28">
        <f>_xll.qlInterestRateIndexValueDate(Index,R61,Trigger)</f>
        <v>57257</v>
      </c>
      <c r="T61" s="28">
        <f>_xll.qlInterestRateIndexMaturity(Index,S61,Trigger)</f>
        <v>57622</v>
      </c>
      <c r="U61" s="30">
        <f>_xll.qlIndexFixing($M$5,R61,TRUE,InterestRatesTrigger)</f>
        <v>1.2399256573392697E-2</v>
      </c>
      <c r="V61" s="74">
        <f>_xll.qlIndexFixing(Index,R61,TRUE,InterestRatesTrigger)</f>
        <v>1.3257307435967916E-2</v>
      </c>
      <c r="W61" s="30">
        <f t="shared" si="7"/>
        <v>8.5805086257521868E-4</v>
      </c>
      <c r="X61" s="29">
        <f>_xll.qlDayCounterYearFraction(DayCounter,SettlementDate,S61,,,Trigger)</f>
        <v>41.605555555555554</v>
      </c>
      <c r="Y61" s="29">
        <f>_xll.qlDayCounterYearFraction(DayCounter,S61,T61)</f>
        <v>1.0138888888888888</v>
      </c>
      <c r="Z61" s="29">
        <f>IF($M$13,_xll.qlYieldTSDiscount(Currency&amp;"ON",S61)/(1+V61*Y61),1)</f>
        <v>1</v>
      </c>
      <c r="AA61" s="30">
        <f>_xll.qlTenorBasisValue(TenorBasis1Y,S61,InterestRatesTrigger)</f>
        <v>5.921219141689514E-4</v>
      </c>
      <c r="AB61" s="74">
        <f t="shared" si="0"/>
        <v>1.2991378487561649E-2</v>
      </c>
      <c r="AC61" s="76">
        <f t="shared" si="1"/>
        <v>0.97994095334284959</v>
      </c>
    </row>
    <row r="62" spans="16:29" x14ac:dyDescent="0.2">
      <c r="P62" s="33">
        <v>12</v>
      </c>
      <c r="Q62" s="27" t="str">
        <f>_xll.qlPeriodEquivalent(Q61&amp;"+"&amp;P62&amp;"M")</f>
        <v>42Y</v>
      </c>
      <c r="R62" s="28">
        <f>_xll.qlCalendarAdvance(Calendar,SettlementDate,Q62,"f",,Trigger)</f>
        <v>57620</v>
      </c>
      <c r="S62" s="28">
        <f>_xll.qlInterestRateIndexValueDate(Index,R62,Trigger)</f>
        <v>57622</v>
      </c>
      <c r="T62" s="28">
        <f>_xll.qlInterestRateIndexMaturity(Index,S62,Trigger)</f>
        <v>57987</v>
      </c>
      <c r="U62" s="30">
        <f>_xll.qlIndexFixing($M$5,R62,TRUE,InterestRatesTrigger)</f>
        <v>1.1966601979859407E-2</v>
      </c>
      <c r="V62" s="74">
        <f>_xll.qlIndexFixing(Index,R62,TRUE,InterestRatesTrigger)</f>
        <v>1.2730177488315673E-2</v>
      </c>
      <c r="W62" s="30">
        <f t="shared" si="7"/>
        <v>7.6357550845626565E-4</v>
      </c>
      <c r="X62" s="29">
        <f>_xll.qlDayCounterYearFraction(DayCounter,SettlementDate,S62,,,Trigger)</f>
        <v>42.619444444444447</v>
      </c>
      <c r="Y62" s="29">
        <f>_xll.qlDayCounterYearFraction(DayCounter,S62,T62)</f>
        <v>1.0138888888888888</v>
      </c>
      <c r="Z62" s="29">
        <f>IF($M$13,_xll.qlYieldTSDiscount(Currency&amp;"ON",S62)/(1+V62*Y62),1)</f>
        <v>1</v>
      </c>
      <c r="AA62" s="30">
        <f>_xll.qlTenorBasisValue(TenorBasis1Y,S62,InterestRatesTrigger)</f>
        <v>5.908910106368039E-4</v>
      </c>
      <c r="AB62" s="74">
        <f t="shared" si="0"/>
        <v>1.2557492990496211E-2</v>
      </c>
      <c r="AC62" s="76">
        <f t="shared" si="1"/>
        <v>0.98643502826429874</v>
      </c>
    </row>
    <row r="63" spans="16:29" x14ac:dyDescent="0.2">
      <c r="P63" s="33">
        <v>12</v>
      </c>
      <c r="Q63" s="27" t="str">
        <f>_xll.qlPeriodEquivalent(Q62&amp;"+"&amp;P63&amp;"M")</f>
        <v>43Y</v>
      </c>
      <c r="R63" s="28">
        <f>_xll.qlCalendarAdvance(Calendar,SettlementDate,Q63,"f",,Trigger)</f>
        <v>57985</v>
      </c>
      <c r="S63" s="28">
        <f>_xll.qlInterestRateIndexValueDate(Index,R63,Trigger)</f>
        <v>57987</v>
      </c>
      <c r="T63" s="28">
        <f>_xll.qlInterestRateIndexMaturity(Index,S63,Trigger)</f>
        <v>58354</v>
      </c>
      <c r="U63" s="30">
        <f>_xll.qlIndexFixing($M$5,R63,TRUE,InterestRatesTrigger)</f>
        <v>1.1633173556477262E-2</v>
      </c>
      <c r="V63" s="74">
        <f>_xll.qlIndexFixing(Index,R63,TRUE,InterestRatesTrigger)</f>
        <v>1.2287047314198354E-2</v>
      </c>
      <c r="W63" s="30">
        <f t="shared" si="7"/>
        <v>6.5387375772109173E-4</v>
      </c>
      <c r="X63" s="29">
        <f>_xll.qlDayCounterYearFraction(DayCounter,SettlementDate,S63,,,Trigger)</f>
        <v>43.633333333333333</v>
      </c>
      <c r="Y63" s="29">
        <f>_xll.qlDayCounterYearFraction(DayCounter,S63,T63)</f>
        <v>1.0194444444444444</v>
      </c>
      <c r="Z63" s="29">
        <f>IF($M$13,_xll.qlYieldTSDiscount(Currency&amp;"ON",S63)/(1+V63*Y63),1)</f>
        <v>1</v>
      </c>
      <c r="AA63" s="30">
        <f>_xll.qlTenorBasisValue(TenorBasis1Y,S63,InterestRatesTrigger)</f>
        <v>5.8988330235980855E-4</v>
      </c>
      <c r="AB63" s="74">
        <f t="shared" si="0"/>
        <v>1.222305685883707E-2</v>
      </c>
      <c r="AC63" s="76">
        <f t="shared" si="1"/>
        <v>0.99479203963939011</v>
      </c>
    </row>
    <row r="64" spans="16:29" x14ac:dyDescent="0.2">
      <c r="P64" s="33">
        <v>12</v>
      </c>
      <c r="Q64" s="27" t="str">
        <f>_xll.qlPeriodEquivalent(Q63&amp;"+"&amp;P64&amp;"M")</f>
        <v>44Y</v>
      </c>
      <c r="R64" s="28">
        <f>_xll.qlCalendarAdvance(Calendar,SettlementDate,Q64,"f",,Trigger)</f>
        <v>58350</v>
      </c>
      <c r="S64" s="28">
        <f>_xll.qlInterestRateIndexValueDate(Index,R64,Trigger)</f>
        <v>58354</v>
      </c>
      <c r="T64" s="28">
        <f>_xll.qlInterestRateIndexMaturity(Index,S64,Trigger)</f>
        <v>58720</v>
      </c>
      <c r="U64" s="30">
        <f>_xll.qlIndexFixing($M$5,R64,TRUE,InterestRatesTrigger)</f>
        <v>1.1398884817792427E-2</v>
      </c>
      <c r="V64" s="74">
        <f>_xll.qlIndexFixing(Index,R64,TRUE,InterestRatesTrigger)</f>
        <v>1.1938059384466061E-2</v>
      </c>
      <c r="W64" s="30">
        <f t="shared" si="7"/>
        <v>5.3917456667363327E-4</v>
      </c>
      <c r="X64" s="29">
        <f>_xll.qlDayCounterYearFraction(DayCounter,SettlementDate,S64,,,Trigger)</f>
        <v>44.652777777777779</v>
      </c>
      <c r="Y64" s="29">
        <f>_xll.qlDayCounterYearFraction(DayCounter,S64,T64)</f>
        <v>1.0166666666666666</v>
      </c>
      <c r="Z64" s="29">
        <f>IF($M$13,_xll.qlYieldTSDiscount(Currency&amp;"ON",S64)/(1+V64*Y64),1)</f>
        <v>1</v>
      </c>
      <c r="AA64" s="30">
        <f>_xll.qlTenorBasisValue(TenorBasis1Y,S64,InterestRatesTrigger)</f>
        <v>5.8905477038001704E-4</v>
      </c>
      <c r="AB64" s="74">
        <f t="shared" si="0"/>
        <v>1.1987939588172444E-2</v>
      </c>
      <c r="AC64" s="76">
        <f t="shared" si="1"/>
        <v>1.0041782505933325</v>
      </c>
    </row>
    <row r="65" spans="16:29" x14ac:dyDescent="0.2">
      <c r="P65" s="33">
        <v>12</v>
      </c>
      <c r="Q65" s="27" t="str">
        <f>_xll.qlPeriodEquivalent(Q64&amp;"+"&amp;P65&amp;"M")</f>
        <v>45Y</v>
      </c>
      <c r="R65" s="28">
        <f>_xll.qlCalendarAdvance(Calendar,SettlementDate,Q65,"f",,Trigger)</f>
        <v>58718</v>
      </c>
      <c r="S65" s="28">
        <f>_xll.qlInterestRateIndexValueDate(Index,R65,Trigger)</f>
        <v>58720</v>
      </c>
      <c r="T65" s="28">
        <f>_xll.qlInterestRateIndexMaturity(Index,S65,Trigger)</f>
        <v>59085</v>
      </c>
      <c r="U65" s="30">
        <f>_xll.qlIndexFixing($M$5,R65,TRUE,InterestRatesTrigger)</f>
        <v>1.1265070993973298E-2</v>
      </c>
      <c r="V65" s="74">
        <f>_xll.qlIndexFixing(Index,R65,TRUE,InterestRatesTrigger)</f>
        <v>1.1695321511743139E-2</v>
      </c>
      <c r="W65" s="30">
        <f t="shared" si="7"/>
        <v>4.3025051776984097E-4</v>
      </c>
      <c r="X65" s="29">
        <f>_xll.qlDayCounterYearFraction(DayCounter,SettlementDate,S65,,,Trigger)</f>
        <v>45.669444444444444</v>
      </c>
      <c r="Y65" s="29">
        <f>_xll.qlDayCounterYearFraction(DayCounter,S65,T65)</f>
        <v>1.0138888888888888</v>
      </c>
      <c r="Z65" s="29">
        <f>IF($M$13,_xll.qlYieldTSDiscount(Currency&amp;"ON",S65)/(1+V65*Y65),1)</f>
        <v>1</v>
      </c>
      <c r="AA65" s="30">
        <f>_xll.qlTenorBasisValue(TenorBasis1Y,S65,InterestRatesTrigger)</f>
        <v>5.8837973329753412E-4</v>
      </c>
      <c r="AB65" s="74">
        <f t="shared" si="0"/>
        <v>1.1853450727270832E-2</v>
      </c>
      <c r="AC65" s="76">
        <f t="shared" si="1"/>
        <v>1.0135207241091164</v>
      </c>
    </row>
    <row r="66" spans="16:29" x14ac:dyDescent="0.2">
      <c r="P66" s="33">
        <v>12</v>
      </c>
      <c r="Q66" s="27" t="str">
        <f>_xll.qlPeriodEquivalent(Q65&amp;"+"&amp;P66&amp;"M")</f>
        <v>46Y</v>
      </c>
      <c r="R66" s="28">
        <f>_xll.qlCalendarAdvance(Calendar,SettlementDate,Q66,"f",,Trigger)</f>
        <v>59082</v>
      </c>
      <c r="S66" s="28">
        <f>_xll.qlInterestRateIndexValueDate(Index,R66,Trigger)</f>
        <v>59084</v>
      </c>
      <c r="T66" s="28">
        <f>_xll.qlInterestRateIndexMaturity(Index,S66,Trigger)</f>
        <v>59449</v>
      </c>
      <c r="U66" s="30">
        <f>_xll.qlIndexFixing($M$5,R66,TRUE,InterestRatesTrigger)</f>
        <v>1.1231040268286894E-2</v>
      </c>
      <c r="V66" s="74">
        <f>_xll.qlIndexFixing(Index,R66,TRUE,InterestRatesTrigger)</f>
        <v>1.1568372305565061E-2</v>
      </c>
      <c r="W66" s="30">
        <f t="shared" si="7"/>
        <v>3.3733203727816762E-4</v>
      </c>
      <c r="X66" s="29">
        <f>_xll.qlDayCounterYearFraction(DayCounter,SettlementDate,S66,,,Trigger)</f>
        <v>46.680555555555557</v>
      </c>
      <c r="Y66" s="29">
        <f>_xll.qlDayCounterYearFraction(DayCounter,S66,T66)</f>
        <v>1.0138888888888888</v>
      </c>
      <c r="Z66" s="29">
        <f>IF($M$13,_xll.qlYieldTSDiscount(Currency&amp;"ON",S66)/(1+V66*Y66),1)</f>
        <v>1</v>
      </c>
      <c r="AA66" s="30">
        <f>_xll.qlTenorBasisValue(TenorBasis1Y,S66,InterestRatesTrigger)</f>
        <v>5.8783113559013323E-4</v>
      </c>
      <c r="AB66" s="74">
        <f t="shared" si="0"/>
        <v>1.1818871403877027E-2</v>
      </c>
      <c r="AC66" s="76">
        <f t="shared" si="1"/>
        <v>1.0216537894610689</v>
      </c>
    </row>
    <row r="67" spans="16:29" x14ac:dyDescent="0.2">
      <c r="P67" s="33">
        <v>12</v>
      </c>
      <c r="Q67" s="27" t="str">
        <f>_xll.qlPeriodEquivalent(Q66&amp;"+"&amp;P67&amp;"M")</f>
        <v>47Y</v>
      </c>
      <c r="R67" s="28">
        <f>_xll.qlCalendarAdvance(Calendar,SettlementDate,Q67,"f",,Trigger)</f>
        <v>59446</v>
      </c>
      <c r="S67" s="28">
        <f>_xll.qlInterestRateIndexValueDate(Index,R67,Trigger)</f>
        <v>59448</v>
      </c>
      <c r="T67" s="28">
        <f>_xll.qlInterestRateIndexMaturity(Index,S67,Trigger)</f>
        <v>59813</v>
      </c>
      <c r="U67" s="30">
        <f>_xll.qlIndexFixing($M$5,R67,TRUE,InterestRatesTrigger)</f>
        <v>1.1295828026359698E-2</v>
      </c>
      <c r="V67" s="74">
        <f>_xll.qlIndexFixing(Index,R67,TRUE,InterestRatesTrigger)</f>
        <v>1.1565830850555004E-2</v>
      </c>
      <c r="W67" s="30">
        <f t="shared" si="7"/>
        <v>2.7000282419530584E-4</v>
      </c>
      <c r="X67" s="29">
        <f>_xll.qlDayCounterYearFraction(DayCounter,SettlementDate,S67,,,Trigger)</f>
        <v>47.69166666666667</v>
      </c>
      <c r="Y67" s="29">
        <f>_xll.qlDayCounterYearFraction(DayCounter,S67,T67)</f>
        <v>1.0138888888888888</v>
      </c>
      <c r="Z67" s="29">
        <f>IF($M$13,_xll.qlYieldTSDiscount(Currency&amp;"ON",S67)/(1+V67*Y67),1)</f>
        <v>1</v>
      </c>
      <c r="AA67" s="30">
        <f>_xll.qlTenorBasisValue(TenorBasis1Y,S67,InterestRatesTrigger)</f>
        <v>5.8738283542532951E-4</v>
      </c>
      <c r="AB67" s="74">
        <f t="shared" ref="AB67:AB130" si="9">AA67+U67</f>
        <v>1.1883210861785027E-2</v>
      </c>
      <c r="AC67" s="76">
        <f t="shared" ref="AC67:AC130" si="10">AB67/V67</f>
        <v>1.0274411769747431</v>
      </c>
    </row>
    <row r="68" spans="16:29" x14ac:dyDescent="0.2">
      <c r="P68" s="33">
        <v>12</v>
      </c>
      <c r="Q68" s="27" t="str">
        <f>_xll.qlPeriodEquivalent(Q67&amp;"+"&amp;P68&amp;"M")</f>
        <v>48Y</v>
      </c>
      <c r="R68" s="28">
        <f>_xll.qlCalendarAdvance(Calendar,SettlementDate,Q68,"f",,Trigger)</f>
        <v>59811</v>
      </c>
      <c r="S68" s="28">
        <f>_xll.qlInterestRateIndexValueDate(Index,R68,Trigger)</f>
        <v>59813</v>
      </c>
      <c r="T68" s="28">
        <f>_xll.qlInterestRateIndexMaturity(Index,S68,Trigger)</f>
        <v>60181</v>
      </c>
      <c r="U68" s="30">
        <f>_xll.qlIndexFixing($M$5,R68,TRUE,InterestRatesTrigger)</f>
        <v>1.1461532735398261E-2</v>
      </c>
      <c r="V68" s="74">
        <f>_xll.qlIndexFixing(Index,R68,TRUE,InterestRatesTrigger)</f>
        <v>1.1699861479853097E-2</v>
      </c>
      <c r="W68" s="30">
        <f t="shared" ref="W68:W131" si="11">V68-U68</f>
        <v>2.3832874445483578E-4</v>
      </c>
      <c r="X68" s="29">
        <f>_xll.qlDayCounterYearFraction(DayCounter,SettlementDate,S68,,,Trigger)</f>
        <v>48.705555555555556</v>
      </c>
      <c r="Y68" s="29">
        <f>_xll.qlDayCounterYearFraction(DayCounter,S68,T68)</f>
        <v>1.0222222222222221</v>
      </c>
      <c r="Z68" s="29">
        <f>IF($M$13,_xll.qlYieldTSDiscount(Currency&amp;"ON",S68)/(1+V68*Y68),1)</f>
        <v>1</v>
      </c>
      <c r="AA68" s="30">
        <f>_xll.qlTenorBasisValue(TenorBasis1Y,S68,InterestRatesTrigger)</f>
        <v>5.8701578117353718E-4</v>
      </c>
      <c r="AB68" s="74">
        <f t="shared" si="9"/>
        <v>1.2048548516571798E-2</v>
      </c>
      <c r="AC68" s="76">
        <f t="shared" si="10"/>
        <v>1.0298026636741924</v>
      </c>
    </row>
    <row r="69" spans="16:29" x14ac:dyDescent="0.2">
      <c r="P69" s="33">
        <v>12</v>
      </c>
      <c r="Q69" s="27" t="str">
        <f>_xll.qlPeriodEquivalent(Q68&amp;"+"&amp;P69&amp;"M")</f>
        <v>49Y</v>
      </c>
      <c r="R69" s="28">
        <f>_xll.qlCalendarAdvance(Calendar,SettlementDate,Q69,"f",,Trigger)</f>
        <v>60177</v>
      </c>
      <c r="S69" s="28">
        <f>_xll.qlInterestRateIndexValueDate(Index,R69,Trigger)</f>
        <v>60181</v>
      </c>
      <c r="T69" s="28">
        <f>_xll.qlInterestRateIndexMaturity(Index,S69,Trigger)</f>
        <v>60546</v>
      </c>
      <c r="U69" s="30">
        <f>_xll.qlIndexFixing($M$5,R69,TRUE,InterestRatesTrigger)</f>
        <v>1.1726260118758844E-2</v>
      </c>
      <c r="V69" s="74">
        <f>_xll.qlIndexFixing(Index,R69,TRUE,InterestRatesTrigger)</f>
        <v>1.1979286145048054E-2</v>
      </c>
      <c r="W69" s="30">
        <f t="shared" si="11"/>
        <v>2.5302602628921034E-4</v>
      </c>
      <c r="X69" s="29">
        <f>_xll.qlDayCounterYearFraction(DayCounter,SettlementDate,S69,,,Trigger)</f>
        <v>49.727777777777774</v>
      </c>
      <c r="Y69" s="29">
        <f>_xll.qlDayCounterYearFraction(DayCounter,S69,T69)</f>
        <v>1.0138888888888888</v>
      </c>
      <c r="Z69" s="29">
        <f>IF($M$13,_xll.qlYieldTSDiscount(Currency&amp;"ON",S69)/(1+V69*Y69),1)</f>
        <v>1</v>
      </c>
      <c r="AA69" s="30">
        <f>_xll.qlTenorBasisValue(TenorBasis1Y,S69,InterestRatesTrigger)</f>
        <v>5.8671409190147439E-4</v>
      </c>
      <c r="AB69" s="74">
        <f t="shared" si="9"/>
        <v>1.2312974210660318E-2</v>
      </c>
      <c r="AC69" s="76">
        <f t="shared" si="10"/>
        <v>1.0278554215645148</v>
      </c>
    </row>
    <row r="70" spans="16:29" x14ac:dyDescent="0.2">
      <c r="P70" s="33">
        <v>12</v>
      </c>
      <c r="Q70" s="27" t="str">
        <f>_xll.qlPeriodEquivalent(Q69&amp;"+"&amp;P70&amp;"M")</f>
        <v>50Y</v>
      </c>
      <c r="R70" s="28">
        <f>_xll.qlCalendarAdvance(Calendar,SettlementDate,Q70,"f",,Trigger)</f>
        <v>60542</v>
      </c>
      <c r="S70" s="28">
        <f>_xll.qlInterestRateIndexValueDate(Index,R70,Trigger)</f>
        <v>60546</v>
      </c>
      <c r="T70" s="28">
        <f>_xll.qlInterestRateIndexMaturity(Index,S70,Trigger)</f>
        <v>60911</v>
      </c>
      <c r="U70" s="30">
        <f>_xll.qlIndexFixing($M$5,R70,TRUE,InterestRatesTrigger)</f>
        <v>1.2066858203579892E-2</v>
      </c>
      <c r="V70" s="74">
        <f>_xll.qlIndexFixing(Index,R70,TRUE,InterestRatesTrigger)</f>
        <v>1.2364399117985776E-2</v>
      </c>
      <c r="W70" s="30">
        <f t="shared" si="11"/>
        <v>2.9754091440588326E-4</v>
      </c>
      <c r="X70" s="29">
        <f>_xll.qlDayCounterYearFraction(DayCounter,SettlementDate,S70,,,Trigger)</f>
        <v>50.741666666666667</v>
      </c>
      <c r="Y70" s="29">
        <f>_xll.qlDayCounterYearFraction(DayCounter,S70,T70)</f>
        <v>1.0138888888888888</v>
      </c>
      <c r="Z70" s="29">
        <f>IF($M$13,_xll.qlYieldTSDiscount(Currency&amp;"ON",S70)/(1+V70*Y70),1)</f>
        <v>1</v>
      </c>
      <c r="AA70" s="30">
        <f>_xll.qlTenorBasisValue(TenorBasis1Y,S70,InterestRatesTrigger)</f>
        <v>5.8647028629743494E-4</v>
      </c>
      <c r="AB70" s="74">
        <f t="shared" si="9"/>
        <v>1.2653328489877328E-2</v>
      </c>
      <c r="AC70" s="76">
        <f t="shared" si="10"/>
        <v>1.0233678457913304</v>
      </c>
    </row>
    <row r="71" spans="16:29" x14ac:dyDescent="0.2">
      <c r="P71" s="33">
        <v>12</v>
      </c>
      <c r="Q71" s="27" t="str">
        <f>_xll.qlPeriodEquivalent(Q70&amp;"+"&amp;P71&amp;"M")</f>
        <v>51Y</v>
      </c>
      <c r="R71" s="28">
        <f>_xll.qlCalendarAdvance(Calendar,SettlementDate,Q71,"f",,Trigger)</f>
        <v>60909</v>
      </c>
      <c r="S71" s="28">
        <f>_xll.qlInterestRateIndexValueDate(Index,R71,Trigger)</f>
        <v>60911</v>
      </c>
      <c r="T71" s="28">
        <f>_xll.qlInterestRateIndexMaturity(Index,S71,Trigger)</f>
        <v>61276</v>
      </c>
      <c r="U71" s="30">
        <f>_xll.qlIndexFixing($M$5,R71,TRUE,InterestRatesTrigger)</f>
        <v>1.2393177736319316E-2</v>
      </c>
      <c r="V71" s="74">
        <f>_xll.qlIndexFixing(Index,R71,TRUE,InterestRatesTrigger)</f>
        <v>1.2738088688732193E-2</v>
      </c>
      <c r="W71" s="30">
        <f t="shared" si="11"/>
        <v>3.4491095241287635E-4</v>
      </c>
      <c r="X71" s="29">
        <f>_xll.qlDayCounterYearFraction(DayCounter,SettlementDate,S71,,,Trigger)</f>
        <v>51.755555555555553</v>
      </c>
      <c r="Y71" s="29">
        <f>_xll.qlDayCounterYearFraction(DayCounter,S71,T71)</f>
        <v>1.0138888888888888</v>
      </c>
      <c r="Z71" s="29">
        <f>IF($M$13,_xll.qlYieldTSDiscount(Currency&amp;"ON",S71)/(1+V71*Y71),1)</f>
        <v>1</v>
      </c>
      <c r="AA71" s="30">
        <f>_xll.qlTenorBasisValue(TenorBasis1Y,S71,InterestRatesTrigger)</f>
        <v>5.8627155895955461E-4</v>
      </c>
      <c r="AB71" s="74">
        <f t="shared" si="9"/>
        <v>1.2979449295278871E-2</v>
      </c>
      <c r="AC71" s="76">
        <f t="shared" si="10"/>
        <v>1.0189479452094081</v>
      </c>
    </row>
    <row r="72" spans="16:29" x14ac:dyDescent="0.2">
      <c r="P72" s="33">
        <v>12</v>
      </c>
      <c r="Q72" s="27" t="str">
        <f>_xll.qlPeriodEquivalent(Q71&amp;"+"&amp;P72&amp;"M")</f>
        <v>52Y</v>
      </c>
      <c r="R72" s="28">
        <f>_xll.qlCalendarAdvance(Calendar,SettlementDate,Q72,"f",,Trigger)</f>
        <v>61273</v>
      </c>
      <c r="S72" s="28">
        <f>_xll.qlInterestRateIndexValueDate(Index,R72,Trigger)</f>
        <v>61275</v>
      </c>
      <c r="T72" s="28">
        <f>_xll.qlInterestRateIndexMaturity(Index,S72,Trigger)</f>
        <v>61641</v>
      </c>
      <c r="U72" s="30">
        <f>_xll.qlIndexFixing($M$5,R72,TRUE,InterestRatesTrigger)</f>
        <v>1.2683148480679919E-2</v>
      </c>
      <c r="V72" s="74">
        <f>_xll.qlIndexFixing(Index,R72,TRUE,InterestRatesTrigger)</f>
        <v>1.3084603458903723E-2</v>
      </c>
      <c r="W72" s="30">
        <f t="shared" si="11"/>
        <v>4.0145497822380305E-4</v>
      </c>
      <c r="X72" s="29">
        <f>_xll.qlDayCounterYearFraction(DayCounter,SettlementDate,S72,,,Trigger)</f>
        <v>52.766666666666666</v>
      </c>
      <c r="Y72" s="29">
        <f>_xll.qlDayCounterYearFraction(DayCounter,S72,T72)</f>
        <v>1.0166666666666666</v>
      </c>
      <c r="Z72" s="29">
        <f>IF($M$13,_xll.qlYieldTSDiscount(Currency&amp;"ON",S72)/(1+V72*Y72),1)</f>
        <v>1</v>
      </c>
      <c r="AA72" s="30">
        <f>_xll.qlTenorBasisValue(TenorBasis1Y,S72,InterestRatesTrigger)</f>
        <v>5.8611004665586714E-4</v>
      </c>
      <c r="AB72" s="74">
        <f t="shared" si="9"/>
        <v>1.3269258527335787E-2</v>
      </c>
      <c r="AC72" s="76">
        <f t="shared" si="10"/>
        <v>1.0141123931659091</v>
      </c>
    </row>
    <row r="73" spans="16:29" x14ac:dyDescent="0.2">
      <c r="P73" s="33">
        <v>12</v>
      </c>
      <c r="Q73" s="27" t="str">
        <f>_xll.qlPeriodEquivalent(Q72&amp;"+"&amp;P73&amp;"M")</f>
        <v>53Y</v>
      </c>
      <c r="R73" s="28">
        <f>_xll.qlCalendarAdvance(Calendar,SettlementDate,Q73,"f",,Trigger)</f>
        <v>61638</v>
      </c>
      <c r="S73" s="28">
        <f>_xll.qlInterestRateIndexValueDate(Index,R73,Trigger)</f>
        <v>61640</v>
      </c>
      <c r="T73" s="28">
        <f>_xll.qlInterestRateIndexMaturity(Index,S73,Trigger)</f>
        <v>62005</v>
      </c>
      <c r="U73" s="30">
        <f>_xll.qlIndexFixing($M$5,R73,TRUE,InterestRatesTrigger)</f>
        <v>1.2936568221358703E-2</v>
      </c>
      <c r="V73" s="74">
        <f>_xll.qlIndexFixing(Index,R73,TRUE,InterestRatesTrigger)</f>
        <v>1.3399613289342388E-2</v>
      </c>
      <c r="W73" s="30">
        <f t="shared" si="11"/>
        <v>4.6304506798368512E-4</v>
      </c>
      <c r="X73" s="29">
        <f>_xll.qlDayCounterYearFraction(DayCounter,SettlementDate,S73,,,Trigger)</f>
        <v>53.780555555555559</v>
      </c>
      <c r="Y73" s="29">
        <f>_xll.qlDayCounterYearFraction(DayCounter,S73,T73)</f>
        <v>1.0138888888888888</v>
      </c>
      <c r="Z73" s="29">
        <f>IF($M$13,_xll.qlYieldTSDiscount(Currency&amp;"ON",S73)/(1+V73*Y73),1)</f>
        <v>1</v>
      </c>
      <c r="AA73" s="30">
        <f>_xll.qlTenorBasisValue(TenorBasis1Y,S73,InterestRatesTrigger)</f>
        <v>5.8597811141791246E-4</v>
      </c>
      <c r="AB73" s="74">
        <f t="shared" si="9"/>
        <v>1.3522546332776615E-2</v>
      </c>
      <c r="AC73" s="76">
        <f t="shared" si="10"/>
        <v>1.0091743724822271</v>
      </c>
    </row>
    <row r="74" spans="16:29" x14ac:dyDescent="0.2">
      <c r="P74" s="33">
        <v>12</v>
      </c>
      <c r="Q74" s="27" t="str">
        <f>_xll.qlPeriodEquivalent(Q73&amp;"+"&amp;P74&amp;"M")</f>
        <v>54Y</v>
      </c>
      <c r="R74" s="28">
        <f>_xll.qlCalendarAdvance(Calendar,SettlementDate,Q74,"f",,Trigger)</f>
        <v>62003</v>
      </c>
      <c r="S74" s="28">
        <f>_xll.qlInterestRateIndexValueDate(Index,R74,Trigger)</f>
        <v>62005</v>
      </c>
      <c r="T74" s="28">
        <f>_xll.qlInterestRateIndexMaturity(Index,S74,Trigger)</f>
        <v>62372</v>
      </c>
      <c r="U74" s="30">
        <f>_xll.qlIndexFixing($M$5,R74,TRUE,InterestRatesTrigger)</f>
        <v>1.315533412765299E-2</v>
      </c>
      <c r="V74" s="74">
        <f>_xll.qlIndexFixing(Index,R74,TRUE,InterestRatesTrigger)</f>
        <v>1.3681207827963872E-2</v>
      </c>
      <c r="W74" s="30">
        <f t="shared" si="11"/>
        <v>5.2587370031088182E-4</v>
      </c>
      <c r="X74" s="29">
        <f>_xll.qlDayCounterYearFraction(DayCounter,SettlementDate,S74,,,Trigger)</f>
        <v>54.794444444444444</v>
      </c>
      <c r="Y74" s="29">
        <f>_xll.qlDayCounterYearFraction(DayCounter,S74,T74)</f>
        <v>1.0194444444444444</v>
      </c>
      <c r="Z74" s="29">
        <f>IF($M$13,_xll.qlYieldTSDiscount(Currency&amp;"ON",S74)/(1+V74*Y74),1)</f>
        <v>1</v>
      </c>
      <c r="AA74" s="30">
        <f>_xll.qlTenorBasisValue(TenorBasis1Y,S74,InterestRatesTrigger)</f>
        <v>5.8587070722453051E-4</v>
      </c>
      <c r="AB74" s="74">
        <f t="shared" si="9"/>
        <v>1.3741204834877521E-2</v>
      </c>
      <c r="AC74" s="76">
        <f t="shared" si="10"/>
        <v>1.0043853589294227</v>
      </c>
    </row>
    <row r="75" spans="16:29" x14ac:dyDescent="0.2">
      <c r="P75" s="33">
        <v>12</v>
      </c>
      <c r="Q75" s="27" t="str">
        <f>_xll.qlPeriodEquivalent(Q74&amp;"+"&amp;P75&amp;"M")</f>
        <v>55Y</v>
      </c>
      <c r="R75" s="28">
        <f>_xll.qlCalendarAdvance(Calendar,SettlementDate,Q75,"f",,Trigger)</f>
        <v>62368</v>
      </c>
      <c r="S75" s="28">
        <f>_xll.qlInterestRateIndexValueDate(Index,R75,Trigger)</f>
        <v>62372</v>
      </c>
      <c r="T75" s="28">
        <f>_xll.qlInterestRateIndexMaturity(Index,S75,Trigger)</f>
        <v>62737</v>
      </c>
      <c r="U75" s="30">
        <f>_xll.qlIndexFixing($M$5,R75,TRUE,InterestRatesTrigger)</f>
        <v>1.3336703836010478E-2</v>
      </c>
      <c r="V75" s="74">
        <f>_xll.qlIndexFixing(Index,R75,TRUE,InterestRatesTrigger)</f>
        <v>1.39220697285655E-2</v>
      </c>
      <c r="W75" s="30">
        <f t="shared" si="11"/>
        <v>5.853658925550221E-4</v>
      </c>
      <c r="X75" s="29">
        <f>_xll.qlDayCounterYearFraction(DayCounter,SettlementDate,S75,,,Trigger)</f>
        <v>55.81388888888889</v>
      </c>
      <c r="Y75" s="29">
        <f>_xll.qlDayCounterYearFraction(DayCounter,S75,T75)</f>
        <v>1.0138888888888888</v>
      </c>
      <c r="Z75" s="29">
        <f>IF($M$13,_xll.qlYieldTSDiscount(Currency&amp;"ON",S75)/(1+V75*Y75),1)</f>
        <v>1</v>
      </c>
      <c r="AA75" s="30">
        <f>_xll.qlTenorBasisValue(TenorBasis1Y,S75,InterestRatesTrigger)</f>
        <v>5.8578287627155572E-4</v>
      </c>
      <c r="AB75" s="74">
        <f t="shared" si="9"/>
        <v>1.3922486712282033E-2</v>
      </c>
      <c r="AC75" s="76">
        <f t="shared" si="10"/>
        <v>1.0000299512733857</v>
      </c>
    </row>
    <row r="76" spans="16:29" x14ac:dyDescent="0.2">
      <c r="P76" s="33">
        <v>12</v>
      </c>
      <c r="Q76" s="27" t="str">
        <f>_xll.qlPeriodEquivalent(Q75&amp;"+"&amp;P76&amp;"M")</f>
        <v>56Y</v>
      </c>
      <c r="R76" s="28">
        <f>_xll.qlCalendarAdvance(Calendar,SettlementDate,Q76,"f",,Trigger)</f>
        <v>62733</v>
      </c>
      <c r="S76" s="28">
        <f>_xll.qlInterestRateIndexValueDate(Index,R76,Trigger)</f>
        <v>62737</v>
      </c>
      <c r="T76" s="28">
        <f>_xll.qlInterestRateIndexMaturity(Index,S76,Trigger)</f>
        <v>63103</v>
      </c>
      <c r="U76" s="30">
        <f>_xll.qlIndexFixing($M$5,R76,TRUE,InterestRatesTrigger)</f>
        <v>1.3482112644877651E-2</v>
      </c>
      <c r="V76" s="74">
        <f>_xll.qlIndexFixing(Index,R76,TRUE,InterestRatesTrigger)</f>
        <v>1.4119499094723561E-2</v>
      </c>
      <c r="W76" s="30">
        <f t="shared" si="11"/>
        <v>6.3738644984591072E-4</v>
      </c>
      <c r="X76" s="29">
        <f>_xll.qlDayCounterYearFraction(DayCounter,SettlementDate,S76,,,Trigger)</f>
        <v>56.827777777777776</v>
      </c>
      <c r="Y76" s="29">
        <f>_xll.qlDayCounterYearFraction(DayCounter,S76,T76)</f>
        <v>1.0166666666666666</v>
      </c>
      <c r="Z76" s="29">
        <f>IF($M$13,_xll.qlYieldTSDiscount(Currency&amp;"ON",S76)/(1+V76*Y76),1)</f>
        <v>1</v>
      </c>
      <c r="AA76" s="30">
        <f>_xll.qlTenorBasisValue(TenorBasis1Y,S76,InterestRatesTrigger)</f>
        <v>5.8571186189908275E-4</v>
      </c>
      <c r="AB76" s="74">
        <f t="shared" si="9"/>
        <v>1.4067824506776733E-2</v>
      </c>
      <c r="AC76" s="76">
        <f t="shared" si="10"/>
        <v>0.99634019680158914</v>
      </c>
    </row>
    <row r="77" spans="16:29" x14ac:dyDescent="0.2">
      <c r="P77" s="33">
        <v>12</v>
      </c>
      <c r="Q77" s="27" t="str">
        <f>_xll.qlPeriodEquivalent(Q76&amp;"+"&amp;P77&amp;"M")</f>
        <v>57Y</v>
      </c>
      <c r="R77" s="28">
        <f>_xll.qlCalendarAdvance(Calendar,SettlementDate,Q77,"f",,Trigger)</f>
        <v>63100</v>
      </c>
      <c r="S77" s="28">
        <f>_xll.qlInterestRateIndexValueDate(Index,R77,Trigger)</f>
        <v>63102</v>
      </c>
      <c r="T77" s="28">
        <f>_xll.qlInterestRateIndexMaturity(Index,S77,Trigger)</f>
        <v>63467</v>
      </c>
      <c r="U77" s="30">
        <f>_xll.qlIndexFixing($M$5,R77,TRUE,InterestRatesTrigger)</f>
        <v>1.3590379142626069E-2</v>
      </c>
      <c r="V77" s="74">
        <f>_xll.qlIndexFixing(Index,R77,TRUE,InterestRatesTrigger)</f>
        <v>1.4268016368819617E-2</v>
      </c>
      <c r="W77" s="30">
        <f t="shared" si="11"/>
        <v>6.776372261935483E-4</v>
      </c>
      <c r="X77" s="29">
        <f>_xll.qlDayCounterYearFraction(DayCounter,SettlementDate,S77,,,Trigger)</f>
        <v>57.841666666666669</v>
      </c>
      <c r="Y77" s="29">
        <f>_xll.qlDayCounterYearFraction(DayCounter,S77,T77)</f>
        <v>1.0138888888888888</v>
      </c>
      <c r="Z77" s="29">
        <f>IF($M$13,_xll.qlYieldTSDiscount(Currency&amp;"ON",S77)/(1+V77*Y77),1)</f>
        <v>1</v>
      </c>
      <c r="AA77" s="30">
        <f>_xll.qlTenorBasisValue(TenorBasis1Y,S77,InterestRatesTrigger)</f>
        <v>5.8565411688274818E-4</v>
      </c>
      <c r="AB77" s="74">
        <f t="shared" si="9"/>
        <v>1.4176033259508817E-2</v>
      </c>
      <c r="AC77" s="76">
        <f t="shared" si="10"/>
        <v>0.99355319569776956</v>
      </c>
    </row>
    <row r="78" spans="16:29" x14ac:dyDescent="0.2">
      <c r="P78" s="33">
        <v>12</v>
      </c>
      <c r="Q78" s="83" t="str">
        <f>_xll.qlPeriodEquivalent(Q77&amp;"+"&amp;P78&amp;"M")</f>
        <v>58Y</v>
      </c>
      <c r="R78" s="31">
        <f>_xll.qlCalendarAdvance(Calendar,SettlementDate,Q78,"f",,Trigger)</f>
        <v>63464</v>
      </c>
      <c r="S78" s="31">
        <f>_xll.qlInterestRateIndexValueDate(Index,R78,Trigger)</f>
        <v>63466</v>
      </c>
      <c r="T78" s="31">
        <f>_xll.qlInterestRateIndexMaturity(Index,S78,Trigger)</f>
        <v>63831</v>
      </c>
      <c r="U78" s="32">
        <f>_xll.qlIndexFixing($M$5,R78,TRUE,InterestRatesTrigger)</f>
        <v>1.3662593018361591E-2</v>
      </c>
      <c r="V78" s="75">
        <f>_xll.qlIndexFixing(Index,R78,TRUE,InterestRatesTrigger)</f>
        <v>1.4364754120346834E-2</v>
      </c>
      <c r="W78" s="32">
        <f t="shared" si="11"/>
        <v>7.0216110198524292E-4</v>
      </c>
      <c r="X78" s="73">
        <f>_xll.qlDayCounterYearFraction(DayCounter,SettlementDate,S78,,,Trigger)</f>
        <v>58.852777777777774</v>
      </c>
      <c r="Y78" s="73">
        <f>_xll.qlDayCounterYearFraction(DayCounter,S78,T78)</f>
        <v>1.0138888888888888</v>
      </c>
      <c r="Z78" s="73">
        <f>IF($M$13,_xll.qlYieldTSDiscount(Currency&amp;"ON",S78)/(1+V78*Y78),1)</f>
        <v>1</v>
      </c>
      <c r="AA78" s="32">
        <f>_xll.qlTenorBasisValue(TenorBasis1Y,S78,InterestRatesTrigger)</f>
        <v>5.8560729392876125E-4</v>
      </c>
      <c r="AB78" s="75">
        <f t="shared" si="9"/>
        <v>1.4248200312290352E-2</v>
      </c>
      <c r="AC78" s="77">
        <f t="shared" si="10"/>
        <v>0.99188612578537705</v>
      </c>
    </row>
    <row r="79" spans="16:29" x14ac:dyDescent="0.2">
      <c r="Q79" s="36"/>
      <c r="R79" s="40"/>
      <c r="S79" s="40"/>
      <c r="T79" s="40"/>
      <c r="U79" s="41"/>
      <c r="V79" s="41"/>
      <c r="W79" s="41"/>
      <c r="X79" s="36"/>
      <c r="Y79" s="36"/>
      <c r="Z79" s="36"/>
      <c r="AA79" s="36"/>
      <c r="AB79" s="36"/>
      <c r="AC79" s="36"/>
    </row>
    <row r="80" spans="16:29" x14ac:dyDescent="0.2">
      <c r="Q80" s="36"/>
      <c r="R80" s="40"/>
      <c r="S80" s="40"/>
      <c r="T80" s="40"/>
      <c r="U80" s="41"/>
      <c r="V80" s="41"/>
      <c r="W80" s="41"/>
      <c r="X80" s="36"/>
      <c r="Y80" s="36"/>
      <c r="Z80" s="36"/>
      <c r="AA80" s="36"/>
      <c r="AB80" s="36"/>
      <c r="AC80" s="36"/>
    </row>
    <row r="81" spans="17:29" x14ac:dyDescent="0.2">
      <c r="Q81" s="36"/>
      <c r="R81" s="40"/>
      <c r="S81" s="40"/>
      <c r="T81" s="40"/>
      <c r="U81" s="41"/>
      <c r="V81" s="41"/>
      <c r="W81" s="41"/>
      <c r="X81" s="36"/>
      <c r="Y81" s="36"/>
      <c r="Z81" s="36"/>
      <c r="AA81" s="36"/>
      <c r="AB81" s="36"/>
      <c r="AC81" s="36"/>
    </row>
    <row r="82" spans="17:29" x14ac:dyDescent="0.2">
      <c r="Q82" s="36"/>
      <c r="R82" s="40"/>
      <c r="S82" s="40"/>
      <c r="T82" s="40"/>
      <c r="U82" s="41"/>
      <c r="V82" s="41"/>
      <c r="W82" s="41"/>
      <c r="X82" s="36"/>
      <c r="Y82" s="36"/>
      <c r="Z82" s="36"/>
      <c r="AA82" s="36"/>
      <c r="AB82" s="36"/>
      <c r="AC82" s="36"/>
    </row>
    <row r="83" spans="17:29" x14ac:dyDescent="0.2">
      <c r="Q83" s="36"/>
      <c r="R83" s="40"/>
      <c r="S83" s="40"/>
      <c r="T83" s="40"/>
      <c r="U83" s="41"/>
      <c r="V83" s="41"/>
      <c r="W83" s="41"/>
      <c r="X83" s="36"/>
      <c r="Y83" s="36"/>
      <c r="Z83" s="36"/>
      <c r="AA83" s="36"/>
      <c r="AB83" s="36"/>
      <c r="AC83" s="36"/>
    </row>
    <row r="84" spans="17:29" x14ac:dyDescent="0.2">
      <c r="Q84" s="36"/>
      <c r="R84" s="40"/>
      <c r="S84" s="40"/>
      <c r="T84" s="40"/>
      <c r="U84" s="41"/>
      <c r="V84" s="41"/>
      <c r="W84" s="41"/>
      <c r="X84" s="36"/>
      <c r="Y84" s="36"/>
      <c r="Z84" s="36"/>
      <c r="AA84" s="36"/>
      <c r="AB84" s="36"/>
      <c r="AC84" s="36"/>
    </row>
    <row r="85" spans="17:29" x14ac:dyDescent="0.2">
      <c r="Q85" s="36"/>
      <c r="R85" s="40"/>
      <c r="S85" s="40"/>
      <c r="T85" s="40"/>
      <c r="U85" s="41"/>
      <c r="V85" s="41"/>
      <c r="W85" s="41"/>
      <c r="X85" s="36"/>
      <c r="Y85" s="36"/>
      <c r="Z85" s="36"/>
      <c r="AA85" s="36"/>
      <c r="AB85" s="36"/>
      <c r="AC85" s="36"/>
    </row>
    <row r="86" spans="17:29" x14ac:dyDescent="0.2">
      <c r="Q86" s="36"/>
      <c r="R86" s="40"/>
      <c r="S86" s="40"/>
      <c r="T86" s="40"/>
      <c r="U86" s="41"/>
      <c r="V86" s="41"/>
      <c r="W86" s="41"/>
      <c r="X86" s="36"/>
      <c r="Y86" s="36"/>
      <c r="Z86" s="36"/>
      <c r="AA86" s="36"/>
      <c r="AB86" s="36"/>
      <c r="AC86" s="36"/>
    </row>
    <row r="87" spans="17:29" x14ac:dyDescent="0.2">
      <c r="Q87" s="36"/>
      <c r="R87" s="40"/>
      <c r="S87" s="40"/>
      <c r="T87" s="40"/>
      <c r="U87" s="41"/>
      <c r="V87" s="41"/>
      <c r="W87" s="41"/>
      <c r="X87" s="36"/>
      <c r="Y87" s="36"/>
      <c r="Z87" s="36"/>
      <c r="AA87" s="36"/>
      <c r="AB87" s="36"/>
      <c r="AC87" s="36"/>
    </row>
    <row r="88" spans="17:29" x14ac:dyDescent="0.2">
      <c r="Q88" s="36"/>
      <c r="R88" s="40"/>
      <c r="S88" s="40"/>
      <c r="T88" s="40"/>
      <c r="U88" s="41"/>
      <c r="V88" s="41"/>
      <c r="W88" s="41"/>
      <c r="X88" s="36"/>
      <c r="Y88" s="36"/>
      <c r="Z88" s="36"/>
      <c r="AA88" s="36"/>
      <c r="AB88" s="36"/>
      <c r="AC88" s="36"/>
    </row>
    <row r="89" spans="17:29" x14ac:dyDescent="0.2">
      <c r="Q89" s="36"/>
      <c r="R89" s="40"/>
      <c r="S89" s="40"/>
      <c r="T89" s="40"/>
      <c r="U89" s="41"/>
      <c r="V89" s="41"/>
      <c r="W89" s="41"/>
      <c r="X89" s="36"/>
      <c r="Y89" s="36"/>
      <c r="Z89" s="36"/>
      <c r="AA89" s="36"/>
      <c r="AB89" s="36"/>
      <c r="AC89" s="36"/>
    </row>
    <row r="90" spans="17:29" x14ac:dyDescent="0.2">
      <c r="Q90" s="36"/>
      <c r="R90" s="40"/>
      <c r="S90" s="40"/>
      <c r="T90" s="40"/>
      <c r="U90" s="41"/>
      <c r="V90" s="41"/>
      <c r="W90" s="41"/>
      <c r="X90" s="36"/>
      <c r="Y90" s="36"/>
      <c r="Z90" s="36"/>
      <c r="AA90" s="36"/>
      <c r="AB90" s="36"/>
      <c r="AC90" s="36"/>
    </row>
    <row r="91" spans="17:29" x14ac:dyDescent="0.2">
      <c r="Q91" s="36"/>
      <c r="R91" s="40"/>
      <c r="S91" s="40"/>
      <c r="T91" s="40"/>
      <c r="U91" s="41"/>
      <c r="V91" s="41"/>
      <c r="W91" s="41"/>
      <c r="X91" s="36"/>
      <c r="Y91" s="36"/>
      <c r="Z91" s="36"/>
      <c r="AA91" s="36"/>
      <c r="AB91" s="36"/>
      <c r="AC91" s="36"/>
    </row>
    <row r="92" spans="17:29" x14ac:dyDescent="0.2">
      <c r="Q92" s="36"/>
      <c r="R92" s="40"/>
      <c r="S92" s="40"/>
      <c r="T92" s="40"/>
      <c r="U92" s="41"/>
      <c r="V92" s="41"/>
      <c r="W92" s="41"/>
      <c r="X92" s="36"/>
      <c r="Y92" s="36"/>
      <c r="Z92" s="36"/>
      <c r="AA92" s="36"/>
      <c r="AB92" s="36"/>
      <c r="AC92" s="36"/>
    </row>
    <row r="93" spans="17:29" x14ac:dyDescent="0.2">
      <c r="Q93" s="36"/>
      <c r="R93" s="40"/>
      <c r="S93" s="40"/>
      <c r="T93" s="40"/>
      <c r="U93" s="41"/>
      <c r="V93" s="41"/>
      <c r="W93" s="41"/>
      <c r="X93" s="36"/>
      <c r="Y93" s="36"/>
      <c r="Z93" s="36"/>
      <c r="AA93" s="36"/>
      <c r="AB93" s="36"/>
      <c r="AC93" s="36"/>
    </row>
    <row r="94" spans="17:29" x14ac:dyDescent="0.2">
      <c r="Q94" s="36"/>
      <c r="R94" s="40"/>
      <c r="S94" s="40"/>
      <c r="T94" s="40"/>
      <c r="U94" s="41"/>
      <c r="V94" s="41"/>
      <c r="W94" s="41"/>
      <c r="X94" s="36"/>
      <c r="Y94" s="36"/>
      <c r="Z94" s="36"/>
      <c r="AA94" s="36"/>
      <c r="AB94" s="36"/>
      <c r="AC94" s="36"/>
    </row>
    <row r="95" spans="17:29" x14ac:dyDescent="0.2">
      <c r="Q95" s="36"/>
      <c r="R95" s="40"/>
      <c r="S95" s="40"/>
      <c r="T95" s="40"/>
      <c r="U95" s="41"/>
      <c r="V95" s="41"/>
      <c r="W95" s="41"/>
      <c r="X95" s="36"/>
      <c r="Y95" s="36"/>
      <c r="Z95" s="36"/>
      <c r="AA95" s="36"/>
      <c r="AB95" s="36"/>
      <c r="AC95" s="36"/>
    </row>
    <row r="96" spans="17:29" x14ac:dyDescent="0.2">
      <c r="Q96" s="36"/>
      <c r="R96" s="40"/>
      <c r="S96" s="40"/>
      <c r="T96" s="40"/>
      <c r="U96" s="41"/>
      <c r="V96" s="41"/>
      <c r="W96" s="41"/>
      <c r="X96" s="36"/>
      <c r="Y96" s="36"/>
      <c r="Z96" s="36"/>
      <c r="AA96" s="36"/>
      <c r="AB96" s="36"/>
      <c r="AC96" s="36"/>
    </row>
    <row r="97" spans="17:29" x14ac:dyDescent="0.2">
      <c r="Q97" s="36"/>
      <c r="R97" s="40"/>
      <c r="S97" s="40"/>
      <c r="T97" s="40"/>
      <c r="U97" s="41"/>
      <c r="V97" s="41"/>
      <c r="W97" s="41"/>
      <c r="X97" s="36"/>
      <c r="Y97" s="36"/>
      <c r="Z97" s="36"/>
      <c r="AA97" s="36"/>
      <c r="AB97" s="36"/>
      <c r="AC97" s="36"/>
    </row>
    <row r="98" spans="17:29" x14ac:dyDescent="0.2">
      <c r="Q98" s="36"/>
      <c r="R98" s="40"/>
      <c r="S98" s="40"/>
      <c r="T98" s="40"/>
      <c r="U98" s="41"/>
      <c r="V98" s="41"/>
      <c r="W98" s="41"/>
      <c r="X98" s="36"/>
      <c r="Y98" s="36"/>
      <c r="Z98" s="36"/>
      <c r="AA98" s="36"/>
      <c r="AB98" s="36"/>
      <c r="AC98" s="36"/>
    </row>
    <row r="99" spans="17:29" x14ac:dyDescent="0.2">
      <c r="Q99" s="36"/>
      <c r="R99" s="40"/>
      <c r="S99" s="40"/>
      <c r="T99" s="40"/>
      <c r="U99" s="41"/>
      <c r="V99" s="41"/>
      <c r="W99" s="41"/>
      <c r="X99" s="36"/>
      <c r="Y99" s="36"/>
      <c r="Z99" s="36"/>
      <c r="AA99" s="36"/>
      <c r="AB99" s="36"/>
      <c r="AC99" s="36"/>
    </row>
    <row r="100" spans="17:29" x14ac:dyDescent="0.2">
      <c r="Q100" s="36"/>
      <c r="R100" s="40"/>
      <c r="S100" s="40"/>
      <c r="T100" s="40"/>
      <c r="U100" s="41"/>
      <c r="V100" s="41"/>
      <c r="W100" s="41"/>
      <c r="X100" s="36"/>
      <c r="Y100" s="36"/>
      <c r="Z100" s="36"/>
      <c r="AA100" s="36"/>
      <c r="AB100" s="36"/>
      <c r="AC100" s="36"/>
    </row>
    <row r="101" spans="17:29" x14ac:dyDescent="0.2">
      <c r="Q101" s="36"/>
      <c r="R101" s="40"/>
      <c r="S101" s="40"/>
      <c r="T101" s="40"/>
      <c r="U101" s="41"/>
      <c r="V101" s="41"/>
      <c r="W101" s="41"/>
      <c r="X101" s="36"/>
      <c r="Y101" s="36"/>
      <c r="Z101" s="36"/>
      <c r="AA101" s="36"/>
      <c r="AB101" s="36"/>
      <c r="AC101" s="36"/>
    </row>
    <row r="102" spans="17:29" x14ac:dyDescent="0.2">
      <c r="Q102" s="36"/>
      <c r="R102" s="40"/>
      <c r="S102" s="40"/>
      <c r="T102" s="40"/>
      <c r="U102" s="41"/>
      <c r="V102" s="41"/>
      <c r="W102" s="41"/>
      <c r="X102" s="36"/>
      <c r="Y102" s="36"/>
      <c r="Z102" s="36"/>
      <c r="AA102" s="36"/>
      <c r="AB102" s="36"/>
      <c r="AC102" s="36"/>
    </row>
    <row r="103" spans="17:29" x14ac:dyDescent="0.2">
      <c r="Q103" s="36"/>
      <c r="R103" s="40"/>
      <c r="S103" s="40"/>
      <c r="T103" s="40"/>
      <c r="U103" s="41"/>
      <c r="V103" s="41"/>
      <c r="W103" s="41"/>
      <c r="X103" s="36"/>
      <c r="Y103" s="36"/>
      <c r="Z103" s="36"/>
      <c r="AA103" s="36"/>
      <c r="AB103" s="36"/>
      <c r="AC103" s="36"/>
    </row>
    <row r="104" spans="17:29" x14ac:dyDescent="0.2">
      <c r="Q104" s="36"/>
      <c r="R104" s="40"/>
      <c r="S104" s="40"/>
      <c r="T104" s="40"/>
      <c r="U104" s="41"/>
      <c r="V104" s="41"/>
      <c r="W104" s="41"/>
      <c r="X104" s="36"/>
      <c r="Y104" s="36"/>
      <c r="Z104" s="36"/>
      <c r="AA104" s="36"/>
      <c r="AB104" s="36"/>
      <c r="AC104" s="36"/>
    </row>
    <row r="105" spans="17:29" x14ac:dyDescent="0.2">
      <c r="Q105" s="36"/>
      <c r="R105" s="40"/>
      <c r="S105" s="40"/>
      <c r="T105" s="40"/>
      <c r="U105" s="41"/>
      <c r="V105" s="41"/>
      <c r="W105" s="41"/>
      <c r="X105" s="36"/>
      <c r="Y105" s="36"/>
      <c r="Z105" s="36"/>
      <c r="AA105" s="36"/>
      <c r="AB105" s="36"/>
      <c r="AC105" s="36"/>
    </row>
    <row r="106" spans="17:29" x14ac:dyDescent="0.2">
      <c r="Q106" s="36"/>
      <c r="R106" s="40"/>
      <c r="S106" s="40"/>
      <c r="T106" s="40"/>
      <c r="U106" s="41"/>
      <c r="V106" s="41"/>
      <c r="W106" s="41"/>
      <c r="X106" s="36"/>
      <c r="Y106" s="36"/>
      <c r="Z106" s="36"/>
      <c r="AA106" s="36"/>
      <c r="AB106" s="36"/>
      <c r="AC106" s="36"/>
    </row>
    <row r="107" spans="17:29" x14ac:dyDescent="0.2">
      <c r="Q107" s="36"/>
      <c r="R107" s="40"/>
      <c r="S107" s="40"/>
      <c r="T107" s="40"/>
      <c r="U107" s="41"/>
      <c r="V107" s="41"/>
      <c r="W107" s="41"/>
      <c r="X107" s="36"/>
      <c r="Y107" s="36"/>
      <c r="Z107" s="36"/>
      <c r="AA107" s="36"/>
      <c r="AB107" s="36"/>
      <c r="AC107" s="36"/>
    </row>
    <row r="108" spans="17:29" x14ac:dyDescent="0.2">
      <c r="Q108" s="36"/>
      <c r="R108" s="40"/>
      <c r="S108" s="40"/>
      <c r="T108" s="40"/>
      <c r="U108" s="41"/>
      <c r="V108" s="41"/>
      <c r="W108" s="41"/>
      <c r="X108" s="36"/>
      <c r="Y108" s="36"/>
      <c r="Z108" s="36"/>
      <c r="AA108" s="36"/>
      <c r="AB108" s="36"/>
      <c r="AC108" s="36"/>
    </row>
    <row r="109" spans="17:29" x14ac:dyDescent="0.2">
      <c r="Q109" s="36"/>
      <c r="R109" s="40"/>
      <c r="S109" s="40"/>
      <c r="T109" s="40"/>
      <c r="U109" s="41"/>
      <c r="V109" s="41"/>
      <c r="W109" s="41"/>
      <c r="X109" s="36"/>
      <c r="Y109" s="36"/>
      <c r="Z109" s="36"/>
      <c r="AA109" s="36"/>
      <c r="AB109" s="36"/>
      <c r="AC109" s="36"/>
    </row>
    <row r="110" spans="17:29" x14ac:dyDescent="0.2">
      <c r="Q110" s="36"/>
      <c r="R110" s="40"/>
      <c r="S110" s="40"/>
      <c r="T110" s="40"/>
      <c r="U110" s="41"/>
      <c r="V110" s="41"/>
      <c r="W110" s="41"/>
      <c r="X110" s="36"/>
      <c r="Y110" s="36"/>
      <c r="Z110" s="36"/>
      <c r="AA110" s="36"/>
      <c r="AB110" s="36"/>
      <c r="AC110" s="36"/>
    </row>
    <row r="111" spans="17:29" x14ac:dyDescent="0.2">
      <c r="Q111" s="36"/>
      <c r="R111" s="40"/>
      <c r="S111" s="40"/>
      <c r="T111" s="40"/>
      <c r="U111" s="41"/>
      <c r="V111" s="41"/>
      <c r="W111" s="41"/>
      <c r="X111" s="36"/>
      <c r="Y111" s="36"/>
      <c r="Z111" s="36"/>
      <c r="AA111" s="36"/>
      <c r="AB111" s="36"/>
      <c r="AC111" s="36"/>
    </row>
    <row r="112" spans="17:29" x14ac:dyDescent="0.2">
      <c r="Q112" s="36"/>
      <c r="R112" s="40"/>
      <c r="S112" s="40"/>
      <c r="T112" s="40"/>
      <c r="U112" s="41"/>
      <c r="V112" s="41"/>
      <c r="W112" s="41"/>
      <c r="X112" s="36"/>
      <c r="Y112" s="36"/>
      <c r="Z112" s="36"/>
      <c r="AA112" s="36"/>
      <c r="AB112" s="36"/>
      <c r="AC112" s="36"/>
    </row>
    <row r="113" spans="17:29" x14ac:dyDescent="0.2">
      <c r="Q113" s="36"/>
      <c r="R113" s="40"/>
      <c r="S113" s="40"/>
      <c r="T113" s="40"/>
      <c r="U113" s="41"/>
      <c r="V113" s="41"/>
      <c r="W113" s="41"/>
      <c r="X113" s="36"/>
      <c r="Y113" s="36"/>
      <c r="Z113" s="36"/>
      <c r="AA113" s="36"/>
      <c r="AB113" s="36"/>
      <c r="AC113" s="36"/>
    </row>
    <row r="114" spans="17:29" x14ac:dyDescent="0.2">
      <c r="Q114" s="36"/>
      <c r="R114" s="40"/>
      <c r="S114" s="40"/>
      <c r="T114" s="40"/>
      <c r="U114" s="41"/>
      <c r="V114" s="41"/>
      <c r="W114" s="41"/>
      <c r="X114" s="36"/>
      <c r="Y114" s="36"/>
      <c r="Z114" s="36"/>
      <c r="AA114" s="36"/>
      <c r="AB114" s="36"/>
      <c r="AC114" s="36"/>
    </row>
    <row r="115" spans="17:29" x14ac:dyDescent="0.2">
      <c r="Q115" s="36"/>
      <c r="R115" s="40"/>
      <c r="S115" s="40"/>
      <c r="T115" s="40"/>
      <c r="U115" s="41"/>
      <c r="V115" s="41"/>
      <c r="W115" s="41"/>
      <c r="X115" s="36"/>
      <c r="Y115" s="36"/>
      <c r="Z115" s="36"/>
      <c r="AA115" s="36"/>
      <c r="AB115" s="36"/>
      <c r="AC115" s="36"/>
    </row>
    <row r="116" spans="17:29" x14ac:dyDescent="0.2">
      <c r="Q116" s="36"/>
      <c r="R116" s="40"/>
      <c r="S116" s="40"/>
      <c r="T116" s="40"/>
      <c r="U116" s="41"/>
      <c r="V116" s="41"/>
      <c r="W116" s="41"/>
      <c r="X116" s="36"/>
      <c r="Y116" s="36"/>
      <c r="Z116" s="36"/>
      <c r="AA116" s="36"/>
      <c r="AB116" s="36"/>
      <c r="AC116" s="36"/>
    </row>
    <row r="117" spans="17:29" x14ac:dyDescent="0.2">
      <c r="Q117" s="36"/>
      <c r="R117" s="40"/>
      <c r="S117" s="40"/>
      <c r="T117" s="40"/>
      <c r="U117" s="41"/>
      <c r="V117" s="41"/>
      <c r="W117" s="41"/>
      <c r="X117" s="36"/>
      <c r="Y117" s="36"/>
      <c r="Z117" s="36"/>
      <c r="AA117" s="36"/>
      <c r="AB117" s="36"/>
      <c r="AC117" s="36"/>
    </row>
    <row r="118" spans="17:29" x14ac:dyDescent="0.2">
      <c r="Q118" s="36"/>
      <c r="R118" s="40"/>
      <c r="S118" s="40"/>
      <c r="T118" s="40"/>
      <c r="U118" s="41"/>
      <c r="V118" s="41"/>
      <c r="W118" s="41"/>
      <c r="X118" s="36"/>
      <c r="Y118" s="36"/>
      <c r="Z118" s="36"/>
      <c r="AA118" s="36"/>
      <c r="AB118" s="36"/>
      <c r="AC118" s="36"/>
    </row>
    <row r="119" spans="17:29" x14ac:dyDescent="0.2">
      <c r="Q119" s="36"/>
      <c r="R119" s="40"/>
      <c r="S119" s="40"/>
      <c r="T119" s="40"/>
      <c r="U119" s="41"/>
      <c r="V119" s="41"/>
      <c r="W119" s="41"/>
      <c r="X119" s="36"/>
      <c r="Y119" s="36"/>
      <c r="Z119" s="36"/>
      <c r="AA119" s="36"/>
      <c r="AB119" s="36"/>
      <c r="AC119" s="36"/>
    </row>
    <row r="120" spans="17:29" x14ac:dyDescent="0.2">
      <c r="Q120" s="36"/>
      <c r="R120" s="40"/>
      <c r="S120" s="40"/>
      <c r="T120" s="40"/>
      <c r="U120" s="41"/>
      <c r="V120" s="41"/>
      <c r="W120" s="41"/>
      <c r="X120" s="36"/>
      <c r="Y120" s="36"/>
      <c r="Z120" s="36"/>
      <c r="AA120" s="36"/>
      <c r="AB120" s="36"/>
      <c r="AC120" s="36"/>
    </row>
    <row r="121" spans="17:29" x14ac:dyDescent="0.2">
      <c r="Q121" s="36"/>
      <c r="R121" s="40"/>
      <c r="S121" s="40"/>
      <c r="T121" s="40"/>
      <c r="U121" s="41"/>
      <c r="V121" s="41"/>
      <c r="W121" s="41"/>
      <c r="X121" s="36"/>
      <c r="Y121" s="36"/>
      <c r="Z121" s="36"/>
      <c r="AA121" s="36"/>
      <c r="AB121" s="36"/>
      <c r="AC121" s="36"/>
    </row>
    <row r="122" spans="17:29" x14ac:dyDescent="0.2">
      <c r="Q122" s="36"/>
      <c r="R122" s="40"/>
      <c r="S122" s="40"/>
      <c r="T122" s="40"/>
      <c r="U122" s="41"/>
      <c r="V122" s="41"/>
      <c r="W122" s="41"/>
      <c r="X122" s="36"/>
      <c r="Y122" s="36"/>
      <c r="Z122" s="36"/>
      <c r="AA122" s="36"/>
      <c r="AB122" s="36"/>
      <c r="AC122" s="36"/>
    </row>
    <row r="123" spans="17:29" x14ac:dyDescent="0.2">
      <c r="Q123" s="36"/>
      <c r="R123" s="40"/>
      <c r="S123" s="40"/>
      <c r="T123" s="40"/>
      <c r="U123" s="41"/>
      <c r="V123" s="41"/>
      <c r="W123" s="41"/>
      <c r="X123" s="36"/>
      <c r="Y123" s="36"/>
      <c r="Z123" s="36"/>
      <c r="AA123" s="36"/>
      <c r="AB123" s="36"/>
      <c r="AC123" s="36"/>
    </row>
    <row r="124" spans="17:29" x14ac:dyDescent="0.2">
      <c r="Q124" s="36"/>
      <c r="R124" s="40"/>
      <c r="S124" s="40"/>
      <c r="T124" s="40"/>
      <c r="U124" s="41"/>
      <c r="V124" s="41"/>
      <c r="W124" s="41"/>
      <c r="X124" s="36"/>
      <c r="Y124" s="36"/>
      <c r="Z124" s="36"/>
      <c r="AA124" s="36"/>
      <c r="AB124" s="36"/>
      <c r="AC124" s="36"/>
    </row>
    <row r="125" spans="17:29" x14ac:dyDescent="0.2">
      <c r="Q125" s="36"/>
      <c r="R125" s="40"/>
      <c r="S125" s="40"/>
      <c r="T125" s="40"/>
      <c r="U125" s="41"/>
      <c r="V125" s="41"/>
      <c r="W125" s="41"/>
      <c r="X125" s="36"/>
      <c r="Y125" s="36"/>
      <c r="Z125" s="36"/>
      <c r="AA125" s="36"/>
      <c r="AB125" s="36"/>
      <c r="AC125" s="36"/>
    </row>
    <row r="126" spans="17:29" x14ac:dyDescent="0.2">
      <c r="Q126" s="36"/>
      <c r="R126" s="40"/>
      <c r="S126" s="40"/>
      <c r="T126" s="40"/>
      <c r="U126" s="41"/>
      <c r="V126" s="41"/>
      <c r="W126" s="41"/>
      <c r="X126" s="36"/>
      <c r="Y126" s="36"/>
      <c r="Z126" s="36"/>
      <c r="AA126" s="36"/>
      <c r="AB126" s="36"/>
      <c r="AC126" s="36"/>
    </row>
    <row r="127" spans="17:29" x14ac:dyDescent="0.2">
      <c r="Q127" s="36"/>
      <c r="R127" s="40"/>
      <c r="S127" s="40"/>
      <c r="T127" s="40"/>
      <c r="U127" s="41"/>
      <c r="V127" s="41"/>
      <c r="W127" s="41"/>
      <c r="X127" s="36"/>
      <c r="Y127" s="36"/>
      <c r="Z127" s="36"/>
      <c r="AA127" s="36"/>
      <c r="AB127" s="36"/>
      <c r="AC127" s="36"/>
    </row>
    <row r="128" spans="17:29" x14ac:dyDescent="0.2">
      <c r="Q128" s="36"/>
      <c r="R128" s="40"/>
      <c r="S128" s="40"/>
      <c r="T128" s="40"/>
      <c r="U128" s="41"/>
      <c r="V128" s="41"/>
      <c r="W128" s="41"/>
      <c r="X128" s="36"/>
      <c r="Y128" s="36"/>
      <c r="Z128" s="36"/>
      <c r="AA128" s="36"/>
      <c r="AB128" s="36"/>
      <c r="AC128" s="36"/>
    </row>
    <row r="129" spans="17:29" x14ac:dyDescent="0.2">
      <c r="Q129" s="36"/>
      <c r="R129" s="40"/>
      <c r="S129" s="40"/>
      <c r="T129" s="40"/>
      <c r="U129" s="41"/>
      <c r="V129" s="41"/>
      <c r="W129" s="41"/>
      <c r="X129" s="36"/>
      <c r="Y129" s="36"/>
      <c r="Z129" s="36"/>
      <c r="AA129" s="36"/>
      <c r="AB129" s="36"/>
      <c r="AC129" s="36"/>
    </row>
    <row r="130" spans="17:29" x14ac:dyDescent="0.2">
      <c r="Q130" s="36"/>
      <c r="R130" s="40"/>
      <c r="S130" s="40"/>
      <c r="T130" s="40"/>
      <c r="U130" s="41"/>
      <c r="V130" s="41"/>
      <c r="W130" s="41"/>
      <c r="X130" s="36"/>
      <c r="Y130" s="36"/>
      <c r="Z130" s="36"/>
      <c r="AA130" s="36"/>
      <c r="AB130" s="36"/>
      <c r="AC130" s="36"/>
    </row>
    <row r="131" spans="17:29" x14ac:dyDescent="0.2">
      <c r="Q131" s="36"/>
      <c r="R131" s="40"/>
      <c r="S131" s="40"/>
      <c r="T131" s="40"/>
      <c r="U131" s="41"/>
      <c r="V131" s="41"/>
      <c r="W131" s="41"/>
      <c r="X131" s="36"/>
      <c r="Y131" s="36"/>
      <c r="Z131" s="36"/>
      <c r="AA131" s="36"/>
      <c r="AB131" s="36"/>
      <c r="AC131" s="36"/>
    </row>
    <row r="132" spans="17:29" x14ac:dyDescent="0.2">
      <c r="Q132" s="36"/>
      <c r="R132" s="40"/>
      <c r="S132" s="40"/>
      <c r="T132" s="40"/>
      <c r="U132" s="41"/>
      <c r="V132" s="41"/>
      <c r="W132" s="41"/>
      <c r="X132" s="36"/>
      <c r="Y132" s="36"/>
      <c r="Z132" s="36"/>
      <c r="AA132" s="36"/>
      <c r="AB132" s="36"/>
      <c r="AC132" s="36"/>
    </row>
    <row r="133" spans="17:29" x14ac:dyDescent="0.2">
      <c r="Q133" s="36"/>
      <c r="R133" s="40"/>
      <c r="S133" s="40"/>
      <c r="T133" s="40"/>
      <c r="U133" s="41"/>
      <c r="V133" s="41"/>
      <c r="W133" s="41"/>
      <c r="X133" s="36"/>
      <c r="Y133" s="36"/>
      <c r="Z133" s="36"/>
      <c r="AA133" s="36"/>
      <c r="AB133" s="36"/>
      <c r="AC133" s="36"/>
    </row>
    <row r="134" spans="17:29" x14ac:dyDescent="0.2">
      <c r="Q134" s="36"/>
      <c r="R134" s="40"/>
      <c r="S134" s="40"/>
      <c r="T134" s="40"/>
      <c r="U134" s="41"/>
      <c r="V134" s="41"/>
      <c r="W134" s="41"/>
      <c r="X134" s="36"/>
      <c r="Y134" s="36"/>
      <c r="Z134" s="36"/>
      <c r="AA134" s="36"/>
      <c r="AB134" s="36"/>
      <c r="AC134" s="36"/>
    </row>
    <row r="135" spans="17:29" x14ac:dyDescent="0.2">
      <c r="Q135" s="36"/>
      <c r="R135" s="40"/>
      <c r="S135" s="40"/>
      <c r="T135" s="40"/>
      <c r="U135" s="41"/>
      <c r="V135" s="41"/>
      <c r="W135" s="41"/>
      <c r="X135" s="36"/>
      <c r="Y135" s="36"/>
      <c r="Z135" s="36"/>
      <c r="AA135" s="36"/>
      <c r="AB135" s="36"/>
      <c r="AC135" s="36"/>
    </row>
    <row r="136" spans="17:29" x14ac:dyDescent="0.2">
      <c r="Q136" s="36"/>
      <c r="R136" s="40"/>
      <c r="S136" s="40"/>
      <c r="T136" s="40"/>
      <c r="U136" s="41"/>
      <c r="V136" s="41"/>
      <c r="W136" s="41"/>
      <c r="X136" s="36"/>
      <c r="Y136" s="36"/>
      <c r="Z136" s="36"/>
      <c r="AA136" s="36"/>
      <c r="AB136" s="36"/>
      <c r="AC136" s="36"/>
    </row>
    <row r="137" spans="17:29" x14ac:dyDescent="0.2">
      <c r="Q137" s="36"/>
      <c r="R137" s="40"/>
      <c r="S137" s="40"/>
      <c r="T137" s="40"/>
      <c r="U137" s="41"/>
      <c r="V137" s="41"/>
      <c r="W137" s="41"/>
      <c r="X137" s="36"/>
      <c r="Y137" s="36"/>
      <c r="Z137" s="36"/>
      <c r="AA137" s="36"/>
      <c r="AB137" s="36"/>
      <c r="AC137" s="36"/>
    </row>
    <row r="138" spans="17:29" x14ac:dyDescent="0.2">
      <c r="Q138" s="36"/>
      <c r="R138" s="40"/>
      <c r="S138" s="40"/>
      <c r="T138" s="40"/>
      <c r="U138" s="41"/>
      <c r="V138" s="41"/>
      <c r="W138" s="41"/>
      <c r="X138" s="36"/>
      <c r="Y138" s="36"/>
      <c r="Z138" s="36"/>
      <c r="AA138" s="36"/>
      <c r="AB138" s="36"/>
      <c r="AC138" s="36"/>
    </row>
    <row r="139" spans="17:29" x14ac:dyDescent="0.2">
      <c r="Q139" s="36"/>
      <c r="R139" s="40"/>
      <c r="S139" s="40"/>
      <c r="T139" s="40"/>
      <c r="U139" s="41"/>
      <c r="V139" s="41"/>
      <c r="W139" s="41"/>
      <c r="X139" s="36"/>
      <c r="Y139" s="36"/>
      <c r="Z139" s="36"/>
      <c r="AA139" s="36"/>
      <c r="AB139" s="36"/>
      <c r="AC139" s="36"/>
    </row>
    <row r="140" spans="17:29" x14ac:dyDescent="0.2">
      <c r="Q140" s="36"/>
      <c r="R140" s="40"/>
      <c r="S140" s="40"/>
      <c r="T140" s="40"/>
      <c r="U140" s="41"/>
      <c r="V140" s="41"/>
      <c r="W140" s="41"/>
      <c r="X140" s="36"/>
      <c r="Y140" s="36"/>
      <c r="Z140" s="36"/>
      <c r="AA140" s="36"/>
      <c r="AB140" s="36"/>
      <c r="AC140" s="36"/>
    </row>
    <row r="141" spans="17:29" x14ac:dyDescent="0.2">
      <c r="Q141" s="36"/>
      <c r="R141" s="40"/>
      <c r="S141" s="40"/>
      <c r="T141" s="40"/>
      <c r="U141" s="41"/>
      <c r="V141" s="41"/>
      <c r="W141" s="41"/>
      <c r="X141" s="36"/>
      <c r="Y141" s="36"/>
      <c r="Z141" s="36"/>
      <c r="AA141" s="36"/>
      <c r="AB141" s="36"/>
      <c r="AC141" s="36"/>
    </row>
    <row r="142" spans="17:29" x14ac:dyDescent="0.2">
      <c r="Q142" s="36"/>
      <c r="R142" s="40"/>
      <c r="S142" s="40"/>
      <c r="T142" s="40"/>
      <c r="U142" s="41"/>
      <c r="V142" s="41"/>
      <c r="W142" s="41"/>
      <c r="X142" s="36"/>
      <c r="Y142" s="36"/>
      <c r="Z142" s="36"/>
      <c r="AA142" s="36"/>
      <c r="AB142" s="36"/>
      <c r="AC142" s="36"/>
    </row>
    <row r="143" spans="17:29" x14ac:dyDescent="0.2">
      <c r="Q143" s="36"/>
      <c r="R143" s="40"/>
      <c r="S143" s="40"/>
      <c r="T143" s="40"/>
      <c r="U143" s="41"/>
      <c r="V143" s="41"/>
      <c r="W143" s="41"/>
      <c r="X143" s="36"/>
      <c r="Y143" s="36"/>
      <c r="Z143" s="36"/>
      <c r="AA143" s="36"/>
      <c r="AB143" s="36"/>
      <c r="AC143" s="36"/>
    </row>
    <row r="144" spans="17:29" x14ac:dyDescent="0.2">
      <c r="Q144" s="36"/>
      <c r="R144" s="40"/>
      <c r="S144" s="40"/>
      <c r="T144" s="40"/>
      <c r="U144" s="41"/>
      <c r="V144" s="41"/>
      <c r="W144" s="41"/>
      <c r="X144" s="36"/>
      <c r="Y144" s="36"/>
      <c r="Z144" s="36"/>
      <c r="AA144" s="36"/>
      <c r="AB144" s="36"/>
      <c r="AC144" s="36"/>
    </row>
    <row r="145" spans="17:29" x14ac:dyDescent="0.2">
      <c r="Q145" s="36"/>
      <c r="R145" s="40"/>
      <c r="S145" s="40"/>
      <c r="T145" s="40"/>
      <c r="U145" s="41"/>
      <c r="V145" s="41"/>
      <c r="W145" s="41"/>
      <c r="X145" s="36"/>
      <c r="Y145" s="36"/>
      <c r="Z145" s="36"/>
      <c r="AA145" s="36"/>
      <c r="AB145" s="36"/>
      <c r="AC145" s="36"/>
    </row>
    <row r="146" spans="17:29" x14ac:dyDescent="0.2">
      <c r="Q146" s="36"/>
      <c r="R146" s="40"/>
      <c r="S146" s="40"/>
      <c r="T146" s="40"/>
      <c r="U146" s="41"/>
      <c r="V146" s="41"/>
      <c r="W146" s="41"/>
      <c r="X146" s="36"/>
      <c r="Y146" s="36"/>
      <c r="Z146" s="36"/>
      <c r="AA146" s="36"/>
      <c r="AB146" s="36"/>
      <c r="AC146" s="36"/>
    </row>
    <row r="147" spans="17:29" x14ac:dyDescent="0.2">
      <c r="Q147" s="36"/>
      <c r="R147" s="40"/>
      <c r="S147" s="40"/>
      <c r="T147" s="40"/>
      <c r="U147" s="41"/>
      <c r="V147" s="41"/>
      <c r="W147" s="41"/>
      <c r="X147" s="36"/>
      <c r="Y147" s="36"/>
      <c r="Z147" s="36"/>
      <c r="AA147" s="36"/>
      <c r="AB147" s="36"/>
      <c r="AC147" s="36"/>
    </row>
    <row r="148" spans="17:29" x14ac:dyDescent="0.2">
      <c r="Q148" s="36"/>
      <c r="R148" s="40"/>
      <c r="S148" s="40"/>
      <c r="T148" s="40"/>
      <c r="U148" s="41"/>
      <c r="V148" s="41"/>
      <c r="W148" s="41"/>
      <c r="X148" s="36"/>
      <c r="Y148" s="36"/>
      <c r="Z148" s="36"/>
      <c r="AA148" s="36"/>
      <c r="AB148" s="36"/>
      <c r="AC148" s="36"/>
    </row>
    <row r="149" spans="17:29" x14ac:dyDescent="0.2">
      <c r="Q149" s="36"/>
      <c r="R149" s="40"/>
      <c r="S149" s="40"/>
      <c r="T149" s="40"/>
      <c r="U149" s="41"/>
      <c r="V149" s="41"/>
      <c r="W149" s="41"/>
      <c r="X149" s="36"/>
      <c r="Y149" s="36"/>
      <c r="Z149" s="36"/>
      <c r="AA149" s="36"/>
      <c r="AB149" s="36"/>
      <c r="AC149" s="36"/>
    </row>
    <row r="150" spans="17:29" x14ac:dyDescent="0.2">
      <c r="Q150" s="36"/>
      <c r="R150" s="40"/>
      <c r="S150" s="40"/>
      <c r="T150" s="40"/>
      <c r="U150" s="41"/>
      <c r="V150" s="41"/>
      <c r="W150" s="41"/>
      <c r="X150" s="36"/>
      <c r="Y150" s="36"/>
      <c r="Z150" s="36"/>
      <c r="AA150" s="36"/>
      <c r="AB150" s="36"/>
      <c r="AC150" s="36"/>
    </row>
    <row r="151" spans="17:29" x14ac:dyDescent="0.2">
      <c r="Q151" s="36"/>
      <c r="R151" s="40"/>
      <c r="S151" s="40"/>
      <c r="T151" s="40"/>
      <c r="U151" s="41"/>
      <c r="V151" s="41"/>
      <c r="W151" s="41"/>
      <c r="X151" s="36"/>
      <c r="Y151" s="36"/>
      <c r="Z151" s="36"/>
      <c r="AA151" s="36"/>
      <c r="AB151" s="36"/>
      <c r="AC151" s="36"/>
    </row>
    <row r="152" spans="17:29" x14ac:dyDescent="0.2">
      <c r="Q152" s="36"/>
      <c r="R152" s="40"/>
      <c r="S152" s="40"/>
      <c r="T152" s="40"/>
      <c r="U152" s="41"/>
      <c r="V152" s="41"/>
      <c r="W152" s="41"/>
      <c r="X152" s="36"/>
      <c r="Y152" s="36"/>
      <c r="Z152" s="36"/>
      <c r="AA152" s="36"/>
      <c r="AB152" s="36"/>
      <c r="AC152" s="36"/>
    </row>
    <row r="153" spans="17:29" x14ac:dyDescent="0.2">
      <c r="Q153" s="36"/>
      <c r="R153" s="40"/>
      <c r="S153" s="40"/>
      <c r="T153" s="40"/>
      <c r="U153" s="41"/>
      <c r="V153" s="41"/>
      <c r="W153" s="41"/>
      <c r="X153" s="36"/>
      <c r="Y153" s="36"/>
      <c r="Z153" s="36"/>
      <c r="AA153" s="36"/>
      <c r="AB153" s="36"/>
      <c r="AC153" s="36"/>
    </row>
    <row r="154" spans="17:29" x14ac:dyDescent="0.2">
      <c r="Q154" s="36"/>
      <c r="R154" s="40"/>
      <c r="S154" s="40"/>
      <c r="T154" s="40"/>
      <c r="U154" s="41"/>
      <c r="V154" s="41"/>
      <c r="W154" s="41"/>
      <c r="X154" s="36"/>
      <c r="Y154" s="36"/>
      <c r="Z154" s="36"/>
      <c r="AA154" s="36"/>
      <c r="AB154" s="36"/>
      <c r="AC154" s="36"/>
    </row>
    <row r="155" spans="17:29" x14ac:dyDescent="0.2">
      <c r="Q155" s="36"/>
      <c r="R155" s="40"/>
      <c r="S155" s="40"/>
      <c r="T155" s="40"/>
      <c r="U155" s="41"/>
      <c r="V155" s="41"/>
      <c r="W155" s="41"/>
      <c r="X155" s="36"/>
      <c r="Y155" s="36"/>
      <c r="Z155" s="36"/>
      <c r="AA155" s="36"/>
      <c r="AB155" s="36"/>
      <c r="AC155" s="36"/>
    </row>
    <row r="156" spans="17:29" x14ac:dyDescent="0.2">
      <c r="Q156" s="36"/>
      <c r="R156" s="40"/>
      <c r="S156" s="40"/>
      <c r="T156" s="40"/>
      <c r="U156" s="41"/>
      <c r="V156" s="41"/>
      <c r="W156" s="41"/>
      <c r="X156" s="36"/>
      <c r="Y156" s="36"/>
      <c r="Z156" s="36"/>
      <c r="AA156" s="36"/>
      <c r="AB156" s="36"/>
      <c r="AC156" s="36"/>
    </row>
    <row r="157" spans="17:29" x14ac:dyDescent="0.2">
      <c r="Q157" s="36"/>
      <c r="R157" s="40"/>
      <c r="S157" s="40"/>
      <c r="T157" s="40"/>
      <c r="U157" s="41"/>
      <c r="V157" s="41"/>
      <c r="W157" s="41"/>
      <c r="X157" s="36"/>
      <c r="Y157" s="36"/>
      <c r="Z157" s="36"/>
      <c r="AA157" s="36"/>
      <c r="AB157" s="36"/>
      <c r="AC157" s="36"/>
    </row>
    <row r="158" spans="17:29" x14ac:dyDescent="0.2">
      <c r="Q158" s="36"/>
      <c r="R158" s="40"/>
      <c r="S158" s="40"/>
      <c r="T158" s="40"/>
      <c r="U158" s="41"/>
      <c r="V158" s="41"/>
      <c r="W158" s="41"/>
      <c r="X158" s="36"/>
      <c r="Y158" s="36"/>
      <c r="Z158" s="36"/>
      <c r="AA158" s="36"/>
      <c r="AB158" s="36"/>
      <c r="AC158" s="36"/>
    </row>
    <row r="159" spans="17:29" x14ac:dyDescent="0.2">
      <c r="Q159" s="36"/>
      <c r="R159" s="40"/>
      <c r="S159" s="40"/>
      <c r="T159" s="40"/>
      <c r="U159" s="41"/>
      <c r="V159" s="41"/>
      <c r="W159" s="41"/>
      <c r="X159" s="36"/>
      <c r="Y159" s="36"/>
      <c r="Z159" s="36"/>
      <c r="AA159" s="36"/>
      <c r="AB159" s="36"/>
      <c r="AC159" s="36"/>
    </row>
    <row r="160" spans="17:29" x14ac:dyDescent="0.2">
      <c r="Q160" s="36"/>
      <c r="R160" s="40"/>
      <c r="S160" s="40"/>
      <c r="T160" s="40"/>
      <c r="U160" s="41"/>
      <c r="V160" s="41"/>
      <c r="W160" s="41"/>
      <c r="X160" s="36"/>
      <c r="Y160" s="36"/>
      <c r="Z160" s="36"/>
      <c r="AA160" s="36"/>
      <c r="AB160" s="36"/>
      <c r="AC160" s="36"/>
    </row>
    <row r="161" spans="17:29" x14ac:dyDescent="0.2">
      <c r="Q161" s="36"/>
      <c r="R161" s="40"/>
      <c r="S161" s="40"/>
      <c r="T161" s="40"/>
      <c r="U161" s="41"/>
      <c r="V161" s="41"/>
      <c r="W161" s="41"/>
      <c r="X161" s="36"/>
      <c r="Y161" s="36"/>
      <c r="Z161" s="36"/>
      <c r="AA161" s="36"/>
      <c r="AB161" s="36"/>
      <c r="AC161" s="36"/>
    </row>
    <row r="162" spans="17:29" x14ac:dyDescent="0.2">
      <c r="Q162" s="36"/>
      <c r="R162" s="40"/>
      <c r="S162" s="40"/>
      <c r="T162" s="40"/>
      <c r="U162" s="41"/>
      <c r="V162" s="41"/>
      <c r="W162" s="41"/>
      <c r="X162" s="36"/>
      <c r="Y162" s="36"/>
      <c r="Z162" s="36"/>
      <c r="AA162" s="36"/>
      <c r="AB162" s="36"/>
      <c r="AC162" s="36"/>
    </row>
    <row r="163" spans="17:29" x14ac:dyDescent="0.2">
      <c r="Q163" s="36"/>
      <c r="R163" s="40"/>
      <c r="S163" s="40"/>
      <c r="T163" s="40"/>
      <c r="U163" s="41"/>
      <c r="V163" s="41"/>
      <c r="W163" s="41"/>
      <c r="X163" s="36"/>
      <c r="Y163" s="36"/>
      <c r="Z163" s="36"/>
      <c r="AA163" s="36"/>
      <c r="AB163" s="36"/>
      <c r="AC163" s="36"/>
    </row>
    <row r="164" spans="17:29" x14ac:dyDescent="0.2">
      <c r="Q164" s="36"/>
      <c r="R164" s="40"/>
      <c r="S164" s="40"/>
      <c r="T164" s="40"/>
      <c r="U164" s="41"/>
      <c r="V164" s="41"/>
      <c r="W164" s="41"/>
      <c r="X164" s="36"/>
      <c r="Y164" s="36"/>
      <c r="Z164" s="36"/>
      <c r="AA164" s="36"/>
      <c r="AB164" s="36"/>
      <c r="AC164" s="36"/>
    </row>
    <row r="165" spans="17:29" x14ac:dyDescent="0.2">
      <c r="Q165" s="36"/>
      <c r="R165" s="40"/>
      <c r="S165" s="40"/>
      <c r="T165" s="40"/>
      <c r="U165" s="41"/>
      <c r="V165" s="41"/>
      <c r="W165" s="41"/>
      <c r="X165" s="36"/>
      <c r="Y165" s="36"/>
      <c r="Z165" s="36"/>
      <c r="AA165" s="36"/>
      <c r="AB165" s="36"/>
      <c r="AC165" s="36"/>
    </row>
    <row r="166" spans="17:29" x14ac:dyDescent="0.2">
      <c r="Q166" s="36"/>
      <c r="R166" s="40"/>
      <c r="S166" s="40"/>
      <c r="T166" s="40"/>
      <c r="U166" s="41"/>
      <c r="V166" s="41"/>
      <c r="W166" s="41"/>
      <c r="X166" s="36"/>
      <c r="Y166" s="36"/>
      <c r="Z166" s="36"/>
      <c r="AA166" s="36"/>
      <c r="AB166" s="36"/>
      <c r="AC166" s="36"/>
    </row>
    <row r="167" spans="17:29" x14ac:dyDescent="0.2">
      <c r="Q167" s="36"/>
      <c r="R167" s="40"/>
      <c r="S167" s="40"/>
      <c r="T167" s="40"/>
      <c r="U167" s="41"/>
      <c r="V167" s="41"/>
      <c r="W167" s="41"/>
      <c r="X167" s="36"/>
      <c r="Y167" s="36"/>
      <c r="Z167" s="36"/>
      <c r="AA167" s="36"/>
      <c r="AB167" s="36"/>
      <c r="AC167" s="36"/>
    </row>
    <row r="168" spans="17:29" x14ac:dyDescent="0.2">
      <c r="Q168" s="36"/>
      <c r="R168" s="40"/>
      <c r="S168" s="40"/>
      <c r="T168" s="40"/>
      <c r="U168" s="41"/>
      <c r="V168" s="41"/>
      <c r="W168" s="41"/>
      <c r="X168" s="36"/>
      <c r="Y168" s="36"/>
      <c r="Z168" s="36"/>
      <c r="AA168" s="36"/>
      <c r="AB168" s="36"/>
      <c r="AC168" s="36"/>
    </row>
    <row r="169" spans="17:29" x14ac:dyDescent="0.2">
      <c r="Q169" s="36"/>
      <c r="R169" s="40"/>
      <c r="S169" s="40"/>
      <c r="T169" s="40"/>
      <c r="U169" s="41"/>
      <c r="V169" s="41"/>
      <c r="W169" s="41"/>
      <c r="X169" s="36"/>
      <c r="Y169" s="36"/>
      <c r="Z169" s="36"/>
      <c r="AA169" s="36"/>
      <c r="AB169" s="36"/>
      <c r="AC169" s="36"/>
    </row>
    <row r="170" spans="17:29" x14ac:dyDescent="0.2">
      <c r="Q170" s="36"/>
      <c r="R170" s="40"/>
      <c r="S170" s="40"/>
      <c r="T170" s="40"/>
      <c r="U170" s="41"/>
      <c r="V170" s="41"/>
      <c r="W170" s="41"/>
      <c r="X170" s="36"/>
      <c r="Y170" s="36"/>
      <c r="Z170" s="36"/>
      <c r="AA170" s="36"/>
      <c r="AB170" s="36"/>
      <c r="AC170" s="36"/>
    </row>
    <row r="171" spans="17:29" x14ac:dyDescent="0.2">
      <c r="Q171" s="36"/>
      <c r="R171" s="40"/>
      <c r="S171" s="40"/>
      <c r="T171" s="40"/>
      <c r="U171" s="41"/>
      <c r="V171" s="41"/>
      <c r="W171" s="41"/>
      <c r="X171" s="36"/>
      <c r="Y171" s="36"/>
      <c r="Z171" s="36"/>
      <c r="AA171" s="36"/>
      <c r="AB171" s="36"/>
      <c r="AC171" s="36"/>
    </row>
    <row r="172" spans="17:29" x14ac:dyDescent="0.2">
      <c r="Q172" s="36"/>
      <c r="R172" s="40"/>
      <c r="S172" s="40"/>
      <c r="T172" s="40"/>
      <c r="U172" s="41"/>
      <c r="V172" s="41"/>
      <c r="W172" s="41"/>
      <c r="X172" s="36"/>
      <c r="Y172" s="36"/>
      <c r="Z172" s="36"/>
      <c r="AA172" s="36"/>
      <c r="AB172" s="36"/>
      <c r="AC172" s="36"/>
    </row>
    <row r="173" spans="17:29" x14ac:dyDescent="0.2">
      <c r="Q173" s="36"/>
      <c r="R173" s="40"/>
      <c r="S173" s="40"/>
      <c r="T173" s="40"/>
      <c r="U173" s="41"/>
      <c r="V173" s="41"/>
      <c r="W173" s="41"/>
      <c r="X173" s="36"/>
      <c r="Y173" s="36"/>
      <c r="Z173" s="36"/>
      <c r="AA173" s="36"/>
      <c r="AB173" s="36"/>
      <c r="AC173" s="36"/>
    </row>
    <row r="174" spans="17:29" x14ac:dyDescent="0.2">
      <c r="Q174" s="36"/>
      <c r="R174" s="40"/>
      <c r="S174" s="40"/>
      <c r="T174" s="40"/>
      <c r="U174" s="41"/>
      <c r="V174" s="41"/>
      <c r="W174" s="41"/>
      <c r="X174" s="36"/>
      <c r="Y174" s="36"/>
      <c r="Z174" s="36"/>
      <c r="AA174" s="36"/>
      <c r="AB174" s="36"/>
      <c r="AC174" s="36"/>
    </row>
    <row r="175" spans="17:29" x14ac:dyDescent="0.2">
      <c r="Q175" s="36"/>
      <c r="R175" s="40"/>
      <c r="S175" s="40"/>
      <c r="T175" s="40"/>
      <c r="U175" s="41"/>
      <c r="V175" s="41"/>
      <c r="W175" s="41"/>
      <c r="X175" s="36"/>
      <c r="Y175" s="36"/>
      <c r="Z175" s="36"/>
      <c r="AA175" s="36"/>
      <c r="AB175" s="36"/>
      <c r="AC175" s="36"/>
    </row>
    <row r="176" spans="17:29" x14ac:dyDescent="0.2">
      <c r="Q176" s="36"/>
      <c r="R176" s="40"/>
      <c r="S176" s="40"/>
      <c r="T176" s="40"/>
      <c r="U176" s="41"/>
      <c r="V176" s="41"/>
      <c r="W176" s="41"/>
      <c r="X176" s="36"/>
      <c r="Y176" s="36"/>
      <c r="Z176" s="36"/>
      <c r="AA176" s="36"/>
      <c r="AB176" s="36"/>
      <c r="AC176" s="36"/>
    </row>
    <row r="177" spans="17:29" x14ac:dyDescent="0.2">
      <c r="Q177" s="36"/>
      <c r="R177" s="40"/>
      <c r="S177" s="40"/>
      <c r="T177" s="40"/>
      <c r="U177" s="41"/>
      <c r="V177" s="41"/>
      <c r="W177" s="41"/>
      <c r="X177" s="36"/>
      <c r="Y177" s="36"/>
      <c r="Z177" s="36"/>
      <c r="AA177" s="36"/>
      <c r="AB177" s="36"/>
      <c r="AC177" s="36"/>
    </row>
    <row r="178" spans="17:29" x14ac:dyDescent="0.2">
      <c r="Q178" s="36"/>
      <c r="R178" s="40"/>
      <c r="S178" s="40"/>
      <c r="T178" s="40"/>
      <c r="U178" s="41"/>
      <c r="V178" s="41"/>
      <c r="W178" s="41"/>
      <c r="X178" s="36"/>
      <c r="Y178" s="36"/>
      <c r="Z178" s="36"/>
      <c r="AA178" s="36"/>
      <c r="AB178" s="36"/>
      <c r="AC178" s="36"/>
    </row>
    <row r="179" spans="17:29" x14ac:dyDescent="0.2">
      <c r="Q179" s="36"/>
      <c r="R179" s="40"/>
      <c r="S179" s="40"/>
      <c r="T179" s="40"/>
      <c r="U179" s="41"/>
      <c r="V179" s="41"/>
      <c r="W179" s="41"/>
      <c r="X179" s="36"/>
      <c r="Y179" s="36"/>
      <c r="Z179" s="36"/>
      <c r="AA179" s="36"/>
      <c r="AB179" s="36"/>
      <c r="AC179" s="36"/>
    </row>
    <row r="180" spans="17:29" x14ac:dyDescent="0.2">
      <c r="Q180" s="36"/>
      <c r="R180" s="40"/>
      <c r="S180" s="40"/>
      <c r="T180" s="40"/>
      <c r="U180" s="41"/>
      <c r="V180" s="41"/>
      <c r="W180" s="41"/>
      <c r="X180" s="36"/>
      <c r="Y180" s="36"/>
      <c r="Z180" s="36"/>
      <c r="AA180" s="36"/>
      <c r="AB180" s="36"/>
      <c r="AC180" s="36"/>
    </row>
    <row r="181" spans="17:29" x14ac:dyDescent="0.2">
      <c r="Q181" s="36"/>
      <c r="R181" s="40"/>
      <c r="S181" s="40"/>
      <c r="T181" s="40"/>
      <c r="U181" s="41"/>
      <c r="V181" s="41"/>
      <c r="W181" s="41"/>
      <c r="X181" s="36"/>
      <c r="Y181" s="36"/>
      <c r="Z181" s="36"/>
      <c r="AA181" s="36"/>
      <c r="AB181" s="36"/>
      <c r="AC181" s="36"/>
    </row>
    <row r="182" spans="17:29" x14ac:dyDescent="0.2">
      <c r="Q182" s="36"/>
      <c r="R182" s="40"/>
      <c r="S182" s="40"/>
      <c r="T182" s="40"/>
      <c r="U182" s="41"/>
      <c r="V182" s="41"/>
      <c r="W182" s="41"/>
      <c r="X182" s="36"/>
      <c r="Y182" s="36"/>
      <c r="Z182" s="36"/>
      <c r="AA182" s="36"/>
      <c r="AB182" s="36"/>
      <c r="AC182" s="36"/>
    </row>
    <row r="183" spans="17:29" x14ac:dyDescent="0.2">
      <c r="Q183" s="36"/>
      <c r="R183" s="40"/>
      <c r="S183" s="40"/>
      <c r="T183" s="40"/>
      <c r="U183" s="41"/>
      <c r="V183" s="41"/>
      <c r="W183" s="41"/>
      <c r="X183" s="36"/>
      <c r="Y183" s="36"/>
      <c r="Z183" s="36"/>
      <c r="AA183" s="36"/>
      <c r="AB183" s="36"/>
      <c r="AC183" s="36"/>
    </row>
    <row r="184" spans="17:29" x14ac:dyDescent="0.2">
      <c r="Q184" s="36"/>
      <c r="R184" s="40"/>
      <c r="S184" s="40"/>
      <c r="T184" s="40"/>
      <c r="U184" s="41"/>
      <c r="V184" s="41"/>
      <c r="W184" s="41"/>
      <c r="X184" s="36"/>
      <c r="Y184" s="36"/>
      <c r="Z184" s="36"/>
      <c r="AA184" s="36"/>
      <c r="AB184" s="36"/>
      <c r="AC184" s="36"/>
    </row>
    <row r="185" spans="17:29" x14ac:dyDescent="0.2">
      <c r="Q185" s="36"/>
      <c r="R185" s="40"/>
      <c r="S185" s="40"/>
      <c r="T185" s="40"/>
      <c r="U185" s="41"/>
      <c r="V185" s="41"/>
      <c r="W185" s="41"/>
      <c r="X185" s="36"/>
      <c r="Y185" s="36"/>
      <c r="Z185" s="36"/>
      <c r="AA185" s="36"/>
      <c r="AB185" s="36"/>
      <c r="AC185" s="36"/>
    </row>
    <row r="186" spans="17:29" x14ac:dyDescent="0.2">
      <c r="Q186" s="36"/>
      <c r="R186" s="40"/>
      <c r="S186" s="40"/>
      <c r="T186" s="40"/>
      <c r="U186" s="41"/>
      <c r="V186" s="41"/>
      <c r="W186" s="41"/>
      <c r="X186" s="36"/>
      <c r="Y186" s="36"/>
      <c r="Z186" s="36"/>
      <c r="AA186" s="36"/>
      <c r="AB186" s="36"/>
      <c r="AC186" s="36"/>
    </row>
    <row r="187" spans="17:29" x14ac:dyDescent="0.2">
      <c r="Q187" s="36"/>
      <c r="R187" s="40"/>
      <c r="S187" s="40"/>
      <c r="T187" s="40"/>
      <c r="U187" s="41"/>
      <c r="V187" s="41"/>
      <c r="W187" s="41"/>
      <c r="X187" s="36"/>
      <c r="Y187" s="36"/>
      <c r="Z187" s="36"/>
      <c r="AA187" s="36"/>
      <c r="AB187" s="36"/>
      <c r="AC187" s="36"/>
    </row>
    <row r="188" spans="17:29" x14ac:dyDescent="0.2">
      <c r="Q188" s="36"/>
      <c r="R188" s="40"/>
      <c r="S188" s="40"/>
      <c r="T188" s="40"/>
      <c r="U188" s="41"/>
      <c r="V188" s="41"/>
      <c r="W188" s="41"/>
      <c r="X188" s="36"/>
      <c r="Y188" s="36"/>
      <c r="Z188" s="36"/>
      <c r="AA188" s="36"/>
      <c r="AB188" s="36"/>
      <c r="AC188" s="36"/>
    </row>
    <row r="189" spans="17:29" x14ac:dyDescent="0.2">
      <c r="Q189" s="36"/>
      <c r="R189" s="40"/>
      <c r="S189" s="40"/>
      <c r="T189" s="40"/>
      <c r="U189" s="41"/>
      <c r="V189" s="41"/>
      <c r="W189" s="41"/>
      <c r="X189" s="36"/>
      <c r="Y189" s="36"/>
      <c r="Z189" s="36"/>
      <c r="AA189" s="36"/>
      <c r="AB189" s="36"/>
      <c r="AC189" s="36"/>
    </row>
    <row r="190" spans="17:29" x14ac:dyDescent="0.2">
      <c r="Q190" s="36"/>
      <c r="R190" s="40"/>
      <c r="S190" s="40"/>
      <c r="T190" s="40"/>
      <c r="U190" s="41"/>
      <c r="V190" s="41"/>
      <c r="W190" s="41"/>
      <c r="X190" s="36"/>
      <c r="Y190" s="36"/>
      <c r="Z190" s="36"/>
      <c r="AA190" s="36"/>
      <c r="AB190" s="36"/>
      <c r="AC190" s="36"/>
    </row>
    <row r="191" spans="17:29" x14ac:dyDescent="0.2">
      <c r="Q191" s="36"/>
      <c r="R191" s="40"/>
      <c r="S191" s="40"/>
      <c r="T191" s="40"/>
      <c r="U191" s="41"/>
      <c r="V191" s="41"/>
      <c r="W191" s="41"/>
      <c r="X191" s="36"/>
      <c r="Y191" s="36"/>
      <c r="Z191" s="36"/>
      <c r="AA191" s="36"/>
      <c r="AB191" s="36"/>
      <c r="AC191" s="36"/>
    </row>
    <row r="192" spans="17:29" x14ac:dyDescent="0.2">
      <c r="Q192" s="36"/>
      <c r="R192" s="40"/>
      <c r="S192" s="40"/>
      <c r="T192" s="40"/>
      <c r="U192" s="41"/>
      <c r="V192" s="41"/>
      <c r="W192" s="41"/>
      <c r="X192" s="36"/>
      <c r="Y192" s="36"/>
      <c r="Z192" s="36"/>
      <c r="AA192" s="36"/>
      <c r="AB192" s="36"/>
      <c r="AC192" s="36"/>
    </row>
    <row r="193" spans="17:29" x14ac:dyDescent="0.2">
      <c r="Q193" s="36"/>
      <c r="R193" s="40"/>
      <c r="S193" s="40"/>
      <c r="T193" s="40"/>
      <c r="U193" s="41"/>
      <c r="V193" s="41"/>
      <c r="W193" s="41"/>
      <c r="X193" s="36"/>
      <c r="Y193" s="36"/>
      <c r="Z193" s="36"/>
      <c r="AA193" s="36"/>
      <c r="AB193" s="36"/>
      <c r="AC193" s="36"/>
    </row>
    <row r="194" spans="17:29" x14ac:dyDescent="0.2">
      <c r="Q194" s="36"/>
      <c r="R194" s="40"/>
      <c r="S194" s="40"/>
      <c r="T194" s="40"/>
      <c r="U194" s="41"/>
      <c r="V194" s="41"/>
      <c r="W194" s="41"/>
      <c r="X194" s="36"/>
      <c r="Y194" s="36"/>
      <c r="Z194" s="36"/>
      <c r="AA194" s="36"/>
      <c r="AB194" s="36"/>
      <c r="AC194" s="36"/>
    </row>
    <row r="195" spans="17:29" x14ac:dyDescent="0.2">
      <c r="Q195" s="36"/>
      <c r="R195" s="40"/>
      <c r="S195" s="40"/>
      <c r="T195" s="40"/>
      <c r="U195" s="41"/>
      <c r="V195" s="41"/>
      <c r="W195" s="41"/>
      <c r="X195" s="36"/>
      <c r="Y195" s="36"/>
      <c r="Z195" s="36"/>
      <c r="AA195" s="36"/>
      <c r="AB195" s="36"/>
      <c r="AC195" s="36"/>
    </row>
    <row r="196" spans="17:29" x14ac:dyDescent="0.2">
      <c r="Q196" s="36"/>
      <c r="R196" s="40"/>
      <c r="S196" s="40"/>
      <c r="T196" s="40"/>
      <c r="U196" s="41"/>
      <c r="V196" s="41"/>
      <c r="W196" s="41"/>
      <c r="X196" s="36"/>
      <c r="Y196" s="36"/>
      <c r="Z196" s="36"/>
      <c r="AA196" s="36"/>
      <c r="AB196" s="36"/>
      <c r="AC196" s="36"/>
    </row>
    <row r="197" spans="17:29" x14ac:dyDescent="0.2">
      <c r="Q197" s="36"/>
      <c r="R197" s="40"/>
      <c r="S197" s="40"/>
      <c r="T197" s="40"/>
      <c r="U197" s="41"/>
      <c r="V197" s="41"/>
      <c r="W197" s="41"/>
      <c r="X197" s="36"/>
      <c r="Y197" s="36"/>
      <c r="Z197" s="36"/>
      <c r="AA197" s="36"/>
      <c r="AB197" s="36"/>
      <c r="AC197" s="36"/>
    </row>
    <row r="198" spans="17:29" x14ac:dyDescent="0.2">
      <c r="Q198" s="36"/>
      <c r="R198" s="40"/>
      <c r="S198" s="40"/>
      <c r="T198" s="40"/>
      <c r="U198" s="41"/>
      <c r="V198" s="41"/>
      <c r="W198" s="41"/>
      <c r="X198" s="36"/>
      <c r="Y198" s="36"/>
      <c r="Z198" s="36"/>
      <c r="AA198" s="36"/>
      <c r="AB198" s="36"/>
      <c r="AC198" s="36"/>
    </row>
    <row r="199" spans="17:29" x14ac:dyDescent="0.2">
      <c r="Q199" s="36"/>
      <c r="R199" s="40"/>
      <c r="S199" s="40"/>
      <c r="T199" s="40"/>
      <c r="U199" s="41"/>
      <c r="V199" s="41"/>
      <c r="W199" s="41"/>
      <c r="X199" s="36"/>
      <c r="Y199" s="36"/>
      <c r="Z199" s="36"/>
      <c r="AA199" s="36"/>
      <c r="AB199" s="36"/>
      <c r="AC199" s="36"/>
    </row>
    <row r="200" spans="17:29" x14ac:dyDescent="0.2">
      <c r="Q200" s="36"/>
      <c r="R200" s="40"/>
      <c r="S200" s="40"/>
      <c r="T200" s="40"/>
      <c r="U200" s="41"/>
      <c r="V200" s="41"/>
      <c r="W200" s="41"/>
      <c r="X200" s="36"/>
      <c r="Y200" s="36"/>
      <c r="Z200" s="36"/>
      <c r="AA200" s="36"/>
      <c r="AB200" s="36"/>
      <c r="AC200" s="36"/>
    </row>
    <row r="201" spans="17:29" x14ac:dyDescent="0.2">
      <c r="Q201" s="36"/>
      <c r="R201" s="40"/>
      <c r="S201" s="40"/>
      <c r="T201" s="40"/>
      <c r="U201" s="41"/>
      <c r="V201" s="41"/>
      <c r="W201" s="41"/>
      <c r="X201" s="36"/>
      <c r="Y201" s="36"/>
      <c r="Z201" s="36"/>
      <c r="AA201" s="36"/>
      <c r="AB201" s="36"/>
      <c r="AC201" s="36"/>
    </row>
    <row r="202" spans="17:29" x14ac:dyDescent="0.2">
      <c r="Q202" s="36"/>
      <c r="R202" s="40"/>
      <c r="S202" s="40"/>
      <c r="T202" s="40"/>
      <c r="U202" s="41"/>
      <c r="V202" s="41"/>
      <c r="W202" s="41"/>
      <c r="X202" s="36"/>
      <c r="Y202" s="36"/>
      <c r="Z202" s="36"/>
      <c r="AA202" s="36"/>
      <c r="AB202" s="36"/>
      <c r="AC202" s="36"/>
    </row>
    <row r="203" spans="17:29" x14ac:dyDescent="0.2">
      <c r="Q203" s="36"/>
      <c r="R203" s="40"/>
      <c r="S203" s="40"/>
      <c r="T203" s="40"/>
      <c r="U203" s="41"/>
      <c r="V203" s="41"/>
      <c r="W203" s="41"/>
      <c r="X203" s="36"/>
      <c r="Y203" s="36"/>
      <c r="Z203" s="36"/>
      <c r="AA203" s="36"/>
      <c r="AB203" s="36"/>
      <c r="AC203" s="36"/>
    </row>
    <row r="204" spans="17:29" x14ac:dyDescent="0.2">
      <c r="Q204" s="36"/>
      <c r="R204" s="40"/>
      <c r="S204" s="40"/>
      <c r="T204" s="40"/>
      <c r="U204" s="41"/>
      <c r="V204" s="41"/>
      <c r="W204" s="41"/>
      <c r="X204" s="36"/>
      <c r="Y204" s="36"/>
      <c r="Z204" s="36"/>
      <c r="AA204" s="36"/>
      <c r="AB204" s="36"/>
      <c r="AC204" s="36"/>
    </row>
    <row r="205" spans="17:29" x14ac:dyDescent="0.2">
      <c r="Q205" s="36"/>
      <c r="R205" s="40"/>
      <c r="S205" s="40"/>
      <c r="T205" s="40"/>
      <c r="U205" s="41"/>
      <c r="V205" s="41"/>
      <c r="W205" s="41"/>
      <c r="X205" s="36"/>
      <c r="Y205" s="36"/>
      <c r="Z205" s="36"/>
      <c r="AA205" s="36"/>
      <c r="AB205" s="36"/>
      <c r="AC205" s="36"/>
    </row>
    <row r="206" spans="17:29" x14ac:dyDescent="0.2">
      <c r="Q206" s="36"/>
      <c r="R206" s="40"/>
      <c r="S206" s="40"/>
      <c r="T206" s="40"/>
      <c r="U206" s="41"/>
      <c r="V206" s="41"/>
      <c r="W206" s="41"/>
      <c r="X206" s="36"/>
      <c r="Y206" s="36"/>
      <c r="Z206" s="36"/>
      <c r="AA206" s="36"/>
      <c r="AB206" s="36"/>
      <c r="AC206" s="36"/>
    </row>
    <row r="207" spans="17:29" x14ac:dyDescent="0.2">
      <c r="Q207" s="36"/>
      <c r="R207" s="40"/>
      <c r="S207" s="40"/>
      <c r="T207" s="40"/>
      <c r="U207" s="41"/>
      <c r="V207" s="41"/>
      <c r="W207" s="41"/>
      <c r="X207" s="36"/>
      <c r="Y207" s="36"/>
      <c r="Z207" s="36"/>
      <c r="AA207" s="36"/>
      <c r="AB207" s="36"/>
      <c r="AC207" s="36"/>
    </row>
    <row r="208" spans="17:29" x14ac:dyDescent="0.2">
      <c r="Q208" s="36"/>
      <c r="R208" s="40"/>
      <c r="S208" s="40"/>
      <c r="T208" s="40"/>
      <c r="U208" s="41"/>
      <c r="V208" s="41"/>
      <c r="W208" s="41"/>
      <c r="X208" s="36"/>
      <c r="Y208" s="36"/>
      <c r="Z208" s="36"/>
      <c r="AA208" s="36"/>
      <c r="AB208" s="36"/>
      <c r="AC208" s="36"/>
    </row>
    <row r="209" spans="17:29" x14ac:dyDescent="0.2">
      <c r="Q209" s="36"/>
      <c r="R209" s="40"/>
      <c r="S209" s="40"/>
      <c r="T209" s="40"/>
      <c r="U209" s="41"/>
      <c r="V209" s="41"/>
      <c r="W209" s="41"/>
      <c r="X209" s="36"/>
      <c r="Y209" s="36"/>
      <c r="Z209" s="36"/>
      <c r="AA209" s="36"/>
      <c r="AB209" s="36"/>
      <c r="AC209" s="36"/>
    </row>
    <row r="210" spans="17:29" x14ac:dyDescent="0.2">
      <c r="Q210" s="36"/>
      <c r="R210" s="40"/>
      <c r="S210" s="40"/>
      <c r="T210" s="40"/>
      <c r="U210" s="41"/>
      <c r="V210" s="41"/>
      <c r="W210" s="41"/>
      <c r="X210" s="36"/>
      <c r="Y210" s="36"/>
      <c r="Z210" s="36"/>
      <c r="AA210" s="36"/>
      <c r="AB210" s="36"/>
      <c r="AC210" s="36"/>
    </row>
    <row r="211" spans="17:29" x14ac:dyDescent="0.2">
      <c r="Q211" s="36"/>
      <c r="R211" s="40"/>
      <c r="S211" s="40"/>
      <c r="T211" s="40"/>
      <c r="U211" s="41"/>
      <c r="V211" s="41"/>
      <c r="W211" s="41"/>
      <c r="X211" s="36"/>
      <c r="Y211" s="36"/>
      <c r="Z211" s="36"/>
      <c r="AA211" s="36"/>
      <c r="AB211" s="36"/>
      <c r="AC211" s="36"/>
    </row>
    <row r="212" spans="17:29" x14ac:dyDescent="0.2">
      <c r="Q212" s="36"/>
      <c r="R212" s="40"/>
      <c r="S212" s="40"/>
      <c r="T212" s="40"/>
      <c r="U212" s="41"/>
      <c r="V212" s="41"/>
      <c r="W212" s="41"/>
      <c r="X212" s="36"/>
      <c r="Y212" s="36"/>
      <c r="Z212" s="36"/>
      <c r="AA212" s="36"/>
      <c r="AB212" s="36"/>
      <c r="AC212" s="36"/>
    </row>
    <row r="213" spans="17:29" x14ac:dyDescent="0.2">
      <c r="Q213" s="36"/>
      <c r="R213" s="40"/>
      <c r="S213" s="40"/>
      <c r="T213" s="40"/>
      <c r="U213" s="41"/>
      <c r="V213" s="41"/>
      <c r="W213" s="41"/>
      <c r="X213" s="36"/>
      <c r="Y213" s="36"/>
      <c r="Z213" s="36"/>
      <c r="AA213" s="36"/>
      <c r="AB213" s="36"/>
      <c r="AC213" s="36"/>
    </row>
    <row r="214" spans="17:29" x14ac:dyDescent="0.2">
      <c r="Q214" s="36"/>
      <c r="R214" s="40"/>
      <c r="S214" s="40"/>
      <c r="T214" s="40"/>
      <c r="U214" s="41"/>
      <c r="V214" s="41"/>
      <c r="W214" s="41"/>
      <c r="X214" s="36"/>
      <c r="Y214" s="36"/>
      <c r="Z214" s="36"/>
      <c r="AA214" s="36"/>
      <c r="AB214" s="36"/>
      <c r="AC214" s="36"/>
    </row>
    <row r="215" spans="17:29" x14ac:dyDescent="0.2">
      <c r="Q215" s="36"/>
      <c r="R215" s="40"/>
      <c r="S215" s="40"/>
      <c r="T215" s="40"/>
      <c r="U215" s="41"/>
      <c r="V215" s="41"/>
      <c r="W215" s="41"/>
      <c r="X215" s="36"/>
      <c r="Y215" s="36"/>
      <c r="Z215" s="36"/>
      <c r="AA215" s="36"/>
      <c r="AB215" s="36"/>
      <c r="AC215" s="36"/>
    </row>
    <row r="216" spans="17:29" x14ac:dyDescent="0.2">
      <c r="Q216" s="36"/>
      <c r="R216" s="40"/>
      <c r="S216" s="40"/>
      <c r="T216" s="40"/>
      <c r="U216" s="41"/>
      <c r="V216" s="41"/>
      <c r="W216" s="41"/>
      <c r="X216" s="36"/>
      <c r="Y216" s="36"/>
      <c r="Z216" s="36"/>
      <c r="AA216" s="36"/>
      <c r="AB216" s="36"/>
      <c r="AC216" s="36"/>
    </row>
    <row r="217" spans="17:29" x14ac:dyDescent="0.2">
      <c r="Q217" s="36"/>
      <c r="R217" s="40"/>
      <c r="S217" s="40"/>
      <c r="T217" s="40"/>
      <c r="U217" s="41"/>
      <c r="V217" s="41"/>
      <c r="W217" s="41"/>
      <c r="X217" s="36"/>
      <c r="Y217" s="36"/>
      <c r="Z217" s="36"/>
      <c r="AA217" s="36"/>
      <c r="AB217" s="36"/>
      <c r="AC217" s="36"/>
    </row>
    <row r="218" spans="17:29" x14ac:dyDescent="0.2">
      <c r="Q218" s="36"/>
      <c r="R218" s="40"/>
      <c r="S218" s="40"/>
      <c r="T218" s="40"/>
      <c r="U218" s="41"/>
      <c r="V218" s="41"/>
      <c r="W218" s="41"/>
      <c r="X218" s="36"/>
      <c r="Y218" s="36"/>
      <c r="Z218" s="36"/>
      <c r="AA218" s="36"/>
      <c r="AB218" s="36"/>
      <c r="AC218" s="36"/>
    </row>
    <row r="219" spans="17:29" x14ac:dyDescent="0.2">
      <c r="Q219" s="36"/>
      <c r="R219" s="40"/>
      <c r="S219" s="40"/>
      <c r="T219" s="40"/>
      <c r="U219" s="41"/>
      <c r="V219" s="41"/>
      <c r="W219" s="41"/>
      <c r="X219" s="36"/>
      <c r="Y219" s="36"/>
      <c r="Z219" s="36"/>
      <c r="AA219" s="36"/>
      <c r="AB219" s="36"/>
      <c r="AC219" s="36"/>
    </row>
    <row r="220" spans="17:29" x14ac:dyDescent="0.2">
      <c r="Q220" s="36"/>
      <c r="R220" s="40"/>
      <c r="S220" s="40"/>
      <c r="T220" s="40"/>
      <c r="U220" s="41"/>
      <c r="V220" s="41"/>
      <c r="W220" s="41"/>
      <c r="X220" s="36"/>
      <c r="Y220" s="36"/>
      <c r="Z220" s="36"/>
      <c r="AA220" s="36"/>
      <c r="AB220" s="36"/>
      <c r="AC220" s="36"/>
    </row>
    <row r="221" spans="17:29" x14ac:dyDescent="0.2">
      <c r="Q221" s="36"/>
      <c r="R221" s="40"/>
      <c r="S221" s="40"/>
      <c r="T221" s="40"/>
      <c r="U221" s="41"/>
      <c r="V221" s="41"/>
      <c r="W221" s="41"/>
      <c r="X221" s="36"/>
      <c r="Y221" s="36"/>
      <c r="Z221" s="36"/>
      <c r="AA221" s="36"/>
      <c r="AB221" s="36"/>
      <c r="AC221" s="36"/>
    </row>
    <row r="222" spans="17:29" x14ac:dyDescent="0.2">
      <c r="Q222" s="36"/>
      <c r="R222" s="40"/>
      <c r="S222" s="40"/>
      <c r="T222" s="40"/>
      <c r="U222" s="41"/>
      <c r="V222" s="41"/>
      <c r="W222" s="41"/>
      <c r="X222" s="36"/>
      <c r="Y222" s="36"/>
      <c r="Z222" s="36"/>
      <c r="AA222" s="36"/>
      <c r="AB222" s="36"/>
      <c r="AC222" s="36"/>
    </row>
    <row r="223" spans="17:29" x14ac:dyDescent="0.2">
      <c r="Q223" s="36"/>
      <c r="R223" s="40"/>
      <c r="S223" s="40"/>
      <c r="T223" s="40"/>
      <c r="U223" s="41"/>
      <c r="V223" s="41"/>
      <c r="W223" s="41"/>
      <c r="X223" s="36"/>
      <c r="Y223" s="36"/>
      <c r="Z223" s="36"/>
      <c r="AA223" s="36"/>
      <c r="AB223" s="36"/>
      <c r="AC223" s="36"/>
    </row>
    <row r="224" spans="17:29" x14ac:dyDescent="0.2">
      <c r="Q224" s="36"/>
      <c r="R224" s="40"/>
      <c r="S224" s="40"/>
      <c r="T224" s="40"/>
      <c r="U224" s="41"/>
      <c r="V224" s="41"/>
      <c r="W224" s="41"/>
      <c r="X224" s="36"/>
      <c r="Y224" s="36"/>
      <c r="Z224" s="36"/>
      <c r="AA224" s="36"/>
      <c r="AB224" s="36"/>
      <c r="AC224" s="36"/>
    </row>
    <row r="225" spans="17:29" x14ac:dyDescent="0.2">
      <c r="Q225" s="36"/>
      <c r="R225" s="40"/>
      <c r="S225" s="40"/>
      <c r="T225" s="40"/>
      <c r="U225" s="41"/>
      <c r="V225" s="41"/>
      <c r="W225" s="41"/>
      <c r="X225" s="36"/>
      <c r="Y225" s="36"/>
      <c r="Z225" s="36"/>
      <c r="AA225" s="36"/>
      <c r="AB225" s="36"/>
      <c r="AC225" s="36"/>
    </row>
    <row r="226" spans="17:29" x14ac:dyDescent="0.2">
      <c r="Q226" s="36"/>
      <c r="R226" s="40"/>
      <c r="S226" s="40"/>
      <c r="T226" s="40"/>
      <c r="U226" s="41"/>
      <c r="V226" s="41"/>
      <c r="W226" s="41"/>
      <c r="X226" s="36"/>
      <c r="Y226" s="36"/>
      <c r="Z226" s="36"/>
      <c r="AA226" s="36"/>
      <c r="AB226" s="36"/>
      <c r="AC226" s="36"/>
    </row>
    <row r="227" spans="17:29" x14ac:dyDescent="0.2">
      <c r="Q227" s="36"/>
      <c r="R227" s="40"/>
      <c r="S227" s="40"/>
      <c r="T227" s="40"/>
      <c r="U227" s="41"/>
      <c r="V227" s="41"/>
      <c r="W227" s="41"/>
      <c r="X227" s="36"/>
      <c r="Y227" s="36"/>
      <c r="Z227" s="36"/>
      <c r="AA227" s="36"/>
      <c r="AB227" s="36"/>
      <c r="AC227" s="36"/>
    </row>
    <row r="228" spans="17:29" x14ac:dyDescent="0.2">
      <c r="Q228" s="36"/>
      <c r="R228" s="40"/>
      <c r="S228" s="40"/>
      <c r="T228" s="40"/>
      <c r="U228" s="41"/>
      <c r="V228" s="41"/>
      <c r="W228" s="41"/>
      <c r="X228" s="36"/>
      <c r="Y228" s="36"/>
      <c r="Z228" s="36"/>
      <c r="AA228" s="36"/>
      <c r="AB228" s="36"/>
      <c r="AC228" s="36"/>
    </row>
    <row r="229" spans="17:29" x14ac:dyDescent="0.2">
      <c r="Q229" s="36"/>
      <c r="R229" s="40"/>
      <c r="S229" s="40"/>
      <c r="T229" s="40"/>
      <c r="U229" s="41"/>
      <c r="V229" s="41"/>
      <c r="W229" s="41"/>
      <c r="X229" s="36"/>
      <c r="Y229" s="36"/>
      <c r="Z229" s="36"/>
      <c r="AA229" s="36"/>
      <c r="AB229" s="36"/>
      <c r="AC229" s="36"/>
    </row>
    <row r="230" spans="17:29" x14ac:dyDescent="0.2">
      <c r="Q230" s="36"/>
      <c r="R230" s="40"/>
      <c r="S230" s="40"/>
      <c r="T230" s="40"/>
      <c r="U230" s="41"/>
      <c r="V230" s="41"/>
      <c r="W230" s="41"/>
      <c r="X230" s="36"/>
      <c r="Y230" s="36"/>
      <c r="Z230" s="36"/>
      <c r="AA230" s="36"/>
      <c r="AB230" s="36"/>
      <c r="AC230" s="36"/>
    </row>
    <row r="231" spans="17:29" x14ac:dyDescent="0.2">
      <c r="Q231" s="36"/>
      <c r="R231" s="40"/>
      <c r="S231" s="40"/>
      <c r="T231" s="40"/>
      <c r="U231" s="41"/>
      <c r="V231" s="41"/>
      <c r="W231" s="41"/>
      <c r="X231" s="36"/>
      <c r="Y231" s="36"/>
      <c r="Z231" s="36"/>
      <c r="AA231" s="36"/>
      <c r="AB231" s="36"/>
      <c r="AC231" s="36"/>
    </row>
    <row r="232" spans="17:29" x14ac:dyDescent="0.2">
      <c r="Q232" s="36"/>
      <c r="R232" s="40"/>
      <c r="S232" s="40"/>
      <c r="T232" s="40"/>
      <c r="U232" s="41"/>
      <c r="V232" s="41"/>
      <c r="W232" s="41"/>
      <c r="X232" s="36"/>
      <c r="Y232" s="36"/>
      <c r="Z232" s="36"/>
      <c r="AA232" s="36"/>
      <c r="AB232" s="36"/>
      <c r="AC232" s="36"/>
    </row>
    <row r="233" spans="17:29" x14ac:dyDescent="0.2">
      <c r="Q233" s="36"/>
      <c r="R233" s="40"/>
      <c r="S233" s="40"/>
      <c r="T233" s="40"/>
      <c r="U233" s="41"/>
      <c r="V233" s="41"/>
      <c r="W233" s="41"/>
      <c r="X233" s="36"/>
      <c r="Y233" s="36"/>
      <c r="Z233" s="36"/>
      <c r="AA233" s="36"/>
      <c r="AB233" s="36"/>
      <c r="AC233" s="36"/>
    </row>
    <row r="234" spans="17:29" x14ac:dyDescent="0.2">
      <c r="Q234" s="36"/>
      <c r="R234" s="40"/>
      <c r="S234" s="40"/>
      <c r="T234" s="40"/>
      <c r="U234" s="41"/>
      <c r="V234" s="41"/>
      <c r="W234" s="41"/>
      <c r="X234" s="36"/>
      <c r="Y234" s="36"/>
      <c r="Z234" s="36"/>
      <c r="AA234" s="36"/>
      <c r="AB234" s="36"/>
      <c r="AC234" s="36"/>
    </row>
    <row r="235" spans="17:29" x14ac:dyDescent="0.2">
      <c r="Q235" s="36"/>
      <c r="R235" s="40"/>
      <c r="S235" s="40"/>
      <c r="T235" s="40"/>
      <c r="U235" s="41"/>
      <c r="V235" s="41"/>
      <c r="W235" s="41"/>
      <c r="X235" s="36"/>
      <c r="Y235" s="36"/>
      <c r="Z235" s="36"/>
      <c r="AA235" s="36"/>
      <c r="AB235" s="36"/>
      <c r="AC235" s="36"/>
    </row>
    <row r="236" spans="17:29" x14ac:dyDescent="0.2">
      <c r="Q236" s="36"/>
      <c r="R236" s="40"/>
      <c r="S236" s="40"/>
      <c r="T236" s="40"/>
      <c r="U236" s="41"/>
      <c r="V236" s="41"/>
      <c r="W236" s="41"/>
      <c r="X236" s="36"/>
      <c r="Y236" s="36"/>
      <c r="Z236" s="36"/>
      <c r="AA236" s="36"/>
      <c r="AB236" s="36"/>
      <c r="AC236" s="36"/>
    </row>
    <row r="237" spans="17:29" x14ac:dyDescent="0.2">
      <c r="Q237" s="36"/>
      <c r="R237" s="40"/>
      <c r="S237" s="40"/>
      <c r="T237" s="40"/>
      <c r="U237" s="41"/>
      <c r="V237" s="41"/>
      <c r="W237" s="41"/>
      <c r="X237" s="36"/>
      <c r="Y237" s="36"/>
      <c r="Z237" s="36"/>
      <c r="AA237" s="36"/>
      <c r="AB237" s="36"/>
      <c r="AC237" s="36"/>
    </row>
    <row r="238" spans="17:29" x14ac:dyDescent="0.2">
      <c r="Q238" s="36"/>
      <c r="R238" s="40"/>
      <c r="S238" s="40"/>
      <c r="T238" s="40"/>
      <c r="U238" s="41"/>
      <c r="V238" s="41"/>
      <c r="W238" s="41"/>
      <c r="X238" s="36"/>
      <c r="Y238" s="36"/>
      <c r="Z238" s="36"/>
      <c r="AA238" s="36"/>
      <c r="AB238" s="36"/>
      <c r="AC238" s="36"/>
    </row>
    <row r="239" spans="17:29" x14ac:dyDescent="0.2">
      <c r="Q239" s="36"/>
      <c r="R239" s="40"/>
      <c r="S239" s="40"/>
      <c r="T239" s="40"/>
      <c r="U239" s="41"/>
      <c r="V239" s="41"/>
      <c r="W239" s="41"/>
      <c r="X239" s="36"/>
      <c r="Y239" s="36"/>
      <c r="Z239" s="36"/>
      <c r="AA239" s="36"/>
      <c r="AB239" s="36"/>
      <c r="AC239" s="36"/>
    </row>
    <row r="240" spans="17:29" x14ac:dyDescent="0.2">
      <c r="Q240" s="36"/>
      <c r="R240" s="40"/>
      <c r="S240" s="40"/>
      <c r="T240" s="40"/>
      <c r="U240" s="41"/>
      <c r="V240" s="41"/>
      <c r="W240" s="41"/>
      <c r="X240" s="36"/>
      <c r="Y240" s="36"/>
      <c r="Z240" s="36"/>
      <c r="AA240" s="36"/>
      <c r="AB240" s="36"/>
      <c r="AC240" s="36"/>
    </row>
    <row r="241" spans="17:29" x14ac:dyDescent="0.2">
      <c r="Q241" s="36"/>
      <c r="R241" s="40"/>
      <c r="S241" s="40"/>
      <c r="T241" s="40"/>
      <c r="U241" s="41"/>
      <c r="V241" s="41"/>
      <c r="W241" s="41"/>
      <c r="X241" s="36"/>
      <c r="Y241" s="36"/>
      <c r="Z241" s="36"/>
      <c r="AA241" s="36"/>
      <c r="AB241" s="36"/>
      <c r="AC241" s="36"/>
    </row>
    <row r="242" spans="17:29" x14ac:dyDescent="0.2">
      <c r="Q242" s="36"/>
      <c r="R242" s="40"/>
      <c r="S242" s="40"/>
      <c r="T242" s="40"/>
      <c r="U242" s="41"/>
      <c r="V242" s="41"/>
      <c r="W242" s="41"/>
      <c r="X242" s="36"/>
      <c r="Y242" s="36"/>
      <c r="Z242" s="36"/>
      <c r="AA242" s="36"/>
      <c r="AB242" s="36"/>
      <c r="AC242" s="36"/>
    </row>
    <row r="243" spans="17:29" x14ac:dyDescent="0.2">
      <c r="Q243" s="36"/>
      <c r="R243" s="40"/>
      <c r="S243" s="40"/>
      <c r="T243" s="40"/>
      <c r="U243" s="41"/>
      <c r="V243" s="41"/>
      <c r="W243" s="41"/>
      <c r="X243" s="36"/>
      <c r="Y243" s="36"/>
      <c r="Z243" s="36"/>
      <c r="AA243" s="36"/>
      <c r="AB243" s="36"/>
      <c r="AC243" s="36"/>
    </row>
    <row r="244" spans="17:29" x14ac:dyDescent="0.2">
      <c r="Q244" s="36"/>
      <c r="R244" s="40"/>
      <c r="S244" s="40"/>
      <c r="T244" s="40"/>
      <c r="U244" s="41"/>
      <c r="V244" s="41"/>
      <c r="W244" s="41"/>
      <c r="X244" s="36"/>
      <c r="Y244" s="36"/>
      <c r="Z244" s="36"/>
      <c r="AA244" s="36"/>
      <c r="AB244" s="36"/>
      <c r="AC244" s="36"/>
    </row>
    <row r="245" spans="17:29" x14ac:dyDescent="0.2">
      <c r="Q245" s="36"/>
      <c r="R245" s="40"/>
      <c r="S245" s="40"/>
      <c r="T245" s="40"/>
      <c r="U245" s="41"/>
      <c r="V245" s="41"/>
      <c r="W245" s="41"/>
      <c r="X245" s="36"/>
      <c r="Y245" s="36"/>
      <c r="Z245" s="36"/>
      <c r="AA245" s="36"/>
      <c r="AB245" s="36"/>
      <c r="AC245" s="36"/>
    </row>
    <row r="246" spans="17:29" x14ac:dyDescent="0.2">
      <c r="Q246" s="36"/>
      <c r="R246" s="40"/>
      <c r="S246" s="40"/>
      <c r="T246" s="40"/>
      <c r="U246" s="41"/>
      <c r="V246" s="41"/>
      <c r="W246" s="41"/>
      <c r="X246" s="36"/>
      <c r="Y246" s="36"/>
      <c r="Z246" s="36"/>
      <c r="AA246" s="36"/>
      <c r="AB246" s="36"/>
      <c r="AC246" s="36"/>
    </row>
    <row r="247" spans="17:29" x14ac:dyDescent="0.2">
      <c r="Q247" s="36"/>
      <c r="R247" s="40"/>
      <c r="S247" s="40"/>
      <c r="T247" s="40"/>
      <c r="U247" s="41"/>
      <c r="V247" s="41"/>
      <c r="W247" s="41"/>
      <c r="X247" s="36"/>
      <c r="Y247" s="36"/>
      <c r="Z247" s="36"/>
      <c r="AA247" s="36"/>
      <c r="AB247" s="36"/>
      <c r="AC247" s="36"/>
    </row>
    <row r="248" spans="17:29" x14ac:dyDescent="0.2">
      <c r="Q248" s="36"/>
      <c r="R248" s="40"/>
      <c r="S248" s="40"/>
      <c r="T248" s="40"/>
      <c r="U248" s="41"/>
      <c r="V248" s="41"/>
      <c r="W248" s="41"/>
      <c r="X248" s="36"/>
      <c r="Y248" s="36"/>
      <c r="Z248" s="36"/>
      <c r="AA248" s="36"/>
      <c r="AB248" s="36"/>
      <c r="AC248" s="36"/>
    </row>
    <row r="249" spans="17:29" x14ac:dyDescent="0.2">
      <c r="Q249" s="36"/>
      <c r="R249" s="40"/>
      <c r="S249" s="40"/>
      <c r="T249" s="40"/>
      <c r="U249" s="41"/>
      <c r="V249" s="41"/>
      <c r="W249" s="41"/>
      <c r="X249" s="36"/>
      <c r="Y249" s="36"/>
      <c r="Z249" s="36"/>
      <c r="AA249" s="36"/>
      <c r="AB249" s="36"/>
      <c r="AC249" s="36"/>
    </row>
    <row r="250" spans="17:29" x14ac:dyDescent="0.2">
      <c r="Q250" s="36"/>
      <c r="R250" s="40"/>
      <c r="S250" s="40"/>
      <c r="T250" s="40"/>
      <c r="U250" s="41"/>
      <c r="V250" s="41"/>
      <c r="W250" s="41"/>
      <c r="X250" s="36"/>
      <c r="Y250" s="36"/>
      <c r="Z250" s="36"/>
      <c r="AA250" s="36"/>
      <c r="AB250" s="36"/>
      <c r="AC250" s="36"/>
    </row>
    <row r="251" spans="17:29" x14ac:dyDescent="0.2">
      <c r="Q251" s="36"/>
      <c r="R251" s="40"/>
      <c r="S251" s="40"/>
      <c r="T251" s="40"/>
      <c r="U251" s="41"/>
      <c r="V251" s="41"/>
      <c r="W251" s="41"/>
      <c r="X251" s="36"/>
      <c r="Y251" s="36"/>
      <c r="Z251" s="36"/>
      <c r="AA251" s="36"/>
      <c r="AB251" s="36"/>
      <c r="AC251" s="36"/>
    </row>
    <row r="252" spans="17:29" x14ac:dyDescent="0.2">
      <c r="Q252" s="36"/>
      <c r="R252" s="40"/>
      <c r="S252" s="40"/>
      <c r="T252" s="40"/>
      <c r="U252" s="41"/>
      <c r="V252" s="41"/>
      <c r="W252" s="41"/>
      <c r="X252" s="36"/>
      <c r="Y252" s="36"/>
      <c r="Z252" s="36"/>
      <c r="AA252" s="36"/>
      <c r="AB252" s="36"/>
      <c r="AC252" s="36"/>
    </row>
    <row r="253" spans="17:29" x14ac:dyDescent="0.2">
      <c r="Q253" s="36"/>
      <c r="R253" s="40"/>
      <c r="S253" s="40"/>
      <c r="T253" s="40"/>
      <c r="U253" s="41"/>
      <c r="V253" s="41"/>
      <c r="W253" s="41"/>
      <c r="X253" s="36"/>
      <c r="Y253" s="36"/>
      <c r="Z253" s="36"/>
      <c r="AA253" s="36"/>
      <c r="AB253" s="36"/>
      <c r="AC253" s="36"/>
    </row>
    <row r="254" spans="17:29" x14ac:dyDescent="0.2">
      <c r="Q254" s="36"/>
      <c r="R254" s="40"/>
      <c r="S254" s="40"/>
      <c r="T254" s="40"/>
      <c r="U254" s="41"/>
      <c r="V254" s="41"/>
      <c r="W254" s="41"/>
      <c r="X254" s="36"/>
      <c r="Y254" s="36"/>
      <c r="Z254" s="36"/>
      <c r="AA254" s="36"/>
      <c r="AB254" s="36"/>
      <c r="AC254" s="36"/>
    </row>
    <row r="255" spans="17:29" x14ac:dyDescent="0.2">
      <c r="Q255" s="36"/>
      <c r="R255" s="40"/>
      <c r="S255" s="40"/>
      <c r="T255" s="40"/>
      <c r="U255" s="41"/>
      <c r="V255" s="41"/>
      <c r="W255" s="41"/>
      <c r="X255" s="36"/>
      <c r="Y255" s="36"/>
      <c r="Z255" s="36"/>
      <c r="AA255" s="36"/>
      <c r="AB255" s="36"/>
      <c r="AC255" s="36"/>
    </row>
    <row r="256" spans="17:29" x14ac:dyDescent="0.2">
      <c r="Q256" s="36"/>
      <c r="R256" s="40"/>
      <c r="S256" s="40"/>
      <c r="T256" s="40"/>
      <c r="U256" s="41"/>
      <c r="V256" s="41"/>
      <c r="W256" s="41"/>
      <c r="X256" s="36"/>
      <c r="Y256" s="36"/>
      <c r="Z256" s="36"/>
      <c r="AA256" s="36"/>
      <c r="AB256" s="36"/>
      <c r="AC256" s="36"/>
    </row>
    <row r="257" spans="17:29" x14ac:dyDescent="0.2">
      <c r="Q257" s="36"/>
      <c r="R257" s="40"/>
      <c r="S257" s="40"/>
      <c r="T257" s="40"/>
      <c r="U257" s="41"/>
      <c r="V257" s="41"/>
      <c r="W257" s="41"/>
      <c r="X257" s="36"/>
      <c r="Y257" s="36"/>
      <c r="Z257" s="36"/>
      <c r="AA257" s="36"/>
      <c r="AB257" s="36"/>
      <c r="AC257" s="36"/>
    </row>
    <row r="258" spans="17:29" x14ac:dyDescent="0.2">
      <c r="Q258" s="36"/>
      <c r="R258" s="40"/>
      <c r="S258" s="40"/>
      <c r="T258" s="40"/>
      <c r="U258" s="41"/>
      <c r="V258" s="41"/>
      <c r="W258" s="41"/>
      <c r="X258" s="36"/>
      <c r="Y258" s="36"/>
      <c r="Z258" s="36"/>
      <c r="AA258" s="36"/>
      <c r="AB258" s="36"/>
      <c r="AC258" s="36"/>
    </row>
    <row r="259" spans="17:29" x14ac:dyDescent="0.2">
      <c r="Q259" s="36"/>
      <c r="R259" s="40"/>
      <c r="S259" s="40"/>
      <c r="T259" s="40"/>
      <c r="U259" s="41"/>
      <c r="V259" s="41"/>
      <c r="W259" s="41"/>
      <c r="X259" s="36"/>
      <c r="Y259" s="36"/>
      <c r="Z259" s="36"/>
      <c r="AA259" s="36"/>
      <c r="AB259" s="36"/>
      <c r="AC259" s="36"/>
    </row>
    <row r="260" spans="17:29" x14ac:dyDescent="0.2">
      <c r="Q260" s="36"/>
      <c r="R260" s="40"/>
      <c r="S260" s="40"/>
      <c r="T260" s="40"/>
      <c r="U260" s="41"/>
      <c r="V260" s="41"/>
      <c r="W260" s="41"/>
      <c r="X260" s="36"/>
      <c r="Y260" s="36"/>
      <c r="Z260" s="36"/>
      <c r="AA260" s="36"/>
      <c r="AB260" s="36"/>
      <c r="AC260" s="36"/>
    </row>
    <row r="261" spans="17:29" x14ac:dyDescent="0.2">
      <c r="Q261" s="36"/>
      <c r="R261" s="40"/>
      <c r="S261" s="40"/>
      <c r="T261" s="40"/>
      <c r="U261" s="41"/>
      <c r="V261" s="41"/>
      <c r="W261" s="41"/>
      <c r="X261" s="36"/>
      <c r="Y261" s="36"/>
      <c r="Z261" s="36"/>
      <c r="AA261" s="36"/>
      <c r="AB261" s="36"/>
      <c r="AC261" s="36"/>
    </row>
    <row r="262" spans="17:29" x14ac:dyDescent="0.2">
      <c r="Q262" s="36"/>
      <c r="R262" s="40"/>
      <c r="S262" s="40"/>
      <c r="T262" s="40"/>
      <c r="U262" s="41"/>
      <c r="V262" s="41"/>
      <c r="W262" s="41"/>
      <c r="X262" s="36"/>
      <c r="Y262" s="36"/>
      <c r="Z262" s="36"/>
      <c r="AA262" s="36"/>
      <c r="AB262" s="36"/>
      <c r="AC262" s="36"/>
    </row>
    <row r="263" spans="17:29" x14ac:dyDescent="0.2">
      <c r="Q263" s="36"/>
      <c r="R263" s="40"/>
      <c r="S263" s="40"/>
      <c r="T263" s="40"/>
      <c r="U263" s="41"/>
      <c r="V263" s="41"/>
      <c r="W263" s="41"/>
      <c r="X263" s="36"/>
      <c r="Y263" s="36"/>
      <c r="Z263" s="36"/>
      <c r="AA263" s="36"/>
      <c r="AB263" s="36"/>
      <c r="AC263" s="36"/>
    </row>
    <row r="264" spans="17:29" x14ac:dyDescent="0.2">
      <c r="Q264" s="36"/>
      <c r="R264" s="40"/>
      <c r="S264" s="40"/>
      <c r="T264" s="40"/>
      <c r="U264" s="41"/>
      <c r="V264" s="41"/>
      <c r="W264" s="41"/>
      <c r="X264" s="36"/>
      <c r="Y264" s="36"/>
      <c r="Z264" s="36"/>
      <c r="AA264" s="36"/>
      <c r="AB264" s="36"/>
      <c r="AC264" s="36"/>
    </row>
    <row r="265" spans="17:29" x14ac:dyDescent="0.2">
      <c r="Q265" s="36"/>
      <c r="R265" s="40"/>
      <c r="S265" s="40"/>
      <c r="T265" s="40"/>
      <c r="U265" s="41"/>
      <c r="V265" s="41"/>
      <c r="W265" s="41"/>
      <c r="X265" s="36"/>
      <c r="Y265" s="36"/>
      <c r="Z265" s="36"/>
      <c r="AA265" s="36"/>
      <c r="AB265" s="36"/>
      <c r="AC265" s="36"/>
    </row>
    <row r="266" spans="17:29" x14ac:dyDescent="0.2">
      <c r="Q266" s="36"/>
      <c r="R266" s="40"/>
      <c r="S266" s="40"/>
      <c r="T266" s="40"/>
      <c r="U266" s="41"/>
      <c r="V266" s="41"/>
      <c r="W266" s="41"/>
      <c r="X266" s="36"/>
      <c r="Y266" s="36"/>
      <c r="Z266" s="36"/>
      <c r="AA266" s="36"/>
      <c r="AB266" s="36"/>
      <c r="AC266" s="36"/>
    </row>
    <row r="267" spans="17:29" x14ac:dyDescent="0.2">
      <c r="Q267" s="36"/>
      <c r="R267" s="40"/>
      <c r="S267" s="40"/>
      <c r="T267" s="40"/>
      <c r="U267" s="41"/>
      <c r="V267" s="41"/>
      <c r="W267" s="41"/>
      <c r="X267" s="36"/>
      <c r="Y267" s="36"/>
      <c r="Z267" s="36"/>
      <c r="AA267" s="36"/>
      <c r="AB267" s="36"/>
      <c r="AC267" s="36"/>
    </row>
    <row r="268" spans="17:29" x14ac:dyDescent="0.2">
      <c r="Q268" s="36"/>
      <c r="R268" s="40"/>
      <c r="S268" s="40"/>
      <c r="T268" s="40"/>
      <c r="U268" s="41"/>
      <c r="V268" s="41"/>
      <c r="W268" s="41"/>
      <c r="X268" s="36"/>
      <c r="Y268" s="36"/>
      <c r="Z268" s="36"/>
      <c r="AA268" s="36"/>
      <c r="AB268" s="36"/>
      <c r="AC268" s="36"/>
    </row>
    <row r="269" spans="17:29" x14ac:dyDescent="0.2">
      <c r="Q269" s="36"/>
      <c r="R269" s="40"/>
      <c r="S269" s="40"/>
      <c r="T269" s="40"/>
      <c r="U269" s="41"/>
      <c r="V269" s="41"/>
      <c r="W269" s="41"/>
      <c r="X269" s="36"/>
      <c r="Y269" s="36"/>
      <c r="Z269" s="36"/>
      <c r="AA269" s="36"/>
      <c r="AB269" s="36"/>
      <c r="AC269" s="36"/>
    </row>
    <row r="270" spans="17:29" x14ac:dyDescent="0.2">
      <c r="Q270" s="36"/>
      <c r="R270" s="40"/>
      <c r="S270" s="40"/>
      <c r="T270" s="40"/>
      <c r="U270" s="41"/>
      <c r="V270" s="41"/>
      <c r="W270" s="41"/>
      <c r="X270" s="36"/>
      <c r="Y270" s="36"/>
      <c r="Z270" s="36"/>
      <c r="AA270" s="36"/>
      <c r="AB270" s="36"/>
      <c r="AC270" s="36"/>
    </row>
    <row r="271" spans="17:29" x14ac:dyDescent="0.2">
      <c r="Q271" s="36"/>
      <c r="R271" s="40"/>
      <c r="S271" s="40"/>
      <c r="T271" s="40"/>
      <c r="U271" s="41"/>
      <c r="V271" s="41"/>
      <c r="W271" s="41"/>
      <c r="X271" s="36"/>
      <c r="Y271" s="36"/>
      <c r="Z271" s="36"/>
      <c r="AA271" s="36"/>
      <c r="AB271" s="36"/>
      <c r="AC271" s="36"/>
    </row>
    <row r="272" spans="17:29" x14ac:dyDescent="0.2">
      <c r="Q272" s="36"/>
      <c r="R272" s="40"/>
      <c r="S272" s="40"/>
      <c r="T272" s="40"/>
      <c r="U272" s="41"/>
      <c r="V272" s="41"/>
      <c r="W272" s="41"/>
      <c r="X272" s="36"/>
      <c r="Y272" s="36"/>
      <c r="Z272" s="36"/>
      <c r="AA272" s="36"/>
      <c r="AB272" s="36"/>
      <c r="AC272" s="36"/>
    </row>
    <row r="273" spans="17:29" x14ac:dyDescent="0.2">
      <c r="Q273" s="36"/>
      <c r="R273" s="40"/>
      <c r="S273" s="40"/>
      <c r="T273" s="40"/>
      <c r="U273" s="41"/>
      <c r="V273" s="41"/>
      <c r="W273" s="41"/>
      <c r="X273" s="36"/>
      <c r="Y273" s="36"/>
      <c r="Z273" s="36"/>
      <c r="AA273" s="36"/>
      <c r="AB273" s="36"/>
      <c r="AC273" s="36"/>
    </row>
    <row r="274" spans="17:29" x14ac:dyDescent="0.2">
      <c r="Q274" s="36"/>
      <c r="R274" s="40"/>
      <c r="S274" s="40"/>
      <c r="T274" s="40"/>
      <c r="U274" s="41"/>
      <c r="V274" s="41"/>
      <c r="W274" s="41"/>
      <c r="X274" s="36"/>
      <c r="Y274" s="36"/>
      <c r="Z274" s="36"/>
      <c r="AA274" s="36"/>
      <c r="AB274" s="36"/>
      <c r="AC274" s="36"/>
    </row>
    <row r="275" spans="17:29" x14ac:dyDescent="0.2">
      <c r="Q275" s="36"/>
      <c r="R275" s="40"/>
      <c r="S275" s="40"/>
      <c r="T275" s="40"/>
      <c r="U275" s="41"/>
      <c r="V275" s="41"/>
      <c r="W275" s="41"/>
      <c r="X275" s="36"/>
      <c r="Y275" s="36"/>
      <c r="Z275" s="36"/>
      <c r="AA275" s="36"/>
      <c r="AB275" s="36"/>
      <c r="AC275" s="36"/>
    </row>
    <row r="276" spans="17:29" x14ac:dyDescent="0.2">
      <c r="Q276" s="36"/>
      <c r="R276" s="40"/>
      <c r="S276" s="40"/>
      <c r="T276" s="40"/>
      <c r="U276" s="41"/>
      <c r="V276" s="41"/>
      <c r="W276" s="41"/>
      <c r="X276" s="36"/>
      <c r="Y276" s="36"/>
      <c r="Z276" s="36"/>
      <c r="AA276" s="36"/>
      <c r="AB276" s="36"/>
      <c r="AC276" s="36"/>
    </row>
    <row r="277" spans="17:29" x14ac:dyDescent="0.2">
      <c r="Q277" s="36"/>
      <c r="R277" s="40"/>
      <c r="S277" s="40"/>
      <c r="T277" s="40"/>
      <c r="U277" s="41"/>
      <c r="V277" s="41"/>
      <c r="W277" s="41"/>
      <c r="X277" s="36"/>
      <c r="Y277" s="36"/>
      <c r="Z277" s="36"/>
      <c r="AA277" s="36"/>
      <c r="AB277" s="36"/>
      <c r="AC277" s="36"/>
    </row>
    <row r="278" spans="17:29" x14ac:dyDescent="0.2">
      <c r="Q278" s="36"/>
      <c r="R278" s="40"/>
      <c r="S278" s="40"/>
      <c r="T278" s="40"/>
      <c r="U278" s="41"/>
      <c r="V278" s="41"/>
      <c r="W278" s="41"/>
      <c r="X278" s="36"/>
      <c r="Y278" s="36"/>
      <c r="Z278" s="36"/>
      <c r="AA278" s="36"/>
      <c r="AB278" s="36"/>
      <c r="AC278" s="36"/>
    </row>
    <row r="279" spans="17:29" x14ac:dyDescent="0.2">
      <c r="Q279" s="36"/>
      <c r="R279" s="40"/>
      <c r="S279" s="40"/>
      <c r="T279" s="40"/>
      <c r="U279" s="41"/>
      <c r="V279" s="41"/>
      <c r="W279" s="41"/>
      <c r="X279" s="36"/>
      <c r="Y279" s="36"/>
      <c r="Z279" s="36"/>
      <c r="AA279" s="36"/>
      <c r="AB279" s="36"/>
      <c r="AC279" s="36"/>
    </row>
    <row r="280" spans="17:29" x14ac:dyDescent="0.2">
      <c r="Q280" s="36"/>
      <c r="R280" s="40"/>
      <c r="S280" s="40"/>
      <c r="T280" s="40"/>
      <c r="U280" s="41"/>
      <c r="V280" s="41"/>
      <c r="W280" s="41"/>
      <c r="X280" s="36"/>
      <c r="Y280" s="36"/>
      <c r="Z280" s="36"/>
      <c r="AA280" s="36"/>
      <c r="AB280" s="36"/>
      <c r="AC280" s="36"/>
    </row>
    <row r="281" spans="17:29" x14ac:dyDescent="0.2">
      <c r="Q281" s="36"/>
      <c r="R281" s="40"/>
      <c r="S281" s="40"/>
      <c r="T281" s="40"/>
      <c r="U281" s="41"/>
      <c r="V281" s="41"/>
      <c r="W281" s="41"/>
      <c r="X281" s="36"/>
      <c r="Y281" s="36"/>
      <c r="Z281" s="36"/>
      <c r="AA281" s="36"/>
      <c r="AB281" s="36"/>
      <c r="AC281" s="36"/>
    </row>
    <row r="282" spans="17:29" x14ac:dyDescent="0.2">
      <c r="Q282" s="36"/>
      <c r="R282" s="40"/>
      <c r="S282" s="40"/>
      <c r="T282" s="40"/>
      <c r="U282" s="41"/>
      <c r="V282" s="41"/>
      <c r="W282" s="41"/>
      <c r="X282" s="36"/>
      <c r="Y282" s="36"/>
      <c r="Z282" s="36"/>
      <c r="AA282" s="36"/>
      <c r="AB282" s="36"/>
      <c r="AC282" s="36"/>
    </row>
    <row r="283" spans="17:29" x14ac:dyDescent="0.2">
      <c r="Q283" s="36"/>
      <c r="R283" s="40"/>
      <c r="S283" s="40"/>
      <c r="T283" s="40"/>
      <c r="U283" s="41"/>
      <c r="V283" s="41"/>
      <c r="W283" s="41"/>
      <c r="X283" s="36"/>
      <c r="Y283" s="36"/>
      <c r="Z283" s="36"/>
      <c r="AA283" s="36"/>
      <c r="AB283" s="36"/>
      <c r="AC283" s="36"/>
    </row>
    <row r="284" spans="17:29" x14ac:dyDescent="0.2">
      <c r="Q284" s="36"/>
      <c r="R284" s="40"/>
      <c r="S284" s="40"/>
      <c r="T284" s="40"/>
      <c r="U284" s="41"/>
      <c r="V284" s="41"/>
      <c r="W284" s="41"/>
      <c r="X284" s="36"/>
      <c r="Y284" s="36"/>
      <c r="Z284" s="36"/>
      <c r="AA284" s="36"/>
      <c r="AB284" s="36"/>
      <c r="AC284" s="36"/>
    </row>
    <row r="285" spans="17:29" x14ac:dyDescent="0.2">
      <c r="Q285" s="36"/>
      <c r="R285" s="40"/>
      <c r="S285" s="40"/>
      <c r="T285" s="40"/>
      <c r="U285" s="41"/>
      <c r="V285" s="41"/>
      <c r="W285" s="41"/>
      <c r="X285" s="36"/>
      <c r="Y285" s="36"/>
      <c r="Z285" s="36"/>
      <c r="AA285" s="36"/>
      <c r="AB285" s="36"/>
      <c r="AC285" s="36"/>
    </row>
    <row r="286" spans="17:29" x14ac:dyDescent="0.2">
      <c r="Q286" s="36"/>
      <c r="R286" s="40"/>
      <c r="S286" s="40"/>
      <c r="T286" s="40"/>
      <c r="U286" s="41"/>
      <c r="V286" s="41"/>
      <c r="W286" s="41"/>
      <c r="X286" s="36"/>
      <c r="Y286" s="36"/>
      <c r="Z286" s="36"/>
      <c r="AA286" s="36"/>
      <c r="AB286" s="36"/>
      <c r="AC286" s="36"/>
    </row>
    <row r="287" spans="17:29" x14ac:dyDescent="0.2">
      <c r="Q287" s="36"/>
      <c r="R287" s="40"/>
      <c r="S287" s="40"/>
      <c r="T287" s="40"/>
      <c r="U287" s="41"/>
      <c r="V287" s="41"/>
      <c r="W287" s="41"/>
      <c r="X287" s="36"/>
      <c r="Y287" s="36"/>
      <c r="Z287" s="36"/>
      <c r="AA287" s="36"/>
      <c r="AB287" s="36"/>
      <c r="AC287" s="36"/>
    </row>
    <row r="288" spans="17:29" x14ac:dyDescent="0.2">
      <c r="Q288" s="36"/>
      <c r="R288" s="40"/>
      <c r="S288" s="40"/>
      <c r="T288" s="40"/>
      <c r="U288" s="41"/>
      <c r="V288" s="41"/>
      <c r="W288" s="41"/>
      <c r="X288" s="36"/>
      <c r="Y288" s="36"/>
      <c r="Z288" s="36"/>
      <c r="AA288" s="36"/>
      <c r="AB288" s="36"/>
      <c r="AC288" s="36"/>
    </row>
    <row r="289" spans="17:29" x14ac:dyDescent="0.2">
      <c r="Q289" s="36"/>
      <c r="R289" s="40"/>
      <c r="S289" s="40"/>
      <c r="T289" s="40"/>
      <c r="U289" s="41"/>
      <c r="V289" s="41"/>
      <c r="W289" s="41"/>
      <c r="X289" s="36"/>
      <c r="Y289" s="36"/>
      <c r="Z289" s="36"/>
      <c r="AA289" s="36"/>
      <c r="AB289" s="36"/>
      <c r="AC289" s="36"/>
    </row>
    <row r="290" spans="17:29" x14ac:dyDescent="0.2">
      <c r="Q290" s="36"/>
      <c r="R290" s="40"/>
      <c r="S290" s="40"/>
      <c r="T290" s="40"/>
      <c r="U290" s="41"/>
      <c r="V290" s="41"/>
      <c r="W290" s="41"/>
      <c r="X290" s="36"/>
      <c r="Y290" s="36"/>
      <c r="Z290" s="36"/>
      <c r="AA290" s="36"/>
      <c r="AB290" s="36"/>
      <c r="AC290" s="36"/>
    </row>
    <row r="291" spans="17:29" x14ac:dyDescent="0.2">
      <c r="Q291" s="36"/>
      <c r="R291" s="40"/>
      <c r="S291" s="40"/>
      <c r="T291" s="40"/>
      <c r="U291" s="41"/>
      <c r="V291" s="41"/>
      <c r="W291" s="41"/>
      <c r="X291" s="36"/>
      <c r="Y291" s="36"/>
      <c r="Z291" s="36"/>
      <c r="AA291" s="36"/>
      <c r="AB291" s="36"/>
      <c r="AC291" s="36"/>
    </row>
    <row r="292" spans="17:29" x14ac:dyDescent="0.2">
      <c r="Q292" s="36"/>
      <c r="R292" s="40"/>
      <c r="S292" s="40"/>
      <c r="T292" s="40"/>
      <c r="U292" s="41"/>
      <c r="V292" s="41"/>
      <c r="W292" s="41"/>
      <c r="X292" s="36"/>
      <c r="Y292" s="36"/>
      <c r="Z292" s="36"/>
      <c r="AA292" s="36"/>
      <c r="AB292" s="36"/>
      <c r="AC292" s="36"/>
    </row>
    <row r="293" spans="17:29" x14ac:dyDescent="0.2">
      <c r="Q293" s="36"/>
      <c r="R293" s="40"/>
      <c r="S293" s="40"/>
      <c r="T293" s="40"/>
      <c r="U293" s="41"/>
      <c r="V293" s="41"/>
      <c r="W293" s="41"/>
      <c r="X293" s="36"/>
      <c r="Y293" s="36"/>
      <c r="Z293" s="36"/>
      <c r="AA293" s="36"/>
      <c r="AB293" s="36"/>
      <c r="AC293" s="36"/>
    </row>
    <row r="294" spans="17:29" x14ac:dyDescent="0.2">
      <c r="Q294" s="36"/>
      <c r="R294" s="40"/>
      <c r="S294" s="40"/>
      <c r="T294" s="40"/>
      <c r="U294" s="41"/>
      <c r="V294" s="41"/>
      <c r="W294" s="41"/>
      <c r="X294" s="36"/>
      <c r="Y294" s="36"/>
      <c r="Z294" s="36"/>
      <c r="AA294" s="36"/>
      <c r="AB294" s="36"/>
      <c r="AC294" s="36"/>
    </row>
    <row r="295" spans="17:29" x14ac:dyDescent="0.2">
      <c r="Q295" s="36"/>
      <c r="R295" s="40"/>
      <c r="S295" s="40"/>
      <c r="T295" s="40"/>
      <c r="U295" s="41"/>
      <c r="V295" s="41"/>
      <c r="W295" s="41"/>
      <c r="X295" s="36"/>
      <c r="Y295" s="36"/>
      <c r="Z295" s="36"/>
      <c r="AA295" s="36"/>
      <c r="AB295" s="36"/>
      <c r="AC295" s="36"/>
    </row>
    <row r="296" spans="17:29" x14ac:dyDescent="0.2">
      <c r="Q296" s="36"/>
      <c r="R296" s="40"/>
      <c r="S296" s="40"/>
      <c r="T296" s="40"/>
      <c r="U296" s="41"/>
      <c r="V296" s="41"/>
      <c r="W296" s="41"/>
      <c r="X296" s="36"/>
      <c r="Y296" s="36"/>
      <c r="Z296" s="36"/>
      <c r="AA296" s="36"/>
      <c r="AB296" s="36"/>
      <c r="AC296" s="36"/>
    </row>
    <row r="297" spans="17:29" x14ac:dyDescent="0.2">
      <c r="Q297" s="36"/>
      <c r="R297" s="40"/>
      <c r="S297" s="40"/>
      <c r="T297" s="40"/>
      <c r="U297" s="41"/>
      <c r="V297" s="41"/>
      <c r="W297" s="41"/>
      <c r="X297" s="36"/>
      <c r="Y297" s="36"/>
      <c r="Z297" s="36"/>
      <c r="AA297" s="36"/>
      <c r="AB297" s="36"/>
      <c r="AC297" s="36"/>
    </row>
    <row r="298" spans="17:29" x14ac:dyDescent="0.2">
      <c r="Q298" s="36"/>
      <c r="R298" s="40"/>
      <c r="S298" s="40"/>
      <c r="T298" s="40"/>
      <c r="U298" s="41"/>
      <c r="V298" s="41"/>
      <c r="W298" s="41"/>
      <c r="X298" s="36"/>
      <c r="Y298" s="36"/>
      <c r="Z298" s="36"/>
      <c r="AA298" s="36"/>
      <c r="AB298" s="36"/>
      <c r="AC298" s="36"/>
    </row>
    <row r="299" spans="17:29" x14ac:dyDescent="0.2">
      <c r="Q299" s="36"/>
      <c r="R299" s="40"/>
      <c r="S299" s="40"/>
      <c r="T299" s="40"/>
      <c r="U299" s="41"/>
      <c r="V299" s="41"/>
      <c r="W299" s="41"/>
      <c r="X299" s="36"/>
      <c r="Y299" s="36"/>
      <c r="Z299" s="36"/>
      <c r="AA299" s="36"/>
      <c r="AB299" s="36"/>
      <c r="AC299" s="36"/>
    </row>
    <row r="300" spans="17:29" x14ac:dyDescent="0.2">
      <c r="Q300" s="36"/>
      <c r="R300" s="40"/>
      <c r="S300" s="40"/>
      <c r="T300" s="40"/>
      <c r="U300" s="41"/>
      <c r="V300" s="41"/>
      <c r="W300" s="41"/>
      <c r="X300" s="36"/>
      <c r="Y300" s="36"/>
      <c r="Z300" s="36"/>
      <c r="AA300" s="36"/>
      <c r="AB300" s="36"/>
      <c r="AC300" s="36"/>
    </row>
    <row r="301" spans="17:29" x14ac:dyDescent="0.2">
      <c r="Q301" s="36"/>
      <c r="R301" s="40"/>
      <c r="S301" s="40"/>
      <c r="T301" s="40"/>
      <c r="U301" s="41"/>
      <c r="V301" s="41"/>
      <c r="W301" s="41"/>
      <c r="X301" s="36"/>
      <c r="Y301" s="36"/>
      <c r="Z301" s="36"/>
      <c r="AA301" s="36"/>
      <c r="AB301" s="36"/>
      <c r="AC301" s="36"/>
    </row>
    <row r="302" spans="17:29" x14ac:dyDescent="0.2">
      <c r="Q302" s="36"/>
      <c r="R302" s="40"/>
      <c r="S302" s="40"/>
      <c r="T302" s="40"/>
      <c r="U302" s="41"/>
      <c r="V302" s="41"/>
      <c r="W302" s="41"/>
      <c r="X302" s="36"/>
      <c r="Y302" s="36"/>
      <c r="Z302" s="36"/>
      <c r="AA302" s="36"/>
      <c r="AB302" s="36"/>
      <c r="AC302" s="36"/>
    </row>
    <row r="303" spans="17:29" x14ac:dyDescent="0.2">
      <c r="Q303" s="36"/>
      <c r="R303" s="40"/>
      <c r="S303" s="40"/>
      <c r="T303" s="40"/>
      <c r="U303" s="41"/>
      <c r="V303" s="41"/>
      <c r="W303" s="41"/>
      <c r="X303" s="36"/>
      <c r="Y303" s="36"/>
      <c r="Z303" s="36"/>
      <c r="AA303" s="36"/>
      <c r="AB303" s="36"/>
      <c r="AC303" s="36"/>
    </row>
    <row r="304" spans="17:29" x14ac:dyDescent="0.2">
      <c r="Q304" s="36"/>
      <c r="R304" s="40"/>
      <c r="S304" s="40"/>
      <c r="T304" s="40"/>
      <c r="U304" s="41"/>
      <c r="V304" s="41"/>
      <c r="W304" s="41"/>
      <c r="X304" s="36"/>
      <c r="Y304" s="36"/>
      <c r="Z304" s="36"/>
      <c r="AA304" s="36"/>
      <c r="AB304" s="36"/>
      <c r="AC304" s="36"/>
    </row>
    <row r="305" spans="17:29" x14ac:dyDescent="0.2">
      <c r="Q305" s="36"/>
      <c r="R305" s="40"/>
      <c r="S305" s="40"/>
      <c r="T305" s="40"/>
      <c r="U305" s="41"/>
      <c r="V305" s="41"/>
      <c r="W305" s="41"/>
      <c r="X305" s="36"/>
      <c r="Y305" s="36"/>
      <c r="Z305" s="36"/>
      <c r="AA305" s="36"/>
      <c r="AB305" s="36"/>
      <c r="AC305" s="36"/>
    </row>
    <row r="306" spans="17:29" x14ac:dyDescent="0.2">
      <c r="Q306" s="36"/>
      <c r="R306" s="40"/>
      <c r="S306" s="40"/>
      <c r="T306" s="40"/>
      <c r="U306" s="41"/>
      <c r="V306" s="41"/>
      <c r="W306" s="41"/>
      <c r="X306" s="36"/>
      <c r="Y306" s="36"/>
      <c r="Z306" s="36"/>
      <c r="AA306" s="36"/>
      <c r="AB306" s="36"/>
      <c r="AC306" s="36"/>
    </row>
    <row r="307" spans="17:29" x14ac:dyDescent="0.2">
      <c r="Q307" s="36"/>
      <c r="R307" s="40"/>
      <c r="S307" s="40"/>
      <c r="T307" s="40"/>
      <c r="U307" s="41"/>
      <c r="V307" s="41"/>
      <c r="W307" s="41"/>
      <c r="X307" s="36"/>
      <c r="Y307" s="36"/>
      <c r="Z307" s="36"/>
      <c r="AA307" s="36"/>
      <c r="AB307" s="36"/>
      <c r="AC307" s="36"/>
    </row>
    <row r="308" spans="17:29" x14ac:dyDescent="0.2">
      <c r="Q308" s="36"/>
      <c r="R308" s="40"/>
      <c r="S308" s="40"/>
      <c r="T308" s="40"/>
      <c r="U308" s="41"/>
      <c r="V308" s="41"/>
      <c r="W308" s="41"/>
      <c r="X308" s="36"/>
      <c r="Y308" s="36"/>
      <c r="Z308" s="36"/>
      <c r="AA308" s="36"/>
      <c r="AB308" s="36"/>
      <c r="AC308" s="36"/>
    </row>
    <row r="309" spans="17:29" x14ac:dyDescent="0.2">
      <c r="Q309" s="36"/>
      <c r="R309" s="40"/>
      <c r="S309" s="40"/>
      <c r="T309" s="40"/>
      <c r="U309" s="41"/>
      <c r="V309" s="41"/>
      <c r="W309" s="41"/>
      <c r="X309" s="36"/>
      <c r="Y309" s="36"/>
      <c r="Z309" s="36"/>
      <c r="AA309" s="36"/>
      <c r="AB309" s="36"/>
      <c r="AC309" s="36"/>
    </row>
    <row r="310" spans="17:29" x14ac:dyDescent="0.2">
      <c r="Q310" s="36"/>
      <c r="R310" s="40"/>
      <c r="S310" s="40"/>
      <c r="T310" s="40"/>
      <c r="U310" s="41"/>
      <c r="V310" s="41"/>
      <c r="W310" s="41"/>
      <c r="X310" s="36"/>
      <c r="Y310" s="36"/>
      <c r="Z310" s="36"/>
      <c r="AA310" s="36"/>
      <c r="AB310" s="36"/>
      <c r="AC310" s="36"/>
    </row>
    <row r="311" spans="17:29" x14ac:dyDescent="0.2">
      <c r="Q311" s="36"/>
      <c r="R311" s="40"/>
      <c r="S311" s="40"/>
      <c r="T311" s="40"/>
      <c r="U311" s="41"/>
      <c r="V311" s="41"/>
      <c r="W311" s="41"/>
      <c r="X311" s="36"/>
      <c r="Y311" s="36"/>
      <c r="Z311" s="36"/>
      <c r="AA311" s="36"/>
      <c r="AB311" s="36"/>
      <c r="AC311" s="36"/>
    </row>
    <row r="312" spans="17:29" x14ac:dyDescent="0.2">
      <c r="Q312" s="36"/>
      <c r="R312" s="40"/>
      <c r="S312" s="40"/>
      <c r="T312" s="40"/>
      <c r="U312" s="41"/>
      <c r="V312" s="41"/>
      <c r="W312" s="41"/>
      <c r="X312" s="36"/>
      <c r="Y312" s="36"/>
      <c r="Z312" s="36"/>
      <c r="AA312" s="36"/>
      <c r="AB312" s="36"/>
      <c r="AC312" s="36"/>
    </row>
    <row r="313" spans="17:29" x14ac:dyDescent="0.2">
      <c r="Q313" s="36"/>
      <c r="R313" s="40"/>
      <c r="S313" s="40"/>
      <c r="T313" s="40"/>
      <c r="U313" s="41"/>
      <c r="V313" s="41"/>
      <c r="W313" s="41"/>
      <c r="X313" s="36"/>
      <c r="Y313" s="36"/>
      <c r="Z313" s="36"/>
      <c r="AA313" s="36"/>
      <c r="AB313" s="36"/>
      <c r="AC313" s="36"/>
    </row>
    <row r="314" spans="17:29" x14ac:dyDescent="0.2">
      <c r="Q314" s="36"/>
      <c r="R314" s="40"/>
      <c r="S314" s="40"/>
      <c r="T314" s="40"/>
      <c r="U314" s="41"/>
      <c r="V314" s="41"/>
      <c r="W314" s="41"/>
      <c r="X314" s="36"/>
      <c r="Y314" s="36"/>
      <c r="Z314" s="36"/>
      <c r="AA314" s="36"/>
      <c r="AB314" s="36"/>
      <c r="AC314" s="36"/>
    </row>
    <row r="315" spans="17:29" x14ac:dyDescent="0.2">
      <c r="Q315" s="36"/>
      <c r="R315" s="40"/>
      <c r="S315" s="40"/>
      <c r="T315" s="40"/>
      <c r="U315" s="41"/>
      <c r="V315" s="41"/>
      <c r="W315" s="41"/>
      <c r="X315" s="36"/>
      <c r="Y315" s="36"/>
      <c r="Z315" s="36"/>
      <c r="AA315" s="36"/>
      <c r="AB315" s="36"/>
      <c r="AC315" s="36"/>
    </row>
    <row r="316" spans="17:29" x14ac:dyDescent="0.2">
      <c r="Q316" s="36"/>
      <c r="R316" s="40"/>
      <c r="S316" s="40"/>
      <c r="T316" s="40"/>
      <c r="U316" s="41"/>
      <c r="V316" s="41"/>
      <c r="W316" s="41"/>
      <c r="X316" s="36"/>
      <c r="Y316" s="36"/>
      <c r="Z316" s="36"/>
      <c r="AA316" s="36"/>
      <c r="AB316" s="36"/>
      <c r="AC316" s="36"/>
    </row>
    <row r="317" spans="17:29" x14ac:dyDescent="0.2">
      <c r="Q317" s="36"/>
      <c r="R317" s="40"/>
      <c r="S317" s="40"/>
      <c r="T317" s="40"/>
      <c r="U317" s="41"/>
      <c r="V317" s="41"/>
      <c r="W317" s="41"/>
      <c r="X317" s="36"/>
      <c r="Y317" s="36"/>
      <c r="Z317" s="36"/>
      <c r="AA317" s="36"/>
      <c r="AB317" s="36"/>
      <c r="AC317" s="36"/>
    </row>
    <row r="318" spans="17:29" x14ac:dyDescent="0.2">
      <c r="Q318" s="36"/>
      <c r="R318" s="40"/>
      <c r="S318" s="40"/>
      <c r="T318" s="40"/>
      <c r="U318" s="41"/>
      <c r="V318" s="41"/>
      <c r="W318" s="41"/>
      <c r="X318" s="36"/>
      <c r="Y318" s="36"/>
      <c r="Z318" s="36"/>
      <c r="AA318" s="36"/>
      <c r="AB318" s="36"/>
      <c r="AC318" s="36"/>
    </row>
    <row r="319" spans="17:29" x14ac:dyDescent="0.2">
      <c r="Q319" s="36"/>
      <c r="R319" s="40"/>
      <c r="S319" s="40"/>
      <c r="T319" s="40"/>
      <c r="U319" s="41"/>
      <c r="V319" s="41"/>
      <c r="W319" s="41"/>
      <c r="X319" s="36"/>
      <c r="Y319" s="36"/>
      <c r="Z319" s="36"/>
      <c r="AA319" s="36"/>
      <c r="AB319" s="36"/>
      <c r="AC319" s="36"/>
    </row>
    <row r="320" spans="17:29" x14ac:dyDescent="0.2">
      <c r="Q320" s="36"/>
      <c r="R320" s="40"/>
      <c r="S320" s="40"/>
      <c r="T320" s="40"/>
      <c r="U320" s="41"/>
      <c r="V320" s="41"/>
      <c r="W320" s="41"/>
      <c r="X320" s="36"/>
      <c r="Y320" s="36"/>
      <c r="Z320" s="36"/>
      <c r="AA320" s="36"/>
      <c r="AB320" s="36"/>
      <c r="AC320" s="36"/>
    </row>
    <row r="321" spans="17:29" x14ac:dyDescent="0.2">
      <c r="Q321" s="36"/>
      <c r="R321" s="40"/>
      <c r="S321" s="40"/>
      <c r="T321" s="40"/>
      <c r="U321" s="41"/>
      <c r="V321" s="41"/>
      <c r="W321" s="41"/>
      <c r="X321" s="36"/>
      <c r="Y321" s="36"/>
      <c r="Z321" s="36"/>
      <c r="AA321" s="36"/>
      <c r="AB321" s="36"/>
      <c r="AC321" s="36"/>
    </row>
    <row r="322" spans="17:29" x14ac:dyDescent="0.2">
      <c r="Q322" s="36"/>
      <c r="R322" s="40"/>
      <c r="S322" s="40"/>
      <c r="T322" s="40"/>
      <c r="U322" s="41"/>
      <c r="V322" s="41"/>
      <c r="W322" s="41"/>
      <c r="X322" s="36"/>
      <c r="Y322" s="36"/>
      <c r="Z322" s="36"/>
      <c r="AA322" s="36"/>
      <c r="AB322" s="36"/>
      <c r="AC322" s="36"/>
    </row>
    <row r="323" spans="17:29" x14ac:dyDescent="0.2">
      <c r="Q323" s="36"/>
      <c r="R323" s="40"/>
      <c r="S323" s="40"/>
      <c r="T323" s="40"/>
      <c r="U323" s="41"/>
      <c r="V323" s="41"/>
      <c r="W323" s="41"/>
      <c r="X323" s="36"/>
      <c r="Y323" s="36"/>
      <c r="Z323" s="36"/>
      <c r="AA323" s="36"/>
      <c r="AB323" s="36"/>
      <c r="AC323" s="36"/>
    </row>
    <row r="324" spans="17:29" x14ac:dyDescent="0.2">
      <c r="Q324" s="36"/>
      <c r="R324" s="40"/>
      <c r="S324" s="40"/>
      <c r="T324" s="40"/>
      <c r="U324" s="41"/>
      <c r="V324" s="41"/>
      <c r="W324" s="41"/>
      <c r="X324" s="36"/>
      <c r="Y324" s="36"/>
      <c r="Z324" s="36"/>
      <c r="AA324" s="36"/>
      <c r="AB324" s="36"/>
      <c r="AC324" s="36"/>
    </row>
    <row r="325" spans="17:29" x14ac:dyDescent="0.2">
      <c r="Q325" s="36"/>
      <c r="R325" s="40"/>
      <c r="S325" s="40"/>
      <c r="T325" s="40"/>
      <c r="U325" s="41"/>
      <c r="V325" s="41"/>
      <c r="W325" s="41"/>
      <c r="X325" s="36"/>
      <c r="Y325" s="36"/>
      <c r="Z325" s="36"/>
      <c r="AA325" s="36"/>
      <c r="AB325" s="36"/>
      <c r="AC325" s="36"/>
    </row>
    <row r="326" spans="17:29" x14ac:dyDescent="0.2">
      <c r="Q326" s="36"/>
      <c r="R326" s="40"/>
      <c r="S326" s="40"/>
      <c r="T326" s="40"/>
      <c r="U326" s="41"/>
      <c r="V326" s="41"/>
      <c r="W326" s="41"/>
      <c r="X326" s="36"/>
      <c r="Y326" s="36"/>
      <c r="Z326" s="36"/>
      <c r="AA326" s="36"/>
      <c r="AB326" s="36"/>
      <c r="AC326" s="36"/>
    </row>
    <row r="327" spans="17:29" x14ac:dyDescent="0.2">
      <c r="Q327" s="36"/>
      <c r="R327" s="40"/>
      <c r="S327" s="40"/>
      <c r="T327" s="40"/>
      <c r="U327" s="41"/>
      <c r="V327" s="41"/>
      <c r="W327" s="41"/>
      <c r="X327" s="36"/>
      <c r="Y327" s="36"/>
      <c r="Z327" s="36"/>
      <c r="AA327" s="36"/>
      <c r="AB327" s="36"/>
      <c r="AC327" s="36"/>
    </row>
    <row r="328" spans="17:29" x14ac:dyDescent="0.2">
      <c r="Q328" s="36"/>
      <c r="R328" s="40"/>
      <c r="S328" s="40"/>
      <c r="T328" s="40"/>
      <c r="U328" s="41"/>
      <c r="V328" s="41"/>
      <c r="W328" s="41"/>
      <c r="X328" s="36"/>
      <c r="Y328" s="36"/>
      <c r="Z328" s="36"/>
      <c r="AA328" s="36"/>
      <c r="AB328" s="36"/>
      <c r="AC328" s="36"/>
    </row>
    <row r="329" spans="17:29" x14ac:dyDescent="0.2">
      <c r="Q329" s="36"/>
      <c r="R329" s="40"/>
      <c r="S329" s="40"/>
      <c r="T329" s="40"/>
      <c r="U329" s="41"/>
      <c r="V329" s="41"/>
      <c r="W329" s="41"/>
      <c r="X329" s="36"/>
      <c r="Y329" s="36"/>
      <c r="Z329" s="36"/>
      <c r="AA329" s="36"/>
      <c r="AB329" s="36"/>
      <c r="AC329" s="36"/>
    </row>
    <row r="330" spans="17:29" x14ac:dyDescent="0.2">
      <c r="Q330" s="36"/>
      <c r="R330" s="40"/>
      <c r="S330" s="40"/>
      <c r="T330" s="40"/>
      <c r="U330" s="41"/>
      <c r="V330" s="41"/>
      <c r="W330" s="41"/>
      <c r="X330" s="36"/>
      <c r="Y330" s="36"/>
      <c r="Z330" s="36"/>
      <c r="AA330" s="36"/>
      <c r="AB330" s="36"/>
      <c r="AC330" s="36"/>
    </row>
    <row r="331" spans="17:29" x14ac:dyDescent="0.2">
      <c r="Q331" s="36"/>
      <c r="R331" s="40"/>
      <c r="S331" s="40"/>
      <c r="T331" s="40"/>
      <c r="U331" s="41"/>
      <c r="V331" s="41"/>
      <c r="W331" s="41"/>
      <c r="X331" s="36"/>
      <c r="Y331" s="36"/>
      <c r="Z331" s="36"/>
      <c r="AA331" s="36"/>
      <c r="AB331" s="36"/>
      <c r="AC331" s="36"/>
    </row>
    <row r="332" spans="17:29" x14ac:dyDescent="0.2">
      <c r="Q332" s="36"/>
      <c r="R332" s="40"/>
      <c r="S332" s="40"/>
      <c r="T332" s="40"/>
      <c r="U332" s="41"/>
      <c r="V332" s="41"/>
      <c r="W332" s="41"/>
      <c r="X332" s="36"/>
      <c r="Y332" s="36"/>
      <c r="Z332" s="36"/>
      <c r="AA332" s="36"/>
      <c r="AB332" s="36"/>
      <c r="AC332" s="36"/>
    </row>
    <row r="333" spans="17:29" x14ac:dyDescent="0.2">
      <c r="Q333" s="36"/>
      <c r="R333" s="40"/>
      <c r="S333" s="40"/>
      <c r="T333" s="40"/>
      <c r="U333" s="41"/>
      <c r="V333" s="41"/>
      <c r="W333" s="41"/>
      <c r="X333" s="36"/>
      <c r="Y333" s="36"/>
      <c r="Z333" s="36"/>
      <c r="AA333" s="36"/>
      <c r="AB333" s="36"/>
      <c r="AC333" s="36"/>
    </row>
    <row r="334" spans="17:29" x14ac:dyDescent="0.2">
      <c r="Q334" s="36"/>
      <c r="R334" s="40"/>
      <c r="S334" s="40"/>
      <c r="T334" s="40"/>
      <c r="U334" s="41"/>
      <c r="V334" s="41"/>
      <c r="W334" s="41"/>
      <c r="X334" s="36"/>
      <c r="Y334" s="36"/>
      <c r="Z334" s="36"/>
      <c r="AA334" s="36"/>
      <c r="AB334" s="36"/>
      <c r="AC334" s="36"/>
    </row>
    <row r="335" spans="17:29" x14ac:dyDescent="0.2">
      <c r="Q335" s="36"/>
      <c r="R335" s="40"/>
      <c r="S335" s="40"/>
      <c r="T335" s="40"/>
      <c r="U335" s="41"/>
      <c r="V335" s="41"/>
      <c r="W335" s="41"/>
      <c r="X335" s="36"/>
      <c r="Y335" s="36"/>
      <c r="Z335" s="36"/>
      <c r="AA335" s="36"/>
      <c r="AB335" s="36"/>
      <c r="AC335" s="36"/>
    </row>
    <row r="336" spans="17:29" x14ac:dyDescent="0.2">
      <c r="Q336" s="36"/>
      <c r="R336" s="40"/>
      <c r="S336" s="40"/>
      <c r="T336" s="40"/>
      <c r="U336" s="41"/>
      <c r="V336" s="41"/>
      <c r="W336" s="41"/>
      <c r="X336" s="36"/>
      <c r="Y336" s="36"/>
      <c r="Z336" s="36"/>
      <c r="AA336" s="36"/>
      <c r="AB336" s="36"/>
      <c r="AC336" s="36"/>
    </row>
    <row r="337" spans="17:29" x14ac:dyDescent="0.2">
      <c r="Q337" s="36"/>
      <c r="R337" s="40"/>
      <c r="S337" s="40"/>
      <c r="T337" s="40"/>
      <c r="U337" s="41"/>
      <c r="V337" s="41"/>
      <c r="W337" s="41"/>
      <c r="X337" s="36"/>
      <c r="Y337" s="36"/>
      <c r="Z337" s="36"/>
      <c r="AA337" s="36"/>
      <c r="AB337" s="36"/>
      <c r="AC337" s="36"/>
    </row>
    <row r="338" spans="17:29" x14ac:dyDescent="0.2">
      <c r="Q338" s="36"/>
      <c r="R338" s="40"/>
      <c r="S338" s="40"/>
      <c r="T338" s="40"/>
      <c r="U338" s="41"/>
      <c r="V338" s="41"/>
      <c r="W338" s="41"/>
      <c r="X338" s="36"/>
      <c r="Y338" s="36"/>
      <c r="Z338" s="36"/>
      <c r="AA338" s="36"/>
      <c r="AB338" s="36"/>
      <c r="AC338" s="36"/>
    </row>
    <row r="339" spans="17:29" x14ac:dyDescent="0.2">
      <c r="Q339" s="36"/>
      <c r="R339" s="40"/>
      <c r="S339" s="40"/>
      <c r="T339" s="40"/>
      <c r="U339" s="41"/>
      <c r="V339" s="41"/>
      <c r="W339" s="41"/>
      <c r="X339" s="36"/>
      <c r="Y339" s="36"/>
      <c r="Z339" s="36"/>
      <c r="AA339" s="36"/>
      <c r="AB339" s="36"/>
      <c r="AC339" s="36"/>
    </row>
    <row r="340" spans="17:29" x14ac:dyDescent="0.2">
      <c r="Q340" s="36"/>
      <c r="R340" s="40"/>
      <c r="S340" s="40"/>
      <c r="T340" s="40"/>
      <c r="U340" s="41"/>
      <c r="V340" s="41"/>
      <c r="W340" s="41"/>
      <c r="X340" s="36"/>
      <c r="Y340" s="36"/>
      <c r="Z340" s="36"/>
      <c r="AA340" s="36"/>
      <c r="AB340" s="36"/>
      <c r="AC340" s="36"/>
    </row>
    <row r="341" spans="17:29" x14ac:dyDescent="0.2">
      <c r="Q341" s="36"/>
      <c r="R341" s="40"/>
      <c r="S341" s="40"/>
      <c r="T341" s="40"/>
      <c r="U341" s="41"/>
      <c r="V341" s="41"/>
      <c r="W341" s="41"/>
      <c r="X341" s="36"/>
      <c r="Y341" s="36"/>
      <c r="Z341" s="36"/>
      <c r="AA341" s="36"/>
      <c r="AB341" s="36"/>
      <c r="AC341" s="36"/>
    </row>
    <row r="342" spans="17:29" x14ac:dyDescent="0.2">
      <c r="Q342" s="36"/>
      <c r="R342" s="40"/>
      <c r="S342" s="40"/>
      <c r="T342" s="40"/>
      <c r="U342" s="41"/>
      <c r="V342" s="41"/>
      <c r="W342" s="41"/>
      <c r="X342" s="36"/>
      <c r="Y342" s="36"/>
      <c r="Z342" s="36"/>
      <c r="AA342" s="36"/>
      <c r="AB342" s="36"/>
      <c r="AC342" s="36"/>
    </row>
    <row r="343" spans="17:29" x14ac:dyDescent="0.2">
      <c r="Q343" s="36"/>
      <c r="R343" s="40"/>
      <c r="S343" s="40"/>
      <c r="T343" s="40"/>
      <c r="U343" s="41"/>
      <c r="V343" s="41"/>
      <c r="W343" s="41"/>
      <c r="X343" s="36"/>
      <c r="Y343" s="36"/>
      <c r="Z343" s="36"/>
      <c r="AA343" s="36"/>
      <c r="AB343" s="36"/>
      <c r="AC343" s="36"/>
    </row>
    <row r="344" spans="17:29" x14ac:dyDescent="0.2">
      <c r="Q344" s="36"/>
      <c r="R344" s="40"/>
      <c r="S344" s="40"/>
      <c r="T344" s="40"/>
      <c r="U344" s="41"/>
      <c r="V344" s="41"/>
      <c r="W344" s="41"/>
      <c r="X344" s="36"/>
      <c r="Y344" s="36"/>
      <c r="Z344" s="36"/>
      <c r="AA344" s="36"/>
      <c r="AB344" s="36"/>
      <c r="AC344" s="36"/>
    </row>
    <row r="345" spans="17:29" x14ac:dyDescent="0.2">
      <c r="Q345" s="36"/>
      <c r="R345" s="40"/>
      <c r="S345" s="40"/>
      <c r="T345" s="40"/>
      <c r="U345" s="41"/>
      <c r="V345" s="41"/>
      <c r="W345" s="41"/>
      <c r="X345" s="36"/>
      <c r="Y345" s="36"/>
      <c r="Z345" s="36"/>
      <c r="AA345" s="36"/>
      <c r="AB345" s="36"/>
      <c r="AC345" s="36"/>
    </row>
    <row r="346" spans="17:29" x14ac:dyDescent="0.2">
      <c r="Q346" s="36"/>
      <c r="R346" s="40"/>
      <c r="S346" s="40"/>
      <c r="T346" s="40"/>
      <c r="U346" s="41"/>
      <c r="V346" s="41"/>
      <c r="W346" s="41"/>
      <c r="X346" s="36"/>
      <c r="Y346" s="36"/>
      <c r="Z346" s="36"/>
      <c r="AA346" s="36"/>
      <c r="AB346" s="36"/>
      <c r="AC346" s="36"/>
    </row>
    <row r="347" spans="17:29" x14ac:dyDescent="0.2">
      <c r="Q347" s="36"/>
      <c r="R347" s="40"/>
      <c r="S347" s="40"/>
      <c r="T347" s="40"/>
      <c r="U347" s="41"/>
      <c r="V347" s="41"/>
      <c r="W347" s="41"/>
      <c r="X347" s="36"/>
      <c r="Y347" s="36"/>
      <c r="Z347" s="36"/>
      <c r="AA347" s="36"/>
      <c r="AB347" s="36"/>
      <c r="AC347" s="36"/>
    </row>
    <row r="348" spans="17:29" x14ac:dyDescent="0.2">
      <c r="Q348" s="36"/>
      <c r="R348" s="40"/>
      <c r="S348" s="40"/>
      <c r="T348" s="40"/>
      <c r="U348" s="41"/>
      <c r="V348" s="41"/>
      <c r="W348" s="41"/>
      <c r="X348" s="36"/>
      <c r="Y348" s="36"/>
      <c r="Z348" s="36"/>
      <c r="AA348" s="36"/>
      <c r="AB348" s="36"/>
      <c r="AC348" s="36"/>
    </row>
    <row r="349" spans="17:29" x14ac:dyDescent="0.2">
      <c r="Q349" s="36"/>
      <c r="R349" s="40"/>
      <c r="S349" s="40"/>
      <c r="T349" s="40"/>
      <c r="U349" s="41"/>
      <c r="V349" s="41"/>
      <c r="W349" s="41"/>
      <c r="X349" s="36"/>
      <c r="Y349" s="36"/>
      <c r="Z349" s="36"/>
      <c r="AA349" s="36"/>
      <c r="AB349" s="36"/>
      <c r="AC349" s="36"/>
    </row>
    <row r="350" spans="17:29" x14ac:dyDescent="0.2">
      <c r="Q350" s="36"/>
      <c r="R350" s="40"/>
      <c r="S350" s="40"/>
      <c r="T350" s="40"/>
      <c r="U350" s="41"/>
      <c r="V350" s="41"/>
      <c r="W350" s="41"/>
      <c r="X350" s="36"/>
      <c r="Y350" s="36"/>
      <c r="Z350" s="36"/>
      <c r="AA350" s="36"/>
      <c r="AB350" s="36"/>
      <c r="AC350" s="36"/>
    </row>
    <row r="351" spans="17:29" x14ac:dyDescent="0.2">
      <c r="Q351" s="36"/>
      <c r="R351" s="40"/>
      <c r="S351" s="40"/>
      <c r="T351" s="40"/>
      <c r="U351" s="41"/>
      <c r="V351" s="41"/>
      <c r="W351" s="41"/>
      <c r="X351" s="36"/>
      <c r="Y351" s="36"/>
      <c r="Z351" s="36"/>
      <c r="AA351" s="36"/>
      <c r="AB351" s="36"/>
      <c r="AC351" s="36"/>
    </row>
    <row r="352" spans="17:29" x14ac:dyDescent="0.2">
      <c r="Q352" s="36"/>
      <c r="R352" s="40"/>
      <c r="S352" s="40"/>
      <c r="T352" s="40"/>
      <c r="U352" s="41"/>
      <c r="V352" s="41"/>
      <c r="W352" s="41"/>
      <c r="X352" s="36"/>
      <c r="Y352" s="36"/>
      <c r="Z352" s="36"/>
      <c r="AA352" s="36"/>
      <c r="AB352" s="36"/>
      <c r="AC352" s="36"/>
    </row>
    <row r="353" spans="17:29" x14ac:dyDescent="0.2">
      <c r="Q353" s="36"/>
      <c r="R353" s="40"/>
      <c r="S353" s="40"/>
      <c r="T353" s="40"/>
      <c r="U353" s="41"/>
      <c r="V353" s="41"/>
      <c r="W353" s="41"/>
      <c r="X353" s="36"/>
      <c r="Y353" s="36"/>
      <c r="Z353" s="36"/>
      <c r="AA353" s="36"/>
      <c r="AB353" s="36"/>
      <c r="AC353" s="36"/>
    </row>
    <row r="354" spans="17:29" x14ac:dyDescent="0.2">
      <c r="Q354" s="36"/>
      <c r="R354" s="40"/>
      <c r="S354" s="40"/>
      <c r="T354" s="40"/>
      <c r="U354" s="41"/>
      <c r="V354" s="41"/>
      <c r="W354" s="41"/>
      <c r="X354" s="36"/>
      <c r="Y354" s="36"/>
      <c r="Z354" s="36"/>
      <c r="AA354" s="36"/>
      <c r="AB354" s="36"/>
      <c r="AC354" s="36"/>
    </row>
    <row r="355" spans="17:29" x14ac:dyDescent="0.2">
      <c r="Q355" s="36"/>
      <c r="R355" s="40"/>
      <c r="S355" s="40"/>
      <c r="T355" s="40"/>
      <c r="U355" s="41"/>
      <c r="V355" s="41"/>
      <c r="W355" s="41"/>
      <c r="X355" s="36"/>
      <c r="Y355" s="36"/>
      <c r="Z355" s="36"/>
      <c r="AA355" s="36"/>
      <c r="AB355" s="36"/>
      <c r="AC355" s="36"/>
    </row>
    <row r="356" spans="17:29" x14ac:dyDescent="0.2">
      <c r="Q356" s="36"/>
      <c r="R356" s="40"/>
      <c r="S356" s="40"/>
      <c r="T356" s="40"/>
      <c r="U356" s="41"/>
      <c r="V356" s="41"/>
      <c r="W356" s="41"/>
      <c r="X356" s="36"/>
      <c r="Y356" s="36"/>
      <c r="Z356" s="36"/>
      <c r="AA356" s="36"/>
      <c r="AB356" s="36"/>
      <c r="AC356" s="36"/>
    </row>
    <row r="357" spans="17:29" x14ac:dyDescent="0.2">
      <c r="Q357" s="36"/>
      <c r="R357" s="40"/>
      <c r="S357" s="40"/>
      <c r="T357" s="40"/>
      <c r="U357" s="41"/>
      <c r="V357" s="41"/>
      <c r="W357" s="41"/>
      <c r="X357" s="36"/>
      <c r="Y357" s="36"/>
      <c r="Z357" s="36"/>
      <c r="AA357" s="36"/>
      <c r="AB357" s="36"/>
      <c r="AC357" s="36"/>
    </row>
    <row r="358" spans="17:29" x14ac:dyDescent="0.2">
      <c r="Q358" s="36"/>
      <c r="R358" s="40"/>
      <c r="S358" s="40"/>
      <c r="T358" s="40"/>
      <c r="U358" s="41"/>
      <c r="V358" s="41"/>
      <c r="W358" s="41"/>
      <c r="X358" s="36"/>
      <c r="Y358" s="36"/>
      <c r="Z358" s="36"/>
      <c r="AA358" s="36"/>
      <c r="AB358" s="36"/>
      <c r="AC358" s="36"/>
    </row>
    <row r="359" spans="17:29" x14ac:dyDescent="0.2">
      <c r="Q359" s="36"/>
      <c r="R359" s="40"/>
      <c r="S359" s="40"/>
      <c r="T359" s="40"/>
      <c r="U359" s="41"/>
      <c r="V359" s="41"/>
      <c r="W359" s="41"/>
      <c r="X359" s="36"/>
      <c r="Y359" s="36"/>
      <c r="Z359" s="36"/>
      <c r="AA359" s="36"/>
      <c r="AB359" s="36"/>
      <c r="AC359" s="36"/>
    </row>
    <row r="360" spans="17:29" x14ac:dyDescent="0.2">
      <c r="Q360" s="36"/>
      <c r="R360" s="40"/>
      <c r="S360" s="40"/>
      <c r="T360" s="40"/>
      <c r="U360" s="41"/>
      <c r="V360" s="41"/>
      <c r="W360" s="41"/>
      <c r="X360" s="36"/>
      <c r="Y360" s="36"/>
      <c r="Z360" s="36"/>
      <c r="AA360" s="36"/>
      <c r="AB360" s="36"/>
      <c r="AC360" s="36"/>
    </row>
    <row r="361" spans="17:29" x14ac:dyDescent="0.2">
      <c r="Q361" s="36"/>
      <c r="R361" s="40"/>
      <c r="S361" s="40"/>
      <c r="T361" s="40"/>
      <c r="U361" s="41"/>
      <c r="V361" s="41"/>
      <c r="W361" s="41"/>
      <c r="X361" s="36"/>
      <c r="Y361" s="36"/>
      <c r="Z361" s="36"/>
      <c r="AA361" s="36"/>
      <c r="AB361" s="36"/>
      <c r="AC361" s="36"/>
    </row>
    <row r="362" spans="17:29" x14ac:dyDescent="0.2">
      <c r="Q362" s="36"/>
      <c r="R362" s="40"/>
      <c r="S362" s="40"/>
      <c r="T362" s="40"/>
      <c r="U362" s="41"/>
      <c r="V362" s="41"/>
      <c r="W362" s="41"/>
      <c r="X362" s="36"/>
      <c r="Y362" s="36"/>
      <c r="Z362" s="36"/>
      <c r="AA362" s="36"/>
      <c r="AB362" s="36"/>
      <c r="AC362" s="36"/>
    </row>
    <row r="363" spans="17:29" x14ac:dyDescent="0.2">
      <c r="Q363" s="36"/>
      <c r="R363" s="40"/>
      <c r="S363" s="40"/>
      <c r="T363" s="40"/>
      <c r="U363" s="41"/>
      <c r="V363" s="41"/>
      <c r="W363" s="41"/>
      <c r="X363" s="36"/>
      <c r="Y363" s="36"/>
      <c r="Z363" s="36"/>
      <c r="AA363" s="36"/>
      <c r="AB363" s="36"/>
      <c r="AC363" s="36"/>
    </row>
    <row r="364" spans="17:29" x14ac:dyDescent="0.2">
      <c r="Q364" s="36"/>
      <c r="R364" s="40"/>
      <c r="S364" s="40"/>
      <c r="T364" s="40"/>
      <c r="U364" s="41"/>
      <c r="V364" s="41"/>
      <c r="W364" s="41"/>
      <c r="X364" s="36"/>
      <c r="Y364" s="36"/>
      <c r="Z364" s="36"/>
      <c r="AA364" s="36"/>
      <c r="AB364" s="36"/>
      <c r="AC364" s="36"/>
    </row>
    <row r="365" spans="17:29" x14ac:dyDescent="0.2">
      <c r="Q365" s="36"/>
      <c r="R365" s="40"/>
      <c r="S365" s="40"/>
      <c r="T365" s="40"/>
      <c r="U365" s="41"/>
      <c r="V365" s="41"/>
      <c r="W365" s="41"/>
      <c r="X365" s="36"/>
      <c r="Y365" s="36"/>
      <c r="Z365" s="36"/>
      <c r="AA365" s="36"/>
      <c r="AB365" s="36"/>
      <c r="AC365" s="36"/>
    </row>
    <row r="366" spans="17:29" x14ac:dyDescent="0.2">
      <c r="Q366" s="36"/>
      <c r="R366" s="40"/>
      <c r="S366" s="40"/>
      <c r="T366" s="40"/>
      <c r="U366" s="41"/>
      <c r="V366" s="41"/>
      <c r="W366" s="41"/>
      <c r="X366" s="36"/>
      <c r="Y366" s="36"/>
      <c r="Z366" s="36"/>
      <c r="AA366" s="36"/>
      <c r="AB366" s="36"/>
      <c r="AC366" s="36"/>
    </row>
    <row r="367" spans="17:29" x14ac:dyDescent="0.2">
      <c r="Q367" s="36"/>
      <c r="R367" s="40"/>
      <c r="S367" s="40"/>
      <c r="T367" s="40"/>
      <c r="U367" s="41"/>
      <c r="V367" s="41"/>
      <c r="W367" s="41"/>
      <c r="X367" s="36"/>
      <c r="Y367" s="36"/>
      <c r="Z367" s="36"/>
      <c r="AA367" s="36"/>
      <c r="AB367" s="36"/>
      <c r="AC367" s="36"/>
    </row>
    <row r="368" spans="17:29" x14ac:dyDescent="0.2">
      <c r="Q368" s="36"/>
      <c r="R368" s="40"/>
      <c r="S368" s="40"/>
      <c r="T368" s="40"/>
      <c r="U368" s="41"/>
      <c r="V368" s="41"/>
      <c r="W368" s="41"/>
      <c r="X368" s="36"/>
      <c r="Y368" s="36"/>
      <c r="Z368" s="36"/>
      <c r="AA368" s="36"/>
      <c r="AB368" s="36"/>
      <c r="AC368" s="36"/>
    </row>
    <row r="369" spans="17:29" x14ac:dyDescent="0.2">
      <c r="Q369" s="36"/>
      <c r="R369" s="40"/>
      <c r="S369" s="40"/>
      <c r="T369" s="40"/>
      <c r="U369" s="41"/>
      <c r="V369" s="41"/>
      <c r="W369" s="41"/>
      <c r="X369" s="36"/>
      <c r="Y369" s="36"/>
      <c r="Z369" s="36"/>
      <c r="AA369" s="36"/>
      <c r="AB369" s="36"/>
      <c r="AC369" s="36"/>
    </row>
    <row r="370" spans="17:29" x14ac:dyDescent="0.2">
      <c r="Q370" s="36"/>
      <c r="R370" s="40"/>
      <c r="S370" s="40"/>
      <c r="T370" s="40"/>
      <c r="U370" s="41"/>
      <c r="V370" s="41"/>
      <c r="W370" s="41"/>
      <c r="X370" s="36"/>
      <c r="Y370" s="36"/>
      <c r="Z370" s="36"/>
      <c r="AA370" s="36"/>
      <c r="AB370" s="36"/>
      <c r="AC370" s="36"/>
    </row>
    <row r="371" spans="17:29" x14ac:dyDescent="0.2">
      <c r="Q371" s="36"/>
      <c r="R371" s="40"/>
      <c r="S371" s="40"/>
      <c r="T371" s="40"/>
      <c r="U371" s="41"/>
      <c r="V371" s="41"/>
      <c r="W371" s="41"/>
      <c r="X371" s="36"/>
      <c r="Y371" s="36"/>
      <c r="Z371" s="36"/>
      <c r="AA371" s="36"/>
      <c r="AB371" s="36"/>
      <c r="AC371" s="36"/>
    </row>
    <row r="372" spans="17:29" x14ac:dyDescent="0.2">
      <c r="Q372" s="36"/>
      <c r="R372" s="40"/>
      <c r="S372" s="40"/>
      <c r="T372" s="40"/>
      <c r="U372" s="41"/>
      <c r="V372" s="41"/>
      <c r="W372" s="41"/>
      <c r="X372" s="36"/>
      <c r="Y372" s="36"/>
      <c r="Z372" s="36"/>
      <c r="AA372" s="36"/>
      <c r="AB372" s="36"/>
      <c r="AC372" s="36"/>
    </row>
    <row r="373" spans="17:29" x14ac:dyDescent="0.2">
      <c r="Q373" s="36"/>
      <c r="R373" s="40"/>
      <c r="S373" s="40"/>
      <c r="T373" s="40"/>
      <c r="U373" s="41"/>
      <c r="V373" s="41"/>
      <c r="W373" s="41"/>
      <c r="X373" s="36"/>
      <c r="Y373" s="36"/>
      <c r="Z373" s="36"/>
      <c r="AA373" s="36"/>
      <c r="AB373" s="36"/>
      <c r="AC373" s="36"/>
    </row>
    <row r="374" spans="17:29" x14ac:dyDescent="0.2">
      <c r="Q374" s="36"/>
      <c r="R374" s="40"/>
      <c r="S374" s="40"/>
      <c r="T374" s="40"/>
      <c r="U374" s="41"/>
      <c r="V374" s="41"/>
      <c r="W374" s="41"/>
      <c r="X374" s="36"/>
      <c r="Y374" s="36"/>
      <c r="Z374" s="36"/>
      <c r="AA374" s="36"/>
      <c r="AB374" s="36"/>
      <c r="AC374" s="36"/>
    </row>
    <row r="375" spans="17:29" x14ac:dyDescent="0.2">
      <c r="Q375" s="36"/>
      <c r="R375" s="40"/>
      <c r="S375" s="40"/>
      <c r="T375" s="40"/>
      <c r="U375" s="41"/>
      <c r="V375" s="41"/>
      <c r="W375" s="41"/>
      <c r="X375" s="36"/>
      <c r="Y375" s="36"/>
      <c r="Z375" s="36"/>
      <c r="AA375" s="36"/>
      <c r="AB375" s="36"/>
      <c r="AC375" s="36"/>
    </row>
    <row r="376" spans="17:29" x14ac:dyDescent="0.2">
      <c r="Q376" s="36"/>
      <c r="R376" s="40"/>
      <c r="S376" s="40"/>
      <c r="T376" s="40"/>
      <c r="U376" s="41"/>
      <c r="V376" s="41"/>
      <c r="W376" s="41"/>
      <c r="X376" s="36"/>
      <c r="Y376" s="36"/>
      <c r="Z376" s="36"/>
      <c r="AA376" s="36"/>
      <c r="AB376" s="36"/>
      <c r="AC376" s="36"/>
    </row>
    <row r="377" spans="17:29" x14ac:dyDescent="0.2">
      <c r="Q377" s="36"/>
      <c r="R377" s="40"/>
      <c r="S377" s="40"/>
      <c r="T377" s="40"/>
      <c r="U377" s="41"/>
      <c r="V377" s="41"/>
      <c r="W377" s="41"/>
      <c r="X377" s="36"/>
      <c r="Y377" s="36"/>
      <c r="Z377" s="36"/>
      <c r="AA377" s="36"/>
      <c r="AB377" s="36"/>
      <c r="AC377" s="36"/>
    </row>
    <row r="378" spans="17:29" x14ac:dyDescent="0.2">
      <c r="Q378" s="36"/>
      <c r="R378" s="40"/>
      <c r="S378" s="40"/>
      <c r="T378" s="40"/>
      <c r="U378" s="41"/>
      <c r="V378" s="41"/>
      <c r="W378" s="41"/>
      <c r="X378" s="36"/>
      <c r="Y378" s="36"/>
      <c r="Z378" s="36"/>
      <c r="AA378" s="36"/>
      <c r="AB378" s="36"/>
      <c r="AC378" s="36"/>
    </row>
    <row r="379" spans="17:29" x14ac:dyDescent="0.2">
      <c r="Q379" s="36"/>
      <c r="R379" s="40"/>
      <c r="S379" s="40"/>
      <c r="T379" s="40"/>
      <c r="U379" s="41"/>
      <c r="V379" s="41"/>
      <c r="W379" s="41"/>
      <c r="X379" s="36"/>
      <c r="Y379" s="36"/>
      <c r="Z379" s="36"/>
      <c r="AA379" s="36"/>
      <c r="AB379" s="36"/>
      <c r="AC379" s="36"/>
    </row>
    <row r="380" spans="17:29" x14ac:dyDescent="0.2">
      <c r="Q380" s="36"/>
      <c r="R380" s="40"/>
      <c r="S380" s="40"/>
      <c r="T380" s="40"/>
      <c r="U380" s="41"/>
      <c r="V380" s="41"/>
      <c r="W380" s="41"/>
      <c r="X380" s="36"/>
      <c r="Y380" s="36"/>
      <c r="Z380" s="36"/>
      <c r="AA380" s="36"/>
      <c r="AB380" s="36"/>
      <c r="AC380" s="36"/>
    </row>
    <row r="381" spans="17:29" x14ac:dyDescent="0.2">
      <c r="Q381" s="36"/>
      <c r="R381" s="40"/>
      <c r="S381" s="40"/>
      <c r="T381" s="40"/>
      <c r="U381" s="41"/>
      <c r="V381" s="41"/>
      <c r="W381" s="41"/>
      <c r="X381" s="36"/>
      <c r="Y381" s="36"/>
      <c r="Z381" s="36"/>
      <c r="AA381" s="36"/>
      <c r="AB381" s="36"/>
      <c r="AC381" s="36"/>
    </row>
    <row r="382" spans="17:29" x14ac:dyDescent="0.2">
      <c r="Q382" s="36"/>
      <c r="R382" s="40"/>
      <c r="S382" s="40"/>
      <c r="T382" s="40"/>
      <c r="U382" s="41"/>
      <c r="V382" s="41"/>
      <c r="W382" s="41"/>
      <c r="X382" s="36"/>
      <c r="Y382" s="36"/>
      <c r="Z382" s="36"/>
      <c r="AA382" s="36"/>
      <c r="AB382" s="36"/>
      <c r="AC382" s="36"/>
    </row>
    <row r="383" spans="17:29" x14ac:dyDescent="0.2">
      <c r="Q383" s="36"/>
      <c r="R383" s="40"/>
      <c r="S383" s="40"/>
      <c r="T383" s="40"/>
      <c r="U383" s="41"/>
      <c r="V383" s="41"/>
      <c r="W383" s="41"/>
      <c r="X383" s="36"/>
      <c r="Y383" s="36"/>
      <c r="Z383" s="36"/>
      <c r="AA383" s="36"/>
      <c r="AB383" s="36"/>
      <c r="AC383" s="36"/>
    </row>
    <row r="384" spans="17:29" x14ac:dyDescent="0.2">
      <c r="Q384" s="36"/>
      <c r="R384" s="40"/>
      <c r="S384" s="40"/>
      <c r="T384" s="40"/>
      <c r="U384" s="41"/>
      <c r="V384" s="41"/>
      <c r="W384" s="41"/>
      <c r="X384" s="36"/>
      <c r="Y384" s="36"/>
      <c r="Z384" s="36"/>
      <c r="AA384" s="36"/>
      <c r="AB384" s="36"/>
      <c r="AC384" s="36"/>
    </row>
    <row r="385" spans="17:29" x14ac:dyDescent="0.2">
      <c r="Q385" s="36"/>
      <c r="R385" s="40"/>
      <c r="S385" s="40"/>
      <c r="T385" s="40"/>
      <c r="U385" s="41"/>
      <c r="V385" s="41"/>
      <c r="W385" s="41"/>
      <c r="X385" s="36"/>
      <c r="Y385" s="36"/>
      <c r="Z385" s="36"/>
      <c r="AA385" s="36"/>
      <c r="AB385" s="36"/>
      <c r="AC385" s="36"/>
    </row>
    <row r="386" spans="17:29" x14ac:dyDescent="0.2">
      <c r="Q386" s="36"/>
      <c r="R386" s="40"/>
      <c r="S386" s="40"/>
      <c r="T386" s="40"/>
      <c r="U386" s="41"/>
      <c r="V386" s="41"/>
      <c r="W386" s="41"/>
      <c r="X386" s="36"/>
      <c r="Y386" s="36"/>
      <c r="Z386" s="36"/>
      <c r="AA386" s="36"/>
      <c r="AB386" s="36"/>
      <c r="AC386" s="36"/>
    </row>
    <row r="387" spans="17:29" x14ac:dyDescent="0.2">
      <c r="Q387" s="36"/>
      <c r="R387" s="40"/>
      <c r="S387" s="40"/>
      <c r="T387" s="40"/>
      <c r="U387" s="41"/>
      <c r="V387" s="41"/>
      <c r="W387" s="41"/>
      <c r="X387" s="36"/>
      <c r="Y387" s="36"/>
      <c r="Z387" s="36"/>
      <c r="AA387" s="36"/>
      <c r="AB387" s="36"/>
      <c r="AC387" s="36"/>
    </row>
    <row r="388" spans="17:29" x14ac:dyDescent="0.2">
      <c r="Q388" s="36"/>
      <c r="R388" s="40"/>
      <c r="S388" s="40"/>
      <c r="T388" s="40"/>
      <c r="U388" s="41"/>
      <c r="V388" s="41"/>
      <c r="W388" s="41"/>
      <c r="X388" s="36"/>
      <c r="Y388" s="36"/>
      <c r="Z388" s="36"/>
      <c r="AA388" s="36"/>
      <c r="AB388" s="36"/>
      <c r="AC388" s="36"/>
    </row>
    <row r="389" spans="17:29" x14ac:dyDescent="0.2">
      <c r="Q389" s="36"/>
      <c r="R389" s="40"/>
      <c r="S389" s="40"/>
      <c r="T389" s="40"/>
      <c r="U389" s="41"/>
      <c r="V389" s="41"/>
      <c r="W389" s="41"/>
      <c r="X389" s="36"/>
      <c r="Y389" s="36"/>
      <c r="Z389" s="36"/>
      <c r="AA389" s="36"/>
      <c r="AB389" s="36"/>
      <c r="AC389" s="36"/>
    </row>
    <row r="390" spans="17:29" x14ac:dyDescent="0.2">
      <c r="Q390" s="36"/>
      <c r="R390" s="40"/>
      <c r="S390" s="40"/>
      <c r="T390" s="40"/>
      <c r="U390" s="41"/>
      <c r="V390" s="41"/>
      <c r="W390" s="41"/>
      <c r="X390" s="36"/>
      <c r="Y390" s="36"/>
      <c r="Z390" s="36"/>
      <c r="AA390" s="36"/>
      <c r="AB390" s="36"/>
      <c r="AC390" s="36"/>
    </row>
    <row r="391" spans="17:29" x14ac:dyDescent="0.2">
      <c r="Q391" s="36"/>
      <c r="R391" s="40"/>
      <c r="S391" s="40"/>
      <c r="T391" s="40"/>
      <c r="U391" s="41"/>
      <c r="V391" s="41"/>
      <c r="W391" s="41"/>
      <c r="X391" s="36"/>
      <c r="Y391" s="36"/>
      <c r="Z391" s="36"/>
      <c r="AA391" s="36"/>
      <c r="AB391" s="36"/>
      <c r="AC391" s="36"/>
    </row>
    <row r="392" spans="17:29" x14ac:dyDescent="0.2">
      <c r="Q392" s="36"/>
      <c r="R392" s="40"/>
      <c r="S392" s="40"/>
      <c r="T392" s="40"/>
      <c r="U392" s="41"/>
      <c r="V392" s="41"/>
      <c r="W392" s="41"/>
      <c r="X392" s="36"/>
      <c r="Y392" s="36"/>
      <c r="Z392" s="36"/>
      <c r="AA392" s="36"/>
      <c r="AB392" s="36"/>
      <c r="AC392" s="36"/>
    </row>
    <row r="393" spans="17:29" x14ac:dyDescent="0.2">
      <c r="Q393" s="36"/>
      <c r="R393" s="40"/>
      <c r="S393" s="40"/>
      <c r="T393" s="40"/>
      <c r="U393" s="41"/>
      <c r="V393" s="41"/>
      <c r="W393" s="41"/>
      <c r="X393" s="36"/>
      <c r="Y393" s="36"/>
      <c r="Z393" s="36"/>
      <c r="AA393" s="36"/>
      <c r="AB393" s="36"/>
      <c r="AC393" s="36"/>
    </row>
    <row r="394" spans="17:29" x14ac:dyDescent="0.2">
      <c r="Q394" s="36"/>
      <c r="R394" s="40"/>
      <c r="S394" s="40"/>
      <c r="T394" s="40"/>
      <c r="U394" s="41"/>
      <c r="V394" s="41"/>
      <c r="W394" s="41"/>
      <c r="X394" s="36"/>
      <c r="Y394" s="36"/>
      <c r="Z394" s="36"/>
      <c r="AA394" s="36"/>
      <c r="AB394" s="36"/>
      <c r="AC394" s="36"/>
    </row>
    <row r="395" spans="17:29" x14ac:dyDescent="0.2">
      <c r="Q395" s="36"/>
      <c r="R395" s="40"/>
      <c r="S395" s="40"/>
      <c r="T395" s="40"/>
      <c r="U395" s="41"/>
      <c r="V395" s="41"/>
      <c r="W395" s="41"/>
      <c r="X395" s="36"/>
      <c r="Y395" s="36"/>
      <c r="Z395" s="36"/>
      <c r="AA395" s="36"/>
      <c r="AB395" s="36"/>
      <c r="AC395" s="36"/>
    </row>
    <row r="396" spans="17:29" x14ac:dyDescent="0.2">
      <c r="Q396" s="36"/>
      <c r="R396" s="40"/>
      <c r="S396" s="40"/>
      <c r="T396" s="40"/>
      <c r="U396" s="41"/>
      <c r="V396" s="41"/>
      <c r="W396" s="41"/>
      <c r="X396" s="36"/>
      <c r="Y396" s="36"/>
      <c r="Z396" s="36"/>
      <c r="AA396" s="36"/>
      <c r="AB396" s="36"/>
      <c r="AC396" s="36"/>
    </row>
    <row r="397" spans="17:29" x14ac:dyDescent="0.2">
      <c r="Q397" s="36"/>
      <c r="R397" s="40"/>
      <c r="S397" s="40"/>
      <c r="T397" s="40"/>
      <c r="U397" s="41"/>
      <c r="V397" s="41"/>
      <c r="W397" s="41"/>
      <c r="X397" s="36"/>
      <c r="Y397" s="36"/>
      <c r="Z397" s="36"/>
      <c r="AA397" s="36"/>
      <c r="AB397" s="36"/>
      <c r="AC397" s="36"/>
    </row>
    <row r="398" spans="17:29" x14ac:dyDescent="0.2">
      <c r="Q398" s="36"/>
      <c r="R398" s="40"/>
      <c r="S398" s="40"/>
      <c r="T398" s="40"/>
      <c r="U398" s="41"/>
      <c r="V398" s="41"/>
      <c r="W398" s="41"/>
      <c r="X398" s="36"/>
      <c r="Y398" s="36"/>
      <c r="Z398" s="36"/>
      <c r="AA398" s="36"/>
      <c r="AB398" s="36"/>
      <c r="AC398" s="36"/>
    </row>
    <row r="399" spans="17:29" x14ac:dyDescent="0.2">
      <c r="Q399" s="36"/>
      <c r="R399" s="40"/>
      <c r="S399" s="40"/>
      <c r="T399" s="40"/>
      <c r="U399" s="41"/>
      <c r="V399" s="41"/>
      <c r="W399" s="41"/>
      <c r="X399" s="36"/>
      <c r="Y399" s="36"/>
      <c r="Z399" s="36"/>
      <c r="AA399" s="36"/>
      <c r="AB399" s="36"/>
      <c r="AC399" s="36"/>
    </row>
    <row r="400" spans="17:29" x14ac:dyDescent="0.2">
      <c r="Q400" s="36"/>
      <c r="R400" s="40"/>
      <c r="S400" s="40"/>
      <c r="T400" s="40"/>
      <c r="U400" s="41"/>
      <c r="V400" s="41"/>
      <c r="W400" s="41"/>
      <c r="X400" s="36"/>
      <c r="Y400" s="36"/>
      <c r="Z400" s="36"/>
      <c r="AA400" s="36"/>
      <c r="AB400" s="36"/>
      <c r="AC400" s="36"/>
    </row>
    <row r="401" spans="17:29" x14ac:dyDescent="0.2">
      <c r="Q401" s="36"/>
      <c r="R401" s="40"/>
      <c r="S401" s="40"/>
      <c r="T401" s="40"/>
      <c r="U401" s="41"/>
      <c r="V401" s="41"/>
      <c r="W401" s="41"/>
      <c r="X401" s="36"/>
      <c r="Y401" s="36"/>
      <c r="Z401" s="36"/>
      <c r="AA401" s="36"/>
      <c r="AB401" s="36"/>
      <c r="AC401" s="36"/>
    </row>
    <row r="402" spans="17:29" x14ac:dyDescent="0.2">
      <c r="Q402" s="36"/>
      <c r="R402" s="40"/>
      <c r="S402" s="40"/>
      <c r="T402" s="40"/>
      <c r="U402" s="41"/>
      <c r="V402" s="41"/>
      <c r="W402" s="41"/>
      <c r="X402" s="36"/>
      <c r="Y402" s="36"/>
      <c r="Z402" s="36"/>
      <c r="AA402" s="36"/>
      <c r="AB402" s="36"/>
      <c r="AC402" s="36"/>
    </row>
    <row r="403" spans="17:29" x14ac:dyDescent="0.2">
      <c r="Q403" s="36"/>
      <c r="R403" s="40"/>
      <c r="S403" s="40"/>
      <c r="T403" s="40"/>
      <c r="U403" s="41"/>
      <c r="V403" s="41"/>
      <c r="W403" s="41"/>
      <c r="X403" s="36"/>
      <c r="Y403" s="36"/>
      <c r="Z403" s="36"/>
      <c r="AA403" s="36"/>
      <c r="AB403" s="36"/>
      <c r="AC403" s="36"/>
    </row>
    <row r="404" spans="17:29" x14ac:dyDescent="0.2">
      <c r="Q404" s="36"/>
      <c r="R404" s="40"/>
      <c r="S404" s="40"/>
      <c r="T404" s="40"/>
      <c r="U404" s="41"/>
      <c r="V404" s="41"/>
      <c r="W404" s="41"/>
      <c r="X404" s="36"/>
      <c r="Y404" s="36"/>
      <c r="Z404" s="36"/>
      <c r="AA404" s="36"/>
      <c r="AB404" s="36"/>
      <c r="AC404" s="36"/>
    </row>
    <row r="405" spans="17:29" x14ac:dyDescent="0.2">
      <c r="Q405" s="36"/>
      <c r="R405" s="40"/>
      <c r="S405" s="40"/>
      <c r="T405" s="40"/>
      <c r="U405" s="41"/>
      <c r="V405" s="41"/>
      <c r="W405" s="41"/>
      <c r="X405" s="36"/>
      <c r="Y405" s="36"/>
      <c r="Z405" s="36"/>
      <c r="AA405" s="36"/>
      <c r="AB405" s="36"/>
      <c r="AC405" s="36"/>
    </row>
    <row r="406" spans="17:29" x14ac:dyDescent="0.2">
      <c r="Q406" s="36"/>
      <c r="R406" s="40"/>
      <c r="S406" s="40"/>
      <c r="T406" s="40"/>
      <c r="U406" s="41"/>
      <c r="V406" s="41"/>
      <c r="W406" s="41"/>
      <c r="X406" s="36"/>
      <c r="Y406" s="36"/>
      <c r="Z406" s="36"/>
      <c r="AA406" s="36"/>
      <c r="AB406" s="36"/>
      <c r="AC406" s="36"/>
    </row>
    <row r="407" spans="17:29" x14ac:dyDescent="0.2">
      <c r="Q407" s="36"/>
      <c r="R407" s="40"/>
      <c r="S407" s="40"/>
      <c r="T407" s="40"/>
      <c r="U407" s="41"/>
      <c r="V407" s="41"/>
      <c r="W407" s="41"/>
      <c r="X407" s="36"/>
      <c r="Y407" s="36"/>
      <c r="Z407" s="36"/>
      <c r="AA407" s="36"/>
      <c r="AB407" s="36"/>
      <c r="AC407" s="36"/>
    </row>
    <row r="408" spans="17:29" x14ac:dyDescent="0.2">
      <c r="Q408" s="36"/>
      <c r="R408" s="40"/>
      <c r="S408" s="40"/>
      <c r="T408" s="40"/>
      <c r="U408" s="41"/>
      <c r="V408" s="41"/>
      <c r="W408" s="41"/>
      <c r="X408" s="36"/>
      <c r="Y408" s="36"/>
      <c r="Z408" s="36"/>
      <c r="AA408" s="36"/>
      <c r="AB408" s="36"/>
      <c r="AC408" s="36"/>
    </row>
    <row r="409" spans="17:29" x14ac:dyDescent="0.2">
      <c r="Q409" s="36"/>
      <c r="R409" s="40"/>
      <c r="S409" s="40"/>
      <c r="T409" s="40"/>
      <c r="U409" s="41"/>
      <c r="V409" s="41"/>
      <c r="W409" s="41"/>
      <c r="X409" s="36"/>
      <c r="Y409" s="36"/>
      <c r="Z409" s="36"/>
      <c r="AA409" s="36"/>
      <c r="AB409" s="36"/>
      <c r="AC409" s="36"/>
    </row>
    <row r="410" spans="17:29" x14ac:dyDescent="0.2">
      <c r="Q410" s="36"/>
      <c r="R410" s="40"/>
      <c r="S410" s="40"/>
      <c r="T410" s="40"/>
      <c r="U410" s="41"/>
      <c r="V410" s="41"/>
      <c r="W410" s="41"/>
      <c r="X410" s="36"/>
      <c r="Y410" s="36"/>
      <c r="Z410" s="36"/>
      <c r="AA410" s="36"/>
      <c r="AB410" s="36"/>
      <c r="AC410" s="36"/>
    </row>
    <row r="411" spans="17:29" x14ac:dyDescent="0.2">
      <c r="Q411" s="36"/>
      <c r="R411" s="40"/>
      <c r="S411" s="40"/>
      <c r="T411" s="40"/>
      <c r="U411" s="41"/>
      <c r="V411" s="41"/>
      <c r="W411" s="41"/>
      <c r="X411" s="36"/>
      <c r="Y411" s="36"/>
      <c r="Z411" s="36"/>
      <c r="AA411" s="36"/>
      <c r="AB411" s="36"/>
      <c r="AC411" s="36"/>
    </row>
    <row r="412" spans="17:29" x14ac:dyDescent="0.2">
      <c r="Q412" s="36"/>
      <c r="R412" s="40"/>
      <c r="S412" s="40"/>
      <c r="T412" s="40"/>
      <c r="U412" s="41"/>
      <c r="V412" s="41"/>
      <c r="W412" s="41"/>
      <c r="X412" s="36"/>
      <c r="Y412" s="36"/>
      <c r="Z412" s="36"/>
      <c r="AA412" s="36"/>
      <c r="AB412" s="36"/>
      <c r="AC412" s="36"/>
    </row>
    <row r="413" spans="17:29" x14ac:dyDescent="0.2">
      <c r="Q413" s="36"/>
      <c r="R413" s="40"/>
      <c r="S413" s="40"/>
      <c r="T413" s="40"/>
      <c r="U413" s="41"/>
      <c r="V413" s="41"/>
      <c r="W413" s="41"/>
      <c r="X413" s="36"/>
      <c r="Y413" s="36"/>
      <c r="Z413" s="36"/>
      <c r="AA413" s="36"/>
      <c r="AB413" s="36"/>
      <c r="AC413" s="36"/>
    </row>
    <row r="414" spans="17:29" x14ac:dyDescent="0.2">
      <c r="Q414" s="36"/>
      <c r="R414" s="40"/>
      <c r="S414" s="40"/>
      <c r="T414" s="40"/>
      <c r="U414" s="41"/>
      <c r="V414" s="41"/>
      <c r="W414" s="41"/>
      <c r="X414" s="36"/>
      <c r="Y414" s="36"/>
      <c r="Z414" s="36"/>
      <c r="AA414" s="36"/>
      <c r="AB414" s="36"/>
      <c r="AC414" s="36"/>
    </row>
    <row r="415" spans="17:29" x14ac:dyDescent="0.2">
      <c r="Q415" s="36"/>
      <c r="R415" s="40"/>
      <c r="S415" s="40"/>
      <c r="T415" s="40"/>
      <c r="U415" s="41"/>
      <c r="V415" s="41"/>
      <c r="W415" s="41"/>
      <c r="X415" s="36"/>
      <c r="Y415" s="36"/>
      <c r="Z415" s="36"/>
      <c r="AA415" s="36"/>
      <c r="AB415" s="36"/>
      <c r="AC415" s="36"/>
    </row>
    <row r="416" spans="17:29" x14ac:dyDescent="0.2">
      <c r="Q416" s="36"/>
      <c r="R416" s="40"/>
      <c r="S416" s="40"/>
      <c r="T416" s="40"/>
      <c r="U416" s="41"/>
      <c r="V416" s="41"/>
      <c r="W416" s="41"/>
      <c r="X416" s="36"/>
      <c r="Y416" s="36"/>
      <c r="Z416" s="36"/>
      <c r="AA416" s="36"/>
      <c r="AB416" s="36"/>
      <c r="AC416" s="36"/>
    </row>
    <row r="417" spans="17:29" x14ac:dyDescent="0.2">
      <c r="Q417" s="36"/>
      <c r="R417" s="40"/>
      <c r="S417" s="40"/>
      <c r="T417" s="40"/>
      <c r="U417" s="41"/>
      <c r="V417" s="41"/>
      <c r="W417" s="41"/>
      <c r="X417" s="36"/>
      <c r="Y417" s="36"/>
      <c r="Z417" s="36"/>
      <c r="AA417" s="36"/>
      <c r="AB417" s="36"/>
      <c r="AC417" s="36"/>
    </row>
    <row r="418" spans="17:29" x14ac:dyDescent="0.2">
      <c r="Q418" s="36"/>
      <c r="R418" s="40"/>
      <c r="S418" s="40"/>
      <c r="T418" s="40"/>
      <c r="U418" s="41"/>
      <c r="V418" s="41"/>
      <c r="W418" s="41"/>
      <c r="X418" s="36"/>
      <c r="Y418" s="36"/>
      <c r="Z418" s="36"/>
      <c r="AA418" s="36"/>
      <c r="AB418" s="36"/>
      <c r="AC418" s="36"/>
    </row>
    <row r="419" spans="17:29" x14ac:dyDescent="0.2">
      <c r="Q419" s="36"/>
      <c r="R419" s="40"/>
      <c r="S419" s="40"/>
      <c r="T419" s="40"/>
      <c r="U419" s="41"/>
      <c r="V419" s="41"/>
      <c r="W419" s="41"/>
      <c r="X419" s="36"/>
      <c r="Y419" s="36"/>
      <c r="Z419" s="36"/>
      <c r="AA419" s="36"/>
      <c r="AB419" s="36"/>
      <c r="AC419" s="36"/>
    </row>
    <row r="420" spans="17:29" x14ac:dyDescent="0.2">
      <c r="Q420" s="36"/>
      <c r="R420" s="40"/>
      <c r="S420" s="40"/>
      <c r="T420" s="40"/>
      <c r="U420" s="41"/>
      <c r="V420" s="41"/>
      <c r="W420" s="41"/>
      <c r="X420" s="36"/>
      <c r="Y420" s="36"/>
      <c r="Z420" s="36"/>
      <c r="AA420" s="36"/>
      <c r="AB420" s="36"/>
      <c r="AC420" s="36"/>
    </row>
    <row r="421" spans="17:29" x14ac:dyDescent="0.2">
      <c r="Q421" s="36"/>
      <c r="R421" s="40"/>
      <c r="S421" s="40"/>
      <c r="T421" s="40"/>
      <c r="U421" s="41"/>
      <c r="V421" s="41"/>
      <c r="W421" s="41"/>
      <c r="X421" s="36"/>
      <c r="Y421" s="36"/>
      <c r="Z421" s="36"/>
      <c r="AA421" s="36"/>
      <c r="AB421" s="36"/>
      <c r="AC421" s="36"/>
    </row>
    <row r="422" spans="17:29" x14ac:dyDescent="0.2">
      <c r="Q422" s="36"/>
      <c r="R422" s="40"/>
      <c r="S422" s="40"/>
      <c r="T422" s="40"/>
      <c r="U422" s="41"/>
      <c r="V422" s="41"/>
      <c r="W422" s="41"/>
      <c r="X422" s="36"/>
      <c r="Y422" s="36"/>
      <c r="Z422" s="36"/>
      <c r="AA422" s="36"/>
      <c r="AB422" s="36"/>
      <c r="AC422" s="36"/>
    </row>
    <row r="423" spans="17:29" x14ac:dyDescent="0.2">
      <c r="Q423" s="36"/>
      <c r="R423" s="40"/>
      <c r="S423" s="40"/>
      <c r="T423" s="40"/>
      <c r="U423" s="41"/>
      <c r="V423" s="41"/>
      <c r="W423" s="41"/>
      <c r="X423" s="36"/>
      <c r="Y423" s="36"/>
      <c r="Z423" s="36"/>
      <c r="AA423" s="36"/>
      <c r="AB423" s="36"/>
      <c r="AC423" s="36"/>
    </row>
    <row r="424" spans="17:29" x14ac:dyDescent="0.2">
      <c r="Q424" s="36"/>
      <c r="R424" s="40"/>
      <c r="S424" s="40"/>
      <c r="T424" s="40"/>
      <c r="U424" s="41"/>
      <c r="V424" s="41"/>
      <c r="W424" s="41"/>
      <c r="X424" s="36"/>
      <c r="Y424" s="36"/>
      <c r="Z424" s="36"/>
      <c r="AA424" s="36"/>
      <c r="AB424" s="36"/>
      <c r="AC424" s="36"/>
    </row>
    <row r="425" spans="17:29" x14ac:dyDescent="0.2">
      <c r="Q425" s="36"/>
      <c r="R425" s="40"/>
      <c r="S425" s="40"/>
      <c r="T425" s="40"/>
      <c r="U425" s="41"/>
      <c r="V425" s="41"/>
      <c r="W425" s="41"/>
      <c r="X425" s="36"/>
      <c r="Y425" s="36"/>
      <c r="Z425" s="36"/>
      <c r="AA425" s="36"/>
      <c r="AB425" s="36"/>
      <c r="AC425" s="36"/>
    </row>
    <row r="426" spans="17:29" x14ac:dyDescent="0.2">
      <c r="Q426" s="36"/>
      <c r="R426" s="40"/>
      <c r="S426" s="40"/>
      <c r="T426" s="40"/>
      <c r="U426" s="41"/>
      <c r="V426" s="41"/>
      <c r="W426" s="41"/>
      <c r="X426" s="36"/>
      <c r="Y426" s="36"/>
      <c r="Z426" s="36"/>
      <c r="AA426" s="36"/>
      <c r="AB426" s="36"/>
      <c r="AC426" s="36"/>
    </row>
    <row r="427" spans="17:29" x14ac:dyDescent="0.2">
      <c r="Q427" s="36"/>
      <c r="R427" s="40"/>
      <c r="S427" s="40"/>
      <c r="T427" s="40"/>
      <c r="U427" s="41"/>
      <c r="V427" s="41"/>
      <c r="W427" s="41"/>
      <c r="X427" s="36"/>
      <c r="Y427" s="36"/>
      <c r="Z427" s="36"/>
      <c r="AA427" s="36"/>
      <c r="AB427" s="36"/>
      <c r="AC427" s="36"/>
    </row>
    <row r="428" spans="17:29" x14ac:dyDescent="0.2">
      <c r="Q428" s="36"/>
      <c r="R428" s="40"/>
      <c r="S428" s="40"/>
      <c r="T428" s="40"/>
      <c r="U428" s="41"/>
      <c r="V428" s="41"/>
      <c r="W428" s="41"/>
      <c r="X428" s="36"/>
      <c r="Y428" s="36"/>
      <c r="Z428" s="36"/>
      <c r="AA428" s="36"/>
      <c r="AB428" s="36"/>
      <c r="AC428" s="36"/>
    </row>
    <row r="429" spans="17:29" x14ac:dyDescent="0.2">
      <c r="Q429" s="36"/>
      <c r="R429" s="40"/>
      <c r="S429" s="40"/>
      <c r="T429" s="40"/>
      <c r="U429" s="41"/>
      <c r="V429" s="41"/>
      <c r="W429" s="41"/>
      <c r="X429" s="36"/>
      <c r="Y429" s="36"/>
      <c r="Z429" s="36"/>
      <c r="AA429" s="36"/>
      <c r="AB429" s="36"/>
      <c r="AC429" s="36"/>
    </row>
    <row r="430" spans="17:29" x14ac:dyDescent="0.2">
      <c r="Q430" s="36"/>
      <c r="R430" s="40"/>
      <c r="S430" s="40"/>
      <c r="T430" s="40"/>
      <c r="U430" s="41"/>
      <c r="V430" s="41"/>
      <c r="W430" s="41"/>
      <c r="X430" s="36"/>
      <c r="Y430" s="36"/>
      <c r="Z430" s="36"/>
      <c r="AA430" s="36"/>
      <c r="AB430" s="36"/>
      <c r="AC430" s="36"/>
    </row>
    <row r="431" spans="17:29" x14ac:dyDescent="0.2">
      <c r="Q431" s="36"/>
      <c r="R431" s="40"/>
      <c r="S431" s="40"/>
      <c r="T431" s="40"/>
      <c r="U431" s="41"/>
      <c r="V431" s="41"/>
      <c r="W431" s="41"/>
      <c r="X431" s="36"/>
      <c r="Y431" s="36"/>
      <c r="Z431" s="36"/>
      <c r="AA431" s="36"/>
      <c r="AB431" s="36"/>
      <c r="AC431" s="36"/>
    </row>
    <row r="432" spans="17:29" x14ac:dyDescent="0.2">
      <c r="Q432" s="36"/>
      <c r="R432" s="40"/>
      <c r="S432" s="40"/>
      <c r="T432" s="40"/>
      <c r="U432" s="41"/>
      <c r="V432" s="41"/>
      <c r="W432" s="41"/>
      <c r="X432" s="36"/>
      <c r="Y432" s="36"/>
      <c r="Z432" s="36"/>
      <c r="AA432" s="36"/>
      <c r="AB432" s="36"/>
      <c r="AC432" s="36"/>
    </row>
    <row r="433" spans="17:29" x14ac:dyDescent="0.2">
      <c r="Q433" s="36"/>
      <c r="R433" s="40"/>
      <c r="S433" s="40"/>
      <c r="T433" s="40"/>
      <c r="U433" s="41"/>
      <c r="V433" s="41"/>
      <c r="W433" s="41"/>
      <c r="X433" s="36"/>
      <c r="Y433" s="36"/>
      <c r="Z433" s="36"/>
      <c r="AA433" s="36"/>
      <c r="AB433" s="36"/>
      <c r="AC433" s="36"/>
    </row>
    <row r="434" spans="17:29" x14ac:dyDescent="0.2">
      <c r="Q434" s="36"/>
      <c r="R434" s="40"/>
      <c r="S434" s="40"/>
      <c r="T434" s="40"/>
      <c r="U434" s="41"/>
      <c r="V434" s="41"/>
      <c r="W434" s="41"/>
      <c r="X434" s="36"/>
      <c r="Y434" s="36"/>
      <c r="Z434" s="36"/>
      <c r="AA434" s="36"/>
      <c r="AB434" s="36"/>
      <c r="AC434" s="36"/>
    </row>
    <row r="435" spans="17:29" x14ac:dyDescent="0.2">
      <c r="Q435" s="36"/>
      <c r="R435" s="40"/>
      <c r="S435" s="40"/>
      <c r="T435" s="40"/>
      <c r="U435" s="41"/>
      <c r="V435" s="41"/>
      <c r="W435" s="41"/>
      <c r="X435" s="36"/>
      <c r="Y435" s="36"/>
      <c r="Z435" s="36"/>
      <c r="AA435" s="36"/>
      <c r="AB435" s="36"/>
      <c r="AC435" s="36"/>
    </row>
    <row r="436" spans="17:29" x14ac:dyDescent="0.2">
      <c r="Q436" s="36"/>
      <c r="R436" s="40"/>
      <c r="S436" s="40"/>
      <c r="T436" s="40"/>
      <c r="U436" s="41"/>
      <c r="V436" s="41"/>
      <c r="W436" s="41"/>
      <c r="X436" s="36"/>
      <c r="Y436" s="36"/>
      <c r="Z436" s="36"/>
      <c r="AA436" s="36"/>
      <c r="AB436" s="36"/>
      <c r="AC436" s="36"/>
    </row>
    <row r="437" spans="17:29" x14ac:dyDescent="0.2">
      <c r="Q437" s="36"/>
      <c r="R437" s="40"/>
      <c r="S437" s="40"/>
      <c r="T437" s="40"/>
      <c r="U437" s="41"/>
      <c r="V437" s="41"/>
      <c r="W437" s="41"/>
      <c r="X437" s="36"/>
      <c r="Y437" s="36"/>
      <c r="Z437" s="36"/>
      <c r="AA437" s="36"/>
      <c r="AB437" s="36"/>
      <c r="AC437" s="36"/>
    </row>
    <row r="438" spans="17:29" x14ac:dyDescent="0.2">
      <c r="Q438" s="36"/>
      <c r="R438" s="40"/>
      <c r="S438" s="40"/>
      <c r="T438" s="40"/>
      <c r="U438" s="41"/>
      <c r="V438" s="41"/>
      <c r="W438" s="41"/>
      <c r="X438" s="36"/>
      <c r="Y438" s="36"/>
      <c r="Z438" s="36"/>
      <c r="AA438" s="36"/>
      <c r="AB438" s="36"/>
      <c r="AC438" s="36"/>
    </row>
    <row r="439" spans="17:29" x14ac:dyDescent="0.2">
      <c r="Q439" s="36"/>
      <c r="R439" s="40"/>
      <c r="S439" s="40"/>
      <c r="T439" s="40"/>
      <c r="U439" s="41"/>
      <c r="V439" s="41"/>
      <c r="W439" s="41"/>
      <c r="X439" s="36"/>
      <c r="Y439" s="36"/>
      <c r="Z439" s="36"/>
      <c r="AA439" s="36"/>
      <c r="AB439" s="36"/>
      <c r="AC439" s="36"/>
    </row>
    <row r="440" spans="17:29" x14ac:dyDescent="0.2">
      <c r="Q440" s="36"/>
      <c r="R440" s="40"/>
      <c r="S440" s="40"/>
      <c r="T440" s="40"/>
      <c r="U440" s="41"/>
      <c r="V440" s="41"/>
      <c r="W440" s="41"/>
      <c r="X440" s="36"/>
      <c r="Y440" s="36"/>
      <c r="Z440" s="36"/>
      <c r="AA440" s="36"/>
      <c r="AB440" s="36"/>
      <c r="AC440" s="36"/>
    </row>
    <row r="441" spans="17:29" x14ac:dyDescent="0.2">
      <c r="Q441" s="36"/>
      <c r="R441" s="40"/>
      <c r="S441" s="40"/>
      <c r="T441" s="40"/>
      <c r="U441" s="41"/>
      <c r="V441" s="41"/>
      <c r="W441" s="41"/>
      <c r="X441" s="36"/>
      <c r="Y441" s="36"/>
      <c r="Z441" s="36"/>
      <c r="AA441" s="36"/>
      <c r="AB441" s="36"/>
      <c r="AC441" s="36"/>
    </row>
    <row r="442" spans="17:29" x14ac:dyDescent="0.2">
      <c r="Q442" s="36"/>
      <c r="R442" s="40"/>
      <c r="S442" s="40"/>
      <c r="T442" s="40"/>
      <c r="U442" s="41"/>
      <c r="V442" s="41"/>
      <c r="W442" s="41"/>
      <c r="X442" s="36"/>
      <c r="Y442" s="36"/>
      <c r="Z442" s="36"/>
      <c r="AA442" s="36"/>
      <c r="AB442" s="36"/>
      <c r="AC442" s="36"/>
    </row>
    <row r="443" spans="17:29" x14ac:dyDescent="0.2">
      <c r="Q443" s="36"/>
      <c r="R443" s="40"/>
      <c r="S443" s="40"/>
      <c r="T443" s="40"/>
      <c r="U443" s="41"/>
      <c r="V443" s="41"/>
      <c r="W443" s="41"/>
      <c r="X443" s="36"/>
      <c r="Y443" s="36"/>
      <c r="Z443" s="36"/>
      <c r="AA443" s="36"/>
      <c r="AB443" s="36"/>
      <c r="AC443" s="36"/>
    </row>
    <row r="444" spans="17:29" x14ac:dyDescent="0.2">
      <c r="Q444" s="36"/>
      <c r="R444" s="40"/>
      <c r="S444" s="40"/>
      <c r="T444" s="40"/>
      <c r="U444" s="41"/>
      <c r="V444" s="41"/>
      <c r="W444" s="41"/>
      <c r="X444" s="36"/>
      <c r="Y444" s="36"/>
      <c r="Z444" s="36"/>
      <c r="AA444" s="36"/>
      <c r="AB444" s="36"/>
      <c r="AC444" s="36"/>
    </row>
    <row r="445" spans="17:29" x14ac:dyDescent="0.2">
      <c r="Q445" s="36"/>
      <c r="R445" s="40"/>
      <c r="S445" s="40"/>
      <c r="T445" s="40"/>
      <c r="U445" s="41"/>
      <c r="V445" s="41"/>
      <c r="W445" s="41"/>
      <c r="X445" s="36"/>
      <c r="Y445" s="36"/>
      <c r="Z445" s="36"/>
      <c r="AA445" s="36"/>
      <c r="AB445" s="36"/>
      <c r="AC445" s="36"/>
    </row>
    <row r="446" spans="17:29" x14ac:dyDescent="0.2">
      <c r="Q446" s="36"/>
      <c r="R446" s="40"/>
      <c r="S446" s="40"/>
      <c r="T446" s="40"/>
      <c r="U446" s="41"/>
      <c r="V446" s="41"/>
      <c r="W446" s="41"/>
      <c r="X446" s="36"/>
      <c r="Y446" s="36"/>
      <c r="Z446" s="36"/>
      <c r="AA446" s="36"/>
      <c r="AB446" s="36"/>
      <c r="AC446" s="36"/>
    </row>
    <row r="447" spans="17:29" x14ac:dyDescent="0.2">
      <c r="Q447" s="36"/>
      <c r="R447" s="40"/>
      <c r="S447" s="40"/>
      <c r="T447" s="40"/>
      <c r="U447" s="41"/>
      <c r="V447" s="41"/>
      <c r="W447" s="41"/>
      <c r="X447" s="36"/>
      <c r="Y447" s="36"/>
      <c r="Z447" s="36"/>
      <c r="AA447" s="36"/>
      <c r="AB447" s="36"/>
      <c r="AC447" s="36"/>
    </row>
    <row r="448" spans="17:29" x14ac:dyDescent="0.2">
      <c r="Q448" s="36"/>
      <c r="R448" s="40"/>
      <c r="S448" s="40"/>
      <c r="T448" s="40"/>
      <c r="U448" s="41"/>
      <c r="V448" s="41"/>
      <c r="W448" s="41"/>
      <c r="X448" s="36"/>
      <c r="Y448" s="36"/>
      <c r="Z448" s="36"/>
      <c r="AA448" s="36"/>
      <c r="AB448" s="36"/>
      <c r="AC448" s="36"/>
    </row>
    <row r="449" spans="17:29" x14ac:dyDescent="0.2">
      <c r="Q449" s="36"/>
      <c r="R449" s="40"/>
      <c r="S449" s="40"/>
      <c r="T449" s="40"/>
      <c r="U449" s="41"/>
      <c r="V449" s="41"/>
      <c r="W449" s="41"/>
      <c r="X449" s="36"/>
      <c r="Y449" s="36"/>
      <c r="Z449" s="36"/>
      <c r="AA449" s="36"/>
      <c r="AB449" s="36"/>
      <c r="AC449" s="36"/>
    </row>
    <row r="450" spans="17:29" x14ac:dyDescent="0.2">
      <c r="Q450" s="36"/>
      <c r="R450" s="40"/>
      <c r="S450" s="40"/>
      <c r="T450" s="40"/>
      <c r="U450" s="41"/>
      <c r="V450" s="41"/>
      <c r="W450" s="41"/>
      <c r="X450" s="36"/>
      <c r="Y450" s="36"/>
      <c r="Z450" s="36"/>
      <c r="AA450" s="36"/>
      <c r="AB450" s="36"/>
      <c r="AC450" s="36"/>
    </row>
    <row r="451" spans="17:29" x14ac:dyDescent="0.2">
      <c r="Q451" s="36"/>
      <c r="R451" s="40"/>
      <c r="S451" s="40"/>
      <c r="T451" s="40"/>
      <c r="U451" s="41"/>
      <c r="V451" s="41"/>
      <c r="W451" s="41"/>
      <c r="X451" s="36"/>
      <c r="Y451" s="36"/>
      <c r="Z451" s="36"/>
      <c r="AA451" s="36"/>
      <c r="AB451" s="36"/>
      <c r="AC451" s="36"/>
    </row>
    <row r="452" spans="17:29" x14ac:dyDescent="0.2">
      <c r="Q452" s="36"/>
      <c r="R452" s="40"/>
      <c r="S452" s="40"/>
      <c r="T452" s="40"/>
      <c r="U452" s="41"/>
      <c r="V452" s="41"/>
      <c r="W452" s="41"/>
      <c r="X452" s="36"/>
      <c r="Y452" s="36"/>
      <c r="Z452" s="36"/>
      <c r="AA452" s="36"/>
      <c r="AB452" s="36"/>
      <c r="AC452" s="36"/>
    </row>
    <row r="453" spans="17:29" x14ac:dyDescent="0.2">
      <c r="Q453" s="36"/>
      <c r="R453" s="40"/>
      <c r="S453" s="40"/>
      <c r="T453" s="40"/>
      <c r="U453" s="41"/>
      <c r="V453" s="41"/>
      <c r="W453" s="41"/>
      <c r="X453" s="36"/>
      <c r="Y453" s="36"/>
      <c r="Z453" s="36"/>
      <c r="AA453" s="36"/>
      <c r="AB453" s="36"/>
      <c r="AC453" s="36"/>
    </row>
    <row r="454" spans="17:29" x14ac:dyDescent="0.2">
      <c r="Q454" s="36"/>
      <c r="R454" s="40"/>
      <c r="S454" s="40"/>
      <c r="T454" s="40"/>
      <c r="U454" s="41"/>
      <c r="V454" s="41"/>
      <c r="W454" s="41"/>
      <c r="X454" s="36"/>
      <c r="Y454" s="36"/>
      <c r="Z454" s="36"/>
      <c r="AA454" s="36"/>
      <c r="AB454" s="36"/>
      <c r="AC454" s="36"/>
    </row>
    <row r="455" spans="17:29" x14ac:dyDescent="0.2">
      <c r="Q455" s="36"/>
      <c r="R455" s="40"/>
      <c r="S455" s="40"/>
      <c r="T455" s="40"/>
      <c r="U455" s="41"/>
      <c r="V455" s="41"/>
      <c r="W455" s="41"/>
      <c r="X455" s="36"/>
      <c r="Y455" s="36"/>
      <c r="Z455" s="36"/>
      <c r="AA455" s="36"/>
      <c r="AB455" s="36"/>
      <c r="AC455" s="36"/>
    </row>
    <row r="456" spans="17:29" x14ac:dyDescent="0.2">
      <c r="Q456" s="36"/>
      <c r="R456" s="40"/>
      <c r="S456" s="40"/>
      <c r="T456" s="40"/>
      <c r="U456" s="41"/>
      <c r="V456" s="41"/>
      <c r="W456" s="41"/>
      <c r="X456" s="36"/>
      <c r="Y456" s="36"/>
      <c r="Z456" s="36"/>
      <c r="AA456" s="36"/>
      <c r="AB456" s="36"/>
      <c r="AC456" s="36"/>
    </row>
    <row r="457" spans="17:29" x14ac:dyDescent="0.2">
      <c r="Q457" s="36"/>
      <c r="R457" s="40"/>
      <c r="S457" s="40"/>
      <c r="T457" s="40"/>
      <c r="U457" s="41"/>
      <c r="V457" s="41"/>
      <c r="W457" s="41"/>
      <c r="X457" s="36"/>
      <c r="Y457" s="36"/>
      <c r="Z457" s="36"/>
      <c r="AA457" s="36"/>
      <c r="AB457" s="36"/>
      <c r="AC457" s="36"/>
    </row>
    <row r="458" spans="17:29" x14ac:dyDescent="0.2">
      <c r="Q458" s="36"/>
      <c r="R458" s="40"/>
      <c r="S458" s="40"/>
      <c r="T458" s="40"/>
      <c r="U458" s="41"/>
      <c r="V458" s="41"/>
      <c r="W458" s="41"/>
      <c r="X458" s="36"/>
      <c r="Y458" s="36"/>
      <c r="Z458" s="36"/>
      <c r="AA458" s="36"/>
      <c r="AB458" s="36"/>
      <c r="AC458" s="36"/>
    </row>
    <row r="459" spans="17:29" x14ac:dyDescent="0.2">
      <c r="Q459" s="36"/>
      <c r="R459" s="40"/>
      <c r="S459" s="40"/>
      <c r="T459" s="40"/>
      <c r="U459" s="41"/>
      <c r="V459" s="41"/>
      <c r="W459" s="41"/>
      <c r="X459" s="36"/>
      <c r="Y459" s="36"/>
      <c r="Z459" s="36"/>
      <c r="AA459" s="36"/>
      <c r="AB459" s="36"/>
      <c r="AC459" s="36"/>
    </row>
    <row r="460" spans="17:29" x14ac:dyDescent="0.2">
      <c r="Q460" s="36"/>
      <c r="R460" s="40"/>
      <c r="S460" s="40"/>
      <c r="T460" s="40"/>
      <c r="U460" s="41"/>
      <c r="V460" s="41"/>
      <c r="W460" s="41"/>
      <c r="X460" s="36"/>
      <c r="Y460" s="36"/>
      <c r="Z460" s="36"/>
      <c r="AA460" s="36"/>
      <c r="AB460" s="36"/>
      <c r="AC460" s="36"/>
    </row>
    <row r="461" spans="17:29" x14ac:dyDescent="0.2">
      <c r="Q461" s="36"/>
      <c r="R461" s="40"/>
      <c r="S461" s="40"/>
      <c r="T461" s="40"/>
      <c r="U461" s="41"/>
      <c r="V461" s="41"/>
      <c r="W461" s="41"/>
      <c r="X461" s="36"/>
      <c r="Y461" s="36"/>
      <c r="Z461" s="36"/>
      <c r="AA461" s="36"/>
      <c r="AB461" s="36"/>
      <c r="AC461" s="36"/>
    </row>
    <row r="462" spans="17:29" x14ac:dyDescent="0.2">
      <c r="Q462" s="36"/>
      <c r="R462" s="40"/>
      <c r="S462" s="40"/>
      <c r="T462" s="40"/>
      <c r="U462" s="41"/>
      <c r="V462" s="41"/>
      <c r="W462" s="41"/>
      <c r="X462" s="36"/>
      <c r="Y462" s="36"/>
      <c r="Z462" s="36"/>
      <c r="AA462" s="36"/>
      <c r="AB462" s="36"/>
      <c r="AC462" s="36"/>
    </row>
    <row r="463" spans="17:29" x14ac:dyDescent="0.2">
      <c r="Q463" s="36"/>
      <c r="R463" s="40"/>
      <c r="S463" s="40"/>
      <c r="T463" s="40"/>
      <c r="U463" s="41"/>
      <c r="V463" s="41"/>
      <c r="W463" s="41"/>
      <c r="X463" s="36"/>
      <c r="Y463" s="36"/>
      <c r="Z463" s="36"/>
      <c r="AA463" s="36"/>
      <c r="AB463" s="36"/>
      <c r="AC463" s="36"/>
    </row>
    <row r="464" spans="17:29" x14ac:dyDescent="0.2">
      <c r="Q464" s="36"/>
      <c r="R464" s="40"/>
      <c r="S464" s="40"/>
      <c r="T464" s="40"/>
      <c r="U464" s="41"/>
      <c r="V464" s="41"/>
      <c r="W464" s="41"/>
      <c r="X464" s="36"/>
      <c r="Y464" s="36"/>
      <c r="Z464" s="36"/>
      <c r="AA464" s="36"/>
      <c r="AB464" s="36"/>
      <c r="AC464" s="36"/>
    </row>
    <row r="465" spans="17:29" x14ac:dyDescent="0.2">
      <c r="Q465" s="36"/>
      <c r="R465" s="40"/>
      <c r="S465" s="40"/>
      <c r="T465" s="40"/>
      <c r="U465" s="41"/>
      <c r="V465" s="41"/>
      <c r="W465" s="41"/>
      <c r="X465" s="36"/>
      <c r="Y465" s="36"/>
      <c r="Z465" s="36"/>
      <c r="AA465" s="36"/>
      <c r="AB465" s="36"/>
      <c r="AC465" s="36"/>
    </row>
    <row r="466" spans="17:29" x14ac:dyDescent="0.2">
      <c r="Q466" s="36"/>
      <c r="R466" s="40"/>
      <c r="S466" s="40"/>
      <c r="T466" s="40"/>
      <c r="U466" s="41"/>
      <c r="V466" s="41"/>
      <c r="W466" s="41"/>
      <c r="X466" s="36"/>
      <c r="Y466" s="36"/>
      <c r="Z466" s="36"/>
      <c r="AA466" s="36"/>
      <c r="AB466" s="36"/>
      <c r="AC466" s="36"/>
    </row>
    <row r="467" spans="17:29" x14ac:dyDescent="0.2">
      <c r="Q467" s="36"/>
      <c r="R467" s="40"/>
      <c r="S467" s="40"/>
      <c r="T467" s="40"/>
      <c r="U467" s="41"/>
      <c r="V467" s="41"/>
      <c r="W467" s="41"/>
      <c r="X467" s="36"/>
      <c r="Y467" s="36"/>
      <c r="Z467" s="36"/>
      <c r="AA467" s="36"/>
      <c r="AB467" s="36"/>
      <c r="AC467" s="36"/>
    </row>
    <row r="468" spans="17:29" x14ac:dyDescent="0.2">
      <c r="Q468" s="36"/>
      <c r="R468" s="40"/>
      <c r="S468" s="40"/>
      <c r="T468" s="40"/>
      <c r="U468" s="41"/>
      <c r="V468" s="41"/>
      <c r="W468" s="41"/>
      <c r="X468" s="36"/>
      <c r="Y468" s="36"/>
      <c r="Z468" s="36"/>
      <c r="AA468" s="36"/>
      <c r="AB468" s="36"/>
      <c r="AC468" s="36"/>
    </row>
    <row r="469" spans="17:29" x14ac:dyDescent="0.2">
      <c r="Q469" s="36"/>
      <c r="R469" s="40"/>
      <c r="S469" s="40"/>
      <c r="T469" s="40"/>
      <c r="U469" s="41"/>
      <c r="V469" s="41"/>
      <c r="W469" s="41"/>
      <c r="X469" s="36"/>
      <c r="Y469" s="36"/>
      <c r="Z469" s="36"/>
      <c r="AA469" s="36"/>
      <c r="AB469" s="36"/>
      <c r="AC469" s="36"/>
    </row>
    <row r="470" spans="17:29" x14ac:dyDescent="0.2">
      <c r="Q470" s="36"/>
      <c r="R470" s="40"/>
      <c r="S470" s="40"/>
      <c r="T470" s="40"/>
      <c r="U470" s="41"/>
      <c r="V470" s="41"/>
      <c r="W470" s="41"/>
      <c r="X470" s="36"/>
      <c r="Y470" s="36"/>
      <c r="Z470" s="36"/>
      <c r="AA470" s="36"/>
      <c r="AB470" s="36"/>
      <c r="AC470" s="36"/>
    </row>
    <row r="471" spans="17:29" x14ac:dyDescent="0.2">
      <c r="Q471" s="36"/>
      <c r="R471" s="40"/>
      <c r="S471" s="40"/>
      <c r="T471" s="40"/>
      <c r="U471" s="41"/>
      <c r="V471" s="41"/>
      <c r="W471" s="41"/>
      <c r="X471" s="36"/>
      <c r="Y471" s="36"/>
      <c r="Z471" s="36"/>
      <c r="AA471" s="36"/>
      <c r="AB471" s="36"/>
      <c r="AC471" s="36"/>
    </row>
    <row r="472" spans="17:29" x14ac:dyDescent="0.2">
      <c r="Q472" s="36"/>
      <c r="R472" s="40"/>
      <c r="S472" s="40"/>
      <c r="T472" s="40"/>
      <c r="U472" s="41"/>
      <c r="V472" s="41"/>
      <c r="W472" s="41"/>
      <c r="X472" s="36"/>
      <c r="Y472" s="36"/>
      <c r="Z472" s="36"/>
      <c r="AA472" s="36"/>
      <c r="AB472" s="36"/>
      <c r="AC472" s="36"/>
    </row>
    <row r="473" spans="17:29" x14ac:dyDescent="0.2">
      <c r="Q473" s="36"/>
      <c r="R473" s="40"/>
      <c r="S473" s="40"/>
      <c r="T473" s="40"/>
      <c r="U473" s="41"/>
      <c r="V473" s="41"/>
      <c r="W473" s="41"/>
      <c r="X473" s="36"/>
      <c r="Y473" s="36"/>
      <c r="Z473" s="36"/>
      <c r="AA473" s="36"/>
      <c r="AB473" s="36"/>
      <c r="AC473" s="36"/>
    </row>
    <row r="474" spans="17:29" x14ac:dyDescent="0.2">
      <c r="Q474" s="36"/>
      <c r="R474" s="40"/>
      <c r="S474" s="40"/>
      <c r="T474" s="40"/>
      <c r="U474" s="41"/>
      <c r="V474" s="41"/>
      <c r="W474" s="41"/>
      <c r="X474" s="36"/>
      <c r="Y474" s="36"/>
      <c r="Z474" s="36"/>
      <c r="AA474" s="36"/>
      <c r="AB474" s="36"/>
      <c r="AC474" s="36"/>
    </row>
    <row r="475" spans="17:29" x14ac:dyDescent="0.2">
      <c r="Q475" s="36"/>
      <c r="R475" s="40"/>
      <c r="S475" s="40"/>
      <c r="T475" s="40"/>
      <c r="U475" s="41"/>
      <c r="V475" s="41"/>
      <c r="W475" s="41"/>
      <c r="X475" s="36"/>
      <c r="Y475" s="36"/>
      <c r="Z475" s="36"/>
      <c r="AA475" s="36"/>
      <c r="AB475" s="36"/>
      <c r="AC475" s="36"/>
    </row>
    <row r="476" spans="17:29" x14ac:dyDescent="0.2">
      <c r="Q476" s="36"/>
      <c r="R476" s="40"/>
      <c r="S476" s="40"/>
      <c r="T476" s="40"/>
      <c r="U476" s="41"/>
      <c r="V476" s="41"/>
      <c r="W476" s="41"/>
      <c r="X476" s="36"/>
      <c r="Y476" s="36"/>
      <c r="Z476" s="36"/>
      <c r="AA476" s="36"/>
      <c r="AB476" s="36"/>
      <c r="AC476" s="36"/>
    </row>
    <row r="477" spans="17:29" x14ac:dyDescent="0.2">
      <c r="Q477" s="36"/>
      <c r="R477" s="40"/>
      <c r="S477" s="40"/>
      <c r="T477" s="40"/>
      <c r="U477" s="41"/>
      <c r="V477" s="41"/>
      <c r="W477" s="41"/>
      <c r="X477" s="36"/>
      <c r="Y477" s="36"/>
      <c r="Z477" s="36"/>
      <c r="AA477" s="36"/>
      <c r="AB477" s="36"/>
      <c r="AC477" s="36"/>
    </row>
    <row r="478" spans="17:29" x14ac:dyDescent="0.2">
      <c r="Q478" s="36"/>
      <c r="R478" s="40"/>
      <c r="S478" s="40"/>
      <c r="T478" s="40"/>
      <c r="U478" s="41"/>
      <c r="V478" s="41"/>
      <c r="W478" s="41"/>
      <c r="X478" s="36"/>
      <c r="Y478" s="36"/>
      <c r="Z478" s="36"/>
      <c r="AA478" s="36"/>
      <c r="AB478" s="36"/>
      <c r="AC478" s="36"/>
    </row>
    <row r="479" spans="17:29" x14ac:dyDescent="0.2">
      <c r="Q479" s="36"/>
      <c r="R479" s="40"/>
      <c r="S479" s="40"/>
      <c r="T479" s="40"/>
      <c r="U479" s="41"/>
      <c r="V479" s="41"/>
      <c r="W479" s="41"/>
      <c r="X479" s="36"/>
      <c r="Y479" s="36"/>
      <c r="Z479" s="36"/>
      <c r="AA479" s="36"/>
      <c r="AB479" s="36"/>
      <c r="AC479" s="36"/>
    </row>
    <row r="480" spans="17:29" x14ac:dyDescent="0.2">
      <c r="Q480" s="36"/>
      <c r="R480" s="40"/>
      <c r="S480" s="40"/>
      <c r="T480" s="40"/>
      <c r="U480" s="41"/>
      <c r="V480" s="41"/>
      <c r="W480" s="41"/>
      <c r="X480" s="36"/>
      <c r="Y480" s="36"/>
      <c r="Z480" s="36"/>
      <c r="AA480" s="36"/>
      <c r="AB480" s="36"/>
      <c r="AC480" s="36"/>
    </row>
    <row r="481" spans="17:29" x14ac:dyDescent="0.2">
      <c r="Q481" s="36"/>
      <c r="R481" s="40"/>
      <c r="S481" s="40"/>
      <c r="T481" s="40"/>
      <c r="U481" s="41"/>
      <c r="V481" s="41"/>
      <c r="W481" s="41"/>
      <c r="X481" s="36"/>
      <c r="Y481" s="36"/>
      <c r="Z481" s="36"/>
      <c r="AA481" s="36"/>
      <c r="AB481" s="36"/>
      <c r="AC481" s="36"/>
    </row>
    <row r="482" spans="17:29" x14ac:dyDescent="0.2">
      <c r="Q482" s="36"/>
      <c r="R482" s="40"/>
      <c r="S482" s="40"/>
      <c r="T482" s="40"/>
      <c r="U482" s="41"/>
      <c r="V482" s="41"/>
      <c r="W482" s="41"/>
      <c r="X482" s="36"/>
      <c r="Y482" s="36"/>
      <c r="Z482" s="36"/>
      <c r="AA482" s="36"/>
      <c r="AB482" s="36"/>
      <c r="AC482" s="36"/>
    </row>
    <row r="483" spans="17:29" x14ac:dyDescent="0.2">
      <c r="Q483" s="36"/>
      <c r="R483" s="40"/>
      <c r="S483" s="40"/>
      <c r="T483" s="40"/>
      <c r="U483" s="41"/>
      <c r="V483" s="41"/>
      <c r="W483" s="41"/>
      <c r="X483" s="36"/>
      <c r="Y483" s="36"/>
      <c r="Z483" s="36"/>
      <c r="AA483" s="36"/>
      <c r="AB483" s="36"/>
      <c r="AC483" s="36"/>
    </row>
    <row r="484" spans="17:29" x14ac:dyDescent="0.2">
      <c r="Q484" s="36"/>
      <c r="R484" s="40"/>
      <c r="S484" s="40"/>
      <c r="T484" s="40"/>
      <c r="U484" s="41"/>
      <c r="V484" s="41"/>
      <c r="W484" s="41"/>
      <c r="X484" s="36"/>
      <c r="Y484" s="36"/>
      <c r="Z484" s="36"/>
      <c r="AA484" s="36"/>
      <c r="AB484" s="36"/>
      <c r="AC484" s="36"/>
    </row>
    <row r="485" spans="17:29" x14ac:dyDescent="0.2">
      <c r="Q485" s="36"/>
      <c r="R485" s="40"/>
      <c r="S485" s="40"/>
      <c r="T485" s="40"/>
      <c r="U485" s="41"/>
      <c r="V485" s="41"/>
      <c r="W485" s="41"/>
      <c r="X485" s="36"/>
      <c r="Y485" s="36"/>
      <c r="Z485" s="36"/>
      <c r="AA485" s="36"/>
      <c r="AB485" s="36"/>
      <c r="AC485" s="36"/>
    </row>
    <row r="486" spans="17:29" x14ac:dyDescent="0.2">
      <c r="Q486" s="36"/>
      <c r="R486" s="40"/>
      <c r="S486" s="40"/>
      <c r="T486" s="40"/>
      <c r="U486" s="41"/>
      <c r="V486" s="41"/>
      <c r="W486" s="41"/>
      <c r="X486" s="36"/>
      <c r="Y486" s="36"/>
      <c r="Z486" s="36"/>
      <c r="AA486" s="36"/>
      <c r="AB486" s="36"/>
      <c r="AC486" s="36"/>
    </row>
    <row r="487" spans="17:29" x14ac:dyDescent="0.2">
      <c r="Q487" s="36"/>
      <c r="R487" s="40"/>
      <c r="S487" s="40"/>
      <c r="T487" s="40"/>
      <c r="U487" s="41"/>
      <c r="V487" s="41"/>
      <c r="W487" s="41"/>
      <c r="X487" s="36"/>
      <c r="Y487" s="36"/>
      <c r="Z487" s="36"/>
      <c r="AA487" s="36"/>
      <c r="AB487" s="36"/>
      <c r="AC487" s="36"/>
    </row>
    <row r="488" spans="17:29" x14ac:dyDescent="0.2">
      <c r="Q488" s="36"/>
      <c r="R488" s="40"/>
      <c r="S488" s="40"/>
      <c r="T488" s="40"/>
      <c r="U488" s="41"/>
      <c r="V488" s="41"/>
      <c r="W488" s="41"/>
      <c r="X488" s="36"/>
      <c r="Y488" s="36"/>
      <c r="Z488" s="36"/>
      <c r="AA488" s="36"/>
      <c r="AB488" s="36"/>
      <c r="AC488" s="36"/>
    </row>
    <row r="489" spans="17:29" x14ac:dyDescent="0.2">
      <c r="Q489" s="36"/>
      <c r="R489" s="40"/>
      <c r="S489" s="40"/>
      <c r="T489" s="40"/>
      <c r="U489" s="41"/>
      <c r="V489" s="41"/>
      <c r="W489" s="41"/>
      <c r="X489" s="36"/>
      <c r="Y489" s="36"/>
      <c r="Z489" s="36"/>
      <c r="AA489" s="36"/>
      <c r="AB489" s="36"/>
      <c r="AC489" s="36"/>
    </row>
    <row r="490" spans="17:29" x14ac:dyDescent="0.2">
      <c r="Q490" s="36"/>
      <c r="R490" s="40"/>
      <c r="S490" s="40"/>
      <c r="T490" s="40"/>
      <c r="U490" s="41"/>
      <c r="V490" s="41"/>
      <c r="W490" s="41"/>
      <c r="X490" s="36"/>
      <c r="Y490" s="36"/>
      <c r="Z490" s="36"/>
      <c r="AA490" s="36"/>
      <c r="AB490" s="36"/>
      <c r="AC490" s="36"/>
    </row>
    <row r="491" spans="17:29" x14ac:dyDescent="0.2">
      <c r="Q491" s="36"/>
      <c r="R491" s="40"/>
      <c r="S491" s="40"/>
      <c r="T491" s="40"/>
      <c r="U491" s="41"/>
      <c r="V491" s="41"/>
      <c r="W491" s="41"/>
      <c r="X491" s="36"/>
      <c r="Y491" s="36"/>
      <c r="Z491" s="36"/>
      <c r="AA491" s="36"/>
      <c r="AB491" s="36"/>
      <c r="AC491" s="36"/>
    </row>
    <row r="492" spans="17:29" x14ac:dyDescent="0.2">
      <c r="Q492" s="36"/>
      <c r="R492" s="40"/>
      <c r="S492" s="40"/>
      <c r="T492" s="40"/>
      <c r="U492" s="41"/>
      <c r="V492" s="41"/>
      <c r="W492" s="41"/>
      <c r="X492" s="36"/>
      <c r="Y492" s="36"/>
      <c r="Z492" s="36"/>
      <c r="AA492" s="36"/>
      <c r="AB492" s="36"/>
      <c r="AC492" s="36"/>
    </row>
    <row r="493" spans="17:29" x14ac:dyDescent="0.2">
      <c r="Q493" s="36"/>
      <c r="R493" s="40"/>
      <c r="S493" s="40"/>
      <c r="T493" s="40"/>
      <c r="U493" s="41"/>
      <c r="V493" s="41"/>
      <c r="W493" s="41"/>
      <c r="X493" s="36"/>
      <c r="Y493" s="36"/>
      <c r="Z493" s="36"/>
      <c r="AA493" s="36"/>
      <c r="AB493" s="36"/>
      <c r="AC493" s="36"/>
    </row>
    <row r="494" spans="17:29" x14ac:dyDescent="0.2">
      <c r="Q494" s="36"/>
      <c r="R494" s="40"/>
      <c r="S494" s="40"/>
      <c r="T494" s="40"/>
      <c r="U494" s="41"/>
      <c r="V494" s="41"/>
      <c r="W494" s="41"/>
      <c r="X494" s="36"/>
      <c r="Y494" s="36"/>
      <c r="Z494" s="36"/>
      <c r="AA494" s="36"/>
      <c r="AB494" s="36"/>
      <c r="AC494" s="36"/>
    </row>
    <row r="495" spans="17:29" x14ac:dyDescent="0.2">
      <c r="Q495" s="36"/>
      <c r="R495" s="40"/>
      <c r="S495" s="40"/>
      <c r="T495" s="40"/>
      <c r="U495" s="41"/>
      <c r="V495" s="41"/>
      <c r="W495" s="41"/>
      <c r="X495" s="36"/>
      <c r="Y495" s="36"/>
      <c r="Z495" s="36"/>
      <c r="AA495" s="36"/>
      <c r="AB495" s="36"/>
      <c r="AC495" s="36"/>
    </row>
    <row r="496" spans="17:29" x14ac:dyDescent="0.2">
      <c r="Q496" s="36"/>
      <c r="R496" s="40"/>
      <c r="S496" s="40"/>
      <c r="T496" s="40"/>
      <c r="U496" s="41"/>
      <c r="V496" s="41"/>
      <c r="W496" s="41"/>
      <c r="X496" s="36"/>
      <c r="Y496" s="36"/>
      <c r="Z496" s="36"/>
      <c r="AA496" s="36"/>
      <c r="AB496" s="36"/>
      <c r="AC496" s="36"/>
    </row>
    <row r="497" spans="17:29" x14ac:dyDescent="0.2">
      <c r="Q497" s="36"/>
      <c r="R497" s="40"/>
      <c r="S497" s="40"/>
      <c r="T497" s="40"/>
      <c r="U497" s="41"/>
      <c r="V497" s="41"/>
      <c r="W497" s="41"/>
      <c r="X497" s="36"/>
      <c r="Y497" s="36"/>
      <c r="Z497" s="36"/>
      <c r="AA497" s="36"/>
      <c r="AB497" s="36"/>
      <c r="AC497" s="36"/>
    </row>
    <row r="498" spans="17:29" x14ac:dyDescent="0.2">
      <c r="Q498" s="36"/>
      <c r="R498" s="40"/>
      <c r="S498" s="40"/>
      <c r="T498" s="40"/>
      <c r="U498" s="41"/>
      <c r="V498" s="41"/>
      <c r="W498" s="41"/>
      <c r="X498" s="36"/>
      <c r="Y498" s="36"/>
      <c r="Z498" s="36"/>
      <c r="AA498" s="36"/>
      <c r="AB498" s="36"/>
      <c r="AC498" s="36"/>
    </row>
    <row r="499" spans="17:29" x14ac:dyDescent="0.2">
      <c r="Q499" s="36"/>
      <c r="R499" s="40"/>
      <c r="S499" s="40"/>
      <c r="T499" s="40"/>
      <c r="U499" s="41"/>
      <c r="V499" s="41"/>
      <c r="W499" s="41"/>
      <c r="X499" s="36"/>
      <c r="Y499" s="36"/>
      <c r="Z499" s="36"/>
      <c r="AA499" s="36"/>
      <c r="AB499" s="36"/>
      <c r="AC499" s="36"/>
    </row>
    <row r="500" spans="17:29" x14ac:dyDescent="0.2">
      <c r="Q500" s="36"/>
      <c r="R500" s="40"/>
      <c r="S500" s="40"/>
      <c r="T500" s="40"/>
      <c r="U500" s="41"/>
      <c r="V500" s="41"/>
      <c r="W500" s="41"/>
      <c r="X500" s="36"/>
      <c r="Y500" s="36"/>
      <c r="Z500" s="36"/>
      <c r="AA500" s="36"/>
      <c r="AB500" s="36"/>
      <c r="AC500" s="36"/>
    </row>
    <row r="501" spans="17:29" x14ac:dyDescent="0.2">
      <c r="Q501" s="36"/>
      <c r="R501" s="40"/>
      <c r="S501" s="40"/>
      <c r="T501" s="40"/>
      <c r="U501" s="41"/>
      <c r="V501" s="41"/>
      <c r="W501" s="41"/>
      <c r="X501" s="36"/>
      <c r="Y501" s="36"/>
      <c r="Z501" s="36"/>
      <c r="AA501" s="36"/>
      <c r="AB501" s="36"/>
      <c r="AC501" s="36"/>
    </row>
    <row r="502" spans="17:29" x14ac:dyDescent="0.2">
      <c r="Q502" s="36"/>
      <c r="R502" s="40"/>
      <c r="S502" s="40"/>
      <c r="T502" s="40"/>
      <c r="U502" s="41"/>
      <c r="V502" s="41"/>
      <c r="W502" s="41"/>
      <c r="X502" s="36"/>
      <c r="Y502" s="36"/>
      <c r="Z502" s="36"/>
      <c r="AA502" s="36"/>
      <c r="AB502" s="36"/>
      <c r="AC502" s="36"/>
    </row>
    <row r="503" spans="17:29" x14ac:dyDescent="0.2">
      <c r="Q503" s="36"/>
      <c r="R503" s="40"/>
      <c r="S503" s="40"/>
      <c r="T503" s="40"/>
      <c r="U503" s="41"/>
      <c r="V503" s="41"/>
      <c r="W503" s="41"/>
      <c r="X503" s="36"/>
      <c r="Y503" s="36"/>
      <c r="Z503" s="36"/>
      <c r="AA503" s="36"/>
      <c r="AB503" s="36"/>
      <c r="AC503" s="36"/>
    </row>
    <row r="504" spans="17:29" x14ac:dyDescent="0.2">
      <c r="Q504" s="36"/>
      <c r="R504" s="40"/>
      <c r="S504" s="40"/>
      <c r="T504" s="40"/>
      <c r="U504" s="41"/>
      <c r="V504" s="41"/>
      <c r="W504" s="41"/>
      <c r="X504" s="36"/>
      <c r="Y504" s="36"/>
      <c r="Z504" s="36"/>
      <c r="AA504" s="36"/>
      <c r="AB504" s="36"/>
      <c r="AC504" s="36"/>
    </row>
    <row r="505" spans="17:29" x14ac:dyDescent="0.2">
      <c r="Q505" s="36"/>
      <c r="R505" s="40"/>
      <c r="S505" s="40"/>
      <c r="T505" s="40"/>
      <c r="U505" s="41"/>
      <c r="V505" s="41"/>
      <c r="W505" s="41"/>
      <c r="X505" s="36"/>
      <c r="Y505" s="36"/>
      <c r="Z505" s="36"/>
      <c r="AA505" s="36"/>
      <c r="AB505" s="36"/>
      <c r="AC505" s="36"/>
    </row>
    <row r="506" spans="17:29" x14ac:dyDescent="0.2">
      <c r="Q506" s="36"/>
      <c r="R506" s="40"/>
      <c r="S506" s="40"/>
      <c r="T506" s="40"/>
      <c r="U506" s="41"/>
      <c r="V506" s="41"/>
      <c r="W506" s="41"/>
      <c r="X506" s="36"/>
      <c r="Y506" s="36"/>
      <c r="Z506" s="36"/>
      <c r="AA506" s="36"/>
      <c r="AB506" s="36"/>
      <c r="AC506" s="36"/>
    </row>
    <row r="507" spans="17:29" x14ac:dyDescent="0.2">
      <c r="Q507" s="36"/>
      <c r="R507" s="40"/>
      <c r="S507" s="40"/>
      <c r="T507" s="40"/>
      <c r="U507" s="41"/>
      <c r="V507" s="41"/>
      <c r="W507" s="41"/>
      <c r="X507" s="36"/>
      <c r="Y507" s="36"/>
      <c r="Z507" s="36"/>
      <c r="AA507" s="36"/>
      <c r="AB507" s="36"/>
      <c r="AC507" s="36"/>
    </row>
    <row r="508" spans="17:29" x14ac:dyDescent="0.2">
      <c r="Q508" s="36"/>
      <c r="R508" s="40"/>
      <c r="S508" s="40"/>
      <c r="T508" s="40"/>
      <c r="U508" s="41"/>
      <c r="V508" s="41"/>
      <c r="W508" s="41"/>
      <c r="X508" s="36"/>
      <c r="Y508" s="36"/>
      <c r="Z508" s="36"/>
      <c r="AA508" s="36"/>
      <c r="AB508" s="36"/>
      <c r="AC508" s="36"/>
    </row>
    <row r="509" spans="17:29" x14ac:dyDescent="0.2">
      <c r="Q509" s="36"/>
      <c r="R509" s="40"/>
      <c r="S509" s="40"/>
      <c r="T509" s="40"/>
      <c r="U509" s="41"/>
      <c r="V509" s="41"/>
      <c r="W509" s="41"/>
      <c r="X509" s="36"/>
      <c r="Y509" s="36"/>
      <c r="Z509" s="36"/>
      <c r="AA509" s="36"/>
      <c r="AB509" s="36"/>
      <c r="AC509" s="36"/>
    </row>
    <row r="510" spans="17:29" x14ac:dyDescent="0.2">
      <c r="Q510" s="36"/>
      <c r="R510" s="40"/>
      <c r="S510" s="40"/>
      <c r="T510" s="40"/>
      <c r="U510" s="41"/>
      <c r="V510" s="41"/>
      <c r="W510" s="41"/>
      <c r="X510" s="36"/>
      <c r="Y510" s="36"/>
      <c r="Z510" s="36"/>
      <c r="AA510" s="36"/>
      <c r="AB510" s="36"/>
      <c r="AC510" s="36"/>
    </row>
    <row r="511" spans="17:29" x14ac:dyDescent="0.2">
      <c r="Q511" s="36"/>
      <c r="R511" s="40"/>
      <c r="S511" s="40"/>
      <c r="T511" s="40"/>
      <c r="U511" s="41"/>
      <c r="V511" s="41"/>
      <c r="W511" s="41"/>
      <c r="X511" s="36"/>
      <c r="Y511" s="36"/>
      <c r="Z511" s="36"/>
      <c r="AA511" s="36"/>
      <c r="AB511" s="36"/>
      <c r="AC511" s="36"/>
    </row>
    <row r="512" spans="17:29" x14ac:dyDescent="0.2">
      <c r="Q512" s="36"/>
      <c r="R512" s="40"/>
      <c r="S512" s="40"/>
      <c r="T512" s="40"/>
      <c r="U512" s="41"/>
      <c r="V512" s="41"/>
      <c r="W512" s="41"/>
      <c r="X512" s="36"/>
      <c r="Y512" s="36"/>
      <c r="Z512" s="36"/>
      <c r="AA512" s="36"/>
      <c r="AB512" s="36"/>
      <c r="AC512" s="36"/>
    </row>
    <row r="513" spans="17:29" x14ac:dyDescent="0.2">
      <c r="Q513" s="36"/>
      <c r="R513" s="40"/>
      <c r="S513" s="40"/>
      <c r="T513" s="40"/>
      <c r="U513" s="41"/>
      <c r="V513" s="41"/>
      <c r="W513" s="41"/>
      <c r="X513" s="36"/>
      <c r="Y513" s="36"/>
      <c r="Z513" s="36"/>
      <c r="AA513" s="36"/>
      <c r="AB513" s="36"/>
      <c r="AC513" s="36"/>
    </row>
    <row r="514" spans="17:29" x14ac:dyDescent="0.2">
      <c r="Q514" s="36"/>
      <c r="R514" s="40"/>
      <c r="S514" s="40"/>
      <c r="T514" s="40"/>
      <c r="U514" s="41"/>
      <c r="V514" s="41"/>
      <c r="W514" s="41"/>
      <c r="X514" s="36"/>
      <c r="Y514" s="36"/>
      <c r="Z514" s="36"/>
      <c r="AA514" s="36"/>
      <c r="AB514" s="36"/>
      <c r="AC514" s="36"/>
    </row>
    <row r="515" spans="17:29" x14ac:dyDescent="0.2">
      <c r="Q515" s="36"/>
      <c r="R515" s="40"/>
      <c r="S515" s="40"/>
      <c r="T515" s="40"/>
      <c r="U515" s="41"/>
      <c r="V515" s="41"/>
      <c r="W515" s="41"/>
      <c r="X515" s="36"/>
      <c r="Y515" s="36"/>
      <c r="Z515" s="36"/>
      <c r="AA515" s="36"/>
      <c r="AB515" s="36"/>
      <c r="AC515" s="36"/>
    </row>
    <row r="516" spans="17:29" x14ac:dyDescent="0.2">
      <c r="Q516" s="36"/>
      <c r="R516" s="40"/>
      <c r="S516" s="40"/>
      <c r="T516" s="40"/>
      <c r="U516" s="41"/>
      <c r="V516" s="41"/>
      <c r="W516" s="41"/>
      <c r="X516" s="36"/>
      <c r="Y516" s="36"/>
      <c r="Z516" s="36"/>
      <c r="AA516" s="36"/>
      <c r="AB516" s="36"/>
      <c r="AC516" s="36"/>
    </row>
    <row r="517" spans="17:29" x14ac:dyDescent="0.2">
      <c r="Q517" s="36"/>
      <c r="R517" s="40"/>
      <c r="S517" s="40"/>
      <c r="T517" s="40"/>
      <c r="U517" s="41"/>
      <c r="V517" s="41"/>
      <c r="W517" s="41"/>
      <c r="X517" s="36"/>
      <c r="Y517" s="36"/>
      <c r="Z517" s="36"/>
      <c r="AA517" s="36"/>
      <c r="AB517" s="36"/>
      <c r="AC517" s="36"/>
    </row>
    <row r="518" spans="17:29" x14ac:dyDescent="0.2">
      <c r="Q518" s="36"/>
      <c r="R518" s="40"/>
      <c r="S518" s="40"/>
      <c r="T518" s="40"/>
      <c r="U518" s="41"/>
      <c r="V518" s="41"/>
      <c r="W518" s="41"/>
      <c r="X518" s="36"/>
      <c r="Y518" s="36"/>
      <c r="Z518" s="36"/>
      <c r="AA518" s="36"/>
      <c r="AB518" s="36"/>
      <c r="AC518" s="36"/>
    </row>
    <row r="519" spans="17:29" x14ac:dyDescent="0.2">
      <c r="Q519" s="36"/>
      <c r="R519" s="40"/>
      <c r="S519" s="40"/>
      <c r="T519" s="40"/>
      <c r="U519" s="41"/>
      <c r="V519" s="41"/>
      <c r="W519" s="41"/>
      <c r="X519" s="36"/>
      <c r="Y519" s="36"/>
      <c r="Z519" s="36"/>
      <c r="AA519" s="36"/>
      <c r="AB519" s="36"/>
      <c r="AC519" s="36"/>
    </row>
    <row r="520" spans="17:29" x14ac:dyDescent="0.2">
      <c r="Q520" s="36"/>
      <c r="R520" s="40"/>
      <c r="S520" s="40"/>
      <c r="T520" s="40"/>
      <c r="U520" s="41"/>
      <c r="V520" s="41"/>
      <c r="W520" s="41"/>
      <c r="X520" s="36"/>
      <c r="Y520" s="36"/>
      <c r="Z520" s="36"/>
      <c r="AA520" s="36"/>
      <c r="AB520" s="36"/>
      <c r="AC520" s="36"/>
    </row>
    <row r="521" spans="17:29" x14ac:dyDescent="0.2">
      <c r="Q521" s="36"/>
      <c r="R521" s="40"/>
      <c r="S521" s="40"/>
      <c r="T521" s="40"/>
      <c r="U521" s="41"/>
      <c r="V521" s="41"/>
      <c r="W521" s="41"/>
      <c r="X521" s="36"/>
      <c r="Y521" s="36"/>
      <c r="Z521" s="36"/>
      <c r="AA521" s="36"/>
      <c r="AB521" s="36"/>
      <c r="AC521" s="36"/>
    </row>
    <row r="522" spans="17:29" x14ac:dyDescent="0.2">
      <c r="Q522" s="36"/>
      <c r="R522" s="40"/>
      <c r="S522" s="40"/>
      <c r="T522" s="40"/>
      <c r="U522" s="41"/>
      <c r="V522" s="41"/>
      <c r="W522" s="41"/>
      <c r="X522" s="36"/>
      <c r="Y522" s="36"/>
      <c r="Z522" s="36"/>
      <c r="AA522" s="36"/>
      <c r="AB522" s="36"/>
      <c r="AC522" s="36"/>
    </row>
    <row r="523" spans="17:29" x14ac:dyDescent="0.2">
      <c r="Q523" s="36"/>
      <c r="R523" s="40"/>
      <c r="S523" s="40"/>
      <c r="T523" s="40"/>
      <c r="U523" s="41"/>
      <c r="V523" s="41"/>
      <c r="W523" s="41"/>
      <c r="X523" s="36"/>
      <c r="Y523" s="36"/>
      <c r="Z523" s="36"/>
      <c r="AA523" s="36"/>
      <c r="AB523" s="36"/>
      <c r="AC523" s="36"/>
    </row>
    <row r="524" spans="17:29" x14ac:dyDescent="0.2">
      <c r="Q524" s="36"/>
      <c r="R524" s="40"/>
      <c r="S524" s="40"/>
      <c r="T524" s="40"/>
      <c r="U524" s="41"/>
      <c r="V524" s="41"/>
      <c r="W524" s="41"/>
      <c r="X524" s="36"/>
      <c r="Y524" s="36"/>
      <c r="Z524" s="36"/>
      <c r="AA524" s="36"/>
      <c r="AB524" s="36"/>
      <c r="AC524" s="36"/>
    </row>
    <row r="525" spans="17:29" x14ac:dyDescent="0.2">
      <c r="Q525" s="36"/>
      <c r="R525" s="40"/>
      <c r="S525" s="40"/>
      <c r="T525" s="40"/>
      <c r="U525" s="41"/>
      <c r="V525" s="41"/>
      <c r="W525" s="41"/>
      <c r="X525" s="36"/>
      <c r="Y525" s="36"/>
      <c r="Z525" s="36"/>
      <c r="AA525" s="36"/>
      <c r="AB525" s="36"/>
      <c r="AC525" s="36"/>
    </row>
    <row r="526" spans="17:29" x14ac:dyDescent="0.2">
      <c r="Q526" s="36"/>
      <c r="R526" s="40"/>
      <c r="S526" s="40"/>
      <c r="T526" s="40"/>
      <c r="U526" s="41"/>
      <c r="V526" s="41"/>
      <c r="W526" s="41"/>
      <c r="X526" s="36"/>
      <c r="Y526" s="36"/>
      <c r="Z526" s="36"/>
      <c r="AA526" s="36"/>
      <c r="AB526" s="36"/>
      <c r="AC526" s="36"/>
    </row>
    <row r="527" spans="17:29" x14ac:dyDescent="0.2">
      <c r="Q527" s="36"/>
      <c r="R527" s="40"/>
      <c r="S527" s="40"/>
      <c r="T527" s="40"/>
      <c r="U527" s="41"/>
      <c r="V527" s="41"/>
      <c r="W527" s="41"/>
      <c r="X527" s="36"/>
      <c r="Y527" s="36"/>
      <c r="Z527" s="36"/>
      <c r="AA527" s="36"/>
      <c r="AB527" s="36"/>
      <c r="AC527" s="36"/>
    </row>
    <row r="528" spans="17:29" x14ac:dyDescent="0.2">
      <c r="Q528" s="36"/>
      <c r="R528" s="40"/>
      <c r="S528" s="40"/>
      <c r="T528" s="40"/>
      <c r="U528" s="41"/>
      <c r="V528" s="41"/>
      <c r="W528" s="41"/>
      <c r="X528" s="36"/>
      <c r="Y528" s="36"/>
      <c r="Z528" s="36"/>
      <c r="AA528" s="36"/>
      <c r="AB528" s="36"/>
      <c r="AC528" s="36"/>
    </row>
    <row r="529" spans="17:29" x14ac:dyDescent="0.2">
      <c r="Q529" s="36"/>
      <c r="R529" s="40"/>
      <c r="S529" s="40"/>
      <c r="T529" s="40"/>
      <c r="U529" s="41"/>
      <c r="V529" s="41"/>
      <c r="W529" s="41"/>
      <c r="X529" s="36"/>
      <c r="Y529" s="36"/>
      <c r="Z529" s="36"/>
      <c r="AA529" s="36"/>
      <c r="AB529" s="36"/>
      <c r="AC529" s="36"/>
    </row>
    <row r="530" spans="17:29" x14ac:dyDescent="0.2">
      <c r="Q530" s="36"/>
      <c r="R530" s="40"/>
      <c r="S530" s="40"/>
      <c r="T530" s="40"/>
      <c r="U530" s="41"/>
      <c r="V530" s="41"/>
      <c r="W530" s="41"/>
      <c r="X530" s="36"/>
      <c r="Y530" s="36"/>
      <c r="Z530" s="36"/>
      <c r="AA530" s="36"/>
      <c r="AB530" s="36"/>
      <c r="AC530" s="36"/>
    </row>
    <row r="531" spans="17:29" x14ac:dyDescent="0.2">
      <c r="Q531" s="36"/>
      <c r="R531" s="40"/>
      <c r="S531" s="40"/>
      <c r="T531" s="40"/>
      <c r="U531" s="41"/>
      <c r="V531" s="41"/>
      <c r="W531" s="41"/>
      <c r="X531" s="36"/>
      <c r="Y531" s="36"/>
      <c r="Z531" s="36"/>
      <c r="AA531" s="36"/>
      <c r="AB531" s="36"/>
      <c r="AC531" s="36"/>
    </row>
    <row r="532" spans="17:29" x14ac:dyDescent="0.2">
      <c r="Q532" s="36"/>
      <c r="R532" s="40"/>
      <c r="S532" s="40"/>
      <c r="T532" s="40"/>
      <c r="U532" s="41"/>
      <c r="V532" s="41"/>
      <c r="W532" s="41"/>
      <c r="X532" s="36"/>
      <c r="Y532" s="36"/>
      <c r="Z532" s="36"/>
      <c r="AA532" s="36"/>
      <c r="AB532" s="36"/>
      <c r="AC532" s="36"/>
    </row>
    <row r="533" spans="17:29" x14ac:dyDescent="0.2">
      <c r="Q533" s="36"/>
      <c r="R533" s="40"/>
      <c r="S533" s="40"/>
      <c r="T533" s="40"/>
      <c r="U533" s="41"/>
      <c r="V533" s="41"/>
      <c r="W533" s="41"/>
      <c r="X533" s="36"/>
      <c r="Y533" s="36"/>
      <c r="Z533" s="36"/>
      <c r="AA533" s="36"/>
      <c r="AB533" s="36"/>
      <c r="AC533" s="36"/>
    </row>
    <row r="534" spans="17:29" x14ac:dyDescent="0.2">
      <c r="Q534" s="36"/>
      <c r="R534" s="40"/>
      <c r="S534" s="40"/>
      <c r="T534" s="40"/>
      <c r="U534" s="41"/>
      <c r="V534" s="41"/>
      <c r="W534" s="41"/>
      <c r="X534" s="36"/>
      <c r="Y534" s="36"/>
      <c r="Z534" s="36"/>
      <c r="AA534" s="36"/>
      <c r="AB534" s="36"/>
      <c r="AC534" s="36"/>
    </row>
    <row r="535" spans="17:29" x14ac:dyDescent="0.2">
      <c r="Q535" s="36"/>
      <c r="R535" s="40"/>
      <c r="S535" s="40"/>
      <c r="T535" s="40"/>
      <c r="U535" s="41"/>
      <c r="V535" s="41"/>
      <c r="W535" s="41"/>
      <c r="X535" s="36"/>
      <c r="Y535" s="36"/>
      <c r="Z535" s="36"/>
      <c r="AA535" s="36"/>
      <c r="AB535" s="36"/>
      <c r="AC535" s="36"/>
    </row>
    <row r="536" spans="17:29" x14ac:dyDescent="0.2">
      <c r="Q536" s="36"/>
      <c r="R536" s="40"/>
      <c r="S536" s="40"/>
      <c r="T536" s="40"/>
      <c r="U536" s="41"/>
      <c r="V536" s="41"/>
      <c r="W536" s="41"/>
      <c r="X536" s="36"/>
      <c r="Y536" s="36"/>
      <c r="Z536" s="36"/>
      <c r="AA536" s="36"/>
      <c r="AB536" s="36"/>
      <c r="AC536" s="36"/>
    </row>
    <row r="537" spans="17:29" x14ac:dyDescent="0.2">
      <c r="Q537" s="36"/>
      <c r="R537" s="40"/>
      <c r="S537" s="40"/>
      <c r="T537" s="40"/>
      <c r="U537" s="41"/>
      <c r="V537" s="41"/>
      <c r="W537" s="41"/>
      <c r="X537" s="36"/>
      <c r="Y537" s="36"/>
      <c r="Z537" s="36"/>
      <c r="AA537" s="36"/>
      <c r="AB537" s="36"/>
      <c r="AC537" s="36"/>
    </row>
    <row r="538" spans="17:29" x14ac:dyDescent="0.2">
      <c r="Q538" s="36"/>
      <c r="R538" s="40"/>
      <c r="S538" s="40"/>
      <c r="T538" s="40"/>
      <c r="U538" s="41"/>
      <c r="V538" s="41"/>
      <c r="W538" s="41"/>
      <c r="X538" s="36"/>
      <c r="Y538" s="36"/>
      <c r="Z538" s="36"/>
      <c r="AA538" s="36"/>
      <c r="AB538" s="36"/>
      <c r="AC538" s="36"/>
    </row>
    <row r="539" spans="17:29" x14ac:dyDescent="0.2">
      <c r="Q539" s="36"/>
      <c r="R539" s="40"/>
      <c r="S539" s="40"/>
      <c r="T539" s="40"/>
      <c r="U539" s="41"/>
      <c r="V539" s="41"/>
      <c r="W539" s="41"/>
      <c r="X539" s="36"/>
      <c r="Y539" s="36"/>
      <c r="Z539" s="36"/>
      <c r="AA539" s="36"/>
      <c r="AB539" s="36"/>
      <c r="AC539" s="36"/>
    </row>
    <row r="540" spans="17:29" x14ac:dyDescent="0.2">
      <c r="Q540" s="36"/>
      <c r="R540" s="40"/>
      <c r="S540" s="40"/>
      <c r="T540" s="40"/>
      <c r="U540" s="41"/>
      <c r="V540" s="41"/>
      <c r="W540" s="41"/>
      <c r="X540" s="36"/>
      <c r="Y540" s="36"/>
      <c r="Z540" s="36"/>
      <c r="AA540" s="36"/>
      <c r="AB540" s="36"/>
      <c r="AC540" s="36"/>
    </row>
    <row r="541" spans="17:29" x14ac:dyDescent="0.2">
      <c r="Q541" s="36"/>
      <c r="R541" s="40"/>
      <c r="S541" s="40"/>
      <c r="T541" s="40"/>
      <c r="U541" s="41"/>
      <c r="V541" s="41"/>
      <c r="W541" s="41"/>
      <c r="X541" s="36"/>
      <c r="Y541" s="36"/>
      <c r="Z541" s="36"/>
      <c r="AA541" s="36"/>
      <c r="AB541" s="36"/>
      <c r="AC541" s="36"/>
    </row>
    <row r="542" spans="17:29" x14ac:dyDescent="0.2">
      <c r="Q542" s="36"/>
      <c r="R542" s="40"/>
      <c r="S542" s="40"/>
      <c r="T542" s="40"/>
      <c r="U542" s="41"/>
      <c r="V542" s="41"/>
      <c r="W542" s="41"/>
      <c r="X542" s="36"/>
      <c r="Y542" s="36"/>
      <c r="Z542" s="36"/>
      <c r="AA542" s="36"/>
      <c r="AB542" s="36"/>
      <c r="AC542" s="36"/>
    </row>
    <row r="543" spans="17:29" x14ac:dyDescent="0.2">
      <c r="Q543" s="36"/>
      <c r="R543" s="40"/>
      <c r="S543" s="40"/>
      <c r="T543" s="40"/>
      <c r="U543" s="41"/>
      <c r="V543" s="41"/>
      <c r="W543" s="41"/>
      <c r="X543" s="36"/>
      <c r="Y543" s="36"/>
      <c r="Z543" s="36"/>
      <c r="AA543" s="36"/>
      <c r="AB543" s="36"/>
      <c r="AC543" s="36"/>
    </row>
    <row r="544" spans="17:29" x14ac:dyDescent="0.2">
      <c r="Q544" s="36"/>
      <c r="R544" s="40"/>
      <c r="S544" s="40"/>
      <c r="T544" s="40"/>
      <c r="U544" s="41"/>
      <c r="V544" s="41"/>
      <c r="W544" s="41"/>
      <c r="X544" s="36"/>
      <c r="Y544" s="36"/>
      <c r="Z544" s="36"/>
      <c r="AA544" s="36"/>
      <c r="AB544" s="36"/>
      <c r="AC544" s="36"/>
    </row>
    <row r="545" spans="17:29" x14ac:dyDescent="0.2">
      <c r="Q545" s="36"/>
      <c r="R545" s="40"/>
      <c r="S545" s="40"/>
      <c r="T545" s="40"/>
      <c r="U545" s="41"/>
      <c r="V545" s="41"/>
      <c r="W545" s="41"/>
      <c r="X545" s="36"/>
      <c r="Y545" s="36"/>
      <c r="Z545" s="36"/>
      <c r="AA545" s="36"/>
      <c r="AB545" s="36"/>
      <c r="AC545" s="36"/>
    </row>
    <row r="546" spans="17:29" x14ac:dyDescent="0.2">
      <c r="Q546" s="36"/>
      <c r="R546" s="40"/>
      <c r="S546" s="40"/>
      <c r="T546" s="40"/>
      <c r="U546" s="41"/>
      <c r="V546" s="41"/>
      <c r="W546" s="41"/>
      <c r="X546" s="36"/>
      <c r="Y546" s="36"/>
      <c r="Z546" s="36"/>
      <c r="AA546" s="36"/>
      <c r="AB546" s="36"/>
      <c r="AC546" s="36"/>
    </row>
    <row r="547" spans="17:29" x14ac:dyDescent="0.2">
      <c r="Q547" s="36"/>
      <c r="R547" s="40"/>
      <c r="S547" s="40"/>
      <c r="T547" s="40"/>
      <c r="U547" s="41"/>
      <c r="V547" s="41"/>
      <c r="W547" s="41"/>
      <c r="X547" s="36"/>
      <c r="Y547" s="36"/>
      <c r="Z547" s="36"/>
      <c r="AA547" s="36"/>
      <c r="AB547" s="36"/>
      <c r="AC547" s="36"/>
    </row>
    <row r="548" spans="17:29" x14ac:dyDescent="0.2">
      <c r="Q548" s="36"/>
      <c r="R548" s="40"/>
      <c r="S548" s="40"/>
      <c r="T548" s="40"/>
      <c r="U548" s="41"/>
      <c r="V548" s="41"/>
      <c r="W548" s="41"/>
      <c r="X548" s="36"/>
      <c r="Y548" s="36"/>
      <c r="Z548" s="36"/>
      <c r="AA548" s="36"/>
      <c r="AB548" s="36"/>
      <c r="AC548" s="36"/>
    </row>
    <row r="549" spans="17:29" x14ac:dyDescent="0.2">
      <c r="Q549" s="36"/>
      <c r="R549" s="40"/>
      <c r="S549" s="40"/>
      <c r="T549" s="40"/>
      <c r="U549" s="41"/>
      <c r="V549" s="41"/>
      <c r="W549" s="41"/>
      <c r="X549" s="36"/>
      <c r="Y549" s="36"/>
      <c r="Z549" s="36"/>
      <c r="AA549" s="36"/>
      <c r="AB549" s="36"/>
      <c r="AC549" s="36"/>
    </row>
    <row r="550" spans="17:29" x14ac:dyDescent="0.2">
      <c r="Q550" s="36"/>
      <c r="R550" s="40"/>
      <c r="S550" s="40"/>
      <c r="T550" s="40"/>
      <c r="U550" s="41"/>
      <c r="V550" s="41"/>
      <c r="W550" s="41"/>
      <c r="X550" s="36"/>
      <c r="Y550" s="36"/>
      <c r="Z550" s="36"/>
      <c r="AA550" s="36"/>
      <c r="AB550" s="36"/>
      <c r="AC550" s="36"/>
    </row>
    <row r="551" spans="17:29" x14ac:dyDescent="0.2">
      <c r="Q551" s="36"/>
      <c r="R551" s="40"/>
      <c r="S551" s="40"/>
      <c r="T551" s="40"/>
      <c r="U551" s="41"/>
      <c r="V551" s="41"/>
      <c r="W551" s="41"/>
      <c r="X551" s="36"/>
      <c r="Y551" s="36"/>
      <c r="Z551" s="36"/>
      <c r="AA551" s="36"/>
      <c r="AB551" s="36"/>
      <c r="AC551" s="36"/>
    </row>
    <row r="552" spans="17:29" x14ac:dyDescent="0.2">
      <c r="Q552" s="36"/>
      <c r="R552" s="40"/>
      <c r="S552" s="40"/>
      <c r="T552" s="40"/>
      <c r="U552" s="41"/>
      <c r="V552" s="41"/>
      <c r="W552" s="41"/>
      <c r="X552" s="36"/>
      <c r="Y552" s="36"/>
      <c r="Z552" s="36"/>
      <c r="AA552" s="36"/>
      <c r="AB552" s="36"/>
      <c r="AC552" s="36"/>
    </row>
    <row r="553" spans="17:29" x14ac:dyDescent="0.2">
      <c r="Q553" s="36"/>
      <c r="R553" s="40"/>
      <c r="S553" s="40"/>
      <c r="T553" s="40"/>
      <c r="U553" s="41"/>
      <c r="V553" s="41"/>
      <c r="W553" s="41"/>
      <c r="X553" s="36"/>
      <c r="Y553" s="36"/>
      <c r="Z553" s="36"/>
      <c r="AA553" s="36"/>
      <c r="AB553" s="36"/>
      <c r="AC553" s="36"/>
    </row>
    <row r="554" spans="17:29" x14ac:dyDescent="0.2">
      <c r="Q554" s="36"/>
      <c r="R554" s="40"/>
      <c r="S554" s="40"/>
      <c r="T554" s="40"/>
      <c r="U554" s="41"/>
      <c r="V554" s="41"/>
      <c r="W554" s="41"/>
      <c r="X554" s="36"/>
      <c r="Y554" s="36"/>
      <c r="Z554" s="36"/>
      <c r="AA554" s="36"/>
      <c r="AB554" s="36"/>
      <c r="AC554" s="36"/>
    </row>
    <row r="555" spans="17:29" x14ac:dyDescent="0.2">
      <c r="Q555" s="36"/>
      <c r="R555" s="40"/>
      <c r="S555" s="40"/>
      <c r="T555" s="40"/>
      <c r="U555" s="41"/>
      <c r="V555" s="41"/>
      <c r="W555" s="41"/>
      <c r="X555" s="36"/>
      <c r="Y555" s="36"/>
      <c r="Z555" s="36"/>
      <c r="AA555" s="36"/>
      <c r="AB555" s="36"/>
      <c r="AC555" s="36"/>
    </row>
    <row r="556" spans="17:29" x14ac:dyDescent="0.2">
      <c r="Q556" s="36"/>
      <c r="R556" s="40"/>
      <c r="S556" s="40"/>
      <c r="T556" s="40"/>
      <c r="U556" s="41"/>
      <c r="V556" s="41"/>
      <c r="W556" s="41"/>
      <c r="X556" s="36"/>
      <c r="Y556" s="36"/>
      <c r="Z556" s="36"/>
      <c r="AA556" s="36"/>
      <c r="AB556" s="36"/>
      <c r="AC556" s="36"/>
    </row>
    <row r="557" spans="17:29" x14ac:dyDescent="0.2">
      <c r="Q557" s="36"/>
      <c r="R557" s="40"/>
      <c r="S557" s="40"/>
      <c r="T557" s="40"/>
      <c r="U557" s="41"/>
      <c r="V557" s="41"/>
      <c r="W557" s="41"/>
      <c r="X557" s="36"/>
      <c r="Y557" s="36"/>
      <c r="Z557" s="36"/>
      <c r="AA557" s="36"/>
      <c r="AB557" s="36"/>
      <c r="AC557" s="36"/>
    </row>
    <row r="558" spans="17:29" x14ac:dyDescent="0.2">
      <c r="Q558" s="36"/>
      <c r="R558" s="40"/>
      <c r="S558" s="40"/>
      <c r="T558" s="40"/>
      <c r="U558" s="41"/>
      <c r="V558" s="41"/>
      <c r="W558" s="41"/>
      <c r="X558" s="36"/>
      <c r="Y558" s="36"/>
      <c r="Z558" s="36"/>
      <c r="AA558" s="36"/>
      <c r="AB558" s="36"/>
      <c r="AC558" s="36"/>
    </row>
    <row r="559" spans="17:29" x14ac:dyDescent="0.2">
      <c r="Q559" s="36"/>
      <c r="R559" s="40"/>
      <c r="S559" s="40"/>
      <c r="T559" s="40"/>
      <c r="U559" s="41"/>
      <c r="V559" s="41"/>
      <c r="W559" s="41"/>
      <c r="X559" s="36"/>
      <c r="Y559" s="36"/>
      <c r="Z559" s="36"/>
      <c r="AA559" s="36"/>
      <c r="AB559" s="36"/>
      <c r="AC559" s="36"/>
    </row>
    <row r="560" spans="17:29" x14ac:dyDescent="0.2">
      <c r="Q560" s="36"/>
      <c r="R560" s="40"/>
      <c r="S560" s="40"/>
      <c r="T560" s="40"/>
      <c r="U560" s="41"/>
      <c r="V560" s="41"/>
      <c r="W560" s="41"/>
      <c r="X560" s="36"/>
      <c r="Y560" s="36"/>
      <c r="Z560" s="36"/>
      <c r="AA560" s="36"/>
      <c r="AB560" s="36"/>
      <c r="AC560" s="36"/>
    </row>
    <row r="561" spans="17:29" x14ac:dyDescent="0.2">
      <c r="Q561" s="36"/>
      <c r="R561" s="40"/>
      <c r="S561" s="40"/>
      <c r="T561" s="40"/>
      <c r="U561" s="41"/>
      <c r="V561" s="41"/>
      <c r="W561" s="41"/>
      <c r="X561" s="36"/>
      <c r="Y561" s="36"/>
      <c r="Z561" s="36"/>
      <c r="AA561" s="36"/>
      <c r="AB561" s="36"/>
      <c r="AC561" s="36"/>
    </row>
    <row r="562" spans="17:29" x14ac:dyDescent="0.2">
      <c r="Q562" s="36"/>
      <c r="R562" s="40"/>
      <c r="S562" s="40"/>
      <c r="T562" s="40"/>
      <c r="U562" s="41"/>
      <c r="V562" s="41"/>
      <c r="W562" s="41"/>
      <c r="X562" s="36"/>
      <c r="Y562" s="36"/>
      <c r="Z562" s="36"/>
      <c r="AA562" s="36"/>
      <c r="AB562" s="36"/>
      <c r="AC562" s="36"/>
    </row>
    <row r="563" spans="17:29" x14ac:dyDescent="0.2">
      <c r="Q563" s="36"/>
      <c r="R563" s="40"/>
      <c r="S563" s="40"/>
      <c r="T563" s="40"/>
      <c r="U563" s="41"/>
      <c r="V563" s="41"/>
      <c r="W563" s="41"/>
      <c r="X563" s="36"/>
      <c r="Y563" s="36"/>
      <c r="Z563" s="36"/>
      <c r="AA563" s="36"/>
      <c r="AB563" s="36"/>
      <c r="AC563" s="36"/>
    </row>
    <row r="564" spans="17:29" x14ac:dyDescent="0.2">
      <c r="Q564" s="36"/>
      <c r="R564" s="40"/>
      <c r="S564" s="40"/>
      <c r="T564" s="40"/>
      <c r="U564" s="41"/>
      <c r="V564" s="41"/>
      <c r="W564" s="41"/>
      <c r="X564" s="36"/>
      <c r="Y564" s="36"/>
      <c r="Z564" s="36"/>
      <c r="AA564" s="36"/>
      <c r="AB564" s="36"/>
      <c r="AC564" s="36"/>
    </row>
    <row r="565" spans="17:29" x14ac:dyDescent="0.2">
      <c r="Q565" s="36"/>
      <c r="R565" s="40"/>
      <c r="S565" s="40"/>
      <c r="T565" s="40"/>
      <c r="U565" s="41"/>
      <c r="V565" s="41"/>
      <c r="W565" s="41"/>
      <c r="X565" s="36"/>
      <c r="Y565" s="36"/>
      <c r="Z565" s="36"/>
      <c r="AA565" s="36"/>
      <c r="AB565" s="36"/>
      <c r="AC565" s="36"/>
    </row>
    <row r="566" spans="17:29" x14ac:dyDescent="0.2">
      <c r="Q566" s="36"/>
      <c r="R566" s="40"/>
      <c r="S566" s="40"/>
      <c r="T566" s="40"/>
      <c r="U566" s="41"/>
      <c r="V566" s="41"/>
      <c r="W566" s="41"/>
      <c r="X566" s="36"/>
      <c r="Y566" s="36"/>
      <c r="Z566" s="36"/>
      <c r="AA566" s="36"/>
      <c r="AB566" s="36"/>
      <c r="AC566" s="36"/>
    </row>
    <row r="567" spans="17:29" x14ac:dyDescent="0.2">
      <c r="Q567" s="36"/>
      <c r="R567" s="40"/>
      <c r="S567" s="40"/>
      <c r="T567" s="40"/>
      <c r="U567" s="41"/>
      <c r="V567" s="41"/>
      <c r="W567" s="41"/>
      <c r="X567" s="36"/>
      <c r="Y567" s="36"/>
      <c r="Z567" s="36"/>
      <c r="AA567" s="36"/>
      <c r="AB567" s="36"/>
      <c r="AC567" s="36"/>
    </row>
    <row r="568" spans="17:29" x14ac:dyDescent="0.2">
      <c r="Q568" s="36"/>
      <c r="R568" s="40"/>
      <c r="S568" s="40"/>
      <c r="T568" s="40"/>
      <c r="U568" s="41"/>
      <c r="V568" s="41"/>
      <c r="W568" s="41"/>
      <c r="X568" s="36"/>
      <c r="Y568" s="36"/>
      <c r="Z568" s="36"/>
      <c r="AA568" s="36"/>
      <c r="AB568" s="36"/>
      <c r="AC568" s="36"/>
    </row>
    <row r="569" spans="17:29" x14ac:dyDescent="0.2">
      <c r="Q569" s="36"/>
      <c r="R569" s="40"/>
      <c r="S569" s="40"/>
      <c r="T569" s="40"/>
      <c r="U569" s="41"/>
      <c r="V569" s="41"/>
      <c r="W569" s="41"/>
      <c r="X569" s="36"/>
      <c r="Y569" s="36"/>
      <c r="Z569" s="36"/>
      <c r="AA569" s="36"/>
      <c r="AB569" s="36"/>
      <c r="AC569" s="36"/>
    </row>
    <row r="570" spans="17:29" x14ac:dyDescent="0.2">
      <c r="Q570" s="36"/>
      <c r="R570" s="40"/>
      <c r="S570" s="40"/>
      <c r="T570" s="40"/>
      <c r="U570" s="41"/>
      <c r="V570" s="41"/>
      <c r="W570" s="41"/>
      <c r="X570" s="36"/>
      <c r="Y570" s="36"/>
      <c r="Z570" s="36"/>
      <c r="AA570" s="36"/>
      <c r="AB570" s="36"/>
      <c r="AC570" s="36"/>
    </row>
    <row r="571" spans="17:29" x14ac:dyDescent="0.2">
      <c r="Q571" s="36"/>
      <c r="R571" s="40"/>
      <c r="S571" s="40"/>
      <c r="T571" s="40"/>
      <c r="U571" s="41"/>
      <c r="V571" s="41"/>
      <c r="W571" s="41"/>
      <c r="X571" s="36"/>
      <c r="Y571" s="36"/>
      <c r="Z571" s="36"/>
      <c r="AA571" s="36"/>
      <c r="AB571" s="36"/>
      <c r="AC571" s="36"/>
    </row>
    <row r="572" spans="17:29" x14ac:dyDescent="0.2">
      <c r="Q572" s="36"/>
      <c r="R572" s="40"/>
      <c r="S572" s="40"/>
      <c r="T572" s="40"/>
      <c r="U572" s="41"/>
      <c r="V572" s="41"/>
      <c r="W572" s="41"/>
      <c r="X572" s="36"/>
      <c r="Y572" s="36"/>
      <c r="Z572" s="36"/>
      <c r="AA572" s="36"/>
      <c r="AB572" s="36"/>
      <c r="AC572" s="36"/>
    </row>
    <row r="573" spans="17:29" x14ac:dyDescent="0.2">
      <c r="Q573" s="36"/>
      <c r="R573" s="40"/>
      <c r="S573" s="40"/>
      <c r="T573" s="40"/>
      <c r="U573" s="41"/>
      <c r="V573" s="41"/>
      <c r="W573" s="41"/>
      <c r="X573" s="36"/>
      <c r="Y573" s="36"/>
      <c r="Z573" s="36"/>
      <c r="AA573" s="36"/>
      <c r="AB573" s="36"/>
      <c r="AC573" s="36"/>
    </row>
    <row r="574" spans="17:29" x14ac:dyDescent="0.2">
      <c r="Q574" s="36"/>
      <c r="R574" s="40"/>
      <c r="S574" s="40"/>
      <c r="T574" s="40"/>
      <c r="U574" s="41"/>
      <c r="V574" s="41"/>
      <c r="W574" s="41"/>
      <c r="X574" s="36"/>
      <c r="Y574" s="36"/>
      <c r="Z574" s="36"/>
      <c r="AA574" s="36"/>
      <c r="AB574" s="36"/>
      <c r="AC574" s="36"/>
    </row>
    <row r="575" spans="17:29" x14ac:dyDescent="0.2">
      <c r="Q575" s="36"/>
      <c r="R575" s="40"/>
      <c r="S575" s="40"/>
      <c r="T575" s="40"/>
      <c r="U575" s="41"/>
      <c r="V575" s="41"/>
      <c r="W575" s="41"/>
      <c r="X575" s="36"/>
      <c r="Y575" s="36"/>
      <c r="Z575" s="36"/>
      <c r="AA575" s="36"/>
      <c r="AB575" s="36"/>
      <c r="AC575" s="36"/>
    </row>
    <row r="576" spans="17:29" x14ac:dyDescent="0.2">
      <c r="Q576" s="36"/>
      <c r="R576" s="40"/>
      <c r="S576" s="40"/>
      <c r="T576" s="40"/>
      <c r="U576" s="41"/>
      <c r="V576" s="41"/>
      <c r="W576" s="41"/>
      <c r="X576" s="36"/>
      <c r="Y576" s="36"/>
      <c r="Z576" s="36"/>
      <c r="AA576" s="36"/>
      <c r="AB576" s="36"/>
      <c r="AC576" s="36"/>
    </row>
    <row r="577" spans="17:29" x14ac:dyDescent="0.2">
      <c r="Q577" s="36"/>
      <c r="R577" s="40"/>
      <c r="S577" s="40"/>
      <c r="T577" s="40"/>
      <c r="U577" s="41"/>
      <c r="V577" s="41"/>
      <c r="W577" s="41"/>
      <c r="X577" s="36"/>
      <c r="Y577" s="36"/>
      <c r="Z577" s="36"/>
      <c r="AA577" s="36"/>
      <c r="AB577" s="36"/>
      <c r="AC577" s="36"/>
    </row>
    <row r="578" spans="17:29" x14ac:dyDescent="0.2">
      <c r="Q578" s="36"/>
      <c r="R578" s="40"/>
      <c r="S578" s="40"/>
      <c r="T578" s="40"/>
      <c r="U578" s="41"/>
      <c r="V578" s="41"/>
      <c r="W578" s="41"/>
      <c r="X578" s="36"/>
      <c r="Y578" s="36"/>
      <c r="Z578" s="36"/>
      <c r="AA578" s="36"/>
      <c r="AB578" s="36"/>
      <c r="AC578" s="36"/>
    </row>
    <row r="579" spans="17:29" x14ac:dyDescent="0.2">
      <c r="Q579" s="36"/>
      <c r="R579" s="40"/>
      <c r="S579" s="40"/>
      <c r="T579" s="40"/>
      <c r="U579" s="41"/>
      <c r="V579" s="41"/>
      <c r="W579" s="41"/>
      <c r="X579" s="36"/>
      <c r="Y579" s="36"/>
      <c r="Z579" s="36"/>
      <c r="AA579" s="36"/>
      <c r="AB579" s="36"/>
      <c r="AC579" s="36"/>
    </row>
    <row r="580" spans="17:29" x14ac:dyDescent="0.2">
      <c r="Q580" s="36"/>
      <c r="R580" s="40"/>
      <c r="S580" s="40"/>
      <c r="T580" s="40"/>
      <c r="U580" s="41"/>
      <c r="V580" s="41"/>
      <c r="W580" s="41"/>
      <c r="X580" s="36"/>
      <c r="Y580" s="36"/>
      <c r="Z580" s="36"/>
      <c r="AA580" s="36"/>
      <c r="AB580" s="36"/>
      <c r="AC580" s="36"/>
    </row>
    <row r="581" spans="17:29" x14ac:dyDescent="0.2">
      <c r="Q581" s="36"/>
      <c r="R581" s="40"/>
      <c r="S581" s="40"/>
      <c r="T581" s="40"/>
      <c r="U581" s="41"/>
      <c r="V581" s="41"/>
      <c r="W581" s="41"/>
      <c r="X581" s="36"/>
      <c r="Y581" s="36"/>
      <c r="Z581" s="36"/>
      <c r="AA581" s="36"/>
      <c r="AB581" s="36"/>
      <c r="AC581" s="36"/>
    </row>
    <row r="582" spans="17:29" x14ac:dyDescent="0.2">
      <c r="Q582" s="36"/>
      <c r="R582" s="40"/>
      <c r="S582" s="40"/>
      <c r="T582" s="40"/>
      <c r="U582" s="41"/>
      <c r="V582" s="41"/>
      <c r="W582" s="41"/>
      <c r="X582" s="36"/>
      <c r="Y582" s="36"/>
      <c r="Z582" s="36"/>
      <c r="AA582" s="36"/>
      <c r="AB582" s="36"/>
      <c r="AC582" s="36"/>
    </row>
    <row r="583" spans="17:29" x14ac:dyDescent="0.2">
      <c r="Q583" s="36"/>
      <c r="R583" s="40"/>
      <c r="S583" s="40"/>
      <c r="T583" s="40"/>
      <c r="U583" s="41"/>
      <c r="V583" s="41"/>
      <c r="W583" s="41"/>
      <c r="X583" s="36"/>
      <c r="Y583" s="36"/>
      <c r="Z583" s="36"/>
      <c r="AA583" s="36"/>
      <c r="AB583" s="36"/>
      <c r="AC583" s="36"/>
    </row>
    <row r="584" spans="17:29" x14ac:dyDescent="0.2">
      <c r="Q584" s="36"/>
      <c r="R584" s="40"/>
      <c r="S584" s="40"/>
      <c r="T584" s="40"/>
      <c r="U584" s="41"/>
      <c r="V584" s="41"/>
      <c r="W584" s="41"/>
      <c r="X584" s="36"/>
      <c r="Y584" s="36"/>
      <c r="Z584" s="36"/>
      <c r="AA584" s="36"/>
      <c r="AB584" s="36"/>
      <c r="AC584" s="36"/>
    </row>
    <row r="585" spans="17:29" x14ac:dyDescent="0.2">
      <c r="Q585" s="36"/>
      <c r="R585" s="40"/>
      <c r="S585" s="40"/>
      <c r="T585" s="40"/>
      <c r="U585" s="41"/>
      <c r="V585" s="41"/>
      <c r="W585" s="41"/>
      <c r="X585" s="36"/>
      <c r="Y585" s="36"/>
      <c r="Z585" s="36"/>
      <c r="AA585" s="36"/>
      <c r="AB585" s="36"/>
      <c r="AC585" s="36"/>
    </row>
    <row r="586" spans="17:29" x14ac:dyDescent="0.2">
      <c r="Q586" s="36"/>
      <c r="R586" s="40"/>
      <c r="S586" s="40"/>
      <c r="T586" s="40"/>
      <c r="U586" s="41"/>
      <c r="V586" s="41"/>
      <c r="W586" s="41"/>
      <c r="X586" s="36"/>
      <c r="Y586" s="36"/>
      <c r="Z586" s="36"/>
      <c r="AA586" s="36"/>
      <c r="AB586" s="36"/>
      <c r="AC586" s="36"/>
    </row>
    <row r="587" spans="17:29" x14ac:dyDescent="0.2">
      <c r="Q587" s="36"/>
      <c r="R587" s="40"/>
      <c r="S587" s="40"/>
      <c r="T587" s="40"/>
      <c r="U587" s="41"/>
      <c r="V587" s="41"/>
      <c r="W587" s="41"/>
      <c r="X587" s="36"/>
      <c r="Y587" s="36"/>
      <c r="Z587" s="36"/>
      <c r="AA587" s="36"/>
      <c r="AB587" s="36"/>
      <c r="AC587" s="36"/>
    </row>
    <row r="588" spans="17:29" x14ac:dyDescent="0.2">
      <c r="Q588" s="36"/>
      <c r="R588" s="40"/>
      <c r="S588" s="40"/>
      <c r="T588" s="40"/>
      <c r="U588" s="41"/>
      <c r="V588" s="41"/>
      <c r="W588" s="41"/>
      <c r="X588" s="36"/>
      <c r="Y588" s="36"/>
      <c r="Z588" s="36"/>
      <c r="AA588" s="36"/>
      <c r="AB588" s="36"/>
      <c r="AC588" s="36"/>
    </row>
    <row r="589" spans="17:29" x14ac:dyDescent="0.2">
      <c r="Q589" s="36"/>
      <c r="R589" s="40"/>
      <c r="S589" s="40"/>
      <c r="T589" s="40"/>
      <c r="U589" s="41"/>
      <c r="V589" s="41"/>
      <c r="W589" s="41"/>
      <c r="X589" s="36"/>
      <c r="Y589" s="36"/>
      <c r="Z589" s="36"/>
      <c r="AA589" s="36"/>
      <c r="AB589" s="36"/>
      <c r="AC589" s="36"/>
    </row>
    <row r="590" spans="17:29" x14ac:dyDescent="0.2">
      <c r="Q590" s="36"/>
      <c r="R590" s="40"/>
      <c r="S590" s="40"/>
      <c r="T590" s="40"/>
      <c r="U590" s="41"/>
      <c r="V590" s="41"/>
      <c r="W590" s="41"/>
      <c r="X590" s="36"/>
      <c r="Y590" s="36"/>
      <c r="Z590" s="36"/>
      <c r="AA590" s="36"/>
      <c r="AB590" s="36"/>
      <c r="AC590" s="36"/>
    </row>
    <row r="591" spans="17:29" x14ac:dyDescent="0.2">
      <c r="Q591" s="36"/>
      <c r="R591" s="40"/>
      <c r="S591" s="40"/>
      <c r="T591" s="40"/>
      <c r="U591" s="41"/>
      <c r="V591" s="41"/>
      <c r="W591" s="41"/>
      <c r="X591" s="36"/>
      <c r="Y591" s="36"/>
      <c r="Z591" s="36"/>
      <c r="AA591" s="36"/>
      <c r="AB591" s="36"/>
      <c r="AC591" s="36"/>
    </row>
    <row r="592" spans="17:29" x14ac:dyDescent="0.2">
      <c r="Q592" s="36"/>
      <c r="R592" s="40"/>
      <c r="S592" s="40"/>
      <c r="T592" s="40"/>
      <c r="U592" s="41"/>
      <c r="V592" s="41"/>
      <c r="W592" s="41"/>
      <c r="X592" s="36"/>
      <c r="Y592" s="36"/>
      <c r="Z592" s="36"/>
      <c r="AA592" s="36"/>
      <c r="AB592" s="36"/>
      <c r="AC592" s="36"/>
    </row>
    <row r="593" spans="17:29" x14ac:dyDescent="0.2">
      <c r="Q593" s="36"/>
      <c r="R593" s="40"/>
      <c r="S593" s="40"/>
      <c r="T593" s="40"/>
      <c r="U593" s="41"/>
      <c r="V593" s="41"/>
      <c r="W593" s="41"/>
      <c r="X593" s="36"/>
      <c r="Y593" s="36"/>
      <c r="Z593" s="36"/>
      <c r="AA593" s="36"/>
      <c r="AB593" s="36"/>
      <c r="AC593" s="36"/>
    </row>
    <row r="594" spans="17:29" x14ac:dyDescent="0.2">
      <c r="Q594" s="36"/>
      <c r="R594" s="40"/>
      <c r="S594" s="40"/>
      <c r="T594" s="40"/>
      <c r="U594" s="41"/>
      <c r="V594" s="41"/>
      <c r="W594" s="41"/>
      <c r="X594" s="36"/>
      <c r="Y594" s="36"/>
      <c r="Z594" s="36"/>
      <c r="AA594" s="36"/>
      <c r="AB594" s="36"/>
      <c r="AC594" s="36"/>
    </row>
    <row r="595" spans="17:29" x14ac:dyDescent="0.2">
      <c r="Q595" s="36"/>
      <c r="R595" s="40"/>
      <c r="S595" s="40"/>
      <c r="T595" s="40"/>
      <c r="U595" s="41"/>
      <c r="V595" s="41"/>
      <c r="W595" s="41"/>
      <c r="X595" s="36"/>
      <c r="Y595" s="36"/>
      <c r="Z595" s="36"/>
      <c r="AA595" s="36"/>
      <c r="AB595" s="36"/>
      <c r="AC595" s="36"/>
    </row>
    <row r="596" spans="17:29" x14ac:dyDescent="0.2">
      <c r="Q596" s="36"/>
      <c r="R596" s="40"/>
      <c r="S596" s="40"/>
      <c r="T596" s="40"/>
      <c r="U596" s="41"/>
      <c r="V596" s="41"/>
      <c r="W596" s="41"/>
      <c r="X596" s="36"/>
      <c r="Y596" s="36"/>
      <c r="Z596" s="36"/>
      <c r="AA596" s="36"/>
      <c r="AB596" s="36"/>
      <c r="AC596" s="36"/>
    </row>
    <row r="597" spans="17:29" x14ac:dyDescent="0.2">
      <c r="Q597" s="36"/>
      <c r="R597" s="40"/>
      <c r="S597" s="40"/>
      <c r="T597" s="40"/>
      <c r="U597" s="41"/>
      <c r="V597" s="41"/>
      <c r="W597" s="41"/>
      <c r="X597" s="36"/>
      <c r="Y597" s="36"/>
      <c r="Z597" s="36"/>
      <c r="AA597" s="36"/>
      <c r="AB597" s="36"/>
      <c r="AC597" s="36"/>
    </row>
    <row r="598" spans="17:29" x14ac:dyDescent="0.2">
      <c r="Q598" s="36"/>
      <c r="R598" s="40"/>
      <c r="S598" s="40"/>
      <c r="T598" s="40"/>
      <c r="U598" s="41"/>
      <c r="V598" s="41"/>
      <c r="W598" s="41"/>
      <c r="X598" s="36"/>
      <c r="Y598" s="36"/>
      <c r="Z598" s="36"/>
      <c r="AA598" s="36"/>
      <c r="AB598" s="36"/>
      <c r="AC598" s="36"/>
    </row>
    <row r="599" spans="17:29" x14ac:dyDescent="0.2">
      <c r="Q599" s="36"/>
      <c r="R599" s="40"/>
      <c r="S599" s="40"/>
      <c r="T599" s="40"/>
      <c r="U599" s="41"/>
      <c r="V599" s="41"/>
      <c r="W599" s="41"/>
      <c r="X599" s="36"/>
      <c r="Y599" s="36"/>
      <c r="Z599" s="36"/>
      <c r="AA599" s="36"/>
      <c r="AB599" s="36"/>
      <c r="AC599" s="36"/>
    </row>
    <row r="600" spans="17:29" x14ac:dyDescent="0.2">
      <c r="Q600" s="36"/>
      <c r="R600" s="40"/>
      <c r="S600" s="40"/>
      <c r="T600" s="40"/>
      <c r="U600" s="41"/>
      <c r="V600" s="41"/>
      <c r="W600" s="41"/>
      <c r="X600" s="36"/>
      <c r="Y600" s="36"/>
      <c r="Z600" s="36"/>
      <c r="AA600" s="36"/>
      <c r="AB600" s="36"/>
      <c r="AC600" s="36"/>
    </row>
    <row r="601" spans="17:29" x14ac:dyDescent="0.2">
      <c r="Q601" s="36"/>
      <c r="R601" s="40"/>
      <c r="S601" s="40"/>
      <c r="T601" s="40"/>
      <c r="U601" s="41"/>
      <c r="V601" s="41"/>
      <c r="W601" s="41"/>
      <c r="X601" s="36"/>
      <c r="Y601" s="36"/>
      <c r="Z601" s="36"/>
      <c r="AA601" s="36"/>
      <c r="AB601" s="36"/>
      <c r="AC601" s="36"/>
    </row>
    <row r="602" spans="17:29" x14ac:dyDescent="0.2">
      <c r="Q602" s="36"/>
      <c r="R602" s="40"/>
      <c r="S602" s="40"/>
      <c r="T602" s="40"/>
      <c r="U602" s="41"/>
      <c r="V602" s="41"/>
      <c r="W602" s="41"/>
      <c r="X602" s="36"/>
      <c r="Y602" s="36"/>
      <c r="Z602" s="36"/>
      <c r="AA602" s="36"/>
      <c r="AB602" s="36"/>
      <c r="AC602" s="36"/>
    </row>
    <row r="603" spans="17:29" x14ac:dyDescent="0.2">
      <c r="Q603" s="36"/>
      <c r="R603" s="40"/>
      <c r="S603" s="40"/>
      <c r="T603" s="40"/>
      <c r="U603" s="41"/>
      <c r="V603" s="41"/>
      <c r="W603" s="41"/>
      <c r="X603" s="36"/>
      <c r="Y603" s="36"/>
      <c r="Z603" s="36"/>
      <c r="AA603" s="36"/>
      <c r="AB603" s="36"/>
      <c r="AC603" s="36"/>
    </row>
    <row r="604" spans="17:29" x14ac:dyDescent="0.2">
      <c r="Q604" s="36"/>
      <c r="R604" s="40"/>
      <c r="S604" s="40"/>
      <c r="T604" s="40"/>
      <c r="U604" s="41"/>
      <c r="V604" s="41"/>
      <c r="W604" s="41"/>
      <c r="X604" s="36"/>
      <c r="Y604" s="36"/>
      <c r="Z604" s="36"/>
      <c r="AA604" s="36"/>
      <c r="AB604" s="36"/>
      <c r="AC604" s="36"/>
    </row>
    <row r="605" spans="17:29" x14ac:dyDescent="0.2">
      <c r="Q605" s="36"/>
      <c r="R605" s="40"/>
      <c r="S605" s="40"/>
      <c r="T605" s="40"/>
      <c r="U605" s="41"/>
      <c r="V605" s="41"/>
      <c r="W605" s="41"/>
      <c r="X605" s="36"/>
      <c r="Y605" s="36"/>
      <c r="Z605" s="36"/>
      <c r="AA605" s="36"/>
      <c r="AB605" s="36"/>
      <c r="AC605" s="36"/>
    </row>
    <row r="606" spans="17:29" x14ac:dyDescent="0.2">
      <c r="Q606" s="36"/>
      <c r="R606" s="40"/>
      <c r="S606" s="40"/>
      <c r="T606" s="40"/>
      <c r="U606" s="41"/>
      <c r="V606" s="41"/>
      <c r="W606" s="41"/>
      <c r="X606" s="36"/>
      <c r="Y606" s="36"/>
      <c r="Z606" s="36"/>
      <c r="AA606" s="36"/>
      <c r="AB606" s="36"/>
      <c r="AC606" s="36"/>
    </row>
    <row r="607" spans="17:29" x14ac:dyDescent="0.2">
      <c r="Q607" s="36"/>
      <c r="R607" s="40"/>
      <c r="S607" s="40"/>
      <c r="T607" s="40"/>
      <c r="U607" s="41"/>
      <c r="V607" s="41"/>
      <c r="W607" s="41"/>
      <c r="X607" s="36"/>
      <c r="Y607" s="36"/>
      <c r="Z607" s="36"/>
      <c r="AA607" s="36"/>
      <c r="AB607" s="36"/>
      <c r="AC607" s="36"/>
    </row>
    <row r="608" spans="17:29" x14ac:dyDescent="0.2">
      <c r="Q608" s="36"/>
      <c r="R608" s="40"/>
      <c r="S608" s="40"/>
      <c r="T608" s="40"/>
      <c r="U608" s="41"/>
      <c r="V608" s="41"/>
      <c r="W608" s="41"/>
      <c r="X608" s="36"/>
      <c r="Y608" s="36"/>
      <c r="Z608" s="36"/>
      <c r="AA608" s="36"/>
      <c r="AB608" s="36"/>
      <c r="AC608" s="36"/>
    </row>
    <row r="609" spans="17:29" x14ac:dyDescent="0.2">
      <c r="Q609" s="36"/>
      <c r="R609" s="40"/>
      <c r="S609" s="40"/>
      <c r="T609" s="40"/>
      <c r="U609" s="41"/>
      <c r="V609" s="41"/>
      <c r="W609" s="41"/>
      <c r="X609" s="36"/>
      <c r="Y609" s="36"/>
      <c r="Z609" s="36"/>
      <c r="AA609" s="36"/>
      <c r="AB609" s="36"/>
      <c r="AC609" s="36"/>
    </row>
    <row r="610" spans="17:29" x14ac:dyDescent="0.2">
      <c r="Q610" s="36"/>
      <c r="R610" s="40"/>
      <c r="S610" s="40"/>
      <c r="T610" s="40"/>
      <c r="U610" s="41"/>
      <c r="V610" s="41"/>
      <c r="W610" s="41"/>
      <c r="X610" s="36"/>
      <c r="Y610" s="36"/>
      <c r="Z610" s="36"/>
      <c r="AA610" s="36"/>
      <c r="AB610" s="36"/>
      <c r="AC610" s="36"/>
    </row>
    <row r="611" spans="17:29" x14ac:dyDescent="0.2">
      <c r="Q611" s="36"/>
      <c r="R611" s="40"/>
      <c r="S611" s="40"/>
      <c r="T611" s="40"/>
      <c r="U611" s="41"/>
      <c r="V611" s="41"/>
      <c r="W611" s="41"/>
      <c r="X611" s="36"/>
      <c r="Y611" s="36"/>
      <c r="Z611" s="36"/>
      <c r="AA611" s="36"/>
      <c r="AB611" s="36"/>
      <c r="AC611" s="36"/>
    </row>
    <row r="612" spans="17:29" x14ac:dyDescent="0.2">
      <c r="Q612" s="36"/>
      <c r="R612" s="40"/>
      <c r="S612" s="40"/>
      <c r="T612" s="40"/>
      <c r="U612" s="41"/>
      <c r="V612" s="41"/>
      <c r="W612" s="41"/>
      <c r="X612" s="36"/>
      <c r="Y612" s="36"/>
      <c r="Z612" s="36"/>
      <c r="AA612" s="36"/>
      <c r="AB612" s="36"/>
      <c r="AC612" s="36"/>
    </row>
    <row r="613" spans="17:29" x14ac:dyDescent="0.2">
      <c r="Q613" s="36"/>
      <c r="R613" s="40"/>
      <c r="S613" s="40"/>
      <c r="T613" s="40"/>
      <c r="U613" s="41"/>
      <c r="V613" s="41"/>
      <c r="W613" s="41"/>
      <c r="X613" s="36"/>
      <c r="Y613" s="36"/>
      <c r="Z613" s="36"/>
      <c r="AA613" s="36"/>
      <c r="AB613" s="36"/>
      <c r="AC613" s="36"/>
    </row>
    <row r="614" spans="17:29" x14ac:dyDescent="0.2">
      <c r="Q614" s="36"/>
      <c r="R614" s="40"/>
      <c r="S614" s="40"/>
      <c r="T614" s="40"/>
      <c r="U614" s="41"/>
      <c r="V614" s="41"/>
      <c r="W614" s="41"/>
      <c r="X614" s="36"/>
      <c r="Y614" s="36"/>
      <c r="Z614" s="36"/>
      <c r="AA614" s="36"/>
      <c r="AB614" s="36"/>
      <c r="AC614" s="36"/>
    </row>
    <row r="615" spans="17:29" x14ac:dyDescent="0.2">
      <c r="Q615" s="36"/>
      <c r="R615" s="40"/>
      <c r="S615" s="40"/>
      <c r="T615" s="40"/>
      <c r="U615" s="41"/>
      <c r="V615" s="41"/>
      <c r="W615" s="41"/>
      <c r="X615" s="36"/>
      <c r="Y615" s="36"/>
      <c r="Z615" s="36"/>
      <c r="AA615" s="36"/>
      <c r="AB615" s="36"/>
      <c r="AC615" s="36"/>
    </row>
    <row r="616" spans="17:29" x14ac:dyDescent="0.2">
      <c r="Q616" s="36"/>
      <c r="R616" s="40"/>
      <c r="S616" s="40"/>
      <c r="T616" s="40"/>
      <c r="U616" s="41"/>
      <c r="V616" s="41"/>
      <c r="W616" s="41"/>
      <c r="X616" s="36"/>
      <c r="Y616" s="36"/>
      <c r="Z616" s="36"/>
      <c r="AA616" s="36"/>
      <c r="AB616" s="36"/>
      <c r="AC616" s="36"/>
    </row>
    <row r="617" spans="17:29" x14ac:dyDescent="0.2">
      <c r="Q617" s="36"/>
      <c r="R617" s="40"/>
      <c r="S617" s="40"/>
      <c r="T617" s="40"/>
      <c r="U617" s="41"/>
      <c r="V617" s="41"/>
      <c r="W617" s="41"/>
      <c r="X617" s="36"/>
      <c r="Y617" s="36"/>
      <c r="Z617" s="36"/>
      <c r="AA617" s="36"/>
      <c r="AB617" s="36"/>
      <c r="AC617" s="36"/>
    </row>
    <row r="618" spans="17:29" x14ac:dyDescent="0.2">
      <c r="Q618" s="36"/>
      <c r="R618" s="40"/>
      <c r="S618" s="40"/>
      <c r="T618" s="40"/>
      <c r="U618" s="41"/>
      <c r="V618" s="41"/>
      <c r="W618" s="41"/>
      <c r="X618" s="36"/>
      <c r="Y618" s="36"/>
      <c r="Z618" s="36"/>
      <c r="AA618" s="36"/>
      <c r="AB618" s="36"/>
      <c r="AC618" s="36"/>
    </row>
    <row r="619" spans="17:29" x14ac:dyDescent="0.2">
      <c r="Q619" s="36"/>
      <c r="R619" s="40"/>
      <c r="S619" s="40"/>
      <c r="T619" s="40"/>
      <c r="U619" s="41"/>
      <c r="V619" s="41"/>
      <c r="W619" s="41"/>
      <c r="X619" s="36"/>
      <c r="Y619" s="36"/>
      <c r="Z619" s="36"/>
      <c r="AA619" s="36"/>
      <c r="AB619" s="36"/>
      <c r="AC619" s="36"/>
    </row>
    <row r="620" spans="17:29" x14ac:dyDescent="0.2">
      <c r="Q620" s="36"/>
      <c r="R620" s="40"/>
      <c r="S620" s="40"/>
      <c r="T620" s="40"/>
      <c r="U620" s="41"/>
      <c r="V620" s="41"/>
      <c r="W620" s="41"/>
      <c r="X620" s="36"/>
      <c r="Y620" s="36"/>
      <c r="Z620" s="36"/>
      <c r="AA620" s="36"/>
      <c r="AB620" s="36"/>
      <c r="AC620" s="36"/>
    </row>
    <row r="621" spans="17:29" x14ac:dyDescent="0.2">
      <c r="Q621" s="36"/>
      <c r="R621" s="40"/>
      <c r="S621" s="40"/>
      <c r="T621" s="40"/>
      <c r="U621" s="41"/>
      <c r="V621" s="41"/>
      <c r="W621" s="41"/>
      <c r="X621" s="36"/>
      <c r="Y621" s="36"/>
      <c r="Z621" s="36"/>
      <c r="AA621" s="36"/>
      <c r="AB621" s="36"/>
      <c r="AC621" s="36"/>
    </row>
    <row r="622" spans="17:29" x14ac:dyDescent="0.2">
      <c r="Q622" s="36"/>
      <c r="R622" s="40"/>
      <c r="S622" s="40"/>
      <c r="T622" s="40"/>
      <c r="U622" s="41"/>
      <c r="V622" s="41"/>
      <c r="W622" s="41"/>
      <c r="X622" s="36"/>
      <c r="Y622" s="36"/>
      <c r="Z622" s="36"/>
      <c r="AA622" s="36"/>
      <c r="AB622" s="36"/>
      <c r="AC622" s="36"/>
    </row>
    <row r="623" spans="17:29" x14ac:dyDescent="0.2">
      <c r="Q623" s="36"/>
      <c r="R623" s="40"/>
      <c r="S623" s="40"/>
      <c r="T623" s="40"/>
      <c r="U623" s="41"/>
      <c r="V623" s="41"/>
      <c r="W623" s="41"/>
      <c r="X623" s="36"/>
      <c r="Y623" s="36"/>
      <c r="Z623" s="36"/>
      <c r="AA623" s="36"/>
      <c r="AB623" s="36"/>
      <c r="AC623" s="36"/>
    </row>
    <row r="624" spans="17:29" x14ac:dyDescent="0.2">
      <c r="Q624" s="36"/>
      <c r="R624" s="40"/>
      <c r="S624" s="40"/>
      <c r="T624" s="40"/>
      <c r="U624" s="41"/>
      <c r="V624" s="41"/>
      <c r="W624" s="41"/>
      <c r="X624" s="36"/>
      <c r="Y624" s="36"/>
      <c r="Z624" s="36"/>
      <c r="AA624" s="36"/>
      <c r="AB624" s="36"/>
      <c r="AC624" s="36"/>
    </row>
    <row r="625" spans="17:29" x14ac:dyDescent="0.2">
      <c r="Q625" s="36"/>
      <c r="R625" s="40"/>
      <c r="S625" s="40"/>
      <c r="T625" s="40"/>
      <c r="U625" s="41"/>
      <c r="V625" s="41"/>
      <c r="W625" s="41"/>
      <c r="X625" s="36"/>
      <c r="Y625" s="36"/>
      <c r="Z625" s="36"/>
      <c r="AA625" s="36"/>
      <c r="AB625" s="36"/>
      <c r="AC625" s="36"/>
    </row>
    <row r="626" spans="17:29" x14ac:dyDescent="0.2">
      <c r="Q626" s="36"/>
      <c r="R626" s="40"/>
      <c r="S626" s="40"/>
      <c r="T626" s="40"/>
      <c r="U626" s="41"/>
      <c r="V626" s="41"/>
      <c r="W626" s="41"/>
      <c r="X626" s="36"/>
      <c r="Y626" s="36"/>
      <c r="Z626" s="36"/>
      <c r="AA626" s="36"/>
      <c r="AB626" s="36"/>
      <c r="AC626" s="36"/>
    </row>
    <row r="627" spans="17:29" x14ac:dyDescent="0.2">
      <c r="Q627" s="36"/>
      <c r="R627" s="40"/>
      <c r="S627" s="40"/>
      <c r="T627" s="40"/>
      <c r="U627" s="41"/>
      <c r="V627" s="41"/>
      <c r="W627" s="41"/>
      <c r="X627" s="36"/>
      <c r="Y627" s="36"/>
      <c r="Z627" s="36"/>
      <c r="AA627" s="36"/>
      <c r="AB627" s="36"/>
      <c r="AC627" s="36"/>
    </row>
    <row r="628" spans="17:29" x14ac:dyDescent="0.2">
      <c r="Q628" s="36"/>
      <c r="R628" s="40"/>
      <c r="S628" s="40"/>
      <c r="T628" s="40"/>
      <c r="U628" s="41"/>
      <c r="V628" s="41"/>
      <c r="W628" s="41"/>
      <c r="X628" s="36"/>
      <c r="Y628" s="36"/>
      <c r="Z628" s="36"/>
      <c r="AA628" s="36"/>
      <c r="AB628" s="36"/>
      <c r="AC628" s="36"/>
    </row>
    <row r="629" spans="17:29" x14ac:dyDescent="0.2">
      <c r="Q629" s="36"/>
      <c r="R629" s="40"/>
      <c r="S629" s="40"/>
      <c r="T629" s="40"/>
      <c r="U629" s="41"/>
      <c r="V629" s="41"/>
      <c r="W629" s="41"/>
      <c r="X629" s="36"/>
      <c r="Y629" s="36"/>
      <c r="Z629" s="36"/>
      <c r="AA629" s="36"/>
      <c r="AB629" s="36"/>
      <c r="AC629" s="36"/>
    </row>
    <row r="630" spans="17:29" x14ac:dyDescent="0.2">
      <c r="Q630" s="36"/>
      <c r="R630" s="40"/>
      <c r="S630" s="40"/>
      <c r="T630" s="40"/>
      <c r="U630" s="41"/>
      <c r="V630" s="41"/>
      <c r="W630" s="41"/>
      <c r="X630" s="36"/>
      <c r="Y630" s="36"/>
      <c r="Z630" s="36"/>
      <c r="AA630" s="36"/>
      <c r="AB630" s="36"/>
      <c r="AC630" s="36"/>
    </row>
    <row r="631" spans="17:29" x14ac:dyDescent="0.2">
      <c r="Q631" s="36"/>
      <c r="R631" s="40"/>
      <c r="S631" s="40"/>
      <c r="T631" s="40"/>
      <c r="U631" s="41"/>
      <c r="V631" s="41"/>
      <c r="W631" s="41"/>
      <c r="X631" s="36"/>
      <c r="Y631" s="36"/>
      <c r="Z631" s="36"/>
      <c r="AA631" s="36"/>
      <c r="AB631" s="36"/>
      <c r="AC631" s="36"/>
    </row>
    <row r="632" spans="17:29" x14ac:dyDescent="0.2">
      <c r="Q632" s="36"/>
      <c r="R632" s="40"/>
      <c r="S632" s="40"/>
      <c r="T632" s="40"/>
      <c r="U632" s="41"/>
      <c r="V632" s="41"/>
      <c r="W632" s="41"/>
      <c r="X632" s="36"/>
      <c r="Y632" s="36"/>
      <c r="Z632" s="36"/>
      <c r="AA632" s="36"/>
      <c r="AB632" s="36"/>
      <c r="AC632" s="36"/>
    </row>
    <row r="633" spans="17:29" x14ac:dyDescent="0.2">
      <c r="Q633" s="36"/>
      <c r="R633" s="40"/>
      <c r="S633" s="40"/>
      <c r="T633" s="40"/>
      <c r="U633" s="41"/>
      <c r="V633" s="41"/>
      <c r="W633" s="41"/>
      <c r="X633" s="36"/>
      <c r="Y633" s="36"/>
      <c r="Z633" s="36"/>
      <c r="AA633" s="36"/>
      <c r="AB633" s="36"/>
      <c r="AC633" s="36"/>
    </row>
    <row r="634" spans="17:29" x14ac:dyDescent="0.2">
      <c r="Q634" s="36"/>
      <c r="R634" s="40"/>
      <c r="S634" s="40"/>
      <c r="T634" s="40"/>
      <c r="U634" s="41"/>
      <c r="V634" s="41"/>
      <c r="W634" s="41"/>
      <c r="X634" s="36"/>
      <c r="Y634" s="36"/>
      <c r="Z634" s="36"/>
      <c r="AA634" s="36"/>
      <c r="AB634" s="36"/>
      <c r="AC634" s="36"/>
    </row>
    <row r="635" spans="17:29" x14ac:dyDescent="0.2">
      <c r="Q635" s="36"/>
      <c r="R635" s="40"/>
      <c r="S635" s="40"/>
      <c r="T635" s="40"/>
      <c r="U635" s="41"/>
      <c r="V635" s="41"/>
      <c r="W635" s="41"/>
      <c r="X635" s="36"/>
      <c r="Y635" s="36"/>
      <c r="Z635" s="36"/>
      <c r="AA635" s="36"/>
      <c r="AB635" s="36"/>
      <c r="AC635" s="36"/>
    </row>
    <row r="636" spans="17:29" x14ac:dyDescent="0.2">
      <c r="Q636" s="36"/>
      <c r="R636" s="40"/>
      <c r="S636" s="40"/>
      <c r="T636" s="40"/>
      <c r="U636" s="41"/>
      <c r="V636" s="41"/>
      <c r="W636" s="41"/>
      <c r="X636" s="36"/>
      <c r="Y636" s="36"/>
      <c r="Z636" s="36"/>
      <c r="AA636" s="36"/>
      <c r="AB636" s="36"/>
      <c r="AC636" s="36"/>
    </row>
    <row r="637" spans="17:29" x14ac:dyDescent="0.2">
      <c r="Q637" s="36"/>
      <c r="R637" s="40"/>
      <c r="S637" s="40"/>
      <c r="T637" s="40"/>
      <c r="U637" s="41"/>
      <c r="V637" s="41"/>
      <c r="W637" s="41"/>
      <c r="X637" s="36"/>
      <c r="Y637" s="36"/>
      <c r="Z637" s="36"/>
      <c r="AA637" s="36"/>
      <c r="AB637" s="36"/>
      <c r="AC637" s="36"/>
    </row>
    <row r="638" spans="17:29" x14ac:dyDescent="0.2">
      <c r="Q638" s="36"/>
      <c r="R638" s="40"/>
      <c r="S638" s="40"/>
      <c r="T638" s="40"/>
      <c r="U638" s="41"/>
      <c r="V638" s="41"/>
      <c r="W638" s="41"/>
      <c r="X638" s="36"/>
      <c r="Y638" s="36"/>
      <c r="Z638" s="36"/>
      <c r="AA638" s="36"/>
      <c r="AB638" s="36"/>
      <c r="AC638" s="36"/>
    </row>
    <row r="639" spans="17:29" x14ac:dyDescent="0.2">
      <c r="Q639" s="36"/>
      <c r="R639" s="40"/>
      <c r="S639" s="40"/>
      <c r="T639" s="40"/>
      <c r="U639" s="41"/>
      <c r="V639" s="41"/>
      <c r="W639" s="41"/>
      <c r="X639" s="36"/>
      <c r="Y639" s="36"/>
      <c r="Z639" s="36"/>
      <c r="AA639" s="36"/>
      <c r="AB639" s="36"/>
      <c r="AC639" s="36"/>
    </row>
    <row r="640" spans="17:29" x14ac:dyDescent="0.2">
      <c r="Q640" s="36"/>
      <c r="R640" s="40"/>
      <c r="S640" s="40"/>
      <c r="T640" s="40"/>
      <c r="U640" s="41"/>
      <c r="V640" s="41"/>
      <c r="W640" s="41"/>
      <c r="X640" s="36"/>
      <c r="Y640" s="36"/>
      <c r="Z640" s="36"/>
      <c r="AA640" s="36"/>
      <c r="AB640" s="36"/>
      <c r="AC640" s="36"/>
    </row>
    <row r="641" spans="17:29" x14ac:dyDescent="0.2">
      <c r="Q641" s="36"/>
      <c r="R641" s="40"/>
      <c r="S641" s="40"/>
      <c r="T641" s="40"/>
      <c r="U641" s="41"/>
      <c r="V641" s="41"/>
      <c r="W641" s="41"/>
      <c r="X641" s="36"/>
      <c r="Y641" s="36"/>
      <c r="Z641" s="36"/>
      <c r="AA641" s="36"/>
      <c r="AB641" s="36"/>
      <c r="AC641" s="36"/>
    </row>
    <row r="642" spans="17:29" x14ac:dyDescent="0.2">
      <c r="Q642" s="36"/>
      <c r="R642" s="40"/>
      <c r="S642" s="40"/>
      <c r="T642" s="40"/>
      <c r="U642" s="41"/>
      <c r="V642" s="41"/>
      <c r="W642" s="41"/>
      <c r="X642" s="36"/>
      <c r="Y642" s="36"/>
      <c r="Z642" s="36"/>
      <c r="AA642" s="36"/>
      <c r="AB642" s="36"/>
      <c r="AC642" s="36"/>
    </row>
    <row r="643" spans="17:29" x14ac:dyDescent="0.2">
      <c r="Q643" s="36"/>
      <c r="R643" s="40"/>
      <c r="S643" s="40"/>
      <c r="T643" s="40"/>
      <c r="U643" s="41"/>
      <c r="V643" s="41"/>
      <c r="W643" s="41"/>
      <c r="X643" s="36"/>
      <c r="Y643" s="36"/>
      <c r="Z643" s="36"/>
      <c r="AA643" s="36"/>
      <c r="AB643" s="36"/>
      <c r="AC643" s="36"/>
    </row>
    <row r="644" spans="17:29" x14ac:dyDescent="0.2">
      <c r="Q644" s="36"/>
      <c r="R644" s="40"/>
      <c r="S644" s="40"/>
      <c r="T644" s="40"/>
      <c r="U644" s="41"/>
      <c r="V644" s="41"/>
      <c r="W644" s="41"/>
      <c r="X644" s="36"/>
      <c r="Y644" s="36"/>
      <c r="Z644" s="36"/>
      <c r="AA644" s="36"/>
      <c r="AB644" s="36"/>
      <c r="AC644" s="36"/>
    </row>
    <row r="645" spans="17:29" x14ac:dyDescent="0.2">
      <c r="Q645" s="36"/>
      <c r="R645" s="40"/>
      <c r="S645" s="40"/>
      <c r="T645" s="40"/>
      <c r="U645" s="41"/>
      <c r="V645" s="41"/>
      <c r="W645" s="41"/>
      <c r="X645" s="36"/>
      <c r="Y645" s="36"/>
      <c r="Z645" s="36"/>
      <c r="AA645" s="36"/>
      <c r="AB645" s="36"/>
      <c r="AC645" s="36"/>
    </row>
    <row r="646" spans="17:29" x14ac:dyDescent="0.2">
      <c r="Q646" s="36"/>
      <c r="R646" s="40"/>
      <c r="S646" s="40"/>
      <c r="T646" s="40"/>
      <c r="U646" s="41"/>
      <c r="V646" s="41"/>
      <c r="W646" s="41"/>
      <c r="X646" s="36"/>
      <c r="Y646" s="36"/>
      <c r="Z646" s="36"/>
      <c r="AA646" s="36"/>
      <c r="AB646" s="36"/>
      <c r="AC646" s="36"/>
    </row>
    <row r="647" spans="17:29" x14ac:dyDescent="0.2">
      <c r="Q647" s="36"/>
      <c r="R647" s="40"/>
      <c r="S647" s="40"/>
      <c r="T647" s="40"/>
      <c r="U647" s="41"/>
      <c r="V647" s="41"/>
      <c r="W647" s="41"/>
      <c r="X647" s="36"/>
      <c r="Y647" s="36"/>
      <c r="Z647" s="36"/>
      <c r="AA647" s="36"/>
      <c r="AB647" s="36"/>
      <c r="AC647" s="36"/>
    </row>
    <row r="648" spans="17:29" x14ac:dyDescent="0.2">
      <c r="Q648" s="36"/>
      <c r="R648" s="40"/>
      <c r="S648" s="40"/>
      <c r="T648" s="40"/>
      <c r="U648" s="41"/>
      <c r="V648" s="41"/>
      <c r="W648" s="41"/>
      <c r="X648" s="36"/>
      <c r="Y648" s="36"/>
      <c r="Z648" s="36"/>
      <c r="AA648" s="36"/>
      <c r="AB648" s="36"/>
      <c r="AC648" s="36"/>
    </row>
    <row r="649" spans="17:29" x14ac:dyDescent="0.2">
      <c r="Q649" s="36"/>
      <c r="R649" s="40"/>
      <c r="S649" s="40"/>
      <c r="T649" s="40"/>
      <c r="U649" s="41"/>
      <c r="V649" s="41"/>
      <c r="W649" s="41"/>
      <c r="X649" s="36"/>
      <c r="Y649" s="36"/>
      <c r="Z649" s="36"/>
      <c r="AA649" s="36"/>
      <c r="AB649" s="36"/>
      <c r="AC649" s="36"/>
    </row>
    <row r="650" spans="17:29" x14ac:dyDescent="0.2">
      <c r="Q650" s="36"/>
      <c r="R650" s="40"/>
      <c r="S650" s="40"/>
      <c r="T650" s="40"/>
      <c r="U650" s="41"/>
      <c r="V650" s="41"/>
      <c r="W650" s="41"/>
      <c r="X650" s="36"/>
      <c r="Y650" s="36"/>
      <c r="Z650" s="36"/>
      <c r="AA650" s="36"/>
      <c r="AB650" s="36"/>
      <c r="AC650" s="36"/>
    </row>
    <row r="651" spans="17:29" x14ac:dyDescent="0.2">
      <c r="Q651" s="36"/>
      <c r="R651" s="40"/>
      <c r="S651" s="40"/>
      <c r="T651" s="40"/>
      <c r="U651" s="41"/>
      <c r="V651" s="41"/>
      <c r="W651" s="41"/>
      <c r="X651" s="36"/>
      <c r="Y651" s="36"/>
      <c r="Z651" s="36"/>
      <c r="AA651" s="36"/>
      <c r="AB651" s="36"/>
      <c r="AC651" s="36"/>
    </row>
    <row r="652" spans="17:29" x14ac:dyDescent="0.2">
      <c r="Q652" s="36"/>
      <c r="R652" s="40"/>
      <c r="S652" s="40"/>
      <c r="T652" s="40"/>
      <c r="U652" s="41"/>
      <c r="V652" s="41"/>
      <c r="W652" s="41"/>
      <c r="X652" s="36"/>
      <c r="Y652" s="36"/>
      <c r="Z652" s="36"/>
      <c r="AA652" s="36"/>
      <c r="AB652" s="36"/>
      <c r="AC652" s="36"/>
    </row>
    <row r="653" spans="17:29" x14ac:dyDescent="0.2">
      <c r="Q653" s="36"/>
      <c r="R653" s="40"/>
      <c r="S653" s="40"/>
      <c r="T653" s="40"/>
      <c r="U653" s="41"/>
      <c r="V653" s="41"/>
      <c r="W653" s="41"/>
      <c r="X653" s="36"/>
      <c r="Y653" s="36"/>
      <c r="Z653" s="36"/>
      <c r="AA653" s="36"/>
      <c r="AB653" s="36"/>
      <c r="AC653" s="36"/>
    </row>
    <row r="654" spans="17:29" x14ac:dyDescent="0.2">
      <c r="Q654" s="36"/>
      <c r="R654" s="40"/>
      <c r="S654" s="40"/>
      <c r="T654" s="40"/>
      <c r="U654" s="41"/>
      <c r="V654" s="41"/>
      <c r="W654" s="41"/>
      <c r="X654" s="36"/>
      <c r="Y654" s="36"/>
      <c r="Z654" s="36"/>
      <c r="AA654" s="36"/>
      <c r="AB654" s="36"/>
      <c r="AC654" s="36"/>
    </row>
    <row r="655" spans="17:29" x14ac:dyDescent="0.2">
      <c r="Q655" s="36"/>
      <c r="R655" s="40"/>
      <c r="S655" s="40"/>
      <c r="T655" s="40"/>
      <c r="U655" s="41"/>
      <c r="V655" s="41"/>
      <c r="W655" s="41"/>
      <c r="X655" s="36"/>
      <c r="Y655" s="36"/>
      <c r="Z655" s="36"/>
      <c r="AA655" s="36"/>
      <c r="AB655" s="36"/>
      <c r="AC655" s="36"/>
    </row>
    <row r="656" spans="17:29" x14ac:dyDescent="0.2">
      <c r="Q656" s="36"/>
      <c r="R656" s="40"/>
      <c r="S656" s="40"/>
      <c r="T656" s="40"/>
      <c r="U656" s="41"/>
      <c r="V656" s="41"/>
      <c r="W656" s="41"/>
      <c r="X656" s="36"/>
      <c r="Y656" s="36"/>
      <c r="Z656" s="36"/>
      <c r="AA656" s="36"/>
      <c r="AB656" s="36"/>
      <c r="AC656" s="36"/>
    </row>
    <row r="657" spans="17:29" x14ac:dyDescent="0.2">
      <c r="Q657" s="36"/>
      <c r="R657" s="40"/>
      <c r="S657" s="40"/>
      <c r="T657" s="40"/>
      <c r="U657" s="41"/>
      <c r="V657" s="41"/>
      <c r="W657" s="41"/>
      <c r="X657" s="36"/>
      <c r="Y657" s="36"/>
      <c r="Z657" s="36"/>
      <c r="AA657" s="36"/>
      <c r="AB657" s="36"/>
      <c r="AC657" s="36"/>
    </row>
    <row r="658" spans="17:29" x14ac:dyDescent="0.2">
      <c r="Q658" s="36"/>
      <c r="R658" s="40"/>
      <c r="S658" s="40"/>
      <c r="T658" s="40"/>
      <c r="U658" s="41"/>
      <c r="V658" s="41"/>
      <c r="W658" s="41"/>
      <c r="X658" s="36"/>
      <c r="Y658" s="36"/>
      <c r="Z658" s="36"/>
      <c r="AA658" s="36"/>
      <c r="AB658" s="36"/>
      <c r="AC658" s="36"/>
    </row>
    <row r="659" spans="17:29" x14ac:dyDescent="0.2">
      <c r="Q659" s="36"/>
      <c r="R659" s="40"/>
      <c r="S659" s="40"/>
      <c r="T659" s="40"/>
      <c r="U659" s="41"/>
      <c r="V659" s="41"/>
      <c r="W659" s="41"/>
      <c r="X659" s="36"/>
      <c r="Y659" s="36"/>
      <c r="Z659" s="36"/>
      <c r="AA659" s="36"/>
      <c r="AB659" s="36"/>
      <c r="AC659" s="36"/>
    </row>
    <row r="660" spans="17:29" x14ac:dyDescent="0.2">
      <c r="Q660" s="36"/>
      <c r="R660" s="40"/>
      <c r="S660" s="40"/>
      <c r="T660" s="40"/>
      <c r="U660" s="41"/>
      <c r="V660" s="41"/>
      <c r="W660" s="41"/>
      <c r="X660" s="36"/>
      <c r="Y660" s="36"/>
      <c r="Z660" s="36"/>
      <c r="AA660" s="36"/>
      <c r="AB660" s="36"/>
      <c r="AC660" s="36"/>
    </row>
    <row r="661" spans="17:29" x14ac:dyDescent="0.2">
      <c r="Q661" s="36"/>
      <c r="R661" s="40"/>
      <c r="S661" s="40"/>
      <c r="T661" s="40"/>
      <c r="U661" s="41"/>
      <c r="V661" s="41"/>
      <c r="W661" s="41"/>
      <c r="X661" s="36"/>
      <c r="Y661" s="36"/>
      <c r="Z661" s="36"/>
      <c r="AA661" s="36"/>
      <c r="AB661" s="36"/>
      <c r="AC661" s="36"/>
    </row>
    <row r="662" spans="17:29" x14ac:dyDescent="0.2">
      <c r="Q662" s="36"/>
      <c r="R662" s="40"/>
      <c r="S662" s="40"/>
      <c r="T662" s="40"/>
      <c r="U662" s="41"/>
      <c r="V662" s="41"/>
      <c r="W662" s="41"/>
      <c r="X662" s="36"/>
      <c r="Y662" s="36"/>
      <c r="Z662" s="36"/>
      <c r="AA662" s="36"/>
      <c r="AB662" s="36"/>
      <c r="AC662" s="36"/>
    </row>
    <row r="663" spans="17:29" x14ac:dyDescent="0.2">
      <c r="Q663" s="36"/>
      <c r="R663" s="40"/>
      <c r="S663" s="40"/>
      <c r="T663" s="40"/>
      <c r="U663" s="41"/>
      <c r="V663" s="41"/>
      <c r="W663" s="41"/>
      <c r="X663" s="36"/>
      <c r="Y663" s="36"/>
      <c r="Z663" s="36"/>
      <c r="AA663" s="36"/>
      <c r="AB663" s="36"/>
      <c r="AC663" s="36"/>
    </row>
    <row r="664" spans="17:29" x14ac:dyDescent="0.2">
      <c r="Q664" s="36"/>
      <c r="R664" s="40"/>
      <c r="S664" s="40"/>
      <c r="T664" s="40"/>
      <c r="U664" s="41"/>
      <c r="V664" s="41"/>
      <c r="W664" s="41"/>
      <c r="X664" s="36"/>
      <c r="Y664" s="36"/>
      <c r="Z664" s="36"/>
      <c r="AA664" s="36"/>
      <c r="AB664" s="36"/>
      <c r="AC664" s="36"/>
    </row>
    <row r="665" spans="17:29" x14ac:dyDescent="0.2">
      <c r="Q665" s="36"/>
      <c r="R665" s="40"/>
      <c r="S665" s="40"/>
      <c r="T665" s="40"/>
      <c r="U665" s="41"/>
      <c r="V665" s="41"/>
      <c r="W665" s="41"/>
      <c r="X665" s="36"/>
      <c r="Y665" s="36"/>
      <c r="Z665" s="36"/>
      <c r="AA665" s="36"/>
      <c r="AB665" s="36"/>
      <c r="AC665" s="36"/>
    </row>
    <row r="666" spans="17:29" x14ac:dyDescent="0.2">
      <c r="Q666" s="36"/>
      <c r="R666" s="40"/>
      <c r="S666" s="40"/>
      <c r="T666" s="40"/>
      <c r="U666" s="41"/>
      <c r="V666" s="41"/>
      <c r="W666" s="41"/>
      <c r="X666" s="36"/>
      <c r="Y666" s="36"/>
      <c r="Z666" s="36"/>
      <c r="AA666" s="36"/>
      <c r="AB666" s="36"/>
      <c r="AC666" s="36"/>
    </row>
    <row r="667" spans="17:29" x14ac:dyDescent="0.2">
      <c r="Q667" s="36"/>
      <c r="R667" s="40"/>
      <c r="S667" s="40"/>
      <c r="T667" s="40"/>
      <c r="U667" s="41"/>
      <c r="V667" s="41"/>
      <c r="W667" s="41"/>
      <c r="X667" s="36"/>
      <c r="Y667" s="36"/>
      <c r="Z667" s="36"/>
      <c r="AA667" s="36"/>
      <c r="AB667" s="36"/>
      <c r="AC667" s="36"/>
    </row>
    <row r="668" spans="17:29" x14ac:dyDescent="0.2">
      <c r="Q668" s="36"/>
      <c r="R668" s="40"/>
      <c r="S668" s="40"/>
      <c r="T668" s="40"/>
      <c r="U668" s="41"/>
      <c r="V668" s="41"/>
      <c r="W668" s="41"/>
      <c r="X668" s="36"/>
      <c r="Y668" s="36"/>
      <c r="Z668" s="36"/>
      <c r="AA668" s="36"/>
      <c r="AB668" s="36"/>
      <c r="AC668" s="36"/>
    </row>
    <row r="669" spans="17:29" x14ac:dyDescent="0.2">
      <c r="Q669" s="36"/>
      <c r="R669" s="40"/>
      <c r="S669" s="40"/>
      <c r="T669" s="40"/>
      <c r="U669" s="41"/>
      <c r="V669" s="41"/>
      <c r="W669" s="41"/>
      <c r="X669" s="36"/>
      <c r="Y669" s="36"/>
      <c r="Z669" s="36"/>
      <c r="AA669" s="36"/>
      <c r="AB669" s="36"/>
      <c r="AC669" s="36"/>
    </row>
    <row r="670" spans="17:29" x14ac:dyDescent="0.2">
      <c r="Q670" s="36"/>
      <c r="R670" s="40"/>
      <c r="S670" s="40"/>
      <c r="T670" s="40"/>
      <c r="U670" s="41"/>
      <c r="V670" s="41"/>
      <c r="W670" s="41"/>
      <c r="X670" s="36"/>
      <c r="Y670" s="36"/>
      <c r="Z670" s="36"/>
      <c r="AA670" s="36"/>
      <c r="AB670" s="36"/>
      <c r="AC670" s="36"/>
    </row>
    <row r="671" spans="17:29" x14ac:dyDescent="0.2">
      <c r="Q671" s="36"/>
      <c r="R671" s="40"/>
      <c r="S671" s="40"/>
      <c r="T671" s="40"/>
      <c r="U671" s="41"/>
      <c r="V671" s="41"/>
      <c r="W671" s="41"/>
      <c r="X671" s="36"/>
      <c r="Y671" s="36"/>
      <c r="Z671" s="36"/>
      <c r="AA671" s="36"/>
      <c r="AB671" s="36"/>
      <c r="AC671" s="36"/>
    </row>
    <row r="672" spans="17:29" x14ac:dyDescent="0.2">
      <c r="Q672" s="36"/>
      <c r="R672" s="40"/>
      <c r="S672" s="40"/>
      <c r="T672" s="40"/>
      <c r="U672" s="41"/>
      <c r="V672" s="41"/>
      <c r="W672" s="41"/>
      <c r="X672" s="36"/>
      <c r="Y672" s="36"/>
      <c r="Z672" s="36"/>
      <c r="AA672" s="36"/>
      <c r="AB672" s="36"/>
      <c r="AC672" s="36"/>
    </row>
    <row r="673" spans="17:29" x14ac:dyDescent="0.2">
      <c r="Q673" s="36"/>
      <c r="R673" s="40"/>
      <c r="S673" s="40"/>
      <c r="T673" s="40"/>
      <c r="U673" s="41"/>
      <c r="V673" s="41"/>
      <c r="W673" s="41"/>
      <c r="X673" s="36"/>
      <c r="Y673" s="36"/>
      <c r="Z673" s="36"/>
      <c r="AA673" s="36"/>
      <c r="AB673" s="36"/>
      <c r="AC673" s="36"/>
    </row>
    <row r="674" spans="17:29" x14ac:dyDescent="0.2">
      <c r="Q674" s="36"/>
      <c r="R674" s="40"/>
      <c r="S674" s="40"/>
      <c r="T674" s="40"/>
      <c r="U674" s="41"/>
      <c r="V674" s="41"/>
      <c r="W674" s="41"/>
      <c r="X674" s="36"/>
      <c r="Y674" s="36"/>
      <c r="Z674" s="36"/>
      <c r="AA674" s="36"/>
      <c r="AB674" s="36"/>
      <c r="AC674" s="36"/>
    </row>
    <row r="675" spans="17:29" x14ac:dyDescent="0.2">
      <c r="Q675" s="36"/>
      <c r="R675" s="40"/>
      <c r="S675" s="40"/>
      <c r="T675" s="40"/>
      <c r="U675" s="41"/>
      <c r="V675" s="41"/>
      <c r="W675" s="41"/>
      <c r="X675" s="36"/>
      <c r="Y675" s="36"/>
      <c r="Z675" s="36"/>
      <c r="AA675" s="36"/>
      <c r="AB675" s="36"/>
      <c r="AC675" s="36"/>
    </row>
    <row r="676" spans="17:29" x14ac:dyDescent="0.2">
      <c r="Q676" s="36"/>
      <c r="R676" s="40"/>
      <c r="S676" s="40"/>
      <c r="T676" s="40"/>
      <c r="U676" s="41"/>
      <c r="V676" s="41"/>
      <c r="W676" s="41"/>
      <c r="X676" s="36"/>
      <c r="Y676" s="36"/>
      <c r="Z676" s="36"/>
      <c r="AA676" s="36"/>
      <c r="AB676" s="36"/>
      <c r="AC676" s="36"/>
    </row>
    <row r="677" spans="17:29" x14ac:dyDescent="0.2">
      <c r="Q677" s="36"/>
      <c r="R677" s="40"/>
      <c r="S677" s="40"/>
      <c r="T677" s="40"/>
      <c r="U677" s="41"/>
      <c r="V677" s="41"/>
      <c r="W677" s="41"/>
      <c r="X677" s="36"/>
      <c r="Y677" s="36"/>
      <c r="Z677" s="36"/>
      <c r="AA677" s="36"/>
      <c r="AB677" s="36"/>
      <c r="AC677" s="36"/>
    </row>
    <row r="678" spans="17:29" x14ac:dyDescent="0.2">
      <c r="Q678" s="36"/>
      <c r="R678" s="40"/>
      <c r="S678" s="40"/>
      <c r="T678" s="40"/>
      <c r="U678" s="41"/>
      <c r="V678" s="41"/>
      <c r="W678" s="41"/>
      <c r="X678" s="36"/>
      <c r="Y678" s="36"/>
      <c r="Z678" s="36"/>
      <c r="AA678" s="36"/>
      <c r="AB678" s="36"/>
      <c r="AC678" s="36"/>
    </row>
    <row r="679" spans="17:29" x14ac:dyDescent="0.2">
      <c r="Q679" s="36"/>
      <c r="R679" s="40"/>
      <c r="S679" s="40"/>
      <c r="T679" s="40"/>
      <c r="U679" s="41"/>
      <c r="V679" s="41"/>
      <c r="W679" s="41"/>
      <c r="X679" s="36"/>
      <c r="Y679" s="36"/>
      <c r="Z679" s="36"/>
      <c r="AA679" s="36"/>
      <c r="AB679" s="36"/>
      <c r="AC679" s="36"/>
    </row>
    <row r="680" spans="17:29" x14ac:dyDescent="0.2">
      <c r="Q680" s="36"/>
      <c r="R680" s="40"/>
      <c r="S680" s="40"/>
      <c r="T680" s="40"/>
      <c r="U680" s="41"/>
      <c r="V680" s="41"/>
      <c r="W680" s="41"/>
      <c r="X680" s="36"/>
      <c r="Y680" s="36"/>
      <c r="Z680" s="36"/>
      <c r="AA680" s="36"/>
      <c r="AB680" s="36"/>
      <c r="AC680" s="36"/>
    </row>
    <row r="681" spans="17:29" x14ac:dyDescent="0.2">
      <c r="Q681" s="36"/>
      <c r="R681" s="40"/>
      <c r="S681" s="40"/>
      <c r="T681" s="40"/>
      <c r="U681" s="41"/>
      <c r="V681" s="41"/>
      <c r="W681" s="41"/>
      <c r="X681" s="36"/>
      <c r="Y681" s="36"/>
      <c r="Z681" s="36"/>
      <c r="AA681" s="36"/>
      <c r="AB681" s="36"/>
      <c r="AC681" s="36"/>
    </row>
    <row r="682" spans="17:29" x14ac:dyDescent="0.2">
      <c r="Q682" s="36"/>
      <c r="R682" s="40"/>
      <c r="S682" s="40"/>
      <c r="T682" s="40"/>
      <c r="U682" s="41"/>
      <c r="V682" s="41"/>
      <c r="W682" s="41"/>
      <c r="X682" s="36"/>
      <c r="Y682" s="36"/>
      <c r="Z682" s="36"/>
      <c r="AA682" s="36"/>
      <c r="AB682" s="36"/>
      <c r="AC682" s="36"/>
    </row>
    <row r="683" spans="17:29" x14ac:dyDescent="0.2">
      <c r="Q683" s="36"/>
      <c r="R683" s="40"/>
      <c r="S683" s="40"/>
      <c r="T683" s="40"/>
      <c r="U683" s="41"/>
      <c r="V683" s="41"/>
      <c r="W683" s="41"/>
      <c r="X683" s="36"/>
      <c r="Y683" s="36"/>
      <c r="Z683" s="36"/>
      <c r="AA683" s="36"/>
      <c r="AB683" s="36"/>
      <c r="AC683" s="36"/>
    </row>
    <row r="684" spans="17:29" x14ac:dyDescent="0.2">
      <c r="Q684" s="36"/>
      <c r="R684" s="40"/>
      <c r="S684" s="40"/>
      <c r="T684" s="40"/>
      <c r="U684" s="41"/>
      <c r="V684" s="41"/>
      <c r="W684" s="41"/>
      <c r="X684" s="36"/>
      <c r="Y684" s="36"/>
      <c r="Z684" s="36"/>
      <c r="AA684" s="36"/>
      <c r="AB684" s="36"/>
      <c r="AC684" s="36"/>
    </row>
    <row r="685" spans="17:29" x14ac:dyDescent="0.2">
      <c r="Q685" s="36"/>
      <c r="R685" s="40"/>
      <c r="S685" s="40"/>
      <c r="T685" s="40"/>
      <c r="U685" s="41"/>
      <c r="V685" s="41"/>
      <c r="W685" s="41"/>
      <c r="X685" s="36"/>
      <c r="Y685" s="36"/>
      <c r="Z685" s="36"/>
      <c r="AA685" s="36"/>
      <c r="AB685" s="36"/>
      <c r="AC685" s="36"/>
    </row>
    <row r="686" spans="17:29" x14ac:dyDescent="0.2">
      <c r="Q686" s="36"/>
      <c r="R686" s="40"/>
      <c r="S686" s="40"/>
      <c r="T686" s="40"/>
      <c r="U686" s="41"/>
      <c r="V686" s="41"/>
      <c r="W686" s="41"/>
      <c r="X686" s="36"/>
      <c r="Y686" s="36"/>
      <c r="Z686" s="36"/>
      <c r="AA686" s="36"/>
      <c r="AB686" s="36"/>
      <c r="AC686" s="36"/>
    </row>
    <row r="687" spans="17:29" x14ac:dyDescent="0.2">
      <c r="Q687" s="36"/>
      <c r="R687" s="40"/>
      <c r="S687" s="40"/>
      <c r="T687" s="40"/>
      <c r="U687" s="41"/>
      <c r="V687" s="41"/>
      <c r="W687" s="41"/>
      <c r="X687" s="36"/>
      <c r="Y687" s="36"/>
      <c r="Z687" s="36"/>
      <c r="AA687" s="36"/>
      <c r="AB687" s="36"/>
      <c r="AC687" s="36"/>
    </row>
    <row r="688" spans="17:29" x14ac:dyDescent="0.2">
      <c r="Q688" s="36"/>
      <c r="R688" s="40"/>
      <c r="S688" s="40"/>
      <c r="T688" s="40"/>
      <c r="U688" s="41"/>
      <c r="V688" s="41"/>
      <c r="W688" s="41"/>
      <c r="X688" s="36"/>
      <c r="Y688" s="36"/>
      <c r="Z688" s="36"/>
      <c r="AA688" s="36"/>
      <c r="AB688" s="36"/>
      <c r="AC688" s="36"/>
    </row>
    <row r="689" spans="17:29" x14ac:dyDescent="0.2">
      <c r="Q689" s="36"/>
      <c r="R689" s="40"/>
      <c r="S689" s="40"/>
      <c r="T689" s="40"/>
      <c r="U689" s="41"/>
      <c r="V689" s="41"/>
      <c r="W689" s="41"/>
      <c r="X689" s="36"/>
      <c r="Y689" s="36"/>
      <c r="Z689" s="36"/>
      <c r="AA689" s="36"/>
      <c r="AB689" s="36"/>
      <c r="AC689" s="36"/>
    </row>
    <row r="690" spans="17:29" x14ac:dyDescent="0.2">
      <c r="Q690" s="36"/>
      <c r="R690" s="40"/>
      <c r="S690" s="40"/>
      <c r="T690" s="40"/>
      <c r="U690" s="41"/>
      <c r="V690" s="41"/>
      <c r="W690" s="41"/>
      <c r="X690" s="36"/>
      <c r="Y690" s="36"/>
      <c r="Z690" s="36"/>
      <c r="AA690" s="36"/>
      <c r="AB690" s="36"/>
      <c r="AC690" s="36"/>
    </row>
    <row r="691" spans="17:29" x14ac:dyDescent="0.2">
      <c r="Q691" s="36"/>
      <c r="R691" s="40"/>
      <c r="S691" s="40"/>
      <c r="T691" s="40"/>
      <c r="U691" s="41"/>
      <c r="V691" s="41"/>
      <c r="W691" s="41"/>
      <c r="X691" s="36"/>
      <c r="Y691" s="36"/>
      <c r="Z691" s="36"/>
      <c r="AA691" s="36"/>
      <c r="AB691" s="36"/>
      <c r="AC691" s="36"/>
    </row>
    <row r="692" spans="17:29" x14ac:dyDescent="0.2">
      <c r="Q692" s="36"/>
      <c r="R692" s="40"/>
      <c r="S692" s="40"/>
      <c r="T692" s="40"/>
      <c r="U692" s="41"/>
      <c r="V692" s="41"/>
      <c r="W692" s="41"/>
      <c r="X692" s="36"/>
      <c r="Y692" s="36"/>
      <c r="Z692" s="36"/>
      <c r="AA692" s="36"/>
      <c r="AB692" s="36"/>
      <c r="AC692" s="36"/>
    </row>
    <row r="693" spans="17:29" x14ac:dyDescent="0.2">
      <c r="Q693" s="36"/>
      <c r="R693" s="40"/>
      <c r="S693" s="40"/>
      <c r="T693" s="40"/>
      <c r="U693" s="41"/>
      <c r="V693" s="41"/>
      <c r="W693" s="41"/>
      <c r="X693" s="36"/>
      <c r="Y693" s="36"/>
      <c r="Z693" s="36"/>
      <c r="AA693" s="36"/>
      <c r="AB693" s="36"/>
      <c r="AC693" s="36"/>
    </row>
    <row r="694" spans="17:29" x14ac:dyDescent="0.2">
      <c r="Q694" s="36"/>
      <c r="R694" s="40"/>
      <c r="S694" s="40"/>
      <c r="T694" s="40"/>
      <c r="U694" s="41"/>
      <c r="V694" s="41"/>
      <c r="W694" s="41"/>
      <c r="X694" s="36"/>
      <c r="Y694" s="36"/>
      <c r="Z694" s="36"/>
      <c r="AA694" s="36"/>
      <c r="AB694" s="36"/>
      <c r="AC694" s="36"/>
    </row>
    <row r="695" spans="17:29" x14ac:dyDescent="0.2">
      <c r="Q695" s="36"/>
      <c r="R695" s="40"/>
      <c r="S695" s="40"/>
      <c r="T695" s="40"/>
      <c r="U695" s="41"/>
      <c r="V695" s="41"/>
      <c r="W695" s="41"/>
      <c r="X695" s="36"/>
      <c r="Y695" s="36"/>
      <c r="Z695" s="36"/>
      <c r="AA695" s="36"/>
      <c r="AB695" s="36"/>
      <c r="AC695" s="36"/>
    </row>
    <row r="696" spans="17:29" x14ac:dyDescent="0.2">
      <c r="Q696" s="36"/>
      <c r="R696" s="40"/>
      <c r="S696" s="40"/>
      <c r="T696" s="40"/>
      <c r="U696" s="41"/>
      <c r="V696" s="41"/>
      <c r="W696" s="41"/>
      <c r="X696" s="36"/>
      <c r="Y696" s="36"/>
      <c r="Z696" s="36"/>
      <c r="AA696" s="36"/>
      <c r="AB696" s="36"/>
      <c r="AC696" s="36"/>
    </row>
    <row r="697" spans="17:29" x14ac:dyDescent="0.2">
      <c r="Q697" s="36"/>
      <c r="R697" s="40"/>
      <c r="S697" s="40"/>
      <c r="T697" s="40"/>
      <c r="U697" s="41"/>
      <c r="V697" s="41"/>
      <c r="W697" s="41"/>
      <c r="X697" s="36"/>
      <c r="Y697" s="36"/>
      <c r="Z697" s="36"/>
      <c r="AA697" s="36"/>
      <c r="AB697" s="36"/>
      <c r="AC697" s="36"/>
    </row>
    <row r="698" spans="17:29" x14ac:dyDescent="0.2">
      <c r="Q698" s="36"/>
      <c r="R698" s="40"/>
      <c r="S698" s="40"/>
      <c r="T698" s="40"/>
      <c r="U698" s="41"/>
      <c r="V698" s="41"/>
      <c r="W698" s="41"/>
      <c r="X698" s="36"/>
      <c r="Y698" s="36"/>
      <c r="Z698" s="36"/>
      <c r="AA698" s="36"/>
      <c r="AB698" s="36"/>
      <c r="AC698" s="36"/>
    </row>
    <row r="699" spans="17:29" x14ac:dyDescent="0.2">
      <c r="Q699" s="36"/>
      <c r="R699" s="40"/>
      <c r="S699" s="40"/>
      <c r="T699" s="40"/>
      <c r="U699" s="41"/>
      <c r="V699" s="41"/>
      <c r="W699" s="41"/>
      <c r="X699" s="36"/>
      <c r="Y699" s="36"/>
      <c r="Z699" s="36"/>
      <c r="AA699" s="36"/>
      <c r="AB699" s="36"/>
      <c r="AC699" s="36"/>
    </row>
    <row r="700" spans="17:29" x14ac:dyDescent="0.2">
      <c r="Q700" s="36"/>
      <c r="R700" s="40"/>
      <c r="S700" s="40"/>
      <c r="T700" s="40"/>
      <c r="U700" s="41"/>
      <c r="V700" s="41"/>
      <c r="W700" s="41"/>
      <c r="X700" s="36"/>
      <c r="Y700" s="36"/>
      <c r="Z700" s="36"/>
      <c r="AA700" s="36"/>
      <c r="AB700" s="36"/>
      <c r="AC700" s="36"/>
    </row>
    <row r="701" spans="17:29" x14ac:dyDescent="0.2">
      <c r="Q701" s="36"/>
      <c r="R701" s="40"/>
      <c r="S701" s="40"/>
      <c r="T701" s="40"/>
      <c r="U701" s="41"/>
      <c r="V701" s="41"/>
      <c r="W701" s="41"/>
      <c r="X701" s="36"/>
      <c r="Y701" s="36"/>
      <c r="Z701" s="36"/>
      <c r="AA701" s="36"/>
      <c r="AB701" s="36"/>
      <c r="AC701" s="36"/>
    </row>
    <row r="702" spans="17:29" x14ac:dyDescent="0.2">
      <c r="Q702" s="36"/>
      <c r="R702" s="40"/>
      <c r="S702" s="40"/>
      <c r="T702" s="40"/>
      <c r="U702" s="41"/>
      <c r="V702" s="41"/>
      <c r="W702" s="41"/>
      <c r="X702" s="36"/>
      <c r="Y702" s="36"/>
      <c r="Z702" s="36"/>
      <c r="AA702" s="36"/>
      <c r="AB702" s="36"/>
      <c r="AC702" s="36"/>
    </row>
    <row r="703" spans="17:29" x14ac:dyDescent="0.2">
      <c r="Q703" s="36"/>
      <c r="R703" s="40"/>
      <c r="S703" s="40"/>
      <c r="T703" s="40"/>
      <c r="U703" s="41"/>
      <c r="V703" s="41"/>
      <c r="W703" s="41"/>
      <c r="X703" s="36"/>
      <c r="Y703" s="36"/>
      <c r="Z703" s="36"/>
      <c r="AA703" s="36"/>
      <c r="AB703" s="36"/>
      <c r="AC703" s="36"/>
    </row>
    <row r="704" spans="17:29" x14ac:dyDescent="0.2">
      <c r="Q704" s="36"/>
      <c r="R704" s="40"/>
      <c r="S704" s="40"/>
      <c r="T704" s="40"/>
      <c r="U704" s="41"/>
      <c r="V704" s="41"/>
      <c r="W704" s="41"/>
      <c r="X704" s="36"/>
      <c r="Y704" s="36"/>
      <c r="Z704" s="36"/>
      <c r="AA704" s="36"/>
      <c r="AB704" s="36"/>
      <c r="AC704" s="36"/>
    </row>
    <row r="705" spans="17:29" x14ac:dyDescent="0.2">
      <c r="Q705" s="36"/>
      <c r="R705" s="40"/>
      <c r="S705" s="40"/>
      <c r="T705" s="40"/>
      <c r="U705" s="41"/>
      <c r="V705" s="41"/>
      <c r="W705" s="41"/>
      <c r="X705" s="36"/>
      <c r="Y705" s="36"/>
      <c r="Z705" s="36"/>
      <c r="AA705" s="36"/>
      <c r="AB705" s="36"/>
      <c r="AC705" s="36"/>
    </row>
    <row r="706" spans="17:29" x14ac:dyDescent="0.2">
      <c r="Q706" s="36"/>
      <c r="R706" s="40"/>
      <c r="S706" s="40"/>
      <c r="T706" s="40"/>
      <c r="U706" s="41"/>
      <c r="V706" s="41"/>
      <c r="W706" s="41"/>
      <c r="X706" s="36"/>
      <c r="Y706" s="36"/>
      <c r="Z706" s="36"/>
      <c r="AA706" s="36"/>
      <c r="AB706" s="36"/>
      <c r="AC706" s="36"/>
    </row>
    <row r="707" spans="17:29" x14ac:dyDescent="0.2">
      <c r="Q707" s="36"/>
      <c r="R707" s="40"/>
      <c r="S707" s="40"/>
      <c r="T707" s="40"/>
      <c r="U707" s="41"/>
      <c r="V707" s="41"/>
      <c r="W707" s="41"/>
      <c r="X707" s="36"/>
      <c r="Y707" s="36"/>
      <c r="Z707" s="36"/>
      <c r="AA707" s="36"/>
      <c r="AB707" s="36"/>
      <c r="AC707" s="36"/>
    </row>
    <row r="708" spans="17:29" x14ac:dyDescent="0.2">
      <c r="Q708" s="36"/>
      <c r="R708" s="40"/>
      <c r="S708" s="40"/>
      <c r="T708" s="40"/>
      <c r="U708" s="41"/>
      <c r="V708" s="41"/>
      <c r="W708" s="41"/>
      <c r="X708" s="36"/>
      <c r="Y708" s="36"/>
      <c r="Z708" s="36"/>
      <c r="AA708" s="36"/>
      <c r="AB708" s="36"/>
      <c r="AC708" s="36"/>
    </row>
    <row r="709" spans="17:29" x14ac:dyDescent="0.2">
      <c r="Q709" s="36"/>
      <c r="R709" s="40"/>
      <c r="S709" s="40"/>
      <c r="T709" s="40"/>
      <c r="U709" s="41"/>
      <c r="V709" s="41"/>
      <c r="W709" s="41"/>
      <c r="X709" s="36"/>
      <c r="Y709" s="36"/>
      <c r="Z709" s="36"/>
      <c r="AA709" s="36"/>
      <c r="AB709" s="36"/>
      <c r="AC709" s="36"/>
    </row>
    <row r="710" spans="17:29" x14ac:dyDescent="0.2">
      <c r="Q710" s="36"/>
      <c r="R710" s="40"/>
      <c r="S710" s="40"/>
      <c r="T710" s="40"/>
      <c r="U710" s="41"/>
      <c r="V710" s="41"/>
      <c r="W710" s="41"/>
      <c r="X710" s="36"/>
      <c r="Y710" s="36"/>
      <c r="Z710" s="36"/>
      <c r="AA710" s="36"/>
      <c r="AB710" s="36"/>
      <c r="AC710" s="36"/>
    </row>
    <row r="711" spans="17:29" x14ac:dyDescent="0.2">
      <c r="Q711" s="36"/>
      <c r="R711" s="40"/>
      <c r="S711" s="40"/>
      <c r="T711" s="40"/>
      <c r="U711" s="41"/>
      <c r="V711" s="41"/>
      <c r="W711" s="41"/>
      <c r="X711" s="36"/>
      <c r="Y711" s="36"/>
      <c r="Z711" s="36"/>
      <c r="AA711" s="36"/>
      <c r="AB711" s="36"/>
      <c r="AC711" s="36"/>
    </row>
    <row r="712" spans="17:29" x14ac:dyDescent="0.2">
      <c r="Q712" s="36"/>
      <c r="R712" s="40"/>
      <c r="S712" s="40"/>
      <c r="T712" s="40"/>
      <c r="U712" s="41"/>
      <c r="V712" s="41"/>
      <c r="W712" s="41"/>
      <c r="X712" s="36"/>
      <c r="Y712" s="36"/>
      <c r="Z712" s="36"/>
      <c r="AA712" s="36"/>
      <c r="AB712" s="36"/>
      <c r="AC712" s="36"/>
    </row>
    <row r="713" spans="17:29" x14ac:dyDescent="0.2">
      <c r="Q713" s="36"/>
      <c r="R713" s="40"/>
      <c r="S713" s="40"/>
      <c r="T713" s="40"/>
      <c r="U713" s="41"/>
      <c r="V713" s="41"/>
      <c r="W713" s="41"/>
      <c r="X713" s="36"/>
      <c r="Y713" s="36"/>
      <c r="Z713" s="36"/>
      <c r="AA713" s="36"/>
      <c r="AB713" s="36"/>
      <c r="AC713" s="36"/>
    </row>
    <row r="714" spans="17:29" x14ac:dyDescent="0.2">
      <c r="Q714" s="36"/>
      <c r="R714" s="40"/>
      <c r="S714" s="40"/>
      <c r="T714" s="40"/>
      <c r="U714" s="41"/>
      <c r="V714" s="41"/>
      <c r="W714" s="41"/>
      <c r="X714" s="36"/>
      <c r="Y714" s="36"/>
      <c r="Z714" s="36"/>
      <c r="AA714" s="36"/>
      <c r="AB714" s="36"/>
      <c r="AC714" s="36"/>
    </row>
    <row r="715" spans="17:29" x14ac:dyDescent="0.2">
      <c r="Q715" s="36"/>
      <c r="R715" s="40"/>
      <c r="S715" s="40"/>
      <c r="T715" s="40"/>
      <c r="U715" s="41"/>
      <c r="V715" s="41"/>
      <c r="W715" s="41"/>
      <c r="X715" s="36"/>
      <c r="Y715" s="36"/>
      <c r="Z715" s="36"/>
      <c r="AA715" s="36"/>
      <c r="AB715" s="36"/>
      <c r="AC715" s="36"/>
    </row>
    <row r="716" spans="17:29" x14ac:dyDescent="0.2">
      <c r="Q716" s="36"/>
      <c r="R716" s="40"/>
      <c r="S716" s="40"/>
      <c r="T716" s="40"/>
      <c r="U716" s="41"/>
      <c r="V716" s="41"/>
      <c r="W716" s="41"/>
      <c r="X716" s="36"/>
      <c r="Y716" s="36"/>
      <c r="Z716" s="36"/>
      <c r="AA716" s="36"/>
      <c r="AB716" s="36"/>
      <c r="AC716" s="36"/>
    </row>
    <row r="717" spans="17:29" x14ac:dyDescent="0.2">
      <c r="Q717" s="36"/>
      <c r="R717" s="40"/>
      <c r="S717" s="40"/>
      <c r="T717" s="40"/>
      <c r="U717" s="41"/>
      <c r="V717" s="41"/>
      <c r="W717" s="41"/>
      <c r="X717" s="36"/>
      <c r="Y717" s="36"/>
      <c r="Z717" s="36"/>
      <c r="AA717" s="36"/>
      <c r="AB717" s="36"/>
      <c r="AC717" s="36"/>
    </row>
    <row r="718" spans="17:29" x14ac:dyDescent="0.2">
      <c r="Q718" s="36"/>
      <c r="R718" s="40"/>
      <c r="S718" s="40"/>
      <c r="T718" s="40"/>
      <c r="U718" s="41"/>
      <c r="V718" s="41"/>
      <c r="W718" s="41"/>
      <c r="X718" s="36"/>
      <c r="Y718" s="36"/>
      <c r="Z718" s="36"/>
      <c r="AA718" s="36"/>
      <c r="AB718" s="36"/>
      <c r="AC718" s="36"/>
    </row>
    <row r="719" spans="17:29" x14ac:dyDescent="0.2">
      <c r="Q719" s="36"/>
      <c r="R719" s="40"/>
      <c r="S719" s="40"/>
      <c r="T719" s="40"/>
      <c r="U719" s="41"/>
      <c r="V719" s="41"/>
      <c r="W719" s="41"/>
      <c r="X719" s="36"/>
      <c r="Y719" s="36"/>
      <c r="Z719" s="36"/>
      <c r="AA719" s="36"/>
      <c r="AB719" s="36"/>
      <c r="AC719" s="36"/>
    </row>
    <row r="720" spans="17:29" x14ac:dyDescent="0.2">
      <c r="Q720" s="36"/>
      <c r="R720" s="40"/>
      <c r="S720" s="40"/>
      <c r="T720" s="40"/>
      <c r="U720" s="41"/>
      <c r="V720" s="41"/>
      <c r="W720" s="41"/>
      <c r="X720" s="36"/>
      <c r="Y720" s="36"/>
      <c r="Z720" s="36"/>
      <c r="AA720" s="36"/>
      <c r="AB720" s="36"/>
      <c r="AC720" s="36"/>
    </row>
    <row r="721" spans="17:29" x14ac:dyDescent="0.2">
      <c r="Q721" s="36"/>
      <c r="R721" s="40"/>
      <c r="S721" s="40"/>
      <c r="T721" s="40"/>
      <c r="U721" s="41"/>
      <c r="V721" s="41"/>
      <c r="W721" s="41"/>
      <c r="X721" s="36"/>
      <c r="Y721" s="36"/>
      <c r="Z721" s="36"/>
      <c r="AA721" s="36"/>
      <c r="AB721" s="36"/>
      <c r="AC721" s="36"/>
    </row>
    <row r="722" spans="17:29" x14ac:dyDescent="0.2">
      <c r="Q722" s="36"/>
      <c r="R722" s="40"/>
      <c r="S722" s="40"/>
      <c r="T722" s="40"/>
      <c r="U722" s="41"/>
      <c r="V722" s="41"/>
      <c r="W722" s="41"/>
      <c r="X722" s="36"/>
      <c r="Y722" s="36"/>
      <c r="Z722" s="36"/>
      <c r="AA722" s="36"/>
      <c r="AB722" s="36"/>
      <c r="AC722" s="36"/>
    </row>
    <row r="723" spans="17:29" x14ac:dyDescent="0.2">
      <c r="Q723" s="36"/>
      <c r="R723" s="40"/>
      <c r="S723" s="40"/>
      <c r="T723" s="40"/>
      <c r="U723" s="41"/>
      <c r="V723" s="41"/>
      <c r="W723" s="41"/>
      <c r="X723" s="36"/>
      <c r="Y723" s="36"/>
      <c r="Z723" s="36"/>
      <c r="AA723" s="36"/>
      <c r="AB723" s="36"/>
      <c r="AC723" s="36"/>
    </row>
    <row r="724" spans="17:29" x14ac:dyDescent="0.2">
      <c r="Q724" s="36"/>
      <c r="R724" s="40"/>
      <c r="S724" s="40"/>
      <c r="T724" s="40"/>
      <c r="U724" s="41"/>
      <c r="V724" s="41"/>
      <c r="W724" s="41"/>
      <c r="X724" s="36"/>
      <c r="Y724" s="36"/>
      <c r="Z724" s="36"/>
      <c r="AA724" s="36"/>
      <c r="AB724" s="36"/>
      <c r="AC724" s="36"/>
    </row>
    <row r="725" spans="17:29" x14ac:dyDescent="0.2">
      <c r="Q725" s="36"/>
      <c r="R725" s="40"/>
      <c r="S725" s="40"/>
      <c r="T725" s="40"/>
      <c r="U725" s="41"/>
      <c r="V725" s="41"/>
      <c r="W725" s="41"/>
      <c r="X725" s="36"/>
      <c r="Y725" s="36"/>
      <c r="Z725" s="36"/>
      <c r="AA725" s="36"/>
      <c r="AB725" s="36"/>
      <c r="AC725" s="36"/>
    </row>
    <row r="726" spans="17:29" x14ac:dyDescent="0.2">
      <c r="Q726" s="36"/>
      <c r="R726" s="40"/>
      <c r="S726" s="40"/>
      <c r="T726" s="40"/>
      <c r="U726" s="41"/>
      <c r="V726" s="41"/>
      <c r="W726" s="41"/>
      <c r="X726" s="36"/>
      <c r="Y726" s="36"/>
      <c r="Z726" s="36"/>
      <c r="AA726" s="36"/>
      <c r="AB726" s="36"/>
      <c r="AC726" s="36"/>
    </row>
    <row r="727" spans="17:29" x14ac:dyDescent="0.2">
      <c r="Q727" s="36"/>
      <c r="R727" s="40"/>
      <c r="S727" s="40"/>
      <c r="T727" s="40"/>
      <c r="U727" s="41"/>
      <c r="V727" s="41"/>
      <c r="W727" s="41"/>
      <c r="X727" s="36"/>
      <c r="Y727" s="36"/>
      <c r="Z727" s="36"/>
      <c r="AA727" s="36"/>
      <c r="AB727" s="36"/>
      <c r="AC727" s="36"/>
    </row>
    <row r="728" spans="17:29" x14ac:dyDescent="0.2">
      <c r="Q728" s="36"/>
      <c r="R728" s="40"/>
      <c r="S728" s="40"/>
      <c r="T728" s="40"/>
      <c r="U728" s="41"/>
      <c r="V728" s="41"/>
      <c r="W728" s="41"/>
      <c r="X728" s="36"/>
      <c r="Y728" s="36"/>
      <c r="Z728" s="36"/>
      <c r="AA728" s="36"/>
      <c r="AB728" s="36"/>
      <c r="AC728" s="36"/>
    </row>
    <row r="729" spans="17:29" x14ac:dyDescent="0.2">
      <c r="Q729" s="36"/>
      <c r="R729" s="40"/>
      <c r="S729" s="40"/>
      <c r="T729" s="40"/>
      <c r="U729" s="41"/>
      <c r="V729" s="41"/>
      <c r="W729" s="41"/>
      <c r="X729" s="36"/>
      <c r="Y729" s="36"/>
      <c r="Z729" s="36"/>
      <c r="AA729" s="36"/>
      <c r="AB729" s="36"/>
      <c r="AC729" s="36"/>
    </row>
    <row r="730" spans="17:29" x14ac:dyDescent="0.2">
      <c r="Q730" s="36"/>
      <c r="R730" s="40"/>
      <c r="S730" s="40"/>
      <c r="T730" s="40"/>
      <c r="U730" s="41"/>
      <c r="V730" s="41"/>
      <c r="W730" s="41"/>
      <c r="X730" s="36"/>
      <c r="Y730" s="36"/>
      <c r="Z730" s="36"/>
      <c r="AA730" s="36"/>
      <c r="AB730" s="36"/>
      <c r="AC730" s="36"/>
    </row>
    <row r="731" spans="17:29" x14ac:dyDescent="0.2">
      <c r="Q731" s="36"/>
      <c r="R731" s="40"/>
      <c r="S731" s="40"/>
      <c r="T731" s="40"/>
      <c r="U731" s="41"/>
      <c r="V731" s="41"/>
      <c r="W731" s="41"/>
      <c r="X731" s="36"/>
      <c r="Y731" s="36"/>
      <c r="Z731" s="36"/>
      <c r="AA731" s="36"/>
      <c r="AB731" s="36"/>
      <c r="AC731" s="36"/>
    </row>
    <row r="732" spans="17:29" x14ac:dyDescent="0.2">
      <c r="Q732" s="36"/>
      <c r="R732" s="40"/>
      <c r="S732" s="40"/>
      <c r="T732" s="40"/>
      <c r="U732" s="41"/>
      <c r="V732" s="41"/>
      <c r="W732" s="41"/>
      <c r="X732" s="36"/>
      <c r="Y732" s="36"/>
      <c r="Z732" s="36"/>
      <c r="AA732" s="36"/>
      <c r="AB732" s="36"/>
      <c r="AC732" s="36"/>
    </row>
    <row r="733" spans="17:29" x14ac:dyDescent="0.2">
      <c r="Q733" s="36"/>
      <c r="R733" s="40"/>
      <c r="S733" s="40"/>
      <c r="T733" s="40"/>
      <c r="U733" s="41"/>
      <c r="V733" s="41"/>
      <c r="W733" s="41"/>
      <c r="X733" s="36"/>
      <c r="Y733" s="36"/>
      <c r="Z733" s="36"/>
      <c r="AA733" s="36"/>
      <c r="AB733" s="36"/>
      <c r="AC733" s="36"/>
    </row>
    <row r="734" spans="17:29" x14ac:dyDescent="0.2">
      <c r="Q734" s="36"/>
      <c r="R734" s="40"/>
      <c r="S734" s="40"/>
      <c r="T734" s="40"/>
      <c r="U734" s="41"/>
      <c r="V734" s="41"/>
      <c r="W734" s="41"/>
      <c r="X734" s="36"/>
      <c r="Y734" s="36"/>
      <c r="Z734" s="36"/>
      <c r="AA734" s="36"/>
      <c r="AB734" s="36"/>
      <c r="AC734" s="36"/>
    </row>
    <row r="735" spans="17:29" x14ac:dyDescent="0.2">
      <c r="Q735" s="36"/>
      <c r="R735" s="40"/>
      <c r="S735" s="40"/>
      <c r="T735" s="40"/>
      <c r="U735" s="41"/>
      <c r="V735" s="41"/>
      <c r="W735" s="41"/>
      <c r="X735" s="36"/>
      <c r="Y735" s="36"/>
      <c r="Z735" s="36"/>
      <c r="AA735" s="36"/>
      <c r="AB735" s="36"/>
      <c r="AC735" s="36"/>
    </row>
    <row r="736" spans="17:29" x14ac:dyDescent="0.2">
      <c r="Q736" s="36"/>
      <c r="R736" s="40"/>
      <c r="S736" s="40"/>
      <c r="T736" s="40"/>
      <c r="U736" s="41"/>
      <c r="V736" s="41"/>
      <c r="W736" s="41"/>
      <c r="X736" s="36"/>
      <c r="Y736" s="36"/>
      <c r="Z736" s="36"/>
      <c r="AA736" s="36"/>
      <c r="AB736" s="36"/>
      <c r="AC736" s="36"/>
    </row>
    <row r="737" spans="17:29" x14ac:dyDescent="0.2">
      <c r="Q737" s="36"/>
      <c r="R737" s="40"/>
      <c r="S737" s="40"/>
      <c r="T737" s="40"/>
      <c r="U737" s="41"/>
      <c r="V737" s="41"/>
      <c r="W737" s="41"/>
      <c r="X737" s="36"/>
      <c r="Y737" s="36"/>
      <c r="Z737" s="36"/>
      <c r="AA737" s="36"/>
      <c r="AB737" s="36"/>
      <c r="AC737" s="36"/>
    </row>
    <row r="738" spans="17:29" x14ac:dyDescent="0.2">
      <c r="Q738" s="36"/>
      <c r="R738" s="40"/>
      <c r="S738" s="40"/>
      <c r="T738" s="40"/>
      <c r="U738" s="41"/>
      <c r="V738" s="41"/>
      <c r="W738" s="41"/>
      <c r="X738" s="36"/>
      <c r="Y738" s="36"/>
      <c r="Z738" s="36"/>
      <c r="AA738" s="36"/>
      <c r="AB738" s="36"/>
      <c r="AC738" s="36"/>
    </row>
    <row r="739" spans="17:29" x14ac:dyDescent="0.2">
      <c r="Q739" s="36"/>
      <c r="R739" s="40"/>
      <c r="S739" s="40"/>
      <c r="T739" s="40"/>
      <c r="U739" s="41"/>
      <c r="V739" s="41"/>
      <c r="W739" s="41"/>
      <c r="X739" s="36"/>
      <c r="Y739" s="36"/>
      <c r="Z739" s="36"/>
      <c r="AA739" s="36"/>
      <c r="AB739" s="36"/>
      <c r="AC739" s="36"/>
    </row>
    <row r="740" spans="17:29" x14ac:dyDescent="0.2">
      <c r="Q740" s="36"/>
      <c r="R740" s="40"/>
      <c r="S740" s="40"/>
      <c r="T740" s="40"/>
      <c r="U740" s="41"/>
      <c r="V740" s="41"/>
      <c r="W740" s="41"/>
      <c r="X740" s="36"/>
      <c r="Y740" s="36"/>
      <c r="Z740" s="36"/>
      <c r="AA740" s="36"/>
      <c r="AB740" s="36"/>
      <c r="AC740" s="36"/>
    </row>
    <row r="741" spans="17:29" x14ac:dyDescent="0.2">
      <c r="Q741" s="36"/>
      <c r="R741" s="40"/>
      <c r="S741" s="40"/>
      <c r="T741" s="40"/>
      <c r="U741" s="41"/>
      <c r="V741" s="41"/>
      <c r="W741" s="41"/>
      <c r="X741" s="36"/>
      <c r="Y741" s="36"/>
      <c r="Z741" s="36"/>
      <c r="AA741" s="36"/>
      <c r="AB741" s="36"/>
      <c r="AC741" s="36"/>
    </row>
    <row r="742" spans="17:29" x14ac:dyDescent="0.2">
      <c r="Q742" s="36"/>
      <c r="R742" s="40"/>
      <c r="S742" s="40"/>
      <c r="T742" s="40"/>
      <c r="U742" s="41"/>
      <c r="V742" s="41"/>
      <c r="W742" s="41"/>
      <c r="X742" s="36"/>
      <c r="Y742" s="36"/>
      <c r="Z742" s="36"/>
      <c r="AA742" s="36"/>
      <c r="AB742" s="36"/>
      <c r="AC742" s="36"/>
    </row>
    <row r="743" spans="17:29" x14ac:dyDescent="0.2">
      <c r="Q743" s="36"/>
      <c r="R743" s="40"/>
      <c r="S743" s="40"/>
      <c r="T743" s="40"/>
      <c r="U743" s="41"/>
      <c r="V743" s="41"/>
      <c r="W743" s="41"/>
      <c r="X743" s="36"/>
      <c r="Y743" s="36"/>
      <c r="Z743" s="36"/>
      <c r="AA743" s="36"/>
      <c r="AB743" s="36"/>
      <c r="AC743" s="36"/>
    </row>
    <row r="744" spans="17:29" x14ac:dyDescent="0.2">
      <c r="Q744" s="36"/>
      <c r="R744" s="40"/>
      <c r="S744" s="40"/>
      <c r="T744" s="40"/>
      <c r="U744" s="41"/>
      <c r="V744" s="41"/>
      <c r="W744" s="41"/>
      <c r="X744" s="36"/>
      <c r="Y744" s="36"/>
      <c r="Z744" s="36"/>
      <c r="AA744" s="36"/>
      <c r="AB744" s="36"/>
      <c r="AC744" s="36"/>
    </row>
    <row r="745" spans="17:29" x14ac:dyDescent="0.2">
      <c r="Q745" s="36"/>
      <c r="R745" s="40"/>
      <c r="S745" s="40"/>
      <c r="T745" s="40"/>
      <c r="U745" s="41"/>
      <c r="V745" s="41"/>
      <c r="W745" s="41"/>
      <c r="X745" s="36"/>
      <c r="Y745" s="36"/>
      <c r="Z745" s="36"/>
      <c r="AA745" s="36"/>
      <c r="AB745" s="36"/>
      <c r="AC745" s="36"/>
    </row>
    <row r="746" spans="17:29" x14ac:dyDescent="0.2">
      <c r="Q746" s="36"/>
      <c r="R746" s="40"/>
      <c r="S746" s="40"/>
      <c r="T746" s="40"/>
      <c r="U746" s="41"/>
      <c r="V746" s="41"/>
      <c r="W746" s="41"/>
      <c r="X746" s="36"/>
      <c r="Y746" s="36"/>
      <c r="Z746" s="36"/>
      <c r="AA746" s="36"/>
      <c r="AB746" s="36"/>
      <c r="AC746" s="36"/>
    </row>
    <row r="747" spans="17:29" x14ac:dyDescent="0.2">
      <c r="Q747" s="36"/>
      <c r="R747" s="40"/>
      <c r="S747" s="40"/>
      <c r="T747" s="40"/>
      <c r="U747" s="41"/>
      <c r="V747" s="41"/>
      <c r="W747" s="41"/>
      <c r="X747" s="36"/>
      <c r="Y747" s="36"/>
      <c r="Z747" s="36"/>
      <c r="AA747" s="36"/>
      <c r="AB747" s="36"/>
      <c r="AC747" s="36"/>
    </row>
    <row r="748" spans="17:29" x14ac:dyDescent="0.2">
      <c r="Q748" s="36"/>
      <c r="R748" s="40"/>
      <c r="S748" s="40"/>
      <c r="T748" s="40"/>
      <c r="U748" s="41"/>
      <c r="V748" s="41"/>
      <c r="W748" s="41"/>
      <c r="X748" s="36"/>
      <c r="Y748" s="36"/>
      <c r="Z748" s="36"/>
      <c r="AA748" s="36"/>
      <c r="AB748" s="36"/>
      <c r="AC748" s="36"/>
    </row>
    <row r="749" spans="17:29" x14ac:dyDescent="0.2">
      <c r="Q749" s="36"/>
      <c r="R749" s="40"/>
      <c r="S749" s="40"/>
      <c r="T749" s="40"/>
      <c r="U749" s="41"/>
      <c r="V749" s="41"/>
      <c r="W749" s="41"/>
      <c r="X749" s="36"/>
      <c r="Y749" s="36"/>
      <c r="Z749" s="36"/>
      <c r="AA749" s="36"/>
      <c r="AB749" s="36"/>
      <c r="AC749" s="36"/>
    </row>
    <row r="750" spans="17:29" x14ac:dyDescent="0.2">
      <c r="Q750" s="36"/>
      <c r="R750" s="40"/>
      <c r="S750" s="40"/>
      <c r="T750" s="40"/>
      <c r="U750" s="41"/>
      <c r="V750" s="41"/>
      <c r="W750" s="41"/>
      <c r="X750" s="36"/>
      <c r="Y750" s="36"/>
      <c r="Z750" s="36"/>
      <c r="AA750" s="36"/>
      <c r="AB750" s="36"/>
      <c r="AC750" s="36"/>
    </row>
    <row r="751" spans="17:29" x14ac:dyDescent="0.2">
      <c r="Q751" s="36"/>
      <c r="R751" s="40"/>
      <c r="S751" s="40"/>
      <c r="T751" s="40"/>
      <c r="U751" s="41"/>
      <c r="V751" s="41"/>
      <c r="W751" s="41"/>
      <c r="X751" s="36"/>
      <c r="Y751" s="36"/>
      <c r="Z751" s="36"/>
      <c r="AA751" s="36"/>
      <c r="AB751" s="36"/>
      <c r="AC751" s="36"/>
    </row>
    <row r="752" spans="17:29" x14ac:dyDescent="0.2">
      <c r="Q752" s="36"/>
      <c r="R752" s="40"/>
      <c r="S752" s="40"/>
      <c r="T752" s="40"/>
      <c r="U752" s="41"/>
      <c r="V752" s="41"/>
      <c r="W752" s="41"/>
      <c r="X752" s="36"/>
      <c r="Y752" s="36"/>
      <c r="Z752" s="36"/>
      <c r="AA752" s="36"/>
      <c r="AB752" s="36"/>
      <c r="AC752" s="36"/>
    </row>
    <row r="753" spans="17:29" x14ac:dyDescent="0.2">
      <c r="Q753" s="36"/>
      <c r="R753" s="40"/>
      <c r="S753" s="40"/>
      <c r="T753" s="40"/>
      <c r="U753" s="41"/>
      <c r="V753" s="41"/>
      <c r="W753" s="41"/>
      <c r="X753" s="36"/>
      <c r="Y753" s="36"/>
      <c r="Z753" s="36"/>
      <c r="AA753" s="36"/>
      <c r="AB753" s="36"/>
      <c r="AC753" s="36"/>
    </row>
    <row r="754" spans="17:29" x14ac:dyDescent="0.2">
      <c r="Q754" s="36"/>
      <c r="R754" s="40"/>
      <c r="S754" s="40"/>
      <c r="T754" s="40"/>
      <c r="U754" s="41"/>
      <c r="V754" s="41"/>
      <c r="W754" s="41"/>
      <c r="X754" s="36"/>
      <c r="Y754" s="36"/>
      <c r="Z754" s="36"/>
      <c r="AA754" s="36"/>
      <c r="AB754" s="36"/>
      <c r="AC754" s="36"/>
    </row>
    <row r="755" spans="17:29" x14ac:dyDescent="0.2">
      <c r="Q755" s="36"/>
      <c r="R755" s="40"/>
      <c r="S755" s="40"/>
      <c r="T755" s="40"/>
      <c r="U755" s="41"/>
      <c r="V755" s="41"/>
      <c r="W755" s="41"/>
      <c r="X755" s="36"/>
      <c r="Y755" s="36"/>
      <c r="Z755" s="36"/>
      <c r="AA755" s="36"/>
      <c r="AB755" s="36"/>
      <c r="AC755" s="36"/>
    </row>
    <row r="756" spans="17:29" x14ac:dyDescent="0.2">
      <c r="Q756" s="36"/>
      <c r="R756" s="40"/>
      <c r="S756" s="40"/>
      <c r="T756" s="40"/>
      <c r="U756" s="41"/>
      <c r="V756" s="41"/>
      <c r="W756" s="41"/>
      <c r="X756" s="36"/>
      <c r="Y756" s="36"/>
      <c r="Z756" s="36"/>
      <c r="AA756" s="36"/>
      <c r="AB756" s="36"/>
      <c r="AC756" s="36"/>
    </row>
    <row r="757" spans="17:29" x14ac:dyDescent="0.2">
      <c r="Q757" s="36"/>
      <c r="R757" s="40"/>
      <c r="S757" s="40"/>
      <c r="T757" s="40"/>
      <c r="U757" s="41"/>
      <c r="V757" s="41"/>
      <c r="W757" s="41"/>
      <c r="X757" s="36"/>
      <c r="Y757" s="36"/>
      <c r="Z757" s="36"/>
      <c r="AA757" s="36"/>
      <c r="AB757" s="36"/>
      <c r="AC757" s="36"/>
    </row>
    <row r="758" spans="17:29" x14ac:dyDescent="0.2">
      <c r="Q758" s="36"/>
      <c r="R758" s="40"/>
      <c r="S758" s="40"/>
      <c r="T758" s="40"/>
      <c r="U758" s="41"/>
      <c r="V758" s="41"/>
      <c r="W758" s="41"/>
      <c r="X758" s="36"/>
      <c r="Y758" s="36"/>
      <c r="Z758" s="36"/>
      <c r="AA758" s="36"/>
      <c r="AB758" s="36"/>
      <c r="AC758" s="36"/>
    </row>
    <row r="759" spans="17:29" x14ac:dyDescent="0.2">
      <c r="Q759" s="36"/>
      <c r="R759" s="40"/>
      <c r="S759" s="40"/>
      <c r="T759" s="40"/>
      <c r="U759" s="41"/>
      <c r="V759" s="41"/>
      <c r="W759" s="41"/>
      <c r="X759" s="36"/>
      <c r="Y759" s="36"/>
      <c r="Z759" s="36"/>
      <c r="AA759" s="36"/>
      <c r="AB759" s="36"/>
      <c r="AC759" s="36"/>
    </row>
    <row r="760" spans="17:29" x14ac:dyDescent="0.2">
      <c r="Q760" s="36"/>
      <c r="R760" s="40"/>
      <c r="S760" s="40"/>
      <c r="T760" s="40"/>
      <c r="U760" s="41"/>
      <c r="V760" s="41"/>
      <c r="W760" s="41"/>
      <c r="X760" s="36"/>
      <c r="Y760" s="36"/>
      <c r="Z760" s="36"/>
      <c r="AA760" s="36"/>
      <c r="AB760" s="36"/>
      <c r="AC760" s="36"/>
    </row>
    <row r="761" spans="17:29" x14ac:dyDescent="0.2">
      <c r="Q761" s="36"/>
      <c r="R761" s="40"/>
      <c r="S761" s="40"/>
      <c r="T761" s="40"/>
      <c r="U761" s="41"/>
      <c r="V761" s="41"/>
      <c r="W761" s="41"/>
      <c r="X761" s="36"/>
      <c r="Y761" s="36"/>
      <c r="Z761" s="36"/>
      <c r="AA761" s="36"/>
      <c r="AB761" s="36"/>
      <c r="AC761" s="36"/>
    </row>
    <row r="762" spans="17:29" x14ac:dyDescent="0.2">
      <c r="Q762" s="36"/>
      <c r="R762" s="40"/>
      <c r="S762" s="40"/>
      <c r="T762" s="40"/>
      <c r="U762" s="41"/>
      <c r="V762" s="41"/>
      <c r="W762" s="41"/>
      <c r="X762" s="36"/>
      <c r="Y762" s="36"/>
      <c r="Z762" s="36"/>
      <c r="AA762" s="36"/>
      <c r="AB762" s="36"/>
      <c r="AC762" s="36"/>
    </row>
    <row r="763" spans="17:29" x14ac:dyDescent="0.2">
      <c r="Q763" s="36"/>
      <c r="R763" s="40"/>
      <c r="S763" s="40"/>
      <c r="T763" s="40"/>
      <c r="U763" s="41"/>
      <c r="V763" s="41"/>
      <c r="W763" s="41"/>
      <c r="X763" s="36"/>
      <c r="Y763" s="36"/>
      <c r="Z763" s="36"/>
      <c r="AA763" s="36"/>
      <c r="AB763" s="36"/>
      <c r="AC763" s="36"/>
    </row>
    <row r="764" spans="17:29" x14ac:dyDescent="0.2">
      <c r="Q764" s="36"/>
      <c r="R764" s="40"/>
      <c r="S764" s="40"/>
      <c r="T764" s="40"/>
      <c r="U764" s="41"/>
      <c r="V764" s="41"/>
      <c r="W764" s="41"/>
      <c r="X764" s="36"/>
      <c r="Y764" s="36"/>
      <c r="Z764" s="36"/>
      <c r="AA764" s="36"/>
      <c r="AB764" s="36"/>
      <c r="AC764" s="36"/>
    </row>
    <row r="765" spans="17:29" x14ac:dyDescent="0.2">
      <c r="Q765" s="36"/>
      <c r="R765" s="40"/>
      <c r="S765" s="40"/>
      <c r="T765" s="40"/>
      <c r="U765" s="41"/>
      <c r="V765" s="41"/>
      <c r="W765" s="41"/>
      <c r="X765" s="36"/>
      <c r="Y765" s="36"/>
      <c r="Z765" s="36"/>
      <c r="AA765" s="36"/>
      <c r="AB765" s="36"/>
      <c r="AC765" s="36"/>
    </row>
    <row r="766" spans="17:29" x14ac:dyDescent="0.2">
      <c r="Q766" s="36"/>
      <c r="R766" s="40"/>
      <c r="S766" s="40"/>
      <c r="T766" s="40"/>
      <c r="U766" s="41"/>
      <c r="V766" s="41"/>
      <c r="W766" s="41"/>
      <c r="X766" s="36"/>
      <c r="Y766" s="36"/>
      <c r="Z766" s="36"/>
      <c r="AA766" s="36"/>
      <c r="AB766" s="36"/>
      <c r="AC766" s="36"/>
    </row>
    <row r="767" spans="17:29" x14ac:dyDescent="0.2">
      <c r="Q767" s="36"/>
      <c r="R767" s="40"/>
      <c r="S767" s="40"/>
      <c r="T767" s="40"/>
      <c r="U767" s="41"/>
      <c r="V767" s="41"/>
      <c r="W767" s="41"/>
      <c r="X767" s="36"/>
      <c r="Y767" s="36"/>
      <c r="Z767" s="36"/>
      <c r="AA767" s="36"/>
      <c r="AB767" s="36"/>
      <c r="AC767" s="36"/>
    </row>
    <row r="768" spans="17:29" x14ac:dyDescent="0.2">
      <c r="Q768" s="36"/>
      <c r="R768" s="40"/>
      <c r="S768" s="40"/>
      <c r="T768" s="40"/>
      <c r="U768" s="41"/>
      <c r="V768" s="41"/>
      <c r="W768" s="41"/>
      <c r="X768" s="36"/>
      <c r="Y768" s="36"/>
      <c r="Z768" s="36"/>
      <c r="AA768" s="36"/>
      <c r="AB768" s="36"/>
      <c r="AC768" s="36"/>
    </row>
    <row r="769" spans="17:29" x14ac:dyDescent="0.2">
      <c r="Q769" s="36"/>
      <c r="R769" s="40"/>
      <c r="S769" s="40"/>
      <c r="T769" s="40"/>
      <c r="U769" s="41"/>
      <c r="V769" s="41"/>
      <c r="W769" s="41"/>
      <c r="X769" s="36"/>
      <c r="Y769" s="36"/>
      <c r="Z769" s="36"/>
      <c r="AA769" s="36"/>
      <c r="AB769" s="36"/>
      <c r="AC769" s="36"/>
    </row>
    <row r="770" spans="17:29" x14ac:dyDescent="0.2">
      <c r="Q770" s="36"/>
      <c r="R770" s="40"/>
      <c r="S770" s="40"/>
      <c r="T770" s="40"/>
      <c r="U770" s="41"/>
      <c r="V770" s="41"/>
      <c r="W770" s="41"/>
      <c r="X770" s="36"/>
      <c r="Y770" s="36"/>
      <c r="Z770" s="36"/>
      <c r="AA770" s="36"/>
      <c r="AB770" s="36"/>
      <c r="AC770" s="36"/>
    </row>
    <row r="771" spans="17:29" x14ac:dyDescent="0.2">
      <c r="Q771" s="36"/>
      <c r="R771" s="40"/>
      <c r="S771" s="40"/>
      <c r="T771" s="40"/>
      <c r="U771" s="41"/>
      <c r="V771" s="41"/>
      <c r="W771" s="41"/>
      <c r="X771" s="36"/>
      <c r="Y771" s="36"/>
      <c r="Z771" s="36"/>
      <c r="AA771" s="36"/>
      <c r="AB771" s="36"/>
      <c r="AC771" s="36"/>
    </row>
    <row r="772" spans="17:29" x14ac:dyDescent="0.2">
      <c r="Q772" s="36"/>
      <c r="R772" s="40"/>
      <c r="S772" s="40"/>
      <c r="T772" s="40"/>
      <c r="U772" s="41"/>
      <c r="V772" s="41"/>
      <c r="W772" s="41"/>
      <c r="X772" s="36"/>
      <c r="Y772" s="36"/>
      <c r="Z772" s="36"/>
      <c r="AA772" s="36"/>
      <c r="AB772" s="36"/>
      <c r="AC772" s="36"/>
    </row>
    <row r="773" spans="17:29" x14ac:dyDescent="0.2">
      <c r="Q773" s="36"/>
      <c r="R773" s="40"/>
      <c r="S773" s="40"/>
      <c r="T773" s="40"/>
      <c r="U773" s="41"/>
      <c r="V773" s="41"/>
      <c r="W773" s="41"/>
      <c r="X773" s="36"/>
      <c r="Y773" s="36"/>
      <c r="Z773" s="36"/>
      <c r="AA773" s="36"/>
      <c r="AB773" s="36"/>
      <c r="AC773" s="36"/>
    </row>
    <row r="774" spans="17:29" x14ac:dyDescent="0.2">
      <c r="Q774" s="36"/>
      <c r="R774" s="40"/>
      <c r="S774" s="40"/>
      <c r="T774" s="40"/>
      <c r="U774" s="41"/>
      <c r="V774" s="41"/>
      <c r="W774" s="41"/>
      <c r="X774" s="36"/>
      <c r="Y774" s="36"/>
      <c r="Z774" s="36"/>
      <c r="AA774" s="36"/>
      <c r="AB774" s="36"/>
      <c r="AC774" s="36"/>
    </row>
    <row r="775" spans="17:29" x14ac:dyDescent="0.2">
      <c r="Q775" s="36"/>
      <c r="R775" s="40"/>
      <c r="S775" s="40"/>
      <c r="T775" s="40"/>
      <c r="U775" s="41"/>
      <c r="V775" s="41"/>
      <c r="W775" s="41"/>
      <c r="X775" s="36"/>
      <c r="Y775" s="36"/>
      <c r="Z775" s="36"/>
      <c r="AA775" s="36"/>
      <c r="AB775" s="36"/>
      <c r="AC775" s="36"/>
    </row>
    <row r="776" spans="17:29" x14ac:dyDescent="0.2">
      <c r="Q776" s="36"/>
      <c r="R776" s="40"/>
      <c r="S776" s="40"/>
      <c r="T776" s="40"/>
      <c r="U776" s="41"/>
      <c r="V776" s="41"/>
      <c r="W776" s="41"/>
      <c r="X776" s="36"/>
      <c r="Y776" s="36"/>
      <c r="Z776" s="36"/>
      <c r="AA776" s="36"/>
      <c r="AB776" s="36"/>
      <c r="AC776" s="36"/>
    </row>
    <row r="777" spans="17:29" x14ac:dyDescent="0.2">
      <c r="Q777" s="36"/>
      <c r="R777" s="40"/>
      <c r="S777" s="40"/>
      <c r="T777" s="40"/>
      <c r="U777" s="41"/>
      <c r="V777" s="41"/>
      <c r="W777" s="41"/>
      <c r="X777" s="36"/>
      <c r="Y777" s="36"/>
      <c r="Z777" s="36"/>
      <c r="AA777" s="36"/>
      <c r="AB777" s="36"/>
      <c r="AC777" s="36"/>
    </row>
    <row r="778" spans="17:29" x14ac:dyDescent="0.2">
      <c r="Q778" s="36"/>
      <c r="R778" s="40"/>
      <c r="S778" s="40"/>
      <c r="T778" s="40"/>
      <c r="U778" s="41"/>
      <c r="V778" s="41"/>
      <c r="W778" s="41"/>
      <c r="X778" s="36"/>
      <c r="Y778" s="36"/>
      <c r="Z778" s="36"/>
      <c r="AA778" s="36"/>
      <c r="AB778" s="36"/>
      <c r="AC778" s="36"/>
    </row>
    <row r="779" spans="17:29" x14ac:dyDescent="0.2">
      <c r="Q779" s="36"/>
      <c r="R779" s="40"/>
      <c r="S779" s="40"/>
      <c r="T779" s="40"/>
      <c r="U779" s="41"/>
      <c r="V779" s="41"/>
      <c r="W779" s="41"/>
      <c r="X779" s="36"/>
      <c r="Y779" s="36"/>
      <c r="Z779" s="36"/>
      <c r="AA779" s="36"/>
      <c r="AB779" s="36"/>
      <c r="AC779" s="36"/>
    </row>
    <row r="780" spans="17:29" x14ac:dyDescent="0.2">
      <c r="Q780" s="36"/>
      <c r="R780" s="40"/>
      <c r="S780" s="40"/>
      <c r="T780" s="40"/>
      <c r="U780" s="41"/>
      <c r="V780" s="41"/>
      <c r="W780" s="41"/>
      <c r="X780" s="36"/>
      <c r="Y780" s="36"/>
      <c r="Z780" s="36"/>
      <c r="AA780" s="36"/>
      <c r="AB780" s="36"/>
      <c r="AC780" s="36"/>
    </row>
    <row r="781" spans="17:29" x14ac:dyDescent="0.2">
      <c r="Q781" s="36"/>
      <c r="R781" s="40"/>
      <c r="S781" s="40"/>
      <c r="T781" s="40"/>
      <c r="U781" s="41"/>
      <c r="V781" s="41"/>
      <c r="W781" s="41"/>
      <c r="X781" s="36"/>
      <c r="Y781" s="36"/>
      <c r="Z781" s="36"/>
      <c r="AA781" s="36"/>
      <c r="AB781" s="36"/>
      <c r="AC781" s="36"/>
    </row>
    <row r="782" spans="17:29" x14ac:dyDescent="0.2">
      <c r="Q782" s="36"/>
      <c r="R782" s="40"/>
      <c r="S782" s="40"/>
      <c r="T782" s="40"/>
      <c r="U782" s="41"/>
      <c r="V782" s="41"/>
      <c r="W782" s="41"/>
      <c r="X782" s="36"/>
      <c r="Y782" s="36"/>
      <c r="Z782" s="36"/>
      <c r="AA782" s="36"/>
      <c r="AB782" s="36"/>
      <c r="AC782" s="36"/>
    </row>
    <row r="783" spans="17:29" x14ac:dyDescent="0.2">
      <c r="Q783" s="36"/>
      <c r="R783" s="40"/>
      <c r="S783" s="40"/>
      <c r="T783" s="40"/>
      <c r="U783" s="41"/>
      <c r="V783" s="41"/>
      <c r="W783" s="41"/>
      <c r="X783" s="36"/>
      <c r="Y783" s="36"/>
      <c r="Z783" s="36"/>
      <c r="AA783" s="36"/>
      <c r="AB783" s="36"/>
      <c r="AC783" s="36"/>
    </row>
    <row r="784" spans="17:29" x14ac:dyDescent="0.2">
      <c r="Q784" s="36"/>
      <c r="R784" s="40"/>
      <c r="S784" s="40"/>
      <c r="T784" s="40"/>
      <c r="U784" s="41"/>
      <c r="V784" s="41"/>
      <c r="W784" s="41"/>
      <c r="X784" s="36"/>
      <c r="Y784" s="36"/>
      <c r="Z784" s="36"/>
      <c r="AA784" s="36"/>
      <c r="AB784" s="36"/>
      <c r="AC784" s="36"/>
    </row>
    <row r="785" spans="17:29" x14ac:dyDescent="0.2">
      <c r="Q785" s="36"/>
      <c r="R785" s="40"/>
      <c r="S785" s="40"/>
      <c r="T785" s="40"/>
      <c r="U785" s="41"/>
      <c r="V785" s="41"/>
      <c r="W785" s="41"/>
      <c r="X785" s="36"/>
      <c r="Y785" s="36"/>
      <c r="Z785" s="36"/>
      <c r="AA785" s="36"/>
      <c r="AB785" s="36"/>
      <c r="AC785" s="36"/>
    </row>
    <row r="786" spans="17:29" x14ac:dyDescent="0.2">
      <c r="Q786" s="36"/>
      <c r="R786" s="40"/>
      <c r="S786" s="40"/>
      <c r="T786" s="40"/>
      <c r="U786" s="41"/>
      <c r="V786" s="41"/>
      <c r="W786" s="41"/>
      <c r="X786" s="36"/>
      <c r="Y786" s="36"/>
      <c r="Z786" s="36"/>
      <c r="AA786" s="36"/>
      <c r="AB786" s="36"/>
      <c r="AC786" s="36"/>
    </row>
    <row r="787" spans="17:29" x14ac:dyDescent="0.2">
      <c r="Q787" s="36"/>
      <c r="R787" s="40"/>
      <c r="S787" s="40"/>
      <c r="T787" s="40"/>
      <c r="U787" s="41"/>
      <c r="V787" s="41"/>
      <c r="W787" s="41"/>
      <c r="X787" s="36"/>
      <c r="Y787" s="36"/>
      <c r="Z787" s="36"/>
      <c r="AA787" s="36"/>
      <c r="AB787" s="36"/>
      <c r="AC787" s="36"/>
    </row>
    <row r="788" spans="17:29" x14ac:dyDescent="0.2">
      <c r="Q788" s="36"/>
      <c r="R788" s="40"/>
      <c r="S788" s="40"/>
      <c r="T788" s="40"/>
      <c r="U788" s="41"/>
      <c r="V788" s="41"/>
      <c r="W788" s="41"/>
      <c r="X788" s="36"/>
      <c r="Y788" s="36"/>
      <c r="Z788" s="36"/>
      <c r="AA788" s="36"/>
      <c r="AB788" s="36"/>
      <c r="AC788" s="36"/>
    </row>
    <row r="789" spans="17:29" x14ac:dyDescent="0.2">
      <c r="Q789" s="36"/>
      <c r="R789" s="40"/>
      <c r="S789" s="40"/>
      <c r="T789" s="40"/>
      <c r="U789" s="41"/>
      <c r="V789" s="41"/>
      <c r="W789" s="41"/>
      <c r="X789" s="36"/>
      <c r="Y789" s="36"/>
      <c r="Z789" s="36"/>
      <c r="AA789" s="36"/>
      <c r="AB789" s="36"/>
      <c r="AC789" s="36"/>
    </row>
    <row r="790" spans="17:29" x14ac:dyDescent="0.2">
      <c r="Q790" s="36"/>
      <c r="R790" s="40"/>
      <c r="S790" s="40"/>
      <c r="T790" s="40"/>
      <c r="U790" s="41"/>
      <c r="V790" s="41"/>
      <c r="W790" s="41"/>
      <c r="X790" s="36"/>
      <c r="Y790" s="36"/>
      <c r="Z790" s="36"/>
      <c r="AA790" s="36"/>
      <c r="AB790" s="36"/>
      <c r="AC790" s="36"/>
    </row>
    <row r="791" spans="17:29" x14ac:dyDescent="0.2">
      <c r="Q791" s="36"/>
      <c r="R791" s="40"/>
      <c r="S791" s="40"/>
      <c r="T791" s="40"/>
      <c r="U791" s="41"/>
      <c r="V791" s="41"/>
      <c r="W791" s="41"/>
      <c r="X791" s="36"/>
      <c r="Y791" s="36"/>
      <c r="Z791" s="36"/>
      <c r="AA791" s="36"/>
      <c r="AB791" s="36"/>
      <c r="AC791" s="36"/>
    </row>
    <row r="792" spans="17:29" x14ac:dyDescent="0.2">
      <c r="Q792" s="36"/>
      <c r="R792" s="40"/>
      <c r="S792" s="40"/>
      <c r="T792" s="40"/>
      <c r="U792" s="41"/>
      <c r="V792" s="41"/>
      <c r="W792" s="41"/>
      <c r="X792" s="36"/>
      <c r="Y792" s="36"/>
      <c r="Z792" s="36"/>
      <c r="AA792" s="36"/>
      <c r="AB792" s="36"/>
      <c r="AC792" s="36"/>
    </row>
    <row r="793" spans="17:29" x14ac:dyDescent="0.2">
      <c r="Q793" s="36"/>
      <c r="R793" s="40"/>
      <c r="S793" s="40"/>
      <c r="T793" s="40"/>
      <c r="U793" s="41"/>
      <c r="V793" s="41"/>
      <c r="W793" s="41"/>
      <c r="X793" s="36"/>
      <c r="Y793" s="36"/>
      <c r="Z793" s="36"/>
      <c r="AA793" s="36"/>
      <c r="AB793" s="36"/>
      <c r="AC793" s="36"/>
    </row>
    <row r="794" spans="17:29" x14ac:dyDescent="0.2">
      <c r="Q794" s="36"/>
      <c r="R794" s="40"/>
      <c r="S794" s="40"/>
      <c r="T794" s="40"/>
      <c r="U794" s="41"/>
      <c r="V794" s="41"/>
      <c r="W794" s="41"/>
      <c r="X794" s="36"/>
      <c r="Y794" s="36"/>
      <c r="Z794" s="36"/>
      <c r="AA794" s="36"/>
      <c r="AB794" s="36"/>
      <c r="AC794" s="36"/>
    </row>
    <row r="795" spans="17:29" x14ac:dyDescent="0.2">
      <c r="Q795" s="36"/>
      <c r="R795" s="40"/>
      <c r="S795" s="40"/>
      <c r="T795" s="40"/>
      <c r="U795" s="41"/>
      <c r="V795" s="41"/>
      <c r="W795" s="41"/>
      <c r="X795" s="36"/>
      <c r="Y795" s="36"/>
      <c r="Z795" s="36"/>
      <c r="AA795" s="36"/>
      <c r="AB795" s="36"/>
      <c r="AC795" s="36"/>
    </row>
    <row r="796" spans="17:29" x14ac:dyDescent="0.2">
      <c r="Q796" s="36"/>
      <c r="R796" s="40"/>
      <c r="S796" s="40"/>
      <c r="T796" s="40"/>
      <c r="U796" s="41"/>
      <c r="V796" s="41"/>
      <c r="W796" s="41"/>
      <c r="X796" s="36"/>
      <c r="Y796" s="36"/>
      <c r="Z796" s="36"/>
      <c r="AA796" s="36"/>
      <c r="AB796" s="36"/>
      <c r="AC796" s="36"/>
    </row>
    <row r="797" spans="17:29" x14ac:dyDescent="0.2">
      <c r="Q797" s="36"/>
      <c r="R797" s="40"/>
      <c r="S797" s="40"/>
      <c r="T797" s="40"/>
      <c r="U797" s="41"/>
      <c r="V797" s="41"/>
      <c r="W797" s="41"/>
      <c r="X797" s="36"/>
      <c r="Y797" s="36"/>
      <c r="Z797" s="36"/>
      <c r="AA797" s="36"/>
      <c r="AB797" s="36"/>
      <c r="AC797" s="36"/>
    </row>
    <row r="798" spans="17:29" x14ac:dyDescent="0.2">
      <c r="Q798" s="36"/>
      <c r="R798" s="40"/>
      <c r="S798" s="40"/>
      <c r="T798" s="40"/>
      <c r="U798" s="41"/>
      <c r="V798" s="41"/>
      <c r="W798" s="41"/>
      <c r="X798" s="36"/>
      <c r="Y798" s="36"/>
      <c r="Z798" s="36"/>
      <c r="AA798" s="36"/>
      <c r="AB798" s="36"/>
      <c r="AC798" s="36"/>
    </row>
    <row r="799" spans="17:29" x14ac:dyDescent="0.2">
      <c r="Q799" s="36"/>
      <c r="R799" s="40"/>
      <c r="S799" s="40"/>
      <c r="T799" s="40"/>
      <c r="U799" s="41"/>
      <c r="V799" s="41"/>
      <c r="W799" s="41"/>
      <c r="X799" s="36"/>
      <c r="Y799" s="36"/>
      <c r="Z799" s="36"/>
      <c r="AA799" s="36"/>
      <c r="AB799" s="36"/>
      <c r="AC799" s="36"/>
    </row>
    <row r="800" spans="17:29" x14ac:dyDescent="0.2">
      <c r="Q800" s="36"/>
      <c r="R800" s="40"/>
      <c r="S800" s="40"/>
      <c r="T800" s="40"/>
      <c r="U800" s="41"/>
      <c r="V800" s="41"/>
      <c r="W800" s="41"/>
      <c r="X800" s="36"/>
      <c r="Y800" s="36"/>
      <c r="Z800" s="36"/>
      <c r="AA800" s="36"/>
      <c r="AB800" s="36"/>
      <c r="AC800" s="36"/>
    </row>
    <row r="801" spans="17:29" x14ac:dyDescent="0.2">
      <c r="Q801" s="36"/>
      <c r="R801" s="40"/>
      <c r="S801" s="40"/>
      <c r="T801" s="40"/>
      <c r="U801" s="41"/>
      <c r="V801" s="41"/>
      <c r="W801" s="41"/>
      <c r="X801" s="36"/>
      <c r="Y801" s="36"/>
      <c r="Z801" s="36"/>
      <c r="AA801" s="36"/>
      <c r="AB801" s="36"/>
      <c r="AC801" s="36"/>
    </row>
    <row r="802" spans="17:29" x14ac:dyDescent="0.2">
      <c r="Q802" s="36"/>
      <c r="R802" s="40"/>
      <c r="S802" s="40"/>
      <c r="T802" s="40"/>
      <c r="U802" s="41"/>
      <c r="V802" s="41"/>
      <c r="W802" s="41"/>
      <c r="X802" s="36"/>
      <c r="Y802" s="36"/>
      <c r="Z802" s="36"/>
      <c r="AA802" s="36"/>
      <c r="AB802" s="36"/>
      <c r="AC802" s="36"/>
    </row>
    <row r="803" spans="17:29" x14ac:dyDescent="0.2">
      <c r="Q803" s="36"/>
      <c r="R803" s="40"/>
      <c r="S803" s="40"/>
      <c r="T803" s="40"/>
      <c r="U803" s="41"/>
      <c r="V803" s="41"/>
      <c r="W803" s="41"/>
      <c r="X803" s="36"/>
      <c r="Y803" s="36"/>
      <c r="Z803" s="36"/>
      <c r="AA803" s="36"/>
      <c r="AB803" s="36"/>
      <c r="AC803" s="36"/>
    </row>
    <row r="804" spans="17:29" x14ac:dyDescent="0.2">
      <c r="Q804" s="36"/>
      <c r="R804" s="40"/>
      <c r="S804" s="40"/>
      <c r="T804" s="40"/>
      <c r="U804" s="41"/>
      <c r="V804" s="41"/>
      <c r="W804" s="41"/>
      <c r="X804" s="36"/>
      <c r="Y804" s="36"/>
      <c r="Z804" s="36"/>
      <c r="AA804" s="36"/>
      <c r="AB804" s="36"/>
      <c r="AC804" s="36"/>
    </row>
    <row r="805" spans="17:29" x14ac:dyDescent="0.2">
      <c r="Q805" s="36"/>
      <c r="R805" s="40"/>
      <c r="S805" s="40"/>
      <c r="T805" s="40"/>
      <c r="U805" s="41"/>
      <c r="V805" s="41"/>
      <c r="W805" s="41"/>
      <c r="X805" s="36"/>
      <c r="Y805" s="36"/>
      <c r="Z805" s="36"/>
      <c r="AA805" s="36"/>
      <c r="AB805" s="36"/>
      <c r="AC805" s="36"/>
    </row>
    <row r="806" spans="17:29" x14ac:dyDescent="0.2">
      <c r="Q806" s="36"/>
      <c r="R806" s="40"/>
      <c r="S806" s="40"/>
      <c r="T806" s="40"/>
      <c r="U806" s="41"/>
      <c r="V806" s="41"/>
      <c r="W806" s="41"/>
      <c r="X806" s="36"/>
      <c r="Y806" s="36"/>
      <c r="Z806" s="36"/>
      <c r="AA806" s="36"/>
      <c r="AB806" s="36"/>
      <c r="AC806" s="36"/>
    </row>
    <row r="807" spans="17:29" x14ac:dyDescent="0.2">
      <c r="Q807" s="36"/>
      <c r="R807" s="40"/>
      <c r="S807" s="40"/>
      <c r="T807" s="40"/>
      <c r="U807" s="41"/>
      <c r="V807" s="41"/>
      <c r="W807" s="41"/>
      <c r="X807" s="36"/>
      <c r="Y807" s="36"/>
      <c r="Z807" s="36"/>
      <c r="AA807" s="36"/>
      <c r="AB807" s="36"/>
      <c r="AC807" s="36"/>
    </row>
    <row r="808" spans="17:29" x14ac:dyDescent="0.2">
      <c r="Q808" s="36"/>
      <c r="R808" s="40"/>
      <c r="S808" s="40"/>
      <c r="T808" s="40"/>
      <c r="U808" s="41"/>
      <c r="V808" s="41"/>
      <c r="W808" s="41"/>
      <c r="X808" s="36"/>
      <c r="Y808" s="36"/>
      <c r="Z808" s="36"/>
      <c r="AA808" s="36"/>
      <c r="AB808" s="36"/>
      <c r="AC808" s="36"/>
    </row>
    <row r="809" spans="17:29" x14ac:dyDescent="0.2">
      <c r="Q809" s="36"/>
      <c r="R809" s="40"/>
      <c r="S809" s="40"/>
      <c r="T809" s="40"/>
      <c r="U809" s="41"/>
      <c r="V809" s="41"/>
      <c r="W809" s="41"/>
      <c r="X809" s="36"/>
      <c r="Y809" s="36"/>
      <c r="Z809" s="36"/>
      <c r="AA809" s="36"/>
      <c r="AB809" s="36"/>
      <c r="AC809" s="36"/>
    </row>
    <row r="810" spans="17:29" x14ac:dyDescent="0.2">
      <c r="Q810" s="36"/>
      <c r="R810" s="40"/>
      <c r="S810" s="40"/>
      <c r="T810" s="40"/>
      <c r="U810" s="41"/>
      <c r="V810" s="41"/>
      <c r="W810" s="41"/>
      <c r="X810" s="36"/>
      <c r="Y810" s="36"/>
      <c r="Z810" s="36"/>
      <c r="AA810" s="36"/>
      <c r="AB810" s="36"/>
      <c r="AC810" s="36"/>
    </row>
    <row r="811" spans="17:29" x14ac:dyDescent="0.2">
      <c r="Q811" s="36"/>
      <c r="R811" s="40"/>
      <c r="S811" s="40"/>
      <c r="T811" s="40"/>
      <c r="U811" s="41"/>
      <c r="V811" s="41"/>
      <c r="W811" s="41"/>
      <c r="X811" s="36"/>
      <c r="Y811" s="36"/>
      <c r="Z811" s="36"/>
      <c r="AA811" s="36"/>
      <c r="AB811" s="36"/>
      <c r="AC811" s="36"/>
    </row>
    <row r="812" spans="17:29" x14ac:dyDescent="0.2">
      <c r="Q812" s="36"/>
      <c r="R812" s="40"/>
      <c r="S812" s="40"/>
      <c r="T812" s="40"/>
      <c r="U812" s="41"/>
      <c r="V812" s="41"/>
      <c r="W812" s="41"/>
      <c r="X812" s="36"/>
      <c r="Y812" s="36"/>
      <c r="Z812" s="36"/>
      <c r="AA812" s="36"/>
      <c r="AB812" s="36"/>
      <c r="AC812" s="36"/>
    </row>
    <row r="813" spans="17:29" x14ac:dyDescent="0.2">
      <c r="Q813" s="36"/>
      <c r="R813" s="40"/>
      <c r="S813" s="40"/>
      <c r="T813" s="40"/>
      <c r="U813" s="41"/>
      <c r="V813" s="41"/>
      <c r="W813" s="41"/>
      <c r="X813" s="36"/>
      <c r="Y813" s="36"/>
      <c r="Z813" s="36"/>
      <c r="AA813" s="36"/>
      <c r="AB813" s="36"/>
      <c r="AC813" s="36"/>
    </row>
    <row r="814" spans="17:29" x14ac:dyDescent="0.2">
      <c r="Q814" s="36"/>
      <c r="R814" s="40"/>
      <c r="S814" s="40"/>
      <c r="T814" s="40"/>
      <c r="U814" s="41"/>
      <c r="V814" s="41"/>
      <c r="W814" s="41"/>
      <c r="X814" s="36"/>
      <c r="Y814" s="36"/>
      <c r="Z814" s="36"/>
      <c r="AA814" s="36"/>
      <c r="AB814" s="36"/>
      <c r="AC814" s="36"/>
    </row>
    <row r="815" spans="17:29" x14ac:dyDescent="0.2">
      <c r="Q815" s="36"/>
      <c r="R815" s="40"/>
      <c r="S815" s="40"/>
      <c r="T815" s="40"/>
      <c r="U815" s="41"/>
      <c r="V815" s="41"/>
      <c r="W815" s="41"/>
      <c r="X815" s="36"/>
      <c r="Y815" s="36"/>
      <c r="Z815" s="36"/>
      <c r="AA815" s="36"/>
      <c r="AB815" s="36"/>
      <c r="AC815" s="36"/>
    </row>
    <row r="816" spans="17:29" x14ac:dyDescent="0.2">
      <c r="Q816" s="36"/>
      <c r="R816" s="40"/>
      <c r="S816" s="40"/>
      <c r="T816" s="40"/>
      <c r="U816" s="41"/>
      <c r="V816" s="41"/>
      <c r="W816" s="41"/>
      <c r="X816" s="36"/>
      <c r="Y816" s="36"/>
      <c r="Z816" s="36"/>
      <c r="AA816" s="36"/>
      <c r="AB816" s="36"/>
      <c r="AC816" s="36"/>
    </row>
    <row r="817" spans="17:29" x14ac:dyDescent="0.2">
      <c r="Q817" s="36"/>
      <c r="R817" s="40"/>
      <c r="S817" s="40"/>
      <c r="T817" s="40"/>
      <c r="U817" s="41"/>
      <c r="V817" s="41"/>
      <c r="W817" s="41"/>
      <c r="X817" s="36"/>
      <c r="Y817" s="36"/>
      <c r="Z817" s="36"/>
      <c r="AA817" s="36"/>
      <c r="AB817" s="36"/>
      <c r="AC817" s="36"/>
    </row>
    <row r="818" spans="17:29" x14ac:dyDescent="0.2">
      <c r="Q818" s="36"/>
      <c r="R818" s="40"/>
      <c r="S818" s="40"/>
      <c r="T818" s="40"/>
      <c r="U818" s="41"/>
      <c r="V818" s="41"/>
      <c r="W818" s="41"/>
      <c r="X818" s="36"/>
      <c r="Y818" s="36"/>
      <c r="Z818" s="36"/>
      <c r="AA818" s="36"/>
      <c r="AB818" s="36"/>
      <c r="AC818" s="36"/>
    </row>
    <row r="819" spans="17:29" x14ac:dyDescent="0.2">
      <c r="Q819" s="36"/>
      <c r="R819" s="40"/>
      <c r="S819" s="40"/>
      <c r="T819" s="40"/>
      <c r="U819" s="41"/>
      <c r="V819" s="41"/>
      <c r="W819" s="41"/>
      <c r="X819" s="36"/>
      <c r="Y819" s="36"/>
      <c r="Z819" s="36"/>
      <c r="AA819" s="36"/>
      <c r="AB819" s="36"/>
      <c r="AC819" s="36"/>
    </row>
    <row r="820" spans="17:29" x14ac:dyDescent="0.2">
      <c r="Q820" s="36"/>
      <c r="R820" s="40"/>
      <c r="S820" s="40"/>
      <c r="T820" s="40"/>
      <c r="U820" s="41"/>
      <c r="V820" s="41"/>
      <c r="W820" s="41"/>
      <c r="X820" s="36"/>
      <c r="Y820" s="36"/>
      <c r="Z820" s="36"/>
      <c r="AA820" s="36"/>
      <c r="AB820" s="36"/>
      <c r="AC820" s="36"/>
    </row>
    <row r="821" spans="17:29" x14ac:dyDescent="0.2">
      <c r="Q821" s="36"/>
      <c r="R821" s="40"/>
      <c r="S821" s="40"/>
      <c r="T821" s="40"/>
      <c r="U821" s="41"/>
      <c r="V821" s="41"/>
      <c r="W821" s="41"/>
      <c r="X821" s="36"/>
      <c r="Y821" s="36"/>
      <c r="Z821" s="36"/>
      <c r="AA821" s="36"/>
      <c r="AB821" s="36"/>
      <c r="AC821" s="36"/>
    </row>
    <row r="822" spans="17:29" x14ac:dyDescent="0.2">
      <c r="Q822" s="36"/>
      <c r="R822" s="40"/>
      <c r="S822" s="40"/>
      <c r="T822" s="40"/>
      <c r="U822" s="41"/>
      <c r="V822" s="41"/>
      <c r="W822" s="41"/>
      <c r="X822" s="36"/>
      <c r="Y822" s="36"/>
      <c r="Z822" s="36"/>
      <c r="AA822" s="36"/>
      <c r="AB822" s="36"/>
      <c r="AC822" s="36"/>
    </row>
    <row r="823" spans="17:29" x14ac:dyDescent="0.2">
      <c r="Q823" s="36"/>
      <c r="R823" s="40"/>
      <c r="S823" s="40"/>
      <c r="T823" s="40"/>
      <c r="U823" s="41"/>
      <c r="V823" s="41"/>
      <c r="W823" s="41"/>
      <c r="X823" s="36"/>
      <c r="Y823" s="36"/>
      <c r="Z823" s="36"/>
      <c r="AA823" s="36"/>
      <c r="AB823" s="36"/>
      <c r="AC823" s="36"/>
    </row>
    <row r="824" spans="17:29" x14ac:dyDescent="0.2">
      <c r="Q824" s="36"/>
      <c r="R824" s="40"/>
      <c r="S824" s="40"/>
      <c r="T824" s="40"/>
      <c r="U824" s="41"/>
      <c r="V824" s="41"/>
      <c r="W824" s="41"/>
      <c r="X824" s="36"/>
      <c r="Y824" s="36"/>
      <c r="Z824" s="36"/>
      <c r="AA824" s="36"/>
      <c r="AB824" s="36"/>
      <c r="AC824" s="36"/>
    </row>
    <row r="825" spans="17:29" x14ac:dyDescent="0.2">
      <c r="Q825" s="36"/>
      <c r="R825" s="40"/>
      <c r="S825" s="40"/>
      <c r="T825" s="40"/>
      <c r="U825" s="41"/>
      <c r="V825" s="41"/>
      <c r="W825" s="41"/>
      <c r="X825" s="36"/>
      <c r="Y825" s="36"/>
      <c r="Z825" s="36"/>
      <c r="AA825" s="36"/>
      <c r="AB825" s="36"/>
      <c r="AC825" s="36"/>
    </row>
    <row r="826" spans="17:29" x14ac:dyDescent="0.2">
      <c r="Q826" s="36"/>
      <c r="R826" s="40"/>
      <c r="S826" s="40"/>
      <c r="T826" s="40"/>
      <c r="U826" s="41"/>
      <c r="V826" s="41"/>
      <c r="W826" s="41"/>
      <c r="X826" s="36"/>
      <c r="Y826" s="36"/>
      <c r="Z826" s="36"/>
      <c r="AA826" s="36"/>
      <c r="AB826" s="36"/>
      <c r="AC826" s="36"/>
    </row>
    <row r="827" spans="17:29" x14ac:dyDescent="0.2">
      <c r="Q827" s="36"/>
      <c r="R827" s="40"/>
      <c r="S827" s="40"/>
      <c r="T827" s="40"/>
      <c r="U827" s="41"/>
      <c r="V827" s="41"/>
      <c r="W827" s="41"/>
      <c r="X827" s="36"/>
      <c r="Y827" s="36"/>
      <c r="Z827" s="36"/>
      <c r="AA827" s="36"/>
      <c r="AB827" s="36"/>
      <c r="AC827" s="36"/>
    </row>
    <row r="828" spans="17:29" x14ac:dyDescent="0.2">
      <c r="Q828" s="36"/>
      <c r="R828" s="40"/>
      <c r="S828" s="40"/>
      <c r="T828" s="40"/>
      <c r="U828" s="41"/>
      <c r="V828" s="41"/>
      <c r="W828" s="41"/>
      <c r="X828" s="36"/>
      <c r="Y828" s="36"/>
      <c r="Z828" s="36"/>
      <c r="AA828" s="36"/>
      <c r="AB828" s="36"/>
      <c r="AC828" s="36"/>
    </row>
    <row r="829" spans="17:29" x14ac:dyDescent="0.2">
      <c r="Q829" s="36"/>
      <c r="R829" s="40"/>
      <c r="S829" s="40"/>
      <c r="T829" s="40"/>
      <c r="U829" s="41"/>
      <c r="V829" s="41"/>
      <c r="W829" s="41"/>
      <c r="X829" s="36"/>
      <c r="Y829" s="36"/>
      <c r="Z829" s="36"/>
      <c r="AA829" s="36"/>
      <c r="AB829" s="36"/>
      <c r="AC829" s="36"/>
    </row>
    <row r="830" spans="17:29" x14ac:dyDescent="0.2">
      <c r="Q830" s="36"/>
      <c r="R830" s="40"/>
      <c r="S830" s="40"/>
      <c r="T830" s="40"/>
      <c r="U830" s="41"/>
      <c r="V830" s="41"/>
      <c r="W830" s="41"/>
      <c r="X830" s="36"/>
      <c r="Y830" s="36"/>
      <c r="Z830" s="36"/>
      <c r="AA830" s="36"/>
      <c r="AB830" s="36"/>
      <c r="AC830" s="36"/>
    </row>
    <row r="831" spans="17:29" x14ac:dyDescent="0.2">
      <c r="Q831" s="36"/>
      <c r="R831" s="40"/>
      <c r="S831" s="40"/>
      <c r="T831" s="40"/>
      <c r="U831" s="41"/>
      <c r="V831" s="41"/>
      <c r="W831" s="41"/>
      <c r="X831" s="36"/>
      <c r="Y831" s="36"/>
      <c r="Z831" s="36"/>
      <c r="AA831" s="36"/>
      <c r="AB831" s="36"/>
      <c r="AC831" s="36"/>
    </row>
    <row r="832" spans="17:29" x14ac:dyDescent="0.2">
      <c r="Q832" s="36"/>
      <c r="R832" s="40"/>
      <c r="S832" s="40"/>
      <c r="T832" s="40"/>
      <c r="U832" s="41"/>
      <c r="V832" s="41"/>
      <c r="W832" s="41"/>
      <c r="X832" s="36"/>
      <c r="Y832" s="36"/>
      <c r="Z832" s="36"/>
      <c r="AA832" s="36"/>
      <c r="AB832" s="36"/>
      <c r="AC832" s="36"/>
    </row>
    <row r="833" spans="17:29" x14ac:dyDescent="0.2">
      <c r="Q833" s="36"/>
      <c r="R833" s="40"/>
      <c r="S833" s="40"/>
      <c r="T833" s="40"/>
      <c r="U833" s="41"/>
      <c r="V833" s="41"/>
      <c r="W833" s="41"/>
      <c r="X833" s="36"/>
      <c r="Y833" s="36"/>
      <c r="Z833" s="36"/>
      <c r="AA833" s="36"/>
      <c r="AB833" s="36"/>
      <c r="AC833" s="36"/>
    </row>
    <row r="834" spans="17:29" x14ac:dyDescent="0.2">
      <c r="Q834" s="36"/>
      <c r="R834" s="40"/>
      <c r="S834" s="40"/>
      <c r="T834" s="40"/>
      <c r="U834" s="41"/>
      <c r="V834" s="41"/>
      <c r="W834" s="41"/>
      <c r="X834" s="36"/>
      <c r="Y834" s="36"/>
      <c r="Z834" s="36"/>
      <c r="AA834" s="36"/>
      <c r="AB834" s="36"/>
      <c r="AC834" s="36"/>
    </row>
    <row r="835" spans="17:29" x14ac:dyDescent="0.2">
      <c r="Q835" s="36"/>
      <c r="R835" s="40"/>
      <c r="S835" s="40"/>
      <c r="T835" s="40"/>
      <c r="U835" s="41"/>
      <c r="V835" s="41"/>
      <c r="W835" s="41"/>
      <c r="X835" s="36"/>
      <c r="Y835" s="36"/>
      <c r="Z835" s="36"/>
      <c r="AA835" s="36"/>
      <c r="AB835" s="36"/>
      <c r="AC835" s="36"/>
    </row>
    <row r="836" spans="17:29" x14ac:dyDescent="0.2">
      <c r="Q836" s="36"/>
      <c r="R836" s="40"/>
      <c r="S836" s="40"/>
      <c r="T836" s="40"/>
      <c r="U836" s="41"/>
      <c r="V836" s="41"/>
      <c r="W836" s="41"/>
      <c r="X836" s="36"/>
      <c r="Y836" s="36"/>
      <c r="Z836" s="36"/>
      <c r="AA836" s="36"/>
      <c r="AB836" s="36"/>
      <c r="AC836" s="36"/>
    </row>
    <row r="837" spans="17:29" x14ac:dyDescent="0.2">
      <c r="Q837" s="36"/>
      <c r="R837" s="40"/>
      <c r="S837" s="40"/>
      <c r="T837" s="40"/>
      <c r="U837" s="41"/>
      <c r="V837" s="41"/>
      <c r="W837" s="41"/>
      <c r="X837" s="36"/>
      <c r="Y837" s="36"/>
      <c r="Z837" s="36"/>
      <c r="AA837" s="36"/>
      <c r="AB837" s="36"/>
      <c r="AC837" s="36"/>
    </row>
    <row r="838" spans="17:29" x14ac:dyDescent="0.2">
      <c r="Q838" s="36"/>
      <c r="R838" s="40"/>
      <c r="S838" s="40"/>
      <c r="T838" s="40"/>
      <c r="U838" s="41"/>
      <c r="V838" s="41"/>
      <c r="W838" s="41"/>
      <c r="X838" s="36"/>
      <c r="Y838" s="36"/>
      <c r="Z838" s="36"/>
      <c r="AA838" s="36"/>
      <c r="AB838" s="36"/>
      <c r="AC838" s="36"/>
    </row>
    <row r="839" spans="17:29" x14ac:dyDescent="0.2">
      <c r="Q839" s="36"/>
      <c r="R839" s="40"/>
      <c r="S839" s="40"/>
      <c r="T839" s="40"/>
      <c r="U839" s="41"/>
      <c r="V839" s="41"/>
      <c r="W839" s="41"/>
      <c r="X839" s="36"/>
      <c r="Y839" s="36"/>
      <c r="Z839" s="36"/>
      <c r="AA839" s="36"/>
      <c r="AB839" s="36"/>
      <c r="AC839" s="36"/>
    </row>
    <row r="840" spans="17:29" x14ac:dyDescent="0.2">
      <c r="Q840" s="36"/>
      <c r="R840" s="40"/>
      <c r="S840" s="40"/>
      <c r="T840" s="40"/>
      <c r="U840" s="41"/>
      <c r="V840" s="41"/>
      <c r="W840" s="41"/>
      <c r="X840" s="36"/>
      <c r="Y840" s="36"/>
      <c r="Z840" s="36"/>
      <c r="AA840" s="36"/>
      <c r="AB840" s="36"/>
      <c r="AC840" s="36"/>
    </row>
    <row r="841" spans="17:29" x14ac:dyDescent="0.2">
      <c r="Q841" s="36"/>
      <c r="R841" s="40"/>
      <c r="S841" s="40"/>
      <c r="T841" s="40"/>
      <c r="U841" s="41"/>
      <c r="V841" s="41"/>
      <c r="W841" s="41"/>
      <c r="X841" s="36"/>
      <c r="Y841" s="36"/>
      <c r="Z841" s="36"/>
      <c r="AA841" s="36"/>
      <c r="AB841" s="36"/>
      <c r="AC841" s="36"/>
    </row>
    <row r="842" spans="17:29" x14ac:dyDescent="0.2">
      <c r="Q842" s="36"/>
      <c r="R842" s="40"/>
      <c r="S842" s="40"/>
      <c r="T842" s="40"/>
      <c r="U842" s="41"/>
      <c r="V842" s="41"/>
      <c r="W842" s="41"/>
      <c r="X842" s="36"/>
      <c r="Y842" s="36"/>
      <c r="Z842" s="36"/>
      <c r="AA842" s="36"/>
      <c r="AB842" s="36"/>
      <c r="AC842" s="36"/>
    </row>
    <row r="843" spans="17:29" x14ac:dyDescent="0.2">
      <c r="Q843" s="36"/>
      <c r="R843" s="40"/>
      <c r="S843" s="40"/>
      <c r="T843" s="40"/>
      <c r="U843" s="41"/>
      <c r="V843" s="41"/>
      <c r="W843" s="41"/>
      <c r="X843" s="36"/>
      <c r="Y843" s="36"/>
      <c r="Z843" s="36"/>
      <c r="AA843" s="36"/>
      <c r="AB843" s="36"/>
      <c r="AC843" s="36"/>
    </row>
    <row r="844" spans="17:29" x14ac:dyDescent="0.2">
      <c r="Q844" s="36"/>
      <c r="R844" s="40"/>
      <c r="S844" s="40"/>
      <c r="T844" s="40"/>
      <c r="U844" s="41"/>
      <c r="V844" s="41"/>
      <c r="W844" s="41"/>
      <c r="X844" s="36"/>
      <c r="Y844" s="36"/>
      <c r="Z844" s="36"/>
      <c r="AA844" s="36"/>
      <c r="AB844" s="36"/>
      <c r="AC844" s="36"/>
    </row>
    <row r="845" spans="17:29" x14ac:dyDescent="0.2">
      <c r="Q845" s="36"/>
      <c r="R845" s="40"/>
      <c r="S845" s="40"/>
      <c r="T845" s="40"/>
      <c r="U845" s="41"/>
      <c r="V845" s="41"/>
      <c r="W845" s="41"/>
      <c r="X845" s="36"/>
      <c r="Y845" s="36"/>
      <c r="Z845" s="36"/>
      <c r="AA845" s="36"/>
      <c r="AB845" s="36"/>
      <c r="AC845" s="36"/>
    </row>
    <row r="846" spans="17:29" x14ac:dyDescent="0.2">
      <c r="Q846" s="36"/>
      <c r="R846" s="40"/>
      <c r="S846" s="40"/>
      <c r="T846" s="40"/>
      <c r="U846" s="41"/>
      <c r="V846" s="41"/>
      <c r="W846" s="41"/>
      <c r="X846" s="36"/>
      <c r="Y846" s="36"/>
      <c r="Z846" s="36"/>
      <c r="AA846" s="36"/>
      <c r="AB846" s="36"/>
      <c r="AC846" s="36"/>
    </row>
    <row r="847" spans="17:29" x14ac:dyDescent="0.2">
      <c r="Q847" s="36"/>
      <c r="R847" s="40"/>
      <c r="S847" s="40"/>
      <c r="T847" s="40"/>
      <c r="U847" s="41"/>
      <c r="V847" s="41"/>
      <c r="W847" s="41"/>
      <c r="X847" s="36"/>
      <c r="Y847" s="36"/>
      <c r="Z847" s="36"/>
      <c r="AA847" s="36"/>
      <c r="AB847" s="36"/>
      <c r="AC847" s="36"/>
    </row>
    <row r="848" spans="17:29" x14ac:dyDescent="0.2">
      <c r="Q848" s="36"/>
      <c r="R848" s="40"/>
      <c r="S848" s="40"/>
      <c r="T848" s="40"/>
      <c r="U848" s="41"/>
      <c r="V848" s="41"/>
      <c r="W848" s="41"/>
      <c r="X848" s="36"/>
      <c r="Y848" s="36"/>
      <c r="Z848" s="36"/>
      <c r="AA848" s="36"/>
      <c r="AB848" s="36"/>
      <c r="AC848" s="36"/>
    </row>
    <row r="849" spans="17:29" x14ac:dyDescent="0.2">
      <c r="Q849" s="36"/>
      <c r="R849" s="40"/>
      <c r="S849" s="40"/>
      <c r="T849" s="40"/>
      <c r="U849" s="41"/>
      <c r="V849" s="41"/>
      <c r="W849" s="41"/>
      <c r="X849" s="36"/>
      <c r="Y849" s="36"/>
      <c r="Z849" s="36"/>
      <c r="AA849" s="36"/>
      <c r="AB849" s="36"/>
      <c r="AC849" s="36"/>
    </row>
    <row r="850" spans="17:29" x14ac:dyDescent="0.2">
      <c r="Q850" s="36"/>
      <c r="R850" s="40"/>
      <c r="S850" s="40"/>
      <c r="T850" s="40"/>
      <c r="U850" s="41"/>
      <c r="V850" s="41"/>
      <c r="W850" s="41"/>
      <c r="X850" s="36"/>
      <c r="Y850" s="36"/>
      <c r="Z850" s="36"/>
      <c r="AA850" s="36"/>
      <c r="AB850" s="36"/>
      <c r="AC850" s="36"/>
    </row>
    <row r="851" spans="17:29" x14ac:dyDescent="0.2">
      <c r="Q851" s="36"/>
      <c r="R851" s="40"/>
      <c r="S851" s="40"/>
      <c r="T851" s="40"/>
      <c r="U851" s="41"/>
      <c r="V851" s="41"/>
      <c r="W851" s="41"/>
      <c r="X851" s="36"/>
      <c r="Y851" s="36"/>
      <c r="Z851" s="36"/>
      <c r="AA851" s="36"/>
      <c r="AB851" s="36"/>
      <c r="AC851" s="36"/>
    </row>
    <row r="852" spans="17:29" x14ac:dyDescent="0.2">
      <c r="Q852" s="36"/>
      <c r="R852" s="40"/>
      <c r="S852" s="40"/>
      <c r="T852" s="40"/>
      <c r="U852" s="41"/>
      <c r="V852" s="41"/>
      <c r="W852" s="41"/>
      <c r="X852" s="36"/>
      <c r="Y852" s="36"/>
      <c r="Z852" s="36"/>
      <c r="AA852" s="36"/>
      <c r="AB852" s="36"/>
      <c r="AC852" s="36"/>
    </row>
    <row r="853" spans="17:29" x14ac:dyDescent="0.2">
      <c r="Q853" s="36"/>
      <c r="R853" s="40"/>
      <c r="S853" s="40"/>
      <c r="T853" s="40"/>
      <c r="U853" s="41"/>
      <c r="V853" s="41"/>
      <c r="W853" s="41"/>
      <c r="X853" s="36"/>
      <c r="Y853" s="36"/>
      <c r="Z853" s="36"/>
      <c r="AA853" s="36"/>
      <c r="AB853" s="36"/>
      <c r="AC853" s="36"/>
    </row>
    <row r="854" spans="17:29" x14ac:dyDescent="0.2">
      <c r="Q854" s="36"/>
      <c r="R854" s="40"/>
      <c r="S854" s="40"/>
      <c r="T854" s="40"/>
      <c r="U854" s="41"/>
      <c r="V854" s="41"/>
      <c r="W854" s="41"/>
      <c r="X854" s="36"/>
      <c r="Y854" s="36"/>
      <c r="Z854" s="36"/>
      <c r="AA854" s="36"/>
      <c r="AB854" s="36"/>
      <c r="AC854" s="36"/>
    </row>
    <row r="855" spans="17:29" x14ac:dyDescent="0.2">
      <c r="Q855" s="36"/>
      <c r="R855" s="40"/>
      <c r="S855" s="40"/>
      <c r="T855" s="40"/>
      <c r="U855" s="41"/>
      <c r="V855" s="41"/>
      <c r="W855" s="41"/>
      <c r="X855" s="36"/>
      <c r="Y855" s="36"/>
      <c r="Z855" s="36"/>
      <c r="AA855" s="36"/>
      <c r="AB855" s="36"/>
      <c r="AC855" s="36"/>
    </row>
    <row r="856" spans="17:29" x14ac:dyDescent="0.2">
      <c r="Q856" s="36"/>
      <c r="R856" s="40"/>
      <c r="S856" s="40"/>
      <c r="T856" s="40"/>
      <c r="U856" s="41"/>
      <c r="V856" s="41"/>
      <c r="W856" s="41"/>
      <c r="X856" s="36"/>
      <c r="Y856" s="36"/>
      <c r="Z856" s="36"/>
      <c r="AA856" s="36"/>
      <c r="AB856" s="36"/>
      <c r="AC856" s="36"/>
    </row>
    <row r="857" spans="17:29" x14ac:dyDescent="0.2">
      <c r="Q857" s="36"/>
      <c r="R857" s="40"/>
      <c r="S857" s="40"/>
      <c r="T857" s="40"/>
      <c r="U857" s="41"/>
      <c r="V857" s="41"/>
      <c r="W857" s="41"/>
      <c r="X857" s="36"/>
      <c r="Y857" s="36"/>
      <c r="Z857" s="36"/>
      <c r="AA857" s="36"/>
      <c r="AB857" s="36"/>
      <c r="AC857" s="36"/>
    </row>
    <row r="858" spans="17:29" x14ac:dyDescent="0.2">
      <c r="Q858" s="36"/>
      <c r="R858" s="40"/>
      <c r="S858" s="40"/>
      <c r="T858" s="40"/>
      <c r="U858" s="41"/>
      <c r="V858" s="41"/>
      <c r="W858" s="41"/>
      <c r="X858" s="36"/>
      <c r="Y858" s="36"/>
      <c r="Z858" s="36"/>
      <c r="AA858" s="36"/>
      <c r="AB858" s="36"/>
      <c r="AC858" s="36"/>
    </row>
    <row r="859" spans="17:29" x14ac:dyDescent="0.2">
      <c r="Q859" s="36"/>
      <c r="R859" s="40"/>
      <c r="S859" s="40"/>
      <c r="T859" s="40"/>
      <c r="U859" s="41"/>
      <c r="V859" s="41"/>
      <c r="W859" s="41"/>
      <c r="X859" s="36"/>
      <c r="Y859" s="36"/>
      <c r="Z859" s="36"/>
      <c r="AA859" s="36"/>
      <c r="AB859" s="36"/>
      <c r="AC859" s="36"/>
    </row>
    <row r="860" spans="17:29" x14ac:dyDescent="0.2">
      <c r="Q860" s="36"/>
      <c r="R860" s="40"/>
      <c r="S860" s="40"/>
      <c r="T860" s="40"/>
      <c r="U860" s="41"/>
      <c r="V860" s="41"/>
      <c r="W860" s="41"/>
      <c r="X860" s="36"/>
      <c r="Y860" s="36"/>
      <c r="Z860" s="36"/>
      <c r="AA860" s="36"/>
      <c r="AB860" s="36"/>
      <c r="AC860" s="36"/>
    </row>
    <row r="861" spans="17:29" x14ac:dyDescent="0.2">
      <c r="Q861" s="36"/>
      <c r="R861" s="40"/>
      <c r="S861" s="40"/>
      <c r="T861" s="40"/>
      <c r="U861" s="41"/>
      <c r="V861" s="41"/>
      <c r="W861" s="41"/>
      <c r="X861" s="36"/>
      <c r="Y861" s="36"/>
      <c r="Z861" s="36"/>
      <c r="AA861" s="36"/>
      <c r="AB861" s="36"/>
      <c r="AC861" s="36"/>
    </row>
    <row r="862" spans="17:29" x14ac:dyDescent="0.2">
      <c r="Q862" s="36"/>
      <c r="R862" s="40"/>
      <c r="S862" s="40"/>
      <c r="T862" s="40"/>
      <c r="U862" s="41"/>
      <c r="V862" s="41"/>
      <c r="W862" s="41"/>
      <c r="X862" s="36"/>
      <c r="Y862" s="36"/>
      <c r="Z862" s="36"/>
      <c r="AA862" s="36"/>
      <c r="AB862" s="36"/>
      <c r="AC862" s="36"/>
    </row>
    <row r="863" spans="17:29" x14ac:dyDescent="0.2">
      <c r="Q863" s="36"/>
      <c r="R863" s="40"/>
      <c r="S863" s="40"/>
      <c r="T863" s="40"/>
      <c r="U863" s="41"/>
      <c r="V863" s="41"/>
      <c r="W863" s="41"/>
      <c r="X863" s="36"/>
      <c r="Y863" s="36"/>
      <c r="Z863" s="36"/>
      <c r="AA863" s="36"/>
      <c r="AB863" s="36"/>
      <c r="AC863" s="36"/>
    </row>
    <row r="864" spans="17:29" x14ac:dyDescent="0.2">
      <c r="Q864" s="36"/>
      <c r="R864" s="40"/>
      <c r="S864" s="40"/>
      <c r="T864" s="40"/>
      <c r="U864" s="41"/>
      <c r="V864" s="41"/>
      <c r="W864" s="41"/>
      <c r="X864" s="36"/>
      <c r="Y864" s="36"/>
      <c r="Z864" s="36"/>
      <c r="AA864" s="36"/>
      <c r="AB864" s="36"/>
      <c r="AC864" s="36"/>
    </row>
    <row r="865" spans="17:29" x14ac:dyDescent="0.2">
      <c r="Q865" s="36"/>
      <c r="R865" s="40"/>
      <c r="S865" s="40"/>
      <c r="T865" s="40"/>
      <c r="U865" s="41"/>
      <c r="V865" s="41"/>
      <c r="W865" s="41"/>
      <c r="X865" s="36"/>
      <c r="Y865" s="36"/>
      <c r="Z865" s="36"/>
      <c r="AA865" s="36"/>
      <c r="AB865" s="36"/>
      <c r="AC865" s="36"/>
    </row>
    <row r="866" spans="17:29" x14ac:dyDescent="0.2">
      <c r="Q866" s="36"/>
      <c r="R866" s="40"/>
      <c r="S866" s="40"/>
      <c r="T866" s="40"/>
      <c r="U866" s="41"/>
      <c r="V866" s="41"/>
      <c r="W866" s="41"/>
      <c r="X866" s="36"/>
      <c r="Y866" s="36"/>
      <c r="Z866" s="36"/>
      <c r="AA866" s="36"/>
      <c r="AB866" s="36"/>
      <c r="AC866" s="36"/>
    </row>
    <row r="867" spans="17:29" x14ac:dyDescent="0.2">
      <c r="Q867" s="36"/>
      <c r="R867" s="40"/>
      <c r="S867" s="40"/>
      <c r="T867" s="40"/>
      <c r="U867" s="41"/>
      <c r="V867" s="41"/>
      <c r="W867" s="41"/>
      <c r="X867" s="36"/>
      <c r="Y867" s="36"/>
      <c r="Z867" s="36"/>
      <c r="AA867" s="36"/>
      <c r="AB867" s="36"/>
      <c r="AC867" s="36"/>
    </row>
    <row r="868" spans="17:29" x14ac:dyDescent="0.2">
      <c r="Q868" s="36"/>
      <c r="R868" s="40"/>
      <c r="S868" s="40"/>
      <c r="T868" s="40"/>
      <c r="U868" s="41"/>
      <c r="V868" s="41"/>
      <c r="W868" s="41"/>
      <c r="X868" s="36"/>
      <c r="Y868" s="36"/>
      <c r="Z868" s="36"/>
      <c r="AA868" s="36"/>
      <c r="AB868" s="36"/>
      <c r="AC868" s="36"/>
    </row>
    <row r="869" spans="17:29" x14ac:dyDescent="0.2">
      <c r="Q869" s="36"/>
      <c r="R869" s="40"/>
      <c r="S869" s="40"/>
      <c r="T869" s="40"/>
      <c r="U869" s="41"/>
      <c r="V869" s="41"/>
      <c r="W869" s="41"/>
      <c r="X869" s="36"/>
      <c r="Y869" s="36"/>
      <c r="Z869" s="36"/>
      <c r="AA869" s="36"/>
      <c r="AB869" s="36"/>
      <c r="AC869" s="36"/>
    </row>
    <row r="870" spans="17:29" x14ac:dyDescent="0.2">
      <c r="Q870" s="36"/>
      <c r="R870" s="40"/>
      <c r="S870" s="40"/>
      <c r="T870" s="40"/>
      <c r="U870" s="41"/>
      <c r="V870" s="41"/>
      <c r="W870" s="41"/>
      <c r="X870" s="36"/>
      <c r="Y870" s="36"/>
      <c r="Z870" s="36"/>
      <c r="AA870" s="36"/>
      <c r="AB870" s="36"/>
      <c r="AC870" s="36"/>
    </row>
    <row r="871" spans="17:29" x14ac:dyDescent="0.2">
      <c r="Q871" s="36"/>
      <c r="R871" s="40"/>
      <c r="S871" s="40"/>
      <c r="T871" s="40"/>
      <c r="U871" s="41"/>
      <c r="V871" s="41"/>
      <c r="W871" s="41"/>
      <c r="X871" s="36"/>
      <c r="Y871" s="36"/>
      <c r="Z871" s="36"/>
      <c r="AA871" s="36"/>
      <c r="AB871" s="36"/>
      <c r="AC871" s="36"/>
    </row>
    <row r="872" spans="17:29" x14ac:dyDescent="0.2">
      <c r="Q872" s="36"/>
      <c r="R872" s="40"/>
      <c r="S872" s="40"/>
      <c r="T872" s="40"/>
      <c r="U872" s="41"/>
      <c r="V872" s="41"/>
      <c r="W872" s="41"/>
      <c r="X872" s="36"/>
      <c r="Y872" s="36"/>
      <c r="Z872" s="36"/>
      <c r="AA872" s="36"/>
      <c r="AB872" s="36"/>
      <c r="AC872" s="36"/>
    </row>
    <row r="873" spans="17:29" x14ac:dyDescent="0.2">
      <c r="Q873" s="36"/>
      <c r="R873" s="40"/>
      <c r="S873" s="40"/>
      <c r="T873" s="40"/>
      <c r="U873" s="41"/>
      <c r="V873" s="41"/>
      <c r="W873" s="41"/>
      <c r="X873" s="36"/>
      <c r="Y873" s="36"/>
      <c r="Z873" s="36"/>
      <c r="AA873" s="36"/>
      <c r="AB873" s="36"/>
      <c r="AC873" s="36"/>
    </row>
    <row r="874" spans="17:29" x14ac:dyDescent="0.2">
      <c r="Q874" s="36"/>
      <c r="R874" s="40"/>
      <c r="S874" s="40"/>
      <c r="T874" s="40"/>
      <c r="U874" s="41"/>
      <c r="V874" s="41"/>
      <c r="W874" s="41"/>
      <c r="X874" s="36"/>
      <c r="Y874" s="36"/>
      <c r="Z874" s="36"/>
      <c r="AA874" s="36"/>
      <c r="AB874" s="36"/>
      <c r="AC874" s="36"/>
    </row>
    <row r="875" spans="17:29" x14ac:dyDescent="0.2">
      <c r="Q875" s="36"/>
      <c r="R875" s="40"/>
      <c r="S875" s="40"/>
      <c r="T875" s="40"/>
      <c r="U875" s="41"/>
      <c r="V875" s="41"/>
      <c r="W875" s="41"/>
      <c r="X875" s="36"/>
      <c r="Y875" s="36"/>
      <c r="Z875" s="36"/>
      <c r="AA875" s="36"/>
      <c r="AB875" s="36"/>
      <c r="AC875" s="36"/>
    </row>
    <row r="876" spans="17:29" x14ac:dyDescent="0.2">
      <c r="Q876" s="36"/>
      <c r="R876" s="40"/>
      <c r="S876" s="40"/>
      <c r="T876" s="40"/>
      <c r="U876" s="41"/>
      <c r="V876" s="41"/>
      <c r="W876" s="41"/>
      <c r="X876" s="36"/>
      <c r="Y876" s="36"/>
      <c r="Z876" s="36"/>
      <c r="AA876" s="36"/>
      <c r="AB876" s="36"/>
      <c r="AC876" s="36"/>
    </row>
    <row r="877" spans="17:29" x14ac:dyDescent="0.2">
      <c r="Q877" s="36"/>
      <c r="R877" s="40"/>
      <c r="S877" s="40"/>
      <c r="T877" s="40"/>
      <c r="U877" s="41"/>
      <c r="V877" s="41"/>
      <c r="W877" s="41"/>
      <c r="X877" s="36"/>
      <c r="Y877" s="36"/>
      <c r="Z877" s="36"/>
      <c r="AA877" s="36"/>
      <c r="AB877" s="36"/>
      <c r="AC877" s="36"/>
    </row>
    <row r="878" spans="17:29" x14ac:dyDescent="0.2">
      <c r="Q878" s="36"/>
      <c r="R878" s="40"/>
      <c r="S878" s="40"/>
      <c r="T878" s="40"/>
      <c r="U878" s="41"/>
      <c r="V878" s="41"/>
      <c r="W878" s="41"/>
      <c r="X878" s="36"/>
      <c r="Y878" s="36"/>
      <c r="Z878" s="36"/>
      <c r="AA878" s="36"/>
      <c r="AB878" s="36"/>
      <c r="AC878" s="36"/>
    </row>
    <row r="879" spans="17:29" x14ac:dyDescent="0.2">
      <c r="Q879" s="36"/>
      <c r="R879" s="40"/>
      <c r="S879" s="40"/>
      <c r="T879" s="40"/>
      <c r="U879" s="41"/>
      <c r="V879" s="41"/>
      <c r="W879" s="41"/>
      <c r="X879" s="36"/>
      <c r="Y879" s="36"/>
      <c r="Z879" s="36"/>
      <c r="AA879" s="36"/>
      <c r="AB879" s="36"/>
      <c r="AC879" s="36"/>
    </row>
    <row r="880" spans="17:29" x14ac:dyDescent="0.2">
      <c r="Q880" s="36"/>
      <c r="R880" s="40"/>
      <c r="S880" s="40"/>
      <c r="T880" s="40"/>
      <c r="U880" s="41"/>
      <c r="V880" s="41"/>
      <c r="W880" s="41"/>
      <c r="X880" s="36"/>
      <c r="Y880" s="36"/>
      <c r="Z880" s="36"/>
      <c r="AA880" s="36"/>
      <c r="AB880" s="36"/>
      <c r="AC880" s="36"/>
    </row>
    <row r="881" spans="17:29" x14ac:dyDescent="0.2">
      <c r="Q881" s="36"/>
      <c r="R881" s="40"/>
      <c r="S881" s="40"/>
      <c r="T881" s="40"/>
      <c r="U881" s="41"/>
      <c r="V881" s="41"/>
      <c r="W881" s="41"/>
      <c r="X881" s="36"/>
      <c r="Y881" s="36"/>
      <c r="Z881" s="36"/>
      <c r="AA881" s="36"/>
      <c r="AB881" s="36"/>
      <c r="AC881" s="36"/>
    </row>
    <row r="882" spans="17:29" x14ac:dyDescent="0.2">
      <c r="Q882" s="36"/>
      <c r="R882" s="40"/>
      <c r="S882" s="40"/>
      <c r="T882" s="40"/>
      <c r="U882" s="41"/>
      <c r="V882" s="41"/>
      <c r="W882" s="41"/>
      <c r="X882" s="36"/>
      <c r="Y882" s="36"/>
      <c r="Z882" s="36"/>
      <c r="AA882" s="36"/>
      <c r="AB882" s="36"/>
      <c r="AC882" s="36"/>
    </row>
    <row r="883" spans="17:29" x14ac:dyDescent="0.2">
      <c r="Q883" s="36"/>
      <c r="R883" s="40"/>
      <c r="S883" s="40"/>
      <c r="T883" s="40"/>
      <c r="U883" s="41"/>
      <c r="V883" s="41"/>
      <c r="W883" s="41"/>
      <c r="X883" s="36"/>
      <c r="Y883" s="36"/>
      <c r="Z883" s="36"/>
      <c r="AA883" s="36"/>
      <c r="AB883" s="36"/>
      <c r="AC883" s="36"/>
    </row>
    <row r="884" spans="17:29" x14ac:dyDescent="0.2">
      <c r="Q884" s="36"/>
      <c r="R884" s="40"/>
      <c r="S884" s="40"/>
      <c r="T884" s="40"/>
      <c r="U884" s="41"/>
      <c r="V884" s="41"/>
      <c r="W884" s="41"/>
      <c r="X884" s="36"/>
      <c r="Y884" s="36"/>
      <c r="Z884" s="36"/>
      <c r="AA884" s="36"/>
      <c r="AB884" s="36"/>
      <c r="AC884" s="36"/>
    </row>
    <row r="885" spans="17:29" x14ac:dyDescent="0.2">
      <c r="Q885" s="36"/>
      <c r="R885" s="40"/>
      <c r="S885" s="40"/>
      <c r="T885" s="40"/>
      <c r="U885" s="41"/>
      <c r="V885" s="41"/>
      <c r="W885" s="41"/>
      <c r="X885" s="36"/>
      <c r="Y885" s="36"/>
      <c r="Z885" s="36"/>
      <c r="AA885" s="36"/>
      <c r="AB885" s="36"/>
      <c r="AC885" s="36"/>
    </row>
    <row r="886" spans="17:29" x14ac:dyDescent="0.2">
      <c r="Q886" s="36"/>
      <c r="R886" s="40"/>
      <c r="S886" s="40"/>
      <c r="T886" s="40"/>
      <c r="U886" s="41"/>
      <c r="V886" s="41"/>
      <c r="W886" s="41"/>
      <c r="X886" s="36"/>
      <c r="Y886" s="36"/>
      <c r="Z886" s="36"/>
      <c r="AA886" s="36"/>
      <c r="AB886" s="36"/>
      <c r="AC886" s="36"/>
    </row>
    <row r="887" spans="17:29" x14ac:dyDescent="0.2">
      <c r="Q887" s="36"/>
      <c r="R887" s="40"/>
      <c r="S887" s="40"/>
      <c r="T887" s="40"/>
      <c r="U887" s="41"/>
      <c r="V887" s="41"/>
      <c r="W887" s="41"/>
      <c r="X887" s="36"/>
      <c r="Y887" s="36"/>
      <c r="Z887" s="36"/>
      <c r="AA887" s="36"/>
      <c r="AB887" s="36"/>
      <c r="AC887" s="36"/>
    </row>
    <row r="888" spans="17:29" x14ac:dyDescent="0.2">
      <c r="Q888" s="36"/>
      <c r="R888" s="40"/>
      <c r="S888" s="40"/>
      <c r="T888" s="40"/>
      <c r="U888" s="41"/>
      <c r="V888" s="41"/>
      <c r="W888" s="41"/>
      <c r="X888" s="36"/>
      <c r="Y888" s="36"/>
      <c r="Z888" s="36"/>
      <c r="AA888" s="36"/>
      <c r="AB888" s="36"/>
      <c r="AC888" s="36"/>
    </row>
    <row r="889" spans="17:29" x14ac:dyDescent="0.2">
      <c r="Q889" s="36"/>
      <c r="R889" s="40"/>
      <c r="S889" s="40"/>
      <c r="T889" s="40"/>
      <c r="U889" s="41"/>
      <c r="V889" s="41"/>
      <c r="W889" s="41"/>
      <c r="X889" s="36"/>
      <c r="Y889" s="36"/>
      <c r="Z889" s="36"/>
      <c r="AA889" s="36"/>
      <c r="AB889" s="36"/>
      <c r="AC889" s="36"/>
    </row>
    <row r="890" spans="17:29" x14ac:dyDescent="0.2">
      <c r="Q890" s="36"/>
      <c r="R890" s="40"/>
      <c r="S890" s="40"/>
      <c r="T890" s="40"/>
      <c r="U890" s="41"/>
      <c r="V890" s="41"/>
      <c r="W890" s="41"/>
      <c r="X890" s="36"/>
      <c r="Y890" s="36"/>
      <c r="Z890" s="36"/>
      <c r="AA890" s="36"/>
      <c r="AB890" s="36"/>
      <c r="AC890" s="36"/>
    </row>
    <row r="891" spans="17:29" x14ac:dyDescent="0.2">
      <c r="Q891" s="36"/>
      <c r="R891" s="40"/>
      <c r="S891" s="40"/>
      <c r="T891" s="40"/>
      <c r="U891" s="41"/>
      <c r="V891" s="41"/>
      <c r="W891" s="41"/>
      <c r="X891" s="36"/>
      <c r="Y891" s="36"/>
      <c r="Z891" s="36"/>
      <c r="AA891" s="36"/>
      <c r="AB891" s="36"/>
      <c r="AC891" s="36"/>
    </row>
    <row r="892" spans="17:29" x14ac:dyDescent="0.2">
      <c r="Q892" s="36"/>
      <c r="R892" s="40"/>
      <c r="S892" s="40"/>
      <c r="T892" s="40"/>
      <c r="U892" s="41"/>
      <c r="V892" s="41"/>
      <c r="W892" s="41"/>
      <c r="X892" s="36"/>
      <c r="Y892" s="36"/>
      <c r="Z892" s="36"/>
      <c r="AA892" s="36"/>
      <c r="AB892" s="36"/>
      <c r="AC892" s="36"/>
    </row>
    <row r="893" spans="17:29" x14ac:dyDescent="0.2">
      <c r="Q893" s="36"/>
      <c r="R893" s="40"/>
      <c r="S893" s="40"/>
      <c r="T893" s="40"/>
      <c r="U893" s="41"/>
      <c r="V893" s="41"/>
      <c r="W893" s="41"/>
      <c r="X893" s="36"/>
      <c r="Y893" s="36"/>
      <c r="Z893" s="36"/>
      <c r="AA893" s="36"/>
      <c r="AB893" s="36"/>
      <c r="AC893" s="36"/>
    </row>
    <row r="894" spans="17:29" x14ac:dyDescent="0.2">
      <c r="Q894" s="36"/>
      <c r="R894" s="40"/>
      <c r="S894" s="40"/>
      <c r="T894" s="40"/>
      <c r="U894" s="41"/>
      <c r="V894" s="41"/>
      <c r="W894" s="41"/>
      <c r="X894" s="36"/>
      <c r="Y894" s="36"/>
      <c r="Z894" s="36"/>
      <c r="AA894" s="36"/>
      <c r="AB894" s="36"/>
      <c r="AC894" s="36"/>
    </row>
    <row r="895" spans="17:29" x14ac:dyDescent="0.2">
      <c r="Q895" s="36"/>
      <c r="R895" s="40"/>
      <c r="S895" s="40"/>
      <c r="T895" s="40"/>
      <c r="U895" s="41"/>
      <c r="V895" s="41"/>
      <c r="W895" s="41"/>
      <c r="X895" s="36"/>
      <c r="Y895" s="36"/>
      <c r="Z895" s="36"/>
      <c r="AA895" s="36"/>
      <c r="AB895" s="36"/>
      <c r="AC895" s="36"/>
    </row>
    <row r="896" spans="17:29" x14ac:dyDescent="0.2">
      <c r="Q896" s="36"/>
      <c r="R896" s="40"/>
      <c r="S896" s="40"/>
      <c r="T896" s="40"/>
      <c r="U896" s="41"/>
      <c r="V896" s="41"/>
      <c r="W896" s="41"/>
      <c r="X896" s="36"/>
      <c r="Y896" s="36"/>
      <c r="Z896" s="36"/>
      <c r="AA896" s="36"/>
      <c r="AB896" s="36"/>
      <c r="AC896" s="36"/>
    </row>
    <row r="897" spans="17:29" x14ac:dyDescent="0.2">
      <c r="Q897" s="36"/>
      <c r="R897" s="40"/>
      <c r="S897" s="40"/>
      <c r="T897" s="40"/>
      <c r="U897" s="41"/>
      <c r="V897" s="41"/>
      <c r="W897" s="41"/>
      <c r="X897" s="36"/>
      <c r="Y897" s="36"/>
      <c r="Z897" s="36"/>
      <c r="AA897" s="36"/>
      <c r="AB897" s="36"/>
      <c r="AC897" s="36"/>
    </row>
    <row r="898" spans="17:29" x14ac:dyDescent="0.2">
      <c r="Q898" s="36"/>
      <c r="R898" s="40"/>
      <c r="S898" s="40"/>
      <c r="T898" s="40"/>
      <c r="U898" s="41"/>
      <c r="V898" s="41"/>
      <c r="W898" s="41"/>
      <c r="X898" s="36"/>
      <c r="Y898" s="36"/>
      <c r="Z898" s="36"/>
      <c r="AA898" s="36"/>
      <c r="AB898" s="36"/>
      <c r="AC898" s="36"/>
    </row>
    <row r="899" spans="17:29" x14ac:dyDescent="0.2">
      <c r="Q899" s="36"/>
      <c r="R899" s="40"/>
      <c r="S899" s="40"/>
      <c r="T899" s="40"/>
      <c r="U899" s="41"/>
      <c r="V899" s="41"/>
      <c r="W899" s="41"/>
      <c r="X899" s="36"/>
      <c r="Y899" s="36"/>
      <c r="Z899" s="36"/>
      <c r="AA899" s="36"/>
      <c r="AB899" s="36"/>
      <c r="AC899" s="36"/>
    </row>
    <row r="900" spans="17:29" x14ac:dyDescent="0.2">
      <c r="Q900" s="36"/>
      <c r="R900" s="40"/>
      <c r="S900" s="40"/>
      <c r="T900" s="40"/>
      <c r="U900" s="41"/>
      <c r="V900" s="41"/>
      <c r="W900" s="41"/>
      <c r="X900" s="36"/>
      <c r="Y900" s="36"/>
      <c r="Z900" s="36"/>
      <c r="AA900" s="36"/>
      <c r="AB900" s="36"/>
      <c r="AC900" s="36"/>
    </row>
    <row r="901" spans="17:29" x14ac:dyDescent="0.2">
      <c r="Q901" s="36"/>
      <c r="R901" s="40"/>
      <c r="S901" s="40"/>
      <c r="T901" s="40"/>
      <c r="U901" s="41"/>
      <c r="V901" s="41"/>
      <c r="W901" s="41"/>
      <c r="X901" s="36"/>
      <c r="Y901" s="36"/>
      <c r="Z901" s="36"/>
      <c r="AA901" s="36"/>
      <c r="AB901" s="36"/>
      <c r="AC901" s="36"/>
    </row>
    <row r="902" spans="17:29" x14ac:dyDescent="0.2">
      <c r="Q902" s="36"/>
      <c r="R902" s="40"/>
      <c r="S902" s="40"/>
      <c r="T902" s="40"/>
      <c r="U902" s="41"/>
      <c r="V902" s="41"/>
      <c r="W902" s="41"/>
      <c r="X902" s="36"/>
      <c r="Y902" s="36"/>
      <c r="Z902" s="36"/>
      <c r="AA902" s="36"/>
      <c r="AB902" s="36"/>
      <c r="AC902" s="36"/>
    </row>
    <row r="903" spans="17:29" x14ac:dyDescent="0.2">
      <c r="Q903" s="36"/>
      <c r="R903" s="40"/>
      <c r="S903" s="40"/>
      <c r="T903" s="40"/>
      <c r="U903" s="41"/>
      <c r="V903" s="41"/>
      <c r="W903" s="41"/>
      <c r="X903" s="36"/>
      <c r="Y903" s="36"/>
      <c r="Z903" s="36"/>
      <c r="AA903" s="36"/>
      <c r="AB903" s="36"/>
      <c r="AC903" s="36"/>
    </row>
    <row r="904" spans="17:29" x14ac:dyDescent="0.2">
      <c r="Q904" s="36"/>
      <c r="R904" s="40"/>
      <c r="S904" s="40"/>
      <c r="T904" s="40"/>
      <c r="U904" s="41"/>
      <c r="V904" s="41"/>
      <c r="W904" s="41"/>
      <c r="X904" s="36"/>
      <c r="Y904" s="36"/>
      <c r="Z904" s="36"/>
      <c r="AA904" s="36"/>
      <c r="AB904" s="36"/>
      <c r="AC904" s="36"/>
    </row>
    <row r="905" spans="17:29" x14ac:dyDescent="0.2">
      <c r="Q905" s="36"/>
      <c r="R905" s="40"/>
      <c r="S905" s="40"/>
      <c r="T905" s="40"/>
      <c r="U905" s="41"/>
      <c r="V905" s="41"/>
      <c r="W905" s="41"/>
      <c r="X905" s="36"/>
      <c r="Y905" s="36"/>
      <c r="Z905" s="36"/>
      <c r="AA905" s="36"/>
      <c r="AB905" s="36"/>
      <c r="AC905" s="36"/>
    </row>
    <row r="906" spans="17:29" x14ac:dyDescent="0.2">
      <c r="Q906" s="36"/>
      <c r="R906" s="40"/>
      <c r="S906" s="40"/>
      <c r="T906" s="40"/>
      <c r="U906" s="41"/>
      <c r="V906" s="41"/>
      <c r="W906" s="41"/>
      <c r="X906" s="36"/>
      <c r="Y906" s="36"/>
      <c r="Z906" s="36"/>
      <c r="AA906" s="36"/>
      <c r="AB906" s="36"/>
      <c r="AC906" s="36"/>
    </row>
    <row r="907" spans="17:29" x14ac:dyDescent="0.2">
      <c r="Q907" s="36"/>
      <c r="R907" s="40"/>
      <c r="S907" s="40"/>
      <c r="T907" s="40"/>
      <c r="U907" s="41"/>
      <c r="V907" s="41"/>
      <c r="W907" s="41"/>
      <c r="X907" s="36"/>
      <c r="Y907" s="36"/>
      <c r="Z907" s="36"/>
      <c r="AA907" s="36"/>
      <c r="AB907" s="36"/>
      <c r="AC907" s="36"/>
    </row>
    <row r="908" spans="17:29" x14ac:dyDescent="0.2">
      <c r="Q908" s="36"/>
      <c r="R908" s="40"/>
      <c r="S908" s="40"/>
      <c r="T908" s="40"/>
      <c r="U908" s="41"/>
      <c r="V908" s="41"/>
      <c r="W908" s="41"/>
      <c r="X908" s="36"/>
      <c r="Y908" s="36"/>
      <c r="Z908" s="36"/>
      <c r="AA908" s="36"/>
      <c r="AB908" s="36"/>
      <c r="AC908" s="36"/>
    </row>
    <row r="909" spans="17:29" x14ac:dyDescent="0.2">
      <c r="Q909" s="36"/>
      <c r="R909" s="40"/>
      <c r="S909" s="40"/>
      <c r="T909" s="40"/>
      <c r="U909" s="41"/>
      <c r="V909" s="41"/>
      <c r="W909" s="41"/>
      <c r="X909" s="36"/>
      <c r="Y909" s="36"/>
      <c r="Z909" s="36"/>
      <c r="AA909" s="36"/>
      <c r="AB909" s="36"/>
      <c r="AC909" s="36"/>
    </row>
    <row r="910" spans="17:29" x14ac:dyDescent="0.2">
      <c r="Q910" s="36"/>
      <c r="R910" s="40"/>
      <c r="S910" s="40"/>
      <c r="T910" s="40"/>
      <c r="U910" s="41"/>
      <c r="V910" s="41"/>
      <c r="W910" s="41"/>
      <c r="X910" s="36"/>
      <c r="Y910" s="36"/>
      <c r="Z910" s="36"/>
      <c r="AA910" s="36"/>
      <c r="AB910" s="36"/>
      <c r="AC910" s="36"/>
    </row>
    <row r="911" spans="17:29" x14ac:dyDescent="0.2">
      <c r="Q911" s="36"/>
      <c r="R911" s="40"/>
      <c r="S911" s="40"/>
      <c r="T911" s="40"/>
      <c r="U911" s="41"/>
      <c r="V911" s="41"/>
      <c r="W911" s="41"/>
      <c r="X911" s="36"/>
      <c r="Y911" s="36"/>
      <c r="Z911" s="36"/>
      <c r="AA911" s="36"/>
      <c r="AB911" s="36"/>
      <c r="AC911" s="36"/>
    </row>
    <row r="912" spans="17:29" x14ac:dyDescent="0.2">
      <c r="Q912" s="36"/>
      <c r="R912" s="40"/>
      <c r="S912" s="40"/>
      <c r="T912" s="40"/>
      <c r="U912" s="41"/>
      <c r="V912" s="41"/>
      <c r="W912" s="41"/>
      <c r="X912" s="36"/>
      <c r="Y912" s="36"/>
      <c r="Z912" s="36"/>
      <c r="AA912" s="36"/>
      <c r="AB912" s="36"/>
      <c r="AC912" s="36"/>
    </row>
    <row r="913" spans="17:29" x14ac:dyDescent="0.2">
      <c r="Q913" s="36"/>
      <c r="R913" s="40"/>
      <c r="S913" s="40"/>
      <c r="T913" s="40"/>
      <c r="U913" s="41"/>
      <c r="V913" s="41"/>
      <c r="W913" s="41"/>
      <c r="X913" s="36"/>
      <c r="Y913" s="36"/>
      <c r="Z913" s="36"/>
      <c r="AA913" s="36"/>
      <c r="AB913" s="36"/>
      <c r="AC913" s="36"/>
    </row>
    <row r="914" spans="17:29" x14ac:dyDescent="0.2">
      <c r="Q914" s="36"/>
      <c r="R914" s="40"/>
      <c r="S914" s="40"/>
      <c r="T914" s="40"/>
      <c r="U914" s="41"/>
      <c r="V914" s="41"/>
      <c r="W914" s="41"/>
      <c r="X914" s="36"/>
      <c r="Y914" s="36"/>
      <c r="Z914" s="36"/>
      <c r="AA914" s="36"/>
      <c r="AB914" s="36"/>
      <c r="AC914" s="36"/>
    </row>
    <row r="915" spans="17:29" x14ac:dyDescent="0.2">
      <c r="Q915" s="36"/>
      <c r="R915" s="40"/>
      <c r="S915" s="40"/>
      <c r="T915" s="40"/>
      <c r="U915" s="41"/>
      <c r="V915" s="41"/>
      <c r="W915" s="41"/>
      <c r="X915" s="36"/>
      <c r="Y915" s="36"/>
      <c r="Z915" s="36"/>
      <c r="AA915" s="36"/>
      <c r="AB915" s="36"/>
      <c r="AC915" s="36"/>
    </row>
    <row r="916" spans="17:29" x14ac:dyDescent="0.2">
      <c r="Q916" s="36"/>
      <c r="R916" s="40"/>
      <c r="S916" s="40"/>
      <c r="T916" s="40"/>
      <c r="U916" s="41"/>
      <c r="V916" s="41"/>
      <c r="W916" s="41"/>
      <c r="X916" s="36"/>
      <c r="Y916" s="36"/>
      <c r="Z916" s="36"/>
      <c r="AA916" s="36"/>
      <c r="AB916" s="36"/>
      <c r="AC916" s="36"/>
    </row>
    <row r="917" spans="17:29" x14ac:dyDescent="0.2">
      <c r="Q917" s="36"/>
      <c r="R917" s="40"/>
      <c r="S917" s="40"/>
      <c r="T917" s="40"/>
      <c r="U917" s="41"/>
      <c r="V917" s="41"/>
      <c r="W917" s="41"/>
      <c r="X917" s="36"/>
      <c r="Y917" s="36"/>
      <c r="Z917" s="36"/>
      <c r="AA917" s="36"/>
      <c r="AB917" s="36"/>
      <c r="AC917" s="36"/>
    </row>
    <row r="918" spans="17:29" x14ac:dyDescent="0.2">
      <c r="Q918" s="36"/>
      <c r="R918" s="40"/>
      <c r="S918" s="40"/>
      <c r="T918" s="40"/>
      <c r="U918" s="41"/>
      <c r="V918" s="41"/>
      <c r="W918" s="41"/>
      <c r="X918" s="36"/>
      <c r="Y918" s="36"/>
      <c r="Z918" s="36"/>
      <c r="AA918" s="36"/>
      <c r="AB918" s="36"/>
      <c r="AC918" s="36"/>
    </row>
    <row r="919" spans="17:29" x14ac:dyDescent="0.2">
      <c r="Q919" s="36"/>
      <c r="R919" s="40"/>
      <c r="S919" s="40"/>
      <c r="T919" s="40"/>
      <c r="U919" s="41"/>
      <c r="V919" s="41"/>
      <c r="W919" s="41"/>
      <c r="X919" s="36"/>
      <c r="Y919" s="36"/>
      <c r="Z919" s="36"/>
      <c r="AA919" s="36"/>
      <c r="AB919" s="36"/>
      <c r="AC919" s="36"/>
    </row>
    <row r="920" spans="17:29" x14ac:dyDescent="0.2">
      <c r="Q920" s="36"/>
      <c r="R920" s="40"/>
      <c r="S920" s="40"/>
      <c r="T920" s="40"/>
      <c r="U920" s="41"/>
      <c r="V920" s="41"/>
      <c r="W920" s="41"/>
      <c r="X920" s="36"/>
      <c r="Y920" s="36"/>
      <c r="Z920" s="36"/>
      <c r="AA920" s="36"/>
      <c r="AB920" s="36"/>
      <c r="AC920" s="36"/>
    </row>
    <row r="921" spans="17:29" x14ac:dyDescent="0.2">
      <c r="Q921" s="36"/>
      <c r="R921" s="40"/>
      <c r="S921" s="40"/>
      <c r="T921" s="40"/>
      <c r="U921" s="41"/>
      <c r="V921" s="41"/>
      <c r="W921" s="41"/>
      <c r="X921" s="36"/>
      <c r="Y921" s="36"/>
      <c r="Z921" s="36"/>
      <c r="AA921" s="36"/>
      <c r="AB921" s="36"/>
      <c r="AC921" s="36"/>
    </row>
    <row r="922" spans="17:29" x14ac:dyDescent="0.2">
      <c r="Q922" s="36"/>
      <c r="R922" s="40"/>
      <c r="S922" s="40"/>
      <c r="T922" s="40"/>
      <c r="U922" s="41"/>
      <c r="V922" s="41"/>
      <c r="W922" s="41"/>
      <c r="X922" s="36"/>
      <c r="Y922" s="36"/>
      <c r="Z922" s="36"/>
      <c r="AA922" s="36"/>
      <c r="AB922" s="36"/>
      <c r="AC922" s="36"/>
    </row>
    <row r="923" spans="17:29" x14ac:dyDescent="0.2">
      <c r="Q923" s="36"/>
      <c r="R923" s="40"/>
      <c r="S923" s="40"/>
      <c r="T923" s="40"/>
      <c r="U923" s="41"/>
      <c r="V923" s="41"/>
      <c r="W923" s="41"/>
      <c r="X923" s="36"/>
      <c r="Y923" s="36"/>
      <c r="Z923" s="36"/>
      <c r="AA923" s="36"/>
      <c r="AB923" s="36"/>
      <c r="AC923" s="36"/>
    </row>
    <row r="924" spans="17:29" x14ac:dyDescent="0.2">
      <c r="Q924" s="36"/>
      <c r="R924" s="40"/>
      <c r="S924" s="40"/>
      <c r="T924" s="40"/>
      <c r="U924" s="41"/>
      <c r="V924" s="41"/>
      <c r="W924" s="41"/>
      <c r="X924" s="36"/>
      <c r="Y924" s="36"/>
      <c r="Z924" s="36"/>
      <c r="AA924" s="36"/>
      <c r="AB924" s="36"/>
      <c r="AC924" s="36"/>
    </row>
    <row r="925" spans="17:29" x14ac:dyDescent="0.2">
      <c r="Q925" s="36"/>
      <c r="R925" s="40"/>
      <c r="S925" s="40"/>
      <c r="T925" s="40"/>
      <c r="U925" s="41"/>
      <c r="V925" s="41"/>
      <c r="W925" s="41"/>
      <c r="X925" s="36"/>
      <c r="Y925" s="36"/>
      <c r="Z925" s="36"/>
      <c r="AA925" s="36"/>
      <c r="AB925" s="36"/>
      <c r="AC925" s="36"/>
    </row>
    <row r="926" spans="17:29" x14ac:dyDescent="0.2">
      <c r="Q926" s="36"/>
      <c r="R926" s="40"/>
      <c r="S926" s="40"/>
      <c r="T926" s="40"/>
      <c r="U926" s="41"/>
      <c r="V926" s="41"/>
      <c r="W926" s="41"/>
      <c r="X926" s="36"/>
      <c r="Y926" s="36"/>
      <c r="Z926" s="36"/>
      <c r="AA926" s="36"/>
      <c r="AB926" s="36"/>
      <c r="AC926" s="36"/>
    </row>
    <row r="927" spans="17:29" x14ac:dyDescent="0.2">
      <c r="Q927" s="36"/>
      <c r="R927" s="40"/>
      <c r="S927" s="40"/>
      <c r="T927" s="40"/>
      <c r="U927" s="41"/>
      <c r="V927" s="41"/>
      <c r="W927" s="41"/>
      <c r="X927" s="36"/>
      <c r="Y927" s="36"/>
      <c r="Z927" s="36"/>
      <c r="AA927" s="36"/>
      <c r="AB927" s="36"/>
      <c r="AC927" s="36"/>
    </row>
    <row r="928" spans="17:29" x14ac:dyDescent="0.2">
      <c r="Q928" s="36"/>
      <c r="R928" s="40"/>
      <c r="S928" s="40"/>
      <c r="T928" s="40"/>
      <c r="U928" s="41"/>
      <c r="V928" s="41"/>
      <c r="W928" s="41"/>
      <c r="X928" s="36"/>
      <c r="Y928" s="36"/>
      <c r="Z928" s="36"/>
      <c r="AA928" s="36"/>
      <c r="AB928" s="36"/>
      <c r="AC928" s="36"/>
    </row>
    <row r="929" spans="17:29" x14ac:dyDescent="0.2">
      <c r="Q929" s="36"/>
      <c r="R929" s="40"/>
      <c r="S929" s="40"/>
      <c r="T929" s="40"/>
      <c r="U929" s="41"/>
      <c r="V929" s="41"/>
      <c r="W929" s="41"/>
      <c r="X929" s="36"/>
      <c r="Y929" s="36"/>
      <c r="Z929" s="36"/>
      <c r="AA929" s="36"/>
      <c r="AB929" s="36"/>
      <c r="AC929" s="36"/>
    </row>
    <row r="930" spans="17:29" x14ac:dyDescent="0.2">
      <c r="Q930" s="36"/>
      <c r="R930" s="40"/>
      <c r="S930" s="40"/>
      <c r="T930" s="40"/>
      <c r="U930" s="41"/>
      <c r="V930" s="41"/>
      <c r="W930" s="41"/>
      <c r="X930" s="36"/>
      <c r="Y930" s="36"/>
      <c r="Z930" s="36"/>
      <c r="AA930" s="36"/>
      <c r="AB930" s="36"/>
      <c r="AC930" s="36"/>
    </row>
    <row r="931" spans="17:29" x14ac:dyDescent="0.2">
      <c r="Q931" s="36"/>
      <c r="R931" s="40"/>
      <c r="S931" s="40"/>
      <c r="T931" s="40"/>
      <c r="U931" s="41"/>
      <c r="V931" s="41"/>
      <c r="W931" s="41"/>
      <c r="X931" s="36"/>
      <c r="Y931" s="36"/>
      <c r="Z931" s="36"/>
      <c r="AA931" s="36"/>
      <c r="AB931" s="36"/>
      <c r="AC931" s="36"/>
    </row>
    <row r="932" spans="17:29" x14ac:dyDescent="0.2">
      <c r="Q932" s="36"/>
      <c r="R932" s="40"/>
      <c r="S932" s="40"/>
      <c r="T932" s="40"/>
      <c r="U932" s="41"/>
      <c r="V932" s="41"/>
      <c r="W932" s="41"/>
      <c r="X932" s="36"/>
      <c r="Y932" s="36"/>
      <c r="Z932" s="36"/>
      <c r="AA932" s="36"/>
      <c r="AB932" s="36"/>
      <c r="AC932" s="36"/>
    </row>
    <row r="933" spans="17:29" x14ac:dyDescent="0.2">
      <c r="Q933" s="36"/>
      <c r="R933" s="40"/>
      <c r="S933" s="40"/>
      <c r="T933" s="40"/>
      <c r="U933" s="41"/>
      <c r="V933" s="41"/>
      <c r="W933" s="41"/>
      <c r="X933" s="36"/>
      <c r="Y933" s="36"/>
      <c r="Z933" s="36"/>
      <c r="AA933" s="36"/>
      <c r="AB933" s="36"/>
      <c r="AC933" s="36"/>
    </row>
    <row r="934" spans="17:29" x14ac:dyDescent="0.2">
      <c r="Q934" s="36"/>
      <c r="R934" s="40"/>
      <c r="S934" s="40"/>
      <c r="T934" s="40"/>
      <c r="U934" s="41"/>
      <c r="V934" s="41"/>
      <c r="W934" s="41"/>
      <c r="X934" s="36"/>
      <c r="Y934" s="36"/>
      <c r="Z934" s="36"/>
      <c r="AA934" s="36"/>
      <c r="AB934" s="36"/>
      <c r="AC934" s="36"/>
    </row>
    <row r="935" spans="17:29" x14ac:dyDescent="0.2">
      <c r="Q935" s="36"/>
      <c r="R935" s="40"/>
      <c r="S935" s="40"/>
      <c r="T935" s="40"/>
      <c r="U935" s="41"/>
      <c r="V935" s="41"/>
      <c r="W935" s="41"/>
      <c r="X935" s="36"/>
      <c r="Y935" s="36"/>
      <c r="Z935" s="36"/>
      <c r="AA935" s="36"/>
      <c r="AB935" s="36"/>
      <c r="AC935" s="36"/>
    </row>
    <row r="936" spans="17:29" x14ac:dyDescent="0.2">
      <c r="Q936" s="36"/>
      <c r="R936" s="40"/>
      <c r="S936" s="40"/>
      <c r="T936" s="40"/>
      <c r="U936" s="41"/>
      <c r="V936" s="41"/>
      <c r="W936" s="41"/>
      <c r="X936" s="36"/>
      <c r="Y936" s="36"/>
      <c r="Z936" s="36"/>
      <c r="AA936" s="36"/>
      <c r="AB936" s="36"/>
      <c r="AC936" s="36"/>
    </row>
    <row r="937" spans="17:29" x14ac:dyDescent="0.2">
      <c r="Q937" s="36"/>
      <c r="R937" s="40"/>
      <c r="S937" s="40"/>
      <c r="T937" s="40"/>
      <c r="U937" s="41"/>
      <c r="V937" s="41"/>
      <c r="W937" s="41"/>
      <c r="X937" s="36"/>
      <c r="Y937" s="36"/>
      <c r="Z937" s="36"/>
      <c r="AA937" s="36"/>
      <c r="AB937" s="36"/>
      <c r="AC937" s="36"/>
    </row>
    <row r="938" spans="17:29" x14ac:dyDescent="0.2">
      <c r="Q938" s="36"/>
      <c r="R938" s="40"/>
      <c r="S938" s="40"/>
      <c r="T938" s="40"/>
      <c r="U938" s="41"/>
      <c r="V938" s="41"/>
      <c r="W938" s="41"/>
      <c r="X938" s="36"/>
      <c r="Y938" s="36"/>
      <c r="Z938" s="36"/>
      <c r="AA938" s="36"/>
      <c r="AB938" s="36"/>
      <c r="AC938" s="36"/>
    </row>
    <row r="939" spans="17:29" x14ac:dyDescent="0.2">
      <c r="Q939" s="36"/>
      <c r="R939" s="40"/>
      <c r="S939" s="40"/>
      <c r="T939" s="40"/>
      <c r="U939" s="41"/>
      <c r="V939" s="41"/>
      <c r="W939" s="41"/>
      <c r="X939" s="36"/>
      <c r="Y939" s="36"/>
      <c r="Z939" s="36"/>
      <c r="AA939" s="36"/>
      <c r="AB939" s="36"/>
      <c r="AC939" s="36"/>
    </row>
    <row r="940" spans="17:29" x14ac:dyDescent="0.2">
      <c r="Q940" s="36"/>
      <c r="R940" s="40"/>
      <c r="S940" s="40"/>
      <c r="T940" s="40"/>
      <c r="U940" s="41"/>
      <c r="V940" s="41"/>
      <c r="W940" s="41"/>
      <c r="X940" s="36"/>
      <c r="Y940" s="36"/>
      <c r="Z940" s="36"/>
      <c r="AA940" s="36"/>
      <c r="AB940" s="36"/>
      <c r="AC940" s="36"/>
    </row>
    <row r="941" spans="17:29" x14ac:dyDescent="0.2">
      <c r="Q941" s="36"/>
      <c r="R941" s="40"/>
      <c r="S941" s="40"/>
      <c r="T941" s="40"/>
      <c r="U941" s="41"/>
      <c r="V941" s="41"/>
      <c r="W941" s="41"/>
      <c r="X941" s="36"/>
      <c r="Y941" s="36"/>
      <c r="Z941" s="36"/>
      <c r="AA941" s="36"/>
      <c r="AB941" s="36"/>
      <c r="AC941" s="36"/>
    </row>
    <row r="942" spans="17:29" x14ac:dyDescent="0.2">
      <c r="Q942" s="36"/>
      <c r="R942" s="40"/>
      <c r="S942" s="40"/>
      <c r="T942" s="40"/>
      <c r="U942" s="41"/>
      <c r="V942" s="41"/>
      <c r="W942" s="41"/>
      <c r="X942" s="36"/>
      <c r="Y942" s="36"/>
      <c r="Z942" s="36"/>
      <c r="AA942" s="36"/>
      <c r="AB942" s="36"/>
      <c r="AC942" s="36"/>
    </row>
    <row r="943" spans="17:29" x14ac:dyDescent="0.2">
      <c r="Q943" s="36"/>
      <c r="R943" s="40"/>
      <c r="S943" s="40"/>
      <c r="T943" s="40"/>
      <c r="U943" s="41"/>
      <c r="V943" s="41"/>
      <c r="W943" s="41"/>
      <c r="X943" s="36"/>
      <c r="Y943" s="36"/>
      <c r="Z943" s="36"/>
      <c r="AA943" s="36"/>
      <c r="AB943" s="36"/>
      <c r="AC943" s="36"/>
    </row>
    <row r="944" spans="17:29" x14ac:dyDescent="0.2">
      <c r="Q944" s="36"/>
      <c r="R944" s="40"/>
      <c r="S944" s="40"/>
      <c r="T944" s="40"/>
      <c r="U944" s="41"/>
      <c r="V944" s="41"/>
      <c r="W944" s="41"/>
      <c r="X944" s="36"/>
      <c r="Y944" s="36"/>
      <c r="Z944" s="36"/>
      <c r="AA944" s="36"/>
      <c r="AB944" s="36"/>
      <c r="AC944" s="36"/>
    </row>
    <row r="945" spans="17:29" x14ac:dyDescent="0.2">
      <c r="Q945" s="36"/>
      <c r="R945" s="40"/>
      <c r="S945" s="40"/>
      <c r="T945" s="40"/>
      <c r="U945" s="41"/>
      <c r="V945" s="41"/>
      <c r="W945" s="41"/>
      <c r="X945" s="36"/>
      <c r="Y945" s="36"/>
      <c r="Z945" s="36"/>
      <c r="AA945" s="36"/>
      <c r="AB945" s="36"/>
      <c r="AC945" s="36"/>
    </row>
    <row r="946" spans="17:29" x14ac:dyDescent="0.2">
      <c r="Q946" s="36"/>
      <c r="R946" s="40"/>
      <c r="S946" s="40"/>
      <c r="T946" s="40"/>
      <c r="U946" s="41"/>
      <c r="V946" s="41"/>
      <c r="W946" s="41"/>
      <c r="X946" s="36"/>
      <c r="Y946" s="36"/>
      <c r="Z946" s="36"/>
      <c r="AA946" s="36"/>
      <c r="AB946" s="36"/>
      <c r="AC946" s="36"/>
    </row>
    <row r="947" spans="17:29" x14ac:dyDescent="0.2">
      <c r="Q947" s="36"/>
      <c r="R947" s="40"/>
      <c r="S947" s="40"/>
      <c r="T947" s="40"/>
      <c r="U947" s="41"/>
      <c r="V947" s="41"/>
      <c r="W947" s="41"/>
      <c r="X947" s="36"/>
      <c r="Y947" s="36"/>
      <c r="Z947" s="36"/>
      <c r="AA947" s="36"/>
      <c r="AB947" s="36"/>
      <c r="AC947" s="36"/>
    </row>
    <row r="948" spans="17:29" x14ac:dyDescent="0.2">
      <c r="Q948" s="36"/>
      <c r="R948" s="40"/>
      <c r="S948" s="40"/>
      <c r="T948" s="40"/>
      <c r="U948" s="41"/>
      <c r="V948" s="41"/>
      <c r="W948" s="41"/>
      <c r="X948" s="36"/>
      <c r="Y948" s="36"/>
      <c r="Z948" s="36"/>
      <c r="AA948" s="36"/>
      <c r="AB948" s="36"/>
      <c r="AC948" s="36"/>
    </row>
    <row r="949" spans="17:29" x14ac:dyDescent="0.2">
      <c r="Q949" s="36"/>
      <c r="R949" s="40"/>
      <c r="S949" s="40"/>
      <c r="T949" s="40"/>
      <c r="U949" s="41"/>
      <c r="V949" s="41"/>
      <c r="W949" s="41"/>
      <c r="X949" s="36"/>
      <c r="Y949" s="36"/>
      <c r="Z949" s="36"/>
      <c r="AA949" s="36"/>
      <c r="AB949" s="36"/>
      <c r="AC949" s="36"/>
    </row>
    <row r="950" spans="17:29" x14ac:dyDescent="0.2">
      <c r="Q950" s="36"/>
      <c r="R950" s="40"/>
      <c r="S950" s="40"/>
      <c r="T950" s="40"/>
      <c r="U950" s="41"/>
      <c r="V950" s="41"/>
      <c r="W950" s="41"/>
      <c r="X950" s="36"/>
      <c r="Y950" s="36"/>
      <c r="Z950" s="36"/>
      <c r="AA950" s="36"/>
      <c r="AB950" s="36"/>
      <c r="AC950" s="36"/>
    </row>
    <row r="951" spans="17:29" x14ac:dyDescent="0.2">
      <c r="Q951" s="36"/>
      <c r="R951" s="40"/>
      <c r="S951" s="40"/>
      <c r="T951" s="40"/>
      <c r="U951" s="41"/>
      <c r="V951" s="41"/>
      <c r="W951" s="41"/>
      <c r="X951" s="36"/>
      <c r="Y951" s="36"/>
      <c r="Z951" s="36"/>
      <c r="AA951" s="36"/>
      <c r="AB951" s="36"/>
      <c r="AC951" s="36"/>
    </row>
    <row r="952" spans="17:29" x14ac:dyDescent="0.2">
      <c r="Q952" s="36"/>
      <c r="R952" s="40"/>
      <c r="S952" s="40"/>
      <c r="T952" s="40"/>
      <c r="U952" s="41"/>
      <c r="V952" s="41"/>
      <c r="W952" s="41"/>
      <c r="X952" s="36"/>
      <c r="Y952" s="36"/>
      <c r="Z952" s="36"/>
      <c r="AA952" s="36"/>
      <c r="AB952" s="36"/>
      <c r="AC952" s="36"/>
    </row>
    <row r="953" spans="17:29" x14ac:dyDescent="0.2">
      <c r="Q953" s="36"/>
      <c r="R953" s="40"/>
      <c r="S953" s="40"/>
      <c r="T953" s="40"/>
      <c r="U953" s="41"/>
      <c r="V953" s="41"/>
      <c r="W953" s="41"/>
      <c r="X953" s="36"/>
      <c r="Y953" s="36"/>
      <c r="Z953" s="36"/>
      <c r="AA953" s="36"/>
      <c r="AB953" s="36"/>
      <c r="AC953" s="36"/>
    </row>
    <row r="954" spans="17:29" x14ac:dyDescent="0.2">
      <c r="Q954" s="36"/>
      <c r="R954" s="40"/>
      <c r="S954" s="40"/>
      <c r="T954" s="40"/>
      <c r="U954" s="41"/>
      <c r="V954" s="41"/>
      <c r="W954" s="41"/>
      <c r="X954" s="36"/>
      <c r="Y954" s="36"/>
      <c r="Z954" s="36"/>
      <c r="AA954" s="36"/>
      <c r="AB954" s="36"/>
      <c r="AC954" s="36"/>
    </row>
    <row r="955" spans="17:29" x14ac:dyDescent="0.2">
      <c r="Q955" s="36"/>
      <c r="R955" s="40"/>
      <c r="S955" s="40"/>
      <c r="T955" s="40"/>
      <c r="U955" s="41"/>
      <c r="V955" s="41"/>
      <c r="W955" s="41"/>
      <c r="X955" s="36"/>
      <c r="Y955" s="36"/>
      <c r="Z955" s="36"/>
      <c r="AA955" s="36"/>
      <c r="AB955" s="36"/>
      <c r="AC955" s="36"/>
    </row>
    <row r="956" spans="17:29" x14ac:dyDescent="0.2">
      <c r="Q956" s="36"/>
      <c r="R956" s="40"/>
      <c r="S956" s="40"/>
      <c r="T956" s="40"/>
      <c r="U956" s="41"/>
      <c r="V956" s="41"/>
      <c r="W956" s="41"/>
      <c r="X956" s="36"/>
      <c r="Y956" s="36"/>
      <c r="Z956" s="36"/>
      <c r="AA956" s="36"/>
      <c r="AB956" s="36"/>
      <c r="AC956" s="36"/>
    </row>
    <row r="957" spans="17:29" x14ac:dyDescent="0.2">
      <c r="Q957" s="36"/>
      <c r="R957" s="40"/>
      <c r="S957" s="40"/>
      <c r="T957" s="40"/>
      <c r="U957" s="41"/>
      <c r="V957" s="41"/>
      <c r="W957" s="41"/>
      <c r="X957" s="36"/>
      <c r="Y957" s="36"/>
      <c r="Z957" s="36"/>
      <c r="AA957" s="36"/>
      <c r="AB957" s="36"/>
      <c r="AC957" s="36"/>
    </row>
    <row r="958" spans="17:29" x14ac:dyDescent="0.2">
      <c r="Q958" s="36"/>
      <c r="R958" s="40"/>
      <c r="S958" s="40"/>
      <c r="T958" s="40"/>
      <c r="U958" s="41"/>
      <c r="V958" s="41"/>
      <c r="W958" s="41"/>
      <c r="X958" s="36"/>
      <c r="Y958" s="36"/>
      <c r="Z958" s="36"/>
      <c r="AA958" s="36"/>
      <c r="AB958" s="36"/>
      <c r="AC958" s="36"/>
    </row>
    <row r="959" spans="17:29" x14ac:dyDescent="0.2">
      <c r="Q959" s="36"/>
      <c r="R959" s="40"/>
      <c r="S959" s="40"/>
      <c r="T959" s="40"/>
      <c r="U959" s="41"/>
      <c r="V959" s="41"/>
      <c r="W959" s="41"/>
      <c r="X959" s="36"/>
      <c r="Y959" s="36"/>
      <c r="Z959" s="36"/>
      <c r="AA959" s="36"/>
      <c r="AB959" s="36"/>
      <c r="AC959" s="36"/>
    </row>
    <row r="960" spans="17:29" x14ac:dyDescent="0.2">
      <c r="Q960" s="36"/>
      <c r="R960" s="40"/>
      <c r="S960" s="40"/>
      <c r="T960" s="40"/>
      <c r="U960" s="41"/>
      <c r="V960" s="41"/>
      <c r="W960" s="41"/>
      <c r="X960" s="36"/>
      <c r="Y960" s="36"/>
      <c r="Z960" s="36"/>
      <c r="AA960" s="36"/>
      <c r="AB960" s="36"/>
      <c r="AC960" s="36"/>
    </row>
    <row r="961" spans="17:29" x14ac:dyDescent="0.2">
      <c r="Q961" s="36"/>
      <c r="R961" s="40"/>
      <c r="S961" s="40"/>
      <c r="T961" s="40"/>
      <c r="U961" s="41"/>
      <c r="V961" s="41"/>
      <c r="W961" s="41"/>
      <c r="X961" s="36"/>
      <c r="Y961" s="36"/>
      <c r="Z961" s="36"/>
      <c r="AA961" s="36"/>
      <c r="AB961" s="36"/>
      <c r="AC961" s="36"/>
    </row>
    <row r="962" spans="17:29" x14ac:dyDescent="0.2">
      <c r="Q962" s="36"/>
      <c r="R962" s="40"/>
      <c r="S962" s="40"/>
      <c r="T962" s="40"/>
      <c r="U962" s="41"/>
      <c r="V962" s="41"/>
      <c r="W962" s="41"/>
      <c r="X962" s="36"/>
      <c r="Y962" s="36"/>
      <c r="Z962" s="36"/>
      <c r="AA962" s="36"/>
      <c r="AB962" s="36"/>
      <c r="AC962" s="36"/>
    </row>
    <row r="963" spans="17:29" x14ac:dyDescent="0.2">
      <c r="Q963" s="36"/>
      <c r="R963" s="40"/>
      <c r="S963" s="40"/>
      <c r="T963" s="40"/>
      <c r="U963" s="41"/>
      <c r="V963" s="41"/>
      <c r="W963" s="41"/>
      <c r="X963" s="36"/>
      <c r="Y963" s="36"/>
      <c r="Z963" s="36"/>
      <c r="AA963" s="36"/>
      <c r="AB963" s="36"/>
      <c r="AC963" s="36"/>
    </row>
    <row r="964" spans="17:29" x14ac:dyDescent="0.2">
      <c r="Q964" s="36"/>
      <c r="R964" s="40"/>
      <c r="S964" s="40"/>
      <c r="T964" s="40"/>
      <c r="U964" s="41"/>
      <c r="V964" s="41"/>
      <c r="W964" s="41"/>
      <c r="X964" s="36"/>
      <c r="Y964" s="36"/>
      <c r="Z964" s="36"/>
      <c r="AA964" s="36"/>
      <c r="AB964" s="36"/>
      <c r="AC964" s="36"/>
    </row>
    <row r="965" spans="17:29" x14ac:dyDescent="0.2">
      <c r="Q965" s="36"/>
      <c r="R965" s="40"/>
      <c r="S965" s="40"/>
      <c r="T965" s="40"/>
      <c r="U965" s="41"/>
      <c r="V965" s="41"/>
      <c r="W965" s="41"/>
      <c r="X965" s="36"/>
      <c r="Y965" s="36"/>
      <c r="Z965" s="36"/>
      <c r="AA965" s="36"/>
      <c r="AB965" s="36"/>
      <c r="AC965" s="36"/>
    </row>
    <row r="966" spans="17:29" x14ac:dyDescent="0.2">
      <c r="Q966" s="36"/>
      <c r="R966" s="40"/>
      <c r="S966" s="40"/>
      <c r="T966" s="40"/>
      <c r="U966" s="41"/>
      <c r="V966" s="41"/>
      <c r="W966" s="41"/>
      <c r="X966" s="36"/>
      <c r="Y966" s="36"/>
      <c r="Z966" s="36"/>
      <c r="AA966" s="36"/>
      <c r="AB966" s="36"/>
      <c r="AC966" s="36"/>
    </row>
    <row r="967" spans="17:29" x14ac:dyDescent="0.2">
      <c r="Q967" s="36"/>
      <c r="R967" s="40"/>
      <c r="S967" s="40"/>
      <c r="T967" s="40"/>
      <c r="U967" s="41"/>
      <c r="V967" s="41"/>
      <c r="W967" s="41"/>
      <c r="X967" s="36"/>
      <c r="Y967" s="36"/>
      <c r="Z967" s="36"/>
      <c r="AA967" s="36"/>
      <c r="AB967" s="36"/>
      <c r="AC967" s="36"/>
    </row>
    <row r="968" spans="17:29" x14ac:dyDescent="0.2">
      <c r="Q968" s="36"/>
      <c r="R968" s="40"/>
      <c r="S968" s="40"/>
      <c r="T968" s="40"/>
      <c r="U968" s="41"/>
      <c r="V968" s="41"/>
      <c r="W968" s="41"/>
      <c r="X968" s="36"/>
      <c r="Y968" s="36"/>
      <c r="Z968" s="36"/>
      <c r="AA968" s="36"/>
      <c r="AB968" s="36"/>
      <c r="AC968" s="36"/>
    </row>
    <row r="969" spans="17:29" x14ac:dyDescent="0.2">
      <c r="Q969" s="36"/>
      <c r="R969" s="40"/>
      <c r="S969" s="40"/>
      <c r="T969" s="40"/>
      <c r="U969" s="41"/>
      <c r="V969" s="41"/>
      <c r="W969" s="41"/>
      <c r="X969" s="36"/>
      <c r="Y969" s="36"/>
      <c r="Z969" s="36"/>
      <c r="AA969" s="36"/>
      <c r="AB969" s="36"/>
      <c r="AC969" s="36"/>
    </row>
    <row r="970" spans="17:29" x14ac:dyDescent="0.2">
      <c r="Q970" s="36"/>
      <c r="R970" s="40"/>
      <c r="S970" s="40"/>
      <c r="T970" s="40"/>
      <c r="U970" s="41"/>
      <c r="V970" s="41"/>
      <c r="W970" s="41"/>
      <c r="X970" s="36"/>
      <c r="Y970" s="36"/>
      <c r="Z970" s="36"/>
      <c r="AA970" s="36"/>
      <c r="AB970" s="36"/>
      <c r="AC970" s="36"/>
    </row>
    <row r="971" spans="17:29" x14ac:dyDescent="0.2">
      <c r="Q971" s="36"/>
      <c r="R971" s="40"/>
      <c r="S971" s="40"/>
      <c r="T971" s="40"/>
      <c r="U971" s="41"/>
      <c r="V971" s="41"/>
      <c r="W971" s="41"/>
      <c r="X971" s="36"/>
      <c r="Y971" s="36"/>
      <c r="Z971" s="36"/>
      <c r="AA971" s="36"/>
      <c r="AB971" s="36"/>
      <c r="AC971" s="36"/>
    </row>
    <row r="972" spans="17:29" x14ac:dyDescent="0.2">
      <c r="Q972" s="36"/>
      <c r="R972" s="40"/>
      <c r="S972" s="40"/>
      <c r="T972" s="40"/>
      <c r="U972" s="41"/>
      <c r="V972" s="41"/>
      <c r="W972" s="41"/>
      <c r="X972" s="36"/>
      <c r="Y972" s="36"/>
      <c r="Z972" s="36"/>
      <c r="AA972" s="36"/>
      <c r="AB972" s="36"/>
      <c r="AC972" s="36"/>
    </row>
    <row r="973" spans="17:29" x14ac:dyDescent="0.2">
      <c r="Q973" s="36"/>
      <c r="R973" s="40"/>
      <c r="S973" s="40"/>
      <c r="T973" s="40"/>
      <c r="U973" s="41"/>
      <c r="V973" s="41"/>
      <c r="W973" s="41"/>
      <c r="X973" s="36"/>
      <c r="Y973" s="36"/>
      <c r="Z973" s="36"/>
      <c r="AA973" s="36"/>
      <c r="AB973" s="36"/>
      <c r="AC973" s="36"/>
    </row>
    <row r="974" spans="17:29" x14ac:dyDescent="0.2">
      <c r="Q974" s="36"/>
      <c r="R974" s="40"/>
      <c r="S974" s="40"/>
      <c r="T974" s="40"/>
      <c r="U974" s="41"/>
      <c r="V974" s="41"/>
      <c r="W974" s="41"/>
      <c r="X974" s="36"/>
      <c r="Y974" s="36"/>
      <c r="Z974" s="36"/>
      <c r="AA974" s="36"/>
      <c r="AB974" s="36"/>
      <c r="AC974" s="36"/>
    </row>
    <row r="975" spans="17:29" x14ac:dyDescent="0.2">
      <c r="Q975" s="36"/>
      <c r="R975" s="40"/>
      <c r="S975" s="40"/>
      <c r="T975" s="40"/>
      <c r="U975" s="41"/>
      <c r="V975" s="41"/>
      <c r="W975" s="41"/>
      <c r="X975" s="36"/>
      <c r="Y975" s="36"/>
      <c r="Z975" s="36"/>
      <c r="AA975" s="36"/>
      <c r="AB975" s="36"/>
      <c r="AC975" s="36"/>
    </row>
    <row r="976" spans="17:29" x14ac:dyDescent="0.2">
      <c r="Q976" s="36"/>
      <c r="R976" s="40"/>
      <c r="S976" s="40"/>
      <c r="T976" s="40"/>
      <c r="U976" s="41"/>
      <c r="V976" s="41"/>
      <c r="W976" s="41"/>
      <c r="X976" s="36"/>
      <c r="Y976" s="36"/>
      <c r="Z976" s="36"/>
      <c r="AA976" s="36"/>
      <c r="AB976" s="36"/>
      <c r="AC976" s="36"/>
    </row>
    <row r="977" spans="17:29" x14ac:dyDescent="0.2">
      <c r="Q977" s="36"/>
      <c r="R977" s="40"/>
      <c r="S977" s="40"/>
      <c r="T977" s="40"/>
      <c r="U977" s="41"/>
      <c r="V977" s="41"/>
      <c r="W977" s="41"/>
      <c r="X977" s="36"/>
      <c r="Y977" s="36"/>
      <c r="Z977" s="36"/>
      <c r="AA977" s="36"/>
      <c r="AB977" s="36"/>
      <c r="AC977" s="36"/>
    </row>
    <row r="978" spans="17:29" x14ac:dyDescent="0.2">
      <c r="Q978" s="36"/>
      <c r="R978" s="40"/>
      <c r="S978" s="40"/>
      <c r="T978" s="40"/>
      <c r="U978" s="41"/>
      <c r="V978" s="41"/>
      <c r="W978" s="41"/>
      <c r="X978" s="36"/>
      <c r="Y978" s="36"/>
      <c r="Z978" s="36"/>
      <c r="AA978" s="36"/>
      <c r="AB978" s="36"/>
      <c r="AC978" s="36"/>
    </row>
    <row r="979" spans="17:29" x14ac:dyDescent="0.2">
      <c r="Q979" s="36"/>
      <c r="R979" s="40"/>
      <c r="S979" s="40"/>
      <c r="T979" s="40"/>
      <c r="U979" s="41"/>
      <c r="V979" s="41"/>
      <c r="W979" s="41"/>
      <c r="X979" s="36"/>
      <c r="Y979" s="36"/>
      <c r="Z979" s="36"/>
      <c r="AA979" s="36"/>
      <c r="AB979" s="36"/>
      <c r="AC979" s="36"/>
    </row>
    <row r="980" spans="17:29" x14ac:dyDescent="0.2">
      <c r="Q980" s="36"/>
      <c r="R980" s="40"/>
      <c r="S980" s="40"/>
      <c r="T980" s="40"/>
      <c r="U980" s="41"/>
      <c r="V980" s="41"/>
      <c r="W980" s="41"/>
      <c r="X980" s="36"/>
      <c r="Y980" s="36"/>
      <c r="Z980" s="36"/>
      <c r="AA980" s="36"/>
      <c r="AB980" s="36"/>
      <c r="AC980" s="36"/>
    </row>
    <row r="981" spans="17:29" x14ac:dyDescent="0.2">
      <c r="Q981" s="36"/>
      <c r="R981" s="40"/>
      <c r="S981" s="40"/>
      <c r="T981" s="40"/>
      <c r="U981" s="41"/>
      <c r="V981" s="41"/>
      <c r="W981" s="41"/>
      <c r="X981" s="36"/>
      <c r="Y981" s="36"/>
      <c r="Z981" s="36"/>
      <c r="AA981" s="36"/>
      <c r="AB981" s="36"/>
      <c r="AC981" s="36"/>
    </row>
    <row r="982" spans="17:29" x14ac:dyDescent="0.2">
      <c r="Q982" s="36"/>
      <c r="R982" s="40"/>
      <c r="S982" s="40"/>
      <c r="T982" s="40"/>
      <c r="U982" s="41"/>
      <c r="V982" s="41"/>
      <c r="W982" s="41"/>
      <c r="X982" s="36"/>
      <c r="Y982" s="36"/>
      <c r="Z982" s="36"/>
      <c r="AA982" s="36"/>
      <c r="AB982" s="36"/>
      <c r="AC982" s="36"/>
    </row>
    <row r="983" spans="17:29" x14ac:dyDescent="0.2">
      <c r="Q983" s="36"/>
      <c r="R983" s="40"/>
      <c r="S983" s="40"/>
      <c r="T983" s="40"/>
      <c r="U983" s="41"/>
      <c r="V983" s="41"/>
      <c r="W983" s="41"/>
      <c r="X983" s="36"/>
      <c r="Y983" s="36"/>
      <c r="Z983" s="36"/>
      <c r="AA983" s="36"/>
      <c r="AB983" s="36"/>
      <c r="AC983" s="36"/>
    </row>
    <row r="984" spans="17:29" x14ac:dyDescent="0.2">
      <c r="Q984" s="36"/>
      <c r="R984" s="40"/>
      <c r="S984" s="40"/>
      <c r="T984" s="40"/>
      <c r="U984" s="41"/>
      <c r="V984" s="41"/>
      <c r="W984" s="41"/>
      <c r="X984" s="36"/>
      <c r="Y984" s="36"/>
      <c r="Z984" s="36"/>
      <c r="AA984" s="36"/>
      <c r="AB984" s="36"/>
      <c r="AC984" s="36"/>
    </row>
    <row r="985" spans="17:29" x14ac:dyDescent="0.2">
      <c r="Q985" s="36"/>
      <c r="R985" s="40"/>
      <c r="S985" s="40"/>
      <c r="T985" s="40"/>
      <c r="U985" s="41"/>
      <c r="V985" s="41"/>
      <c r="W985" s="41"/>
      <c r="X985" s="36"/>
      <c r="Y985" s="36"/>
      <c r="Z985" s="36"/>
      <c r="AA985" s="36"/>
      <c r="AB985" s="36"/>
      <c r="AC985" s="36"/>
    </row>
    <row r="986" spans="17:29" x14ac:dyDescent="0.2">
      <c r="Q986" s="36"/>
      <c r="R986" s="40"/>
      <c r="S986" s="40"/>
      <c r="T986" s="40"/>
      <c r="U986" s="41"/>
      <c r="V986" s="41"/>
      <c r="W986" s="41"/>
      <c r="X986" s="36"/>
      <c r="Y986" s="36"/>
      <c r="Z986" s="36"/>
      <c r="AA986" s="36"/>
      <c r="AB986" s="36"/>
      <c r="AC986" s="36"/>
    </row>
    <row r="987" spans="17:29" x14ac:dyDescent="0.2">
      <c r="Q987" s="36"/>
      <c r="R987" s="40"/>
      <c r="S987" s="40"/>
      <c r="T987" s="40"/>
      <c r="U987" s="41"/>
      <c r="V987" s="41"/>
      <c r="W987" s="41"/>
      <c r="X987" s="36"/>
      <c r="Y987" s="36"/>
      <c r="Z987" s="36"/>
      <c r="AA987" s="36"/>
      <c r="AB987" s="36"/>
      <c r="AC987" s="36"/>
    </row>
    <row r="988" spans="17:29" x14ac:dyDescent="0.2">
      <c r="Q988" s="36"/>
      <c r="R988" s="40"/>
      <c r="S988" s="40"/>
      <c r="T988" s="40"/>
      <c r="U988" s="41"/>
      <c r="V988" s="41"/>
      <c r="W988" s="41"/>
      <c r="X988" s="36"/>
      <c r="Y988" s="36"/>
      <c r="Z988" s="36"/>
      <c r="AA988" s="36"/>
      <c r="AB988" s="36"/>
      <c r="AC988" s="36"/>
    </row>
    <row r="989" spans="17:29" x14ac:dyDescent="0.2">
      <c r="Q989" s="36"/>
      <c r="R989" s="40"/>
      <c r="S989" s="40"/>
      <c r="T989" s="40"/>
      <c r="U989" s="41"/>
      <c r="V989" s="41"/>
      <c r="W989" s="41"/>
      <c r="X989" s="36"/>
      <c r="Y989" s="36"/>
      <c r="Z989" s="36"/>
      <c r="AA989" s="36"/>
      <c r="AB989" s="36"/>
      <c r="AC989" s="36"/>
    </row>
    <row r="990" spans="17:29" x14ac:dyDescent="0.2">
      <c r="Q990" s="36"/>
      <c r="R990" s="40"/>
      <c r="S990" s="40"/>
      <c r="T990" s="40"/>
      <c r="U990" s="41"/>
      <c r="V990" s="41"/>
      <c r="W990" s="41"/>
      <c r="X990" s="36"/>
      <c r="Y990" s="36"/>
      <c r="Z990" s="36"/>
      <c r="AA990" s="36"/>
      <c r="AB990" s="36"/>
      <c r="AC990" s="36"/>
    </row>
    <row r="991" spans="17:29" x14ac:dyDescent="0.2">
      <c r="Q991" s="36"/>
      <c r="R991" s="40"/>
      <c r="S991" s="40"/>
      <c r="T991" s="40"/>
      <c r="U991" s="41"/>
      <c r="V991" s="41"/>
      <c r="W991" s="41"/>
      <c r="X991" s="36"/>
      <c r="Y991" s="36"/>
      <c r="Z991" s="36"/>
      <c r="AA991" s="36"/>
      <c r="AB991" s="36"/>
      <c r="AC991" s="36"/>
    </row>
    <row r="992" spans="17:29" x14ac:dyDescent="0.2">
      <c r="Q992" s="36"/>
      <c r="R992" s="40"/>
      <c r="S992" s="40"/>
      <c r="T992" s="40"/>
      <c r="U992" s="41"/>
      <c r="V992" s="41"/>
      <c r="W992" s="41"/>
      <c r="X992" s="36"/>
      <c r="Y992" s="36"/>
      <c r="Z992" s="36"/>
      <c r="AA992" s="36"/>
      <c r="AB992" s="36"/>
      <c r="AC992" s="36"/>
    </row>
    <row r="993" spans="17:29" x14ac:dyDescent="0.2">
      <c r="Q993" s="36"/>
      <c r="R993" s="40"/>
      <c r="S993" s="40"/>
      <c r="T993" s="40"/>
      <c r="U993" s="41"/>
      <c r="V993" s="41"/>
      <c r="W993" s="41"/>
      <c r="X993" s="36"/>
      <c r="Y993" s="36"/>
      <c r="Z993" s="36"/>
      <c r="AA993" s="36"/>
      <c r="AB993" s="36"/>
      <c r="AC993" s="36"/>
    </row>
    <row r="994" spans="17:29" x14ac:dyDescent="0.2">
      <c r="Q994" s="36"/>
      <c r="R994" s="40"/>
      <c r="S994" s="40"/>
      <c r="T994" s="40"/>
      <c r="U994" s="41"/>
      <c r="V994" s="41"/>
      <c r="W994" s="41"/>
      <c r="X994" s="36"/>
      <c r="Y994" s="36"/>
      <c r="Z994" s="36"/>
      <c r="AA994" s="36"/>
      <c r="AB994" s="36"/>
      <c r="AC994" s="36"/>
    </row>
    <row r="995" spans="17:29" x14ac:dyDescent="0.2">
      <c r="Q995" s="36"/>
      <c r="R995" s="40"/>
      <c r="S995" s="40"/>
      <c r="T995" s="40"/>
      <c r="U995" s="41"/>
      <c r="V995" s="41"/>
      <c r="W995" s="41"/>
      <c r="X995" s="36"/>
      <c r="Y995" s="36"/>
      <c r="Z995" s="36"/>
      <c r="AA995" s="36"/>
      <c r="AB995" s="36"/>
      <c r="AC995" s="36"/>
    </row>
    <row r="996" spans="17:29" x14ac:dyDescent="0.2">
      <c r="Q996" s="36"/>
      <c r="R996" s="40"/>
      <c r="S996" s="40"/>
      <c r="T996" s="40"/>
      <c r="U996" s="41"/>
      <c r="V996" s="41"/>
      <c r="W996" s="41"/>
      <c r="X996" s="36"/>
      <c r="Y996" s="36"/>
      <c r="Z996" s="36"/>
      <c r="AA996" s="36"/>
      <c r="AB996" s="36"/>
      <c r="AC996" s="36"/>
    </row>
    <row r="997" spans="17:29" x14ac:dyDescent="0.2">
      <c r="Q997" s="36"/>
      <c r="R997" s="40"/>
      <c r="S997" s="40"/>
      <c r="T997" s="40"/>
      <c r="U997" s="41"/>
      <c r="V997" s="41"/>
      <c r="W997" s="41"/>
      <c r="X997" s="36"/>
      <c r="Y997" s="36"/>
      <c r="Z997" s="36"/>
      <c r="AA997" s="36"/>
      <c r="AB997" s="36"/>
      <c r="AC997" s="36"/>
    </row>
    <row r="998" spans="17:29" x14ac:dyDescent="0.2">
      <c r="Q998" s="36"/>
      <c r="R998" s="40"/>
      <c r="S998" s="40"/>
      <c r="T998" s="40"/>
      <c r="U998" s="41"/>
      <c r="V998" s="41"/>
      <c r="W998" s="41"/>
      <c r="X998" s="36"/>
      <c r="Y998" s="36"/>
      <c r="Z998" s="36"/>
      <c r="AA998" s="36"/>
      <c r="AB998" s="36"/>
      <c r="AC998" s="36"/>
    </row>
    <row r="999" spans="17:29" x14ac:dyDescent="0.2">
      <c r="Q999" s="36"/>
      <c r="R999" s="40"/>
      <c r="S999" s="40"/>
      <c r="T999" s="40"/>
      <c r="U999" s="41"/>
      <c r="V999" s="41"/>
      <c r="W999" s="41"/>
      <c r="X999" s="36"/>
      <c r="Y999" s="36"/>
      <c r="Z999" s="36"/>
      <c r="AA999" s="36"/>
      <c r="AB999" s="36"/>
      <c r="AC999" s="36"/>
    </row>
    <row r="1000" spans="17:29" x14ac:dyDescent="0.2">
      <c r="Q1000" s="36"/>
      <c r="R1000" s="40"/>
      <c r="S1000" s="40"/>
      <c r="T1000" s="40"/>
      <c r="U1000" s="41"/>
      <c r="V1000" s="41"/>
      <c r="W1000" s="41"/>
      <c r="X1000" s="36"/>
      <c r="Y1000" s="36"/>
      <c r="Z1000" s="36"/>
      <c r="AA1000" s="36"/>
      <c r="AB1000" s="36"/>
      <c r="AC1000" s="36"/>
    </row>
    <row r="1001" spans="17:29" x14ac:dyDescent="0.2">
      <c r="Q1001" s="36"/>
      <c r="R1001" s="40"/>
      <c r="S1001" s="40"/>
      <c r="T1001" s="40"/>
      <c r="U1001" s="41"/>
      <c r="V1001" s="41"/>
      <c r="W1001" s="41"/>
      <c r="X1001" s="36"/>
      <c r="Y1001" s="36"/>
      <c r="Z1001" s="36"/>
      <c r="AA1001" s="36"/>
      <c r="AB1001" s="36"/>
      <c r="AC1001" s="36"/>
    </row>
    <row r="1002" spans="17:29" x14ac:dyDescent="0.2">
      <c r="Q1002" s="36"/>
      <c r="R1002" s="40"/>
      <c r="S1002" s="40"/>
      <c r="T1002" s="40"/>
      <c r="U1002" s="41"/>
      <c r="V1002" s="41"/>
      <c r="W1002" s="41"/>
      <c r="X1002" s="36"/>
      <c r="Y1002" s="36"/>
      <c r="Z1002" s="36"/>
      <c r="AA1002" s="36"/>
      <c r="AB1002" s="36"/>
      <c r="AC1002" s="36"/>
    </row>
    <row r="1003" spans="17:29" x14ac:dyDescent="0.2">
      <c r="Q1003" s="36"/>
      <c r="R1003" s="40"/>
      <c r="S1003" s="40"/>
      <c r="T1003" s="40"/>
      <c r="U1003" s="41"/>
      <c r="V1003" s="41"/>
      <c r="W1003" s="41"/>
      <c r="X1003" s="36"/>
      <c r="Y1003" s="36"/>
      <c r="Z1003" s="36"/>
      <c r="AA1003" s="36"/>
      <c r="AB1003" s="36"/>
      <c r="AC1003" s="36"/>
    </row>
    <row r="1004" spans="17:29" x14ac:dyDescent="0.2">
      <c r="Q1004" s="36"/>
      <c r="R1004" s="40"/>
      <c r="S1004" s="40"/>
      <c r="T1004" s="40"/>
      <c r="U1004" s="41"/>
      <c r="V1004" s="41"/>
      <c r="W1004" s="41"/>
      <c r="X1004" s="36"/>
      <c r="Y1004" s="36"/>
      <c r="Z1004" s="36"/>
      <c r="AA1004" s="36"/>
      <c r="AB1004" s="36"/>
      <c r="AC1004" s="36"/>
    </row>
    <row r="1005" spans="17:29" x14ac:dyDescent="0.2">
      <c r="Q1005" s="36"/>
      <c r="R1005" s="40"/>
      <c r="S1005" s="40"/>
      <c r="T1005" s="40"/>
      <c r="U1005" s="41"/>
      <c r="V1005" s="41"/>
      <c r="W1005" s="41"/>
      <c r="X1005" s="36"/>
      <c r="Y1005" s="36"/>
      <c r="Z1005" s="36"/>
      <c r="AA1005" s="36"/>
      <c r="AB1005" s="36"/>
      <c r="AC1005" s="36"/>
    </row>
    <row r="1006" spans="17:29" x14ac:dyDescent="0.2">
      <c r="Q1006" s="36"/>
      <c r="R1006" s="40"/>
      <c r="S1006" s="40"/>
      <c r="T1006" s="40"/>
      <c r="U1006" s="41"/>
      <c r="V1006" s="41"/>
      <c r="W1006" s="41"/>
      <c r="X1006" s="36"/>
      <c r="Y1006" s="36"/>
      <c r="Z1006" s="36"/>
      <c r="AA1006" s="36"/>
      <c r="AB1006" s="36"/>
      <c r="AC1006" s="36"/>
    </row>
    <row r="1007" spans="17:29" x14ac:dyDescent="0.2">
      <c r="Q1007" s="36"/>
      <c r="R1007" s="40"/>
      <c r="S1007" s="40"/>
      <c r="T1007" s="40"/>
      <c r="U1007" s="41"/>
      <c r="V1007" s="41"/>
      <c r="W1007" s="41"/>
      <c r="X1007" s="36"/>
      <c r="Y1007" s="36"/>
      <c r="Z1007" s="36"/>
      <c r="AA1007" s="36"/>
      <c r="AB1007" s="36"/>
      <c r="AC1007" s="36"/>
    </row>
    <row r="1008" spans="17:29" x14ac:dyDescent="0.2">
      <c r="Q1008" s="36"/>
      <c r="R1008" s="40"/>
      <c r="S1008" s="40"/>
      <c r="T1008" s="40"/>
      <c r="U1008" s="41"/>
      <c r="V1008" s="41"/>
      <c r="W1008" s="41"/>
      <c r="X1008" s="36"/>
      <c r="Y1008" s="36"/>
      <c r="Z1008" s="36"/>
      <c r="AA1008" s="36"/>
      <c r="AB1008" s="36"/>
      <c r="AC1008" s="36"/>
    </row>
    <row r="1009" spans="17:29" x14ac:dyDescent="0.2">
      <c r="Q1009" s="36"/>
      <c r="R1009" s="40"/>
      <c r="S1009" s="40"/>
      <c r="T1009" s="40"/>
      <c r="U1009" s="41"/>
      <c r="V1009" s="41"/>
      <c r="W1009" s="41"/>
      <c r="X1009" s="36"/>
      <c r="Y1009" s="36"/>
      <c r="Z1009" s="36"/>
      <c r="AA1009" s="36"/>
      <c r="AB1009" s="36"/>
      <c r="AC1009" s="36"/>
    </row>
    <row r="1010" spans="17:29" x14ac:dyDescent="0.2">
      <c r="Q1010" s="36"/>
      <c r="R1010" s="40"/>
      <c r="S1010" s="40"/>
      <c r="T1010" s="40"/>
      <c r="U1010" s="41"/>
      <c r="V1010" s="41"/>
      <c r="W1010" s="41"/>
      <c r="X1010" s="36"/>
      <c r="Y1010" s="36"/>
      <c r="Z1010" s="36"/>
      <c r="AA1010" s="36"/>
      <c r="AB1010" s="36"/>
      <c r="AC1010" s="36"/>
    </row>
    <row r="1011" spans="17:29" x14ac:dyDescent="0.2">
      <c r="Q1011" s="36"/>
      <c r="R1011" s="40"/>
      <c r="S1011" s="40"/>
      <c r="T1011" s="40"/>
      <c r="U1011" s="41"/>
      <c r="V1011" s="41"/>
      <c r="W1011" s="41"/>
      <c r="X1011" s="36"/>
      <c r="Y1011" s="36"/>
      <c r="Z1011" s="36"/>
      <c r="AA1011" s="36"/>
      <c r="AB1011" s="36"/>
      <c r="AC1011" s="36"/>
    </row>
    <row r="1012" spans="17:29" x14ac:dyDescent="0.2">
      <c r="Q1012" s="36"/>
      <c r="R1012" s="40"/>
      <c r="S1012" s="40"/>
      <c r="T1012" s="40"/>
      <c r="U1012" s="41"/>
      <c r="V1012" s="41"/>
      <c r="W1012" s="41"/>
      <c r="X1012" s="36"/>
      <c r="Y1012" s="36"/>
      <c r="Z1012" s="36"/>
      <c r="AA1012" s="36"/>
      <c r="AB1012" s="36"/>
      <c r="AC1012" s="36"/>
    </row>
    <row r="1013" spans="17:29" x14ac:dyDescent="0.2">
      <c r="Q1013" s="36"/>
      <c r="R1013" s="40"/>
      <c r="S1013" s="40"/>
      <c r="T1013" s="40"/>
      <c r="U1013" s="41"/>
      <c r="V1013" s="41"/>
      <c r="W1013" s="41"/>
      <c r="X1013" s="36"/>
      <c r="Y1013" s="36"/>
      <c r="Z1013" s="36"/>
      <c r="AA1013" s="36"/>
      <c r="AB1013" s="36"/>
      <c r="AC1013" s="36"/>
    </row>
    <row r="1014" spans="17:29" x14ac:dyDescent="0.2">
      <c r="Q1014" s="36"/>
      <c r="R1014" s="40"/>
      <c r="S1014" s="40"/>
      <c r="T1014" s="40"/>
      <c r="U1014" s="41"/>
      <c r="V1014" s="41"/>
      <c r="W1014" s="41"/>
      <c r="X1014" s="36"/>
      <c r="Y1014" s="36"/>
      <c r="Z1014" s="36"/>
      <c r="AA1014" s="36"/>
      <c r="AB1014" s="36"/>
      <c r="AC1014" s="36"/>
    </row>
    <row r="1015" spans="17:29" x14ac:dyDescent="0.2">
      <c r="Q1015" s="36"/>
      <c r="R1015" s="40"/>
      <c r="S1015" s="40"/>
      <c r="T1015" s="40"/>
      <c r="U1015" s="41"/>
      <c r="V1015" s="41"/>
      <c r="W1015" s="41"/>
      <c r="X1015" s="36"/>
      <c r="Y1015" s="36"/>
      <c r="Z1015" s="36"/>
      <c r="AA1015" s="36"/>
      <c r="AB1015" s="36"/>
      <c r="AC1015" s="36"/>
    </row>
    <row r="1016" spans="17:29" x14ac:dyDescent="0.2">
      <c r="Q1016" s="36"/>
      <c r="R1016" s="40"/>
      <c r="S1016" s="40"/>
      <c r="T1016" s="40"/>
      <c r="U1016" s="41"/>
      <c r="V1016" s="41"/>
      <c r="W1016" s="41"/>
      <c r="X1016" s="36"/>
      <c r="Y1016" s="36"/>
      <c r="Z1016" s="36"/>
      <c r="AA1016" s="36"/>
      <c r="AB1016" s="36"/>
      <c r="AC1016" s="36"/>
    </row>
    <row r="1017" spans="17:29" x14ac:dyDescent="0.2">
      <c r="Q1017" s="36"/>
      <c r="R1017" s="40"/>
      <c r="S1017" s="40"/>
      <c r="T1017" s="40"/>
      <c r="U1017" s="41"/>
      <c r="V1017" s="41"/>
      <c r="W1017" s="41"/>
      <c r="X1017" s="36"/>
      <c r="Y1017" s="36"/>
      <c r="Z1017" s="36"/>
      <c r="AA1017" s="36"/>
      <c r="AB1017" s="36"/>
      <c r="AC1017" s="36"/>
    </row>
    <row r="1018" spans="17:29" x14ac:dyDescent="0.2">
      <c r="Q1018" s="36"/>
      <c r="R1018" s="40"/>
      <c r="S1018" s="40"/>
      <c r="T1018" s="40"/>
      <c r="U1018" s="41"/>
      <c r="V1018" s="41"/>
      <c r="W1018" s="41"/>
      <c r="X1018" s="36"/>
      <c r="Y1018" s="36"/>
      <c r="Z1018" s="36"/>
      <c r="AA1018" s="36"/>
      <c r="AB1018" s="36"/>
      <c r="AC1018" s="36"/>
    </row>
    <row r="1019" spans="17:29" x14ac:dyDescent="0.2">
      <c r="Q1019" s="36"/>
      <c r="R1019" s="40"/>
      <c r="S1019" s="40"/>
      <c r="T1019" s="40"/>
      <c r="U1019" s="41"/>
      <c r="V1019" s="41"/>
      <c r="W1019" s="41"/>
      <c r="X1019" s="36"/>
      <c r="Y1019" s="36"/>
      <c r="Z1019" s="36"/>
      <c r="AA1019" s="36"/>
      <c r="AB1019" s="36"/>
      <c r="AC1019" s="36"/>
    </row>
    <row r="1020" spans="17:29" x14ac:dyDescent="0.2">
      <c r="Q1020" s="36"/>
      <c r="R1020" s="40"/>
      <c r="S1020" s="40"/>
      <c r="T1020" s="40"/>
      <c r="U1020" s="41"/>
      <c r="V1020" s="41"/>
      <c r="W1020" s="41"/>
      <c r="X1020" s="36"/>
      <c r="Y1020" s="36"/>
      <c r="Z1020" s="36"/>
      <c r="AA1020" s="36"/>
      <c r="AB1020" s="36"/>
      <c r="AC1020" s="36"/>
    </row>
    <row r="1021" spans="17:29" x14ac:dyDescent="0.2">
      <c r="Q1021" s="36"/>
      <c r="R1021" s="40"/>
      <c r="S1021" s="40"/>
      <c r="T1021" s="40"/>
      <c r="U1021" s="41"/>
      <c r="V1021" s="41"/>
      <c r="W1021" s="41"/>
      <c r="X1021" s="36"/>
      <c r="Y1021" s="36"/>
      <c r="Z1021" s="36"/>
      <c r="AA1021" s="36"/>
      <c r="AB1021" s="36"/>
      <c r="AC1021" s="36"/>
    </row>
    <row r="1022" spans="17:29" x14ac:dyDescent="0.2">
      <c r="Q1022" s="36"/>
      <c r="R1022" s="40"/>
      <c r="S1022" s="40"/>
      <c r="T1022" s="40"/>
      <c r="U1022" s="41"/>
      <c r="V1022" s="41"/>
      <c r="W1022" s="41"/>
      <c r="X1022" s="36"/>
      <c r="Y1022" s="36"/>
      <c r="Z1022" s="36"/>
      <c r="AA1022" s="36"/>
      <c r="AB1022" s="36"/>
      <c r="AC1022" s="36"/>
    </row>
    <row r="1023" spans="17:29" x14ac:dyDescent="0.2">
      <c r="Q1023" s="36"/>
      <c r="R1023" s="40"/>
      <c r="S1023" s="40"/>
      <c r="T1023" s="40"/>
      <c r="U1023" s="41"/>
      <c r="V1023" s="41"/>
      <c r="W1023" s="41"/>
      <c r="X1023" s="36"/>
      <c r="Y1023" s="36"/>
      <c r="Z1023" s="36"/>
      <c r="AA1023" s="36"/>
      <c r="AB1023" s="36"/>
      <c r="AC1023" s="36"/>
    </row>
    <row r="1024" spans="17:29" x14ac:dyDescent="0.2">
      <c r="Q1024" s="36"/>
      <c r="R1024" s="40"/>
      <c r="S1024" s="40"/>
      <c r="T1024" s="40"/>
      <c r="U1024" s="41"/>
      <c r="V1024" s="41"/>
      <c r="W1024" s="41"/>
      <c r="X1024" s="36"/>
      <c r="Y1024" s="36"/>
      <c r="Z1024" s="36"/>
      <c r="AA1024" s="36"/>
      <c r="AB1024" s="36"/>
      <c r="AC1024" s="36"/>
    </row>
    <row r="1025" spans="17:29" x14ac:dyDescent="0.2">
      <c r="Q1025" s="36"/>
      <c r="R1025" s="40"/>
      <c r="S1025" s="40"/>
      <c r="T1025" s="40"/>
      <c r="U1025" s="41"/>
      <c r="V1025" s="41"/>
      <c r="W1025" s="41"/>
      <c r="X1025" s="36"/>
      <c r="Y1025" s="36"/>
      <c r="Z1025" s="36"/>
      <c r="AA1025" s="36"/>
      <c r="AB1025" s="36"/>
      <c r="AC1025" s="36"/>
    </row>
    <row r="1026" spans="17:29" x14ac:dyDescent="0.2">
      <c r="Q1026" s="36"/>
      <c r="R1026" s="40"/>
      <c r="S1026" s="40"/>
      <c r="T1026" s="40"/>
      <c r="U1026" s="41"/>
      <c r="V1026" s="41"/>
      <c r="W1026" s="41"/>
      <c r="X1026" s="36"/>
      <c r="Y1026" s="36"/>
      <c r="Z1026" s="36"/>
      <c r="AA1026" s="36"/>
      <c r="AB1026" s="36"/>
      <c r="AC1026" s="36"/>
    </row>
    <row r="1027" spans="17:29" x14ac:dyDescent="0.2">
      <c r="Q1027" s="36"/>
      <c r="R1027" s="40"/>
      <c r="S1027" s="40"/>
      <c r="T1027" s="40"/>
      <c r="U1027" s="41"/>
      <c r="V1027" s="41"/>
      <c r="W1027" s="41"/>
      <c r="X1027" s="36"/>
      <c r="Y1027" s="36"/>
      <c r="Z1027" s="36"/>
      <c r="AA1027" s="36"/>
      <c r="AB1027" s="36"/>
      <c r="AC1027" s="36"/>
    </row>
    <row r="1028" spans="17:29" x14ac:dyDescent="0.2">
      <c r="Q1028" s="36"/>
      <c r="R1028" s="40"/>
      <c r="S1028" s="40"/>
      <c r="T1028" s="40"/>
      <c r="U1028" s="41"/>
      <c r="V1028" s="41"/>
      <c r="W1028" s="41"/>
      <c r="X1028" s="36"/>
      <c r="Y1028" s="36"/>
      <c r="Z1028" s="36"/>
      <c r="AA1028" s="36"/>
      <c r="AB1028" s="36"/>
      <c r="AC1028" s="36"/>
    </row>
    <row r="1029" spans="17:29" x14ac:dyDescent="0.2">
      <c r="Q1029" s="36"/>
      <c r="R1029" s="40"/>
      <c r="S1029" s="40"/>
      <c r="T1029" s="40"/>
      <c r="U1029" s="41"/>
      <c r="V1029" s="41"/>
      <c r="W1029" s="41"/>
      <c r="X1029" s="36"/>
      <c r="Y1029" s="36"/>
      <c r="Z1029" s="36"/>
      <c r="AA1029" s="36"/>
      <c r="AB1029" s="36"/>
      <c r="AC1029" s="36"/>
    </row>
    <row r="1030" spans="17:29" x14ac:dyDescent="0.2">
      <c r="Q1030" s="36"/>
      <c r="R1030" s="40"/>
      <c r="S1030" s="40"/>
      <c r="T1030" s="40"/>
      <c r="U1030" s="41"/>
      <c r="V1030" s="41"/>
      <c r="W1030" s="41"/>
      <c r="X1030" s="36"/>
      <c r="Y1030" s="36"/>
      <c r="Z1030" s="36"/>
      <c r="AA1030" s="36"/>
      <c r="AB1030" s="36"/>
      <c r="AC1030" s="36"/>
    </row>
    <row r="1031" spans="17:29" x14ac:dyDescent="0.2">
      <c r="Q1031" s="36"/>
      <c r="R1031" s="40"/>
      <c r="S1031" s="40"/>
      <c r="T1031" s="40"/>
      <c r="U1031" s="41"/>
      <c r="V1031" s="41"/>
      <c r="W1031" s="41"/>
      <c r="X1031" s="36"/>
      <c r="Y1031" s="36"/>
      <c r="Z1031" s="36"/>
      <c r="AA1031" s="36"/>
      <c r="AB1031" s="36"/>
      <c r="AC1031" s="36"/>
    </row>
    <row r="1032" spans="17:29" x14ac:dyDescent="0.2">
      <c r="Q1032" s="36"/>
      <c r="R1032" s="40"/>
      <c r="S1032" s="40"/>
      <c r="T1032" s="40"/>
      <c r="U1032" s="41"/>
      <c r="V1032" s="41"/>
      <c r="W1032" s="41"/>
      <c r="X1032" s="36"/>
      <c r="Y1032" s="36"/>
      <c r="Z1032" s="36"/>
      <c r="AA1032" s="36"/>
      <c r="AB1032" s="36"/>
      <c r="AC1032" s="36"/>
    </row>
    <row r="1033" spans="17:29" x14ac:dyDescent="0.2">
      <c r="Q1033" s="36"/>
      <c r="R1033" s="40"/>
      <c r="S1033" s="40"/>
      <c r="T1033" s="40"/>
      <c r="U1033" s="41"/>
      <c r="V1033" s="41"/>
      <c r="W1033" s="41"/>
      <c r="X1033" s="36"/>
      <c r="Y1033" s="36"/>
      <c r="Z1033" s="36"/>
      <c r="AA1033" s="36"/>
      <c r="AB1033" s="36"/>
      <c r="AC1033" s="36"/>
    </row>
    <row r="1034" spans="17:29" x14ac:dyDescent="0.2">
      <c r="Q1034" s="36"/>
      <c r="R1034" s="40"/>
      <c r="S1034" s="40"/>
      <c r="T1034" s="40"/>
      <c r="U1034" s="41"/>
      <c r="V1034" s="41"/>
      <c r="W1034" s="41"/>
      <c r="X1034" s="36"/>
      <c r="Y1034" s="36"/>
      <c r="Z1034" s="36"/>
      <c r="AA1034" s="36"/>
      <c r="AB1034" s="36"/>
      <c r="AC1034" s="36"/>
    </row>
    <row r="1035" spans="17:29" x14ac:dyDescent="0.2">
      <c r="Q1035" s="36"/>
      <c r="R1035" s="40"/>
      <c r="S1035" s="40"/>
      <c r="T1035" s="40"/>
      <c r="U1035" s="41"/>
      <c r="V1035" s="41"/>
      <c r="W1035" s="41"/>
      <c r="X1035" s="36"/>
      <c r="Y1035" s="36"/>
      <c r="Z1035" s="36"/>
      <c r="AA1035" s="36"/>
      <c r="AB1035" s="36"/>
      <c r="AC1035" s="36"/>
    </row>
    <row r="1036" spans="17:29" x14ac:dyDescent="0.2">
      <c r="Q1036" s="36"/>
      <c r="R1036" s="40"/>
      <c r="S1036" s="40"/>
      <c r="T1036" s="40"/>
      <c r="U1036" s="41"/>
      <c r="V1036" s="41"/>
      <c r="W1036" s="41"/>
      <c r="X1036" s="36"/>
      <c r="Y1036" s="36"/>
      <c r="Z1036" s="36"/>
      <c r="AA1036" s="36"/>
      <c r="AB1036" s="36"/>
      <c r="AC1036" s="36"/>
    </row>
    <row r="1037" spans="17:29" x14ac:dyDescent="0.2">
      <c r="Q1037" s="36"/>
      <c r="R1037" s="40"/>
      <c r="S1037" s="40"/>
      <c r="T1037" s="40"/>
      <c r="U1037" s="41"/>
      <c r="V1037" s="41"/>
      <c r="W1037" s="41"/>
      <c r="X1037" s="36"/>
      <c r="Y1037" s="36"/>
      <c r="Z1037" s="36"/>
      <c r="AA1037" s="36"/>
      <c r="AB1037" s="36"/>
      <c r="AC1037" s="36"/>
    </row>
    <row r="1038" spans="17:29" x14ac:dyDescent="0.2">
      <c r="Q1038" s="36"/>
      <c r="R1038" s="40"/>
      <c r="S1038" s="40"/>
      <c r="T1038" s="40"/>
      <c r="U1038" s="41"/>
      <c r="V1038" s="41"/>
      <c r="W1038" s="41"/>
      <c r="X1038" s="36"/>
      <c r="Y1038" s="36"/>
      <c r="Z1038" s="36"/>
      <c r="AA1038" s="36"/>
      <c r="AB1038" s="36"/>
      <c r="AC1038" s="36"/>
    </row>
    <row r="1039" spans="17:29" x14ac:dyDescent="0.2">
      <c r="Q1039" s="36"/>
      <c r="R1039" s="40"/>
      <c r="S1039" s="40"/>
      <c r="T1039" s="40"/>
      <c r="U1039" s="41"/>
      <c r="V1039" s="41"/>
      <c r="W1039" s="41"/>
      <c r="X1039" s="36"/>
      <c r="Y1039" s="36"/>
      <c r="Z1039" s="36"/>
      <c r="AA1039" s="36"/>
      <c r="AB1039" s="36"/>
      <c r="AC1039" s="36"/>
    </row>
    <row r="1040" spans="17:29" x14ac:dyDescent="0.2">
      <c r="Q1040" s="36"/>
      <c r="R1040" s="40"/>
      <c r="S1040" s="40"/>
      <c r="T1040" s="40"/>
      <c r="U1040" s="41"/>
      <c r="V1040" s="41"/>
      <c r="W1040" s="41"/>
      <c r="X1040" s="36"/>
      <c r="Y1040" s="36"/>
      <c r="Z1040" s="36"/>
      <c r="AA1040" s="36"/>
      <c r="AB1040" s="36"/>
      <c r="AC1040" s="36"/>
    </row>
    <row r="1041" spans="17:29" x14ac:dyDescent="0.2">
      <c r="Q1041" s="36"/>
      <c r="R1041" s="40"/>
      <c r="S1041" s="40"/>
      <c r="T1041" s="40"/>
      <c r="U1041" s="41"/>
      <c r="V1041" s="41"/>
      <c r="W1041" s="41"/>
      <c r="X1041" s="36"/>
      <c r="Y1041" s="36"/>
      <c r="Z1041" s="36"/>
      <c r="AA1041" s="36"/>
      <c r="AB1041" s="36"/>
      <c r="AC1041" s="36"/>
    </row>
    <row r="1042" spans="17:29" x14ac:dyDescent="0.2">
      <c r="Q1042" s="36"/>
      <c r="R1042" s="40"/>
      <c r="S1042" s="40"/>
      <c r="T1042" s="40"/>
      <c r="U1042" s="41"/>
      <c r="V1042" s="41"/>
      <c r="W1042" s="41"/>
      <c r="X1042" s="36"/>
      <c r="Y1042" s="36"/>
      <c r="Z1042" s="36"/>
      <c r="AA1042" s="36"/>
      <c r="AB1042" s="36"/>
      <c r="AC1042" s="36"/>
    </row>
    <row r="1043" spans="17:29" x14ac:dyDescent="0.2">
      <c r="Q1043" s="36"/>
      <c r="R1043" s="40"/>
      <c r="S1043" s="40"/>
      <c r="T1043" s="40"/>
      <c r="U1043" s="41"/>
      <c r="V1043" s="41"/>
      <c r="W1043" s="41"/>
      <c r="X1043" s="36"/>
      <c r="Y1043" s="36"/>
      <c r="Z1043" s="36"/>
      <c r="AA1043" s="36"/>
      <c r="AB1043" s="36"/>
      <c r="AC1043" s="36"/>
    </row>
    <row r="1044" spans="17:29" x14ac:dyDescent="0.2">
      <c r="Q1044" s="36"/>
      <c r="R1044" s="40"/>
      <c r="S1044" s="40"/>
      <c r="T1044" s="40"/>
      <c r="U1044" s="41"/>
      <c r="V1044" s="41"/>
      <c r="W1044" s="41"/>
      <c r="X1044" s="36"/>
      <c r="Y1044" s="36"/>
      <c r="Z1044" s="36"/>
      <c r="AA1044" s="36"/>
      <c r="AB1044" s="36"/>
      <c r="AC1044" s="36"/>
    </row>
    <row r="1045" spans="17:29" x14ac:dyDescent="0.2">
      <c r="Q1045" s="36"/>
      <c r="R1045" s="40"/>
      <c r="S1045" s="40"/>
      <c r="T1045" s="40"/>
      <c r="U1045" s="41"/>
      <c r="V1045" s="41"/>
      <c r="W1045" s="41"/>
      <c r="X1045" s="36"/>
      <c r="Y1045" s="36"/>
      <c r="Z1045" s="36"/>
      <c r="AA1045" s="36"/>
      <c r="AB1045" s="36"/>
      <c r="AC1045" s="36"/>
    </row>
    <row r="1046" spans="17:29" x14ac:dyDescent="0.2">
      <c r="Q1046" s="36"/>
      <c r="R1046" s="40"/>
      <c r="S1046" s="40"/>
      <c r="T1046" s="40"/>
      <c r="U1046" s="41"/>
      <c r="V1046" s="41"/>
      <c r="W1046" s="41"/>
      <c r="X1046" s="36"/>
      <c r="Y1046" s="36"/>
      <c r="Z1046" s="36"/>
      <c r="AA1046" s="36"/>
      <c r="AB1046" s="36"/>
      <c r="AC1046" s="36"/>
    </row>
    <row r="1047" spans="17:29" x14ac:dyDescent="0.2">
      <c r="Q1047" s="36"/>
      <c r="R1047" s="40"/>
      <c r="S1047" s="40"/>
      <c r="T1047" s="40"/>
      <c r="U1047" s="41"/>
      <c r="V1047" s="41"/>
      <c r="W1047" s="41"/>
      <c r="X1047" s="36"/>
      <c r="Y1047" s="36"/>
      <c r="Z1047" s="36"/>
      <c r="AA1047" s="36"/>
      <c r="AB1047" s="36"/>
      <c r="AC1047" s="36"/>
    </row>
    <row r="1048" spans="17:29" x14ac:dyDescent="0.2">
      <c r="Q1048" s="36"/>
      <c r="R1048" s="40"/>
      <c r="S1048" s="40"/>
      <c r="T1048" s="40"/>
      <c r="U1048" s="41"/>
      <c r="V1048" s="41"/>
      <c r="W1048" s="41"/>
      <c r="X1048" s="36"/>
      <c r="Y1048" s="36"/>
      <c r="Z1048" s="36"/>
      <c r="AA1048" s="36"/>
      <c r="AB1048" s="36"/>
      <c r="AC1048" s="36"/>
    </row>
    <row r="1049" spans="17:29" x14ac:dyDescent="0.2">
      <c r="Q1049" s="36"/>
      <c r="R1049" s="40"/>
      <c r="S1049" s="40"/>
      <c r="T1049" s="40"/>
      <c r="U1049" s="41"/>
      <c r="V1049" s="41"/>
      <c r="W1049" s="41"/>
      <c r="X1049" s="36"/>
      <c r="Y1049" s="36"/>
      <c r="Z1049" s="36"/>
      <c r="AA1049" s="36"/>
      <c r="AB1049" s="36"/>
      <c r="AC1049" s="36"/>
    </row>
    <row r="1050" spans="17:29" x14ac:dyDescent="0.2">
      <c r="Q1050" s="36"/>
      <c r="R1050" s="40"/>
      <c r="S1050" s="40"/>
      <c r="T1050" s="40"/>
      <c r="U1050" s="41"/>
      <c r="V1050" s="41"/>
      <c r="W1050" s="41"/>
      <c r="X1050" s="36"/>
      <c r="Y1050" s="36"/>
      <c r="Z1050" s="36"/>
      <c r="AA1050" s="36"/>
      <c r="AB1050" s="36"/>
      <c r="AC1050" s="36"/>
    </row>
    <row r="1051" spans="17:29" x14ac:dyDescent="0.2">
      <c r="Q1051" s="36"/>
      <c r="R1051" s="40"/>
      <c r="S1051" s="40"/>
      <c r="T1051" s="40"/>
      <c r="U1051" s="41"/>
      <c r="V1051" s="41"/>
      <c r="W1051" s="41"/>
      <c r="X1051" s="36"/>
      <c r="Y1051" s="36"/>
      <c r="Z1051" s="36"/>
      <c r="AA1051" s="36"/>
      <c r="AB1051" s="36"/>
      <c r="AC1051" s="36"/>
    </row>
    <row r="1052" spans="17:29" x14ac:dyDescent="0.2">
      <c r="Q1052" s="36"/>
      <c r="R1052" s="40"/>
      <c r="S1052" s="40"/>
      <c r="T1052" s="40"/>
      <c r="U1052" s="41"/>
      <c r="V1052" s="41"/>
      <c r="W1052" s="41"/>
      <c r="X1052" s="36"/>
      <c r="Y1052" s="36"/>
      <c r="Z1052" s="36"/>
      <c r="AA1052" s="36"/>
      <c r="AB1052" s="36"/>
      <c r="AC1052" s="36"/>
    </row>
    <row r="1053" spans="17:29" x14ac:dyDescent="0.2">
      <c r="Q1053" s="36"/>
      <c r="R1053" s="40"/>
      <c r="S1053" s="40"/>
      <c r="T1053" s="40"/>
      <c r="U1053" s="41"/>
      <c r="V1053" s="41"/>
      <c r="W1053" s="41"/>
      <c r="X1053" s="36"/>
      <c r="Y1053" s="36"/>
      <c r="Z1053" s="36"/>
      <c r="AA1053" s="36"/>
      <c r="AB1053" s="36"/>
      <c r="AC1053" s="36"/>
    </row>
    <row r="1054" spans="17:29" x14ac:dyDescent="0.2">
      <c r="Q1054" s="36"/>
      <c r="R1054" s="40"/>
      <c r="S1054" s="40"/>
      <c r="T1054" s="40"/>
      <c r="U1054" s="41"/>
      <c r="V1054" s="41"/>
      <c r="W1054" s="41"/>
      <c r="X1054" s="36"/>
      <c r="Y1054" s="36"/>
      <c r="Z1054" s="36"/>
      <c r="AA1054" s="36"/>
      <c r="AB1054" s="36"/>
      <c r="AC1054" s="36"/>
    </row>
    <row r="1055" spans="17:29" x14ac:dyDescent="0.2">
      <c r="Q1055" s="36"/>
      <c r="R1055" s="40"/>
      <c r="S1055" s="40"/>
      <c r="T1055" s="40"/>
      <c r="U1055" s="41"/>
      <c r="V1055" s="41"/>
      <c r="W1055" s="41"/>
      <c r="X1055" s="36"/>
      <c r="Y1055" s="36"/>
      <c r="Z1055" s="36"/>
      <c r="AA1055" s="36"/>
      <c r="AB1055" s="36"/>
      <c r="AC1055" s="36"/>
    </row>
    <row r="1056" spans="17:29" x14ac:dyDescent="0.2">
      <c r="Q1056" s="36"/>
      <c r="R1056" s="40"/>
      <c r="S1056" s="40"/>
      <c r="T1056" s="40"/>
      <c r="U1056" s="41"/>
      <c r="V1056" s="41"/>
      <c r="W1056" s="41"/>
      <c r="X1056" s="36"/>
      <c r="Y1056" s="36"/>
      <c r="Z1056" s="36"/>
      <c r="AA1056" s="36"/>
      <c r="AB1056" s="36"/>
      <c r="AC1056" s="36"/>
    </row>
    <row r="1057" spans="17:29" x14ac:dyDescent="0.2">
      <c r="Q1057" s="36"/>
      <c r="R1057" s="40"/>
      <c r="S1057" s="40"/>
      <c r="T1057" s="40"/>
      <c r="U1057" s="41"/>
      <c r="V1057" s="41"/>
      <c r="W1057" s="41"/>
      <c r="X1057" s="36"/>
      <c r="Y1057" s="36"/>
      <c r="Z1057" s="36"/>
      <c r="AA1057" s="36"/>
      <c r="AB1057" s="36"/>
      <c r="AC1057" s="36"/>
    </row>
    <row r="1058" spans="17:29" x14ac:dyDescent="0.2">
      <c r="Q1058" s="36"/>
      <c r="R1058" s="40"/>
      <c r="S1058" s="40"/>
      <c r="T1058" s="40"/>
      <c r="U1058" s="41"/>
      <c r="V1058" s="41"/>
      <c r="W1058" s="41"/>
      <c r="X1058" s="36"/>
      <c r="Y1058" s="36"/>
      <c r="Z1058" s="36"/>
      <c r="AA1058" s="36"/>
      <c r="AB1058" s="36"/>
      <c r="AC1058" s="36"/>
    </row>
    <row r="1059" spans="17:29" x14ac:dyDescent="0.2">
      <c r="Q1059" s="36"/>
      <c r="R1059" s="40"/>
      <c r="S1059" s="40"/>
      <c r="T1059" s="40"/>
      <c r="U1059" s="41"/>
      <c r="V1059" s="41"/>
      <c r="W1059" s="41"/>
      <c r="X1059" s="36"/>
      <c r="Y1059" s="36"/>
      <c r="Z1059" s="36"/>
      <c r="AA1059" s="36"/>
      <c r="AB1059" s="36"/>
      <c r="AC1059" s="36"/>
    </row>
    <row r="1060" spans="17:29" x14ac:dyDescent="0.2">
      <c r="Q1060" s="36"/>
      <c r="R1060" s="40"/>
      <c r="S1060" s="40"/>
      <c r="T1060" s="40"/>
      <c r="U1060" s="41"/>
      <c r="V1060" s="41"/>
      <c r="W1060" s="41"/>
      <c r="X1060" s="36"/>
      <c r="Y1060" s="36"/>
      <c r="Z1060" s="36"/>
      <c r="AA1060" s="36"/>
      <c r="AB1060" s="36"/>
      <c r="AC1060" s="36"/>
    </row>
    <row r="1061" spans="17:29" x14ac:dyDescent="0.2">
      <c r="Q1061" s="36"/>
      <c r="R1061" s="40"/>
      <c r="S1061" s="40"/>
      <c r="T1061" s="40"/>
      <c r="U1061" s="41"/>
      <c r="V1061" s="41"/>
      <c r="W1061" s="41"/>
      <c r="X1061" s="36"/>
      <c r="Y1061" s="36"/>
      <c r="Z1061" s="36"/>
      <c r="AA1061" s="36"/>
      <c r="AB1061" s="36"/>
      <c r="AC1061" s="36"/>
    </row>
    <row r="1062" spans="17:29" x14ac:dyDescent="0.2">
      <c r="Q1062" s="36"/>
      <c r="R1062" s="40"/>
      <c r="S1062" s="40"/>
      <c r="T1062" s="40"/>
      <c r="U1062" s="41"/>
      <c r="V1062" s="41"/>
      <c r="W1062" s="41"/>
      <c r="X1062" s="36"/>
      <c r="Y1062" s="36"/>
      <c r="Z1062" s="36"/>
      <c r="AA1062" s="36"/>
      <c r="AB1062" s="36"/>
      <c r="AC1062" s="36"/>
    </row>
    <row r="1063" spans="17:29" x14ac:dyDescent="0.2">
      <c r="Q1063" s="36"/>
      <c r="R1063" s="40"/>
      <c r="S1063" s="40"/>
      <c r="T1063" s="40"/>
      <c r="U1063" s="41"/>
      <c r="V1063" s="41"/>
      <c r="W1063" s="41"/>
      <c r="X1063" s="36"/>
      <c r="Y1063" s="36"/>
      <c r="Z1063" s="36"/>
      <c r="AA1063" s="36"/>
      <c r="AB1063" s="36"/>
      <c r="AC1063" s="36"/>
    </row>
    <row r="1064" spans="17:29" x14ac:dyDescent="0.2">
      <c r="Q1064" s="36"/>
      <c r="R1064" s="40"/>
      <c r="S1064" s="40"/>
      <c r="T1064" s="40"/>
      <c r="U1064" s="41"/>
      <c r="V1064" s="41"/>
      <c r="W1064" s="41"/>
      <c r="X1064" s="36"/>
      <c r="Y1064" s="36"/>
      <c r="Z1064" s="36"/>
      <c r="AA1064" s="36"/>
      <c r="AB1064" s="36"/>
      <c r="AC1064" s="36"/>
    </row>
    <row r="1065" spans="17:29" x14ac:dyDescent="0.2">
      <c r="Q1065" s="36"/>
      <c r="R1065" s="40"/>
      <c r="S1065" s="40"/>
      <c r="T1065" s="40"/>
      <c r="U1065" s="41"/>
      <c r="V1065" s="41"/>
      <c r="W1065" s="41"/>
      <c r="X1065" s="36"/>
      <c r="Y1065" s="36"/>
      <c r="Z1065" s="36"/>
      <c r="AA1065" s="36"/>
      <c r="AB1065" s="36"/>
      <c r="AC1065" s="36"/>
    </row>
    <row r="1066" spans="17:29" x14ac:dyDescent="0.2">
      <c r="Q1066" s="36"/>
      <c r="R1066" s="40"/>
      <c r="S1066" s="40"/>
      <c r="T1066" s="40"/>
      <c r="U1066" s="41"/>
      <c r="V1066" s="41"/>
      <c r="W1066" s="41"/>
      <c r="X1066" s="36"/>
      <c r="Y1066" s="36"/>
      <c r="Z1066" s="36"/>
      <c r="AA1066" s="36"/>
      <c r="AB1066" s="36"/>
      <c r="AC1066" s="36"/>
    </row>
    <row r="1067" spans="17:29" x14ac:dyDescent="0.2">
      <c r="Q1067" s="36"/>
      <c r="R1067" s="40"/>
      <c r="S1067" s="40"/>
      <c r="T1067" s="40"/>
      <c r="U1067" s="41"/>
      <c r="V1067" s="41"/>
      <c r="W1067" s="41"/>
      <c r="X1067" s="36"/>
      <c r="Y1067" s="36"/>
      <c r="Z1067" s="36"/>
      <c r="AA1067" s="36"/>
      <c r="AB1067" s="36"/>
      <c r="AC1067" s="36"/>
    </row>
    <row r="1068" spans="17:29" x14ac:dyDescent="0.2">
      <c r="Q1068" s="36"/>
      <c r="R1068" s="40"/>
      <c r="S1068" s="40"/>
      <c r="T1068" s="40"/>
      <c r="U1068" s="41"/>
      <c r="V1068" s="41"/>
      <c r="W1068" s="41"/>
      <c r="X1068" s="36"/>
      <c r="Y1068" s="36"/>
      <c r="Z1068" s="36"/>
      <c r="AA1068" s="36"/>
      <c r="AB1068" s="36"/>
      <c r="AC1068" s="36"/>
    </row>
    <row r="1069" spans="17:29" x14ac:dyDescent="0.2">
      <c r="Q1069" s="36"/>
      <c r="R1069" s="40"/>
      <c r="S1069" s="40"/>
      <c r="T1069" s="40"/>
      <c r="U1069" s="41"/>
      <c r="V1069" s="41"/>
      <c r="W1069" s="41"/>
      <c r="X1069" s="36"/>
      <c r="Y1069" s="36"/>
      <c r="Z1069" s="36"/>
      <c r="AA1069" s="36"/>
      <c r="AB1069" s="36"/>
      <c r="AC1069" s="36"/>
    </row>
    <row r="1070" spans="17:29" x14ac:dyDescent="0.2">
      <c r="Q1070" s="36"/>
      <c r="R1070" s="40"/>
      <c r="S1070" s="40"/>
      <c r="T1070" s="40"/>
      <c r="U1070" s="41"/>
      <c r="V1070" s="41"/>
      <c r="W1070" s="41"/>
      <c r="X1070" s="36"/>
      <c r="Y1070" s="36"/>
      <c r="Z1070" s="36"/>
      <c r="AA1070" s="36"/>
      <c r="AB1070" s="36"/>
      <c r="AC1070" s="36"/>
    </row>
    <row r="1071" spans="17:29" x14ac:dyDescent="0.2">
      <c r="Q1071" s="36"/>
      <c r="R1071" s="40"/>
      <c r="S1071" s="40"/>
      <c r="T1071" s="40"/>
      <c r="U1071" s="41"/>
      <c r="V1071" s="41"/>
      <c r="W1071" s="41"/>
      <c r="X1071" s="36"/>
      <c r="Y1071" s="36"/>
      <c r="Z1071" s="36"/>
      <c r="AA1071" s="36"/>
      <c r="AB1071" s="36"/>
      <c r="AC1071" s="36"/>
    </row>
    <row r="1072" spans="17:29" x14ac:dyDescent="0.2">
      <c r="Q1072" s="36"/>
      <c r="R1072" s="40"/>
      <c r="S1072" s="40"/>
      <c r="T1072" s="40"/>
      <c r="U1072" s="41"/>
      <c r="V1072" s="41"/>
      <c r="W1072" s="41"/>
      <c r="X1072" s="36"/>
      <c r="Y1072" s="36"/>
      <c r="Z1072" s="36"/>
      <c r="AA1072" s="36"/>
      <c r="AB1072" s="36"/>
      <c r="AC1072" s="36"/>
    </row>
    <row r="1073" spans="17:29" x14ac:dyDescent="0.2">
      <c r="Q1073" s="36"/>
      <c r="R1073" s="40"/>
      <c r="S1073" s="40"/>
      <c r="T1073" s="40"/>
      <c r="U1073" s="41"/>
      <c r="V1073" s="41"/>
      <c r="W1073" s="41"/>
      <c r="X1073" s="36"/>
      <c r="Y1073" s="36"/>
      <c r="Z1073" s="36"/>
      <c r="AA1073" s="36"/>
      <c r="AB1073" s="36"/>
      <c r="AC1073" s="36"/>
    </row>
    <row r="1074" spans="17:29" x14ac:dyDescent="0.2">
      <c r="Q1074" s="36"/>
      <c r="R1074" s="40"/>
      <c r="S1074" s="40"/>
      <c r="T1074" s="40"/>
      <c r="U1074" s="41"/>
      <c r="V1074" s="41"/>
      <c r="W1074" s="41"/>
      <c r="X1074" s="36"/>
      <c r="Y1074" s="36"/>
      <c r="Z1074" s="36"/>
      <c r="AA1074" s="36"/>
      <c r="AB1074" s="36"/>
      <c r="AC1074" s="36"/>
    </row>
    <row r="1075" spans="17:29" x14ac:dyDescent="0.2">
      <c r="Q1075" s="36"/>
      <c r="R1075" s="40"/>
      <c r="S1075" s="40"/>
      <c r="T1075" s="40"/>
      <c r="U1075" s="41"/>
      <c r="V1075" s="41"/>
      <c r="W1075" s="41"/>
      <c r="X1075" s="36"/>
      <c r="Y1075" s="36"/>
      <c r="Z1075" s="36"/>
      <c r="AA1075" s="36"/>
      <c r="AB1075" s="36"/>
      <c r="AC1075" s="36"/>
    </row>
    <row r="1076" spans="17:29" x14ac:dyDescent="0.2">
      <c r="Q1076" s="36"/>
      <c r="R1076" s="40"/>
      <c r="S1076" s="40"/>
      <c r="T1076" s="40"/>
      <c r="U1076" s="41"/>
      <c r="V1076" s="41"/>
      <c r="W1076" s="41"/>
      <c r="X1076" s="36"/>
      <c r="Y1076" s="36"/>
      <c r="Z1076" s="36"/>
      <c r="AA1076" s="36"/>
      <c r="AB1076" s="36"/>
      <c r="AC1076" s="36"/>
    </row>
    <row r="1077" spans="17:29" x14ac:dyDescent="0.2">
      <c r="Q1077" s="36"/>
      <c r="R1077" s="40"/>
      <c r="S1077" s="40"/>
      <c r="T1077" s="40"/>
      <c r="U1077" s="41"/>
      <c r="V1077" s="41"/>
      <c r="W1077" s="41"/>
      <c r="X1077" s="36"/>
      <c r="Y1077" s="36"/>
      <c r="Z1077" s="36"/>
      <c r="AA1077" s="36"/>
      <c r="AB1077" s="36"/>
      <c r="AC1077" s="36"/>
    </row>
    <row r="1078" spans="17:29" x14ac:dyDescent="0.2">
      <c r="Q1078" s="36"/>
      <c r="R1078" s="40"/>
      <c r="S1078" s="40"/>
      <c r="T1078" s="40"/>
      <c r="U1078" s="41"/>
      <c r="V1078" s="41"/>
      <c r="W1078" s="41"/>
      <c r="X1078" s="36"/>
      <c r="Y1078" s="36"/>
      <c r="Z1078" s="36"/>
      <c r="AA1078" s="36"/>
      <c r="AB1078" s="36"/>
      <c r="AC1078" s="36"/>
    </row>
    <row r="1079" spans="17:29" x14ac:dyDescent="0.2">
      <c r="Q1079" s="36"/>
      <c r="R1079" s="40"/>
      <c r="S1079" s="40"/>
      <c r="T1079" s="40"/>
      <c r="U1079" s="41"/>
      <c r="V1079" s="41"/>
      <c r="W1079" s="41"/>
      <c r="X1079" s="36"/>
      <c r="Y1079" s="36"/>
      <c r="Z1079" s="36"/>
      <c r="AA1079" s="36"/>
      <c r="AB1079" s="36"/>
      <c r="AC1079" s="36"/>
    </row>
    <row r="1080" spans="17:29" x14ac:dyDescent="0.2">
      <c r="Q1080" s="36"/>
      <c r="R1080" s="40"/>
      <c r="S1080" s="40"/>
      <c r="T1080" s="40"/>
      <c r="U1080" s="41"/>
      <c r="V1080" s="41"/>
      <c r="W1080" s="41"/>
      <c r="X1080" s="36"/>
      <c r="Y1080" s="36"/>
      <c r="Z1080" s="36"/>
      <c r="AA1080" s="36"/>
      <c r="AB1080" s="36"/>
      <c r="AC1080" s="36"/>
    </row>
    <row r="1081" spans="17:29" x14ac:dyDescent="0.2">
      <c r="Q1081" s="36"/>
      <c r="R1081" s="40"/>
      <c r="S1081" s="40"/>
      <c r="T1081" s="40"/>
      <c r="U1081" s="41"/>
      <c r="V1081" s="41"/>
      <c r="W1081" s="41"/>
      <c r="X1081" s="36"/>
      <c r="Y1081" s="36"/>
      <c r="Z1081" s="36"/>
      <c r="AA1081" s="36"/>
      <c r="AB1081" s="36"/>
      <c r="AC1081" s="36"/>
    </row>
    <row r="1082" spans="17:29" x14ac:dyDescent="0.2">
      <c r="Q1082" s="36"/>
      <c r="R1082" s="40"/>
      <c r="S1082" s="40"/>
      <c r="T1082" s="40"/>
      <c r="U1082" s="41"/>
      <c r="V1082" s="41"/>
      <c r="W1082" s="41"/>
      <c r="X1082" s="36"/>
      <c r="Y1082" s="36"/>
      <c r="Z1082" s="36"/>
      <c r="AA1082" s="36"/>
      <c r="AB1082" s="36"/>
      <c r="AC1082" s="36"/>
    </row>
    <row r="1083" spans="17:29" x14ac:dyDescent="0.2">
      <c r="Q1083" s="36"/>
      <c r="R1083" s="40"/>
      <c r="S1083" s="40"/>
      <c r="T1083" s="40"/>
      <c r="U1083" s="41"/>
      <c r="V1083" s="41"/>
      <c r="W1083" s="41"/>
      <c r="X1083" s="36"/>
      <c r="Y1083" s="36"/>
      <c r="Z1083" s="36"/>
      <c r="AA1083" s="36"/>
      <c r="AB1083" s="36"/>
      <c r="AC1083" s="36"/>
    </row>
    <row r="1084" spans="17:29" x14ac:dyDescent="0.2">
      <c r="Q1084" s="36"/>
      <c r="R1084" s="40"/>
      <c r="S1084" s="40"/>
      <c r="T1084" s="40"/>
      <c r="U1084" s="41"/>
      <c r="V1084" s="41"/>
      <c r="W1084" s="41"/>
      <c r="X1084" s="36"/>
      <c r="Y1084" s="36"/>
      <c r="Z1084" s="36"/>
      <c r="AA1084" s="36"/>
      <c r="AB1084" s="36"/>
      <c r="AC1084" s="36"/>
    </row>
    <row r="1085" spans="17:29" x14ac:dyDescent="0.2">
      <c r="Q1085" s="36"/>
      <c r="R1085" s="40"/>
      <c r="S1085" s="40"/>
      <c r="T1085" s="40"/>
      <c r="U1085" s="41"/>
      <c r="V1085" s="41"/>
      <c r="W1085" s="41"/>
      <c r="X1085" s="36"/>
      <c r="Y1085" s="36"/>
      <c r="Z1085" s="36"/>
      <c r="AA1085" s="36"/>
      <c r="AB1085" s="36"/>
      <c r="AC1085" s="36"/>
    </row>
    <row r="1086" spans="17:29" x14ac:dyDescent="0.2">
      <c r="Q1086" s="36"/>
      <c r="R1086" s="40"/>
      <c r="S1086" s="40"/>
      <c r="T1086" s="40"/>
      <c r="U1086" s="41"/>
      <c r="V1086" s="41"/>
      <c r="W1086" s="41"/>
      <c r="X1086" s="36"/>
      <c r="Y1086" s="36"/>
      <c r="Z1086" s="36"/>
      <c r="AA1086" s="36"/>
      <c r="AB1086" s="36"/>
      <c r="AC1086" s="36"/>
    </row>
    <row r="1087" spans="17:29" x14ac:dyDescent="0.2">
      <c r="Q1087" s="36"/>
      <c r="R1087" s="40"/>
      <c r="S1087" s="40"/>
      <c r="T1087" s="40"/>
      <c r="U1087" s="41"/>
      <c r="V1087" s="41"/>
      <c r="W1087" s="41"/>
      <c r="X1087" s="36"/>
      <c r="Y1087" s="36"/>
      <c r="Z1087" s="36"/>
      <c r="AA1087" s="36"/>
      <c r="AB1087" s="36"/>
      <c r="AC1087" s="36"/>
    </row>
    <row r="1088" spans="17:29" x14ac:dyDescent="0.2">
      <c r="Q1088" s="36"/>
      <c r="R1088" s="40"/>
      <c r="S1088" s="40"/>
      <c r="T1088" s="40"/>
      <c r="U1088" s="41"/>
      <c r="V1088" s="41"/>
      <c r="W1088" s="41"/>
      <c r="X1088" s="36"/>
      <c r="Y1088" s="36"/>
      <c r="Z1088" s="36"/>
      <c r="AA1088" s="36"/>
      <c r="AB1088" s="36"/>
      <c r="AC1088" s="36"/>
    </row>
    <row r="1089" spans="17:29" x14ac:dyDescent="0.2">
      <c r="Q1089" s="36"/>
      <c r="R1089" s="40"/>
      <c r="S1089" s="40"/>
      <c r="T1089" s="40"/>
      <c r="U1089" s="41"/>
      <c r="V1089" s="41"/>
      <c r="W1089" s="41"/>
      <c r="X1089" s="36"/>
      <c r="Y1089" s="36"/>
      <c r="Z1089" s="36"/>
      <c r="AA1089" s="36"/>
      <c r="AB1089" s="36"/>
      <c r="AC1089" s="36"/>
    </row>
    <row r="1090" spans="17:29" x14ac:dyDescent="0.2">
      <c r="Q1090" s="36"/>
      <c r="R1090" s="40"/>
      <c r="S1090" s="40"/>
      <c r="T1090" s="40"/>
      <c r="U1090" s="41"/>
      <c r="V1090" s="41"/>
      <c r="W1090" s="41"/>
      <c r="X1090" s="36"/>
      <c r="Y1090" s="36"/>
      <c r="Z1090" s="36"/>
      <c r="AA1090" s="36"/>
      <c r="AB1090" s="36"/>
      <c r="AC1090" s="36"/>
    </row>
    <row r="1091" spans="17:29" x14ac:dyDescent="0.2">
      <c r="Q1091" s="36"/>
      <c r="R1091" s="40"/>
      <c r="S1091" s="40"/>
      <c r="T1091" s="40"/>
      <c r="U1091" s="41"/>
      <c r="V1091" s="41"/>
      <c r="W1091" s="41"/>
      <c r="X1091" s="36"/>
      <c r="Y1091" s="36"/>
      <c r="Z1091" s="36"/>
      <c r="AA1091" s="36"/>
      <c r="AB1091" s="36"/>
      <c r="AC1091" s="36"/>
    </row>
    <row r="1092" spans="17:29" x14ac:dyDescent="0.2">
      <c r="Q1092" s="36"/>
      <c r="R1092" s="40"/>
      <c r="S1092" s="40"/>
      <c r="T1092" s="40"/>
      <c r="U1092" s="41"/>
      <c r="V1092" s="41"/>
      <c r="W1092" s="41"/>
      <c r="X1092" s="36"/>
      <c r="Y1092" s="36"/>
      <c r="Z1092" s="36"/>
      <c r="AA1092" s="36"/>
      <c r="AB1092" s="36"/>
      <c r="AC1092" s="36"/>
    </row>
    <row r="1093" spans="17:29" x14ac:dyDescent="0.2">
      <c r="Q1093" s="36"/>
      <c r="R1093" s="40"/>
      <c r="S1093" s="40"/>
      <c r="T1093" s="40"/>
      <c r="U1093" s="41"/>
      <c r="V1093" s="41"/>
      <c r="W1093" s="41"/>
      <c r="X1093" s="36"/>
      <c r="Y1093" s="36"/>
      <c r="Z1093" s="36"/>
      <c r="AA1093" s="36"/>
      <c r="AB1093" s="36"/>
      <c r="AC1093" s="36"/>
    </row>
    <row r="1094" spans="17:29" x14ac:dyDescent="0.2">
      <c r="Q1094" s="36"/>
      <c r="R1094" s="40"/>
      <c r="S1094" s="40"/>
      <c r="T1094" s="40"/>
      <c r="U1094" s="41"/>
      <c r="V1094" s="41"/>
      <c r="W1094" s="41"/>
      <c r="X1094" s="36"/>
      <c r="Y1094" s="36"/>
      <c r="Z1094" s="36"/>
      <c r="AA1094" s="36"/>
      <c r="AB1094" s="36"/>
      <c r="AC1094" s="36"/>
    </row>
    <row r="1095" spans="17:29" x14ac:dyDescent="0.2">
      <c r="Q1095" s="36"/>
      <c r="R1095" s="40"/>
      <c r="S1095" s="40"/>
      <c r="T1095" s="40"/>
      <c r="U1095" s="41"/>
      <c r="V1095" s="41"/>
      <c r="W1095" s="41"/>
      <c r="X1095" s="36"/>
      <c r="Y1095" s="36"/>
      <c r="Z1095" s="36"/>
      <c r="AA1095" s="36"/>
      <c r="AB1095" s="36"/>
      <c r="AC1095" s="36"/>
    </row>
    <row r="1096" spans="17:29" x14ac:dyDescent="0.2">
      <c r="Q1096" s="36"/>
      <c r="R1096" s="40"/>
      <c r="S1096" s="40"/>
      <c r="T1096" s="40"/>
      <c r="U1096" s="41"/>
      <c r="V1096" s="41"/>
      <c r="W1096" s="41"/>
      <c r="X1096" s="36"/>
      <c r="Y1096" s="36"/>
      <c r="Z1096" s="36"/>
      <c r="AA1096" s="36"/>
      <c r="AB1096" s="36"/>
      <c r="AC1096" s="36"/>
    </row>
    <row r="1097" spans="17:29" x14ac:dyDescent="0.2">
      <c r="Q1097" s="36"/>
      <c r="R1097" s="40"/>
      <c r="S1097" s="40"/>
      <c r="T1097" s="40"/>
      <c r="U1097" s="41"/>
      <c r="V1097" s="41"/>
      <c r="W1097" s="41"/>
      <c r="X1097" s="36"/>
      <c r="Y1097" s="36"/>
      <c r="Z1097" s="36"/>
      <c r="AA1097" s="36"/>
      <c r="AB1097" s="36"/>
      <c r="AC1097" s="36"/>
    </row>
    <row r="1098" spans="17:29" x14ac:dyDescent="0.2">
      <c r="Q1098" s="36"/>
      <c r="R1098" s="40"/>
      <c r="S1098" s="40"/>
      <c r="T1098" s="40"/>
      <c r="U1098" s="41"/>
      <c r="V1098" s="41"/>
      <c r="W1098" s="41"/>
      <c r="X1098" s="36"/>
      <c r="Y1098" s="36"/>
      <c r="Z1098" s="36"/>
      <c r="AA1098" s="36"/>
      <c r="AB1098" s="36"/>
      <c r="AC1098" s="36"/>
    </row>
    <row r="1099" spans="17:29" x14ac:dyDescent="0.2">
      <c r="Q1099" s="36"/>
      <c r="R1099" s="40"/>
      <c r="S1099" s="40"/>
      <c r="T1099" s="40"/>
      <c r="U1099" s="41"/>
      <c r="V1099" s="41"/>
      <c r="W1099" s="41"/>
      <c r="X1099" s="36"/>
      <c r="Y1099" s="36"/>
      <c r="Z1099" s="36"/>
      <c r="AA1099" s="36"/>
      <c r="AB1099" s="36"/>
      <c r="AC1099" s="36"/>
    </row>
    <row r="1100" spans="17:29" x14ac:dyDescent="0.2">
      <c r="Q1100" s="36"/>
      <c r="R1100" s="40"/>
      <c r="S1100" s="40"/>
      <c r="T1100" s="40"/>
      <c r="U1100" s="41"/>
      <c r="V1100" s="41"/>
      <c r="W1100" s="41"/>
      <c r="X1100" s="36"/>
      <c r="Y1100" s="36"/>
      <c r="Z1100" s="36"/>
      <c r="AA1100" s="36"/>
      <c r="AB1100" s="36"/>
      <c r="AC1100" s="36"/>
    </row>
    <row r="1101" spans="17:29" x14ac:dyDescent="0.2">
      <c r="Q1101" s="36"/>
      <c r="R1101" s="40"/>
      <c r="S1101" s="40"/>
      <c r="T1101" s="40"/>
      <c r="U1101" s="41"/>
      <c r="V1101" s="41"/>
      <c r="W1101" s="41"/>
      <c r="X1101" s="36"/>
      <c r="Y1101" s="36"/>
      <c r="Z1101" s="36"/>
      <c r="AA1101" s="36"/>
      <c r="AB1101" s="36"/>
      <c r="AC1101" s="36"/>
    </row>
    <row r="1102" spans="17:29" x14ac:dyDescent="0.2">
      <c r="Q1102" s="36"/>
      <c r="R1102" s="40"/>
      <c r="S1102" s="40"/>
      <c r="T1102" s="40"/>
      <c r="U1102" s="41"/>
      <c r="V1102" s="41"/>
      <c r="W1102" s="41"/>
      <c r="X1102" s="36"/>
      <c r="Y1102" s="36"/>
      <c r="Z1102" s="36"/>
      <c r="AA1102" s="36"/>
      <c r="AB1102" s="36"/>
      <c r="AC1102" s="36"/>
    </row>
    <row r="1103" spans="17:29" x14ac:dyDescent="0.2">
      <c r="Q1103" s="36"/>
      <c r="R1103" s="40"/>
      <c r="S1103" s="40"/>
      <c r="T1103" s="40"/>
      <c r="U1103" s="41"/>
      <c r="V1103" s="41"/>
      <c r="W1103" s="41"/>
      <c r="X1103" s="36"/>
      <c r="Y1103" s="36"/>
      <c r="Z1103" s="36"/>
      <c r="AA1103" s="36"/>
      <c r="AB1103" s="36"/>
      <c r="AC1103" s="36"/>
    </row>
    <row r="1104" spans="17:29" x14ac:dyDescent="0.2">
      <c r="Q1104" s="36"/>
      <c r="R1104" s="40"/>
      <c r="S1104" s="40"/>
      <c r="T1104" s="40"/>
      <c r="U1104" s="41"/>
      <c r="V1104" s="41"/>
      <c r="W1104" s="41"/>
      <c r="X1104" s="36"/>
      <c r="Y1104" s="36"/>
      <c r="Z1104" s="36"/>
      <c r="AA1104" s="36"/>
      <c r="AB1104" s="36"/>
      <c r="AC1104" s="36"/>
    </row>
    <row r="1105" spans="17:29" x14ac:dyDescent="0.2">
      <c r="Q1105" s="36"/>
      <c r="R1105" s="40"/>
      <c r="S1105" s="40"/>
      <c r="T1105" s="40"/>
      <c r="U1105" s="41"/>
      <c r="V1105" s="41"/>
      <c r="W1105" s="41"/>
      <c r="X1105" s="36"/>
      <c r="Y1105" s="36"/>
      <c r="Z1105" s="36"/>
      <c r="AA1105" s="36"/>
      <c r="AB1105" s="36"/>
      <c r="AC1105" s="36"/>
    </row>
    <row r="1106" spans="17:29" x14ac:dyDescent="0.2">
      <c r="Q1106" s="36"/>
      <c r="R1106" s="40"/>
      <c r="S1106" s="40"/>
      <c r="T1106" s="40"/>
      <c r="U1106" s="41"/>
      <c r="V1106" s="41"/>
      <c r="W1106" s="41"/>
      <c r="X1106" s="36"/>
      <c r="Y1106" s="36"/>
      <c r="Z1106" s="36"/>
      <c r="AA1106" s="36"/>
      <c r="AB1106" s="36"/>
      <c r="AC1106" s="36"/>
    </row>
    <row r="1107" spans="17:29" x14ac:dyDescent="0.2">
      <c r="Q1107" s="36"/>
      <c r="R1107" s="40"/>
      <c r="S1107" s="40"/>
      <c r="T1107" s="40"/>
      <c r="U1107" s="41"/>
      <c r="V1107" s="41"/>
      <c r="W1107" s="41"/>
      <c r="X1107" s="36"/>
      <c r="Y1107" s="36"/>
      <c r="Z1107" s="36"/>
      <c r="AA1107" s="36"/>
      <c r="AB1107" s="36"/>
      <c r="AC1107" s="36"/>
    </row>
    <row r="1108" spans="17:29" x14ac:dyDescent="0.2">
      <c r="Q1108" s="36"/>
      <c r="R1108" s="40"/>
      <c r="S1108" s="40"/>
      <c r="T1108" s="40"/>
      <c r="U1108" s="41"/>
      <c r="V1108" s="41"/>
      <c r="W1108" s="41"/>
      <c r="X1108" s="36"/>
      <c r="Y1108" s="36"/>
      <c r="Z1108" s="36"/>
      <c r="AA1108" s="36"/>
      <c r="AB1108" s="36"/>
      <c r="AC1108" s="36"/>
    </row>
    <row r="1109" spans="17:29" x14ac:dyDescent="0.2">
      <c r="Q1109" s="36"/>
      <c r="R1109" s="40"/>
      <c r="S1109" s="40"/>
      <c r="T1109" s="40"/>
      <c r="U1109" s="41"/>
      <c r="V1109" s="41"/>
      <c r="W1109" s="41"/>
      <c r="X1109" s="36"/>
      <c r="Y1109" s="36"/>
      <c r="Z1109" s="36"/>
      <c r="AA1109" s="36"/>
      <c r="AB1109" s="36"/>
      <c r="AC1109" s="36"/>
    </row>
    <row r="1110" spans="17:29" x14ac:dyDescent="0.2">
      <c r="Q1110" s="36"/>
      <c r="R1110" s="40"/>
      <c r="S1110" s="40"/>
      <c r="T1110" s="40"/>
      <c r="U1110" s="41"/>
      <c r="V1110" s="41"/>
      <c r="W1110" s="41"/>
      <c r="X1110" s="36"/>
      <c r="Y1110" s="36"/>
      <c r="Z1110" s="36"/>
      <c r="AA1110" s="36"/>
      <c r="AB1110" s="36"/>
      <c r="AC1110" s="36"/>
    </row>
    <row r="1111" spans="17:29" x14ac:dyDescent="0.2">
      <c r="Q1111" s="36"/>
      <c r="R1111" s="40"/>
      <c r="S1111" s="40"/>
      <c r="T1111" s="40"/>
      <c r="U1111" s="41"/>
      <c r="V1111" s="41"/>
      <c r="W1111" s="41"/>
      <c r="X1111" s="36"/>
      <c r="Y1111" s="36"/>
      <c r="Z1111" s="36"/>
      <c r="AA1111" s="36"/>
      <c r="AB1111" s="36"/>
      <c r="AC1111" s="36"/>
    </row>
    <row r="1112" spans="17:29" x14ac:dyDescent="0.2">
      <c r="Q1112" s="36"/>
      <c r="R1112" s="40"/>
      <c r="S1112" s="40"/>
      <c r="T1112" s="40"/>
      <c r="U1112" s="41"/>
      <c r="V1112" s="41"/>
      <c r="W1112" s="41"/>
      <c r="X1112" s="36"/>
      <c r="Y1112" s="36"/>
      <c r="Z1112" s="36"/>
      <c r="AA1112" s="36"/>
      <c r="AB1112" s="36"/>
      <c r="AC1112" s="36"/>
    </row>
    <row r="1113" spans="17:29" x14ac:dyDescent="0.2">
      <c r="Q1113" s="36"/>
      <c r="R1113" s="40"/>
      <c r="S1113" s="40"/>
      <c r="T1113" s="40"/>
      <c r="U1113" s="41"/>
      <c r="V1113" s="41"/>
      <c r="W1113" s="41"/>
      <c r="X1113" s="36"/>
      <c r="Y1113" s="36"/>
      <c r="Z1113" s="36"/>
      <c r="AA1113" s="36"/>
      <c r="AB1113" s="36"/>
      <c r="AC1113" s="36"/>
    </row>
    <row r="1114" spans="17:29" x14ac:dyDescent="0.2">
      <c r="Q1114" s="36"/>
      <c r="R1114" s="40"/>
      <c r="S1114" s="40"/>
      <c r="T1114" s="40"/>
      <c r="U1114" s="41"/>
      <c r="V1114" s="41"/>
      <c r="W1114" s="41"/>
      <c r="X1114" s="36"/>
      <c r="Y1114" s="36"/>
      <c r="Z1114" s="36"/>
      <c r="AA1114" s="36"/>
      <c r="AB1114" s="36"/>
      <c r="AC1114" s="36"/>
    </row>
    <row r="1115" spans="17:29" x14ac:dyDescent="0.2">
      <c r="Q1115" s="36"/>
      <c r="R1115" s="40"/>
      <c r="S1115" s="40"/>
      <c r="T1115" s="40"/>
      <c r="U1115" s="41"/>
      <c r="V1115" s="41"/>
      <c r="W1115" s="41"/>
      <c r="X1115" s="36"/>
      <c r="Y1115" s="36"/>
      <c r="Z1115" s="36"/>
      <c r="AA1115" s="36"/>
      <c r="AB1115" s="36"/>
      <c r="AC1115" s="36"/>
    </row>
    <row r="1116" spans="17:29" x14ac:dyDescent="0.2">
      <c r="Q1116" s="36"/>
      <c r="R1116" s="40"/>
      <c r="S1116" s="40"/>
      <c r="T1116" s="40"/>
      <c r="U1116" s="41"/>
      <c r="V1116" s="41"/>
      <c r="W1116" s="41"/>
      <c r="X1116" s="36"/>
      <c r="Y1116" s="36"/>
      <c r="Z1116" s="36"/>
      <c r="AA1116" s="36"/>
      <c r="AB1116" s="36"/>
      <c r="AC1116" s="36"/>
    </row>
    <row r="1117" spans="17:29" x14ac:dyDescent="0.2">
      <c r="Q1117" s="36"/>
      <c r="R1117" s="40"/>
      <c r="S1117" s="40"/>
      <c r="T1117" s="40"/>
      <c r="U1117" s="41"/>
      <c r="V1117" s="41"/>
      <c r="W1117" s="41"/>
      <c r="X1117" s="36"/>
      <c r="Y1117" s="36"/>
      <c r="Z1117" s="36"/>
      <c r="AA1117" s="36"/>
      <c r="AB1117" s="36"/>
      <c r="AC1117" s="36"/>
    </row>
    <row r="1118" spans="17:29" x14ac:dyDescent="0.2">
      <c r="Q1118" s="36"/>
      <c r="R1118" s="40"/>
      <c r="S1118" s="40"/>
      <c r="T1118" s="40"/>
      <c r="U1118" s="41"/>
      <c r="V1118" s="41"/>
      <c r="W1118" s="41"/>
      <c r="X1118" s="36"/>
      <c r="Y1118" s="36"/>
      <c r="Z1118" s="36"/>
      <c r="AA1118" s="36"/>
      <c r="AB1118" s="36"/>
      <c r="AC1118" s="36"/>
    </row>
    <row r="1119" spans="17:29" x14ac:dyDescent="0.2">
      <c r="Q1119" s="36"/>
      <c r="R1119" s="40"/>
      <c r="S1119" s="40"/>
      <c r="T1119" s="40"/>
      <c r="U1119" s="41"/>
      <c r="V1119" s="41"/>
      <c r="W1119" s="41"/>
      <c r="X1119" s="36"/>
      <c r="Y1119" s="36"/>
      <c r="Z1119" s="36"/>
      <c r="AA1119" s="36"/>
      <c r="AB1119" s="36"/>
      <c r="AC1119" s="36"/>
    </row>
    <row r="1120" spans="17:29" x14ac:dyDescent="0.2">
      <c r="Q1120" s="36"/>
      <c r="R1120" s="40"/>
      <c r="S1120" s="40"/>
      <c r="T1120" s="40"/>
      <c r="U1120" s="41"/>
      <c r="V1120" s="41"/>
      <c r="W1120" s="41"/>
      <c r="X1120" s="36"/>
      <c r="Y1120" s="36"/>
      <c r="Z1120" s="36"/>
      <c r="AA1120" s="36"/>
      <c r="AB1120" s="36"/>
      <c r="AC1120" s="36"/>
    </row>
    <row r="1121" spans="17:29" x14ac:dyDescent="0.2">
      <c r="Q1121" s="36"/>
      <c r="R1121" s="40"/>
      <c r="S1121" s="40"/>
      <c r="T1121" s="40"/>
      <c r="U1121" s="41"/>
      <c r="V1121" s="41"/>
      <c r="W1121" s="41"/>
      <c r="X1121" s="36"/>
      <c r="Y1121" s="36"/>
      <c r="Z1121" s="36"/>
      <c r="AA1121" s="36"/>
      <c r="AB1121" s="36"/>
      <c r="AC1121" s="36"/>
    </row>
    <row r="1122" spans="17:29" x14ac:dyDescent="0.2">
      <c r="Q1122" s="36"/>
      <c r="R1122" s="40"/>
      <c r="S1122" s="40"/>
      <c r="T1122" s="40"/>
      <c r="U1122" s="41"/>
      <c r="V1122" s="41"/>
      <c r="W1122" s="41"/>
      <c r="X1122" s="36"/>
      <c r="Y1122" s="36"/>
      <c r="Z1122" s="36"/>
      <c r="AA1122" s="36"/>
      <c r="AB1122" s="36"/>
      <c r="AC1122" s="36"/>
    </row>
    <row r="1123" spans="17:29" x14ac:dyDescent="0.2">
      <c r="Q1123" s="36"/>
      <c r="R1123" s="40"/>
      <c r="S1123" s="40"/>
      <c r="T1123" s="40"/>
      <c r="U1123" s="41"/>
      <c r="V1123" s="41"/>
      <c r="W1123" s="41"/>
      <c r="X1123" s="36"/>
      <c r="Y1123" s="36"/>
      <c r="Z1123" s="36"/>
      <c r="AA1123" s="36"/>
      <c r="AB1123" s="36"/>
      <c r="AC1123" s="36"/>
    </row>
    <row r="1124" spans="17:29" x14ac:dyDescent="0.2">
      <c r="Q1124" s="36"/>
      <c r="R1124" s="40"/>
      <c r="S1124" s="40"/>
      <c r="T1124" s="40"/>
      <c r="U1124" s="41"/>
      <c r="V1124" s="41"/>
      <c r="W1124" s="41"/>
      <c r="X1124" s="36"/>
      <c r="Y1124" s="36"/>
      <c r="Z1124" s="36"/>
      <c r="AA1124" s="36"/>
      <c r="AB1124" s="36"/>
      <c r="AC1124" s="36"/>
    </row>
    <row r="1125" spans="17:29" x14ac:dyDescent="0.2">
      <c r="Q1125" s="36"/>
      <c r="R1125" s="40"/>
      <c r="S1125" s="40"/>
      <c r="T1125" s="40"/>
      <c r="U1125" s="41"/>
      <c r="V1125" s="41"/>
      <c r="W1125" s="41"/>
      <c r="X1125" s="36"/>
      <c r="Y1125" s="36"/>
      <c r="Z1125" s="36"/>
      <c r="AA1125" s="36"/>
      <c r="AB1125" s="36"/>
      <c r="AC1125" s="36"/>
    </row>
    <row r="1126" spans="17:29" x14ac:dyDescent="0.2">
      <c r="Q1126" s="36"/>
      <c r="R1126" s="40"/>
      <c r="S1126" s="40"/>
      <c r="T1126" s="40"/>
      <c r="U1126" s="41"/>
      <c r="V1126" s="41"/>
      <c r="W1126" s="41"/>
      <c r="X1126" s="36"/>
      <c r="Y1126" s="36"/>
      <c r="Z1126" s="36"/>
      <c r="AA1126" s="36"/>
      <c r="AB1126" s="36"/>
      <c r="AC1126" s="36"/>
    </row>
    <row r="1127" spans="17:29" x14ac:dyDescent="0.2">
      <c r="Q1127" s="36"/>
      <c r="R1127" s="40"/>
      <c r="S1127" s="40"/>
      <c r="T1127" s="40"/>
      <c r="U1127" s="41"/>
      <c r="V1127" s="41"/>
      <c r="W1127" s="41"/>
      <c r="X1127" s="36"/>
      <c r="Y1127" s="36"/>
      <c r="Z1127" s="36"/>
      <c r="AA1127" s="36"/>
      <c r="AB1127" s="36"/>
      <c r="AC1127" s="36"/>
    </row>
    <row r="1128" spans="17:29" x14ac:dyDescent="0.2">
      <c r="Q1128" s="36"/>
      <c r="R1128" s="40"/>
      <c r="S1128" s="40"/>
      <c r="T1128" s="40"/>
      <c r="U1128" s="41"/>
      <c r="V1128" s="41"/>
      <c r="W1128" s="41"/>
      <c r="X1128" s="36"/>
      <c r="Y1128" s="36"/>
      <c r="Z1128" s="36"/>
      <c r="AA1128" s="36"/>
      <c r="AB1128" s="36"/>
      <c r="AC1128" s="36"/>
    </row>
    <row r="1129" spans="17:29" x14ac:dyDescent="0.2">
      <c r="Q1129" s="36"/>
      <c r="R1129" s="40"/>
      <c r="S1129" s="40"/>
      <c r="T1129" s="40"/>
      <c r="U1129" s="41"/>
      <c r="V1129" s="41"/>
      <c r="W1129" s="41"/>
      <c r="X1129" s="36"/>
      <c r="Y1129" s="36"/>
      <c r="Z1129" s="36"/>
      <c r="AA1129" s="36"/>
      <c r="AB1129" s="36"/>
      <c r="AC1129" s="36"/>
    </row>
    <row r="1130" spans="17:29" x14ac:dyDescent="0.2">
      <c r="Q1130" s="36"/>
      <c r="R1130" s="40"/>
      <c r="S1130" s="40"/>
      <c r="T1130" s="40"/>
      <c r="U1130" s="41"/>
      <c r="V1130" s="41"/>
      <c r="W1130" s="41"/>
      <c r="X1130" s="36"/>
      <c r="Y1130" s="36"/>
      <c r="Z1130" s="36"/>
      <c r="AA1130" s="36"/>
      <c r="AB1130" s="36"/>
      <c r="AC1130" s="36"/>
    </row>
    <row r="1131" spans="17:29" x14ac:dyDescent="0.2">
      <c r="Q1131" s="36"/>
      <c r="R1131" s="40"/>
      <c r="S1131" s="40"/>
      <c r="T1131" s="40"/>
      <c r="U1131" s="41"/>
      <c r="V1131" s="41"/>
      <c r="W1131" s="41"/>
      <c r="X1131" s="36"/>
      <c r="Y1131" s="36"/>
      <c r="Z1131" s="36"/>
      <c r="AA1131" s="36"/>
      <c r="AB1131" s="36"/>
      <c r="AC1131" s="36"/>
    </row>
    <row r="1132" spans="17:29" x14ac:dyDescent="0.2">
      <c r="Q1132" s="36"/>
      <c r="R1132" s="40"/>
      <c r="S1132" s="40"/>
      <c r="T1132" s="40"/>
      <c r="U1132" s="41"/>
      <c r="V1132" s="41"/>
      <c r="W1132" s="41"/>
      <c r="X1132" s="36"/>
      <c r="Y1132" s="36"/>
      <c r="Z1132" s="36"/>
      <c r="AA1132" s="36"/>
      <c r="AB1132" s="36"/>
      <c r="AC1132" s="36"/>
    </row>
    <row r="1133" spans="17:29" x14ac:dyDescent="0.2">
      <c r="Q1133" s="36"/>
      <c r="R1133" s="40"/>
      <c r="S1133" s="40"/>
      <c r="T1133" s="40"/>
      <c r="U1133" s="41"/>
      <c r="V1133" s="41"/>
      <c r="W1133" s="41"/>
      <c r="X1133" s="36"/>
      <c r="Y1133" s="36"/>
      <c r="Z1133" s="36"/>
      <c r="AA1133" s="36"/>
      <c r="AB1133" s="36"/>
      <c r="AC1133" s="36"/>
    </row>
    <row r="1134" spans="17:29" x14ac:dyDescent="0.2">
      <c r="Q1134" s="36"/>
      <c r="R1134" s="40"/>
      <c r="S1134" s="40"/>
      <c r="T1134" s="40"/>
      <c r="U1134" s="41"/>
      <c r="V1134" s="41"/>
      <c r="W1134" s="41"/>
      <c r="X1134" s="36"/>
      <c r="Y1134" s="36"/>
      <c r="Z1134" s="36"/>
      <c r="AA1134" s="36"/>
      <c r="AB1134" s="36"/>
      <c r="AC1134" s="36"/>
    </row>
    <row r="1135" spans="17:29" x14ac:dyDescent="0.2">
      <c r="Q1135" s="36"/>
      <c r="R1135" s="40"/>
      <c r="S1135" s="40"/>
      <c r="T1135" s="40"/>
      <c r="U1135" s="41"/>
      <c r="V1135" s="41"/>
      <c r="W1135" s="41"/>
      <c r="X1135" s="36"/>
      <c r="Y1135" s="36"/>
      <c r="Z1135" s="36"/>
      <c r="AA1135" s="36"/>
      <c r="AB1135" s="36"/>
      <c r="AC1135" s="36"/>
    </row>
    <row r="1136" spans="17:29" x14ac:dyDescent="0.2">
      <c r="Q1136" s="36"/>
      <c r="R1136" s="40"/>
      <c r="S1136" s="40"/>
      <c r="T1136" s="40"/>
      <c r="U1136" s="41"/>
      <c r="V1136" s="41"/>
      <c r="W1136" s="41"/>
      <c r="X1136" s="36"/>
      <c r="Y1136" s="36"/>
      <c r="Z1136" s="36"/>
      <c r="AA1136" s="36"/>
      <c r="AB1136" s="36"/>
      <c r="AC1136" s="36"/>
    </row>
    <row r="1137" spans="17:29" x14ac:dyDescent="0.2">
      <c r="Q1137" s="36"/>
      <c r="R1137" s="40"/>
      <c r="S1137" s="40"/>
      <c r="T1137" s="40"/>
      <c r="U1137" s="41"/>
      <c r="V1137" s="41"/>
      <c r="W1137" s="41"/>
      <c r="X1137" s="36"/>
      <c r="Y1137" s="36"/>
      <c r="Z1137" s="36"/>
      <c r="AA1137" s="36"/>
      <c r="AB1137" s="36"/>
      <c r="AC1137" s="36"/>
    </row>
    <row r="1138" spans="17:29" x14ac:dyDescent="0.2">
      <c r="Q1138" s="36"/>
      <c r="R1138" s="40"/>
      <c r="S1138" s="40"/>
      <c r="T1138" s="40"/>
      <c r="U1138" s="41"/>
      <c r="V1138" s="41"/>
      <c r="W1138" s="41"/>
      <c r="X1138" s="36"/>
      <c r="Y1138" s="36"/>
      <c r="Z1138" s="36"/>
      <c r="AA1138" s="36"/>
      <c r="AB1138" s="36"/>
      <c r="AC1138" s="36"/>
    </row>
    <row r="1139" spans="17:29" x14ac:dyDescent="0.2">
      <c r="Q1139" s="36"/>
      <c r="R1139" s="40"/>
      <c r="S1139" s="40"/>
      <c r="T1139" s="40"/>
      <c r="U1139" s="41"/>
      <c r="V1139" s="41"/>
      <c r="W1139" s="41"/>
      <c r="X1139" s="36"/>
      <c r="Y1139" s="36"/>
      <c r="Z1139" s="36"/>
      <c r="AA1139" s="36"/>
      <c r="AB1139" s="36"/>
      <c r="AC1139" s="36"/>
    </row>
    <row r="1140" spans="17:29" x14ac:dyDescent="0.2">
      <c r="Q1140" s="36"/>
      <c r="R1140" s="40"/>
      <c r="S1140" s="40"/>
      <c r="T1140" s="40"/>
      <c r="U1140" s="41"/>
      <c r="V1140" s="41"/>
      <c r="W1140" s="41"/>
      <c r="X1140" s="36"/>
      <c r="Y1140" s="36"/>
      <c r="Z1140" s="36"/>
      <c r="AA1140" s="36"/>
      <c r="AB1140" s="36"/>
      <c r="AC1140" s="36"/>
    </row>
    <row r="1141" spans="17:29" x14ac:dyDescent="0.2">
      <c r="Q1141" s="36"/>
      <c r="R1141" s="40"/>
      <c r="S1141" s="40"/>
      <c r="T1141" s="40"/>
      <c r="U1141" s="41"/>
      <c r="V1141" s="41"/>
      <c r="W1141" s="41"/>
      <c r="X1141" s="36"/>
      <c r="Y1141" s="36"/>
      <c r="Z1141" s="36"/>
      <c r="AA1141" s="36"/>
      <c r="AB1141" s="36"/>
      <c r="AC1141" s="36"/>
    </row>
    <row r="1142" spans="17:29" x14ac:dyDescent="0.2">
      <c r="Q1142" s="36"/>
      <c r="R1142" s="40"/>
      <c r="S1142" s="40"/>
      <c r="T1142" s="40"/>
      <c r="U1142" s="41"/>
      <c r="V1142" s="41"/>
      <c r="W1142" s="41"/>
      <c r="X1142" s="36"/>
      <c r="Y1142" s="36"/>
      <c r="Z1142" s="36"/>
      <c r="AA1142" s="36"/>
      <c r="AB1142" s="36"/>
      <c r="AC1142" s="36"/>
    </row>
    <row r="1143" spans="17:29" x14ac:dyDescent="0.2">
      <c r="Q1143" s="36"/>
      <c r="R1143" s="40"/>
      <c r="S1143" s="40"/>
      <c r="T1143" s="40"/>
      <c r="U1143" s="41"/>
      <c r="V1143" s="41"/>
      <c r="W1143" s="41"/>
      <c r="X1143" s="36"/>
      <c r="Y1143" s="36"/>
      <c r="Z1143" s="36"/>
      <c r="AA1143" s="36"/>
      <c r="AB1143" s="36"/>
      <c r="AC1143" s="36"/>
    </row>
    <row r="1144" spans="17:29" x14ac:dyDescent="0.2">
      <c r="Q1144" s="36"/>
      <c r="R1144" s="40"/>
      <c r="S1144" s="40"/>
      <c r="T1144" s="40"/>
      <c r="U1144" s="41"/>
      <c r="V1144" s="41"/>
      <c r="W1144" s="41"/>
      <c r="X1144" s="36"/>
      <c r="Y1144" s="36"/>
      <c r="Z1144" s="36"/>
      <c r="AA1144" s="36"/>
      <c r="AB1144" s="36"/>
      <c r="AC1144" s="36"/>
    </row>
    <row r="1145" spans="17:29" x14ac:dyDescent="0.2">
      <c r="Q1145" s="36"/>
      <c r="R1145" s="40"/>
      <c r="S1145" s="40"/>
      <c r="T1145" s="40"/>
      <c r="U1145" s="41"/>
      <c r="V1145" s="41"/>
      <c r="W1145" s="41"/>
      <c r="X1145" s="36"/>
      <c r="Y1145" s="36"/>
      <c r="Z1145" s="36"/>
      <c r="AA1145" s="36"/>
      <c r="AB1145" s="36"/>
      <c r="AC1145" s="36"/>
    </row>
    <row r="1146" spans="17:29" x14ac:dyDescent="0.2">
      <c r="Q1146" s="36"/>
      <c r="R1146" s="40"/>
      <c r="S1146" s="40"/>
      <c r="T1146" s="40"/>
      <c r="U1146" s="41"/>
      <c r="V1146" s="41"/>
      <c r="W1146" s="41"/>
      <c r="X1146" s="36"/>
      <c r="Y1146" s="36"/>
      <c r="Z1146" s="36"/>
      <c r="AA1146" s="36"/>
      <c r="AB1146" s="36"/>
      <c r="AC1146" s="36"/>
    </row>
    <row r="1147" spans="17:29" x14ac:dyDescent="0.2">
      <c r="Q1147" s="36"/>
      <c r="R1147" s="40"/>
      <c r="S1147" s="40"/>
      <c r="T1147" s="40"/>
      <c r="U1147" s="41"/>
      <c r="V1147" s="41"/>
      <c r="W1147" s="41"/>
      <c r="X1147" s="36"/>
      <c r="Y1147" s="36"/>
      <c r="Z1147" s="36"/>
      <c r="AA1147" s="36"/>
      <c r="AB1147" s="36"/>
      <c r="AC1147" s="36"/>
    </row>
    <row r="1148" spans="17:29" x14ac:dyDescent="0.2">
      <c r="Q1148" s="36"/>
      <c r="R1148" s="40"/>
      <c r="S1148" s="40"/>
      <c r="T1148" s="40"/>
      <c r="U1148" s="41"/>
      <c r="V1148" s="41"/>
      <c r="W1148" s="41"/>
      <c r="X1148" s="36"/>
      <c r="Y1148" s="36"/>
      <c r="Z1148" s="36"/>
      <c r="AA1148" s="36"/>
      <c r="AB1148" s="36"/>
      <c r="AC1148" s="36"/>
    </row>
    <row r="1149" spans="17:29" x14ac:dyDescent="0.2">
      <c r="Q1149" s="36"/>
      <c r="R1149" s="40"/>
      <c r="S1149" s="40"/>
      <c r="T1149" s="40"/>
      <c r="U1149" s="41"/>
      <c r="V1149" s="41"/>
      <c r="W1149" s="41"/>
      <c r="X1149" s="36"/>
      <c r="Y1149" s="36"/>
      <c r="Z1149" s="36"/>
      <c r="AA1149" s="36"/>
      <c r="AB1149" s="36"/>
      <c r="AC1149" s="36"/>
    </row>
    <row r="1150" spans="17:29" x14ac:dyDescent="0.2">
      <c r="Q1150" s="36"/>
      <c r="R1150" s="40"/>
      <c r="S1150" s="40"/>
      <c r="T1150" s="40"/>
      <c r="U1150" s="41"/>
      <c r="V1150" s="41"/>
      <c r="W1150" s="41"/>
      <c r="X1150" s="36"/>
      <c r="Y1150" s="36"/>
      <c r="Z1150" s="36"/>
      <c r="AA1150" s="36"/>
      <c r="AB1150" s="36"/>
      <c r="AC1150" s="36"/>
    </row>
    <row r="1151" spans="17:29" x14ac:dyDescent="0.2">
      <c r="Q1151" s="36"/>
      <c r="R1151" s="40"/>
      <c r="S1151" s="40"/>
      <c r="T1151" s="40"/>
      <c r="U1151" s="41"/>
      <c r="V1151" s="41"/>
      <c r="W1151" s="41"/>
      <c r="X1151" s="36"/>
      <c r="Y1151" s="36"/>
      <c r="Z1151" s="36"/>
      <c r="AA1151" s="36"/>
      <c r="AB1151" s="36"/>
      <c r="AC1151" s="36"/>
    </row>
    <row r="1152" spans="17:29" x14ac:dyDescent="0.2">
      <c r="Q1152" s="36"/>
      <c r="R1152" s="40"/>
      <c r="S1152" s="40"/>
      <c r="T1152" s="40"/>
      <c r="U1152" s="41"/>
      <c r="V1152" s="41"/>
      <c r="W1152" s="41"/>
      <c r="X1152" s="36"/>
      <c r="Y1152" s="36"/>
      <c r="Z1152" s="36"/>
      <c r="AA1152" s="36"/>
      <c r="AB1152" s="36"/>
      <c r="AC1152" s="36"/>
    </row>
    <row r="1153" spans="17:29" x14ac:dyDescent="0.2">
      <c r="Q1153" s="36"/>
      <c r="R1153" s="40"/>
      <c r="S1153" s="40"/>
      <c r="T1153" s="40"/>
      <c r="U1153" s="41"/>
      <c r="V1153" s="41"/>
      <c r="W1153" s="41"/>
      <c r="X1153" s="36"/>
      <c r="Y1153" s="36"/>
      <c r="Z1153" s="36"/>
      <c r="AA1153" s="36"/>
      <c r="AB1153" s="36"/>
      <c r="AC1153" s="36"/>
    </row>
    <row r="1154" spans="17:29" x14ac:dyDescent="0.2">
      <c r="Q1154" s="36"/>
      <c r="R1154" s="40"/>
      <c r="S1154" s="40"/>
      <c r="T1154" s="40"/>
      <c r="U1154" s="41"/>
      <c r="V1154" s="41"/>
      <c r="W1154" s="41"/>
      <c r="X1154" s="36"/>
      <c r="Y1154" s="36"/>
      <c r="Z1154" s="36"/>
      <c r="AA1154" s="36"/>
      <c r="AB1154" s="36"/>
      <c r="AC1154" s="36"/>
    </row>
    <row r="1155" spans="17:29" x14ac:dyDescent="0.2">
      <c r="Q1155" s="36"/>
      <c r="R1155" s="40"/>
      <c r="S1155" s="40"/>
      <c r="T1155" s="40"/>
      <c r="U1155" s="41"/>
      <c r="V1155" s="41"/>
      <c r="W1155" s="41"/>
      <c r="X1155" s="36"/>
      <c r="Y1155" s="36"/>
      <c r="Z1155" s="36"/>
      <c r="AA1155" s="36"/>
      <c r="AB1155" s="36"/>
      <c r="AC1155" s="36"/>
    </row>
    <row r="1156" spans="17:29" x14ac:dyDescent="0.2">
      <c r="Q1156" s="36"/>
      <c r="R1156" s="40"/>
      <c r="S1156" s="40"/>
      <c r="T1156" s="40"/>
      <c r="U1156" s="41"/>
      <c r="V1156" s="41"/>
      <c r="W1156" s="41"/>
      <c r="X1156" s="36"/>
      <c r="Y1156" s="36"/>
      <c r="Z1156" s="36"/>
      <c r="AA1156" s="36"/>
      <c r="AB1156" s="36"/>
      <c r="AC1156" s="36"/>
    </row>
    <row r="1157" spans="17:29" x14ac:dyDescent="0.2">
      <c r="Q1157" s="36"/>
      <c r="R1157" s="40"/>
      <c r="S1157" s="40"/>
      <c r="T1157" s="40"/>
      <c r="U1157" s="41"/>
      <c r="V1157" s="41"/>
      <c r="W1157" s="41"/>
      <c r="X1157" s="36"/>
      <c r="Y1157" s="36"/>
      <c r="Z1157" s="36"/>
      <c r="AA1157" s="36"/>
      <c r="AB1157" s="36"/>
      <c r="AC1157" s="36"/>
    </row>
    <row r="1158" spans="17:29" x14ac:dyDescent="0.2">
      <c r="Q1158" s="36"/>
      <c r="R1158" s="40"/>
      <c r="S1158" s="40"/>
      <c r="T1158" s="40"/>
      <c r="U1158" s="41"/>
      <c r="V1158" s="41"/>
      <c r="W1158" s="41"/>
      <c r="X1158" s="36"/>
      <c r="Y1158" s="36"/>
      <c r="Z1158" s="36"/>
      <c r="AA1158" s="36"/>
      <c r="AB1158" s="36"/>
      <c r="AC1158" s="36"/>
    </row>
    <row r="1159" spans="17:29" x14ac:dyDescent="0.2">
      <c r="Q1159" s="36"/>
      <c r="R1159" s="40"/>
      <c r="S1159" s="40"/>
      <c r="T1159" s="40"/>
      <c r="U1159" s="41"/>
      <c r="V1159" s="41"/>
      <c r="W1159" s="41"/>
      <c r="X1159" s="36"/>
      <c r="Y1159" s="36"/>
      <c r="Z1159" s="36"/>
      <c r="AA1159" s="36"/>
      <c r="AB1159" s="36"/>
      <c r="AC1159" s="36"/>
    </row>
    <row r="1160" spans="17:29" x14ac:dyDescent="0.2">
      <c r="Q1160" s="36"/>
      <c r="R1160" s="40"/>
      <c r="S1160" s="40"/>
      <c r="T1160" s="40"/>
      <c r="U1160" s="41"/>
      <c r="V1160" s="41"/>
      <c r="W1160" s="41"/>
      <c r="X1160" s="36"/>
      <c r="Y1160" s="36"/>
      <c r="Z1160" s="36"/>
      <c r="AA1160" s="36"/>
      <c r="AB1160" s="36"/>
      <c r="AC1160" s="36"/>
    </row>
    <row r="1161" spans="17:29" x14ac:dyDescent="0.2">
      <c r="Q1161" s="36"/>
      <c r="R1161" s="40"/>
      <c r="S1161" s="40"/>
      <c r="T1161" s="40"/>
      <c r="U1161" s="41"/>
      <c r="V1161" s="41"/>
      <c r="W1161" s="41"/>
      <c r="X1161" s="36"/>
      <c r="Y1161" s="36"/>
      <c r="Z1161" s="36"/>
      <c r="AA1161" s="36"/>
      <c r="AB1161" s="36"/>
      <c r="AC1161" s="36"/>
    </row>
    <row r="1162" spans="17:29" x14ac:dyDescent="0.2">
      <c r="Q1162" s="36"/>
      <c r="R1162" s="40"/>
      <c r="S1162" s="40"/>
      <c r="T1162" s="40"/>
      <c r="U1162" s="41"/>
      <c r="V1162" s="41"/>
      <c r="W1162" s="41"/>
      <c r="X1162" s="36"/>
      <c r="Y1162" s="36"/>
      <c r="Z1162" s="36"/>
      <c r="AA1162" s="36"/>
      <c r="AB1162" s="36"/>
      <c r="AC1162" s="36"/>
    </row>
    <row r="1163" spans="17:29" x14ac:dyDescent="0.2">
      <c r="Q1163" s="36"/>
      <c r="R1163" s="40"/>
      <c r="S1163" s="40"/>
      <c r="T1163" s="40"/>
      <c r="U1163" s="41"/>
      <c r="V1163" s="41"/>
      <c r="W1163" s="41"/>
      <c r="X1163" s="36"/>
      <c r="Y1163" s="36"/>
      <c r="Z1163" s="36"/>
      <c r="AA1163" s="36"/>
      <c r="AB1163" s="36"/>
      <c r="AC1163" s="36"/>
    </row>
    <row r="1164" spans="17:29" x14ac:dyDescent="0.2">
      <c r="Q1164" s="36"/>
      <c r="R1164" s="40"/>
      <c r="S1164" s="40"/>
      <c r="T1164" s="40"/>
      <c r="U1164" s="41"/>
      <c r="V1164" s="41"/>
      <c r="W1164" s="41"/>
      <c r="X1164" s="36"/>
      <c r="Y1164" s="36"/>
      <c r="Z1164" s="36"/>
      <c r="AA1164" s="36"/>
      <c r="AB1164" s="36"/>
      <c r="AC1164" s="36"/>
    </row>
    <row r="1165" spans="17:29" x14ac:dyDescent="0.2">
      <c r="Q1165" s="36"/>
      <c r="R1165" s="40"/>
      <c r="S1165" s="40"/>
      <c r="T1165" s="40"/>
      <c r="U1165" s="41"/>
      <c r="V1165" s="41"/>
      <c r="W1165" s="41"/>
      <c r="X1165" s="36"/>
      <c r="Y1165" s="36"/>
      <c r="Z1165" s="36"/>
      <c r="AA1165" s="36"/>
      <c r="AB1165" s="36"/>
      <c r="AC1165" s="36"/>
    </row>
    <row r="1166" spans="17:29" x14ac:dyDescent="0.2">
      <c r="Q1166" s="36"/>
      <c r="R1166" s="40"/>
      <c r="S1166" s="40"/>
      <c r="T1166" s="40"/>
      <c r="U1166" s="41"/>
      <c r="V1166" s="41"/>
      <c r="W1166" s="41"/>
      <c r="X1166" s="36"/>
      <c r="Y1166" s="36"/>
      <c r="Z1166" s="36"/>
      <c r="AA1166" s="36"/>
      <c r="AB1166" s="36"/>
      <c r="AC1166" s="36"/>
    </row>
    <row r="1167" spans="17:29" x14ac:dyDescent="0.2">
      <c r="Q1167" s="36"/>
      <c r="R1167" s="40"/>
      <c r="S1167" s="40"/>
      <c r="T1167" s="40"/>
      <c r="U1167" s="41"/>
      <c r="V1167" s="41"/>
      <c r="W1167" s="41"/>
      <c r="X1167" s="36"/>
      <c r="Y1167" s="36"/>
      <c r="Z1167" s="36"/>
      <c r="AA1167" s="36"/>
      <c r="AB1167" s="36"/>
      <c r="AC1167" s="36"/>
    </row>
    <row r="1168" spans="17:29" x14ac:dyDescent="0.2">
      <c r="Q1168" s="36"/>
      <c r="R1168" s="40"/>
      <c r="S1168" s="40"/>
      <c r="T1168" s="40"/>
      <c r="U1168" s="41"/>
      <c r="V1168" s="41"/>
      <c r="W1168" s="41"/>
      <c r="X1168" s="36"/>
      <c r="Y1168" s="36"/>
      <c r="Z1168" s="36"/>
      <c r="AA1168" s="36"/>
      <c r="AB1168" s="36"/>
      <c r="AC1168" s="36"/>
    </row>
    <row r="1169" spans="17:29" x14ac:dyDescent="0.2">
      <c r="Q1169" s="36"/>
      <c r="R1169" s="40"/>
      <c r="S1169" s="40"/>
      <c r="T1169" s="40"/>
      <c r="U1169" s="41"/>
      <c r="V1169" s="41"/>
      <c r="W1169" s="41"/>
      <c r="X1169" s="36"/>
      <c r="Y1169" s="36"/>
      <c r="Z1169" s="36"/>
      <c r="AA1169" s="36"/>
      <c r="AB1169" s="36"/>
      <c r="AC1169" s="36"/>
    </row>
    <row r="1170" spans="17:29" x14ac:dyDescent="0.2">
      <c r="Q1170" s="36"/>
      <c r="R1170" s="40"/>
      <c r="S1170" s="40"/>
      <c r="T1170" s="40"/>
      <c r="U1170" s="41"/>
      <c r="V1170" s="41"/>
      <c r="W1170" s="41"/>
      <c r="X1170" s="36"/>
      <c r="Y1170" s="36"/>
      <c r="Z1170" s="36"/>
      <c r="AA1170" s="36"/>
      <c r="AB1170" s="36"/>
      <c r="AC1170" s="36"/>
    </row>
    <row r="1171" spans="17:29" x14ac:dyDescent="0.2">
      <c r="Q1171" s="36"/>
      <c r="R1171" s="40"/>
      <c r="S1171" s="40"/>
      <c r="T1171" s="40"/>
      <c r="U1171" s="41"/>
      <c r="V1171" s="41"/>
      <c r="W1171" s="41"/>
      <c r="X1171" s="36"/>
      <c r="Y1171" s="36"/>
      <c r="Z1171" s="36"/>
      <c r="AA1171" s="36"/>
      <c r="AB1171" s="36"/>
      <c r="AC1171" s="36"/>
    </row>
    <row r="1172" spans="17:29" x14ac:dyDescent="0.2">
      <c r="Q1172" s="36"/>
      <c r="R1172" s="40"/>
      <c r="S1172" s="40"/>
      <c r="T1172" s="40"/>
      <c r="U1172" s="41"/>
      <c r="V1172" s="41"/>
      <c r="W1172" s="41"/>
      <c r="X1172" s="36"/>
      <c r="Y1172" s="36"/>
      <c r="Z1172" s="36"/>
      <c r="AA1172" s="36"/>
      <c r="AB1172" s="36"/>
      <c r="AC1172" s="36"/>
    </row>
    <row r="1173" spans="17:29" x14ac:dyDescent="0.2">
      <c r="Q1173" s="36"/>
      <c r="R1173" s="40"/>
      <c r="S1173" s="40"/>
      <c r="T1173" s="40"/>
      <c r="U1173" s="41"/>
      <c r="V1173" s="41"/>
      <c r="W1173" s="41"/>
      <c r="X1173" s="36"/>
      <c r="Y1173" s="36"/>
      <c r="Z1173" s="36"/>
      <c r="AA1173" s="36"/>
      <c r="AB1173" s="36"/>
      <c r="AC1173" s="36"/>
    </row>
    <row r="1174" spans="17:29" x14ac:dyDescent="0.2">
      <c r="Q1174" s="36"/>
      <c r="R1174" s="40"/>
      <c r="S1174" s="40"/>
      <c r="T1174" s="40"/>
      <c r="U1174" s="41"/>
      <c r="V1174" s="41"/>
      <c r="W1174" s="41"/>
      <c r="X1174" s="36"/>
      <c r="Y1174" s="36"/>
      <c r="Z1174" s="36"/>
      <c r="AA1174" s="36"/>
      <c r="AB1174" s="36"/>
      <c r="AC1174" s="36"/>
    </row>
    <row r="1175" spans="17:29" x14ac:dyDescent="0.2">
      <c r="Q1175" s="36"/>
      <c r="R1175" s="40"/>
      <c r="S1175" s="40"/>
      <c r="T1175" s="40"/>
      <c r="U1175" s="41"/>
      <c r="V1175" s="41"/>
      <c r="W1175" s="41"/>
      <c r="X1175" s="36"/>
      <c r="Y1175" s="36"/>
      <c r="Z1175" s="36"/>
      <c r="AA1175" s="36"/>
      <c r="AB1175" s="36"/>
      <c r="AC1175" s="36"/>
    </row>
    <row r="1176" spans="17:29" x14ac:dyDescent="0.2">
      <c r="Q1176" s="36"/>
      <c r="R1176" s="40"/>
      <c r="S1176" s="40"/>
      <c r="T1176" s="40"/>
      <c r="U1176" s="41"/>
      <c r="V1176" s="41"/>
      <c r="W1176" s="41"/>
      <c r="X1176" s="36"/>
      <c r="Y1176" s="36"/>
      <c r="Z1176" s="36"/>
      <c r="AA1176" s="36"/>
      <c r="AB1176" s="36"/>
      <c r="AC1176" s="36"/>
    </row>
    <row r="1177" spans="17:29" x14ac:dyDescent="0.2">
      <c r="Q1177" s="36"/>
      <c r="R1177" s="40"/>
      <c r="S1177" s="40"/>
      <c r="T1177" s="40"/>
      <c r="U1177" s="41"/>
      <c r="V1177" s="41"/>
      <c r="W1177" s="41"/>
      <c r="X1177" s="36"/>
      <c r="Y1177" s="36"/>
      <c r="Z1177" s="36"/>
      <c r="AA1177" s="36"/>
      <c r="AB1177" s="36"/>
      <c r="AC1177" s="36"/>
    </row>
    <row r="1178" spans="17:29" x14ac:dyDescent="0.2">
      <c r="Q1178" s="36"/>
      <c r="R1178" s="40"/>
      <c r="S1178" s="40"/>
      <c r="T1178" s="40"/>
      <c r="U1178" s="41"/>
      <c r="V1178" s="41"/>
      <c r="W1178" s="41"/>
      <c r="X1178" s="36"/>
      <c r="Y1178" s="36"/>
      <c r="Z1178" s="36"/>
      <c r="AA1178" s="36"/>
      <c r="AB1178" s="36"/>
      <c r="AC1178" s="36"/>
    </row>
    <row r="1179" spans="17:29" x14ac:dyDescent="0.2">
      <c r="Q1179" s="36"/>
      <c r="R1179" s="40"/>
      <c r="S1179" s="40"/>
      <c r="T1179" s="40"/>
      <c r="U1179" s="41"/>
      <c r="V1179" s="41"/>
      <c r="W1179" s="41"/>
      <c r="X1179" s="36"/>
      <c r="Y1179" s="36"/>
      <c r="Z1179" s="36"/>
      <c r="AA1179" s="36"/>
      <c r="AB1179" s="36"/>
      <c r="AC1179" s="36"/>
    </row>
    <row r="1180" spans="17:29" x14ac:dyDescent="0.2">
      <c r="Q1180" s="36"/>
      <c r="R1180" s="40"/>
      <c r="S1180" s="40"/>
      <c r="T1180" s="40"/>
      <c r="U1180" s="41"/>
      <c r="V1180" s="41"/>
      <c r="W1180" s="41"/>
      <c r="X1180" s="36"/>
      <c r="Y1180" s="36"/>
      <c r="Z1180" s="36"/>
      <c r="AA1180" s="36"/>
      <c r="AB1180" s="36"/>
      <c r="AC1180" s="36"/>
    </row>
    <row r="1181" spans="17:29" x14ac:dyDescent="0.2">
      <c r="Q1181" s="36"/>
      <c r="R1181" s="40"/>
      <c r="S1181" s="40"/>
      <c r="T1181" s="40"/>
      <c r="U1181" s="41"/>
      <c r="V1181" s="41"/>
      <c r="W1181" s="41"/>
      <c r="X1181" s="36"/>
      <c r="Y1181" s="36"/>
      <c r="Z1181" s="36"/>
      <c r="AA1181" s="36"/>
      <c r="AB1181" s="36"/>
      <c r="AC1181" s="36"/>
    </row>
    <row r="1182" spans="17:29" x14ac:dyDescent="0.2">
      <c r="Q1182" s="36"/>
      <c r="R1182" s="40"/>
      <c r="S1182" s="40"/>
      <c r="T1182" s="40"/>
      <c r="U1182" s="41"/>
      <c r="V1182" s="41"/>
      <c r="W1182" s="41"/>
      <c r="X1182" s="36"/>
      <c r="Y1182" s="36"/>
      <c r="Z1182" s="36"/>
      <c r="AA1182" s="36"/>
      <c r="AB1182" s="36"/>
      <c r="AC1182" s="36"/>
    </row>
    <row r="1183" spans="17:29" x14ac:dyDescent="0.2">
      <c r="Q1183" s="36"/>
      <c r="R1183" s="40"/>
      <c r="S1183" s="40"/>
      <c r="T1183" s="40"/>
      <c r="U1183" s="41"/>
      <c r="V1183" s="41"/>
      <c r="W1183" s="41"/>
      <c r="X1183" s="36"/>
      <c r="Y1183" s="36"/>
      <c r="Z1183" s="36"/>
      <c r="AA1183" s="36"/>
      <c r="AB1183" s="36"/>
      <c r="AC1183" s="36"/>
    </row>
    <row r="1184" spans="17:29" x14ac:dyDescent="0.2">
      <c r="Q1184" s="36"/>
      <c r="R1184" s="40"/>
      <c r="S1184" s="40"/>
      <c r="T1184" s="40"/>
      <c r="U1184" s="41"/>
      <c r="V1184" s="41"/>
      <c r="W1184" s="41"/>
      <c r="X1184" s="36"/>
      <c r="Y1184" s="36"/>
      <c r="Z1184" s="36"/>
      <c r="AA1184" s="36"/>
      <c r="AB1184" s="36"/>
      <c r="AC1184" s="36"/>
    </row>
    <row r="1185" spans="17:29" x14ac:dyDescent="0.2">
      <c r="Q1185" s="36"/>
      <c r="R1185" s="40"/>
      <c r="S1185" s="40"/>
      <c r="T1185" s="40"/>
      <c r="U1185" s="41"/>
      <c r="V1185" s="41"/>
      <c r="W1185" s="41"/>
      <c r="X1185" s="36"/>
      <c r="Y1185" s="36"/>
      <c r="Z1185" s="36"/>
      <c r="AA1185" s="36"/>
      <c r="AB1185" s="36"/>
      <c r="AC1185" s="36"/>
    </row>
    <row r="1186" spans="17:29" x14ac:dyDescent="0.2">
      <c r="Q1186" s="36"/>
      <c r="R1186" s="40"/>
      <c r="S1186" s="40"/>
      <c r="T1186" s="40"/>
      <c r="U1186" s="41"/>
      <c r="V1186" s="41"/>
      <c r="W1186" s="41"/>
      <c r="X1186" s="36"/>
      <c r="Y1186" s="36"/>
      <c r="Z1186" s="36"/>
      <c r="AA1186" s="36"/>
      <c r="AB1186" s="36"/>
      <c r="AC1186" s="36"/>
    </row>
    <row r="1187" spans="17:29" x14ac:dyDescent="0.2">
      <c r="Q1187" s="36"/>
      <c r="R1187" s="40"/>
      <c r="S1187" s="40"/>
      <c r="T1187" s="40"/>
      <c r="U1187" s="41"/>
      <c r="V1187" s="41"/>
      <c r="W1187" s="41"/>
      <c r="X1187" s="36"/>
      <c r="Y1187" s="36"/>
      <c r="Z1187" s="36"/>
      <c r="AA1187" s="36"/>
      <c r="AB1187" s="36"/>
      <c r="AC1187" s="36"/>
    </row>
    <row r="1188" spans="17:29" x14ac:dyDescent="0.2">
      <c r="Q1188" s="36"/>
      <c r="R1188" s="40"/>
      <c r="S1188" s="40"/>
      <c r="T1188" s="40"/>
      <c r="U1188" s="41"/>
      <c r="V1188" s="41"/>
      <c r="W1188" s="41"/>
      <c r="X1188" s="36"/>
      <c r="Y1188" s="36"/>
      <c r="Z1188" s="36"/>
      <c r="AA1188" s="36"/>
      <c r="AB1188" s="36"/>
      <c r="AC1188" s="36"/>
    </row>
    <row r="1189" spans="17:29" x14ac:dyDescent="0.2">
      <c r="Q1189" s="36"/>
      <c r="R1189" s="40"/>
      <c r="S1189" s="40"/>
      <c r="T1189" s="40"/>
      <c r="U1189" s="41"/>
      <c r="V1189" s="41"/>
      <c r="W1189" s="41"/>
      <c r="X1189" s="36"/>
      <c r="Y1189" s="36"/>
      <c r="Z1189" s="36"/>
      <c r="AA1189" s="36"/>
      <c r="AB1189" s="36"/>
      <c r="AC1189" s="36"/>
    </row>
    <row r="1190" spans="17:29" x14ac:dyDescent="0.2">
      <c r="Q1190" s="36"/>
      <c r="R1190" s="40"/>
      <c r="S1190" s="40"/>
      <c r="T1190" s="40"/>
      <c r="U1190" s="41"/>
      <c r="V1190" s="41"/>
      <c r="W1190" s="41"/>
      <c r="X1190" s="36"/>
      <c r="Y1190" s="36"/>
      <c r="Z1190" s="36"/>
      <c r="AA1190" s="36"/>
      <c r="AB1190" s="36"/>
      <c r="AC1190" s="36"/>
    </row>
    <row r="1191" spans="17:29" x14ac:dyDescent="0.2">
      <c r="Q1191" s="36"/>
      <c r="R1191" s="40"/>
      <c r="S1191" s="40"/>
      <c r="T1191" s="40"/>
      <c r="U1191" s="41"/>
      <c r="V1191" s="41"/>
      <c r="W1191" s="41"/>
      <c r="X1191" s="36"/>
      <c r="Y1191" s="36"/>
      <c r="Z1191" s="36"/>
      <c r="AA1191" s="36"/>
      <c r="AB1191" s="36"/>
      <c r="AC1191" s="36"/>
    </row>
    <row r="1192" spans="17:29" x14ac:dyDescent="0.2">
      <c r="Q1192" s="36"/>
      <c r="R1192" s="40"/>
      <c r="S1192" s="40"/>
      <c r="T1192" s="40"/>
      <c r="U1192" s="41"/>
      <c r="V1192" s="41"/>
      <c r="W1192" s="41"/>
      <c r="X1192" s="36"/>
      <c r="Y1192" s="36"/>
      <c r="Z1192" s="36"/>
      <c r="AA1192" s="36"/>
      <c r="AB1192" s="36"/>
      <c r="AC1192" s="36"/>
    </row>
    <row r="1193" spans="17:29" x14ac:dyDescent="0.2">
      <c r="Q1193" s="36"/>
      <c r="R1193" s="40"/>
      <c r="S1193" s="40"/>
      <c r="T1193" s="40"/>
      <c r="U1193" s="41"/>
      <c r="V1193" s="41"/>
      <c r="W1193" s="41"/>
      <c r="X1193" s="36"/>
      <c r="Y1193" s="36"/>
      <c r="Z1193" s="36"/>
      <c r="AA1193" s="36"/>
      <c r="AB1193" s="36"/>
      <c r="AC1193" s="36"/>
    </row>
    <row r="1194" spans="17:29" x14ac:dyDescent="0.2">
      <c r="Q1194" s="36"/>
      <c r="R1194" s="40"/>
      <c r="S1194" s="40"/>
      <c r="T1194" s="40"/>
      <c r="U1194" s="41"/>
      <c r="V1194" s="41"/>
      <c r="W1194" s="41"/>
      <c r="X1194" s="36"/>
      <c r="Y1194" s="36"/>
      <c r="Z1194" s="36"/>
      <c r="AA1194" s="36"/>
      <c r="AB1194" s="36"/>
      <c r="AC1194" s="36"/>
    </row>
    <row r="1195" spans="17:29" x14ac:dyDescent="0.2">
      <c r="Q1195" s="36"/>
      <c r="R1195" s="40"/>
      <c r="S1195" s="40"/>
      <c r="T1195" s="40"/>
      <c r="U1195" s="41"/>
      <c r="V1195" s="41"/>
      <c r="W1195" s="41"/>
      <c r="X1195" s="36"/>
      <c r="Y1195" s="36"/>
      <c r="Z1195" s="36"/>
      <c r="AA1195" s="36"/>
      <c r="AB1195" s="36"/>
      <c r="AC1195" s="36"/>
    </row>
    <row r="1196" spans="17:29" x14ac:dyDescent="0.2">
      <c r="Q1196" s="36"/>
      <c r="R1196" s="40"/>
      <c r="S1196" s="40"/>
      <c r="T1196" s="40"/>
      <c r="U1196" s="41"/>
      <c r="V1196" s="41"/>
      <c r="W1196" s="41"/>
      <c r="X1196" s="36"/>
      <c r="Y1196" s="36"/>
      <c r="Z1196" s="36"/>
      <c r="AA1196" s="36"/>
      <c r="AB1196" s="36"/>
      <c r="AC1196" s="36"/>
    </row>
    <row r="1197" spans="17:29" x14ac:dyDescent="0.2">
      <c r="Q1197" s="36"/>
      <c r="R1197" s="40"/>
      <c r="S1197" s="40"/>
      <c r="T1197" s="40"/>
      <c r="U1197" s="41"/>
      <c r="V1197" s="41"/>
      <c r="W1197" s="41"/>
      <c r="X1197" s="36"/>
      <c r="Y1197" s="36"/>
      <c r="Z1197" s="36"/>
      <c r="AA1197" s="36"/>
      <c r="AB1197" s="36"/>
      <c r="AC1197" s="36"/>
    </row>
    <row r="1198" spans="17:29" x14ac:dyDescent="0.2">
      <c r="Q1198" s="36"/>
      <c r="R1198" s="40"/>
      <c r="S1198" s="40"/>
      <c r="T1198" s="40"/>
      <c r="U1198" s="41"/>
      <c r="V1198" s="41"/>
      <c r="W1198" s="41"/>
      <c r="X1198" s="36"/>
      <c r="Y1198" s="36"/>
      <c r="Z1198" s="36"/>
      <c r="AA1198" s="36"/>
      <c r="AB1198" s="36"/>
      <c r="AC1198" s="36"/>
    </row>
    <row r="1199" spans="17:29" x14ac:dyDescent="0.2">
      <c r="Q1199" s="36"/>
      <c r="R1199" s="40"/>
      <c r="S1199" s="40"/>
      <c r="T1199" s="40"/>
      <c r="U1199" s="41"/>
      <c r="V1199" s="41"/>
      <c r="W1199" s="41"/>
      <c r="X1199" s="36"/>
      <c r="Y1199" s="36"/>
      <c r="Z1199" s="36"/>
      <c r="AA1199" s="36"/>
      <c r="AB1199" s="36"/>
      <c r="AC1199" s="36"/>
    </row>
    <row r="1200" spans="17:29" x14ac:dyDescent="0.2">
      <c r="Q1200" s="36"/>
      <c r="R1200" s="40"/>
      <c r="S1200" s="40"/>
      <c r="T1200" s="40"/>
      <c r="U1200" s="41"/>
      <c r="V1200" s="41"/>
      <c r="W1200" s="41"/>
      <c r="X1200" s="36"/>
      <c r="Y1200" s="36"/>
      <c r="Z1200" s="36"/>
      <c r="AA1200" s="36"/>
      <c r="AB1200" s="36"/>
      <c r="AC1200" s="36"/>
    </row>
    <row r="1201" spans="17:29" x14ac:dyDescent="0.2">
      <c r="Q1201" s="36"/>
      <c r="R1201" s="40"/>
      <c r="S1201" s="40"/>
      <c r="T1201" s="40"/>
      <c r="U1201" s="41"/>
      <c r="V1201" s="41"/>
      <c r="W1201" s="41"/>
      <c r="X1201" s="36"/>
      <c r="Y1201" s="36"/>
      <c r="Z1201" s="36"/>
      <c r="AA1201" s="36"/>
      <c r="AB1201" s="36"/>
      <c r="AC1201" s="36"/>
    </row>
    <row r="1202" spans="17:29" x14ac:dyDescent="0.2">
      <c r="Q1202" s="36"/>
      <c r="R1202" s="40"/>
      <c r="S1202" s="40"/>
      <c r="T1202" s="40"/>
      <c r="U1202" s="41"/>
      <c r="V1202" s="41"/>
      <c r="W1202" s="41"/>
      <c r="X1202" s="36"/>
      <c r="Y1202" s="36"/>
      <c r="Z1202" s="36"/>
      <c r="AA1202" s="36"/>
      <c r="AB1202" s="36"/>
      <c r="AC1202" s="36"/>
    </row>
    <row r="1203" spans="17:29" x14ac:dyDescent="0.2">
      <c r="Q1203" s="36"/>
      <c r="R1203" s="40"/>
      <c r="S1203" s="40"/>
      <c r="T1203" s="40"/>
      <c r="U1203" s="41"/>
      <c r="V1203" s="41"/>
      <c r="W1203" s="41"/>
      <c r="X1203" s="36"/>
      <c r="Y1203" s="36"/>
      <c r="Z1203" s="36"/>
      <c r="AA1203" s="36"/>
      <c r="AB1203" s="36"/>
      <c r="AC1203" s="36"/>
    </row>
    <row r="1204" spans="17:29" x14ac:dyDescent="0.2">
      <c r="Q1204" s="36"/>
      <c r="R1204" s="40"/>
      <c r="S1204" s="40"/>
      <c r="T1204" s="40"/>
      <c r="U1204" s="41"/>
      <c r="V1204" s="41"/>
      <c r="W1204" s="41"/>
      <c r="X1204" s="36"/>
      <c r="Y1204" s="36"/>
      <c r="Z1204" s="36"/>
      <c r="AA1204" s="36"/>
      <c r="AB1204" s="36"/>
      <c r="AC1204" s="36"/>
    </row>
    <row r="1205" spans="17:29" x14ac:dyDescent="0.2">
      <c r="Q1205" s="36"/>
      <c r="R1205" s="40"/>
      <c r="S1205" s="40"/>
      <c r="T1205" s="40"/>
      <c r="U1205" s="41"/>
      <c r="V1205" s="41"/>
      <c r="W1205" s="41"/>
      <c r="X1205" s="36"/>
      <c r="Y1205" s="36"/>
      <c r="Z1205" s="36"/>
      <c r="AA1205" s="36"/>
      <c r="AB1205" s="36"/>
      <c r="AC1205" s="36"/>
    </row>
    <row r="1206" spans="17:29" x14ac:dyDescent="0.2">
      <c r="Q1206" s="36"/>
      <c r="R1206" s="40"/>
      <c r="S1206" s="40"/>
      <c r="T1206" s="40"/>
      <c r="U1206" s="41"/>
      <c r="V1206" s="41"/>
      <c r="W1206" s="41"/>
      <c r="X1206" s="36"/>
      <c r="Y1206" s="36"/>
      <c r="Z1206" s="36"/>
      <c r="AA1206" s="36"/>
      <c r="AB1206" s="36"/>
      <c r="AC1206" s="36"/>
    </row>
    <row r="1207" spans="17:29" x14ac:dyDescent="0.2">
      <c r="Q1207" s="36"/>
      <c r="R1207" s="40"/>
      <c r="S1207" s="40"/>
      <c r="T1207" s="40"/>
      <c r="U1207" s="41"/>
      <c r="V1207" s="41"/>
      <c r="W1207" s="41"/>
      <c r="X1207" s="36"/>
      <c r="Y1207" s="36"/>
      <c r="Z1207" s="36"/>
      <c r="AA1207" s="36"/>
      <c r="AB1207" s="36"/>
      <c r="AC1207" s="36"/>
    </row>
    <row r="1208" spans="17:29" x14ac:dyDescent="0.2">
      <c r="Q1208" s="36"/>
      <c r="R1208" s="40"/>
      <c r="S1208" s="40"/>
      <c r="T1208" s="40"/>
      <c r="U1208" s="41"/>
      <c r="V1208" s="41"/>
      <c r="W1208" s="41"/>
      <c r="X1208" s="36"/>
      <c r="Y1208" s="36"/>
      <c r="Z1208" s="36"/>
      <c r="AA1208" s="36"/>
      <c r="AB1208" s="36"/>
      <c r="AC1208" s="36"/>
    </row>
    <row r="1209" spans="17:29" x14ac:dyDescent="0.2">
      <c r="Q1209" s="36"/>
      <c r="R1209" s="40"/>
      <c r="S1209" s="40"/>
      <c r="T1209" s="40"/>
      <c r="U1209" s="41"/>
      <c r="V1209" s="41"/>
      <c r="W1209" s="41"/>
      <c r="X1209" s="36"/>
      <c r="Y1209" s="36"/>
      <c r="Z1209" s="36"/>
      <c r="AA1209" s="36"/>
      <c r="AB1209" s="36"/>
      <c r="AC1209" s="36"/>
    </row>
    <row r="1210" spans="17:29" x14ac:dyDescent="0.2">
      <c r="Q1210" s="36"/>
      <c r="R1210" s="40"/>
      <c r="S1210" s="40"/>
      <c r="T1210" s="40"/>
      <c r="U1210" s="41"/>
      <c r="V1210" s="41"/>
      <c r="W1210" s="41"/>
      <c r="X1210" s="36"/>
      <c r="Y1210" s="36"/>
      <c r="Z1210" s="36"/>
      <c r="AA1210" s="36"/>
      <c r="AB1210" s="36"/>
      <c r="AC1210" s="36"/>
    </row>
    <row r="1211" spans="17:29" x14ac:dyDescent="0.2">
      <c r="Q1211" s="36"/>
      <c r="R1211" s="40"/>
      <c r="S1211" s="40"/>
      <c r="T1211" s="40"/>
      <c r="U1211" s="41"/>
      <c r="V1211" s="41"/>
      <c r="W1211" s="41"/>
      <c r="X1211" s="36"/>
      <c r="Y1211" s="36"/>
      <c r="Z1211" s="36"/>
      <c r="AA1211" s="36"/>
      <c r="AB1211" s="36"/>
      <c r="AC1211" s="36"/>
    </row>
    <row r="1212" spans="17:29" x14ac:dyDescent="0.2">
      <c r="Q1212" s="36"/>
      <c r="R1212" s="40"/>
      <c r="S1212" s="40"/>
      <c r="T1212" s="40"/>
      <c r="U1212" s="41"/>
      <c r="V1212" s="41"/>
      <c r="W1212" s="41"/>
      <c r="X1212" s="36"/>
      <c r="Y1212" s="36"/>
      <c r="Z1212" s="36"/>
      <c r="AA1212" s="36"/>
      <c r="AB1212" s="36"/>
      <c r="AC1212" s="36"/>
    </row>
    <row r="1213" spans="17:29" x14ac:dyDescent="0.2">
      <c r="Q1213" s="36"/>
      <c r="R1213" s="40"/>
      <c r="S1213" s="40"/>
      <c r="T1213" s="40"/>
      <c r="U1213" s="41"/>
      <c r="V1213" s="41"/>
      <c r="W1213" s="41"/>
      <c r="X1213" s="36"/>
      <c r="Y1213" s="36"/>
      <c r="Z1213" s="36"/>
      <c r="AA1213" s="36"/>
      <c r="AB1213" s="36"/>
      <c r="AC1213" s="36"/>
    </row>
    <row r="1214" spans="17:29" x14ac:dyDescent="0.2">
      <c r="Q1214" s="36"/>
      <c r="R1214" s="40"/>
      <c r="S1214" s="40"/>
      <c r="T1214" s="40"/>
      <c r="U1214" s="41"/>
      <c r="V1214" s="41"/>
      <c r="W1214" s="41"/>
      <c r="X1214" s="36"/>
      <c r="Y1214" s="36"/>
      <c r="Z1214" s="36"/>
      <c r="AA1214" s="36"/>
      <c r="AB1214" s="36"/>
      <c r="AC1214" s="36"/>
    </row>
    <row r="1215" spans="17:29" x14ac:dyDescent="0.2">
      <c r="Q1215" s="36"/>
      <c r="R1215" s="40"/>
      <c r="S1215" s="40"/>
      <c r="T1215" s="40"/>
      <c r="U1215" s="41"/>
      <c r="V1215" s="41"/>
      <c r="W1215" s="41"/>
      <c r="X1215" s="36"/>
      <c r="Y1215" s="36"/>
      <c r="Z1215" s="36"/>
      <c r="AA1215" s="36"/>
      <c r="AB1215" s="36"/>
      <c r="AC1215" s="36"/>
    </row>
    <row r="1216" spans="17:29" x14ac:dyDescent="0.2">
      <c r="Q1216" s="36"/>
      <c r="R1216" s="40"/>
      <c r="S1216" s="40"/>
      <c r="T1216" s="40"/>
      <c r="U1216" s="41"/>
      <c r="V1216" s="41"/>
      <c r="W1216" s="41"/>
      <c r="X1216" s="36"/>
      <c r="Y1216" s="36"/>
      <c r="Z1216" s="36"/>
      <c r="AA1216" s="36"/>
      <c r="AB1216" s="36"/>
      <c r="AC1216" s="36"/>
    </row>
    <row r="1217" spans="17:29" x14ac:dyDescent="0.2">
      <c r="Q1217" s="36"/>
      <c r="R1217" s="40"/>
      <c r="S1217" s="40"/>
      <c r="T1217" s="40"/>
      <c r="U1217" s="41"/>
      <c r="V1217" s="41"/>
      <c r="W1217" s="41"/>
      <c r="X1217" s="36"/>
      <c r="Y1217" s="36"/>
      <c r="Z1217" s="36"/>
      <c r="AA1217" s="36"/>
      <c r="AB1217" s="36"/>
      <c r="AC1217" s="36"/>
    </row>
    <row r="1218" spans="17:29" x14ac:dyDescent="0.2">
      <c r="Q1218" s="36"/>
      <c r="R1218" s="40"/>
      <c r="S1218" s="40"/>
      <c r="T1218" s="40"/>
      <c r="U1218" s="41"/>
      <c r="V1218" s="41"/>
      <c r="W1218" s="41"/>
      <c r="X1218" s="36"/>
      <c r="Y1218" s="36"/>
      <c r="Z1218" s="36"/>
      <c r="AA1218" s="36"/>
      <c r="AB1218" s="36"/>
      <c r="AC1218" s="36"/>
    </row>
    <row r="1219" spans="17:29" x14ac:dyDescent="0.2">
      <c r="Q1219" s="36"/>
      <c r="R1219" s="40"/>
      <c r="S1219" s="40"/>
      <c r="T1219" s="40"/>
      <c r="U1219" s="41"/>
      <c r="V1219" s="41"/>
      <c r="W1219" s="41"/>
      <c r="X1219" s="36"/>
      <c r="Y1219" s="36"/>
      <c r="Z1219" s="36"/>
      <c r="AA1219" s="36"/>
      <c r="AB1219" s="36"/>
      <c r="AC1219" s="36"/>
    </row>
    <row r="1220" spans="17:29" x14ac:dyDescent="0.2">
      <c r="Q1220" s="36"/>
      <c r="R1220" s="40"/>
      <c r="S1220" s="40"/>
      <c r="T1220" s="40"/>
      <c r="U1220" s="41"/>
      <c r="V1220" s="41"/>
      <c r="W1220" s="41"/>
      <c r="X1220" s="36"/>
      <c r="Y1220" s="36"/>
      <c r="Z1220" s="36"/>
      <c r="AA1220" s="36"/>
      <c r="AB1220" s="36"/>
      <c r="AC1220" s="36"/>
    </row>
    <row r="1221" spans="17:29" x14ac:dyDescent="0.2">
      <c r="Q1221" s="36"/>
      <c r="R1221" s="40"/>
      <c r="S1221" s="40"/>
      <c r="T1221" s="40"/>
      <c r="U1221" s="41"/>
      <c r="V1221" s="41"/>
      <c r="W1221" s="41"/>
      <c r="X1221" s="36"/>
      <c r="Y1221" s="36"/>
      <c r="Z1221" s="36"/>
      <c r="AA1221" s="36"/>
      <c r="AB1221" s="36"/>
      <c r="AC1221" s="36"/>
    </row>
    <row r="1222" spans="17:29" x14ac:dyDescent="0.2">
      <c r="Q1222" s="36"/>
      <c r="R1222" s="40"/>
      <c r="S1222" s="40"/>
      <c r="T1222" s="40"/>
      <c r="U1222" s="41"/>
      <c r="V1222" s="41"/>
      <c r="W1222" s="41"/>
      <c r="X1222" s="36"/>
      <c r="Y1222" s="36"/>
      <c r="Z1222" s="36"/>
      <c r="AA1222" s="36"/>
      <c r="AB1222" s="36"/>
      <c r="AC1222" s="36"/>
    </row>
    <row r="1223" spans="17:29" x14ac:dyDescent="0.2">
      <c r="Q1223" s="36"/>
      <c r="R1223" s="40"/>
      <c r="S1223" s="40"/>
      <c r="T1223" s="40"/>
      <c r="U1223" s="41"/>
      <c r="V1223" s="41"/>
      <c r="W1223" s="41"/>
      <c r="X1223" s="36"/>
      <c r="Y1223" s="36"/>
      <c r="Z1223" s="36"/>
      <c r="AA1223" s="36"/>
      <c r="AB1223" s="36"/>
      <c r="AC1223" s="36"/>
    </row>
    <row r="1224" spans="17:29" x14ac:dyDescent="0.2">
      <c r="Q1224" s="36"/>
      <c r="R1224" s="40"/>
      <c r="S1224" s="40"/>
      <c r="T1224" s="40"/>
      <c r="U1224" s="41"/>
      <c r="V1224" s="41"/>
      <c r="W1224" s="41"/>
      <c r="X1224" s="36"/>
      <c r="Y1224" s="36"/>
      <c r="Z1224" s="36"/>
      <c r="AA1224" s="36"/>
      <c r="AB1224" s="36"/>
      <c r="AC1224" s="36"/>
    </row>
    <row r="1225" spans="17:29" x14ac:dyDescent="0.2">
      <c r="Q1225" s="36"/>
      <c r="R1225" s="40"/>
      <c r="S1225" s="40"/>
      <c r="T1225" s="40"/>
      <c r="U1225" s="41"/>
      <c r="V1225" s="41"/>
      <c r="W1225" s="41"/>
      <c r="X1225" s="36"/>
      <c r="Y1225" s="36"/>
      <c r="Z1225" s="36"/>
      <c r="AA1225" s="36"/>
      <c r="AB1225" s="36"/>
      <c r="AC1225" s="36"/>
    </row>
    <row r="1226" spans="17:29" x14ac:dyDescent="0.2">
      <c r="Q1226" s="36"/>
      <c r="R1226" s="40"/>
      <c r="S1226" s="40"/>
      <c r="T1226" s="40"/>
      <c r="U1226" s="41"/>
      <c r="V1226" s="41"/>
      <c r="W1226" s="41"/>
      <c r="X1226" s="36"/>
      <c r="Y1226" s="36"/>
      <c r="Z1226" s="36"/>
      <c r="AA1226" s="36"/>
      <c r="AB1226" s="36"/>
      <c r="AC1226" s="36"/>
    </row>
    <row r="1227" spans="17:29" x14ac:dyDescent="0.2">
      <c r="Q1227" s="36"/>
      <c r="R1227" s="40"/>
      <c r="S1227" s="40"/>
      <c r="T1227" s="40"/>
      <c r="U1227" s="41"/>
      <c r="V1227" s="41"/>
      <c r="W1227" s="41"/>
      <c r="X1227" s="36"/>
      <c r="Y1227" s="36"/>
      <c r="Z1227" s="36"/>
      <c r="AA1227" s="36"/>
      <c r="AB1227" s="36"/>
      <c r="AC1227" s="36"/>
    </row>
    <row r="1228" spans="17:29" x14ac:dyDescent="0.2">
      <c r="Q1228" s="36"/>
      <c r="R1228" s="40"/>
      <c r="S1228" s="40"/>
      <c r="T1228" s="40"/>
      <c r="U1228" s="41"/>
      <c r="V1228" s="41"/>
      <c r="W1228" s="41"/>
      <c r="X1228" s="36"/>
      <c r="Y1228" s="36"/>
      <c r="Z1228" s="36"/>
      <c r="AA1228" s="36"/>
      <c r="AB1228" s="36"/>
      <c r="AC1228" s="36"/>
    </row>
    <row r="1229" spans="17:29" x14ac:dyDescent="0.2">
      <c r="Q1229" s="36"/>
      <c r="R1229" s="40"/>
      <c r="S1229" s="40"/>
      <c r="T1229" s="40"/>
      <c r="U1229" s="41"/>
      <c r="V1229" s="41"/>
      <c r="W1229" s="41"/>
      <c r="X1229" s="36"/>
      <c r="Y1229" s="36"/>
      <c r="Z1229" s="36"/>
      <c r="AA1229" s="36"/>
      <c r="AB1229" s="36"/>
      <c r="AC1229" s="36"/>
    </row>
    <row r="1230" spans="17:29" x14ac:dyDescent="0.2">
      <c r="Q1230" s="36"/>
      <c r="R1230" s="40"/>
      <c r="S1230" s="40"/>
      <c r="T1230" s="40"/>
      <c r="U1230" s="41"/>
      <c r="V1230" s="41"/>
      <c r="W1230" s="41"/>
      <c r="X1230" s="36"/>
      <c r="Y1230" s="36"/>
      <c r="Z1230" s="36"/>
      <c r="AA1230" s="36"/>
      <c r="AB1230" s="36"/>
      <c r="AC1230" s="36"/>
    </row>
    <row r="1231" spans="17:29" x14ac:dyDescent="0.2">
      <c r="Q1231" s="36"/>
      <c r="R1231" s="40"/>
      <c r="S1231" s="40"/>
      <c r="T1231" s="40"/>
      <c r="U1231" s="41"/>
      <c r="V1231" s="41"/>
      <c r="W1231" s="41"/>
      <c r="X1231" s="36"/>
      <c r="Y1231" s="36"/>
      <c r="Z1231" s="36"/>
      <c r="AA1231" s="36"/>
      <c r="AB1231" s="36"/>
      <c r="AC1231" s="36"/>
    </row>
    <row r="1232" spans="17:29" x14ac:dyDescent="0.2">
      <c r="Q1232" s="36"/>
      <c r="R1232" s="40"/>
      <c r="S1232" s="40"/>
      <c r="T1232" s="40"/>
      <c r="U1232" s="41"/>
      <c r="V1232" s="41"/>
      <c r="W1232" s="41"/>
      <c r="X1232" s="36"/>
      <c r="Y1232" s="36"/>
      <c r="Z1232" s="36"/>
      <c r="AA1232" s="36"/>
      <c r="AB1232" s="36"/>
      <c r="AC1232" s="36"/>
    </row>
    <row r="1233" spans="17:29" x14ac:dyDescent="0.2">
      <c r="Q1233" s="36"/>
      <c r="R1233" s="40"/>
      <c r="S1233" s="40"/>
      <c r="T1233" s="40"/>
      <c r="U1233" s="41"/>
      <c r="V1233" s="41"/>
      <c r="W1233" s="41"/>
      <c r="X1233" s="36"/>
      <c r="Y1233" s="36"/>
      <c r="Z1233" s="36"/>
      <c r="AA1233" s="36"/>
      <c r="AB1233" s="36"/>
      <c r="AC1233" s="36"/>
    </row>
    <row r="1234" spans="17:29" x14ac:dyDescent="0.2">
      <c r="Q1234" s="36"/>
      <c r="R1234" s="40"/>
      <c r="S1234" s="40"/>
      <c r="T1234" s="40"/>
      <c r="U1234" s="41"/>
      <c r="V1234" s="41"/>
      <c r="W1234" s="41"/>
      <c r="X1234" s="36"/>
      <c r="Y1234" s="36"/>
      <c r="Z1234" s="36"/>
      <c r="AA1234" s="36"/>
      <c r="AB1234" s="36"/>
      <c r="AC1234" s="36"/>
    </row>
    <row r="1235" spans="17:29" x14ac:dyDescent="0.2">
      <c r="Q1235" s="36"/>
      <c r="R1235" s="40"/>
      <c r="S1235" s="40"/>
      <c r="T1235" s="40"/>
      <c r="U1235" s="41"/>
      <c r="V1235" s="41"/>
      <c r="W1235" s="41"/>
      <c r="X1235" s="36"/>
      <c r="Y1235" s="36"/>
      <c r="Z1235" s="36"/>
      <c r="AA1235" s="36"/>
      <c r="AB1235" s="36"/>
      <c r="AC1235" s="36"/>
    </row>
    <row r="1236" spans="17:29" x14ac:dyDescent="0.2">
      <c r="Q1236" s="36"/>
      <c r="R1236" s="40"/>
      <c r="S1236" s="40"/>
      <c r="T1236" s="40"/>
      <c r="U1236" s="41"/>
      <c r="V1236" s="41"/>
      <c r="W1236" s="41"/>
      <c r="X1236" s="36"/>
      <c r="Y1236" s="36"/>
      <c r="Z1236" s="36"/>
      <c r="AA1236" s="36"/>
      <c r="AB1236" s="36"/>
      <c r="AC1236" s="36"/>
    </row>
    <row r="1237" spans="17:29" x14ac:dyDescent="0.2">
      <c r="Q1237" s="36"/>
      <c r="R1237" s="40"/>
      <c r="S1237" s="40"/>
      <c r="T1237" s="40"/>
      <c r="U1237" s="41"/>
      <c r="V1237" s="41"/>
      <c r="W1237" s="41"/>
      <c r="X1237" s="36"/>
      <c r="Y1237" s="36"/>
      <c r="Z1237" s="36"/>
      <c r="AA1237" s="36"/>
      <c r="AB1237" s="36"/>
      <c r="AC1237" s="36"/>
    </row>
    <row r="1238" spans="17:29" x14ac:dyDescent="0.2">
      <c r="Q1238" s="36"/>
      <c r="R1238" s="40"/>
      <c r="S1238" s="40"/>
      <c r="T1238" s="40"/>
      <c r="U1238" s="41"/>
      <c r="V1238" s="41"/>
      <c r="W1238" s="41"/>
      <c r="X1238" s="36"/>
      <c r="Y1238" s="36"/>
      <c r="Z1238" s="36"/>
      <c r="AA1238" s="36"/>
      <c r="AB1238" s="36"/>
      <c r="AC1238" s="36"/>
    </row>
    <row r="1239" spans="17:29" x14ac:dyDescent="0.2">
      <c r="Q1239" s="36"/>
      <c r="R1239" s="40"/>
      <c r="S1239" s="40"/>
      <c r="T1239" s="40"/>
      <c r="U1239" s="41"/>
      <c r="V1239" s="41"/>
      <c r="W1239" s="41"/>
      <c r="X1239" s="36"/>
      <c r="Y1239" s="36"/>
      <c r="Z1239" s="36"/>
      <c r="AA1239" s="36"/>
      <c r="AB1239" s="36"/>
      <c r="AC1239" s="36"/>
    </row>
    <row r="1240" spans="17:29" x14ac:dyDescent="0.2">
      <c r="Q1240" s="36"/>
      <c r="R1240" s="40"/>
      <c r="S1240" s="40"/>
      <c r="T1240" s="40"/>
      <c r="U1240" s="41"/>
      <c r="V1240" s="41"/>
      <c r="W1240" s="41"/>
      <c r="X1240" s="36"/>
      <c r="Y1240" s="36"/>
      <c r="Z1240" s="36"/>
      <c r="AA1240" s="36"/>
      <c r="AB1240" s="36"/>
      <c r="AC1240" s="36"/>
    </row>
    <row r="1241" spans="17:29" x14ac:dyDescent="0.2">
      <c r="Q1241" s="36"/>
      <c r="R1241" s="40"/>
      <c r="S1241" s="40"/>
      <c r="T1241" s="40"/>
      <c r="U1241" s="41"/>
      <c r="V1241" s="41"/>
      <c r="W1241" s="41"/>
      <c r="X1241" s="36"/>
      <c r="Y1241" s="36"/>
      <c r="Z1241" s="36"/>
      <c r="AA1241" s="36"/>
      <c r="AB1241" s="36"/>
      <c r="AC1241" s="36"/>
    </row>
    <row r="1242" spans="17:29" x14ac:dyDescent="0.2">
      <c r="Q1242" s="36"/>
      <c r="R1242" s="40"/>
      <c r="S1242" s="40"/>
      <c r="T1242" s="40"/>
      <c r="U1242" s="41"/>
      <c r="V1242" s="41"/>
      <c r="W1242" s="41"/>
      <c r="X1242" s="36"/>
      <c r="Y1242" s="36"/>
      <c r="Z1242" s="36"/>
      <c r="AA1242" s="36"/>
      <c r="AB1242" s="36"/>
      <c r="AC1242" s="36"/>
    </row>
    <row r="1243" spans="17:29" x14ac:dyDescent="0.2">
      <c r="Q1243" s="36"/>
      <c r="R1243" s="40"/>
      <c r="S1243" s="40"/>
      <c r="T1243" s="40"/>
      <c r="U1243" s="41"/>
      <c r="V1243" s="41"/>
      <c r="W1243" s="41"/>
      <c r="X1243" s="36"/>
      <c r="Y1243" s="36"/>
      <c r="Z1243" s="36"/>
      <c r="AA1243" s="36"/>
      <c r="AB1243" s="36"/>
      <c r="AC1243" s="36"/>
    </row>
    <row r="1244" spans="17:29" x14ac:dyDescent="0.2">
      <c r="Q1244" s="36"/>
      <c r="R1244" s="40"/>
      <c r="S1244" s="40"/>
      <c r="T1244" s="40"/>
      <c r="U1244" s="41"/>
      <c r="V1244" s="41"/>
      <c r="W1244" s="41"/>
      <c r="X1244" s="36"/>
      <c r="Y1244" s="36"/>
      <c r="Z1244" s="36"/>
      <c r="AA1244" s="36"/>
      <c r="AB1244" s="36"/>
      <c r="AC1244" s="36"/>
    </row>
    <row r="1245" spans="17:29" x14ac:dyDescent="0.2">
      <c r="Q1245" s="36"/>
      <c r="R1245" s="40"/>
      <c r="S1245" s="40"/>
      <c r="T1245" s="40"/>
      <c r="U1245" s="41"/>
      <c r="V1245" s="41"/>
      <c r="W1245" s="41"/>
      <c r="X1245" s="36"/>
      <c r="Y1245" s="36"/>
      <c r="Z1245" s="36"/>
      <c r="AA1245" s="36"/>
      <c r="AB1245" s="36"/>
      <c r="AC1245" s="36"/>
    </row>
    <row r="1246" spans="17:29" x14ac:dyDescent="0.2">
      <c r="Q1246" s="36"/>
      <c r="R1246" s="40"/>
      <c r="S1246" s="40"/>
      <c r="T1246" s="40"/>
      <c r="U1246" s="41"/>
      <c r="V1246" s="41"/>
      <c r="W1246" s="41"/>
      <c r="X1246" s="36"/>
      <c r="Y1246" s="36"/>
      <c r="Z1246" s="36"/>
      <c r="AA1246" s="36"/>
      <c r="AB1246" s="36"/>
      <c r="AC1246" s="36"/>
    </row>
    <row r="1247" spans="17:29" x14ac:dyDescent="0.2">
      <c r="Q1247" s="36"/>
      <c r="R1247" s="40"/>
      <c r="S1247" s="40"/>
      <c r="T1247" s="40"/>
      <c r="U1247" s="41"/>
      <c r="V1247" s="41"/>
      <c r="W1247" s="41"/>
      <c r="X1247" s="36"/>
      <c r="Y1247" s="36"/>
      <c r="Z1247" s="36"/>
      <c r="AA1247" s="36"/>
      <c r="AB1247" s="36"/>
      <c r="AC1247" s="36"/>
    </row>
    <row r="1248" spans="17:29" x14ac:dyDescent="0.2">
      <c r="Q1248" s="36"/>
      <c r="R1248" s="40"/>
      <c r="S1248" s="40"/>
      <c r="T1248" s="40"/>
      <c r="U1248" s="41"/>
      <c r="V1248" s="41"/>
      <c r="W1248" s="41"/>
      <c r="X1248" s="36"/>
      <c r="Y1248" s="36"/>
      <c r="Z1248" s="36"/>
      <c r="AA1248" s="36"/>
      <c r="AB1248" s="36"/>
      <c r="AC1248" s="36"/>
    </row>
    <row r="1249" spans="17:29" x14ac:dyDescent="0.2">
      <c r="Q1249" s="36"/>
      <c r="R1249" s="40"/>
      <c r="S1249" s="40"/>
      <c r="T1249" s="40"/>
      <c r="U1249" s="41"/>
      <c r="V1249" s="41"/>
      <c r="W1249" s="41"/>
      <c r="X1249" s="36"/>
      <c r="Y1249" s="36"/>
      <c r="Z1249" s="36"/>
      <c r="AA1249" s="36"/>
      <c r="AB1249" s="36"/>
      <c r="AC1249" s="36"/>
    </row>
    <row r="1250" spans="17:29" x14ac:dyDescent="0.2">
      <c r="Q1250" s="36"/>
      <c r="R1250" s="40"/>
      <c r="S1250" s="40"/>
      <c r="T1250" s="40"/>
      <c r="U1250" s="41"/>
      <c r="V1250" s="41"/>
      <c r="W1250" s="41"/>
      <c r="X1250" s="36"/>
      <c r="Y1250" s="36"/>
      <c r="Z1250" s="36"/>
      <c r="AA1250" s="36"/>
      <c r="AB1250" s="36"/>
      <c r="AC1250" s="36"/>
    </row>
    <row r="1251" spans="17:29" x14ac:dyDescent="0.2">
      <c r="Q1251" s="36"/>
      <c r="R1251" s="40"/>
      <c r="S1251" s="40"/>
      <c r="T1251" s="40"/>
      <c r="U1251" s="41"/>
      <c r="V1251" s="41"/>
      <c r="W1251" s="41"/>
      <c r="X1251" s="36"/>
      <c r="Y1251" s="36"/>
      <c r="Z1251" s="36"/>
      <c r="AA1251" s="36"/>
      <c r="AB1251" s="36"/>
      <c r="AC1251" s="36"/>
    </row>
    <row r="1252" spans="17:29" x14ac:dyDescent="0.2">
      <c r="Q1252" s="36"/>
      <c r="R1252" s="40"/>
      <c r="S1252" s="40"/>
      <c r="T1252" s="40"/>
      <c r="U1252" s="41"/>
      <c r="V1252" s="41"/>
      <c r="W1252" s="41"/>
      <c r="X1252" s="36"/>
      <c r="Y1252" s="36"/>
      <c r="Z1252" s="36"/>
      <c r="AA1252" s="36"/>
      <c r="AB1252" s="36"/>
      <c r="AC1252" s="36"/>
    </row>
    <row r="1253" spans="17:29" x14ac:dyDescent="0.2">
      <c r="Q1253" s="36"/>
      <c r="R1253" s="40"/>
      <c r="S1253" s="40"/>
      <c r="T1253" s="40"/>
      <c r="U1253" s="41"/>
      <c r="V1253" s="41"/>
      <c r="W1253" s="41"/>
      <c r="X1253" s="36"/>
      <c r="Y1253" s="36"/>
      <c r="Z1253" s="36"/>
      <c r="AA1253" s="36"/>
      <c r="AB1253" s="36"/>
      <c r="AC1253" s="36"/>
    </row>
    <row r="1254" spans="17:29" x14ac:dyDescent="0.2">
      <c r="Q1254" s="36"/>
      <c r="R1254" s="40"/>
      <c r="S1254" s="40"/>
      <c r="T1254" s="40"/>
      <c r="U1254" s="41"/>
      <c r="V1254" s="41"/>
      <c r="W1254" s="41"/>
      <c r="X1254" s="36"/>
      <c r="Y1254" s="36"/>
      <c r="Z1254" s="36"/>
      <c r="AA1254" s="36"/>
      <c r="AB1254" s="36"/>
      <c r="AC1254" s="36"/>
    </row>
    <row r="1255" spans="17:29" x14ac:dyDescent="0.2">
      <c r="Q1255" s="36"/>
      <c r="R1255" s="40"/>
      <c r="S1255" s="40"/>
      <c r="T1255" s="40"/>
      <c r="U1255" s="41"/>
      <c r="V1255" s="41"/>
      <c r="W1255" s="41"/>
      <c r="X1255" s="36"/>
      <c r="Y1255" s="36"/>
      <c r="Z1255" s="36"/>
      <c r="AA1255" s="36"/>
      <c r="AB1255" s="36"/>
      <c r="AC1255" s="36"/>
    </row>
    <row r="1256" spans="17:29" x14ac:dyDescent="0.2">
      <c r="Q1256" s="36"/>
      <c r="R1256" s="40"/>
      <c r="S1256" s="40"/>
      <c r="T1256" s="40"/>
      <c r="U1256" s="41"/>
      <c r="V1256" s="41"/>
      <c r="W1256" s="41"/>
      <c r="X1256" s="36"/>
      <c r="Y1256" s="36"/>
      <c r="Z1256" s="36"/>
      <c r="AA1256" s="36"/>
      <c r="AB1256" s="36"/>
      <c r="AC1256" s="36"/>
    </row>
    <row r="1257" spans="17:29" x14ac:dyDescent="0.2">
      <c r="Q1257" s="36"/>
      <c r="R1257" s="40"/>
      <c r="S1257" s="40"/>
      <c r="T1257" s="40"/>
      <c r="U1257" s="41"/>
      <c r="V1257" s="41"/>
      <c r="W1257" s="41"/>
      <c r="X1257" s="36"/>
      <c r="Y1257" s="36"/>
      <c r="Z1257" s="36"/>
      <c r="AA1257" s="36"/>
      <c r="AB1257" s="36"/>
      <c r="AC1257" s="36"/>
    </row>
    <row r="1258" spans="17:29" x14ac:dyDescent="0.2">
      <c r="Q1258" s="36"/>
      <c r="R1258" s="40"/>
      <c r="S1258" s="40"/>
      <c r="T1258" s="40"/>
      <c r="U1258" s="41"/>
      <c r="V1258" s="41"/>
      <c r="W1258" s="41"/>
      <c r="X1258" s="36"/>
      <c r="Y1258" s="36"/>
      <c r="Z1258" s="36"/>
      <c r="AA1258" s="36"/>
      <c r="AB1258" s="36"/>
      <c r="AC1258" s="36"/>
    </row>
    <row r="1259" spans="17:29" x14ac:dyDescent="0.2">
      <c r="Q1259" s="36"/>
      <c r="R1259" s="40"/>
      <c r="S1259" s="40"/>
      <c r="T1259" s="40"/>
      <c r="U1259" s="41"/>
      <c r="V1259" s="41"/>
      <c r="W1259" s="41"/>
      <c r="X1259" s="36"/>
      <c r="Y1259" s="36"/>
      <c r="Z1259" s="36"/>
      <c r="AA1259" s="36"/>
      <c r="AB1259" s="36"/>
      <c r="AC1259" s="36"/>
    </row>
    <row r="1260" spans="17:29" x14ac:dyDescent="0.2">
      <c r="Q1260" s="36"/>
      <c r="R1260" s="40"/>
      <c r="S1260" s="40"/>
      <c r="T1260" s="40"/>
      <c r="U1260" s="41"/>
      <c r="V1260" s="41"/>
      <c r="W1260" s="41"/>
      <c r="X1260" s="36"/>
      <c r="Y1260" s="36"/>
      <c r="Z1260" s="36"/>
      <c r="AA1260" s="36"/>
      <c r="AB1260" s="36"/>
      <c r="AC1260" s="36"/>
    </row>
    <row r="1261" spans="17:29" x14ac:dyDescent="0.2">
      <c r="Q1261" s="36"/>
      <c r="R1261" s="40"/>
      <c r="S1261" s="40"/>
      <c r="T1261" s="40"/>
      <c r="U1261" s="41"/>
      <c r="V1261" s="41"/>
      <c r="W1261" s="41"/>
      <c r="X1261" s="36"/>
      <c r="Y1261" s="36"/>
      <c r="Z1261" s="36"/>
      <c r="AA1261" s="36"/>
      <c r="AB1261" s="36"/>
      <c r="AC1261" s="36"/>
    </row>
    <row r="1262" spans="17:29" x14ac:dyDescent="0.2">
      <c r="Q1262" s="36"/>
      <c r="R1262" s="40"/>
      <c r="S1262" s="40"/>
      <c r="T1262" s="40"/>
      <c r="U1262" s="41"/>
      <c r="V1262" s="41"/>
      <c r="W1262" s="41"/>
      <c r="X1262" s="36"/>
      <c r="Y1262" s="36"/>
      <c r="Z1262" s="36"/>
      <c r="AA1262" s="36"/>
      <c r="AB1262" s="36"/>
      <c r="AC1262" s="36"/>
    </row>
    <row r="1263" spans="17:29" x14ac:dyDescent="0.2">
      <c r="Q1263" s="36"/>
      <c r="R1263" s="40"/>
      <c r="S1263" s="40"/>
      <c r="T1263" s="40"/>
      <c r="U1263" s="41"/>
      <c r="V1263" s="41"/>
      <c r="W1263" s="41"/>
      <c r="X1263" s="36"/>
      <c r="Y1263" s="36"/>
      <c r="Z1263" s="36"/>
      <c r="AA1263" s="36"/>
      <c r="AB1263" s="36"/>
      <c r="AC1263" s="36"/>
    </row>
    <row r="1264" spans="17:29" x14ac:dyDescent="0.2">
      <c r="Q1264" s="36"/>
      <c r="R1264" s="40"/>
      <c r="S1264" s="40"/>
      <c r="T1264" s="40"/>
      <c r="U1264" s="41"/>
      <c r="V1264" s="41"/>
      <c r="W1264" s="41"/>
      <c r="X1264" s="36"/>
      <c r="Y1264" s="36"/>
      <c r="Z1264" s="36"/>
      <c r="AA1264" s="36"/>
      <c r="AB1264" s="36"/>
      <c r="AC1264" s="36"/>
    </row>
    <row r="1265" spans="17:29" x14ac:dyDescent="0.2">
      <c r="Q1265" s="36"/>
      <c r="R1265" s="40"/>
      <c r="S1265" s="40"/>
      <c r="T1265" s="40"/>
      <c r="U1265" s="41"/>
      <c r="V1265" s="41"/>
      <c r="W1265" s="41"/>
      <c r="X1265" s="36"/>
      <c r="Y1265" s="36"/>
      <c r="Z1265" s="36"/>
      <c r="AA1265" s="36"/>
      <c r="AB1265" s="36"/>
      <c r="AC1265" s="36"/>
    </row>
    <row r="1266" spans="17:29" x14ac:dyDescent="0.2">
      <c r="Q1266" s="36"/>
      <c r="R1266" s="40"/>
      <c r="S1266" s="40"/>
      <c r="T1266" s="40"/>
      <c r="U1266" s="41"/>
      <c r="V1266" s="41"/>
      <c r="W1266" s="41"/>
      <c r="X1266" s="36"/>
      <c r="Y1266" s="36"/>
      <c r="Z1266" s="36"/>
      <c r="AA1266" s="36"/>
      <c r="AB1266" s="36"/>
      <c r="AC1266" s="36"/>
    </row>
    <row r="1267" spans="17:29" x14ac:dyDescent="0.2">
      <c r="Q1267" s="36"/>
      <c r="R1267" s="40"/>
      <c r="S1267" s="40"/>
      <c r="T1267" s="40"/>
      <c r="U1267" s="41"/>
      <c r="V1267" s="41"/>
      <c r="W1267" s="41"/>
      <c r="X1267" s="36"/>
      <c r="Y1267" s="36"/>
      <c r="Z1267" s="36"/>
      <c r="AA1267" s="36"/>
      <c r="AB1267" s="36"/>
      <c r="AC1267" s="36"/>
    </row>
    <row r="1268" spans="17:29" x14ac:dyDescent="0.2">
      <c r="Q1268" s="36"/>
      <c r="R1268" s="40"/>
      <c r="S1268" s="40"/>
      <c r="T1268" s="40"/>
      <c r="U1268" s="41"/>
      <c r="V1268" s="41"/>
      <c r="W1268" s="41"/>
      <c r="X1268" s="36"/>
      <c r="Y1268" s="36"/>
      <c r="Z1268" s="36"/>
      <c r="AA1268" s="36"/>
      <c r="AB1268" s="36"/>
      <c r="AC1268" s="36"/>
    </row>
    <row r="1269" spans="17:29" x14ac:dyDescent="0.2">
      <c r="Q1269" s="36"/>
      <c r="R1269" s="40"/>
      <c r="S1269" s="40"/>
      <c r="T1269" s="40"/>
      <c r="U1269" s="41"/>
      <c r="V1269" s="41"/>
      <c r="W1269" s="41"/>
      <c r="X1269" s="36"/>
      <c r="Y1269" s="36"/>
      <c r="Z1269" s="36"/>
      <c r="AA1269" s="36"/>
      <c r="AB1269" s="36"/>
      <c r="AC1269" s="36"/>
    </row>
    <row r="1270" spans="17:29" x14ac:dyDescent="0.2">
      <c r="Q1270" s="36"/>
      <c r="R1270" s="40"/>
      <c r="S1270" s="40"/>
      <c r="T1270" s="40"/>
      <c r="U1270" s="41"/>
      <c r="V1270" s="41"/>
      <c r="W1270" s="41"/>
      <c r="X1270" s="36"/>
      <c r="Y1270" s="36"/>
      <c r="Z1270" s="36"/>
      <c r="AA1270" s="36"/>
      <c r="AB1270" s="36"/>
      <c r="AC1270" s="36"/>
    </row>
    <row r="1271" spans="17:29" x14ac:dyDescent="0.2">
      <c r="Q1271" s="36"/>
      <c r="R1271" s="40"/>
      <c r="S1271" s="40"/>
      <c r="T1271" s="40"/>
      <c r="U1271" s="41"/>
      <c r="V1271" s="41"/>
      <c r="W1271" s="41"/>
      <c r="X1271" s="36"/>
      <c r="Y1271" s="36"/>
      <c r="Z1271" s="36"/>
      <c r="AA1271" s="36"/>
      <c r="AB1271" s="36"/>
      <c r="AC1271" s="36"/>
    </row>
    <row r="1272" spans="17:29" x14ac:dyDescent="0.2">
      <c r="Q1272" s="36"/>
      <c r="R1272" s="40"/>
      <c r="S1272" s="40"/>
      <c r="T1272" s="40"/>
      <c r="U1272" s="41"/>
      <c r="V1272" s="41"/>
      <c r="W1272" s="41"/>
      <c r="X1272" s="36"/>
      <c r="Y1272" s="36"/>
      <c r="Z1272" s="36"/>
      <c r="AA1272" s="36"/>
      <c r="AB1272" s="36"/>
      <c r="AC1272" s="36"/>
    </row>
    <row r="1273" spans="17:29" x14ac:dyDescent="0.2">
      <c r="Q1273" s="36"/>
      <c r="R1273" s="40"/>
      <c r="S1273" s="40"/>
      <c r="T1273" s="40"/>
      <c r="U1273" s="41"/>
      <c r="V1273" s="41"/>
      <c r="W1273" s="41"/>
      <c r="X1273" s="36"/>
      <c r="Y1273" s="36"/>
      <c r="Z1273" s="36"/>
      <c r="AA1273" s="36"/>
      <c r="AB1273" s="36"/>
      <c r="AC1273" s="36"/>
    </row>
    <row r="1274" spans="17:29" x14ac:dyDescent="0.2">
      <c r="Q1274" s="36"/>
      <c r="R1274" s="40"/>
      <c r="S1274" s="40"/>
      <c r="T1274" s="40"/>
      <c r="U1274" s="41"/>
      <c r="V1274" s="41"/>
      <c r="W1274" s="41"/>
      <c r="X1274" s="36"/>
      <c r="Y1274" s="36"/>
      <c r="Z1274" s="36"/>
      <c r="AA1274" s="36"/>
      <c r="AB1274" s="36"/>
      <c r="AC1274" s="36"/>
    </row>
    <row r="1275" spans="17:29" x14ac:dyDescent="0.2">
      <c r="Q1275" s="36"/>
      <c r="R1275" s="40"/>
      <c r="S1275" s="40"/>
      <c r="T1275" s="40"/>
      <c r="U1275" s="41"/>
      <c r="V1275" s="41"/>
      <c r="W1275" s="41"/>
      <c r="X1275" s="36"/>
      <c r="Y1275" s="36"/>
      <c r="Z1275" s="36"/>
      <c r="AA1275" s="36"/>
      <c r="AB1275" s="36"/>
      <c r="AC1275" s="36"/>
    </row>
    <row r="1276" spans="17:29" x14ac:dyDescent="0.2">
      <c r="Q1276" s="36"/>
      <c r="R1276" s="40"/>
      <c r="S1276" s="40"/>
      <c r="T1276" s="40"/>
      <c r="U1276" s="41"/>
      <c r="V1276" s="41"/>
      <c r="W1276" s="41"/>
      <c r="X1276" s="36"/>
      <c r="Y1276" s="36"/>
      <c r="Z1276" s="36"/>
      <c r="AA1276" s="36"/>
      <c r="AB1276" s="36"/>
      <c r="AC1276" s="36"/>
    </row>
    <row r="1277" spans="17:29" x14ac:dyDescent="0.2">
      <c r="Q1277" s="36"/>
      <c r="R1277" s="40"/>
      <c r="S1277" s="40"/>
      <c r="T1277" s="40"/>
      <c r="U1277" s="41"/>
      <c r="V1277" s="41"/>
      <c r="W1277" s="41"/>
      <c r="X1277" s="36"/>
      <c r="Y1277" s="36"/>
      <c r="Z1277" s="36"/>
      <c r="AA1277" s="36"/>
      <c r="AB1277" s="36"/>
      <c r="AC1277" s="36"/>
    </row>
    <row r="1278" spans="17:29" x14ac:dyDescent="0.2">
      <c r="Q1278" s="36"/>
      <c r="R1278" s="40"/>
      <c r="S1278" s="40"/>
      <c r="T1278" s="40"/>
      <c r="U1278" s="41"/>
      <c r="V1278" s="41"/>
      <c r="W1278" s="41"/>
      <c r="X1278" s="36"/>
      <c r="Y1278" s="36"/>
      <c r="Z1278" s="36"/>
      <c r="AA1278" s="36"/>
      <c r="AB1278" s="36"/>
      <c r="AC1278" s="36"/>
    </row>
    <row r="1279" spans="17:29" x14ac:dyDescent="0.2">
      <c r="Q1279" s="36"/>
      <c r="R1279" s="40"/>
      <c r="S1279" s="40"/>
      <c r="T1279" s="40"/>
      <c r="U1279" s="41"/>
      <c r="V1279" s="41"/>
      <c r="W1279" s="41"/>
      <c r="X1279" s="36"/>
      <c r="Y1279" s="36"/>
      <c r="Z1279" s="36"/>
      <c r="AA1279" s="36"/>
      <c r="AB1279" s="36"/>
      <c r="AC1279" s="36"/>
    </row>
    <row r="1280" spans="17:29" x14ac:dyDescent="0.2">
      <c r="Q1280" s="36"/>
      <c r="R1280" s="40"/>
      <c r="S1280" s="40"/>
      <c r="T1280" s="40"/>
      <c r="U1280" s="41"/>
      <c r="V1280" s="41"/>
      <c r="W1280" s="41"/>
      <c r="X1280" s="36"/>
      <c r="Y1280" s="36"/>
      <c r="Z1280" s="36"/>
      <c r="AA1280" s="36"/>
      <c r="AB1280" s="36"/>
      <c r="AC1280" s="36"/>
    </row>
    <row r="1281" spans="17:29" x14ac:dyDescent="0.2">
      <c r="Q1281" s="36"/>
      <c r="R1281" s="40"/>
      <c r="S1281" s="40"/>
      <c r="T1281" s="40"/>
      <c r="U1281" s="41"/>
      <c r="V1281" s="41"/>
      <c r="W1281" s="41"/>
      <c r="X1281" s="36"/>
      <c r="Y1281" s="36"/>
      <c r="Z1281" s="36"/>
      <c r="AA1281" s="36"/>
      <c r="AB1281" s="36"/>
      <c r="AC1281" s="36"/>
    </row>
    <row r="1282" spans="17:29" x14ac:dyDescent="0.2">
      <c r="Q1282" s="36"/>
      <c r="R1282" s="40"/>
      <c r="S1282" s="40"/>
      <c r="T1282" s="40"/>
      <c r="U1282" s="41"/>
      <c r="V1282" s="41"/>
      <c r="W1282" s="41"/>
      <c r="X1282" s="36"/>
      <c r="Y1282" s="36"/>
      <c r="Z1282" s="36"/>
      <c r="AA1282" s="36"/>
      <c r="AB1282" s="36"/>
      <c r="AC1282" s="36"/>
    </row>
    <row r="1283" spans="17:29" x14ac:dyDescent="0.2">
      <c r="Q1283" s="36"/>
      <c r="R1283" s="40"/>
      <c r="S1283" s="40"/>
      <c r="T1283" s="40"/>
      <c r="U1283" s="41"/>
      <c r="V1283" s="41"/>
      <c r="W1283" s="41"/>
      <c r="X1283" s="36"/>
      <c r="Y1283" s="36"/>
      <c r="Z1283" s="36"/>
      <c r="AA1283" s="36"/>
      <c r="AB1283" s="36"/>
      <c r="AC1283" s="36"/>
    </row>
    <row r="1284" spans="17:29" x14ac:dyDescent="0.2">
      <c r="Q1284" s="36"/>
      <c r="R1284" s="40"/>
      <c r="S1284" s="40"/>
      <c r="T1284" s="40"/>
      <c r="U1284" s="41"/>
      <c r="V1284" s="41"/>
      <c r="W1284" s="41"/>
      <c r="X1284" s="36"/>
      <c r="Y1284" s="36"/>
      <c r="Z1284" s="36"/>
      <c r="AA1284" s="36"/>
      <c r="AB1284" s="36"/>
      <c r="AC1284" s="36"/>
    </row>
    <row r="1285" spans="17:29" x14ac:dyDescent="0.2">
      <c r="Q1285" s="36"/>
      <c r="R1285" s="40"/>
      <c r="S1285" s="40"/>
      <c r="T1285" s="40"/>
      <c r="U1285" s="41"/>
      <c r="V1285" s="41"/>
      <c r="W1285" s="41"/>
      <c r="X1285" s="36"/>
      <c r="Y1285" s="36"/>
      <c r="Z1285" s="36"/>
      <c r="AA1285" s="36"/>
      <c r="AB1285" s="36"/>
      <c r="AC1285" s="36"/>
    </row>
    <row r="1286" spans="17:29" x14ac:dyDescent="0.2">
      <c r="Q1286" s="36"/>
      <c r="R1286" s="40"/>
      <c r="S1286" s="40"/>
      <c r="T1286" s="40"/>
      <c r="U1286" s="41"/>
      <c r="V1286" s="41"/>
      <c r="W1286" s="41"/>
      <c r="X1286" s="36"/>
      <c r="Y1286" s="36"/>
      <c r="Z1286" s="36"/>
      <c r="AA1286" s="36"/>
      <c r="AB1286" s="36"/>
      <c r="AC1286" s="36"/>
    </row>
    <row r="1287" spans="17:29" x14ac:dyDescent="0.2">
      <c r="Q1287" s="36"/>
      <c r="R1287" s="40"/>
      <c r="S1287" s="40"/>
      <c r="T1287" s="40"/>
      <c r="U1287" s="41"/>
      <c r="V1287" s="41"/>
      <c r="W1287" s="41"/>
      <c r="X1287" s="36"/>
      <c r="Y1287" s="36"/>
      <c r="Z1287" s="36"/>
      <c r="AA1287" s="36"/>
      <c r="AB1287" s="36"/>
      <c r="AC1287" s="36"/>
    </row>
    <row r="1288" spans="17:29" x14ac:dyDescent="0.2">
      <c r="Q1288" s="36"/>
      <c r="R1288" s="40"/>
      <c r="S1288" s="40"/>
      <c r="T1288" s="40"/>
      <c r="U1288" s="41"/>
      <c r="V1288" s="41"/>
      <c r="W1288" s="41"/>
      <c r="X1288" s="36"/>
      <c r="Y1288" s="36"/>
      <c r="Z1288" s="36"/>
      <c r="AA1288" s="36"/>
      <c r="AB1288" s="36"/>
      <c r="AC1288" s="36"/>
    </row>
    <row r="1289" spans="17:29" x14ac:dyDescent="0.2">
      <c r="Q1289" s="36"/>
      <c r="R1289" s="40"/>
      <c r="S1289" s="40"/>
      <c r="T1289" s="40"/>
      <c r="U1289" s="41"/>
      <c r="V1289" s="41"/>
      <c r="W1289" s="41"/>
      <c r="X1289" s="36"/>
      <c r="Y1289" s="36"/>
      <c r="Z1289" s="36"/>
      <c r="AA1289" s="36"/>
      <c r="AB1289" s="36"/>
      <c r="AC1289" s="36"/>
    </row>
    <row r="1290" spans="17:29" x14ac:dyDescent="0.2">
      <c r="Q1290" s="36"/>
      <c r="R1290" s="40"/>
      <c r="S1290" s="40"/>
      <c r="T1290" s="40"/>
      <c r="U1290" s="41"/>
      <c r="V1290" s="41"/>
      <c r="W1290" s="41"/>
      <c r="X1290" s="36"/>
      <c r="Y1290" s="36"/>
      <c r="Z1290" s="36"/>
      <c r="AA1290" s="36"/>
      <c r="AB1290" s="36"/>
      <c r="AC1290" s="36"/>
    </row>
    <row r="1291" spans="17:29" x14ac:dyDescent="0.2">
      <c r="Q1291" s="36"/>
      <c r="R1291" s="40"/>
      <c r="S1291" s="40"/>
      <c r="T1291" s="40"/>
      <c r="U1291" s="41"/>
      <c r="V1291" s="41"/>
      <c r="W1291" s="41"/>
      <c r="X1291" s="36"/>
      <c r="Y1291" s="36"/>
      <c r="Z1291" s="36"/>
      <c r="AA1291" s="36"/>
      <c r="AB1291" s="36"/>
      <c r="AC1291" s="36"/>
    </row>
    <row r="1292" spans="17:29" x14ac:dyDescent="0.2">
      <c r="Q1292" s="36"/>
      <c r="R1292" s="40"/>
      <c r="S1292" s="40"/>
      <c r="T1292" s="40"/>
      <c r="U1292" s="41"/>
      <c r="V1292" s="41"/>
      <c r="W1292" s="41"/>
      <c r="X1292" s="36"/>
      <c r="Y1292" s="36"/>
      <c r="Z1292" s="36"/>
      <c r="AA1292" s="36"/>
      <c r="AB1292" s="36"/>
      <c r="AC1292" s="36"/>
    </row>
    <row r="1293" spans="17:29" x14ac:dyDescent="0.2">
      <c r="Q1293" s="36"/>
      <c r="R1293" s="40"/>
      <c r="S1293" s="40"/>
      <c r="T1293" s="40"/>
      <c r="U1293" s="41"/>
      <c r="V1293" s="41"/>
      <c r="W1293" s="41"/>
      <c r="X1293" s="36"/>
      <c r="Y1293" s="36"/>
      <c r="Z1293" s="36"/>
      <c r="AA1293" s="36"/>
      <c r="AB1293" s="36"/>
      <c r="AC1293" s="36"/>
    </row>
    <row r="1294" spans="17:29" x14ac:dyDescent="0.2">
      <c r="Q1294" s="36"/>
      <c r="R1294" s="40"/>
      <c r="S1294" s="40"/>
      <c r="T1294" s="40"/>
      <c r="U1294" s="41"/>
      <c r="V1294" s="41"/>
      <c r="W1294" s="41"/>
      <c r="X1294" s="36"/>
      <c r="Y1294" s="36"/>
      <c r="Z1294" s="36"/>
      <c r="AA1294" s="36"/>
      <c r="AB1294" s="36"/>
      <c r="AC1294" s="36"/>
    </row>
    <row r="1295" spans="17:29" x14ac:dyDescent="0.2">
      <c r="Q1295" s="36"/>
      <c r="R1295" s="40"/>
      <c r="S1295" s="40"/>
      <c r="T1295" s="40"/>
      <c r="U1295" s="41"/>
      <c r="V1295" s="41"/>
      <c r="W1295" s="41"/>
      <c r="X1295" s="36"/>
      <c r="Y1295" s="36"/>
      <c r="Z1295" s="36"/>
      <c r="AA1295" s="36"/>
      <c r="AB1295" s="36"/>
      <c r="AC1295" s="36"/>
    </row>
    <row r="1296" spans="17:29" x14ac:dyDescent="0.2">
      <c r="Q1296" s="36"/>
      <c r="R1296" s="40"/>
      <c r="S1296" s="40"/>
      <c r="T1296" s="40"/>
      <c r="U1296" s="41"/>
      <c r="V1296" s="41"/>
      <c r="W1296" s="41"/>
      <c r="X1296" s="36"/>
      <c r="Y1296" s="36"/>
      <c r="Z1296" s="36"/>
      <c r="AA1296" s="36"/>
      <c r="AB1296" s="36"/>
      <c r="AC1296" s="36"/>
    </row>
    <row r="1297" spans="17:29" x14ac:dyDescent="0.2">
      <c r="Q1297" s="36"/>
      <c r="R1297" s="40"/>
      <c r="S1297" s="40"/>
      <c r="T1297" s="40"/>
      <c r="U1297" s="41"/>
      <c r="V1297" s="41"/>
      <c r="W1297" s="41"/>
      <c r="X1297" s="36"/>
      <c r="Y1297" s="36"/>
      <c r="Z1297" s="36"/>
      <c r="AA1297" s="36"/>
      <c r="AB1297" s="36"/>
      <c r="AC1297" s="36"/>
    </row>
    <row r="1298" spans="17:29" x14ac:dyDescent="0.2">
      <c r="Q1298" s="36"/>
      <c r="R1298" s="40"/>
      <c r="S1298" s="40"/>
      <c r="T1298" s="40"/>
      <c r="U1298" s="41"/>
      <c r="V1298" s="41"/>
      <c r="W1298" s="41"/>
      <c r="X1298" s="36"/>
      <c r="Y1298" s="36"/>
      <c r="Z1298" s="36"/>
      <c r="AA1298" s="36"/>
      <c r="AB1298" s="36"/>
      <c r="AC1298" s="36"/>
    </row>
    <row r="1299" spans="17:29" x14ac:dyDescent="0.2">
      <c r="Q1299" s="36"/>
      <c r="R1299" s="40"/>
      <c r="S1299" s="40"/>
      <c r="T1299" s="40"/>
      <c r="U1299" s="41"/>
      <c r="V1299" s="41"/>
      <c r="W1299" s="41"/>
      <c r="X1299" s="36"/>
      <c r="Y1299" s="36"/>
      <c r="Z1299" s="36"/>
      <c r="AA1299" s="36"/>
      <c r="AB1299" s="36"/>
      <c r="AC1299" s="36"/>
    </row>
    <row r="1300" spans="17:29" x14ac:dyDescent="0.2">
      <c r="Q1300" s="36"/>
      <c r="R1300" s="40"/>
      <c r="S1300" s="40"/>
      <c r="T1300" s="40"/>
      <c r="U1300" s="41"/>
      <c r="V1300" s="41"/>
      <c r="W1300" s="41"/>
      <c r="X1300" s="36"/>
      <c r="Y1300" s="36"/>
      <c r="Z1300" s="36"/>
      <c r="AA1300" s="36"/>
      <c r="AB1300" s="36"/>
      <c r="AC1300" s="36"/>
    </row>
    <row r="1301" spans="17:29" x14ac:dyDescent="0.2">
      <c r="Q1301" s="36"/>
      <c r="R1301" s="40"/>
      <c r="S1301" s="40"/>
      <c r="T1301" s="40"/>
      <c r="U1301" s="41"/>
      <c r="V1301" s="41"/>
      <c r="W1301" s="41"/>
      <c r="X1301" s="36"/>
      <c r="Y1301" s="36"/>
      <c r="Z1301" s="36"/>
      <c r="AA1301" s="36"/>
      <c r="AB1301" s="36"/>
      <c r="AC1301" s="36"/>
    </row>
    <row r="1302" spans="17:29" x14ac:dyDescent="0.2">
      <c r="Q1302" s="36"/>
      <c r="R1302" s="40"/>
      <c r="S1302" s="40"/>
      <c r="T1302" s="40"/>
      <c r="U1302" s="41"/>
      <c r="V1302" s="41"/>
      <c r="W1302" s="41"/>
      <c r="X1302" s="36"/>
      <c r="Y1302" s="36"/>
      <c r="Z1302" s="36"/>
      <c r="AA1302" s="36"/>
      <c r="AB1302" s="36"/>
      <c r="AC1302" s="36"/>
    </row>
    <row r="1303" spans="17:29" x14ac:dyDescent="0.2">
      <c r="Q1303" s="36"/>
      <c r="R1303" s="40"/>
      <c r="S1303" s="40"/>
      <c r="T1303" s="40"/>
      <c r="U1303" s="41"/>
      <c r="V1303" s="41"/>
      <c r="W1303" s="41"/>
      <c r="X1303" s="36"/>
      <c r="Y1303" s="36"/>
      <c r="Z1303" s="36"/>
      <c r="AA1303" s="36"/>
      <c r="AB1303" s="36"/>
      <c r="AC1303" s="36"/>
    </row>
    <row r="1304" spans="17:29" x14ac:dyDescent="0.2">
      <c r="Q1304" s="36"/>
      <c r="R1304" s="40"/>
      <c r="S1304" s="40"/>
      <c r="T1304" s="40"/>
      <c r="U1304" s="41"/>
      <c r="V1304" s="41"/>
      <c r="W1304" s="41"/>
      <c r="X1304" s="36"/>
      <c r="Y1304" s="36"/>
      <c r="Z1304" s="36"/>
      <c r="AA1304" s="36"/>
      <c r="AB1304" s="36"/>
      <c r="AC1304" s="36"/>
    </row>
    <row r="1305" spans="17:29" x14ac:dyDescent="0.2">
      <c r="Q1305" s="36"/>
      <c r="R1305" s="40"/>
      <c r="S1305" s="40"/>
      <c r="T1305" s="40"/>
      <c r="U1305" s="41"/>
      <c r="V1305" s="41"/>
      <c r="W1305" s="41"/>
      <c r="X1305" s="36"/>
      <c r="Y1305" s="36"/>
      <c r="Z1305" s="36"/>
      <c r="AA1305" s="36"/>
      <c r="AB1305" s="36"/>
      <c r="AC1305" s="36"/>
    </row>
    <row r="1306" spans="17:29" x14ac:dyDescent="0.2">
      <c r="Q1306" s="36"/>
      <c r="R1306" s="40"/>
      <c r="S1306" s="40"/>
      <c r="T1306" s="40"/>
      <c r="U1306" s="41"/>
      <c r="V1306" s="41"/>
      <c r="W1306" s="41"/>
      <c r="X1306" s="36"/>
      <c r="Y1306" s="36"/>
      <c r="Z1306" s="36"/>
      <c r="AA1306" s="36"/>
      <c r="AB1306" s="36"/>
      <c r="AC1306" s="36"/>
    </row>
    <row r="1307" spans="17:29" x14ac:dyDescent="0.2">
      <c r="Q1307" s="36"/>
      <c r="R1307" s="40"/>
      <c r="S1307" s="40"/>
      <c r="T1307" s="40"/>
      <c r="U1307" s="41"/>
      <c r="V1307" s="41"/>
      <c r="W1307" s="41"/>
      <c r="X1307" s="36"/>
      <c r="Y1307" s="36"/>
      <c r="Z1307" s="36"/>
      <c r="AA1307" s="36"/>
      <c r="AB1307" s="36"/>
      <c r="AC1307" s="36"/>
    </row>
    <row r="1308" spans="17:29" x14ac:dyDescent="0.2">
      <c r="Q1308" s="36"/>
      <c r="R1308" s="40"/>
      <c r="S1308" s="40"/>
      <c r="T1308" s="40"/>
      <c r="U1308" s="41"/>
      <c r="V1308" s="41"/>
      <c r="W1308" s="41"/>
      <c r="X1308" s="36"/>
      <c r="Y1308" s="36"/>
      <c r="Z1308" s="36"/>
      <c r="AA1308" s="36"/>
      <c r="AB1308" s="36"/>
      <c r="AC1308" s="36"/>
    </row>
    <row r="1309" spans="17:29" x14ac:dyDescent="0.2">
      <c r="Q1309" s="36"/>
      <c r="R1309" s="40"/>
      <c r="S1309" s="40"/>
      <c r="T1309" s="40"/>
      <c r="U1309" s="41"/>
      <c r="V1309" s="41"/>
      <c r="W1309" s="41"/>
      <c r="X1309" s="36"/>
      <c r="Y1309" s="36"/>
      <c r="Z1309" s="36"/>
      <c r="AA1309" s="36"/>
      <c r="AB1309" s="36"/>
      <c r="AC1309" s="36"/>
    </row>
    <row r="1310" spans="17:29" x14ac:dyDescent="0.2">
      <c r="Q1310" s="36"/>
      <c r="R1310" s="40"/>
      <c r="S1310" s="40"/>
      <c r="T1310" s="40"/>
      <c r="U1310" s="41"/>
      <c r="V1310" s="41"/>
      <c r="W1310" s="41"/>
      <c r="X1310" s="36"/>
      <c r="Y1310" s="36"/>
      <c r="Z1310" s="36"/>
      <c r="AA1310" s="36"/>
      <c r="AB1310" s="36"/>
      <c r="AC1310" s="36"/>
    </row>
    <row r="1311" spans="17:29" x14ac:dyDescent="0.2">
      <c r="Q1311" s="36"/>
      <c r="R1311" s="40"/>
      <c r="S1311" s="40"/>
      <c r="T1311" s="40"/>
      <c r="U1311" s="41"/>
      <c r="V1311" s="41"/>
      <c r="W1311" s="36"/>
      <c r="X1311" s="36"/>
      <c r="Y1311" s="36"/>
      <c r="Z1311" s="36"/>
      <c r="AA1311" s="36"/>
      <c r="AB1311" s="36"/>
      <c r="AC1311" s="36"/>
    </row>
    <row r="1312" spans="17:29" x14ac:dyDescent="0.2">
      <c r="Q1312" s="36"/>
      <c r="R1312" s="40"/>
      <c r="S1312" s="40"/>
      <c r="T1312" s="40"/>
      <c r="U1312" s="41"/>
      <c r="V1312" s="41"/>
      <c r="W1312" s="36"/>
      <c r="X1312" s="36"/>
      <c r="Y1312" s="36"/>
      <c r="Z1312" s="36"/>
      <c r="AA1312" s="36"/>
      <c r="AB1312" s="36"/>
      <c r="AC1312" s="36"/>
    </row>
    <row r="1313" spans="17:29" x14ac:dyDescent="0.2">
      <c r="Q1313" s="36"/>
      <c r="R1313" s="40"/>
      <c r="S1313" s="40"/>
      <c r="T1313" s="40"/>
      <c r="U1313" s="41"/>
      <c r="V1313" s="41"/>
      <c r="W1313" s="36"/>
      <c r="X1313" s="36"/>
      <c r="Y1313" s="36"/>
      <c r="Z1313" s="36"/>
      <c r="AA1313" s="36"/>
      <c r="AB1313" s="36"/>
      <c r="AC1313" s="36"/>
    </row>
    <row r="1314" spans="17:29" x14ac:dyDescent="0.2">
      <c r="Q1314" s="36"/>
      <c r="R1314" s="40"/>
      <c r="S1314" s="40"/>
      <c r="T1314" s="40"/>
      <c r="U1314" s="41"/>
      <c r="V1314" s="41"/>
      <c r="W1314" s="36"/>
      <c r="X1314" s="36"/>
      <c r="Y1314" s="36"/>
      <c r="Z1314" s="36"/>
      <c r="AA1314" s="36"/>
      <c r="AB1314" s="36"/>
      <c r="AC1314" s="36"/>
    </row>
    <row r="1315" spans="17:29" x14ac:dyDescent="0.2">
      <c r="Q1315" s="36"/>
      <c r="R1315" s="40"/>
      <c r="S1315" s="40"/>
      <c r="T1315" s="40"/>
      <c r="U1315" s="41"/>
      <c r="V1315" s="41"/>
      <c r="W1315" s="36"/>
      <c r="X1315" s="36"/>
      <c r="Y1315" s="36"/>
      <c r="Z1315" s="36"/>
      <c r="AA1315" s="36"/>
      <c r="AB1315" s="36"/>
      <c r="AC1315" s="36"/>
    </row>
    <row r="1316" spans="17:29" x14ac:dyDescent="0.2">
      <c r="Q1316" s="36"/>
      <c r="R1316" s="40"/>
      <c r="S1316" s="40"/>
      <c r="T1316" s="40"/>
      <c r="U1316" s="41"/>
      <c r="V1316" s="41"/>
      <c r="W1316" s="36"/>
      <c r="X1316" s="36"/>
      <c r="Y1316" s="36"/>
      <c r="Z1316" s="36"/>
      <c r="AA1316" s="36"/>
      <c r="AB1316" s="36"/>
      <c r="AC1316" s="36"/>
    </row>
    <row r="1317" spans="17:29" x14ac:dyDescent="0.2">
      <c r="Q1317" s="36"/>
      <c r="R1317" s="40"/>
      <c r="S1317" s="40"/>
      <c r="T1317" s="40"/>
      <c r="U1317" s="41"/>
      <c r="V1317" s="41"/>
      <c r="W1317" s="36"/>
      <c r="X1317" s="36"/>
      <c r="Y1317" s="36"/>
      <c r="Z1317" s="36"/>
      <c r="AA1317" s="36"/>
      <c r="AB1317" s="36"/>
      <c r="AC1317" s="36"/>
    </row>
    <row r="1318" spans="17:29" x14ac:dyDescent="0.2">
      <c r="Q1318" s="36"/>
      <c r="R1318" s="40"/>
      <c r="S1318" s="40"/>
      <c r="T1318" s="40"/>
      <c r="U1318" s="41"/>
      <c r="V1318" s="41"/>
      <c r="W1318" s="36"/>
      <c r="X1318" s="36"/>
      <c r="Y1318" s="36"/>
      <c r="Z1318" s="36"/>
      <c r="AA1318" s="36"/>
      <c r="AB1318" s="36"/>
      <c r="AC1318" s="36"/>
    </row>
    <row r="1319" spans="17:29" x14ac:dyDescent="0.2">
      <c r="Q1319" s="36"/>
      <c r="R1319" s="40"/>
      <c r="S1319" s="40"/>
      <c r="T1319" s="40"/>
      <c r="U1319" s="41"/>
      <c r="V1319" s="41"/>
      <c r="W1319" s="36"/>
      <c r="X1319" s="36"/>
      <c r="Y1319" s="36"/>
      <c r="Z1319" s="36"/>
      <c r="AA1319" s="36"/>
      <c r="AB1319" s="36"/>
      <c r="AC1319" s="36"/>
    </row>
    <row r="1320" spans="17:29" x14ac:dyDescent="0.2">
      <c r="Q1320" s="36"/>
      <c r="R1320" s="40"/>
      <c r="S1320" s="40"/>
      <c r="T1320" s="40"/>
      <c r="U1320" s="41"/>
      <c r="V1320" s="41"/>
      <c r="W1320" s="36"/>
      <c r="X1320" s="36"/>
      <c r="Y1320" s="36"/>
      <c r="Z1320" s="36"/>
      <c r="AA1320" s="36"/>
      <c r="AB1320" s="36"/>
      <c r="AC1320" s="36"/>
    </row>
    <row r="1321" spans="17:29" x14ac:dyDescent="0.2">
      <c r="Q1321" s="36"/>
      <c r="R1321" s="40"/>
      <c r="S1321" s="40"/>
      <c r="T1321" s="40"/>
      <c r="U1321" s="41"/>
      <c r="V1321" s="41"/>
      <c r="W1321" s="36"/>
      <c r="X1321" s="36"/>
      <c r="Y1321" s="36"/>
      <c r="Z1321" s="36"/>
      <c r="AA1321" s="36"/>
      <c r="AB1321" s="36"/>
      <c r="AC1321" s="36"/>
    </row>
    <row r="1322" spans="17:29" x14ac:dyDescent="0.2">
      <c r="Q1322" s="36"/>
      <c r="R1322" s="40"/>
      <c r="S1322" s="40"/>
      <c r="T1322" s="40"/>
      <c r="U1322" s="41"/>
      <c r="V1322" s="41"/>
      <c r="W1322" s="36"/>
      <c r="X1322" s="36"/>
      <c r="Y1322" s="36"/>
      <c r="Z1322" s="36"/>
      <c r="AA1322" s="36"/>
      <c r="AB1322" s="36"/>
      <c r="AC1322" s="36"/>
    </row>
    <row r="1323" spans="17:29" x14ac:dyDescent="0.2">
      <c r="Q1323" s="36"/>
      <c r="R1323" s="40"/>
      <c r="S1323" s="40"/>
      <c r="T1323" s="40"/>
      <c r="U1323" s="41"/>
      <c r="V1323" s="41"/>
      <c r="W1323" s="36"/>
      <c r="X1323" s="36"/>
      <c r="Y1323" s="36"/>
      <c r="Z1323" s="36"/>
      <c r="AA1323" s="36"/>
      <c r="AB1323" s="36"/>
      <c r="AC1323" s="36"/>
    </row>
    <row r="1324" spans="17:29" x14ac:dyDescent="0.2">
      <c r="Q1324" s="36"/>
      <c r="R1324" s="40"/>
      <c r="S1324" s="40"/>
      <c r="T1324" s="40"/>
      <c r="U1324" s="41"/>
      <c r="V1324" s="41"/>
      <c r="W1324" s="36"/>
      <c r="X1324" s="36"/>
      <c r="Y1324" s="36"/>
      <c r="Z1324" s="36"/>
      <c r="AA1324" s="36"/>
      <c r="AB1324" s="36"/>
      <c r="AC1324" s="36"/>
    </row>
    <row r="1325" spans="17:29" x14ac:dyDescent="0.2">
      <c r="Q1325" s="36"/>
      <c r="R1325" s="40"/>
      <c r="S1325" s="40"/>
      <c r="T1325" s="40"/>
      <c r="U1325" s="41"/>
      <c r="V1325" s="41"/>
      <c r="W1325" s="36"/>
      <c r="X1325" s="36"/>
      <c r="Y1325" s="36"/>
      <c r="Z1325" s="36"/>
      <c r="AA1325" s="36"/>
      <c r="AB1325" s="36"/>
      <c r="AC1325" s="36"/>
    </row>
    <row r="1326" spans="17:29" x14ac:dyDescent="0.2">
      <c r="Q1326" s="36"/>
      <c r="R1326" s="40"/>
      <c r="S1326" s="40"/>
      <c r="T1326" s="40"/>
      <c r="U1326" s="41"/>
      <c r="V1326" s="41"/>
      <c r="W1326" s="36"/>
      <c r="X1326" s="36"/>
      <c r="Y1326" s="36"/>
      <c r="Z1326" s="36"/>
      <c r="AA1326" s="36"/>
      <c r="AB1326" s="36"/>
      <c r="AC1326" s="36"/>
    </row>
    <row r="1327" spans="17:29" x14ac:dyDescent="0.2">
      <c r="Q1327" s="36"/>
      <c r="R1327" s="40"/>
      <c r="S1327" s="40"/>
      <c r="T1327" s="40"/>
      <c r="U1327" s="41"/>
      <c r="V1327" s="41"/>
      <c r="W1327" s="36"/>
      <c r="X1327" s="36"/>
      <c r="Y1327" s="36"/>
      <c r="Z1327" s="36"/>
      <c r="AA1327" s="36"/>
      <c r="AB1327" s="36"/>
      <c r="AC1327" s="36"/>
    </row>
    <row r="1328" spans="17:29" x14ac:dyDescent="0.2">
      <c r="Q1328" s="36"/>
      <c r="R1328" s="40"/>
      <c r="S1328" s="40"/>
      <c r="T1328" s="40"/>
      <c r="U1328" s="41"/>
      <c r="V1328" s="41"/>
      <c r="W1328" s="36"/>
      <c r="X1328" s="36"/>
      <c r="Y1328" s="36"/>
      <c r="Z1328" s="36"/>
      <c r="AA1328" s="36"/>
      <c r="AB1328" s="36"/>
      <c r="AC1328" s="36"/>
    </row>
    <row r="1329" spans="17:29" x14ac:dyDescent="0.2">
      <c r="Q1329" s="36"/>
      <c r="R1329" s="40"/>
      <c r="S1329" s="40"/>
      <c r="T1329" s="40"/>
      <c r="U1329" s="41"/>
      <c r="V1329" s="41"/>
      <c r="W1329" s="36"/>
      <c r="X1329" s="36"/>
      <c r="Y1329" s="36"/>
      <c r="Z1329" s="36"/>
      <c r="AA1329" s="36"/>
      <c r="AB1329" s="36"/>
      <c r="AC1329" s="36"/>
    </row>
    <row r="1330" spans="17:29" x14ac:dyDescent="0.2">
      <c r="Q1330" s="36"/>
      <c r="R1330" s="40"/>
      <c r="S1330" s="40"/>
      <c r="T1330" s="40"/>
      <c r="U1330" s="41"/>
      <c r="V1330" s="41"/>
      <c r="W1330" s="36"/>
      <c r="X1330" s="36"/>
      <c r="Y1330" s="36"/>
      <c r="Z1330" s="36"/>
      <c r="AA1330" s="36"/>
      <c r="AB1330" s="36"/>
      <c r="AC1330" s="36"/>
    </row>
    <row r="1331" spans="17:29" x14ac:dyDescent="0.2">
      <c r="Q1331" s="36"/>
      <c r="R1331" s="40"/>
      <c r="S1331" s="40"/>
      <c r="T1331" s="40"/>
      <c r="U1331" s="41"/>
      <c r="V1331" s="41"/>
      <c r="W1331" s="36"/>
      <c r="X1331" s="36"/>
      <c r="Y1331" s="36"/>
      <c r="Z1331" s="36"/>
      <c r="AA1331" s="36"/>
      <c r="AB1331" s="36"/>
      <c r="AC1331" s="36"/>
    </row>
    <row r="1332" spans="17:29" x14ac:dyDescent="0.2">
      <c r="Q1332" s="36"/>
      <c r="R1332" s="40"/>
      <c r="S1332" s="40"/>
      <c r="T1332" s="40"/>
      <c r="U1332" s="41"/>
      <c r="V1332" s="41"/>
      <c r="W1332" s="36"/>
      <c r="X1332" s="36"/>
      <c r="Y1332" s="36"/>
      <c r="Z1332" s="36"/>
      <c r="AA1332" s="36"/>
      <c r="AB1332" s="36"/>
      <c r="AC1332" s="36"/>
    </row>
    <row r="1333" spans="17:29" x14ac:dyDescent="0.2">
      <c r="Q1333" s="36"/>
      <c r="R1333" s="40"/>
      <c r="S1333" s="40"/>
      <c r="T1333" s="40"/>
      <c r="U1333" s="41"/>
      <c r="V1333" s="41"/>
      <c r="W1333" s="36"/>
      <c r="X1333" s="36"/>
      <c r="Y1333" s="36"/>
      <c r="Z1333" s="36"/>
      <c r="AA1333" s="36"/>
      <c r="AB1333" s="36"/>
      <c r="AC1333" s="36"/>
    </row>
    <row r="1334" spans="17:29" x14ac:dyDescent="0.2">
      <c r="Q1334" s="36"/>
      <c r="R1334" s="40"/>
      <c r="S1334" s="40"/>
      <c r="T1334" s="40"/>
      <c r="U1334" s="41"/>
      <c r="V1334" s="41"/>
      <c r="W1334" s="36"/>
      <c r="X1334" s="36"/>
      <c r="Y1334" s="36"/>
      <c r="Z1334" s="36"/>
      <c r="AA1334" s="36"/>
      <c r="AB1334" s="36"/>
      <c r="AC1334" s="36"/>
    </row>
    <row r="1335" spans="17:29" x14ac:dyDescent="0.2">
      <c r="Q1335" s="36"/>
      <c r="R1335" s="40"/>
      <c r="S1335" s="40"/>
      <c r="T1335" s="40"/>
      <c r="U1335" s="41"/>
      <c r="V1335" s="41"/>
      <c r="W1335" s="36"/>
      <c r="X1335" s="36"/>
      <c r="Y1335" s="36"/>
      <c r="Z1335" s="36"/>
      <c r="AA1335" s="36"/>
      <c r="AB1335" s="36"/>
      <c r="AC1335" s="36"/>
    </row>
    <row r="1336" spans="17:29" x14ac:dyDescent="0.2">
      <c r="Q1336" s="36"/>
      <c r="R1336" s="40"/>
      <c r="S1336" s="40"/>
      <c r="T1336" s="40"/>
      <c r="U1336" s="41"/>
      <c r="V1336" s="41"/>
      <c r="W1336" s="36"/>
      <c r="X1336" s="36"/>
      <c r="Y1336" s="36"/>
      <c r="Z1336" s="36"/>
      <c r="AA1336" s="36"/>
      <c r="AB1336" s="36"/>
      <c r="AC1336" s="36"/>
    </row>
    <row r="1337" spans="17:29" x14ac:dyDescent="0.2">
      <c r="Q1337" s="36"/>
      <c r="R1337" s="40"/>
      <c r="S1337" s="40"/>
      <c r="T1337" s="40"/>
      <c r="U1337" s="41"/>
      <c r="V1337" s="41"/>
      <c r="W1337" s="36"/>
      <c r="X1337" s="36"/>
      <c r="Y1337" s="36"/>
      <c r="Z1337" s="36"/>
      <c r="AA1337" s="36"/>
      <c r="AB1337" s="36"/>
      <c r="AC1337" s="36"/>
    </row>
    <row r="1338" spans="17:29" x14ac:dyDescent="0.2">
      <c r="Q1338" s="36"/>
      <c r="R1338" s="40"/>
      <c r="S1338" s="40"/>
      <c r="T1338" s="40"/>
      <c r="U1338" s="41"/>
      <c r="V1338" s="41"/>
      <c r="W1338" s="36"/>
      <c r="X1338" s="36"/>
      <c r="Y1338" s="36"/>
      <c r="Z1338" s="36"/>
      <c r="AA1338" s="36"/>
      <c r="AB1338" s="36"/>
      <c r="AC1338" s="36"/>
    </row>
    <row r="1339" spans="17:29" x14ac:dyDescent="0.2">
      <c r="Q1339" s="36"/>
      <c r="R1339" s="40"/>
      <c r="S1339" s="40"/>
      <c r="T1339" s="40"/>
      <c r="U1339" s="41"/>
      <c r="V1339" s="41"/>
      <c r="W1339" s="36"/>
      <c r="X1339" s="36"/>
      <c r="Y1339" s="36"/>
      <c r="Z1339" s="36"/>
      <c r="AA1339" s="36"/>
      <c r="AB1339" s="36"/>
      <c r="AC1339" s="36"/>
    </row>
    <row r="1340" spans="17:29" x14ac:dyDescent="0.2">
      <c r="Q1340" s="36"/>
      <c r="R1340" s="40"/>
      <c r="S1340" s="40"/>
      <c r="T1340" s="40"/>
      <c r="U1340" s="41"/>
      <c r="V1340" s="41"/>
      <c r="W1340" s="36"/>
      <c r="X1340" s="36"/>
      <c r="Y1340" s="36"/>
      <c r="Z1340" s="36"/>
      <c r="AA1340" s="36"/>
      <c r="AB1340" s="36"/>
      <c r="AC1340" s="36"/>
    </row>
    <row r="1341" spans="17:29" x14ac:dyDescent="0.2">
      <c r="Q1341" s="36"/>
      <c r="R1341" s="40"/>
      <c r="S1341" s="40"/>
      <c r="T1341" s="40"/>
      <c r="U1341" s="41"/>
      <c r="V1341" s="41"/>
      <c r="W1341" s="36"/>
      <c r="X1341" s="36"/>
      <c r="Y1341" s="36"/>
      <c r="Z1341" s="36"/>
      <c r="AA1341" s="36"/>
      <c r="AB1341" s="36"/>
      <c r="AC1341" s="36"/>
    </row>
    <row r="1342" spans="17:29" x14ac:dyDescent="0.2">
      <c r="Q1342" s="36"/>
      <c r="R1342" s="40"/>
      <c r="S1342" s="40"/>
      <c r="T1342" s="40"/>
      <c r="U1342" s="41"/>
      <c r="V1342" s="41"/>
      <c r="W1342" s="36"/>
      <c r="X1342" s="36"/>
      <c r="Y1342" s="36"/>
      <c r="Z1342" s="36"/>
      <c r="AA1342" s="36"/>
      <c r="AB1342" s="36"/>
      <c r="AC1342" s="36"/>
    </row>
    <row r="1343" spans="17:29" x14ac:dyDescent="0.2">
      <c r="Q1343" s="36"/>
      <c r="R1343" s="40"/>
      <c r="S1343" s="40"/>
      <c r="T1343" s="40"/>
      <c r="U1343" s="41"/>
      <c r="V1343" s="41"/>
      <c r="W1343" s="36"/>
      <c r="X1343" s="36"/>
      <c r="Y1343" s="36"/>
      <c r="Z1343" s="36"/>
      <c r="AA1343" s="36"/>
      <c r="AB1343" s="36"/>
      <c r="AC1343" s="36"/>
    </row>
    <row r="1344" spans="17:29" x14ac:dyDescent="0.2">
      <c r="Q1344" s="36"/>
      <c r="R1344" s="40"/>
      <c r="S1344" s="40"/>
      <c r="T1344" s="40"/>
      <c r="U1344" s="41"/>
      <c r="V1344" s="41"/>
      <c r="W1344" s="36"/>
      <c r="X1344" s="36"/>
      <c r="Y1344" s="36"/>
      <c r="Z1344" s="36"/>
      <c r="AA1344" s="36"/>
      <c r="AB1344" s="36"/>
      <c r="AC1344" s="36"/>
    </row>
    <row r="1345" spans="17:29" x14ac:dyDescent="0.2">
      <c r="Q1345" s="36"/>
      <c r="R1345" s="40"/>
      <c r="S1345" s="40"/>
      <c r="T1345" s="40"/>
      <c r="U1345" s="41"/>
      <c r="V1345" s="41"/>
      <c r="W1345" s="36"/>
      <c r="X1345" s="36"/>
      <c r="Y1345" s="36"/>
      <c r="Z1345" s="36"/>
      <c r="AA1345" s="36"/>
      <c r="AB1345" s="36"/>
      <c r="AC1345" s="36"/>
    </row>
    <row r="1346" spans="17:29" x14ac:dyDescent="0.2">
      <c r="Q1346" s="36"/>
      <c r="R1346" s="40"/>
      <c r="S1346" s="40"/>
      <c r="T1346" s="40"/>
      <c r="U1346" s="41"/>
      <c r="V1346" s="41"/>
      <c r="W1346" s="36"/>
      <c r="X1346" s="36"/>
      <c r="Y1346" s="36"/>
      <c r="Z1346" s="36"/>
      <c r="AA1346" s="36"/>
      <c r="AB1346" s="36"/>
      <c r="AC1346" s="36"/>
    </row>
    <row r="1347" spans="17:29" x14ac:dyDescent="0.2">
      <c r="Q1347" s="36"/>
      <c r="R1347" s="40"/>
      <c r="S1347" s="40"/>
      <c r="T1347" s="40"/>
      <c r="U1347" s="41"/>
      <c r="V1347" s="41"/>
      <c r="W1347" s="36"/>
      <c r="X1347" s="36"/>
      <c r="Y1347" s="36"/>
      <c r="Z1347" s="36"/>
      <c r="AA1347" s="36"/>
      <c r="AB1347" s="36"/>
      <c r="AC1347" s="36"/>
    </row>
    <row r="1348" spans="17:29" x14ac:dyDescent="0.2">
      <c r="Q1348" s="36"/>
      <c r="R1348" s="40"/>
      <c r="S1348" s="40"/>
      <c r="T1348" s="40"/>
      <c r="U1348" s="41"/>
      <c r="V1348" s="41"/>
      <c r="W1348" s="36"/>
      <c r="X1348" s="36"/>
      <c r="Y1348" s="36"/>
      <c r="Z1348" s="36"/>
      <c r="AA1348" s="36"/>
      <c r="AB1348" s="36"/>
      <c r="AC1348" s="36"/>
    </row>
    <row r="1349" spans="17:29" x14ac:dyDescent="0.2">
      <c r="Q1349" s="36"/>
      <c r="R1349" s="40"/>
      <c r="S1349" s="40"/>
      <c r="T1349" s="40"/>
      <c r="U1349" s="41"/>
      <c r="V1349" s="41"/>
      <c r="W1349" s="36"/>
      <c r="X1349" s="36"/>
      <c r="Y1349" s="36"/>
      <c r="Z1349" s="36"/>
      <c r="AA1349" s="36"/>
      <c r="AB1349" s="36"/>
      <c r="AC1349" s="36"/>
    </row>
    <row r="1350" spans="17:29" x14ac:dyDescent="0.2">
      <c r="Q1350" s="36"/>
      <c r="R1350" s="40"/>
      <c r="S1350" s="40"/>
      <c r="T1350" s="40"/>
      <c r="U1350" s="41"/>
      <c r="V1350" s="41"/>
      <c r="W1350" s="36"/>
      <c r="X1350" s="36"/>
      <c r="Y1350" s="36"/>
      <c r="Z1350" s="36"/>
      <c r="AA1350" s="36"/>
      <c r="AB1350" s="36"/>
      <c r="AC1350" s="36"/>
    </row>
    <row r="1351" spans="17:29" x14ac:dyDescent="0.2">
      <c r="Q1351" s="36"/>
      <c r="R1351" s="40"/>
      <c r="S1351" s="40"/>
      <c r="T1351" s="40"/>
      <c r="U1351" s="41"/>
      <c r="V1351" s="41"/>
      <c r="W1351" s="36"/>
      <c r="X1351" s="36"/>
      <c r="Y1351" s="36"/>
      <c r="Z1351" s="36"/>
      <c r="AA1351" s="36"/>
      <c r="AB1351" s="36"/>
      <c r="AC1351" s="36"/>
    </row>
    <row r="1352" spans="17:29" x14ac:dyDescent="0.2">
      <c r="Q1352" s="36"/>
      <c r="R1352" s="40"/>
      <c r="S1352" s="40"/>
      <c r="T1352" s="40"/>
      <c r="U1352" s="41"/>
      <c r="V1352" s="41"/>
      <c r="W1352" s="36"/>
      <c r="X1352" s="36"/>
      <c r="Y1352" s="36"/>
      <c r="Z1352" s="36"/>
      <c r="AA1352" s="36"/>
      <c r="AB1352" s="36"/>
      <c r="AC1352" s="36"/>
    </row>
    <row r="1353" spans="17:29" x14ac:dyDescent="0.2">
      <c r="Q1353" s="36"/>
      <c r="R1353" s="40"/>
      <c r="S1353" s="40"/>
      <c r="T1353" s="40"/>
      <c r="U1353" s="41"/>
      <c r="V1353" s="41"/>
      <c r="W1353" s="36"/>
      <c r="X1353" s="36"/>
      <c r="Y1353" s="36"/>
      <c r="Z1353" s="36"/>
      <c r="AA1353" s="36"/>
      <c r="AB1353" s="36"/>
      <c r="AC1353" s="36"/>
    </row>
    <row r="1354" spans="17:29" x14ac:dyDescent="0.2">
      <c r="Q1354" s="36"/>
      <c r="R1354" s="40"/>
      <c r="S1354" s="40"/>
      <c r="T1354" s="40"/>
      <c r="U1354" s="41"/>
      <c r="V1354" s="41"/>
      <c r="W1354" s="36"/>
      <c r="X1354" s="36"/>
      <c r="Y1354" s="36"/>
      <c r="Z1354" s="36"/>
      <c r="AA1354" s="36"/>
      <c r="AB1354" s="36"/>
      <c r="AC1354" s="36"/>
    </row>
    <row r="1355" spans="17:29" x14ac:dyDescent="0.2">
      <c r="Q1355" s="36"/>
      <c r="R1355" s="40"/>
      <c r="S1355" s="40"/>
      <c r="T1355" s="40"/>
      <c r="U1355" s="41"/>
      <c r="V1355" s="41"/>
      <c r="W1355" s="36"/>
      <c r="X1355" s="36"/>
      <c r="Y1355" s="36"/>
      <c r="Z1355" s="36"/>
      <c r="AA1355" s="36"/>
      <c r="AB1355" s="36"/>
      <c r="AC1355" s="36"/>
    </row>
    <row r="1356" spans="17:29" x14ac:dyDescent="0.2">
      <c r="Q1356" s="36"/>
      <c r="R1356" s="40"/>
      <c r="S1356" s="40"/>
      <c r="T1356" s="40"/>
      <c r="U1356" s="41"/>
      <c r="V1356" s="41"/>
      <c r="W1356" s="36"/>
      <c r="X1356" s="36"/>
      <c r="Y1356" s="36"/>
      <c r="Z1356" s="36"/>
      <c r="AA1356" s="36"/>
      <c r="AB1356" s="36"/>
      <c r="AC1356" s="36"/>
    </row>
    <row r="1357" spans="17:29" x14ac:dyDescent="0.2">
      <c r="Q1357" s="36"/>
      <c r="R1357" s="40"/>
      <c r="S1357" s="40"/>
      <c r="T1357" s="40"/>
      <c r="U1357" s="41"/>
      <c r="V1357" s="41"/>
      <c r="W1357" s="36"/>
      <c r="X1357" s="36"/>
      <c r="Y1357" s="36"/>
      <c r="Z1357" s="36"/>
      <c r="AA1357" s="36"/>
      <c r="AB1357" s="36"/>
      <c r="AC1357" s="36"/>
    </row>
    <row r="1358" spans="17:29" x14ac:dyDescent="0.2">
      <c r="Q1358" s="36"/>
      <c r="R1358" s="40"/>
      <c r="S1358" s="40"/>
      <c r="T1358" s="40"/>
      <c r="U1358" s="41"/>
      <c r="V1358" s="41"/>
      <c r="W1358" s="36"/>
      <c r="X1358" s="36"/>
      <c r="Y1358" s="36"/>
      <c r="Z1358" s="36"/>
      <c r="AA1358" s="36"/>
      <c r="AB1358" s="36"/>
      <c r="AC1358" s="36"/>
    </row>
    <row r="1359" spans="17:29" x14ac:dyDescent="0.2">
      <c r="Q1359" s="36"/>
      <c r="R1359" s="40"/>
      <c r="S1359" s="40"/>
      <c r="T1359" s="40"/>
      <c r="U1359" s="41"/>
      <c r="V1359" s="41"/>
      <c r="W1359" s="36"/>
      <c r="X1359" s="36"/>
      <c r="Y1359" s="36"/>
      <c r="Z1359" s="36"/>
      <c r="AA1359" s="36"/>
      <c r="AB1359" s="36"/>
      <c r="AC1359" s="36"/>
    </row>
    <row r="1360" spans="17:29" x14ac:dyDescent="0.2">
      <c r="Q1360" s="36"/>
      <c r="R1360" s="40"/>
      <c r="S1360" s="40"/>
      <c r="T1360" s="40"/>
      <c r="U1360" s="41"/>
      <c r="V1360" s="41"/>
      <c r="W1360" s="36"/>
      <c r="X1360" s="36"/>
      <c r="Y1360" s="36"/>
      <c r="Z1360" s="36"/>
      <c r="AA1360" s="36"/>
      <c r="AB1360" s="36"/>
      <c r="AC1360" s="36"/>
    </row>
    <row r="1361" spans="17:29" x14ac:dyDescent="0.2">
      <c r="Q1361" s="36"/>
      <c r="R1361" s="40"/>
      <c r="S1361" s="40"/>
      <c r="T1361" s="40"/>
      <c r="U1361" s="41"/>
      <c r="V1361" s="41"/>
      <c r="W1361" s="36"/>
      <c r="X1361" s="36"/>
      <c r="Y1361" s="36"/>
      <c r="Z1361" s="36"/>
      <c r="AA1361" s="36"/>
      <c r="AB1361" s="36"/>
      <c r="AC1361" s="36"/>
    </row>
    <row r="1362" spans="17:29" x14ac:dyDescent="0.2">
      <c r="Q1362" s="36"/>
      <c r="R1362" s="40"/>
      <c r="S1362" s="40"/>
      <c r="T1362" s="40"/>
      <c r="U1362" s="41"/>
      <c r="V1362" s="41"/>
      <c r="W1362" s="36"/>
      <c r="X1362" s="36"/>
      <c r="Y1362" s="36"/>
      <c r="Z1362" s="36"/>
      <c r="AA1362" s="36"/>
      <c r="AB1362" s="36"/>
      <c r="AC1362" s="36"/>
    </row>
    <row r="1363" spans="17:29" x14ac:dyDescent="0.2">
      <c r="Q1363" s="36"/>
      <c r="R1363" s="40"/>
      <c r="S1363" s="40"/>
      <c r="T1363" s="40"/>
      <c r="U1363" s="41"/>
      <c r="V1363" s="41"/>
      <c r="W1363" s="36"/>
      <c r="X1363" s="36"/>
      <c r="Y1363" s="36"/>
      <c r="Z1363" s="36"/>
      <c r="AA1363" s="36"/>
      <c r="AB1363" s="36"/>
      <c r="AC1363" s="36"/>
    </row>
    <row r="1364" spans="17:29" x14ac:dyDescent="0.2">
      <c r="Q1364" s="36"/>
      <c r="R1364" s="40"/>
      <c r="S1364" s="40"/>
      <c r="T1364" s="40"/>
      <c r="U1364" s="41"/>
      <c r="V1364" s="41"/>
      <c r="W1364" s="36"/>
      <c r="X1364" s="36"/>
      <c r="Y1364" s="36"/>
      <c r="Z1364" s="36"/>
      <c r="AA1364" s="36"/>
      <c r="AB1364" s="36"/>
      <c r="AC1364" s="36"/>
    </row>
    <row r="1365" spans="17:29" x14ac:dyDescent="0.2">
      <c r="Q1365" s="36"/>
      <c r="R1365" s="40"/>
      <c r="S1365" s="40"/>
      <c r="T1365" s="40"/>
      <c r="U1365" s="41"/>
      <c r="V1365" s="41"/>
      <c r="W1365" s="36"/>
      <c r="X1365" s="36"/>
      <c r="Y1365" s="36"/>
      <c r="Z1365" s="36"/>
      <c r="AA1365" s="36"/>
      <c r="AB1365" s="36"/>
      <c r="AC1365" s="36"/>
    </row>
    <row r="1366" spans="17:29" x14ac:dyDescent="0.2">
      <c r="Q1366" s="36"/>
      <c r="R1366" s="40"/>
      <c r="S1366" s="40"/>
      <c r="T1366" s="40"/>
      <c r="U1366" s="41"/>
      <c r="V1366" s="41"/>
      <c r="W1366" s="36"/>
      <c r="X1366" s="36"/>
      <c r="Y1366" s="36"/>
      <c r="Z1366" s="36"/>
      <c r="AA1366" s="36"/>
      <c r="AB1366" s="36"/>
      <c r="AC1366" s="36"/>
    </row>
    <row r="1367" spans="17:29" x14ac:dyDescent="0.2">
      <c r="Q1367" s="36"/>
      <c r="R1367" s="40"/>
      <c r="S1367" s="40"/>
      <c r="T1367" s="40"/>
      <c r="U1367" s="41"/>
      <c r="V1367" s="41"/>
      <c r="W1367" s="36"/>
      <c r="X1367" s="36"/>
      <c r="Y1367" s="36"/>
      <c r="Z1367" s="36"/>
      <c r="AA1367" s="36"/>
      <c r="AB1367" s="36"/>
      <c r="AC1367" s="36"/>
    </row>
    <row r="1368" spans="17:29" x14ac:dyDescent="0.2">
      <c r="Q1368" s="36"/>
      <c r="R1368" s="40"/>
      <c r="S1368" s="40"/>
      <c r="T1368" s="40"/>
      <c r="U1368" s="41"/>
      <c r="V1368" s="41"/>
      <c r="W1368" s="36"/>
      <c r="X1368" s="36"/>
      <c r="Y1368" s="36"/>
      <c r="Z1368" s="36"/>
      <c r="AA1368" s="36"/>
      <c r="AB1368" s="36"/>
      <c r="AC1368" s="36"/>
    </row>
    <row r="1369" spans="17:29" x14ac:dyDescent="0.2">
      <c r="Q1369" s="36"/>
      <c r="R1369" s="40"/>
      <c r="S1369" s="40"/>
      <c r="T1369" s="40"/>
      <c r="U1369" s="41"/>
      <c r="V1369" s="41"/>
      <c r="W1369" s="36"/>
      <c r="X1369" s="36"/>
      <c r="Y1369" s="36"/>
      <c r="Z1369" s="36"/>
      <c r="AA1369" s="36"/>
      <c r="AB1369" s="36"/>
      <c r="AC1369" s="36"/>
    </row>
    <row r="1370" spans="17:29" x14ac:dyDescent="0.2">
      <c r="Q1370" s="36"/>
      <c r="R1370" s="40"/>
      <c r="S1370" s="40"/>
      <c r="T1370" s="40"/>
      <c r="U1370" s="41"/>
      <c r="V1370" s="41"/>
      <c r="W1370" s="36"/>
      <c r="X1370" s="36"/>
      <c r="Y1370" s="36"/>
      <c r="Z1370" s="36"/>
      <c r="AA1370" s="36"/>
      <c r="AB1370" s="36"/>
      <c r="AC1370" s="36"/>
    </row>
    <row r="1371" spans="17:29" x14ac:dyDescent="0.2">
      <c r="Q1371" s="36"/>
      <c r="R1371" s="40"/>
      <c r="S1371" s="40"/>
      <c r="T1371" s="40"/>
      <c r="U1371" s="41"/>
      <c r="V1371" s="41"/>
      <c r="W1371" s="36"/>
      <c r="X1371" s="36"/>
      <c r="Y1371" s="36"/>
      <c r="Z1371" s="36"/>
      <c r="AA1371" s="36"/>
      <c r="AB1371" s="36"/>
      <c r="AC1371" s="36"/>
    </row>
    <row r="1372" spans="17:29" x14ac:dyDescent="0.2">
      <c r="Q1372" s="36"/>
      <c r="R1372" s="40"/>
      <c r="S1372" s="40"/>
      <c r="T1372" s="40"/>
      <c r="U1372" s="41"/>
      <c r="V1372" s="41"/>
      <c r="W1372" s="36"/>
      <c r="X1372" s="36"/>
      <c r="Y1372" s="36"/>
      <c r="Z1372" s="36"/>
      <c r="AA1372" s="36"/>
      <c r="AB1372" s="36"/>
      <c r="AC1372" s="36"/>
    </row>
    <row r="1373" spans="17:29" x14ac:dyDescent="0.2">
      <c r="Q1373" s="36"/>
      <c r="R1373" s="40"/>
      <c r="S1373" s="40"/>
      <c r="T1373" s="40"/>
      <c r="U1373" s="41"/>
      <c r="V1373" s="41"/>
      <c r="W1373" s="36"/>
      <c r="X1373" s="36"/>
      <c r="Y1373" s="36"/>
      <c r="Z1373" s="36"/>
      <c r="AA1373" s="36"/>
      <c r="AB1373" s="36"/>
      <c r="AC1373" s="36"/>
    </row>
    <row r="1374" spans="17:29" x14ac:dyDescent="0.2">
      <c r="Q1374" s="36"/>
      <c r="R1374" s="40"/>
      <c r="S1374" s="40"/>
      <c r="T1374" s="40"/>
      <c r="U1374" s="41"/>
      <c r="V1374" s="41"/>
      <c r="W1374" s="36"/>
      <c r="X1374" s="36"/>
      <c r="Y1374" s="36"/>
      <c r="Z1374" s="36"/>
      <c r="AA1374" s="36"/>
      <c r="AB1374" s="36"/>
      <c r="AC1374" s="36"/>
    </row>
    <row r="1375" spans="17:29" x14ac:dyDescent="0.2">
      <c r="Q1375" s="36"/>
      <c r="R1375" s="36"/>
      <c r="S1375" s="36"/>
      <c r="T1375" s="36"/>
      <c r="U1375" s="36"/>
      <c r="V1375" s="36"/>
      <c r="W1375" s="36"/>
      <c r="X1375" s="36"/>
      <c r="Y1375" s="36"/>
      <c r="Z1375" s="36"/>
      <c r="AA1375" s="36"/>
      <c r="AB1375" s="36"/>
      <c r="AC1375" s="36"/>
    </row>
    <row r="1376" spans="17:29" x14ac:dyDescent="0.2">
      <c r="Q1376" s="36"/>
      <c r="R1376" s="36"/>
      <c r="S1376" s="36"/>
      <c r="T1376" s="36"/>
      <c r="U1376" s="36"/>
      <c r="V1376" s="36"/>
      <c r="W1376" s="36"/>
      <c r="X1376" s="36"/>
      <c r="Y1376" s="36"/>
      <c r="Z1376" s="36"/>
      <c r="AA1376" s="36"/>
      <c r="AB1376" s="36"/>
      <c r="AC1376" s="36"/>
    </row>
    <row r="1377" spans="17:29" x14ac:dyDescent="0.2">
      <c r="Q1377" s="36"/>
      <c r="R1377" s="36"/>
      <c r="S1377" s="36"/>
      <c r="T1377" s="36"/>
      <c r="U1377" s="36"/>
      <c r="V1377" s="36"/>
      <c r="W1377" s="36"/>
      <c r="X1377" s="36"/>
      <c r="Y1377" s="36"/>
      <c r="Z1377" s="36"/>
      <c r="AA1377" s="36"/>
      <c r="AB1377" s="36"/>
      <c r="AC1377" s="36"/>
    </row>
    <row r="1378" spans="17:29" x14ac:dyDescent="0.2">
      <c r="Q1378" s="36"/>
      <c r="R1378" s="36"/>
      <c r="S1378" s="36"/>
      <c r="T1378" s="36"/>
      <c r="U1378" s="36"/>
      <c r="V1378" s="36"/>
      <c r="W1378" s="36"/>
      <c r="X1378" s="36"/>
      <c r="Y1378" s="36"/>
      <c r="Z1378" s="36"/>
      <c r="AA1378" s="36"/>
      <c r="AB1378" s="36"/>
      <c r="AC1378" s="36"/>
    </row>
    <row r="1379" spans="17:29" x14ac:dyDescent="0.2">
      <c r="Q1379" s="36"/>
      <c r="R1379" s="36"/>
      <c r="S1379" s="36"/>
      <c r="T1379" s="36"/>
      <c r="U1379" s="36"/>
      <c r="V1379" s="36"/>
      <c r="W1379" s="36"/>
      <c r="X1379" s="36"/>
      <c r="Y1379" s="36"/>
      <c r="Z1379" s="36"/>
      <c r="AA1379" s="36"/>
      <c r="AB1379" s="36"/>
      <c r="AC1379" s="36"/>
    </row>
    <row r="1380" spans="17:29" x14ac:dyDescent="0.2">
      <c r="Q1380" s="36"/>
      <c r="R1380" s="36"/>
      <c r="S1380" s="36"/>
      <c r="T1380" s="36"/>
      <c r="U1380" s="36"/>
      <c r="V1380" s="36"/>
      <c r="W1380" s="36"/>
      <c r="X1380" s="36"/>
      <c r="Y1380" s="36"/>
      <c r="Z1380" s="36"/>
      <c r="AA1380" s="36"/>
      <c r="AB1380" s="36"/>
      <c r="AC1380" s="36"/>
    </row>
    <row r="1381" spans="17:29" x14ac:dyDescent="0.2">
      <c r="Q1381" s="36"/>
      <c r="R1381" s="36"/>
      <c r="S1381" s="36"/>
      <c r="T1381" s="36"/>
      <c r="U1381" s="36"/>
      <c r="V1381" s="36"/>
      <c r="W1381" s="36"/>
      <c r="X1381" s="36"/>
      <c r="Y1381" s="36"/>
      <c r="Z1381" s="36"/>
      <c r="AA1381" s="36"/>
      <c r="AB1381" s="36"/>
      <c r="AC1381" s="36"/>
    </row>
    <row r="1382" spans="17:29" x14ac:dyDescent="0.2">
      <c r="Q1382" s="36"/>
      <c r="R1382" s="36"/>
      <c r="S1382" s="36"/>
      <c r="T1382" s="36"/>
      <c r="U1382" s="36"/>
      <c r="V1382" s="36"/>
      <c r="W1382" s="36"/>
      <c r="X1382" s="36"/>
      <c r="Y1382" s="36"/>
      <c r="Z1382" s="36"/>
      <c r="AA1382" s="36"/>
      <c r="AB1382" s="36"/>
      <c r="AC1382" s="36"/>
    </row>
    <row r="1383" spans="17:29" x14ac:dyDescent="0.2">
      <c r="Q1383" s="36"/>
      <c r="R1383" s="36"/>
      <c r="S1383" s="36"/>
      <c r="T1383" s="36"/>
      <c r="U1383" s="36"/>
      <c r="V1383" s="36"/>
      <c r="W1383" s="36"/>
      <c r="X1383" s="36"/>
      <c r="Y1383" s="36"/>
      <c r="Z1383" s="36"/>
      <c r="AA1383" s="36"/>
      <c r="AB1383" s="36"/>
      <c r="AC1383" s="36"/>
    </row>
    <row r="1384" spans="17:29" x14ac:dyDescent="0.2">
      <c r="Q1384" s="36"/>
      <c r="R1384" s="36"/>
      <c r="S1384" s="36"/>
      <c r="T1384" s="36"/>
      <c r="U1384" s="36"/>
      <c r="V1384" s="36"/>
      <c r="W1384" s="36"/>
      <c r="X1384" s="36"/>
      <c r="Y1384" s="36"/>
      <c r="Z1384" s="36"/>
      <c r="AA1384" s="36"/>
      <c r="AB1384" s="36"/>
      <c r="AC1384" s="36"/>
    </row>
    <row r="1385" spans="17:29" x14ac:dyDescent="0.2">
      <c r="Q1385" s="36"/>
      <c r="R1385" s="36"/>
      <c r="S1385" s="36"/>
      <c r="T1385" s="36"/>
      <c r="U1385" s="36"/>
      <c r="V1385" s="36"/>
      <c r="W1385" s="36"/>
      <c r="X1385" s="36"/>
      <c r="Y1385" s="36"/>
      <c r="Z1385" s="36"/>
      <c r="AA1385" s="36"/>
      <c r="AB1385" s="36"/>
      <c r="AC1385" s="36"/>
    </row>
    <row r="1386" spans="17:29" x14ac:dyDescent="0.2">
      <c r="Q1386" s="36"/>
      <c r="R1386" s="36"/>
      <c r="S1386" s="36"/>
      <c r="T1386" s="36"/>
      <c r="U1386" s="36"/>
      <c r="V1386" s="36"/>
      <c r="W1386" s="36"/>
      <c r="X1386" s="36"/>
      <c r="Y1386" s="36"/>
      <c r="Z1386" s="36"/>
      <c r="AA1386" s="36"/>
      <c r="AB1386" s="36"/>
      <c r="AC1386" s="36"/>
    </row>
    <row r="1387" spans="17:29" x14ac:dyDescent="0.2">
      <c r="Q1387" s="36"/>
      <c r="R1387" s="36"/>
      <c r="S1387" s="36"/>
      <c r="T1387" s="36"/>
      <c r="U1387" s="36"/>
      <c r="V1387" s="36"/>
      <c r="W1387" s="36"/>
      <c r="X1387" s="36"/>
      <c r="Y1387" s="36"/>
      <c r="Z1387" s="36"/>
      <c r="AA1387" s="36"/>
      <c r="AB1387" s="36"/>
      <c r="AC1387" s="36"/>
    </row>
    <row r="1388" spans="17:29" x14ac:dyDescent="0.2">
      <c r="Q1388" s="36"/>
      <c r="R1388" s="36"/>
      <c r="S1388" s="36"/>
      <c r="T1388" s="36"/>
      <c r="U1388" s="36"/>
      <c r="V1388" s="36"/>
      <c r="W1388" s="36"/>
      <c r="X1388" s="36"/>
      <c r="Y1388" s="36"/>
      <c r="Z1388" s="36"/>
      <c r="AA1388" s="36"/>
      <c r="AB1388" s="36"/>
      <c r="AC1388" s="36"/>
    </row>
    <row r="1389" spans="17:29" x14ac:dyDescent="0.2">
      <c r="Q1389" s="36"/>
      <c r="R1389" s="36"/>
      <c r="S1389" s="36"/>
      <c r="T1389" s="36"/>
      <c r="U1389" s="36"/>
      <c r="V1389" s="36"/>
      <c r="W1389" s="36"/>
      <c r="X1389" s="36"/>
      <c r="Y1389" s="36"/>
      <c r="Z1389" s="36"/>
      <c r="AA1389" s="36"/>
      <c r="AB1389" s="36"/>
      <c r="AC1389" s="36"/>
    </row>
    <row r="1390" spans="17:29" x14ac:dyDescent="0.2">
      <c r="Q1390" s="36"/>
      <c r="R1390" s="36"/>
      <c r="S1390" s="36"/>
      <c r="T1390" s="36"/>
      <c r="U1390" s="36"/>
      <c r="V1390" s="36"/>
      <c r="W1390" s="36"/>
      <c r="X1390" s="36"/>
      <c r="Y1390" s="36"/>
      <c r="Z1390" s="36"/>
      <c r="AA1390" s="36"/>
      <c r="AB1390" s="36"/>
      <c r="AC1390" s="36"/>
    </row>
    <row r="1391" spans="17:29" x14ac:dyDescent="0.2">
      <c r="Q1391" s="36"/>
      <c r="R1391" s="36"/>
      <c r="S1391" s="36"/>
      <c r="T1391" s="36"/>
      <c r="U1391" s="36"/>
      <c r="V1391" s="36"/>
      <c r="W1391" s="36"/>
      <c r="X1391" s="36"/>
      <c r="Y1391" s="36"/>
      <c r="Z1391" s="36"/>
      <c r="AA1391" s="36"/>
      <c r="AB1391" s="36"/>
      <c r="AC1391" s="36"/>
    </row>
    <row r="1392" spans="17:29" x14ac:dyDescent="0.2">
      <c r="Q1392" s="36"/>
      <c r="R1392" s="36"/>
      <c r="S1392" s="36"/>
      <c r="T1392" s="36"/>
      <c r="U1392" s="36"/>
      <c r="V1392" s="36"/>
      <c r="W1392" s="36"/>
      <c r="X1392" s="36"/>
      <c r="Y1392" s="36"/>
      <c r="Z1392" s="36"/>
      <c r="AA1392" s="36"/>
      <c r="AB1392" s="36"/>
      <c r="AC1392" s="36"/>
    </row>
    <row r="1393" spans="17:29" x14ac:dyDescent="0.2">
      <c r="Q1393" s="36"/>
      <c r="R1393" s="36"/>
      <c r="S1393" s="36"/>
      <c r="T1393" s="36"/>
      <c r="U1393" s="36"/>
      <c r="V1393" s="36"/>
      <c r="W1393" s="36"/>
      <c r="X1393" s="36"/>
      <c r="Y1393" s="36"/>
      <c r="Z1393" s="36"/>
      <c r="AA1393" s="36"/>
      <c r="AB1393" s="36"/>
      <c r="AC1393" s="36"/>
    </row>
    <row r="1394" spans="17:29" x14ac:dyDescent="0.2">
      <c r="Q1394" s="36"/>
      <c r="R1394" s="36"/>
      <c r="S1394" s="36"/>
      <c r="T1394" s="36"/>
      <c r="U1394" s="36"/>
      <c r="V1394" s="36"/>
      <c r="W1394" s="36"/>
      <c r="X1394" s="36"/>
      <c r="Y1394" s="36"/>
      <c r="Z1394" s="36"/>
      <c r="AA1394" s="36"/>
      <c r="AB1394" s="36"/>
      <c r="AC1394" s="36"/>
    </row>
    <row r="1395" spans="17:29" x14ac:dyDescent="0.2">
      <c r="Q1395" s="36"/>
      <c r="R1395" s="36"/>
      <c r="S1395" s="36"/>
      <c r="T1395" s="36"/>
      <c r="U1395" s="36"/>
      <c r="V1395" s="36"/>
      <c r="W1395" s="36"/>
      <c r="X1395" s="36"/>
      <c r="Y1395" s="36"/>
      <c r="Z1395" s="36"/>
      <c r="AA1395" s="36"/>
      <c r="AB1395" s="36"/>
      <c r="AC1395" s="36"/>
    </row>
    <row r="1396" spans="17:29" x14ac:dyDescent="0.2">
      <c r="Q1396" s="36"/>
      <c r="R1396" s="36"/>
      <c r="S1396" s="36"/>
      <c r="T1396" s="36"/>
      <c r="U1396" s="36"/>
      <c r="V1396" s="36"/>
      <c r="W1396" s="36"/>
      <c r="X1396" s="36"/>
      <c r="Y1396" s="36"/>
      <c r="Z1396" s="36"/>
      <c r="AA1396" s="36"/>
      <c r="AB1396" s="36"/>
      <c r="AC1396" s="36"/>
    </row>
    <row r="1397" spans="17:29" x14ac:dyDescent="0.2">
      <c r="Q1397" s="36"/>
      <c r="R1397" s="36"/>
      <c r="S1397" s="36"/>
      <c r="T1397" s="36"/>
      <c r="U1397" s="36"/>
      <c r="V1397" s="36"/>
      <c r="W1397" s="36"/>
      <c r="X1397" s="36"/>
      <c r="Y1397" s="36"/>
      <c r="Z1397" s="36"/>
      <c r="AA1397" s="36"/>
      <c r="AB1397" s="36"/>
      <c r="AC1397" s="36"/>
    </row>
    <row r="1398" spans="17:29" x14ac:dyDescent="0.2">
      <c r="Q1398" s="36"/>
      <c r="R1398" s="36"/>
      <c r="S1398" s="36"/>
      <c r="T1398" s="36"/>
      <c r="U1398" s="36"/>
      <c r="V1398" s="36"/>
      <c r="W1398" s="36"/>
      <c r="X1398" s="36"/>
      <c r="Y1398" s="36"/>
      <c r="Z1398" s="36"/>
      <c r="AA1398" s="36"/>
      <c r="AB1398" s="36"/>
      <c r="AC1398" s="36"/>
    </row>
    <row r="1399" spans="17:29" x14ac:dyDescent="0.2">
      <c r="Q1399" s="36"/>
      <c r="R1399" s="36"/>
      <c r="S1399" s="36"/>
      <c r="T1399" s="36"/>
      <c r="U1399" s="36"/>
      <c r="V1399" s="36"/>
      <c r="W1399" s="36"/>
      <c r="X1399" s="36"/>
      <c r="Y1399" s="36"/>
      <c r="Z1399" s="36"/>
      <c r="AA1399" s="36"/>
      <c r="AB1399" s="36"/>
      <c r="AC1399" s="36"/>
    </row>
    <row r="1400" spans="17:29" x14ac:dyDescent="0.2">
      <c r="Q1400" s="36"/>
      <c r="R1400" s="36"/>
      <c r="S1400" s="36"/>
      <c r="T1400" s="36"/>
      <c r="U1400" s="36"/>
      <c r="V1400" s="36"/>
      <c r="W1400" s="36"/>
      <c r="X1400" s="36"/>
      <c r="Y1400" s="36"/>
      <c r="Z1400" s="36"/>
      <c r="AA1400" s="36"/>
      <c r="AB1400" s="36"/>
      <c r="AC1400" s="36"/>
    </row>
    <row r="1401" spans="17:29" x14ac:dyDescent="0.2">
      <c r="Q1401" s="36"/>
      <c r="R1401" s="36"/>
      <c r="S1401" s="36"/>
      <c r="T1401" s="36"/>
      <c r="U1401" s="36"/>
      <c r="V1401" s="36"/>
      <c r="W1401" s="36"/>
      <c r="X1401" s="36"/>
      <c r="Y1401" s="36"/>
      <c r="Z1401" s="36"/>
      <c r="AA1401" s="36"/>
      <c r="AB1401" s="36"/>
      <c r="AC1401" s="36"/>
    </row>
    <row r="1402" spans="17:29" x14ac:dyDescent="0.2">
      <c r="Q1402" s="36"/>
      <c r="R1402" s="36"/>
      <c r="S1402" s="36"/>
      <c r="T1402" s="36"/>
      <c r="U1402" s="36"/>
      <c r="V1402" s="36"/>
      <c r="W1402" s="36"/>
      <c r="X1402" s="36"/>
      <c r="Y1402" s="36"/>
      <c r="Z1402" s="36"/>
      <c r="AA1402" s="36"/>
      <c r="AB1402" s="36"/>
      <c r="AC1402" s="36"/>
    </row>
    <row r="1403" spans="17:29" x14ac:dyDescent="0.2">
      <c r="Q1403" s="36"/>
      <c r="R1403" s="36"/>
      <c r="S1403" s="36"/>
      <c r="T1403" s="36"/>
      <c r="U1403" s="36"/>
      <c r="V1403" s="36"/>
      <c r="W1403" s="36"/>
      <c r="X1403" s="36"/>
      <c r="Y1403" s="36"/>
      <c r="Z1403" s="36"/>
      <c r="AA1403" s="36"/>
      <c r="AB1403" s="36"/>
      <c r="AC1403" s="36"/>
    </row>
    <row r="1404" spans="17:29" x14ac:dyDescent="0.2">
      <c r="Q1404" s="36"/>
      <c r="R1404" s="36"/>
      <c r="S1404" s="36"/>
      <c r="T1404" s="36"/>
      <c r="U1404" s="36"/>
      <c r="V1404" s="36"/>
      <c r="W1404" s="36"/>
      <c r="X1404" s="36"/>
      <c r="Y1404" s="36"/>
      <c r="Z1404" s="36"/>
      <c r="AA1404" s="36"/>
      <c r="AB1404" s="36"/>
      <c r="AC1404" s="36"/>
    </row>
    <row r="1405" spans="17:29" x14ac:dyDescent="0.2">
      <c r="Q1405" s="36"/>
      <c r="R1405" s="36"/>
      <c r="S1405" s="36"/>
      <c r="T1405" s="36"/>
      <c r="U1405" s="36"/>
      <c r="V1405" s="36"/>
      <c r="W1405" s="36"/>
      <c r="X1405" s="36"/>
      <c r="Y1405" s="36"/>
      <c r="Z1405" s="36"/>
      <c r="AA1405" s="36"/>
      <c r="AB1405" s="36"/>
      <c r="AC1405" s="36"/>
    </row>
    <row r="1406" spans="17:29" x14ac:dyDescent="0.2">
      <c r="Q1406" s="36"/>
      <c r="R1406" s="36"/>
      <c r="S1406" s="36"/>
      <c r="T1406" s="36"/>
      <c r="U1406" s="36"/>
      <c r="V1406" s="36"/>
      <c r="W1406" s="36"/>
      <c r="X1406" s="36"/>
      <c r="Y1406" s="36"/>
      <c r="Z1406" s="36"/>
      <c r="AA1406" s="36"/>
      <c r="AB1406" s="36"/>
      <c r="AC1406" s="36"/>
    </row>
    <row r="1407" spans="17:29" x14ac:dyDescent="0.2">
      <c r="Q1407" s="36"/>
      <c r="R1407" s="36"/>
      <c r="S1407" s="36"/>
      <c r="T1407" s="36"/>
      <c r="U1407" s="36"/>
      <c r="V1407" s="36"/>
      <c r="W1407" s="36"/>
      <c r="X1407" s="36"/>
      <c r="Y1407" s="36"/>
      <c r="Z1407" s="36"/>
      <c r="AA1407" s="36"/>
      <c r="AB1407" s="36"/>
      <c r="AC1407" s="36"/>
    </row>
    <row r="1408" spans="17:29" x14ac:dyDescent="0.2">
      <c r="Q1408" s="36"/>
      <c r="R1408" s="36"/>
      <c r="S1408" s="36"/>
      <c r="T1408" s="36"/>
      <c r="U1408" s="36"/>
      <c r="V1408" s="36"/>
      <c r="W1408" s="36"/>
      <c r="X1408" s="36"/>
      <c r="Y1408" s="36"/>
      <c r="Z1408" s="36"/>
      <c r="AA1408" s="36"/>
      <c r="AB1408" s="36"/>
      <c r="AC1408" s="36"/>
    </row>
    <row r="1409" spans="17:29" x14ac:dyDescent="0.2">
      <c r="Q1409" s="36"/>
      <c r="R1409" s="36"/>
      <c r="S1409" s="36"/>
      <c r="T1409" s="36"/>
      <c r="U1409" s="36"/>
      <c r="V1409" s="36"/>
      <c r="W1409" s="36"/>
      <c r="X1409" s="36"/>
      <c r="Y1409" s="36"/>
      <c r="Z1409" s="36"/>
      <c r="AA1409" s="36"/>
      <c r="AB1409" s="36"/>
      <c r="AC1409" s="36"/>
    </row>
    <row r="1410" spans="17:29" x14ac:dyDescent="0.2">
      <c r="Q1410" s="36"/>
      <c r="R1410" s="36"/>
      <c r="S1410" s="36"/>
      <c r="T1410" s="36"/>
      <c r="U1410" s="36"/>
      <c r="V1410" s="36"/>
      <c r="W1410" s="36"/>
      <c r="X1410" s="36"/>
      <c r="Y1410" s="36"/>
      <c r="Z1410" s="36"/>
      <c r="AA1410" s="36"/>
      <c r="AB1410" s="36"/>
      <c r="AC1410" s="36"/>
    </row>
    <row r="1411" spans="17:29" x14ac:dyDescent="0.2">
      <c r="Q1411" s="36"/>
      <c r="R1411" s="36"/>
      <c r="S1411" s="36"/>
      <c r="T1411" s="36"/>
      <c r="U1411" s="36"/>
      <c r="V1411" s="36"/>
      <c r="W1411" s="36"/>
      <c r="X1411" s="36"/>
      <c r="Y1411" s="36"/>
      <c r="Z1411" s="36"/>
      <c r="AA1411" s="36"/>
      <c r="AB1411" s="36"/>
      <c r="AC1411" s="36"/>
    </row>
    <row r="1412" spans="17:29" x14ac:dyDescent="0.2">
      <c r="Q1412" s="36"/>
      <c r="R1412" s="36"/>
      <c r="S1412" s="36"/>
      <c r="T1412" s="36"/>
      <c r="U1412" s="36"/>
      <c r="V1412" s="36"/>
      <c r="W1412" s="36"/>
      <c r="X1412" s="36"/>
      <c r="Y1412" s="36"/>
      <c r="Z1412" s="36"/>
      <c r="AA1412" s="36"/>
      <c r="AB1412" s="36"/>
      <c r="AC1412" s="36"/>
    </row>
    <row r="1413" spans="17:29" x14ac:dyDescent="0.2">
      <c r="Q1413" s="36"/>
      <c r="R1413" s="36"/>
      <c r="S1413" s="36"/>
      <c r="T1413" s="36"/>
      <c r="U1413" s="36"/>
      <c r="V1413" s="36"/>
      <c r="W1413" s="36"/>
      <c r="X1413" s="36"/>
      <c r="Y1413" s="36"/>
      <c r="Z1413" s="36"/>
      <c r="AA1413" s="36"/>
      <c r="AB1413" s="36"/>
      <c r="AC1413" s="36"/>
    </row>
    <row r="1414" spans="17:29" x14ac:dyDescent="0.2">
      <c r="Q1414" s="36"/>
      <c r="R1414" s="36"/>
      <c r="S1414" s="36"/>
      <c r="T1414" s="36"/>
      <c r="U1414" s="36"/>
      <c r="V1414" s="36"/>
      <c r="W1414" s="36"/>
      <c r="X1414" s="36"/>
      <c r="Y1414" s="36"/>
      <c r="Z1414" s="36"/>
      <c r="AA1414" s="36"/>
      <c r="AB1414" s="36"/>
      <c r="AC1414" s="36"/>
    </row>
    <row r="1415" spans="17:29" x14ac:dyDescent="0.2">
      <c r="Q1415" s="36"/>
      <c r="R1415" s="36"/>
      <c r="S1415" s="36"/>
      <c r="T1415" s="36"/>
      <c r="U1415" s="36"/>
      <c r="V1415" s="36"/>
      <c r="W1415" s="36"/>
      <c r="X1415" s="36"/>
      <c r="Y1415" s="36"/>
      <c r="Z1415" s="36"/>
      <c r="AA1415" s="36"/>
      <c r="AB1415" s="36"/>
      <c r="AC1415" s="36"/>
    </row>
    <row r="1416" spans="17:29" x14ac:dyDescent="0.2">
      <c r="Q1416" s="36"/>
      <c r="R1416" s="36"/>
      <c r="S1416" s="36"/>
      <c r="T1416" s="36"/>
      <c r="U1416" s="36"/>
      <c r="V1416" s="36"/>
      <c r="W1416" s="36"/>
      <c r="X1416" s="36"/>
      <c r="Y1416" s="36"/>
      <c r="Z1416" s="36"/>
      <c r="AA1416" s="36"/>
      <c r="AB1416" s="36"/>
      <c r="AC1416" s="36"/>
    </row>
    <row r="1417" spans="17:29" x14ac:dyDescent="0.2">
      <c r="Q1417" s="36"/>
      <c r="R1417" s="36"/>
      <c r="S1417" s="36"/>
      <c r="T1417" s="36"/>
      <c r="U1417" s="36"/>
      <c r="V1417" s="36"/>
      <c r="W1417" s="36"/>
      <c r="X1417" s="36"/>
      <c r="Y1417" s="36"/>
      <c r="Z1417" s="36"/>
      <c r="AA1417" s="36"/>
      <c r="AB1417" s="36"/>
      <c r="AC1417" s="36"/>
    </row>
    <row r="1418" spans="17:29" x14ac:dyDescent="0.2">
      <c r="Q1418" s="36"/>
      <c r="R1418" s="36"/>
      <c r="S1418" s="36"/>
      <c r="T1418" s="36"/>
      <c r="U1418" s="36"/>
      <c r="V1418" s="36"/>
      <c r="W1418" s="36"/>
      <c r="X1418" s="36"/>
      <c r="Y1418" s="36"/>
      <c r="Z1418" s="36"/>
      <c r="AA1418" s="36"/>
      <c r="AB1418" s="36"/>
      <c r="AC1418" s="36"/>
    </row>
    <row r="1419" spans="17:29" x14ac:dyDescent="0.2">
      <c r="Q1419" s="36"/>
      <c r="R1419" s="36"/>
      <c r="S1419" s="36"/>
      <c r="T1419" s="36"/>
      <c r="U1419" s="36"/>
      <c r="V1419" s="36"/>
      <c r="W1419" s="36"/>
      <c r="X1419" s="36"/>
      <c r="Y1419" s="36"/>
      <c r="Z1419" s="36"/>
      <c r="AA1419" s="36"/>
      <c r="AB1419" s="36"/>
      <c r="AC1419" s="36"/>
    </row>
    <row r="1420" spans="17:29" x14ac:dyDescent="0.2">
      <c r="Q1420" s="36"/>
      <c r="R1420" s="36"/>
      <c r="S1420" s="36"/>
      <c r="T1420" s="36"/>
      <c r="U1420" s="36"/>
      <c r="V1420" s="36"/>
      <c r="W1420" s="36"/>
      <c r="X1420" s="36"/>
      <c r="Y1420" s="36"/>
      <c r="Z1420" s="36"/>
      <c r="AA1420" s="36"/>
      <c r="AB1420" s="36"/>
      <c r="AC1420" s="36"/>
    </row>
    <row r="1421" spans="17:29" x14ac:dyDescent="0.2">
      <c r="Q1421" s="36"/>
      <c r="R1421" s="36"/>
      <c r="S1421" s="36"/>
      <c r="T1421" s="36"/>
      <c r="U1421" s="36"/>
      <c r="V1421" s="36"/>
      <c r="W1421" s="36"/>
      <c r="X1421" s="36"/>
      <c r="Y1421" s="36"/>
      <c r="Z1421" s="36"/>
      <c r="AA1421" s="36"/>
      <c r="AB1421" s="36"/>
      <c r="AC1421" s="36"/>
    </row>
    <row r="1422" spans="17:29" x14ac:dyDescent="0.2">
      <c r="Q1422" s="36"/>
      <c r="R1422" s="36"/>
      <c r="S1422" s="36"/>
      <c r="T1422" s="36"/>
      <c r="U1422" s="36"/>
      <c r="V1422" s="36"/>
      <c r="W1422" s="36"/>
      <c r="X1422" s="36"/>
      <c r="Y1422" s="36"/>
      <c r="Z1422" s="36"/>
      <c r="AA1422" s="36"/>
      <c r="AB1422" s="36"/>
      <c r="AC1422" s="36"/>
    </row>
    <row r="1423" spans="17:29" x14ac:dyDescent="0.2">
      <c r="Q1423" s="36"/>
      <c r="R1423" s="36"/>
      <c r="S1423" s="36"/>
      <c r="T1423" s="36"/>
      <c r="U1423" s="36"/>
      <c r="V1423" s="36"/>
      <c r="W1423" s="36"/>
      <c r="X1423" s="36"/>
      <c r="Y1423" s="36"/>
      <c r="Z1423" s="36"/>
      <c r="AA1423" s="36"/>
      <c r="AB1423" s="36"/>
      <c r="AC1423" s="36"/>
    </row>
    <row r="1424" spans="17:29" x14ac:dyDescent="0.2">
      <c r="Q1424" s="36"/>
      <c r="R1424" s="36"/>
      <c r="S1424" s="36"/>
      <c r="T1424" s="36"/>
      <c r="U1424" s="36"/>
      <c r="V1424" s="36"/>
      <c r="W1424" s="36"/>
      <c r="X1424" s="36"/>
      <c r="Y1424" s="36"/>
      <c r="Z1424" s="36"/>
      <c r="AA1424" s="36"/>
      <c r="AB1424" s="36"/>
      <c r="AC1424" s="36"/>
    </row>
    <row r="1425" spans="17:29" x14ac:dyDescent="0.2">
      <c r="Q1425" s="36"/>
      <c r="R1425" s="36"/>
      <c r="S1425" s="36"/>
      <c r="T1425" s="36"/>
      <c r="U1425" s="36"/>
      <c r="V1425" s="36"/>
      <c r="W1425" s="36"/>
      <c r="X1425" s="36"/>
      <c r="Y1425" s="36"/>
      <c r="Z1425" s="36"/>
      <c r="AA1425" s="36"/>
      <c r="AB1425" s="36"/>
      <c r="AC1425" s="36"/>
    </row>
    <row r="1426" spans="17:29" x14ac:dyDescent="0.2">
      <c r="Q1426" s="36"/>
      <c r="R1426" s="36"/>
      <c r="S1426" s="36"/>
      <c r="T1426" s="36"/>
      <c r="U1426" s="36"/>
      <c r="V1426" s="36"/>
      <c r="W1426" s="36"/>
      <c r="X1426" s="36"/>
      <c r="Y1426" s="36"/>
      <c r="Z1426" s="36"/>
      <c r="AA1426" s="36"/>
      <c r="AB1426" s="36"/>
      <c r="AC1426" s="36"/>
    </row>
    <row r="1427" spans="17:29" x14ac:dyDescent="0.2">
      <c r="Q1427" s="36"/>
      <c r="R1427" s="36"/>
      <c r="S1427" s="36"/>
      <c r="T1427" s="36"/>
      <c r="U1427" s="36"/>
      <c r="V1427" s="36"/>
      <c r="W1427" s="36"/>
      <c r="X1427" s="36"/>
      <c r="Y1427" s="36"/>
      <c r="Z1427" s="36"/>
      <c r="AA1427" s="36"/>
      <c r="AB1427" s="36"/>
      <c r="AC1427" s="36"/>
    </row>
    <row r="1428" spans="17:29" x14ac:dyDescent="0.2">
      <c r="Q1428" s="36"/>
      <c r="R1428" s="36"/>
      <c r="S1428" s="36"/>
      <c r="T1428" s="36"/>
      <c r="U1428" s="36"/>
      <c r="V1428" s="36"/>
      <c r="W1428" s="36"/>
      <c r="X1428" s="36"/>
      <c r="Y1428" s="36"/>
      <c r="Z1428" s="36"/>
      <c r="AA1428" s="36"/>
      <c r="AB1428" s="36"/>
      <c r="AC1428" s="36"/>
    </row>
    <row r="1429" spans="17:29" x14ac:dyDescent="0.2">
      <c r="Q1429" s="36"/>
      <c r="R1429" s="36"/>
      <c r="S1429" s="36"/>
      <c r="T1429" s="36"/>
      <c r="U1429" s="36"/>
      <c r="V1429" s="36"/>
      <c r="W1429" s="36"/>
      <c r="X1429" s="36"/>
      <c r="Y1429" s="36"/>
      <c r="Z1429" s="36"/>
      <c r="AA1429" s="36"/>
      <c r="AB1429" s="36"/>
      <c r="AC1429" s="36"/>
    </row>
    <row r="1430" spans="17:29" x14ac:dyDescent="0.2">
      <c r="Q1430" s="36"/>
      <c r="R1430" s="36"/>
      <c r="S1430" s="36"/>
      <c r="T1430" s="36"/>
      <c r="U1430" s="36"/>
      <c r="V1430" s="36"/>
      <c r="W1430" s="36"/>
      <c r="X1430" s="36"/>
      <c r="Y1430" s="36"/>
      <c r="Z1430" s="36"/>
      <c r="AA1430" s="36"/>
      <c r="AB1430" s="36"/>
      <c r="AC1430" s="36"/>
    </row>
    <row r="1431" spans="17:29" x14ac:dyDescent="0.2">
      <c r="Q1431" s="36"/>
      <c r="R1431" s="36"/>
      <c r="S1431" s="36"/>
      <c r="T1431" s="36"/>
      <c r="U1431" s="36"/>
      <c r="V1431" s="36"/>
      <c r="W1431" s="36"/>
      <c r="X1431" s="36"/>
      <c r="Y1431" s="36"/>
      <c r="Z1431" s="36"/>
      <c r="AA1431" s="36"/>
      <c r="AB1431" s="36"/>
      <c r="AC1431" s="36"/>
    </row>
    <row r="1432" spans="17:29" x14ac:dyDescent="0.2">
      <c r="Q1432" s="36"/>
      <c r="R1432" s="36"/>
      <c r="S1432" s="36"/>
      <c r="T1432" s="36"/>
      <c r="U1432" s="36"/>
      <c r="V1432" s="36"/>
      <c r="W1432" s="36"/>
      <c r="X1432" s="36"/>
      <c r="Y1432" s="36"/>
      <c r="Z1432" s="36"/>
      <c r="AA1432" s="36"/>
      <c r="AB1432" s="36"/>
      <c r="AC1432" s="36"/>
    </row>
    <row r="1433" spans="17:29" x14ac:dyDescent="0.2">
      <c r="Q1433" s="36"/>
      <c r="R1433" s="36"/>
      <c r="S1433" s="36"/>
      <c r="T1433" s="36"/>
      <c r="U1433" s="36"/>
      <c r="V1433" s="36"/>
      <c r="W1433" s="36"/>
      <c r="X1433" s="36"/>
      <c r="Y1433" s="36"/>
      <c r="Z1433" s="36"/>
      <c r="AA1433" s="36"/>
      <c r="AB1433" s="36"/>
      <c r="AC1433" s="36"/>
    </row>
    <row r="1434" spans="17:29" x14ac:dyDescent="0.2">
      <c r="Q1434" s="36"/>
      <c r="R1434" s="36"/>
      <c r="S1434" s="36"/>
      <c r="T1434" s="36"/>
      <c r="U1434" s="36"/>
      <c r="V1434" s="36"/>
      <c r="W1434" s="36"/>
      <c r="X1434" s="36"/>
      <c r="Y1434" s="36"/>
      <c r="Z1434" s="36"/>
      <c r="AA1434" s="36"/>
      <c r="AB1434" s="36"/>
      <c r="AC1434" s="36"/>
    </row>
    <row r="1435" spans="17:29" x14ac:dyDescent="0.2">
      <c r="Q1435" s="36"/>
      <c r="R1435" s="36"/>
      <c r="S1435" s="36"/>
      <c r="T1435" s="36"/>
      <c r="U1435" s="36"/>
      <c r="V1435" s="36"/>
      <c r="W1435" s="36"/>
      <c r="X1435" s="36"/>
      <c r="Y1435" s="36"/>
      <c r="Z1435" s="36"/>
      <c r="AA1435" s="36"/>
      <c r="AB1435" s="36"/>
      <c r="AC1435" s="36"/>
    </row>
    <row r="1436" spans="17:29" x14ac:dyDescent="0.2">
      <c r="Q1436" s="36"/>
      <c r="R1436" s="36"/>
      <c r="S1436" s="36"/>
      <c r="T1436" s="36"/>
      <c r="U1436" s="36"/>
      <c r="V1436" s="36"/>
      <c r="W1436" s="36"/>
      <c r="X1436" s="36"/>
      <c r="Y1436" s="36"/>
      <c r="Z1436" s="36"/>
      <c r="AA1436" s="36"/>
      <c r="AB1436" s="36"/>
      <c r="AC1436" s="36"/>
    </row>
    <row r="1437" spans="17:29" x14ac:dyDescent="0.2">
      <c r="Q1437" s="36"/>
      <c r="R1437" s="36"/>
      <c r="S1437" s="36"/>
      <c r="T1437" s="36"/>
      <c r="U1437" s="36"/>
      <c r="V1437" s="36"/>
      <c r="W1437" s="36"/>
      <c r="X1437" s="36"/>
      <c r="Y1437" s="36"/>
      <c r="Z1437" s="36"/>
      <c r="AA1437" s="36"/>
      <c r="AB1437" s="36"/>
      <c r="AC1437" s="36"/>
    </row>
    <row r="1438" spans="17:29" x14ac:dyDescent="0.2">
      <c r="Q1438" s="36"/>
      <c r="R1438" s="36"/>
      <c r="S1438" s="36"/>
      <c r="T1438" s="36"/>
      <c r="U1438" s="36"/>
      <c r="V1438" s="36"/>
      <c r="W1438" s="36"/>
      <c r="X1438" s="36"/>
      <c r="Y1438" s="36"/>
      <c r="Z1438" s="36"/>
      <c r="AA1438" s="36"/>
      <c r="AB1438" s="36"/>
      <c r="AC1438" s="36"/>
    </row>
    <row r="1439" spans="17:29" x14ac:dyDescent="0.2">
      <c r="Q1439" s="36"/>
      <c r="R1439" s="36"/>
      <c r="S1439" s="36"/>
      <c r="T1439" s="36"/>
      <c r="U1439" s="36"/>
      <c r="V1439" s="36"/>
      <c r="W1439" s="36"/>
      <c r="X1439" s="36"/>
      <c r="Y1439" s="36"/>
      <c r="Z1439" s="36"/>
      <c r="AA1439" s="36"/>
      <c r="AB1439" s="36"/>
      <c r="AC1439" s="36"/>
    </row>
    <row r="1440" spans="17:29" x14ac:dyDescent="0.2">
      <c r="Q1440" s="36"/>
      <c r="R1440" s="36"/>
      <c r="S1440" s="36"/>
      <c r="T1440" s="36"/>
      <c r="U1440" s="36"/>
      <c r="V1440" s="36"/>
      <c r="W1440" s="36"/>
      <c r="X1440" s="36"/>
      <c r="Y1440" s="36"/>
      <c r="Z1440" s="36"/>
      <c r="AA1440" s="36"/>
      <c r="AB1440" s="36"/>
      <c r="AC1440" s="36"/>
    </row>
    <row r="1441" spans="17:29" x14ac:dyDescent="0.2">
      <c r="Q1441" s="36"/>
      <c r="R1441" s="36"/>
      <c r="S1441" s="36"/>
      <c r="T1441" s="36"/>
      <c r="U1441" s="36"/>
      <c r="V1441" s="36"/>
      <c r="W1441" s="36"/>
      <c r="X1441" s="36"/>
      <c r="Y1441" s="36"/>
      <c r="Z1441" s="36"/>
      <c r="AA1441" s="36"/>
      <c r="AB1441" s="36"/>
      <c r="AC1441" s="36"/>
    </row>
    <row r="1442" spans="17:29" x14ac:dyDescent="0.2">
      <c r="Q1442" s="36"/>
      <c r="R1442" s="36"/>
      <c r="S1442" s="36"/>
      <c r="T1442" s="36"/>
      <c r="U1442" s="36"/>
      <c r="V1442" s="36"/>
      <c r="W1442" s="36"/>
      <c r="X1442" s="36"/>
      <c r="Y1442" s="36"/>
      <c r="Z1442" s="36"/>
      <c r="AA1442" s="36"/>
      <c r="AB1442" s="36"/>
      <c r="AC1442" s="36"/>
    </row>
    <row r="1443" spans="17:29" x14ac:dyDescent="0.2">
      <c r="Q1443" s="36"/>
      <c r="R1443" s="36"/>
      <c r="S1443" s="36"/>
      <c r="T1443" s="36"/>
      <c r="U1443" s="36"/>
      <c r="V1443" s="36"/>
      <c r="W1443" s="36"/>
      <c r="X1443" s="36"/>
      <c r="Y1443" s="36"/>
      <c r="Z1443" s="36"/>
      <c r="AA1443" s="36"/>
      <c r="AB1443" s="36"/>
      <c r="AC1443" s="36"/>
    </row>
    <row r="1444" spans="17:29" x14ac:dyDescent="0.2">
      <c r="Q1444" s="36"/>
      <c r="R1444" s="36"/>
      <c r="S1444" s="36"/>
      <c r="T1444" s="36"/>
      <c r="U1444" s="36"/>
      <c r="V1444" s="36"/>
      <c r="W1444" s="36"/>
      <c r="X1444" s="36"/>
      <c r="Y1444" s="36"/>
      <c r="Z1444" s="36"/>
      <c r="AA1444" s="36"/>
      <c r="AB1444" s="36"/>
      <c r="AC1444" s="36"/>
    </row>
    <row r="1445" spans="17:29" x14ac:dyDescent="0.2">
      <c r="Q1445" s="36"/>
      <c r="R1445" s="36"/>
      <c r="S1445" s="36"/>
      <c r="T1445" s="36"/>
      <c r="U1445" s="36"/>
      <c r="V1445" s="36"/>
      <c r="W1445" s="36"/>
      <c r="X1445" s="36"/>
      <c r="Y1445" s="36"/>
      <c r="Z1445" s="36"/>
      <c r="AA1445" s="36"/>
      <c r="AB1445" s="36"/>
      <c r="AC1445" s="36"/>
    </row>
    <row r="1446" spans="17:29" x14ac:dyDescent="0.2">
      <c r="Q1446" s="36"/>
      <c r="R1446" s="36"/>
      <c r="S1446" s="36"/>
      <c r="T1446" s="36"/>
      <c r="U1446" s="36"/>
      <c r="V1446" s="36"/>
      <c r="W1446" s="36"/>
      <c r="X1446" s="36"/>
      <c r="Y1446" s="36"/>
      <c r="Z1446" s="36"/>
      <c r="AA1446" s="36"/>
      <c r="AB1446" s="36"/>
      <c r="AC1446" s="36"/>
    </row>
    <row r="1447" spans="17:29" x14ac:dyDescent="0.2">
      <c r="Q1447" s="36"/>
      <c r="R1447" s="36"/>
      <c r="S1447" s="36"/>
      <c r="T1447" s="36"/>
      <c r="U1447" s="36"/>
      <c r="V1447" s="36"/>
      <c r="W1447" s="36"/>
      <c r="X1447" s="36"/>
      <c r="Y1447" s="36"/>
      <c r="Z1447" s="36"/>
      <c r="AA1447" s="36"/>
      <c r="AB1447" s="36"/>
      <c r="AC1447" s="36"/>
    </row>
    <row r="1448" spans="17:29" x14ac:dyDescent="0.2">
      <c r="Q1448" s="36"/>
      <c r="R1448" s="36"/>
      <c r="S1448" s="36"/>
      <c r="T1448" s="36"/>
      <c r="U1448" s="36"/>
      <c r="V1448" s="36"/>
      <c r="W1448" s="36"/>
      <c r="X1448" s="36"/>
      <c r="Y1448" s="36"/>
      <c r="Z1448" s="36"/>
      <c r="AA1448" s="36"/>
      <c r="AB1448" s="36"/>
      <c r="AC1448" s="36"/>
    </row>
    <row r="1449" spans="17:29" x14ac:dyDescent="0.2">
      <c r="Q1449" s="36"/>
      <c r="R1449" s="36"/>
      <c r="S1449" s="36"/>
      <c r="T1449" s="36"/>
      <c r="U1449" s="36"/>
      <c r="V1449" s="36"/>
      <c r="W1449" s="36"/>
      <c r="X1449" s="36"/>
      <c r="Y1449" s="36"/>
      <c r="Z1449" s="36"/>
      <c r="AA1449" s="36"/>
      <c r="AB1449" s="36"/>
      <c r="AC1449" s="36"/>
    </row>
    <row r="1450" spans="17:29" x14ac:dyDescent="0.2">
      <c r="Q1450" s="36"/>
      <c r="R1450" s="36"/>
      <c r="S1450" s="36"/>
      <c r="T1450" s="36"/>
      <c r="U1450" s="36"/>
      <c r="V1450" s="36"/>
      <c r="W1450" s="36"/>
      <c r="X1450" s="36"/>
      <c r="Y1450" s="36"/>
      <c r="Z1450" s="36"/>
      <c r="AA1450" s="36"/>
      <c r="AB1450" s="36"/>
      <c r="AC1450" s="36"/>
    </row>
    <row r="1451" spans="17:29" x14ac:dyDescent="0.2">
      <c r="Q1451" s="36"/>
      <c r="R1451" s="36"/>
      <c r="S1451" s="36"/>
      <c r="T1451" s="36"/>
      <c r="U1451" s="36"/>
      <c r="V1451" s="36"/>
      <c r="W1451" s="36"/>
      <c r="X1451" s="36"/>
      <c r="Y1451" s="36"/>
      <c r="Z1451" s="36"/>
      <c r="AA1451" s="36"/>
      <c r="AB1451" s="36"/>
      <c r="AC1451" s="36"/>
    </row>
    <row r="1452" spans="17:29" x14ac:dyDescent="0.2">
      <c r="Q1452" s="36"/>
      <c r="R1452" s="36"/>
      <c r="S1452" s="36"/>
      <c r="T1452" s="36"/>
      <c r="U1452" s="36"/>
      <c r="V1452" s="36"/>
      <c r="W1452" s="36"/>
      <c r="X1452" s="36"/>
      <c r="Y1452" s="36"/>
      <c r="Z1452" s="36"/>
      <c r="AA1452" s="36"/>
      <c r="AB1452" s="36"/>
      <c r="AC1452" s="36"/>
    </row>
    <row r="1453" spans="17:29" x14ac:dyDescent="0.2">
      <c r="Q1453" s="36"/>
      <c r="R1453" s="36"/>
      <c r="S1453" s="36"/>
      <c r="T1453" s="36"/>
      <c r="U1453" s="36"/>
      <c r="V1453" s="36"/>
      <c r="W1453" s="36"/>
      <c r="X1453" s="36"/>
      <c r="Y1453" s="36"/>
      <c r="Z1453" s="36"/>
      <c r="AA1453" s="36"/>
      <c r="AB1453" s="36"/>
      <c r="AC1453" s="36"/>
    </row>
    <row r="1454" spans="17:29" x14ac:dyDescent="0.2">
      <c r="Q1454" s="36"/>
      <c r="R1454" s="36"/>
      <c r="S1454" s="36"/>
      <c r="T1454" s="36"/>
      <c r="U1454" s="36"/>
      <c r="V1454" s="36"/>
      <c r="W1454" s="36"/>
      <c r="X1454" s="36"/>
      <c r="Y1454" s="36"/>
      <c r="Z1454" s="36"/>
      <c r="AA1454" s="36"/>
      <c r="AB1454" s="36"/>
      <c r="AC1454" s="36"/>
    </row>
    <row r="1455" spans="17:29" x14ac:dyDescent="0.2">
      <c r="Q1455" s="36"/>
      <c r="R1455" s="36"/>
      <c r="S1455" s="36"/>
      <c r="T1455" s="36"/>
      <c r="U1455" s="36"/>
      <c r="V1455" s="36"/>
      <c r="W1455" s="36"/>
      <c r="X1455" s="36"/>
      <c r="Y1455" s="36"/>
      <c r="Z1455" s="36"/>
      <c r="AA1455" s="36"/>
      <c r="AB1455" s="36"/>
      <c r="AC1455" s="36"/>
    </row>
    <row r="1456" spans="17:29" x14ac:dyDescent="0.2">
      <c r="Q1456" s="36"/>
      <c r="R1456" s="36"/>
      <c r="S1456" s="36"/>
      <c r="T1456" s="36"/>
      <c r="U1456" s="36"/>
      <c r="V1456" s="36"/>
      <c r="W1456" s="36"/>
      <c r="X1456" s="36"/>
      <c r="Y1456" s="36"/>
      <c r="Z1456" s="36"/>
      <c r="AA1456" s="36"/>
      <c r="AB1456" s="36"/>
      <c r="AC1456" s="36"/>
    </row>
    <row r="1457" spans="17:29" x14ac:dyDescent="0.2">
      <c r="Q1457" s="36"/>
      <c r="R1457" s="36"/>
      <c r="S1457" s="36"/>
      <c r="T1457" s="36"/>
      <c r="U1457" s="36"/>
      <c r="V1457" s="36"/>
      <c r="W1457" s="36"/>
      <c r="X1457" s="36"/>
      <c r="Y1457" s="36"/>
      <c r="Z1457" s="36"/>
      <c r="AA1457" s="36"/>
      <c r="AB1457" s="36"/>
      <c r="AC1457" s="36"/>
    </row>
    <row r="1458" spans="17:29" x14ac:dyDescent="0.2">
      <c r="Q1458" s="36"/>
      <c r="R1458" s="36"/>
      <c r="S1458" s="36"/>
      <c r="T1458" s="36"/>
      <c r="U1458" s="36"/>
      <c r="V1458" s="36"/>
      <c r="W1458" s="36"/>
      <c r="X1458" s="36"/>
      <c r="Y1458" s="36"/>
      <c r="Z1458" s="36"/>
      <c r="AA1458" s="36"/>
      <c r="AB1458" s="36"/>
      <c r="AC1458" s="36"/>
    </row>
    <row r="1459" spans="17:29" x14ac:dyDescent="0.2">
      <c r="Q1459" s="36"/>
      <c r="R1459" s="36"/>
      <c r="S1459" s="36"/>
      <c r="T1459" s="36"/>
      <c r="U1459" s="36"/>
      <c r="V1459" s="36"/>
      <c r="W1459" s="36"/>
      <c r="X1459" s="36"/>
      <c r="Y1459" s="36"/>
      <c r="Z1459" s="36"/>
      <c r="AA1459" s="36"/>
      <c r="AB1459" s="36"/>
      <c r="AC1459" s="36"/>
    </row>
    <row r="1460" spans="17:29" x14ac:dyDescent="0.2">
      <c r="Q1460" s="36"/>
      <c r="R1460" s="36"/>
      <c r="S1460" s="36"/>
      <c r="T1460" s="36"/>
      <c r="U1460" s="36"/>
      <c r="V1460" s="36"/>
      <c r="W1460" s="36"/>
      <c r="X1460" s="36"/>
      <c r="Y1460" s="36"/>
      <c r="Z1460" s="36"/>
      <c r="AA1460" s="36"/>
      <c r="AB1460" s="36"/>
      <c r="AC1460" s="36"/>
    </row>
    <row r="1461" spans="17:29" x14ac:dyDescent="0.2">
      <c r="Q1461" s="36"/>
      <c r="R1461" s="36"/>
      <c r="S1461" s="36"/>
      <c r="T1461" s="36"/>
      <c r="U1461" s="36"/>
      <c r="V1461" s="36"/>
      <c r="W1461" s="36"/>
      <c r="X1461" s="36"/>
      <c r="Y1461" s="36"/>
      <c r="Z1461" s="36"/>
      <c r="AA1461" s="36"/>
      <c r="AB1461" s="36"/>
      <c r="AC1461" s="36"/>
    </row>
    <row r="1462" spans="17:29" x14ac:dyDescent="0.2">
      <c r="Q1462" s="36"/>
      <c r="R1462" s="36"/>
      <c r="S1462" s="36"/>
      <c r="T1462" s="36"/>
      <c r="U1462" s="36"/>
      <c r="V1462" s="36"/>
      <c r="W1462" s="36"/>
      <c r="X1462" s="36"/>
      <c r="Y1462" s="36"/>
      <c r="Z1462" s="36"/>
      <c r="AA1462" s="36"/>
      <c r="AB1462" s="36"/>
      <c r="AC1462" s="36"/>
    </row>
    <row r="1463" spans="17:29" x14ac:dyDescent="0.2">
      <c r="Q1463" s="36"/>
      <c r="R1463" s="36"/>
      <c r="S1463" s="36"/>
      <c r="T1463" s="36"/>
      <c r="U1463" s="36"/>
      <c r="V1463" s="36"/>
      <c r="W1463" s="36"/>
      <c r="X1463" s="36"/>
      <c r="Y1463" s="36"/>
      <c r="Z1463" s="36"/>
      <c r="AA1463" s="36"/>
      <c r="AB1463" s="36"/>
      <c r="AC1463" s="36"/>
    </row>
    <row r="1464" spans="17:29" x14ac:dyDescent="0.2">
      <c r="Q1464" s="36"/>
      <c r="R1464" s="36"/>
      <c r="S1464" s="36"/>
      <c r="T1464" s="36"/>
      <c r="U1464" s="36"/>
      <c r="V1464" s="36"/>
      <c r="W1464" s="36"/>
      <c r="X1464" s="36"/>
      <c r="Y1464" s="36"/>
      <c r="Z1464" s="36"/>
      <c r="AA1464" s="36"/>
      <c r="AB1464" s="36"/>
      <c r="AC1464" s="36"/>
    </row>
    <row r="1465" spans="17:29" x14ac:dyDescent="0.2">
      <c r="Q1465" s="36"/>
      <c r="R1465" s="36"/>
      <c r="S1465" s="36"/>
      <c r="T1465" s="36"/>
      <c r="U1465" s="36"/>
      <c r="V1465" s="36"/>
      <c r="W1465" s="36"/>
      <c r="X1465" s="36"/>
      <c r="Y1465" s="36"/>
      <c r="Z1465" s="36"/>
      <c r="AA1465" s="36"/>
      <c r="AB1465" s="36"/>
      <c r="AC1465" s="36"/>
    </row>
    <row r="1466" spans="17:29" x14ac:dyDescent="0.2">
      <c r="Q1466" s="36"/>
      <c r="R1466" s="36"/>
      <c r="S1466" s="36"/>
      <c r="T1466" s="36"/>
      <c r="U1466" s="36"/>
      <c r="V1466" s="36"/>
      <c r="W1466" s="36"/>
      <c r="X1466" s="36"/>
      <c r="Y1466" s="36"/>
      <c r="Z1466" s="36"/>
      <c r="AA1466" s="36"/>
      <c r="AB1466" s="36"/>
      <c r="AC1466" s="36"/>
    </row>
    <row r="1467" spans="17:29" x14ac:dyDescent="0.2">
      <c r="Q1467" s="36"/>
      <c r="R1467" s="36"/>
      <c r="S1467" s="36"/>
      <c r="T1467" s="36"/>
      <c r="U1467" s="36"/>
      <c r="V1467" s="36"/>
      <c r="W1467" s="36"/>
      <c r="X1467" s="36"/>
      <c r="Y1467" s="36"/>
      <c r="Z1467" s="36"/>
      <c r="AA1467" s="36"/>
      <c r="AB1467" s="36"/>
      <c r="AC1467" s="36"/>
    </row>
    <row r="1468" spans="17:29" x14ac:dyDescent="0.2">
      <c r="Q1468" s="36"/>
      <c r="R1468" s="36"/>
      <c r="S1468" s="36"/>
      <c r="T1468" s="36"/>
      <c r="U1468" s="36"/>
      <c r="V1468" s="36"/>
      <c r="W1468" s="36"/>
      <c r="X1468" s="36"/>
      <c r="Y1468" s="36"/>
      <c r="Z1468" s="36"/>
      <c r="AA1468" s="36"/>
      <c r="AB1468" s="36"/>
      <c r="AC1468" s="36"/>
    </row>
    <row r="1469" spans="17:29" x14ac:dyDescent="0.2">
      <c r="Q1469" s="36"/>
      <c r="R1469" s="36"/>
      <c r="S1469" s="36"/>
      <c r="T1469" s="36"/>
      <c r="U1469" s="36"/>
      <c r="V1469" s="36"/>
      <c r="W1469" s="36"/>
      <c r="X1469" s="36"/>
      <c r="Y1469" s="36"/>
      <c r="Z1469" s="36"/>
      <c r="AA1469" s="36"/>
      <c r="AB1469" s="36"/>
      <c r="AC1469" s="36"/>
    </row>
    <row r="1470" spans="17:29" x14ac:dyDescent="0.2">
      <c r="Q1470" s="36"/>
      <c r="R1470" s="36"/>
      <c r="S1470" s="36"/>
      <c r="T1470" s="36"/>
      <c r="U1470" s="36"/>
      <c r="V1470" s="36"/>
      <c r="W1470" s="36"/>
      <c r="X1470" s="36"/>
      <c r="Y1470" s="36"/>
      <c r="Z1470" s="36"/>
      <c r="AA1470" s="36"/>
      <c r="AB1470" s="36"/>
      <c r="AC1470" s="36"/>
    </row>
    <row r="1471" spans="17:29" x14ac:dyDescent="0.2">
      <c r="Q1471" s="36"/>
      <c r="R1471" s="36"/>
      <c r="S1471" s="36"/>
      <c r="T1471" s="36"/>
      <c r="U1471" s="36"/>
      <c r="V1471" s="36"/>
      <c r="W1471" s="36"/>
      <c r="X1471" s="36"/>
      <c r="Y1471" s="36"/>
      <c r="Z1471" s="36"/>
      <c r="AA1471" s="36"/>
      <c r="AB1471" s="36"/>
      <c r="AC1471" s="36"/>
    </row>
    <row r="1472" spans="17:29" x14ac:dyDescent="0.2">
      <c r="Q1472" s="36"/>
      <c r="R1472" s="36"/>
      <c r="S1472" s="36"/>
      <c r="T1472" s="36"/>
      <c r="U1472" s="36"/>
      <c r="V1472" s="36"/>
      <c r="W1472" s="36"/>
      <c r="X1472" s="36"/>
      <c r="Y1472" s="36"/>
      <c r="Z1472" s="36"/>
      <c r="AA1472" s="36"/>
      <c r="AB1472" s="36"/>
      <c r="AC1472" s="36"/>
    </row>
    <row r="1473" spans="17:29" x14ac:dyDescent="0.2">
      <c r="Q1473" s="36"/>
      <c r="R1473" s="36"/>
      <c r="S1473" s="36"/>
      <c r="T1473" s="36"/>
      <c r="U1473" s="36"/>
      <c r="V1473" s="36"/>
      <c r="W1473" s="36"/>
      <c r="X1473" s="36"/>
      <c r="Y1473" s="36"/>
      <c r="Z1473" s="36"/>
      <c r="AA1473" s="36"/>
      <c r="AB1473" s="36"/>
      <c r="AC1473" s="36"/>
    </row>
    <row r="1474" spans="17:29" x14ac:dyDescent="0.2">
      <c r="Q1474" s="36"/>
      <c r="R1474" s="36"/>
      <c r="S1474" s="36"/>
      <c r="T1474" s="36"/>
      <c r="U1474" s="36"/>
      <c r="V1474" s="36"/>
      <c r="W1474" s="36"/>
      <c r="X1474" s="36"/>
      <c r="Y1474" s="36"/>
      <c r="Z1474" s="36"/>
      <c r="AA1474" s="36"/>
      <c r="AB1474" s="36"/>
      <c r="AC1474" s="36"/>
    </row>
    <row r="1475" spans="17:29" x14ac:dyDescent="0.2">
      <c r="Q1475" s="36"/>
      <c r="R1475" s="36"/>
      <c r="S1475" s="36"/>
      <c r="T1475" s="36"/>
      <c r="U1475" s="36"/>
      <c r="V1475" s="36"/>
      <c r="W1475" s="36"/>
      <c r="X1475" s="36"/>
      <c r="Y1475" s="36"/>
      <c r="Z1475" s="36"/>
      <c r="AA1475" s="36"/>
      <c r="AB1475" s="36"/>
      <c r="AC1475" s="36"/>
    </row>
    <row r="1476" spans="17:29" x14ac:dyDescent="0.2">
      <c r="Q1476" s="36"/>
      <c r="R1476" s="36"/>
      <c r="S1476" s="36"/>
      <c r="T1476" s="36"/>
      <c r="U1476" s="36"/>
      <c r="V1476" s="36"/>
      <c r="W1476" s="36"/>
      <c r="X1476" s="36"/>
      <c r="Y1476" s="36"/>
      <c r="Z1476" s="36"/>
      <c r="AA1476" s="36"/>
      <c r="AB1476" s="36"/>
      <c r="AC1476" s="36"/>
    </row>
    <row r="1477" spans="17:29" x14ac:dyDescent="0.2">
      <c r="Q1477" s="36"/>
      <c r="R1477" s="36"/>
      <c r="S1477" s="36"/>
      <c r="T1477" s="36"/>
      <c r="U1477" s="36"/>
      <c r="V1477" s="36"/>
      <c r="W1477" s="36"/>
      <c r="X1477" s="36"/>
      <c r="Y1477" s="36"/>
      <c r="Z1477" s="36"/>
      <c r="AA1477" s="36"/>
      <c r="AB1477" s="36"/>
      <c r="AC1477" s="36"/>
    </row>
    <row r="1478" spans="17:29" x14ac:dyDescent="0.2">
      <c r="Q1478" s="36"/>
      <c r="R1478" s="36"/>
      <c r="S1478" s="36"/>
      <c r="T1478" s="36"/>
      <c r="U1478" s="36"/>
      <c r="V1478" s="36"/>
      <c r="W1478" s="36"/>
      <c r="X1478" s="36"/>
      <c r="Y1478" s="36"/>
      <c r="Z1478" s="36"/>
      <c r="AA1478" s="36"/>
      <c r="AB1478" s="36"/>
      <c r="AC1478" s="36"/>
    </row>
    <row r="1479" spans="17:29" x14ac:dyDescent="0.2">
      <c r="Q1479" s="36"/>
      <c r="R1479" s="36"/>
      <c r="S1479" s="36"/>
      <c r="T1479" s="36"/>
      <c r="U1479" s="36"/>
      <c r="V1479" s="36"/>
      <c r="W1479" s="36"/>
      <c r="X1479" s="36"/>
      <c r="Y1479" s="36"/>
      <c r="Z1479" s="36"/>
      <c r="AA1479" s="36"/>
      <c r="AB1479" s="36"/>
      <c r="AC1479" s="36"/>
    </row>
    <row r="1480" spans="17:29" x14ac:dyDescent="0.2">
      <c r="Q1480" s="36"/>
      <c r="R1480" s="36"/>
      <c r="S1480" s="36"/>
      <c r="T1480" s="36"/>
      <c r="U1480" s="36"/>
      <c r="V1480" s="36"/>
      <c r="W1480" s="36"/>
      <c r="X1480" s="36"/>
      <c r="Y1480" s="36"/>
      <c r="Z1480" s="36"/>
      <c r="AA1480" s="36"/>
      <c r="AB1480" s="36"/>
      <c r="AC1480" s="36"/>
    </row>
    <row r="1481" spans="17:29" x14ac:dyDescent="0.2">
      <c r="Q1481" s="36"/>
      <c r="R1481" s="36"/>
      <c r="S1481" s="36"/>
      <c r="T1481" s="36"/>
      <c r="U1481" s="36"/>
      <c r="V1481" s="36"/>
      <c r="W1481" s="36"/>
      <c r="X1481" s="36"/>
      <c r="Y1481" s="36"/>
      <c r="Z1481" s="36"/>
      <c r="AA1481" s="36"/>
      <c r="AB1481" s="36"/>
      <c r="AC1481" s="36"/>
    </row>
    <row r="1482" spans="17:29" x14ac:dyDescent="0.2">
      <c r="Q1482" s="36"/>
      <c r="R1482" s="36"/>
      <c r="S1482" s="36"/>
      <c r="T1482" s="36"/>
      <c r="U1482" s="36"/>
      <c r="V1482" s="36"/>
      <c r="W1482" s="36"/>
      <c r="X1482" s="36"/>
      <c r="Y1482" s="36"/>
      <c r="Z1482" s="36"/>
      <c r="AA1482" s="36"/>
      <c r="AB1482" s="36"/>
      <c r="AC1482" s="36"/>
    </row>
    <row r="1483" spans="17:29" x14ac:dyDescent="0.2">
      <c r="Q1483" s="36"/>
      <c r="R1483" s="36"/>
      <c r="S1483" s="36"/>
      <c r="T1483" s="36"/>
      <c r="U1483" s="36"/>
      <c r="V1483" s="36"/>
      <c r="W1483" s="36"/>
      <c r="X1483" s="36"/>
      <c r="Y1483" s="36"/>
      <c r="Z1483" s="36"/>
      <c r="AA1483" s="36"/>
      <c r="AB1483" s="36"/>
      <c r="AC1483" s="36"/>
    </row>
    <row r="1484" spans="17:29" x14ac:dyDescent="0.2">
      <c r="Q1484" s="36"/>
      <c r="R1484" s="36"/>
      <c r="S1484" s="36"/>
      <c r="T1484" s="36"/>
      <c r="U1484" s="36"/>
      <c r="V1484" s="36"/>
      <c r="W1484" s="36"/>
      <c r="X1484" s="36"/>
      <c r="Y1484" s="36"/>
      <c r="Z1484" s="36"/>
      <c r="AA1484" s="36"/>
      <c r="AB1484" s="36"/>
      <c r="AC1484" s="36"/>
    </row>
    <row r="1485" spans="17:29" x14ac:dyDescent="0.2">
      <c r="Q1485" s="36"/>
      <c r="R1485" s="36"/>
      <c r="S1485" s="36"/>
      <c r="T1485" s="36"/>
      <c r="U1485" s="36"/>
      <c r="V1485" s="36"/>
      <c r="W1485" s="36"/>
      <c r="X1485" s="36"/>
      <c r="Y1485" s="36"/>
      <c r="Z1485" s="36"/>
      <c r="AA1485" s="36"/>
      <c r="AB1485" s="36"/>
      <c r="AC1485" s="36"/>
    </row>
    <row r="1486" spans="17:29" x14ac:dyDescent="0.2">
      <c r="Q1486" s="36"/>
      <c r="R1486" s="36"/>
      <c r="S1486" s="36"/>
      <c r="T1486" s="36"/>
      <c r="U1486" s="36"/>
      <c r="V1486" s="36"/>
      <c r="W1486" s="36"/>
      <c r="X1486" s="36"/>
      <c r="Y1486" s="36"/>
      <c r="Z1486" s="36"/>
      <c r="AA1486" s="36"/>
      <c r="AB1486" s="36"/>
      <c r="AC1486" s="36"/>
    </row>
    <row r="1487" spans="17:29" x14ac:dyDescent="0.2">
      <c r="Q1487" s="36"/>
      <c r="R1487" s="36"/>
      <c r="S1487" s="36"/>
      <c r="T1487" s="36"/>
      <c r="U1487" s="36"/>
      <c r="V1487" s="36"/>
      <c r="W1487" s="36"/>
      <c r="X1487" s="36"/>
      <c r="Y1487" s="36"/>
      <c r="Z1487" s="36"/>
      <c r="AA1487" s="36"/>
      <c r="AB1487" s="36"/>
      <c r="AC1487" s="36"/>
    </row>
    <row r="1488" spans="17:29" x14ac:dyDescent="0.2">
      <c r="Q1488" s="36"/>
      <c r="R1488" s="36"/>
      <c r="S1488" s="36"/>
      <c r="T1488" s="36"/>
      <c r="U1488" s="36"/>
      <c r="V1488" s="36"/>
      <c r="W1488" s="36"/>
      <c r="X1488" s="36"/>
      <c r="Y1488" s="36"/>
      <c r="Z1488" s="36"/>
      <c r="AA1488" s="36"/>
      <c r="AB1488" s="36"/>
      <c r="AC1488" s="36"/>
    </row>
    <row r="1489" spans="17:29" x14ac:dyDescent="0.2">
      <c r="Q1489" s="36"/>
      <c r="R1489" s="36"/>
      <c r="S1489" s="36"/>
      <c r="T1489" s="36"/>
      <c r="U1489" s="36"/>
      <c r="V1489" s="36"/>
      <c r="W1489" s="36"/>
      <c r="X1489" s="36"/>
      <c r="Y1489" s="36"/>
      <c r="Z1489" s="36"/>
      <c r="AA1489" s="36"/>
      <c r="AB1489" s="36"/>
      <c r="AC1489" s="36"/>
    </row>
    <row r="1490" spans="17:29" x14ac:dyDescent="0.2">
      <c r="Q1490" s="36"/>
      <c r="R1490" s="36"/>
      <c r="S1490" s="36"/>
      <c r="T1490" s="36"/>
      <c r="U1490" s="36"/>
      <c r="V1490" s="36"/>
      <c r="W1490" s="36"/>
      <c r="X1490" s="36"/>
      <c r="Y1490" s="36"/>
      <c r="Z1490" s="36"/>
      <c r="AA1490" s="36"/>
      <c r="AB1490" s="36"/>
      <c r="AC1490" s="36"/>
    </row>
    <row r="1491" spans="17:29" x14ac:dyDescent="0.2">
      <c r="Q1491" s="36"/>
      <c r="R1491" s="36"/>
      <c r="S1491" s="36"/>
      <c r="T1491" s="36"/>
      <c r="U1491" s="36"/>
      <c r="V1491" s="36"/>
      <c r="W1491" s="36"/>
      <c r="X1491" s="36"/>
      <c r="Y1491" s="36"/>
      <c r="Z1491" s="36"/>
      <c r="AA1491" s="36"/>
      <c r="AB1491" s="36"/>
      <c r="AC1491" s="36"/>
    </row>
    <row r="1492" spans="17:29" x14ac:dyDescent="0.2">
      <c r="Q1492" s="36"/>
      <c r="R1492" s="36"/>
      <c r="S1492" s="36"/>
      <c r="T1492" s="36"/>
      <c r="U1492" s="36"/>
      <c r="V1492" s="36"/>
      <c r="W1492" s="36"/>
      <c r="X1492" s="36"/>
      <c r="Y1492" s="36"/>
      <c r="Z1492" s="36"/>
      <c r="AA1492" s="36"/>
      <c r="AB1492" s="36"/>
      <c r="AC1492" s="36"/>
    </row>
    <row r="1493" spans="17:29" x14ac:dyDescent="0.2">
      <c r="Q1493" s="36"/>
      <c r="R1493" s="36"/>
      <c r="S1493" s="36"/>
      <c r="T1493" s="36"/>
      <c r="U1493" s="36"/>
      <c r="V1493" s="36"/>
      <c r="W1493" s="36"/>
      <c r="X1493" s="36"/>
      <c r="Y1493" s="36"/>
      <c r="Z1493" s="36"/>
      <c r="AA1493" s="36"/>
      <c r="AB1493" s="36"/>
      <c r="AC1493" s="36"/>
    </row>
    <row r="1494" spans="17:29" x14ac:dyDescent="0.2">
      <c r="Q1494" s="36"/>
      <c r="R1494" s="36"/>
      <c r="S1494" s="36"/>
      <c r="T1494" s="36"/>
      <c r="U1494" s="36"/>
      <c r="V1494" s="36"/>
      <c r="W1494" s="36"/>
      <c r="X1494" s="36"/>
      <c r="Y1494" s="36"/>
      <c r="Z1494" s="36"/>
      <c r="AA1494" s="36"/>
      <c r="AB1494" s="36"/>
      <c r="AC1494" s="36"/>
    </row>
    <row r="1495" spans="17:29" x14ac:dyDescent="0.2">
      <c r="Q1495" s="36"/>
      <c r="R1495" s="36"/>
      <c r="S1495" s="36"/>
      <c r="T1495" s="36"/>
      <c r="U1495" s="36"/>
      <c r="V1495" s="36"/>
      <c r="W1495" s="36"/>
      <c r="X1495" s="36"/>
      <c r="Y1495" s="36"/>
      <c r="Z1495" s="36"/>
      <c r="AA1495" s="36"/>
      <c r="AB1495" s="36"/>
      <c r="AC1495" s="36"/>
    </row>
    <row r="1496" spans="17:29" x14ac:dyDescent="0.2">
      <c r="Q1496" s="36"/>
      <c r="R1496" s="36"/>
      <c r="S1496" s="36"/>
      <c r="T1496" s="36"/>
      <c r="U1496" s="36"/>
      <c r="V1496" s="36"/>
      <c r="W1496" s="36"/>
      <c r="X1496" s="36"/>
      <c r="Y1496" s="36"/>
      <c r="Z1496" s="36"/>
      <c r="AA1496" s="36"/>
      <c r="AB1496" s="36"/>
      <c r="AC1496" s="36"/>
    </row>
    <row r="1497" spans="17:29" x14ac:dyDescent="0.2">
      <c r="Q1497" s="36"/>
      <c r="R1497" s="36"/>
      <c r="S1497" s="36"/>
      <c r="T1497" s="36"/>
      <c r="U1497" s="36"/>
      <c r="V1497" s="36"/>
      <c r="W1497" s="36"/>
      <c r="X1497" s="36"/>
      <c r="Y1497" s="36"/>
      <c r="Z1497" s="36"/>
      <c r="AA1497" s="36"/>
      <c r="AB1497" s="36"/>
      <c r="AC1497" s="36"/>
    </row>
    <row r="1498" spans="17:29" x14ac:dyDescent="0.2">
      <c r="Q1498" s="36"/>
      <c r="R1498" s="36"/>
      <c r="S1498" s="36"/>
      <c r="T1498" s="36"/>
      <c r="U1498" s="36"/>
      <c r="V1498" s="36"/>
      <c r="W1498" s="36"/>
      <c r="X1498" s="36"/>
      <c r="Y1498" s="36"/>
      <c r="Z1498" s="36"/>
      <c r="AA1498" s="36"/>
      <c r="AB1498" s="36"/>
      <c r="AC1498" s="36"/>
    </row>
    <row r="1499" spans="17:29" x14ac:dyDescent="0.2">
      <c r="Q1499" s="36"/>
      <c r="R1499" s="36"/>
      <c r="S1499" s="36"/>
      <c r="T1499" s="36"/>
      <c r="U1499" s="36"/>
      <c r="V1499" s="36"/>
      <c r="W1499" s="36"/>
      <c r="X1499" s="36"/>
      <c r="Y1499" s="36"/>
      <c r="Z1499" s="36"/>
      <c r="AA1499" s="36"/>
      <c r="AB1499" s="36"/>
      <c r="AC1499" s="36"/>
    </row>
    <row r="1500" spans="17:29" x14ac:dyDescent="0.2">
      <c r="Q1500" s="36"/>
      <c r="R1500" s="36"/>
      <c r="S1500" s="36"/>
      <c r="T1500" s="36"/>
      <c r="U1500" s="36"/>
      <c r="V1500" s="36"/>
      <c r="W1500" s="36"/>
      <c r="X1500" s="36"/>
      <c r="Y1500" s="36"/>
      <c r="Z1500" s="36"/>
      <c r="AA1500" s="36"/>
      <c r="AB1500" s="36"/>
      <c r="AC1500" s="36"/>
    </row>
    <row r="1501" spans="17:29" x14ac:dyDescent="0.2">
      <c r="Q1501" s="36"/>
      <c r="R1501" s="36"/>
      <c r="S1501" s="36"/>
      <c r="T1501" s="36"/>
      <c r="U1501" s="36"/>
      <c r="V1501" s="36"/>
      <c r="W1501" s="36"/>
      <c r="X1501" s="36"/>
      <c r="Y1501" s="36"/>
      <c r="Z1501" s="36"/>
      <c r="AA1501" s="36"/>
      <c r="AB1501" s="36"/>
      <c r="AC1501" s="36"/>
    </row>
    <row r="1502" spans="17:29" x14ac:dyDescent="0.2">
      <c r="Q1502" s="36"/>
      <c r="R1502" s="36"/>
      <c r="S1502" s="36"/>
      <c r="T1502" s="36"/>
      <c r="U1502" s="36"/>
      <c r="V1502" s="36"/>
      <c r="W1502" s="36"/>
      <c r="X1502" s="36"/>
      <c r="Y1502" s="36"/>
      <c r="Z1502" s="36"/>
      <c r="AA1502" s="36"/>
      <c r="AB1502" s="36"/>
      <c r="AC1502" s="36"/>
    </row>
    <row r="1503" spans="17:29" x14ac:dyDescent="0.2">
      <c r="Q1503" s="36"/>
      <c r="R1503" s="36"/>
      <c r="S1503" s="36"/>
      <c r="T1503" s="36"/>
      <c r="U1503" s="36"/>
      <c r="V1503" s="36"/>
      <c r="W1503" s="36"/>
      <c r="X1503" s="36"/>
      <c r="Y1503" s="36"/>
      <c r="Z1503" s="36"/>
      <c r="AA1503" s="36"/>
      <c r="AB1503" s="36"/>
      <c r="AC1503" s="36"/>
    </row>
    <row r="1504" spans="17:29" x14ac:dyDescent="0.2">
      <c r="Q1504" s="36"/>
      <c r="R1504" s="36"/>
      <c r="S1504" s="36"/>
      <c r="T1504" s="36"/>
      <c r="U1504" s="36"/>
      <c r="V1504" s="36"/>
      <c r="W1504" s="36"/>
      <c r="X1504" s="36"/>
      <c r="Y1504" s="36"/>
      <c r="Z1504" s="36"/>
      <c r="AA1504" s="36"/>
      <c r="AB1504" s="36"/>
      <c r="AC1504" s="36"/>
    </row>
    <row r="1505" spans="17:29" x14ac:dyDescent="0.2">
      <c r="Q1505" s="36"/>
      <c r="R1505" s="36"/>
      <c r="S1505" s="36"/>
      <c r="T1505" s="36"/>
      <c r="U1505" s="36"/>
      <c r="V1505" s="36"/>
      <c r="W1505" s="36"/>
      <c r="X1505" s="36"/>
      <c r="Y1505" s="36"/>
      <c r="Z1505" s="36"/>
      <c r="AA1505" s="36"/>
      <c r="AB1505" s="36"/>
      <c r="AC1505" s="36"/>
    </row>
    <row r="1506" spans="17:29" x14ac:dyDescent="0.2">
      <c r="Q1506" s="36"/>
      <c r="R1506" s="36"/>
      <c r="S1506" s="36"/>
      <c r="T1506" s="36"/>
      <c r="U1506" s="36"/>
      <c r="V1506" s="36"/>
      <c r="W1506" s="36"/>
      <c r="X1506" s="36"/>
      <c r="Y1506" s="36"/>
      <c r="Z1506" s="36"/>
      <c r="AA1506" s="36"/>
      <c r="AB1506" s="36"/>
      <c r="AC1506" s="36"/>
    </row>
    <row r="1507" spans="17:29" x14ac:dyDescent="0.2">
      <c r="Q1507" s="36"/>
      <c r="R1507" s="36"/>
      <c r="S1507" s="36"/>
      <c r="T1507" s="36"/>
      <c r="U1507" s="36"/>
      <c r="V1507" s="36"/>
      <c r="W1507" s="36"/>
      <c r="X1507" s="36"/>
      <c r="Y1507" s="36"/>
      <c r="Z1507" s="36"/>
      <c r="AA1507" s="36"/>
      <c r="AB1507" s="36"/>
      <c r="AC1507" s="36"/>
    </row>
    <row r="1508" spans="17:29" x14ac:dyDescent="0.2">
      <c r="Q1508" s="36"/>
      <c r="R1508" s="36"/>
      <c r="S1508" s="36"/>
      <c r="T1508" s="36"/>
      <c r="U1508" s="36"/>
      <c r="V1508" s="36"/>
      <c r="W1508" s="36"/>
      <c r="X1508" s="36"/>
      <c r="Y1508" s="36"/>
      <c r="Z1508" s="36"/>
      <c r="AA1508" s="36"/>
      <c r="AB1508" s="36"/>
      <c r="AC1508" s="36"/>
    </row>
    <row r="1509" spans="17:29" x14ac:dyDescent="0.2">
      <c r="Q1509" s="36"/>
      <c r="R1509" s="36"/>
      <c r="S1509" s="36"/>
      <c r="T1509" s="36"/>
      <c r="U1509" s="36"/>
      <c r="V1509" s="36"/>
      <c r="W1509" s="36"/>
      <c r="X1509" s="36"/>
      <c r="Y1509" s="36"/>
      <c r="Z1509" s="36"/>
      <c r="AA1509" s="36"/>
      <c r="AB1509" s="36"/>
      <c r="AC1509" s="36"/>
    </row>
    <row r="1510" spans="17:29" x14ac:dyDescent="0.2">
      <c r="Q1510" s="36"/>
      <c r="R1510" s="36"/>
      <c r="S1510" s="36"/>
      <c r="T1510" s="36"/>
      <c r="U1510" s="36"/>
      <c r="V1510" s="36"/>
      <c r="W1510" s="36"/>
      <c r="X1510" s="36"/>
      <c r="Y1510" s="36"/>
      <c r="Z1510" s="36"/>
      <c r="AA1510" s="36"/>
      <c r="AB1510" s="36"/>
      <c r="AC1510" s="36"/>
    </row>
    <row r="1511" spans="17:29" x14ac:dyDescent="0.2">
      <c r="Q1511" s="36"/>
      <c r="R1511" s="36"/>
      <c r="S1511" s="36"/>
      <c r="T1511" s="36"/>
      <c r="U1511" s="36"/>
      <c r="V1511" s="36"/>
      <c r="W1511" s="36"/>
      <c r="X1511" s="36"/>
      <c r="Y1511" s="36"/>
      <c r="Z1511" s="36"/>
      <c r="AA1511" s="36"/>
      <c r="AB1511" s="36"/>
      <c r="AC1511" s="36"/>
    </row>
    <row r="1512" spans="17:29" x14ac:dyDescent="0.2">
      <c r="Q1512" s="36"/>
      <c r="R1512" s="36"/>
      <c r="S1512" s="36"/>
      <c r="T1512" s="36"/>
      <c r="U1512" s="36"/>
      <c r="V1512" s="36"/>
      <c r="W1512" s="36"/>
      <c r="X1512" s="36"/>
      <c r="Y1512" s="36"/>
      <c r="Z1512" s="36"/>
      <c r="AA1512" s="36"/>
      <c r="AB1512" s="36"/>
      <c r="AC1512" s="36"/>
    </row>
    <row r="1513" spans="17:29" x14ac:dyDescent="0.2">
      <c r="Q1513" s="36"/>
      <c r="R1513" s="36"/>
      <c r="S1513" s="36"/>
      <c r="T1513" s="36"/>
      <c r="U1513" s="36"/>
      <c r="V1513" s="36"/>
      <c r="W1513" s="36"/>
      <c r="X1513" s="36"/>
      <c r="Y1513" s="36"/>
      <c r="Z1513" s="36"/>
      <c r="AA1513" s="36"/>
      <c r="AB1513" s="36"/>
      <c r="AC1513" s="36"/>
    </row>
    <row r="1514" spans="17:29" x14ac:dyDescent="0.2">
      <c r="Q1514" s="36"/>
      <c r="R1514" s="36"/>
      <c r="S1514" s="36"/>
      <c r="T1514" s="36"/>
      <c r="U1514" s="36"/>
      <c r="V1514" s="36"/>
      <c r="W1514" s="36"/>
      <c r="X1514" s="36"/>
      <c r="Y1514" s="36"/>
      <c r="Z1514" s="36"/>
      <c r="AA1514" s="36"/>
      <c r="AB1514" s="36"/>
      <c r="AC1514" s="36"/>
    </row>
    <row r="1515" spans="17:29" x14ac:dyDescent="0.2">
      <c r="Q1515" s="36"/>
      <c r="R1515" s="36"/>
      <c r="S1515" s="36"/>
      <c r="T1515" s="36"/>
      <c r="U1515" s="36"/>
      <c r="V1515" s="36"/>
      <c r="W1515" s="36"/>
      <c r="X1515" s="36"/>
      <c r="Y1515" s="36"/>
      <c r="Z1515" s="36"/>
      <c r="AA1515" s="36"/>
      <c r="AB1515" s="36"/>
      <c r="AC1515" s="36"/>
    </row>
    <row r="1516" spans="17:29" x14ac:dyDescent="0.2">
      <c r="Q1516" s="36"/>
      <c r="R1516" s="36"/>
      <c r="S1516" s="36"/>
      <c r="T1516" s="36"/>
      <c r="U1516" s="36"/>
      <c r="V1516" s="36"/>
      <c r="W1516" s="36"/>
      <c r="X1516" s="36"/>
      <c r="Y1516" s="36"/>
      <c r="Z1516" s="36"/>
      <c r="AA1516" s="36"/>
      <c r="AB1516" s="36"/>
      <c r="AC1516" s="36"/>
    </row>
    <row r="1517" spans="17:29" x14ac:dyDescent="0.2">
      <c r="Q1517" s="36"/>
      <c r="R1517" s="36"/>
      <c r="S1517" s="36"/>
      <c r="T1517" s="36"/>
      <c r="U1517" s="36"/>
      <c r="V1517" s="36"/>
      <c r="W1517" s="36"/>
      <c r="X1517" s="36"/>
      <c r="Y1517" s="36"/>
      <c r="Z1517" s="36"/>
      <c r="AA1517" s="36"/>
      <c r="AB1517" s="36"/>
      <c r="AC1517" s="36"/>
    </row>
    <row r="1518" spans="17:29" x14ac:dyDescent="0.2">
      <c r="Q1518" s="36"/>
      <c r="R1518" s="36"/>
      <c r="S1518" s="36"/>
      <c r="T1518" s="36"/>
      <c r="U1518" s="36"/>
      <c r="V1518" s="36"/>
      <c r="W1518" s="36"/>
      <c r="X1518" s="36"/>
      <c r="Y1518" s="36"/>
      <c r="Z1518" s="36"/>
      <c r="AA1518" s="36"/>
      <c r="AB1518" s="36"/>
      <c r="AC1518" s="36"/>
    </row>
    <row r="1519" spans="17:29" x14ac:dyDescent="0.2">
      <c r="Q1519" s="36"/>
      <c r="R1519" s="36"/>
      <c r="S1519" s="36"/>
      <c r="T1519" s="36"/>
      <c r="U1519" s="36"/>
      <c r="V1519" s="36"/>
      <c r="W1519" s="36"/>
      <c r="X1519" s="36"/>
      <c r="Y1519" s="36"/>
      <c r="Z1519" s="36"/>
      <c r="AA1519" s="36"/>
      <c r="AB1519" s="36"/>
      <c r="AC1519" s="36"/>
    </row>
    <row r="1520" spans="17:29" x14ac:dyDescent="0.2">
      <c r="Q1520" s="36"/>
      <c r="R1520" s="36"/>
      <c r="S1520" s="36"/>
      <c r="T1520" s="36"/>
      <c r="U1520" s="36"/>
      <c r="V1520" s="36"/>
      <c r="W1520" s="36"/>
      <c r="X1520" s="36"/>
      <c r="Y1520" s="36"/>
      <c r="Z1520" s="36"/>
      <c r="AA1520" s="36"/>
      <c r="AB1520" s="36"/>
      <c r="AC1520" s="36"/>
    </row>
    <row r="1521" spans="17:29" x14ac:dyDescent="0.2">
      <c r="Q1521" s="36"/>
      <c r="R1521" s="36"/>
      <c r="S1521" s="36"/>
      <c r="T1521" s="36"/>
      <c r="U1521" s="36"/>
      <c r="V1521" s="36"/>
      <c r="W1521" s="36"/>
      <c r="X1521" s="36"/>
      <c r="Y1521" s="36"/>
      <c r="Z1521" s="36"/>
      <c r="AA1521" s="36"/>
      <c r="AB1521" s="36"/>
      <c r="AC1521" s="36"/>
    </row>
    <row r="1522" spans="17:29" x14ac:dyDescent="0.2">
      <c r="Q1522" s="36"/>
      <c r="R1522" s="36"/>
      <c r="S1522" s="36"/>
      <c r="T1522" s="36"/>
      <c r="U1522" s="36"/>
      <c r="V1522" s="36"/>
      <c r="W1522" s="36"/>
      <c r="X1522" s="36"/>
      <c r="Y1522" s="36"/>
      <c r="Z1522" s="36"/>
      <c r="AA1522" s="36"/>
      <c r="AB1522" s="36"/>
      <c r="AC1522" s="36"/>
    </row>
    <row r="1523" spans="17:29" x14ac:dyDescent="0.2">
      <c r="Q1523" s="36"/>
      <c r="R1523" s="36"/>
      <c r="S1523" s="36"/>
      <c r="T1523" s="36"/>
      <c r="U1523" s="36"/>
      <c r="V1523" s="36"/>
      <c r="W1523" s="36"/>
      <c r="X1523" s="36"/>
      <c r="Y1523" s="36"/>
      <c r="Z1523" s="36"/>
      <c r="AA1523" s="36"/>
      <c r="AB1523" s="36"/>
      <c r="AC1523" s="36"/>
    </row>
    <row r="1524" spans="17:29" x14ac:dyDescent="0.2">
      <c r="Q1524" s="36"/>
      <c r="R1524" s="36"/>
      <c r="S1524" s="36"/>
      <c r="T1524" s="36"/>
      <c r="U1524" s="36"/>
      <c r="V1524" s="36"/>
      <c r="W1524" s="36"/>
      <c r="X1524" s="36"/>
      <c r="Y1524" s="36"/>
      <c r="Z1524" s="36"/>
      <c r="AA1524" s="36"/>
      <c r="AB1524" s="36"/>
      <c r="AC1524" s="36"/>
    </row>
    <row r="1525" spans="17:29" x14ac:dyDescent="0.2">
      <c r="Q1525" s="36"/>
      <c r="R1525" s="36"/>
      <c r="S1525" s="36"/>
      <c r="T1525" s="36"/>
      <c r="U1525" s="36"/>
      <c r="V1525" s="36"/>
      <c r="W1525" s="36"/>
      <c r="X1525" s="36"/>
      <c r="Y1525" s="36"/>
      <c r="Z1525" s="36"/>
      <c r="AA1525" s="36"/>
      <c r="AB1525" s="36"/>
      <c r="AC1525" s="36"/>
    </row>
    <row r="1526" spans="17:29" x14ac:dyDescent="0.2">
      <c r="Q1526" s="36"/>
      <c r="R1526" s="36"/>
      <c r="S1526" s="36"/>
      <c r="T1526" s="36"/>
      <c r="U1526" s="36"/>
      <c r="V1526" s="36"/>
      <c r="W1526" s="36"/>
      <c r="X1526" s="36"/>
      <c r="Y1526" s="36"/>
      <c r="Z1526" s="36"/>
      <c r="AA1526" s="36"/>
      <c r="AB1526" s="36"/>
      <c r="AC1526" s="36"/>
    </row>
    <row r="1527" spans="17:29" x14ac:dyDescent="0.2">
      <c r="Q1527" s="36"/>
      <c r="R1527" s="36"/>
      <c r="S1527" s="36"/>
      <c r="T1527" s="36"/>
      <c r="U1527" s="36"/>
      <c r="V1527" s="36"/>
      <c r="W1527" s="36"/>
      <c r="X1527" s="36"/>
      <c r="Y1527" s="36"/>
      <c r="Z1527" s="36"/>
      <c r="AA1527" s="36"/>
      <c r="AB1527" s="36"/>
      <c r="AC1527" s="36"/>
    </row>
    <row r="1528" spans="17:29" x14ac:dyDescent="0.2">
      <c r="Q1528" s="36"/>
      <c r="R1528" s="36"/>
      <c r="S1528" s="36"/>
      <c r="T1528" s="36"/>
      <c r="U1528" s="36"/>
      <c r="V1528" s="36"/>
      <c r="W1528" s="36"/>
      <c r="X1528" s="36"/>
      <c r="Y1528" s="36"/>
      <c r="Z1528" s="36"/>
      <c r="AA1528" s="36"/>
      <c r="AB1528" s="36"/>
      <c r="AC1528" s="36"/>
    </row>
    <row r="1529" spans="17:29" x14ac:dyDescent="0.2">
      <c r="Q1529" s="36"/>
      <c r="R1529" s="36"/>
      <c r="S1529" s="36"/>
      <c r="T1529" s="36"/>
      <c r="U1529" s="36"/>
      <c r="V1529" s="36"/>
      <c r="W1529" s="36"/>
      <c r="X1529" s="36"/>
      <c r="Y1529" s="36"/>
      <c r="Z1529" s="36"/>
      <c r="AA1529" s="36"/>
      <c r="AB1529" s="36"/>
      <c r="AC1529" s="36"/>
    </row>
    <row r="1530" spans="17:29" x14ac:dyDescent="0.2">
      <c r="Q1530" s="36"/>
      <c r="R1530" s="36"/>
      <c r="S1530" s="36"/>
      <c r="T1530" s="36"/>
      <c r="U1530" s="36"/>
      <c r="V1530" s="36"/>
      <c r="W1530" s="36"/>
      <c r="X1530" s="36"/>
      <c r="Y1530" s="36"/>
      <c r="Z1530" s="36"/>
      <c r="AA1530" s="36"/>
      <c r="AB1530" s="36"/>
      <c r="AC1530" s="36"/>
    </row>
    <row r="1531" spans="17:29" x14ac:dyDescent="0.2">
      <c r="Q1531" s="36"/>
      <c r="R1531" s="36"/>
      <c r="S1531" s="36"/>
      <c r="T1531" s="36"/>
      <c r="U1531" s="36"/>
      <c r="V1531" s="36"/>
      <c r="W1531" s="36"/>
      <c r="X1531" s="36"/>
      <c r="Y1531" s="36"/>
      <c r="Z1531" s="36"/>
      <c r="AA1531" s="36"/>
      <c r="AB1531" s="36"/>
      <c r="AC1531" s="36"/>
    </row>
    <row r="1532" spans="17:29" x14ac:dyDescent="0.2">
      <c r="Q1532" s="36"/>
      <c r="R1532" s="36"/>
      <c r="S1532" s="36"/>
      <c r="T1532" s="36"/>
      <c r="U1532" s="36"/>
      <c r="V1532" s="36"/>
      <c r="W1532" s="36"/>
      <c r="X1532" s="36"/>
      <c r="Y1532" s="36"/>
      <c r="Z1532" s="36"/>
      <c r="AA1532" s="36"/>
      <c r="AB1532" s="36"/>
      <c r="AC1532" s="36"/>
    </row>
    <row r="1533" spans="17:29" x14ac:dyDescent="0.2">
      <c r="Q1533" s="36"/>
      <c r="R1533" s="36"/>
      <c r="S1533" s="36"/>
      <c r="T1533" s="36"/>
      <c r="U1533" s="36"/>
      <c r="V1533" s="36"/>
      <c r="W1533" s="36"/>
      <c r="X1533" s="36"/>
      <c r="Y1533" s="36"/>
      <c r="Z1533" s="36"/>
      <c r="AA1533" s="36"/>
      <c r="AB1533" s="36"/>
      <c r="AC1533" s="36"/>
    </row>
    <row r="1534" spans="17:29" x14ac:dyDescent="0.2">
      <c r="Q1534" s="36"/>
      <c r="R1534" s="36"/>
      <c r="S1534" s="36"/>
      <c r="T1534" s="36"/>
      <c r="U1534" s="36"/>
      <c r="V1534" s="36"/>
      <c r="W1534" s="36"/>
      <c r="X1534" s="36"/>
      <c r="Y1534" s="36"/>
      <c r="Z1534" s="36"/>
      <c r="AA1534" s="36"/>
      <c r="AB1534" s="36"/>
      <c r="AC1534" s="36"/>
    </row>
    <row r="1535" spans="17:29" x14ac:dyDescent="0.2">
      <c r="Q1535" s="36"/>
      <c r="R1535" s="36"/>
      <c r="S1535" s="36"/>
      <c r="T1535" s="36"/>
      <c r="U1535" s="36"/>
      <c r="V1535" s="36"/>
      <c r="W1535" s="36"/>
      <c r="X1535" s="36"/>
      <c r="Y1535" s="36"/>
      <c r="Z1535" s="36"/>
      <c r="AA1535" s="36"/>
      <c r="AB1535" s="36"/>
      <c r="AC1535" s="36"/>
    </row>
    <row r="1536" spans="17:29" x14ac:dyDescent="0.2">
      <c r="Q1536" s="36"/>
      <c r="R1536" s="36"/>
      <c r="S1536" s="36"/>
      <c r="T1536" s="36"/>
      <c r="U1536" s="36"/>
      <c r="V1536" s="36"/>
      <c r="W1536" s="36"/>
      <c r="X1536" s="36"/>
      <c r="Y1536" s="36"/>
      <c r="Z1536" s="36"/>
      <c r="AA1536" s="36"/>
      <c r="AB1536" s="36"/>
      <c r="AC1536" s="36"/>
    </row>
    <row r="1537" spans="17:29" x14ac:dyDescent="0.2">
      <c r="Q1537" s="36"/>
      <c r="R1537" s="36"/>
      <c r="S1537" s="36"/>
      <c r="T1537" s="36"/>
      <c r="U1537" s="36"/>
      <c r="V1537" s="36"/>
      <c r="W1537" s="36"/>
      <c r="X1537" s="36"/>
      <c r="Y1537" s="36"/>
      <c r="Z1537" s="36"/>
      <c r="AA1537" s="36"/>
      <c r="AB1537" s="36"/>
      <c r="AC1537" s="36"/>
    </row>
    <row r="1538" spans="17:29" x14ac:dyDescent="0.2">
      <c r="Q1538" s="36"/>
      <c r="R1538" s="36"/>
      <c r="S1538" s="36"/>
      <c r="T1538" s="36"/>
      <c r="U1538" s="36"/>
      <c r="V1538" s="36"/>
      <c r="W1538" s="36"/>
      <c r="X1538" s="36"/>
      <c r="Y1538" s="36"/>
      <c r="Z1538" s="36"/>
      <c r="AA1538" s="36"/>
      <c r="AB1538" s="36"/>
      <c r="AC1538" s="36"/>
    </row>
    <row r="1539" spans="17:29" x14ac:dyDescent="0.2">
      <c r="Q1539" s="36"/>
      <c r="R1539" s="36"/>
      <c r="S1539" s="36"/>
      <c r="T1539" s="36"/>
      <c r="U1539" s="36"/>
      <c r="V1539" s="36"/>
      <c r="W1539" s="36"/>
      <c r="X1539" s="36"/>
      <c r="Y1539" s="36"/>
      <c r="Z1539" s="36"/>
      <c r="AA1539" s="36"/>
      <c r="AB1539" s="36"/>
      <c r="AC1539" s="36"/>
    </row>
    <row r="1540" spans="17:29" x14ac:dyDescent="0.2">
      <c r="Q1540" s="36"/>
      <c r="R1540" s="36"/>
      <c r="S1540" s="36"/>
      <c r="T1540" s="36"/>
      <c r="U1540" s="36"/>
      <c r="V1540" s="36"/>
      <c r="W1540" s="36"/>
      <c r="X1540" s="36"/>
      <c r="Y1540" s="36"/>
      <c r="Z1540" s="36"/>
      <c r="AA1540" s="36"/>
      <c r="AB1540" s="36"/>
      <c r="AC1540" s="36"/>
    </row>
    <row r="1541" spans="17:29" x14ac:dyDescent="0.2">
      <c r="Q1541" s="36"/>
      <c r="R1541" s="36"/>
      <c r="S1541" s="36"/>
      <c r="T1541" s="36"/>
      <c r="U1541" s="36"/>
      <c r="V1541" s="36"/>
      <c r="W1541" s="36"/>
      <c r="X1541" s="36"/>
      <c r="Y1541" s="36"/>
      <c r="Z1541" s="36"/>
      <c r="AA1541" s="36"/>
      <c r="AB1541" s="36"/>
      <c r="AC1541" s="36"/>
    </row>
    <row r="1542" spans="17:29" x14ac:dyDescent="0.2">
      <c r="Q1542" s="36"/>
      <c r="R1542" s="36"/>
      <c r="S1542" s="36"/>
      <c r="T1542" s="36"/>
      <c r="U1542" s="36"/>
      <c r="V1542" s="36"/>
      <c r="W1542" s="36"/>
      <c r="X1542" s="36"/>
      <c r="Y1542" s="36"/>
      <c r="Z1542" s="36"/>
      <c r="AA1542" s="36"/>
      <c r="AB1542" s="36"/>
      <c r="AC1542" s="36"/>
    </row>
    <row r="1543" spans="17:29" x14ac:dyDescent="0.2">
      <c r="Q1543" s="36"/>
      <c r="R1543" s="36"/>
      <c r="S1543" s="36"/>
      <c r="T1543" s="36"/>
      <c r="U1543" s="36"/>
      <c r="V1543" s="36"/>
      <c r="W1543" s="36"/>
      <c r="X1543" s="36"/>
      <c r="Y1543" s="36"/>
      <c r="Z1543" s="36"/>
      <c r="AA1543" s="36"/>
      <c r="AB1543" s="36"/>
      <c r="AC1543" s="36"/>
    </row>
    <row r="1544" spans="17:29" x14ac:dyDescent="0.2">
      <c r="Q1544" s="36"/>
      <c r="R1544" s="36"/>
      <c r="S1544" s="36"/>
      <c r="T1544" s="36"/>
      <c r="U1544" s="36"/>
      <c r="V1544" s="36"/>
      <c r="W1544" s="36"/>
      <c r="X1544" s="36"/>
      <c r="Y1544" s="36"/>
      <c r="Z1544" s="36"/>
      <c r="AA1544" s="36"/>
      <c r="AB1544" s="36"/>
      <c r="AC1544" s="36"/>
    </row>
    <row r="1545" spans="17:29" x14ac:dyDescent="0.2">
      <c r="Q1545" s="36"/>
      <c r="R1545" s="36"/>
      <c r="S1545" s="36"/>
      <c r="T1545" s="36"/>
      <c r="U1545" s="36"/>
      <c r="V1545" s="36"/>
      <c r="W1545" s="36"/>
      <c r="X1545" s="36"/>
      <c r="Y1545" s="36"/>
      <c r="Z1545" s="36"/>
      <c r="AA1545" s="36"/>
      <c r="AB1545" s="36"/>
      <c r="AC1545" s="36"/>
    </row>
    <row r="1546" spans="17:29" x14ac:dyDescent="0.2">
      <c r="Q1546" s="36"/>
      <c r="R1546" s="36"/>
      <c r="S1546" s="36"/>
      <c r="T1546" s="36"/>
      <c r="U1546" s="36"/>
      <c r="V1546" s="36"/>
      <c r="W1546" s="36"/>
      <c r="X1546" s="36"/>
      <c r="Y1546" s="36"/>
      <c r="Z1546" s="36"/>
      <c r="AA1546" s="36"/>
      <c r="AB1546" s="36"/>
      <c r="AC1546" s="36"/>
    </row>
    <row r="1547" spans="17:29" x14ac:dyDescent="0.2">
      <c r="Q1547" s="36"/>
      <c r="R1547" s="36"/>
      <c r="S1547" s="36"/>
      <c r="T1547" s="36"/>
      <c r="U1547" s="36"/>
      <c r="V1547" s="36"/>
      <c r="W1547" s="36"/>
      <c r="X1547" s="36"/>
      <c r="Y1547" s="36"/>
      <c r="Z1547" s="36"/>
      <c r="AA1547" s="36"/>
      <c r="AB1547" s="36"/>
      <c r="AC1547" s="36"/>
    </row>
    <row r="1548" spans="17:29" x14ac:dyDescent="0.2">
      <c r="Q1548" s="36"/>
      <c r="R1548" s="36"/>
      <c r="S1548" s="36"/>
      <c r="T1548" s="36"/>
      <c r="U1548" s="36"/>
      <c r="V1548" s="36"/>
      <c r="W1548" s="36"/>
      <c r="X1548" s="36"/>
      <c r="Y1548" s="36"/>
      <c r="Z1548" s="36"/>
      <c r="AA1548" s="36"/>
      <c r="AB1548" s="36"/>
      <c r="AC1548" s="36"/>
    </row>
    <row r="1549" spans="17:29" x14ac:dyDescent="0.2">
      <c r="Q1549" s="36"/>
      <c r="R1549" s="36"/>
      <c r="S1549" s="36"/>
      <c r="T1549" s="36"/>
      <c r="U1549" s="36"/>
      <c r="V1549" s="36"/>
      <c r="W1549" s="36"/>
      <c r="X1549" s="36"/>
      <c r="Y1549" s="36"/>
      <c r="Z1549" s="36"/>
      <c r="AA1549" s="36"/>
      <c r="AB1549" s="36"/>
      <c r="AC1549" s="36"/>
    </row>
    <row r="1550" spans="17:29" x14ac:dyDescent="0.2">
      <c r="Q1550" s="36"/>
      <c r="R1550" s="36"/>
      <c r="S1550" s="36"/>
      <c r="T1550" s="36"/>
      <c r="U1550" s="36"/>
      <c r="V1550" s="36"/>
      <c r="W1550" s="36"/>
      <c r="X1550" s="36"/>
      <c r="Y1550" s="36"/>
      <c r="Z1550" s="36"/>
      <c r="AA1550" s="36"/>
      <c r="AB1550" s="36"/>
      <c r="AC1550" s="36"/>
    </row>
    <row r="1551" spans="17:29" x14ac:dyDescent="0.2">
      <c r="Q1551" s="36"/>
      <c r="R1551" s="36"/>
      <c r="S1551" s="36"/>
      <c r="T1551" s="36"/>
      <c r="U1551" s="36"/>
      <c r="V1551" s="36"/>
      <c r="W1551" s="36"/>
      <c r="X1551" s="36"/>
      <c r="Y1551" s="36"/>
      <c r="Z1551" s="36"/>
      <c r="AA1551" s="36"/>
      <c r="AB1551" s="36"/>
      <c r="AC1551" s="36"/>
    </row>
    <row r="1552" spans="17:29" x14ac:dyDescent="0.2">
      <c r="Q1552" s="36"/>
      <c r="R1552" s="36"/>
      <c r="S1552" s="36"/>
      <c r="T1552" s="36"/>
      <c r="U1552" s="36"/>
      <c r="V1552" s="36"/>
      <c r="W1552" s="36"/>
      <c r="X1552" s="36"/>
      <c r="Y1552" s="36"/>
      <c r="Z1552" s="36"/>
      <c r="AA1552" s="36"/>
      <c r="AB1552" s="36"/>
      <c r="AC1552" s="36"/>
    </row>
    <row r="1553" spans="17:29" x14ac:dyDescent="0.2">
      <c r="Q1553" s="36"/>
      <c r="R1553" s="36"/>
      <c r="S1553" s="36"/>
      <c r="T1553" s="36"/>
      <c r="U1553" s="36"/>
      <c r="V1553" s="36"/>
      <c r="W1553" s="36"/>
      <c r="X1553" s="36"/>
      <c r="Y1553" s="36"/>
      <c r="Z1553" s="36"/>
      <c r="AA1553" s="36"/>
      <c r="AB1553" s="36"/>
      <c r="AC1553" s="36"/>
    </row>
    <row r="1554" spans="17:29" x14ac:dyDescent="0.2">
      <c r="Q1554" s="36"/>
      <c r="R1554" s="36"/>
      <c r="S1554" s="36"/>
      <c r="T1554" s="36"/>
      <c r="U1554" s="36"/>
      <c r="V1554" s="36"/>
      <c r="W1554" s="36"/>
      <c r="X1554" s="36"/>
      <c r="Y1554" s="36"/>
      <c r="Z1554" s="36"/>
      <c r="AA1554" s="36"/>
      <c r="AB1554" s="36"/>
      <c r="AC1554" s="36"/>
    </row>
    <row r="1555" spans="17:29" x14ac:dyDescent="0.2">
      <c r="Q1555" s="36"/>
      <c r="R1555" s="36"/>
      <c r="S1555" s="36"/>
      <c r="T1555" s="36"/>
      <c r="U1555" s="36"/>
      <c r="V1555" s="36"/>
      <c r="W1555" s="36"/>
      <c r="X1555" s="36"/>
      <c r="Y1555" s="36"/>
      <c r="Z1555" s="36"/>
      <c r="AA1555" s="36"/>
      <c r="AB1555" s="36"/>
      <c r="AC1555" s="36"/>
    </row>
    <row r="1556" spans="17:29" x14ac:dyDescent="0.2">
      <c r="Q1556" s="36"/>
      <c r="R1556" s="36"/>
      <c r="S1556" s="36"/>
      <c r="T1556" s="36"/>
      <c r="U1556" s="36"/>
      <c r="V1556" s="36"/>
      <c r="W1556" s="36"/>
      <c r="X1556" s="36"/>
      <c r="Y1556" s="36"/>
      <c r="Z1556" s="36"/>
      <c r="AA1556" s="36"/>
      <c r="AB1556" s="36"/>
      <c r="AC1556" s="36"/>
    </row>
    <row r="1557" spans="17:29" x14ac:dyDescent="0.2">
      <c r="Q1557" s="36"/>
      <c r="R1557" s="36"/>
      <c r="S1557" s="36"/>
      <c r="T1557" s="36"/>
      <c r="U1557" s="36"/>
      <c r="V1557" s="36"/>
      <c r="W1557" s="36"/>
      <c r="X1557" s="36"/>
      <c r="Y1557" s="36"/>
      <c r="Z1557" s="36"/>
      <c r="AA1557" s="36"/>
      <c r="AB1557" s="36"/>
      <c r="AC1557" s="36"/>
    </row>
    <row r="1558" spans="17:29" x14ac:dyDescent="0.2">
      <c r="Q1558" s="36"/>
      <c r="R1558" s="36"/>
      <c r="S1558" s="36"/>
      <c r="T1558" s="36"/>
      <c r="U1558" s="36"/>
      <c r="V1558" s="36"/>
      <c r="W1558" s="36"/>
      <c r="X1558" s="36"/>
      <c r="Y1558" s="36"/>
      <c r="Z1558" s="36"/>
      <c r="AA1558" s="36"/>
      <c r="AB1558" s="36"/>
      <c r="AC1558" s="36"/>
    </row>
    <row r="1559" spans="17:29" x14ac:dyDescent="0.2">
      <c r="Q1559" s="36"/>
      <c r="R1559" s="36"/>
      <c r="S1559" s="36"/>
      <c r="T1559" s="36"/>
      <c r="U1559" s="36"/>
      <c r="V1559" s="36"/>
      <c r="W1559" s="36"/>
      <c r="X1559" s="36"/>
      <c r="Y1559" s="36"/>
      <c r="Z1559" s="36"/>
      <c r="AA1559" s="36"/>
      <c r="AB1559" s="36"/>
      <c r="AC1559" s="36"/>
    </row>
    <row r="1560" spans="17:29" x14ac:dyDescent="0.2">
      <c r="Q1560" s="36"/>
      <c r="R1560" s="36"/>
      <c r="S1560" s="36"/>
      <c r="T1560" s="36"/>
      <c r="U1560" s="36"/>
      <c r="V1560" s="36"/>
      <c r="W1560" s="36"/>
      <c r="X1560" s="36"/>
      <c r="Y1560" s="36"/>
      <c r="Z1560" s="36"/>
      <c r="AA1560" s="36"/>
      <c r="AB1560" s="36"/>
      <c r="AC1560" s="36"/>
    </row>
    <row r="1561" spans="17:29" x14ac:dyDescent="0.2">
      <c r="Q1561" s="36"/>
      <c r="R1561" s="36"/>
      <c r="S1561" s="36"/>
      <c r="T1561" s="36"/>
      <c r="U1561" s="36"/>
      <c r="V1561" s="36"/>
      <c r="W1561" s="36"/>
      <c r="X1561" s="36"/>
      <c r="Y1561" s="36"/>
      <c r="Z1561" s="36"/>
      <c r="AA1561" s="36"/>
      <c r="AB1561" s="36"/>
      <c r="AC1561" s="36"/>
    </row>
    <row r="1562" spans="17:29" x14ac:dyDescent="0.2">
      <c r="Q1562" s="36"/>
      <c r="R1562" s="36"/>
      <c r="S1562" s="36"/>
      <c r="T1562" s="36"/>
      <c r="U1562" s="36"/>
      <c r="V1562" s="36"/>
      <c r="W1562" s="36"/>
      <c r="X1562" s="36"/>
      <c r="Y1562" s="36"/>
      <c r="Z1562" s="36"/>
      <c r="AA1562" s="36"/>
      <c r="AB1562" s="36"/>
      <c r="AC1562" s="36"/>
    </row>
    <row r="1563" spans="17:29" x14ac:dyDescent="0.2">
      <c r="Q1563" s="36"/>
      <c r="R1563" s="36"/>
      <c r="S1563" s="36"/>
      <c r="T1563" s="36"/>
      <c r="U1563" s="36"/>
      <c r="V1563" s="36"/>
      <c r="W1563" s="36"/>
      <c r="X1563" s="36"/>
      <c r="Y1563" s="36"/>
      <c r="Z1563" s="36"/>
      <c r="AA1563" s="36"/>
      <c r="AB1563" s="36"/>
      <c r="AC1563" s="36"/>
    </row>
    <row r="1564" spans="17:29" x14ac:dyDescent="0.2">
      <c r="Q1564" s="36"/>
      <c r="R1564" s="36"/>
      <c r="S1564" s="36"/>
      <c r="T1564" s="36"/>
      <c r="U1564" s="36"/>
      <c r="V1564" s="36"/>
      <c r="W1564" s="36"/>
      <c r="X1564" s="36"/>
      <c r="Y1564" s="36"/>
      <c r="Z1564" s="36"/>
      <c r="AA1564" s="36"/>
      <c r="AB1564" s="36"/>
      <c r="AC1564" s="36"/>
    </row>
    <row r="1565" spans="17:29" x14ac:dyDescent="0.2">
      <c r="Q1565" s="36"/>
      <c r="R1565" s="36"/>
      <c r="S1565" s="36"/>
      <c r="T1565" s="36"/>
      <c r="U1565" s="36"/>
      <c r="V1565" s="36"/>
      <c r="W1565" s="36"/>
      <c r="X1565" s="36"/>
      <c r="Y1565" s="36"/>
      <c r="Z1565" s="36"/>
      <c r="AA1565" s="36"/>
      <c r="AB1565" s="36"/>
      <c r="AC1565" s="36"/>
    </row>
    <row r="1566" spans="17:29" x14ac:dyDescent="0.2">
      <c r="Q1566" s="36"/>
      <c r="R1566" s="36"/>
      <c r="S1566" s="36"/>
      <c r="T1566" s="36"/>
      <c r="U1566" s="36"/>
      <c r="V1566" s="36"/>
      <c r="W1566" s="36"/>
      <c r="X1566" s="36"/>
      <c r="Y1566" s="36"/>
      <c r="Z1566" s="36"/>
      <c r="AA1566" s="36"/>
      <c r="AB1566" s="36"/>
      <c r="AC1566" s="36"/>
    </row>
    <row r="1567" spans="17:29" x14ac:dyDescent="0.2">
      <c r="Q1567" s="36"/>
      <c r="R1567" s="36"/>
      <c r="S1567" s="36"/>
      <c r="T1567" s="36"/>
      <c r="U1567" s="36"/>
      <c r="V1567" s="36"/>
      <c r="W1567" s="36"/>
      <c r="X1567" s="36"/>
      <c r="Y1567" s="36"/>
      <c r="Z1567" s="36"/>
      <c r="AA1567" s="36"/>
      <c r="AB1567" s="36"/>
      <c r="AC1567" s="36"/>
    </row>
    <row r="1568" spans="17:29" x14ac:dyDescent="0.2">
      <c r="Q1568" s="36"/>
      <c r="R1568" s="36"/>
      <c r="S1568" s="36"/>
      <c r="T1568" s="36"/>
      <c r="U1568" s="36"/>
      <c r="V1568" s="36"/>
      <c r="W1568" s="36"/>
      <c r="X1568" s="36"/>
      <c r="Y1568" s="36"/>
      <c r="Z1568" s="36"/>
      <c r="AA1568" s="36"/>
      <c r="AB1568" s="36"/>
      <c r="AC1568" s="36"/>
    </row>
    <row r="1569" spans="17:29" x14ac:dyDescent="0.2">
      <c r="Q1569" s="36"/>
      <c r="R1569" s="36"/>
      <c r="S1569" s="36"/>
      <c r="T1569" s="36"/>
      <c r="U1569" s="36"/>
      <c r="V1569" s="36"/>
      <c r="W1569" s="36"/>
      <c r="X1569" s="36"/>
      <c r="Y1569" s="36"/>
      <c r="Z1569" s="36"/>
      <c r="AA1569" s="36"/>
      <c r="AB1569" s="36"/>
      <c r="AC1569" s="36"/>
    </row>
    <row r="1570" spans="17:29" x14ac:dyDescent="0.2">
      <c r="Q1570" s="36"/>
      <c r="R1570" s="36"/>
      <c r="S1570" s="36"/>
      <c r="T1570" s="36"/>
      <c r="U1570" s="36"/>
      <c r="V1570" s="36"/>
      <c r="W1570" s="36"/>
      <c r="X1570" s="36"/>
      <c r="Y1570" s="36"/>
      <c r="Z1570" s="36"/>
      <c r="AA1570" s="36"/>
      <c r="AB1570" s="36"/>
      <c r="AC1570" s="36"/>
    </row>
    <row r="1571" spans="17:29" x14ac:dyDescent="0.2">
      <c r="Q1571" s="36"/>
      <c r="R1571" s="36"/>
      <c r="S1571" s="36"/>
      <c r="T1571" s="36"/>
      <c r="U1571" s="36"/>
      <c r="V1571" s="36"/>
      <c r="W1571" s="36"/>
      <c r="X1571" s="36"/>
      <c r="Y1571" s="36"/>
      <c r="Z1571" s="36"/>
      <c r="AA1571" s="36"/>
      <c r="AB1571" s="36"/>
      <c r="AC1571" s="36"/>
    </row>
    <row r="1572" spans="17:29" x14ac:dyDescent="0.2">
      <c r="Q1572" s="36"/>
      <c r="R1572" s="36"/>
      <c r="S1572" s="36"/>
      <c r="T1572" s="36"/>
      <c r="U1572" s="36"/>
      <c r="V1572" s="36"/>
      <c r="W1572" s="36"/>
      <c r="X1572" s="36"/>
      <c r="Y1572" s="36"/>
      <c r="Z1572" s="36"/>
      <c r="AA1572" s="36"/>
      <c r="AB1572" s="36"/>
      <c r="AC1572" s="36"/>
    </row>
    <row r="1573" spans="17:29" x14ac:dyDescent="0.2">
      <c r="Q1573" s="36"/>
      <c r="R1573" s="36"/>
      <c r="S1573" s="36"/>
      <c r="T1573" s="36"/>
      <c r="U1573" s="36"/>
      <c r="V1573" s="36"/>
      <c r="W1573" s="36"/>
      <c r="X1573" s="36"/>
      <c r="Y1573" s="36"/>
      <c r="Z1573" s="36"/>
      <c r="AA1573" s="36"/>
      <c r="AB1573" s="36"/>
      <c r="AC1573" s="36"/>
    </row>
    <row r="1574" spans="17:29" x14ac:dyDescent="0.2">
      <c r="Q1574" s="36"/>
      <c r="R1574" s="36"/>
      <c r="S1574" s="36"/>
      <c r="T1574" s="36"/>
      <c r="U1574" s="36"/>
      <c r="V1574" s="36"/>
      <c r="W1574" s="36"/>
      <c r="X1574" s="36"/>
      <c r="Y1574" s="36"/>
      <c r="Z1574" s="36"/>
      <c r="AA1574" s="36"/>
      <c r="AB1574" s="36"/>
      <c r="AC1574" s="36"/>
    </row>
    <row r="1575" spans="17:29" x14ac:dyDescent="0.2">
      <c r="Q1575" s="36"/>
      <c r="R1575" s="36"/>
      <c r="S1575" s="36"/>
      <c r="T1575" s="36"/>
      <c r="U1575" s="36"/>
      <c r="V1575" s="36"/>
      <c r="W1575" s="36"/>
      <c r="X1575" s="36"/>
      <c r="Y1575" s="36"/>
      <c r="Z1575" s="36"/>
      <c r="AA1575" s="36"/>
      <c r="AB1575" s="36"/>
      <c r="AC1575" s="36"/>
    </row>
    <row r="1576" spans="17:29" x14ac:dyDescent="0.2">
      <c r="Q1576" s="36"/>
      <c r="R1576" s="36"/>
      <c r="S1576" s="36"/>
      <c r="T1576" s="36"/>
      <c r="U1576" s="36"/>
      <c r="V1576" s="36"/>
      <c r="W1576" s="36"/>
      <c r="X1576" s="36"/>
      <c r="Y1576" s="36"/>
      <c r="Z1576" s="36"/>
      <c r="AA1576" s="36"/>
      <c r="AB1576" s="36"/>
      <c r="AC1576" s="36"/>
    </row>
    <row r="1577" spans="17:29" x14ac:dyDescent="0.2">
      <c r="Q1577" s="36"/>
      <c r="R1577" s="36"/>
      <c r="S1577" s="36"/>
      <c r="T1577" s="36"/>
      <c r="U1577" s="36"/>
      <c r="V1577" s="36"/>
      <c r="W1577" s="36"/>
      <c r="X1577" s="36"/>
      <c r="Y1577" s="36"/>
      <c r="Z1577" s="36"/>
      <c r="AA1577" s="36"/>
      <c r="AB1577" s="36"/>
      <c r="AC1577" s="36"/>
    </row>
    <row r="1578" spans="17:29" x14ac:dyDescent="0.2">
      <c r="Q1578" s="36"/>
      <c r="R1578" s="36"/>
      <c r="S1578" s="36"/>
      <c r="T1578" s="36"/>
      <c r="U1578" s="36"/>
      <c r="V1578" s="36"/>
      <c r="W1578" s="36"/>
      <c r="X1578" s="36"/>
      <c r="Y1578" s="36"/>
      <c r="Z1578" s="36"/>
      <c r="AA1578" s="36"/>
      <c r="AB1578" s="36"/>
      <c r="AC1578" s="36"/>
    </row>
    <row r="1579" spans="17:29" x14ac:dyDescent="0.2">
      <c r="Q1579" s="36"/>
      <c r="R1579" s="36"/>
      <c r="S1579" s="36"/>
      <c r="T1579" s="36"/>
      <c r="U1579" s="36"/>
      <c r="V1579" s="36"/>
      <c r="W1579" s="36"/>
      <c r="X1579" s="36"/>
      <c r="Y1579" s="36"/>
      <c r="Z1579" s="36"/>
      <c r="AA1579" s="36"/>
      <c r="AB1579" s="36"/>
      <c r="AC1579" s="36"/>
    </row>
    <row r="1580" spans="17:29" x14ac:dyDescent="0.2">
      <c r="Q1580" s="36"/>
      <c r="R1580" s="36"/>
      <c r="S1580" s="36"/>
      <c r="T1580" s="36"/>
      <c r="U1580" s="36"/>
      <c r="V1580" s="36"/>
      <c r="W1580" s="36"/>
      <c r="X1580" s="36"/>
      <c r="Y1580" s="36"/>
      <c r="Z1580" s="36"/>
      <c r="AA1580" s="36"/>
      <c r="AB1580" s="36"/>
      <c r="AC1580" s="36"/>
    </row>
    <row r="1581" spans="17:29" x14ac:dyDescent="0.2">
      <c r="Q1581" s="36"/>
      <c r="R1581" s="36"/>
      <c r="S1581" s="36"/>
      <c r="T1581" s="36"/>
      <c r="U1581" s="36"/>
      <c r="V1581" s="36"/>
      <c r="W1581" s="36"/>
      <c r="X1581" s="36"/>
      <c r="Y1581" s="36"/>
      <c r="Z1581" s="36"/>
      <c r="AA1581" s="36"/>
      <c r="AB1581" s="36"/>
      <c r="AC1581" s="36"/>
    </row>
    <row r="1582" spans="17:29" x14ac:dyDescent="0.2">
      <c r="Q1582" s="36"/>
      <c r="R1582" s="36"/>
      <c r="S1582" s="36"/>
      <c r="T1582" s="36"/>
      <c r="U1582" s="36"/>
      <c r="V1582" s="36"/>
      <c r="W1582" s="36"/>
      <c r="X1582" s="36"/>
      <c r="Y1582" s="36"/>
      <c r="Z1582" s="36"/>
      <c r="AA1582" s="36"/>
      <c r="AB1582" s="36"/>
      <c r="AC1582" s="36"/>
    </row>
    <row r="1583" spans="17:29" x14ac:dyDescent="0.2">
      <c r="Q1583" s="36"/>
      <c r="R1583" s="36"/>
      <c r="S1583" s="36"/>
      <c r="T1583" s="36"/>
      <c r="U1583" s="36"/>
      <c r="V1583" s="36"/>
      <c r="W1583" s="36"/>
      <c r="X1583" s="36"/>
      <c r="Y1583" s="36"/>
      <c r="Z1583" s="36"/>
      <c r="AA1583" s="36"/>
      <c r="AB1583" s="36"/>
      <c r="AC1583" s="36"/>
    </row>
    <row r="1584" spans="17:29" x14ac:dyDescent="0.2">
      <c r="Q1584" s="36"/>
      <c r="R1584" s="36"/>
      <c r="S1584" s="36"/>
      <c r="T1584" s="36"/>
      <c r="U1584" s="36"/>
      <c r="V1584" s="36"/>
      <c r="W1584" s="36"/>
      <c r="X1584" s="36"/>
      <c r="Y1584" s="36"/>
      <c r="Z1584" s="36"/>
      <c r="AA1584" s="36"/>
      <c r="AB1584" s="36"/>
      <c r="AC1584" s="36"/>
    </row>
    <row r="1585" spans="17:29" x14ac:dyDescent="0.2">
      <c r="Q1585" s="36"/>
      <c r="R1585" s="36"/>
      <c r="S1585" s="36"/>
      <c r="T1585" s="36"/>
      <c r="U1585" s="36"/>
      <c r="V1585" s="36"/>
      <c r="W1585" s="36"/>
      <c r="X1585" s="36"/>
      <c r="Y1585" s="36"/>
      <c r="Z1585" s="36"/>
      <c r="AA1585" s="36"/>
      <c r="AB1585" s="36"/>
      <c r="AC1585" s="36"/>
    </row>
    <row r="1586" spans="17:29" x14ac:dyDescent="0.2">
      <c r="Q1586" s="36"/>
      <c r="R1586" s="36"/>
      <c r="S1586" s="36"/>
      <c r="T1586" s="36"/>
      <c r="U1586" s="36"/>
      <c r="V1586" s="36"/>
      <c r="W1586" s="36"/>
      <c r="X1586" s="36"/>
      <c r="Y1586" s="36"/>
      <c r="Z1586" s="36"/>
      <c r="AA1586" s="36"/>
      <c r="AB1586" s="36"/>
      <c r="AC1586" s="36"/>
    </row>
    <row r="1587" spans="17:29" x14ac:dyDescent="0.2">
      <c r="Q1587" s="36"/>
      <c r="R1587" s="36"/>
      <c r="S1587" s="36"/>
      <c r="T1587" s="36"/>
      <c r="U1587" s="36"/>
      <c r="V1587" s="36"/>
      <c r="W1587" s="36"/>
      <c r="X1587" s="36"/>
      <c r="Y1587" s="36"/>
      <c r="Z1587" s="36"/>
      <c r="AA1587" s="36"/>
      <c r="AB1587" s="36"/>
      <c r="AC1587" s="36"/>
    </row>
    <row r="1588" spans="17:29" x14ac:dyDescent="0.2">
      <c r="Q1588" s="36"/>
      <c r="R1588" s="36"/>
      <c r="S1588" s="36"/>
      <c r="T1588" s="36"/>
      <c r="U1588" s="36"/>
      <c r="V1588" s="36"/>
      <c r="W1588" s="36"/>
      <c r="X1588" s="36"/>
      <c r="Y1588" s="36"/>
      <c r="Z1588" s="36"/>
      <c r="AA1588" s="36"/>
      <c r="AB1588" s="36"/>
      <c r="AC1588" s="36"/>
    </row>
    <row r="1589" spans="17:29" x14ac:dyDescent="0.2">
      <c r="Q1589" s="36"/>
      <c r="R1589" s="36"/>
      <c r="S1589" s="36"/>
      <c r="T1589" s="36"/>
      <c r="U1589" s="36"/>
      <c r="V1589" s="36"/>
      <c r="W1589" s="36"/>
      <c r="X1589" s="36"/>
      <c r="Y1589" s="36"/>
      <c r="Z1589" s="36"/>
      <c r="AA1589" s="36"/>
      <c r="AB1589" s="36"/>
      <c r="AC1589" s="36"/>
    </row>
    <row r="1590" spans="17:29" x14ac:dyDescent="0.2">
      <c r="Q1590" s="36"/>
      <c r="R1590" s="36"/>
      <c r="S1590" s="36"/>
      <c r="T1590" s="36"/>
      <c r="U1590" s="36"/>
      <c r="V1590" s="36"/>
      <c r="W1590" s="36"/>
      <c r="X1590" s="36"/>
      <c r="Y1590" s="36"/>
      <c r="Z1590" s="36"/>
      <c r="AA1590" s="36"/>
      <c r="AB1590" s="36"/>
      <c r="AC1590" s="36"/>
    </row>
    <row r="1591" spans="17:29" x14ac:dyDescent="0.2">
      <c r="Q1591" s="36"/>
      <c r="R1591" s="36"/>
      <c r="S1591" s="36"/>
      <c r="T1591" s="36"/>
      <c r="U1591" s="36"/>
      <c r="V1591" s="36"/>
      <c r="W1591" s="36"/>
      <c r="X1591" s="36"/>
      <c r="Y1591" s="36"/>
      <c r="Z1591" s="36"/>
      <c r="AA1591" s="36"/>
      <c r="AB1591" s="36"/>
      <c r="AC1591" s="36"/>
    </row>
    <row r="1592" spans="17:29" x14ac:dyDescent="0.2">
      <c r="Q1592" s="36"/>
      <c r="R1592" s="36"/>
      <c r="S1592" s="36"/>
      <c r="T1592" s="36"/>
      <c r="U1592" s="36"/>
      <c r="V1592" s="36"/>
      <c r="W1592" s="36"/>
      <c r="X1592" s="36"/>
      <c r="Y1592" s="36"/>
      <c r="Z1592" s="36"/>
      <c r="AA1592" s="36"/>
      <c r="AB1592" s="36"/>
      <c r="AC1592" s="36"/>
    </row>
    <row r="1593" spans="17:29" x14ac:dyDescent="0.2">
      <c r="Q1593" s="36"/>
      <c r="R1593" s="36"/>
      <c r="S1593" s="36"/>
      <c r="T1593" s="36"/>
      <c r="U1593" s="36"/>
      <c r="V1593" s="36"/>
      <c r="W1593" s="36"/>
      <c r="X1593" s="36"/>
      <c r="Y1593" s="36"/>
      <c r="Z1593" s="36"/>
      <c r="AA1593" s="36"/>
      <c r="AB1593" s="36"/>
      <c r="AC1593" s="36"/>
    </row>
    <row r="1594" spans="17:29" x14ac:dyDescent="0.2">
      <c r="Q1594" s="36"/>
      <c r="R1594" s="36"/>
      <c r="S1594" s="36"/>
      <c r="T1594" s="36"/>
      <c r="U1594" s="36"/>
      <c r="V1594" s="36"/>
      <c r="W1594" s="36"/>
      <c r="X1594" s="36"/>
      <c r="Y1594" s="36"/>
      <c r="Z1594" s="36"/>
      <c r="AA1594" s="36"/>
      <c r="AB1594" s="36"/>
      <c r="AC1594" s="36"/>
    </row>
    <row r="1595" spans="17:29" x14ac:dyDescent="0.2">
      <c r="Q1595" s="36"/>
      <c r="R1595" s="36"/>
      <c r="S1595" s="36"/>
      <c r="T1595" s="36"/>
      <c r="U1595" s="36"/>
      <c r="V1595" s="36"/>
      <c r="W1595" s="36"/>
      <c r="X1595" s="36"/>
      <c r="Y1595" s="36"/>
      <c r="Z1595" s="36"/>
      <c r="AA1595" s="36"/>
      <c r="AB1595" s="36"/>
      <c r="AC1595" s="36"/>
    </row>
    <row r="1596" spans="17:29" x14ac:dyDescent="0.2">
      <c r="Q1596" s="36"/>
      <c r="R1596" s="36"/>
      <c r="S1596" s="36"/>
      <c r="T1596" s="36"/>
      <c r="U1596" s="36"/>
      <c r="V1596" s="36"/>
      <c r="W1596" s="36"/>
      <c r="X1596" s="36"/>
      <c r="Y1596" s="36"/>
      <c r="Z1596" s="36"/>
      <c r="AA1596" s="36"/>
      <c r="AB1596" s="36"/>
      <c r="AC1596" s="36"/>
    </row>
    <row r="1597" spans="17:29" x14ac:dyDescent="0.2">
      <c r="Q1597" s="36"/>
      <c r="R1597" s="36"/>
      <c r="S1597" s="36"/>
      <c r="T1597" s="36"/>
      <c r="U1597" s="36"/>
      <c r="V1597" s="36"/>
      <c r="W1597" s="36"/>
      <c r="X1597" s="36"/>
      <c r="Y1597" s="36"/>
      <c r="Z1597" s="36"/>
      <c r="AA1597" s="36"/>
      <c r="AB1597" s="36"/>
      <c r="AC1597" s="36"/>
    </row>
    <row r="1598" spans="17:29" x14ac:dyDescent="0.2">
      <c r="Q1598" s="36"/>
      <c r="R1598" s="36"/>
      <c r="S1598" s="36"/>
      <c r="T1598" s="36"/>
      <c r="U1598" s="36"/>
      <c r="V1598" s="36"/>
      <c r="W1598" s="36"/>
      <c r="X1598" s="36"/>
      <c r="Y1598" s="36"/>
      <c r="Z1598" s="36"/>
      <c r="AA1598" s="36"/>
      <c r="AB1598" s="36"/>
      <c r="AC1598" s="36"/>
    </row>
    <row r="1599" spans="17:29" x14ac:dyDescent="0.2">
      <c r="Q1599" s="36"/>
      <c r="R1599" s="36"/>
      <c r="S1599" s="36"/>
      <c r="T1599" s="36"/>
      <c r="U1599" s="36"/>
      <c r="V1599" s="36"/>
      <c r="W1599" s="36"/>
      <c r="X1599" s="36"/>
      <c r="Y1599" s="36"/>
      <c r="Z1599" s="36"/>
      <c r="AA1599" s="36"/>
      <c r="AB1599" s="36"/>
      <c r="AC1599" s="36"/>
    </row>
    <row r="1600" spans="17:29" x14ac:dyDescent="0.2">
      <c r="Q1600" s="36"/>
      <c r="R1600" s="36"/>
      <c r="S1600" s="36"/>
      <c r="T1600" s="36"/>
      <c r="U1600" s="36"/>
      <c r="V1600" s="36"/>
      <c r="W1600" s="36"/>
      <c r="X1600" s="36"/>
      <c r="Y1600" s="36"/>
      <c r="Z1600" s="36"/>
      <c r="AA1600" s="36"/>
      <c r="AB1600" s="36"/>
      <c r="AC1600" s="36"/>
    </row>
    <row r="1601" spans="17:29" x14ac:dyDescent="0.2">
      <c r="Q1601" s="36"/>
      <c r="R1601" s="36"/>
      <c r="S1601" s="36"/>
      <c r="T1601" s="36"/>
      <c r="U1601" s="36"/>
      <c r="V1601" s="36"/>
      <c r="W1601" s="36"/>
      <c r="X1601" s="36"/>
      <c r="Y1601" s="36"/>
      <c r="Z1601" s="36"/>
      <c r="AA1601" s="36"/>
      <c r="AB1601" s="36"/>
      <c r="AC1601" s="36"/>
    </row>
    <row r="1602" spans="17:29" x14ac:dyDescent="0.2">
      <c r="Q1602" s="36"/>
      <c r="R1602" s="36"/>
      <c r="S1602" s="36"/>
      <c r="T1602" s="36"/>
      <c r="U1602" s="36"/>
      <c r="V1602" s="36"/>
      <c r="W1602" s="36"/>
      <c r="X1602" s="36"/>
      <c r="Y1602" s="36"/>
      <c r="Z1602" s="36"/>
      <c r="AA1602" s="36"/>
      <c r="AB1602" s="36"/>
      <c r="AC1602" s="36"/>
    </row>
    <row r="1603" spans="17:29" x14ac:dyDescent="0.2">
      <c r="Q1603" s="36"/>
      <c r="R1603" s="36"/>
      <c r="S1603" s="36"/>
      <c r="T1603" s="36"/>
      <c r="U1603" s="36"/>
      <c r="V1603" s="36"/>
      <c r="W1603" s="36"/>
      <c r="X1603" s="36"/>
      <c r="Y1603" s="36"/>
      <c r="Z1603" s="36"/>
      <c r="AA1603" s="36"/>
      <c r="AB1603" s="36"/>
      <c r="AC1603" s="36"/>
    </row>
    <row r="1604" spans="17:29" x14ac:dyDescent="0.2">
      <c r="Q1604" s="36"/>
      <c r="R1604" s="36"/>
      <c r="S1604" s="36"/>
      <c r="T1604" s="36"/>
      <c r="U1604" s="36"/>
      <c r="V1604" s="36"/>
      <c r="W1604" s="36"/>
      <c r="X1604" s="36"/>
      <c r="Y1604" s="36"/>
      <c r="Z1604" s="36"/>
      <c r="AA1604" s="36"/>
      <c r="AB1604" s="36"/>
      <c r="AC1604" s="36"/>
    </row>
    <row r="1605" spans="17:29" x14ac:dyDescent="0.2">
      <c r="Q1605" s="36"/>
      <c r="R1605" s="36"/>
      <c r="S1605" s="36"/>
      <c r="T1605" s="36"/>
      <c r="U1605" s="36"/>
      <c r="V1605" s="36"/>
      <c r="W1605" s="36"/>
      <c r="X1605" s="36"/>
      <c r="Y1605" s="36"/>
      <c r="Z1605" s="36"/>
      <c r="AA1605" s="36"/>
      <c r="AB1605" s="36"/>
      <c r="AC1605" s="36"/>
    </row>
    <row r="1606" spans="17:29" x14ac:dyDescent="0.2">
      <c r="Q1606" s="36"/>
      <c r="R1606" s="36"/>
      <c r="S1606" s="36"/>
      <c r="T1606" s="36"/>
      <c r="U1606" s="36"/>
      <c r="V1606" s="36"/>
      <c r="W1606" s="36"/>
      <c r="X1606" s="36"/>
      <c r="Y1606" s="36"/>
      <c r="Z1606" s="36"/>
      <c r="AA1606" s="36"/>
      <c r="AB1606" s="36"/>
      <c r="AC1606" s="36"/>
    </row>
    <row r="1607" spans="17:29" x14ac:dyDescent="0.2">
      <c r="Q1607" s="36"/>
      <c r="R1607" s="36"/>
      <c r="S1607" s="36"/>
      <c r="T1607" s="36"/>
      <c r="U1607" s="36"/>
      <c r="V1607" s="36"/>
      <c r="W1607" s="36"/>
      <c r="X1607" s="36"/>
      <c r="Y1607" s="36"/>
      <c r="Z1607" s="36"/>
      <c r="AA1607" s="36"/>
      <c r="AB1607" s="36"/>
      <c r="AC1607" s="36"/>
    </row>
    <row r="1608" spans="17:29" x14ac:dyDescent="0.2">
      <c r="Q1608" s="36"/>
      <c r="R1608" s="36"/>
      <c r="S1608" s="36"/>
      <c r="T1608" s="36"/>
      <c r="U1608" s="36"/>
      <c r="V1608" s="36"/>
      <c r="W1608" s="36"/>
      <c r="X1608" s="36"/>
      <c r="Y1608" s="36"/>
      <c r="Z1608" s="36"/>
      <c r="AA1608" s="36"/>
      <c r="AB1608" s="36"/>
      <c r="AC1608" s="36"/>
    </row>
    <row r="1609" spans="17:29" x14ac:dyDescent="0.2">
      <c r="Q1609" s="36"/>
      <c r="R1609" s="36"/>
      <c r="S1609" s="36"/>
      <c r="T1609" s="36"/>
      <c r="U1609" s="36"/>
      <c r="V1609" s="36"/>
      <c r="W1609" s="36"/>
      <c r="X1609" s="36"/>
      <c r="Y1609" s="36"/>
      <c r="Z1609" s="36"/>
      <c r="AA1609" s="36"/>
      <c r="AB1609" s="36"/>
      <c r="AC1609" s="36"/>
    </row>
    <row r="1610" spans="17:29" x14ac:dyDescent="0.2">
      <c r="Q1610" s="36"/>
      <c r="R1610" s="36"/>
      <c r="S1610" s="36"/>
      <c r="T1610" s="36"/>
      <c r="U1610" s="36"/>
      <c r="V1610" s="36"/>
      <c r="W1610" s="36"/>
      <c r="X1610" s="36"/>
      <c r="Y1610" s="36"/>
      <c r="Z1610" s="36"/>
      <c r="AA1610" s="36"/>
      <c r="AB1610" s="36"/>
      <c r="AC1610" s="36"/>
    </row>
    <row r="1611" spans="17:29" x14ac:dyDescent="0.2">
      <c r="Q1611" s="36"/>
      <c r="R1611" s="36"/>
      <c r="S1611" s="36"/>
      <c r="T1611" s="36"/>
      <c r="U1611" s="36"/>
      <c r="V1611" s="36"/>
      <c r="W1611" s="36"/>
      <c r="X1611" s="36"/>
      <c r="Y1611" s="36"/>
      <c r="Z1611" s="36"/>
      <c r="AA1611" s="36"/>
      <c r="AB1611" s="36"/>
      <c r="AC1611" s="36"/>
    </row>
    <row r="1612" spans="17:29" x14ac:dyDescent="0.2">
      <c r="Q1612" s="36"/>
      <c r="R1612" s="36"/>
      <c r="S1612" s="36"/>
      <c r="T1612" s="36"/>
      <c r="U1612" s="36"/>
      <c r="V1612" s="36"/>
      <c r="W1612" s="36"/>
      <c r="X1612" s="36"/>
      <c r="Y1612" s="36"/>
      <c r="Z1612" s="36"/>
      <c r="AA1612" s="36"/>
      <c r="AB1612" s="36"/>
      <c r="AC1612" s="36"/>
    </row>
    <row r="1613" spans="17:29" x14ac:dyDescent="0.2">
      <c r="Q1613" s="36"/>
      <c r="R1613" s="36"/>
      <c r="S1613" s="36"/>
      <c r="T1613" s="36"/>
      <c r="U1613" s="36"/>
      <c r="V1613" s="36"/>
      <c r="W1613" s="36"/>
      <c r="X1613" s="36"/>
      <c r="Y1613" s="36"/>
      <c r="Z1613" s="36"/>
      <c r="AA1613" s="36"/>
      <c r="AB1613" s="36"/>
      <c r="AC1613" s="36"/>
    </row>
    <row r="1614" spans="17:29" x14ac:dyDescent="0.2">
      <c r="Q1614" s="36"/>
      <c r="R1614" s="36"/>
      <c r="S1614" s="36"/>
      <c r="T1614" s="36"/>
      <c r="U1614" s="36"/>
      <c r="V1614" s="36"/>
      <c r="W1614" s="36"/>
      <c r="X1614" s="36"/>
      <c r="Y1614" s="36"/>
      <c r="Z1614" s="36"/>
      <c r="AA1614" s="36"/>
      <c r="AB1614" s="36"/>
      <c r="AC1614" s="36"/>
    </row>
    <row r="1615" spans="17:29" x14ac:dyDescent="0.2">
      <c r="Q1615" s="36"/>
      <c r="R1615" s="36"/>
      <c r="S1615" s="36"/>
      <c r="T1615" s="36"/>
      <c r="U1615" s="36"/>
      <c r="V1615" s="36"/>
      <c r="W1615" s="36"/>
      <c r="X1615" s="36"/>
      <c r="Y1615" s="36"/>
      <c r="Z1615" s="36"/>
      <c r="AA1615" s="36"/>
      <c r="AB1615" s="36"/>
      <c r="AC1615" s="36"/>
    </row>
    <row r="1616" spans="17:29" x14ac:dyDescent="0.2">
      <c r="Q1616" s="36"/>
      <c r="R1616" s="36"/>
      <c r="S1616" s="36"/>
      <c r="T1616" s="36"/>
      <c r="U1616" s="36"/>
      <c r="V1616" s="36"/>
      <c r="W1616" s="36"/>
      <c r="X1616" s="36"/>
      <c r="Y1616" s="36"/>
      <c r="Z1616" s="36"/>
      <c r="AA1616" s="36"/>
      <c r="AB1616" s="36"/>
      <c r="AC1616" s="36"/>
    </row>
    <row r="1617" spans="17:29" x14ac:dyDescent="0.2">
      <c r="Q1617" s="36"/>
      <c r="R1617" s="36"/>
      <c r="S1617" s="36"/>
      <c r="T1617" s="36"/>
      <c r="U1617" s="36"/>
      <c r="V1617" s="36"/>
      <c r="W1617" s="36"/>
      <c r="X1617" s="36"/>
      <c r="Y1617" s="36"/>
      <c r="Z1617" s="36"/>
      <c r="AA1617" s="36"/>
      <c r="AB1617" s="36"/>
      <c r="AC1617" s="36"/>
    </row>
    <row r="1618" spans="17:29" x14ac:dyDescent="0.2">
      <c r="Q1618" s="36"/>
      <c r="R1618" s="36"/>
      <c r="S1618" s="36"/>
      <c r="T1618" s="36"/>
      <c r="U1618" s="36"/>
      <c r="V1618" s="36"/>
      <c r="W1618" s="36"/>
      <c r="X1618" s="36"/>
      <c r="Y1618" s="36"/>
      <c r="Z1618" s="36"/>
      <c r="AA1618" s="36"/>
      <c r="AB1618" s="36"/>
      <c r="AC1618" s="36"/>
    </row>
  </sheetData>
  <dataValidations count="2">
    <dataValidation type="list" allowBlank="1" showInputMessage="1" showErrorMessage="1" sqref="Y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N8:N11 M13">
      <formula1>"TRUE,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Length4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9</xdr:row>
                    <xdr:rowOff>123825</xdr:rowOff>
                  </from>
                  <to>
                    <xdr:col>31</xdr:col>
                    <xdr:colOff>361950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Length1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</xdr:row>
                    <xdr:rowOff>276225</xdr:rowOff>
                  </from>
                  <to>
                    <xdr:col>31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Length7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18</xdr:row>
                    <xdr:rowOff>0</xdr:rowOff>
                  </from>
                  <to>
                    <xdr:col>31</xdr:col>
                    <xdr:colOff>361950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Length2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4</xdr:row>
                    <xdr:rowOff>38100</xdr:rowOff>
                  </from>
                  <to>
                    <xdr:col>31</xdr:col>
                    <xdr:colOff>361950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Length3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7</xdr:row>
                    <xdr:rowOff>0</xdr:rowOff>
                  </from>
                  <to>
                    <xdr:col>31</xdr:col>
                    <xdr:colOff>361950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Length5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12</xdr:row>
                    <xdr:rowOff>66675</xdr:rowOff>
                  </from>
                  <to>
                    <xdr:col>31</xdr:col>
                    <xdr:colOff>361950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Length6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15</xdr:row>
                    <xdr:rowOff>19050</xdr:rowOff>
                  </from>
                  <to>
                    <xdr:col>31</xdr:col>
                    <xdr:colOff>361950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General Settings</vt:lpstr>
      <vt:lpstr>1M Basis</vt:lpstr>
      <vt:lpstr>3M Basis</vt:lpstr>
      <vt:lpstr>6M Basis</vt:lpstr>
      <vt:lpstr>12M Basis</vt:lpstr>
      <vt:lpstr>AllTriggers</vt:lpstr>
      <vt:lpstr>Calendar</vt:lpstr>
      <vt:lpstr>'12M Basis'!ContBasis</vt:lpstr>
      <vt:lpstr>'1M Basis'!ContBasis</vt:lpstr>
      <vt:lpstr>'3M Basis'!ContBasis</vt:lpstr>
      <vt:lpstr>'6M Basis'!ContBasis</vt:lpstr>
      <vt:lpstr>Currency</vt:lpstr>
      <vt:lpstr>'12M Basis'!DataTable</vt:lpstr>
      <vt:lpstr>'1M Basis'!DataTable</vt:lpstr>
      <vt:lpstr>'3M Basis'!DataTable</vt:lpstr>
      <vt:lpstr>'6M Basis'!DataTable</vt:lpstr>
      <vt:lpstr>DayCounter</vt:lpstr>
      <vt:lpstr>'12M Basis'!Error_ContBasis</vt:lpstr>
      <vt:lpstr>'1M Basis'!Error_ContBasis</vt:lpstr>
      <vt:lpstr>'3M Basis'!Error_ContBasis</vt:lpstr>
      <vt:lpstr>'6M Basis'!Error_ContBasis</vt:lpstr>
      <vt:lpstr>EvaluationDate</vt:lpstr>
      <vt:lpstr>IborType</vt:lpstr>
      <vt:lpstr>'12M Basis'!Index</vt:lpstr>
      <vt:lpstr>'1M Basis'!Index</vt:lpstr>
      <vt:lpstr>'3M Basis'!Index</vt:lpstr>
      <vt:lpstr>'6M Basis'!Index</vt:lpstr>
      <vt:lpstr>InterestRatesTrigger</vt:lpstr>
      <vt:lpstr>OisCurve</vt:lpstr>
      <vt:lpstr>SettlementDate</vt:lpstr>
      <vt:lpstr>'12M Basis'!SimpleBasis</vt:lpstr>
      <vt:lpstr>'1M Basis'!SimpleBasis</vt:lpstr>
      <vt:lpstr>'3M Basis'!SimpleBasis</vt:lpstr>
      <vt:lpstr>'6M Basis'!SimpleBasis</vt:lpstr>
      <vt:lpstr>'1M Basis'!TenorBasis1M</vt:lpstr>
      <vt:lpstr>'12M Basis'!TenorBasis1Y</vt:lpstr>
      <vt:lpstr>'3M Basis'!TenorBasis3M</vt:lpstr>
      <vt:lpstr>'6M Basis'!TenorBasis6M</vt:lpstr>
      <vt:lpstr>Trigger</vt:lpstr>
    </vt:vector>
  </TitlesOfParts>
  <Company>Banca IMI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Mazzocchi, Paolo (IT - Milano)</cp:lastModifiedBy>
  <dcterms:created xsi:type="dcterms:W3CDTF">2014-12-24T10:07:57Z</dcterms:created>
  <dcterms:modified xsi:type="dcterms:W3CDTF">2015-11-17T22:14:32Z</dcterms:modified>
</cp:coreProperties>
</file>